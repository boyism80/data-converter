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s\ProjectM\design\"/>
    </mc:Choice>
  </mc:AlternateContent>
  <bookViews>
    <workbookView xWindow="-120" yWindow="-120" windowWidth="29040" windowHeight="17640" tabRatio="717" activeTab="1"/>
  </bookViews>
  <sheets>
    <sheet name="Monster" sheetId="1" r:id="rId1"/>
    <sheet name="Monster.Etc" sheetId="3" r:id="rId2"/>
    <sheet name="Monster.Contents" sheetId="2" r:id="rId3"/>
    <sheet name="Monster.CharacterSummon" sheetId="4" r:id="rId4"/>
    <sheet name="#Data" sheetId="5" r:id="rId5"/>
    <sheet name="#MoveData" sheetId="6" r:id="rId6"/>
  </sheets>
  <definedNames>
    <definedName name="_xlnm._FilterDatabase" localSheetId="0" hidden="1">Monster!$A$3:$AL$195</definedName>
    <definedName name="ExternalData_1" localSheetId="5" hidden="1">'#MoveData'!$A$1:$C$1900</definedName>
  </definedNames>
  <calcPr calcId="181029"/>
</workbook>
</file>

<file path=xl/calcChain.xml><?xml version="1.0" encoding="utf-8"?>
<calcChain xmlns="http://schemas.openxmlformats.org/spreadsheetml/2006/main">
  <c r="L109" i="2" l="1"/>
  <c r="H109" i="2"/>
  <c r="D109" i="2"/>
  <c r="I252" i="5"/>
  <c r="W109" i="2" s="1"/>
  <c r="Y109" i="2" l="1"/>
  <c r="Y220" i="2" s="1"/>
  <c r="Y331" i="2" s="1"/>
  <c r="Y442" i="2" s="1"/>
  <c r="Y553" i="2" s="1"/>
  <c r="Y664" i="2" s="1"/>
  <c r="B332" i="2"/>
  <c r="B443" i="2" s="1"/>
  <c r="B554" i="2" s="1"/>
  <c r="B665" i="2" s="1"/>
  <c r="B331" i="2"/>
  <c r="B442" i="2" s="1"/>
  <c r="B553" i="2" s="1"/>
  <c r="B664" i="2" s="1"/>
  <c r="B330" i="2"/>
  <c r="B441" i="2" s="1"/>
  <c r="B552" i="2" s="1"/>
  <c r="B663" i="2" s="1"/>
  <c r="AF221" i="2"/>
  <c r="AF332" i="2" s="1"/>
  <c r="AF443" i="2" s="1"/>
  <c r="AF554" i="2" s="1"/>
  <c r="AF665" i="2" s="1"/>
  <c r="AE221" i="2"/>
  <c r="AE332" i="2" s="1"/>
  <c r="AE443" i="2" s="1"/>
  <c r="AE554" i="2" s="1"/>
  <c r="AE665" i="2" s="1"/>
  <c r="AD221" i="2"/>
  <c r="AD332" i="2" s="1"/>
  <c r="AD443" i="2" s="1"/>
  <c r="AD554" i="2" s="1"/>
  <c r="AD665" i="2" s="1"/>
  <c r="AC221" i="2"/>
  <c r="AC332" i="2" s="1"/>
  <c r="AC443" i="2" s="1"/>
  <c r="AC554" i="2" s="1"/>
  <c r="AC665" i="2" s="1"/>
  <c r="AB221" i="2"/>
  <c r="AB332" i="2" s="1"/>
  <c r="AB443" i="2" s="1"/>
  <c r="AB554" i="2" s="1"/>
  <c r="AB665" i="2" s="1"/>
  <c r="AA221" i="2"/>
  <c r="AA332" i="2" s="1"/>
  <c r="AA443" i="2" s="1"/>
  <c r="AA554" i="2" s="1"/>
  <c r="AA665" i="2" s="1"/>
  <c r="Z221" i="2"/>
  <c r="Z332" i="2" s="1"/>
  <c r="Z443" i="2" s="1"/>
  <c r="Z554" i="2" s="1"/>
  <c r="Z665" i="2" s="1"/>
  <c r="Y221" i="2"/>
  <c r="Y332" i="2" s="1"/>
  <c r="Y443" i="2" s="1"/>
  <c r="Y554" i="2" s="1"/>
  <c r="Y665" i="2" s="1"/>
  <c r="X221" i="2"/>
  <c r="X332" i="2" s="1"/>
  <c r="X443" i="2" s="1"/>
  <c r="X554" i="2" s="1"/>
  <c r="X665" i="2" s="1"/>
  <c r="W221" i="2"/>
  <c r="W332" i="2" s="1"/>
  <c r="W443" i="2" s="1"/>
  <c r="W554" i="2" s="1"/>
  <c r="W665" i="2" s="1"/>
  <c r="V221" i="2"/>
  <c r="V332" i="2" s="1"/>
  <c r="V443" i="2" s="1"/>
  <c r="V554" i="2" s="1"/>
  <c r="V665" i="2" s="1"/>
  <c r="U221" i="2"/>
  <c r="U332" i="2" s="1"/>
  <c r="U443" i="2" s="1"/>
  <c r="U554" i="2" s="1"/>
  <c r="U665" i="2" s="1"/>
  <c r="T221" i="2"/>
  <c r="T332" i="2" s="1"/>
  <c r="T443" i="2" s="1"/>
  <c r="T554" i="2" s="1"/>
  <c r="T665" i="2" s="1"/>
  <c r="S221" i="2"/>
  <c r="S332" i="2" s="1"/>
  <c r="S443" i="2" s="1"/>
  <c r="S554" i="2" s="1"/>
  <c r="S665" i="2" s="1"/>
  <c r="R221" i="2"/>
  <c r="R332" i="2" s="1"/>
  <c r="R443" i="2" s="1"/>
  <c r="R554" i="2" s="1"/>
  <c r="R665" i="2" s="1"/>
  <c r="Q221" i="2"/>
  <c r="Q332" i="2" s="1"/>
  <c r="Q443" i="2" s="1"/>
  <c r="Q554" i="2" s="1"/>
  <c r="Q665" i="2" s="1"/>
  <c r="P221" i="2"/>
  <c r="P332" i="2" s="1"/>
  <c r="P443" i="2" s="1"/>
  <c r="P554" i="2" s="1"/>
  <c r="P665" i="2" s="1"/>
  <c r="O221" i="2"/>
  <c r="O332" i="2" s="1"/>
  <c r="O443" i="2" s="1"/>
  <c r="O554" i="2" s="1"/>
  <c r="O665" i="2" s="1"/>
  <c r="N221" i="2"/>
  <c r="N332" i="2" s="1"/>
  <c r="N443" i="2" s="1"/>
  <c r="N554" i="2" s="1"/>
  <c r="N665" i="2" s="1"/>
  <c r="M221" i="2"/>
  <c r="M332" i="2" s="1"/>
  <c r="M443" i="2" s="1"/>
  <c r="M554" i="2" s="1"/>
  <c r="M665" i="2" s="1"/>
  <c r="L221" i="2"/>
  <c r="L332" i="2" s="1"/>
  <c r="L443" i="2" s="1"/>
  <c r="L554" i="2" s="1"/>
  <c r="L665" i="2" s="1"/>
  <c r="K221" i="2"/>
  <c r="K332" i="2" s="1"/>
  <c r="K443" i="2" s="1"/>
  <c r="K554" i="2" s="1"/>
  <c r="K665" i="2" s="1"/>
  <c r="J221" i="2"/>
  <c r="J332" i="2" s="1"/>
  <c r="J443" i="2" s="1"/>
  <c r="J554" i="2" s="1"/>
  <c r="J665" i="2" s="1"/>
  <c r="I221" i="2"/>
  <c r="I332" i="2" s="1"/>
  <c r="I443" i="2" s="1"/>
  <c r="I554" i="2" s="1"/>
  <c r="I665" i="2" s="1"/>
  <c r="H221" i="2"/>
  <c r="H332" i="2" s="1"/>
  <c r="H443" i="2" s="1"/>
  <c r="H554" i="2" s="1"/>
  <c r="H665" i="2" s="1"/>
  <c r="G221" i="2"/>
  <c r="G332" i="2" s="1"/>
  <c r="G443" i="2" s="1"/>
  <c r="G554" i="2" s="1"/>
  <c r="G665" i="2" s="1"/>
  <c r="F221" i="2"/>
  <c r="F332" i="2" s="1"/>
  <c r="F443" i="2" s="1"/>
  <c r="F554" i="2" s="1"/>
  <c r="F665" i="2" s="1"/>
  <c r="E221" i="2"/>
  <c r="E332" i="2" s="1"/>
  <c r="E443" i="2" s="1"/>
  <c r="E554" i="2" s="1"/>
  <c r="E665" i="2" s="1"/>
  <c r="D221" i="2"/>
  <c r="D332" i="2" s="1"/>
  <c r="D443" i="2" s="1"/>
  <c r="D554" i="2" s="1"/>
  <c r="D665" i="2" s="1"/>
  <c r="C221" i="2"/>
  <c r="C332" i="2" s="1"/>
  <c r="C443" i="2" s="1"/>
  <c r="C554" i="2" s="1"/>
  <c r="C665" i="2" s="1"/>
  <c r="A221" i="2"/>
  <c r="A332" i="2" s="1"/>
  <c r="A443" i="2" s="1"/>
  <c r="A554" i="2" s="1"/>
  <c r="A665" i="2" s="1"/>
  <c r="AF220" i="2"/>
  <c r="AF331" i="2" s="1"/>
  <c r="AF442" i="2" s="1"/>
  <c r="AF553" i="2" s="1"/>
  <c r="AF664" i="2" s="1"/>
  <c r="AE220" i="2"/>
  <c r="AE331" i="2" s="1"/>
  <c r="AE442" i="2" s="1"/>
  <c r="AE553" i="2" s="1"/>
  <c r="AE664" i="2" s="1"/>
  <c r="AD220" i="2"/>
  <c r="AD331" i="2" s="1"/>
  <c r="AD442" i="2" s="1"/>
  <c r="AD553" i="2" s="1"/>
  <c r="AD664" i="2" s="1"/>
  <c r="AC220" i="2"/>
  <c r="AC331" i="2" s="1"/>
  <c r="AC442" i="2" s="1"/>
  <c r="AC553" i="2" s="1"/>
  <c r="AC664" i="2" s="1"/>
  <c r="AB220" i="2"/>
  <c r="AB331" i="2" s="1"/>
  <c r="AB442" i="2" s="1"/>
  <c r="AB553" i="2" s="1"/>
  <c r="AB664" i="2" s="1"/>
  <c r="AA220" i="2"/>
  <c r="AA331" i="2" s="1"/>
  <c r="AA442" i="2" s="1"/>
  <c r="AA553" i="2" s="1"/>
  <c r="AA664" i="2" s="1"/>
  <c r="Z220" i="2"/>
  <c r="Z331" i="2" s="1"/>
  <c r="Z442" i="2" s="1"/>
  <c r="Z553" i="2" s="1"/>
  <c r="Z664" i="2" s="1"/>
  <c r="X220" i="2"/>
  <c r="X331" i="2" s="1"/>
  <c r="X442" i="2" s="1"/>
  <c r="X553" i="2" s="1"/>
  <c r="X664" i="2" s="1"/>
  <c r="W220" i="2"/>
  <c r="W331" i="2" s="1"/>
  <c r="W442" i="2" s="1"/>
  <c r="W553" i="2" s="1"/>
  <c r="W664" i="2" s="1"/>
  <c r="V220" i="2"/>
  <c r="V331" i="2" s="1"/>
  <c r="V442" i="2" s="1"/>
  <c r="V553" i="2" s="1"/>
  <c r="V664" i="2" s="1"/>
  <c r="U220" i="2"/>
  <c r="U331" i="2" s="1"/>
  <c r="U442" i="2" s="1"/>
  <c r="U553" i="2" s="1"/>
  <c r="U664" i="2" s="1"/>
  <c r="T220" i="2"/>
  <c r="T331" i="2" s="1"/>
  <c r="T442" i="2" s="1"/>
  <c r="T553" i="2" s="1"/>
  <c r="T664" i="2" s="1"/>
  <c r="S220" i="2"/>
  <c r="S331" i="2" s="1"/>
  <c r="S442" i="2" s="1"/>
  <c r="S553" i="2" s="1"/>
  <c r="S664" i="2" s="1"/>
  <c r="R220" i="2"/>
  <c r="R331" i="2" s="1"/>
  <c r="R442" i="2" s="1"/>
  <c r="R553" i="2" s="1"/>
  <c r="R664" i="2" s="1"/>
  <c r="Q220" i="2"/>
  <c r="Q331" i="2" s="1"/>
  <c r="Q442" i="2" s="1"/>
  <c r="Q553" i="2" s="1"/>
  <c r="Q664" i="2" s="1"/>
  <c r="P220" i="2"/>
  <c r="P331" i="2" s="1"/>
  <c r="P442" i="2" s="1"/>
  <c r="P553" i="2" s="1"/>
  <c r="P664" i="2" s="1"/>
  <c r="O220" i="2"/>
  <c r="O331" i="2" s="1"/>
  <c r="O442" i="2" s="1"/>
  <c r="O553" i="2" s="1"/>
  <c r="O664" i="2" s="1"/>
  <c r="N220" i="2"/>
  <c r="N331" i="2" s="1"/>
  <c r="N442" i="2" s="1"/>
  <c r="N553" i="2" s="1"/>
  <c r="N664" i="2" s="1"/>
  <c r="M220" i="2"/>
  <c r="M331" i="2" s="1"/>
  <c r="M442" i="2" s="1"/>
  <c r="M553" i="2" s="1"/>
  <c r="M664" i="2" s="1"/>
  <c r="L220" i="2"/>
  <c r="L331" i="2" s="1"/>
  <c r="L442" i="2" s="1"/>
  <c r="L553" i="2" s="1"/>
  <c r="L664" i="2" s="1"/>
  <c r="K220" i="2"/>
  <c r="K331" i="2" s="1"/>
  <c r="K442" i="2" s="1"/>
  <c r="K553" i="2" s="1"/>
  <c r="K664" i="2" s="1"/>
  <c r="J220" i="2"/>
  <c r="J331" i="2" s="1"/>
  <c r="J442" i="2" s="1"/>
  <c r="J553" i="2" s="1"/>
  <c r="J664" i="2" s="1"/>
  <c r="I220" i="2"/>
  <c r="I331" i="2" s="1"/>
  <c r="I442" i="2" s="1"/>
  <c r="I553" i="2" s="1"/>
  <c r="I664" i="2" s="1"/>
  <c r="H220" i="2"/>
  <c r="H331" i="2" s="1"/>
  <c r="H442" i="2" s="1"/>
  <c r="H553" i="2" s="1"/>
  <c r="H664" i="2" s="1"/>
  <c r="G220" i="2"/>
  <c r="G331" i="2" s="1"/>
  <c r="G442" i="2" s="1"/>
  <c r="G553" i="2" s="1"/>
  <c r="G664" i="2" s="1"/>
  <c r="F220" i="2"/>
  <c r="F331" i="2" s="1"/>
  <c r="F442" i="2" s="1"/>
  <c r="F553" i="2" s="1"/>
  <c r="F664" i="2" s="1"/>
  <c r="E220" i="2"/>
  <c r="E331" i="2" s="1"/>
  <c r="E442" i="2" s="1"/>
  <c r="E553" i="2" s="1"/>
  <c r="E664" i="2" s="1"/>
  <c r="D220" i="2"/>
  <c r="D331" i="2" s="1"/>
  <c r="D442" i="2" s="1"/>
  <c r="D553" i="2" s="1"/>
  <c r="D664" i="2" s="1"/>
  <c r="C220" i="2"/>
  <c r="C331" i="2" s="1"/>
  <c r="C442" i="2" s="1"/>
  <c r="C553" i="2" s="1"/>
  <c r="C664" i="2" s="1"/>
  <c r="A220" i="2"/>
  <c r="A331" i="2" s="1"/>
  <c r="A442" i="2" s="1"/>
  <c r="A553" i="2" s="1"/>
  <c r="A664" i="2" s="1"/>
  <c r="AF219" i="2"/>
  <c r="AF330" i="2" s="1"/>
  <c r="AF441" i="2" s="1"/>
  <c r="AF552" i="2" s="1"/>
  <c r="AF663" i="2" s="1"/>
  <c r="AE219" i="2"/>
  <c r="AE330" i="2" s="1"/>
  <c r="AE441" i="2" s="1"/>
  <c r="AE552" i="2" s="1"/>
  <c r="AE663" i="2" s="1"/>
  <c r="AD219" i="2"/>
  <c r="AD330" i="2" s="1"/>
  <c r="AD441" i="2" s="1"/>
  <c r="AD552" i="2" s="1"/>
  <c r="AD663" i="2" s="1"/>
  <c r="AC219" i="2"/>
  <c r="AC330" i="2" s="1"/>
  <c r="AC441" i="2" s="1"/>
  <c r="AC552" i="2" s="1"/>
  <c r="AC663" i="2" s="1"/>
  <c r="AB219" i="2"/>
  <c r="AB330" i="2" s="1"/>
  <c r="AB441" i="2" s="1"/>
  <c r="AB552" i="2" s="1"/>
  <c r="AB663" i="2" s="1"/>
  <c r="AA219" i="2"/>
  <c r="AA330" i="2" s="1"/>
  <c r="AA441" i="2" s="1"/>
  <c r="AA552" i="2" s="1"/>
  <c r="AA663" i="2" s="1"/>
  <c r="Z219" i="2"/>
  <c r="Z330" i="2" s="1"/>
  <c r="Z441" i="2" s="1"/>
  <c r="Z552" i="2" s="1"/>
  <c r="Z663" i="2" s="1"/>
  <c r="X219" i="2"/>
  <c r="X330" i="2" s="1"/>
  <c r="X441" i="2" s="1"/>
  <c r="X552" i="2" s="1"/>
  <c r="X663" i="2" s="1"/>
  <c r="V219" i="2"/>
  <c r="V330" i="2" s="1"/>
  <c r="V441" i="2" s="1"/>
  <c r="V552" i="2" s="1"/>
  <c r="V663" i="2" s="1"/>
  <c r="U219" i="2"/>
  <c r="U330" i="2" s="1"/>
  <c r="U441" i="2" s="1"/>
  <c r="U552" i="2" s="1"/>
  <c r="U663" i="2" s="1"/>
  <c r="T219" i="2"/>
  <c r="T330" i="2" s="1"/>
  <c r="T441" i="2" s="1"/>
  <c r="T552" i="2" s="1"/>
  <c r="T663" i="2" s="1"/>
  <c r="S219" i="2"/>
  <c r="S330" i="2" s="1"/>
  <c r="S441" i="2" s="1"/>
  <c r="S552" i="2" s="1"/>
  <c r="S663" i="2" s="1"/>
  <c r="R219" i="2"/>
  <c r="R330" i="2" s="1"/>
  <c r="R441" i="2" s="1"/>
  <c r="R552" i="2" s="1"/>
  <c r="R663" i="2" s="1"/>
  <c r="Q219" i="2"/>
  <c r="Q330" i="2" s="1"/>
  <c r="Q441" i="2" s="1"/>
  <c r="Q552" i="2" s="1"/>
  <c r="Q663" i="2" s="1"/>
  <c r="P219" i="2"/>
  <c r="P330" i="2" s="1"/>
  <c r="P441" i="2" s="1"/>
  <c r="P552" i="2" s="1"/>
  <c r="P663" i="2" s="1"/>
  <c r="N219" i="2"/>
  <c r="N330" i="2" s="1"/>
  <c r="N441" i="2" s="1"/>
  <c r="N552" i="2" s="1"/>
  <c r="N663" i="2" s="1"/>
  <c r="K219" i="2"/>
  <c r="K330" i="2" s="1"/>
  <c r="K441" i="2" s="1"/>
  <c r="K552" i="2" s="1"/>
  <c r="K663" i="2" s="1"/>
  <c r="J219" i="2"/>
  <c r="J330" i="2" s="1"/>
  <c r="J441" i="2" s="1"/>
  <c r="J552" i="2" s="1"/>
  <c r="J663" i="2" s="1"/>
  <c r="I219" i="2"/>
  <c r="I330" i="2" s="1"/>
  <c r="I441" i="2" s="1"/>
  <c r="I552" i="2" s="1"/>
  <c r="I663" i="2" s="1"/>
  <c r="G219" i="2"/>
  <c r="G330" i="2" s="1"/>
  <c r="G441" i="2" s="1"/>
  <c r="G552" i="2" s="1"/>
  <c r="G663" i="2" s="1"/>
  <c r="F219" i="2"/>
  <c r="F330" i="2" s="1"/>
  <c r="F441" i="2" s="1"/>
  <c r="F552" i="2" s="1"/>
  <c r="F663" i="2" s="1"/>
  <c r="E219" i="2"/>
  <c r="E330" i="2" s="1"/>
  <c r="E441" i="2" s="1"/>
  <c r="E552" i="2" s="1"/>
  <c r="E663" i="2" s="1"/>
  <c r="C219" i="2"/>
  <c r="C330" i="2" s="1"/>
  <c r="C441" i="2" s="1"/>
  <c r="C552" i="2" s="1"/>
  <c r="C663" i="2" s="1"/>
  <c r="A219" i="2"/>
  <c r="A330" i="2" s="1"/>
  <c r="A441" i="2" s="1"/>
  <c r="A552" i="2" s="1"/>
  <c r="A663" i="2" s="1"/>
  <c r="Y108" i="2"/>
  <c r="Y219" i="2" s="1"/>
  <c r="Y330" i="2" s="1"/>
  <c r="Y441" i="2" s="1"/>
  <c r="Y552" i="2" s="1"/>
  <c r="Y663" i="2" s="1"/>
  <c r="O108" i="2"/>
  <c r="O219" i="2" s="1"/>
  <c r="O330" i="2" s="1"/>
  <c r="O441" i="2" s="1"/>
  <c r="O552" i="2" s="1"/>
  <c r="O663" i="2" s="1"/>
  <c r="M108" i="2"/>
  <c r="M219" i="2" s="1"/>
  <c r="M330" i="2" s="1"/>
  <c r="M441" i="2" s="1"/>
  <c r="M552" i="2" s="1"/>
  <c r="M663" i="2" s="1"/>
  <c r="L108" i="2"/>
  <c r="L219" i="2" s="1"/>
  <c r="L330" i="2" s="1"/>
  <c r="L441" i="2" s="1"/>
  <c r="L552" i="2" s="1"/>
  <c r="L663" i="2" s="1"/>
  <c r="H108" i="2"/>
  <c r="H219" i="2" s="1"/>
  <c r="H330" i="2" s="1"/>
  <c r="H441" i="2" s="1"/>
  <c r="H552" i="2" s="1"/>
  <c r="H663" i="2" s="1"/>
  <c r="D108" i="2"/>
  <c r="D219" i="2" s="1"/>
  <c r="D330" i="2" s="1"/>
  <c r="D441" i="2" s="1"/>
  <c r="D552" i="2" s="1"/>
  <c r="D663" i="2" s="1"/>
  <c r="O107" i="2"/>
  <c r="M107" i="2"/>
  <c r="L107" i="2"/>
  <c r="H107" i="2"/>
  <c r="D107" i="2"/>
  <c r="O106" i="2"/>
  <c r="M106" i="2"/>
  <c r="L106" i="2"/>
  <c r="H106" i="2"/>
  <c r="D106" i="2"/>
  <c r="I255" i="5"/>
  <c r="H255" i="5"/>
  <c r="I254" i="5"/>
  <c r="H254" i="5"/>
  <c r="I253" i="5"/>
  <c r="H253" i="5"/>
  <c r="I251" i="5"/>
  <c r="W108" i="2" s="1"/>
  <c r="W219" i="2" s="1"/>
  <c r="W330" i="2" s="1"/>
  <c r="W441" i="2" s="1"/>
  <c r="W552" i="2" s="1"/>
  <c r="W663" i="2" s="1"/>
  <c r="H251" i="5"/>
  <c r="I250" i="5"/>
  <c r="Y107" i="2" s="1"/>
  <c r="H250" i="5"/>
  <c r="I249" i="5"/>
  <c r="Y106" i="2" s="1"/>
  <c r="H249" i="5"/>
  <c r="C216" i="2"/>
  <c r="W107" i="2" l="1"/>
  <c r="W106" i="2"/>
  <c r="AF129" i="2"/>
  <c r="AF240" i="2" s="1"/>
  <c r="AF351" i="2" s="1"/>
  <c r="AF462" i="2" s="1"/>
  <c r="AF573" i="2" s="1"/>
  <c r="AE129" i="2"/>
  <c r="AE240" i="2" s="1"/>
  <c r="AE351" i="2" s="1"/>
  <c r="AE462" i="2" s="1"/>
  <c r="AE573" i="2" s="1"/>
  <c r="AD129" i="2"/>
  <c r="AD240" i="2" s="1"/>
  <c r="AD351" i="2" s="1"/>
  <c r="AD462" i="2" s="1"/>
  <c r="AD573" i="2" s="1"/>
  <c r="AC129" i="2"/>
  <c r="AC240" i="2" s="1"/>
  <c r="AC351" i="2" s="1"/>
  <c r="AC462" i="2" s="1"/>
  <c r="AC573" i="2" s="1"/>
  <c r="AB129" i="2"/>
  <c r="AB240" i="2" s="1"/>
  <c r="AB351" i="2" s="1"/>
  <c r="AB462" i="2" s="1"/>
  <c r="AB573" i="2" s="1"/>
  <c r="AA129" i="2"/>
  <c r="AA240" i="2" s="1"/>
  <c r="AA351" i="2" s="1"/>
  <c r="AA462" i="2" s="1"/>
  <c r="AA573" i="2" s="1"/>
  <c r="Z129" i="2"/>
  <c r="Z240" i="2" s="1"/>
  <c r="Z351" i="2" s="1"/>
  <c r="Z462" i="2" s="1"/>
  <c r="Z573" i="2" s="1"/>
  <c r="X129" i="2"/>
  <c r="X240" i="2" s="1"/>
  <c r="X351" i="2" s="1"/>
  <c r="X462" i="2" s="1"/>
  <c r="X573" i="2" s="1"/>
  <c r="V129" i="2"/>
  <c r="V240" i="2" s="1"/>
  <c r="V351" i="2" s="1"/>
  <c r="V462" i="2" s="1"/>
  <c r="V573" i="2" s="1"/>
  <c r="U129" i="2"/>
  <c r="U240" i="2" s="1"/>
  <c r="U351" i="2" s="1"/>
  <c r="U462" i="2" s="1"/>
  <c r="U573" i="2" s="1"/>
  <c r="T129" i="2"/>
  <c r="T240" i="2" s="1"/>
  <c r="T351" i="2" s="1"/>
  <c r="T462" i="2" s="1"/>
  <c r="T573" i="2" s="1"/>
  <c r="S129" i="2"/>
  <c r="S240" i="2" s="1"/>
  <c r="S351" i="2" s="1"/>
  <c r="S462" i="2" s="1"/>
  <c r="S573" i="2" s="1"/>
  <c r="N129" i="2"/>
  <c r="N240" i="2" s="1"/>
  <c r="N351" i="2" s="1"/>
  <c r="N462" i="2" s="1"/>
  <c r="N573" i="2" s="1"/>
  <c r="K129" i="2"/>
  <c r="K240" i="2" s="1"/>
  <c r="K351" i="2" s="1"/>
  <c r="K462" i="2" s="1"/>
  <c r="K573" i="2" s="1"/>
  <c r="J129" i="2"/>
  <c r="J240" i="2" s="1"/>
  <c r="J351" i="2" s="1"/>
  <c r="J462" i="2" s="1"/>
  <c r="J573" i="2" s="1"/>
  <c r="I129" i="2"/>
  <c r="I240" i="2" s="1"/>
  <c r="I351" i="2" s="1"/>
  <c r="I462" i="2" s="1"/>
  <c r="I573" i="2" s="1"/>
  <c r="H129" i="2"/>
  <c r="H240" i="2" s="1"/>
  <c r="H351" i="2" s="1"/>
  <c r="H462" i="2" s="1"/>
  <c r="H573" i="2" s="1"/>
  <c r="G129" i="2"/>
  <c r="G240" i="2" s="1"/>
  <c r="G351" i="2" s="1"/>
  <c r="G462" i="2" s="1"/>
  <c r="G573" i="2" s="1"/>
  <c r="F129" i="2"/>
  <c r="F240" i="2" s="1"/>
  <c r="F351" i="2" s="1"/>
  <c r="F462" i="2" s="1"/>
  <c r="F573" i="2" s="1"/>
  <c r="C129" i="2"/>
  <c r="C240" i="2" s="1"/>
  <c r="C351" i="2" s="1"/>
  <c r="C462" i="2" s="1"/>
  <c r="C573" i="2" s="1"/>
  <c r="B129" i="2"/>
  <c r="B240" i="2" s="1"/>
  <c r="B351" i="2" s="1"/>
  <c r="B462" i="2" s="1"/>
  <c r="B573" i="2" s="1"/>
  <c r="A129" i="2"/>
  <c r="A240" i="2" s="1"/>
  <c r="A351" i="2" s="1"/>
  <c r="A462" i="2" s="1"/>
  <c r="A573" i="2" s="1"/>
  <c r="AF128" i="2"/>
  <c r="AF239" i="2" s="1"/>
  <c r="AF350" i="2" s="1"/>
  <c r="AF461" i="2" s="1"/>
  <c r="AF572" i="2" s="1"/>
  <c r="AE128" i="2"/>
  <c r="AE239" i="2" s="1"/>
  <c r="AE350" i="2" s="1"/>
  <c r="AE461" i="2" s="1"/>
  <c r="AE572" i="2" s="1"/>
  <c r="AD128" i="2"/>
  <c r="AD239" i="2" s="1"/>
  <c r="AD350" i="2" s="1"/>
  <c r="AD461" i="2" s="1"/>
  <c r="AD572" i="2" s="1"/>
  <c r="AC128" i="2"/>
  <c r="AC239" i="2" s="1"/>
  <c r="AC350" i="2" s="1"/>
  <c r="AC461" i="2" s="1"/>
  <c r="AC572" i="2" s="1"/>
  <c r="AB128" i="2"/>
  <c r="AB239" i="2" s="1"/>
  <c r="AB350" i="2" s="1"/>
  <c r="AB461" i="2" s="1"/>
  <c r="AB572" i="2" s="1"/>
  <c r="AA128" i="2"/>
  <c r="AA239" i="2" s="1"/>
  <c r="AA350" i="2" s="1"/>
  <c r="AA461" i="2" s="1"/>
  <c r="AA572" i="2" s="1"/>
  <c r="Z128" i="2"/>
  <c r="Z239" i="2" s="1"/>
  <c r="Z350" i="2" s="1"/>
  <c r="Z461" i="2" s="1"/>
  <c r="Z572" i="2" s="1"/>
  <c r="X128" i="2"/>
  <c r="X239" i="2" s="1"/>
  <c r="X350" i="2" s="1"/>
  <c r="X461" i="2" s="1"/>
  <c r="X572" i="2" s="1"/>
  <c r="V128" i="2"/>
  <c r="V239" i="2" s="1"/>
  <c r="V350" i="2" s="1"/>
  <c r="V461" i="2" s="1"/>
  <c r="V572" i="2" s="1"/>
  <c r="U128" i="2"/>
  <c r="U239" i="2" s="1"/>
  <c r="U350" i="2" s="1"/>
  <c r="U461" i="2" s="1"/>
  <c r="U572" i="2" s="1"/>
  <c r="T128" i="2"/>
  <c r="T239" i="2" s="1"/>
  <c r="T350" i="2" s="1"/>
  <c r="T461" i="2" s="1"/>
  <c r="T572" i="2" s="1"/>
  <c r="S128" i="2"/>
  <c r="S239" i="2" s="1"/>
  <c r="S350" i="2" s="1"/>
  <c r="S461" i="2" s="1"/>
  <c r="S572" i="2" s="1"/>
  <c r="N128" i="2"/>
  <c r="N239" i="2" s="1"/>
  <c r="N350" i="2" s="1"/>
  <c r="N461" i="2" s="1"/>
  <c r="N572" i="2" s="1"/>
  <c r="K128" i="2"/>
  <c r="K239" i="2" s="1"/>
  <c r="K350" i="2" s="1"/>
  <c r="K461" i="2" s="1"/>
  <c r="K572" i="2" s="1"/>
  <c r="J128" i="2"/>
  <c r="J239" i="2" s="1"/>
  <c r="J350" i="2" s="1"/>
  <c r="J461" i="2" s="1"/>
  <c r="J572" i="2" s="1"/>
  <c r="I128" i="2"/>
  <c r="I239" i="2" s="1"/>
  <c r="I350" i="2" s="1"/>
  <c r="I461" i="2" s="1"/>
  <c r="I572" i="2" s="1"/>
  <c r="H128" i="2"/>
  <c r="H239" i="2" s="1"/>
  <c r="H350" i="2" s="1"/>
  <c r="H461" i="2" s="1"/>
  <c r="H572" i="2" s="1"/>
  <c r="G128" i="2"/>
  <c r="G239" i="2" s="1"/>
  <c r="G350" i="2" s="1"/>
  <c r="G461" i="2" s="1"/>
  <c r="G572" i="2" s="1"/>
  <c r="F128" i="2"/>
  <c r="F239" i="2" s="1"/>
  <c r="F350" i="2" s="1"/>
  <c r="F461" i="2" s="1"/>
  <c r="F572" i="2" s="1"/>
  <c r="C128" i="2"/>
  <c r="C239" i="2" s="1"/>
  <c r="C350" i="2" s="1"/>
  <c r="C461" i="2" s="1"/>
  <c r="C572" i="2" s="1"/>
  <c r="B128" i="2"/>
  <c r="B239" i="2" s="1"/>
  <c r="B350" i="2" s="1"/>
  <c r="B461" i="2" s="1"/>
  <c r="B572" i="2" s="1"/>
  <c r="A128" i="2"/>
  <c r="A239" i="2" s="1"/>
  <c r="A350" i="2" s="1"/>
  <c r="A461" i="2" s="1"/>
  <c r="A572" i="2" s="1"/>
  <c r="AF127" i="2"/>
  <c r="AF238" i="2" s="1"/>
  <c r="AF349" i="2" s="1"/>
  <c r="AF460" i="2" s="1"/>
  <c r="AF571" i="2" s="1"/>
  <c r="AE127" i="2"/>
  <c r="AE238" i="2" s="1"/>
  <c r="AE349" i="2" s="1"/>
  <c r="AE460" i="2" s="1"/>
  <c r="AE571" i="2" s="1"/>
  <c r="AD127" i="2"/>
  <c r="AD238" i="2" s="1"/>
  <c r="AD349" i="2" s="1"/>
  <c r="AD460" i="2" s="1"/>
  <c r="AD571" i="2" s="1"/>
  <c r="AC127" i="2"/>
  <c r="AC238" i="2" s="1"/>
  <c r="AC349" i="2" s="1"/>
  <c r="AC460" i="2" s="1"/>
  <c r="AC571" i="2" s="1"/>
  <c r="AB127" i="2"/>
  <c r="AB238" i="2" s="1"/>
  <c r="AB349" i="2" s="1"/>
  <c r="AB460" i="2" s="1"/>
  <c r="AB571" i="2" s="1"/>
  <c r="AA127" i="2"/>
  <c r="AA238" i="2" s="1"/>
  <c r="AA349" i="2" s="1"/>
  <c r="AA460" i="2" s="1"/>
  <c r="AA571" i="2" s="1"/>
  <c r="Z127" i="2"/>
  <c r="Z238" i="2" s="1"/>
  <c r="Z349" i="2" s="1"/>
  <c r="Z460" i="2" s="1"/>
  <c r="Z571" i="2" s="1"/>
  <c r="X127" i="2"/>
  <c r="X238" i="2" s="1"/>
  <c r="X349" i="2" s="1"/>
  <c r="X460" i="2" s="1"/>
  <c r="X571" i="2" s="1"/>
  <c r="V127" i="2"/>
  <c r="V238" i="2" s="1"/>
  <c r="V349" i="2" s="1"/>
  <c r="V460" i="2" s="1"/>
  <c r="V571" i="2" s="1"/>
  <c r="U127" i="2"/>
  <c r="U238" i="2" s="1"/>
  <c r="U349" i="2" s="1"/>
  <c r="U460" i="2" s="1"/>
  <c r="U571" i="2" s="1"/>
  <c r="T127" i="2"/>
  <c r="T238" i="2" s="1"/>
  <c r="T349" i="2" s="1"/>
  <c r="T460" i="2" s="1"/>
  <c r="T571" i="2" s="1"/>
  <c r="S127" i="2"/>
  <c r="S238" i="2" s="1"/>
  <c r="S349" i="2" s="1"/>
  <c r="S460" i="2" s="1"/>
  <c r="S571" i="2" s="1"/>
  <c r="N127" i="2"/>
  <c r="N238" i="2" s="1"/>
  <c r="N349" i="2" s="1"/>
  <c r="N460" i="2" s="1"/>
  <c r="N571" i="2" s="1"/>
  <c r="K127" i="2"/>
  <c r="K238" i="2" s="1"/>
  <c r="K349" i="2" s="1"/>
  <c r="K460" i="2" s="1"/>
  <c r="K571" i="2" s="1"/>
  <c r="J127" i="2"/>
  <c r="J238" i="2" s="1"/>
  <c r="J349" i="2" s="1"/>
  <c r="J460" i="2" s="1"/>
  <c r="J571" i="2" s="1"/>
  <c r="I127" i="2"/>
  <c r="I238" i="2" s="1"/>
  <c r="I349" i="2" s="1"/>
  <c r="I460" i="2" s="1"/>
  <c r="I571" i="2" s="1"/>
  <c r="H127" i="2"/>
  <c r="H238" i="2" s="1"/>
  <c r="H349" i="2" s="1"/>
  <c r="H460" i="2" s="1"/>
  <c r="H571" i="2" s="1"/>
  <c r="G127" i="2"/>
  <c r="G238" i="2" s="1"/>
  <c r="G349" i="2" s="1"/>
  <c r="G460" i="2" s="1"/>
  <c r="G571" i="2" s="1"/>
  <c r="F127" i="2"/>
  <c r="F238" i="2" s="1"/>
  <c r="F349" i="2" s="1"/>
  <c r="F460" i="2" s="1"/>
  <c r="F571" i="2" s="1"/>
  <c r="C127" i="2"/>
  <c r="C238" i="2" s="1"/>
  <c r="C349" i="2" s="1"/>
  <c r="C460" i="2" s="1"/>
  <c r="C571" i="2" s="1"/>
  <c r="B127" i="2"/>
  <c r="B238" i="2" s="1"/>
  <c r="B349" i="2" s="1"/>
  <c r="B460" i="2" s="1"/>
  <c r="B571" i="2" s="1"/>
  <c r="A127" i="2"/>
  <c r="A238" i="2" s="1"/>
  <c r="A349" i="2" s="1"/>
  <c r="A460" i="2" s="1"/>
  <c r="A571" i="2" s="1"/>
  <c r="AF126" i="2"/>
  <c r="AF237" i="2" s="1"/>
  <c r="AF348" i="2" s="1"/>
  <c r="AF459" i="2" s="1"/>
  <c r="AF570" i="2" s="1"/>
  <c r="AE126" i="2"/>
  <c r="AE237" i="2" s="1"/>
  <c r="AE348" i="2" s="1"/>
  <c r="AE459" i="2" s="1"/>
  <c r="AE570" i="2" s="1"/>
  <c r="AD126" i="2"/>
  <c r="AD237" i="2" s="1"/>
  <c r="AD348" i="2" s="1"/>
  <c r="AD459" i="2" s="1"/>
  <c r="AD570" i="2" s="1"/>
  <c r="AC126" i="2"/>
  <c r="AC237" i="2" s="1"/>
  <c r="AC348" i="2" s="1"/>
  <c r="AC459" i="2" s="1"/>
  <c r="AC570" i="2" s="1"/>
  <c r="AB126" i="2"/>
  <c r="AB237" i="2" s="1"/>
  <c r="AB348" i="2" s="1"/>
  <c r="AB459" i="2" s="1"/>
  <c r="AB570" i="2" s="1"/>
  <c r="AA126" i="2"/>
  <c r="AA237" i="2" s="1"/>
  <c r="AA348" i="2" s="1"/>
  <c r="AA459" i="2" s="1"/>
  <c r="AA570" i="2" s="1"/>
  <c r="Z126" i="2"/>
  <c r="Z237" i="2" s="1"/>
  <c r="Z348" i="2" s="1"/>
  <c r="Z459" i="2" s="1"/>
  <c r="Z570" i="2" s="1"/>
  <c r="X126" i="2"/>
  <c r="X237" i="2" s="1"/>
  <c r="X348" i="2" s="1"/>
  <c r="X459" i="2" s="1"/>
  <c r="X570" i="2" s="1"/>
  <c r="V126" i="2"/>
  <c r="V237" i="2" s="1"/>
  <c r="V348" i="2" s="1"/>
  <c r="V459" i="2" s="1"/>
  <c r="V570" i="2" s="1"/>
  <c r="U126" i="2"/>
  <c r="U237" i="2" s="1"/>
  <c r="U348" i="2" s="1"/>
  <c r="U459" i="2" s="1"/>
  <c r="U570" i="2" s="1"/>
  <c r="T126" i="2"/>
  <c r="T237" i="2" s="1"/>
  <c r="T348" i="2" s="1"/>
  <c r="T459" i="2" s="1"/>
  <c r="T570" i="2" s="1"/>
  <c r="S126" i="2"/>
  <c r="S237" i="2" s="1"/>
  <c r="S348" i="2" s="1"/>
  <c r="S459" i="2" s="1"/>
  <c r="S570" i="2" s="1"/>
  <c r="R126" i="2"/>
  <c r="R237" i="2" s="1"/>
  <c r="R348" i="2" s="1"/>
  <c r="R459" i="2" s="1"/>
  <c r="R570" i="2" s="1"/>
  <c r="N126" i="2"/>
  <c r="N237" i="2" s="1"/>
  <c r="N348" i="2" s="1"/>
  <c r="N459" i="2" s="1"/>
  <c r="N570" i="2" s="1"/>
  <c r="J126" i="2"/>
  <c r="J237" i="2" s="1"/>
  <c r="J348" i="2" s="1"/>
  <c r="J459" i="2" s="1"/>
  <c r="J570" i="2" s="1"/>
  <c r="I126" i="2"/>
  <c r="I237" i="2" s="1"/>
  <c r="I348" i="2" s="1"/>
  <c r="I459" i="2" s="1"/>
  <c r="I570" i="2" s="1"/>
  <c r="H126" i="2"/>
  <c r="H237" i="2" s="1"/>
  <c r="H348" i="2" s="1"/>
  <c r="H459" i="2" s="1"/>
  <c r="H570" i="2" s="1"/>
  <c r="G126" i="2"/>
  <c r="G237" i="2" s="1"/>
  <c r="G348" i="2" s="1"/>
  <c r="G459" i="2" s="1"/>
  <c r="G570" i="2" s="1"/>
  <c r="F126" i="2"/>
  <c r="F237" i="2" s="1"/>
  <c r="F348" i="2" s="1"/>
  <c r="F459" i="2" s="1"/>
  <c r="F570" i="2" s="1"/>
  <c r="C126" i="2"/>
  <c r="C237" i="2" s="1"/>
  <c r="C348" i="2" s="1"/>
  <c r="C459" i="2" s="1"/>
  <c r="C570" i="2" s="1"/>
  <c r="B126" i="2"/>
  <c r="B237" i="2" s="1"/>
  <c r="B348" i="2" s="1"/>
  <c r="B459" i="2" s="1"/>
  <c r="B570" i="2" s="1"/>
  <c r="A126" i="2"/>
  <c r="A237" i="2" s="1"/>
  <c r="A348" i="2" s="1"/>
  <c r="A459" i="2" s="1"/>
  <c r="A570" i="2" s="1"/>
  <c r="AF125" i="2"/>
  <c r="AF236" i="2" s="1"/>
  <c r="AF347" i="2" s="1"/>
  <c r="AF458" i="2" s="1"/>
  <c r="AF569" i="2" s="1"/>
  <c r="AE125" i="2"/>
  <c r="AE236" i="2" s="1"/>
  <c r="AE347" i="2" s="1"/>
  <c r="AE458" i="2" s="1"/>
  <c r="AE569" i="2" s="1"/>
  <c r="AD125" i="2"/>
  <c r="AD236" i="2" s="1"/>
  <c r="AD347" i="2" s="1"/>
  <c r="AD458" i="2" s="1"/>
  <c r="AD569" i="2" s="1"/>
  <c r="AC125" i="2"/>
  <c r="AC236" i="2" s="1"/>
  <c r="AC347" i="2" s="1"/>
  <c r="AC458" i="2" s="1"/>
  <c r="AC569" i="2" s="1"/>
  <c r="AB125" i="2"/>
  <c r="AB236" i="2" s="1"/>
  <c r="AB347" i="2" s="1"/>
  <c r="AB458" i="2" s="1"/>
  <c r="AB569" i="2" s="1"/>
  <c r="AA125" i="2"/>
  <c r="AA236" i="2" s="1"/>
  <c r="AA347" i="2" s="1"/>
  <c r="AA458" i="2" s="1"/>
  <c r="AA569" i="2" s="1"/>
  <c r="Z125" i="2"/>
  <c r="Z236" i="2" s="1"/>
  <c r="Z347" i="2" s="1"/>
  <c r="Z458" i="2" s="1"/>
  <c r="Z569" i="2" s="1"/>
  <c r="X125" i="2"/>
  <c r="X236" i="2" s="1"/>
  <c r="X347" i="2" s="1"/>
  <c r="X458" i="2" s="1"/>
  <c r="X569" i="2" s="1"/>
  <c r="V125" i="2"/>
  <c r="V236" i="2" s="1"/>
  <c r="V347" i="2" s="1"/>
  <c r="V458" i="2" s="1"/>
  <c r="V569" i="2" s="1"/>
  <c r="U125" i="2"/>
  <c r="U236" i="2" s="1"/>
  <c r="U347" i="2" s="1"/>
  <c r="U458" i="2" s="1"/>
  <c r="U569" i="2" s="1"/>
  <c r="T125" i="2"/>
  <c r="T236" i="2" s="1"/>
  <c r="T347" i="2" s="1"/>
  <c r="T458" i="2" s="1"/>
  <c r="T569" i="2" s="1"/>
  <c r="S125" i="2"/>
  <c r="S236" i="2" s="1"/>
  <c r="S347" i="2" s="1"/>
  <c r="S458" i="2" s="1"/>
  <c r="S569" i="2" s="1"/>
  <c r="N125" i="2"/>
  <c r="N236" i="2" s="1"/>
  <c r="N347" i="2" s="1"/>
  <c r="N458" i="2" s="1"/>
  <c r="N569" i="2" s="1"/>
  <c r="J125" i="2"/>
  <c r="J236" i="2" s="1"/>
  <c r="J347" i="2" s="1"/>
  <c r="J458" i="2" s="1"/>
  <c r="J569" i="2" s="1"/>
  <c r="I125" i="2"/>
  <c r="I236" i="2" s="1"/>
  <c r="I347" i="2" s="1"/>
  <c r="I458" i="2" s="1"/>
  <c r="I569" i="2" s="1"/>
  <c r="H125" i="2"/>
  <c r="H236" i="2" s="1"/>
  <c r="H347" i="2" s="1"/>
  <c r="H458" i="2" s="1"/>
  <c r="H569" i="2" s="1"/>
  <c r="G125" i="2"/>
  <c r="G236" i="2" s="1"/>
  <c r="G347" i="2" s="1"/>
  <c r="G458" i="2" s="1"/>
  <c r="G569" i="2" s="1"/>
  <c r="F125" i="2"/>
  <c r="F236" i="2" s="1"/>
  <c r="F347" i="2" s="1"/>
  <c r="F458" i="2" s="1"/>
  <c r="F569" i="2" s="1"/>
  <c r="C125" i="2"/>
  <c r="C236" i="2" s="1"/>
  <c r="C347" i="2" s="1"/>
  <c r="C458" i="2" s="1"/>
  <c r="C569" i="2" s="1"/>
  <c r="B125" i="2"/>
  <c r="B236" i="2" s="1"/>
  <c r="B347" i="2" s="1"/>
  <c r="B458" i="2" s="1"/>
  <c r="B569" i="2" s="1"/>
  <c r="A125" i="2"/>
  <c r="A236" i="2" s="1"/>
  <c r="A347" i="2" s="1"/>
  <c r="A458" i="2" s="1"/>
  <c r="A569" i="2" s="1"/>
  <c r="R16" i="2"/>
  <c r="R127" i="2" s="1"/>
  <c r="R238" i="2" s="1"/>
  <c r="R349" i="2" s="1"/>
  <c r="R460" i="2" s="1"/>
  <c r="R571" i="2" s="1"/>
  <c r="E18" i="2"/>
  <c r="E129" i="2" s="1"/>
  <c r="E240" i="2" s="1"/>
  <c r="E351" i="2" s="1"/>
  <c r="E462" i="2" s="1"/>
  <c r="E573" i="2" s="1"/>
  <c r="E17" i="2"/>
  <c r="E128" i="2" s="1"/>
  <c r="E239" i="2" s="1"/>
  <c r="E350" i="2" s="1"/>
  <c r="E461" i="2" s="1"/>
  <c r="E572" i="2" s="1"/>
  <c r="E16" i="2"/>
  <c r="E127" i="2" s="1"/>
  <c r="E238" i="2" s="1"/>
  <c r="E349" i="2" s="1"/>
  <c r="E460" i="2" s="1"/>
  <c r="E571" i="2" s="1"/>
  <c r="E15" i="2"/>
  <c r="E126" i="2" s="1"/>
  <c r="E237" i="2" s="1"/>
  <c r="E348" i="2" s="1"/>
  <c r="E459" i="2" s="1"/>
  <c r="E570" i="2" s="1"/>
  <c r="E14" i="2"/>
  <c r="E125" i="2" s="1"/>
  <c r="E236" i="2" s="1"/>
  <c r="E347" i="2" s="1"/>
  <c r="E458" i="2" s="1"/>
  <c r="E569" i="2" s="1"/>
  <c r="E13" i="2"/>
  <c r="R18" i="2"/>
  <c r="R129" i="2" s="1"/>
  <c r="R240" i="2" s="1"/>
  <c r="R351" i="2" s="1"/>
  <c r="R462" i="2" s="1"/>
  <c r="R573" i="2" s="1"/>
  <c r="Q18" i="2"/>
  <c r="Q129" i="2" s="1"/>
  <c r="Q240" i="2" s="1"/>
  <c r="Q351" i="2" s="1"/>
  <c r="Q462" i="2" s="1"/>
  <c r="Q573" i="2" s="1"/>
  <c r="P18" i="2"/>
  <c r="P129" i="2" s="1"/>
  <c r="P240" i="2" s="1"/>
  <c r="P351" i="2" s="1"/>
  <c r="P462" i="2" s="1"/>
  <c r="P573" i="2" s="1"/>
  <c r="O18" i="2"/>
  <c r="O129" i="2" s="1"/>
  <c r="O240" i="2" s="1"/>
  <c r="O351" i="2" s="1"/>
  <c r="O462" i="2" s="1"/>
  <c r="O573" i="2" s="1"/>
  <c r="M18" i="2"/>
  <c r="M129" i="2" s="1"/>
  <c r="M240" i="2" s="1"/>
  <c r="M351" i="2" s="1"/>
  <c r="M462" i="2" s="1"/>
  <c r="M573" i="2" s="1"/>
  <c r="L18" i="2"/>
  <c r="L129" i="2" s="1"/>
  <c r="L240" i="2" s="1"/>
  <c r="L351" i="2" s="1"/>
  <c r="L462" i="2" s="1"/>
  <c r="L573" i="2" s="1"/>
  <c r="D18" i="2"/>
  <c r="D129" i="2" s="1"/>
  <c r="D240" i="2" s="1"/>
  <c r="D351" i="2" s="1"/>
  <c r="D462" i="2" s="1"/>
  <c r="D573" i="2" s="1"/>
  <c r="M17" i="2"/>
  <c r="M128" i="2" s="1"/>
  <c r="M239" i="2" s="1"/>
  <c r="M350" i="2" s="1"/>
  <c r="M461" i="2" s="1"/>
  <c r="M572" i="2" s="1"/>
  <c r="L17" i="2"/>
  <c r="L128" i="2" s="1"/>
  <c r="L239" i="2" s="1"/>
  <c r="L350" i="2" s="1"/>
  <c r="L461" i="2" s="1"/>
  <c r="L572" i="2" s="1"/>
  <c r="M16" i="2"/>
  <c r="M127" i="2" s="1"/>
  <c r="M238" i="2" s="1"/>
  <c r="M349" i="2" s="1"/>
  <c r="M460" i="2" s="1"/>
  <c r="M571" i="2" s="1"/>
  <c r="L16" i="2"/>
  <c r="L127" i="2" s="1"/>
  <c r="L238" i="2" s="1"/>
  <c r="L349" i="2" s="1"/>
  <c r="L460" i="2" s="1"/>
  <c r="L571" i="2" s="1"/>
  <c r="R17" i="2"/>
  <c r="R128" i="2" s="1"/>
  <c r="R239" i="2" s="1"/>
  <c r="R350" i="2" s="1"/>
  <c r="R461" i="2" s="1"/>
  <c r="R572" i="2" s="1"/>
  <c r="Q17" i="2"/>
  <c r="Q128" i="2" s="1"/>
  <c r="Q239" i="2" s="1"/>
  <c r="Q350" i="2" s="1"/>
  <c r="Q461" i="2" s="1"/>
  <c r="Q572" i="2" s="1"/>
  <c r="P17" i="2"/>
  <c r="P128" i="2" s="1"/>
  <c r="P239" i="2" s="1"/>
  <c r="P350" i="2" s="1"/>
  <c r="P461" i="2" s="1"/>
  <c r="P572" i="2" s="1"/>
  <c r="O17" i="2"/>
  <c r="O128" i="2" s="1"/>
  <c r="O239" i="2" s="1"/>
  <c r="O350" i="2" s="1"/>
  <c r="O461" i="2" s="1"/>
  <c r="O572" i="2" s="1"/>
  <c r="Q16" i="2"/>
  <c r="Q127" i="2" s="1"/>
  <c r="Q238" i="2" s="1"/>
  <c r="Q349" i="2" s="1"/>
  <c r="Q460" i="2" s="1"/>
  <c r="Q571" i="2" s="1"/>
  <c r="P16" i="2"/>
  <c r="P127" i="2" s="1"/>
  <c r="P238" i="2" s="1"/>
  <c r="P349" i="2" s="1"/>
  <c r="P460" i="2" s="1"/>
  <c r="P571" i="2" s="1"/>
  <c r="O16" i="2"/>
  <c r="O127" i="2" s="1"/>
  <c r="O238" i="2" s="1"/>
  <c r="O349" i="2" s="1"/>
  <c r="O460" i="2" s="1"/>
  <c r="O571" i="2" s="1"/>
  <c r="Q15" i="2"/>
  <c r="Q126" i="2" s="1"/>
  <c r="Q237" i="2" s="1"/>
  <c r="Q348" i="2" s="1"/>
  <c r="Q459" i="2" s="1"/>
  <c r="Q570" i="2" s="1"/>
  <c r="P15" i="2"/>
  <c r="P126" i="2" s="1"/>
  <c r="P237" i="2" s="1"/>
  <c r="P348" i="2" s="1"/>
  <c r="P459" i="2" s="1"/>
  <c r="P570" i="2" s="1"/>
  <c r="O15" i="2"/>
  <c r="O126" i="2" s="1"/>
  <c r="O237" i="2" s="1"/>
  <c r="O348" i="2" s="1"/>
  <c r="O459" i="2" s="1"/>
  <c r="O570" i="2" s="1"/>
  <c r="R14" i="2"/>
  <c r="R125" i="2" s="1"/>
  <c r="R236" i="2" s="1"/>
  <c r="R347" i="2" s="1"/>
  <c r="R458" i="2" s="1"/>
  <c r="R569" i="2" s="1"/>
  <c r="Q14" i="2"/>
  <c r="Q125" i="2" s="1"/>
  <c r="Q236" i="2" s="1"/>
  <c r="Q347" i="2" s="1"/>
  <c r="Q458" i="2" s="1"/>
  <c r="Q569" i="2" s="1"/>
  <c r="P14" i="2"/>
  <c r="P125" i="2" s="1"/>
  <c r="P236" i="2" s="1"/>
  <c r="P347" i="2" s="1"/>
  <c r="P458" i="2" s="1"/>
  <c r="P569" i="2" s="1"/>
  <c r="O14" i="2"/>
  <c r="O125" i="2" s="1"/>
  <c r="O236" i="2" s="1"/>
  <c r="O347" i="2" s="1"/>
  <c r="O458" i="2" s="1"/>
  <c r="O569" i="2" s="1"/>
  <c r="R13" i="2"/>
  <c r="Q13" i="2"/>
  <c r="P13" i="2"/>
  <c r="O13" i="2"/>
  <c r="M15" i="2"/>
  <c r="M126" i="2" s="1"/>
  <c r="M237" i="2" s="1"/>
  <c r="M348" i="2" s="1"/>
  <c r="M459" i="2" s="1"/>
  <c r="M570" i="2" s="1"/>
  <c r="L15" i="2"/>
  <c r="L126" i="2" s="1"/>
  <c r="L237" i="2" s="1"/>
  <c r="L348" i="2" s="1"/>
  <c r="L459" i="2" s="1"/>
  <c r="L570" i="2" s="1"/>
  <c r="M14" i="2"/>
  <c r="M125" i="2" s="1"/>
  <c r="M236" i="2" s="1"/>
  <c r="M347" i="2" s="1"/>
  <c r="M458" i="2" s="1"/>
  <c r="M569" i="2" s="1"/>
  <c r="L14" i="2"/>
  <c r="L125" i="2" s="1"/>
  <c r="L236" i="2" s="1"/>
  <c r="L347" i="2" s="1"/>
  <c r="L458" i="2" s="1"/>
  <c r="L569" i="2" s="1"/>
  <c r="M13" i="2"/>
  <c r="L13" i="2"/>
  <c r="R27" i="2" l="1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3" i="2"/>
  <c r="P37" i="2"/>
  <c r="O37" i="2"/>
  <c r="P36" i="2"/>
  <c r="O36" i="2"/>
  <c r="P35" i="2"/>
  <c r="O35" i="2"/>
  <c r="P34" i="2"/>
  <c r="O34" i="2"/>
  <c r="P33" i="2"/>
  <c r="O33" i="2"/>
  <c r="P32" i="2"/>
  <c r="O32" i="2"/>
  <c r="P31" i="2"/>
  <c r="O31" i="2"/>
  <c r="P30" i="2"/>
  <c r="O30" i="2"/>
  <c r="P29" i="2"/>
  <c r="O29" i="2"/>
  <c r="P28" i="2"/>
  <c r="O28" i="2"/>
  <c r="P27" i="2"/>
  <c r="O27" i="2"/>
  <c r="P26" i="2"/>
  <c r="O26" i="2"/>
  <c r="P25" i="2"/>
  <c r="O25" i="2"/>
  <c r="P24" i="2"/>
  <c r="O24" i="2"/>
  <c r="P23" i="2"/>
  <c r="O23" i="2"/>
  <c r="P22" i="2"/>
  <c r="O22" i="2"/>
  <c r="M37" i="2"/>
  <c r="M36" i="2"/>
  <c r="M35" i="2"/>
  <c r="M34" i="2"/>
  <c r="M33" i="2"/>
  <c r="M32" i="2"/>
  <c r="M31" i="2"/>
  <c r="M30" i="2"/>
  <c r="M29" i="2"/>
  <c r="M28" i="2"/>
  <c r="M27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O105" i="2" l="1"/>
  <c r="M105" i="2"/>
  <c r="L105" i="2"/>
  <c r="H105" i="2"/>
  <c r="D105" i="2"/>
  <c r="D216" i="2" s="1"/>
  <c r="I247" i="5"/>
  <c r="H247" i="5"/>
  <c r="O104" i="2" l="1"/>
  <c r="M104" i="2"/>
  <c r="L104" i="2"/>
  <c r="H104" i="2"/>
  <c r="D104" i="2"/>
  <c r="H246" i="5"/>
  <c r="I246" i="5"/>
  <c r="Y104" i="2" s="1"/>
  <c r="W104" i="2" l="1"/>
  <c r="W215" i="2" s="1"/>
  <c r="W326" i="2" s="1"/>
  <c r="W437" i="2" s="1"/>
  <c r="W548" i="2" s="1"/>
  <c r="W659" i="2" s="1"/>
  <c r="AF222" i="2"/>
  <c r="AF333" i="2" s="1"/>
  <c r="AF444" i="2" s="1"/>
  <c r="AF555" i="2" s="1"/>
  <c r="AF666" i="2" s="1"/>
  <c r="AE222" i="2"/>
  <c r="AE333" i="2" s="1"/>
  <c r="AE444" i="2" s="1"/>
  <c r="AE555" i="2" s="1"/>
  <c r="AE666" i="2" s="1"/>
  <c r="AD222" i="2"/>
  <c r="AD333" i="2" s="1"/>
  <c r="AD444" i="2" s="1"/>
  <c r="AD555" i="2" s="1"/>
  <c r="AD666" i="2" s="1"/>
  <c r="AC222" i="2"/>
  <c r="AC333" i="2" s="1"/>
  <c r="AC444" i="2" s="1"/>
  <c r="AC555" i="2" s="1"/>
  <c r="AC666" i="2" s="1"/>
  <c r="AB222" i="2"/>
  <c r="AB333" i="2" s="1"/>
  <c r="AB444" i="2" s="1"/>
  <c r="AB555" i="2" s="1"/>
  <c r="AB666" i="2" s="1"/>
  <c r="AA222" i="2"/>
  <c r="AA333" i="2" s="1"/>
  <c r="AA444" i="2" s="1"/>
  <c r="AA555" i="2" s="1"/>
  <c r="AA666" i="2" s="1"/>
  <c r="Z222" i="2"/>
  <c r="Z333" i="2" s="1"/>
  <c r="Z444" i="2" s="1"/>
  <c r="Z555" i="2" s="1"/>
  <c r="Z666" i="2" s="1"/>
  <c r="X222" i="2"/>
  <c r="X333" i="2" s="1"/>
  <c r="X444" i="2" s="1"/>
  <c r="X555" i="2" s="1"/>
  <c r="X666" i="2" s="1"/>
  <c r="V222" i="2"/>
  <c r="V333" i="2" s="1"/>
  <c r="V444" i="2" s="1"/>
  <c r="V555" i="2" s="1"/>
  <c r="V666" i="2" s="1"/>
  <c r="U222" i="2"/>
  <c r="U333" i="2" s="1"/>
  <c r="U444" i="2" s="1"/>
  <c r="U555" i="2" s="1"/>
  <c r="U666" i="2" s="1"/>
  <c r="T222" i="2"/>
  <c r="T333" i="2" s="1"/>
  <c r="T444" i="2" s="1"/>
  <c r="T555" i="2" s="1"/>
  <c r="T666" i="2" s="1"/>
  <c r="S222" i="2"/>
  <c r="S333" i="2" s="1"/>
  <c r="S444" i="2" s="1"/>
  <c r="S555" i="2" s="1"/>
  <c r="S666" i="2" s="1"/>
  <c r="R222" i="2"/>
  <c r="R333" i="2" s="1"/>
  <c r="R444" i="2" s="1"/>
  <c r="R555" i="2" s="1"/>
  <c r="R666" i="2" s="1"/>
  <c r="Q222" i="2"/>
  <c r="Q333" i="2" s="1"/>
  <c r="Q444" i="2" s="1"/>
  <c r="Q555" i="2" s="1"/>
  <c r="Q666" i="2" s="1"/>
  <c r="P222" i="2"/>
  <c r="P333" i="2" s="1"/>
  <c r="P444" i="2" s="1"/>
  <c r="P555" i="2" s="1"/>
  <c r="P666" i="2" s="1"/>
  <c r="K222" i="2"/>
  <c r="K333" i="2" s="1"/>
  <c r="K444" i="2" s="1"/>
  <c r="K555" i="2" s="1"/>
  <c r="K666" i="2" s="1"/>
  <c r="J222" i="2"/>
  <c r="J333" i="2" s="1"/>
  <c r="J444" i="2" s="1"/>
  <c r="J555" i="2" s="1"/>
  <c r="J666" i="2" s="1"/>
  <c r="I222" i="2"/>
  <c r="I333" i="2" s="1"/>
  <c r="I444" i="2" s="1"/>
  <c r="I555" i="2" s="1"/>
  <c r="I666" i="2" s="1"/>
  <c r="H222" i="2"/>
  <c r="H333" i="2" s="1"/>
  <c r="H444" i="2" s="1"/>
  <c r="H555" i="2" s="1"/>
  <c r="H666" i="2" s="1"/>
  <c r="G222" i="2"/>
  <c r="G333" i="2" s="1"/>
  <c r="G444" i="2" s="1"/>
  <c r="G555" i="2" s="1"/>
  <c r="G666" i="2" s="1"/>
  <c r="F222" i="2"/>
  <c r="F333" i="2" s="1"/>
  <c r="F444" i="2" s="1"/>
  <c r="F555" i="2" s="1"/>
  <c r="F666" i="2" s="1"/>
  <c r="E222" i="2"/>
  <c r="E333" i="2" s="1"/>
  <c r="E444" i="2" s="1"/>
  <c r="E555" i="2" s="1"/>
  <c r="E666" i="2" s="1"/>
  <c r="C222" i="2"/>
  <c r="C333" i="2" s="1"/>
  <c r="C444" i="2" s="1"/>
  <c r="C555" i="2" s="1"/>
  <c r="C666" i="2" s="1"/>
  <c r="B333" i="2"/>
  <c r="B444" i="2" s="1"/>
  <c r="B555" i="2" s="1"/>
  <c r="B666" i="2" s="1"/>
  <c r="AF218" i="2"/>
  <c r="AF329" i="2" s="1"/>
  <c r="AF440" i="2" s="1"/>
  <c r="AF551" i="2" s="1"/>
  <c r="AF662" i="2" s="1"/>
  <c r="AE218" i="2"/>
  <c r="AE329" i="2" s="1"/>
  <c r="AE440" i="2" s="1"/>
  <c r="AE551" i="2" s="1"/>
  <c r="AE662" i="2" s="1"/>
  <c r="AD218" i="2"/>
  <c r="AD329" i="2" s="1"/>
  <c r="AD440" i="2" s="1"/>
  <c r="AD551" i="2" s="1"/>
  <c r="AD662" i="2" s="1"/>
  <c r="AC218" i="2"/>
  <c r="AC329" i="2" s="1"/>
  <c r="AC440" i="2" s="1"/>
  <c r="AC551" i="2" s="1"/>
  <c r="AC662" i="2" s="1"/>
  <c r="AB218" i="2"/>
  <c r="AB329" i="2" s="1"/>
  <c r="AB440" i="2" s="1"/>
  <c r="AB551" i="2" s="1"/>
  <c r="AB662" i="2" s="1"/>
  <c r="AA218" i="2"/>
  <c r="AA329" i="2" s="1"/>
  <c r="AA440" i="2" s="1"/>
  <c r="AA551" i="2" s="1"/>
  <c r="AA662" i="2" s="1"/>
  <c r="Z218" i="2"/>
  <c r="Z329" i="2" s="1"/>
  <c r="Z440" i="2" s="1"/>
  <c r="Z551" i="2" s="1"/>
  <c r="Z662" i="2" s="1"/>
  <c r="Y218" i="2"/>
  <c r="Y329" i="2" s="1"/>
  <c r="Y440" i="2" s="1"/>
  <c r="Y551" i="2" s="1"/>
  <c r="Y662" i="2" s="1"/>
  <c r="X218" i="2"/>
  <c r="X329" i="2" s="1"/>
  <c r="X440" i="2" s="1"/>
  <c r="X551" i="2" s="1"/>
  <c r="X662" i="2" s="1"/>
  <c r="W218" i="2"/>
  <c r="W329" i="2" s="1"/>
  <c r="W440" i="2" s="1"/>
  <c r="W551" i="2" s="1"/>
  <c r="W662" i="2" s="1"/>
  <c r="V218" i="2"/>
  <c r="V329" i="2" s="1"/>
  <c r="V440" i="2" s="1"/>
  <c r="V551" i="2" s="1"/>
  <c r="V662" i="2" s="1"/>
  <c r="U218" i="2"/>
  <c r="U329" i="2" s="1"/>
  <c r="U440" i="2" s="1"/>
  <c r="U551" i="2" s="1"/>
  <c r="U662" i="2" s="1"/>
  <c r="T218" i="2"/>
  <c r="T329" i="2" s="1"/>
  <c r="T440" i="2" s="1"/>
  <c r="T551" i="2" s="1"/>
  <c r="T662" i="2" s="1"/>
  <c r="S218" i="2"/>
  <c r="S329" i="2" s="1"/>
  <c r="S440" i="2" s="1"/>
  <c r="S551" i="2" s="1"/>
  <c r="S662" i="2" s="1"/>
  <c r="R218" i="2"/>
  <c r="R329" i="2" s="1"/>
  <c r="R440" i="2" s="1"/>
  <c r="R551" i="2" s="1"/>
  <c r="R662" i="2" s="1"/>
  <c r="Q218" i="2"/>
  <c r="Q329" i="2" s="1"/>
  <c r="Q440" i="2" s="1"/>
  <c r="Q551" i="2" s="1"/>
  <c r="Q662" i="2" s="1"/>
  <c r="P218" i="2"/>
  <c r="P329" i="2" s="1"/>
  <c r="P440" i="2" s="1"/>
  <c r="P551" i="2" s="1"/>
  <c r="P662" i="2" s="1"/>
  <c r="O218" i="2"/>
  <c r="O329" i="2" s="1"/>
  <c r="O440" i="2" s="1"/>
  <c r="O551" i="2" s="1"/>
  <c r="O662" i="2" s="1"/>
  <c r="N218" i="2"/>
  <c r="N329" i="2" s="1"/>
  <c r="N440" i="2" s="1"/>
  <c r="N551" i="2" s="1"/>
  <c r="N662" i="2" s="1"/>
  <c r="M218" i="2"/>
  <c r="M329" i="2" s="1"/>
  <c r="M440" i="2" s="1"/>
  <c r="M551" i="2" s="1"/>
  <c r="M662" i="2" s="1"/>
  <c r="L218" i="2"/>
  <c r="L329" i="2" s="1"/>
  <c r="L440" i="2" s="1"/>
  <c r="L551" i="2" s="1"/>
  <c r="L662" i="2" s="1"/>
  <c r="J218" i="2"/>
  <c r="J329" i="2" s="1"/>
  <c r="J440" i="2" s="1"/>
  <c r="J551" i="2" s="1"/>
  <c r="J662" i="2" s="1"/>
  <c r="I218" i="2"/>
  <c r="I329" i="2" s="1"/>
  <c r="I440" i="2" s="1"/>
  <c r="I551" i="2" s="1"/>
  <c r="I662" i="2" s="1"/>
  <c r="H218" i="2"/>
  <c r="H329" i="2" s="1"/>
  <c r="H440" i="2" s="1"/>
  <c r="H551" i="2" s="1"/>
  <c r="H662" i="2" s="1"/>
  <c r="G218" i="2"/>
  <c r="G329" i="2" s="1"/>
  <c r="G440" i="2" s="1"/>
  <c r="G551" i="2" s="1"/>
  <c r="G662" i="2" s="1"/>
  <c r="F218" i="2"/>
  <c r="F329" i="2" s="1"/>
  <c r="F440" i="2" s="1"/>
  <c r="F551" i="2" s="1"/>
  <c r="F662" i="2" s="1"/>
  <c r="E218" i="2"/>
  <c r="E329" i="2" s="1"/>
  <c r="E440" i="2" s="1"/>
  <c r="E551" i="2" s="1"/>
  <c r="E662" i="2" s="1"/>
  <c r="D218" i="2"/>
  <c r="D329" i="2" s="1"/>
  <c r="D440" i="2" s="1"/>
  <c r="D551" i="2" s="1"/>
  <c r="D662" i="2" s="1"/>
  <c r="C218" i="2"/>
  <c r="C329" i="2" s="1"/>
  <c r="C440" i="2" s="1"/>
  <c r="C551" i="2" s="1"/>
  <c r="C662" i="2" s="1"/>
  <c r="B329" i="2"/>
  <c r="B440" i="2" s="1"/>
  <c r="B551" i="2" s="1"/>
  <c r="B662" i="2" s="1"/>
  <c r="AF217" i="2"/>
  <c r="AF328" i="2" s="1"/>
  <c r="AF439" i="2" s="1"/>
  <c r="AF550" i="2" s="1"/>
  <c r="AF661" i="2" s="1"/>
  <c r="AE217" i="2"/>
  <c r="AE328" i="2" s="1"/>
  <c r="AE439" i="2" s="1"/>
  <c r="AE550" i="2" s="1"/>
  <c r="AE661" i="2" s="1"/>
  <c r="AD217" i="2"/>
  <c r="AD328" i="2" s="1"/>
  <c r="AD439" i="2" s="1"/>
  <c r="AD550" i="2" s="1"/>
  <c r="AD661" i="2" s="1"/>
  <c r="AC217" i="2"/>
  <c r="AC328" i="2" s="1"/>
  <c r="AC439" i="2" s="1"/>
  <c r="AC550" i="2" s="1"/>
  <c r="AC661" i="2" s="1"/>
  <c r="AB217" i="2"/>
  <c r="AB328" i="2" s="1"/>
  <c r="AB439" i="2" s="1"/>
  <c r="AB550" i="2" s="1"/>
  <c r="AB661" i="2" s="1"/>
  <c r="AA217" i="2"/>
  <c r="AA328" i="2" s="1"/>
  <c r="AA439" i="2" s="1"/>
  <c r="AA550" i="2" s="1"/>
  <c r="AA661" i="2" s="1"/>
  <c r="Z217" i="2"/>
  <c r="Z328" i="2" s="1"/>
  <c r="Z439" i="2" s="1"/>
  <c r="Z550" i="2" s="1"/>
  <c r="Z661" i="2" s="1"/>
  <c r="Y217" i="2"/>
  <c r="Y328" i="2" s="1"/>
  <c r="Y439" i="2" s="1"/>
  <c r="Y550" i="2" s="1"/>
  <c r="Y661" i="2" s="1"/>
  <c r="X217" i="2"/>
  <c r="X328" i="2" s="1"/>
  <c r="X439" i="2" s="1"/>
  <c r="X550" i="2" s="1"/>
  <c r="X661" i="2" s="1"/>
  <c r="W217" i="2"/>
  <c r="W328" i="2" s="1"/>
  <c r="W439" i="2" s="1"/>
  <c r="W550" i="2" s="1"/>
  <c r="W661" i="2" s="1"/>
  <c r="V217" i="2"/>
  <c r="V328" i="2" s="1"/>
  <c r="V439" i="2" s="1"/>
  <c r="V550" i="2" s="1"/>
  <c r="V661" i="2" s="1"/>
  <c r="U217" i="2"/>
  <c r="U328" i="2" s="1"/>
  <c r="U439" i="2" s="1"/>
  <c r="U550" i="2" s="1"/>
  <c r="U661" i="2" s="1"/>
  <c r="T217" i="2"/>
  <c r="T328" i="2" s="1"/>
  <c r="T439" i="2" s="1"/>
  <c r="T550" i="2" s="1"/>
  <c r="T661" i="2" s="1"/>
  <c r="S217" i="2"/>
  <c r="S328" i="2" s="1"/>
  <c r="S439" i="2" s="1"/>
  <c r="S550" i="2" s="1"/>
  <c r="S661" i="2" s="1"/>
  <c r="R217" i="2"/>
  <c r="R328" i="2" s="1"/>
  <c r="R439" i="2" s="1"/>
  <c r="R550" i="2" s="1"/>
  <c r="R661" i="2" s="1"/>
  <c r="Q217" i="2"/>
  <c r="Q328" i="2" s="1"/>
  <c r="Q439" i="2" s="1"/>
  <c r="Q550" i="2" s="1"/>
  <c r="Q661" i="2" s="1"/>
  <c r="P217" i="2"/>
  <c r="P328" i="2" s="1"/>
  <c r="P439" i="2" s="1"/>
  <c r="P550" i="2" s="1"/>
  <c r="P661" i="2" s="1"/>
  <c r="O217" i="2"/>
  <c r="O328" i="2" s="1"/>
  <c r="O439" i="2" s="1"/>
  <c r="O550" i="2" s="1"/>
  <c r="O661" i="2" s="1"/>
  <c r="N217" i="2"/>
  <c r="N328" i="2" s="1"/>
  <c r="N439" i="2" s="1"/>
  <c r="N550" i="2" s="1"/>
  <c r="N661" i="2" s="1"/>
  <c r="M217" i="2"/>
  <c r="M328" i="2" s="1"/>
  <c r="M439" i="2" s="1"/>
  <c r="M550" i="2" s="1"/>
  <c r="M661" i="2" s="1"/>
  <c r="L217" i="2"/>
  <c r="L328" i="2" s="1"/>
  <c r="L439" i="2" s="1"/>
  <c r="L550" i="2" s="1"/>
  <c r="L661" i="2" s="1"/>
  <c r="J217" i="2"/>
  <c r="J328" i="2" s="1"/>
  <c r="J439" i="2" s="1"/>
  <c r="J550" i="2" s="1"/>
  <c r="J661" i="2" s="1"/>
  <c r="I217" i="2"/>
  <c r="I328" i="2" s="1"/>
  <c r="I439" i="2" s="1"/>
  <c r="I550" i="2" s="1"/>
  <c r="I661" i="2" s="1"/>
  <c r="H217" i="2"/>
  <c r="H328" i="2" s="1"/>
  <c r="H439" i="2" s="1"/>
  <c r="H550" i="2" s="1"/>
  <c r="H661" i="2" s="1"/>
  <c r="G217" i="2"/>
  <c r="G328" i="2" s="1"/>
  <c r="G439" i="2" s="1"/>
  <c r="G550" i="2" s="1"/>
  <c r="G661" i="2" s="1"/>
  <c r="F217" i="2"/>
  <c r="F328" i="2" s="1"/>
  <c r="F439" i="2" s="1"/>
  <c r="F550" i="2" s="1"/>
  <c r="F661" i="2" s="1"/>
  <c r="E217" i="2"/>
  <c r="E328" i="2" s="1"/>
  <c r="E439" i="2" s="1"/>
  <c r="E550" i="2" s="1"/>
  <c r="E661" i="2" s="1"/>
  <c r="D217" i="2"/>
  <c r="D328" i="2" s="1"/>
  <c r="D439" i="2" s="1"/>
  <c r="D550" i="2" s="1"/>
  <c r="D661" i="2" s="1"/>
  <c r="C217" i="2"/>
  <c r="C328" i="2" s="1"/>
  <c r="C439" i="2" s="1"/>
  <c r="C550" i="2" s="1"/>
  <c r="C661" i="2" s="1"/>
  <c r="B328" i="2"/>
  <c r="B439" i="2" s="1"/>
  <c r="B550" i="2" s="1"/>
  <c r="B661" i="2" s="1"/>
  <c r="AF216" i="2"/>
  <c r="AF327" i="2" s="1"/>
  <c r="AF438" i="2" s="1"/>
  <c r="AF549" i="2" s="1"/>
  <c r="AF660" i="2" s="1"/>
  <c r="AE216" i="2"/>
  <c r="AE327" i="2" s="1"/>
  <c r="AE438" i="2" s="1"/>
  <c r="AE549" i="2" s="1"/>
  <c r="AE660" i="2" s="1"/>
  <c r="AD216" i="2"/>
  <c r="AD327" i="2" s="1"/>
  <c r="AD438" i="2" s="1"/>
  <c r="AD549" i="2" s="1"/>
  <c r="AD660" i="2" s="1"/>
  <c r="AC216" i="2"/>
  <c r="AC327" i="2" s="1"/>
  <c r="AC438" i="2" s="1"/>
  <c r="AC549" i="2" s="1"/>
  <c r="AC660" i="2" s="1"/>
  <c r="AB216" i="2"/>
  <c r="AB327" i="2" s="1"/>
  <c r="AB438" i="2" s="1"/>
  <c r="AB549" i="2" s="1"/>
  <c r="AB660" i="2" s="1"/>
  <c r="AA216" i="2"/>
  <c r="AA327" i="2" s="1"/>
  <c r="AA438" i="2" s="1"/>
  <c r="AA549" i="2" s="1"/>
  <c r="AA660" i="2" s="1"/>
  <c r="Z216" i="2"/>
  <c r="Z327" i="2" s="1"/>
  <c r="Z438" i="2" s="1"/>
  <c r="Z549" i="2" s="1"/>
  <c r="Z660" i="2" s="1"/>
  <c r="X216" i="2"/>
  <c r="X327" i="2" s="1"/>
  <c r="X438" i="2" s="1"/>
  <c r="X549" i="2" s="1"/>
  <c r="X660" i="2" s="1"/>
  <c r="V216" i="2"/>
  <c r="V327" i="2" s="1"/>
  <c r="V438" i="2" s="1"/>
  <c r="V549" i="2" s="1"/>
  <c r="V660" i="2" s="1"/>
  <c r="U216" i="2"/>
  <c r="U327" i="2" s="1"/>
  <c r="U438" i="2" s="1"/>
  <c r="U549" i="2" s="1"/>
  <c r="U660" i="2" s="1"/>
  <c r="T216" i="2"/>
  <c r="T327" i="2" s="1"/>
  <c r="T438" i="2" s="1"/>
  <c r="T549" i="2" s="1"/>
  <c r="T660" i="2" s="1"/>
  <c r="S216" i="2"/>
  <c r="S327" i="2" s="1"/>
  <c r="S438" i="2" s="1"/>
  <c r="S549" i="2" s="1"/>
  <c r="S660" i="2" s="1"/>
  <c r="R216" i="2"/>
  <c r="R327" i="2" s="1"/>
  <c r="R438" i="2" s="1"/>
  <c r="R549" i="2" s="1"/>
  <c r="R660" i="2" s="1"/>
  <c r="Q216" i="2"/>
  <c r="Q327" i="2" s="1"/>
  <c r="Q438" i="2" s="1"/>
  <c r="Q549" i="2" s="1"/>
  <c r="Q660" i="2" s="1"/>
  <c r="P216" i="2"/>
  <c r="P327" i="2" s="1"/>
  <c r="P438" i="2" s="1"/>
  <c r="P549" i="2" s="1"/>
  <c r="P660" i="2" s="1"/>
  <c r="O216" i="2"/>
  <c r="O327" i="2" s="1"/>
  <c r="O438" i="2" s="1"/>
  <c r="O549" i="2" s="1"/>
  <c r="O660" i="2" s="1"/>
  <c r="N216" i="2"/>
  <c r="N327" i="2" s="1"/>
  <c r="N438" i="2" s="1"/>
  <c r="N549" i="2" s="1"/>
  <c r="N660" i="2" s="1"/>
  <c r="M216" i="2"/>
  <c r="M327" i="2" s="1"/>
  <c r="M438" i="2" s="1"/>
  <c r="M549" i="2" s="1"/>
  <c r="M660" i="2" s="1"/>
  <c r="L216" i="2"/>
  <c r="L327" i="2" s="1"/>
  <c r="L438" i="2" s="1"/>
  <c r="L549" i="2" s="1"/>
  <c r="L660" i="2" s="1"/>
  <c r="K216" i="2"/>
  <c r="K327" i="2" s="1"/>
  <c r="K438" i="2" s="1"/>
  <c r="K549" i="2" s="1"/>
  <c r="K660" i="2" s="1"/>
  <c r="J216" i="2"/>
  <c r="J327" i="2" s="1"/>
  <c r="J438" i="2" s="1"/>
  <c r="J549" i="2" s="1"/>
  <c r="J660" i="2" s="1"/>
  <c r="I216" i="2"/>
  <c r="I327" i="2" s="1"/>
  <c r="I438" i="2" s="1"/>
  <c r="I549" i="2" s="1"/>
  <c r="I660" i="2" s="1"/>
  <c r="H216" i="2"/>
  <c r="H327" i="2" s="1"/>
  <c r="H438" i="2" s="1"/>
  <c r="H549" i="2" s="1"/>
  <c r="H660" i="2" s="1"/>
  <c r="G216" i="2"/>
  <c r="G327" i="2" s="1"/>
  <c r="G438" i="2" s="1"/>
  <c r="G549" i="2" s="1"/>
  <c r="G660" i="2" s="1"/>
  <c r="F216" i="2"/>
  <c r="F327" i="2" s="1"/>
  <c r="F438" i="2" s="1"/>
  <c r="F549" i="2" s="1"/>
  <c r="F660" i="2" s="1"/>
  <c r="E216" i="2"/>
  <c r="E327" i="2" s="1"/>
  <c r="E438" i="2" s="1"/>
  <c r="E549" i="2" s="1"/>
  <c r="E660" i="2" s="1"/>
  <c r="D327" i="2"/>
  <c r="D438" i="2" s="1"/>
  <c r="D549" i="2" s="1"/>
  <c r="D660" i="2" s="1"/>
  <c r="C327" i="2"/>
  <c r="C438" i="2" s="1"/>
  <c r="C549" i="2" s="1"/>
  <c r="C660" i="2" s="1"/>
  <c r="B327" i="2"/>
  <c r="B438" i="2" s="1"/>
  <c r="B549" i="2" s="1"/>
  <c r="B660" i="2" s="1"/>
  <c r="AF215" i="2"/>
  <c r="AF326" i="2" s="1"/>
  <c r="AF437" i="2" s="1"/>
  <c r="AF548" i="2" s="1"/>
  <c r="AF659" i="2" s="1"/>
  <c r="AE215" i="2"/>
  <c r="AE326" i="2" s="1"/>
  <c r="AE437" i="2" s="1"/>
  <c r="AE548" i="2" s="1"/>
  <c r="AE659" i="2" s="1"/>
  <c r="AD215" i="2"/>
  <c r="AD326" i="2" s="1"/>
  <c r="AD437" i="2" s="1"/>
  <c r="AD548" i="2" s="1"/>
  <c r="AD659" i="2" s="1"/>
  <c r="AC215" i="2"/>
  <c r="AC326" i="2" s="1"/>
  <c r="AC437" i="2" s="1"/>
  <c r="AC548" i="2" s="1"/>
  <c r="AC659" i="2" s="1"/>
  <c r="AB215" i="2"/>
  <c r="AB326" i="2" s="1"/>
  <c r="AB437" i="2" s="1"/>
  <c r="AB548" i="2" s="1"/>
  <c r="AB659" i="2" s="1"/>
  <c r="AA215" i="2"/>
  <c r="AA326" i="2" s="1"/>
  <c r="AA437" i="2" s="1"/>
  <c r="AA548" i="2" s="1"/>
  <c r="AA659" i="2" s="1"/>
  <c r="Z215" i="2"/>
  <c r="Z326" i="2" s="1"/>
  <c r="Z437" i="2" s="1"/>
  <c r="Z548" i="2" s="1"/>
  <c r="Z659" i="2" s="1"/>
  <c r="Y215" i="2"/>
  <c r="Y326" i="2" s="1"/>
  <c r="Y437" i="2" s="1"/>
  <c r="Y548" i="2" s="1"/>
  <c r="Y659" i="2" s="1"/>
  <c r="X215" i="2"/>
  <c r="X326" i="2" s="1"/>
  <c r="X437" i="2" s="1"/>
  <c r="X548" i="2" s="1"/>
  <c r="X659" i="2" s="1"/>
  <c r="V215" i="2"/>
  <c r="V326" i="2" s="1"/>
  <c r="V437" i="2" s="1"/>
  <c r="V548" i="2" s="1"/>
  <c r="V659" i="2" s="1"/>
  <c r="U215" i="2"/>
  <c r="U326" i="2" s="1"/>
  <c r="U437" i="2" s="1"/>
  <c r="U548" i="2" s="1"/>
  <c r="U659" i="2" s="1"/>
  <c r="T215" i="2"/>
  <c r="T326" i="2" s="1"/>
  <c r="T437" i="2" s="1"/>
  <c r="T548" i="2" s="1"/>
  <c r="T659" i="2" s="1"/>
  <c r="S215" i="2"/>
  <c r="S326" i="2" s="1"/>
  <c r="S437" i="2" s="1"/>
  <c r="S548" i="2" s="1"/>
  <c r="S659" i="2" s="1"/>
  <c r="R215" i="2"/>
  <c r="R326" i="2" s="1"/>
  <c r="R437" i="2" s="1"/>
  <c r="R548" i="2" s="1"/>
  <c r="R659" i="2" s="1"/>
  <c r="Q326" i="2"/>
  <c r="Q437" i="2" s="1"/>
  <c r="Q548" i="2" s="1"/>
  <c r="Q659" i="2" s="1"/>
  <c r="P215" i="2"/>
  <c r="P326" i="2" s="1"/>
  <c r="P437" i="2" s="1"/>
  <c r="P548" i="2" s="1"/>
  <c r="P659" i="2" s="1"/>
  <c r="O215" i="2"/>
  <c r="O326" i="2" s="1"/>
  <c r="O437" i="2" s="1"/>
  <c r="O548" i="2" s="1"/>
  <c r="O659" i="2" s="1"/>
  <c r="N215" i="2"/>
  <c r="N326" i="2" s="1"/>
  <c r="N437" i="2" s="1"/>
  <c r="N548" i="2" s="1"/>
  <c r="N659" i="2" s="1"/>
  <c r="M215" i="2"/>
  <c r="M326" i="2" s="1"/>
  <c r="M437" i="2" s="1"/>
  <c r="M548" i="2" s="1"/>
  <c r="M659" i="2" s="1"/>
  <c r="L215" i="2"/>
  <c r="L326" i="2" s="1"/>
  <c r="L437" i="2" s="1"/>
  <c r="L548" i="2" s="1"/>
  <c r="L659" i="2" s="1"/>
  <c r="K215" i="2"/>
  <c r="K326" i="2" s="1"/>
  <c r="K437" i="2" s="1"/>
  <c r="K548" i="2" s="1"/>
  <c r="K659" i="2" s="1"/>
  <c r="J215" i="2"/>
  <c r="J326" i="2" s="1"/>
  <c r="J437" i="2" s="1"/>
  <c r="J548" i="2" s="1"/>
  <c r="J659" i="2" s="1"/>
  <c r="I215" i="2"/>
  <c r="I326" i="2" s="1"/>
  <c r="I437" i="2" s="1"/>
  <c r="I548" i="2" s="1"/>
  <c r="I659" i="2" s="1"/>
  <c r="H215" i="2"/>
  <c r="H326" i="2" s="1"/>
  <c r="H437" i="2" s="1"/>
  <c r="H548" i="2" s="1"/>
  <c r="H659" i="2" s="1"/>
  <c r="G215" i="2"/>
  <c r="G326" i="2" s="1"/>
  <c r="G437" i="2" s="1"/>
  <c r="G548" i="2" s="1"/>
  <c r="G659" i="2" s="1"/>
  <c r="F215" i="2"/>
  <c r="F326" i="2" s="1"/>
  <c r="F437" i="2" s="1"/>
  <c r="F548" i="2" s="1"/>
  <c r="F659" i="2" s="1"/>
  <c r="E215" i="2"/>
  <c r="E326" i="2" s="1"/>
  <c r="E437" i="2" s="1"/>
  <c r="E548" i="2" s="1"/>
  <c r="E659" i="2" s="1"/>
  <c r="D215" i="2"/>
  <c r="D326" i="2" s="1"/>
  <c r="D437" i="2" s="1"/>
  <c r="D548" i="2" s="1"/>
  <c r="D659" i="2" s="1"/>
  <c r="C215" i="2"/>
  <c r="C326" i="2" s="1"/>
  <c r="C437" i="2" s="1"/>
  <c r="C548" i="2" s="1"/>
  <c r="C659" i="2" s="1"/>
  <c r="B215" i="2"/>
  <c r="B326" i="2" s="1"/>
  <c r="B437" i="2" s="1"/>
  <c r="B548" i="2" s="1"/>
  <c r="B659" i="2" s="1"/>
  <c r="AF214" i="2"/>
  <c r="AF325" i="2" s="1"/>
  <c r="AF436" i="2" s="1"/>
  <c r="AF547" i="2" s="1"/>
  <c r="AF658" i="2" s="1"/>
  <c r="AE214" i="2"/>
  <c r="AE325" i="2" s="1"/>
  <c r="AE436" i="2" s="1"/>
  <c r="AE547" i="2" s="1"/>
  <c r="AE658" i="2" s="1"/>
  <c r="AD214" i="2"/>
  <c r="AD325" i="2" s="1"/>
  <c r="AD436" i="2" s="1"/>
  <c r="AD547" i="2" s="1"/>
  <c r="AD658" i="2" s="1"/>
  <c r="AC214" i="2"/>
  <c r="AC325" i="2" s="1"/>
  <c r="AC436" i="2" s="1"/>
  <c r="AC547" i="2" s="1"/>
  <c r="AC658" i="2" s="1"/>
  <c r="AB214" i="2"/>
  <c r="AB325" i="2" s="1"/>
  <c r="AB436" i="2" s="1"/>
  <c r="AB547" i="2" s="1"/>
  <c r="AB658" i="2" s="1"/>
  <c r="AA214" i="2"/>
  <c r="AA325" i="2" s="1"/>
  <c r="AA436" i="2" s="1"/>
  <c r="AA547" i="2" s="1"/>
  <c r="AA658" i="2" s="1"/>
  <c r="Z214" i="2"/>
  <c r="Z325" i="2" s="1"/>
  <c r="Z436" i="2" s="1"/>
  <c r="Z547" i="2" s="1"/>
  <c r="Z658" i="2" s="1"/>
  <c r="X214" i="2"/>
  <c r="X325" i="2" s="1"/>
  <c r="X436" i="2" s="1"/>
  <c r="X547" i="2" s="1"/>
  <c r="X658" i="2" s="1"/>
  <c r="V214" i="2"/>
  <c r="V325" i="2" s="1"/>
  <c r="V436" i="2" s="1"/>
  <c r="V547" i="2" s="1"/>
  <c r="V658" i="2" s="1"/>
  <c r="U214" i="2"/>
  <c r="U325" i="2" s="1"/>
  <c r="U436" i="2" s="1"/>
  <c r="U547" i="2" s="1"/>
  <c r="U658" i="2" s="1"/>
  <c r="T214" i="2"/>
  <c r="T325" i="2" s="1"/>
  <c r="T436" i="2" s="1"/>
  <c r="T547" i="2" s="1"/>
  <c r="T658" i="2" s="1"/>
  <c r="S214" i="2"/>
  <c r="S325" i="2" s="1"/>
  <c r="S436" i="2" s="1"/>
  <c r="S547" i="2" s="1"/>
  <c r="S658" i="2" s="1"/>
  <c r="R214" i="2"/>
  <c r="R325" i="2" s="1"/>
  <c r="R436" i="2" s="1"/>
  <c r="R547" i="2" s="1"/>
  <c r="R658" i="2" s="1"/>
  <c r="Q214" i="2"/>
  <c r="Q325" i="2" s="1"/>
  <c r="Q436" i="2" s="1"/>
  <c r="Q547" i="2" s="1"/>
  <c r="Q658" i="2" s="1"/>
  <c r="P214" i="2"/>
  <c r="P325" i="2" s="1"/>
  <c r="P436" i="2" s="1"/>
  <c r="P547" i="2" s="1"/>
  <c r="P658" i="2" s="1"/>
  <c r="N214" i="2"/>
  <c r="N325" i="2" s="1"/>
  <c r="N436" i="2" s="1"/>
  <c r="N547" i="2" s="1"/>
  <c r="N658" i="2" s="1"/>
  <c r="K214" i="2"/>
  <c r="K325" i="2" s="1"/>
  <c r="K436" i="2" s="1"/>
  <c r="K547" i="2" s="1"/>
  <c r="K658" i="2" s="1"/>
  <c r="J214" i="2"/>
  <c r="J325" i="2" s="1"/>
  <c r="J436" i="2" s="1"/>
  <c r="J547" i="2" s="1"/>
  <c r="J658" i="2" s="1"/>
  <c r="I214" i="2"/>
  <c r="I325" i="2" s="1"/>
  <c r="I436" i="2" s="1"/>
  <c r="I547" i="2" s="1"/>
  <c r="I658" i="2" s="1"/>
  <c r="G214" i="2"/>
  <c r="G325" i="2" s="1"/>
  <c r="G436" i="2" s="1"/>
  <c r="G547" i="2" s="1"/>
  <c r="G658" i="2" s="1"/>
  <c r="F214" i="2"/>
  <c r="F325" i="2" s="1"/>
  <c r="F436" i="2" s="1"/>
  <c r="F547" i="2" s="1"/>
  <c r="F658" i="2" s="1"/>
  <c r="E214" i="2"/>
  <c r="E325" i="2" s="1"/>
  <c r="E436" i="2" s="1"/>
  <c r="E547" i="2" s="1"/>
  <c r="E658" i="2" s="1"/>
  <c r="C214" i="2"/>
  <c r="C325" i="2" s="1"/>
  <c r="C436" i="2" s="1"/>
  <c r="C547" i="2" s="1"/>
  <c r="C658" i="2" s="1"/>
  <c r="B214" i="2"/>
  <c r="B325" i="2" s="1"/>
  <c r="B436" i="2" s="1"/>
  <c r="B547" i="2" s="1"/>
  <c r="B658" i="2" s="1"/>
  <c r="AF213" i="2"/>
  <c r="AF324" i="2" s="1"/>
  <c r="AF435" i="2" s="1"/>
  <c r="AF546" i="2" s="1"/>
  <c r="AF657" i="2" s="1"/>
  <c r="AE213" i="2"/>
  <c r="AE324" i="2" s="1"/>
  <c r="AE435" i="2" s="1"/>
  <c r="AE546" i="2" s="1"/>
  <c r="AE657" i="2" s="1"/>
  <c r="AD213" i="2"/>
  <c r="AD324" i="2" s="1"/>
  <c r="AD435" i="2" s="1"/>
  <c r="AD546" i="2" s="1"/>
  <c r="AD657" i="2" s="1"/>
  <c r="AC213" i="2"/>
  <c r="AC324" i="2" s="1"/>
  <c r="AC435" i="2" s="1"/>
  <c r="AC546" i="2" s="1"/>
  <c r="AC657" i="2" s="1"/>
  <c r="AB213" i="2"/>
  <c r="AB324" i="2" s="1"/>
  <c r="AB435" i="2" s="1"/>
  <c r="AB546" i="2" s="1"/>
  <c r="AB657" i="2" s="1"/>
  <c r="AA213" i="2"/>
  <c r="AA324" i="2" s="1"/>
  <c r="AA435" i="2" s="1"/>
  <c r="AA546" i="2" s="1"/>
  <c r="AA657" i="2" s="1"/>
  <c r="Z213" i="2"/>
  <c r="Z324" i="2" s="1"/>
  <c r="Z435" i="2" s="1"/>
  <c r="Z546" i="2" s="1"/>
  <c r="Z657" i="2" s="1"/>
  <c r="Y213" i="2"/>
  <c r="Y324" i="2" s="1"/>
  <c r="Y435" i="2" s="1"/>
  <c r="Y546" i="2" s="1"/>
  <c r="Y657" i="2" s="1"/>
  <c r="X213" i="2"/>
  <c r="X324" i="2" s="1"/>
  <c r="X435" i="2" s="1"/>
  <c r="X546" i="2" s="1"/>
  <c r="X657" i="2" s="1"/>
  <c r="W213" i="2"/>
  <c r="W324" i="2" s="1"/>
  <c r="W435" i="2" s="1"/>
  <c r="W546" i="2" s="1"/>
  <c r="W657" i="2" s="1"/>
  <c r="V213" i="2"/>
  <c r="V324" i="2" s="1"/>
  <c r="V435" i="2" s="1"/>
  <c r="V546" i="2" s="1"/>
  <c r="V657" i="2" s="1"/>
  <c r="U213" i="2"/>
  <c r="U324" i="2" s="1"/>
  <c r="U435" i="2" s="1"/>
  <c r="U546" i="2" s="1"/>
  <c r="U657" i="2" s="1"/>
  <c r="T213" i="2"/>
  <c r="T324" i="2" s="1"/>
  <c r="T435" i="2" s="1"/>
  <c r="T546" i="2" s="1"/>
  <c r="T657" i="2" s="1"/>
  <c r="S213" i="2"/>
  <c r="S324" i="2" s="1"/>
  <c r="S435" i="2" s="1"/>
  <c r="S546" i="2" s="1"/>
  <c r="S657" i="2" s="1"/>
  <c r="R213" i="2"/>
  <c r="R324" i="2" s="1"/>
  <c r="R435" i="2" s="1"/>
  <c r="R546" i="2" s="1"/>
  <c r="R657" i="2" s="1"/>
  <c r="Q213" i="2"/>
  <c r="Q324" i="2" s="1"/>
  <c r="Q435" i="2" s="1"/>
  <c r="Q546" i="2" s="1"/>
  <c r="Q657" i="2" s="1"/>
  <c r="P213" i="2"/>
  <c r="P324" i="2" s="1"/>
  <c r="P435" i="2" s="1"/>
  <c r="P546" i="2" s="1"/>
  <c r="P657" i="2" s="1"/>
  <c r="O213" i="2"/>
  <c r="O324" i="2" s="1"/>
  <c r="O435" i="2" s="1"/>
  <c r="O546" i="2" s="1"/>
  <c r="O657" i="2" s="1"/>
  <c r="N213" i="2"/>
  <c r="N324" i="2" s="1"/>
  <c r="N435" i="2" s="1"/>
  <c r="N546" i="2" s="1"/>
  <c r="N657" i="2" s="1"/>
  <c r="M213" i="2"/>
  <c r="M324" i="2" s="1"/>
  <c r="M435" i="2" s="1"/>
  <c r="M546" i="2" s="1"/>
  <c r="M657" i="2" s="1"/>
  <c r="L213" i="2"/>
  <c r="L324" i="2" s="1"/>
  <c r="L435" i="2" s="1"/>
  <c r="L546" i="2" s="1"/>
  <c r="L657" i="2" s="1"/>
  <c r="J213" i="2"/>
  <c r="J324" i="2" s="1"/>
  <c r="J435" i="2" s="1"/>
  <c r="J546" i="2" s="1"/>
  <c r="J657" i="2" s="1"/>
  <c r="I213" i="2"/>
  <c r="I324" i="2" s="1"/>
  <c r="I435" i="2" s="1"/>
  <c r="I546" i="2" s="1"/>
  <c r="I657" i="2" s="1"/>
  <c r="H213" i="2"/>
  <c r="H324" i="2" s="1"/>
  <c r="H435" i="2" s="1"/>
  <c r="H546" i="2" s="1"/>
  <c r="H657" i="2" s="1"/>
  <c r="G213" i="2"/>
  <c r="G324" i="2" s="1"/>
  <c r="G435" i="2" s="1"/>
  <c r="G546" i="2" s="1"/>
  <c r="G657" i="2" s="1"/>
  <c r="F213" i="2"/>
  <c r="F324" i="2" s="1"/>
  <c r="F435" i="2" s="1"/>
  <c r="F546" i="2" s="1"/>
  <c r="F657" i="2" s="1"/>
  <c r="E213" i="2"/>
  <c r="E324" i="2" s="1"/>
  <c r="E435" i="2" s="1"/>
  <c r="E546" i="2" s="1"/>
  <c r="E657" i="2" s="1"/>
  <c r="D213" i="2"/>
  <c r="D324" i="2" s="1"/>
  <c r="D435" i="2" s="1"/>
  <c r="D546" i="2" s="1"/>
  <c r="D657" i="2" s="1"/>
  <c r="C213" i="2"/>
  <c r="C324" i="2" s="1"/>
  <c r="C435" i="2" s="1"/>
  <c r="C546" i="2" s="1"/>
  <c r="C657" i="2" s="1"/>
  <c r="B213" i="2"/>
  <c r="B324" i="2" s="1"/>
  <c r="B435" i="2" s="1"/>
  <c r="B546" i="2" s="1"/>
  <c r="B657" i="2" s="1"/>
  <c r="AF212" i="2"/>
  <c r="AF323" i="2" s="1"/>
  <c r="AF434" i="2" s="1"/>
  <c r="AF545" i="2" s="1"/>
  <c r="AF656" i="2" s="1"/>
  <c r="AE212" i="2"/>
  <c r="AE323" i="2" s="1"/>
  <c r="AE434" i="2" s="1"/>
  <c r="AE545" i="2" s="1"/>
  <c r="AE656" i="2" s="1"/>
  <c r="AD212" i="2"/>
  <c r="AD323" i="2" s="1"/>
  <c r="AD434" i="2" s="1"/>
  <c r="AD545" i="2" s="1"/>
  <c r="AD656" i="2" s="1"/>
  <c r="AC212" i="2"/>
  <c r="AC323" i="2" s="1"/>
  <c r="AC434" i="2" s="1"/>
  <c r="AC545" i="2" s="1"/>
  <c r="AC656" i="2" s="1"/>
  <c r="AB212" i="2"/>
  <c r="AB323" i="2" s="1"/>
  <c r="AB434" i="2" s="1"/>
  <c r="AB545" i="2" s="1"/>
  <c r="AB656" i="2" s="1"/>
  <c r="AA212" i="2"/>
  <c r="AA323" i="2" s="1"/>
  <c r="AA434" i="2" s="1"/>
  <c r="AA545" i="2" s="1"/>
  <c r="AA656" i="2" s="1"/>
  <c r="Z212" i="2"/>
  <c r="Z323" i="2" s="1"/>
  <c r="Z434" i="2" s="1"/>
  <c r="Z545" i="2" s="1"/>
  <c r="Z656" i="2" s="1"/>
  <c r="Y212" i="2"/>
  <c r="Y323" i="2" s="1"/>
  <c r="Y434" i="2" s="1"/>
  <c r="Y545" i="2" s="1"/>
  <c r="Y656" i="2" s="1"/>
  <c r="X212" i="2"/>
  <c r="X323" i="2" s="1"/>
  <c r="X434" i="2" s="1"/>
  <c r="X545" i="2" s="1"/>
  <c r="X656" i="2" s="1"/>
  <c r="W212" i="2"/>
  <c r="W323" i="2" s="1"/>
  <c r="W434" i="2" s="1"/>
  <c r="W545" i="2" s="1"/>
  <c r="W656" i="2" s="1"/>
  <c r="V212" i="2"/>
  <c r="V323" i="2" s="1"/>
  <c r="V434" i="2" s="1"/>
  <c r="V545" i="2" s="1"/>
  <c r="V656" i="2" s="1"/>
  <c r="U212" i="2"/>
  <c r="U323" i="2" s="1"/>
  <c r="U434" i="2" s="1"/>
  <c r="U545" i="2" s="1"/>
  <c r="U656" i="2" s="1"/>
  <c r="T212" i="2"/>
  <c r="T323" i="2" s="1"/>
  <c r="T434" i="2" s="1"/>
  <c r="T545" i="2" s="1"/>
  <c r="T656" i="2" s="1"/>
  <c r="S212" i="2"/>
  <c r="S323" i="2" s="1"/>
  <c r="S434" i="2" s="1"/>
  <c r="S545" i="2" s="1"/>
  <c r="S656" i="2" s="1"/>
  <c r="R212" i="2"/>
  <c r="R323" i="2" s="1"/>
  <c r="R434" i="2" s="1"/>
  <c r="R545" i="2" s="1"/>
  <c r="R656" i="2" s="1"/>
  <c r="Q212" i="2"/>
  <c r="Q323" i="2" s="1"/>
  <c r="Q434" i="2" s="1"/>
  <c r="Q545" i="2" s="1"/>
  <c r="Q656" i="2" s="1"/>
  <c r="P212" i="2"/>
  <c r="P323" i="2" s="1"/>
  <c r="P434" i="2" s="1"/>
  <c r="P545" i="2" s="1"/>
  <c r="P656" i="2" s="1"/>
  <c r="O212" i="2"/>
  <c r="O323" i="2" s="1"/>
  <c r="O434" i="2" s="1"/>
  <c r="O545" i="2" s="1"/>
  <c r="O656" i="2" s="1"/>
  <c r="N212" i="2"/>
  <c r="N323" i="2" s="1"/>
  <c r="N434" i="2" s="1"/>
  <c r="N545" i="2" s="1"/>
  <c r="N656" i="2" s="1"/>
  <c r="M212" i="2"/>
  <c r="M323" i="2" s="1"/>
  <c r="M434" i="2" s="1"/>
  <c r="M545" i="2" s="1"/>
  <c r="M656" i="2" s="1"/>
  <c r="L212" i="2"/>
  <c r="L323" i="2" s="1"/>
  <c r="L434" i="2" s="1"/>
  <c r="L545" i="2" s="1"/>
  <c r="L656" i="2" s="1"/>
  <c r="J212" i="2"/>
  <c r="J323" i="2" s="1"/>
  <c r="J434" i="2" s="1"/>
  <c r="J545" i="2" s="1"/>
  <c r="J656" i="2" s="1"/>
  <c r="I212" i="2"/>
  <c r="I323" i="2" s="1"/>
  <c r="I434" i="2" s="1"/>
  <c r="I545" i="2" s="1"/>
  <c r="I656" i="2" s="1"/>
  <c r="H212" i="2"/>
  <c r="H323" i="2" s="1"/>
  <c r="H434" i="2" s="1"/>
  <c r="H545" i="2" s="1"/>
  <c r="H656" i="2" s="1"/>
  <c r="G212" i="2"/>
  <c r="G323" i="2" s="1"/>
  <c r="G434" i="2" s="1"/>
  <c r="G545" i="2" s="1"/>
  <c r="G656" i="2" s="1"/>
  <c r="F212" i="2"/>
  <c r="F323" i="2" s="1"/>
  <c r="F434" i="2" s="1"/>
  <c r="F545" i="2" s="1"/>
  <c r="F656" i="2" s="1"/>
  <c r="E212" i="2"/>
  <c r="E323" i="2" s="1"/>
  <c r="E434" i="2" s="1"/>
  <c r="E545" i="2" s="1"/>
  <c r="E656" i="2" s="1"/>
  <c r="D212" i="2"/>
  <c r="D323" i="2" s="1"/>
  <c r="D434" i="2" s="1"/>
  <c r="D545" i="2" s="1"/>
  <c r="D656" i="2" s="1"/>
  <c r="C212" i="2"/>
  <c r="C323" i="2" s="1"/>
  <c r="C434" i="2" s="1"/>
  <c r="C545" i="2" s="1"/>
  <c r="C656" i="2" s="1"/>
  <c r="B212" i="2"/>
  <c r="B323" i="2" s="1"/>
  <c r="B434" i="2" s="1"/>
  <c r="B545" i="2" s="1"/>
  <c r="B656" i="2" s="1"/>
  <c r="AF211" i="2"/>
  <c r="AF322" i="2" s="1"/>
  <c r="AF433" i="2" s="1"/>
  <c r="AF544" i="2" s="1"/>
  <c r="AF655" i="2" s="1"/>
  <c r="AE211" i="2"/>
  <c r="AE322" i="2" s="1"/>
  <c r="AE433" i="2" s="1"/>
  <c r="AE544" i="2" s="1"/>
  <c r="AE655" i="2" s="1"/>
  <c r="AD211" i="2"/>
  <c r="AD322" i="2" s="1"/>
  <c r="AD433" i="2" s="1"/>
  <c r="AD544" i="2" s="1"/>
  <c r="AD655" i="2" s="1"/>
  <c r="AC211" i="2"/>
  <c r="AC322" i="2" s="1"/>
  <c r="AC433" i="2" s="1"/>
  <c r="AC544" i="2" s="1"/>
  <c r="AC655" i="2" s="1"/>
  <c r="AB211" i="2"/>
  <c r="AB322" i="2" s="1"/>
  <c r="AB433" i="2" s="1"/>
  <c r="AB544" i="2" s="1"/>
  <c r="AB655" i="2" s="1"/>
  <c r="AA211" i="2"/>
  <c r="AA322" i="2" s="1"/>
  <c r="AA433" i="2" s="1"/>
  <c r="AA544" i="2" s="1"/>
  <c r="AA655" i="2" s="1"/>
  <c r="Z211" i="2"/>
  <c r="Z322" i="2" s="1"/>
  <c r="Z433" i="2" s="1"/>
  <c r="Z544" i="2" s="1"/>
  <c r="Z655" i="2" s="1"/>
  <c r="Y211" i="2"/>
  <c r="Y322" i="2" s="1"/>
  <c r="Y433" i="2" s="1"/>
  <c r="Y544" i="2" s="1"/>
  <c r="Y655" i="2" s="1"/>
  <c r="X211" i="2"/>
  <c r="X322" i="2" s="1"/>
  <c r="X433" i="2" s="1"/>
  <c r="X544" i="2" s="1"/>
  <c r="X655" i="2" s="1"/>
  <c r="W211" i="2"/>
  <c r="W322" i="2" s="1"/>
  <c r="W433" i="2" s="1"/>
  <c r="W544" i="2" s="1"/>
  <c r="W655" i="2" s="1"/>
  <c r="V211" i="2"/>
  <c r="V322" i="2" s="1"/>
  <c r="V433" i="2" s="1"/>
  <c r="V544" i="2" s="1"/>
  <c r="V655" i="2" s="1"/>
  <c r="U211" i="2"/>
  <c r="U322" i="2" s="1"/>
  <c r="U433" i="2" s="1"/>
  <c r="U544" i="2" s="1"/>
  <c r="U655" i="2" s="1"/>
  <c r="T211" i="2"/>
  <c r="T322" i="2" s="1"/>
  <c r="T433" i="2" s="1"/>
  <c r="T544" i="2" s="1"/>
  <c r="T655" i="2" s="1"/>
  <c r="S211" i="2"/>
  <c r="S322" i="2" s="1"/>
  <c r="S433" i="2" s="1"/>
  <c r="S544" i="2" s="1"/>
  <c r="S655" i="2" s="1"/>
  <c r="R211" i="2"/>
  <c r="R322" i="2" s="1"/>
  <c r="R433" i="2" s="1"/>
  <c r="R544" i="2" s="1"/>
  <c r="R655" i="2" s="1"/>
  <c r="Q211" i="2"/>
  <c r="Q322" i="2" s="1"/>
  <c r="Q433" i="2" s="1"/>
  <c r="Q544" i="2" s="1"/>
  <c r="Q655" i="2" s="1"/>
  <c r="P211" i="2"/>
  <c r="P322" i="2" s="1"/>
  <c r="P433" i="2" s="1"/>
  <c r="P544" i="2" s="1"/>
  <c r="P655" i="2" s="1"/>
  <c r="O211" i="2"/>
  <c r="O322" i="2" s="1"/>
  <c r="O433" i="2" s="1"/>
  <c r="O544" i="2" s="1"/>
  <c r="O655" i="2" s="1"/>
  <c r="N211" i="2"/>
  <c r="N322" i="2" s="1"/>
  <c r="N433" i="2" s="1"/>
  <c r="N544" i="2" s="1"/>
  <c r="N655" i="2" s="1"/>
  <c r="M211" i="2"/>
  <c r="M322" i="2" s="1"/>
  <c r="M433" i="2" s="1"/>
  <c r="M544" i="2" s="1"/>
  <c r="M655" i="2" s="1"/>
  <c r="L211" i="2"/>
  <c r="L322" i="2" s="1"/>
  <c r="L433" i="2" s="1"/>
  <c r="L544" i="2" s="1"/>
  <c r="L655" i="2" s="1"/>
  <c r="J211" i="2"/>
  <c r="J322" i="2" s="1"/>
  <c r="J433" i="2" s="1"/>
  <c r="J544" i="2" s="1"/>
  <c r="J655" i="2" s="1"/>
  <c r="I211" i="2"/>
  <c r="I322" i="2" s="1"/>
  <c r="I433" i="2" s="1"/>
  <c r="I544" i="2" s="1"/>
  <c r="I655" i="2" s="1"/>
  <c r="H211" i="2"/>
  <c r="H322" i="2" s="1"/>
  <c r="H433" i="2" s="1"/>
  <c r="H544" i="2" s="1"/>
  <c r="H655" i="2" s="1"/>
  <c r="G211" i="2"/>
  <c r="G322" i="2" s="1"/>
  <c r="G433" i="2" s="1"/>
  <c r="G544" i="2" s="1"/>
  <c r="G655" i="2" s="1"/>
  <c r="F211" i="2"/>
  <c r="F322" i="2" s="1"/>
  <c r="F433" i="2" s="1"/>
  <c r="F544" i="2" s="1"/>
  <c r="F655" i="2" s="1"/>
  <c r="E211" i="2"/>
  <c r="E322" i="2" s="1"/>
  <c r="E433" i="2" s="1"/>
  <c r="E544" i="2" s="1"/>
  <c r="E655" i="2" s="1"/>
  <c r="D211" i="2"/>
  <c r="D322" i="2" s="1"/>
  <c r="D433" i="2" s="1"/>
  <c r="D544" i="2" s="1"/>
  <c r="D655" i="2" s="1"/>
  <c r="C211" i="2"/>
  <c r="C322" i="2" s="1"/>
  <c r="C433" i="2" s="1"/>
  <c r="C544" i="2" s="1"/>
  <c r="C655" i="2" s="1"/>
  <c r="B211" i="2"/>
  <c r="B322" i="2" s="1"/>
  <c r="B433" i="2" s="1"/>
  <c r="B544" i="2" s="1"/>
  <c r="B655" i="2" s="1"/>
  <c r="AF210" i="2"/>
  <c r="AF321" i="2" s="1"/>
  <c r="AF432" i="2" s="1"/>
  <c r="AF543" i="2" s="1"/>
  <c r="AF654" i="2" s="1"/>
  <c r="AE210" i="2"/>
  <c r="AE321" i="2" s="1"/>
  <c r="AE432" i="2" s="1"/>
  <c r="AE543" i="2" s="1"/>
  <c r="AE654" i="2" s="1"/>
  <c r="AD210" i="2"/>
  <c r="AD321" i="2" s="1"/>
  <c r="AD432" i="2" s="1"/>
  <c r="AD543" i="2" s="1"/>
  <c r="AD654" i="2" s="1"/>
  <c r="AC210" i="2"/>
  <c r="AC321" i="2" s="1"/>
  <c r="AC432" i="2" s="1"/>
  <c r="AC543" i="2" s="1"/>
  <c r="AC654" i="2" s="1"/>
  <c r="AB210" i="2"/>
  <c r="AB321" i="2" s="1"/>
  <c r="AB432" i="2" s="1"/>
  <c r="AB543" i="2" s="1"/>
  <c r="AB654" i="2" s="1"/>
  <c r="AA210" i="2"/>
  <c r="AA321" i="2" s="1"/>
  <c r="AA432" i="2" s="1"/>
  <c r="AA543" i="2" s="1"/>
  <c r="AA654" i="2" s="1"/>
  <c r="Z210" i="2"/>
  <c r="Z321" i="2" s="1"/>
  <c r="Z432" i="2" s="1"/>
  <c r="Z543" i="2" s="1"/>
  <c r="Z654" i="2" s="1"/>
  <c r="X210" i="2"/>
  <c r="X321" i="2" s="1"/>
  <c r="X432" i="2" s="1"/>
  <c r="X543" i="2" s="1"/>
  <c r="X654" i="2" s="1"/>
  <c r="V210" i="2"/>
  <c r="V321" i="2" s="1"/>
  <c r="V432" i="2" s="1"/>
  <c r="V543" i="2" s="1"/>
  <c r="V654" i="2" s="1"/>
  <c r="U210" i="2"/>
  <c r="U321" i="2" s="1"/>
  <c r="U432" i="2" s="1"/>
  <c r="U543" i="2" s="1"/>
  <c r="U654" i="2" s="1"/>
  <c r="T210" i="2"/>
  <c r="T321" i="2" s="1"/>
  <c r="T432" i="2" s="1"/>
  <c r="T543" i="2" s="1"/>
  <c r="T654" i="2" s="1"/>
  <c r="S210" i="2"/>
  <c r="S321" i="2" s="1"/>
  <c r="S432" i="2" s="1"/>
  <c r="S543" i="2" s="1"/>
  <c r="S654" i="2" s="1"/>
  <c r="R210" i="2"/>
  <c r="R321" i="2" s="1"/>
  <c r="R432" i="2" s="1"/>
  <c r="R543" i="2" s="1"/>
  <c r="R654" i="2" s="1"/>
  <c r="Q210" i="2"/>
  <c r="Q321" i="2" s="1"/>
  <c r="Q432" i="2" s="1"/>
  <c r="Q543" i="2" s="1"/>
  <c r="Q654" i="2" s="1"/>
  <c r="P210" i="2"/>
  <c r="P321" i="2" s="1"/>
  <c r="P432" i="2" s="1"/>
  <c r="P543" i="2" s="1"/>
  <c r="P654" i="2" s="1"/>
  <c r="O210" i="2"/>
  <c r="O321" i="2" s="1"/>
  <c r="O432" i="2" s="1"/>
  <c r="O543" i="2" s="1"/>
  <c r="O654" i="2" s="1"/>
  <c r="N210" i="2"/>
  <c r="N321" i="2" s="1"/>
  <c r="N432" i="2" s="1"/>
  <c r="N543" i="2" s="1"/>
  <c r="N654" i="2" s="1"/>
  <c r="M210" i="2"/>
  <c r="M321" i="2" s="1"/>
  <c r="M432" i="2" s="1"/>
  <c r="M543" i="2" s="1"/>
  <c r="M654" i="2" s="1"/>
  <c r="L210" i="2"/>
  <c r="L321" i="2" s="1"/>
  <c r="L432" i="2" s="1"/>
  <c r="L543" i="2" s="1"/>
  <c r="L654" i="2" s="1"/>
  <c r="J210" i="2"/>
  <c r="J321" i="2" s="1"/>
  <c r="J432" i="2" s="1"/>
  <c r="J543" i="2" s="1"/>
  <c r="J654" i="2" s="1"/>
  <c r="I210" i="2"/>
  <c r="I321" i="2" s="1"/>
  <c r="I432" i="2" s="1"/>
  <c r="I543" i="2" s="1"/>
  <c r="I654" i="2" s="1"/>
  <c r="H210" i="2"/>
  <c r="H321" i="2" s="1"/>
  <c r="H432" i="2" s="1"/>
  <c r="H543" i="2" s="1"/>
  <c r="H654" i="2" s="1"/>
  <c r="G210" i="2"/>
  <c r="G321" i="2" s="1"/>
  <c r="G432" i="2" s="1"/>
  <c r="G543" i="2" s="1"/>
  <c r="G654" i="2" s="1"/>
  <c r="F210" i="2"/>
  <c r="F321" i="2" s="1"/>
  <c r="F432" i="2" s="1"/>
  <c r="F543" i="2" s="1"/>
  <c r="F654" i="2" s="1"/>
  <c r="E210" i="2"/>
  <c r="E321" i="2" s="1"/>
  <c r="E432" i="2" s="1"/>
  <c r="E543" i="2" s="1"/>
  <c r="E654" i="2" s="1"/>
  <c r="C210" i="2"/>
  <c r="C321" i="2" s="1"/>
  <c r="C432" i="2" s="1"/>
  <c r="C543" i="2" s="1"/>
  <c r="C654" i="2" s="1"/>
  <c r="B210" i="2"/>
  <c r="B321" i="2" s="1"/>
  <c r="B432" i="2" s="1"/>
  <c r="B543" i="2" s="1"/>
  <c r="B654" i="2" s="1"/>
  <c r="AF209" i="2"/>
  <c r="AF320" i="2" s="1"/>
  <c r="AF431" i="2" s="1"/>
  <c r="AF542" i="2" s="1"/>
  <c r="AF653" i="2" s="1"/>
  <c r="AE209" i="2"/>
  <c r="AE320" i="2" s="1"/>
  <c r="AE431" i="2" s="1"/>
  <c r="AE542" i="2" s="1"/>
  <c r="AE653" i="2" s="1"/>
  <c r="AD209" i="2"/>
  <c r="AD320" i="2" s="1"/>
  <c r="AD431" i="2" s="1"/>
  <c r="AD542" i="2" s="1"/>
  <c r="AD653" i="2" s="1"/>
  <c r="AC209" i="2"/>
  <c r="AC320" i="2" s="1"/>
  <c r="AC431" i="2" s="1"/>
  <c r="AC542" i="2" s="1"/>
  <c r="AC653" i="2" s="1"/>
  <c r="AB209" i="2"/>
  <c r="AB320" i="2" s="1"/>
  <c r="AB431" i="2" s="1"/>
  <c r="AB542" i="2" s="1"/>
  <c r="AB653" i="2" s="1"/>
  <c r="AA209" i="2"/>
  <c r="AA320" i="2" s="1"/>
  <c r="AA431" i="2" s="1"/>
  <c r="AA542" i="2" s="1"/>
  <c r="AA653" i="2" s="1"/>
  <c r="Z209" i="2"/>
  <c r="Z320" i="2" s="1"/>
  <c r="Z431" i="2" s="1"/>
  <c r="Z542" i="2" s="1"/>
  <c r="Z653" i="2" s="1"/>
  <c r="X209" i="2"/>
  <c r="X320" i="2" s="1"/>
  <c r="X431" i="2" s="1"/>
  <c r="X542" i="2" s="1"/>
  <c r="X653" i="2" s="1"/>
  <c r="V209" i="2"/>
  <c r="V320" i="2" s="1"/>
  <c r="V431" i="2" s="1"/>
  <c r="V542" i="2" s="1"/>
  <c r="V653" i="2" s="1"/>
  <c r="U209" i="2"/>
  <c r="U320" i="2" s="1"/>
  <c r="U431" i="2" s="1"/>
  <c r="U542" i="2" s="1"/>
  <c r="U653" i="2" s="1"/>
  <c r="T209" i="2"/>
  <c r="T320" i="2" s="1"/>
  <c r="T431" i="2" s="1"/>
  <c r="T542" i="2" s="1"/>
  <c r="T653" i="2" s="1"/>
  <c r="S209" i="2"/>
  <c r="S320" i="2" s="1"/>
  <c r="S431" i="2" s="1"/>
  <c r="S542" i="2" s="1"/>
  <c r="S653" i="2" s="1"/>
  <c r="R209" i="2"/>
  <c r="R320" i="2" s="1"/>
  <c r="R431" i="2" s="1"/>
  <c r="R542" i="2" s="1"/>
  <c r="R653" i="2" s="1"/>
  <c r="Q209" i="2"/>
  <c r="Q320" i="2" s="1"/>
  <c r="Q431" i="2" s="1"/>
  <c r="Q542" i="2" s="1"/>
  <c r="Q653" i="2" s="1"/>
  <c r="P209" i="2"/>
  <c r="P320" i="2" s="1"/>
  <c r="P431" i="2" s="1"/>
  <c r="P542" i="2" s="1"/>
  <c r="P653" i="2" s="1"/>
  <c r="O209" i="2"/>
  <c r="O320" i="2" s="1"/>
  <c r="O431" i="2" s="1"/>
  <c r="O542" i="2" s="1"/>
  <c r="O653" i="2" s="1"/>
  <c r="N209" i="2"/>
  <c r="N320" i="2" s="1"/>
  <c r="N431" i="2" s="1"/>
  <c r="N542" i="2" s="1"/>
  <c r="N653" i="2" s="1"/>
  <c r="M209" i="2"/>
  <c r="M320" i="2" s="1"/>
  <c r="M431" i="2" s="1"/>
  <c r="M542" i="2" s="1"/>
  <c r="M653" i="2" s="1"/>
  <c r="L209" i="2"/>
  <c r="L320" i="2" s="1"/>
  <c r="L431" i="2" s="1"/>
  <c r="L542" i="2" s="1"/>
  <c r="L653" i="2" s="1"/>
  <c r="J209" i="2"/>
  <c r="J320" i="2" s="1"/>
  <c r="J431" i="2" s="1"/>
  <c r="J542" i="2" s="1"/>
  <c r="J653" i="2" s="1"/>
  <c r="I209" i="2"/>
  <c r="I320" i="2" s="1"/>
  <c r="I431" i="2" s="1"/>
  <c r="I542" i="2" s="1"/>
  <c r="I653" i="2" s="1"/>
  <c r="H209" i="2"/>
  <c r="H320" i="2" s="1"/>
  <c r="H431" i="2" s="1"/>
  <c r="H542" i="2" s="1"/>
  <c r="H653" i="2" s="1"/>
  <c r="G209" i="2"/>
  <c r="G320" i="2" s="1"/>
  <c r="G431" i="2" s="1"/>
  <c r="G542" i="2" s="1"/>
  <c r="G653" i="2" s="1"/>
  <c r="F209" i="2"/>
  <c r="F320" i="2" s="1"/>
  <c r="F431" i="2" s="1"/>
  <c r="F542" i="2" s="1"/>
  <c r="F653" i="2" s="1"/>
  <c r="E209" i="2"/>
  <c r="E320" i="2" s="1"/>
  <c r="E431" i="2" s="1"/>
  <c r="E542" i="2" s="1"/>
  <c r="E653" i="2" s="1"/>
  <c r="C209" i="2"/>
  <c r="C320" i="2" s="1"/>
  <c r="C431" i="2" s="1"/>
  <c r="C542" i="2" s="1"/>
  <c r="C653" i="2" s="1"/>
  <c r="B209" i="2"/>
  <c r="B320" i="2" s="1"/>
  <c r="B431" i="2" s="1"/>
  <c r="B542" i="2" s="1"/>
  <c r="B653" i="2" s="1"/>
  <c r="AF208" i="2"/>
  <c r="AF319" i="2" s="1"/>
  <c r="AF430" i="2" s="1"/>
  <c r="AF541" i="2" s="1"/>
  <c r="AF652" i="2" s="1"/>
  <c r="AE208" i="2"/>
  <c r="AE319" i="2" s="1"/>
  <c r="AE430" i="2" s="1"/>
  <c r="AE541" i="2" s="1"/>
  <c r="AE652" i="2" s="1"/>
  <c r="AD208" i="2"/>
  <c r="AD319" i="2" s="1"/>
  <c r="AD430" i="2" s="1"/>
  <c r="AD541" i="2" s="1"/>
  <c r="AD652" i="2" s="1"/>
  <c r="AC208" i="2"/>
  <c r="AC319" i="2" s="1"/>
  <c r="AC430" i="2" s="1"/>
  <c r="AC541" i="2" s="1"/>
  <c r="AC652" i="2" s="1"/>
  <c r="AB208" i="2"/>
  <c r="AB319" i="2" s="1"/>
  <c r="AB430" i="2" s="1"/>
  <c r="AB541" i="2" s="1"/>
  <c r="AB652" i="2" s="1"/>
  <c r="AA208" i="2"/>
  <c r="AA319" i="2" s="1"/>
  <c r="AA430" i="2" s="1"/>
  <c r="AA541" i="2" s="1"/>
  <c r="AA652" i="2" s="1"/>
  <c r="Z208" i="2"/>
  <c r="Z319" i="2" s="1"/>
  <c r="Z430" i="2" s="1"/>
  <c r="Z541" i="2" s="1"/>
  <c r="Z652" i="2" s="1"/>
  <c r="X208" i="2"/>
  <c r="X319" i="2" s="1"/>
  <c r="X430" i="2" s="1"/>
  <c r="X541" i="2" s="1"/>
  <c r="X652" i="2" s="1"/>
  <c r="V208" i="2"/>
  <c r="V319" i="2" s="1"/>
  <c r="V430" i="2" s="1"/>
  <c r="V541" i="2" s="1"/>
  <c r="V652" i="2" s="1"/>
  <c r="U208" i="2"/>
  <c r="U319" i="2" s="1"/>
  <c r="U430" i="2" s="1"/>
  <c r="U541" i="2" s="1"/>
  <c r="U652" i="2" s="1"/>
  <c r="T208" i="2"/>
  <c r="T319" i="2" s="1"/>
  <c r="T430" i="2" s="1"/>
  <c r="T541" i="2" s="1"/>
  <c r="T652" i="2" s="1"/>
  <c r="S208" i="2"/>
  <c r="S319" i="2" s="1"/>
  <c r="S430" i="2" s="1"/>
  <c r="S541" i="2" s="1"/>
  <c r="S652" i="2" s="1"/>
  <c r="R208" i="2"/>
  <c r="R319" i="2" s="1"/>
  <c r="R430" i="2" s="1"/>
  <c r="R541" i="2" s="1"/>
  <c r="R652" i="2" s="1"/>
  <c r="Q208" i="2"/>
  <c r="Q319" i="2" s="1"/>
  <c r="Q430" i="2" s="1"/>
  <c r="Q541" i="2" s="1"/>
  <c r="Q652" i="2" s="1"/>
  <c r="P208" i="2"/>
  <c r="P319" i="2" s="1"/>
  <c r="P430" i="2" s="1"/>
  <c r="P541" i="2" s="1"/>
  <c r="P652" i="2" s="1"/>
  <c r="O208" i="2"/>
  <c r="O319" i="2" s="1"/>
  <c r="O430" i="2" s="1"/>
  <c r="O541" i="2" s="1"/>
  <c r="O652" i="2" s="1"/>
  <c r="N208" i="2"/>
  <c r="N319" i="2" s="1"/>
  <c r="N430" i="2" s="1"/>
  <c r="N541" i="2" s="1"/>
  <c r="N652" i="2" s="1"/>
  <c r="M208" i="2"/>
  <c r="M319" i="2" s="1"/>
  <c r="M430" i="2" s="1"/>
  <c r="M541" i="2" s="1"/>
  <c r="M652" i="2" s="1"/>
  <c r="L208" i="2"/>
  <c r="L319" i="2" s="1"/>
  <c r="L430" i="2" s="1"/>
  <c r="L541" i="2" s="1"/>
  <c r="L652" i="2" s="1"/>
  <c r="J208" i="2"/>
  <c r="J319" i="2" s="1"/>
  <c r="J430" i="2" s="1"/>
  <c r="J541" i="2" s="1"/>
  <c r="J652" i="2" s="1"/>
  <c r="I208" i="2"/>
  <c r="I319" i="2" s="1"/>
  <c r="I430" i="2" s="1"/>
  <c r="I541" i="2" s="1"/>
  <c r="I652" i="2" s="1"/>
  <c r="H208" i="2"/>
  <c r="H319" i="2" s="1"/>
  <c r="H430" i="2" s="1"/>
  <c r="H541" i="2" s="1"/>
  <c r="H652" i="2" s="1"/>
  <c r="G208" i="2"/>
  <c r="G319" i="2" s="1"/>
  <c r="G430" i="2" s="1"/>
  <c r="G541" i="2" s="1"/>
  <c r="G652" i="2" s="1"/>
  <c r="F208" i="2"/>
  <c r="F319" i="2" s="1"/>
  <c r="F430" i="2" s="1"/>
  <c r="F541" i="2" s="1"/>
  <c r="F652" i="2" s="1"/>
  <c r="E208" i="2"/>
  <c r="E319" i="2" s="1"/>
  <c r="E430" i="2" s="1"/>
  <c r="E541" i="2" s="1"/>
  <c r="E652" i="2" s="1"/>
  <c r="D208" i="2"/>
  <c r="D319" i="2" s="1"/>
  <c r="D430" i="2" s="1"/>
  <c r="D541" i="2" s="1"/>
  <c r="D652" i="2" s="1"/>
  <c r="C208" i="2"/>
  <c r="C319" i="2" s="1"/>
  <c r="C430" i="2" s="1"/>
  <c r="C541" i="2" s="1"/>
  <c r="C652" i="2" s="1"/>
  <c r="B208" i="2"/>
  <c r="B319" i="2" s="1"/>
  <c r="B430" i="2" s="1"/>
  <c r="B541" i="2" s="1"/>
  <c r="B652" i="2" s="1"/>
  <c r="AF207" i="2"/>
  <c r="AF318" i="2" s="1"/>
  <c r="AF429" i="2" s="1"/>
  <c r="AF540" i="2" s="1"/>
  <c r="AF651" i="2" s="1"/>
  <c r="AE207" i="2"/>
  <c r="AE318" i="2" s="1"/>
  <c r="AE429" i="2" s="1"/>
  <c r="AE540" i="2" s="1"/>
  <c r="AE651" i="2" s="1"/>
  <c r="AD207" i="2"/>
  <c r="AD318" i="2" s="1"/>
  <c r="AD429" i="2" s="1"/>
  <c r="AD540" i="2" s="1"/>
  <c r="AD651" i="2" s="1"/>
  <c r="AC207" i="2"/>
  <c r="AC318" i="2" s="1"/>
  <c r="AC429" i="2" s="1"/>
  <c r="AC540" i="2" s="1"/>
  <c r="AC651" i="2" s="1"/>
  <c r="AB207" i="2"/>
  <c r="AB318" i="2" s="1"/>
  <c r="AB429" i="2" s="1"/>
  <c r="AB540" i="2" s="1"/>
  <c r="AB651" i="2" s="1"/>
  <c r="AA207" i="2"/>
  <c r="AA318" i="2" s="1"/>
  <c r="AA429" i="2" s="1"/>
  <c r="AA540" i="2" s="1"/>
  <c r="AA651" i="2" s="1"/>
  <c r="Z207" i="2"/>
  <c r="Z318" i="2" s="1"/>
  <c r="Z429" i="2" s="1"/>
  <c r="Z540" i="2" s="1"/>
  <c r="Z651" i="2" s="1"/>
  <c r="X207" i="2"/>
  <c r="X318" i="2" s="1"/>
  <c r="X429" i="2" s="1"/>
  <c r="X540" i="2" s="1"/>
  <c r="X651" i="2" s="1"/>
  <c r="V207" i="2"/>
  <c r="V318" i="2" s="1"/>
  <c r="V429" i="2" s="1"/>
  <c r="V540" i="2" s="1"/>
  <c r="V651" i="2" s="1"/>
  <c r="U207" i="2"/>
  <c r="U318" i="2" s="1"/>
  <c r="U429" i="2" s="1"/>
  <c r="U540" i="2" s="1"/>
  <c r="U651" i="2" s="1"/>
  <c r="T207" i="2"/>
  <c r="T318" i="2" s="1"/>
  <c r="T429" i="2" s="1"/>
  <c r="T540" i="2" s="1"/>
  <c r="T651" i="2" s="1"/>
  <c r="S207" i="2"/>
  <c r="S318" i="2" s="1"/>
  <c r="S429" i="2" s="1"/>
  <c r="S540" i="2" s="1"/>
  <c r="S651" i="2" s="1"/>
  <c r="R207" i="2"/>
  <c r="R318" i="2" s="1"/>
  <c r="R429" i="2" s="1"/>
  <c r="R540" i="2" s="1"/>
  <c r="R651" i="2" s="1"/>
  <c r="Q207" i="2"/>
  <c r="Q318" i="2" s="1"/>
  <c r="Q429" i="2" s="1"/>
  <c r="Q540" i="2" s="1"/>
  <c r="Q651" i="2" s="1"/>
  <c r="P207" i="2"/>
  <c r="P318" i="2" s="1"/>
  <c r="P429" i="2" s="1"/>
  <c r="P540" i="2" s="1"/>
  <c r="P651" i="2" s="1"/>
  <c r="O207" i="2"/>
  <c r="O318" i="2" s="1"/>
  <c r="O429" i="2" s="1"/>
  <c r="O540" i="2" s="1"/>
  <c r="O651" i="2" s="1"/>
  <c r="N207" i="2"/>
  <c r="N318" i="2" s="1"/>
  <c r="N429" i="2" s="1"/>
  <c r="N540" i="2" s="1"/>
  <c r="N651" i="2" s="1"/>
  <c r="M207" i="2"/>
  <c r="M318" i="2" s="1"/>
  <c r="M429" i="2" s="1"/>
  <c r="M540" i="2" s="1"/>
  <c r="M651" i="2" s="1"/>
  <c r="L207" i="2"/>
  <c r="L318" i="2" s="1"/>
  <c r="L429" i="2" s="1"/>
  <c r="L540" i="2" s="1"/>
  <c r="L651" i="2" s="1"/>
  <c r="J207" i="2"/>
  <c r="J318" i="2" s="1"/>
  <c r="J429" i="2" s="1"/>
  <c r="J540" i="2" s="1"/>
  <c r="J651" i="2" s="1"/>
  <c r="I207" i="2"/>
  <c r="I318" i="2" s="1"/>
  <c r="I429" i="2" s="1"/>
  <c r="I540" i="2" s="1"/>
  <c r="I651" i="2" s="1"/>
  <c r="H207" i="2"/>
  <c r="H318" i="2" s="1"/>
  <c r="H429" i="2" s="1"/>
  <c r="H540" i="2" s="1"/>
  <c r="H651" i="2" s="1"/>
  <c r="G207" i="2"/>
  <c r="G318" i="2" s="1"/>
  <c r="G429" i="2" s="1"/>
  <c r="G540" i="2" s="1"/>
  <c r="G651" i="2" s="1"/>
  <c r="F207" i="2"/>
  <c r="F318" i="2" s="1"/>
  <c r="F429" i="2" s="1"/>
  <c r="F540" i="2" s="1"/>
  <c r="F651" i="2" s="1"/>
  <c r="E207" i="2"/>
  <c r="E318" i="2" s="1"/>
  <c r="E429" i="2" s="1"/>
  <c r="E540" i="2" s="1"/>
  <c r="E651" i="2" s="1"/>
  <c r="D207" i="2"/>
  <c r="D318" i="2" s="1"/>
  <c r="D429" i="2" s="1"/>
  <c r="D540" i="2" s="1"/>
  <c r="D651" i="2" s="1"/>
  <c r="C207" i="2"/>
  <c r="C318" i="2" s="1"/>
  <c r="C429" i="2" s="1"/>
  <c r="C540" i="2" s="1"/>
  <c r="C651" i="2" s="1"/>
  <c r="B207" i="2"/>
  <c r="B318" i="2" s="1"/>
  <c r="B429" i="2" s="1"/>
  <c r="B540" i="2" s="1"/>
  <c r="B651" i="2" s="1"/>
  <c r="AF206" i="2"/>
  <c r="AF317" i="2" s="1"/>
  <c r="AF428" i="2" s="1"/>
  <c r="AF539" i="2" s="1"/>
  <c r="AF650" i="2" s="1"/>
  <c r="AE206" i="2"/>
  <c r="AE317" i="2" s="1"/>
  <c r="AE428" i="2" s="1"/>
  <c r="AE539" i="2" s="1"/>
  <c r="AE650" i="2" s="1"/>
  <c r="AD206" i="2"/>
  <c r="AD317" i="2" s="1"/>
  <c r="AD428" i="2" s="1"/>
  <c r="AD539" i="2" s="1"/>
  <c r="AD650" i="2" s="1"/>
  <c r="AC206" i="2"/>
  <c r="AC317" i="2" s="1"/>
  <c r="AC428" i="2" s="1"/>
  <c r="AC539" i="2" s="1"/>
  <c r="AC650" i="2" s="1"/>
  <c r="AB206" i="2"/>
  <c r="AB317" i="2" s="1"/>
  <c r="AB428" i="2" s="1"/>
  <c r="AB539" i="2" s="1"/>
  <c r="AB650" i="2" s="1"/>
  <c r="AA206" i="2"/>
  <c r="AA317" i="2" s="1"/>
  <c r="AA428" i="2" s="1"/>
  <c r="AA539" i="2" s="1"/>
  <c r="AA650" i="2" s="1"/>
  <c r="Z206" i="2"/>
  <c r="Z317" i="2" s="1"/>
  <c r="Z428" i="2" s="1"/>
  <c r="Z539" i="2" s="1"/>
  <c r="Z650" i="2" s="1"/>
  <c r="X206" i="2"/>
  <c r="X317" i="2" s="1"/>
  <c r="X428" i="2" s="1"/>
  <c r="X539" i="2" s="1"/>
  <c r="X650" i="2" s="1"/>
  <c r="V206" i="2"/>
  <c r="V317" i="2" s="1"/>
  <c r="V428" i="2" s="1"/>
  <c r="V539" i="2" s="1"/>
  <c r="V650" i="2" s="1"/>
  <c r="U206" i="2"/>
  <c r="U317" i="2" s="1"/>
  <c r="U428" i="2" s="1"/>
  <c r="U539" i="2" s="1"/>
  <c r="U650" i="2" s="1"/>
  <c r="T206" i="2"/>
  <c r="T317" i="2" s="1"/>
  <c r="T428" i="2" s="1"/>
  <c r="T539" i="2" s="1"/>
  <c r="T650" i="2" s="1"/>
  <c r="S206" i="2"/>
  <c r="S317" i="2" s="1"/>
  <c r="S428" i="2" s="1"/>
  <c r="S539" i="2" s="1"/>
  <c r="S650" i="2" s="1"/>
  <c r="R206" i="2"/>
  <c r="R317" i="2" s="1"/>
  <c r="R428" i="2" s="1"/>
  <c r="R539" i="2" s="1"/>
  <c r="R650" i="2" s="1"/>
  <c r="Q206" i="2"/>
  <c r="Q317" i="2" s="1"/>
  <c r="Q428" i="2" s="1"/>
  <c r="Q539" i="2" s="1"/>
  <c r="Q650" i="2" s="1"/>
  <c r="P206" i="2"/>
  <c r="P317" i="2" s="1"/>
  <c r="P428" i="2" s="1"/>
  <c r="P539" i="2" s="1"/>
  <c r="P650" i="2" s="1"/>
  <c r="O206" i="2"/>
  <c r="O317" i="2" s="1"/>
  <c r="O428" i="2" s="1"/>
  <c r="O539" i="2" s="1"/>
  <c r="O650" i="2" s="1"/>
  <c r="N206" i="2"/>
  <c r="N317" i="2" s="1"/>
  <c r="N428" i="2" s="1"/>
  <c r="N539" i="2" s="1"/>
  <c r="N650" i="2" s="1"/>
  <c r="M206" i="2"/>
  <c r="M317" i="2" s="1"/>
  <c r="M428" i="2" s="1"/>
  <c r="M539" i="2" s="1"/>
  <c r="M650" i="2" s="1"/>
  <c r="L206" i="2"/>
  <c r="L317" i="2" s="1"/>
  <c r="L428" i="2" s="1"/>
  <c r="L539" i="2" s="1"/>
  <c r="L650" i="2" s="1"/>
  <c r="J206" i="2"/>
  <c r="J317" i="2" s="1"/>
  <c r="J428" i="2" s="1"/>
  <c r="J539" i="2" s="1"/>
  <c r="J650" i="2" s="1"/>
  <c r="I206" i="2"/>
  <c r="I317" i="2" s="1"/>
  <c r="I428" i="2" s="1"/>
  <c r="I539" i="2" s="1"/>
  <c r="I650" i="2" s="1"/>
  <c r="H206" i="2"/>
  <c r="H317" i="2" s="1"/>
  <c r="H428" i="2" s="1"/>
  <c r="H539" i="2" s="1"/>
  <c r="H650" i="2" s="1"/>
  <c r="G206" i="2"/>
  <c r="G317" i="2" s="1"/>
  <c r="G428" i="2" s="1"/>
  <c r="G539" i="2" s="1"/>
  <c r="G650" i="2" s="1"/>
  <c r="F206" i="2"/>
  <c r="F317" i="2" s="1"/>
  <c r="F428" i="2" s="1"/>
  <c r="F539" i="2" s="1"/>
  <c r="F650" i="2" s="1"/>
  <c r="E206" i="2"/>
  <c r="E317" i="2" s="1"/>
  <c r="E428" i="2" s="1"/>
  <c r="E539" i="2" s="1"/>
  <c r="E650" i="2" s="1"/>
  <c r="D206" i="2"/>
  <c r="D317" i="2" s="1"/>
  <c r="D428" i="2" s="1"/>
  <c r="D539" i="2" s="1"/>
  <c r="D650" i="2" s="1"/>
  <c r="C206" i="2"/>
  <c r="C317" i="2" s="1"/>
  <c r="C428" i="2" s="1"/>
  <c r="C539" i="2" s="1"/>
  <c r="C650" i="2" s="1"/>
  <c r="B206" i="2"/>
  <c r="B317" i="2" s="1"/>
  <c r="B428" i="2" s="1"/>
  <c r="B539" i="2" s="1"/>
  <c r="B650" i="2" s="1"/>
  <c r="AF205" i="2"/>
  <c r="AF316" i="2" s="1"/>
  <c r="AF427" i="2" s="1"/>
  <c r="AF538" i="2" s="1"/>
  <c r="AF649" i="2" s="1"/>
  <c r="AE205" i="2"/>
  <c r="AE316" i="2" s="1"/>
  <c r="AE427" i="2" s="1"/>
  <c r="AE538" i="2" s="1"/>
  <c r="AE649" i="2" s="1"/>
  <c r="AD205" i="2"/>
  <c r="AD316" i="2" s="1"/>
  <c r="AD427" i="2" s="1"/>
  <c r="AD538" i="2" s="1"/>
  <c r="AD649" i="2" s="1"/>
  <c r="AC205" i="2"/>
  <c r="AC316" i="2" s="1"/>
  <c r="AC427" i="2" s="1"/>
  <c r="AC538" i="2" s="1"/>
  <c r="AC649" i="2" s="1"/>
  <c r="AB205" i="2"/>
  <c r="AB316" i="2" s="1"/>
  <c r="AB427" i="2" s="1"/>
  <c r="AB538" i="2" s="1"/>
  <c r="AB649" i="2" s="1"/>
  <c r="AA205" i="2"/>
  <c r="AA316" i="2" s="1"/>
  <c r="AA427" i="2" s="1"/>
  <c r="AA538" i="2" s="1"/>
  <c r="AA649" i="2" s="1"/>
  <c r="Z205" i="2"/>
  <c r="Z316" i="2" s="1"/>
  <c r="Z427" i="2" s="1"/>
  <c r="Z538" i="2" s="1"/>
  <c r="Z649" i="2" s="1"/>
  <c r="X205" i="2"/>
  <c r="X316" i="2" s="1"/>
  <c r="X427" i="2" s="1"/>
  <c r="X538" i="2" s="1"/>
  <c r="X649" i="2" s="1"/>
  <c r="V205" i="2"/>
  <c r="V316" i="2" s="1"/>
  <c r="V427" i="2" s="1"/>
  <c r="V538" i="2" s="1"/>
  <c r="V649" i="2" s="1"/>
  <c r="U205" i="2"/>
  <c r="U316" i="2" s="1"/>
  <c r="U427" i="2" s="1"/>
  <c r="U538" i="2" s="1"/>
  <c r="U649" i="2" s="1"/>
  <c r="T205" i="2"/>
  <c r="T316" i="2" s="1"/>
  <c r="T427" i="2" s="1"/>
  <c r="T538" i="2" s="1"/>
  <c r="T649" i="2" s="1"/>
  <c r="S205" i="2"/>
  <c r="S316" i="2" s="1"/>
  <c r="S427" i="2" s="1"/>
  <c r="S538" i="2" s="1"/>
  <c r="S649" i="2" s="1"/>
  <c r="R205" i="2"/>
  <c r="R316" i="2" s="1"/>
  <c r="R427" i="2" s="1"/>
  <c r="R538" i="2" s="1"/>
  <c r="R649" i="2" s="1"/>
  <c r="Q205" i="2"/>
  <c r="Q316" i="2" s="1"/>
  <c r="Q427" i="2" s="1"/>
  <c r="Q538" i="2" s="1"/>
  <c r="Q649" i="2" s="1"/>
  <c r="P205" i="2"/>
  <c r="P316" i="2" s="1"/>
  <c r="P427" i="2" s="1"/>
  <c r="P538" i="2" s="1"/>
  <c r="P649" i="2" s="1"/>
  <c r="O205" i="2"/>
  <c r="O316" i="2" s="1"/>
  <c r="O427" i="2" s="1"/>
  <c r="O538" i="2" s="1"/>
  <c r="O649" i="2" s="1"/>
  <c r="N205" i="2"/>
  <c r="N316" i="2" s="1"/>
  <c r="N427" i="2" s="1"/>
  <c r="N538" i="2" s="1"/>
  <c r="N649" i="2" s="1"/>
  <c r="M205" i="2"/>
  <c r="M316" i="2" s="1"/>
  <c r="M427" i="2" s="1"/>
  <c r="M538" i="2" s="1"/>
  <c r="M649" i="2" s="1"/>
  <c r="L205" i="2"/>
  <c r="L316" i="2" s="1"/>
  <c r="L427" i="2" s="1"/>
  <c r="L538" i="2" s="1"/>
  <c r="L649" i="2" s="1"/>
  <c r="J205" i="2"/>
  <c r="J316" i="2" s="1"/>
  <c r="J427" i="2" s="1"/>
  <c r="J538" i="2" s="1"/>
  <c r="J649" i="2" s="1"/>
  <c r="I205" i="2"/>
  <c r="I316" i="2" s="1"/>
  <c r="I427" i="2" s="1"/>
  <c r="I538" i="2" s="1"/>
  <c r="I649" i="2" s="1"/>
  <c r="H205" i="2"/>
  <c r="H316" i="2" s="1"/>
  <c r="H427" i="2" s="1"/>
  <c r="H538" i="2" s="1"/>
  <c r="H649" i="2" s="1"/>
  <c r="G205" i="2"/>
  <c r="G316" i="2" s="1"/>
  <c r="G427" i="2" s="1"/>
  <c r="G538" i="2" s="1"/>
  <c r="G649" i="2" s="1"/>
  <c r="F205" i="2"/>
  <c r="F316" i="2" s="1"/>
  <c r="F427" i="2" s="1"/>
  <c r="F538" i="2" s="1"/>
  <c r="F649" i="2" s="1"/>
  <c r="E205" i="2"/>
  <c r="E316" i="2" s="1"/>
  <c r="E427" i="2" s="1"/>
  <c r="E538" i="2" s="1"/>
  <c r="E649" i="2" s="1"/>
  <c r="D205" i="2"/>
  <c r="D316" i="2" s="1"/>
  <c r="D427" i="2" s="1"/>
  <c r="D538" i="2" s="1"/>
  <c r="D649" i="2" s="1"/>
  <c r="C205" i="2"/>
  <c r="C316" i="2" s="1"/>
  <c r="C427" i="2" s="1"/>
  <c r="C538" i="2" s="1"/>
  <c r="C649" i="2" s="1"/>
  <c r="B205" i="2"/>
  <c r="B316" i="2" s="1"/>
  <c r="B427" i="2" s="1"/>
  <c r="B538" i="2" s="1"/>
  <c r="B649" i="2" s="1"/>
  <c r="AF204" i="2"/>
  <c r="AF315" i="2" s="1"/>
  <c r="AF426" i="2" s="1"/>
  <c r="AF537" i="2" s="1"/>
  <c r="AF648" i="2" s="1"/>
  <c r="AE204" i="2"/>
  <c r="AE315" i="2" s="1"/>
  <c r="AE426" i="2" s="1"/>
  <c r="AE537" i="2" s="1"/>
  <c r="AE648" i="2" s="1"/>
  <c r="AD204" i="2"/>
  <c r="AD315" i="2" s="1"/>
  <c r="AD426" i="2" s="1"/>
  <c r="AD537" i="2" s="1"/>
  <c r="AD648" i="2" s="1"/>
  <c r="AC204" i="2"/>
  <c r="AC315" i="2" s="1"/>
  <c r="AC426" i="2" s="1"/>
  <c r="AC537" i="2" s="1"/>
  <c r="AC648" i="2" s="1"/>
  <c r="AB204" i="2"/>
  <c r="AB315" i="2" s="1"/>
  <c r="AB426" i="2" s="1"/>
  <c r="AB537" i="2" s="1"/>
  <c r="AB648" i="2" s="1"/>
  <c r="AA204" i="2"/>
  <c r="AA315" i="2" s="1"/>
  <c r="AA426" i="2" s="1"/>
  <c r="AA537" i="2" s="1"/>
  <c r="AA648" i="2" s="1"/>
  <c r="Z204" i="2"/>
  <c r="Z315" i="2" s="1"/>
  <c r="Z426" i="2" s="1"/>
  <c r="Z537" i="2" s="1"/>
  <c r="Z648" i="2" s="1"/>
  <c r="X204" i="2"/>
  <c r="X315" i="2" s="1"/>
  <c r="X426" i="2" s="1"/>
  <c r="X537" i="2" s="1"/>
  <c r="X648" i="2" s="1"/>
  <c r="V204" i="2"/>
  <c r="V315" i="2" s="1"/>
  <c r="V426" i="2" s="1"/>
  <c r="V537" i="2" s="1"/>
  <c r="V648" i="2" s="1"/>
  <c r="U204" i="2"/>
  <c r="U315" i="2" s="1"/>
  <c r="U426" i="2" s="1"/>
  <c r="U537" i="2" s="1"/>
  <c r="U648" i="2" s="1"/>
  <c r="T204" i="2"/>
  <c r="T315" i="2" s="1"/>
  <c r="T426" i="2" s="1"/>
  <c r="T537" i="2" s="1"/>
  <c r="T648" i="2" s="1"/>
  <c r="S204" i="2"/>
  <c r="S315" i="2" s="1"/>
  <c r="S426" i="2" s="1"/>
  <c r="S537" i="2" s="1"/>
  <c r="S648" i="2" s="1"/>
  <c r="R204" i="2"/>
  <c r="R315" i="2" s="1"/>
  <c r="R426" i="2" s="1"/>
  <c r="R537" i="2" s="1"/>
  <c r="R648" i="2" s="1"/>
  <c r="Q204" i="2"/>
  <c r="Q315" i="2" s="1"/>
  <c r="Q426" i="2" s="1"/>
  <c r="Q537" i="2" s="1"/>
  <c r="Q648" i="2" s="1"/>
  <c r="P204" i="2"/>
  <c r="P315" i="2" s="1"/>
  <c r="P426" i="2" s="1"/>
  <c r="P537" i="2" s="1"/>
  <c r="P648" i="2" s="1"/>
  <c r="O204" i="2"/>
  <c r="O315" i="2" s="1"/>
  <c r="O426" i="2" s="1"/>
  <c r="O537" i="2" s="1"/>
  <c r="O648" i="2" s="1"/>
  <c r="N204" i="2"/>
  <c r="N315" i="2" s="1"/>
  <c r="N426" i="2" s="1"/>
  <c r="N537" i="2" s="1"/>
  <c r="N648" i="2" s="1"/>
  <c r="M204" i="2"/>
  <c r="M315" i="2" s="1"/>
  <c r="M426" i="2" s="1"/>
  <c r="M537" i="2" s="1"/>
  <c r="M648" i="2" s="1"/>
  <c r="L204" i="2"/>
  <c r="L315" i="2" s="1"/>
  <c r="L426" i="2" s="1"/>
  <c r="L537" i="2" s="1"/>
  <c r="L648" i="2" s="1"/>
  <c r="J204" i="2"/>
  <c r="J315" i="2" s="1"/>
  <c r="J426" i="2" s="1"/>
  <c r="J537" i="2" s="1"/>
  <c r="J648" i="2" s="1"/>
  <c r="I204" i="2"/>
  <c r="I315" i="2" s="1"/>
  <c r="I426" i="2" s="1"/>
  <c r="I537" i="2" s="1"/>
  <c r="I648" i="2" s="1"/>
  <c r="H204" i="2"/>
  <c r="H315" i="2" s="1"/>
  <c r="H426" i="2" s="1"/>
  <c r="H537" i="2" s="1"/>
  <c r="H648" i="2" s="1"/>
  <c r="G204" i="2"/>
  <c r="G315" i="2" s="1"/>
  <c r="G426" i="2" s="1"/>
  <c r="G537" i="2" s="1"/>
  <c r="G648" i="2" s="1"/>
  <c r="F204" i="2"/>
  <c r="F315" i="2" s="1"/>
  <c r="F426" i="2" s="1"/>
  <c r="F537" i="2" s="1"/>
  <c r="F648" i="2" s="1"/>
  <c r="E204" i="2"/>
  <c r="E315" i="2" s="1"/>
  <c r="E426" i="2" s="1"/>
  <c r="E537" i="2" s="1"/>
  <c r="E648" i="2" s="1"/>
  <c r="D204" i="2"/>
  <c r="D315" i="2" s="1"/>
  <c r="D426" i="2" s="1"/>
  <c r="D537" i="2" s="1"/>
  <c r="D648" i="2" s="1"/>
  <c r="C204" i="2"/>
  <c r="C315" i="2" s="1"/>
  <c r="C426" i="2" s="1"/>
  <c r="C537" i="2" s="1"/>
  <c r="C648" i="2" s="1"/>
  <c r="B204" i="2"/>
  <c r="B315" i="2" s="1"/>
  <c r="B426" i="2" s="1"/>
  <c r="B537" i="2" s="1"/>
  <c r="B648" i="2" s="1"/>
  <c r="AF203" i="2"/>
  <c r="AF314" i="2" s="1"/>
  <c r="AF425" i="2" s="1"/>
  <c r="AF536" i="2" s="1"/>
  <c r="AF647" i="2" s="1"/>
  <c r="AE203" i="2"/>
  <c r="AE314" i="2" s="1"/>
  <c r="AE425" i="2" s="1"/>
  <c r="AE536" i="2" s="1"/>
  <c r="AE647" i="2" s="1"/>
  <c r="AD203" i="2"/>
  <c r="AD314" i="2" s="1"/>
  <c r="AD425" i="2" s="1"/>
  <c r="AD536" i="2" s="1"/>
  <c r="AD647" i="2" s="1"/>
  <c r="AC203" i="2"/>
  <c r="AC314" i="2" s="1"/>
  <c r="AC425" i="2" s="1"/>
  <c r="AC536" i="2" s="1"/>
  <c r="AC647" i="2" s="1"/>
  <c r="AB203" i="2"/>
  <c r="AB314" i="2" s="1"/>
  <c r="AB425" i="2" s="1"/>
  <c r="AB536" i="2" s="1"/>
  <c r="AB647" i="2" s="1"/>
  <c r="AA203" i="2"/>
  <c r="AA314" i="2" s="1"/>
  <c r="AA425" i="2" s="1"/>
  <c r="AA536" i="2" s="1"/>
  <c r="AA647" i="2" s="1"/>
  <c r="Z203" i="2"/>
  <c r="Z314" i="2" s="1"/>
  <c r="Z425" i="2" s="1"/>
  <c r="Z536" i="2" s="1"/>
  <c r="Z647" i="2" s="1"/>
  <c r="X203" i="2"/>
  <c r="X314" i="2" s="1"/>
  <c r="X425" i="2" s="1"/>
  <c r="X536" i="2" s="1"/>
  <c r="X647" i="2" s="1"/>
  <c r="V203" i="2"/>
  <c r="V314" i="2" s="1"/>
  <c r="V425" i="2" s="1"/>
  <c r="V536" i="2" s="1"/>
  <c r="V647" i="2" s="1"/>
  <c r="U203" i="2"/>
  <c r="U314" i="2" s="1"/>
  <c r="U425" i="2" s="1"/>
  <c r="U536" i="2" s="1"/>
  <c r="U647" i="2" s="1"/>
  <c r="T203" i="2"/>
  <c r="T314" i="2" s="1"/>
  <c r="T425" i="2" s="1"/>
  <c r="T536" i="2" s="1"/>
  <c r="T647" i="2" s="1"/>
  <c r="S203" i="2"/>
  <c r="S314" i="2" s="1"/>
  <c r="S425" i="2" s="1"/>
  <c r="S536" i="2" s="1"/>
  <c r="S647" i="2" s="1"/>
  <c r="R203" i="2"/>
  <c r="R314" i="2" s="1"/>
  <c r="R425" i="2" s="1"/>
  <c r="R536" i="2" s="1"/>
  <c r="R647" i="2" s="1"/>
  <c r="Q203" i="2"/>
  <c r="Q314" i="2" s="1"/>
  <c r="Q425" i="2" s="1"/>
  <c r="Q536" i="2" s="1"/>
  <c r="Q647" i="2" s="1"/>
  <c r="P203" i="2"/>
  <c r="P314" i="2" s="1"/>
  <c r="P425" i="2" s="1"/>
  <c r="P536" i="2" s="1"/>
  <c r="P647" i="2" s="1"/>
  <c r="O203" i="2"/>
  <c r="O314" i="2" s="1"/>
  <c r="O425" i="2" s="1"/>
  <c r="O536" i="2" s="1"/>
  <c r="O647" i="2" s="1"/>
  <c r="N203" i="2"/>
  <c r="N314" i="2" s="1"/>
  <c r="N425" i="2" s="1"/>
  <c r="N536" i="2" s="1"/>
  <c r="N647" i="2" s="1"/>
  <c r="M203" i="2"/>
  <c r="M314" i="2" s="1"/>
  <c r="M425" i="2" s="1"/>
  <c r="M536" i="2" s="1"/>
  <c r="M647" i="2" s="1"/>
  <c r="L203" i="2"/>
  <c r="L314" i="2" s="1"/>
  <c r="L425" i="2" s="1"/>
  <c r="L536" i="2" s="1"/>
  <c r="L647" i="2" s="1"/>
  <c r="J203" i="2"/>
  <c r="J314" i="2" s="1"/>
  <c r="J425" i="2" s="1"/>
  <c r="J536" i="2" s="1"/>
  <c r="J647" i="2" s="1"/>
  <c r="I203" i="2"/>
  <c r="I314" i="2" s="1"/>
  <c r="I425" i="2" s="1"/>
  <c r="I536" i="2" s="1"/>
  <c r="I647" i="2" s="1"/>
  <c r="H203" i="2"/>
  <c r="H314" i="2" s="1"/>
  <c r="H425" i="2" s="1"/>
  <c r="H536" i="2" s="1"/>
  <c r="H647" i="2" s="1"/>
  <c r="G203" i="2"/>
  <c r="G314" i="2" s="1"/>
  <c r="G425" i="2" s="1"/>
  <c r="G536" i="2" s="1"/>
  <c r="G647" i="2" s="1"/>
  <c r="F203" i="2"/>
  <c r="F314" i="2" s="1"/>
  <c r="F425" i="2" s="1"/>
  <c r="F536" i="2" s="1"/>
  <c r="F647" i="2" s="1"/>
  <c r="E203" i="2"/>
  <c r="E314" i="2" s="1"/>
  <c r="E425" i="2" s="1"/>
  <c r="E536" i="2" s="1"/>
  <c r="E647" i="2" s="1"/>
  <c r="D203" i="2"/>
  <c r="D314" i="2" s="1"/>
  <c r="D425" i="2" s="1"/>
  <c r="D536" i="2" s="1"/>
  <c r="D647" i="2" s="1"/>
  <c r="C203" i="2"/>
  <c r="C314" i="2" s="1"/>
  <c r="C425" i="2" s="1"/>
  <c r="C536" i="2" s="1"/>
  <c r="C647" i="2" s="1"/>
  <c r="B203" i="2"/>
  <c r="B314" i="2" s="1"/>
  <c r="B425" i="2" s="1"/>
  <c r="B536" i="2" s="1"/>
  <c r="B647" i="2" s="1"/>
  <c r="AF202" i="2"/>
  <c r="AF313" i="2" s="1"/>
  <c r="AF424" i="2" s="1"/>
  <c r="AF535" i="2" s="1"/>
  <c r="AF646" i="2" s="1"/>
  <c r="AE202" i="2"/>
  <c r="AE313" i="2" s="1"/>
  <c r="AE424" i="2" s="1"/>
  <c r="AE535" i="2" s="1"/>
  <c r="AE646" i="2" s="1"/>
  <c r="AD202" i="2"/>
  <c r="AD313" i="2" s="1"/>
  <c r="AD424" i="2" s="1"/>
  <c r="AD535" i="2" s="1"/>
  <c r="AD646" i="2" s="1"/>
  <c r="AC202" i="2"/>
  <c r="AC313" i="2" s="1"/>
  <c r="AC424" i="2" s="1"/>
  <c r="AC535" i="2" s="1"/>
  <c r="AC646" i="2" s="1"/>
  <c r="AB202" i="2"/>
  <c r="AB313" i="2" s="1"/>
  <c r="AB424" i="2" s="1"/>
  <c r="AB535" i="2" s="1"/>
  <c r="AB646" i="2" s="1"/>
  <c r="AA202" i="2"/>
  <c r="AA313" i="2" s="1"/>
  <c r="AA424" i="2" s="1"/>
  <c r="AA535" i="2" s="1"/>
  <c r="AA646" i="2" s="1"/>
  <c r="Z202" i="2"/>
  <c r="Z313" i="2" s="1"/>
  <c r="Z424" i="2" s="1"/>
  <c r="Z535" i="2" s="1"/>
  <c r="Z646" i="2" s="1"/>
  <c r="X202" i="2"/>
  <c r="X313" i="2" s="1"/>
  <c r="X424" i="2" s="1"/>
  <c r="X535" i="2" s="1"/>
  <c r="X646" i="2" s="1"/>
  <c r="V202" i="2"/>
  <c r="V313" i="2" s="1"/>
  <c r="V424" i="2" s="1"/>
  <c r="V535" i="2" s="1"/>
  <c r="V646" i="2" s="1"/>
  <c r="U202" i="2"/>
  <c r="U313" i="2" s="1"/>
  <c r="U424" i="2" s="1"/>
  <c r="U535" i="2" s="1"/>
  <c r="U646" i="2" s="1"/>
  <c r="T202" i="2"/>
  <c r="T313" i="2" s="1"/>
  <c r="T424" i="2" s="1"/>
  <c r="T535" i="2" s="1"/>
  <c r="T646" i="2" s="1"/>
  <c r="S202" i="2"/>
  <c r="S313" i="2" s="1"/>
  <c r="S424" i="2" s="1"/>
  <c r="S535" i="2" s="1"/>
  <c r="S646" i="2" s="1"/>
  <c r="R202" i="2"/>
  <c r="R313" i="2" s="1"/>
  <c r="R424" i="2" s="1"/>
  <c r="R535" i="2" s="1"/>
  <c r="R646" i="2" s="1"/>
  <c r="Q202" i="2"/>
  <c r="Q313" i="2" s="1"/>
  <c r="Q424" i="2" s="1"/>
  <c r="Q535" i="2" s="1"/>
  <c r="Q646" i="2" s="1"/>
  <c r="P202" i="2"/>
  <c r="P313" i="2" s="1"/>
  <c r="P424" i="2" s="1"/>
  <c r="P535" i="2" s="1"/>
  <c r="P646" i="2" s="1"/>
  <c r="O202" i="2"/>
  <c r="O313" i="2" s="1"/>
  <c r="O424" i="2" s="1"/>
  <c r="O535" i="2" s="1"/>
  <c r="O646" i="2" s="1"/>
  <c r="N202" i="2"/>
  <c r="N313" i="2" s="1"/>
  <c r="N424" i="2" s="1"/>
  <c r="N535" i="2" s="1"/>
  <c r="N646" i="2" s="1"/>
  <c r="M202" i="2"/>
  <c r="M313" i="2" s="1"/>
  <c r="M424" i="2" s="1"/>
  <c r="M535" i="2" s="1"/>
  <c r="M646" i="2" s="1"/>
  <c r="L202" i="2"/>
  <c r="L313" i="2" s="1"/>
  <c r="L424" i="2" s="1"/>
  <c r="L535" i="2" s="1"/>
  <c r="L646" i="2" s="1"/>
  <c r="J202" i="2"/>
  <c r="J313" i="2" s="1"/>
  <c r="J424" i="2" s="1"/>
  <c r="J535" i="2" s="1"/>
  <c r="J646" i="2" s="1"/>
  <c r="I202" i="2"/>
  <c r="I313" i="2" s="1"/>
  <c r="I424" i="2" s="1"/>
  <c r="I535" i="2" s="1"/>
  <c r="I646" i="2" s="1"/>
  <c r="H202" i="2"/>
  <c r="H313" i="2" s="1"/>
  <c r="H424" i="2" s="1"/>
  <c r="H535" i="2" s="1"/>
  <c r="H646" i="2" s="1"/>
  <c r="G202" i="2"/>
  <c r="G313" i="2" s="1"/>
  <c r="G424" i="2" s="1"/>
  <c r="G535" i="2" s="1"/>
  <c r="G646" i="2" s="1"/>
  <c r="F202" i="2"/>
  <c r="F313" i="2" s="1"/>
  <c r="F424" i="2" s="1"/>
  <c r="F535" i="2" s="1"/>
  <c r="F646" i="2" s="1"/>
  <c r="E202" i="2"/>
  <c r="E313" i="2" s="1"/>
  <c r="E424" i="2" s="1"/>
  <c r="E535" i="2" s="1"/>
  <c r="E646" i="2" s="1"/>
  <c r="D202" i="2"/>
  <c r="D313" i="2" s="1"/>
  <c r="D424" i="2" s="1"/>
  <c r="D535" i="2" s="1"/>
  <c r="D646" i="2" s="1"/>
  <c r="C202" i="2"/>
  <c r="C313" i="2" s="1"/>
  <c r="C424" i="2" s="1"/>
  <c r="C535" i="2" s="1"/>
  <c r="C646" i="2" s="1"/>
  <c r="B202" i="2"/>
  <c r="B313" i="2" s="1"/>
  <c r="B424" i="2" s="1"/>
  <c r="B535" i="2" s="1"/>
  <c r="B646" i="2" s="1"/>
  <c r="AF201" i="2"/>
  <c r="AF312" i="2" s="1"/>
  <c r="AF423" i="2" s="1"/>
  <c r="AF534" i="2" s="1"/>
  <c r="AF645" i="2" s="1"/>
  <c r="AE201" i="2"/>
  <c r="AE312" i="2" s="1"/>
  <c r="AE423" i="2" s="1"/>
  <c r="AE534" i="2" s="1"/>
  <c r="AE645" i="2" s="1"/>
  <c r="AD201" i="2"/>
  <c r="AD312" i="2" s="1"/>
  <c r="AD423" i="2" s="1"/>
  <c r="AD534" i="2" s="1"/>
  <c r="AD645" i="2" s="1"/>
  <c r="AC201" i="2"/>
  <c r="AC312" i="2" s="1"/>
  <c r="AC423" i="2" s="1"/>
  <c r="AC534" i="2" s="1"/>
  <c r="AC645" i="2" s="1"/>
  <c r="AB201" i="2"/>
  <c r="AB312" i="2" s="1"/>
  <c r="AB423" i="2" s="1"/>
  <c r="AB534" i="2" s="1"/>
  <c r="AB645" i="2" s="1"/>
  <c r="AA201" i="2"/>
  <c r="AA312" i="2" s="1"/>
  <c r="AA423" i="2" s="1"/>
  <c r="AA534" i="2" s="1"/>
  <c r="AA645" i="2" s="1"/>
  <c r="Z201" i="2"/>
  <c r="Z312" i="2" s="1"/>
  <c r="Z423" i="2" s="1"/>
  <c r="Z534" i="2" s="1"/>
  <c r="Z645" i="2" s="1"/>
  <c r="X201" i="2"/>
  <c r="X312" i="2" s="1"/>
  <c r="X423" i="2" s="1"/>
  <c r="X534" i="2" s="1"/>
  <c r="X645" i="2" s="1"/>
  <c r="V201" i="2"/>
  <c r="V312" i="2" s="1"/>
  <c r="V423" i="2" s="1"/>
  <c r="V534" i="2" s="1"/>
  <c r="V645" i="2" s="1"/>
  <c r="U201" i="2"/>
  <c r="U312" i="2" s="1"/>
  <c r="U423" i="2" s="1"/>
  <c r="U534" i="2" s="1"/>
  <c r="U645" i="2" s="1"/>
  <c r="T201" i="2"/>
  <c r="T312" i="2" s="1"/>
  <c r="T423" i="2" s="1"/>
  <c r="T534" i="2" s="1"/>
  <c r="T645" i="2" s="1"/>
  <c r="S201" i="2"/>
  <c r="S312" i="2" s="1"/>
  <c r="S423" i="2" s="1"/>
  <c r="S534" i="2" s="1"/>
  <c r="S645" i="2" s="1"/>
  <c r="R201" i="2"/>
  <c r="R312" i="2" s="1"/>
  <c r="R423" i="2" s="1"/>
  <c r="R534" i="2" s="1"/>
  <c r="R645" i="2" s="1"/>
  <c r="Q201" i="2"/>
  <c r="Q312" i="2" s="1"/>
  <c r="Q423" i="2" s="1"/>
  <c r="Q534" i="2" s="1"/>
  <c r="Q645" i="2" s="1"/>
  <c r="P201" i="2"/>
  <c r="P312" i="2" s="1"/>
  <c r="P423" i="2" s="1"/>
  <c r="P534" i="2" s="1"/>
  <c r="P645" i="2" s="1"/>
  <c r="O201" i="2"/>
  <c r="O312" i="2" s="1"/>
  <c r="O423" i="2" s="1"/>
  <c r="O534" i="2" s="1"/>
  <c r="O645" i="2" s="1"/>
  <c r="N201" i="2"/>
  <c r="N312" i="2" s="1"/>
  <c r="N423" i="2" s="1"/>
  <c r="N534" i="2" s="1"/>
  <c r="N645" i="2" s="1"/>
  <c r="M201" i="2"/>
  <c r="M312" i="2" s="1"/>
  <c r="M423" i="2" s="1"/>
  <c r="M534" i="2" s="1"/>
  <c r="M645" i="2" s="1"/>
  <c r="L201" i="2"/>
  <c r="L312" i="2" s="1"/>
  <c r="L423" i="2" s="1"/>
  <c r="L534" i="2" s="1"/>
  <c r="L645" i="2" s="1"/>
  <c r="J201" i="2"/>
  <c r="J312" i="2" s="1"/>
  <c r="J423" i="2" s="1"/>
  <c r="J534" i="2" s="1"/>
  <c r="J645" i="2" s="1"/>
  <c r="I201" i="2"/>
  <c r="I312" i="2" s="1"/>
  <c r="I423" i="2" s="1"/>
  <c r="I534" i="2" s="1"/>
  <c r="I645" i="2" s="1"/>
  <c r="H201" i="2"/>
  <c r="H312" i="2" s="1"/>
  <c r="H423" i="2" s="1"/>
  <c r="H534" i="2" s="1"/>
  <c r="H645" i="2" s="1"/>
  <c r="G201" i="2"/>
  <c r="G312" i="2" s="1"/>
  <c r="G423" i="2" s="1"/>
  <c r="G534" i="2" s="1"/>
  <c r="G645" i="2" s="1"/>
  <c r="F201" i="2"/>
  <c r="F312" i="2" s="1"/>
  <c r="F423" i="2" s="1"/>
  <c r="F534" i="2" s="1"/>
  <c r="F645" i="2" s="1"/>
  <c r="E201" i="2"/>
  <c r="E312" i="2" s="1"/>
  <c r="E423" i="2" s="1"/>
  <c r="E534" i="2" s="1"/>
  <c r="E645" i="2" s="1"/>
  <c r="D201" i="2"/>
  <c r="D312" i="2" s="1"/>
  <c r="D423" i="2" s="1"/>
  <c r="D534" i="2" s="1"/>
  <c r="D645" i="2" s="1"/>
  <c r="C201" i="2"/>
  <c r="C312" i="2" s="1"/>
  <c r="C423" i="2" s="1"/>
  <c r="C534" i="2" s="1"/>
  <c r="C645" i="2" s="1"/>
  <c r="B201" i="2"/>
  <c r="B312" i="2" s="1"/>
  <c r="B423" i="2" s="1"/>
  <c r="B534" i="2" s="1"/>
  <c r="B645" i="2" s="1"/>
  <c r="AF200" i="2"/>
  <c r="AF311" i="2" s="1"/>
  <c r="AF422" i="2" s="1"/>
  <c r="AF533" i="2" s="1"/>
  <c r="AF644" i="2" s="1"/>
  <c r="AE200" i="2"/>
  <c r="AE311" i="2" s="1"/>
  <c r="AE422" i="2" s="1"/>
  <c r="AE533" i="2" s="1"/>
  <c r="AE644" i="2" s="1"/>
  <c r="AD200" i="2"/>
  <c r="AD311" i="2" s="1"/>
  <c r="AD422" i="2" s="1"/>
  <c r="AD533" i="2" s="1"/>
  <c r="AD644" i="2" s="1"/>
  <c r="AC200" i="2"/>
  <c r="AC311" i="2" s="1"/>
  <c r="AC422" i="2" s="1"/>
  <c r="AC533" i="2" s="1"/>
  <c r="AC644" i="2" s="1"/>
  <c r="AB200" i="2"/>
  <c r="AB311" i="2" s="1"/>
  <c r="AB422" i="2" s="1"/>
  <c r="AB533" i="2" s="1"/>
  <c r="AB644" i="2" s="1"/>
  <c r="AA200" i="2"/>
  <c r="AA311" i="2" s="1"/>
  <c r="AA422" i="2" s="1"/>
  <c r="AA533" i="2" s="1"/>
  <c r="AA644" i="2" s="1"/>
  <c r="Z200" i="2"/>
  <c r="Z311" i="2" s="1"/>
  <c r="Z422" i="2" s="1"/>
  <c r="Z533" i="2" s="1"/>
  <c r="Z644" i="2" s="1"/>
  <c r="X200" i="2"/>
  <c r="X311" i="2" s="1"/>
  <c r="X422" i="2" s="1"/>
  <c r="X533" i="2" s="1"/>
  <c r="X644" i="2" s="1"/>
  <c r="V200" i="2"/>
  <c r="V311" i="2" s="1"/>
  <c r="V422" i="2" s="1"/>
  <c r="V533" i="2" s="1"/>
  <c r="V644" i="2" s="1"/>
  <c r="U200" i="2"/>
  <c r="U311" i="2" s="1"/>
  <c r="U422" i="2" s="1"/>
  <c r="U533" i="2" s="1"/>
  <c r="U644" i="2" s="1"/>
  <c r="T200" i="2"/>
  <c r="T311" i="2" s="1"/>
  <c r="T422" i="2" s="1"/>
  <c r="T533" i="2" s="1"/>
  <c r="T644" i="2" s="1"/>
  <c r="S200" i="2"/>
  <c r="S311" i="2" s="1"/>
  <c r="S422" i="2" s="1"/>
  <c r="S533" i="2" s="1"/>
  <c r="S644" i="2" s="1"/>
  <c r="R200" i="2"/>
  <c r="R311" i="2" s="1"/>
  <c r="R422" i="2" s="1"/>
  <c r="R533" i="2" s="1"/>
  <c r="R644" i="2" s="1"/>
  <c r="Q200" i="2"/>
  <c r="Q311" i="2" s="1"/>
  <c r="Q422" i="2" s="1"/>
  <c r="Q533" i="2" s="1"/>
  <c r="Q644" i="2" s="1"/>
  <c r="P200" i="2"/>
  <c r="P311" i="2" s="1"/>
  <c r="P422" i="2" s="1"/>
  <c r="P533" i="2" s="1"/>
  <c r="P644" i="2" s="1"/>
  <c r="O200" i="2"/>
  <c r="O311" i="2" s="1"/>
  <c r="O422" i="2" s="1"/>
  <c r="O533" i="2" s="1"/>
  <c r="O644" i="2" s="1"/>
  <c r="N200" i="2"/>
  <c r="N311" i="2" s="1"/>
  <c r="N422" i="2" s="1"/>
  <c r="N533" i="2" s="1"/>
  <c r="N644" i="2" s="1"/>
  <c r="M200" i="2"/>
  <c r="M311" i="2" s="1"/>
  <c r="M422" i="2" s="1"/>
  <c r="M533" i="2" s="1"/>
  <c r="M644" i="2" s="1"/>
  <c r="L200" i="2"/>
  <c r="L311" i="2" s="1"/>
  <c r="L422" i="2" s="1"/>
  <c r="L533" i="2" s="1"/>
  <c r="L644" i="2" s="1"/>
  <c r="J200" i="2"/>
  <c r="J311" i="2" s="1"/>
  <c r="J422" i="2" s="1"/>
  <c r="J533" i="2" s="1"/>
  <c r="J644" i="2" s="1"/>
  <c r="I200" i="2"/>
  <c r="I311" i="2" s="1"/>
  <c r="I422" i="2" s="1"/>
  <c r="I533" i="2" s="1"/>
  <c r="I644" i="2" s="1"/>
  <c r="H200" i="2"/>
  <c r="H311" i="2" s="1"/>
  <c r="H422" i="2" s="1"/>
  <c r="H533" i="2" s="1"/>
  <c r="H644" i="2" s="1"/>
  <c r="G200" i="2"/>
  <c r="G311" i="2" s="1"/>
  <c r="G422" i="2" s="1"/>
  <c r="G533" i="2" s="1"/>
  <c r="G644" i="2" s="1"/>
  <c r="F200" i="2"/>
  <c r="F311" i="2" s="1"/>
  <c r="F422" i="2" s="1"/>
  <c r="F533" i="2" s="1"/>
  <c r="F644" i="2" s="1"/>
  <c r="E200" i="2"/>
  <c r="E311" i="2" s="1"/>
  <c r="E422" i="2" s="1"/>
  <c r="E533" i="2" s="1"/>
  <c r="E644" i="2" s="1"/>
  <c r="D200" i="2"/>
  <c r="D311" i="2" s="1"/>
  <c r="D422" i="2" s="1"/>
  <c r="D533" i="2" s="1"/>
  <c r="D644" i="2" s="1"/>
  <c r="C200" i="2"/>
  <c r="C311" i="2" s="1"/>
  <c r="C422" i="2" s="1"/>
  <c r="C533" i="2" s="1"/>
  <c r="C644" i="2" s="1"/>
  <c r="B200" i="2"/>
  <c r="B311" i="2" s="1"/>
  <c r="B422" i="2" s="1"/>
  <c r="B533" i="2" s="1"/>
  <c r="B644" i="2" s="1"/>
  <c r="AF199" i="2"/>
  <c r="AF310" i="2" s="1"/>
  <c r="AF421" i="2" s="1"/>
  <c r="AF532" i="2" s="1"/>
  <c r="AF643" i="2" s="1"/>
  <c r="AE199" i="2"/>
  <c r="AE310" i="2" s="1"/>
  <c r="AE421" i="2" s="1"/>
  <c r="AE532" i="2" s="1"/>
  <c r="AE643" i="2" s="1"/>
  <c r="AD199" i="2"/>
  <c r="AD310" i="2" s="1"/>
  <c r="AD421" i="2" s="1"/>
  <c r="AD532" i="2" s="1"/>
  <c r="AD643" i="2" s="1"/>
  <c r="AC199" i="2"/>
  <c r="AC310" i="2" s="1"/>
  <c r="AC421" i="2" s="1"/>
  <c r="AC532" i="2" s="1"/>
  <c r="AC643" i="2" s="1"/>
  <c r="AB199" i="2"/>
  <c r="AB310" i="2" s="1"/>
  <c r="AB421" i="2" s="1"/>
  <c r="AB532" i="2" s="1"/>
  <c r="AB643" i="2" s="1"/>
  <c r="AA199" i="2"/>
  <c r="AA310" i="2" s="1"/>
  <c r="AA421" i="2" s="1"/>
  <c r="AA532" i="2" s="1"/>
  <c r="AA643" i="2" s="1"/>
  <c r="Z199" i="2"/>
  <c r="Z310" i="2" s="1"/>
  <c r="Z421" i="2" s="1"/>
  <c r="Z532" i="2" s="1"/>
  <c r="Z643" i="2" s="1"/>
  <c r="X199" i="2"/>
  <c r="X310" i="2" s="1"/>
  <c r="X421" i="2" s="1"/>
  <c r="X532" i="2" s="1"/>
  <c r="X643" i="2" s="1"/>
  <c r="V199" i="2"/>
  <c r="V310" i="2" s="1"/>
  <c r="V421" i="2" s="1"/>
  <c r="V532" i="2" s="1"/>
  <c r="V643" i="2" s="1"/>
  <c r="U199" i="2"/>
  <c r="U310" i="2" s="1"/>
  <c r="U421" i="2" s="1"/>
  <c r="U532" i="2" s="1"/>
  <c r="U643" i="2" s="1"/>
  <c r="T199" i="2"/>
  <c r="T310" i="2" s="1"/>
  <c r="T421" i="2" s="1"/>
  <c r="T532" i="2" s="1"/>
  <c r="T643" i="2" s="1"/>
  <c r="S199" i="2"/>
  <c r="S310" i="2" s="1"/>
  <c r="S421" i="2" s="1"/>
  <c r="S532" i="2" s="1"/>
  <c r="S643" i="2" s="1"/>
  <c r="R199" i="2"/>
  <c r="R310" i="2" s="1"/>
  <c r="R421" i="2" s="1"/>
  <c r="R532" i="2" s="1"/>
  <c r="R643" i="2" s="1"/>
  <c r="Q199" i="2"/>
  <c r="Q310" i="2" s="1"/>
  <c r="Q421" i="2" s="1"/>
  <c r="Q532" i="2" s="1"/>
  <c r="Q643" i="2" s="1"/>
  <c r="P199" i="2"/>
  <c r="P310" i="2" s="1"/>
  <c r="P421" i="2" s="1"/>
  <c r="P532" i="2" s="1"/>
  <c r="P643" i="2" s="1"/>
  <c r="O199" i="2"/>
  <c r="O310" i="2" s="1"/>
  <c r="O421" i="2" s="1"/>
  <c r="O532" i="2" s="1"/>
  <c r="O643" i="2" s="1"/>
  <c r="N199" i="2"/>
  <c r="N310" i="2" s="1"/>
  <c r="N421" i="2" s="1"/>
  <c r="N532" i="2" s="1"/>
  <c r="N643" i="2" s="1"/>
  <c r="M199" i="2"/>
  <c r="M310" i="2" s="1"/>
  <c r="M421" i="2" s="1"/>
  <c r="M532" i="2" s="1"/>
  <c r="M643" i="2" s="1"/>
  <c r="L199" i="2"/>
  <c r="L310" i="2" s="1"/>
  <c r="L421" i="2" s="1"/>
  <c r="L532" i="2" s="1"/>
  <c r="L643" i="2" s="1"/>
  <c r="J199" i="2"/>
  <c r="J310" i="2" s="1"/>
  <c r="J421" i="2" s="1"/>
  <c r="J532" i="2" s="1"/>
  <c r="J643" i="2" s="1"/>
  <c r="I199" i="2"/>
  <c r="I310" i="2" s="1"/>
  <c r="I421" i="2" s="1"/>
  <c r="I532" i="2" s="1"/>
  <c r="I643" i="2" s="1"/>
  <c r="H199" i="2"/>
  <c r="H310" i="2" s="1"/>
  <c r="H421" i="2" s="1"/>
  <c r="H532" i="2" s="1"/>
  <c r="H643" i="2" s="1"/>
  <c r="G199" i="2"/>
  <c r="G310" i="2" s="1"/>
  <c r="G421" i="2" s="1"/>
  <c r="G532" i="2" s="1"/>
  <c r="G643" i="2" s="1"/>
  <c r="F199" i="2"/>
  <c r="F310" i="2" s="1"/>
  <c r="F421" i="2" s="1"/>
  <c r="F532" i="2" s="1"/>
  <c r="F643" i="2" s="1"/>
  <c r="E199" i="2"/>
  <c r="E310" i="2" s="1"/>
  <c r="E421" i="2" s="1"/>
  <c r="E532" i="2" s="1"/>
  <c r="E643" i="2" s="1"/>
  <c r="D199" i="2"/>
  <c r="D310" i="2" s="1"/>
  <c r="D421" i="2" s="1"/>
  <c r="D532" i="2" s="1"/>
  <c r="D643" i="2" s="1"/>
  <c r="C199" i="2"/>
  <c r="C310" i="2" s="1"/>
  <c r="C421" i="2" s="1"/>
  <c r="C532" i="2" s="1"/>
  <c r="C643" i="2" s="1"/>
  <c r="B199" i="2"/>
  <c r="B310" i="2" s="1"/>
  <c r="B421" i="2" s="1"/>
  <c r="B532" i="2" s="1"/>
  <c r="B643" i="2" s="1"/>
  <c r="AF198" i="2"/>
  <c r="AF309" i="2" s="1"/>
  <c r="AF420" i="2" s="1"/>
  <c r="AF531" i="2" s="1"/>
  <c r="AF642" i="2" s="1"/>
  <c r="AE198" i="2"/>
  <c r="AE309" i="2" s="1"/>
  <c r="AE420" i="2" s="1"/>
  <c r="AE531" i="2" s="1"/>
  <c r="AE642" i="2" s="1"/>
  <c r="AD198" i="2"/>
  <c r="AD309" i="2" s="1"/>
  <c r="AD420" i="2" s="1"/>
  <c r="AD531" i="2" s="1"/>
  <c r="AD642" i="2" s="1"/>
  <c r="AC198" i="2"/>
  <c r="AC309" i="2" s="1"/>
  <c r="AC420" i="2" s="1"/>
  <c r="AC531" i="2" s="1"/>
  <c r="AC642" i="2" s="1"/>
  <c r="AB198" i="2"/>
  <c r="AB309" i="2" s="1"/>
  <c r="AB420" i="2" s="1"/>
  <c r="AB531" i="2" s="1"/>
  <c r="AB642" i="2" s="1"/>
  <c r="AA198" i="2"/>
  <c r="AA309" i="2" s="1"/>
  <c r="AA420" i="2" s="1"/>
  <c r="AA531" i="2" s="1"/>
  <c r="AA642" i="2" s="1"/>
  <c r="Z198" i="2"/>
  <c r="Z309" i="2" s="1"/>
  <c r="Z420" i="2" s="1"/>
  <c r="Z531" i="2" s="1"/>
  <c r="Z642" i="2" s="1"/>
  <c r="X198" i="2"/>
  <c r="X309" i="2" s="1"/>
  <c r="X420" i="2" s="1"/>
  <c r="X531" i="2" s="1"/>
  <c r="X642" i="2" s="1"/>
  <c r="V198" i="2"/>
  <c r="V309" i="2" s="1"/>
  <c r="V420" i="2" s="1"/>
  <c r="V531" i="2" s="1"/>
  <c r="V642" i="2" s="1"/>
  <c r="U198" i="2"/>
  <c r="U309" i="2" s="1"/>
  <c r="U420" i="2" s="1"/>
  <c r="U531" i="2" s="1"/>
  <c r="U642" i="2" s="1"/>
  <c r="T198" i="2"/>
  <c r="T309" i="2" s="1"/>
  <c r="T420" i="2" s="1"/>
  <c r="T531" i="2" s="1"/>
  <c r="T642" i="2" s="1"/>
  <c r="S198" i="2"/>
  <c r="S309" i="2" s="1"/>
  <c r="S420" i="2" s="1"/>
  <c r="S531" i="2" s="1"/>
  <c r="S642" i="2" s="1"/>
  <c r="R198" i="2"/>
  <c r="R309" i="2" s="1"/>
  <c r="R420" i="2" s="1"/>
  <c r="R531" i="2" s="1"/>
  <c r="R642" i="2" s="1"/>
  <c r="Q198" i="2"/>
  <c r="Q309" i="2" s="1"/>
  <c r="Q420" i="2" s="1"/>
  <c r="Q531" i="2" s="1"/>
  <c r="Q642" i="2" s="1"/>
  <c r="P198" i="2"/>
  <c r="P309" i="2" s="1"/>
  <c r="P420" i="2" s="1"/>
  <c r="P531" i="2" s="1"/>
  <c r="P642" i="2" s="1"/>
  <c r="O198" i="2"/>
  <c r="O309" i="2" s="1"/>
  <c r="O420" i="2" s="1"/>
  <c r="O531" i="2" s="1"/>
  <c r="O642" i="2" s="1"/>
  <c r="N198" i="2"/>
  <c r="N309" i="2" s="1"/>
  <c r="N420" i="2" s="1"/>
  <c r="N531" i="2" s="1"/>
  <c r="N642" i="2" s="1"/>
  <c r="M198" i="2"/>
  <c r="M309" i="2" s="1"/>
  <c r="M420" i="2" s="1"/>
  <c r="M531" i="2" s="1"/>
  <c r="M642" i="2" s="1"/>
  <c r="L198" i="2"/>
  <c r="L309" i="2" s="1"/>
  <c r="L420" i="2" s="1"/>
  <c r="L531" i="2" s="1"/>
  <c r="L642" i="2" s="1"/>
  <c r="J198" i="2"/>
  <c r="J309" i="2" s="1"/>
  <c r="J420" i="2" s="1"/>
  <c r="J531" i="2" s="1"/>
  <c r="J642" i="2" s="1"/>
  <c r="I198" i="2"/>
  <c r="I309" i="2" s="1"/>
  <c r="I420" i="2" s="1"/>
  <c r="I531" i="2" s="1"/>
  <c r="I642" i="2" s="1"/>
  <c r="H198" i="2"/>
  <c r="H309" i="2" s="1"/>
  <c r="H420" i="2" s="1"/>
  <c r="H531" i="2" s="1"/>
  <c r="H642" i="2" s="1"/>
  <c r="G198" i="2"/>
  <c r="G309" i="2" s="1"/>
  <c r="G420" i="2" s="1"/>
  <c r="G531" i="2" s="1"/>
  <c r="G642" i="2" s="1"/>
  <c r="F198" i="2"/>
  <c r="F309" i="2" s="1"/>
  <c r="F420" i="2" s="1"/>
  <c r="F531" i="2" s="1"/>
  <c r="F642" i="2" s="1"/>
  <c r="E198" i="2"/>
  <c r="E309" i="2" s="1"/>
  <c r="E420" i="2" s="1"/>
  <c r="E531" i="2" s="1"/>
  <c r="E642" i="2" s="1"/>
  <c r="D198" i="2"/>
  <c r="D309" i="2" s="1"/>
  <c r="D420" i="2" s="1"/>
  <c r="D531" i="2" s="1"/>
  <c r="D642" i="2" s="1"/>
  <c r="C198" i="2"/>
  <c r="C309" i="2" s="1"/>
  <c r="C420" i="2" s="1"/>
  <c r="C531" i="2" s="1"/>
  <c r="C642" i="2" s="1"/>
  <c r="B198" i="2"/>
  <c r="B309" i="2" s="1"/>
  <c r="B420" i="2" s="1"/>
  <c r="B531" i="2" s="1"/>
  <c r="B642" i="2" s="1"/>
  <c r="AF197" i="2"/>
  <c r="AF308" i="2" s="1"/>
  <c r="AF419" i="2" s="1"/>
  <c r="AF530" i="2" s="1"/>
  <c r="AF641" i="2" s="1"/>
  <c r="AE197" i="2"/>
  <c r="AE308" i="2" s="1"/>
  <c r="AE419" i="2" s="1"/>
  <c r="AE530" i="2" s="1"/>
  <c r="AE641" i="2" s="1"/>
  <c r="AD197" i="2"/>
  <c r="AD308" i="2" s="1"/>
  <c r="AD419" i="2" s="1"/>
  <c r="AD530" i="2" s="1"/>
  <c r="AD641" i="2" s="1"/>
  <c r="AC197" i="2"/>
  <c r="AC308" i="2" s="1"/>
  <c r="AC419" i="2" s="1"/>
  <c r="AC530" i="2" s="1"/>
  <c r="AC641" i="2" s="1"/>
  <c r="AB197" i="2"/>
  <c r="AB308" i="2" s="1"/>
  <c r="AB419" i="2" s="1"/>
  <c r="AB530" i="2" s="1"/>
  <c r="AB641" i="2" s="1"/>
  <c r="AA197" i="2"/>
  <c r="AA308" i="2" s="1"/>
  <c r="AA419" i="2" s="1"/>
  <c r="AA530" i="2" s="1"/>
  <c r="AA641" i="2" s="1"/>
  <c r="Z197" i="2"/>
  <c r="Z308" i="2" s="1"/>
  <c r="Z419" i="2" s="1"/>
  <c r="Z530" i="2" s="1"/>
  <c r="Z641" i="2" s="1"/>
  <c r="X197" i="2"/>
  <c r="X308" i="2" s="1"/>
  <c r="X419" i="2" s="1"/>
  <c r="X530" i="2" s="1"/>
  <c r="X641" i="2" s="1"/>
  <c r="V197" i="2"/>
  <c r="V308" i="2" s="1"/>
  <c r="V419" i="2" s="1"/>
  <c r="V530" i="2" s="1"/>
  <c r="V641" i="2" s="1"/>
  <c r="U197" i="2"/>
  <c r="U308" i="2" s="1"/>
  <c r="U419" i="2" s="1"/>
  <c r="U530" i="2" s="1"/>
  <c r="U641" i="2" s="1"/>
  <c r="T197" i="2"/>
  <c r="T308" i="2" s="1"/>
  <c r="T419" i="2" s="1"/>
  <c r="T530" i="2" s="1"/>
  <c r="T641" i="2" s="1"/>
  <c r="S197" i="2"/>
  <c r="S308" i="2" s="1"/>
  <c r="S419" i="2" s="1"/>
  <c r="S530" i="2" s="1"/>
  <c r="S641" i="2" s="1"/>
  <c r="R197" i="2"/>
  <c r="R308" i="2" s="1"/>
  <c r="R419" i="2" s="1"/>
  <c r="R530" i="2" s="1"/>
  <c r="R641" i="2" s="1"/>
  <c r="Q197" i="2"/>
  <c r="Q308" i="2" s="1"/>
  <c r="Q419" i="2" s="1"/>
  <c r="Q530" i="2" s="1"/>
  <c r="Q641" i="2" s="1"/>
  <c r="P197" i="2"/>
  <c r="P308" i="2" s="1"/>
  <c r="P419" i="2" s="1"/>
  <c r="P530" i="2" s="1"/>
  <c r="P641" i="2" s="1"/>
  <c r="O197" i="2"/>
  <c r="O308" i="2" s="1"/>
  <c r="O419" i="2" s="1"/>
  <c r="O530" i="2" s="1"/>
  <c r="O641" i="2" s="1"/>
  <c r="N197" i="2"/>
  <c r="N308" i="2" s="1"/>
  <c r="N419" i="2" s="1"/>
  <c r="N530" i="2" s="1"/>
  <c r="N641" i="2" s="1"/>
  <c r="M197" i="2"/>
  <c r="M308" i="2" s="1"/>
  <c r="M419" i="2" s="1"/>
  <c r="M530" i="2" s="1"/>
  <c r="M641" i="2" s="1"/>
  <c r="L197" i="2"/>
  <c r="L308" i="2" s="1"/>
  <c r="L419" i="2" s="1"/>
  <c r="L530" i="2" s="1"/>
  <c r="L641" i="2" s="1"/>
  <c r="J197" i="2"/>
  <c r="J308" i="2" s="1"/>
  <c r="J419" i="2" s="1"/>
  <c r="J530" i="2" s="1"/>
  <c r="J641" i="2" s="1"/>
  <c r="I197" i="2"/>
  <c r="I308" i="2" s="1"/>
  <c r="I419" i="2" s="1"/>
  <c r="I530" i="2" s="1"/>
  <c r="I641" i="2" s="1"/>
  <c r="H197" i="2"/>
  <c r="H308" i="2" s="1"/>
  <c r="H419" i="2" s="1"/>
  <c r="H530" i="2" s="1"/>
  <c r="H641" i="2" s="1"/>
  <c r="G197" i="2"/>
  <c r="G308" i="2" s="1"/>
  <c r="G419" i="2" s="1"/>
  <c r="G530" i="2" s="1"/>
  <c r="G641" i="2" s="1"/>
  <c r="F197" i="2"/>
  <c r="F308" i="2" s="1"/>
  <c r="F419" i="2" s="1"/>
  <c r="F530" i="2" s="1"/>
  <c r="F641" i="2" s="1"/>
  <c r="E197" i="2"/>
  <c r="E308" i="2" s="1"/>
  <c r="E419" i="2" s="1"/>
  <c r="E530" i="2" s="1"/>
  <c r="E641" i="2" s="1"/>
  <c r="D197" i="2"/>
  <c r="D308" i="2" s="1"/>
  <c r="D419" i="2" s="1"/>
  <c r="D530" i="2" s="1"/>
  <c r="D641" i="2" s="1"/>
  <c r="C197" i="2"/>
  <c r="C308" i="2" s="1"/>
  <c r="C419" i="2" s="1"/>
  <c r="C530" i="2" s="1"/>
  <c r="C641" i="2" s="1"/>
  <c r="B197" i="2"/>
  <c r="B308" i="2" s="1"/>
  <c r="B419" i="2" s="1"/>
  <c r="B530" i="2" s="1"/>
  <c r="B641" i="2" s="1"/>
  <c r="AF196" i="2"/>
  <c r="AF307" i="2" s="1"/>
  <c r="AF418" i="2" s="1"/>
  <c r="AF529" i="2" s="1"/>
  <c r="AF640" i="2" s="1"/>
  <c r="AE196" i="2"/>
  <c r="AE307" i="2" s="1"/>
  <c r="AE418" i="2" s="1"/>
  <c r="AE529" i="2" s="1"/>
  <c r="AE640" i="2" s="1"/>
  <c r="AD196" i="2"/>
  <c r="AD307" i="2" s="1"/>
  <c r="AD418" i="2" s="1"/>
  <c r="AD529" i="2" s="1"/>
  <c r="AD640" i="2" s="1"/>
  <c r="AC196" i="2"/>
  <c r="AC307" i="2" s="1"/>
  <c r="AC418" i="2" s="1"/>
  <c r="AC529" i="2" s="1"/>
  <c r="AC640" i="2" s="1"/>
  <c r="AB196" i="2"/>
  <c r="AB307" i="2" s="1"/>
  <c r="AB418" i="2" s="1"/>
  <c r="AB529" i="2" s="1"/>
  <c r="AB640" i="2" s="1"/>
  <c r="AA196" i="2"/>
  <c r="AA307" i="2" s="1"/>
  <c r="AA418" i="2" s="1"/>
  <c r="AA529" i="2" s="1"/>
  <c r="AA640" i="2" s="1"/>
  <c r="Z196" i="2"/>
  <c r="Z307" i="2" s="1"/>
  <c r="Z418" i="2" s="1"/>
  <c r="Z529" i="2" s="1"/>
  <c r="Z640" i="2" s="1"/>
  <c r="X196" i="2"/>
  <c r="X307" i="2" s="1"/>
  <c r="X418" i="2" s="1"/>
  <c r="X529" i="2" s="1"/>
  <c r="X640" i="2" s="1"/>
  <c r="V196" i="2"/>
  <c r="V307" i="2" s="1"/>
  <c r="V418" i="2" s="1"/>
  <c r="V529" i="2" s="1"/>
  <c r="V640" i="2" s="1"/>
  <c r="U196" i="2"/>
  <c r="U307" i="2" s="1"/>
  <c r="U418" i="2" s="1"/>
  <c r="U529" i="2" s="1"/>
  <c r="U640" i="2" s="1"/>
  <c r="T196" i="2"/>
  <c r="T307" i="2" s="1"/>
  <c r="T418" i="2" s="1"/>
  <c r="T529" i="2" s="1"/>
  <c r="T640" i="2" s="1"/>
  <c r="S196" i="2"/>
  <c r="S307" i="2" s="1"/>
  <c r="S418" i="2" s="1"/>
  <c r="S529" i="2" s="1"/>
  <c r="S640" i="2" s="1"/>
  <c r="R196" i="2"/>
  <c r="R307" i="2" s="1"/>
  <c r="R418" i="2" s="1"/>
  <c r="R529" i="2" s="1"/>
  <c r="R640" i="2" s="1"/>
  <c r="Q196" i="2"/>
  <c r="Q307" i="2" s="1"/>
  <c r="Q418" i="2" s="1"/>
  <c r="Q529" i="2" s="1"/>
  <c r="Q640" i="2" s="1"/>
  <c r="P196" i="2"/>
  <c r="P307" i="2" s="1"/>
  <c r="P418" i="2" s="1"/>
  <c r="P529" i="2" s="1"/>
  <c r="P640" i="2" s="1"/>
  <c r="O196" i="2"/>
  <c r="O307" i="2" s="1"/>
  <c r="O418" i="2" s="1"/>
  <c r="O529" i="2" s="1"/>
  <c r="O640" i="2" s="1"/>
  <c r="N196" i="2"/>
  <c r="N307" i="2" s="1"/>
  <c r="N418" i="2" s="1"/>
  <c r="N529" i="2" s="1"/>
  <c r="N640" i="2" s="1"/>
  <c r="M196" i="2"/>
  <c r="M307" i="2" s="1"/>
  <c r="M418" i="2" s="1"/>
  <c r="M529" i="2" s="1"/>
  <c r="M640" i="2" s="1"/>
  <c r="L196" i="2"/>
  <c r="L307" i="2" s="1"/>
  <c r="L418" i="2" s="1"/>
  <c r="L529" i="2" s="1"/>
  <c r="L640" i="2" s="1"/>
  <c r="J196" i="2"/>
  <c r="J307" i="2" s="1"/>
  <c r="J418" i="2" s="1"/>
  <c r="J529" i="2" s="1"/>
  <c r="J640" i="2" s="1"/>
  <c r="I196" i="2"/>
  <c r="I307" i="2" s="1"/>
  <c r="I418" i="2" s="1"/>
  <c r="I529" i="2" s="1"/>
  <c r="I640" i="2" s="1"/>
  <c r="H196" i="2"/>
  <c r="H307" i="2" s="1"/>
  <c r="H418" i="2" s="1"/>
  <c r="H529" i="2" s="1"/>
  <c r="H640" i="2" s="1"/>
  <c r="G196" i="2"/>
  <c r="G307" i="2" s="1"/>
  <c r="G418" i="2" s="1"/>
  <c r="G529" i="2" s="1"/>
  <c r="G640" i="2" s="1"/>
  <c r="F196" i="2"/>
  <c r="F307" i="2" s="1"/>
  <c r="F418" i="2" s="1"/>
  <c r="F529" i="2" s="1"/>
  <c r="F640" i="2" s="1"/>
  <c r="E196" i="2"/>
  <c r="E307" i="2" s="1"/>
  <c r="E418" i="2" s="1"/>
  <c r="E529" i="2" s="1"/>
  <c r="E640" i="2" s="1"/>
  <c r="D196" i="2"/>
  <c r="D307" i="2" s="1"/>
  <c r="D418" i="2" s="1"/>
  <c r="D529" i="2" s="1"/>
  <c r="D640" i="2" s="1"/>
  <c r="C196" i="2"/>
  <c r="C307" i="2" s="1"/>
  <c r="C418" i="2" s="1"/>
  <c r="C529" i="2" s="1"/>
  <c r="C640" i="2" s="1"/>
  <c r="B196" i="2"/>
  <c r="B307" i="2" s="1"/>
  <c r="B418" i="2" s="1"/>
  <c r="B529" i="2" s="1"/>
  <c r="B640" i="2" s="1"/>
  <c r="AF195" i="2"/>
  <c r="AF306" i="2" s="1"/>
  <c r="AF417" i="2" s="1"/>
  <c r="AF528" i="2" s="1"/>
  <c r="AF639" i="2" s="1"/>
  <c r="AE195" i="2"/>
  <c r="AE306" i="2" s="1"/>
  <c r="AE417" i="2" s="1"/>
  <c r="AE528" i="2" s="1"/>
  <c r="AE639" i="2" s="1"/>
  <c r="AD195" i="2"/>
  <c r="AD306" i="2" s="1"/>
  <c r="AD417" i="2" s="1"/>
  <c r="AD528" i="2" s="1"/>
  <c r="AD639" i="2" s="1"/>
  <c r="AC195" i="2"/>
  <c r="AC306" i="2" s="1"/>
  <c r="AC417" i="2" s="1"/>
  <c r="AC528" i="2" s="1"/>
  <c r="AC639" i="2" s="1"/>
  <c r="AB195" i="2"/>
  <c r="AB306" i="2" s="1"/>
  <c r="AB417" i="2" s="1"/>
  <c r="AB528" i="2" s="1"/>
  <c r="AB639" i="2" s="1"/>
  <c r="AA195" i="2"/>
  <c r="AA306" i="2" s="1"/>
  <c r="AA417" i="2" s="1"/>
  <c r="AA528" i="2" s="1"/>
  <c r="AA639" i="2" s="1"/>
  <c r="Z195" i="2"/>
  <c r="Z306" i="2" s="1"/>
  <c r="Z417" i="2" s="1"/>
  <c r="Z528" i="2" s="1"/>
  <c r="Z639" i="2" s="1"/>
  <c r="X195" i="2"/>
  <c r="X306" i="2" s="1"/>
  <c r="X417" i="2" s="1"/>
  <c r="X528" i="2" s="1"/>
  <c r="X639" i="2" s="1"/>
  <c r="V195" i="2"/>
  <c r="V306" i="2" s="1"/>
  <c r="V417" i="2" s="1"/>
  <c r="V528" i="2" s="1"/>
  <c r="V639" i="2" s="1"/>
  <c r="U195" i="2"/>
  <c r="U306" i="2" s="1"/>
  <c r="U417" i="2" s="1"/>
  <c r="U528" i="2" s="1"/>
  <c r="U639" i="2" s="1"/>
  <c r="T195" i="2"/>
  <c r="T306" i="2" s="1"/>
  <c r="T417" i="2" s="1"/>
  <c r="T528" i="2" s="1"/>
  <c r="T639" i="2" s="1"/>
  <c r="S195" i="2"/>
  <c r="S306" i="2" s="1"/>
  <c r="S417" i="2" s="1"/>
  <c r="S528" i="2" s="1"/>
  <c r="S639" i="2" s="1"/>
  <c r="R195" i="2"/>
  <c r="R306" i="2" s="1"/>
  <c r="R417" i="2" s="1"/>
  <c r="R528" i="2" s="1"/>
  <c r="R639" i="2" s="1"/>
  <c r="Q195" i="2"/>
  <c r="Q306" i="2" s="1"/>
  <c r="Q417" i="2" s="1"/>
  <c r="Q528" i="2" s="1"/>
  <c r="Q639" i="2" s="1"/>
  <c r="P195" i="2"/>
  <c r="P306" i="2" s="1"/>
  <c r="P417" i="2" s="1"/>
  <c r="P528" i="2" s="1"/>
  <c r="P639" i="2" s="1"/>
  <c r="O195" i="2"/>
  <c r="O306" i="2" s="1"/>
  <c r="O417" i="2" s="1"/>
  <c r="O528" i="2" s="1"/>
  <c r="O639" i="2" s="1"/>
  <c r="N195" i="2"/>
  <c r="N306" i="2" s="1"/>
  <c r="N417" i="2" s="1"/>
  <c r="N528" i="2" s="1"/>
  <c r="N639" i="2" s="1"/>
  <c r="M195" i="2"/>
  <c r="M306" i="2" s="1"/>
  <c r="M417" i="2" s="1"/>
  <c r="M528" i="2" s="1"/>
  <c r="M639" i="2" s="1"/>
  <c r="L195" i="2"/>
  <c r="L306" i="2" s="1"/>
  <c r="L417" i="2" s="1"/>
  <c r="L528" i="2" s="1"/>
  <c r="L639" i="2" s="1"/>
  <c r="J195" i="2"/>
  <c r="J306" i="2" s="1"/>
  <c r="J417" i="2" s="1"/>
  <c r="J528" i="2" s="1"/>
  <c r="J639" i="2" s="1"/>
  <c r="I195" i="2"/>
  <c r="I306" i="2" s="1"/>
  <c r="I417" i="2" s="1"/>
  <c r="I528" i="2" s="1"/>
  <c r="I639" i="2" s="1"/>
  <c r="H195" i="2"/>
  <c r="H306" i="2" s="1"/>
  <c r="H417" i="2" s="1"/>
  <c r="H528" i="2" s="1"/>
  <c r="H639" i="2" s="1"/>
  <c r="G195" i="2"/>
  <c r="G306" i="2" s="1"/>
  <c r="G417" i="2" s="1"/>
  <c r="G528" i="2" s="1"/>
  <c r="G639" i="2" s="1"/>
  <c r="F195" i="2"/>
  <c r="F306" i="2" s="1"/>
  <c r="F417" i="2" s="1"/>
  <c r="F528" i="2" s="1"/>
  <c r="F639" i="2" s="1"/>
  <c r="E195" i="2"/>
  <c r="E306" i="2" s="1"/>
  <c r="E417" i="2" s="1"/>
  <c r="E528" i="2" s="1"/>
  <c r="E639" i="2" s="1"/>
  <c r="D195" i="2"/>
  <c r="D306" i="2" s="1"/>
  <c r="D417" i="2" s="1"/>
  <c r="D528" i="2" s="1"/>
  <c r="D639" i="2" s="1"/>
  <c r="C195" i="2"/>
  <c r="C306" i="2" s="1"/>
  <c r="C417" i="2" s="1"/>
  <c r="C528" i="2" s="1"/>
  <c r="C639" i="2" s="1"/>
  <c r="B195" i="2"/>
  <c r="B306" i="2" s="1"/>
  <c r="B417" i="2" s="1"/>
  <c r="B528" i="2" s="1"/>
  <c r="B639" i="2" s="1"/>
  <c r="AF194" i="2"/>
  <c r="AF305" i="2" s="1"/>
  <c r="AF416" i="2" s="1"/>
  <c r="AF527" i="2" s="1"/>
  <c r="AF638" i="2" s="1"/>
  <c r="AE194" i="2"/>
  <c r="AE305" i="2" s="1"/>
  <c r="AE416" i="2" s="1"/>
  <c r="AE527" i="2" s="1"/>
  <c r="AE638" i="2" s="1"/>
  <c r="AD194" i="2"/>
  <c r="AD305" i="2" s="1"/>
  <c r="AD416" i="2" s="1"/>
  <c r="AD527" i="2" s="1"/>
  <c r="AD638" i="2" s="1"/>
  <c r="AC194" i="2"/>
  <c r="AC305" i="2" s="1"/>
  <c r="AC416" i="2" s="1"/>
  <c r="AC527" i="2" s="1"/>
  <c r="AC638" i="2" s="1"/>
  <c r="AB194" i="2"/>
  <c r="AB305" i="2" s="1"/>
  <c r="AB416" i="2" s="1"/>
  <c r="AB527" i="2" s="1"/>
  <c r="AB638" i="2" s="1"/>
  <c r="AA194" i="2"/>
  <c r="AA305" i="2" s="1"/>
  <c r="AA416" i="2" s="1"/>
  <c r="AA527" i="2" s="1"/>
  <c r="AA638" i="2" s="1"/>
  <c r="Z194" i="2"/>
  <c r="Z305" i="2" s="1"/>
  <c r="Z416" i="2" s="1"/>
  <c r="Z527" i="2" s="1"/>
  <c r="Z638" i="2" s="1"/>
  <c r="X194" i="2"/>
  <c r="X305" i="2" s="1"/>
  <c r="X416" i="2" s="1"/>
  <c r="X527" i="2" s="1"/>
  <c r="X638" i="2" s="1"/>
  <c r="V194" i="2"/>
  <c r="V305" i="2" s="1"/>
  <c r="V416" i="2" s="1"/>
  <c r="V527" i="2" s="1"/>
  <c r="V638" i="2" s="1"/>
  <c r="U194" i="2"/>
  <c r="U305" i="2" s="1"/>
  <c r="U416" i="2" s="1"/>
  <c r="U527" i="2" s="1"/>
  <c r="U638" i="2" s="1"/>
  <c r="T194" i="2"/>
  <c r="T305" i="2" s="1"/>
  <c r="T416" i="2" s="1"/>
  <c r="T527" i="2" s="1"/>
  <c r="T638" i="2" s="1"/>
  <c r="S194" i="2"/>
  <c r="S305" i="2" s="1"/>
  <c r="S416" i="2" s="1"/>
  <c r="S527" i="2" s="1"/>
  <c r="S638" i="2" s="1"/>
  <c r="R194" i="2"/>
  <c r="R305" i="2" s="1"/>
  <c r="R416" i="2" s="1"/>
  <c r="R527" i="2" s="1"/>
  <c r="R638" i="2" s="1"/>
  <c r="Q194" i="2"/>
  <c r="Q305" i="2" s="1"/>
  <c r="Q416" i="2" s="1"/>
  <c r="Q527" i="2" s="1"/>
  <c r="Q638" i="2" s="1"/>
  <c r="P194" i="2"/>
  <c r="P305" i="2" s="1"/>
  <c r="P416" i="2" s="1"/>
  <c r="P527" i="2" s="1"/>
  <c r="P638" i="2" s="1"/>
  <c r="O194" i="2"/>
  <c r="O305" i="2" s="1"/>
  <c r="O416" i="2" s="1"/>
  <c r="O527" i="2" s="1"/>
  <c r="O638" i="2" s="1"/>
  <c r="N194" i="2"/>
  <c r="N305" i="2" s="1"/>
  <c r="N416" i="2" s="1"/>
  <c r="N527" i="2" s="1"/>
  <c r="N638" i="2" s="1"/>
  <c r="M194" i="2"/>
  <c r="M305" i="2" s="1"/>
  <c r="M416" i="2" s="1"/>
  <c r="M527" i="2" s="1"/>
  <c r="M638" i="2" s="1"/>
  <c r="L194" i="2"/>
  <c r="L305" i="2" s="1"/>
  <c r="L416" i="2" s="1"/>
  <c r="L527" i="2" s="1"/>
  <c r="L638" i="2" s="1"/>
  <c r="J194" i="2"/>
  <c r="J305" i="2" s="1"/>
  <c r="J416" i="2" s="1"/>
  <c r="J527" i="2" s="1"/>
  <c r="J638" i="2" s="1"/>
  <c r="I194" i="2"/>
  <c r="I305" i="2" s="1"/>
  <c r="I416" i="2" s="1"/>
  <c r="I527" i="2" s="1"/>
  <c r="I638" i="2" s="1"/>
  <c r="H194" i="2"/>
  <c r="H305" i="2" s="1"/>
  <c r="H416" i="2" s="1"/>
  <c r="H527" i="2" s="1"/>
  <c r="H638" i="2" s="1"/>
  <c r="G194" i="2"/>
  <c r="G305" i="2" s="1"/>
  <c r="G416" i="2" s="1"/>
  <c r="G527" i="2" s="1"/>
  <c r="G638" i="2" s="1"/>
  <c r="F194" i="2"/>
  <c r="F305" i="2" s="1"/>
  <c r="F416" i="2" s="1"/>
  <c r="F527" i="2" s="1"/>
  <c r="F638" i="2" s="1"/>
  <c r="E194" i="2"/>
  <c r="E305" i="2" s="1"/>
  <c r="E416" i="2" s="1"/>
  <c r="E527" i="2" s="1"/>
  <c r="E638" i="2" s="1"/>
  <c r="D194" i="2"/>
  <c r="D305" i="2" s="1"/>
  <c r="D416" i="2" s="1"/>
  <c r="D527" i="2" s="1"/>
  <c r="D638" i="2" s="1"/>
  <c r="C194" i="2"/>
  <c r="C305" i="2" s="1"/>
  <c r="C416" i="2" s="1"/>
  <c r="C527" i="2" s="1"/>
  <c r="C638" i="2" s="1"/>
  <c r="B194" i="2"/>
  <c r="B305" i="2" s="1"/>
  <c r="B416" i="2" s="1"/>
  <c r="B527" i="2" s="1"/>
  <c r="B638" i="2" s="1"/>
  <c r="AF193" i="2"/>
  <c r="AF304" i="2" s="1"/>
  <c r="AF415" i="2" s="1"/>
  <c r="AF526" i="2" s="1"/>
  <c r="AF637" i="2" s="1"/>
  <c r="AE193" i="2"/>
  <c r="AE304" i="2" s="1"/>
  <c r="AE415" i="2" s="1"/>
  <c r="AE526" i="2" s="1"/>
  <c r="AE637" i="2" s="1"/>
  <c r="AD193" i="2"/>
  <c r="AD304" i="2" s="1"/>
  <c r="AD415" i="2" s="1"/>
  <c r="AD526" i="2" s="1"/>
  <c r="AD637" i="2" s="1"/>
  <c r="AC193" i="2"/>
  <c r="AC304" i="2" s="1"/>
  <c r="AC415" i="2" s="1"/>
  <c r="AC526" i="2" s="1"/>
  <c r="AC637" i="2" s="1"/>
  <c r="AB193" i="2"/>
  <c r="AB304" i="2" s="1"/>
  <c r="AB415" i="2" s="1"/>
  <c r="AB526" i="2" s="1"/>
  <c r="AB637" i="2" s="1"/>
  <c r="AA193" i="2"/>
  <c r="AA304" i="2" s="1"/>
  <c r="AA415" i="2" s="1"/>
  <c r="AA526" i="2" s="1"/>
  <c r="AA637" i="2" s="1"/>
  <c r="Z193" i="2"/>
  <c r="Z304" i="2" s="1"/>
  <c r="Z415" i="2" s="1"/>
  <c r="Z526" i="2" s="1"/>
  <c r="Z637" i="2" s="1"/>
  <c r="X193" i="2"/>
  <c r="X304" i="2" s="1"/>
  <c r="X415" i="2" s="1"/>
  <c r="X526" i="2" s="1"/>
  <c r="X637" i="2" s="1"/>
  <c r="V193" i="2"/>
  <c r="V304" i="2" s="1"/>
  <c r="V415" i="2" s="1"/>
  <c r="V526" i="2" s="1"/>
  <c r="V637" i="2" s="1"/>
  <c r="U193" i="2"/>
  <c r="U304" i="2" s="1"/>
  <c r="U415" i="2" s="1"/>
  <c r="U526" i="2" s="1"/>
  <c r="U637" i="2" s="1"/>
  <c r="T193" i="2"/>
  <c r="T304" i="2" s="1"/>
  <c r="T415" i="2" s="1"/>
  <c r="T526" i="2" s="1"/>
  <c r="T637" i="2" s="1"/>
  <c r="S193" i="2"/>
  <c r="S304" i="2" s="1"/>
  <c r="S415" i="2" s="1"/>
  <c r="S526" i="2" s="1"/>
  <c r="S637" i="2" s="1"/>
  <c r="R193" i="2"/>
  <c r="R304" i="2" s="1"/>
  <c r="R415" i="2" s="1"/>
  <c r="R526" i="2" s="1"/>
  <c r="R637" i="2" s="1"/>
  <c r="Q193" i="2"/>
  <c r="Q304" i="2" s="1"/>
  <c r="Q415" i="2" s="1"/>
  <c r="Q526" i="2" s="1"/>
  <c r="Q637" i="2" s="1"/>
  <c r="P193" i="2"/>
  <c r="P304" i="2" s="1"/>
  <c r="P415" i="2" s="1"/>
  <c r="P526" i="2" s="1"/>
  <c r="P637" i="2" s="1"/>
  <c r="O193" i="2"/>
  <c r="O304" i="2" s="1"/>
  <c r="O415" i="2" s="1"/>
  <c r="O526" i="2" s="1"/>
  <c r="O637" i="2" s="1"/>
  <c r="N193" i="2"/>
  <c r="N304" i="2" s="1"/>
  <c r="N415" i="2" s="1"/>
  <c r="N526" i="2" s="1"/>
  <c r="N637" i="2" s="1"/>
  <c r="M193" i="2"/>
  <c r="M304" i="2" s="1"/>
  <c r="M415" i="2" s="1"/>
  <c r="M526" i="2" s="1"/>
  <c r="M637" i="2" s="1"/>
  <c r="L193" i="2"/>
  <c r="L304" i="2" s="1"/>
  <c r="L415" i="2" s="1"/>
  <c r="L526" i="2" s="1"/>
  <c r="L637" i="2" s="1"/>
  <c r="J193" i="2"/>
  <c r="J304" i="2" s="1"/>
  <c r="J415" i="2" s="1"/>
  <c r="J526" i="2" s="1"/>
  <c r="J637" i="2" s="1"/>
  <c r="I193" i="2"/>
  <c r="I304" i="2" s="1"/>
  <c r="I415" i="2" s="1"/>
  <c r="I526" i="2" s="1"/>
  <c r="I637" i="2" s="1"/>
  <c r="H193" i="2"/>
  <c r="H304" i="2" s="1"/>
  <c r="H415" i="2" s="1"/>
  <c r="H526" i="2" s="1"/>
  <c r="H637" i="2" s="1"/>
  <c r="G193" i="2"/>
  <c r="G304" i="2" s="1"/>
  <c r="G415" i="2" s="1"/>
  <c r="G526" i="2" s="1"/>
  <c r="G637" i="2" s="1"/>
  <c r="F193" i="2"/>
  <c r="F304" i="2" s="1"/>
  <c r="F415" i="2" s="1"/>
  <c r="F526" i="2" s="1"/>
  <c r="F637" i="2" s="1"/>
  <c r="E193" i="2"/>
  <c r="E304" i="2" s="1"/>
  <c r="E415" i="2" s="1"/>
  <c r="E526" i="2" s="1"/>
  <c r="E637" i="2" s="1"/>
  <c r="D193" i="2"/>
  <c r="D304" i="2" s="1"/>
  <c r="D415" i="2" s="1"/>
  <c r="D526" i="2" s="1"/>
  <c r="D637" i="2" s="1"/>
  <c r="C193" i="2"/>
  <c r="C304" i="2" s="1"/>
  <c r="C415" i="2" s="1"/>
  <c r="C526" i="2" s="1"/>
  <c r="C637" i="2" s="1"/>
  <c r="B193" i="2"/>
  <c r="B304" i="2" s="1"/>
  <c r="B415" i="2" s="1"/>
  <c r="B526" i="2" s="1"/>
  <c r="B637" i="2" s="1"/>
  <c r="AF192" i="2"/>
  <c r="AF303" i="2" s="1"/>
  <c r="AF414" i="2" s="1"/>
  <c r="AF525" i="2" s="1"/>
  <c r="AF636" i="2" s="1"/>
  <c r="AE192" i="2"/>
  <c r="AE303" i="2" s="1"/>
  <c r="AE414" i="2" s="1"/>
  <c r="AE525" i="2" s="1"/>
  <c r="AE636" i="2" s="1"/>
  <c r="AD192" i="2"/>
  <c r="AD303" i="2" s="1"/>
  <c r="AD414" i="2" s="1"/>
  <c r="AD525" i="2" s="1"/>
  <c r="AD636" i="2" s="1"/>
  <c r="AC192" i="2"/>
  <c r="AC303" i="2" s="1"/>
  <c r="AC414" i="2" s="1"/>
  <c r="AC525" i="2" s="1"/>
  <c r="AC636" i="2" s="1"/>
  <c r="AB192" i="2"/>
  <c r="AB303" i="2" s="1"/>
  <c r="AB414" i="2" s="1"/>
  <c r="AB525" i="2" s="1"/>
  <c r="AB636" i="2" s="1"/>
  <c r="AA192" i="2"/>
  <c r="AA303" i="2" s="1"/>
  <c r="AA414" i="2" s="1"/>
  <c r="AA525" i="2" s="1"/>
  <c r="AA636" i="2" s="1"/>
  <c r="Z192" i="2"/>
  <c r="Z303" i="2" s="1"/>
  <c r="Z414" i="2" s="1"/>
  <c r="Z525" i="2" s="1"/>
  <c r="Z636" i="2" s="1"/>
  <c r="X192" i="2"/>
  <c r="X303" i="2" s="1"/>
  <c r="X414" i="2" s="1"/>
  <c r="X525" i="2" s="1"/>
  <c r="X636" i="2" s="1"/>
  <c r="V192" i="2"/>
  <c r="V303" i="2" s="1"/>
  <c r="V414" i="2" s="1"/>
  <c r="V525" i="2" s="1"/>
  <c r="V636" i="2" s="1"/>
  <c r="U192" i="2"/>
  <c r="U303" i="2" s="1"/>
  <c r="U414" i="2" s="1"/>
  <c r="U525" i="2" s="1"/>
  <c r="U636" i="2" s="1"/>
  <c r="T192" i="2"/>
  <c r="T303" i="2" s="1"/>
  <c r="T414" i="2" s="1"/>
  <c r="T525" i="2" s="1"/>
  <c r="T636" i="2" s="1"/>
  <c r="S192" i="2"/>
  <c r="S303" i="2" s="1"/>
  <c r="S414" i="2" s="1"/>
  <c r="S525" i="2" s="1"/>
  <c r="S636" i="2" s="1"/>
  <c r="R192" i="2"/>
  <c r="R303" i="2" s="1"/>
  <c r="R414" i="2" s="1"/>
  <c r="R525" i="2" s="1"/>
  <c r="R636" i="2" s="1"/>
  <c r="Q192" i="2"/>
  <c r="Q303" i="2" s="1"/>
  <c r="Q414" i="2" s="1"/>
  <c r="Q525" i="2" s="1"/>
  <c r="Q636" i="2" s="1"/>
  <c r="P192" i="2"/>
  <c r="P303" i="2" s="1"/>
  <c r="P414" i="2" s="1"/>
  <c r="P525" i="2" s="1"/>
  <c r="P636" i="2" s="1"/>
  <c r="O192" i="2"/>
  <c r="O303" i="2" s="1"/>
  <c r="O414" i="2" s="1"/>
  <c r="O525" i="2" s="1"/>
  <c r="O636" i="2" s="1"/>
  <c r="N192" i="2"/>
  <c r="N303" i="2" s="1"/>
  <c r="N414" i="2" s="1"/>
  <c r="N525" i="2" s="1"/>
  <c r="N636" i="2" s="1"/>
  <c r="M192" i="2"/>
  <c r="M303" i="2" s="1"/>
  <c r="M414" i="2" s="1"/>
  <c r="M525" i="2" s="1"/>
  <c r="M636" i="2" s="1"/>
  <c r="L192" i="2"/>
  <c r="L303" i="2" s="1"/>
  <c r="L414" i="2" s="1"/>
  <c r="L525" i="2" s="1"/>
  <c r="L636" i="2" s="1"/>
  <c r="J192" i="2"/>
  <c r="J303" i="2" s="1"/>
  <c r="J414" i="2" s="1"/>
  <c r="J525" i="2" s="1"/>
  <c r="J636" i="2" s="1"/>
  <c r="I192" i="2"/>
  <c r="I303" i="2" s="1"/>
  <c r="I414" i="2" s="1"/>
  <c r="I525" i="2" s="1"/>
  <c r="I636" i="2" s="1"/>
  <c r="H192" i="2"/>
  <c r="H303" i="2" s="1"/>
  <c r="H414" i="2" s="1"/>
  <c r="H525" i="2" s="1"/>
  <c r="H636" i="2" s="1"/>
  <c r="G192" i="2"/>
  <c r="G303" i="2" s="1"/>
  <c r="G414" i="2" s="1"/>
  <c r="G525" i="2" s="1"/>
  <c r="G636" i="2" s="1"/>
  <c r="F192" i="2"/>
  <c r="F303" i="2" s="1"/>
  <c r="F414" i="2" s="1"/>
  <c r="F525" i="2" s="1"/>
  <c r="F636" i="2" s="1"/>
  <c r="E192" i="2"/>
  <c r="E303" i="2" s="1"/>
  <c r="E414" i="2" s="1"/>
  <c r="E525" i="2" s="1"/>
  <c r="E636" i="2" s="1"/>
  <c r="D192" i="2"/>
  <c r="D303" i="2" s="1"/>
  <c r="D414" i="2" s="1"/>
  <c r="D525" i="2" s="1"/>
  <c r="D636" i="2" s="1"/>
  <c r="C192" i="2"/>
  <c r="C303" i="2" s="1"/>
  <c r="C414" i="2" s="1"/>
  <c r="C525" i="2" s="1"/>
  <c r="C636" i="2" s="1"/>
  <c r="B192" i="2"/>
  <c r="B303" i="2" s="1"/>
  <c r="B414" i="2" s="1"/>
  <c r="B525" i="2" s="1"/>
  <c r="B636" i="2" s="1"/>
  <c r="AF191" i="2"/>
  <c r="AF302" i="2" s="1"/>
  <c r="AF413" i="2" s="1"/>
  <c r="AF524" i="2" s="1"/>
  <c r="AF635" i="2" s="1"/>
  <c r="AE191" i="2"/>
  <c r="AE302" i="2" s="1"/>
  <c r="AE413" i="2" s="1"/>
  <c r="AE524" i="2" s="1"/>
  <c r="AE635" i="2" s="1"/>
  <c r="AD191" i="2"/>
  <c r="AD302" i="2" s="1"/>
  <c r="AD413" i="2" s="1"/>
  <c r="AD524" i="2" s="1"/>
  <c r="AD635" i="2" s="1"/>
  <c r="AC191" i="2"/>
  <c r="AC302" i="2" s="1"/>
  <c r="AC413" i="2" s="1"/>
  <c r="AC524" i="2" s="1"/>
  <c r="AC635" i="2" s="1"/>
  <c r="AB191" i="2"/>
  <c r="AB302" i="2" s="1"/>
  <c r="AB413" i="2" s="1"/>
  <c r="AB524" i="2" s="1"/>
  <c r="AB635" i="2" s="1"/>
  <c r="AA191" i="2"/>
  <c r="AA302" i="2" s="1"/>
  <c r="AA413" i="2" s="1"/>
  <c r="AA524" i="2" s="1"/>
  <c r="AA635" i="2" s="1"/>
  <c r="Z191" i="2"/>
  <c r="Z302" i="2" s="1"/>
  <c r="Z413" i="2" s="1"/>
  <c r="Z524" i="2" s="1"/>
  <c r="Z635" i="2" s="1"/>
  <c r="X191" i="2"/>
  <c r="X302" i="2" s="1"/>
  <c r="X413" i="2" s="1"/>
  <c r="X524" i="2" s="1"/>
  <c r="X635" i="2" s="1"/>
  <c r="V191" i="2"/>
  <c r="V302" i="2" s="1"/>
  <c r="V413" i="2" s="1"/>
  <c r="V524" i="2" s="1"/>
  <c r="V635" i="2" s="1"/>
  <c r="U191" i="2"/>
  <c r="U302" i="2" s="1"/>
  <c r="U413" i="2" s="1"/>
  <c r="U524" i="2" s="1"/>
  <c r="U635" i="2" s="1"/>
  <c r="T191" i="2"/>
  <c r="T302" i="2" s="1"/>
  <c r="T413" i="2" s="1"/>
  <c r="T524" i="2" s="1"/>
  <c r="T635" i="2" s="1"/>
  <c r="S191" i="2"/>
  <c r="S302" i="2" s="1"/>
  <c r="S413" i="2" s="1"/>
  <c r="S524" i="2" s="1"/>
  <c r="S635" i="2" s="1"/>
  <c r="R191" i="2"/>
  <c r="R302" i="2" s="1"/>
  <c r="R413" i="2" s="1"/>
  <c r="R524" i="2" s="1"/>
  <c r="R635" i="2" s="1"/>
  <c r="Q191" i="2"/>
  <c r="Q302" i="2" s="1"/>
  <c r="Q413" i="2" s="1"/>
  <c r="Q524" i="2" s="1"/>
  <c r="Q635" i="2" s="1"/>
  <c r="P191" i="2"/>
  <c r="P302" i="2" s="1"/>
  <c r="P413" i="2" s="1"/>
  <c r="P524" i="2" s="1"/>
  <c r="P635" i="2" s="1"/>
  <c r="O191" i="2"/>
  <c r="O302" i="2" s="1"/>
  <c r="O413" i="2" s="1"/>
  <c r="O524" i="2" s="1"/>
  <c r="O635" i="2" s="1"/>
  <c r="N191" i="2"/>
  <c r="N302" i="2" s="1"/>
  <c r="N413" i="2" s="1"/>
  <c r="N524" i="2" s="1"/>
  <c r="N635" i="2" s="1"/>
  <c r="M191" i="2"/>
  <c r="M302" i="2" s="1"/>
  <c r="M413" i="2" s="1"/>
  <c r="M524" i="2" s="1"/>
  <c r="M635" i="2" s="1"/>
  <c r="L191" i="2"/>
  <c r="L302" i="2" s="1"/>
  <c r="L413" i="2" s="1"/>
  <c r="L524" i="2" s="1"/>
  <c r="L635" i="2" s="1"/>
  <c r="J191" i="2"/>
  <c r="J302" i="2" s="1"/>
  <c r="J413" i="2" s="1"/>
  <c r="J524" i="2" s="1"/>
  <c r="J635" i="2" s="1"/>
  <c r="I191" i="2"/>
  <c r="I302" i="2" s="1"/>
  <c r="I413" i="2" s="1"/>
  <c r="I524" i="2" s="1"/>
  <c r="I635" i="2" s="1"/>
  <c r="H191" i="2"/>
  <c r="H302" i="2" s="1"/>
  <c r="H413" i="2" s="1"/>
  <c r="H524" i="2" s="1"/>
  <c r="H635" i="2" s="1"/>
  <c r="G191" i="2"/>
  <c r="G302" i="2" s="1"/>
  <c r="G413" i="2" s="1"/>
  <c r="G524" i="2" s="1"/>
  <c r="G635" i="2" s="1"/>
  <c r="F191" i="2"/>
  <c r="F302" i="2" s="1"/>
  <c r="F413" i="2" s="1"/>
  <c r="F524" i="2" s="1"/>
  <c r="F635" i="2" s="1"/>
  <c r="E191" i="2"/>
  <c r="E302" i="2" s="1"/>
  <c r="E413" i="2" s="1"/>
  <c r="E524" i="2" s="1"/>
  <c r="E635" i="2" s="1"/>
  <c r="D191" i="2"/>
  <c r="D302" i="2" s="1"/>
  <c r="D413" i="2" s="1"/>
  <c r="D524" i="2" s="1"/>
  <c r="D635" i="2" s="1"/>
  <c r="C191" i="2"/>
  <c r="C302" i="2" s="1"/>
  <c r="C413" i="2" s="1"/>
  <c r="C524" i="2" s="1"/>
  <c r="C635" i="2" s="1"/>
  <c r="B191" i="2"/>
  <c r="B302" i="2" s="1"/>
  <c r="B413" i="2" s="1"/>
  <c r="B524" i="2" s="1"/>
  <c r="B635" i="2" s="1"/>
  <c r="AF190" i="2"/>
  <c r="AF301" i="2" s="1"/>
  <c r="AF412" i="2" s="1"/>
  <c r="AF523" i="2" s="1"/>
  <c r="AF634" i="2" s="1"/>
  <c r="AE190" i="2"/>
  <c r="AE301" i="2" s="1"/>
  <c r="AE412" i="2" s="1"/>
  <c r="AE523" i="2" s="1"/>
  <c r="AE634" i="2" s="1"/>
  <c r="AD190" i="2"/>
  <c r="AD301" i="2" s="1"/>
  <c r="AD412" i="2" s="1"/>
  <c r="AD523" i="2" s="1"/>
  <c r="AD634" i="2" s="1"/>
  <c r="AC190" i="2"/>
  <c r="AC301" i="2" s="1"/>
  <c r="AC412" i="2" s="1"/>
  <c r="AC523" i="2" s="1"/>
  <c r="AC634" i="2" s="1"/>
  <c r="AB190" i="2"/>
  <c r="AB301" i="2" s="1"/>
  <c r="AB412" i="2" s="1"/>
  <c r="AB523" i="2" s="1"/>
  <c r="AB634" i="2" s="1"/>
  <c r="AA190" i="2"/>
  <c r="AA301" i="2" s="1"/>
  <c r="AA412" i="2" s="1"/>
  <c r="AA523" i="2" s="1"/>
  <c r="AA634" i="2" s="1"/>
  <c r="Z190" i="2"/>
  <c r="Z301" i="2" s="1"/>
  <c r="Z412" i="2" s="1"/>
  <c r="Z523" i="2" s="1"/>
  <c r="Z634" i="2" s="1"/>
  <c r="X190" i="2"/>
  <c r="X301" i="2" s="1"/>
  <c r="X412" i="2" s="1"/>
  <c r="X523" i="2" s="1"/>
  <c r="X634" i="2" s="1"/>
  <c r="V190" i="2"/>
  <c r="V301" i="2" s="1"/>
  <c r="V412" i="2" s="1"/>
  <c r="V523" i="2" s="1"/>
  <c r="V634" i="2" s="1"/>
  <c r="U190" i="2"/>
  <c r="U301" i="2" s="1"/>
  <c r="U412" i="2" s="1"/>
  <c r="U523" i="2" s="1"/>
  <c r="U634" i="2" s="1"/>
  <c r="T190" i="2"/>
  <c r="T301" i="2" s="1"/>
  <c r="T412" i="2" s="1"/>
  <c r="T523" i="2" s="1"/>
  <c r="T634" i="2" s="1"/>
  <c r="S190" i="2"/>
  <c r="S301" i="2" s="1"/>
  <c r="S412" i="2" s="1"/>
  <c r="S523" i="2" s="1"/>
  <c r="S634" i="2" s="1"/>
  <c r="R190" i="2"/>
  <c r="R301" i="2" s="1"/>
  <c r="R412" i="2" s="1"/>
  <c r="R523" i="2" s="1"/>
  <c r="R634" i="2" s="1"/>
  <c r="Q190" i="2"/>
  <c r="Q301" i="2" s="1"/>
  <c r="Q412" i="2" s="1"/>
  <c r="Q523" i="2" s="1"/>
  <c r="Q634" i="2" s="1"/>
  <c r="P190" i="2"/>
  <c r="P301" i="2" s="1"/>
  <c r="P412" i="2" s="1"/>
  <c r="P523" i="2" s="1"/>
  <c r="P634" i="2" s="1"/>
  <c r="O190" i="2"/>
  <c r="O301" i="2" s="1"/>
  <c r="O412" i="2" s="1"/>
  <c r="O523" i="2" s="1"/>
  <c r="O634" i="2" s="1"/>
  <c r="N190" i="2"/>
  <c r="N301" i="2" s="1"/>
  <c r="N412" i="2" s="1"/>
  <c r="N523" i="2" s="1"/>
  <c r="N634" i="2" s="1"/>
  <c r="M190" i="2"/>
  <c r="M301" i="2" s="1"/>
  <c r="M412" i="2" s="1"/>
  <c r="M523" i="2" s="1"/>
  <c r="M634" i="2" s="1"/>
  <c r="L190" i="2"/>
  <c r="L301" i="2" s="1"/>
  <c r="L412" i="2" s="1"/>
  <c r="L523" i="2" s="1"/>
  <c r="L634" i="2" s="1"/>
  <c r="J190" i="2"/>
  <c r="J301" i="2" s="1"/>
  <c r="J412" i="2" s="1"/>
  <c r="J523" i="2" s="1"/>
  <c r="J634" i="2" s="1"/>
  <c r="I190" i="2"/>
  <c r="I301" i="2" s="1"/>
  <c r="I412" i="2" s="1"/>
  <c r="I523" i="2" s="1"/>
  <c r="I634" i="2" s="1"/>
  <c r="H190" i="2"/>
  <c r="H301" i="2" s="1"/>
  <c r="H412" i="2" s="1"/>
  <c r="H523" i="2" s="1"/>
  <c r="H634" i="2" s="1"/>
  <c r="G190" i="2"/>
  <c r="G301" i="2" s="1"/>
  <c r="G412" i="2" s="1"/>
  <c r="G523" i="2" s="1"/>
  <c r="G634" i="2" s="1"/>
  <c r="F190" i="2"/>
  <c r="F301" i="2" s="1"/>
  <c r="F412" i="2" s="1"/>
  <c r="F523" i="2" s="1"/>
  <c r="F634" i="2" s="1"/>
  <c r="E190" i="2"/>
  <c r="E301" i="2" s="1"/>
  <c r="E412" i="2" s="1"/>
  <c r="E523" i="2" s="1"/>
  <c r="E634" i="2" s="1"/>
  <c r="D190" i="2"/>
  <c r="D301" i="2" s="1"/>
  <c r="D412" i="2" s="1"/>
  <c r="D523" i="2" s="1"/>
  <c r="D634" i="2" s="1"/>
  <c r="C190" i="2"/>
  <c r="C301" i="2" s="1"/>
  <c r="C412" i="2" s="1"/>
  <c r="C523" i="2" s="1"/>
  <c r="C634" i="2" s="1"/>
  <c r="B190" i="2"/>
  <c r="B301" i="2" s="1"/>
  <c r="B412" i="2" s="1"/>
  <c r="B523" i="2" s="1"/>
  <c r="B634" i="2" s="1"/>
  <c r="AF189" i="2"/>
  <c r="AF300" i="2" s="1"/>
  <c r="AF411" i="2" s="1"/>
  <c r="AF522" i="2" s="1"/>
  <c r="AF633" i="2" s="1"/>
  <c r="AE189" i="2"/>
  <c r="AE300" i="2" s="1"/>
  <c r="AE411" i="2" s="1"/>
  <c r="AE522" i="2" s="1"/>
  <c r="AE633" i="2" s="1"/>
  <c r="AD189" i="2"/>
  <c r="AD300" i="2" s="1"/>
  <c r="AD411" i="2" s="1"/>
  <c r="AD522" i="2" s="1"/>
  <c r="AD633" i="2" s="1"/>
  <c r="AC189" i="2"/>
  <c r="AC300" i="2" s="1"/>
  <c r="AC411" i="2" s="1"/>
  <c r="AC522" i="2" s="1"/>
  <c r="AC633" i="2" s="1"/>
  <c r="AB189" i="2"/>
  <c r="AB300" i="2" s="1"/>
  <c r="AB411" i="2" s="1"/>
  <c r="AB522" i="2" s="1"/>
  <c r="AB633" i="2" s="1"/>
  <c r="AA189" i="2"/>
  <c r="AA300" i="2" s="1"/>
  <c r="AA411" i="2" s="1"/>
  <c r="AA522" i="2" s="1"/>
  <c r="AA633" i="2" s="1"/>
  <c r="Z189" i="2"/>
  <c r="Z300" i="2" s="1"/>
  <c r="Z411" i="2" s="1"/>
  <c r="Z522" i="2" s="1"/>
  <c r="Z633" i="2" s="1"/>
  <c r="X189" i="2"/>
  <c r="X300" i="2" s="1"/>
  <c r="X411" i="2" s="1"/>
  <c r="X522" i="2" s="1"/>
  <c r="X633" i="2" s="1"/>
  <c r="V189" i="2"/>
  <c r="V300" i="2" s="1"/>
  <c r="V411" i="2" s="1"/>
  <c r="V522" i="2" s="1"/>
  <c r="V633" i="2" s="1"/>
  <c r="U189" i="2"/>
  <c r="U300" i="2" s="1"/>
  <c r="U411" i="2" s="1"/>
  <c r="U522" i="2" s="1"/>
  <c r="U633" i="2" s="1"/>
  <c r="T189" i="2"/>
  <c r="T300" i="2" s="1"/>
  <c r="T411" i="2" s="1"/>
  <c r="T522" i="2" s="1"/>
  <c r="T633" i="2" s="1"/>
  <c r="S189" i="2"/>
  <c r="S300" i="2" s="1"/>
  <c r="S411" i="2" s="1"/>
  <c r="S522" i="2" s="1"/>
  <c r="S633" i="2" s="1"/>
  <c r="R189" i="2"/>
  <c r="R300" i="2" s="1"/>
  <c r="R411" i="2" s="1"/>
  <c r="R522" i="2" s="1"/>
  <c r="R633" i="2" s="1"/>
  <c r="Q189" i="2"/>
  <c r="Q300" i="2" s="1"/>
  <c r="Q411" i="2" s="1"/>
  <c r="Q522" i="2" s="1"/>
  <c r="Q633" i="2" s="1"/>
  <c r="P189" i="2"/>
  <c r="P300" i="2" s="1"/>
  <c r="P411" i="2" s="1"/>
  <c r="P522" i="2" s="1"/>
  <c r="P633" i="2" s="1"/>
  <c r="O189" i="2"/>
  <c r="O300" i="2" s="1"/>
  <c r="O411" i="2" s="1"/>
  <c r="O522" i="2" s="1"/>
  <c r="O633" i="2" s="1"/>
  <c r="N189" i="2"/>
  <c r="N300" i="2" s="1"/>
  <c r="N411" i="2" s="1"/>
  <c r="N522" i="2" s="1"/>
  <c r="N633" i="2" s="1"/>
  <c r="M189" i="2"/>
  <c r="M300" i="2" s="1"/>
  <c r="M411" i="2" s="1"/>
  <c r="M522" i="2" s="1"/>
  <c r="M633" i="2" s="1"/>
  <c r="L189" i="2"/>
  <c r="L300" i="2" s="1"/>
  <c r="L411" i="2" s="1"/>
  <c r="L522" i="2" s="1"/>
  <c r="L633" i="2" s="1"/>
  <c r="J189" i="2"/>
  <c r="J300" i="2" s="1"/>
  <c r="J411" i="2" s="1"/>
  <c r="J522" i="2" s="1"/>
  <c r="J633" i="2" s="1"/>
  <c r="I189" i="2"/>
  <c r="I300" i="2" s="1"/>
  <c r="I411" i="2" s="1"/>
  <c r="I522" i="2" s="1"/>
  <c r="I633" i="2" s="1"/>
  <c r="H189" i="2"/>
  <c r="H300" i="2" s="1"/>
  <c r="H411" i="2" s="1"/>
  <c r="H522" i="2" s="1"/>
  <c r="H633" i="2" s="1"/>
  <c r="G189" i="2"/>
  <c r="G300" i="2" s="1"/>
  <c r="G411" i="2" s="1"/>
  <c r="G522" i="2" s="1"/>
  <c r="G633" i="2" s="1"/>
  <c r="F189" i="2"/>
  <c r="F300" i="2" s="1"/>
  <c r="F411" i="2" s="1"/>
  <c r="F522" i="2" s="1"/>
  <c r="F633" i="2" s="1"/>
  <c r="E189" i="2"/>
  <c r="E300" i="2" s="1"/>
  <c r="E411" i="2" s="1"/>
  <c r="E522" i="2" s="1"/>
  <c r="E633" i="2" s="1"/>
  <c r="D189" i="2"/>
  <c r="D300" i="2" s="1"/>
  <c r="D411" i="2" s="1"/>
  <c r="D522" i="2" s="1"/>
  <c r="D633" i="2" s="1"/>
  <c r="C189" i="2"/>
  <c r="C300" i="2" s="1"/>
  <c r="C411" i="2" s="1"/>
  <c r="C522" i="2" s="1"/>
  <c r="C633" i="2" s="1"/>
  <c r="B189" i="2"/>
  <c r="B300" i="2" s="1"/>
  <c r="B411" i="2" s="1"/>
  <c r="B522" i="2" s="1"/>
  <c r="B633" i="2" s="1"/>
  <c r="AF188" i="2"/>
  <c r="AF299" i="2" s="1"/>
  <c r="AF410" i="2" s="1"/>
  <c r="AF521" i="2" s="1"/>
  <c r="AF632" i="2" s="1"/>
  <c r="AE188" i="2"/>
  <c r="AE299" i="2" s="1"/>
  <c r="AE410" i="2" s="1"/>
  <c r="AE521" i="2" s="1"/>
  <c r="AE632" i="2" s="1"/>
  <c r="AD188" i="2"/>
  <c r="AD299" i="2" s="1"/>
  <c r="AD410" i="2" s="1"/>
  <c r="AD521" i="2" s="1"/>
  <c r="AD632" i="2" s="1"/>
  <c r="AC188" i="2"/>
  <c r="AC299" i="2" s="1"/>
  <c r="AC410" i="2" s="1"/>
  <c r="AC521" i="2" s="1"/>
  <c r="AC632" i="2" s="1"/>
  <c r="AB188" i="2"/>
  <c r="AB299" i="2" s="1"/>
  <c r="AB410" i="2" s="1"/>
  <c r="AB521" i="2" s="1"/>
  <c r="AB632" i="2" s="1"/>
  <c r="AA188" i="2"/>
  <c r="AA299" i="2" s="1"/>
  <c r="AA410" i="2" s="1"/>
  <c r="AA521" i="2" s="1"/>
  <c r="AA632" i="2" s="1"/>
  <c r="Z188" i="2"/>
  <c r="Z299" i="2" s="1"/>
  <c r="Z410" i="2" s="1"/>
  <c r="Z521" i="2" s="1"/>
  <c r="Z632" i="2" s="1"/>
  <c r="X188" i="2"/>
  <c r="X299" i="2" s="1"/>
  <c r="X410" i="2" s="1"/>
  <c r="X521" i="2" s="1"/>
  <c r="X632" i="2" s="1"/>
  <c r="V188" i="2"/>
  <c r="V299" i="2" s="1"/>
  <c r="V410" i="2" s="1"/>
  <c r="V521" i="2" s="1"/>
  <c r="V632" i="2" s="1"/>
  <c r="U188" i="2"/>
  <c r="U299" i="2" s="1"/>
  <c r="U410" i="2" s="1"/>
  <c r="U521" i="2" s="1"/>
  <c r="U632" i="2" s="1"/>
  <c r="T188" i="2"/>
  <c r="T299" i="2" s="1"/>
  <c r="T410" i="2" s="1"/>
  <c r="T521" i="2" s="1"/>
  <c r="T632" i="2" s="1"/>
  <c r="S188" i="2"/>
  <c r="S299" i="2" s="1"/>
  <c r="S410" i="2" s="1"/>
  <c r="S521" i="2" s="1"/>
  <c r="S632" i="2" s="1"/>
  <c r="R188" i="2"/>
  <c r="R299" i="2" s="1"/>
  <c r="R410" i="2" s="1"/>
  <c r="R521" i="2" s="1"/>
  <c r="R632" i="2" s="1"/>
  <c r="Q188" i="2"/>
  <c r="Q299" i="2" s="1"/>
  <c r="Q410" i="2" s="1"/>
  <c r="Q521" i="2" s="1"/>
  <c r="Q632" i="2" s="1"/>
  <c r="P188" i="2"/>
  <c r="P299" i="2" s="1"/>
  <c r="P410" i="2" s="1"/>
  <c r="P521" i="2" s="1"/>
  <c r="P632" i="2" s="1"/>
  <c r="O188" i="2"/>
  <c r="O299" i="2" s="1"/>
  <c r="O410" i="2" s="1"/>
  <c r="O521" i="2" s="1"/>
  <c r="O632" i="2" s="1"/>
  <c r="N188" i="2"/>
  <c r="N299" i="2" s="1"/>
  <c r="N410" i="2" s="1"/>
  <c r="N521" i="2" s="1"/>
  <c r="N632" i="2" s="1"/>
  <c r="M188" i="2"/>
  <c r="M299" i="2" s="1"/>
  <c r="M410" i="2" s="1"/>
  <c r="M521" i="2" s="1"/>
  <c r="M632" i="2" s="1"/>
  <c r="L188" i="2"/>
  <c r="L299" i="2" s="1"/>
  <c r="L410" i="2" s="1"/>
  <c r="L521" i="2" s="1"/>
  <c r="L632" i="2" s="1"/>
  <c r="J188" i="2"/>
  <c r="J299" i="2" s="1"/>
  <c r="J410" i="2" s="1"/>
  <c r="J521" i="2" s="1"/>
  <c r="J632" i="2" s="1"/>
  <c r="I188" i="2"/>
  <c r="I299" i="2" s="1"/>
  <c r="I410" i="2" s="1"/>
  <c r="I521" i="2" s="1"/>
  <c r="I632" i="2" s="1"/>
  <c r="H188" i="2"/>
  <c r="H299" i="2" s="1"/>
  <c r="H410" i="2" s="1"/>
  <c r="H521" i="2" s="1"/>
  <c r="H632" i="2" s="1"/>
  <c r="G188" i="2"/>
  <c r="G299" i="2" s="1"/>
  <c r="G410" i="2" s="1"/>
  <c r="G521" i="2" s="1"/>
  <c r="G632" i="2" s="1"/>
  <c r="F188" i="2"/>
  <c r="F299" i="2" s="1"/>
  <c r="F410" i="2" s="1"/>
  <c r="F521" i="2" s="1"/>
  <c r="F632" i="2" s="1"/>
  <c r="E188" i="2"/>
  <c r="E299" i="2" s="1"/>
  <c r="E410" i="2" s="1"/>
  <c r="E521" i="2" s="1"/>
  <c r="E632" i="2" s="1"/>
  <c r="D188" i="2"/>
  <c r="D299" i="2" s="1"/>
  <c r="D410" i="2" s="1"/>
  <c r="D521" i="2" s="1"/>
  <c r="D632" i="2" s="1"/>
  <c r="C188" i="2"/>
  <c r="C299" i="2" s="1"/>
  <c r="C410" i="2" s="1"/>
  <c r="C521" i="2" s="1"/>
  <c r="C632" i="2" s="1"/>
  <c r="B188" i="2"/>
  <c r="B299" i="2" s="1"/>
  <c r="B410" i="2" s="1"/>
  <c r="B521" i="2" s="1"/>
  <c r="B632" i="2" s="1"/>
  <c r="AF187" i="2"/>
  <c r="AF298" i="2" s="1"/>
  <c r="AF409" i="2" s="1"/>
  <c r="AF520" i="2" s="1"/>
  <c r="AF631" i="2" s="1"/>
  <c r="AE187" i="2"/>
  <c r="AE298" i="2" s="1"/>
  <c r="AE409" i="2" s="1"/>
  <c r="AE520" i="2" s="1"/>
  <c r="AE631" i="2" s="1"/>
  <c r="AD187" i="2"/>
  <c r="AD298" i="2" s="1"/>
  <c r="AD409" i="2" s="1"/>
  <c r="AD520" i="2" s="1"/>
  <c r="AD631" i="2" s="1"/>
  <c r="AC187" i="2"/>
  <c r="AC298" i="2" s="1"/>
  <c r="AC409" i="2" s="1"/>
  <c r="AC520" i="2" s="1"/>
  <c r="AC631" i="2" s="1"/>
  <c r="AB187" i="2"/>
  <c r="AB298" i="2" s="1"/>
  <c r="AB409" i="2" s="1"/>
  <c r="AB520" i="2" s="1"/>
  <c r="AB631" i="2" s="1"/>
  <c r="AA187" i="2"/>
  <c r="AA298" i="2" s="1"/>
  <c r="AA409" i="2" s="1"/>
  <c r="AA520" i="2" s="1"/>
  <c r="AA631" i="2" s="1"/>
  <c r="Z187" i="2"/>
  <c r="Z298" i="2" s="1"/>
  <c r="Z409" i="2" s="1"/>
  <c r="Z520" i="2" s="1"/>
  <c r="Z631" i="2" s="1"/>
  <c r="X187" i="2"/>
  <c r="X298" i="2" s="1"/>
  <c r="X409" i="2" s="1"/>
  <c r="X520" i="2" s="1"/>
  <c r="X631" i="2" s="1"/>
  <c r="V187" i="2"/>
  <c r="V298" i="2" s="1"/>
  <c r="V409" i="2" s="1"/>
  <c r="V520" i="2" s="1"/>
  <c r="V631" i="2" s="1"/>
  <c r="U187" i="2"/>
  <c r="U298" i="2" s="1"/>
  <c r="U409" i="2" s="1"/>
  <c r="U520" i="2" s="1"/>
  <c r="U631" i="2" s="1"/>
  <c r="T187" i="2"/>
  <c r="T298" i="2" s="1"/>
  <c r="T409" i="2" s="1"/>
  <c r="T520" i="2" s="1"/>
  <c r="T631" i="2" s="1"/>
  <c r="S187" i="2"/>
  <c r="S298" i="2" s="1"/>
  <c r="S409" i="2" s="1"/>
  <c r="S520" i="2" s="1"/>
  <c r="S631" i="2" s="1"/>
  <c r="R187" i="2"/>
  <c r="R298" i="2" s="1"/>
  <c r="R409" i="2" s="1"/>
  <c r="R520" i="2" s="1"/>
  <c r="R631" i="2" s="1"/>
  <c r="Q187" i="2"/>
  <c r="Q298" i="2" s="1"/>
  <c r="Q409" i="2" s="1"/>
  <c r="Q520" i="2" s="1"/>
  <c r="Q631" i="2" s="1"/>
  <c r="P187" i="2"/>
  <c r="P298" i="2" s="1"/>
  <c r="P409" i="2" s="1"/>
  <c r="P520" i="2" s="1"/>
  <c r="P631" i="2" s="1"/>
  <c r="O187" i="2"/>
  <c r="O298" i="2" s="1"/>
  <c r="O409" i="2" s="1"/>
  <c r="O520" i="2" s="1"/>
  <c r="O631" i="2" s="1"/>
  <c r="N187" i="2"/>
  <c r="N298" i="2" s="1"/>
  <c r="N409" i="2" s="1"/>
  <c r="N520" i="2" s="1"/>
  <c r="N631" i="2" s="1"/>
  <c r="M187" i="2"/>
  <c r="M298" i="2" s="1"/>
  <c r="M409" i="2" s="1"/>
  <c r="M520" i="2" s="1"/>
  <c r="M631" i="2" s="1"/>
  <c r="L187" i="2"/>
  <c r="L298" i="2" s="1"/>
  <c r="L409" i="2" s="1"/>
  <c r="L520" i="2" s="1"/>
  <c r="L631" i="2" s="1"/>
  <c r="J187" i="2"/>
  <c r="J298" i="2" s="1"/>
  <c r="J409" i="2" s="1"/>
  <c r="J520" i="2" s="1"/>
  <c r="J631" i="2" s="1"/>
  <c r="I187" i="2"/>
  <c r="I298" i="2" s="1"/>
  <c r="I409" i="2" s="1"/>
  <c r="I520" i="2" s="1"/>
  <c r="I631" i="2" s="1"/>
  <c r="H187" i="2"/>
  <c r="H298" i="2" s="1"/>
  <c r="H409" i="2" s="1"/>
  <c r="H520" i="2" s="1"/>
  <c r="H631" i="2" s="1"/>
  <c r="G187" i="2"/>
  <c r="G298" i="2" s="1"/>
  <c r="G409" i="2" s="1"/>
  <c r="G520" i="2" s="1"/>
  <c r="G631" i="2" s="1"/>
  <c r="F187" i="2"/>
  <c r="F298" i="2" s="1"/>
  <c r="F409" i="2" s="1"/>
  <c r="F520" i="2" s="1"/>
  <c r="F631" i="2" s="1"/>
  <c r="E187" i="2"/>
  <c r="E298" i="2" s="1"/>
  <c r="E409" i="2" s="1"/>
  <c r="E520" i="2" s="1"/>
  <c r="E631" i="2" s="1"/>
  <c r="D187" i="2"/>
  <c r="D298" i="2" s="1"/>
  <c r="D409" i="2" s="1"/>
  <c r="D520" i="2" s="1"/>
  <c r="D631" i="2" s="1"/>
  <c r="C187" i="2"/>
  <c r="C298" i="2" s="1"/>
  <c r="C409" i="2" s="1"/>
  <c r="C520" i="2" s="1"/>
  <c r="C631" i="2" s="1"/>
  <c r="B187" i="2"/>
  <c r="B298" i="2" s="1"/>
  <c r="B409" i="2" s="1"/>
  <c r="B520" i="2" s="1"/>
  <c r="B631" i="2" s="1"/>
  <c r="AF186" i="2"/>
  <c r="AF297" i="2" s="1"/>
  <c r="AF408" i="2" s="1"/>
  <c r="AF519" i="2" s="1"/>
  <c r="AF630" i="2" s="1"/>
  <c r="AE186" i="2"/>
  <c r="AE297" i="2" s="1"/>
  <c r="AE408" i="2" s="1"/>
  <c r="AE519" i="2" s="1"/>
  <c r="AE630" i="2" s="1"/>
  <c r="AD186" i="2"/>
  <c r="AD297" i="2" s="1"/>
  <c r="AD408" i="2" s="1"/>
  <c r="AD519" i="2" s="1"/>
  <c r="AD630" i="2" s="1"/>
  <c r="AC186" i="2"/>
  <c r="AC297" i="2" s="1"/>
  <c r="AC408" i="2" s="1"/>
  <c r="AC519" i="2" s="1"/>
  <c r="AC630" i="2" s="1"/>
  <c r="AB186" i="2"/>
  <c r="AB297" i="2" s="1"/>
  <c r="AB408" i="2" s="1"/>
  <c r="AB519" i="2" s="1"/>
  <c r="AB630" i="2" s="1"/>
  <c r="AA186" i="2"/>
  <c r="AA297" i="2" s="1"/>
  <c r="AA408" i="2" s="1"/>
  <c r="AA519" i="2" s="1"/>
  <c r="AA630" i="2" s="1"/>
  <c r="Z186" i="2"/>
  <c r="Z297" i="2" s="1"/>
  <c r="Z408" i="2" s="1"/>
  <c r="Z519" i="2" s="1"/>
  <c r="Z630" i="2" s="1"/>
  <c r="X186" i="2"/>
  <c r="X297" i="2" s="1"/>
  <c r="X408" i="2" s="1"/>
  <c r="X519" i="2" s="1"/>
  <c r="X630" i="2" s="1"/>
  <c r="V186" i="2"/>
  <c r="V297" i="2" s="1"/>
  <c r="V408" i="2" s="1"/>
  <c r="V519" i="2" s="1"/>
  <c r="V630" i="2" s="1"/>
  <c r="U186" i="2"/>
  <c r="U297" i="2" s="1"/>
  <c r="U408" i="2" s="1"/>
  <c r="U519" i="2" s="1"/>
  <c r="U630" i="2" s="1"/>
  <c r="T186" i="2"/>
  <c r="T297" i="2" s="1"/>
  <c r="T408" i="2" s="1"/>
  <c r="T519" i="2" s="1"/>
  <c r="T630" i="2" s="1"/>
  <c r="S186" i="2"/>
  <c r="S297" i="2" s="1"/>
  <c r="S408" i="2" s="1"/>
  <c r="S519" i="2" s="1"/>
  <c r="S630" i="2" s="1"/>
  <c r="R186" i="2"/>
  <c r="R297" i="2" s="1"/>
  <c r="R408" i="2" s="1"/>
  <c r="R519" i="2" s="1"/>
  <c r="R630" i="2" s="1"/>
  <c r="Q186" i="2"/>
  <c r="Q297" i="2" s="1"/>
  <c r="Q408" i="2" s="1"/>
  <c r="Q519" i="2" s="1"/>
  <c r="Q630" i="2" s="1"/>
  <c r="P186" i="2"/>
  <c r="P297" i="2" s="1"/>
  <c r="P408" i="2" s="1"/>
  <c r="P519" i="2" s="1"/>
  <c r="P630" i="2" s="1"/>
  <c r="O186" i="2"/>
  <c r="O297" i="2" s="1"/>
  <c r="O408" i="2" s="1"/>
  <c r="O519" i="2" s="1"/>
  <c r="O630" i="2" s="1"/>
  <c r="N186" i="2"/>
  <c r="N297" i="2" s="1"/>
  <c r="N408" i="2" s="1"/>
  <c r="N519" i="2" s="1"/>
  <c r="N630" i="2" s="1"/>
  <c r="M186" i="2"/>
  <c r="M297" i="2" s="1"/>
  <c r="M408" i="2" s="1"/>
  <c r="M519" i="2" s="1"/>
  <c r="M630" i="2" s="1"/>
  <c r="L186" i="2"/>
  <c r="L297" i="2" s="1"/>
  <c r="L408" i="2" s="1"/>
  <c r="L519" i="2" s="1"/>
  <c r="L630" i="2" s="1"/>
  <c r="J186" i="2"/>
  <c r="J297" i="2" s="1"/>
  <c r="J408" i="2" s="1"/>
  <c r="J519" i="2" s="1"/>
  <c r="J630" i="2" s="1"/>
  <c r="I186" i="2"/>
  <c r="I297" i="2" s="1"/>
  <c r="I408" i="2" s="1"/>
  <c r="I519" i="2" s="1"/>
  <c r="I630" i="2" s="1"/>
  <c r="H186" i="2"/>
  <c r="H297" i="2" s="1"/>
  <c r="H408" i="2" s="1"/>
  <c r="H519" i="2" s="1"/>
  <c r="H630" i="2" s="1"/>
  <c r="G186" i="2"/>
  <c r="G297" i="2" s="1"/>
  <c r="G408" i="2" s="1"/>
  <c r="G519" i="2" s="1"/>
  <c r="G630" i="2" s="1"/>
  <c r="F186" i="2"/>
  <c r="F297" i="2" s="1"/>
  <c r="F408" i="2" s="1"/>
  <c r="F519" i="2" s="1"/>
  <c r="F630" i="2" s="1"/>
  <c r="E186" i="2"/>
  <c r="E297" i="2" s="1"/>
  <c r="E408" i="2" s="1"/>
  <c r="E519" i="2" s="1"/>
  <c r="E630" i="2" s="1"/>
  <c r="D186" i="2"/>
  <c r="D297" i="2" s="1"/>
  <c r="D408" i="2" s="1"/>
  <c r="D519" i="2" s="1"/>
  <c r="D630" i="2" s="1"/>
  <c r="C186" i="2"/>
  <c r="C297" i="2" s="1"/>
  <c r="C408" i="2" s="1"/>
  <c r="C519" i="2" s="1"/>
  <c r="C630" i="2" s="1"/>
  <c r="B186" i="2"/>
  <c r="B297" i="2" s="1"/>
  <c r="B408" i="2" s="1"/>
  <c r="B519" i="2" s="1"/>
  <c r="B630" i="2" s="1"/>
  <c r="AF185" i="2"/>
  <c r="AF296" i="2" s="1"/>
  <c r="AF407" i="2" s="1"/>
  <c r="AF518" i="2" s="1"/>
  <c r="AF629" i="2" s="1"/>
  <c r="AE185" i="2"/>
  <c r="AE296" i="2" s="1"/>
  <c r="AE407" i="2" s="1"/>
  <c r="AE518" i="2" s="1"/>
  <c r="AE629" i="2" s="1"/>
  <c r="AD185" i="2"/>
  <c r="AD296" i="2" s="1"/>
  <c r="AD407" i="2" s="1"/>
  <c r="AD518" i="2" s="1"/>
  <c r="AD629" i="2" s="1"/>
  <c r="AC185" i="2"/>
  <c r="AC296" i="2" s="1"/>
  <c r="AC407" i="2" s="1"/>
  <c r="AC518" i="2" s="1"/>
  <c r="AC629" i="2" s="1"/>
  <c r="AB185" i="2"/>
  <c r="AB296" i="2" s="1"/>
  <c r="AB407" i="2" s="1"/>
  <c r="AB518" i="2" s="1"/>
  <c r="AB629" i="2" s="1"/>
  <c r="AA185" i="2"/>
  <c r="AA296" i="2" s="1"/>
  <c r="AA407" i="2" s="1"/>
  <c r="AA518" i="2" s="1"/>
  <c r="AA629" i="2" s="1"/>
  <c r="Z185" i="2"/>
  <c r="Z296" i="2" s="1"/>
  <c r="Z407" i="2" s="1"/>
  <c r="Z518" i="2" s="1"/>
  <c r="Z629" i="2" s="1"/>
  <c r="X185" i="2"/>
  <c r="X296" i="2" s="1"/>
  <c r="X407" i="2" s="1"/>
  <c r="X518" i="2" s="1"/>
  <c r="X629" i="2" s="1"/>
  <c r="V185" i="2"/>
  <c r="V296" i="2" s="1"/>
  <c r="V407" i="2" s="1"/>
  <c r="V518" i="2" s="1"/>
  <c r="V629" i="2" s="1"/>
  <c r="U185" i="2"/>
  <c r="U296" i="2" s="1"/>
  <c r="U407" i="2" s="1"/>
  <c r="U518" i="2" s="1"/>
  <c r="U629" i="2" s="1"/>
  <c r="T185" i="2"/>
  <c r="T296" i="2" s="1"/>
  <c r="T407" i="2" s="1"/>
  <c r="T518" i="2" s="1"/>
  <c r="T629" i="2" s="1"/>
  <c r="S185" i="2"/>
  <c r="S296" i="2" s="1"/>
  <c r="S407" i="2" s="1"/>
  <c r="S518" i="2" s="1"/>
  <c r="S629" i="2" s="1"/>
  <c r="R185" i="2"/>
  <c r="R296" i="2" s="1"/>
  <c r="R407" i="2" s="1"/>
  <c r="R518" i="2" s="1"/>
  <c r="R629" i="2" s="1"/>
  <c r="Q185" i="2"/>
  <c r="Q296" i="2" s="1"/>
  <c r="Q407" i="2" s="1"/>
  <c r="Q518" i="2" s="1"/>
  <c r="Q629" i="2" s="1"/>
  <c r="P185" i="2"/>
  <c r="P296" i="2" s="1"/>
  <c r="P407" i="2" s="1"/>
  <c r="P518" i="2" s="1"/>
  <c r="P629" i="2" s="1"/>
  <c r="O185" i="2"/>
  <c r="O296" i="2" s="1"/>
  <c r="O407" i="2" s="1"/>
  <c r="O518" i="2" s="1"/>
  <c r="O629" i="2" s="1"/>
  <c r="N185" i="2"/>
  <c r="N296" i="2" s="1"/>
  <c r="N407" i="2" s="1"/>
  <c r="N518" i="2" s="1"/>
  <c r="N629" i="2" s="1"/>
  <c r="M185" i="2"/>
  <c r="M296" i="2" s="1"/>
  <c r="M407" i="2" s="1"/>
  <c r="M518" i="2" s="1"/>
  <c r="M629" i="2" s="1"/>
  <c r="L185" i="2"/>
  <c r="L296" i="2" s="1"/>
  <c r="L407" i="2" s="1"/>
  <c r="L518" i="2" s="1"/>
  <c r="L629" i="2" s="1"/>
  <c r="J185" i="2"/>
  <c r="J296" i="2" s="1"/>
  <c r="J407" i="2" s="1"/>
  <c r="J518" i="2" s="1"/>
  <c r="J629" i="2" s="1"/>
  <c r="I185" i="2"/>
  <c r="I296" i="2" s="1"/>
  <c r="I407" i="2" s="1"/>
  <c r="I518" i="2" s="1"/>
  <c r="I629" i="2" s="1"/>
  <c r="H185" i="2"/>
  <c r="H296" i="2" s="1"/>
  <c r="H407" i="2" s="1"/>
  <c r="H518" i="2" s="1"/>
  <c r="H629" i="2" s="1"/>
  <c r="G185" i="2"/>
  <c r="G296" i="2" s="1"/>
  <c r="G407" i="2" s="1"/>
  <c r="G518" i="2" s="1"/>
  <c r="G629" i="2" s="1"/>
  <c r="F185" i="2"/>
  <c r="F296" i="2" s="1"/>
  <c r="F407" i="2" s="1"/>
  <c r="F518" i="2" s="1"/>
  <c r="F629" i="2" s="1"/>
  <c r="E185" i="2"/>
  <c r="E296" i="2" s="1"/>
  <c r="E407" i="2" s="1"/>
  <c r="E518" i="2" s="1"/>
  <c r="E629" i="2" s="1"/>
  <c r="D185" i="2"/>
  <c r="D296" i="2" s="1"/>
  <c r="D407" i="2" s="1"/>
  <c r="D518" i="2" s="1"/>
  <c r="D629" i="2" s="1"/>
  <c r="C185" i="2"/>
  <c r="C296" i="2" s="1"/>
  <c r="C407" i="2" s="1"/>
  <c r="C518" i="2" s="1"/>
  <c r="C629" i="2" s="1"/>
  <c r="B185" i="2"/>
  <c r="B296" i="2" s="1"/>
  <c r="B407" i="2" s="1"/>
  <c r="B518" i="2" s="1"/>
  <c r="B629" i="2" s="1"/>
  <c r="AF184" i="2"/>
  <c r="AF295" i="2" s="1"/>
  <c r="AF406" i="2" s="1"/>
  <c r="AF517" i="2" s="1"/>
  <c r="AF628" i="2" s="1"/>
  <c r="AE184" i="2"/>
  <c r="AE295" i="2" s="1"/>
  <c r="AE406" i="2" s="1"/>
  <c r="AE517" i="2" s="1"/>
  <c r="AE628" i="2" s="1"/>
  <c r="AD184" i="2"/>
  <c r="AD295" i="2" s="1"/>
  <c r="AD406" i="2" s="1"/>
  <c r="AD517" i="2" s="1"/>
  <c r="AD628" i="2" s="1"/>
  <c r="AC184" i="2"/>
  <c r="AC295" i="2" s="1"/>
  <c r="AC406" i="2" s="1"/>
  <c r="AC517" i="2" s="1"/>
  <c r="AC628" i="2" s="1"/>
  <c r="AB184" i="2"/>
  <c r="AB295" i="2" s="1"/>
  <c r="AB406" i="2" s="1"/>
  <c r="AB517" i="2" s="1"/>
  <c r="AB628" i="2" s="1"/>
  <c r="AA184" i="2"/>
  <c r="AA295" i="2" s="1"/>
  <c r="AA406" i="2" s="1"/>
  <c r="AA517" i="2" s="1"/>
  <c r="AA628" i="2" s="1"/>
  <c r="Z184" i="2"/>
  <c r="Z295" i="2" s="1"/>
  <c r="Z406" i="2" s="1"/>
  <c r="Z517" i="2" s="1"/>
  <c r="Z628" i="2" s="1"/>
  <c r="X184" i="2"/>
  <c r="X295" i="2" s="1"/>
  <c r="X406" i="2" s="1"/>
  <c r="X517" i="2" s="1"/>
  <c r="X628" i="2" s="1"/>
  <c r="V184" i="2"/>
  <c r="V295" i="2" s="1"/>
  <c r="V406" i="2" s="1"/>
  <c r="V517" i="2" s="1"/>
  <c r="V628" i="2" s="1"/>
  <c r="U184" i="2"/>
  <c r="U295" i="2" s="1"/>
  <c r="U406" i="2" s="1"/>
  <c r="U517" i="2" s="1"/>
  <c r="U628" i="2" s="1"/>
  <c r="T184" i="2"/>
  <c r="T295" i="2" s="1"/>
  <c r="T406" i="2" s="1"/>
  <c r="T517" i="2" s="1"/>
  <c r="T628" i="2" s="1"/>
  <c r="S184" i="2"/>
  <c r="S295" i="2" s="1"/>
  <c r="S406" i="2" s="1"/>
  <c r="S517" i="2" s="1"/>
  <c r="S628" i="2" s="1"/>
  <c r="R184" i="2"/>
  <c r="R295" i="2" s="1"/>
  <c r="R406" i="2" s="1"/>
  <c r="R517" i="2" s="1"/>
  <c r="R628" i="2" s="1"/>
  <c r="Q184" i="2"/>
  <c r="Q295" i="2" s="1"/>
  <c r="Q406" i="2" s="1"/>
  <c r="Q517" i="2" s="1"/>
  <c r="Q628" i="2" s="1"/>
  <c r="P184" i="2"/>
  <c r="P295" i="2" s="1"/>
  <c r="P406" i="2" s="1"/>
  <c r="P517" i="2" s="1"/>
  <c r="P628" i="2" s="1"/>
  <c r="O184" i="2"/>
  <c r="O295" i="2" s="1"/>
  <c r="O406" i="2" s="1"/>
  <c r="O517" i="2" s="1"/>
  <c r="O628" i="2" s="1"/>
  <c r="N184" i="2"/>
  <c r="N295" i="2" s="1"/>
  <c r="N406" i="2" s="1"/>
  <c r="N517" i="2" s="1"/>
  <c r="N628" i="2" s="1"/>
  <c r="M184" i="2"/>
  <c r="M295" i="2" s="1"/>
  <c r="M406" i="2" s="1"/>
  <c r="M517" i="2" s="1"/>
  <c r="M628" i="2" s="1"/>
  <c r="L184" i="2"/>
  <c r="L295" i="2" s="1"/>
  <c r="L406" i="2" s="1"/>
  <c r="L517" i="2" s="1"/>
  <c r="L628" i="2" s="1"/>
  <c r="J184" i="2"/>
  <c r="J295" i="2" s="1"/>
  <c r="J406" i="2" s="1"/>
  <c r="J517" i="2" s="1"/>
  <c r="J628" i="2" s="1"/>
  <c r="I184" i="2"/>
  <c r="I295" i="2" s="1"/>
  <c r="I406" i="2" s="1"/>
  <c r="I517" i="2" s="1"/>
  <c r="I628" i="2" s="1"/>
  <c r="H184" i="2"/>
  <c r="H295" i="2" s="1"/>
  <c r="H406" i="2" s="1"/>
  <c r="H517" i="2" s="1"/>
  <c r="H628" i="2" s="1"/>
  <c r="G184" i="2"/>
  <c r="G295" i="2" s="1"/>
  <c r="G406" i="2" s="1"/>
  <c r="G517" i="2" s="1"/>
  <c r="G628" i="2" s="1"/>
  <c r="F184" i="2"/>
  <c r="F295" i="2" s="1"/>
  <c r="F406" i="2" s="1"/>
  <c r="F517" i="2" s="1"/>
  <c r="F628" i="2" s="1"/>
  <c r="E184" i="2"/>
  <c r="E295" i="2" s="1"/>
  <c r="E406" i="2" s="1"/>
  <c r="E517" i="2" s="1"/>
  <c r="E628" i="2" s="1"/>
  <c r="D184" i="2"/>
  <c r="D295" i="2" s="1"/>
  <c r="D406" i="2" s="1"/>
  <c r="D517" i="2" s="1"/>
  <c r="D628" i="2" s="1"/>
  <c r="C184" i="2"/>
  <c r="C295" i="2" s="1"/>
  <c r="C406" i="2" s="1"/>
  <c r="C517" i="2" s="1"/>
  <c r="C628" i="2" s="1"/>
  <c r="B184" i="2"/>
  <c r="B295" i="2" s="1"/>
  <c r="B406" i="2" s="1"/>
  <c r="B517" i="2" s="1"/>
  <c r="B628" i="2" s="1"/>
  <c r="AF183" i="2"/>
  <c r="AF294" i="2" s="1"/>
  <c r="AF405" i="2" s="1"/>
  <c r="AF516" i="2" s="1"/>
  <c r="AF627" i="2" s="1"/>
  <c r="AE183" i="2"/>
  <c r="AE294" i="2" s="1"/>
  <c r="AE405" i="2" s="1"/>
  <c r="AE516" i="2" s="1"/>
  <c r="AE627" i="2" s="1"/>
  <c r="AD183" i="2"/>
  <c r="AD294" i="2" s="1"/>
  <c r="AD405" i="2" s="1"/>
  <c r="AD516" i="2" s="1"/>
  <c r="AD627" i="2" s="1"/>
  <c r="AC183" i="2"/>
  <c r="AC294" i="2" s="1"/>
  <c r="AC405" i="2" s="1"/>
  <c r="AC516" i="2" s="1"/>
  <c r="AC627" i="2" s="1"/>
  <c r="AB183" i="2"/>
  <c r="AB294" i="2" s="1"/>
  <c r="AB405" i="2" s="1"/>
  <c r="AB516" i="2" s="1"/>
  <c r="AB627" i="2" s="1"/>
  <c r="AA183" i="2"/>
  <c r="AA294" i="2" s="1"/>
  <c r="AA405" i="2" s="1"/>
  <c r="AA516" i="2" s="1"/>
  <c r="AA627" i="2" s="1"/>
  <c r="Z183" i="2"/>
  <c r="Z294" i="2" s="1"/>
  <c r="Z405" i="2" s="1"/>
  <c r="Z516" i="2" s="1"/>
  <c r="Z627" i="2" s="1"/>
  <c r="X183" i="2"/>
  <c r="X294" i="2" s="1"/>
  <c r="X405" i="2" s="1"/>
  <c r="X516" i="2" s="1"/>
  <c r="X627" i="2" s="1"/>
  <c r="V183" i="2"/>
  <c r="V294" i="2" s="1"/>
  <c r="V405" i="2" s="1"/>
  <c r="V516" i="2" s="1"/>
  <c r="V627" i="2" s="1"/>
  <c r="U183" i="2"/>
  <c r="U294" i="2" s="1"/>
  <c r="U405" i="2" s="1"/>
  <c r="U516" i="2" s="1"/>
  <c r="U627" i="2" s="1"/>
  <c r="T183" i="2"/>
  <c r="T294" i="2" s="1"/>
  <c r="T405" i="2" s="1"/>
  <c r="T516" i="2" s="1"/>
  <c r="T627" i="2" s="1"/>
  <c r="S183" i="2"/>
  <c r="S294" i="2" s="1"/>
  <c r="S405" i="2" s="1"/>
  <c r="S516" i="2" s="1"/>
  <c r="S627" i="2" s="1"/>
  <c r="R183" i="2"/>
  <c r="R294" i="2" s="1"/>
  <c r="R405" i="2" s="1"/>
  <c r="R516" i="2" s="1"/>
  <c r="R627" i="2" s="1"/>
  <c r="Q183" i="2"/>
  <c r="Q294" i="2" s="1"/>
  <c r="Q405" i="2" s="1"/>
  <c r="Q516" i="2" s="1"/>
  <c r="Q627" i="2" s="1"/>
  <c r="P183" i="2"/>
  <c r="P294" i="2" s="1"/>
  <c r="P405" i="2" s="1"/>
  <c r="P516" i="2" s="1"/>
  <c r="P627" i="2" s="1"/>
  <c r="O183" i="2"/>
  <c r="O294" i="2" s="1"/>
  <c r="O405" i="2" s="1"/>
  <c r="O516" i="2" s="1"/>
  <c r="O627" i="2" s="1"/>
  <c r="N183" i="2"/>
  <c r="N294" i="2" s="1"/>
  <c r="N405" i="2" s="1"/>
  <c r="N516" i="2" s="1"/>
  <c r="N627" i="2" s="1"/>
  <c r="M183" i="2"/>
  <c r="M294" i="2" s="1"/>
  <c r="M405" i="2" s="1"/>
  <c r="M516" i="2" s="1"/>
  <c r="M627" i="2" s="1"/>
  <c r="L183" i="2"/>
  <c r="L294" i="2" s="1"/>
  <c r="L405" i="2" s="1"/>
  <c r="L516" i="2" s="1"/>
  <c r="L627" i="2" s="1"/>
  <c r="J183" i="2"/>
  <c r="J294" i="2" s="1"/>
  <c r="J405" i="2" s="1"/>
  <c r="J516" i="2" s="1"/>
  <c r="J627" i="2" s="1"/>
  <c r="I183" i="2"/>
  <c r="I294" i="2" s="1"/>
  <c r="I405" i="2" s="1"/>
  <c r="I516" i="2" s="1"/>
  <c r="I627" i="2" s="1"/>
  <c r="H183" i="2"/>
  <c r="H294" i="2" s="1"/>
  <c r="H405" i="2" s="1"/>
  <c r="H516" i="2" s="1"/>
  <c r="H627" i="2" s="1"/>
  <c r="G183" i="2"/>
  <c r="G294" i="2" s="1"/>
  <c r="G405" i="2" s="1"/>
  <c r="G516" i="2" s="1"/>
  <c r="G627" i="2" s="1"/>
  <c r="F183" i="2"/>
  <c r="F294" i="2" s="1"/>
  <c r="F405" i="2" s="1"/>
  <c r="F516" i="2" s="1"/>
  <c r="F627" i="2" s="1"/>
  <c r="E183" i="2"/>
  <c r="E294" i="2" s="1"/>
  <c r="E405" i="2" s="1"/>
  <c r="E516" i="2" s="1"/>
  <c r="E627" i="2" s="1"/>
  <c r="C183" i="2"/>
  <c r="C294" i="2" s="1"/>
  <c r="C405" i="2" s="1"/>
  <c r="C516" i="2" s="1"/>
  <c r="C627" i="2" s="1"/>
  <c r="B183" i="2"/>
  <c r="B294" i="2" s="1"/>
  <c r="B405" i="2" s="1"/>
  <c r="B516" i="2" s="1"/>
  <c r="B627" i="2" s="1"/>
  <c r="AF182" i="2"/>
  <c r="AF293" i="2" s="1"/>
  <c r="AF404" i="2" s="1"/>
  <c r="AF515" i="2" s="1"/>
  <c r="AF626" i="2" s="1"/>
  <c r="AE182" i="2"/>
  <c r="AE293" i="2" s="1"/>
  <c r="AE404" i="2" s="1"/>
  <c r="AE515" i="2" s="1"/>
  <c r="AE626" i="2" s="1"/>
  <c r="AD182" i="2"/>
  <c r="AD293" i="2" s="1"/>
  <c r="AD404" i="2" s="1"/>
  <c r="AD515" i="2" s="1"/>
  <c r="AD626" i="2" s="1"/>
  <c r="AC182" i="2"/>
  <c r="AC293" i="2" s="1"/>
  <c r="AC404" i="2" s="1"/>
  <c r="AC515" i="2" s="1"/>
  <c r="AC626" i="2" s="1"/>
  <c r="AB182" i="2"/>
  <c r="AB293" i="2" s="1"/>
  <c r="AB404" i="2" s="1"/>
  <c r="AB515" i="2" s="1"/>
  <c r="AB626" i="2" s="1"/>
  <c r="AA182" i="2"/>
  <c r="AA293" i="2" s="1"/>
  <c r="AA404" i="2" s="1"/>
  <c r="AA515" i="2" s="1"/>
  <c r="AA626" i="2" s="1"/>
  <c r="Z182" i="2"/>
  <c r="Z293" i="2" s="1"/>
  <c r="Z404" i="2" s="1"/>
  <c r="Z515" i="2" s="1"/>
  <c r="Z626" i="2" s="1"/>
  <c r="X182" i="2"/>
  <c r="X293" i="2" s="1"/>
  <c r="X404" i="2" s="1"/>
  <c r="X515" i="2" s="1"/>
  <c r="X626" i="2" s="1"/>
  <c r="V182" i="2"/>
  <c r="V293" i="2" s="1"/>
  <c r="V404" i="2" s="1"/>
  <c r="V515" i="2" s="1"/>
  <c r="V626" i="2" s="1"/>
  <c r="U182" i="2"/>
  <c r="U293" i="2" s="1"/>
  <c r="U404" i="2" s="1"/>
  <c r="U515" i="2" s="1"/>
  <c r="U626" i="2" s="1"/>
  <c r="T182" i="2"/>
  <c r="T293" i="2" s="1"/>
  <c r="T404" i="2" s="1"/>
  <c r="T515" i="2" s="1"/>
  <c r="T626" i="2" s="1"/>
  <c r="S182" i="2"/>
  <c r="S293" i="2" s="1"/>
  <c r="S404" i="2" s="1"/>
  <c r="S515" i="2" s="1"/>
  <c r="S626" i="2" s="1"/>
  <c r="R182" i="2"/>
  <c r="R293" i="2" s="1"/>
  <c r="R404" i="2" s="1"/>
  <c r="R515" i="2" s="1"/>
  <c r="R626" i="2" s="1"/>
  <c r="Q182" i="2"/>
  <c r="Q293" i="2" s="1"/>
  <c r="Q404" i="2" s="1"/>
  <c r="Q515" i="2" s="1"/>
  <c r="Q626" i="2" s="1"/>
  <c r="P182" i="2"/>
  <c r="P293" i="2" s="1"/>
  <c r="P404" i="2" s="1"/>
  <c r="P515" i="2" s="1"/>
  <c r="P626" i="2" s="1"/>
  <c r="O182" i="2"/>
  <c r="O293" i="2" s="1"/>
  <c r="O404" i="2" s="1"/>
  <c r="O515" i="2" s="1"/>
  <c r="O626" i="2" s="1"/>
  <c r="N182" i="2"/>
  <c r="N293" i="2" s="1"/>
  <c r="N404" i="2" s="1"/>
  <c r="N515" i="2" s="1"/>
  <c r="N626" i="2" s="1"/>
  <c r="M182" i="2"/>
  <c r="M293" i="2" s="1"/>
  <c r="M404" i="2" s="1"/>
  <c r="M515" i="2" s="1"/>
  <c r="M626" i="2" s="1"/>
  <c r="L182" i="2"/>
  <c r="L293" i="2" s="1"/>
  <c r="L404" i="2" s="1"/>
  <c r="L515" i="2" s="1"/>
  <c r="L626" i="2" s="1"/>
  <c r="J182" i="2"/>
  <c r="J293" i="2" s="1"/>
  <c r="J404" i="2" s="1"/>
  <c r="J515" i="2" s="1"/>
  <c r="J626" i="2" s="1"/>
  <c r="I182" i="2"/>
  <c r="I293" i="2" s="1"/>
  <c r="I404" i="2" s="1"/>
  <c r="I515" i="2" s="1"/>
  <c r="I626" i="2" s="1"/>
  <c r="H182" i="2"/>
  <c r="H293" i="2" s="1"/>
  <c r="H404" i="2" s="1"/>
  <c r="H515" i="2" s="1"/>
  <c r="H626" i="2" s="1"/>
  <c r="G182" i="2"/>
  <c r="G293" i="2" s="1"/>
  <c r="G404" i="2" s="1"/>
  <c r="G515" i="2" s="1"/>
  <c r="G626" i="2" s="1"/>
  <c r="F182" i="2"/>
  <c r="F293" i="2" s="1"/>
  <c r="F404" i="2" s="1"/>
  <c r="F515" i="2" s="1"/>
  <c r="F626" i="2" s="1"/>
  <c r="E182" i="2"/>
  <c r="E293" i="2" s="1"/>
  <c r="E404" i="2" s="1"/>
  <c r="E515" i="2" s="1"/>
  <c r="E626" i="2" s="1"/>
  <c r="C182" i="2"/>
  <c r="C293" i="2" s="1"/>
  <c r="C404" i="2" s="1"/>
  <c r="C515" i="2" s="1"/>
  <c r="C626" i="2" s="1"/>
  <c r="B182" i="2"/>
  <c r="B293" i="2" s="1"/>
  <c r="B404" i="2" s="1"/>
  <c r="B515" i="2" s="1"/>
  <c r="B626" i="2" s="1"/>
  <c r="AF181" i="2"/>
  <c r="AF292" i="2" s="1"/>
  <c r="AF403" i="2" s="1"/>
  <c r="AF514" i="2" s="1"/>
  <c r="AF625" i="2" s="1"/>
  <c r="AE181" i="2"/>
  <c r="AE292" i="2" s="1"/>
  <c r="AE403" i="2" s="1"/>
  <c r="AE514" i="2" s="1"/>
  <c r="AE625" i="2" s="1"/>
  <c r="AD181" i="2"/>
  <c r="AD292" i="2" s="1"/>
  <c r="AD403" i="2" s="1"/>
  <c r="AD514" i="2" s="1"/>
  <c r="AD625" i="2" s="1"/>
  <c r="AC181" i="2"/>
  <c r="AC292" i="2" s="1"/>
  <c r="AC403" i="2" s="1"/>
  <c r="AC514" i="2" s="1"/>
  <c r="AC625" i="2" s="1"/>
  <c r="AB181" i="2"/>
  <c r="AB292" i="2" s="1"/>
  <c r="AB403" i="2" s="1"/>
  <c r="AB514" i="2" s="1"/>
  <c r="AB625" i="2" s="1"/>
  <c r="AA181" i="2"/>
  <c r="AA292" i="2" s="1"/>
  <c r="AA403" i="2" s="1"/>
  <c r="AA514" i="2" s="1"/>
  <c r="AA625" i="2" s="1"/>
  <c r="Z181" i="2"/>
  <c r="Z292" i="2" s="1"/>
  <c r="Z403" i="2" s="1"/>
  <c r="Z514" i="2" s="1"/>
  <c r="Z625" i="2" s="1"/>
  <c r="X181" i="2"/>
  <c r="X292" i="2" s="1"/>
  <c r="X403" i="2" s="1"/>
  <c r="X514" i="2" s="1"/>
  <c r="X625" i="2" s="1"/>
  <c r="V181" i="2"/>
  <c r="V292" i="2" s="1"/>
  <c r="V403" i="2" s="1"/>
  <c r="V514" i="2" s="1"/>
  <c r="V625" i="2" s="1"/>
  <c r="U181" i="2"/>
  <c r="U292" i="2" s="1"/>
  <c r="U403" i="2" s="1"/>
  <c r="U514" i="2" s="1"/>
  <c r="U625" i="2" s="1"/>
  <c r="T181" i="2"/>
  <c r="T292" i="2" s="1"/>
  <c r="T403" i="2" s="1"/>
  <c r="T514" i="2" s="1"/>
  <c r="T625" i="2" s="1"/>
  <c r="S181" i="2"/>
  <c r="S292" i="2" s="1"/>
  <c r="S403" i="2" s="1"/>
  <c r="S514" i="2" s="1"/>
  <c r="S625" i="2" s="1"/>
  <c r="R181" i="2"/>
  <c r="R292" i="2" s="1"/>
  <c r="R403" i="2" s="1"/>
  <c r="R514" i="2" s="1"/>
  <c r="R625" i="2" s="1"/>
  <c r="Q181" i="2"/>
  <c r="Q292" i="2" s="1"/>
  <c r="Q403" i="2" s="1"/>
  <c r="Q514" i="2" s="1"/>
  <c r="Q625" i="2" s="1"/>
  <c r="P181" i="2"/>
  <c r="P292" i="2" s="1"/>
  <c r="P403" i="2" s="1"/>
  <c r="P514" i="2" s="1"/>
  <c r="P625" i="2" s="1"/>
  <c r="O181" i="2"/>
  <c r="O292" i="2" s="1"/>
  <c r="O403" i="2" s="1"/>
  <c r="O514" i="2" s="1"/>
  <c r="O625" i="2" s="1"/>
  <c r="N181" i="2"/>
  <c r="N292" i="2" s="1"/>
  <c r="N403" i="2" s="1"/>
  <c r="N514" i="2" s="1"/>
  <c r="N625" i="2" s="1"/>
  <c r="M181" i="2"/>
  <c r="M292" i="2" s="1"/>
  <c r="M403" i="2" s="1"/>
  <c r="M514" i="2" s="1"/>
  <c r="M625" i="2" s="1"/>
  <c r="L181" i="2"/>
  <c r="L292" i="2" s="1"/>
  <c r="L403" i="2" s="1"/>
  <c r="L514" i="2" s="1"/>
  <c r="L625" i="2" s="1"/>
  <c r="J181" i="2"/>
  <c r="J292" i="2" s="1"/>
  <c r="J403" i="2" s="1"/>
  <c r="J514" i="2" s="1"/>
  <c r="J625" i="2" s="1"/>
  <c r="I181" i="2"/>
  <c r="I292" i="2" s="1"/>
  <c r="I403" i="2" s="1"/>
  <c r="I514" i="2" s="1"/>
  <c r="I625" i="2" s="1"/>
  <c r="H181" i="2"/>
  <c r="H292" i="2" s="1"/>
  <c r="H403" i="2" s="1"/>
  <c r="H514" i="2" s="1"/>
  <c r="H625" i="2" s="1"/>
  <c r="G181" i="2"/>
  <c r="G292" i="2" s="1"/>
  <c r="G403" i="2" s="1"/>
  <c r="G514" i="2" s="1"/>
  <c r="G625" i="2" s="1"/>
  <c r="F181" i="2"/>
  <c r="F292" i="2" s="1"/>
  <c r="F403" i="2" s="1"/>
  <c r="F514" i="2" s="1"/>
  <c r="F625" i="2" s="1"/>
  <c r="E181" i="2"/>
  <c r="E292" i="2" s="1"/>
  <c r="E403" i="2" s="1"/>
  <c r="E514" i="2" s="1"/>
  <c r="E625" i="2" s="1"/>
  <c r="C181" i="2"/>
  <c r="C292" i="2" s="1"/>
  <c r="C403" i="2" s="1"/>
  <c r="C514" i="2" s="1"/>
  <c r="C625" i="2" s="1"/>
  <c r="B181" i="2"/>
  <c r="B292" i="2" s="1"/>
  <c r="B403" i="2" s="1"/>
  <c r="B514" i="2" s="1"/>
  <c r="B625" i="2" s="1"/>
  <c r="AF180" i="2"/>
  <c r="AF291" i="2" s="1"/>
  <c r="AF402" i="2" s="1"/>
  <c r="AF513" i="2" s="1"/>
  <c r="AF624" i="2" s="1"/>
  <c r="AE180" i="2"/>
  <c r="AE291" i="2" s="1"/>
  <c r="AE402" i="2" s="1"/>
  <c r="AE513" i="2" s="1"/>
  <c r="AE624" i="2" s="1"/>
  <c r="AD180" i="2"/>
  <c r="AD291" i="2" s="1"/>
  <c r="AD402" i="2" s="1"/>
  <c r="AD513" i="2" s="1"/>
  <c r="AD624" i="2" s="1"/>
  <c r="AC180" i="2"/>
  <c r="AC291" i="2" s="1"/>
  <c r="AC402" i="2" s="1"/>
  <c r="AC513" i="2" s="1"/>
  <c r="AC624" i="2" s="1"/>
  <c r="AB180" i="2"/>
  <c r="AB291" i="2" s="1"/>
  <c r="AB402" i="2" s="1"/>
  <c r="AB513" i="2" s="1"/>
  <c r="AB624" i="2" s="1"/>
  <c r="AA180" i="2"/>
  <c r="AA291" i="2" s="1"/>
  <c r="AA402" i="2" s="1"/>
  <c r="AA513" i="2" s="1"/>
  <c r="AA624" i="2" s="1"/>
  <c r="Z180" i="2"/>
  <c r="Z291" i="2" s="1"/>
  <c r="Z402" i="2" s="1"/>
  <c r="Z513" i="2" s="1"/>
  <c r="Z624" i="2" s="1"/>
  <c r="X180" i="2"/>
  <c r="X291" i="2" s="1"/>
  <c r="X402" i="2" s="1"/>
  <c r="X513" i="2" s="1"/>
  <c r="X624" i="2" s="1"/>
  <c r="V180" i="2"/>
  <c r="V291" i="2" s="1"/>
  <c r="V402" i="2" s="1"/>
  <c r="V513" i="2" s="1"/>
  <c r="V624" i="2" s="1"/>
  <c r="U180" i="2"/>
  <c r="U291" i="2" s="1"/>
  <c r="U402" i="2" s="1"/>
  <c r="U513" i="2" s="1"/>
  <c r="U624" i="2" s="1"/>
  <c r="T180" i="2"/>
  <c r="T291" i="2" s="1"/>
  <c r="T402" i="2" s="1"/>
  <c r="T513" i="2" s="1"/>
  <c r="T624" i="2" s="1"/>
  <c r="S180" i="2"/>
  <c r="S291" i="2" s="1"/>
  <c r="S402" i="2" s="1"/>
  <c r="S513" i="2" s="1"/>
  <c r="S624" i="2" s="1"/>
  <c r="R180" i="2"/>
  <c r="R291" i="2" s="1"/>
  <c r="R402" i="2" s="1"/>
  <c r="R513" i="2" s="1"/>
  <c r="R624" i="2" s="1"/>
  <c r="Q180" i="2"/>
  <c r="Q291" i="2" s="1"/>
  <c r="Q402" i="2" s="1"/>
  <c r="Q513" i="2" s="1"/>
  <c r="Q624" i="2" s="1"/>
  <c r="P180" i="2"/>
  <c r="P291" i="2" s="1"/>
  <c r="P402" i="2" s="1"/>
  <c r="P513" i="2" s="1"/>
  <c r="P624" i="2" s="1"/>
  <c r="O180" i="2"/>
  <c r="O291" i="2" s="1"/>
  <c r="O402" i="2" s="1"/>
  <c r="O513" i="2" s="1"/>
  <c r="O624" i="2" s="1"/>
  <c r="N180" i="2"/>
  <c r="N291" i="2" s="1"/>
  <c r="N402" i="2" s="1"/>
  <c r="N513" i="2" s="1"/>
  <c r="N624" i="2" s="1"/>
  <c r="M180" i="2"/>
  <c r="M291" i="2" s="1"/>
  <c r="M402" i="2" s="1"/>
  <c r="M513" i="2" s="1"/>
  <c r="M624" i="2" s="1"/>
  <c r="L180" i="2"/>
  <c r="L291" i="2" s="1"/>
  <c r="L402" i="2" s="1"/>
  <c r="L513" i="2" s="1"/>
  <c r="L624" i="2" s="1"/>
  <c r="J180" i="2"/>
  <c r="J291" i="2" s="1"/>
  <c r="J402" i="2" s="1"/>
  <c r="J513" i="2" s="1"/>
  <c r="J624" i="2" s="1"/>
  <c r="I180" i="2"/>
  <c r="I291" i="2" s="1"/>
  <c r="I402" i="2" s="1"/>
  <c r="I513" i="2" s="1"/>
  <c r="I624" i="2" s="1"/>
  <c r="H180" i="2"/>
  <c r="H291" i="2" s="1"/>
  <c r="H402" i="2" s="1"/>
  <c r="H513" i="2" s="1"/>
  <c r="H624" i="2" s="1"/>
  <c r="G180" i="2"/>
  <c r="G291" i="2" s="1"/>
  <c r="G402" i="2" s="1"/>
  <c r="G513" i="2" s="1"/>
  <c r="G624" i="2" s="1"/>
  <c r="F180" i="2"/>
  <c r="F291" i="2" s="1"/>
  <c r="F402" i="2" s="1"/>
  <c r="F513" i="2" s="1"/>
  <c r="F624" i="2" s="1"/>
  <c r="E180" i="2"/>
  <c r="E291" i="2" s="1"/>
  <c r="E402" i="2" s="1"/>
  <c r="E513" i="2" s="1"/>
  <c r="E624" i="2" s="1"/>
  <c r="C180" i="2"/>
  <c r="C291" i="2" s="1"/>
  <c r="C402" i="2" s="1"/>
  <c r="C513" i="2" s="1"/>
  <c r="C624" i="2" s="1"/>
  <c r="B180" i="2"/>
  <c r="B291" i="2" s="1"/>
  <c r="B402" i="2" s="1"/>
  <c r="B513" i="2" s="1"/>
  <c r="B624" i="2" s="1"/>
  <c r="AF179" i="2"/>
  <c r="AF290" i="2" s="1"/>
  <c r="AF401" i="2" s="1"/>
  <c r="AF512" i="2" s="1"/>
  <c r="AF623" i="2" s="1"/>
  <c r="AE179" i="2"/>
  <c r="AE290" i="2" s="1"/>
  <c r="AE401" i="2" s="1"/>
  <c r="AE512" i="2" s="1"/>
  <c r="AE623" i="2" s="1"/>
  <c r="AD179" i="2"/>
  <c r="AD290" i="2" s="1"/>
  <c r="AD401" i="2" s="1"/>
  <c r="AD512" i="2" s="1"/>
  <c r="AD623" i="2" s="1"/>
  <c r="AC179" i="2"/>
  <c r="AC290" i="2" s="1"/>
  <c r="AC401" i="2" s="1"/>
  <c r="AC512" i="2" s="1"/>
  <c r="AC623" i="2" s="1"/>
  <c r="AB179" i="2"/>
  <c r="AB290" i="2" s="1"/>
  <c r="AB401" i="2" s="1"/>
  <c r="AB512" i="2" s="1"/>
  <c r="AB623" i="2" s="1"/>
  <c r="AA179" i="2"/>
  <c r="AA290" i="2" s="1"/>
  <c r="AA401" i="2" s="1"/>
  <c r="AA512" i="2" s="1"/>
  <c r="AA623" i="2" s="1"/>
  <c r="Z179" i="2"/>
  <c r="Z290" i="2" s="1"/>
  <c r="Z401" i="2" s="1"/>
  <c r="Z512" i="2" s="1"/>
  <c r="Z623" i="2" s="1"/>
  <c r="X179" i="2"/>
  <c r="X290" i="2" s="1"/>
  <c r="X401" i="2" s="1"/>
  <c r="X512" i="2" s="1"/>
  <c r="X623" i="2" s="1"/>
  <c r="V179" i="2"/>
  <c r="V290" i="2" s="1"/>
  <c r="V401" i="2" s="1"/>
  <c r="V512" i="2" s="1"/>
  <c r="V623" i="2" s="1"/>
  <c r="U179" i="2"/>
  <c r="U290" i="2" s="1"/>
  <c r="U401" i="2" s="1"/>
  <c r="U512" i="2" s="1"/>
  <c r="U623" i="2" s="1"/>
  <c r="T179" i="2"/>
  <c r="T290" i="2" s="1"/>
  <c r="T401" i="2" s="1"/>
  <c r="T512" i="2" s="1"/>
  <c r="T623" i="2" s="1"/>
  <c r="S179" i="2"/>
  <c r="S290" i="2" s="1"/>
  <c r="S401" i="2" s="1"/>
  <c r="S512" i="2" s="1"/>
  <c r="S623" i="2" s="1"/>
  <c r="R179" i="2"/>
  <c r="R290" i="2" s="1"/>
  <c r="R401" i="2" s="1"/>
  <c r="R512" i="2" s="1"/>
  <c r="R623" i="2" s="1"/>
  <c r="Q179" i="2"/>
  <c r="Q290" i="2" s="1"/>
  <c r="Q401" i="2" s="1"/>
  <c r="Q512" i="2" s="1"/>
  <c r="Q623" i="2" s="1"/>
  <c r="P179" i="2"/>
  <c r="P290" i="2" s="1"/>
  <c r="P401" i="2" s="1"/>
  <c r="P512" i="2" s="1"/>
  <c r="P623" i="2" s="1"/>
  <c r="O179" i="2"/>
  <c r="O290" i="2" s="1"/>
  <c r="O401" i="2" s="1"/>
  <c r="O512" i="2" s="1"/>
  <c r="O623" i="2" s="1"/>
  <c r="N179" i="2"/>
  <c r="N290" i="2" s="1"/>
  <c r="N401" i="2" s="1"/>
  <c r="N512" i="2" s="1"/>
  <c r="N623" i="2" s="1"/>
  <c r="M179" i="2"/>
  <c r="M290" i="2" s="1"/>
  <c r="M401" i="2" s="1"/>
  <c r="M512" i="2" s="1"/>
  <c r="M623" i="2" s="1"/>
  <c r="L179" i="2"/>
  <c r="L290" i="2" s="1"/>
  <c r="L401" i="2" s="1"/>
  <c r="L512" i="2" s="1"/>
  <c r="L623" i="2" s="1"/>
  <c r="J179" i="2"/>
  <c r="J290" i="2" s="1"/>
  <c r="J401" i="2" s="1"/>
  <c r="J512" i="2" s="1"/>
  <c r="J623" i="2" s="1"/>
  <c r="I179" i="2"/>
  <c r="I290" i="2" s="1"/>
  <c r="I401" i="2" s="1"/>
  <c r="I512" i="2" s="1"/>
  <c r="I623" i="2" s="1"/>
  <c r="H179" i="2"/>
  <c r="H290" i="2" s="1"/>
  <c r="H401" i="2" s="1"/>
  <c r="H512" i="2" s="1"/>
  <c r="H623" i="2" s="1"/>
  <c r="G179" i="2"/>
  <c r="G290" i="2" s="1"/>
  <c r="G401" i="2" s="1"/>
  <c r="G512" i="2" s="1"/>
  <c r="G623" i="2" s="1"/>
  <c r="F179" i="2"/>
  <c r="F290" i="2" s="1"/>
  <c r="F401" i="2" s="1"/>
  <c r="F512" i="2" s="1"/>
  <c r="F623" i="2" s="1"/>
  <c r="E179" i="2"/>
  <c r="E290" i="2" s="1"/>
  <c r="E401" i="2" s="1"/>
  <c r="E512" i="2" s="1"/>
  <c r="E623" i="2" s="1"/>
  <c r="C179" i="2"/>
  <c r="C290" i="2" s="1"/>
  <c r="C401" i="2" s="1"/>
  <c r="C512" i="2" s="1"/>
  <c r="C623" i="2" s="1"/>
  <c r="B179" i="2"/>
  <c r="B290" i="2" s="1"/>
  <c r="B401" i="2" s="1"/>
  <c r="B512" i="2" s="1"/>
  <c r="B623" i="2" s="1"/>
  <c r="AF178" i="2"/>
  <c r="AF289" i="2" s="1"/>
  <c r="AF400" i="2" s="1"/>
  <c r="AF511" i="2" s="1"/>
  <c r="AF622" i="2" s="1"/>
  <c r="AE178" i="2"/>
  <c r="AE289" i="2" s="1"/>
  <c r="AE400" i="2" s="1"/>
  <c r="AE511" i="2" s="1"/>
  <c r="AE622" i="2" s="1"/>
  <c r="AD178" i="2"/>
  <c r="AD289" i="2" s="1"/>
  <c r="AD400" i="2" s="1"/>
  <c r="AD511" i="2" s="1"/>
  <c r="AD622" i="2" s="1"/>
  <c r="AC178" i="2"/>
  <c r="AC289" i="2" s="1"/>
  <c r="AC400" i="2" s="1"/>
  <c r="AC511" i="2" s="1"/>
  <c r="AC622" i="2" s="1"/>
  <c r="AB178" i="2"/>
  <c r="AB289" i="2" s="1"/>
  <c r="AB400" i="2" s="1"/>
  <c r="AB511" i="2" s="1"/>
  <c r="AB622" i="2" s="1"/>
  <c r="AA178" i="2"/>
  <c r="AA289" i="2" s="1"/>
  <c r="AA400" i="2" s="1"/>
  <c r="AA511" i="2" s="1"/>
  <c r="AA622" i="2" s="1"/>
  <c r="Z178" i="2"/>
  <c r="Z289" i="2" s="1"/>
  <c r="Z400" i="2" s="1"/>
  <c r="Z511" i="2" s="1"/>
  <c r="Z622" i="2" s="1"/>
  <c r="X178" i="2"/>
  <c r="X289" i="2" s="1"/>
  <c r="X400" i="2" s="1"/>
  <c r="X511" i="2" s="1"/>
  <c r="X622" i="2" s="1"/>
  <c r="V178" i="2"/>
  <c r="V289" i="2" s="1"/>
  <c r="V400" i="2" s="1"/>
  <c r="V511" i="2" s="1"/>
  <c r="V622" i="2" s="1"/>
  <c r="U178" i="2"/>
  <c r="U289" i="2" s="1"/>
  <c r="U400" i="2" s="1"/>
  <c r="U511" i="2" s="1"/>
  <c r="U622" i="2" s="1"/>
  <c r="T178" i="2"/>
  <c r="T289" i="2" s="1"/>
  <c r="T400" i="2" s="1"/>
  <c r="T511" i="2" s="1"/>
  <c r="T622" i="2" s="1"/>
  <c r="S178" i="2"/>
  <c r="S289" i="2" s="1"/>
  <c r="S400" i="2" s="1"/>
  <c r="S511" i="2" s="1"/>
  <c r="S622" i="2" s="1"/>
  <c r="R178" i="2"/>
  <c r="R289" i="2" s="1"/>
  <c r="R400" i="2" s="1"/>
  <c r="R511" i="2" s="1"/>
  <c r="R622" i="2" s="1"/>
  <c r="Q178" i="2"/>
  <c r="Q289" i="2" s="1"/>
  <c r="Q400" i="2" s="1"/>
  <c r="Q511" i="2" s="1"/>
  <c r="Q622" i="2" s="1"/>
  <c r="P178" i="2"/>
  <c r="P289" i="2" s="1"/>
  <c r="P400" i="2" s="1"/>
  <c r="P511" i="2" s="1"/>
  <c r="P622" i="2" s="1"/>
  <c r="O178" i="2"/>
  <c r="O289" i="2" s="1"/>
  <c r="O400" i="2" s="1"/>
  <c r="O511" i="2" s="1"/>
  <c r="O622" i="2" s="1"/>
  <c r="N178" i="2"/>
  <c r="N289" i="2" s="1"/>
  <c r="N400" i="2" s="1"/>
  <c r="N511" i="2" s="1"/>
  <c r="N622" i="2" s="1"/>
  <c r="M178" i="2"/>
  <c r="M289" i="2" s="1"/>
  <c r="M400" i="2" s="1"/>
  <c r="M511" i="2" s="1"/>
  <c r="M622" i="2" s="1"/>
  <c r="L178" i="2"/>
  <c r="L289" i="2" s="1"/>
  <c r="L400" i="2" s="1"/>
  <c r="L511" i="2" s="1"/>
  <c r="L622" i="2" s="1"/>
  <c r="J178" i="2"/>
  <c r="J289" i="2" s="1"/>
  <c r="J400" i="2" s="1"/>
  <c r="J511" i="2" s="1"/>
  <c r="J622" i="2" s="1"/>
  <c r="I178" i="2"/>
  <c r="I289" i="2" s="1"/>
  <c r="I400" i="2" s="1"/>
  <c r="I511" i="2" s="1"/>
  <c r="I622" i="2" s="1"/>
  <c r="H178" i="2"/>
  <c r="H289" i="2" s="1"/>
  <c r="H400" i="2" s="1"/>
  <c r="H511" i="2" s="1"/>
  <c r="H622" i="2" s="1"/>
  <c r="G178" i="2"/>
  <c r="G289" i="2" s="1"/>
  <c r="G400" i="2" s="1"/>
  <c r="G511" i="2" s="1"/>
  <c r="G622" i="2" s="1"/>
  <c r="F178" i="2"/>
  <c r="F289" i="2" s="1"/>
  <c r="F400" i="2" s="1"/>
  <c r="F511" i="2" s="1"/>
  <c r="F622" i="2" s="1"/>
  <c r="E178" i="2"/>
  <c r="E289" i="2" s="1"/>
  <c r="E400" i="2" s="1"/>
  <c r="E511" i="2" s="1"/>
  <c r="E622" i="2" s="1"/>
  <c r="C178" i="2"/>
  <c r="C289" i="2" s="1"/>
  <c r="C400" i="2" s="1"/>
  <c r="C511" i="2" s="1"/>
  <c r="C622" i="2" s="1"/>
  <c r="B178" i="2"/>
  <c r="B289" i="2" s="1"/>
  <c r="B400" i="2" s="1"/>
  <c r="B511" i="2" s="1"/>
  <c r="B622" i="2" s="1"/>
  <c r="AF177" i="2"/>
  <c r="AF288" i="2" s="1"/>
  <c r="AF399" i="2" s="1"/>
  <c r="AF510" i="2" s="1"/>
  <c r="AF621" i="2" s="1"/>
  <c r="AE177" i="2"/>
  <c r="AE288" i="2" s="1"/>
  <c r="AE399" i="2" s="1"/>
  <c r="AE510" i="2" s="1"/>
  <c r="AE621" i="2" s="1"/>
  <c r="AD177" i="2"/>
  <c r="AD288" i="2" s="1"/>
  <c r="AD399" i="2" s="1"/>
  <c r="AD510" i="2" s="1"/>
  <c r="AD621" i="2" s="1"/>
  <c r="AC177" i="2"/>
  <c r="AC288" i="2" s="1"/>
  <c r="AC399" i="2" s="1"/>
  <c r="AC510" i="2" s="1"/>
  <c r="AC621" i="2" s="1"/>
  <c r="AB177" i="2"/>
  <c r="AB288" i="2" s="1"/>
  <c r="AB399" i="2" s="1"/>
  <c r="AB510" i="2" s="1"/>
  <c r="AB621" i="2" s="1"/>
  <c r="AA177" i="2"/>
  <c r="AA288" i="2" s="1"/>
  <c r="AA399" i="2" s="1"/>
  <c r="AA510" i="2" s="1"/>
  <c r="AA621" i="2" s="1"/>
  <c r="Z177" i="2"/>
  <c r="Z288" i="2" s="1"/>
  <c r="Z399" i="2" s="1"/>
  <c r="Z510" i="2" s="1"/>
  <c r="Z621" i="2" s="1"/>
  <c r="X177" i="2"/>
  <c r="X288" i="2" s="1"/>
  <c r="X399" i="2" s="1"/>
  <c r="X510" i="2" s="1"/>
  <c r="X621" i="2" s="1"/>
  <c r="V177" i="2"/>
  <c r="V288" i="2" s="1"/>
  <c r="V399" i="2" s="1"/>
  <c r="V510" i="2" s="1"/>
  <c r="V621" i="2" s="1"/>
  <c r="U177" i="2"/>
  <c r="U288" i="2" s="1"/>
  <c r="U399" i="2" s="1"/>
  <c r="U510" i="2" s="1"/>
  <c r="U621" i="2" s="1"/>
  <c r="T177" i="2"/>
  <c r="T288" i="2" s="1"/>
  <c r="T399" i="2" s="1"/>
  <c r="T510" i="2" s="1"/>
  <c r="T621" i="2" s="1"/>
  <c r="S177" i="2"/>
  <c r="S288" i="2" s="1"/>
  <c r="S399" i="2" s="1"/>
  <c r="S510" i="2" s="1"/>
  <c r="S621" i="2" s="1"/>
  <c r="R177" i="2"/>
  <c r="R288" i="2" s="1"/>
  <c r="R399" i="2" s="1"/>
  <c r="R510" i="2" s="1"/>
  <c r="R621" i="2" s="1"/>
  <c r="Q177" i="2"/>
  <c r="Q288" i="2" s="1"/>
  <c r="Q399" i="2" s="1"/>
  <c r="Q510" i="2" s="1"/>
  <c r="Q621" i="2" s="1"/>
  <c r="P177" i="2"/>
  <c r="P288" i="2" s="1"/>
  <c r="P399" i="2" s="1"/>
  <c r="P510" i="2" s="1"/>
  <c r="P621" i="2" s="1"/>
  <c r="O177" i="2"/>
  <c r="O288" i="2" s="1"/>
  <c r="O399" i="2" s="1"/>
  <c r="O510" i="2" s="1"/>
  <c r="O621" i="2" s="1"/>
  <c r="N177" i="2"/>
  <c r="N288" i="2" s="1"/>
  <c r="N399" i="2" s="1"/>
  <c r="N510" i="2" s="1"/>
  <c r="N621" i="2" s="1"/>
  <c r="M177" i="2"/>
  <c r="M288" i="2" s="1"/>
  <c r="M399" i="2" s="1"/>
  <c r="M510" i="2" s="1"/>
  <c r="M621" i="2" s="1"/>
  <c r="L177" i="2"/>
  <c r="L288" i="2" s="1"/>
  <c r="L399" i="2" s="1"/>
  <c r="L510" i="2" s="1"/>
  <c r="L621" i="2" s="1"/>
  <c r="J177" i="2"/>
  <c r="J288" i="2" s="1"/>
  <c r="J399" i="2" s="1"/>
  <c r="J510" i="2" s="1"/>
  <c r="J621" i="2" s="1"/>
  <c r="I177" i="2"/>
  <c r="I288" i="2" s="1"/>
  <c r="I399" i="2" s="1"/>
  <c r="I510" i="2" s="1"/>
  <c r="I621" i="2" s="1"/>
  <c r="H177" i="2"/>
  <c r="H288" i="2" s="1"/>
  <c r="H399" i="2" s="1"/>
  <c r="H510" i="2" s="1"/>
  <c r="H621" i="2" s="1"/>
  <c r="G177" i="2"/>
  <c r="G288" i="2" s="1"/>
  <c r="G399" i="2" s="1"/>
  <c r="G510" i="2" s="1"/>
  <c r="G621" i="2" s="1"/>
  <c r="F177" i="2"/>
  <c r="F288" i="2" s="1"/>
  <c r="F399" i="2" s="1"/>
  <c r="F510" i="2" s="1"/>
  <c r="F621" i="2" s="1"/>
  <c r="E177" i="2"/>
  <c r="E288" i="2" s="1"/>
  <c r="E399" i="2" s="1"/>
  <c r="E510" i="2" s="1"/>
  <c r="E621" i="2" s="1"/>
  <c r="C177" i="2"/>
  <c r="C288" i="2" s="1"/>
  <c r="C399" i="2" s="1"/>
  <c r="C510" i="2" s="1"/>
  <c r="C621" i="2" s="1"/>
  <c r="B177" i="2"/>
  <c r="B288" i="2" s="1"/>
  <c r="B399" i="2" s="1"/>
  <c r="B510" i="2" s="1"/>
  <c r="B621" i="2" s="1"/>
  <c r="AF176" i="2"/>
  <c r="AF287" i="2" s="1"/>
  <c r="AF398" i="2" s="1"/>
  <c r="AF509" i="2" s="1"/>
  <c r="AF620" i="2" s="1"/>
  <c r="AE176" i="2"/>
  <c r="AE287" i="2" s="1"/>
  <c r="AE398" i="2" s="1"/>
  <c r="AE509" i="2" s="1"/>
  <c r="AE620" i="2" s="1"/>
  <c r="AD176" i="2"/>
  <c r="AD287" i="2" s="1"/>
  <c r="AD398" i="2" s="1"/>
  <c r="AD509" i="2" s="1"/>
  <c r="AD620" i="2" s="1"/>
  <c r="AC176" i="2"/>
  <c r="AC287" i="2" s="1"/>
  <c r="AC398" i="2" s="1"/>
  <c r="AC509" i="2" s="1"/>
  <c r="AC620" i="2" s="1"/>
  <c r="AB176" i="2"/>
  <c r="AB287" i="2" s="1"/>
  <c r="AB398" i="2" s="1"/>
  <c r="AB509" i="2" s="1"/>
  <c r="AB620" i="2" s="1"/>
  <c r="AA176" i="2"/>
  <c r="AA287" i="2" s="1"/>
  <c r="AA398" i="2" s="1"/>
  <c r="AA509" i="2" s="1"/>
  <c r="AA620" i="2" s="1"/>
  <c r="Z176" i="2"/>
  <c r="Z287" i="2" s="1"/>
  <c r="Z398" i="2" s="1"/>
  <c r="Z509" i="2" s="1"/>
  <c r="Z620" i="2" s="1"/>
  <c r="X176" i="2"/>
  <c r="X287" i="2" s="1"/>
  <c r="X398" i="2" s="1"/>
  <c r="X509" i="2" s="1"/>
  <c r="X620" i="2" s="1"/>
  <c r="V176" i="2"/>
  <c r="V287" i="2" s="1"/>
  <c r="V398" i="2" s="1"/>
  <c r="V509" i="2" s="1"/>
  <c r="V620" i="2" s="1"/>
  <c r="U176" i="2"/>
  <c r="U287" i="2" s="1"/>
  <c r="U398" i="2" s="1"/>
  <c r="U509" i="2" s="1"/>
  <c r="U620" i="2" s="1"/>
  <c r="T176" i="2"/>
  <c r="T287" i="2" s="1"/>
  <c r="T398" i="2" s="1"/>
  <c r="T509" i="2" s="1"/>
  <c r="T620" i="2" s="1"/>
  <c r="S176" i="2"/>
  <c r="S287" i="2" s="1"/>
  <c r="S398" i="2" s="1"/>
  <c r="S509" i="2" s="1"/>
  <c r="S620" i="2" s="1"/>
  <c r="R176" i="2"/>
  <c r="R287" i="2" s="1"/>
  <c r="R398" i="2" s="1"/>
  <c r="R509" i="2" s="1"/>
  <c r="R620" i="2" s="1"/>
  <c r="Q176" i="2"/>
  <c r="Q287" i="2" s="1"/>
  <c r="Q398" i="2" s="1"/>
  <c r="Q509" i="2" s="1"/>
  <c r="Q620" i="2" s="1"/>
  <c r="P176" i="2"/>
  <c r="P287" i="2" s="1"/>
  <c r="P398" i="2" s="1"/>
  <c r="P509" i="2" s="1"/>
  <c r="P620" i="2" s="1"/>
  <c r="O176" i="2"/>
  <c r="O287" i="2" s="1"/>
  <c r="O398" i="2" s="1"/>
  <c r="O509" i="2" s="1"/>
  <c r="O620" i="2" s="1"/>
  <c r="N176" i="2"/>
  <c r="N287" i="2" s="1"/>
  <c r="N398" i="2" s="1"/>
  <c r="N509" i="2" s="1"/>
  <c r="N620" i="2" s="1"/>
  <c r="M176" i="2"/>
  <c r="M287" i="2" s="1"/>
  <c r="M398" i="2" s="1"/>
  <c r="M509" i="2" s="1"/>
  <c r="M620" i="2" s="1"/>
  <c r="L176" i="2"/>
  <c r="L287" i="2" s="1"/>
  <c r="L398" i="2" s="1"/>
  <c r="L509" i="2" s="1"/>
  <c r="L620" i="2" s="1"/>
  <c r="J176" i="2"/>
  <c r="J287" i="2" s="1"/>
  <c r="J398" i="2" s="1"/>
  <c r="J509" i="2" s="1"/>
  <c r="J620" i="2" s="1"/>
  <c r="I176" i="2"/>
  <c r="I287" i="2" s="1"/>
  <c r="I398" i="2" s="1"/>
  <c r="I509" i="2" s="1"/>
  <c r="I620" i="2" s="1"/>
  <c r="H176" i="2"/>
  <c r="H287" i="2" s="1"/>
  <c r="H398" i="2" s="1"/>
  <c r="H509" i="2" s="1"/>
  <c r="H620" i="2" s="1"/>
  <c r="G176" i="2"/>
  <c r="G287" i="2" s="1"/>
  <c r="G398" i="2" s="1"/>
  <c r="G509" i="2" s="1"/>
  <c r="G620" i="2" s="1"/>
  <c r="F176" i="2"/>
  <c r="F287" i="2" s="1"/>
  <c r="F398" i="2" s="1"/>
  <c r="F509" i="2" s="1"/>
  <c r="F620" i="2" s="1"/>
  <c r="E176" i="2"/>
  <c r="E287" i="2" s="1"/>
  <c r="E398" i="2" s="1"/>
  <c r="E509" i="2" s="1"/>
  <c r="E620" i="2" s="1"/>
  <c r="C176" i="2"/>
  <c r="C287" i="2" s="1"/>
  <c r="C398" i="2" s="1"/>
  <c r="C509" i="2" s="1"/>
  <c r="C620" i="2" s="1"/>
  <c r="B176" i="2"/>
  <c r="B287" i="2" s="1"/>
  <c r="B398" i="2" s="1"/>
  <c r="B509" i="2" s="1"/>
  <c r="B620" i="2" s="1"/>
  <c r="AF175" i="2"/>
  <c r="AF286" i="2" s="1"/>
  <c r="AF397" i="2" s="1"/>
  <c r="AF508" i="2" s="1"/>
  <c r="AF619" i="2" s="1"/>
  <c r="AE175" i="2"/>
  <c r="AE286" i="2" s="1"/>
  <c r="AE397" i="2" s="1"/>
  <c r="AE508" i="2" s="1"/>
  <c r="AE619" i="2" s="1"/>
  <c r="AD175" i="2"/>
  <c r="AD286" i="2" s="1"/>
  <c r="AD397" i="2" s="1"/>
  <c r="AD508" i="2" s="1"/>
  <c r="AD619" i="2" s="1"/>
  <c r="AC175" i="2"/>
  <c r="AC286" i="2" s="1"/>
  <c r="AC397" i="2" s="1"/>
  <c r="AC508" i="2" s="1"/>
  <c r="AC619" i="2" s="1"/>
  <c r="AB175" i="2"/>
  <c r="AB286" i="2" s="1"/>
  <c r="AB397" i="2" s="1"/>
  <c r="AB508" i="2" s="1"/>
  <c r="AB619" i="2" s="1"/>
  <c r="AA175" i="2"/>
  <c r="AA286" i="2" s="1"/>
  <c r="AA397" i="2" s="1"/>
  <c r="AA508" i="2" s="1"/>
  <c r="AA619" i="2" s="1"/>
  <c r="Z175" i="2"/>
  <c r="Z286" i="2" s="1"/>
  <c r="Z397" i="2" s="1"/>
  <c r="Z508" i="2" s="1"/>
  <c r="Z619" i="2" s="1"/>
  <c r="X175" i="2"/>
  <c r="X286" i="2" s="1"/>
  <c r="X397" i="2" s="1"/>
  <c r="X508" i="2" s="1"/>
  <c r="X619" i="2" s="1"/>
  <c r="V175" i="2"/>
  <c r="V286" i="2" s="1"/>
  <c r="V397" i="2" s="1"/>
  <c r="V508" i="2" s="1"/>
  <c r="V619" i="2" s="1"/>
  <c r="U175" i="2"/>
  <c r="U286" i="2" s="1"/>
  <c r="U397" i="2" s="1"/>
  <c r="U508" i="2" s="1"/>
  <c r="U619" i="2" s="1"/>
  <c r="T175" i="2"/>
  <c r="T286" i="2" s="1"/>
  <c r="T397" i="2" s="1"/>
  <c r="T508" i="2" s="1"/>
  <c r="T619" i="2" s="1"/>
  <c r="S175" i="2"/>
  <c r="S286" i="2" s="1"/>
  <c r="S397" i="2" s="1"/>
  <c r="S508" i="2" s="1"/>
  <c r="S619" i="2" s="1"/>
  <c r="R175" i="2"/>
  <c r="R286" i="2" s="1"/>
  <c r="R397" i="2" s="1"/>
  <c r="R508" i="2" s="1"/>
  <c r="R619" i="2" s="1"/>
  <c r="Q175" i="2"/>
  <c r="Q286" i="2" s="1"/>
  <c r="Q397" i="2" s="1"/>
  <c r="Q508" i="2" s="1"/>
  <c r="Q619" i="2" s="1"/>
  <c r="P175" i="2"/>
  <c r="P286" i="2" s="1"/>
  <c r="P397" i="2" s="1"/>
  <c r="P508" i="2" s="1"/>
  <c r="P619" i="2" s="1"/>
  <c r="O175" i="2"/>
  <c r="O286" i="2" s="1"/>
  <c r="O397" i="2" s="1"/>
  <c r="O508" i="2" s="1"/>
  <c r="O619" i="2" s="1"/>
  <c r="N175" i="2"/>
  <c r="N286" i="2" s="1"/>
  <c r="N397" i="2" s="1"/>
  <c r="N508" i="2" s="1"/>
  <c r="N619" i="2" s="1"/>
  <c r="M175" i="2"/>
  <c r="M286" i="2" s="1"/>
  <c r="M397" i="2" s="1"/>
  <c r="M508" i="2" s="1"/>
  <c r="M619" i="2" s="1"/>
  <c r="L175" i="2"/>
  <c r="L286" i="2" s="1"/>
  <c r="L397" i="2" s="1"/>
  <c r="L508" i="2" s="1"/>
  <c r="L619" i="2" s="1"/>
  <c r="J175" i="2"/>
  <c r="J286" i="2" s="1"/>
  <c r="J397" i="2" s="1"/>
  <c r="J508" i="2" s="1"/>
  <c r="J619" i="2" s="1"/>
  <c r="I175" i="2"/>
  <c r="I286" i="2" s="1"/>
  <c r="I397" i="2" s="1"/>
  <c r="I508" i="2" s="1"/>
  <c r="I619" i="2" s="1"/>
  <c r="H175" i="2"/>
  <c r="H286" i="2" s="1"/>
  <c r="H397" i="2" s="1"/>
  <c r="H508" i="2" s="1"/>
  <c r="H619" i="2" s="1"/>
  <c r="G175" i="2"/>
  <c r="G286" i="2" s="1"/>
  <c r="G397" i="2" s="1"/>
  <c r="G508" i="2" s="1"/>
  <c r="G619" i="2" s="1"/>
  <c r="F175" i="2"/>
  <c r="F286" i="2" s="1"/>
  <c r="F397" i="2" s="1"/>
  <c r="F508" i="2" s="1"/>
  <c r="F619" i="2" s="1"/>
  <c r="E175" i="2"/>
  <c r="E286" i="2" s="1"/>
  <c r="E397" i="2" s="1"/>
  <c r="E508" i="2" s="1"/>
  <c r="E619" i="2" s="1"/>
  <c r="C175" i="2"/>
  <c r="C286" i="2" s="1"/>
  <c r="C397" i="2" s="1"/>
  <c r="C508" i="2" s="1"/>
  <c r="C619" i="2" s="1"/>
  <c r="B175" i="2"/>
  <c r="B286" i="2" s="1"/>
  <c r="B397" i="2" s="1"/>
  <c r="B508" i="2" s="1"/>
  <c r="B619" i="2" s="1"/>
  <c r="AF174" i="2"/>
  <c r="AF285" i="2" s="1"/>
  <c r="AF396" i="2" s="1"/>
  <c r="AF507" i="2" s="1"/>
  <c r="AF618" i="2" s="1"/>
  <c r="AE174" i="2"/>
  <c r="AE285" i="2" s="1"/>
  <c r="AE396" i="2" s="1"/>
  <c r="AE507" i="2" s="1"/>
  <c r="AE618" i="2" s="1"/>
  <c r="AD174" i="2"/>
  <c r="AD285" i="2" s="1"/>
  <c r="AD396" i="2" s="1"/>
  <c r="AD507" i="2" s="1"/>
  <c r="AD618" i="2" s="1"/>
  <c r="AC174" i="2"/>
  <c r="AC285" i="2" s="1"/>
  <c r="AC396" i="2" s="1"/>
  <c r="AC507" i="2" s="1"/>
  <c r="AC618" i="2" s="1"/>
  <c r="AB174" i="2"/>
  <c r="AB285" i="2" s="1"/>
  <c r="AB396" i="2" s="1"/>
  <c r="AB507" i="2" s="1"/>
  <c r="AB618" i="2" s="1"/>
  <c r="AA174" i="2"/>
  <c r="AA285" i="2" s="1"/>
  <c r="AA396" i="2" s="1"/>
  <c r="AA507" i="2" s="1"/>
  <c r="AA618" i="2" s="1"/>
  <c r="Z174" i="2"/>
  <c r="Z285" i="2" s="1"/>
  <c r="Z396" i="2" s="1"/>
  <c r="Z507" i="2" s="1"/>
  <c r="Z618" i="2" s="1"/>
  <c r="X174" i="2"/>
  <c r="X285" i="2" s="1"/>
  <c r="X396" i="2" s="1"/>
  <c r="X507" i="2" s="1"/>
  <c r="X618" i="2" s="1"/>
  <c r="V174" i="2"/>
  <c r="V285" i="2" s="1"/>
  <c r="V396" i="2" s="1"/>
  <c r="V507" i="2" s="1"/>
  <c r="V618" i="2" s="1"/>
  <c r="U174" i="2"/>
  <c r="U285" i="2" s="1"/>
  <c r="U396" i="2" s="1"/>
  <c r="U507" i="2" s="1"/>
  <c r="U618" i="2" s="1"/>
  <c r="T174" i="2"/>
  <c r="T285" i="2" s="1"/>
  <c r="T396" i="2" s="1"/>
  <c r="T507" i="2" s="1"/>
  <c r="T618" i="2" s="1"/>
  <c r="S174" i="2"/>
  <c r="S285" i="2" s="1"/>
  <c r="S396" i="2" s="1"/>
  <c r="S507" i="2" s="1"/>
  <c r="S618" i="2" s="1"/>
  <c r="R174" i="2"/>
  <c r="R285" i="2" s="1"/>
  <c r="R396" i="2" s="1"/>
  <c r="R507" i="2" s="1"/>
  <c r="R618" i="2" s="1"/>
  <c r="Q174" i="2"/>
  <c r="Q285" i="2" s="1"/>
  <c r="Q396" i="2" s="1"/>
  <c r="Q507" i="2" s="1"/>
  <c r="Q618" i="2" s="1"/>
  <c r="P174" i="2"/>
  <c r="P285" i="2" s="1"/>
  <c r="P396" i="2" s="1"/>
  <c r="P507" i="2" s="1"/>
  <c r="P618" i="2" s="1"/>
  <c r="O174" i="2"/>
  <c r="O285" i="2" s="1"/>
  <c r="O396" i="2" s="1"/>
  <c r="O507" i="2" s="1"/>
  <c r="O618" i="2" s="1"/>
  <c r="N174" i="2"/>
  <c r="N285" i="2" s="1"/>
  <c r="N396" i="2" s="1"/>
  <c r="N507" i="2" s="1"/>
  <c r="N618" i="2" s="1"/>
  <c r="M174" i="2"/>
  <c r="M285" i="2" s="1"/>
  <c r="M396" i="2" s="1"/>
  <c r="M507" i="2" s="1"/>
  <c r="M618" i="2" s="1"/>
  <c r="L174" i="2"/>
  <c r="L285" i="2" s="1"/>
  <c r="L396" i="2" s="1"/>
  <c r="L507" i="2" s="1"/>
  <c r="L618" i="2" s="1"/>
  <c r="J174" i="2"/>
  <c r="J285" i="2" s="1"/>
  <c r="J396" i="2" s="1"/>
  <c r="J507" i="2" s="1"/>
  <c r="J618" i="2" s="1"/>
  <c r="I174" i="2"/>
  <c r="I285" i="2" s="1"/>
  <c r="I396" i="2" s="1"/>
  <c r="I507" i="2" s="1"/>
  <c r="I618" i="2" s="1"/>
  <c r="H174" i="2"/>
  <c r="H285" i="2" s="1"/>
  <c r="H396" i="2" s="1"/>
  <c r="H507" i="2" s="1"/>
  <c r="H618" i="2" s="1"/>
  <c r="G174" i="2"/>
  <c r="G285" i="2" s="1"/>
  <c r="G396" i="2" s="1"/>
  <c r="G507" i="2" s="1"/>
  <c r="G618" i="2" s="1"/>
  <c r="F174" i="2"/>
  <c r="F285" i="2" s="1"/>
  <c r="F396" i="2" s="1"/>
  <c r="F507" i="2" s="1"/>
  <c r="F618" i="2" s="1"/>
  <c r="E174" i="2"/>
  <c r="E285" i="2" s="1"/>
  <c r="E396" i="2" s="1"/>
  <c r="E507" i="2" s="1"/>
  <c r="E618" i="2" s="1"/>
  <c r="C174" i="2"/>
  <c r="C285" i="2" s="1"/>
  <c r="C396" i="2" s="1"/>
  <c r="C507" i="2" s="1"/>
  <c r="C618" i="2" s="1"/>
  <c r="B174" i="2"/>
  <c r="B285" i="2" s="1"/>
  <c r="B396" i="2" s="1"/>
  <c r="B507" i="2" s="1"/>
  <c r="B618" i="2" s="1"/>
  <c r="AF173" i="2"/>
  <c r="AF284" i="2" s="1"/>
  <c r="AF395" i="2" s="1"/>
  <c r="AF506" i="2" s="1"/>
  <c r="AF617" i="2" s="1"/>
  <c r="AE173" i="2"/>
  <c r="AE284" i="2" s="1"/>
  <c r="AE395" i="2" s="1"/>
  <c r="AE506" i="2" s="1"/>
  <c r="AE617" i="2" s="1"/>
  <c r="AD173" i="2"/>
  <c r="AD284" i="2" s="1"/>
  <c r="AD395" i="2" s="1"/>
  <c r="AD506" i="2" s="1"/>
  <c r="AD617" i="2" s="1"/>
  <c r="AC173" i="2"/>
  <c r="AC284" i="2" s="1"/>
  <c r="AC395" i="2" s="1"/>
  <c r="AC506" i="2" s="1"/>
  <c r="AC617" i="2" s="1"/>
  <c r="AB173" i="2"/>
  <c r="AB284" i="2" s="1"/>
  <c r="AB395" i="2" s="1"/>
  <c r="AB506" i="2" s="1"/>
  <c r="AB617" i="2" s="1"/>
  <c r="AA173" i="2"/>
  <c r="AA284" i="2" s="1"/>
  <c r="AA395" i="2" s="1"/>
  <c r="AA506" i="2" s="1"/>
  <c r="AA617" i="2" s="1"/>
  <c r="Z173" i="2"/>
  <c r="Z284" i="2" s="1"/>
  <c r="Z395" i="2" s="1"/>
  <c r="Z506" i="2" s="1"/>
  <c r="Z617" i="2" s="1"/>
  <c r="X173" i="2"/>
  <c r="X284" i="2" s="1"/>
  <c r="X395" i="2" s="1"/>
  <c r="X506" i="2" s="1"/>
  <c r="X617" i="2" s="1"/>
  <c r="V173" i="2"/>
  <c r="V284" i="2" s="1"/>
  <c r="V395" i="2" s="1"/>
  <c r="V506" i="2" s="1"/>
  <c r="V617" i="2" s="1"/>
  <c r="U173" i="2"/>
  <c r="U284" i="2" s="1"/>
  <c r="U395" i="2" s="1"/>
  <c r="U506" i="2" s="1"/>
  <c r="U617" i="2" s="1"/>
  <c r="T173" i="2"/>
  <c r="T284" i="2" s="1"/>
  <c r="T395" i="2" s="1"/>
  <c r="T506" i="2" s="1"/>
  <c r="T617" i="2" s="1"/>
  <c r="S173" i="2"/>
  <c r="S284" i="2" s="1"/>
  <c r="S395" i="2" s="1"/>
  <c r="S506" i="2" s="1"/>
  <c r="S617" i="2" s="1"/>
  <c r="R173" i="2"/>
  <c r="R284" i="2" s="1"/>
  <c r="R395" i="2" s="1"/>
  <c r="R506" i="2" s="1"/>
  <c r="R617" i="2" s="1"/>
  <c r="Q173" i="2"/>
  <c r="Q284" i="2" s="1"/>
  <c r="Q395" i="2" s="1"/>
  <c r="Q506" i="2" s="1"/>
  <c r="Q617" i="2" s="1"/>
  <c r="P173" i="2"/>
  <c r="P284" i="2" s="1"/>
  <c r="P395" i="2" s="1"/>
  <c r="P506" i="2" s="1"/>
  <c r="P617" i="2" s="1"/>
  <c r="O173" i="2"/>
  <c r="O284" i="2" s="1"/>
  <c r="O395" i="2" s="1"/>
  <c r="O506" i="2" s="1"/>
  <c r="O617" i="2" s="1"/>
  <c r="N173" i="2"/>
  <c r="N284" i="2" s="1"/>
  <c r="N395" i="2" s="1"/>
  <c r="N506" i="2" s="1"/>
  <c r="N617" i="2" s="1"/>
  <c r="M173" i="2"/>
  <c r="M284" i="2" s="1"/>
  <c r="M395" i="2" s="1"/>
  <c r="M506" i="2" s="1"/>
  <c r="M617" i="2" s="1"/>
  <c r="L173" i="2"/>
  <c r="L284" i="2" s="1"/>
  <c r="L395" i="2" s="1"/>
  <c r="L506" i="2" s="1"/>
  <c r="L617" i="2" s="1"/>
  <c r="J173" i="2"/>
  <c r="J284" i="2" s="1"/>
  <c r="J395" i="2" s="1"/>
  <c r="J506" i="2" s="1"/>
  <c r="J617" i="2" s="1"/>
  <c r="I173" i="2"/>
  <c r="I284" i="2" s="1"/>
  <c r="I395" i="2" s="1"/>
  <c r="I506" i="2" s="1"/>
  <c r="I617" i="2" s="1"/>
  <c r="H173" i="2"/>
  <c r="H284" i="2" s="1"/>
  <c r="H395" i="2" s="1"/>
  <c r="H506" i="2" s="1"/>
  <c r="H617" i="2" s="1"/>
  <c r="G173" i="2"/>
  <c r="G284" i="2" s="1"/>
  <c r="G395" i="2" s="1"/>
  <c r="G506" i="2" s="1"/>
  <c r="G617" i="2" s="1"/>
  <c r="F173" i="2"/>
  <c r="F284" i="2" s="1"/>
  <c r="F395" i="2" s="1"/>
  <c r="F506" i="2" s="1"/>
  <c r="F617" i="2" s="1"/>
  <c r="E173" i="2"/>
  <c r="E284" i="2" s="1"/>
  <c r="E395" i="2" s="1"/>
  <c r="E506" i="2" s="1"/>
  <c r="E617" i="2" s="1"/>
  <c r="C173" i="2"/>
  <c r="C284" i="2" s="1"/>
  <c r="C395" i="2" s="1"/>
  <c r="C506" i="2" s="1"/>
  <c r="C617" i="2" s="1"/>
  <c r="B173" i="2"/>
  <c r="B284" i="2" s="1"/>
  <c r="B395" i="2" s="1"/>
  <c r="B506" i="2" s="1"/>
  <c r="B617" i="2" s="1"/>
  <c r="AF172" i="2"/>
  <c r="AF283" i="2" s="1"/>
  <c r="AF394" i="2" s="1"/>
  <c r="AF505" i="2" s="1"/>
  <c r="AF616" i="2" s="1"/>
  <c r="AE172" i="2"/>
  <c r="AE283" i="2" s="1"/>
  <c r="AE394" i="2" s="1"/>
  <c r="AE505" i="2" s="1"/>
  <c r="AE616" i="2" s="1"/>
  <c r="AD172" i="2"/>
  <c r="AD283" i="2" s="1"/>
  <c r="AD394" i="2" s="1"/>
  <c r="AD505" i="2" s="1"/>
  <c r="AD616" i="2" s="1"/>
  <c r="AC172" i="2"/>
  <c r="AC283" i="2" s="1"/>
  <c r="AC394" i="2" s="1"/>
  <c r="AC505" i="2" s="1"/>
  <c r="AC616" i="2" s="1"/>
  <c r="AB172" i="2"/>
  <c r="AB283" i="2" s="1"/>
  <c r="AB394" i="2" s="1"/>
  <c r="AB505" i="2" s="1"/>
  <c r="AB616" i="2" s="1"/>
  <c r="AA172" i="2"/>
  <c r="AA283" i="2" s="1"/>
  <c r="AA394" i="2" s="1"/>
  <c r="AA505" i="2" s="1"/>
  <c r="AA616" i="2" s="1"/>
  <c r="Z172" i="2"/>
  <c r="Z283" i="2" s="1"/>
  <c r="Z394" i="2" s="1"/>
  <c r="Z505" i="2" s="1"/>
  <c r="Z616" i="2" s="1"/>
  <c r="X172" i="2"/>
  <c r="X283" i="2" s="1"/>
  <c r="X394" i="2" s="1"/>
  <c r="X505" i="2" s="1"/>
  <c r="X616" i="2" s="1"/>
  <c r="V172" i="2"/>
  <c r="V283" i="2" s="1"/>
  <c r="V394" i="2" s="1"/>
  <c r="V505" i="2" s="1"/>
  <c r="V616" i="2" s="1"/>
  <c r="U172" i="2"/>
  <c r="U283" i="2" s="1"/>
  <c r="U394" i="2" s="1"/>
  <c r="U505" i="2" s="1"/>
  <c r="U616" i="2" s="1"/>
  <c r="T172" i="2"/>
  <c r="T283" i="2" s="1"/>
  <c r="T394" i="2" s="1"/>
  <c r="T505" i="2" s="1"/>
  <c r="T616" i="2" s="1"/>
  <c r="S172" i="2"/>
  <c r="S283" i="2" s="1"/>
  <c r="S394" i="2" s="1"/>
  <c r="S505" i="2" s="1"/>
  <c r="S616" i="2" s="1"/>
  <c r="R172" i="2"/>
  <c r="R283" i="2" s="1"/>
  <c r="R394" i="2" s="1"/>
  <c r="R505" i="2" s="1"/>
  <c r="R616" i="2" s="1"/>
  <c r="Q172" i="2"/>
  <c r="Q283" i="2" s="1"/>
  <c r="Q394" i="2" s="1"/>
  <c r="Q505" i="2" s="1"/>
  <c r="Q616" i="2" s="1"/>
  <c r="P172" i="2"/>
  <c r="P283" i="2" s="1"/>
  <c r="P394" i="2" s="1"/>
  <c r="P505" i="2" s="1"/>
  <c r="P616" i="2" s="1"/>
  <c r="O172" i="2"/>
  <c r="O283" i="2" s="1"/>
  <c r="O394" i="2" s="1"/>
  <c r="O505" i="2" s="1"/>
  <c r="O616" i="2" s="1"/>
  <c r="N172" i="2"/>
  <c r="N283" i="2" s="1"/>
  <c r="N394" i="2" s="1"/>
  <c r="N505" i="2" s="1"/>
  <c r="N616" i="2" s="1"/>
  <c r="M172" i="2"/>
  <c r="M283" i="2" s="1"/>
  <c r="M394" i="2" s="1"/>
  <c r="M505" i="2" s="1"/>
  <c r="M616" i="2" s="1"/>
  <c r="L172" i="2"/>
  <c r="L283" i="2" s="1"/>
  <c r="L394" i="2" s="1"/>
  <c r="L505" i="2" s="1"/>
  <c r="L616" i="2" s="1"/>
  <c r="J172" i="2"/>
  <c r="J283" i="2" s="1"/>
  <c r="J394" i="2" s="1"/>
  <c r="J505" i="2" s="1"/>
  <c r="J616" i="2" s="1"/>
  <c r="I172" i="2"/>
  <c r="I283" i="2" s="1"/>
  <c r="I394" i="2" s="1"/>
  <c r="I505" i="2" s="1"/>
  <c r="I616" i="2" s="1"/>
  <c r="H172" i="2"/>
  <c r="H283" i="2" s="1"/>
  <c r="H394" i="2" s="1"/>
  <c r="H505" i="2" s="1"/>
  <c r="H616" i="2" s="1"/>
  <c r="G172" i="2"/>
  <c r="G283" i="2" s="1"/>
  <c r="G394" i="2" s="1"/>
  <c r="G505" i="2" s="1"/>
  <c r="G616" i="2" s="1"/>
  <c r="F172" i="2"/>
  <c r="F283" i="2" s="1"/>
  <c r="F394" i="2" s="1"/>
  <c r="F505" i="2" s="1"/>
  <c r="F616" i="2" s="1"/>
  <c r="E172" i="2"/>
  <c r="E283" i="2" s="1"/>
  <c r="E394" i="2" s="1"/>
  <c r="E505" i="2" s="1"/>
  <c r="E616" i="2" s="1"/>
  <c r="C172" i="2"/>
  <c r="C283" i="2" s="1"/>
  <c r="C394" i="2" s="1"/>
  <c r="C505" i="2" s="1"/>
  <c r="C616" i="2" s="1"/>
  <c r="B172" i="2"/>
  <c r="B283" i="2" s="1"/>
  <c r="B394" i="2" s="1"/>
  <c r="B505" i="2" s="1"/>
  <c r="B616" i="2" s="1"/>
  <c r="AF171" i="2"/>
  <c r="AF282" i="2" s="1"/>
  <c r="AF393" i="2" s="1"/>
  <c r="AF504" i="2" s="1"/>
  <c r="AF615" i="2" s="1"/>
  <c r="AE171" i="2"/>
  <c r="AE282" i="2" s="1"/>
  <c r="AE393" i="2" s="1"/>
  <c r="AE504" i="2" s="1"/>
  <c r="AE615" i="2" s="1"/>
  <c r="AD171" i="2"/>
  <c r="AD282" i="2" s="1"/>
  <c r="AD393" i="2" s="1"/>
  <c r="AD504" i="2" s="1"/>
  <c r="AD615" i="2" s="1"/>
  <c r="AC171" i="2"/>
  <c r="AC282" i="2" s="1"/>
  <c r="AC393" i="2" s="1"/>
  <c r="AC504" i="2" s="1"/>
  <c r="AC615" i="2" s="1"/>
  <c r="AB171" i="2"/>
  <c r="AB282" i="2" s="1"/>
  <c r="AB393" i="2" s="1"/>
  <c r="AB504" i="2" s="1"/>
  <c r="AB615" i="2" s="1"/>
  <c r="AA171" i="2"/>
  <c r="AA282" i="2" s="1"/>
  <c r="AA393" i="2" s="1"/>
  <c r="AA504" i="2" s="1"/>
  <c r="AA615" i="2" s="1"/>
  <c r="Z171" i="2"/>
  <c r="Z282" i="2" s="1"/>
  <c r="Z393" i="2" s="1"/>
  <c r="Z504" i="2" s="1"/>
  <c r="Z615" i="2" s="1"/>
  <c r="X171" i="2"/>
  <c r="X282" i="2" s="1"/>
  <c r="X393" i="2" s="1"/>
  <c r="X504" i="2" s="1"/>
  <c r="X615" i="2" s="1"/>
  <c r="V171" i="2"/>
  <c r="V282" i="2" s="1"/>
  <c r="V393" i="2" s="1"/>
  <c r="V504" i="2" s="1"/>
  <c r="V615" i="2" s="1"/>
  <c r="U171" i="2"/>
  <c r="U282" i="2" s="1"/>
  <c r="U393" i="2" s="1"/>
  <c r="U504" i="2" s="1"/>
  <c r="U615" i="2" s="1"/>
  <c r="T171" i="2"/>
  <c r="T282" i="2" s="1"/>
  <c r="T393" i="2" s="1"/>
  <c r="T504" i="2" s="1"/>
  <c r="T615" i="2" s="1"/>
  <c r="S171" i="2"/>
  <c r="S282" i="2" s="1"/>
  <c r="S393" i="2" s="1"/>
  <c r="S504" i="2" s="1"/>
  <c r="S615" i="2" s="1"/>
  <c r="R171" i="2"/>
  <c r="R282" i="2" s="1"/>
  <c r="R393" i="2" s="1"/>
  <c r="R504" i="2" s="1"/>
  <c r="R615" i="2" s="1"/>
  <c r="Q171" i="2"/>
  <c r="Q282" i="2" s="1"/>
  <c r="Q393" i="2" s="1"/>
  <c r="Q504" i="2" s="1"/>
  <c r="Q615" i="2" s="1"/>
  <c r="P171" i="2"/>
  <c r="P282" i="2" s="1"/>
  <c r="P393" i="2" s="1"/>
  <c r="P504" i="2" s="1"/>
  <c r="P615" i="2" s="1"/>
  <c r="O171" i="2"/>
  <c r="O282" i="2" s="1"/>
  <c r="O393" i="2" s="1"/>
  <c r="O504" i="2" s="1"/>
  <c r="O615" i="2" s="1"/>
  <c r="N171" i="2"/>
  <c r="N282" i="2" s="1"/>
  <c r="N393" i="2" s="1"/>
  <c r="N504" i="2" s="1"/>
  <c r="N615" i="2" s="1"/>
  <c r="M171" i="2"/>
  <c r="M282" i="2" s="1"/>
  <c r="M393" i="2" s="1"/>
  <c r="M504" i="2" s="1"/>
  <c r="M615" i="2" s="1"/>
  <c r="L171" i="2"/>
  <c r="L282" i="2" s="1"/>
  <c r="L393" i="2" s="1"/>
  <c r="L504" i="2" s="1"/>
  <c r="L615" i="2" s="1"/>
  <c r="J171" i="2"/>
  <c r="J282" i="2" s="1"/>
  <c r="J393" i="2" s="1"/>
  <c r="J504" i="2" s="1"/>
  <c r="J615" i="2" s="1"/>
  <c r="I171" i="2"/>
  <c r="I282" i="2" s="1"/>
  <c r="I393" i="2" s="1"/>
  <c r="I504" i="2" s="1"/>
  <c r="I615" i="2" s="1"/>
  <c r="H171" i="2"/>
  <c r="H282" i="2" s="1"/>
  <c r="H393" i="2" s="1"/>
  <c r="H504" i="2" s="1"/>
  <c r="H615" i="2" s="1"/>
  <c r="G171" i="2"/>
  <c r="G282" i="2" s="1"/>
  <c r="G393" i="2" s="1"/>
  <c r="G504" i="2" s="1"/>
  <c r="G615" i="2" s="1"/>
  <c r="F171" i="2"/>
  <c r="F282" i="2" s="1"/>
  <c r="F393" i="2" s="1"/>
  <c r="F504" i="2" s="1"/>
  <c r="F615" i="2" s="1"/>
  <c r="E171" i="2"/>
  <c r="E282" i="2" s="1"/>
  <c r="E393" i="2" s="1"/>
  <c r="E504" i="2" s="1"/>
  <c r="E615" i="2" s="1"/>
  <c r="C171" i="2"/>
  <c r="C282" i="2" s="1"/>
  <c r="C393" i="2" s="1"/>
  <c r="C504" i="2" s="1"/>
  <c r="C615" i="2" s="1"/>
  <c r="B171" i="2"/>
  <c r="B282" i="2" s="1"/>
  <c r="B393" i="2" s="1"/>
  <c r="B504" i="2" s="1"/>
  <c r="B615" i="2" s="1"/>
  <c r="AF170" i="2"/>
  <c r="AF281" i="2" s="1"/>
  <c r="AF392" i="2" s="1"/>
  <c r="AF503" i="2" s="1"/>
  <c r="AF614" i="2" s="1"/>
  <c r="AE170" i="2"/>
  <c r="AE281" i="2" s="1"/>
  <c r="AE392" i="2" s="1"/>
  <c r="AE503" i="2" s="1"/>
  <c r="AE614" i="2" s="1"/>
  <c r="AD170" i="2"/>
  <c r="AD281" i="2" s="1"/>
  <c r="AD392" i="2" s="1"/>
  <c r="AD503" i="2" s="1"/>
  <c r="AD614" i="2" s="1"/>
  <c r="AC170" i="2"/>
  <c r="AC281" i="2" s="1"/>
  <c r="AC392" i="2" s="1"/>
  <c r="AC503" i="2" s="1"/>
  <c r="AC614" i="2" s="1"/>
  <c r="AB170" i="2"/>
  <c r="AB281" i="2" s="1"/>
  <c r="AB392" i="2" s="1"/>
  <c r="AB503" i="2" s="1"/>
  <c r="AB614" i="2" s="1"/>
  <c r="AA170" i="2"/>
  <c r="AA281" i="2" s="1"/>
  <c r="AA392" i="2" s="1"/>
  <c r="AA503" i="2" s="1"/>
  <c r="AA614" i="2" s="1"/>
  <c r="Z170" i="2"/>
  <c r="Z281" i="2" s="1"/>
  <c r="Z392" i="2" s="1"/>
  <c r="Z503" i="2" s="1"/>
  <c r="Z614" i="2" s="1"/>
  <c r="X170" i="2"/>
  <c r="X281" i="2" s="1"/>
  <c r="X392" i="2" s="1"/>
  <c r="X503" i="2" s="1"/>
  <c r="X614" i="2" s="1"/>
  <c r="V170" i="2"/>
  <c r="V281" i="2" s="1"/>
  <c r="V392" i="2" s="1"/>
  <c r="V503" i="2" s="1"/>
  <c r="V614" i="2" s="1"/>
  <c r="U170" i="2"/>
  <c r="U281" i="2" s="1"/>
  <c r="U392" i="2" s="1"/>
  <c r="U503" i="2" s="1"/>
  <c r="U614" i="2" s="1"/>
  <c r="T170" i="2"/>
  <c r="T281" i="2" s="1"/>
  <c r="T392" i="2" s="1"/>
  <c r="T503" i="2" s="1"/>
  <c r="T614" i="2" s="1"/>
  <c r="S170" i="2"/>
  <c r="S281" i="2" s="1"/>
  <c r="S392" i="2" s="1"/>
  <c r="S503" i="2" s="1"/>
  <c r="S614" i="2" s="1"/>
  <c r="R170" i="2"/>
  <c r="R281" i="2" s="1"/>
  <c r="R392" i="2" s="1"/>
  <c r="R503" i="2" s="1"/>
  <c r="R614" i="2" s="1"/>
  <c r="Q170" i="2"/>
  <c r="Q281" i="2" s="1"/>
  <c r="Q392" i="2" s="1"/>
  <c r="Q503" i="2" s="1"/>
  <c r="Q614" i="2" s="1"/>
  <c r="P170" i="2"/>
  <c r="P281" i="2" s="1"/>
  <c r="P392" i="2" s="1"/>
  <c r="P503" i="2" s="1"/>
  <c r="P614" i="2" s="1"/>
  <c r="O170" i="2"/>
  <c r="O281" i="2" s="1"/>
  <c r="O392" i="2" s="1"/>
  <c r="O503" i="2" s="1"/>
  <c r="O614" i="2" s="1"/>
  <c r="N170" i="2"/>
  <c r="N281" i="2" s="1"/>
  <c r="N392" i="2" s="1"/>
  <c r="N503" i="2" s="1"/>
  <c r="N614" i="2" s="1"/>
  <c r="M170" i="2"/>
  <c r="M281" i="2" s="1"/>
  <c r="M392" i="2" s="1"/>
  <c r="M503" i="2" s="1"/>
  <c r="M614" i="2" s="1"/>
  <c r="L170" i="2"/>
  <c r="L281" i="2" s="1"/>
  <c r="L392" i="2" s="1"/>
  <c r="L503" i="2" s="1"/>
  <c r="L614" i="2" s="1"/>
  <c r="J170" i="2"/>
  <c r="J281" i="2" s="1"/>
  <c r="J392" i="2" s="1"/>
  <c r="J503" i="2" s="1"/>
  <c r="J614" i="2" s="1"/>
  <c r="I170" i="2"/>
  <c r="I281" i="2" s="1"/>
  <c r="I392" i="2" s="1"/>
  <c r="I503" i="2" s="1"/>
  <c r="I614" i="2" s="1"/>
  <c r="H170" i="2"/>
  <c r="H281" i="2" s="1"/>
  <c r="H392" i="2" s="1"/>
  <c r="H503" i="2" s="1"/>
  <c r="H614" i="2" s="1"/>
  <c r="G170" i="2"/>
  <c r="G281" i="2" s="1"/>
  <c r="G392" i="2" s="1"/>
  <c r="G503" i="2" s="1"/>
  <c r="G614" i="2" s="1"/>
  <c r="F170" i="2"/>
  <c r="F281" i="2" s="1"/>
  <c r="F392" i="2" s="1"/>
  <c r="F503" i="2" s="1"/>
  <c r="F614" i="2" s="1"/>
  <c r="E170" i="2"/>
  <c r="E281" i="2" s="1"/>
  <c r="E392" i="2" s="1"/>
  <c r="E503" i="2" s="1"/>
  <c r="E614" i="2" s="1"/>
  <c r="C170" i="2"/>
  <c r="C281" i="2" s="1"/>
  <c r="C392" i="2" s="1"/>
  <c r="C503" i="2" s="1"/>
  <c r="C614" i="2" s="1"/>
  <c r="B170" i="2"/>
  <c r="B281" i="2" s="1"/>
  <c r="B392" i="2" s="1"/>
  <c r="B503" i="2" s="1"/>
  <c r="B614" i="2" s="1"/>
  <c r="AF169" i="2"/>
  <c r="AF280" i="2" s="1"/>
  <c r="AF391" i="2" s="1"/>
  <c r="AF502" i="2" s="1"/>
  <c r="AF613" i="2" s="1"/>
  <c r="AE169" i="2"/>
  <c r="AE280" i="2" s="1"/>
  <c r="AE391" i="2" s="1"/>
  <c r="AE502" i="2" s="1"/>
  <c r="AE613" i="2" s="1"/>
  <c r="AD169" i="2"/>
  <c r="AD280" i="2" s="1"/>
  <c r="AD391" i="2" s="1"/>
  <c r="AD502" i="2" s="1"/>
  <c r="AD613" i="2" s="1"/>
  <c r="AC169" i="2"/>
  <c r="AC280" i="2" s="1"/>
  <c r="AC391" i="2" s="1"/>
  <c r="AC502" i="2" s="1"/>
  <c r="AC613" i="2" s="1"/>
  <c r="AB169" i="2"/>
  <c r="AB280" i="2" s="1"/>
  <c r="AB391" i="2" s="1"/>
  <c r="AB502" i="2" s="1"/>
  <c r="AB613" i="2" s="1"/>
  <c r="AA169" i="2"/>
  <c r="AA280" i="2" s="1"/>
  <c r="AA391" i="2" s="1"/>
  <c r="AA502" i="2" s="1"/>
  <c r="AA613" i="2" s="1"/>
  <c r="Z169" i="2"/>
  <c r="Z280" i="2" s="1"/>
  <c r="Z391" i="2" s="1"/>
  <c r="Z502" i="2" s="1"/>
  <c r="Z613" i="2" s="1"/>
  <c r="X169" i="2"/>
  <c r="X280" i="2" s="1"/>
  <c r="X391" i="2" s="1"/>
  <c r="X502" i="2" s="1"/>
  <c r="X613" i="2" s="1"/>
  <c r="V169" i="2"/>
  <c r="V280" i="2" s="1"/>
  <c r="V391" i="2" s="1"/>
  <c r="V502" i="2" s="1"/>
  <c r="V613" i="2" s="1"/>
  <c r="U169" i="2"/>
  <c r="U280" i="2" s="1"/>
  <c r="U391" i="2" s="1"/>
  <c r="U502" i="2" s="1"/>
  <c r="U613" i="2" s="1"/>
  <c r="T169" i="2"/>
  <c r="T280" i="2" s="1"/>
  <c r="T391" i="2" s="1"/>
  <c r="T502" i="2" s="1"/>
  <c r="T613" i="2" s="1"/>
  <c r="S169" i="2"/>
  <c r="S280" i="2" s="1"/>
  <c r="S391" i="2" s="1"/>
  <c r="S502" i="2" s="1"/>
  <c r="S613" i="2" s="1"/>
  <c r="R169" i="2"/>
  <c r="R280" i="2" s="1"/>
  <c r="R391" i="2" s="1"/>
  <c r="R502" i="2" s="1"/>
  <c r="R613" i="2" s="1"/>
  <c r="Q169" i="2"/>
  <c r="Q280" i="2" s="1"/>
  <c r="Q391" i="2" s="1"/>
  <c r="Q502" i="2" s="1"/>
  <c r="Q613" i="2" s="1"/>
  <c r="P169" i="2"/>
  <c r="P280" i="2" s="1"/>
  <c r="P391" i="2" s="1"/>
  <c r="P502" i="2" s="1"/>
  <c r="P613" i="2" s="1"/>
  <c r="O169" i="2"/>
  <c r="O280" i="2" s="1"/>
  <c r="O391" i="2" s="1"/>
  <c r="O502" i="2" s="1"/>
  <c r="O613" i="2" s="1"/>
  <c r="N169" i="2"/>
  <c r="N280" i="2" s="1"/>
  <c r="N391" i="2" s="1"/>
  <c r="N502" i="2" s="1"/>
  <c r="N613" i="2" s="1"/>
  <c r="M169" i="2"/>
  <c r="M280" i="2" s="1"/>
  <c r="M391" i="2" s="1"/>
  <c r="M502" i="2" s="1"/>
  <c r="M613" i="2" s="1"/>
  <c r="L169" i="2"/>
  <c r="L280" i="2" s="1"/>
  <c r="L391" i="2" s="1"/>
  <c r="L502" i="2" s="1"/>
  <c r="L613" i="2" s="1"/>
  <c r="J169" i="2"/>
  <c r="J280" i="2" s="1"/>
  <c r="J391" i="2" s="1"/>
  <c r="J502" i="2" s="1"/>
  <c r="J613" i="2" s="1"/>
  <c r="I169" i="2"/>
  <c r="I280" i="2" s="1"/>
  <c r="I391" i="2" s="1"/>
  <c r="I502" i="2" s="1"/>
  <c r="I613" i="2" s="1"/>
  <c r="H169" i="2"/>
  <c r="H280" i="2" s="1"/>
  <c r="H391" i="2" s="1"/>
  <c r="H502" i="2" s="1"/>
  <c r="H613" i="2" s="1"/>
  <c r="G169" i="2"/>
  <c r="G280" i="2" s="1"/>
  <c r="G391" i="2" s="1"/>
  <c r="G502" i="2" s="1"/>
  <c r="G613" i="2" s="1"/>
  <c r="F169" i="2"/>
  <c r="F280" i="2" s="1"/>
  <c r="F391" i="2" s="1"/>
  <c r="F502" i="2" s="1"/>
  <c r="F613" i="2" s="1"/>
  <c r="E169" i="2"/>
  <c r="E280" i="2" s="1"/>
  <c r="E391" i="2" s="1"/>
  <c r="E502" i="2" s="1"/>
  <c r="E613" i="2" s="1"/>
  <c r="C169" i="2"/>
  <c r="C280" i="2" s="1"/>
  <c r="C391" i="2" s="1"/>
  <c r="C502" i="2" s="1"/>
  <c r="C613" i="2" s="1"/>
  <c r="B169" i="2"/>
  <c r="B280" i="2" s="1"/>
  <c r="B391" i="2" s="1"/>
  <c r="B502" i="2" s="1"/>
  <c r="B613" i="2" s="1"/>
  <c r="AF168" i="2"/>
  <c r="AF279" i="2" s="1"/>
  <c r="AF390" i="2" s="1"/>
  <c r="AF501" i="2" s="1"/>
  <c r="AF612" i="2" s="1"/>
  <c r="AE168" i="2"/>
  <c r="AE279" i="2" s="1"/>
  <c r="AE390" i="2" s="1"/>
  <c r="AE501" i="2" s="1"/>
  <c r="AE612" i="2" s="1"/>
  <c r="AD168" i="2"/>
  <c r="AD279" i="2" s="1"/>
  <c r="AD390" i="2" s="1"/>
  <c r="AD501" i="2" s="1"/>
  <c r="AD612" i="2" s="1"/>
  <c r="AC168" i="2"/>
  <c r="AC279" i="2" s="1"/>
  <c r="AC390" i="2" s="1"/>
  <c r="AC501" i="2" s="1"/>
  <c r="AC612" i="2" s="1"/>
  <c r="AB168" i="2"/>
  <c r="AB279" i="2" s="1"/>
  <c r="AB390" i="2" s="1"/>
  <c r="AB501" i="2" s="1"/>
  <c r="AB612" i="2" s="1"/>
  <c r="AA168" i="2"/>
  <c r="AA279" i="2" s="1"/>
  <c r="AA390" i="2" s="1"/>
  <c r="AA501" i="2" s="1"/>
  <c r="AA612" i="2" s="1"/>
  <c r="Z168" i="2"/>
  <c r="Z279" i="2" s="1"/>
  <c r="Z390" i="2" s="1"/>
  <c r="Z501" i="2" s="1"/>
  <c r="Z612" i="2" s="1"/>
  <c r="X168" i="2"/>
  <c r="X279" i="2" s="1"/>
  <c r="X390" i="2" s="1"/>
  <c r="X501" i="2" s="1"/>
  <c r="X612" i="2" s="1"/>
  <c r="V168" i="2"/>
  <c r="V279" i="2" s="1"/>
  <c r="V390" i="2" s="1"/>
  <c r="V501" i="2" s="1"/>
  <c r="V612" i="2" s="1"/>
  <c r="U168" i="2"/>
  <c r="U279" i="2" s="1"/>
  <c r="U390" i="2" s="1"/>
  <c r="U501" i="2" s="1"/>
  <c r="U612" i="2" s="1"/>
  <c r="T168" i="2"/>
  <c r="T279" i="2" s="1"/>
  <c r="T390" i="2" s="1"/>
  <c r="T501" i="2" s="1"/>
  <c r="T612" i="2" s="1"/>
  <c r="S168" i="2"/>
  <c r="S279" i="2" s="1"/>
  <c r="S390" i="2" s="1"/>
  <c r="S501" i="2" s="1"/>
  <c r="S612" i="2" s="1"/>
  <c r="R168" i="2"/>
  <c r="R279" i="2" s="1"/>
  <c r="R390" i="2" s="1"/>
  <c r="R501" i="2" s="1"/>
  <c r="R612" i="2" s="1"/>
  <c r="Q168" i="2"/>
  <c r="Q279" i="2" s="1"/>
  <c r="Q390" i="2" s="1"/>
  <c r="Q501" i="2" s="1"/>
  <c r="Q612" i="2" s="1"/>
  <c r="P168" i="2"/>
  <c r="P279" i="2" s="1"/>
  <c r="P390" i="2" s="1"/>
  <c r="P501" i="2" s="1"/>
  <c r="P612" i="2" s="1"/>
  <c r="O168" i="2"/>
  <c r="O279" i="2" s="1"/>
  <c r="O390" i="2" s="1"/>
  <c r="O501" i="2" s="1"/>
  <c r="O612" i="2" s="1"/>
  <c r="N168" i="2"/>
  <c r="N279" i="2" s="1"/>
  <c r="N390" i="2" s="1"/>
  <c r="N501" i="2" s="1"/>
  <c r="N612" i="2" s="1"/>
  <c r="M168" i="2"/>
  <c r="M279" i="2" s="1"/>
  <c r="M390" i="2" s="1"/>
  <c r="M501" i="2" s="1"/>
  <c r="M612" i="2" s="1"/>
  <c r="L168" i="2"/>
  <c r="L279" i="2" s="1"/>
  <c r="L390" i="2" s="1"/>
  <c r="L501" i="2" s="1"/>
  <c r="L612" i="2" s="1"/>
  <c r="J168" i="2"/>
  <c r="J279" i="2" s="1"/>
  <c r="J390" i="2" s="1"/>
  <c r="J501" i="2" s="1"/>
  <c r="J612" i="2" s="1"/>
  <c r="I168" i="2"/>
  <c r="I279" i="2" s="1"/>
  <c r="I390" i="2" s="1"/>
  <c r="I501" i="2" s="1"/>
  <c r="I612" i="2" s="1"/>
  <c r="H168" i="2"/>
  <c r="H279" i="2" s="1"/>
  <c r="H390" i="2" s="1"/>
  <c r="H501" i="2" s="1"/>
  <c r="H612" i="2" s="1"/>
  <c r="G168" i="2"/>
  <c r="G279" i="2" s="1"/>
  <c r="G390" i="2" s="1"/>
  <c r="G501" i="2" s="1"/>
  <c r="G612" i="2" s="1"/>
  <c r="F168" i="2"/>
  <c r="F279" i="2" s="1"/>
  <c r="F390" i="2" s="1"/>
  <c r="F501" i="2" s="1"/>
  <c r="F612" i="2" s="1"/>
  <c r="E168" i="2"/>
  <c r="E279" i="2" s="1"/>
  <c r="E390" i="2" s="1"/>
  <c r="E501" i="2" s="1"/>
  <c r="E612" i="2" s="1"/>
  <c r="C168" i="2"/>
  <c r="C279" i="2" s="1"/>
  <c r="C390" i="2" s="1"/>
  <c r="C501" i="2" s="1"/>
  <c r="C612" i="2" s="1"/>
  <c r="B168" i="2"/>
  <c r="B279" i="2" s="1"/>
  <c r="B390" i="2" s="1"/>
  <c r="B501" i="2" s="1"/>
  <c r="B612" i="2" s="1"/>
  <c r="AF167" i="2"/>
  <c r="AF278" i="2" s="1"/>
  <c r="AF389" i="2" s="1"/>
  <c r="AF500" i="2" s="1"/>
  <c r="AF611" i="2" s="1"/>
  <c r="AE167" i="2"/>
  <c r="AE278" i="2" s="1"/>
  <c r="AE389" i="2" s="1"/>
  <c r="AE500" i="2" s="1"/>
  <c r="AE611" i="2" s="1"/>
  <c r="AD167" i="2"/>
  <c r="AD278" i="2" s="1"/>
  <c r="AD389" i="2" s="1"/>
  <c r="AD500" i="2" s="1"/>
  <c r="AD611" i="2" s="1"/>
  <c r="AC167" i="2"/>
  <c r="AC278" i="2" s="1"/>
  <c r="AC389" i="2" s="1"/>
  <c r="AC500" i="2" s="1"/>
  <c r="AC611" i="2" s="1"/>
  <c r="AB167" i="2"/>
  <c r="AB278" i="2" s="1"/>
  <c r="AB389" i="2" s="1"/>
  <c r="AB500" i="2" s="1"/>
  <c r="AB611" i="2" s="1"/>
  <c r="AA167" i="2"/>
  <c r="AA278" i="2" s="1"/>
  <c r="AA389" i="2" s="1"/>
  <c r="AA500" i="2" s="1"/>
  <c r="AA611" i="2" s="1"/>
  <c r="Z167" i="2"/>
  <c r="Z278" i="2" s="1"/>
  <c r="Z389" i="2" s="1"/>
  <c r="Z500" i="2" s="1"/>
  <c r="Z611" i="2" s="1"/>
  <c r="X167" i="2"/>
  <c r="X278" i="2" s="1"/>
  <c r="X389" i="2" s="1"/>
  <c r="X500" i="2" s="1"/>
  <c r="X611" i="2" s="1"/>
  <c r="V167" i="2"/>
  <c r="V278" i="2" s="1"/>
  <c r="V389" i="2" s="1"/>
  <c r="V500" i="2" s="1"/>
  <c r="V611" i="2" s="1"/>
  <c r="U167" i="2"/>
  <c r="U278" i="2" s="1"/>
  <c r="U389" i="2" s="1"/>
  <c r="U500" i="2" s="1"/>
  <c r="U611" i="2" s="1"/>
  <c r="T167" i="2"/>
  <c r="T278" i="2" s="1"/>
  <c r="T389" i="2" s="1"/>
  <c r="T500" i="2" s="1"/>
  <c r="T611" i="2" s="1"/>
  <c r="S167" i="2"/>
  <c r="S278" i="2" s="1"/>
  <c r="S389" i="2" s="1"/>
  <c r="S500" i="2" s="1"/>
  <c r="S611" i="2" s="1"/>
  <c r="R167" i="2"/>
  <c r="R278" i="2" s="1"/>
  <c r="R389" i="2" s="1"/>
  <c r="R500" i="2" s="1"/>
  <c r="R611" i="2" s="1"/>
  <c r="Q167" i="2"/>
  <c r="Q278" i="2" s="1"/>
  <c r="Q389" i="2" s="1"/>
  <c r="Q500" i="2" s="1"/>
  <c r="Q611" i="2" s="1"/>
  <c r="P167" i="2"/>
  <c r="P278" i="2" s="1"/>
  <c r="P389" i="2" s="1"/>
  <c r="P500" i="2" s="1"/>
  <c r="P611" i="2" s="1"/>
  <c r="O167" i="2"/>
  <c r="O278" i="2" s="1"/>
  <c r="O389" i="2" s="1"/>
  <c r="O500" i="2" s="1"/>
  <c r="O611" i="2" s="1"/>
  <c r="N167" i="2"/>
  <c r="N278" i="2" s="1"/>
  <c r="N389" i="2" s="1"/>
  <c r="N500" i="2" s="1"/>
  <c r="N611" i="2" s="1"/>
  <c r="M167" i="2"/>
  <c r="M278" i="2" s="1"/>
  <c r="M389" i="2" s="1"/>
  <c r="M500" i="2" s="1"/>
  <c r="M611" i="2" s="1"/>
  <c r="L167" i="2"/>
  <c r="L278" i="2" s="1"/>
  <c r="L389" i="2" s="1"/>
  <c r="L500" i="2" s="1"/>
  <c r="L611" i="2" s="1"/>
  <c r="J167" i="2"/>
  <c r="J278" i="2" s="1"/>
  <c r="J389" i="2" s="1"/>
  <c r="J500" i="2" s="1"/>
  <c r="J611" i="2" s="1"/>
  <c r="I167" i="2"/>
  <c r="I278" i="2" s="1"/>
  <c r="I389" i="2" s="1"/>
  <c r="I500" i="2" s="1"/>
  <c r="I611" i="2" s="1"/>
  <c r="H167" i="2"/>
  <c r="H278" i="2" s="1"/>
  <c r="H389" i="2" s="1"/>
  <c r="H500" i="2" s="1"/>
  <c r="H611" i="2" s="1"/>
  <c r="G167" i="2"/>
  <c r="G278" i="2" s="1"/>
  <c r="G389" i="2" s="1"/>
  <c r="G500" i="2" s="1"/>
  <c r="G611" i="2" s="1"/>
  <c r="F167" i="2"/>
  <c r="F278" i="2" s="1"/>
  <c r="F389" i="2" s="1"/>
  <c r="F500" i="2" s="1"/>
  <c r="F611" i="2" s="1"/>
  <c r="E167" i="2"/>
  <c r="E278" i="2" s="1"/>
  <c r="E389" i="2" s="1"/>
  <c r="E500" i="2" s="1"/>
  <c r="E611" i="2" s="1"/>
  <c r="C167" i="2"/>
  <c r="C278" i="2" s="1"/>
  <c r="C389" i="2" s="1"/>
  <c r="C500" i="2" s="1"/>
  <c r="C611" i="2" s="1"/>
  <c r="B167" i="2"/>
  <c r="B278" i="2" s="1"/>
  <c r="B389" i="2" s="1"/>
  <c r="B500" i="2" s="1"/>
  <c r="B611" i="2" s="1"/>
  <c r="AF166" i="2"/>
  <c r="AF277" i="2" s="1"/>
  <c r="AF388" i="2" s="1"/>
  <c r="AF499" i="2" s="1"/>
  <c r="AF610" i="2" s="1"/>
  <c r="AE166" i="2"/>
  <c r="AE277" i="2" s="1"/>
  <c r="AE388" i="2" s="1"/>
  <c r="AE499" i="2" s="1"/>
  <c r="AE610" i="2" s="1"/>
  <c r="AD166" i="2"/>
  <c r="AD277" i="2" s="1"/>
  <c r="AD388" i="2" s="1"/>
  <c r="AD499" i="2" s="1"/>
  <c r="AD610" i="2" s="1"/>
  <c r="AC166" i="2"/>
  <c r="AC277" i="2" s="1"/>
  <c r="AC388" i="2" s="1"/>
  <c r="AC499" i="2" s="1"/>
  <c r="AC610" i="2" s="1"/>
  <c r="AB166" i="2"/>
  <c r="AB277" i="2" s="1"/>
  <c r="AB388" i="2" s="1"/>
  <c r="AB499" i="2" s="1"/>
  <c r="AB610" i="2" s="1"/>
  <c r="AA166" i="2"/>
  <c r="AA277" i="2" s="1"/>
  <c r="AA388" i="2" s="1"/>
  <c r="AA499" i="2" s="1"/>
  <c r="AA610" i="2" s="1"/>
  <c r="Z166" i="2"/>
  <c r="Z277" i="2" s="1"/>
  <c r="Z388" i="2" s="1"/>
  <c r="Z499" i="2" s="1"/>
  <c r="Z610" i="2" s="1"/>
  <c r="X166" i="2"/>
  <c r="X277" i="2" s="1"/>
  <c r="X388" i="2" s="1"/>
  <c r="X499" i="2" s="1"/>
  <c r="X610" i="2" s="1"/>
  <c r="V166" i="2"/>
  <c r="V277" i="2" s="1"/>
  <c r="V388" i="2" s="1"/>
  <c r="V499" i="2" s="1"/>
  <c r="V610" i="2" s="1"/>
  <c r="U166" i="2"/>
  <c r="U277" i="2" s="1"/>
  <c r="U388" i="2" s="1"/>
  <c r="U499" i="2" s="1"/>
  <c r="U610" i="2" s="1"/>
  <c r="T166" i="2"/>
  <c r="T277" i="2" s="1"/>
  <c r="T388" i="2" s="1"/>
  <c r="T499" i="2" s="1"/>
  <c r="T610" i="2" s="1"/>
  <c r="S166" i="2"/>
  <c r="S277" i="2" s="1"/>
  <c r="S388" i="2" s="1"/>
  <c r="S499" i="2" s="1"/>
  <c r="S610" i="2" s="1"/>
  <c r="R166" i="2"/>
  <c r="R277" i="2" s="1"/>
  <c r="R388" i="2" s="1"/>
  <c r="R499" i="2" s="1"/>
  <c r="R610" i="2" s="1"/>
  <c r="Q166" i="2"/>
  <c r="Q277" i="2" s="1"/>
  <c r="Q388" i="2" s="1"/>
  <c r="Q499" i="2" s="1"/>
  <c r="Q610" i="2" s="1"/>
  <c r="P166" i="2"/>
  <c r="P277" i="2" s="1"/>
  <c r="P388" i="2" s="1"/>
  <c r="P499" i="2" s="1"/>
  <c r="P610" i="2" s="1"/>
  <c r="O166" i="2"/>
  <c r="O277" i="2" s="1"/>
  <c r="O388" i="2" s="1"/>
  <c r="O499" i="2" s="1"/>
  <c r="O610" i="2" s="1"/>
  <c r="N166" i="2"/>
  <c r="N277" i="2" s="1"/>
  <c r="N388" i="2" s="1"/>
  <c r="N499" i="2" s="1"/>
  <c r="N610" i="2" s="1"/>
  <c r="M166" i="2"/>
  <c r="M277" i="2" s="1"/>
  <c r="M388" i="2" s="1"/>
  <c r="M499" i="2" s="1"/>
  <c r="M610" i="2" s="1"/>
  <c r="L166" i="2"/>
  <c r="L277" i="2" s="1"/>
  <c r="L388" i="2" s="1"/>
  <c r="L499" i="2" s="1"/>
  <c r="L610" i="2" s="1"/>
  <c r="J166" i="2"/>
  <c r="J277" i="2" s="1"/>
  <c r="J388" i="2" s="1"/>
  <c r="J499" i="2" s="1"/>
  <c r="J610" i="2" s="1"/>
  <c r="I166" i="2"/>
  <c r="I277" i="2" s="1"/>
  <c r="I388" i="2" s="1"/>
  <c r="I499" i="2" s="1"/>
  <c r="I610" i="2" s="1"/>
  <c r="H166" i="2"/>
  <c r="H277" i="2" s="1"/>
  <c r="H388" i="2" s="1"/>
  <c r="H499" i="2" s="1"/>
  <c r="H610" i="2" s="1"/>
  <c r="G166" i="2"/>
  <c r="G277" i="2" s="1"/>
  <c r="G388" i="2" s="1"/>
  <c r="G499" i="2" s="1"/>
  <c r="G610" i="2" s="1"/>
  <c r="F166" i="2"/>
  <c r="F277" i="2" s="1"/>
  <c r="F388" i="2" s="1"/>
  <c r="F499" i="2" s="1"/>
  <c r="F610" i="2" s="1"/>
  <c r="E166" i="2"/>
  <c r="E277" i="2" s="1"/>
  <c r="E388" i="2" s="1"/>
  <c r="E499" i="2" s="1"/>
  <c r="E610" i="2" s="1"/>
  <c r="D166" i="2"/>
  <c r="D277" i="2" s="1"/>
  <c r="D388" i="2" s="1"/>
  <c r="D499" i="2" s="1"/>
  <c r="D610" i="2" s="1"/>
  <c r="C166" i="2"/>
  <c r="C277" i="2" s="1"/>
  <c r="C388" i="2" s="1"/>
  <c r="C499" i="2" s="1"/>
  <c r="C610" i="2" s="1"/>
  <c r="B166" i="2"/>
  <c r="B277" i="2" s="1"/>
  <c r="B388" i="2" s="1"/>
  <c r="B499" i="2" s="1"/>
  <c r="B610" i="2" s="1"/>
  <c r="AF165" i="2"/>
  <c r="AF276" i="2" s="1"/>
  <c r="AF387" i="2" s="1"/>
  <c r="AF498" i="2" s="1"/>
  <c r="AF609" i="2" s="1"/>
  <c r="AE165" i="2"/>
  <c r="AE276" i="2" s="1"/>
  <c r="AE387" i="2" s="1"/>
  <c r="AE498" i="2" s="1"/>
  <c r="AE609" i="2" s="1"/>
  <c r="AD165" i="2"/>
  <c r="AD276" i="2" s="1"/>
  <c r="AD387" i="2" s="1"/>
  <c r="AD498" i="2" s="1"/>
  <c r="AD609" i="2" s="1"/>
  <c r="AC165" i="2"/>
  <c r="AC276" i="2" s="1"/>
  <c r="AC387" i="2" s="1"/>
  <c r="AC498" i="2" s="1"/>
  <c r="AC609" i="2" s="1"/>
  <c r="AB165" i="2"/>
  <c r="AB276" i="2" s="1"/>
  <c r="AB387" i="2" s="1"/>
  <c r="AB498" i="2" s="1"/>
  <c r="AB609" i="2" s="1"/>
  <c r="AA165" i="2"/>
  <c r="AA276" i="2" s="1"/>
  <c r="AA387" i="2" s="1"/>
  <c r="AA498" i="2" s="1"/>
  <c r="AA609" i="2" s="1"/>
  <c r="Z165" i="2"/>
  <c r="Z276" i="2" s="1"/>
  <c r="Z387" i="2" s="1"/>
  <c r="Z498" i="2" s="1"/>
  <c r="Z609" i="2" s="1"/>
  <c r="X165" i="2"/>
  <c r="X276" i="2" s="1"/>
  <c r="X387" i="2" s="1"/>
  <c r="X498" i="2" s="1"/>
  <c r="X609" i="2" s="1"/>
  <c r="V165" i="2"/>
  <c r="V276" i="2" s="1"/>
  <c r="V387" i="2" s="1"/>
  <c r="V498" i="2" s="1"/>
  <c r="V609" i="2" s="1"/>
  <c r="U165" i="2"/>
  <c r="U276" i="2" s="1"/>
  <c r="U387" i="2" s="1"/>
  <c r="U498" i="2" s="1"/>
  <c r="U609" i="2" s="1"/>
  <c r="T165" i="2"/>
  <c r="T276" i="2" s="1"/>
  <c r="T387" i="2" s="1"/>
  <c r="T498" i="2" s="1"/>
  <c r="T609" i="2" s="1"/>
  <c r="S165" i="2"/>
  <c r="S276" i="2" s="1"/>
  <c r="S387" i="2" s="1"/>
  <c r="S498" i="2" s="1"/>
  <c r="S609" i="2" s="1"/>
  <c r="R165" i="2"/>
  <c r="R276" i="2" s="1"/>
  <c r="R387" i="2" s="1"/>
  <c r="R498" i="2" s="1"/>
  <c r="R609" i="2" s="1"/>
  <c r="Q165" i="2"/>
  <c r="Q276" i="2" s="1"/>
  <c r="Q387" i="2" s="1"/>
  <c r="Q498" i="2" s="1"/>
  <c r="Q609" i="2" s="1"/>
  <c r="P165" i="2"/>
  <c r="P276" i="2" s="1"/>
  <c r="P387" i="2" s="1"/>
  <c r="P498" i="2" s="1"/>
  <c r="P609" i="2" s="1"/>
  <c r="O165" i="2"/>
  <c r="O276" i="2" s="1"/>
  <c r="O387" i="2" s="1"/>
  <c r="O498" i="2" s="1"/>
  <c r="O609" i="2" s="1"/>
  <c r="N165" i="2"/>
  <c r="N276" i="2" s="1"/>
  <c r="N387" i="2" s="1"/>
  <c r="N498" i="2" s="1"/>
  <c r="N609" i="2" s="1"/>
  <c r="M165" i="2"/>
  <c r="M276" i="2" s="1"/>
  <c r="M387" i="2" s="1"/>
  <c r="M498" i="2" s="1"/>
  <c r="M609" i="2" s="1"/>
  <c r="L165" i="2"/>
  <c r="L276" i="2" s="1"/>
  <c r="L387" i="2" s="1"/>
  <c r="L498" i="2" s="1"/>
  <c r="L609" i="2" s="1"/>
  <c r="J165" i="2"/>
  <c r="J276" i="2" s="1"/>
  <c r="J387" i="2" s="1"/>
  <c r="J498" i="2" s="1"/>
  <c r="J609" i="2" s="1"/>
  <c r="I165" i="2"/>
  <c r="I276" i="2" s="1"/>
  <c r="I387" i="2" s="1"/>
  <c r="I498" i="2" s="1"/>
  <c r="I609" i="2" s="1"/>
  <c r="H165" i="2"/>
  <c r="H276" i="2" s="1"/>
  <c r="H387" i="2" s="1"/>
  <c r="H498" i="2" s="1"/>
  <c r="H609" i="2" s="1"/>
  <c r="G165" i="2"/>
  <c r="G276" i="2" s="1"/>
  <c r="G387" i="2" s="1"/>
  <c r="G498" i="2" s="1"/>
  <c r="G609" i="2" s="1"/>
  <c r="F165" i="2"/>
  <c r="F276" i="2" s="1"/>
  <c r="F387" i="2" s="1"/>
  <c r="F498" i="2" s="1"/>
  <c r="F609" i="2" s="1"/>
  <c r="E165" i="2"/>
  <c r="E276" i="2" s="1"/>
  <c r="E387" i="2" s="1"/>
  <c r="E498" i="2" s="1"/>
  <c r="E609" i="2" s="1"/>
  <c r="D165" i="2"/>
  <c r="D276" i="2" s="1"/>
  <c r="D387" i="2" s="1"/>
  <c r="D498" i="2" s="1"/>
  <c r="D609" i="2" s="1"/>
  <c r="C165" i="2"/>
  <c r="C276" i="2" s="1"/>
  <c r="C387" i="2" s="1"/>
  <c r="C498" i="2" s="1"/>
  <c r="C609" i="2" s="1"/>
  <c r="B165" i="2"/>
  <c r="B276" i="2" s="1"/>
  <c r="B387" i="2" s="1"/>
  <c r="B498" i="2" s="1"/>
  <c r="B609" i="2" s="1"/>
  <c r="AF164" i="2"/>
  <c r="AF275" i="2" s="1"/>
  <c r="AF386" i="2" s="1"/>
  <c r="AF497" i="2" s="1"/>
  <c r="AF608" i="2" s="1"/>
  <c r="AE164" i="2"/>
  <c r="AE275" i="2" s="1"/>
  <c r="AE386" i="2" s="1"/>
  <c r="AE497" i="2" s="1"/>
  <c r="AE608" i="2" s="1"/>
  <c r="AD164" i="2"/>
  <c r="AD275" i="2" s="1"/>
  <c r="AD386" i="2" s="1"/>
  <c r="AD497" i="2" s="1"/>
  <c r="AD608" i="2" s="1"/>
  <c r="AC164" i="2"/>
  <c r="AC275" i="2" s="1"/>
  <c r="AC386" i="2" s="1"/>
  <c r="AC497" i="2" s="1"/>
  <c r="AC608" i="2" s="1"/>
  <c r="AB164" i="2"/>
  <c r="AB275" i="2" s="1"/>
  <c r="AB386" i="2" s="1"/>
  <c r="AB497" i="2" s="1"/>
  <c r="AB608" i="2" s="1"/>
  <c r="AA164" i="2"/>
  <c r="AA275" i="2" s="1"/>
  <c r="AA386" i="2" s="1"/>
  <c r="AA497" i="2" s="1"/>
  <c r="AA608" i="2" s="1"/>
  <c r="Z164" i="2"/>
  <c r="Z275" i="2" s="1"/>
  <c r="Z386" i="2" s="1"/>
  <c r="Z497" i="2" s="1"/>
  <c r="Z608" i="2" s="1"/>
  <c r="X164" i="2"/>
  <c r="X275" i="2" s="1"/>
  <c r="X386" i="2" s="1"/>
  <c r="X497" i="2" s="1"/>
  <c r="X608" i="2" s="1"/>
  <c r="V164" i="2"/>
  <c r="V275" i="2" s="1"/>
  <c r="V386" i="2" s="1"/>
  <c r="V497" i="2" s="1"/>
  <c r="V608" i="2" s="1"/>
  <c r="U164" i="2"/>
  <c r="U275" i="2" s="1"/>
  <c r="U386" i="2" s="1"/>
  <c r="U497" i="2" s="1"/>
  <c r="U608" i="2" s="1"/>
  <c r="T164" i="2"/>
  <c r="T275" i="2" s="1"/>
  <c r="T386" i="2" s="1"/>
  <c r="T497" i="2" s="1"/>
  <c r="T608" i="2" s="1"/>
  <c r="S164" i="2"/>
  <c r="S275" i="2" s="1"/>
  <c r="S386" i="2" s="1"/>
  <c r="S497" i="2" s="1"/>
  <c r="S608" i="2" s="1"/>
  <c r="R164" i="2"/>
  <c r="R275" i="2" s="1"/>
  <c r="R386" i="2" s="1"/>
  <c r="R497" i="2" s="1"/>
  <c r="R608" i="2" s="1"/>
  <c r="Q164" i="2"/>
  <c r="Q275" i="2" s="1"/>
  <c r="Q386" i="2" s="1"/>
  <c r="Q497" i="2" s="1"/>
  <c r="Q608" i="2" s="1"/>
  <c r="P164" i="2"/>
  <c r="P275" i="2" s="1"/>
  <c r="P386" i="2" s="1"/>
  <c r="P497" i="2" s="1"/>
  <c r="P608" i="2" s="1"/>
  <c r="O164" i="2"/>
  <c r="O275" i="2" s="1"/>
  <c r="O386" i="2" s="1"/>
  <c r="O497" i="2" s="1"/>
  <c r="O608" i="2" s="1"/>
  <c r="N164" i="2"/>
  <c r="N275" i="2" s="1"/>
  <c r="N386" i="2" s="1"/>
  <c r="N497" i="2" s="1"/>
  <c r="N608" i="2" s="1"/>
  <c r="M164" i="2"/>
  <c r="M275" i="2" s="1"/>
  <c r="M386" i="2" s="1"/>
  <c r="M497" i="2" s="1"/>
  <c r="M608" i="2" s="1"/>
  <c r="L164" i="2"/>
  <c r="L275" i="2" s="1"/>
  <c r="L386" i="2" s="1"/>
  <c r="L497" i="2" s="1"/>
  <c r="L608" i="2" s="1"/>
  <c r="J164" i="2"/>
  <c r="J275" i="2" s="1"/>
  <c r="J386" i="2" s="1"/>
  <c r="J497" i="2" s="1"/>
  <c r="J608" i="2" s="1"/>
  <c r="I164" i="2"/>
  <c r="I275" i="2" s="1"/>
  <c r="I386" i="2" s="1"/>
  <c r="I497" i="2" s="1"/>
  <c r="I608" i="2" s="1"/>
  <c r="H164" i="2"/>
  <c r="H275" i="2" s="1"/>
  <c r="H386" i="2" s="1"/>
  <c r="H497" i="2" s="1"/>
  <c r="H608" i="2" s="1"/>
  <c r="G164" i="2"/>
  <c r="G275" i="2" s="1"/>
  <c r="G386" i="2" s="1"/>
  <c r="G497" i="2" s="1"/>
  <c r="G608" i="2" s="1"/>
  <c r="F164" i="2"/>
  <c r="F275" i="2" s="1"/>
  <c r="F386" i="2" s="1"/>
  <c r="F497" i="2" s="1"/>
  <c r="F608" i="2" s="1"/>
  <c r="E164" i="2"/>
  <c r="E275" i="2" s="1"/>
  <c r="E386" i="2" s="1"/>
  <c r="E497" i="2" s="1"/>
  <c r="E608" i="2" s="1"/>
  <c r="C164" i="2"/>
  <c r="C275" i="2" s="1"/>
  <c r="C386" i="2" s="1"/>
  <c r="C497" i="2" s="1"/>
  <c r="C608" i="2" s="1"/>
  <c r="B164" i="2"/>
  <c r="B275" i="2" s="1"/>
  <c r="B386" i="2" s="1"/>
  <c r="B497" i="2" s="1"/>
  <c r="B608" i="2" s="1"/>
  <c r="AF163" i="2"/>
  <c r="AF274" i="2" s="1"/>
  <c r="AF385" i="2" s="1"/>
  <c r="AF496" i="2" s="1"/>
  <c r="AF607" i="2" s="1"/>
  <c r="AE163" i="2"/>
  <c r="AE274" i="2" s="1"/>
  <c r="AE385" i="2" s="1"/>
  <c r="AE496" i="2" s="1"/>
  <c r="AE607" i="2" s="1"/>
  <c r="AD163" i="2"/>
  <c r="AD274" i="2" s="1"/>
  <c r="AD385" i="2" s="1"/>
  <c r="AD496" i="2" s="1"/>
  <c r="AD607" i="2" s="1"/>
  <c r="AC163" i="2"/>
  <c r="AC274" i="2" s="1"/>
  <c r="AC385" i="2" s="1"/>
  <c r="AC496" i="2" s="1"/>
  <c r="AC607" i="2" s="1"/>
  <c r="AB163" i="2"/>
  <c r="AB274" i="2" s="1"/>
  <c r="AB385" i="2" s="1"/>
  <c r="AB496" i="2" s="1"/>
  <c r="AB607" i="2" s="1"/>
  <c r="AA163" i="2"/>
  <c r="AA274" i="2" s="1"/>
  <c r="AA385" i="2" s="1"/>
  <c r="AA496" i="2" s="1"/>
  <c r="AA607" i="2" s="1"/>
  <c r="Z163" i="2"/>
  <c r="Z274" i="2" s="1"/>
  <c r="Z385" i="2" s="1"/>
  <c r="Z496" i="2" s="1"/>
  <c r="Z607" i="2" s="1"/>
  <c r="X163" i="2"/>
  <c r="X274" i="2" s="1"/>
  <c r="X385" i="2" s="1"/>
  <c r="X496" i="2" s="1"/>
  <c r="X607" i="2" s="1"/>
  <c r="V163" i="2"/>
  <c r="V274" i="2" s="1"/>
  <c r="V385" i="2" s="1"/>
  <c r="V496" i="2" s="1"/>
  <c r="V607" i="2" s="1"/>
  <c r="U163" i="2"/>
  <c r="U274" i="2" s="1"/>
  <c r="U385" i="2" s="1"/>
  <c r="U496" i="2" s="1"/>
  <c r="U607" i="2" s="1"/>
  <c r="T163" i="2"/>
  <c r="T274" i="2" s="1"/>
  <c r="T385" i="2" s="1"/>
  <c r="T496" i="2" s="1"/>
  <c r="T607" i="2" s="1"/>
  <c r="S163" i="2"/>
  <c r="S274" i="2" s="1"/>
  <c r="S385" i="2" s="1"/>
  <c r="S496" i="2" s="1"/>
  <c r="S607" i="2" s="1"/>
  <c r="R163" i="2"/>
  <c r="R274" i="2" s="1"/>
  <c r="R385" i="2" s="1"/>
  <c r="R496" i="2" s="1"/>
  <c r="R607" i="2" s="1"/>
  <c r="Q163" i="2"/>
  <c r="Q274" i="2" s="1"/>
  <c r="Q385" i="2" s="1"/>
  <c r="Q496" i="2" s="1"/>
  <c r="Q607" i="2" s="1"/>
  <c r="P163" i="2"/>
  <c r="P274" i="2" s="1"/>
  <c r="P385" i="2" s="1"/>
  <c r="P496" i="2" s="1"/>
  <c r="P607" i="2" s="1"/>
  <c r="O163" i="2"/>
  <c r="O274" i="2" s="1"/>
  <c r="O385" i="2" s="1"/>
  <c r="O496" i="2" s="1"/>
  <c r="O607" i="2" s="1"/>
  <c r="N163" i="2"/>
  <c r="N274" i="2" s="1"/>
  <c r="N385" i="2" s="1"/>
  <c r="N496" i="2" s="1"/>
  <c r="N607" i="2" s="1"/>
  <c r="M163" i="2"/>
  <c r="M274" i="2" s="1"/>
  <c r="M385" i="2" s="1"/>
  <c r="M496" i="2" s="1"/>
  <c r="M607" i="2" s="1"/>
  <c r="L163" i="2"/>
  <c r="L274" i="2" s="1"/>
  <c r="L385" i="2" s="1"/>
  <c r="L496" i="2" s="1"/>
  <c r="L607" i="2" s="1"/>
  <c r="J163" i="2"/>
  <c r="J274" i="2" s="1"/>
  <c r="J385" i="2" s="1"/>
  <c r="J496" i="2" s="1"/>
  <c r="J607" i="2" s="1"/>
  <c r="I163" i="2"/>
  <c r="I274" i="2" s="1"/>
  <c r="I385" i="2" s="1"/>
  <c r="I496" i="2" s="1"/>
  <c r="I607" i="2" s="1"/>
  <c r="H163" i="2"/>
  <c r="H274" i="2" s="1"/>
  <c r="H385" i="2" s="1"/>
  <c r="H496" i="2" s="1"/>
  <c r="H607" i="2" s="1"/>
  <c r="G163" i="2"/>
  <c r="G274" i="2" s="1"/>
  <c r="G385" i="2" s="1"/>
  <c r="G496" i="2" s="1"/>
  <c r="G607" i="2" s="1"/>
  <c r="F163" i="2"/>
  <c r="F274" i="2" s="1"/>
  <c r="F385" i="2" s="1"/>
  <c r="F496" i="2" s="1"/>
  <c r="F607" i="2" s="1"/>
  <c r="E163" i="2"/>
  <c r="E274" i="2" s="1"/>
  <c r="E385" i="2" s="1"/>
  <c r="E496" i="2" s="1"/>
  <c r="E607" i="2" s="1"/>
  <c r="C163" i="2"/>
  <c r="C274" i="2" s="1"/>
  <c r="C385" i="2" s="1"/>
  <c r="C496" i="2" s="1"/>
  <c r="C607" i="2" s="1"/>
  <c r="B163" i="2"/>
  <c r="B274" i="2" s="1"/>
  <c r="B385" i="2" s="1"/>
  <c r="B496" i="2" s="1"/>
  <c r="B607" i="2" s="1"/>
  <c r="AF162" i="2"/>
  <c r="AF273" i="2" s="1"/>
  <c r="AF384" i="2" s="1"/>
  <c r="AF495" i="2" s="1"/>
  <c r="AF606" i="2" s="1"/>
  <c r="AE162" i="2"/>
  <c r="AE273" i="2" s="1"/>
  <c r="AE384" i="2" s="1"/>
  <c r="AE495" i="2" s="1"/>
  <c r="AE606" i="2" s="1"/>
  <c r="AD162" i="2"/>
  <c r="AD273" i="2" s="1"/>
  <c r="AD384" i="2" s="1"/>
  <c r="AD495" i="2" s="1"/>
  <c r="AD606" i="2" s="1"/>
  <c r="AC162" i="2"/>
  <c r="AC273" i="2" s="1"/>
  <c r="AC384" i="2" s="1"/>
  <c r="AC495" i="2" s="1"/>
  <c r="AC606" i="2" s="1"/>
  <c r="AB162" i="2"/>
  <c r="AB273" i="2" s="1"/>
  <c r="AB384" i="2" s="1"/>
  <c r="AB495" i="2" s="1"/>
  <c r="AB606" i="2" s="1"/>
  <c r="AA162" i="2"/>
  <c r="AA273" i="2" s="1"/>
  <c r="AA384" i="2" s="1"/>
  <c r="AA495" i="2" s="1"/>
  <c r="AA606" i="2" s="1"/>
  <c r="Z162" i="2"/>
  <c r="Z273" i="2" s="1"/>
  <c r="Z384" i="2" s="1"/>
  <c r="Z495" i="2" s="1"/>
  <c r="Z606" i="2" s="1"/>
  <c r="X162" i="2"/>
  <c r="X273" i="2" s="1"/>
  <c r="X384" i="2" s="1"/>
  <c r="X495" i="2" s="1"/>
  <c r="X606" i="2" s="1"/>
  <c r="V162" i="2"/>
  <c r="V273" i="2" s="1"/>
  <c r="V384" i="2" s="1"/>
  <c r="V495" i="2" s="1"/>
  <c r="V606" i="2" s="1"/>
  <c r="U162" i="2"/>
  <c r="U273" i="2" s="1"/>
  <c r="U384" i="2" s="1"/>
  <c r="U495" i="2" s="1"/>
  <c r="U606" i="2" s="1"/>
  <c r="T162" i="2"/>
  <c r="T273" i="2" s="1"/>
  <c r="T384" i="2" s="1"/>
  <c r="T495" i="2" s="1"/>
  <c r="T606" i="2" s="1"/>
  <c r="S162" i="2"/>
  <c r="S273" i="2" s="1"/>
  <c r="S384" i="2" s="1"/>
  <c r="S495" i="2" s="1"/>
  <c r="S606" i="2" s="1"/>
  <c r="R162" i="2"/>
  <c r="R273" i="2" s="1"/>
  <c r="R384" i="2" s="1"/>
  <c r="R495" i="2" s="1"/>
  <c r="R606" i="2" s="1"/>
  <c r="Q162" i="2"/>
  <c r="Q273" i="2" s="1"/>
  <c r="Q384" i="2" s="1"/>
  <c r="Q495" i="2" s="1"/>
  <c r="Q606" i="2" s="1"/>
  <c r="P162" i="2"/>
  <c r="P273" i="2" s="1"/>
  <c r="P384" i="2" s="1"/>
  <c r="P495" i="2" s="1"/>
  <c r="P606" i="2" s="1"/>
  <c r="O162" i="2"/>
  <c r="O273" i="2" s="1"/>
  <c r="O384" i="2" s="1"/>
  <c r="O495" i="2" s="1"/>
  <c r="O606" i="2" s="1"/>
  <c r="N162" i="2"/>
  <c r="N273" i="2" s="1"/>
  <c r="N384" i="2" s="1"/>
  <c r="N495" i="2" s="1"/>
  <c r="N606" i="2" s="1"/>
  <c r="M162" i="2"/>
  <c r="M273" i="2" s="1"/>
  <c r="M384" i="2" s="1"/>
  <c r="M495" i="2" s="1"/>
  <c r="M606" i="2" s="1"/>
  <c r="L162" i="2"/>
  <c r="L273" i="2" s="1"/>
  <c r="L384" i="2" s="1"/>
  <c r="L495" i="2" s="1"/>
  <c r="L606" i="2" s="1"/>
  <c r="J162" i="2"/>
  <c r="J273" i="2" s="1"/>
  <c r="J384" i="2" s="1"/>
  <c r="J495" i="2" s="1"/>
  <c r="J606" i="2" s="1"/>
  <c r="I162" i="2"/>
  <c r="I273" i="2" s="1"/>
  <c r="I384" i="2" s="1"/>
  <c r="I495" i="2" s="1"/>
  <c r="I606" i="2" s="1"/>
  <c r="H162" i="2"/>
  <c r="H273" i="2" s="1"/>
  <c r="H384" i="2" s="1"/>
  <c r="H495" i="2" s="1"/>
  <c r="H606" i="2" s="1"/>
  <c r="G162" i="2"/>
  <c r="G273" i="2" s="1"/>
  <c r="G384" i="2" s="1"/>
  <c r="G495" i="2" s="1"/>
  <c r="G606" i="2" s="1"/>
  <c r="F162" i="2"/>
  <c r="F273" i="2" s="1"/>
  <c r="F384" i="2" s="1"/>
  <c r="F495" i="2" s="1"/>
  <c r="F606" i="2" s="1"/>
  <c r="E162" i="2"/>
  <c r="E273" i="2" s="1"/>
  <c r="E384" i="2" s="1"/>
  <c r="E495" i="2" s="1"/>
  <c r="E606" i="2" s="1"/>
  <c r="C162" i="2"/>
  <c r="C273" i="2" s="1"/>
  <c r="C384" i="2" s="1"/>
  <c r="C495" i="2" s="1"/>
  <c r="C606" i="2" s="1"/>
  <c r="B162" i="2"/>
  <c r="B273" i="2" s="1"/>
  <c r="B384" i="2" s="1"/>
  <c r="B495" i="2" s="1"/>
  <c r="B606" i="2" s="1"/>
  <c r="AF161" i="2"/>
  <c r="AF272" i="2" s="1"/>
  <c r="AF383" i="2" s="1"/>
  <c r="AF494" i="2" s="1"/>
  <c r="AF605" i="2" s="1"/>
  <c r="AE161" i="2"/>
  <c r="AE272" i="2" s="1"/>
  <c r="AE383" i="2" s="1"/>
  <c r="AE494" i="2" s="1"/>
  <c r="AE605" i="2" s="1"/>
  <c r="AD161" i="2"/>
  <c r="AD272" i="2" s="1"/>
  <c r="AD383" i="2" s="1"/>
  <c r="AD494" i="2" s="1"/>
  <c r="AD605" i="2" s="1"/>
  <c r="AC161" i="2"/>
  <c r="AC272" i="2" s="1"/>
  <c r="AC383" i="2" s="1"/>
  <c r="AC494" i="2" s="1"/>
  <c r="AC605" i="2" s="1"/>
  <c r="AB161" i="2"/>
  <c r="AB272" i="2" s="1"/>
  <c r="AB383" i="2" s="1"/>
  <c r="AB494" i="2" s="1"/>
  <c r="AB605" i="2" s="1"/>
  <c r="AA161" i="2"/>
  <c r="AA272" i="2" s="1"/>
  <c r="AA383" i="2" s="1"/>
  <c r="AA494" i="2" s="1"/>
  <c r="AA605" i="2" s="1"/>
  <c r="Z161" i="2"/>
  <c r="Z272" i="2" s="1"/>
  <c r="Z383" i="2" s="1"/>
  <c r="Z494" i="2" s="1"/>
  <c r="Z605" i="2" s="1"/>
  <c r="X161" i="2"/>
  <c r="X272" i="2" s="1"/>
  <c r="X383" i="2" s="1"/>
  <c r="X494" i="2" s="1"/>
  <c r="X605" i="2" s="1"/>
  <c r="V161" i="2"/>
  <c r="V272" i="2" s="1"/>
  <c r="V383" i="2" s="1"/>
  <c r="V494" i="2" s="1"/>
  <c r="V605" i="2" s="1"/>
  <c r="U161" i="2"/>
  <c r="U272" i="2" s="1"/>
  <c r="U383" i="2" s="1"/>
  <c r="U494" i="2" s="1"/>
  <c r="U605" i="2" s="1"/>
  <c r="T161" i="2"/>
  <c r="T272" i="2" s="1"/>
  <c r="T383" i="2" s="1"/>
  <c r="T494" i="2" s="1"/>
  <c r="T605" i="2" s="1"/>
  <c r="S161" i="2"/>
  <c r="S272" i="2" s="1"/>
  <c r="S383" i="2" s="1"/>
  <c r="S494" i="2" s="1"/>
  <c r="S605" i="2" s="1"/>
  <c r="R161" i="2"/>
  <c r="R272" i="2" s="1"/>
  <c r="R383" i="2" s="1"/>
  <c r="R494" i="2" s="1"/>
  <c r="R605" i="2" s="1"/>
  <c r="Q161" i="2"/>
  <c r="Q272" i="2" s="1"/>
  <c r="Q383" i="2" s="1"/>
  <c r="Q494" i="2" s="1"/>
  <c r="Q605" i="2" s="1"/>
  <c r="P161" i="2"/>
  <c r="P272" i="2" s="1"/>
  <c r="P383" i="2" s="1"/>
  <c r="P494" i="2" s="1"/>
  <c r="P605" i="2" s="1"/>
  <c r="O161" i="2"/>
  <c r="O272" i="2" s="1"/>
  <c r="O383" i="2" s="1"/>
  <c r="O494" i="2" s="1"/>
  <c r="O605" i="2" s="1"/>
  <c r="N161" i="2"/>
  <c r="N272" i="2" s="1"/>
  <c r="N383" i="2" s="1"/>
  <c r="N494" i="2" s="1"/>
  <c r="N605" i="2" s="1"/>
  <c r="M161" i="2"/>
  <c r="M272" i="2" s="1"/>
  <c r="M383" i="2" s="1"/>
  <c r="M494" i="2" s="1"/>
  <c r="M605" i="2" s="1"/>
  <c r="L161" i="2"/>
  <c r="L272" i="2" s="1"/>
  <c r="L383" i="2" s="1"/>
  <c r="L494" i="2" s="1"/>
  <c r="L605" i="2" s="1"/>
  <c r="J161" i="2"/>
  <c r="J272" i="2" s="1"/>
  <c r="J383" i="2" s="1"/>
  <c r="J494" i="2" s="1"/>
  <c r="J605" i="2" s="1"/>
  <c r="I161" i="2"/>
  <c r="I272" i="2" s="1"/>
  <c r="I383" i="2" s="1"/>
  <c r="I494" i="2" s="1"/>
  <c r="I605" i="2" s="1"/>
  <c r="H161" i="2"/>
  <c r="H272" i="2" s="1"/>
  <c r="H383" i="2" s="1"/>
  <c r="H494" i="2" s="1"/>
  <c r="H605" i="2" s="1"/>
  <c r="G161" i="2"/>
  <c r="G272" i="2" s="1"/>
  <c r="G383" i="2" s="1"/>
  <c r="G494" i="2" s="1"/>
  <c r="G605" i="2" s="1"/>
  <c r="F161" i="2"/>
  <c r="F272" i="2" s="1"/>
  <c r="F383" i="2" s="1"/>
  <c r="F494" i="2" s="1"/>
  <c r="F605" i="2" s="1"/>
  <c r="E161" i="2"/>
  <c r="E272" i="2" s="1"/>
  <c r="E383" i="2" s="1"/>
  <c r="E494" i="2" s="1"/>
  <c r="E605" i="2" s="1"/>
  <c r="C161" i="2"/>
  <c r="C272" i="2" s="1"/>
  <c r="C383" i="2" s="1"/>
  <c r="C494" i="2" s="1"/>
  <c r="C605" i="2" s="1"/>
  <c r="B161" i="2"/>
  <c r="B272" i="2" s="1"/>
  <c r="B383" i="2" s="1"/>
  <c r="B494" i="2" s="1"/>
  <c r="B605" i="2" s="1"/>
  <c r="AF160" i="2"/>
  <c r="AF271" i="2" s="1"/>
  <c r="AF382" i="2" s="1"/>
  <c r="AF493" i="2" s="1"/>
  <c r="AF604" i="2" s="1"/>
  <c r="AE160" i="2"/>
  <c r="AE271" i="2" s="1"/>
  <c r="AE382" i="2" s="1"/>
  <c r="AE493" i="2" s="1"/>
  <c r="AE604" i="2" s="1"/>
  <c r="AD160" i="2"/>
  <c r="AD271" i="2" s="1"/>
  <c r="AD382" i="2" s="1"/>
  <c r="AD493" i="2" s="1"/>
  <c r="AD604" i="2" s="1"/>
  <c r="AC160" i="2"/>
  <c r="AC271" i="2" s="1"/>
  <c r="AC382" i="2" s="1"/>
  <c r="AC493" i="2" s="1"/>
  <c r="AC604" i="2" s="1"/>
  <c r="AB160" i="2"/>
  <c r="AB271" i="2" s="1"/>
  <c r="AB382" i="2" s="1"/>
  <c r="AB493" i="2" s="1"/>
  <c r="AB604" i="2" s="1"/>
  <c r="AA160" i="2"/>
  <c r="AA271" i="2" s="1"/>
  <c r="AA382" i="2" s="1"/>
  <c r="AA493" i="2" s="1"/>
  <c r="AA604" i="2" s="1"/>
  <c r="Z160" i="2"/>
  <c r="Z271" i="2" s="1"/>
  <c r="Z382" i="2" s="1"/>
  <c r="Z493" i="2" s="1"/>
  <c r="Z604" i="2" s="1"/>
  <c r="X160" i="2"/>
  <c r="X271" i="2" s="1"/>
  <c r="X382" i="2" s="1"/>
  <c r="X493" i="2" s="1"/>
  <c r="X604" i="2" s="1"/>
  <c r="V160" i="2"/>
  <c r="V271" i="2" s="1"/>
  <c r="V382" i="2" s="1"/>
  <c r="V493" i="2" s="1"/>
  <c r="V604" i="2" s="1"/>
  <c r="U160" i="2"/>
  <c r="U271" i="2" s="1"/>
  <c r="U382" i="2" s="1"/>
  <c r="U493" i="2" s="1"/>
  <c r="U604" i="2" s="1"/>
  <c r="T160" i="2"/>
  <c r="T271" i="2" s="1"/>
  <c r="T382" i="2" s="1"/>
  <c r="T493" i="2" s="1"/>
  <c r="T604" i="2" s="1"/>
  <c r="S160" i="2"/>
  <c r="S271" i="2" s="1"/>
  <c r="S382" i="2" s="1"/>
  <c r="S493" i="2" s="1"/>
  <c r="S604" i="2" s="1"/>
  <c r="R160" i="2"/>
  <c r="R271" i="2" s="1"/>
  <c r="R382" i="2" s="1"/>
  <c r="R493" i="2" s="1"/>
  <c r="R604" i="2" s="1"/>
  <c r="Q160" i="2"/>
  <c r="Q271" i="2" s="1"/>
  <c r="Q382" i="2" s="1"/>
  <c r="Q493" i="2" s="1"/>
  <c r="Q604" i="2" s="1"/>
  <c r="P160" i="2"/>
  <c r="P271" i="2" s="1"/>
  <c r="P382" i="2" s="1"/>
  <c r="P493" i="2" s="1"/>
  <c r="P604" i="2" s="1"/>
  <c r="O160" i="2"/>
  <c r="O271" i="2" s="1"/>
  <c r="O382" i="2" s="1"/>
  <c r="O493" i="2" s="1"/>
  <c r="O604" i="2" s="1"/>
  <c r="N160" i="2"/>
  <c r="N271" i="2" s="1"/>
  <c r="N382" i="2" s="1"/>
  <c r="N493" i="2" s="1"/>
  <c r="N604" i="2" s="1"/>
  <c r="M160" i="2"/>
  <c r="M271" i="2" s="1"/>
  <c r="M382" i="2" s="1"/>
  <c r="M493" i="2" s="1"/>
  <c r="M604" i="2" s="1"/>
  <c r="L160" i="2"/>
  <c r="L271" i="2" s="1"/>
  <c r="L382" i="2" s="1"/>
  <c r="L493" i="2" s="1"/>
  <c r="L604" i="2" s="1"/>
  <c r="J160" i="2"/>
  <c r="J271" i="2" s="1"/>
  <c r="J382" i="2" s="1"/>
  <c r="J493" i="2" s="1"/>
  <c r="J604" i="2" s="1"/>
  <c r="I160" i="2"/>
  <c r="I271" i="2" s="1"/>
  <c r="I382" i="2" s="1"/>
  <c r="I493" i="2" s="1"/>
  <c r="I604" i="2" s="1"/>
  <c r="H160" i="2"/>
  <c r="H271" i="2" s="1"/>
  <c r="H382" i="2" s="1"/>
  <c r="H493" i="2" s="1"/>
  <c r="H604" i="2" s="1"/>
  <c r="G160" i="2"/>
  <c r="G271" i="2" s="1"/>
  <c r="G382" i="2" s="1"/>
  <c r="G493" i="2" s="1"/>
  <c r="G604" i="2" s="1"/>
  <c r="F160" i="2"/>
  <c r="F271" i="2" s="1"/>
  <c r="F382" i="2" s="1"/>
  <c r="F493" i="2" s="1"/>
  <c r="F604" i="2" s="1"/>
  <c r="E160" i="2"/>
  <c r="E271" i="2" s="1"/>
  <c r="E382" i="2" s="1"/>
  <c r="E493" i="2" s="1"/>
  <c r="E604" i="2" s="1"/>
  <c r="C160" i="2"/>
  <c r="C271" i="2" s="1"/>
  <c r="C382" i="2" s="1"/>
  <c r="C493" i="2" s="1"/>
  <c r="C604" i="2" s="1"/>
  <c r="B160" i="2"/>
  <c r="B271" i="2" s="1"/>
  <c r="B382" i="2" s="1"/>
  <c r="B493" i="2" s="1"/>
  <c r="B604" i="2" s="1"/>
  <c r="AF159" i="2"/>
  <c r="AF270" i="2" s="1"/>
  <c r="AF381" i="2" s="1"/>
  <c r="AF492" i="2" s="1"/>
  <c r="AF603" i="2" s="1"/>
  <c r="AE159" i="2"/>
  <c r="AE270" i="2" s="1"/>
  <c r="AE381" i="2" s="1"/>
  <c r="AE492" i="2" s="1"/>
  <c r="AE603" i="2" s="1"/>
  <c r="AD159" i="2"/>
  <c r="AD270" i="2" s="1"/>
  <c r="AD381" i="2" s="1"/>
  <c r="AD492" i="2" s="1"/>
  <c r="AD603" i="2" s="1"/>
  <c r="AC159" i="2"/>
  <c r="AC270" i="2" s="1"/>
  <c r="AC381" i="2" s="1"/>
  <c r="AC492" i="2" s="1"/>
  <c r="AC603" i="2" s="1"/>
  <c r="AB159" i="2"/>
  <c r="AB270" i="2" s="1"/>
  <c r="AB381" i="2" s="1"/>
  <c r="AB492" i="2" s="1"/>
  <c r="AB603" i="2" s="1"/>
  <c r="AA159" i="2"/>
  <c r="AA270" i="2" s="1"/>
  <c r="AA381" i="2" s="1"/>
  <c r="AA492" i="2" s="1"/>
  <c r="AA603" i="2" s="1"/>
  <c r="Z159" i="2"/>
  <c r="Z270" i="2" s="1"/>
  <c r="Z381" i="2" s="1"/>
  <c r="Z492" i="2" s="1"/>
  <c r="Z603" i="2" s="1"/>
  <c r="X159" i="2"/>
  <c r="X270" i="2" s="1"/>
  <c r="X381" i="2" s="1"/>
  <c r="X492" i="2" s="1"/>
  <c r="X603" i="2" s="1"/>
  <c r="V159" i="2"/>
  <c r="V270" i="2" s="1"/>
  <c r="V381" i="2" s="1"/>
  <c r="V492" i="2" s="1"/>
  <c r="V603" i="2" s="1"/>
  <c r="U159" i="2"/>
  <c r="U270" i="2" s="1"/>
  <c r="U381" i="2" s="1"/>
  <c r="U492" i="2" s="1"/>
  <c r="U603" i="2" s="1"/>
  <c r="T159" i="2"/>
  <c r="T270" i="2" s="1"/>
  <c r="T381" i="2" s="1"/>
  <c r="T492" i="2" s="1"/>
  <c r="T603" i="2" s="1"/>
  <c r="S159" i="2"/>
  <c r="S270" i="2" s="1"/>
  <c r="S381" i="2" s="1"/>
  <c r="S492" i="2" s="1"/>
  <c r="S603" i="2" s="1"/>
  <c r="R159" i="2"/>
  <c r="R270" i="2" s="1"/>
  <c r="R381" i="2" s="1"/>
  <c r="R492" i="2" s="1"/>
  <c r="R603" i="2" s="1"/>
  <c r="Q159" i="2"/>
  <c r="Q270" i="2" s="1"/>
  <c r="Q381" i="2" s="1"/>
  <c r="Q492" i="2" s="1"/>
  <c r="Q603" i="2" s="1"/>
  <c r="P159" i="2"/>
  <c r="P270" i="2" s="1"/>
  <c r="P381" i="2" s="1"/>
  <c r="P492" i="2" s="1"/>
  <c r="P603" i="2" s="1"/>
  <c r="O159" i="2"/>
  <c r="O270" i="2" s="1"/>
  <c r="O381" i="2" s="1"/>
  <c r="O492" i="2" s="1"/>
  <c r="O603" i="2" s="1"/>
  <c r="N159" i="2"/>
  <c r="N270" i="2" s="1"/>
  <c r="N381" i="2" s="1"/>
  <c r="N492" i="2" s="1"/>
  <c r="N603" i="2" s="1"/>
  <c r="M159" i="2"/>
  <c r="M270" i="2" s="1"/>
  <c r="M381" i="2" s="1"/>
  <c r="M492" i="2" s="1"/>
  <c r="M603" i="2" s="1"/>
  <c r="L159" i="2"/>
  <c r="L270" i="2" s="1"/>
  <c r="L381" i="2" s="1"/>
  <c r="L492" i="2" s="1"/>
  <c r="L603" i="2" s="1"/>
  <c r="J159" i="2"/>
  <c r="J270" i="2" s="1"/>
  <c r="J381" i="2" s="1"/>
  <c r="J492" i="2" s="1"/>
  <c r="J603" i="2" s="1"/>
  <c r="I159" i="2"/>
  <c r="I270" i="2" s="1"/>
  <c r="I381" i="2" s="1"/>
  <c r="I492" i="2" s="1"/>
  <c r="I603" i="2" s="1"/>
  <c r="H159" i="2"/>
  <c r="H270" i="2" s="1"/>
  <c r="H381" i="2" s="1"/>
  <c r="H492" i="2" s="1"/>
  <c r="H603" i="2" s="1"/>
  <c r="G159" i="2"/>
  <c r="G270" i="2" s="1"/>
  <c r="G381" i="2" s="1"/>
  <c r="G492" i="2" s="1"/>
  <c r="G603" i="2" s="1"/>
  <c r="F159" i="2"/>
  <c r="F270" i="2" s="1"/>
  <c r="F381" i="2" s="1"/>
  <c r="F492" i="2" s="1"/>
  <c r="F603" i="2" s="1"/>
  <c r="E159" i="2"/>
  <c r="E270" i="2" s="1"/>
  <c r="E381" i="2" s="1"/>
  <c r="E492" i="2" s="1"/>
  <c r="E603" i="2" s="1"/>
  <c r="C159" i="2"/>
  <c r="C270" i="2" s="1"/>
  <c r="C381" i="2" s="1"/>
  <c r="C492" i="2" s="1"/>
  <c r="C603" i="2" s="1"/>
  <c r="B159" i="2"/>
  <c r="B270" i="2" s="1"/>
  <c r="B381" i="2" s="1"/>
  <c r="B492" i="2" s="1"/>
  <c r="B603" i="2" s="1"/>
  <c r="AF158" i="2"/>
  <c r="AF269" i="2" s="1"/>
  <c r="AF380" i="2" s="1"/>
  <c r="AF491" i="2" s="1"/>
  <c r="AF602" i="2" s="1"/>
  <c r="AE158" i="2"/>
  <c r="AE269" i="2" s="1"/>
  <c r="AE380" i="2" s="1"/>
  <c r="AE491" i="2" s="1"/>
  <c r="AE602" i="2" s="1"/>
  <c r="AD158" i="2"/>
  <c r="AD269" i="2" s="1"/>
  <c r="AD380" i="2" s="1"/>
  <c r="AD491" i="2" s="1"/>
  <c r="AD602" i="2" s="1"/>
  <c r="AC158" i="2"/>
  <c r="AC269" i="2" s="1"/>
  <c r="AC380" i="2" s="1"/>
  <c r="AC491" i="2" s="1"/>
  <c r="AC602" i="2" s="1"/>
  <c r="AB158" i="2"/>
  <c r="AB269" i="2" s="1"/>
  <c r="AB380" i="2" s="1"/>
  <c r="AB491" i="2" s="1"/>
  <c r="AB602" i="2" s="1"/>
  <c r="AA158" i="2"/>
  <c r="AA269" i="2" s="1"/>
  <c r="AA380" i="2" s="1"/>
  <c r="AA491" i="2" s="1"/>
  <c r="AA602" i="2" s="1"/>
  <c r="Z158" i="2"/>
  <c r="Z269" i="2" s="1"/>
  <c r="Z380" i="2" s="1"/>
  <c r="Z491" i="2" s="1"/>
  <c r="Z602" i="2" s="1"/>
  <c r="X158" i="2"/>
  <c r="X269" i="2" s="1"/>
  <c r="X380" i="2" s="1"/>
  <c r="X491" i="2" s="1"/>
  <c r="X602" i="2" s="1"/>
  <c r="V158" i="2"/>
  <c r="V269" i="2" s="1"/>
  <c r="V380" i="2" s="1"/>
  <c r="V491" i="2" s="1"/>
  <c r="V602" i="2" s="1"/>
  <c r="U158" i="2"/>
  <c r="U269" i="2" s="1"/>
  <c r="U380" i="2" s="1"/>
  <c r="U491" i="2" s="1"/>
  <c r="U602" i="2" s="1"/>
  <c r="T158" i="2"/>
  <c r="T269" i="2" s="1"/>
  <c r="T380" i="2" s="1"/>
  <c r="T491" i="2" s="1"/>
  <c r="T602" i="2" s="1"/>
  <c r="S158" i="2"/>
  <c r="S269" i="2" s="1"/>
  <c r="S380" i="2" s="1"/>
  <c r="S491" i="2" s="1"/>
  <c r="S602" i="2" s="1"/>
  <c r="R158" i="2"/>
  <c r="R269" i="2" s="1"/>
  <c r="R380" i="2" s="1"/>
  <c r="R491" i="2" s="1"/>
  <c r="R602" i="2" s="1"/>
  <c r="Q158" i="2"/>
  <c r="Q269" i="2" s="1"/>
  <c r="Q380" i="2" s="1"/>
  <c r="Q491" i="2" s="1"/>
  <c r="Q602" i="2" s="1"/>
  <c r="P158" i="2"/>
  <c r="P269" i="2" s="1"/>
  <c r="P380" i="2" s="1"/>
  <c r="P491" i="2" s="1"/>
  <c r="P602" i="2" s="1"/>
  <c r="O158" i="2"/>
  <c r="O269" i="2" s="1"/>
  <c r="O380" i="2" s="1"/>
  <c r="O491" i="2" s="1"/>
  <c r="O602" i="2" s="1"/>
  <c r="N158" i="2"/>
  <c r="N269" i="2" s="1"/>
  <c r="N380" i="2" s="1"/>
  <c r="N491" i="2" s="1"/>
  <c r="N602" i="2" s="1"/>
  <c r="M158" i="2"/>
  <c r="M269" i="2" s="1"/>
  <c r="M380" i="2" s="1"/>
  <c r="M491" i="2" s="1"/>
  <c r="M602" i="2" s="1"/>
  <c r="L158" i="2"/>
  <c r="L269" i="2" s="1"/>
  <c r="L380" i="2" s="1"/>
  <c r="L491" i="2" s="1"/>
  <c r="L602" i="2" s="1"/>
  <c r="J158" i="2"/>
  <c r="J269" i="2" s="1"/>
  <c r="J380" i="2" s="1"/>
  <c r="J491" i="2" s="1"/>
  <c r="J602" i="2" s="1"/>
  <c r="I158" i="2"/>
  <c r="I269" i="2" s="1"/>
  <c r="I380" i="2" s="1"/>
  <c r="I491" i="2" s="1"/>
  <c r="I602" i="2" s="1"/>
  <c r="H158" i="2"/>
  <c r="H269" i="2" s="1"/>
  <c r="H380" i="2" s="1"/>
  <c r="H491" i="2" s="1"/>
  <c r="H602" i="2" s="1"/>
  <c r="G158" i="2"/>
  <c r="G269" i="2" s="1"/>
  <c r="G380" i="2" s="1"/>
  <c r="G491" i="2" s="1"/>
  <c r="G602" i="2" s="1"/>
  <c r="F158" i="2"/>
  <c r="F269" i="2" s="1"/>
  <c r="F380" i="2" s="1"/>
  <c r="F491" i="2" s="1"/>
  <c r="F602" i="2" s="1"/>
  <c r="E158" i="2"/>
  <c r="E269" i="2" s="1"/>
  <c r="E380" i="2" s="1"/>
  <c r="E491" i="2" s="1"/>
  <c r="E602" i="2" s="1"/>
  <c r="C158" i="2"/>
  <c r="C269" i="2" s="1"/>
  <c r="C380" i="2" s="1"/>
  <c r="C491" i="2" s="1"/>
  <c r="C602" i="2" s="1"/>
  <c r="B158" i="2"/>
  <c r="B269" i="2" s="1"/>
  <c r="B380" i="2" s="1"/>
  <c r="B491" i="2" s="1"/>
  <c r="B602" i="2" s="1"/>
  <c r="AF157" i="2"/>
  <c r="AF268" i="2" s="1"/>
  <c r="AF379" i="2" s="1"/>
  <c r="AF490" i="2" s="1"/>
  <c r="AF601" i="2" s="1"/>
  <c r="AE157" i="2"/>
  <c r="AE268" i="2" s="1"/>
  <c r="AE379" i="2" s="1"/>
  <c r="AE490" i="2" s="1"/>
  <c r="AE601" i="2" s="1"/>
  <c r="AD157" i="2"/>
  <c r="AD268" i="2" s="1"/>
  <c r="AD379" i="2" s="1"/>
  <c r="AD490" i="2" s="1"/>
  <c r="AD601" i="2" s="1"/>
  <c r="AC157" i="2"/>
  <c r="AC268" i="2" s="1"/>
  <c r="AC379" i="2" s="1"/>
  <c r="AC490" i="2" s="1"/>
  <c r="AC601" i="2" s="1"/>
  <c r="AB157" i="2"/>
  <c r="AB268" i="2" s="1"/>
  <c r="AB379" i="2" s="1"/>
  <c r="AB490" i="2" s="1"/>
  <c r="AB601" i="2" s="1"/>
  <c r="AA157" i="2"/>
  <c r="AA268" i="2" s="1"/>
  <c r="AA379" i="2" s="1"/>
  <c r="AA490" i="2" s="1"/>
  <c r="AA601" i="2" s="1"/>
  <c r="Z157" i="2"/>
  <c r="Z268" i="2" s="1"/>
  <c r="Z379" i="2" s="1"/>
  <c r="Z490" i="2" s="1"/>
  <c r="Z601" i="2" s="1"/>
  <c r="X157" i="2"/>
  <c r="X268" i="2" s="1"/>
  <c r="X379" i="2" s="1"/>
  <c r="X490" i="2" s="1"/>
  <c r="X601" i="2" s="1"/>
  <c r="V157" i="2"/>
  <c r="V268" i="2" s="1"/>
  <c r="V379" i="2" s="1"/>
  <c r="V490" i="2" s="1"/>
  <c r="V601" i="2" s="1"/>
  <c r="U157" i="2"/>
  <c r="U268" i="2" s="1"/>
  <c r="U379" i="2" s="1"/>
  <c r="U490" i="2" s="1"/>
  <c r="U601" i="2" s="1"/>
  <c r="T157" i="2"/>
  <c r="T268" i="2" s="1"/>
  <c r="T379" i="2" s="1"/>
  <c r="T490" i="2" s="1"/>
  <c r="T601" i="2" s="1"/>
  <c r="S157" i="2"/>
  <c r="S268" i="2" s="1"/>
  <c r="S379" i="2" s="1"/>
  <c r="S490" i="2" s="1"/>
  <c r="S601" i="2" s="1"/>
  <c r="R157" i="2"/>
  <c r="R268" i="2" s="1"/>
  <c r="R379" i="2" s="1"/>
  <c r="R490" i="2" s="1"/>
  <c r="R601" i="2" s="1"/>
  <c r="Q157" i="2"/>
  <c r="Q268" i="2" s="1"/>
  <c r="Q379" i="2" s="1"/>
  <c r="Q490" i="2" s="1"/>
  <c r="Q601" i="2" s="1"/>
  <c r="P157" i="2"/>
  <c r="P268" i="2" s="1"/>
  <c r="P379" i="2" s="1"/>
  <c r="P490" i="2" s="1"/>
  <c r="P601" i="2" s="1"/>
  <c r="O157" i="2"/>
  <c r="O268" i="2" s="1"/>
  <c r="O379" i="2" s="1"/>
  <c r="O490" i="2" s="1"/>
  <c r="O601" i="2" s="1"/>
  <c r="N157" i="2"/>
  <c r="N268" i="2" s="1"/>
  <c r="N379" i="2" s="1"/>
  <c r="N490" i="2" s="1"/>
  <c r="N601" i="2" s="1"/>
  <c r="M157" i="2"/>
  <c r="M268" i="2" s="1"/>
  <c r="M379" i="2" s="1"/>
  <c r="M490" i="2" s="1"/>
  <c r="M601" i="2" s="1"/>
  <c r="L157" i="2"/>
  <c r="L268" i="2" s="1"/>
  <c r="L379" i="2" s="1"/>
  <c r="L490" i="2" s="1"/>
  <c r="L601" i="2" s="1"/>
  <c r="J157" i="2"/>
  <c r="J268" i="2" s="1"/>
  <c r="J379" i="2" s="1"/>
  <c r="J490" i="2" s="1"/>
  <c r="J601" i="2" s="1"/>
  <c r="I157" i="2"/>
  <c r="I268" i="2" s="1"/>
  <c r="I379" i="2" s="1"/>
  <c r="I490" i="2" s="1"/>
  <c r="I601" i="2" s="1"/>
  <c r="H157" i="2"/>
  <c r="H268" i="2" s="1"/>
  <c r="H379" i="2" s="1"/>
  <c r="H490" i="2" s="1"/>
  <c r="H601" i="2" s="1"/>
  <c r="G157" i="2"/>
  <c r="G268" i="2" s="1"/>
  <c r="G379" i="2" s="1"/>
  <c r="G490" i="2" s="1"/>
  <c r="G601" i="2" s="1"/>
  <c r="F157" i="2"/>
  <c r="F268" i="2" s="1"/>
  <c r="F379" i="2" s="1"/>
  <c r="F490" i="2" s="1"/>
  <c r="F601" i="2" s="1"/>
  <c r="E157" i="2"/>
  <c r="E268" i="2" s="1"/>
  <c r="E379" i="2" s="1"/>
  <c r="E490" i="2" s="1"/>
  <c r="E601" i="2" s="1"/>
  <c r="C157" i="2"/>
  <c r="C268" i="2" s="1"/>
  <c r="C379" i="2" s="1"/>
  <c r="C490" i="2" s="1"/>
  <c r="C601" i="2" s="1"/>
  <c r="B157" i="2"/>
  <c r="B268" i="2" s="1"/>
  <c r="B379" i="2" s="1"/>
  <c r="B490" i="2" s="1"/>
  <c r="B601" i="2" s="1"/>
  <c r="AF156" i="2"/>
  <c r="AF267" i="2" s="1"/>
  <c r="AF378" i="2" s="1"/>
  <c r="AF489" i="2" s="1"/>
  <c r="AF600" i="2" s="1"/>
  <c r="AE156" i="2"/>
  <c r="AE267" i="2" s="1"/>
  <c r="AE378" i="2" s="1"/>
  <c r="AE489" i="2" s="1"/>
  <c r="AE600" i="2" s="1"/>
  <c r="AD156" i="2"/>
  <c r="AD267" i="2" s="1"/>
  <c r="AD378" i="2" s="1"/>
  <c r="AD489" i="2" s="1"/>
  <c r="AD600" i="2" s="1"/>
  <c r="AC156" i="2"/>
  <c r="AC267" i="2" s="1"/>
  <c r="AC378" i="2" s="1"/>
  <c r="AC489" i="2" s="1"/>
  <c r="AC600" i="2" s="1"/>
  <c r="AB156" i="2"/>
  <c r="AB267" i="2" s="1"/>
  <c r="AB378" i="2" s="1"/>
  <c r="AB489" i="2" s="1"/>
  <c r="AB600" i="2" s="1"/>
  <c r="AA156" i="2"/>
  <c r="AA267" i="2" s="1"/>
  <c r="AA378" i="2" s="1"/>
  <c r="AA489" i="2" s="1"/>
  <c r="AA600" i="2" s="1"/>
  <c r="Z156" i="2"/>
  <c r="Z267" i="2" s="1"/>
  <c r="Z378" i="2" s="1"/>
  <c r="Z489" i="2" s="1"/>
  <c r="Z600" i="2" s="1"/>
  <c r="X156" i="2"/>
  <c r="X267" i="2" s="1"/>
  <c r="X378" i="2" s="1"/>
  <c r="X489" i="2" s="1"/>
  <c r="X600" i="2" s="1"/>
  <c r="V156" i="2"/>
  <c r="V267" i="2" s="1"/>
  <c r="V378" i="2" s="1"/>
  <c r="V489" i="2" s="1"/>
  <c r="V600" i="2" s="1"/>
  <c r="U156" i="2"/>
  <c r="U267" i="2" s="1"/>
  <c r="U378" i="2" s="1"/>
  <c r="U489" i="2" s="1"/>
  <c r="U600" i="2" s="1"/>
  <c r="T156" i="2"/>
  <c r="T267" i="2" s="1"/>
  <c r="T378" i="2" s="1"/>
  <c r="T489" i="2" s="1"/>
  <c r="T600" i="2" s="1"/>
  <c r="S156" i="2"/>
  <c r="S267" i="2" s="1"/>
  <c r="S378" i="2" s="1"/>
  <c r="S489" i="2" s="1"/>
  <c r="S600" i="2" s="1"/>
  <c r="R156" i="2"/>
  <c r="R267" i="2" s="1"/>
  <c r="R378" i="2" s="1"/>
  <c r="R489" i="2" s="1"/>
  <c r="R600" i="2" s="1"/>
  <c r="Q156" i="2"/>
  <c r="Q267" i="2" s="1"/>
  <c r="Q378" i="2" s="1"/>
  <c r="Q489" i="2" s="1"/>
  <c r="Q600" i="2" s="1"/>
  <c r="P156" i="2"/>
  <c r="P267" i="2" s="1"/>
  <c r="P378" i="2" s="1"/>
  <c r="P489" i="2" s="1"/>
  <c r="P600" i="2" s="1"/>
  <c r="O156" i="2"/>
  <c r="O267" i="2" s="1"/>
  <c r="O378" i="2" s="1"/>
  <c r="O489" i="2" s="1"/>
  <c r="O600" i="2" s="1"/>
  <c r="N156" i="2"/>
  <c r="N267" i="2" s="1"/>
  <c r="N378" i="2" s="1"/>
  <c r="N489" i="2" s="1"/>
  <c r="N600" i="2" s="1"/>
  <c r="M156" i="2"/>
  <c r="M267" i="2" s="1"/>
  <c r="M378" i="2" s="1"/>
  <c r="M489" i="2" s="1"/>
  <c r="M600" i="2" s="1"/>
  <c r="L156" i="2"/>
  <c r="L267" i="2" s="1"/>
  <c r="L378" i="2" s="1"/>
  <c r="L489" i="2" s="1"/>
  <c r="L600" i="2" s="1"/>
  <c r="J156" i="2"/>
  <c r="J267" i="2" s="1"/>
  <c r="J378" i="2" s="1"/>
  <c r="J489" i="2" s="1"/>
  <c r="J600" i="2" s="1"/>
  <c r="I156" i="2"/>
  <c r="I267" i="2" s="1"/>
  <c r="I378" i="2" s="1"/>
  <c r="I489" i="2" s="1"/>
  <c r="I600" i="2" s="1"/>
  <c r="H156" i="2"/>
  <c r="H267" i="2" s="1"/>
  <c r="H378" i="2" s="1"/>
  <c r="H489" i="2" s="1"/>
  <c r="H600" i="2" s="1"/>
  <c r="G156" i="2"/>
  <c r="G267" i="2" s="1"/>
  <c r="G378" i="2" s="1"/>
  <c r="G489" i="2" s="1"/>
  <c r="G600" i="2" s="1"/>
  <c r="F156" i="2"/>
  <c r="F267" i="2" s="1"/>
  <c r="F378" i="2" s="1"/>
  <c r="F489" i="2" s="1"/>
  <c r="F600" i="2" s="1"/>
  <c r="E156" i="2"/>
  <c r="E267" i="2" s="1"/>
  <c r="E378" i="2" s="1"/>
  <c r="E489" i="2" s="1"/>
  <c r="E600" i="2" s="1"/>
  <c r="C156" i="2"/>
  <c r="C267" i="2" s="1"/>
  <c r="C378" i="2" s="1"/>
  <c r="C489" i="2" s="1"/>
  <c r="C600" i="2" s="1"/>
  <c r="B156" i="2"/>
  <c r="B267" i="2" s="1"/>
  <c r="B378" i="2" s="1"/>
  <c r="B489" i="2" s="1"/>
  <c r="B600" i="2" s="1"/>
  <c r="AF155" i="2"/>
  <c r="AF266" i="2" s="1"/>
  <c r="AF377" i="2" s="1"/>
  <c r="AF488" i="2" s="1"/>
  <c r="AF599" i="2" s="1"/>
  <c r="AE155" i="2"/>
  <c r="AE266" i="2" s="1"/>
  <c r="AE377" i="2" s="1"/>
  <c r="AE488" i="2" s="1"/>
  <c r="AE599" i="2" s="1"/>
  <c r="AD155" i="2"/>
  <c r="AD266" i="2" s="1"/>
  <c r="AD377" i="2" s="1"/>
  <c r="AD488" i="2" s="1"/>
  <c r="AD599" i="2" s="1"/>
  <c r="AC155" i="2"/>
  <c r="AC266" i="2" s="1"/>
  <c r="AC377" i="2" s="1"/>
  <c r="AC488" i="2" s="1"/>
  <c r="AC599" i="2" s="1"/>
  <c r="AB155" i="2"/>
  <c r="AB266" i="2" s="1"/>
  <c r="AB377" i="2" s="1"/>
  <c r="AB488" i="2" s="1"/>
  <c r="AB599" i="2" s="1"/>
  <c r="AA155" i="2"/>
  <c r="AA266" i="2" s="1"/>
  <c r="AA377" i="2" s="1"/>
  <c r="AA488" i="2" s="1"/>
  <c r="AA599" i="2" s="1"/>
  <c r="Z155" i="2"/>
  <c r="Z266" i="2" s="1"/>
  <c r="Z377" i="2" s="1"/>
  <c r="Z488" i="2" s="1"/>
  <c r="Z599" i="2" s="1"/>
  <c r="X155" i="2"/>
  <c r="X266" i="2" s="1"/>
  <c r="X377" i="2" s="1"/>
  <c r="X488" i="2" s="1"/>
  <c r="X599" i="2" s="1"/>
  <c r="V155" i="2"/>
  <c r="V266" i="2" s="1"/>
  <c r="V377" i="2" s="1"/>
  <c r="V488" i="2" s="1"/>
  <c r="V599" i="2" s="1"/>
  <c r="U155" i="2"/>
  <c r="U266" i="2" s="1"/>
  <c r="U377" i="2" s="1"/>
  <c r="U488" i="2" s="1"/>
  <c r="U599" i="2" s="1"/>
  <c r="T155" i="2"/>
  <c r="T266" i="2" s="1"/>
  <c r="T377" i="2" s="1"/>
  <c r="T488" i="2" s="1"/>
  <c r="T599" i="2" s="1"/>
  <c r="S155" i="2"/>
  <c r="S266" i="2" s="1"/>
  <c r="S377" i="2" s="1"/>
  <c r="S488" i="2" s="1"/>
  <c r="S599" i="2" s="1"/>
  <c r="R155" i="2"/>
  <c r="R266" i="2" s="1"/>
  <c r="R377" i="2" s="1"/>
  <c r="R488" i="2" s="1"/>
  <c r="R599" i="2" s="1"/>
  <c r="Q155" i="2"/>
  <c r="Q266" i="2" s="1"/>
  <c r="Q377" i="2" s="1"/>
  <c r="Q488" i="2" s="1"/>
  <c r="Q599" i="2" s="1"/>
  <c r="P155" i="2"/>
  <c r="P266" i="2" s="1"/>
  <c r="P377" i="2" s="1"/>
  <c r="P488" i="2" s="1"/>
  <c r="P599" i="2" s="1"/>
  <c r="O155" i="2"/>
  <c r="O266" i="2" s="1"/>
  <c r="O377" i="2" s="1"/>
  <c r="O488" i="2" s="1"/>
  <c r="O599" i="2" s="1"/>
  <c r="N155" i="2"/>
  <c r="N266" i="2" s="1"/>
  <c r="N377" i="2" s="1"/>
  <c r="N488" i="2" s="1"/>
  <c r="N599" i="2" s="1"/>
  <c r="M155" i="2"/>
  <c r="M266" i="2" s="1"/>
  <c r="M377" i="2" s="1"/>
  <c r="M488" i="2" s="1"/>
  <c r="M599" i="2" s="1"/>
  <c r="L155" i="2"/>
  <c r="L266" i="2" s="1"/>
  <c r="L377" i="2" s="1"/>
  <c r="L488" i="2" s="1"/>
  <c r="L599" i="2" s="1"/>
  <c r="J155" i="2"/>
  <c r="J266" i="2" s="1"/>
  <c r="J377" i="2" s="1"/>
  <c r="J488" i="2" s="1"/>
  <c r="J599" i="2" s="1"/>
  <c r="I155" i="2"/>
  <c r="I266" i="2" s="1"/>
  <c r="I377" i="2" s="1"/>
  <c r="I488" i="2" s="1"/>
  <c r="I599" i="2" s="1"/>
  <c r="H155" i="2"/>
  <c r="H266" i="2" s="1"/>
  <c r="H377" i="2" s="1"/>
  <c r="H488" i="2" s="1"/>
  <c r="H599" i="2" s="1"/>
  <c r="G155" i="2"/>
  <c r="G266" i="2" s="1"/>
  <c r="G377" i="2" s="1"/>
  <c r="G488" i="2" s="1"/>
  <c r="G599" i="2" s="1"/>
  <c r="F155" i="2"/>
  <c r="F266" i="2" s="1"/>
  <c r="F377" i="2" s="1"/>
  <c r="F488" i="2" s="1"/>
  <c r="F599" i="2" s="1"/>
  <c r="E155" i="2"/>
  <c r="E266" i="2" s="1"/>
  <c r="E377" i="2" s="1"/>
  <c r="E488" i="2" s="1"/>
  <c r="E599" i="2" s="1"/>
  <c r="C155" i="2"/>
  <c r="C266" i="2" s="1"/>
  <c r="C377" i="2" s="1"/>
  <c r="C488" i="2" s="1"/>
  <c r="C599" i="2" s="1"/>
  <c r="B155" i="2"/>
  <c r="B266" i="2" s="1"/>
  <c r="B377" i="2" s="1"/>
  <c r="B488" i="2" s="1"/>
  <c r="B599" i="2" s="1"/>
  <c r="AF154" i="2"/>
  <c r="AF265" i="2" s="1"/>
  <c r="AF376" i="2" s="1"/>
  <c r="AF487" i="2" s="1"/>
  <c r="AF598" i="2" s="1"/>
  <c r="AE154" i="2"/>
  <c r="AE265" i="2" s="1"/>
  <c r="AE376" i="2" s="1"/>
  <c r="AE487" i="2" s="1"/>
  <c r="AE598" i="2" s="1"/>
  <c r="AD154" i="2"/>
  <c r="AD265" i="2" s="1"/>
  <c r="AD376" i="2" s="1"/>
  <c r="AD487" i="2" s="1"/>
  <c r="AD598" i="2" s="1"/>
  <c r="AC154" i="2"/>
  <c r="AC265" i="2" s="1"/>
  <c r="AC376" i="2" s="1"/>
  <c r="AC487" i="2" s="1"/>
  <c r="AC598" i="2" s="1"/>
  <c r="AB154" i="2"/>
  <c r="AB265" i="2" s="1"/>
  <c r="AB376" i="2" s="1"/>
  <c r="AB487" i="2" s="1"/>
  <c r="AB598" i="2" s="1"/>
  <c r="AA154" i="2"/>
  <c r="AA265" i="2" s="1"/>
  <c r="AA376" i="2" s="1"/>
  <c r="AA487" i="2" s="1"/>
  <c r="AA598" i="2" s="1"/>
  <c r="Z154" i="2"/>
  <c r="Z265" i="2" s="1"/>
  <c r="Z376" i="2" s="1"/>
  <c r="Z487" i="2" s="1"/>
  <c r="Z598" i="2" s="1"/>
  <c r="X154" i="2"/>
  <c r="X265" i="2" s="1"/>
  <c r="X376" i="2" s="1"/>
  <c r="X487" i="2" s="1"/>
  <c r="X598" i="2" s="1"/>
  <c r="V154" i="2"/>
  <c r="V265" i="2" s="1"/>
  <c r="V376" i="2" s="1"/>
  <c r="V487" i="2" s="1"/>
  <c r="V598" i="2" s="1"/>
  <c r="U154" i="2"/>
  <c r="U265" i="2" s="1"/>
  <c r="U376" i="2" s="1"/>
  <c r="U487" i="2" s="1"/>
  <c r="U598" i="2" s="1"/>
  <c r="T154" i="2"/>
  <c r="T265" i="2" s="1"/>
  <c r="T376" i="2" s="1"/>
  <c r="T487" i="2" s="1"/>
  <c r="T598" i="2" s="1"/>
  <c r="S154" i="2"/>
  <c r="S265" i="2" s="1"/>
  <c r="S376" i="2" s="1"/>
  <c r="S487" i="2" s="1"/>
  <c r="S598" i="2" s="1"/>
  <c r="R154" i="2"/>
  <c r="R265" i="2" s="1"/>
  <c r="R376" i="2" s="1"/>
  <c r="R487" i="2" s="1"/>
  <c r="R598" i="2" s="1"/>
  <c r="Q154" i="2"/>
  <c r="Q265" i="2" s="1"/>
  <c r="Q376" i="2" s="1"/>
  <c r="Q487" i="2" s="1"/>
  <c r="Q598" i="2" s="1"/>
  <c r="P154" i="2"/>
  <c r="P265" i="2" s="1"/>
  <c r="P376" i="2" s="1"/>
  <c r="P487" i="2" s="1"/>
  <c r="P598" i="2" s="1"/>
  <c r="O154" i="2"/>
  <c r="O265" i="2" s="1"/>
  <c r="O376" i="2" s="1"/>
  <c r="O487" i="2" s="1"/>
  <c r="O598" i="2" s="1"/>
  <c r="N154" i="2"/>
  <c r="N265" i="2" s="1"/>
  <c r="N376" i="2" s="1"/>
  <c r="N487" i="2" s="1"/>
  <c r="N598" i="2" s="1"/>
  <c r="M154" i="2"/>
  <c r="M265" i="2" s="1"/>
  <c r="M376" i="2" s="1"/>
  <c r="M487" i="2" s="1"/>
  <c r="M598" i="2" s="1"/>
  <c r="L154" i="2"/>
  <c r="L265" i="2" s="1"/>
  <c r="L376" i="2" s="1"/>
  <c r="L487" i="2" s="1"/>
  <c r="L598" i="2" s="1"/>
  <c r="J154" i="2"/>
  <c r="J265" i="2" s="1"/>
  <c r="J376" i="2" s="1"/>
  <c r="J487" i="2" s="1"/>
  <c r="J598" i="2" s="1"/>
  <c r="I154" i="2"/>
  <c r="I265" i="2" s="1"/>
  <c r="I376" i="2" s="1"/>
  <c r="I487" i="2" s="1"/>
  <c r="I598" i="2" s="1"/>
  <c r="H154" i="2"/>
  <c r="H265" i="2" s="1"/>
  <c r="H376" i="2" s="1"/>
  <c r="H487" i="2" s="1"/>
  <c r="H598" i="2" s="1"/>
  <c r="G154" i="2"/>
  <c r="G265" i="2" s="1"/>
  <c r="G376" i="2" s="1"/>
  <c r="G487" i="2" s="1"/>
  <c r="G598" i="2" s="1"/>
  <c r="F154" i="2"/>
  <c r="F265" i="2" s="1"/>
  <c r="F376" i="2" s="1"/>
  <c r="F487" i="2" s="1"/>
  <c r="F598" i="2" s="1"/>
  <c r="E154" i="2"/>
  <c r="E265" i="2" s="1"/>
  <c r="E376" i="2" s="1"/>
  <c r="E487" i="2" s="1"/>
  <c r="E598" i="2" s="1"/>
  <c r="C154" i="2"/>
  <c r="C265" i="2" s="1"/>
  <c r="C376" i="2" s="1"/>
  <c r="C487" i="2" s="1"/>
  <c r="C598" i="2" s="1"/>
  <c r="B154" i="2"/>
  <c r="B265" i="2" s="1"/>
  <c r="B376" i="2" s="1"/>
  <c r="B487" i="2" s="1"/>
  <c r="B598" i="2" s="1"/>
  <c r="AF153" i="2"/>
  <c r="AF264" i="2" s="1"/>
  <c r="AF375" i="2" s="1"/>
  <c r="AF486" i="2" s="1"/>
  <c r="AF597" i="2" s="1"/>
  <c r="AE153" i="2"/>
  <c r="AE264" i="2" s="1"/>
  <c r="AE375" i="2" s="1"/>
  <c r="AE486" i="2" s="1"/>
  <c r="AE597" i="2" s="1"/>
  <c r="AD153" i="2"/>
  <c r="AD264" i="2" s="1"/>
  <c r="AD375" i="2" s="1"/>
  <c r="AD486" i="2" s="1"/>
  <c r="AD597" i="2" s="1"/>
  <c r="AC153" i="2"/>
  <c r="AC264" i="2" s="1"/>
  <c r="AC375" i="2" s="1"/>
  <c r="AC486" i="2" s="1"/>
  <c r="AC597" i="2" s="1"/>
  <c r="AB153" i="2"/>
  <c r="AB264" i="2" s="1"/>
  <c r="AB375" i="2" s="1"/>
  <c r="AB486" i="2" s="1"/>
  <c r="AB597" i="2" s="1"/>
  <c r="AA153" i="2"/>
  <c r="AA264" i="2" s="1"/>
  <c r="AA375" i="2" s="1"/>
  <c r="AA486" i="2" s="1"/>
  <c r="AA597" i="2" s="1"/>
  <c r="Z153" i="2"/>
  <c r="Z264" i="2" s="1"/>
  <c r="Z375" i="2" s="1"/>
  <c r="Z486" i="2" s="1"/>
  <c r="Z597" i="2" s="1"/>
  <c r="X153" i="2"/>
  <c r="X264" i="2" s="1"/>
  <c r="X375" i="2" s="1"/>
  <c r="X486" i="2" s="1"/>
  <c r="X597" i="2" s="1"/>
  <c r="V153" i="2"/>
  <c r="V264" i="2" s="1"/>
  <c r="V375" i="2" s="1"/>
  <c r="V486" i="2" s="1"/>
  <c r="V597" i="2" s="1"/>
  <c r="U153" i="2"/>
  <c r="U264" i="2" s="1"/>
  <c r="U375" i="2" s="1"/>
  <c r="U486" i="2" s="1"/>
  <c r="U597" i="2" s="1"/>
  <c r="T153" i="2"/>
  <c r="T264" i="2" s="1"/>
  <c r="T375" i="2" s="1"/>
  <c r="T486" i="2" s="1"/>
  <c r="T597" i="2" s="1"/>
  <c r="S153" i="2"/>
  <c r="S264" i="2" s="1"/>
  <c r="S375" i="2" s="1"/>
  <c r="S486" i="2" s="1"/>
  <c r="S597" i="2" s="1"/>
  <c r="R153" i="2"/>
  <c r="R264" i="2" s="1"/>
  <c r="R375" i="2" s="1"/>
  <c r="R486" i="2" s="1"/>
  <c r="R597" i="2" s="1"/>
  <c r="Q153" i="2"/>
  <c r="Q264" i="2" s="1"/>
  <c r="Q375" i="2" s="1"/>
  <c r="Q486" i="2" s="1"/>
  <c r="Q597" i="2" s="1"/>
  <c r="P153" i="2"/>
  <c r="P264" i="2" s="1"/>
  <c r="P375" i="2" s="1"/>
  <c r="P486" i="2" s="1"/>
  <c r="P597" i="2" s="1"/>
  <c r="O153" i="2"/>
  <c r="O264" i="2" s="1"/>
  <c r="O375" i="2" s="1"/>
  <c r="O486" i="2" s="1"/>
  <c r="O597" i="2" s="1"/>
  <c r="N153" i="2"/>
  <c r="N264" i="2" s="1"/>
  <c r="N375" i="2" s="1"/>
  <c r="N486" i="2" s="1"/>
  <c r="N597" i="2" s="1"/>
  <c r="M153" i="2"/>
  <c r="M264" i="2" s="1"/>
  <c r="M375" i="2" s="1"/>
  <c r="M486" i="2" s="1"/>
  <c r="M597" i="2" s="1"/>
  <c r="L153" i="2"/>
  <c r="L264" i="2" s="1"/>
  <c r="L375" i="2" s="1"/>
  <c r="L486" i="2" s="1"/>
  <c r="L597" i="2" s="1"/>
  <c r="J153" i="2"/>
  <c r="J264" i="2" s="1"/>
  <c r="J375" i="2" s="1"/>
  <c r="J486" i="2" s="1"/>
  <c r="J597" i="2" s="1"/>
  <c r="I153" i="2"/>
  <c r="I264" i="2" s="1"/>
  <c r="I375" i="2" s="1"/>
  <c r="I486" i="2" s="1"/>
  <c r="I597" i="2" s="1"/>
  <c r="H153" i="2"/>
  <c r="H264" i="2" s="1"/>
  <c r="H375" i="2" s="1"/>
  <c r="H486" i="2" s="1"/>
  <c r="H597" i="2" s="1"/>
  <c r="G153" i="2"/>
  <c r="G264" i="2" s="1"/>
  <c r="G375" i="2" s="1"/>
  <c r="G486" i="2" s="1"/>
  <c r="G597" i="2" s="1"/>
  <c r="F153" i="2"/>
  <c r="F264" i="2" s="1"/>
  <c r="F375" i="2" s="1"/>
  <c r="F486" i="2" s="1"/>
  <c r="F597" i="2" s="1"/>
  <c r="E153" i="2"/>
  <c r="E264" i="2" s="1"/>
  <c r="E375" i="2" s="1"/>
  <c r="E486" i="2" s="1"/>
  <c r="E597" i="2" s="1"/>
  <c r="C153" i="2"/>
  <c r="C264" i="2" s="1"/>
  <c r="C375" i="2" s="1"/>
  <c r="C486" i="2" s="1"/>
  <c r="C597" i="2" s="1"/>
  <c r="B153" i="2"/>
  <c r="B264" i="2" s="1"/>
  <c r="B375" i="2" s="1"/>
  <c r="B486" i="2" s="1"/>
  <c r="B597" i="2" s="1"/>
  <c r="AF152" i="2"/>
  <c r="AF263" i="2" s="1"/>
  <c r="AF374" i="2" s="1"/>
  <c r="AF485" i="2" s="1"/>
  <c r="AF596" i="2" s="1"/>
  <c r="AE152" i="2"/>
  <c r="AE263" i="2" s="1"/>
  <c r="AE374" i="2" s="1"/>
  <c r="AE485" i="2" s="1"/>
  <c r="AE596" i="2" s="1"/>
  <c r="AD152" i="2"/>
  <c r="AD263" i="2" s="1"/>
  <c r="AD374" i="2" s="1"/>
  <c r="AD485" i="2" s="1"/>
  <c r="AD596" i="2" s="1"/>
  <c r="AC152" i="2"/>
  <c r="AC263" i="2" s="1"/>
  <c r="AC374" i="2" s="1"/>
  <c r="AC485" i="2" s="1"/>
  <c r="AC596" i="2" s="1"/>
  <c r="AB152" i="2"/>
  <c r="AB263" i="2" s="1"/>
  <c r="AB374" i="2" s="1"/>
  <c r="AB485" i="2" s="1"/>
  <c r="AB596" i="2" s="1"/>
  <c r="AA152" i="2"/>
  <c r="AA263" i="2" s="1"/>
  <c r="AA374" i="2" s="1"/>
  <c r="AA485" i="2" s="1"/>
  <c r="AA596" i="2" s="1"/>
  <c r="Z152" i="2"/>
  <c r="Z263" i="2" s="1"/>
  <c r="Z374" i="2" s="1"/>
  <c r="Z485" i="2" s="1"/>
  <c r="Z596" i="2" s="1"/>
  <c r="X152" i="2"/>
  <c r="X263" i="2" s="1"/>
  <c r="X374" i="2" s="1"/>
  <c r="X485" i="2" s="1"/>
  <c r="X596" i="2" s="1"/>
  <c r="V152" i="2"/>
  <c r="V263" i="2" s="1"/>
  <c r="V374" i="2" s="1"/>
  <c r="V485" i="2" s="1"/>
  <c r="V596" i="2" s="1"/>
  <c r="U152" i="2"/>
  <c r="U263" i="2" s="1"/>
  <c r="U374" i="2" s="1"/>
  <c r="U485" i="2" s="1"/>
  <c r="U596" i="2" s="1"/>
  <c r="T152" i="2"/>
  <c r="T263" i="2" s="1"/>
  <c r="T374" i="2" s="1"/>
  <c r="T485" i="2" s="1"/>
  <c r="T596" i="2" s="1"/>
  <c r="S152" i="2"/>
  <c r="S263" i="2" s="1"/>
  <c r="S374" i="2" s="1"/>
  <c r="S485" i="2" s="1"/>
  <c r="S596" i="2" s="1"/>
  <c r="R152" i="2"/>
  <c r="R263" i="2" s="1"/>
  <c r="R374" i="2" s="1"/>
  <c r="R485" i="2" s="1"/>
  <c r="R596" i="2" s="1"/>
  <c r="Q152" i="2"/>
  <c r="Q263" i="2" s="1"/>
  <c r="Q374" i="2" s="1"/>
  <c r="Q485" i="2" s="1"/>
  <c r="Q596" i="2" s="1"/>
  <c r="P152" i="2"/>
  <c r="P263" i="2" s="1"/>
  <c r="P374" i="2" s="1"/>
  <c r="P485" i="2" s="1"/>
  <c r="P596" i="2" s="1"/>
  <c r="O152" i="2"/>
  <c r="O263" i="2" s="1"/>
  <c r="O374" i="2" s="1"/>
  <c r="O485" i="2" s="1"/>
  <c r="O596" i="2" s="1"/>
  <c r="N152" i="2"/>
  <c r="N263" i="2" s="1"/>
  <c r="N374" i="2" s="1"/>
  <c r="N485" i="2" s="1"/>
  <c r="N596" i="2" s="1"/>
  <c r="M152" i="2"/>
  <c r="M263" i="2" s="1"/>
  <c r="M374" i="2" s="1"/>
  <c r="M485" i="2" s="1"/>
  <c r="M596" i="2" s="1"/>
  <c r="L152" i="2"/>
  <c r="L263" i="2" s="1"/>
  <c r="L374" i="2" s="1"/>
  <c r="L485" i="2" s="1"/>
  <c r="L596" i="2" s="1"/>
  <c r="J152" i="2"/>
  <c r="J263" i="2" s="1"/>
  <c r="J374" i="2" s="1"/>
  <c r="J485" i="2" s="1"/>
  <c r="J596" i="2" s="1"/>
  <c r="I152" i="2"/>
  <c r="I263" i="2" s="1"/>
  <c r="I374" i="2" s="1"/>
  <c r="I485" i="2" s="1"/>
  <c r="I596" i="2" s="1"/>
  <c r="H152" i="2"/>
  <c r="H263" i="2" s="1"/>
  <c r="H374" i="2" s="1"/>
  <c r="H485" i="2" s="1"/>
  <c r="H596" i="2" s="1"/>
  <c r="G152" i="2"/>
  <c r="G263" i="2" s="1"/>
  <c r="G374" i="2" s="1"/>
  <c r="G485" i="2" s="1"/>
  <c r="G596" i="2" s="1"/>
  <c r="F152" i="2"/>
  <c r="F263" i="2" s="1"/>
  <c r="F374" i="2" s="1"/>
  <c r="F485" i="2" s="1"/>
  <c r="F596" i="2" s="1"/>
  <c r="E152" i="2"/>
  <c r="E263" i="2" s="1"/>
  <c r="E374" i="2" s="1"/>
  <c r="E485" i="2" s="1"/>
  <c r="E596" i="2" s="1"/>
  <c r="C152" i="2"/>
  <c r="C263" i="2" s="1"/>
  <c r="C374" i="2" s="1"/>
  <c r="C485" i="2" s="1"/>
  <c r="C596" i="2" s="1"/>
  <c r="B152" i="2"/>
  <c r="B263" i="2" s="1"/>
  <c r="B374" i="2" s="1"/>
  <c r="B485" i="2" s="1"/>
  <c r="B596" i="2" s="1"/>
  <c r="AF151" i="2"/>
  <c r="AF262" i="2" s="1"/>
  <c r="AF373" i="2" s="1"/>
  <c r="AF484" i="2" s="1"/>
  <c r="AF595" i="2" s="1"/>
  <c r="AE151" i="2"/>
  <c r="AE262" i="2" s="1"/>
  <c r="AE373" i="2" s="1"/>
  <c r="AE484" i="2" s="1"/>
  <c r="AE595" i="2" s="1"/>
  <c r="AD151" i="2"/>
  <c r="AD262" i="2" s="1"/>
  <c r="AD373" i="2" s="1"/>
  <c r="AD484" i="2" s="1"/>
  <c r="AD595" i="2" s="1"/>
  <c r="AC151" i="2"/>
  <c r="AC262" i="2" s="1"/>
  <c r="AC373" i="2" s="1"/>
  <c r="AC484" i="2" s="1"/>
  <c r="AC595" i="2" s="1"/>
  <c r="AB151" i="2"/>
  <c r="AB262" i="2" s="1"/>
  <c r="AB373" i="2" s="1"/>
  <c r="AB484" i="2" s="1"/>
  <c r="AB595" i="2" s="1"/>
  <c r="AA151" i="2"/>
  <c r="AA262" i="2" s="1"/>
  <c r="AA373" i="2" s="1"/>
  <c r="AA484" i="2" s="1"/>
  <c r="AA595" i="2" s="1"/>
  <c r="Z151" i="2"/>
  <c r="Z262" i="2" s="1"/>
  <c r="Z373" i="2" s="1"/>
  <c r="Z484" i="2" s="1"/>
  <c r="Z595" i="2" s="1"/>
  <c r="X151" i="2"/>
  <c r="X262" i="2" s="1"/>
  <c r="X373" i="2" s="1"/>
  <c r="X484" i="2" s="1"/>
  <c r="X595" i="2" s="1"/>
  <c r="V151" i="2"/>
  <c r="V262" i="2" s="1"/>
  <c r="V373" i="2" s="1"/>
  <c r="V484" i="2" s="1"/>
  <c r="V595" i="2" s="1"/>
  <c r="U151" i="2"/>
  <c r="U262" i="2" s="1"/>
  <c r="U373" i="2" s="1"/>
  <c r="U484" i="2" s="1"/>
  <c r="U595" i="2" s="1"/>
  <c r="T151" i="2"/>
  <c r="T262" i="2" s="1"/>
  <c r="T373" i="2" s="1"/>
  <c r="T484" i="2" s="1"/>
  <c r="T595" i="2" s="1"/>
  <c r="S151" i="2"/>
  <c r="S262" i="2" s="1"/>
  <c r="S373" i="2" s="1"/>
  <c r="S484" i="2" s="1"/>
  <c r="S595" i="2" s="1"/>
  <c r="R151" i="2"/>
  <c r="R262" i="2" s="1"/>
  <c r="R373" i="2" s="1"/>
  <c r="R484" i="2" s="1"/>
  <c r="R595" i="2" s="1"/>
  <c r="Q151" i="2"/>
  <c r="Q262" i="2" s="1"/>
  <c r="Q373" i="2" s="1"/>
  <c r="Q484" i="2" s="1"/>
  <c r="Q595" i="2" s="1"/>
  <c r="P151" i="2"/>
  <c r="P262" i="2" s="1"/>
  <c r="P373" i="2" s="1"/>
  <c r="P484" i="2" s="1"/>
  <c r="P595" i="2" s="1"/>
  <c r="O151" i="2"/>
  <c r="O262" i="2" s="1"/>
  <c r="O373" i="2" s="1"/>
  <c r="O484" i="2" s="1"/>
  <c r="O595" i="2" s="1"/>
  <c r="N151" i="2"/>
  <c r="N262" i="2" s="1"/>
  <c r="N373" i="2" s="1"/>
  <c r="N484" i="2" s="1"/>
  <c r="N595" i="2" s="1"/>
  <c r="M151" i="2"/>
  <c r="M262" i="2" s="1"/>
  <c r="M373" i="2" s="1"/>
  <c r="M484" i="2" s="1"/>
  <c r="M595" i="2" s="1"/>
  <c r="L151" i="2"/>
  <c r="L262" i="2" s="1"/>
  <c r="L373" i="2" s="1"/>
  <c r="L484" i="2" s="1"/>
  <c r="L595" i="2" s="1"/>
  <c r="J151" i="2"/>
  <c r="J262" i="2" s="1"/>
  <c r="J373" i="2" s="1"/>
  <c r="J484" i="2" s="1"/>
  <c r="J595" i="2" s="1"/>
  <c r="I151" i="2"/>
  <c r="I262" i="2" s="1"/>
  <c r="I373" i="2" s="1"/>
  <c r="I484" i="2" s="1"/>
  <c r="I595" i="2" s="1"/>
  <c r="H151" i="2"/>
  <c r="H262" i="2" s="1"/>
  <c r="H373" i="2" s="1"/>
  <c r="H484" i="2" s="1"/>
  <c r="H595" i="2" s="1"/>
  <c r="G151" i="2"/>
  <c r="G262" i="2" s="1"/>
  <c r="G373" i="2" s="1"/>
  <c r="G484" i="2" s="1"/>
  <c r="G595" i="2" s="1"/>
  <c r="F151" i="2"/>
  <c r="F262" i="2" s="1"/>
  <c r="F373" i="2" s="1"/>
  <c r="F484" i="2" s="1"/>
  <c r="F595" i="2" s="1"/>
  <c r="E151" i="2"/>
  <c r="E262" i="2" s="1"/>
  <c r="E373" i="2" s="1"/>
  <c r="E484" i="2" s="1"/>
  <c r="E595" i="2" s="1"/>
  <c r="C151" i="2"/>
  <c r="C262" i="2" s="1"/>
  <c r="C373" i="2" s="1"/>
  <c r="C484" i="2" s="1"/>
  <c r="C595" i="2" s="1"/>
  <c r="B151" i="2"/>
  <c r="B262" i="2" s="1"/>
  <c r="B373" i="2" s="1"/>
  <c r="B484" i="2" s="1"/>
  <c r="B595" i="2" s="1"/>
  <c r="AF150" i="2"/>
  <c r="AF261" i="2" s="1"/>
  <c r="AF372" i="2" s="1"/>
  <c r="AF483" i="2" s="1"/>
  <c r="AF594" i="2" s="1"/>
  <c r="AE150" i="2"/>
  <c r="AE261" i="2" s="1"/>
  <c r="AE372" i="2" s="1"/>
  <c r="AE483" i="2" s="1"/>
  <c r="AE594" i="2" s="1"/>
  <c r="AD150" i="2"/>
  <c r="AD261" i="2" s="1"/>
  <c r="AD372" i="2" s="1"/>
  <c r="AD483" i="2" s="1"/>
  <c r="AD594" i="2" s="1"/>
  <c r="AC150" i="2"/>
  <c r="AC261" i="2" s="1"/>
  <c r="AC372" i="2" s="1"/>
  <c r="AC483" i="2" s="1"/>
  <c r="AC594" i="2" s="1"/>
  <c r="AB150" i="2"/>
  <c r="AB261" i="2" s="1"/>
  <c r="AB372" i="2" s="1"/>
  <c r="AB483" i="2" s="1"/>
  <c r="AB594" i="2" s="1"/>
  <c r="AA150" i="2"/>
  <c r="AA261" i="2" s="1"/>
  <c r="AA372" i="2" s="1"/>
  <c r="AA483" i="2" s="1"/>
  <c r="AA594" i="2" s="1"/>
  <c r="Z150" i="2"/>
  <c r="Z261" i="2" s="1"/>
  <c r="Z372" i="2" s="1"/>
  <c r="Z483" i="2" s="1"/>
  <c r="Z594" i="2" s="1"/>
  <c r="X150" i="2"/>
  <c r="X261" i="2" s="1"/>
  <c r="X372" i="2" s="1"/>
  <c r="X483" i="2" s="1"/>
  <c r="X594" i="2" s="1"/>
  <c r="V150" i="2"/>
  <c r="V261" i="2" s="1"/>
  <c r="V372" i="2" s="1"/>
  <c r="V483" i="2" s="1"/>
  <c r="V594" i="2" s="1"/>
  <c r="U150" i="2"/>
  <c r="U261" i="2" s="1"/>
  <c r="U372" i="2" s="1"/>
  <c r="U483" i="2" s="1"/>
  <c r="U594" i="2" s="1"/>
  <c r="T150" i="2"/>
  <c r="T261" i="2" s="1"/>
  <c r="T372" i="2" s="1"/>
  <c r="T483" i="2" s="1"/>
  <c r="T594" i="2" s="1"/>
  <c r="S150" i="2"/>
  <c r="S261" i="2" s="1"/>
  <c r="S372" i="2" s="1"/>
  <c r="S483" i="2" s="1"/>
  <c r="S594" i="2" s="1"/>
  <c r="R150" i="2"/>
  <c r="R261" i="2" s="1"/>
  <c r="R372" i="2" s="1"/>
  <c r="R483" i="2" s="1"/>
  <c r="R594" i="2" s="1"/>
  <c r="Q150" i="2"/>
  <c r="Q261" i="2" s="1"/>
  <c r="Q372" i="2" s="1"/>
  <c r="Q483" i="2" s="1"/>
  <c r="Q594" i="2" s="1"/>
  <c r="P150" i="2"/>
  <c r="P261" i="2" s="1"/>
  <c r="P372" i="2" s="1"/>
  <c r="P483" i="2" s="1"/>
  <c r="P594" i="2" s="1"/>
  <c r="O150" i="2"/>
  <c r="O261" i="2" s="1"/>
  <c r="O372" i="2" s="1"/>
  <c r="O483" i="2" s="1"/>
  <c r="O594" i="2" s="1"/>
  <c r="N150" i="2"/>
  <c r="N261" i="2" s="1"/>
  <c r="N372" i="2" s="1"/>
  <c r="N483" i="2" s="1"/>
  <c r="N594" i="2" s="1"/>
  <c r="M150" i="2"/>
  <c r="M261" i="2" s="1"/>
  <c r="M372" i="2" s="1"/>
  <c r="M483" i="2" s="1"/>
  <c r="M594" i="2" s="1"/>
  <c r="L150" i="2"/>
  <c r="L261" i="2" s="1"/>
  <c r="L372" i="2" s="1"/>
  <c r="L483" i="2" s="1"/>
  <c r="L594" i="2" s="1"/>
  <c r="J150" i="2"/>
  <c r="J261" i="2" s="1"/>
  <c r="J372" i="2" s="1"/>
  <c r="J483" i="2" s="1"/>
  <c r="J594" i="2" s="1"/>
  <c r="I150" i="2"/>
  <c r="I261" i="2" s="1"/>
  <c r="I372" i="2" s="1"/>
  <c r="I483" i="2" s="1"/>
  <c r="I594" i="2" s="1"/>
  <c r="H150" i="2"/>
  <c r="H261" i="2" s="1"/>
  <c r="H372" i="2" s="1"/>
  <c r="H483" i="2" s="1"/>
  <c r="H594" i="2" s="1"/>
  <c r="G150" i="2"/>
  <c r="G261" i="2" s="1"/>
  <c r="G372" i="2" s="1"/>
  <c r="G483" i="2" s="1"/>
  <c r="G594" i="2" s="1"/>
  <c r="F150" i="2"/>
  <c r="F261" i="2" s="1"/>
  <c r="F372" i="2" s="1"/>
  <c r="F483" i="2" s="1"/>
  <c r="F594" i="2" s="1"/>
  <c r="E150" i="2"/>
  <c r="E261" i="2" s="1"/>
  <c r="E372" i="2" s="1"/>
  <c r="E483" i="2" s="1"/>
  <c r="E594" i="2" s="1"/>
  <c r="C150" i="2"/>
  <c r="C261" i="2" s="1"/>
  <c r="C372" i="2" s="1"/>
  <c r="C483" i="2" s="1"/>
  <c r="C594" i="2" s="1"/>
  <c r="B150" i="2"/>
  <c r="B261" i="2" s="1"/>
  <c r="B372" i="2" s="1"/>
  <c r="B483" i="2" s="1"/>
  <c r="B594" i="2" s="1"/>
  <c r="AF149" i="2"/>
  <c r="AF260" i="2" s="1"/>
  <c r="AF371" i="2" s="1"/>
  <c r="AF482" i="2" s="1"/>
  <c r="AF593" i="2" s="1"/>
  <c r="AE149" i="2"/>
  <c r="AE260" i="2" s="1"/>
  <c r="AE371" i="2" s="1"/>
  <c r="AE482" i="2" s="1"/>
  <c r="AE593" i="2" s="1"/>
  <c r="AD149" i="2"/>
  <c r="AD260" i="2" s="1"/>
  <c r="AD371" i="2" s="1"/>
  <c r="AD482" i="2" s="1"/>
  <c r="AD593" i="2" s="1"/>
  <c r="AC149" i="2"/>
  <c r="AC260" i="2" s="1"/>
  <c r="AC371" i="2" s="1"/>
  <c r="AC482" i="2" s="1"/>
  <c r="AC593" i="2" s="1"/>
  <c r="AB149" i="2"/>
  <c r="AB260" i="2" s="1"/>
  <c r="AB371" i="2" s="1"/>
  <c r="AB482" i="2" s="1"/>
  <c r="AB593" i="2" s="1"/>
  <c r="AA149" i="2"/>
  <c r="AA260" i="2" s="1"/>
  <c r="AA371" i="2" s="1"/>
  <c r="AA482" i="2" s="1"/>
  <c r="AA593" i="2" s="1"/>
  <c r="Z149" i="2"/>
  <c r="Z260" i="2" s="1"/>
  <c r="Z371" i="2" s="1"/>
  <c r="Z482" i="2" s="1"/>
  <c r="Z593" i="2" s="1"/>
  <c r="X149" i="2"/>
  <c r="X260" i="2" s="1"/>
  <c r="X371" i="2" s="1"/>
  <c r="X482" i="2" s="1"/>
  <c r="X593" i="2" s="1"/>
  <c r="V149" i="2"/>
  <c r="V260" i="2" s="1"/>
  <c r="V371" i="2" s="1"/>
  <c r="V482" i="2" s="1"/>
  <c r="V593" i="2" s="1"/>
  <c r="U149" i="2"/>
  <c r="U260" i="2" s="1"/>
  <c r="U371" i="2" s="1"/>
  <c r="U482" i="2" s="1"/>
  <c r="U593" i="2" s="1"/>
  <c r="T149" i="2"/>
  <c r="T260" i="2" s="1"/>
  <c r="T371" i="2" s="1"/>
  <c r="T482" i="2" s="1"/>
  <c r="T593" i="2" s="1"/>
  <c r="S149" i="2"/>
  <c r="S260" i="2" s="1"/>
  <c r="S371" i="2" s="1"/>
  <c r="S482" i="2" s="1"/>
  <c r="S593" i="2" s="1"/>
  <c r="R149" i="2"/>
  <c r="R260" i="2" s="1"/>
  <c r="R371" i="2" s="1"/>
  <c r="R482" i="2" s="1"/>
  <c r="R593" i="2" s="1"/>
  <c r="Q149" i="2"/>
  <c r="Q260" i="2" s="1"/>
  <c r="Q371" i="2" s="1"/>
  <c r="Q482" i="2" s="1"/>
  <c r="Q593" i="2" s="1"/>
  <c r="P149" i="2"/>
  <c r="P260" i="2" s="1"/>
  <c r="P371" i="2" s="1"/>
  <c r="P482" i="2" s="1"/>
  <c r="P593" i="2" s="1"/>
  <c r="O149" i="2"/>
  <c r="O260" i="2" s="1"/>
  <c r="O371" i="2" s="1"/>
  <c r="O482" i="2" s="1"/>
  <c r="O593" i="2" s="1"/>
  <c r="N149" i="2"/>
  <c r="N260" i="2" s="1"/>
  <c r="N371" i="2" s="1"/>
  <c r="N482" i="2" s="1"/>
  <c r="N593" i="2" s="1"/>
  <c r="M149" i="2"/>
  <c r="M260" i="2" s="1"/>
  <c r="M371" i="2" s="1"/>
  <c r="M482" i="2" s="1"/>
  <c r="M593" i="2" s="1"/>
  <c r="L149" i="2"/>
  <c r="L260" i="2" s="1"/>
  <c r="L371" i="2" s="1"/>
  <c r="L482" i="2" s="1"/>
  <c r="L593" i="2" s="1"/>
  <c r="J149" i="2"/>
  <c r="J260" i="2" s="1"/>
  <c r="J371" i="2" s="1"/>
  <c r="J482" i="2" s="1"/>
  <c r="J593" i="2" s="1"/>
  <c r="I149" i="2"/>
  <c r="I260" i="2" s="1"/>
  <c r="I371" i="2" s="1"/>
  <c r="I482" i="2" s="1"/>
  <c r="I593" i="2" s="1"/>
  <c r="H149" i="2"/>
  <c r="H260" i="2" s="1"/>
  <c r="H371" i="2" s="1"/>
  <c r="H482" i="2" s="1"/>
  <c r="H593" i="2" s="1"/>
  <c r="G149" i="2"/>
  <c r="G260" i="2" s="1"/>
  <c r="G371" i="2" s="1"/>
  <c r="G482" i="2" s="1"/>
  <c r="G593" i="2" s="1"/>
  <c r="F149" i="2"/>
  <c r="F260" i="2" s="1"/>
  <c r="F371" i="2" s="1"/>
  <c r="F482" i="2" s="1"/>
  <c r="F593" i="2" s="1"/>
  <c r="E149" i="2"/>
  <c r="E260" i="2" s="1"/>
  <c r="E371" i="2" s="1"/>
  <c r="E482" i="2" s="1"/>
  <c r="E593" i="2" s="1"/>
  <c r="C149" i="2"/>
  <c r="C260" i="2" s="1"/>
  <c r="C371" i="2" s="1"/>
  <c r="C482" i="2" s="1"/>
  <c r="C593" i="2" s="1"/>
  <c r="B149" i="2"/>
  <c r="B260" i="2" s="1"/>
  <c r="B371" i="2" s="1"/>
  <c r="B482" i="2" s="1"/>
  <c r="B593" i="2" s="1"/>
  <c r="AF148" i="2"/>
  <c r="AF259" i="2" s="1"/>
  <c r="AF370" i="2" s="1"/>
  <c r="AF481" i="2" s="1"/>
  <c r="AF592" i="2" s="1"/>
  <c r="AE148" i="2"/>
  <c r="AE259" i="2" s="1"/>
  <c r="AE370" i="2" s="1"/>
  <c r="AE481" i="2" s="1"/>
  <c r="AE592" i="2" s="1"/>
  <c r="AD148" i="2"/>
  <c r="AD259" i="2" s="1"/>
  <c r="AD370" i="2" s="1"/>
  <c r="AD481" i="2" s="1"/>
  <c r="AD592" i="2" s="1"/>
  <c r="AC148" i="2"/>
  <c r="AC259" i="2" s="1"/>
  <c r="AC370" i="2" s="1"/>
  <c r="AC481" i="2" s="1"/>
  <c r="AC592" i="2" s="1"/>
  <c r="AB148" i="2"/>
  <c r="AB259" i="2" s="1"/>
  <c r="AB370" i="2" s="1"/>
  <c r="AB481" i="2" s="1"/>
  <c r="AB592" i="2" s="1"/>
  <c r="AA148" i="2"/>
  <c r="AA259" i="2" s="1"/>
  <c r="AA370" i="2" s="1"/>
  <c r="AA481" i="2" s="1"/>
  <c r="AA592" i="2" s="1"/>
  <c r="Z148" i="2"/>
  <c r="Z259" i="2" s="1"/>
  <c r="Z370" i="2" s="1"/>
  <c r="Z481" i="2" s="1"/>
  <c r="Z592" i="2" s="1"/>
  <c r="Y148" i="2"/>
  <c r="Y259" i="2" s="1"/>
  <c r="Y370" i="2" s="1"/>
  <c r="Y481" i="2" s="1"/>
  <c r="Y592" i="2" s="1"/>
  <c r="X148" i="2"/>
  <c r="X259" i="2" s="1"/>
  <c r="X370" i="2" s="1"/>
  <c r="X481" i="2" s="1"/>
  <c r="X592" i="2" s="1"/>
  <c r="V148" i="2"/>
  <c r="V259" i="2" s="1"/>
  <c r="V370" i="2" s="1"/>
  <c r="V481" i="2" s="1"/>
  <c r="V592" i="2" s="1"/>
  <c r="U148" i="2"/>
  <c r="U259" i="2" s="1"/>
  <c r="U370" i="2" s="1"/>
  <c r="U481" i="2" s="1"/>
  <c r="U592" i="2" s="1"/>
  <c r="T148" i="2"/>
  <c r="T259" i="2" s="1"/>
  <c r="T370" i="2" s="1"/>
  <c r="T481" i="2" s="1"/>
  <c r="T592" i="2" s="1"/>
  <c r="S148" i="2"/>
  <c r="S259" i="2" s="1"/>
  <c r="S370" i="2" s="1"/>
  <c r="S481" i="2" s="1"/>
  <c r="S592" i="2" s="1"/>
  <c r="R148" i="2"/>
  <c r="R259" i="2" s="1"/>
  <c r="R370" i="2" s="1"/>
  <c r="R481" i="2" s="1"/>
  <c r="R592" i="2" s="1"/>
  <c r="Q148" i="2"/>
  <c r="Q259" i="2" s="1"/>
  <c r="Q370" i="2" s="1"/>
  <c r="Q481" i="2" s="1"/>
  <c r="Q592" i="2" s="1"/>
  <c r="P148" i="2"/>
  <c r="P259" i="2" s="1"/>
  <c r="P370" i="2" s="1"/>
  <c r="P481" i="2" s="1"/>
  <c r="P592" i="2" s="1"/>
  <c r="O148" i="2"/>
  <c r="O259" i="2" s="1"/>
  <c r="O370" i="2" s="1"/>
  <c r="O481" i="2" s="1"/>
  <c r="O592" i="2" s="1"/>
  <c r="N148" i="2"/>
  <c r="N259" i="2" s="1"/>
  <c r="N370" i="2" s="1"/>
  <c r="N481" i="2" s="1"/>
  <c r="N592" i="2" s="1"/>
  <c r="M148" i="2"/>
  <c r="M259" i="2" s="1"/>
  <c r="M370" i="2" s="1"/>
  <c r="M481" i="2" s="1"/>
  <c r="M592" i="2" s="1"/>
  <c r="L148" i="2"/>
  <c r="L259" i="2" s="1"/>
  <c r="L370" i="2" s="1"/>
  <c r="L481" i="2" s="1"/>
  <c r="L592" i="2" s="1"/>
  <c r="J148" i="2"/>
  <c r="J259" i="2" s="1"/>
  <c r="J370" i="2" s="1"/>
  <c r="J481" i="2" s="1"/>
  <c r="J592" i="2" s="1"/>
  <c r="I148" i="2"/>
  <c r="I259" i="2" s="1"/>
  <c r="I370" i="2" s="1"/>
  <c r="I481" i="2" s="1"/>
  <c r="I592" i="2" s="1"/>
  <c r="H148" i="2"/>
  <c r="H259" i="2" s="1"/>
  <c r="H370" i="2" s="1"/>
  <c r="H481" i="2" s="1"/>
  <c r="H592" i="2" s="1"/>
  <c r="G148" i="2"/>
  <c r="G259" i="2" s="1"/>
  <c r="G370" i="2" s="1"/>
  <c r="G481" i="2" s="1"/>
  <c r="G592" i="2" s="1"/>
  <c r="F148" i="2"/>
  <c r="F259" i="2" s="1"/>
  <c r="F370" i="2" s="1"/>
  <c r="F481" i="2" s="1"/>
  <c r="F592" i="2" s="1"/>
  <c r="C148" i="2"/>
  <c r="C259" i="2" s="1"/>
  <c r="C370" i="2" s="1"/>
  <c r="C481" i="2" s="1"/>
  <c r="C592" i="2" s="1"/>
  <c r="B148" i="2"/>
  <c r="B259" i="2" s="1"/>
  <c r="B370" i="2" s="1"/>
  <c r="B481" i="2" s="1"/>
  <c r="B592" i="2" s="1"/>
  <c r="AF147" i="2"/>
  <c r="AF258" i="2" s="1"/>
  <c r="AF369" i="2" s="1"/>
  <c r="AF480" i="2" s="1"/>
  <c r="AF591" i="2" s="1"/>
  <c r="AE147" i="2"/>
  <c r="AE258" i="2" s="1"/>
  <c r="AE369" i="2" s="1"/>
  <c r="AE480" i="2" s="1"/>
  <c r="AE591" i="2" s="1"/>
  <c r="AD147" i="2"/>
  <c r="AD258" i="2" s="1"/>
  <c r="AD369" i="2" s="1"/>
  <c r="AD480" i="2" s="1"/>
  <c r="AD591" i="2" s="1"/>
  <c r="AC147" i="2"/>
  <c r="AC258" i="2" s="1"/>
  <c r="AC369" i="2" s="1"/>
  <c r="AC480" i="2" s="1"/>
  <c r="AC591" i="2" s="1"/>
  <c r="AB147" i="2"/>
  <c r="AB258" i="2" s="1"/>
  <c r="AB369" i="2" s="1"/>
  <c r="AB480" i="2" s="1"/>
  <c r="AB591" i="2" s="1"/>
  <c r="AA147" i="2"/>
  <c r="AA258" i="2" s="1"/>
  <c r="AA369" i="2" s="1"/>
  <c r="AA480" i="2" s="1"/>
  <c r="AA591" i="2" s="1"/>
  <c r="Z147" i="2"/>
  <c r="Z258" i="2" s="1"/>
  <c r="Z369" i="2" s="1"/>
  <c r="Z480" i="2" s="1"/>
  <c r="Z591" i="2" s="1"/>
  <c r="X147" i="2"/>
  <c r="X258" i="2" s="1"/>
  <c r="X369" i="2" s="1"/>
  <c r="X480" i="2" s="1"/>
  <c r="X591" i="2" s="1"/>
  <c r="V147" i="2"/>
  <c r="V258" i="2" s="1"/>
  <c r="V369" i="2" s="1"/>
  <c r="V480" i="2" s="1"/>
  <c r="V591" i="2" s="1"/>
  <c r="U147" i="2"/>
  <c r="U258" i="2" s="1"/>
  <c r="U369" i="2" s="1"/>
  <c r="U480" i="2" s="1"/>
  <c r="U591" i="2" s="1"/>
  <c r="T147" i="2"/>
  <c r="T258" i="2" s="1"/>
  <c r="T369" i="2" s="1"/>
  <c r="T480" i="2" s="1"/>
  <c r="T591" i="2" s="1"/>
  <c r="S147" i="2"/>
  <c r="S258" i="2" s="1"/>
  <c r="S369" i="2" s="1"/>
  <c r="S480" i="2" s="1"/>
  <c r="S591" i="2" s="1"/>
  <c r="R147" i="2"/>
  <c r="R258" i="2" s="1"/>
  <c r="R369" i="2" s="1"/>
  <c r="R480" i="2" s="1"/>
  <c r="R591" i="2" s="1"/>
  <c r="Q147" i="2"/>
  <c r="Q258" i="2" s="1"/>
  <c r="Q369" i="2" s="1"/>
  <c r="Q480" i="2" s="1"/>
  <c r="Q591" i="2" s="1"/>
  <c r="P147" i="2"/>
  <c r="P258" i="2" s="1"/>
  <c r="P369" i="2" s="1"/>
  <c r="P480" i="2" s="1"/>
  <c r="P591" i="2" s="1"/>
  <c r="O147" i="2"/>
  <c r="O258" i="2" s="1"/>
  <c r="O369" i="2" s="1"/>
  <c r="O480" i="2" s="1"/>
  <c r="O591" i="2" s="1"/>
  <c r="N147" i="2"/>
  <c r="N258" i="2" s="1"/>
  <c r="N369" i="2" s="1"/>
  <c r="N480" i="2" s="1"/>
  <c r="N591" i="2" s="1"/>
  <c r="M147" i="2"/>
  <c r="M258" i="2" s="1"/>
  <c r="M369" i="2" s="1"/>
  <c r="M480" i="2" s="1"/>
  <c r="M591" i="2" s="1"/>
  <c r="L147" i="2"/>
  <c r="L258" i="2" s="1"/>
  <c r="L369" i="2" s="1"/>
  <c r="L480" i="2" s="1"/>
  <c r="L591" i="2" s="1"/>
  <c r="J147" i="2"/>
  <c r="J258" i="2" s="1"/>
  <c r="J369" i="2" s="1"/>
  <c r="J480" i="2" s="1"/>
  <c r="J591" i="2" s="1"/>
  <c r="I147" i="2"/>
  <c r="I258" i="2" s="1"/>
  <c r="I369" i="2" s="1"/>
  <c r="I480" i="2" s="1"/>
  <c r="I591" i="2" s="1"/>
  <c r="H147" i="2"/>
  <c r="H258" i="2" s="1"/>
  <c r="H369" i="2" s="1"/>
  <c r="H480" i="2" s="1"/>
  <c r="H591" i="2" s="1"/>
  <c r="G147" i="2"/>
  <c r="G258" i="2" s="1"/>
  <c r="G369" i="2" s="1"/>
  <c r="G480" i="2" s="1"/>
  <c r="G591" i="2" s="1"/>
  <c r="F147" i="2"/>
  <c r="F258" i="2" s="1"/>
  <c r="F369" i="2" s="1"/>
  <c r="F480" i="2" s="1"/>
  <c r="F591" i="2" s="1"/>
  <c r="C147" i="2"/>
  <c r="C258" i="2" s="1"/>
  <c r="C369" i="2" s="1"/>
  <c r="C480" i="2" s="1"/>
  <c r="C591" i="2" s="1"/>
  <c r="B147" i="2"/>
  <c r="B258" i="2" s="1"/>
  <c r="B369" i="2" s="1"/>
  <c r="B480" i="2" s="1"/>
  <c r="B591" i="2" s="1"/>
  <c r="AF146" i="2"/>
  <c r="AF257" i="2" s="1"/>
  <c r="AF368" i="2" s="1"/>
  <c r="AF479" i="2" s="1"/>
  <c r="AF590" i="2" s="1"/>
  <c r="AE146" i="2"/>
  <c r="AE257" i="2" s="1"/>
  <c r="AE368" i="2" s="1"/>
  <c r="AE479" i="2" s="1"/>
  <c r="AE590" i="2" s="1"/>
  <c r="AD146" i="2"/>
  <c r="AD257" i="2" s="1"/>
  <c r="AD368" i="2" s="1"/>
  <c r="AD479" i="2" s="1"/>
  <c r="AD590" i="2" s="1"/>
  <c r="AC146" i="2"/>
  <c r="AC257" i="2" s="1"/>
  <c r="AC368" i="2" s="1"/>
  <c r="AC479" i="2" s="1"/>
  <c r="AC590" i="2" s="1"/>
  <c r="AB146" i="2"/>
  <c r="AB257" i="2" s="1"/>
  <c r="AB368" i="2" s="1"/>
  <c r="AB479" i="2" s="1"/>
  <c r="AB590" i="2" s="1"/>
  <c r="AA146" i="2"/>
  <c r="AA257" i="2" s="1"/>
  <c r="AA368" i="2" s="1"/>
  <c r="AA479" i="2" s="1"/>
  <c r="AA590" i="2" s="1"/>
  <c r="Z146" i="2"/>
  <c r="Z257" i="2" s="1"/>
  <c r="Z368" i="2" s="1"/>
  <c r="Z479" i="2" s="1"/>
  <c r="Z590" i="2" s="1"/>
  <c r="Y146" i="2"/>
  <c r="Y257" i="2" s="1"/>
  <c r="Y368" i="2" s="1"/>
  <c r="Y479" i="2" s="1"/>
  <c r="Y590" i="2" s="1"/>
  <c r="X146" i="2"/>
  <c r="X257" i="2" s="1"/>
  <c r="X368" i="2" s="1"/>
  <c r="X479" i="2" s="1"/>
  <c r="X590" i="2" s="1"/>
  <c r="V146" i="2"/>
  <c r="V257" i="2" s="1"/>
  <c r="V368" i="2" s="1"/>
  <c r="V479" i="2" s="1"/>
  <c r="V590" i="2" s="1"/>
  <c r="U146" i="2"/>
  <c r="U257" i="2" s="1"/>
  <c r="U368" i="2" s="1"/>
  <c r="U479" i="2" s="1"/>
  <c r="U590" i="2" s="1"/>
  <c r="T146" i="2"/>
  <c r="T257" i="2" s="1"/>
  <c r="T368" i="2" s="1"/>
  <c r="T479" i="2" s="1"/>
  <c r="T590" i="2" s="1"/>
  <c r="S146" i="2"/>
  <c r="S257" i="2" s="1"/>
  <c r="S368" i="2" s="1"/>
  <c r="S479" i="2" s="1"/>
  <c r="S590" i="2" s="1"/>
  <c r="R146" i="2"/>
  <c r="R257" i="2" s="1"/>
  <c r="R368" i="2" s="1"/>
  <c r="R479" i="2" s="1"/>
  <c r="R590" i="2" s="1"/>
  <c r="Q146" i="2"/>
  <c r="Q257" i="2" s="1"/>
  <c r="Q368" i="2" s="1"/>
  <c r="Q479" i="2" s="1"/>
  <c r="Q590" i="2" s="1"/>
  <c r="P146" i="2"/>
  <c r="P257" i="2" s="1"/>
  <c r="P368" i="2" s="1"/>
  <c r="P479" i="2" s="1"/>
  <c r="P590" i="2" s="1"/>
  <c r="O146" i="2"/>
  <c r="O257" i="2" s="1"/>
  <c r="O368" i="2" s="1"/>
  <c r="O479" i="2" s="1"/>
  <c r="O590" i="2" s="1"/>
  <c r="N146" i="2"/>
  <c r="N257" i="2" s="1"/>
  <c r="N368" i="2" s="1"/>
  <c r="N479" i="2" s="1"/>
  <c r="N590" i="2" s="1"/>
  <c r="M146" i="2"/>
  <c r="M257" i="2" s="1"/>
  <c r="M368" i="2" s="1"/>
  <c r="M479" i="2" s="1"/>
  <c r="M590" i="2" s="1"/>
  <c r="L146" i="2"/>
  <c r="L257" i="2" s="1"/>
  <c r="L368" i="2" s="1"/>
  <c r="L479" i="2" s="1"/>
  <c r="L590" i="2" s="1"/>
  <c r="J146" i="2"/>
  <c r="J257" i="2" s="1"/>
  <c r="J368" i="2" s="1"/>
  <c r="J479" i="2" s="1"/>
  <c r="J590" i="2" s="1"/>
  <c r="I146" i="2"/>
  <c r="I257" i="2" s="1"/>
  <c r="I368" i="2" s="1"/>
  <c r="I479" i="2" s="1"/>
  <c r="I590" i="2" s="1"/>
  <c r="H146" i="2"/>
  <c r="H257" i="2" s="1"/>
  <c r="H368" i="2" s="1"/>
  <c r="H479" i="2" s="1"/>
  <c r="H590" i="2" s="1"/>
  <c r="G146" i="2"/>
  <c r="G257" i="2" s="1"/>
  <c r="G368" i="2" s="1"/>
  <c r="G479" i="2" s="1"/>
  <c r="G590" i="2" s="1"/>
  <c r="F146" i="2"/>
  <c r="F257" i="2" s="1"/>
  <c r="F368" i="2" s="1"/>
  <c r="F479" i="2" s="1"/>
  <c r="F590" i="2" s="1"/>
  <c r="C146" i="2"/>
  <c r="C257" i="2" s="1"/>
  <c r="C368" i="2" s="1"/>
  <c r="C479" i="2" s="1"/>
  <c r="C590" i="2" s="1"/>
  <c r="B146" i="2"/>
  <c r="B257" i="2" s="1"/>
  <c r="B368" i="2" s="1"/>
  <c r="B479" i="2" s="1"/>
  <c r="B590" i="2" s="1"/>
  <c r="AF145" i="2"/>
  <c r="AF256" i="2" s="1"/>
  <c r="AF367" i="2" s="1"/>
  <c r="AF478" i="2" s="1"/>
  <c r="AF589" i="2" s="1"/>
  <c r="AE145" i="2"/>
  <c r="AE256" i="2" s="1"/>
  <c r="AE367" i="2" s="1"/>
  <c r="AE478" i="2" s="1"/>
  <c r="AE589" i="2" s="1"/>
  <c r="AD145" i="2"/>
  <c r="AD256" i="2" s="1"/>
  <c r="AD367" i="2" s="1"/>
  <c r="AD478" i="2" s="1"/>
  <c r="AD589" i="2" s="1"/>
  <c r="AC145" i="2"/>
  <c r="AC256" i="2" s="1"/>
  <c r="AC367" i="2" s="1"/>
  <c r="AC478" i="2" s="1"/>
  <c r="AC589" i="2" s="1"/>
  <c r="AB145" i="2"/>
  <c r="AB256" i="2" s="1"/>
  <c r="AB367" i="2" s="1"/>
  <c r="AB478" i="2" s="1"/>
  <c r="AB589" i="2" s="1"/>
  <c r="AA145" i="2"/>
  <c r="AA256" i="2" s="1"/>
  <c r="AA367" i="2" s="1"/>
  <c r="AA478" i="2" s="1"/>
  <c r="AA589" i="2" s="1"/>
  <c r="Z145" i="2"/>
  <c r="Z256" i="2" s="1"/>
  <c r="Z367" i="2" s="1"/>
  <c r="Z478" i="2" s="1"/>
  <c r="Z589" i="2" s="1"/>
  <c r="X145" i="2"/>
  <c r="X256" i="2" s="1"/>
  <c r="X367" i="2" s="1"/>
  <c r="X478" i="2" s="1"/>
  <c r="X589" i="2" s="1"/>
  <c r="V145" i="2"/>
  <c r="V256" i="2" s="1"/>
  <c r="V367" i="2" s="1"/>
  <c r="V478" i="2" s="1"/>
  <c r="V589" i="2" s="1"/>
  <c r="U145" i="2"/>
  <c r="U256" i="2" s="1"/>
  <c r="U367" i="2" s="1"/>
  <c r="U478" i="2" s="1"/>
  <c r="U589" i="2" s="1"/>
  <c r="T145" i="2"/>
  <c r="T256" i="2" s="1"/>
  <c r="T367" i="2" s="1"/>
  <c r="T478" i="2" s="1"/>
  <c r="T589" i="2" s="1"/>
  <c r="S145" i="2"/>
  <c r="S256" i="2" s="1"/>
  <c r="S367" i="2" s="1"/>
  <c r="S478" i="2" s="1"/>
  <c r="S589" i="2" s="1"/>
  <c r="R145" i="2"/>
  <c r="R256" i="2" s="1"/>
  <c r="R367" i="2" s="1"/>
  <c r="R478" i="2" s="1"/>
  <c r="R589" i="2" s="1"/>
  <c r="Q145" i="2"/>
  <c r="Q256" i="2" s="1"/>
  <c r="Q367" i="2" s="1"/>
  <c r="Q478" i="2" s="1"/>
  <c r="Q589" i="2" s="1"/>
  <c r="P145" i="2"/>
  <c r="P256" i="2" s="1"/>
  <c r="P367" i="2" s="1"/>
  <c r="P478" i="2" s="1"/>
  <c r="P589" i="2" s="1"/>
  <c r="O145" i="2"/>
  <c r="O256" i="2" s="1"/>
  <c r="O367" i="2" s="1"/>
  <c r="O478" i="2" s="1"/>
  <c r="O589" i="2" s="1"/>
  <c r="N145" i="2"/>
  <c r="N256" i="2" s="1"/>
  <c r="N367" i="2" s="1"/>
  <c r="N478" i="2" s="1"/>
  <c r="N589" i="2" s="1"/>
  <c r="M145" i="2"/>
  <c r="M256" i="2" s="1"/>
  <c r="M367" i="2" s="1"/>
  <c r="M478" i="2" s="1"/>
  <c r="M589" i="2" s="1"/>
  <c r="L145" i="2"/>
  <c r="L256" i="2" s="1"/>
  <c r="L367" i="2" s="1"/>
  <c r="L478" i="2" s="1"/>
  <c r="L589" i="2" s="1"/>
  <c r="J145" i="2"/>
  <c r="J256" i="2" s="1"/>
  <c r="J367" i="2" s="1"/>
  <c r="J478" i="2" s="1"/>
  <c r="J589" i="2" s="1"/>
  <c r="I145" i="2"/>
  <c r="I256" i="2" s="1"/>
  <c r="I367" i="2" s="1"/>
  <c r="I478" i="2" s="1"/>
  <c r="I589" i="2" s="1"/>
  <c r="H145" i="2"/>
  <c r="H256" i="2" s="1"/>
  <c r="H367" i="2" s="1"/>
  <c r="H478" i="2" s="1"/>
  <c r="H589" i="2" s="1"/>
  <c r="G145" i="2"/>
  <c r="G256" i="2" s="1"/>
  <c r="G367" i="2" s="1"/>
  <c r="G478" i="2" s="1"/>
  <c r="G589" i="2" s="1"/>
  <c r="F145" i="2"/>
  <c r="F256" i="2" s="1"/>
  <c r="F367" i="2" s="1"/>
  <c r="F478" i="2" s="1"/>
  <c r="F589" i="2" s="1"/>
  <c r="C145" i="2"/>
  <c r="C256" i="2" s="1"/>
  <c r="C367" i="2" s="1"/>
  <c r="C478" i="2" s="1"/>
  <c r="C589" i="2" s="1"/>
  <c r="B145" i="2"/>
  <c r="B256" i="2" s="1"/>
  <c r="B367" i="2" s="1"/>
  <c r="B478" i="2" s="1"/>
  <c r="B589" i="2" s="1"/>
  <c r="AF144" i="2"/>
  <c r="AF255" i="2" s="1"/>
  <c r="AF366" i="2" s="1"/>
  <c r="AF477" i="2" s="1"/>
  <c r="AF588" i="2" s="1"/>
  <c r="AE144" i="2"/>
  <c r="AE255" i="2" s="1"/>
  <c r="AE366" i="2" s="1"/>
  <c r="AE477" i="2" s="1"/>
  <c r="AE588" i="2" s="1"/>
  <c r="AD144" i="2"/>
  <c r="AD255" i="2" s="1"/>
  <c r="AD366" i="2" s="1"/>
  <c r="AD477" i="2" s="1"/>
  <c r="AD588" i="2" s="1"/>
  <c r="AC144" i="2"/>
  <c r="AC255" i="2" s="1"/>
  <c r="AC366" i="2" s="1"/>
  <c r="AC477" i="2" s="1"/>
  <c r="AC588" i="2" s="1"/>
  <c r="AB144" i="2"/>
  <c r="AB255" i="2" s="1"/>
  <c r="AB366" i="2" s="1"/>
  <c r="AB477" i="2" s="1"/>
  <c r="AB588" i="2" s="1"/>
  <c r="AA144" i="2"/>
  <c r="AA255" i="2" s="1"/>
  <c r="AA366" i="2" s="1"/>
  <c r="AA477" i="2" s="1"/>
  <c r="AA588" i="2" s="1"/>
  <c r="Z144" i="2"/>
  <c r="Z255" i="2" s="1"/>
  <c r="Z366" i="2" s="1"/>
  <c r="Z477" i="2" s="1"/>
  <c r="Z588" i="2" s="1"/>
  <c r="Y144" i="2"/>
  <c r="Y255" i="2" s="1"/>
  <c r="Y366" i="2" s="1"/>
  <c r="Y477" i="2" s="1"/>
  <c r="Y588" i="2" s="1"/>
  <c r="X144" i="2"/>
  <c r="X255" i="2" s="1"/>
  <c r="X366" i="2" s="1"/>
  <c r="X477" i="2" s="1"/>
  <c r="X588" i="2" s="1"/>
  <c r="V144" i="2"/>
  <c r="V255" i="2" s="1"/>
  <c r="V366" i="2" s="1"/>
  <c r="V477" i="2" s="1"/>
  <c r="V588" i="2" s="1"/>
  <c r="U144" i="2"/>
  <c r="U255" i="2" s="1"/>
  <c r="U366" i="2" s="1"/>
  <c r="U477" i="2" s="1"/>
  <c r="U588" i="2" s="1"/>
  <c r="T144" i="2"/>
  <c r="T255" i="2" s="1"/>
  <c r="T366" i="2" s="1"/>
  <c r="T477" i="2" s="1"/>
  <c r="T588" i="2" s="1"/>
  <c r="S144" i="2"/>
  <c r="S255" i="2" s="1"/>
  <c r="S366" i="2" s="1"/>
  <c r="S477" i="2" s="1"/>
  <c r="S588" i="2" s="1"/>
  <c r="R144" i="2"/>
  <c r="R255" i="2" s="1"/>
  <c r="R366" i="2" s="1"/>
  <c r="R477" i="2" s="1"/>
  <c r="R588" i="2" s="1"/>
  <c r="Q144" i="2"/>
  <c r="Q255" i="2" s="1"/>
  <c r="Q366" i="2" s="1"/>
  <c r="Q477" i="2" s="1"/>
  <c r="Q588" i="2" s="1"/>
  <c r="P144" i="2"/>
  <c r="P255" i="2" s="1"/>
  <c r="P366" i="2" s="1"/>
  <c r="P477" i="2" s="1"/>
  <c r="P588" i="2" s="1"/>
  <c r="O144" i="2"/>
  <c r="O255" i="2" s="1"/>
  <c r="O366" i="2" s="1"/>
  <c r="O477" i="2" s="1"/>
  <c r="O588" i="2" s="1"/>
  <c r="N144" i="2"/>
  <c r="N255" i="2" s="1"/>
  <c r="N366" i="2" s="1"/>
  <c r="N477" i="2" s="1"/>
  <c r="N588" i="2" s="1"/>
  <c r="M144" i="2"/>
  <c r="M255" i="2" s="1"/>
  <c r="M366" i="2" s="1"/>
  <c r="M477" i="2" s="1"/>
  <c r="M588" i="2" s="1"/>
  <c r="L144" i="2"/>
  <c r="L255" i="2" s="1"/>
  <c r="L366" i="2" s="1"/>
  <c r="L477" i="2" s="1"/>
  <c r="L588" i="2" s="1"/>
  <c r="J144" i="2"/>
  <c r="J255" i="2" s="1"/>
  <c r="J366" i="2" s="1"/>
  <c r="J477" i="2" s="1"/>
  <c r="J588" i="2" s="1"/>
  <c r="I144" i="2"/>
  <c r="I255" i="2" s="1"/>
  <c r="I366" i="2" s="1"/>
  <c r="I477" i="2" s="1"/>
  <c r="I588" i="2" s="1"/>
  <c r="H144" i="2"/>
  <c r="H255" i="2" s="1"/>
  <c r="H366" i="2" s="1"/>
  <c r="H477" i="2" s="1"/>
  <c r="H588" i="2" s="1"/>
  <c r="G144" i="2"/>
  <c r="G255" i="2" s="1"/>
  <c r="G366" i="2" s="1"/>
  <c r="G477" i="2" s="1"/>
  <c r="G588" i="2" s="1"/>
  <c r="F144" i="2"/>
  <c r="F255" i="2" s="1"/>
  <c r="F366" i="2" s="1"/>
  <c r="F477" i="2" s="1"/>
  <c r="F588" i="2" s="1"/>
  <c r="C144" i="2"/>
  <c r="C255" i="2" s="1"/>
  <c r="C366" i="2" s="1"/>
  <c r="C477" i="2" s="1"/>
  <c r="C588" i="2" s="1"/>
  <c r="B144" i="2"/>
  <c r="B255" i="2" s="1"/>
  <c r="B366" i="2" s="1"/>
  <c r="B477" i="2" s="1"/>
  <c r="B588" i="2" s="1"/>
  <c r="AF143" i="2"/>
  <c r="AF254" i="2" s="1"/>
  <c r="AF365" i="2" s="1"/>
  <c r="AF476" i="2" s="1"/>
  <c r="AF587" i="2" s="1"/>
  <c r="AE143" i="2"/>
  <c r="AE254" i="2" s="1"/>
  <c r="AE365" i="2" s="1"/>
  <c r="AE476" i="2" s="1"/>
  <c r="AE587" i="2" s="1"/>
  <c r="AD143" i="2"/>
  <c r="AD254" i="2" s="1"/>
  <c r="AD365" i="2" s="1"/>
  <c r="AD476" i="2" s="1"/>
  <c r="AD587" i="2" s="1"/>
  <c r="AC143" i="2"/>
  <c r="AC254" i="2" s="1"/>
  <c r="AC365" i="2" s="1"/>
  <c r="AC476" i="2" s="1"/>
  <c r="AC587" i="2" s="1"/>
  <c r="AB143" i="2"/>
  <c r="AB254" i="2" s="1"/>
  <c r="AB365" i="2" s="1"/>
  <c r="AB476" i="2" s="1"/>
  <c r="AB587" i="2" s="1"/>
  <c r="AA143" i="2"/>
  <c r="AA254" i="2" s="1"/>
  <c r="AA365" i="2" s="1"/>
  <c r="AA476" i="2" s="1"/>
  <c r="AA587" i="2" s="1"/>
  <c r="Z143" i="2"/>
  <c r="Z254" i="2" s="1"/>
  <c r="Z365" i="2" s="1"/>
  <c r="Z476" i="2" s="1"/>
  <c r="Z587" i="2" s="1"/>
  <c r="X143" i="2"/>
  <c r="X254" i="2" s="1"/>
  <c r="X365" i="2" s="1"/>
  <c r="X476" i="2" s="1"/>
  <c r="X587" i="2" s="1"/>
  <c r="V143" i="2"/>
  <c r="V254" i="2" s="1"/>
  <c r="V365" i="2" s="1"/>
  <c r="V476" i="2" s="1"/>
  <c r="V587" i="2" s="1"/>
  <c r="U143" i="2"/>
  <c r="U254" i="2" s="1"/>
  <c r="U365" i="2" s="1"/>
  <c r="U476" i="2" s="1"/>
  <c r="U587" i="2" s="1"/>
  <c r="T143" i="2"/>
  <c r="T254" i="2" s="1"/>
  <c r="T365" i="2" s="1"/>
  <c r="T476" i="2" s="1"/>
  <c r="T587" i="2" s="1"/>
  <c r="S143" i="2"/>
  <c r="S254" i="2" s="1"/>
  <c r="S365" i="2" s="1"/>
  <c r="S476" i="2" s="1"/>
  <c r="S587" i="2" s="1"/>
  <c r="R143" i="2"/>
  <c r="R254" i="2" s="1"/>
  <c r="R365" i="2" s="1"/>
  <c r="R476" i="2" s="1"/>
  <c r="R587" i="2" s="1"/>
  <c r="Q143" i="2"/>
  <c r="Q254" i="2" s="1"/>
  <c r="Q365" i="2" s="1"/>
  <c r="Q476" i="2" s="1"/>
  <c r="Q587" i="2" s="1"/>
  <c r="P143" i="2"/>
  <c r="P254" i="2" s="1"/>
  <c r="P365" i="2" s="1"/>
  <c r="P476" i="2" s="1"/>
  <c r="P587" i="2" s="1"/>
  <c r="O143" i="2"/>
  <c r="O254" i="2" s="1"/>
  <c r="O365" i="2" s="1"/>
  <c r="O476" i="2" s="1"/>
  <c r="O587" i="2" s="1"/>
  <c r="N143" i="2"/>
  <c r="N254" i="2" s="1"/>
  <c r="N365" i="2" s="1"/>
  <c r="N476" i="2" s="1"/>
  <c r="N587" i="2" s="1"/>
  <c r="M143" i="2"/>
  <c r="M254" i="2" s="1"/>
  <c r="M365" i="2" s="1"/>
  <c r="M476" i="2" s="1"/>
  <c r="M587" i="2" s="1"/>
  <c r="L143" i="2"/>
  <c r="L254" i="2" s="1"/>
  <c r="L365" i="2" s="1"/>
  <c r="L476" i="2" s="1"/>
  <c r="L587" i="2" s="1"/>
  <c r="J143" i="2"/>
  <c r="J254" i="2" s="1"/>
  <c r="J365" i="2" s="1"/>
  <c r="J476" i="2" s="1"/>
  <c r="J587" i="2" s="1"/>
  <c r="I143" i="2"/>
  <c r="I254" i="2" s="1"/>
  <c r="I365" i="2" s="1"/>
  <c r="I476" i="2" s="1"/>
  <c r="I587" i="2" s="1"/>
  <c r="H143" i="2"/>
  <c r="H254" i="2" s="1"/>
  <c r="H365" i="2" s="1"/>
  <c r="H476" i="2" s="1"/>
  <c r="H587" i="2" s="1"/>
  <c r="G143" i="2"/>
  <c r="G254" i="2" s="1"/>
  <c r="G365" i="2" s="1"/>
  <c r="G476" i="2" s="1"/>
  <c r="G587" i="2" s="1"/>
  <c r="F143" i="2"/>
  <c r="F254" i="2" s="1"/>
  <c r="F365" i="2" s="1"/>
  <c r="F476" i="2" s="1"/>
  <c r="F587" i="2" s="1"/>
  <c r="C143" i="2"/>
  <c r="C254" i="2" s="1"/>
  <c r="C365" i="2" s="1"/>
  <c r="C476" i="2" s="1"/>
  <c r="C587" i="2" s="1"/>
  <c r="B143" i="2"/>
  <c r="B254" i="2" s="1"/>
  <c r="B365" i="2" s="1"/>
  <c r="B476" i="2" s="1"/>
  <c r="B587" i="2" s="1"/>
  <c r="AF142" i="2"/>
  <c r="AF253" i="2" s="1"/>
  <c r="AF364" i="2" s="1"/>
  <c r="AF475" i="2" s="1"/>
  <c r="AF586" i="2" s="1"/>
  <c r="AE142" i="2"/>
  <c r="AE253" i="2" s="1"/>
  <c r="AE364" i="2" s="1"/>
  <c r="AE475" i="2" s="1"/>
  <c r="AE586" i="2" s="1"/>
  <c r="AD142" i="2"/>
  <c r="AD253" i="2" s="1"/>
  <c r="AD364" i="2" s="1"/>
  <c r="AD475" i="2" s="1"/>
  <c r="AD586" i="2" s="1"/>
  <c r="AC142" i="2"/>
  <c r="AC253" i="2" s="1"/>
  <c r="AC364" i="2" s="1"/>
  <c r="AC475" i="2" s="1"/>
  <c r="AC586" i="2" s="1"/>
  <c r="AB142" i="2"/>
  <c r="AB253" i="2" s="1"/>
  <c r="AB364" i="2" s="1"/>
  <c r="AB475" i="2" s="1"/>
  <c r="AB586" i="2" s="1"/>
  <c r="AA142" i="2"/>
  <c r="AA253" i="2" s="1"/>
  <c r="AA364" i="2" s="1"/>
  <c r="AA475" i="2" s="1"/>
  <c r="AA586" i="2" s="1"/>
  <c r="Z142" i="2"/>
  <c r="Z253" i="2" s="1"/>
  <c r="Z364" i="2" s="1"/>
  <c r="Z475" i="2" s="1"/>
  <c r="Z586" i="2" s="1"/>
  <c r="Y142" i="2"/>
  <c r="Y253" i="2" s="1"/>
  <c r="Y364" i="2" s="1"/>
  <c r="Y475" i="2" s="1"/>
  <c r="Y586" i="2" s="1"/>
  <c r="X142" i="2"/>
  <c r="X253" i="2" s="1"/>
  <c r="X364" i="2" s="1"/>
  <c r="X475" i="2" s="1"/>
  <c r="X586" i="2" s="1"/>
  <c r="V142" i="2"/>
  <c r="V253" i="2" s="1"/>
  <c r="V364" i="2" s="1"/>
  <c r="V475" i="2" s="1"/>
  <c r="V586" i="2" s="1"/>
  <c r="U142" i="2"/>
  <c r="U253" i="2" s="1"/>
  <c r="U364" i="2" s="1"/>
  <c r="U475" i="2" s="1"/>
  <c r="U586" i="2" s="1"/>
  <c r="T142" i="2"/>
  <c r="T253" i="2" s="1"/>
  <c r="T364" i="2" s="1"/>
  <c r="T475" i="2" s="1"/>
  <c r="T586" i="2" s="1"/>
  <c r="S142" i="2"/>
  <c r="S253" i="2" s="1"/>
  <c r="S364" i="2" s="1"/>
  <c r="S475" i="2" s="1"/>
  <c r="S586" i="2" s="1"/>
  <c r="R142" i="2"/>
  <c r="R253" i="2" s="1"/>
  <c r="R364" i="2" s="1"/>
  <c r="R475" i="2" s="1"/>
  <c r="R586" i="2" s="1"/>
  <c r="Q142" i="2"/>
  <c r="Q253" i="2" s="1"/>
  <c r="Q364" i="2" s="1"/>
  <c r="Q475" i="2" s="1"/>
  <c r="Q586" i="2" s="1"/>
  <c r="P142" i="2"/>
  <c r="P253" i="2" s="1"/>
  <c r="P364" i="2" s="1"/>
  <c r="P475" i="2" s="1"/>
  <c r="P586" i="2" s="1"/>
  <c r="O142" i="2"/>
  <c r="O253" i="2" s="1"/>
  <c r="O364" i="2" s="1"/>
  <c r="O475" i="2" s="1"/>
  <c r="O586" i="2" s="1"/>
  <c r="N142" i="2"/>
  <c r="N253" i="2" s="1"/>
  <c r="N364" i="2" s="1"/>
  <c r="N475" i="2" s="1"/>
  <c r="N586" i="2" s="1"/>
  <c r="M142" i="2"/>
  <c r="M253" i="2" s="1"/>
  <c r="M364" i="2" s="1"/>
  <c r="M475" i="2" s="1"/>
  <c r="M586" i="2" s="1"/>
  <c r="L142" i="2"/>
  <c r="L253" i="2" s="1"/>
  <c r="L364" i="2" s="1"/>
  <c r="L475" i="2" s="1"/>
  <c r="L586" i="2" s="1"/>
  <c r="J142" i="2"/>
  <c r="J253" i="2" s="1"/>
  <c r="J364" i="2" s="1"/>
  <c r="J475" i="2" s="1"/>
  <c r="J586" i="2" s="1"/>
  <c r="I142" i="2"/>
  <c r="I253" i="2" s="1"/>
  <c r="I364" i="2" s="1"/>
  <c r="I475" i="2" s="1"/>
  <c r="I586" i="2" s="1"/>
  <c r="H142" i="2"/>
  <c r="H253" i="2" s="1"/>
  <c r="H364" i="2" s="1"/>
  <c r="H475" i="2" s="1"/>
  <c r="H586" i="2" s="1"/>
  <c r="G142" i="2"/>
  <c r="G253" i="2" s="1"/>
  <c r="G364" i="2" s="1"/>
  <c r="G475" i="2" s="1"/>
  <c r="G586" i="2" s="1"/>
  <c r="F142" i="2"/>
  <c r="F253" i="2" s="1"/>
  <c r="F364" i="2" s="1"/>
  <c r="F475" i="2" s="1"/>
  <c r="F586" i="2" s="1"/>
  <c r="C142" i="2"/>
  <c r="C253" i="2" s="1"/>
  <c r="C364" i="2" s="1"/>
  <c r="C475" i="2" s="1"/>
  <c r="C586" i="2" s="1"/>
  <c r="B142" i="2"/>
  <c r="B253" i="2" s="1"/>
  <c r="B364" i="2" s="1"/>
  <c r="B475" i="2" s="1"/>
  <c r="B586" i="2" s="1"/>
  <c r="AF141" i="2"/>
  <c r="AF252" i="2" s="1"/>
  <c r="AF363" i="2" s="1"/>
  <c r="AF474" i="2" s="1"/>
  <c r="AF585" i="2" s="1"/>
  <c r="AE141" i="2"/>
  <c r="AE252" i="2" s="1"/>
  <c r="AE363" i="2" s="1"/>
  <c r="AE474" i="2" s="1"/>
  <c r="AE585" i="2" s="1"/>
  <c r="AD141" i="2"/>
  <c r="AD252" i="2" s="1"/>
  <c r="AD363" i="2" s="1"/>
  <c r="AD474" i="2" s="1"/>
  <c r="AD585" i="2" s="1"/>
  <c r="AC141" i="2"/>
  <c r="AC252" i="2" s="1"/>
  <c r="AC363" i="2" s="1"/>
  <c r="AC474" i="2" s="1"/>
  <c r="AC585" i="2" s="1"/>
  <c r="AB141" i="2"/>
  <c r="AB252" i="2" s="1"/>
  <c r="AB363" i="2" s="1"/>
  <c r="AB474" i="2" s="1"/>
  <c r="AB585" i="2" s="1"/>
  <c r="AA141" i="2"/>
  <c r="AA252" i="2" s="1"/>
  <c r="AA363" i="2" s="1"/>
  <c r="AA474" i="2" s="1"/>
  <c r="AA585" i="2" s="1"/>
  <c r="Z141" i="2"/>
  <c r="Z252" i="2" s="1"/>
  <c r="Z363" i="2" s="1"/>
  <c r="Z474" i="2" s="1"/>
  <c r="Z585" i="2" s="1"/>
  <c r="X141" i="2"/>
  <c r="X252" i="2" s="1"/>
  <c r="X363" i="2" s="1"/>
  <c r="X474" i="2" s="1"/>
  <c r="X585" i="2" s="1"/>
  <c r="V141" i="2"/>
  <c r="V252" i="2" s="1"/>
  <c r="V363" i="2" s="1"/>
  <c r="V474" i="2" s="1"/>
  <c r="V585" i="2" s="1"/>
  <c r="U141" i="2"/>
  <c r="U252" i="2" s="1"/>
  <c r="U363" i="2" s="1"/>
  <c r="U474" i="2" s="1"/>
  <c r="U585" i="2" s="1"/>
  <c r="T141" i="2"/>
  <c r="T252" i="2" s="1"/>
  <c r="T363" i="2" s="1"/>
  <c r="T474" i="2" s="1"/>
  <c r="T585" i="2" s="1"/>
  <c r="S141" i="2"/>
  <c r="S252" i="2" s="1"/>
  <c r="S363" i="2" s="1"/>
  <c r="S474" i="2" s="1"/>
  <c r="S585" i="2" s="1"/>
  <c r="R141" i="2"/>
  <c r="R252" i="2" s="1"/>
  <c r="R363" i="2" s="1"/>
  <c r="R474" i="2" s="1"/>
  <c r="R585" i="2" s="1"/>
  <c r="Q141" i="2"/>
  <c r="Q252" i="2" s="1"/>
  <c r="Q363" i="2" s="1"/>
  <c r="Q474" i="2" s="1"/>
  <c r="Q585" i="2" s="1"/>
  <c r="P141" i="2"/>
  <c r="P252" i="2" s="1"/>
  <c r="P363" i="2" s="1"/>
  <c r="P474" i="2" s="1"/>
  <c r="P585" i="2" s="1"/>
  <c r="O141" i="2"/>
  <c r="O252" i="2" s="1"/>
  <c r="O363" i="2" s="1"/>
  <c r="O474" i="2" s="1"/>
  <c r="O585" i="2" s="1"/>
  <c r="N141" i="2"/>
  <c r="N252" i="2" s="1"/>
  <c r="N363" i="2" s="1"/>
  <c r="N474" i="2" s="1"/>
  <c r="N585" i="2" s="1"/>
  <c r="M141" i="2"/>
  <c r="M252" i="2" s="1"/>
  <c r="M363" i="2" s="1"/>
  <c r="M474" i="2" s="1"/>
  <c r="M585" i="2" s="1"/>
  <c r="L141" i="2"/>
  <c r="L252" i="2" s="1"/>
  <c r="L363" i="2" s="1"/>
  <c r="L474" i="2" s="1"/>
  <c r="L585" i="2" s="1"/>
  <c r="J141" i="2"/>
  <c r="J252" i="2" s="1"/>
  <c r="J363" i="2" s="1"/>
  <c r="J474" i="2" s="1"/>
  <c r="J585" i="2" s="1"/>
  <c r="I141" i="2"/>
  <c r="I252" i="2" s="1"/>
  <c r="I363" i="2" s="1"/>
  <c r="I474" i="2" s="1"/>
  <c r="I585" i="2" s="1"/>
  <c r="H141" i="2"/>
  <c r="H252" i="2" s="1"/>
  <c r="H363" i="2" s="1"/>
  <c r="H474" i="2" s="1"/>
  <c r="H585" i="2" s="1"/>
  <c r="G141" i="2"/>
  <c r="G252" i="2" s="1"/>
  <c r="G363" i="2" s="1"/>
  <c r="G474" i="2" s="1"/>
  <c r="G585" i="2" s="1"/>
  <c r="F141" i="2"/>
  <c r="F252" i="2" s="1"/>
  <c r="F363" i="2" s="1"/>
  <c r="F474" i="2" s="1"/>
  <c r="F585" i="2" s="1"/>
  <c r="C141" i="2"/>
  <c r="C252" i="2" s="1"/>
  <c r="C363" i="2" s="1"/>
  <c r="C474" i="2" s="1"/>
  <c r="C585" i="2" s="1"/>
  <c r="B141" i="2"/>
  <c r="B252" i="2" s="1"/>
  <c r="B363" i="2" s="1"/>
  <c r="B474" i="2" s="1"/>
  <c r="B585" i="2" s="1"/>
  <c r="AF140" i="2"/>
  <c r="AF251" i="2" s="1"/>
  <c r="AF362" i="2" s="1"/>
  <c r="AF473" i="2" s="1"/>
  <c r="AF584" i="2" s="1"/>
  <c r="AE140" i="2"/>
  <c r="AE251" i="2" s="1"/>
  <c r="AE362" i="2" s="1"/>
  <c r="AE473" i="2" s="1"/>
  <c r="AE584" i="2" s="1"/>
  <c r="AD140" i="2"/>
  <c r="AD251" i="2" s="1"/>
  <c r="AD362" i="2" s="1"/>
  <c r="AD473" i="2" s="1"/>
  <c r="AD584" i="2" s="1"/>
  <c r="AC140" i="2"/>
  <c r="AC251" i="2" s="1"/>
  <c r="AC362" i="2" s="1"/>
  <c r="AC473" i="2" s="1"/>
  <c r="AC584" i="2" s="1"/>
  <c r="AB140" i="2"/>
  <c r="AB251" i="2" s="1"/>
  <c r="AB362" i="2" s="1"/>
  <c r="AB473" i="2" s="1"/>
  <c r="AB584" i="2" s="1"/>
  <c r="AA140" i="2"/>
  <c r="AA251" i="2" s="1"/>
  <c r="AA362" i="2" s="1"/>
  <c r="AA473" i="2" s="1"/>
  <c r="AA584" i="2" s="1"/>
  <c r="Z140" i="2"/>
  <c r="Z251" i="2" s="1"/>
  <c r="Z362" i="2" s="1"/>
  <c r="Z473" i="2" s="1"/>
  <c r="Z584" i="2" s="1"/>
  <c r="X140" i="2"/>
  <c r="X251" i="2" s="1"/>
  <c r="X362" i="2" s="1"/>
  <c r="X473" i="2" s="1"/>
  <c r="X584" i="2" s="1"/>
  <c r="V140" i="2"/>
  <c r="V251" i="2" s="1"/>
  <c r="V362" i="2" s="1"/>
  <c r="V473" i="2" s="1"/>
  <c r="V584" i="2" s="1"/>
  <c r="U140" i="2"/>
  <c r="U251" i="2" s="1"/>
  <c r="U362" i="2" s="1"/>
  <c r="U473" i="2" s="1"/>
  <c r="U584" i="2" s="1"/>
  <c r="T140" i="2"/>
  <c r="T251" i="2" s="1"/>
  <c r="T362" i="2" s="1"/>
  <c r="T473" i="2" s="1"/>
  <c r="T584" i="2" s="1"/>
  <c r="S140" i="2"/>
  <c r="S251" i="2" s="1"/>
  <c r="S362" i="2" s="1"/>
  <c r="S473" i="2" s="1"/>
  <c r="S584" i="2" s="1"/>
  <c r="R140" i="2"/>
  <c r="R251" i="2" s="1"/>
  <c r="R362" i="2" s="1"/>
  <c r="R473" i="2" s="1"/>
  <c r="R584" i="2" s="1"/>
  <c r="Q140" i="2"/>
  <c r="Q251" i="2" s="1"/>
  <c r="Q362" i="2" s="1"/>
  <c r="Q473" i="2" s="1"/>
  <c r="Q584" i="2" s="1"/>
  <c r="P140" i="2"/>
  <c r="P251" i="2" s="1"/>
  <c r="P362" i="2" s="1"/>
  <c r="P473" i="2" s="1"/>
  <c r="P584" i="2" s="1"/>
  <c r="O140" i="2"/>
  <c r="O251" i="2" s="1"/>
  <c r="O362" i="2" s="1"/>
  <c r="O473" i="2" s="1"/>
  <c r="O584" i="2" s="1"/>
  <c r="N140" i="2"/>
  <c r="N251" i="2" s="1"/>
  <c r="N362" i="2" s="1"/>
  <c r="N473" i="2" s="1"/>
  <c r="N584" i="2" s="1"/>
  <c r="M140" i="2"/>
  <c r="M251" i="2" s="1"/>
  <c r="M362" i="2" s="1"/>
  <c r="M473" i="2" s="1"/>
  <c r="M584" i="2" s="1"/>
  <c r="L140" i="2"/>
  <c r="L251" i="2" s="1"/>
  <c r="L362" i="2" s="1"/>
  <c r="L473" i="2" s="1"/>
  <c r="L584" i="2" s="1"/>
  <c r="J140" i="2"/>
  <c r="J251" i="2" s="1"/>
  <c r="J362" i="2" s="1"/>
  <c r="J473" i="2" s="1"/>
  <c r="J584" i="2" s="1"/>
  <c r="I140" i="2"/>
  <c r="I251" i="2" s="1"/>
  <c r="I362" i="2" s="1"/>
  <c r="I473" i="2" s="1"/>
  <c r="I584" i="2" s="1"/>
  <c r="H140" i="2"/>
  <c r="H251" i="2" s="1"/>
  <c r="H362" i="2" s="1"/>
  <c r="H473" i="2" s="1"/>
  <c r="H584" i="2" s="1"/>
  <c r="G140" i="2"/>
  <c r="G251" i="2" s="1"/>
  <c r="G362" i="2" s="1"/>
  <c r="G473" i="2" s="1"/>
  <c r="G584" i="2" s="1"/>
  <c r="F140" i="2"/>
  <c r="F251" i="2" s="1"/>
  <c r="F362" i="2" s="1"/>
  <c r="F473" i="2" s="1"/>
  <c r="F584" i="2" s="1"/>
  <c r="C140" i="2"/>
  <c r="C251" i="2" s="1"/>
  <c r="C362" i="2" s="1"/>
  <c r="C473" i="2" s="1"/>
  <c r="C584" i="2" s="1"/>
  <c r="B140" i="2"/>
  <c r="B251" i="2" s="1"/>
  <c r="B362" i="2" s="1"/>
  <c r="B473" i="2" s="1"/>
  <c r="B584" i="2" s="1"/>
  <c r="AF139" i="2"/>
  <c r="AF250" i="2" s="1"/>
  <c r="AF361" i="2" s="1"/>
  <c r="AF472" i="2" s="1"/>
  <c r="AF583" i="2" s="1"/>
  <c r="AE139" i="2"/>
  <c r="AE250" i="2" s="1"/>
  <c r="AE361" i="2" s="1"/>
  <c r="AE472" i="2" s="1"/>
  <c r="AE583" i="2" s="1"/>
  <c r="AD139" i="2"/>
  <c r="AD250" i="2" s="1"/>
  <c r="AD361" i="2" s="1"/>
  <c r="AD472" i="2" s="1"/>
  <c r="AD583" i="2" s="1"/>
  <c r="AC139" i="2"/>
  <c r="AC250" i="2" s="1"/>
  <c r="AC361" i="2" s="1"/>
  <c r="AC472" i="2" s="1"/>
  <c r="AC583" i="2" s="1"/>
  <c r="AB139" i="2"/>
  <c r="AB250" i="2" s="1"/>
  <c r="AB361" i="2" s="1"/>
  <c r="AB472" i="2" s="1"/>
  <c r="AB583" i="2" s="1"/>
  <c r="AA139" i="2"/>
  <c r="AA250" i="2" s="1"/>
  <c r="AA361" i="2" s="1"/>
  <c r="AA472" i="2" s="1"/>
  <c r="AA583" i="2" s="1"/>
  <c r="Z139" i="2"/>
  <c r="Z250" i="2" s="1"/>
  <c r="Z361" i="2" s="1"/>
  <c r="Z472" i="2" s="1"/>
  <c r="Z583" i="2" s="1"/>
  <c r="X139" i="2"/>
  <c r="X250" i="2" s="1"/>
  <c r="X361" i="2" s="1"/>
  <c r="X472" i="2" s="1"/>
  <c r="X583" i="2" s="1"/>
  <c r="V139" i="2"/>
  <c r="V250" i="2" s="1"/>
  <c r="V361" i="2" s="1"/>
  <c r="V472" i="2" s="1"/>
  <c r="V583" i="2" s="1"/>
  <c r="U139" i="2"/>
  <c r="U250" i="2" s="1"/>
  <c r="U361" i="2" s="1"/>
  <c r="U472" i="2" s="1"/>
  <c r="U583" i="2" s="1"/>
  <c r="T139" i="2"/>
  <c r="T250" i="2" s="1"/>
  <c r="T361" i="2" s="1"/>
  <c r="T472" i="2" s="1"/>
  <c r="T583" i="2" s="1"/>
  <c r="S139" i="2"/>
  <c r="S250" i="2" s="1"/>
  <c r="S361" i="2" s="1"/>
  <c r="S472" i="2" s="1"/>
  <c r="S583" i="2" s="1"/>
  <c r="R139" i="2"/>
  <c r="R250" i="2" s="1"/>
  <c r="R361" i="2" s="1"/>
  <c r="R472" i="2" s="1"/>
  <c r="R583" i="2" s="1"/>
  <c r="Q139" i="2"/>
  <c r="Q250" i="2" s="1"/>
  <c r="Q361" i="2" s="1"/>
  <c r="Q472" i="2" s="1"/>
  <c r="Q583" i="2" s="1"/>
  <c r="P139" i="2"/>
  <c r="P250" i="2" s="1"/>
  <c r="P361" i="2" s="1"/>
  <c r="P472" i="2" s="1"/>
  <c r="P583" i="2" s="1"/>
  <c r="O139" i="2"/>
  <c r="O250" i="2" s="1"/>
  <c r="O361" i="2" s="1"/>
  <c r="O472" i="2" s="1"/>
  <c r="O583" i="2" s="1"/>
  <c r="N139" i="2"/>
  <c r="N250" i="2" s="1"/>
  <c r="N361" i="2" s="1"/>
  <c r="N472" i="2" s="1"/>
  <c r="N583" i="2" s="1"/>
  <c r="M139" i="2"/>
  <c r="M250" i="2" s="1"/>
  <c r="M361" i="2" s="1"/>
  <c r="M472" i="2" s="1"/>
  <c r="M583" i="2" s="1"/>
  <c r="L139" i="2"/>
  <c r="L250" i="2" s="1"/>
  <c r="L361" i="2" s="1"/>
  <c r="L472" i="2" s="1"/>
  <c r="L583" i="2" s="1"/>
  <c r="J139" i="2"/>
  <c r="J250" i="2" s="1"/>
  <c r="J361" i="2" s="1"/>
  <c r="J472" i="2" s="1"/>
  <c r="J583" i="2" s="1"/>
  <c r="I139" i="2"/>
  <c r="I250" i="2" s="1"/>
  <c r="I361" i="2" s="1"/>
  <c r="I472" i="2" s="1"/>
  <c r="I583" i="2" s="1"/>
  <c r="H139" i="2"/>
  <c r="H250" i="2" s="1"/>
  <c r="H361" i="2" s="1"/>
  <c r="H472" i="2" s="1"/>
  <c r="H583" i="2" s="1"/>
  <c r="G139" i="2"/>
  <c r="G250" i="2" s="1"/>
  <c r="G361" i="2" s="1"/>
  <c r="G472" i="2" s="1"/>
  <c r="G583" i="2" s="1"/>
  <c r="F139" i="2"/>
  <c r="F250" i="2" s="1"/>
  <c r="F361" i="2" s="1"/>
  <c r="F472" i="2" s="1"/>
  <c r="F583" i="2" s="1"/>
  <c r="C139" i="2"/>
  <c r="C250" i="2" s="1"/>
  <c r="C361" i="2" s="1"/>
  <c r="C472" i="2" s="1"/>
  <c r="C583" i="2" s="1"/>
  <c r="B139" i="2"/>
  <c r="B250" i="2" s="1"/>
  <c r="B361" i="2" s="1"/>
  <c r="B472" i="2" s="1"/>
  <c r="B583" i="2" s="1"/>
  <c r="AF138" i="2"/>
  <c r="AF249" i="2" s="1"/>
  <c r="AF360" i="2" s="1"/>
  <c r="AF471" i="2" s="1"/>
  <c r="AF582" i="2" s="1"/>
  <c r="AE138" i="2"/>
  <c r="AE249" i="2" s="1"/>
  <c r="AE360" i="2" s="1"/>
  <c r="AE471" i="2" s="1"/>
  <c r="AE582" i="2" s="1"/>
  <c r="AD138" i="2"/>
  <c r="AD249" i="2" s="1"/>
  <c r="AD360" i="2" s="1"/>
  <c r="AD471" i="2" s="1"/>
  <c r="AD582" i="2" s="1"/>
  <c r="AC138" i="2"/>
  <c r="AC249" i="2" s="1"/>
  <c r="AC360" i="2" s="1"/>
  <c r="AC471" i="2" s="1"/>
  <c r="AC582" i="2" s="1"/>
  <c r="AB138" i="2"/>
  <c r="AB249" i="2" s="1"/>
  <c r="AB360" i="2" s="1"/>
  <c r="AB471" i="2" s="1"/>
  <c r="AB582" i="2" s="1"/>
  <c r="AA138" i="2"/>
  <c r="AA249" i="2" s="1"/>
  <c r="AA360" i="2" s="1"/>
  <c r="AA471" i="2" s="1"/>
  <c r="AA582" i="2" s="1"/>
  <c r="Z138" i="2"/>
  <c r="Z249" i="2" s="1"/>
  <c r="Z360" i="2" s="1"/>
  <c r="Z471" i="2" s="1"/>
  <c r="Z582" i="2" s="1"/>
  <c r="X138" i="2"/>
  <c r="X249" i="2" s="1"/>
  <c r="X360" i="2" s="1"/>
  <c r="X471" i="2" s="1"/>
  <c r="X582" i="2" s="1"/>
  <c r="V138" i="2"/>
  <c r="V249" i="2" s="1"/>
  <c r="V360" i="2" s="1"/>
  <c r="V471" i="2" s="1"/>
  <c r="V582" i="2" s="1"/>
  <c r="U138" i="2"/>
  <c r="U249" i="2" s="1"/>
  <c r="U360" i="2" s="1"/>
  <c r="U471" i="2" s="1"/>
  <c r="U582" i="2" s="1"/>
  <c r="T138" i="2"/>
  <c r="T249" i="2" s="1"/>
  <c r="T360" i="2" s="1"/>
  <c r="T471" i="2" s="1"/>
  <c r="T582" i="2" s="1"/>
  <c r="S138" i="2"/>
  <c r="S249" i="2" s="1"/>
  <c r="S360" i="2" s="1"/>
  <c r="S471" i="2" s="1"/>
  <c r="S582" i="2" s="1"/>
  <c r="R138" i="2"/>
  <c r="R249" i="2" s="1"/>
  <c r="R360" i="2" s="1"/>
  <c r="R471" i="2" s="1"/>
  <c r="R582" i="2" s="1"/>
  <c r="Q138" i="2"/>
  <c r="Q249" i="2" s="1"/>
  <c r="Q360" i="2" s="1"/>
  <c r="Q471" i="2" s="1"/>
  <c r="Q582" i="2" s="1"/>
  <c r="P138" i="2"/>
  <c r="P249" i="2" s="1"/>
  <c r="P360" i="2" s="1"/>
  <c r="P471" i="2" s="1"/>
  <c r="P582" i="2" s="1"/>
  <c r="O138" i="2"/>
  <c r="O249" i="2" s="1"/>
  <c r="O360" i="2" s="1"/>
  <c r="O471" i="2" s="1"/>
  <c r="O582" i="2" s="1"/>
  <c r="N138" i="2"/>
  <c r="N249" i="2" s="1"/>
  <c r="N360" i="2" s="1"/>
  <c r="N471" i="2" s="1"/>
  <c r="N582" i="2" s="1"/>
  <c r="M138" i="2"/>
  <c r="M249" i="2" s="1"/>
  <c r="M360" i="2" s="1"/>
  <c r="M471" i="2" s="1"/>
  <c r="M582" i="2" s="1"/>
  <c r="L138" i="2"/>
  <c r="L249" i="2" s="1"/>
  <c r="L360" i="2" s="1"/>
  <c r="L471" i="2" s="1"/>
  <c r="L582" i="2" s="1"/>
  <c r="J138" i="2"/>
  <c r="J249" i="2" s="1"/>
  <c r="J360" i="2" s="1"/>
  <c r="J471" i="2" s="1"/>
  <c r="J582" i="2" s="1"/>
  <c r="I138" i="2"/>
  <c r="I249" i="2" s="1"/>
  <c r="I360" i="2" s="1"/>
  <c r="I471" i="2" s="1"/>
  <c r="I582" i="2" s="1"/>
  <c r="H138" i="2"/>
  <c r="H249" i="2" s="1"/>
  <c r="H360" i="2" s="1"/>
  <c r="H471" i="2" s="1"/>
  <c r="H582" i="2" s="1"/>
  <c r="G138" i="2"/>
  <c r="G249" i="2" s="1"/>
  <c r="G360" i="2" s="1"/>
  <c r="G471" i="2" s="1"/>
  <c r="G582" i="2" s="1"/>
  <c r="F138" i="2"/>
  <c r="F249" i="2" s="1"/>
  <c r="F360" i="2" s="1"/>
  <c r="F471" i="2" s="1"/>
  <c r="F582" i="2" s="1"/>
  <c r="C138" i="2"/>
  <c r="C249" i="2" s="1"/>
  <c r="C360" i="2" s="1"/>
  <c r="C471" i="2" s="1"/>
  <c r="C582" i="2" s="1"/>
  <c r="B138" i="2"/>
  <c r="B249" i="2" s="1"/>
  <c r="B360" i="2" s="1"/>
  <c r="B471" i="2" s="1"/>
  <c r="B582" i="2" s="1"/>
  <c r="AF137" i="2"/>
  <c r="AF248" i="2" s="1"/>
  <c r="AF359" i="2" s="1"/>
  <c r="AF470" i="2" s="1"/>
  <c r="AF581" i="2" s="1"/>
  <c r="AE137" i="2"/>
  <c r="AE248" i="2" s="1"/>
  <c r="AE359" i="2" s="1"/>
  <c r="AE470" i="2" s="1"/>
  <c r="AE581" i="2" s="1"/>
  <c r="AD137" i="2"/>
  <c r="AD248" i="2" s="1"/>
  <c r="AD359" i="2" s="1"/>
  <c r="AD470" i="2" s="1"/>
  <c r="AD581" i="2" s="1"/>
  <c r="AC137" i="2"/>
  <c r="AC248" i="2" s="1"/>
  <c r="AC359" i="2" s="1"/>
  <c r="AC470" i="2" s="1"/>
  <c r="AC581" i="2" s="1"/>
  <c r="AB137" i="2"/>
  <c r="AB248" i="2" s="1"/>
  <c r="AB359" i="2" s="1"/>
  <c r="AB470" i="2" s="1"/>
  <c r="AB581" i="2" s="1"/>
  <c r="AA137" i="2"/>
  <c r="AA248" i="2" s="1"/>
  <c r="AA359" i="2" s="1"/>
  <c r="AA470" i="2" s="1"/>
  <c r="AA581" i="2" s="1"/>
  <c r="Z137" i="2"/>
  <c r="Z248" i="2" s="1"/>
  <c r="Z359" i="2" s="1"/>
  <c r="Z470" i="2" s="1"/>
  <c r="Z581" i="2" s="1"/>
  <c r="X137" i="2"/>
  <c r="X248" i="2" s="1"/>
  <c r="X359" i="2" s="1"/>
  <c r="X470" i="2" s="1"/>
  <c r="X581" i="2" s="1"/>
  <c r="V137" i="2"/>
  <c r="V248" i="2" s="1"/>
  <c r="V359" i="2" s="1"/>
  <c r="V470" i="2" s="1"/>
  <c r="V581" i="2" s="1"/>
  <c r="U137" i="2"/>
  <c r="U248" i="2" s="1"/>
  <c r="U359" i="2" s="1"/>
  <c r="U470" i="2" s="1"/>
  <c r="U581" i="2" s="1"/>
  <c r="T137" i="2"/>
  <c r="T248" i="2" s="1"/>
  <c r="T359" i="2" s="1"/>
  <c r="T470" i="2" s="1"/>
  <c r="T581" i="2" s="1"/>
  <c r="S137" i="2"/>
  <c r="S248" i="2" s="1"/>
  <c r="S359" i="2" s="1"/>
  <c r="S470" i="2" s="1"/>
  <c r="S581" i="2" s="1"/>
  <c r="R137" i="2"/>
  <c r="R248" i="2" s="1"/>
  <c r="R359" i="2" s="1"/>
  <c r="R470" i="2" s="1"/>
  <c r="R581" i="2" s="1"/>
  <c r="Q137" i="2"/>
  <c r="Q248" i="2" s="1"/>
  <c r="Q359" i="2" s="1"/>
  <c r="Q470" i="2" s="1"/>
  <c r="Q581" i="2" s="1"/>
  <c r="P137" i="2"/>
  <c r="P248" i="2" s="1"/>
  <c r="P359" i="2" s="1"/>
  <c r="P470" i="2" s="1"/>
  <c r="P581" i="2" s="1"/>
  <c r="O137" i="2"/>
  <c r="O248" i="2" s="1"/>
  <c r="O359" i="2" s="1"/>
  <c r="O470" i="2" s="1"/>
  <c r="O581" i="2" s="1"/>
  <c r="N137" i="2"/>
  <c r="N248" i="2" s="1"/>
  <c r="N359" i="2" s="1"/>
  <c r="N470" i="2" s="1"/>
  <c r="N581" i="2" s="1"/>
  <c r="M137" i="2"/>
  <c r="M248" i="2" s="1"/>
  <c r="M359" i="2" s="1"/>
  <c r="M470" i="2" s="1"/>
  <c r="M581" i="2" s="1"/>
  <c r="L137" i="2"/>
  <c r="L248" i="2" s="1"/>
  <c r="L359" i="2" s="1"/>
  <c r="L470" i="2" s="1"/>
  <c r="L581" i="2" s="1"/>
  <c r="J137" i="2"/>
  <c r="J248" i="2" s="1"/>
  <c r="J359" i="2" s="1"/>
  <c r="J470" i="2" s="1"/>
  <c r="J581" i="2" s="1"/>
  <c r="I137" i="2"/>
  <c r="I248" i="2" s="1"/>
  <c r="I359" i="2" s="1"/>
  <c r="I470" i="2" s="1"/>
  <c r="I581" i="2" s="1"/>
  <c r="H137" i="2"/>
  <c r="H248" i="2" s="1"/>
  <c r="H359" i="2" s="1"/>
  <c r="H470" i="2" s="1"/>
  <c r="H581" i="2" s="1"/>
  <c r="G137" i="2"/>
  <c r="G248" i="2" s="1"/>
  <c r="G359" i="2" s="1"/>
  <c r="G470" i="2" s="1"/>
  <c r="G581" i="2" s="1"/>
  <c r="F137" i="2"/>
  <c r="F248" i="2" s="1"/>
  <c r="F359" i="2" s="1"/>
  <c r="F470" i="2" s="1"/>
  <c r="F581" i="2" s="1"/>
  <c r="C137" i="2"/>
  <c r="C248" i="2" s="1"/>
  <c r="C359" i="2" s="1"/>
  <c r="C470" i="2" s="1"/>
  <c r="C581" i="2" s="1"/>
  <c r="B137" i="2"/>
  <c r="B248" i="2" s="1"/>
  <c r="B359" i="2" s="1"/>
  <c r="B470" i="2" s="1"/>
  <c r="B581" i="2" s="1"/>
  <c r="AF136" i="2"/>
  <c r="AF247" i="2" s="1"/>
  <c r="AF358" i="2" s="1"/>
  <c r="AF469" i="2" s="1"/>
  <c r="AF580" i="2" s="1"/>
  <c r="AE136" i="2"/>
  <c r="AE247" i="2" s="1"/>
  <c r="AE358" i="2" s="1"/>
  <c r="AE469" i="2" s="1"/>
  <c r="AE580" i="2" s="1"/>
  <c r="AD136" i="2"/>
  <c r="AD247" i="2" s="1"/>
  <c r="AD358" i="2" s="1"/>
  <c r="AD469" i="2" s="1"/>
  <c r="AD580" i="2" s="1"/>
  <c r="AC136" i="2"/>
  <c r="AC247" i="2" s="1"/>
  <c r="AC358" i="2" s="1"/>
  <c r="AC469" i="2" s="1"/>
  <c r="AC580" i="2" s="1"/>
  <c r="AB136" i="2"/>
  <c r="AB247" i="2" s="1"/>
  <c r="AB358" i="2" s="1"/>
  <c r="AB469" i="2" s="1"/>
  <c r="AB580" i="2" s="1"/>
  <c r="AA136" i="2"/>
  <c r="AA247" i="2" s="1"/>
  <c r="AA358" i="2" s="1"/>
  <c r="AA469" i="2" s="1"/>
  <c r="AA580" i="2" s="1"/>
  <c r="Z136" i="2"/>
  <c r="Z247" i="2" s="1"/>
  <c r="Z358" i="2" s="1"/>
  <c r="Z469" i="2" s="1"/>
  <c r="Z580" i="2" s="1"/>
  <c r="X136" i="2"/>
  <c r="X247" i="2" s="1"/>
  <c r="X358" i="2" s="1"/>
  <c r="X469" i="2" s="1"/>
  <c r="X580" i="2" s="1"/>
  <c r="V136" i="2"/>
  <c r="V247" i="2" s="1"/>
  <c r="V358" i="2" s="1"/>
  <c r="V469" i="2" s="1"/>
  <c r="V580" i="2" s="1"/>
  <c r="U136" i="2"/>
  <c r="U247" i="2" s="1"/>
  <c r="U358" i="2" s="1"/>
  <c r="U469" i="2" s="1"/>
  <c r="U580" i="2" s="1"/>
  <c r="T136" i="2"/>
  <c r="T247" i="2" s="1"/>
  <c r="T358" i="2" s="1"/>
  <c r="T469" i="2" s="1"/>
  <c r="T580" i="2" s="1"/>
  <c r="S136" i="2"/>
  <c r="S247" i="2" s="1"/>
  <c r="S358" i="2" s="1"/>
  <c r="S469" i="2" s="1"/>
  <c r="S580" i="2" s="1"/>
  <c r="R136" i="2"/>
  <c r="R247" i="2" s="1"/>
  <c r="R358" i="2" s="1"/>
  <c r="R469" i="2" s="1"/>
  <c r="R580" i="2" s="1"/>
  <c r="Q136" i="2"/>
  <c r="Q247" i="2" s="1"/>
  <c r="Q358" i="2" s="1"/>
  <c r="Q469" i="2" s="1"/>
  <c r="Q580" i="2" s="1"/>
  <c r="P136" i="2"/>
  <c r="P247" i="2" s="1"/>
  <c r="P358" i="2" s="1"/>
  <c r="P469" i="2" s="1"/>
  <c r="P580" i="2" s="1"/>
  <c r="O136" i="2"/>
  <c r="O247" i="2" s="1"/>
  <c r="O358" i="2" s="1"/>
  <c r="O469" i="2" s="1"/>
  <c r="O580" i="2" s="1"/>
  <c r="N136" i="2"/>
  <c r="N247" i="2" s="1"/>
  <c r="N358" i="2" s="1"/>
  <c r="N469" i="2" s="1"/>
  <c r="N580" i="2" s="1"/>
  <c r="M136" i="2"/>
  <c r="M247" i="2" s="1"/>
  <c r="M358" i="2" s="1"/>
  <c r="M469" i="2" s="1"/>
  <c r="M580" i="2" s="1"/>
  <c r="L136" i="2"/>
  <c r="L247" i="2" s="1"/>
  <c r="L358" i="2" s="1"/>
  <c r="L469" i="2" s="1"/>
  <c r="L580" i="2" s="1"/>
  <c r="J136" i="2"/>
  <c r="J247" i="2" s="1"/>
  <c r="J358" i="2" s="1"/>
  <c r="J469" i="2" s="1"/>
  <c r="J580" i="2" s="1"/>
  <c r="I136" i="2"/>
  <c r="I247" i="2" s="1"/>
  <c r="I358" i="2" s="1"/>
  <c r="I469" i="2" s="1"/>
  <c r="I580" i="2" s="1"/>
  <c r="H136" i="2"/>
  <c r="H247" i="2" s="1"/>
  <c r="H358" i="2" s="1"/>
  <c r="H469" i="2" s="1"/>
  <c r="H580" i="2" s="1"/>
  <c r="G136" i="2"/>
  <c r="G247" i="2" s="1"/>
  <c r="G358" i="2" s="1"/>
  <c r="G469" i="2" s="1"/>
  <c r="G580" i="2" s="1"/>
  <c r="F136" i="2"/>
  <c r="F247" i="2" s="1"/>
  <c r="F358" i="2" s="1"/>
  <c r="F469" i="2" s="1"/>
  <c r="F580" i="2" s="1"/>
  <c r="C136" i="2"/>
  <c r="C247" i="2" s="1"/>
  <c r="C358" i="2" s="1"/>
  <c r="C469" i="2" s="1"/>
  <c r="C580" i="2" s="1"/>
  <c r="B136" i="2"/>
  <c r="B247" i="2" s="1"/>
  <c r="B358" i="2" s="1"/>
  <c r="B469" i="2" s="1"/>
  <c r="B580" i="2" s="1"/>
  <c r="AF135" i="2"/>
  <c r="AF246" i="2" s="1"/>
  <c r="AF357" i="2" s="1"/>
  <c r="AF468" i="2" s="1"/>
  <c r="AF579" i="2" s="1"/>
  <c r="AE135" i="2"/>
  <c r="AE246" i="2" s="1"/>
  <c r="AE357" i="2" s="1"/>
  <c r="AE468" i="2" s="1"/>
  <c r="AE579" i="2" s="1"/>
  <c r="AD135" i="2"/>
  <c r="AD246" i="2" s="1"/>
  <c r="AD357" i="2" s="1"/>
  <c r="AD468" i="2" s="1"/>
  <c r="AD579" i="2" s="1"/>
  <c r="AC135" i="2"/>
  <c r="AC246" i="2" s="1"/>
  <c r="AC357" i="2" s="1"/>
  <c r="AC468" i="2" s="1"/>
  <c r="AC579" i="2" s="1"/>
  <c r="AB135" i="2"/>
  <c r="AB246" i="2" s="1"/>
  <c r="AB357" i="2" s="1"/>
  <c r="AB468" i="2" s="1"/>
  <c r="AB579" i="2" s="1"/>
  <c r="AA135" i="2"/>
  <c r="AA246" i="2" s="1"/>
  <c r="AA357" i="2" s="1"/>
  <c r="AA468" i="2" s="1"/>
  <c r="AA579" i="2" s="1"/>
  <c r="Z135" i="2"/>
  <c r="Z246" i="2" s="1"/>
  <c r="Z357" i="2" s="1"/>
  <c r="Z468" i="2" s="1"/>
  <c r="Z579" i="2" s="1"/>
  <c r="X135" i="2"/>
  <c r="X246" i="2" s="1"/>
  <c r="X357" i="2" s="1"/>
  <c r="X468" i="2" s="1"/>
  <c r="X579" i="2" s="1"/>
  <c r="V135" i="2"/>
  <c r="V246" i="2" s="1"/>
  <c r="V357" i="2" s="1"/>
  <c r="V468" i="2" s="1"/>
  <c r="V579" i="2" s="1"/>
  <c r="U135" i="2"/>
  <c r="U246" i="2" s="1"/>
  <c r="U357" i="2" s="1"/>
  <c r="U468" i="2" s="1"/>
  <c r="U579" i="2" s="1"/>
  <c r="T135" i="2"/>
  <c r="T246" i="2" s="1"/>
  <c r="T357" i="2" s="1"/>
  <c r="T468" i="2" s="1"/>
  <c r="T579" i="2" s="1"/>
  <c r="S135" i="2"/>
  <c r="S246" i="2" s="1"/>
  <c r="S357" i="2" s="1"/>
  <c r="S468" i="2" s="1"/>
  <c r="S579" i="2" s="1"/>
  <c r="R135" i="2"/>
  <c r="R246" i="2" s="1"/>
  <c r="R357" i="2" s="1"/>
  <c r="R468" i="2" s="1"/>
  <c r="R579" i="2" s="1"/>
  <c r="Q135" i="2"/>
  <c r="Q246" i="2" s="1"/>
  <c r="Q357" i="2" s="1"/>
  <c r="Q468" i="2" s="1"/>
  <c r="Q579" i="2" s="1"/>
  <c r="P135" i="2"/>
  <c r="P246" i="2" s="1"/>
  <c r="P357" i="2" s="1"/>
  <c r="P468" i="2" s="1"/>
  <c r="P579" i="2" s="1"/>
  <c r="O135" i="2"/>
  <c r="O246" i="2" s="1"/>
  <c r="O357" i="2" s="1"/>
  <c r="O468" i="2" s="1"/>
  <c r="O579" i="2" s="1"/>
  <c r="N135" i="2"/>
  <c r="N246" i="2" s="1"/>
  <c r="N357" i="2" s="1"/>
  <c r="N468" i="2" s="1"/>
  <c r="N579" i="2" s="1"/>
  <c r="M135" i="2"/>
  <c r="M246" i="2" s="1"/>
  <c r="M357" i="2" s="1"/>
  <c r="M468" i="2" s="1"/>
  <c r="M579" i="2" s="1"/>
  <c r="L135" i="2"/>
  <c r="L246" i="2" s="1"/>
  <c r="L357" i="2" s="1"/>
  <c r="L468" i="2" s="1"/>
  <c r="L579" i="2" s="1"/>
  <c r="J135" i="2"/>
  <c r="J246" i="2" s="1"/>
  <c r="J357" i="2" s="1"/>
  <c r="J468" i="2" s="1"/>
  <c r="J579" i="2" s="1"/>
  <c r="I135" i="2"/>
  <c r="I246" i="2" s="1"/>
  <c r="I357" i="2" s="1"/>
  <c r="I468" i="2" s="1"/>
  <c r="I579" i="2" s="1"/>
  <c r="H135" i="2"/>
  <c r="H246" i="2" s="1"/>
  <c r="H357" i="2" s="1"/>
  <c r="H468" i="2" s="1"/>
  <c r="H579" i="2" s="1"/>
  <c r="G135" i="2"/>
  <c r="G246" i="2" s="1"/>
  <c r="G357" i="2" s="1"/>
  <c r="G468" i="2" s="1"/>
  <c r="G579" i="2" s="1"/>
  <c r="F135" i="2"/>
  <c r="F246" i="2" s="1"/>
  <c r="F357" i="2" s="1"/>
  <c r="F468" i="2" s="1"/>
  <c r="F579" i="2" s="1"/>
  <c r="C135" i="2"/>
  <c r="C246" i="2" s="1"/>
  <c r="C357" i="2" s="1"/>
  <c r="C468" i="2" s="1"/>
  <c r="C579" i="2" s="1"/>
  <c r="B135" i="2"/>
  <c r="B246" i="2" s="1"/>
  <c r="B357" i="2" s="1"/>
  <c r="B468" i="2" s="1"/>
  <c r="B579" i="2" s="1"/>
  <c r="AF134" i="2"/>
  <c r="AF245" i="2" s="1"/>
  <c r="AF356" i="2" s="1"/>
  <c r="AF467" i="2" s="1"/>
  <c r="AF578" i="2" s="1"/>
  <c r="AE134" i="2"/>
  <c r="AE245" i="2" s="1"/>
  <c r="AE356" i="2" s="1"/>
  <c r="AE467" i="2" s="1"/>
  <c r="AE578" i="2" s="1"/>
  <c r="AD134" i="2"/>
  <c r="AD245" i="2" s="1"/>
  <c r="AD356" i="2" s="1"/>
  <c r="AD467" i="2" s="1"/>
  <c r="AD578" i="2" s="1"/>
  <c r="AC134" i="2"/>
  <c r="AC245" i="2" s="1"/>
  <c r="AC356" i="2" s="1"/>
  <c r="AC467" i="2" s="1"/>
  <c r="AC578" i="2" s="1"/>
  <c r="AB134" i="2"/>
  <c r="AB245" i="2" s="1"/>
  <c r="AB356" i="2" s="1"/>
  <c r="AB467" i="2" s="1"/>
  <c r="AB578" i="2" s="1"/>
  <c r="AA134" i="2"/>
  <c r="AA245" i="2" s="1"/>
  <c r="AA356" i="2" s="1"/>
  <c r="AA467" i="2" s="1"/>
  <c r="AA578" i="2" s="1"/>
  <c r="Z134" i="2"/>
  <c r="Z245" i="2" s="1"/>
  <c r="Z356" i="2" s="1"/>
  <c r="Z467" i="2" s="1"/>
  <c r="Z578" i="2" s="1"/>
  <c r="X134" i="2"/>
  <c r="X245" i="2" s="1"/>
  <c r="X356" i="2" s="1"/>
  <c r="X467" i="2" s="1"/>
  <c r="X578" i="2" s="1"/>
  <c r="V134" i="2"/>
  <c r="V245" i="2" s="1"/>
  <c r="V356" i="2" s="1"/>
  <c r="V467" i="2" s="1"/>
  <c r="V578" i="2" s="1"/>
  <c r="U134" i="2"/>
  <c r="U245" i="2" s="1"/>
  <c r="U356" i="2" s="1"/>
  <c r="U467" i="2" s="1"/>
  <c r="U578" i="2" s="1"/>
  <c r="T134" i="2"/>
  <c r="T245" i="2" s="1"/>
  <c r="T356" i="2" s="1"/>
  <c r="T467" i="2" s="1"/>
  <c r="T578" i="2" s="1"/>
  <c r="S134" i="2"/>
  <c r="S245" i="2" s="1"/>
  <c r="S356" i="2" s="1"/>
  <c r="S467" i="2" s="1"/>
  <c r="S578" i="2" s="1"/>
  <c r="R134" i="2"/>
  <c r="R245" i="2" s="1"/>
  <c r="R356" i="2" s="1"/>
  <c r="R467" i="2" s="1"/>
  <c r="R578" i="2" s="1"/>
  <c r="Q134" i="2"/>
  <c r="Q245" i="2" s="1"/>
  <c r="Q356" i="2" s="1"/>
  <c r="Q467" i="2" s="1"/>
  <c r="Q578" i="2" s="1"/>
  <c r="P134" i="2"/>
  <c r="P245" i="2" s="1"/>
  <c r="P356" i="2" s="1"/>
  <c r="P467" i="2" s="1"/>
  <c r="P578" i="2" s="1"/>
  <c r="O134" i="2"/>
  <c r="O245" i="2" s="1"/>
  <c r="O356" i="2" s="1"/>
  <c r="O467" i="2" s="1"/>
  <c r="O578" i="2" s="1"/>
  <c r="N134" i="2"/>
  <c r="N245" i="2" s="1"/>
  <c r="N356" i="2" s="1"/>
  <c r="N467" i="2" s="1"/>
  <c r="N578" i="2" s="1"/>
  <c r="M134" i="2"/>
  <c r="M245" i="2" s="1"/>
  <c r="M356" i="2" s="1"/>
  <c r="M467" i="2" s="1"/>
  <c r="M578" i="2" s="1"/>
  <c r="L134" i="2"/>
  <c r="L245" i="2" s="1"/>
  <c r="L356" i="2" s="1"/>
  <c r="L467" i="2" s="1"/>
  <c r="L578" i="2" s="1"/>
  <c r="J134" i="2"/>
  <c r="J245" i="2" s="1"/>
  <c r="J356" i="2" s="1"/>
  <c r="J467" i="2" s="1"/>
  <c r="J578" i="2" s="1"/>
  <c r="I134" i="2"/>
  <c r="I245" i="2" s="1"/>
  <c r="I356" i="2" s="1"/>
  <c r="I467" i="2" s="1"/>
  <c r="I578" i="2" s="1"/>
  <c r="H134" i="2"/>
  <c r="H245" i="2" s="1"/>
  <c r="H356" i="2" s="1"/>
  <c r="H467" i="2" s="1"/>
  <c r="H578" i="2" s="1"/>
  <c r="G134" i="2"/>
  <c r="G245" i="2" s="1"/>
  <c r="G356" i="2" s="1"/>
  <c r="G467" i="2" s="1"/>
  <c r="G578" i="2" s="1"/>
  <c r="F134" i="2"/>
  <c r="F245" i="2" s="1"/>
  <c r="F356" i="2" s="1"/>
  <c r="F467" i="2" s="1"/>
  <c r="F578" i="2" s="1"/>
  <c r="C134" i="2"/>
  <c r="C245" i="2" s="1"/>
  <c r="C356" i="2" s="1"/>
  <c r="C467" i="2" s="1"/>
  <c r="C578" i="2" s="1"/>
  <c r="B134" i="2"/>
  <c r="B245" i="2" s="1"/>
  <c r="B356" i="2" s="1"/>
  <c r="B467" i="2" s="1"/>
  <c r="B578" i="2" s="1"/>
  <c r="AF133" i="2"/>
  <c r="AF244" i="2" s="1"/>
  <c r="AF355" i="2" s="1"/>
  <c r="AF466" i="2" s="1"/>
  <c r="AF577" i="2" s="1"/>
  <c r="AE133" i="2"/>
  <c r="AE244" i="2" s="1"/>
  <c r="AE355" i="2" s="1"/>
  <c r="AE466" i="2" s="1"/>
  <c r="AE577" i="2" s="1"/>
  <c r="AD133" i="2"/>
  <c r="AD244" i="2" s="1"/>
  <c r="AD355" i="2" s="1"/>
  <c r="AD466" i="2" s="1"/>
  <c r="AD577" i="2" s="1"/>
  <c r="AC133" i="2"/>
  <c r="AC244" i="2" s="1"/>
  <c r="AC355" i="2" s="1"/>
  <c r="AC466" i="2" s="1"/>
  <c r="AC577" i="2" s="1"/>
  <c r="AB133" i="2"/>
  <c r="AB244" i="2" s="1"/>
  <c r="AB355" i="2" s="1"/>
  <c r="AB466" i="2" s="1"/>
  <c r="AB577" i="2" s="1"/>
  <c r="AA133" i="2"/>
  <c r="AA244" i="2" s="1"/>
  <c r="AA355" i="2" s="1"/>
  <c r="AA466" i="2" s="1"/>
  <c r="AA577" i="2" s="1"/>
  <c r="Z133" i="2"/>
  <c r="Z244" i="2" s="1"/>
  <c r="Z355" i="2" s="1"/>
  <c r="Z466" i="2" s="1"/>
  <c r="Z577" i="2" s="1"/>
  <c r="X133" i="2"/>
  <c r="X244" i="2" s="1"/>
  <c r="X355" i="2" s="1"/>
  <c r="X466" i="2" s="1"/>
  <c r="X577" i="2" s="1"/>
  <c r="V133" i="2"/>
  <c r="V244" i="2" s="1"/>
  <c r="V355" i="2" s="1"/>
  <c r="V466" i="2" s="1"/>
  <c r="V577" i="2" s="1"/>
  <c r="U133" i="2"/>
  <c r="U244" i="2" s="1"/>
  <c r="U355" i="2" s="1"/>
  <c r="U466" i="2" s="1"/>
  <c r="U577" i="2" s="1"/>
  <c r="T133" i="2"/>
  <c r="T244" i="2" s="1"/>
  <c r="T355" i="2" s="1"/>
  <c r="T466" i="2" s="1"/>
  <c r="T577" i="2" s="1"/>
  <c r="S133" i="2"/>
  <c r="S244" i="2" s="1"/>
  <c r="S355" i="2" s="1"/>
  <c r="S466" i="2" s="1"/>
  <c r="S577" i="2" s="1"/>
  <c r="R133" i="2"/>
  <c r="R244" i="2" s="1"/>
  <c r="R355" i="2" s="1"/>
  <c r="R466" i="2" s="1"/>
  <c r="R577" i="2" s="1"/>
  <c r="Q133" i="2"/>
  <c r="Q244" i="2" s="1"/>
  <c r="Q355" i="2" s="1"/>
  <c r="Q466" i="2" s="1"/>
  <c r="Q577" i="2" s="1"/>
  <c r="P133" i="2"/>
  <c r="P244" i="2" s="1"/>
  <c r="P355" i="2" s="1"/>
  <c r="P466" i="2" s="1"/>
  <c r="P577" i="2" s="1"/>
  <c r="O133" i="2"/>
  <c r="O244" i="2" s="1"/>
  <c r="O355" i="2" s="1"/>
  <c r="O466" i="2" s="1"/>
  <c r="O577" i="2" s="1"/>
  <c r="N133" i="2"/>
  <c r="N244" i="2" s="1"/>
  <c r="N355" i="2" s="1"/>
  <c r="N466" i="2" s="1"/>
  <c r="N577" i="2" s="1"/>
  <c r="M133" i="2"/>
  <c r="M244" i="2" s="1"/>
  <c r="M355" i="2" s="1"/>
  <c r="M466" i="2" s="1"/>
  <c r="M577" i="2" s="1"/>
  <c r="L133" i="2"/>
  <c r="L244" i="2" s="1"/>
  <c r="L355" i="2" s="1"/>
  <c r="L466" i="2" s="1"/>
  <c r="L577" i="2" s="1"/>
  <c r="J133" i="2"/>
  <c r="J244" i="2" s="1"/>
  <c r="J355" i="2" s="1"/>
  <c r="J466" i="2" s="1"/>
  <c r="J577" i="2" s="1"/>
  <c r="I133" i="2"/>
  <c r="I244" i="2" s="1"/>
  <c r="I355" i="2" s="1"/>
  <c r="I466" i="2" s="1"/>
  <c r="I577" i="2" s="1"/>
  <c r="H133" i="2"/>
  <c r="H244" i="2" s="1"/>
  <c r="H355" i="2" s="1"/>
  <c r="H466" i="2" s="1"/>
  <c r="H577" i="2" s="1"/>
  <c r="G133" i="2"/>
  <c r="G244" i="2" s="1"/>
  <c r="G355" i="2" s="1"/>
  <c r="G466" i="2" s="1"/>
  <c r="G577" i="2" s="1"/>
  <c r="F133" i="2"/>
  <c r="F244" i="2" s="1"/>
  <c r="F355" i="2" s="1"/>
  <c r="F466" i="2" s="1"/>
  <c r="F577" i="2" s="1"/>
  <c r="C133" i="2"/>
  <c r="C244" i="2" s="1"/>
  <c r="C355" i="2" s="1"/>
  <c r="C466" i="2" s="1"/>
  <c r="C577" i="2" s="1"/>
  <c r="B133" i="2"/>
  <c r="B244" i="2" s="1"/>
  <c r="B355" i="2" s="1"/>
  <c r="B466" i="2" s="1"/>
  <c r="B577" i="2" s="1"/>
  <c r="AF132" i="2"/>
  <c r="AF243" i="2" s="1"/>
  <c r="AF354" i="2" s="1"/>
  <c r="AF465" i="2" s="1"/>
  <c r="AF576" i="2" s="1"/>
  <c r="AE132" i="2"/>
  <c r="AE243" i="2" s="1"/>
  <c r="AE354" i="2" s="1"/>
  <c r="AE465" i="2" s="1"/>
  <c r="AE576" i="2" s="1"/>
  <c r="AD132" i="2"/>
  <c r="AD243" i="2" s="1"/>
  <c r="AD354" i="2" s="1"/>
  <c r="AD465" i="2" s="1"/>
  <c r="AD576" i="2" s="1"/>
  <c r="AC132" i="2"/>
  <c r="AC243" i="2" s="1"/>
  <c r="AC354" i="2" s="1"/>
  <c r="AC465" i="2" s="1"/>
  <c r="AC576" i="2" s="1"/>
  <c r="AB132" i="2"/>
  <c r="AB243" i="2" s="1"/>
  <c r="AB354" i="2" s="1"/>
  <c r="AB465" i="2" s="1"/>
  <c r="AB576" i="2" s="1"/>
  <c r="AA132" i="2"/>
  <c r="AA243" i="2" s="1"/>
  <c r="AA354" i="2" s="1"/>
  <c r="AA465" i="2" s="1"/>
  <c r="AA576" i="2" s="1"/>
  <c r="Z132" i="2"/>
  <c r="Z243" i="2" s="1"/>
  <c r="Z354" i="2" s="1"/>
  <c r="Z465" i="2" s="1"/>
  <c r="Z576" i="2" s="1"/>
  <c r="Y132" i="2"/>
  <c r="Y243" i="2" s="1"/>
  <c r="Y354" i="2" s="1"/>
  <c r="Y465" i="2" s="1"/>
  <c r="Y576" i="2" s="1"/>
  <c r="X132" i="2"/>
  <c r="X243" i="2" s="1"/>
  <c r="X354" i="2" s="1"/>
  <c r="X465" i="2" s="1"/>
  <c r="X576" i="2" s="1"/>
  <c r="W132" i="2"/>
  <c r="W243" i="2" s="1"/>
  <c r="W354" i="2" s="1"/>
  <c r="W465" i="2" s="1"/>
  <c r="W576" i="2" s="1"/>
  <c r="V132" i="2"/>
  <c r="V243" i="2" s="1"/>
  <c r="V354" i="2" s="1"/>
  <c r="V465" i="2" s="1"/>
  <c r="V576" i="2" s="1"/>
  <c r="U132" i="2"/>
  <c r="U243" i="2" s="1"/>
  <c r="U354" i="2" s="1"/>
  <c r="U465" i="2" s="1"/>
  <c r="U576" i="2" s="1"/>
  <c r="T132" i="2"/>
  <c r="T243" i="2" s="1"/>
  <c r="T354" i="2" s="1"/>
  <c r="T465" i="2" s="1"/>
  <c r="T576" i="2" s="1"/>
  <c r="S132" i="2"/>
  <c r="S243" i="2" s="1"/>
  <c r="S354" i="2" s="1"/>
  <c r="S465" i="2" s="1"/>
  <c r="S576" i="2" s="1"/>
  <c r="R132" i="2"/>
  <c r="R243" i="2" s="1"/>
  <c r="R354" i="2" s="1"/>
  <c r="R465" i="2" s="1"/>
  <c r="R576" i="2" s="1"/>
  <c r="Q132" i="2"/>
  <c r="Q243" i="2" s="1"/>
  <c r="Q354" i="2" s="1"/>
  <c r="Q465" i="2" s="1"/>
  <c r="Q576" i="2" s="1"/>
  <c r="P132" i="2"/>
  <c r="P243" i="2" s="1"/>
  <c r="P354" i="2" s="1"/>
  <c r="P465" i="2" s="1"/>
  <c r="P576" i="2" s="1"/>
  <c r="O132" i="2"/>
  <c r="O243" i="2" s="1"/>
  <c r="O354" i="2" s="1"/>
  <c r="O465" i="2" s="1"/>
  <c r="O576" i="2" s="1"/>
  <c r="N132" i="2"/>
  <c r="N243" i="2" s="1"/>
  <c r="N354" i="2" s="1"/>
  <c r="N465" i="2" s="1"/>
  <c r="N576" i="2" s="1"/>
  <c r="M132" i="2"/>
  <c r="M243" i="2" s="1"/>
  <c r="M354" i="2" s="1"/>
  <c r="M465" i="2" s="1"/>
  <c r="M576" i="2" s="1"/>
  <c r="L132" i="2"/>
  <c r="L243" i="2" s="1"/>
  <c r="L354" i="2" s="1"/>
  <c r="L465" i="2" s="1"/>
  <c r="L576" i="2" s="1"/>
  <c r="J132" i="2"/>
  <c r="J243" i="2" s="1"/>
  <c r="J354" i="2" s="1"/>
  <c r="J465" i="2" s="1"/>
  <c r="J576" i="2" s="1"/>
  <c r="I132" i="2"/>
  <c r="I243" i="2" s="1"/>
  <c r="I354" i="2" s="1"/>
  <c r="I465" i="2" s="1"/>
  <c r="I576" i="2" s="1"/>
  <c r="H132" i="2"/>
  <c r="H243" i="2" s="1"/>
  <c r="H354" i="2" s="1"/>
  <c r="H465" i="2" s="1"/>
  <c r="H576" i="2" s="1"/>
  <c r="G132" i="2"/>
  <c r="G243" i="2" s="1"/>
  <c r="G354" i="2" s="1"/>
  <c r="G465" i="2" s="1"/>
  <c r="G576" i="2" s="1"/>
  <c r="F132" i="2"/>
  <c r="F243" i="2" s="1"/>
  <c r="F354" i="2" s="1"/>
  <c r="F465" i="2" s="1"/>
  <c r="F576" i="2" s="1"/>
  <c r="E132" i="2"/>
  <c r="E243" i="2" s="1"/>
  <c r="E354" i="2" s="1"/>
  <c r="E465" i="2" s="1"/>
  <c r="E576" i="2" s="1"/>
  <c r="D132" i="2"/>
  <c r="D243" i="2" s="1"/>
  <c r="D354" i="2" s="1"/>
  <c r="D465" i="2" s="1"/>
  <c r="D576" i="2" s="1"/>
  <c r="C132" i="2"/>
  <c r="C243" i="2" s="1"/>
  <c r="C354" i="2" s="1"/>
  <c r="C465" i="2" s="1"/>
  <c r="C576" i="2" s="1"/>
  <c r="B132" i="2"/>
  <c r="B243" i="2" s="1"/>
  <c r="B354" i="2" s="1"/>
  <c r="B465" i="2" s="1"/>
  <c r="B576" i="2" s="1"/>
  <c r="AF131" i="2"/>
  <c r="AF242" i="2" s="1"/>
  <c r="AF353" i="2" s="1"/>
  <c r="AF464" i="2" s="1"/>
  <c r="AF575" i="2" s="1"/>
  <c r="AE131" i="2"/>
  <c r="AE242" i="2" s="1"/>
  <c r="AE353" i="2" s="1"/>
  <c r="AE464" i="2" s="1"/>
  <c r="AE575" i="2" s="1"/>
  <c r="AD131" i="2"/>
  <c r="AD242" i="2" s="1"/>
  <c r="AD353" i="2" s="1"/>
  <c r="AD464" i="2" s="1"/>
  <c r="AD575" i="2" s="1"/>
  <c r="AC131" i="2"/>
  <c r="AC242" i="2" s="1"/>
  <c r="AC353" i="2" s="1"/>
  <c r="AC464" i="2" s="1"/>
  <c r="AC575" i="2" s="1"/>
  <c r="AB131" i="2"/>
  <c r="AB242" i="2" s="1"/>
  <c r="AB353" i="2" s="1"/>
  <c r="AB464" i="2" s="1"/>
  <c r="AB575" i="2" s="1"/>
  <c r="AA131" i="2"/>
  <c r="AA242" i="2" s="1"/>
  <c r="AA353" i="2" s="1"/>
  <c r="AA464" i="2" s="1"/>
  <c r="AA575" i="2" s="1"/>
  <c r="Z131" i="2"/>
  <c r="Z242" i="2" s="1"/>
  <c r="Z353" i="2" s="1"/>
  <c r="Z464" i="2" s="1"/>
  <c r="Z575" i="2" s="1"/>
  <c r="Y131" i="2"/>
  <c r="Y242" i="2" s="1"/>
  <c r="Y353" i="2" s="1"/>
  <c r="Y464" i="2" s="1"/>
  <c r="Y575" i="2" s="1"/>
  <c r="X131" i="2"/>
  <c r="X242" i="2" s="1"/>
  <c r="X353" i="2" s="1"/>
  <c r="X464" i="2" s="1"/>
  <c r="X575" i="2" s="1"/>
  <c r="W131" i="2"/>
  <c r="W242" i="2" s="1"/>
  <c r="W353" i="2" s="1"/>
  <c r="W464" i="2" s="1"/>
  <c r="W575" i="2" s="1"/>
  <c r="V131" i="2"/>
  <c r="V242" i="2" s="1"/>
  <c r="V353" i="2" s="1"/>
  <c r="V464" i="2" s="1"/>
  <c r="V575" i="2" s="1"/>
  <c r="U131" i="2"/>
  <c r="U242" i="2" s="1"/>
  <c r="U353" i="2" s="1"/>
  <c r="U464" i="2" s="1"/>
  <c r="U575" i="2" s="1"/>
  <c r="T131" i="2"/>
  <c r="T242" i="2" s="1"/>
  <c r="T353" i="2" s="1"/>
  <c r="T464" i="2" s="1"/>
  <c r="T575" i="2" s="1"/>
  <c r="S131" i="2"/>
  <c r="S242" i="2" s="1"/>
  <c r="S353" i="2" s="1"/>
  <c r="S464" i="2" s="1"/>
  <c r="S575" i="2" s="1"/>
  <c r="R131" i="2"/>
  <c r="R242" i="2" s="1"/>
  <c r="R353" i="2" s="1"/>
  <c r="R464" i="2" s="1"/>
  <c r="R575" i="2" s="1"/>
  <c r="Q131" i="2"/>
  <c r="Q242" i="2" s="1"/>
  <c r="Q353" i="2" s="1"/>
  <c r="Q464" i="2" s="1"/>
  <c r="Q575" i="2" s="1"/>
  <c r="P131" i="2"/>
  <c r="P242" i="2" s="1"/>
  <c r="P353" i="2" s="1"/>
  <c r="P464" i="2" s="1"/>
  <c r="P575" i="2" s="1"/>
  <c r="O131" i="2"/>
  <c r="O242" i="2" s="1"/>
  <c r="O353" i="2" s="1"/>
  <c r="O464" i="2" s="1"/>
  <c r="O575" i="2" s="1"/>
  <c r="N131" i="2"/>
  <c r="N242" i="2" s="1"/>
  <c r="N353" i="2" s="1"/>
  <c r="N464" i="2" s="1"/>
  <c r="N575" i="2" s="1"/>
  <c r="M131" i="2"/>
  <c r="M242" i="2" s="1"/>
  <c r="M353" i="2" s="1"/>
  <c r="M464" i="2" s="1"/>
  <c r="M575" i="2" s="1"/>
  <c r="L131" i="2"/>
  <c r="L242" i="2" s="1"/>
  <c r="L353" i="2" s="1"/>
  <c r="L464" i="2" s="1"/>
  <c r="L575" i="2" s="1"/>
  <c r="J131" i="2"/>
  <c r="J242" i="2" s="1"/>
  <c r="J353" i="2" s="1"/>
  <c r="J464" i="2" s="1"/>
  <c r="J575" i="2" s="1"/>
  <c r="I131" i="2"/>
  <c r="I242" i="2" s="1"/>
  <c r="I353" i="2" s="1"/>
  <c r="I464" i="2" s="1"/>
  <c r="I575" i="2" s="1"/>
  <c r="H131" i="2"/>
  <c r="H242" i="2" s="1"/>
  <c r="H353" i="2" s="1"/>
  <c r="H464" i="2" s="1"/>
  <c r="H575" i="2" s="1"/>
  <c r="G131" i="2"/>
  <c r="G242" i="2" s="1"/>
  <c r="G353" i="2" s="1"/>
  <c r="G464" i="2" s="1"/>
  <c r="G575" i="2" s="1"/>
  <c r="F131" i="2"/>
  <c r="F242" i="2" s="1"/>
  <c r="F353" i="2" s="1"/>
  <c r="F464" i="2" s="1"/>
  <c r="F575" i="2" s="1"/>
  <c r="E131" i="2"/>
  <c r="E242" i="2" s="1"/>
  <c r="E353" i="2" s="1"/>
  <c r="E464" i="2" s="1"/>
  <c r="E575" i="2" s="1"/>
  <c r="D131" i="2"/>
  <c r="D242" i="2" s="1"/>
  <c r="D353" i="2" s="1"/>
  <c r="D464" i="2" s="1"/>
  <c r="D575" i="2" s="1"/>
  <c r="C131" i="2"/>
  <c r="C242" i="2" s="1"/>
  <c r="C353" i="2" s="1"/>
  <c r="C464" i="2" s="1"/>
  <c r="C575" i="2" s="1"/>
  <c r="B131" i="2"/>
  <c r="B242" i="2" s="1"/>
  <c r="B353" i="2" s="1"/>
  <c r="B464" i="2" s="1"/>
  <c r="B575" i="2" s="1"/>
  <c r="AF130" i="2"/>
  <c r="AF241" i="2" s="1"/>
  <c r="AF352" i="2" s="1"/>
  <c r="AF463" i="2" s="1"/>
  <c r="AF574" i="2" s="1"/>
  <c r="AE130" i="2"/>
  <c r="AE241" i="2" s="1"/>
  <c r="AE352" i="2" s="1"/>
  <c r="AE463" i="2" s="1"/>
  <c r="AE574" i="2" s="1"/>
  <c r="AD130" i="2"/>
  <c r="AD241" i="2" s="1"/>
  <c r="AD352" i="2" s="1"/>
  <c r="AD463" i="2" s="1"/>
  <c r="AD574" i="2" s="1"/>
  <c r="AC130" i="2"/>
  <c r="AC241" i="2" s="1"/>
  <c r="AC352" i="2" s="1"/>
  <c r="AC463" i="2" s="1"/>
  <c r="AC574" i="2" s="1"/>
  <c r="AB130" i="2"/>
  <c r="AB241" i="2" s="1"/>
  <c r="AB352" i="2" s="1"/>
  <c r="AB463" i="2" s="1"/>
  <c r="AB574" i="2" s="1"/>
  <c r="X130" i="2"/>
  <c r="X241" i="2" s="1"/>
  <c r="X352" i="2" s="1"/>
  <c r="X463" i="2" s="1"/>
  <c r="X574" i="2" s="1"/>
  <c r="V130" i="2"/>
  <c r="V241" i="2" s="1"/>
  <c r="V352" i="2" s="1"/>
  <c r="V463" i="2" s="1"/>
  <c r="V574" i="2" s="1"/>
  <c r="U130" i="2"/>
  <c r="U241" i="2" s="1"/>
  <c r="U352" i="2" s="1"/>
  <c r="U463" i="2" s="1"/>
  <c r="U574" i="2" s="1"/>
  <c r="T130" i="2"/>
  <c r="T241" i="2" s="1"/>
  <c r="T352" i="2" s="1"/>
  <c r="T463" i="2" s="1"/>
  <c r="T574" i="2" s="1"/>
  <c r="S130" i="2"/>
  <c r="S241" i="2" s="1"/>
  <c r="S352" i="2" s="1"/>
  <c r="S463" i="2" s="1"/>
  <c r="S574" i="2" s="1"/>
  <c r="R130" i="2"/>
  <c r="R241" i="2" s="1"/>
  <c r="R352" i="2" s="1"/>
  <c r="R463" i="2" s="1"/>
  <c r="R574" i="2" s="1"/>
  <c r="Q130" i="2"/>
  <c r="Q241" i="2" s="1"/>
  <c r="Q352" i="2" s="1"/>
  <c r="Q463" i="2" s="1"/>
  <c r="Q574" i="2" s="1"/>
  <c r="P130" i="2"/>
  <c r="P241" i="2" s="1"/>
  <c r="P352" i="2" s="1"/>
  <c r="P463" i="2" s="1"/>
  <c r="P574" i="2" s="1"/>
  <c r="O130" i="2"/>
  <c r="O241" i="2" s="1"/>
  <c r="O352" i="2" s="1"/>
  <c r="O463" i="2" s="1"/>
  <c r="O574" i="2" s="1"/>
  <c r="N130" i="2"/>
  <c r="N241" i="2" s="1"/>
  <c r="N352" i="2" s="1"/>
  <c r="N463" i="2" s="1"/>
  <c r="N574" i="2" s="1"/>
  <c r="M130" i="2"/>
  <c r="M241" i="2" s="1"/>
  <c r="M352" i="2" s="1"/>
  <c r="M463" i="2" s="1"/>
  <c r="M574" i="2" s="1"/>
  <c r="L130" i="2"/>
  <c r="L241" i="2" s="1"/>
  <c r="L352" i="2" s="1"/>
  <c r="L463" i="2" s="1"/>
  <c r="L574" i="2" s="1"/>
  <c r="J130" i="2"/>
  <c r="J241" i="2" s="1"/>
  <c r="J352" i="2" s="1"/>
  <c r="J463" i="2" s="1"/>
  <c r="J574" i="2" s="1"/>
  <c r="I130" i="2"/>
  <c r="I241" i="2" s="1"/>
  <c r="I352" i="2" s="1"/>
  <c r="I463" i="2" s="1"/>
  <c r="I574" i="2" s="1"/>
  <c r="H130" i="2"/>
  <c r="H241" i="2" s="1"/>
  <c r="H352" i="2" s="1"/>
  <c r="H463" i="2" s="1"/>
  <c r="H574" i="2" s="1"/>
  <c r="G130" i="2"/>
  <c r="G241" i="2" s="1"/>
  <c r="G352" i="2" s="1"/>
  <c r="G463" i="2" s="1"/>
  <c r="G574" i="2" s="1"/>
  <c r="F130" i="2"/>
  <c r="F241" i="2" s="1"/>
  <c r="F352" i="2" s="1"/>
  <c r="F463" i="2" s="1"/>
  <c r="F574" i="2" s="1"/>
  <c r="E130" i="2"/>
  <c r="E241" i="2" s="1"/>
  <c r="E352" i="2" s="1"/>
  <c r="E463" i="2" s="1"/>
  <c r="E574" i="2" s="1"/>
  <c r="D130" i="2"/>
  <c r="D241" i="2" s="1"/>
  <c r="D352" i="2" s="1"/>
  <c r="D463" i="2" s="1"/>
  <c r="D574" i="2" s="1"/>
  <c r="C130" i="2"/>
  <c r="C241" i="2" s="1"/>
  <c r="C352" i="2" s="1"/>
  <c r="C463" i="2" s="1"/>
  <c r="C574" i="2" s="1"/>
  <c r="B130" i="2"/>
  <c r="B241" i="2" s="1"/>
  <c r="B352" i="2" s="1"/>
  <c r="B463" i="2" s="1"/>
  <c r="B574" i="2" s="1"/>
  <c r="AF124" i="2"/>
  <c r="AF235" i="2" s="1"/>
  <c r="AF346" i="2" s="1"/>
  <c r="AF457" i="2" s="1"/>
  <c r="AF568" i="2" s="1"/>
  <c r="AE124" i="2"/>
  <c r="AE235" i="2" s="1"/>
  <c r="AE346" i="2" s="1"/>
  <c r="AE457" i="2" s="1"/>
  <c r="AE568" i="2" s="1"/>
  <c r="AD124" i="2"/>
  <c r="AD235" i="2" s="1"/>
  <c r="AD346" i="2" s="1"/>
  <c r="AD457" i="2" s="1"/>
  <c r="AD568" i="2" s="1"/>
  <c r="AC124" i="2"/>
  <c r="AC235" i="2" s="1"/>
  <c r="AC346" i="2" s="1"/>
  <c r="AC457" i="2" s="1"/>
  <c r="AC568" i="2" s="1"/>
  <c r="AB124" i="2"/>
  <c r="AB235" i="2" s="1"/>
  <c r="AB346" i="2" s="1"/>
  <c r="AB457" i="2" s="1"/>
  <c r="AB568" i="2" s="1"/>
  <c r="AA124" i="2"/>
  <c r="AA235" i="2" s="1"/>
  <c r="AA346" i="2" s="1"/>
  <c r="AA457" i="2" s="1"/>
  <c r="AA568" i="2" s="1"/>
  <c r="Z124" i="2"/>
  <c r="Z235" i="2" s="1"/>
  <c r="Z346" i="2" s="1"/>
  <c r="Z457" i="2" s="1"/>
  <c r="Z568" i="2" s="1"/>
  <c r="X124" i="2"/>
  <c r="X235" i="2" s="1"/>
  <c r="X346" i="2" s="1"/>
  <c r="X457" i="2" s="1"/>
  <c r="X568" i="2" s="1"/>
  <c r="V124" i="2"/>
  <c r="V235" i="2" s="1"/>
  <c r="V346" i="2" s="1"/>
  <c r="V457" i="2" s="1"/>
  <c r="V568" i="2" s="1"/>
  <c r="U124" i="2"/>
  <c r="U235" i="2" s="1"/>
  <c r="U346" i="2" s="1"/>
  <c r="U457" i="2" s="1"/>
  <c r="U568" i="2" s="1"/>
  <c r="T124" i="2"/>
  <c r="T235" i="2" s="1"/>
  <c r="T346" i="2" s="1"/>
  <c r="T457" i="2" s="1"/>
  <c r="T568" i="2" s="1"/>
  <c r="S124" i="2"/>
  <c r="S235" i="2" s="1"/>
  <c r="S346" i="2" s="1"/>
  <c r="S457" i="2" s="1"/>
  <c r="S568" i="2" s="1"/>
  <c r="R124" i="2"/>
  <c r="R235" i="2" s="1"/>
  <c r="R346" i="2" s="1"/>
  <c r="R457" i="2" s="1"/>
  <c r="R568" i="2" s="1"/>
  <c r="Q124" i="2"/>
  <c r="Q235" i="2" s="1"/>
  <c r="Q346" i="2" s="1"/>
  <c r="Q457" i="2" s="1"/>
  <c r="Q568" i="2" s="1"/>
  <c r="P124" i="2"/>
  <c r="P235" i="2" s="1"/>
  <c r="P346" i="2" s="1"/>
  <c r="P457" i="2" s="1"/>
  <c r="P568" i="2" s="1"/>
  <c r="O124" i="2"/>
  <c r="O235" i="2" s="1"/>
  <c r="O346" i="2" s="1"/>
  <c r="O457" i="2" s="1"/>
  <c r="O568" i="2" s="1"/>
  <c r="N124" i="2"/>
  <c r="N235" i="2" s="1"/>
  <c r="N346" i="2" s="1"/>
  <c r="N457" i="2" s="1"/>
  <c r="N568" i="2" s="1"/>
  <c r="M124" i="2"/>
  <c r="M235" i="2" s="1"/>
  <c r="M346" i="2" s="1"/>
  <c r="M457" i="2" s="1"/>
  <c r="M568" i="2" s="1"/>
  <c r="L124" i="2"/>
  <c r="L235" i="2" s="1"/>
  <c r="L346" i="2" s="1"/>
  <c r="L457" i="2" s="1"/>
  <c r="L568" i="2" s="1"/>
  <c r="J124" i="2"/>
  <c r="J235" i="2" s="1"/>
  <c r="J346" i="2" s="1"/>
  <c r="J457" i="2" s="1"/>
  <c r="J568" i="2" s="1"/>
  <c r="I124" i="2"/>
  <c r="I235" i="2" s="1"/>
  <c r="I346" i="2" s="1"/>
  <c r="I457" i="2" s="1"/>
  <c r="I568" i="2" s="1"/>
  <c r="H124" i="2"/>
  <c r="H235" i="2" s="1"/>
  <c r="H346" i="2" s="1"/>
  <c r="H457" i="2" s="1"/>
  <c r="H568" i="2" s="1"/>
  <c r="G124" i="2"/>
  <c r="G235" i="2" s="1"/>
  <c r="G346" i="2" s="1"/>
  <c r="G457" i="2" s="1"/>
  <c r="G568" i="2" s="1"/>
  <c r="F124" i="2"/>
  <c r="F235" i="2" s="1"/>
  <c r="F346" i="2" s="1"/>
  <c r="F457" i="2" s="1"/>
  <c r="F568" i="2" s="1"/>
  <c r="E124" i="2"/>
  <c r="E235" i="2" s="1"/>
  <c r="E346" i="2" s="1"/>
  <c r="E457" i="2" s="1"/>
  <c r="E568" i="2" s="1"/>
  <c r="C124" i="2"/>
  <c r="C235" i="2" s="1"/>
  <c r="C346" i="2" s="1"/>
  <c r="C457" i="2" s="1"/>
  <c r="C568" i="2" s="1"/>
  <c r="B124" i="2"/>
  <c r="B235" i="2" s="1"/>
  <c r="B346" i="2" s="1"/>
  <c r="B457" i="2" s="1"/>
  <c r="B568" i="2" s="1"/>
  <c r="AF123" i="2"/>
  <c r="AF234" i="2" s="1"/>
  <c r="AF345" i="2" s="1"/>
  <c r="AF456" i="2" s="1"/>
  <c r="AF567" i="2" s="1"/>
  <c r="AE123" i="2"/>
  <c r="AE234" i="2" s="1"/>
  <c r="AE345" i="2" s="1"/>
  <c r="AE456" i="2" s="1"/>
  <c r="AE567" i="2" s="1"/>
  <c r="AD123" i="2"/>
  <c r="AD234" i="2" s="1"/>
  <c r="AD345" i="2" s="1"/>
  <c r="AD456" i="2" s="1"/>
  <c r="AD567" i="2" s="1"/>
  <c r="AC123" i="2"/>
  <c r="AC234" i="2" s="1"/>
  <c r="AC345" i="2" s="1"/>
  <c r="AC456" i="2" s="1"/>
  <c r="AC567" i="2" s="1"/>
  <c r="AB123" i="2"/>
  <c r="AB234" i="2" s="1"/>
  <c r="AB345" i="2" s="1"/>
  <c r="AB456" i="2" s="1"/>
  <c r="AB567" i="2" s="1"/>
  <c r="AA123" i="2"/>
  <c r="AA234" i="2" s="1"/>
  <c r="AA345" i="2" s="1"/>
  <c r="AA456" i="2" s="1"/>
  <c r="AA567" i="2" s="1"/>
  <c r="Z123" i="2"/>
  <c r="Z234" i="2" s="1"/>
  <c r="Z345" i="2" s="1"/>
  <c r="Z456" i="2" s="1"/>
  <c r="Z567" i="2" s="1"/>
  <c r="Y123" i="2"/>
  <c r="Y234" i="2" s="1"/>
  <c r="Y345" i="2" s="1"/>
  <c r="Y456" i="2" s="1"/>
  <c r="Y567" i="2" s="1"/>
  <c r="X123" i="2"/>
  <c r="X234" i="2" s="1"/>
  <c r="X345" i="2" s="1"/>
  <c r="X456" i="2" s="1"/>
  <c r="X567" i="2" s="1"/>
  <c r="W123" i="2"/>
  <c r="W234" i="2" s="1"/>
  <c r="W345" i="2" s="1"/>
  <c r="W456" i="2" s="1"/>
  <c r="W567" i="2" s="1"/>
  <c r="V123" i="2"/>
  <c r="V234" i="2" s="1"/>
  <c r="V345" i="2" s="1"/>
  <c r="V456" i="2" s="1"/>
  <c r="V567" i="2" s="1"/>
  <c r="U123" i="2"/>
  <c r="U234" i="2" s="1"/>
  <c r="U345" i="2" s="1"/>
  <c r="U456" i="2" s="1"/>
  <c r="U567" i="2" s="1"/>
  <c r="T123" i="2"/>
  <c r="T234" i="2" s="1"/>
  <c r="T345" i="2" s="1"/>
  <c r="T456" i="2" s="1"/>
  <c r="T567" i="2" s="1"/>
  <c r="S123" i="2"/>
  <c r="S234" i="2" s="1"/>
  <c r="S345" i="2" s="1"/>
  <c r="S456" i="2" s="1"/>
  <c r="S567" i="2" s="1"/>
  <c r="R123" i="2"/>
  <c r="R234" i="2" s="1"/>
  <c r="R345" i="2" s="1"/>
  <c r="R456" i="2" s="1"/>
  <c r="R567" i="2" s="1"/>
  <c r="Q123" i="2"/>
  <c r="Q234" i="2" s="1"/>
  <c r="Q345" i="2" s="1"/>
  <c r="Q456" i="2" s="1"/>
  <c r="Q567" i="2" s="1"/>
  <c r="P123" i="2"/>
  <c r="P234" i="2" s="1"/>
  <c r="P345" i="2" s="1"/>
  <c r="P456" i="2" s="1"/>
  <c r="P567" i="2" s="1"/>
  <c r="O123" i="2"/>
  <c r="O234" i="2" s="1"/>
  <c r="O345" i="2" s="1"/>
  <c r="O456" i="2" s="1"/>
  <c r="O567" i="2" s="1"/>
  <c r="N123" i="2"/>
  <c r="N234" i="2" s="1"/>
  <c r="N345" i="2" s="1"/>
  <c r="N456" i="2" s="1"/>
  <c r="N567" i="2" s="1"/>
  <c r="M123" i="2"/>
  <c r="M234" i="2" s="1"/>
  <c r="M345" i="2" s="1"/>
  <c r="M456" i="2" s="1"/>
  <c r="M567" i="2" s="1"/>
  <c r="L123" i="2"/>
  <c r="L234" i="2" s="1"/>
  <c r="L345" i="2" s="1"/>
  <c r="L456" i="2" s="1"/>
  <c r="L567" i="2" s="1"/>
  <c r="K123" i="2"/>
  <c r="K234" i="2" s="1"/>
  <c r="K345" i="2" s="1"/>
  <c r="K456" i="2" s="1"/>
  <c r="K567" i="2" s="1"/>
  <c r="J123" i="2"/>
  <c r="J234" i="2" s="1"/>
  <c r="J345" i="2" s="1"/>
  <c r="J456" i="2" s="1"/>
  <c r="J567" i="2" s="1"/>
  <c r="I123" i="2"/>
  <c r="I234" i="2" s="1"/>
  <c r="I345" i="2" s="1"/>
  <c r="I456" i="2" s="1"/>
  <c r="I567" i="2" s="1"/>
  <c r="H123" i="2"/>
  <c r="H234" i="2" s="1"/>
  <c r="H345" i="2" s="1"/>
  <c r="H456" i="2" s="1"/>
  <c r="H567" i="2" s="1"/>
  <c r="G123" i="2"/>
  <c r="G234" i="2" s="1"/>
  <c r="G345" i="2" s="1"/>
  <c r="G456" i="2" s="1"/>
  <c r="G567" i="2" s="1"/>
  <c r="F123" i="2"/>
  <c r="F234" i="2" s="1"/>
  <c r="F345" i="2" s="1"/>
  <c r="F456" i="2" s="1"/>
  <c r="F567" i="2" s="1"/>
  <c r="E123" i="2"/>
  <c r="E234" i="2" s="1"/>
  <c r="E345" i="2" s="1"/>
  <c r="E456" i="2" s="1"/>
  <c r="E567" i="2" s="1"/>
  <c r="D123" i="2"/>
  <c r="D234" i="2" s="1"/>
  <c r="D345" i="2" s="1"/>
  <c r="D456" i="2" s="1"/>
  <c r="D567" i="2" s="1"/>
  <c r="C123" i="2"/>
  <c r="C234" i="2" s="1"/>
  <c r="C345" i="2" s="1"/>
  <c r="C456" i="2" s="1"/>
  <c r="C567" i="2" s="1"/>
  <c r="B123" i="2"/>
  <c r="B234" i="2" s="1"/>
  <c r="B345" i="2" s="1"/>
  <c r="B456" i="2" s="1"/>
  <c r="B567" i="2" s="1"/>
  <c r="AF122" i="2"/>
  <c r="AF233" i="2" s="1"/>
  <c r="AF344" i="2" s="1"/>
  <c r="AF455" i="2" s="1"/>
  <c r="AF566" i="2" s="1"/>
  <c r="AE122" i="2"/>
  <c r="AE233" i="2" s="1"/>
  <c r="AE344" i="2" s="1"/>
  <c r="AE455" i="2" s="1"/>
  <c r="AE566" i="2" s="1"/>
  <c r="AD122" i="2"/>
  <c r="AD233" i="2" s="1"/>
  <c r="AD344" i="2" s="1"/>
  <c r="AD455" i="2" s="1"/>
  <c r="AD566" i="2" s="1"/>
  <c r="AC122" i="2"/>
  <c r="AC233" i="2" s="1"/>
  <c r="AC344" i="2" s="1"/>
  <c r="AC455" i="2" s="1"/>
  <c r="AC566" i="2" s="1"/>
  <c r="AB122" i="2"/>
  <c r="AB233" i="2" s="1"/>
  <c r="AB344" i="2" s="1"/>
  <c r="AB455" i="2" s="1"/>
  <c r="AB566" i="2" s="1"/>
  <c r="AA122" i="2"/>
  <c r="AA233" i="2" s="1"/>
  <c r="AA344" i="2" s="1"/>
  <c r="AA455" i="2" s="1"/>
  <c r="AA566" i="2" s="1"/>
  <c r="Z122" i="2"/>
  <c r="Z233" i="2" s="1"/>
  <c r="Z344" i="2" s="1"/>
  <c r="Z455" i="2" s="1"/>
  <c r="Z566" i="2" s="1"/>
  <c r="X122" i="2"/>
  <c r="X233" i="2" s="1"/>
  <c r="X344" i="2" s="1"/>
  <c r="X455" i="2" s="1"/>
  <c r="X566" i="2" s="1"/>
  <c r="V122" i="2"/>
  <c r="V233" i="2" s="1"/>
  <c r="V344" i="2" s="1"/>
  <c r="V455" i="2" s="1"/>
  <c r="V566" i="2" s="1"/>
  <c r="U122" i="2"/>
  <c r="U233" i="2" s="1"/>
  <c r="U344" i="2" s="1"/>
  <c r="U455" i="2" s="1"/>
  <c r="U566" i="2" s="1"/>
  <c r="T122" i="2"/>
  <c r="T233" i="2" s="1"/>
  <c r="T344" i="2" s="1"/>
  <c r="T455" i="2" s="1"/>
  <c r="T566" i="2" s="1"/>
  <c r="S122" i="2"/>
  <c r="S233" i="2" s="1"/>
  <c r="S344" i="2" s="1"/>
  <c r="S455" i="2" s="1"/>
  <c r="S566" i="2" s="1"/>
  <c r="R122" i="2"/>
  <c r="R233" i="2" s="1"/>
  <c r="R344" i="2" s="1"/>
  <c r="R455" i="2" s="1"/>
  <c r="R566" i="2" s="1"/>
  <c r="Q122" i="2"/>
  <c r="Q233" i="2" s="1"/>
  <c r="Q344" i="2" s="1"/>
  <c r="Q455" i="2" s="1"/>
  <c r="Q566" i="2" s="1"/>
  <c r="P122" i="2"/>
  <c r="P233" i="2" s="1"/>
  <c r="P344" i="2" s="1"/>
  <c r="P455" i="2" s="1"/>
  <c r="P566" i="2" s="1"/>
  <c r="N122" i="2"/>
  <c r="N233" i="2" s="1"/>
  <c r="N344" i="2" s="1"/>
  <c r="N455" i="2" s="1"/>
  <c r="N566" i="2" s="1"/>
  <c r="M122" i="2"/>
  <c r="M233" i="2" s="1"/>
  <c r="M344" i="2" s="1"/>
  <c r="M455" i="2" s="1"/>
  <c r="M566" i="2" s="1"/>
  <c r="L122" i="2"/>
  <c r="L233" i="2" s="1"/>
  <c r="L344" i="2" s="1"/>
  <c r="L455" i="2" s="1"/>
  <c r="L566" i="2" s="1"/>
  <c r="J122" i="2"/>
  <c r="J233" i="2" s="1"/>
  <c r="J344" i="2" s="1"/>
  <c r="J455" i="2" s="1"/>
  <c r="J566" i="2" s="1"/>
  <c r="I122" i="2"/>
  <c r="I233" i="2" s="1"/>
  <c r="I344" i="2" s="1"/>
  <c r="I455" i="2" s="1"/>
  <c r="I566" i="2" s="1"/>
  <c r="H122" i="2"/>
  <c r="H233" i="2" s="1"/>
  <c r="H344" i="2" s="1"/>
  <c r="H455" i="2" s="1"/>
  <c r="H566" i="2" s="1"/>
  <c r="G122" i="2"/>
  <c r="G233" i="2" s="1"/>
  <c r="G344" i="2" s="1"/>
  <c r="G455" i="2" s="1"/>
  <c r="G566" i="2" s="1"/>
  <c r="F122" i="2"/>
  <c r="F233" i="2" s="1"/>
  <c r="F344" i="2" s="1"/>
  <c r="F455" i="2" s="1"/>
  <c r="F566" i="2" s="1"/>
  <c r="E122" i="2"/>
  <c r="E233" i="2" s="1"/>
  <c r="E344" i="2" s="1"/>
  <c r="E455" i="2" s="1"/>
  <c r="E566" i="2" s="1"/>
  <c r="C122" i="2"/>
  <c r="C233" i="2" s="1"/>
  <c r="C344" i="2" s="1"/>
  <c r="C455" i="2" s="1"/>
  <c r="C566" i="2" s="1"/>
  <c r="B122" i="2"/>
  <c r="B233" i="2" s="1"/>
  <c r="B344" i="2" s="1"/>
  <c r="B455" i="2" s="1"/>
  <c r="B566" i="2" s="1"/>
  <c r="AF121" i="2"/>
  <c r="AF232" i="2" s="1"/>
  <c r="AF343" i="2" s="1"/>
  <c r="AF454" i="2" s="1"/>
  <c r="AF565" i="2" s="1"/>
  <c r="AE121" i="2"/>
  <c r="AE232" i="2" s="1"/>
  <c r="AE343" i="2" s="1"/>
  <c r="AE454" i="2" s="1"/>
  <c r="AE565" i="2" s="1"/>
  <c r="AD121" i="2"/>
  <c r="AD232" i="2" s="1"/>
  <c r="AD343" i="2" s="1"/>
  <c r="AD454" i="2" s="1"/>
  <c r="AD565" i="2" s="1"/>
  <c r="AC121" i="2"/>
  <c r="AC232" i="2" s="1"/>
  <c r="AC343" i="2" s="1"/>
  <c r="AC454" i="2" s="1"/>
  <c r="AC565" i="2" s="1"/>
  <c r="AB121" i="2"/>
  <c r="AB232" i="2" s="1"/>
  <c r="AB343" i="2" s="1"/>
  <c r="AB454" i="2" s="1"/>
  <c r="AB565" i="2" s="1"/>
  <c r="AA121" i="2"/>
  <c r="AA232" i="2" s="1"/>
  <c r="AA343" i="2" s="1"/>
  <c r="AA454" i="2" s="1"/>
  <c r="AA565" i="2" s="1"/>
  <c r="Z121" i="2"/>
  <c r="Z232" i="2" s="1"/>
  <c r="Z343" i="2" s="1"/>
  <c r="Z454" i="2" s="1"/>
  <c r="Z565" i="2" s="1"/>
  <c r="X121" i="2"/>
  <c r="X232" i="2" s="1"/>
  <c r="X343" i="2" s="1"/>
  <c r="X454" i="2" s="1"/>
  <c r="X565" i="2" s="1"/>
  <c r="V121" i="2"/>
  <c r="V232" i="2" s="1"/>
  <c r="V343" i="2" s="1"/>
  <c r="V454" i="2" s="1"/>
  <c r="V565" i="2" s="1"/>
  <c r="U121" i="2"/>
  <c r="U232" i="2" s="1"/>
  <c r="U343" i="2" s="1"/>
  <c r="U454" i="2" s="1"/>
  <c r="U565" i="2" s="1"/>
  <c r="T121" i="2"/>
  <c r="T232" i="2" s="1"/>
  <c r="T343" i="2" s="1"/>
  <c r="T454" i="2" s="1"/>
  <c r="T565" i="2" s="1"/>
  <c r="S121" i="2"/>
  <c r="S232" i="2" s="1"/>
  <c r="S343" i="2" s="1"/>
  <c r="S454" i="2" s="1"/>
  <c r="S565" i="2" s="1"/>
  <c r="R121" i="2"/>
  <c r="R232" i="2" s="1"/>
  <c r="R343" i="2" s="1"/>
  <c r="R454" i="2" s="1"/>
  <c r="R565" i="2" s="1"/>
  <c r="Q121" i="2"/>
  <c r="Q232" i="2" s="1"/>
  <c r="Q343" i="2" s="1"/>
  <c r="Q454" i="2" s="1"/>
  <c r="Q565" i="2" s="1"/>
  <c r="P121" i="2"/>
  <c r="P232" i="2" s="1"/>
  <c r="P343" i="2" s="1"/>
  <c r="P454" i="2" s="1"/>
  <c r="P565" i="2" s="1"/>
  <c r="O121" i="2"/>
  <c r="O232" i="2" s="1"/>
  <c r="O343" i="2" s="1"/>
  <c r="O454" i="2" s="1"/>
  <c r="O565" i="2" s="1"/>
  <c r="N121" i="2"/>
  <c r="N232" i="2" s="1"/>
  <c r="N343" i="2" s="1"/>
  <c r="N454" i="2" s="1"/>
  <c r="N565" i="2" s="1"/>
  <c r="M121" i="2"/>
  <c r="M232" i="2" s="1"/>
  <c r="M343" i="2" s="1"/>
  <c r="M454" i="2" s="1"/>
  <c r="M565" i="2" s="1"/>
  <c r="J121" i="2"/>
  <c r="J232" i="2" s="1"/>
  <c r="J343" i="2" s="1"/>
  <c r="J454" i="2" s="1"/>
  <c r="J565" i="2" s="1"/>
  <c r="I121" i="2"/>
  <c r="I232" i="2" s="1"/>
  <c r="I343" i="2" s="1"/>
  <c r="I454" i="2" s="1"/>
  <c r="I565" i="2" s="1"/>
  <c r="H121" i="2"/>
  <c r="H232" i="2" s="1"/>
  <c r="H343" i="2" s="1"/>
  <c r="H454" i="2" s="1"/>
  <c r="H565" i="2" s="1"/>
  <c r="G121" i="2"/>
  <c r="G232" i="2" s="1"/>
  <c r="G343" i="2" s="1"/>
  <c r="G454" i="2" s="1"/>
  <c r="G565" i="2" s="1"/>
  <c r="F121" i="2"/>
  <c r="F232" i="2" s="1"/>
  <c r="F343" i="2" s="1"/>
  <c r="F454" i="2" s="1"/>
  <c r="F565" i="2" s="1"/>
  <c r="E121" i="2"/>
  <c r="E232" i="2" s="1"/>
  <c r="E343" i="2" s="1"/>
  <c r="E454" i="2" s="1"/>
  <c r="E565" i="2" s="1"/>
  <c r="C121" i="2"/>
  <c r="C232" i="2" s="1"/>
  <c r="C343" i="2" s="1"/>
  <c r="C454" i="2" s="1"/>
  <c r="C565" i="2" s="1"/>
  <c r="B121" i="2"/>
  <c r="B232" i="2" s="1"/>
  <c r="B343" i="2" s="1"/>
  <c r="B454" i="2" s="1"/>
  <c r="B565" i="2" s="1"/>
  <c r="AF120" i="2"/>
  <c r="AF231" i="2" s="1"/>
  <c r="AF342" i="2" s="1"/>
  <c r="AF453" i="2" s="1"/>
  <c r="AF564" i="2" s="1"/>
  <c r="AE120" i="2"/>
  <c r="AE231" i="2" s="1"/>
  <c r="AE342" i="2" s="1"/>
  <c r="AE453" i="2" s="1"/>
  <c r="AE564" i="2" s="1"/>
  <c r="AD120" i="2"/>
  <c r="AD231" i="2" s="1"/>
  <c r="AD342" i="2" s="1"/>
  <c r="AD453" i="2" s="1"/>
  <c r="AD564" i="2" s="1"/>
  <c r="AC120" i="2"/>
  <c r="AC231" i="2" s="1"/>
  <c r="AC342" i="2" s="1"/>
  <c r="AC453" i="2" s="1"/>
  <c r="AC564" i="2" s="1"/>
  <c r="AB120" i="2"/>
  <c r="AB231" i="2" s="1"/>
  <c r="AB342" i="2" s="1"/>
  <c r="AB453" i="2" s="1"/>
  <c r="AB564" i="2" s="1"/>
  <c r="AA120" i="2"/>
  <c r="AA231" i="2" s="1"/>
  <c r="AA342" i="2" s="1"/>
  <c r="AA453" i="2" s="1"/>
  <c r="AA564" i="2" s="1"/>
  <c r="Z120" i="2"/>
  <c r="Z231" i="2" s="1"/>
  <c r="Z342" i="2" s="1"/>
  <c r="Z453" i="2" s="1"/>
  <c r="Z564" i="2" s="1"/>
  <c r="X120" i="2"/>
  <c r="X231" i="2" s="1"/>
  <c r="X342" i="2" s="1"/>
  <c r="X453" i="2" s="1"/>
  <c r="X564" i="2" s="1"/>
  <c r="V120" i="2"/>
  <c r="V231" i="2" s="1"/>
  <c r="V342" i="2" s="1"/>
  <c r="V453" i="2" s="1"/>
  <c r="V564" i="2" s="1"/>
  <c r="U120" i="2"/>
  <c r="U231" i="2" s="1"/>
  <c r="U342" i="2" s="1"/>
  <c r="U453" i="2" s="1"/>
  <c r="U564" i="2" s="1"/>
  <c r="T120" i="2"/>
  <c r="T231" i="2" s="1"/>
  <c r="T342" i="2" s="1"/>
  <c r="T453" i="2" s="1"/>
  <c r="T564" i="2" s="1"/>
  <c r="S120" i="2"/>
  <c r="S231" i="2" s="1"/>
  <c r="S342" i="2" s="1"/>
  <c r="S453" i="2" s="1"/>
  <c r="S564" i="2" s="1"/>
  <c r="R120" i="2"/>
  <c r="R231" i="2" s="1"/>
  <c r="R342" i="2" s="1"/>
  <c r="R453" i="2" s="1"/>
  <c r="R564" i="2" s="1"/>
  <c r="Q120" i="2"/>
  <c r="Q231" i="2" s="1"/>
  <c r="Q342" i="2" s="1"/>
  <c r="Q453" i="2" s="1"/>
  <c r="Q564" i="2" s="1"/>
  <c r="P120" i="2"/>
  <c r="P231" i="2" s="1"/>
  <c r="P342" i="2" s="1"/>
  <c r="P453" i="2" s="1"/>
  <c r="P564" i="2" s="1"/>
  <c r="O120" i="2"/>
  <c r="O231" i="2" s="1"/>
  <c r="O342" i="2" s="1"/>
  <c r="O453" i="2" s="1"/>
  <c r="O564" i="2" s="1"/>
  <c r="N120" i="2"/>
  <c r="N231" i="2" s="1"/>
  <c r="N342" i="2" s="1"/>
  <c r="N453" i="2" s="1"/>
  <c r="N564" i="2" s="1"/>
  <c r="M120" i="2"/>
  <c r="M231" i="2" s="1"/>
  <c r="M342" i="2" s="1"/>
  <c r="M453" i="2" s="1"/>
  <c r="M564" i="2" s="1"/>
  <c r="J120" i="2"/>
  <c r="J231" i="2" s="1"/>
  <c r="J342" i="2" s="1"/>
  <c r="J453" i="2" s="1"/>
  <c r="J564" i="2" s="1"/>
  <c r="I120" i="2"/>
  <c r="I231" i="2" s="1"/>
  <c r="I342" i="2" s="1"/>
  <c r="I453" i="2" s="1"/>
  <c r="I564" i="2" s="1"/>
  <c r="H120" i="2"/>
  <c r="H231" i="2" s="1"/>
  <c r="H342" i="2" s="1"/>
  <c r="H453" i="2" s="1"/>
  <c r="H564" i="2" s="1"/>
  <c r="G120" i="2"/>
  <c r="G231" i="2" s="1"/>
  <c r="G342" i="2" s="1"/>
  <c r="G453" i="2" s="1"/>
  <c r="G564" i="2" s="1"/>
  <c r="F120" i="2"/>
  <c r="F231" i="2" s="1"/>
  <c r="F342" i="2" s="1"/>
  <c r="F453" i="2" s="1"/>
  <c r="F564" i="2" s="1"/>
  <c r="E120" i="2"/>
  <c r="E231" i="2" s="1"/>
  <c r="E342" i="2" s="1"/>
  <c r="E453" i="2" s="1"/>
  <c r="E564" i="2" s="1"/>
  <c r="C120" i="2"/>
  <c r="C231" i="2" s="1"/>
  <c r="C342" i="2" s="1"/>
  <c r="C453" i="2" s="1"/>
  <c r="C564" i="2" s="1"/>
  <c r="B120" i="2"/>
  <c r="B231" i="2" s="1"/>
  <c r="B342" i="2" s="1"/>
  <c r="B453" i="2" s="1"/>
  <c r="B564" i="2" s="1"/>
  <c r="AF119" i="2"/>
  <c r="AF230" i="2" s="1"/>
  <c r="AF341" i="2" s="1"/>
  <c r="AF452" i="2" s="1"/>
  <c r="AF563" i="2" s="1"/>
  <c r="AE119" i="2"/>
  <c r="AE230" i="2" s="1"/>
  <c r="AE341" i="2" s="1"/>
  <c r="AE452" i="2" s="1"/>
  <c r="AE563" i="2" s="1"/>
  <c r="AD119" i="2"/>
  <c r="AD230" i="2" s="1"/>
  <c r="AD341" i="2" s="1"/>
  <c r="AD452" i="2" s="1"/>
  <c r="AD563" i="2" s="1"/>
  <c r="AC119" i="2"/>
  <c r="AC230" i="2" s="1"/>
  <c r="AC341" i="2" s="1"/>
  <c r="AC452" i="2" s="1"/>
  <c r="AC563" i="2" s="1"/>
  <c r="AB119" i="2"/>
  <c r="AB230" i="2" s="1"/>
  <c r="AB341" i="2" s="1"/>
  <c r="AB452" i="2" s="1"/>
  <c r="AB563" i="2" s="1"/>
  <c r="AA119" i="2"/>
  <c r="AA230" i="2" s="1"/>
  <c r="AA341" i="2" s="1"/>
  <c r="AA452" i="2" s="1"/>
  <c r="AA563" i="2" s="1"/>
  <c r="Z119" i="2"/>
  <c r="Z230" i="2" s="1"/>
  <c r="Z341" i="2" s="1"/>
  <c r="Z452" i="2" s="1"/>
  <c r="Z563" i="2" s="1"/>
  <c r="X119" i="2"/>
  <c r="X230" i="2" s="1"/>
  <c r="X341" i="2" s="1"/>
  <c r="X452" i="2" s="1"/>
  <c r="X563" i="2" s="1"/>
  <c r="V119" i="2"/>
  <c r="V230" i="2" s="1"/>
  <c r="V341" i="2" s="1"/>
  <c r="V452" i="2" s="1"/>
  <c r="V563" i="2" s="1"/>
  <c r="U119" i="2"/>
  <c r="U230" i="2" s="1"/>
  <c r="U341" i="2" s="1"/>
  <c r="U452" i="2" s="1"/>
  <c r="U563" i="2" s="1"/>
  <c r="T119" i="2"/>
  <c r="T230" i="2" s="1"/>
  <c r="T341" i="2" s="1"/>
  <c r="T452" i="2" s="1"/>
  <c r="T563" i="2" s="1"/>
  <c r="S119" i="2"/>
  <c r="S230" i="2" s="1"/>
  <c r="S341" i="2" s="1"/>
  <c r="S452" i="2" s="1"/>
  <c r="S563" i="2" s="1"/>
  <c r="R119" i="2"/>
  <c r="R230" i="2" s="1"/>
  <c r="R341" i="2" s="1"/>
  <c r="R452" i="2" s="1"/>
  <c r="R563" i="2" s="1"/>
  <c r="J119" i="2"/>
  <c r="J230" i="2" s="1"/>
  <c r="J341" i="2" s="1"/>
  <c r="J452" i="2" s="1"/>
  <c r="J563" i="2" s="1"/>
  <c r="I119" i="2"/>
  <c r="I230" i="2" s="1"/>
  <c r="I341" i="2" s="1"/>
  <c r="I452" i="2" s="1"/>
  <c r="I563" i="2" s="1"/>
  <c r="H119" i="2"/>
  <c r="H230" i="2" s="1"/>
  <c r="H341" i="2" s="1"/>
  <c r="H452" i="2" s="1"/>
  <c r="H563" i="2" s="1"/>
  <c r="G119" i="2"/>
  <c r="G230" i="2" s="1"/>
  <c r="G341" i="2" s="1"/>
  <c r="G452" i="2" s="1"/>
  <c r="G563" i="2" s="1"/>
  <c r="F119" i="2"/>
  <c r="F230" i="2" s="1"/>
  <c r="F341" i="2" s="1"/>
  <c r="F452" i="2" s="1"/>
  <c r="F563" i="2" s="1"/>
  <c r="E119" i="2"/>
  <c r="E230" i="2" s="1"/>
  <c r="E341" i="2" s="1"/>
  <c r="E452" i="2" s="1"/>
  <c r="E563" i="2" s="1"/>
  <c r="C119" i="2"/>
  <c r="C230" i="2" s="1"/>
  <c r="C341" i="2" s="1"/>
  <c r="C452" i="2" s="1"/>
  <c r="C563" i="2" s="1"/>
  <c r="B119" i="2"/>
  <c r="B230" i="2" s="1"/>
  <c r="B341" i="2" s="1"/>
  <c r="B452" i="2" s="1"/>
  <c r="B563" i="2" s="1"/>
  <c r="AF118" i="2"/>
  <c r="AF229" i="2" s="1"/>
  <c r="AF340" i="2" s="1"/>
  <c r="AF451" i="2" s="1"/>
  <c r="AF562" i="2" s="1"/>
  <c r="AE118" i="2"/>
  <c r="AE229" i="2" s="1"/>
  <c r="AE340" i="2" s="1"/>
  <c r="AE451" i="2" s="1"/>
  <c r="AE562" i="2" s="1"/>
  <c r="AD118" i="2"/>
  <c r="AD229" i="2" s="1"/>
  <c r="AD340" i="2" s="1"/>
  <c r="AD451" i="2" s="1"/>
  <c r="AD562" i="2" s="1"/>
  <c r="AC118" i="2"/>
  <c r="AC229" i="2" s="1"/>
  <c r="AC340" i="2" s="1"/>
  <c r="AC451" i="2" s="1"/>
  <c r="AC562" i="2" s="1"/>
  <c r="AB118" i="2"/>
  <c r="AB229" i="2" s="1"/>
  <c r="AB340" i="2" s="1"/>
  <c r="AB451" i="2" s="1"/>
  <c r="AB562" i="2" s="1"/>
  <c r="AA118" i="2"/>
  <c r="AA229" i="2" s="1"/>
  <c r="AA340" i="2" s="1"/>
  <c r="AA451" i="2" s="1"/>
  <c r="AA562" i="2" s="1"/>
  <c r="Z118" i="2"/>
  <c r="Z229" i="2" s="1"/>
  <c r="Z340" i="2" s="1"/>
  <c r="Z451" i="2" s="1"/>
  <c r="Z562" i="2" s="1"/>
  <c r="X118" i="2"/>
  <c r="X229" i="2" s="1"/>
  <c r="X340" i="2" s="1"/>
  <c r="X451" i="2" s="1"/>
  <c r="X562" i="2" s="1"/>
  <c r="V118" i="2"/>
  <c r="V229" i="2" s="1"/>
  <c r="V340" i="2" s="1"/>
  <c r="V451" i="2" s="1"/>
  <c r="V562" i="2" s="1"/>
  <c r="U118" i="2"/>
  <c r="U229" i="2" s="1"/>
  <c r="U340" i="2" s="1"/>
  <c r="U451" i="2" s="1"/>
  <c r="U562" i="2" s="1"/>
  <c r="T118" i="2"/>
  <c r="T229" i="2" s="1"/>
  <c r="T340" i="2" s="1"/>
  <c r="T451" i="2" s="1"/>
  <c r="T562" i="2" s="1"/>
  <c r="S118" i="2"/>
  <c r="S229" i="2" s="1"/>
  <c r="S340" i="2" s="1"/>
  <c r="S451" i="2" s="1"/>
  <c r="S562" i="2" s="1"/>
  <c r="R118" i="2"/>
  <c r="R229" i="2" s="1"/>
  <c r="R340" i="2" s="1"/>
  <c r="R451" i="2" s="1"/>
  <c r="R562" i="2" s="1"/>
  <c r="Q118" i="2"/>
  <c r="Q229" i="2" s="1"/>
  <c r="Q340" i="2" s="1"/>
  <c r="Q451" i="2" s="1"/>
  <c r="Q562" i="2" s="1"/>
  <c r="P118" i="2"/>
  <c r="P229" i="2" s="1"/>
  <c r="P340" i="2" s="1"/>
  <c r="P451" i="2" s="1"/>
  <c r="P562" i="2" s="1"/>
  <c r="O118" i="2"/>
  <c r="O229" i="2" s="1"/>
  <c r="O340" i="2" s="1"/>
  <c r="O451" i="2" s="1"/>
  <c r="O562" i="2" s="1"/>
  <c r="N118" i="2"/>
  <c r="N229" i="2" s="1"/>
  <c r="N340" i="2" s="1"/>
  <c r="N451" i="2" s="1"/>
  <c r="N562" i="2" s="1"/>
  <c r="M118" i="2"/>
  <c r="M229" i="2" s="1"/>
  <c r="M340" i="2" s="1"/>
  <c r="M451" i="2" s="1"/>
  <c r="M562" i="2" s="1"/>
  <c r="L118" i="2"/>
  <c r="L229" i="2" s="1"/>
  <c r="L340" i="2" s="1"/>
  <c r="L451" i="2" s="1"/>
  <c r="L562" i="2" s="1"/>
  <c r="K118" i="2"/>
  <c r="K229" i="2" s="1"/>
  <c r="K340" i="2" s="1"/>
  <c r="K451" i="2" s="1"/>
  <c r="K562" i="2" s="1"/>
  <c r="J118" i="2"/>
  <c r="J229" i="2" s="1"/>
  <c r="J340" i="2" s="1"/>
  <c r="J451" i="2" s="1"/>
  <c r="J562" i="2" s="1"/>
  <c r="I118" i="2"/>
  <c r="I229" i="2" s="1"/>
  <c r="I340" i="2" s="1"/>
  <c r="I451" i="2" s="1"/>
  <c r="I562" i="2" s="1"/>
  <c r="H118" i="2"/>
  <c r="H229" i="2" s="1"/>
  <c r="H340" i="2" s="1"/>
  <c r="H451" i="2" s="1"/>
  <c r="H562" i="2" s="1"/>
  <c r="G118" i="2"/>
  <c r="G229" i="2" s="1"/>
  <c r="G340" i="2" s="1"/>
  <c r="G451" i="2" s="1"/>
  <c r="G562" i="2" s="1"/>
  <c r="F118" i="2"/>
  <c r="F229" i="2" s="1"/>
  <c r="F340" i="2" s="1"/>
  <c r="F451" i="2" s="1"/>
  <c r="F562" i="2" s="1"/>
  <c r="E118" i="2"/>
  <c r="E229" i="2" s="1"/>
  <c r="E340" i="2" s="1"/>
  <c r="E451" i="2" s="1"/>
  <c r="E562" i="2" s="1"/>
  <c r="C118" i="2"/>
  <c r="C229" i="2" s="1"/>
  <c r="C340" i="2" s="1"/>
  <c r="C451" i="2" s="1"/>
  <c r="C562" i="2" s="1"/>
  <c r="B118" i="2"/>
  <c r="B229" i="2" s="1"/>
  <c r="B340" i="2" s="1"/>
  <c r="B451" i="2" s="1"/>
  <c r="B562" i="2" s="1"/>
  <c r="AF117" i="2"/>
  <c r="AF228" i="2" s="1"/>
  <c r="AF339" i="2" s="1"/>
  <c r="AF450" i="2" s="1"/>
  <c r="AF561" i="2" s="1"/>
  <c r="AE117" i="2"/>
  <c r="AE228" i="2" s="1"/>
  <c r="AE339" i="2" s="1"/>
  <c r="AE450" i="2" s="1"/>
  <c r="AE561" i="2" s="1"/>
  <c r="AD117" i="2"/>
  <c r="AD228" i="2" s="1"/>
  <c r="AD339" i="2" s="1"/>
  <c r="AD450" i="2" s="1"/>
  <c r="AD561" i="2" s="1"/>
  <c r="AC117" i="2"/>
  <c r="AC228" i="2" s="1"/>
  <c r="AC339" i="2" s="1"/>
  <c r="AC450" i="2" s="1"/>
  <c r="AC561" i="2" s="1"/>
  <c r="AB117" i="2"/>
  <c r="AB228" i="2" s="1"/>
  <c r="AB339" i="2" s="1"/>
  <c r="AB450" i="2" s="1"/>
  <c r="AB561" i="2" s="1"/>
  <c r="AA117" i="2"/>
  <c r="AA228" i="2" s="1"/>
  <c r="AA339" i="2" s="1"/>
  <c r="AA450" i="2" s="1"/>
  <c r="AA561" i="2" s="1"/>
  <c r="Z117" i="2"/>
  <c r="Z228" i="2" s="1"/>
  <c r="Z339" i="2" s="1"/>
  <c r="Z450" i="2" s="1"/>
  <c r="Z561" i="2" s="1"/>
  <c r="X117" i="2"/>
  <c r="X228" i="2" s="1"/>
  <c r="X339" i="2" s="1"/>
  <c r="X450" i="2" s="1"/>
  <c r="X561" i="2" s="1"/>
  <c r="V117" i="2"/>
  <c r="V228" i="2" s="1"/>
  <c r="V339" i="2" s="1"/>
  <c r="V450" i="2" s="1"/>
  <c r="V561" i="2" s="1"/>
  <c r="U117" i="2"/>
  <c r="U228" i="2" s="1"/>
  <c r="U339" i="2" s="1"/>
  <c r="U450" i="2" s="1"/>
  <c r="U561" i="2" s="1"/>
  <c r="T117" i="2"/>
  <c r="T228" i="2" s="1"/>
  <c r="T339" i="2" s="1"/>
  <c r="T450" i="2" s="1"/>
  <c r="T561" i="2" s="1"/>
  <c r="S117" i="2"/>
  <c r="S228" i="2" s="1"/>
  <c r="S339" i="2" s="1"/>
  <c r="S450" i="2" s="1"/>
  <c r="S561" i="2" s="1"/>
  <c r="R117" i="2"/>
  <c r="R228" i="2" s="1"/>
  <c r="R339" i="2" s="1"/>
  <c r="R450" i="2" s="1"/>
  <c r="R561" i="2" s="1"/>
  <c r="Q117" i="2"/>
  <c r="Q228" i="2" s="1"/>
  <c r="Q339" i="2" s="1"/>
  <c r="Q450" i="2" s="1"/>
  <c r="Q561" i="2" s="1"/>
  <c r="P117" i="2"/>
  <c r="P228" i="2" s="1"/>
  <c r="P339" i="2" s="1"/>
  <c r="P450" i="2" s="1"/>
  <c r="P561" i="2" s="1"/>
  <c r="O117" i="2"/>
  <c r="O228" i="2" s="1"/>
  <c r="O339" i="2" s="1"/>
  <c r="O450" i="2" s="1"/>
  <c r="O561" i="2" s="1"/>
  <c r="N117" i="2"/>
  <c r="N228" i="2" s="1"/>
  <c r="N339" i="2" s="1"/>
  <c r="N450" i="2" s="1"/>
  <c r="N561" i="2" s="1"/>
  <c r="M117" i="2"/>
  <c r="M228" i="2" s="1"/>
  <c r="M339" i="2" s="1"/>
  <c r="M450" i="2" s="1"/>
  <c r="M561" i="2" s="1"/>
  <c r="L117" i="2"/>
  <c r="L228" i="2" s="1"/>
  <c r="L339" i="2" s="1"/>
  <c r="L450" i="2" s="1"/>
  <c r="L561" i="2" s="1"/>
  <c r="K117" i="2"/>
  <c r="K228" i="2" s="1"/>
  <c r="K339" i="2" s="1"/>
  <c r="K450" i="2" s="1"/>
  <c r="K561" i="2" s="1"/>
  <c r="J117" i="2"/>
  <c r="J228" i="2" s="1"/>
  <c r="J339" i="2" s="1"/>
  <c r="J450" i="2" s="1"/>
  <c r="J561" i="2" s="1"/>
  <c r="I117" i="2"/>
  <c r="I228" i="2" s="1"/>
  <c r="I339" i="2" s="1"/>
  <c r="I450" i="2" s="1"/>
  <c r="I561" i="2" s="1"/>
  <c r="H117" i="2"/>
  <c r="H228" i="2" s="1"/>
  <c r="H339" i="2" s="1"/>
  <c r="H450" i="2" s="1"/>
  <c r="H561" i="2" s="1"/>
  <c r="G117" i="2"/>
  <c r="G228" i="2" s="1"/>
  <c r="G339" i="2" s="1"/>
  <c r="G450" i="2" s="1"/>
  <c r="G561" i="2" s="1"/>
  <c r="F117" i="2"/>
  <c r="F228" i="2" s="1"/>
  <c r="F339" i="2" s="1"/>
  <c r="F450" i="2" s="1"/>
  <c r="F561" i="2" s="1"/>
  <c r="E117" i="2"/>
  <c r="E228" i="2" s="1"/>
  <c r="E339" i="2" s="1"/>
  <c r="E450" i="2" s="1"/>
  <c r="E561" i="2" s="1"/>
  <c r="C117" i="2"/>
  <c r="C228" i="2" s="1"/>
  <c r="C339" i="2" s="1"/>
  <c r="C450" i="2" s="1"/>
  <c r="C561" i="2" s="1"/>
  <c r="B117" i="2"/>
  <c r="B228" i="2" s="1"/>
  <c r="B339" i="2" s="1"/>
  <c r="B450" i="2" s="1"/>
  <c r="B561" i="2" s="1"/>
  <c r="AF116" i="2"/>
  <c r="AF227" i="2" s="1"/>
  <c r="AF338" i="2" s="1"/>
  <c r="AF449" i="2" s="1"/>
  <c r="AF560" i="2" s="1"/>
  <c r="AE116" i="2"/>
  <c r="AE227" i="2" s="1"/>
  <c r="AE338" i="2" s="1"/>
  <c r="AE449" i="2" s="1"/>
  <c r="AE560" i="2" s="1"/>
  <c r="AD116" i="2"/>
  <c r="AD227" i="2" s="1"/>
  <c r="AD338" i="2" s="1"/>
  <c r="AD449" i="2" s="1"/>
  <c r="AD560" i="2" s="1"/>
  <c r="AC116" i="2"/>
  <c r="AC227" i="2" s="1"/>
  <c r="AC338" i="2" s="1"/>
  <c r="AC449" i="2" s="1"/>
  <c r="AC560" i="2" s="1"/>
  <c r="AB116" i="2"/>
  <c r="AB227" i="2" s="1"/>
  <c r="AB338" i="2" s="1"/>
  <c r="AB449" i="2" s="1"/>
  <c r="AB560" i="2" s="1"/>
  <c r="AA116" i="2"/>
  <c r="AA227" i="2" s="1"/>
  <c r="AA338" i="2" s="1"/>
  <c r="AA449" i="2" s="1"/>
  <c r="AA560" i="2" s="1"/>
  <c r="Z116" i="2"/>
  <c r="Z227" i="2" s="1"/>
  <c r="Z338" i="2" s="1"/>
  <c r="Z449" i="2" s="1"/>
  <c r="Z560" i="2" s="1"/>
  <c r="X116" i="2"/>
  <c r="X227" i="2" s="1"/>
  <c r="X338" i="2" s="1"/>
  <c r="X449" i="2" s="1"/>
  <c r="X560" i="2" s="1"/>
  <c r="V116" i="2"/>
  <c r="V227" i="2" s="1"/>
  <c r="V338" i="2" s="1"/>
  <c r="V449" i="2" s="1"/>
  <c r="V560" i="2" s="1"/>
  <c r="U116" i="2"/>
  <c r="U227" i="2" s="1"/>
  <c r="U338" i="2" s="1"/>
  <c r="U449" i="2" s="1"/>
  <c r="U560" i="2" s="1"/>
  <c r="T116" i="2"/>
  <c r="T227" i="2" s="1"/>
  <c r="T338" i="2" s="1"/>
  <c r="T449" i="2" s="1"/>
  <c r="T560" i="2" s="1"/>
  <c r="S116" i="2"/>
  <c r="S227" i="2" s="1"/>
  <c r="S338" i="2" s="1"/>
  <c r="S449" i="2" s="1"/>
  <c r="S560" i="2" s="1"/>
  <c r="R116" i="2"/>
  <c r="R227" i="2" s="1"/>
  <c r="R338" i="2" s="1"/>
  <c r="R449" i="2" s="1"/>
  <c r="R560" i="2" s="1"/>
  <c r="Q116" i="2"/>
  <c r="Q227" i="2" s="1"/>
  <c r="Q338" i="2" s="1"/>
  <c r="Q449" i="2" s="1"/>
  <c r="Q560" i="2" s="1"/>
  <c r="P116" i="2"/>
  <c r="P227" i="2" s="1"/>
  <c r="P338" i="2" s="1"/>
  <c r="P449" i="2" s="1"/>
  <c r="P560" i="2" s="1"/>
  <c r="O116" i="2"/>
  <c r="O227" i="2" s="1"/>
  <c r="O338" i="2" s="1"/>
  <c r="O449" i="2" s="1"/>
  <c r="O560" i="2" s="1"/>
  <c r="N116" i="2"/>
  <c r="N227" i="2" s="1"/>
  <c r="N338" i="2" s="1"/>
  <c r="N449" i="2" s="1"/>
  <c r="N560" i="2" s="1"/>
  <c r="M116" i="2"/>
  <c r="M227" i="2" s="1"/>
  <c r="M338" i="2" s="1"/>
  <c r="M449" i="2" s="1"/>
  <c r="M560" i="2" s="1"/>
  <c r="L116" i="2"/>
  <c r="L227" i="2" s="1"/>
  <c r="L338" i="2" s="1"/>
  <c r="L449" i="2" s="1"/>
  <c r="L560" i="2" s="1"/>
  <c r="K116" i="2"/>
  <c r="K227" i="2" s="1"/>
  <c r="K338" i="2" s="1"/>
  <c r="K449" i="2" s="1"/>
  <c r="K560" i="2" s="1"/>
  <c r="J116" i="2"/>
  <c r="J227" i="2" s="1"/>
  <c r="J338" i="2" s="1"/>
  <c r="J449" i="2" s="1"/>
  <c r="J560" i="2" s="1"/>
  <c r="I116" i="2"/>
  <c r="I227" i="2" s="1"/>
  <c r="I338" i="2" s="1"/>
  <c r="I449" i="2" s="1"/>
  <c r="I560" i="2" s="1"/>
  <c r="H116" i="2"/>
  <c r="H227" i="2" s="1"/>
  <c r="H338" i="2" s="1"/>
  <c r="H449" i="2" s="1"/>
  <c r="H560" i="2" s="1"/>
  <c r="G116" i="2"/>
  <c r="G227" i="2" s="1"/>
  <c r="G338" i="2" s="1"/>
  <c r="G449" i="2" s="1"/>
  <c r="G560" i="2" s="1"/>
  <c r="F116" i="2"/>
  <c r="F227" i="2" s="1"/>
  <c r="F338" i="2" s="1"/>
  <c r="F449" i="2" s="1"/>
  <c r="F560" i="2" s="1"/>
  <c r="E116" i="2"/>
  <c r="E227" i="2" s="1"/>
  <c r="E338" i="2" s="1"/>
  <c r="E449" i="2" s="1"/>
  <c r="E560" i="2" s="1"/>
  <c r="C116" i="2"/>
  <c r="C227" i="2" s="1"/>
  <c r="C338" i="2" s="1"/>
  <c r="C449" i="2" s="1"/>
  <c r="C560" i="2" s="1"/>
  <c r="B116" i="2"/>
  <c r="B227" i="2" s="1"/>
  <c r="B338" i="2" s="1"/>
  <c r="B449" i="2" s="1"/>
  <c r="B560" i="2" s="1"/>
  <c r="AF115" i="2"/>
  <c r="AF226" i="2" s="1"/>
  <c r="AF337" i="2" s="1"/>
  <c r="AF448" i="2" s="1"/>
  <c r="AF559" i="2" s="1"/>
  <c r="AE115" i="2"/>
  <c r="AE226" i="2" s="1"/>
  <c r="AE337" i="2" s="1"/>
  <c r="AE448" i="2" s="1"/>
  <c r="AE559" i="2" s="1"/>
  <c r="AD115" i="2"/>
  <c r="AD226" i="2" s="1"/>
  <c r="AD337" i="2" s="1"/>
  <c r="AD448" i="2" s="1"/>
  <c r="AD559" i="2" s="1"/>
  <c r="AC115" i="2"/>
  <c r="AC226" i="2" s="1"/>
  <c r="AC337" i="2" s="1"/>
  <c r="AC448" i="2" s="1"/>
  <c r="AC559" i="2" s="1"/>
  <c r="AB115" i="2"/>
  <c r="AB226" i="2" s="1"/>
  <c r="AB337" i="2" s="1"/>
  <c r="AB448" i="2" s="1"/>
  <c r="AB559" i="2" s="1"/>
  <c r="AA115" i="2"/>
  <c r="AA226" i="2" s="1"/>
  <c r="AA337" i="2" s="1"/>
  <c r="AA448" i="2" s="1"/>
  <c r="AA559" i="2" s="1"/>
  <c r="Z115" i="2"/>
  <c r="Z226" i="2" s="1"/>
  <c r="Z337" i="2" s="1"/>
  <c r="Z448" i="2" s="1"/>
  <c r="Z559" i="2" s="1"/>
  <c r="X115" i="2"/>
  <c r="X226" i="2" s="1"/>
  <c r="X337" i="2" s="1"/>
  <c r="X448" i="2" s="1"/>
  <c r="X559" i="2" s="1"/>
  <c r="V115" i="2"/>
  <c r="V226" i="2" s="1"/>
  <c r="V337" i="2" s="1"/>
  <c r="V448" i="2" s="1"/>
  <c r="V559" i="2" s="1"/>
  <c r="U115" i="2"/>
  <c r="U226" i="2" s="1"/>
  <c r="U337" i="2" s="1"/>
  <c r="U448" i="2" s="1"/>
  <c r="U559" i="2" s="1"/>
  <c r="T115" i="2"/>
  <c r="T226" i="2" s="1"/>
  <c r="T337" i="2" s="1"/>
  <c r="T448" i="2" s="1"/>
  <c r="T559" i="2" s="1"/>
  <c r="S115" i="2"/>
  <c r="S226" i="2" s="1"/>
  <c r="S337" i="2" s="1"/>
  <c r="S448" i="2" s="1"/>
  <c r="S559" i="2" s="1"/>
  <c r="K115" i="2"/>
  <c r="K226" i="2" s="1"/>
  <c r="K337" i="2" s="1"/>
  <c r="K448" i="2" s="1"/>
  <c r="K559" i="2" s="1"/>
  <c r="J115" i="2"/>
  <c r="J226" i="2" s="1"/>
  <c r="J337" i="2" s="1"/>
  <c r="J448" i="2" s="1"/>
  <c r="J559" i="2" s="1"/>
  <c r="I115" i="2"/>
  <c r="I226" i="2" s="1"/>
  <c r="I337" i="2" s="1"/>
  <c r="I448" i="2" s="1"/>
  <c r="I559" i="2" s="1"/>
  <c r="G115" i="2"/>
  <c r="G226" i="2" s="1"/>
  <c r="G337" i="2" s="1"/>
  <c r="G448" i="2" s="1"/>
  <c r="G559" i="2" s="1"/>
  <c r="F115" i="2"/>
  <c r="F226" i="2" s="1"/>
  <c r="F337" i="2" s="1"/>
  <c r="F448" i="2" s="1"/>
  <c r="F559" i="2" s="1"/>
  <c r="E115" i="2"/>
  <c r="E226" i="2" s="1"/>
  <c r="E337" i="2" s="1"/>
  <c r="E448" i="2" s="1"/>
  <c r="E559" i="2" s="1"/>
  <c r="C115" i="2"/>
  <c r="C226" i="2" s="1"/>
  <c r="C337" i="2" s="1"/>
  <c r="C448" i="2" s="1"/>
  <c r="C559" i="2" s="1"/>
  <c r="B115" i="2"/>
  <c r="B226" i="2" s="1"/>
  <c r="B337" i="2" s="1"/>
  <c r="B448" i="2" s="1"/>
  <c r="B559" i="2" s="1"/>
  <c r="D1900" i="6" l="1"/>
  <c r="D1899" i="6"/>
  <c r="D1898" i="6"/>
  <c r="D1897" i="6"/>
  <c r="D1896" i="6"/>
  <c r="D1895" i="6"/>
  <c r="D1894" i="6"/>
  <c r="D1893" i="6"/>
  <c r="D1892" i="6"/>
  <c r="D1891" i="6"/>
  <c r="D1890" i="6"/>
  <c r="D1889" i="6"/>
  <c r="D1888" i="6"/>
  <c r="D1887" i="6"/>
  <c r="D1886" i="6"/>
  <c r="D1885" i="6"/>
  <c r="D1884" i="6"/>
  <c r="D1883" i="6"/>
  <c r="D1882" i="6"/>
  <c r="D1881" i="6"/>
  <c r="D1880" i="6"/>
  <c r="D1879" i="6"/>
  <c r="D1878" i="6"/>
  <c r="D1877" i="6"/>
  <c r="D1876" i="6"/>
  <c r="D1875" i="6"/>
  <c r="D1874" i="6"/>
  <c r="D1873" i="6"/>
  <c r="D1872" i="6"/>
  <c r="D1871" i="6"/>
  <c r="D1870" i="6"/>
  <c r="D1869" i="6"/>
  <c r="D1868" i="6"/>
  <c r="D1867" i="6"/>
  <c r="D1866" i="6"/>
  <c r="D1865" i="6"/>
  <c r="D1864" i="6"/>
  <c r="D1863" i="6"/>
  <c r="D1862" i="6"/>
  <c r="D1861" i="6"/>
  <c r="D1860" i="6"/>
  <c r="D1859" i="6"/>
  <c r="D1858" i="6"/>
  <c r="D1857" i="6"/>
  <c r="D1856" i="6"/>
  <c r="D1855" i="6"/>
  <c r="D1854" i="6"/>
  <c r="D1853" i="6"/>
  <c r="D1852" i="6"/>
  <c r="D1851" i="6"/>
  <c r="D1850" i="6"/>
  <c r="D1849" i="6"/>
  <c r="D1848" i="6"/>
  <c r="D1847" i="6"/>
  <c r="D1846" i="6"/>
  <c r="D1845" i="6"/>
  <c r="D1844" i="6"/>
  <c r="D1843" i="6"/>
  <c r="D1842" i="6"/>
  <c r="D1841" i="6"/>
  <c r="D1840" i="6"/>
  <c r="D1839" i="6"/>
  <c r="D1838" i="6"/>
  <c r="D1837" i="6"/>
  <c r="D1836" i="6"/>
  <c r="D1835" i="6"/>
  <c r="D1834" i="6"/>
  <c r="D1833" i="6"/>
  <c r="D1832" i="6"/>
  <c r="D1831" i="6"/>
  <c r="D1830" i="6"/>
  <c r="D1829" i="6"/>
  <c r="D1828" i="6"/>
  <c r="D1827" i="6"/>
  <c r="D1826" i="6"/>
  <c r="D1825" i="6"/>
  <c r="D1824" i="6"/>
  <c r="D1823" i="6"/>
  <c r="D1822" i="6"/>
  <c r="D1821" i="6"/>
  <c r="D1820" i="6"/>
  <c r="D1819" i="6"/>
  <c r="D1818" i="6"/>
  <c r="D1817" i="6"/>
  <c r="D1816" i="6"/>
  <c r="D1815" i="6"/>
  <c r="D1814" i="6"/>
  <c r="D1813" i="6"/>
  <c r="D1812" i="6"/>
  <c r="D1811" i="6"/>
  <c r="D1810" i="6"/>
  <c r="D1809" i="6"/>
  <c r="D1808" i="6"/>
  <c r="D1807" i="6"/>
  <c r="D1806" i="6"/>
  <c r="D1805" i="6"/>
  <c r="D1804" i="6"/>
  <c r="D1803" i="6"/>
  <c r="D1802" i="6"/>
  <c r="D1801" i="6"/>
  <c r="D1800" i="6"/>
  <c r="D1799" i="6"/>
  <c r="D1798" i="6"/>
  <c r="D1797" i="6"/>
  <c r="D1796" i="6"/>
  <c r="D1795" i="6"/>
  <c r="D1794" i="6"/>
  <c r="D1793" i="6"/>
  <c r="D1792" i="6"/>
  <c r="D1791" i="6"/>
  <c r="D1790" i="6"/>
  <c r="D1789" i="6"/>
  <c r="D1788" i="6"/>
  <c r="D1787" i="6"/>
  <c r="D1786" i="6"/>
  <c r="D1785" i="6"/>
  <c r="D1784" i="6"/>
  <c r="D1783" i="6"/>
  <c r="D1782" i="6"/>
  <c r="D1781" i="6"/>
  <c r="D1780" i="6"/>
  <c r="D1779" i="6"/>
  <c r="D1778" i="6"/>
  <c r="D1777" i="6"/>
  <c r="D1776" i="6"/>
  <c r="D1775" i="6"/>
  <c r="D1774" i="6"/>
  <c r="D1773" i="6"/>
  <c r="D1772" i="6"/>
  <c r="D1771" i="6"/>
  <c r="D1770" i="6"/>
  <c r="D1769" i="6"/>
  <c r="D1768" i="6"/>
  <c r="D1767" i="6"/>
  <c r="D1766" i="6"/>
  <c r="D1765" i="6"/>
  <c r="D1764" i="6"/>
  <c r="D1763" i="6"/>
  <c r="D1762" i="6"/>
  <c r="D1761" i="6"/>
  <c r="D1760" i="6"/>
  <c r="D1759" i="6"/>
  <c r="D1758" i="6"/>
  <c r="D1757" i="6"/>
  <c r="D1756" i="6"/>
  <c r="D1755" i="6"/>
  <c r="D1754" i="6"/>
  <c r="D1753" i="6"/>
  <c r="D1752" i="6"/>
  <c r="D1751" i="6"/>
  <c r="D1750" i="6"/>
  <c r="D1749" i="6"/>
  <c r="D1748" i="6"/>
  <c r="D1747" i="6"/>
  <c r="D1746" i="6"/>
  <c r="D1745" i="6"/>
  <c r="D1744" i="6"/>
  <c r="D1743" i="6"/>
  <c r="D1742" i="6"/>
  <c r="D1741" i="6"/>
  <c r="D1740" i="6"/>
  <c r="D1739" i="6"/>
  <c r="D1738" i="6"/>
  <c r="D1737" i="6"/>
  <c r="D1736" i="6"/>
  <c r="D1735" i="6"/>
  <c r="D1734" i="6"/>
  <c r="D1733" i="6"/>
  <c r="D1732" i="6"/>
  <c r="D1731" i="6"/>
  <c r="D1730" i="6"/>
  <c r="D1729" i="6"/>
  <c r="D1728" i="6"/>
  <c r="D1727" i="6"/>
  <c r="D1726" i="6"/>
  <c r="D1725" i="6"/>
  <c r="D1724" i="6"/>
  <c r="D1723" i="6"/>
  <c r="D1722" i="6"/>
  <c r="D1721" i="6"/>
  <c r="D1720" i="6"/>
  <c r="D1719" i="6"/>
  <c r="D1718" i="6"/>
  <c r="D1717" i="6"/>
  <c r="D1716" i="6"/>
  <c r="D1715" i="6"/>
  <c r="D1714" i="6"/>
  <c r="D1713" i="6"/>
  <c r="D1712" i="6"/>
  <c r="D1711" i="6"/>
  <c r="D1710" i="6"/>
  <c r="D1709" i="6"/>
  <c r="D1708" i="6"/>
  <c r="D1707" i="6"/>
  <c r="D1706" i="6"/>
  <c r="D1705" i="6"/>
  <c r="D1704" i="6"/>
  <c r="D1703" i="6"/>
  <c r="D1702" i="6"/>
  <c r="D1701" i="6"/>
  <c r="D1700" i="6"/>
  <c r="D1699" i="6"/>
  <c r="D1698" i="6"/>
  <c r="D1697" i="6"/>
  <c r="D1696" i="6"/>
  <c r="D1695" i="6"/>
  <c r="D1694" i="6"/>
  <c r="D1693" i="6"/>
  <c r="D1692" i="6"/>
  <c r="D1691" i="6"/>
  <c r="D1690" i="6"/>
  <c r="D1689" i="6"/>
  <c r="D1688" i="6"/>
  <c r="D1687" i="6"/>
  <c r="D1686" i="6"/>
  <c r="D1685" i="6"/>
  <c r="D1684" i="6"/>
  <c r="D1683" i="6"/>
  <c r="D1682" i="6"/>
  <c r="D1681" i="6"/>
  <c r="D1680" i="6"/>
  <c r="D1679" i="6"/>
  <c r="D1678" i="6"/>
  <c r="D1677" i="6"/>
  <c r="D1676" i="6"/>
  <c r="D1675" i="6"/>
  <c r="D1674" i="6"/>
  <c r="D1673" i="6"/>
  <c r="D1672" i="6"/>
  <c r="D1671" i="6"/>
  <c r="D1670" i="6"/>
  <c r="D1669" i="6"/>
  <c r="D1668" i="6"/>
  <c r="D1667" i="6"/>
  <c r="D1666" i="6"/>
  <c r="D1665" i="6"/>
  <c r="D1664" i="6"/>
  <c r="D1663" i="6"/>
  <c r="D1662" i="6"/>
  <c r="D1661" i="6"/>
  <c r="D1660" i="6"/>
  <c r="D1659" i="6"/>
  <c r="D1658" i="6"/>
  <c r="D1657" i="6"/>
  <c r="D1656" i="6"/>
  <c r="D1655" i="6"/>
  <c r="D1654" i="6"/>
  <c r="D1653" i="6"/>
  <c r="D1652" i="6"/>
  <c r="D1651" i="6"/>
  <c r="D1650" i="6"/>
  <c r="D1649" i="6"/>
  <c r="D1648" i="6"/>
  <c r="D1647" i="6"/>
  <c r="D1646" i="6"/>
  <c r="D1645" i="6"/>
  <c r="D1644" i="6"/>
  <c r="D1643" i="6"/>
  <c r="D1642" i="6"/>
  <c r="D1641" i="6"/>
  <c r="D1640" i="6"/>
  <c r="D1639" i="6"/>
  <c r="D1638" i="6"/>
  <c r="D1637" i="6"/>
  <c r="D1636" i="6"/>
  <c r="D1635" i="6"/>
  <c r="D1634" i="6"/>
  <c r="D1633" i="6"/>
  <c r="D1632" i="6"/>
  <c r="D1631" i="6"/>
  <c r="D1630" i="6"/>
  <c r="D1629" i="6"/>
  <c r="D1628" i="6"/>
  <c r="D1627" i="6"/>
  <c r="D1626" i="6"/>
  <c r="D1625" i="6"/>
  <c r="D1624" i="6"/>
  <c r="D1623" i="6"/>
  <c r="D1622" i="6"/>
  <c r="D1621" i="6"/>
  <c r="D1620" i="6"/>
  <c r="D1619" i="6"/>
  <c r="D1618" i="6"/>
  <c r="D1617" i="6"/>
  <c r="D1616" i="6"/>
  <c r="D1615" i="6"/>
  <c r="D1614" i="6"/>
  <c r="D1613" i="6"/>
  <c r="D1612" i="6"/>
  <c r="D1611" i="6"/>
  <c r="D1610" i="6"/>
  <c r="D1609" i="6"/>
  <c r="D1608" i="6"/>
  <c r="D1607" i="6"/>
  <c r="D1606" i="6"/>
  <c r="D1605" i="6"/>
  <c r="D1604" i="6"/>
  <c r="D1603" i="6"/>
  <c r="D1602" i="6"/>
  <c r="D1601" i="6"/>
  <c r="D1600" i="6"/>
  <c r="D1599" i="6"/>
  <c r="D1598" i="6"/>
  <c r="D1597" i="6"/>
  <c r="D1596" i="6"/>
  <c r="D1595" i="6"/>
  <c r="D1594" i="6"/>
  <c r="D1593" i="6"/>
  <c r="D1592" i="6"/>
  <c r="D1591" i="6"/>
  <c r="D1590" i="6"/>
  <c r="D1589" i="6"/>
  <c r="D1588" i="6"/>
  <c r="D1587" i="6"/>
  <c r="D1586" i="6"/>
  <c r="D1585" i="6"/>
  <c r="D1584" i="6"/>
  <c r="D1583" i="6"/>
  <c r="D1582" i="6"/>
  <c r="D1581" i="6"/>
  <c r="D1580" i="6"/>
  <c r="D1579" i="6"/>
  <c r="D1578" i="6"/>
  <c r="D1577" i="6"/>
  <c r="D1576" i="6"/>
  <c r="D1575" i="6"/>
  <c r="D1574" i="6"/>
  <c r="D1573" i="6"/>
  <c r="D1572" i="6"/>
  <c r="D1571" i="6"/>
  <c r="D1570" i="6"/>
  <c r="D1569" i="6"/>
  <c r="D1568" i="6"/>
  <c r="D1567" i="6"/>
  <c r="D1566" i="6"/>
  <c r="D1565" i="6"/>
  <c r="D1564" i="6"/>
  <c r="D1563" i="6"/>
  <c r="D1562" i="6"/>
  <c r="D1561" i="6"/>
  <c r="D1560" i="6"/>
  <c r="D1559" i="6"/>
  <c r="D1558" i="6"/>
  <c r="D1557" i="6"/>
  <c r="D1556" i="6"/>
  <c r="D1555" i="6"/>
  <c r="D1554" i="6"/>
  <c r="D1553" i="6"/>
  <c r="D1552" i="6"/>
  <c r="D1551" i="6"/>
  <c r="D1550" i="6"/>
  <c r="D1549" i="6"/>
  <c r="D1548" i="6"/>
  <c r="D1547" i="6"/>
  <c r="D1546" i="6"/>
  <c r="D1545" i="6"/>
  <c r="D1544" i="6"/>
  <c r="D1543" i="6"/>
  <c r="D1542" i="6"/>
  <c r="D1541" i="6"/>
  <c r="D1540" i="6"/>
  <c r="D1539" i="6"/>
  <c r="D1538" i="6"/>
  <c r="D1537" i="6"/>
  <c r="D1536" i="6"/>
  <c r="D1535" i="6"/>
  <c r="D1534" i="6"/>
  <c r="D1533" i="6"/>
  <c r="D1532" i="6"/>
  <c r="D1531" i="6"/>
  <c r="D1530" i="6"/>
  <c r="D1529" i="6"/>
  <c r="D1528" i="6"/>
  <c r="D1527" i="6"/>
  <c r="D1526" i="6"/>
  <c r="D1525" i="6"/>
  <c r="D1524" i="6"/>
  <c r="D1523" i="6"/>
  <c r="D1522" i="6"/>
  <c r="D1521" i="6"/>
  <c r="D1520" i="6"/>
  <c r="D1519" i="6"/>
  <c r="D1518" i="6"/>
  <c r="D1517" i="6"/>
  <c r="D1516" i="6"/>
  <c r="D1515" i="6"/>
  <c r="D1514" i="6"/>
  <c r="D1513" i="6"/>
  <c r="D1512" i="6"/>
  <c r="D1511" i="6"/>
  <c r="D1510" i="6"/>
  <c r="D1509" i="6"/>
  <c r="D1508" i="6"/>
  <c r="D1507" i="6"/>
  <c r="D1506" i="6"/>
  <c r="D1505" i="6"/>
  <c r="D1504" i="6"/>
  <c r="D1503" i="6"/>
  <c r="D1502" i="6"/>
  <c r="D1501" i="6"/>
  <c r="D1500" i="6"/>
  <c r="D1499" i="6"/>
  <c r="D1498" i="6"/>
  <c r="D1497" i="6"/>
  <c r="D1496" i="6"/>
  <c r="D1495" i="6"/>
  <c r="D1494" i="6"/>
  <c r="D1493" i="6"/>
  <c r="D1492" i="6"/>
  <c r="D1491" i="6"/>
  <c r="D1490" i="6"/>
  <c r="D1489" i="6"/>
  <c r="D1488" i="6"/>
  <c r="D1487" i="6"/>
  <c r="D1486" i="6"/>
  <c r="D1485" i="6"/>
  <c r="D1484" i="6"/>
  <c r="D1483" i="6"/>
  <c r="D1482" i="6"/>
  <c r="D1481" i="6"/>
  <c r="D1480" i="6"/>
  <c r="D1479" i="6"/>
  <c r="D1478" i="6"/>
  <c r="D1477" i="6"/>
  <c r="D1476" i="6"/>
  <c r="D1475" i="6"/>
  <c r="D1474" i="6"/>
  <c r="D1473" i="6"/>
  <c r="D1472" i="6"/>
  <c r="D1471" i="6"/>
  <c r="D1470" i="6"/>
  <c r="D1469" i="6"/>
  <c r="D1468" i="6"/>
  <c r="D1467" i="6"/>
  <c r="D1466" i="6"/>
  <c r="D1465" i="6"/>
  <c r="D1464" i="6"/>
  <c r="D1463" i="6"/>
  <c r="D1462" i="6"/>
  <c r="D1461" i="6"/>
  <c r="D1460" i="6"/>
  <c r="D1459" i="6"/>
  <c r="D1458" i="6"/>
  <c r="D1457" i="6"/>
  <c r="D1456" i="6"/>
  <c r="D1455" i="6"/>
  <c r="D1454" i="6"/>
  <c r="D1453" i="6"/>
  <c r="D1452" i="6"/>
  <c r="D1451" i="6"/>
  <c r="D1450" i="6"/>
  <c r="D1449" i="6"/>
  <c r="D1448" i="6"/>
  <c r="D1447" i="6"/>
  <c r="D1446" i="6"/>
  <c r="D1445" i="6"/>
  <c r="D1444" i="6"/>
  <c r="D1443" i="6"/>
  <c r="D1442" i="6"/>
  <c r="D1441" i="6"/>
  <c r="D1440" i="6"/>
  <c r="D1439" i="6"/>
  <c r="D1438" i="6"/>
  <c r="D1437" i="6"/>
  <c r="D1436" i="6"/>
  <c r="D1435" i="6"/>
  <c r="D1434" i="6"/>
  <c r="D1433" i="6"/>
  <c r="D1432" i="6"/>
  <c r="D1431" i="6"/>
  <c r="D1430" i="6"/>
  <c r="D1429" i="6"/>
  <c r="D1428" i="6"/>
  <c r="D1427" i="6"/>
  <c r="D1426" i="6"/>
  <c r="D1425" i="6"/>
  <c r="D1424" i="6"/>
  <c r="D1423" i="6"/>
  <c r="D1422" i="6"/>
  <c r="D1421" i="6"/>
  <c r="D1420" i="6"/>
  <c r="D1419" i="6"/>
  <c r="D1418" i="6"/>
  <c r="D1417" i="6"/>
  <c r="D1416" i="6"/>
  <c r="D1415" i="6"/>
  <c r="D1414" i="6"/>
  <c r="D1413" i="6"/>
  <c r="D1412" i="6"/>
  <c r="D1411" i="6"/>
  <c r="D1410" i="6"/>
  <c r="D1409" i="6"/>
  <c r="D1408" i="6"/>
  <c r="D1407" i="6"/>
  <c r="D1406" i="6"/>
  <c r="D1405" i="6"/>
  <c r="D1404" i="6"/>
  <c r="D1403" i="6"/>
  <c r="D1402" i="6"/>
  <c r="D1401" i="6"/>
  <c r="D1400" i="6"/>
  <c r="D1399" i="6"/>
  <c r="D1398" i="6"/>
  <c r="D1397" i="6"/>
  <c r="D1396" i="6"/>
  <c r="D1395" i="6"/>
  <c r="D1394" i="6"/>
  <c r="D1393" i="6"/>
  <c r="D1392" i="6"/>
  <c r="D1391" i="6"/>
  <c r="D1390" i="6"/>
  <c r="D1389" i="6"/>
  <c r="D1388" i="6"/>
  <c r="D1387" i="6"/>
  <c r="D1386" i="6"/>
  <c r="D1385" i="6"/>
  <c r="D1384" i="6"/>
  <c r="D1383" i="6"/>
  <c r="D1382" i="6"/>
  <c r="D1381" i="6"/>
  <c r="D1380" i="6"/>
  <c r="D1379" i="6"/>
  <c r="D1378" i="6"/>
  <c r="D1377" i="6"/>
  <c r="D1376" i="6"/>
  <c r="D1375" i="6"/>
  <c r="D1374" i="6"/>
  <c r="D1373" i="6"/>
  <c r="D1372" i="6"/>
  <c r="D1371" i="6"/>
  <c r="D1370" i="6"/>
  <c r="D1369" i="6"/>
  <c r="D1368" i="6"/>
  <c r="D1367" i="6"/>
  <c r="D1366" i="6"/>
  <c r="D1365" i="6"/>
  <c r="D1364" i="6"/>
  <c r="D1363" i="6"/>
  <c r="D1362" i="6"/>
  <c r="D1361" i="6"/>
  <c r="D1360" i="6"/>
  <c r="D1359" i="6"/>
  <c r="D1358" i="6"/>
  <c r="D1357" i="6"/>
  <c r="D1356" i="6"/>
  <c r="D1355" i="6"/>
  <c r="D1354" i="6"/>
  <c r="D1353" i="6"/>
  <c r="D1352" i="6"/>
  <c r="D1351" i="6"/>
  <c r="D1350" i="6"/>
  <c r="D1349" i="6"/>
  <c r="D1348" i="6"/>
  <c r="D1347" i="6"/>
  <c r="D1346" i="6"/>
  <c r="D1345" i="6"/>
  <c r="D1344" i="6"/>
  <c r="D1343" i="6"/>
  <c r="D1342" i="6"/>
  <c r="D1341" i="6"/>
  <c r="D1340" i="6"/>
  <c r="D1339" i="6"/>
  <c r="D1338" i="6"/>
  <c r="D1337" i="6"/>
  <c r="D1336" i="6"/>
  <c r="D1335" i="6"/>
  <c r="D1334" i="6"/>
  <c r="D1333" i="6"/>
  <c r="D1332" i="6"/>
  <c r="D1331" i="6"/>
  <c r="D1330" i="6"/>
  <c r="D1329" i="6"/>
  <c r="D1328" i="6"/>
  <c r="D1327" i="6"/>
  <c r="D1326" i="6"/>
  <c r="D1325" i="6"/>
  <c r="D1324" i="6"/>
  <c r="D1323" i="6"/>
  <c r="D1322" i="6"/>
  <c r="D1321" i="6"/>
  <c r="D1320" i="6"/>
  <c r="D1319" i="6"/>
  <c r="D1318" i="6"/>
  <c r="D1317" i="6"/>
  <c r="D1316" i="6"/>
  <c r="D1315" i="6"/>
  <c r="D1314" i="6"/>
  <c r="D1313" i="6"/>
  <c r="D1312" i="6"/>
  <c r="D1311" i="6"/>
  <c r="D1310" i="6"/>
  <c r="D1309" i="6"/>
  <c r="D1308" i="6"/>
  <c r="D1307" i="6"/>
  <c r="D1306" i="6"/>
  <c r="D1305" i="6"/>
  <c r="D1304" i="6"/>
  <c r="D1303" i="6"/>
  <c r="D1302" i="6"/>
  <c r="D1301" i="6"/>
  <c r="D1300" i="6"/>
  <c r="D1299" i="6"/>
  <c r="D1298" i="6"/>
  <c r="D1297" i="6"/>
  <c r="D1296" i="6"/>
  <c r="D1295" i="6"/>
  <c r="D1294" i="6"/>
  <c r="D1293" i="6"/>
  <c r="D1292" i="6"/>
  <c r="D1291" i="6"/>
  <c r="D1290" i="6"/>
  <c r="D1289" i="6"/>
  <c r="D1288" i="6"/>
  <c r="D1287" i="6"/>
  <c r="D1286" i="6"/>
  <c r="D1285" i="6"/>
  <c r="D1284" i="6"/>
  <c r="D1283" i="6"/>
  <c r="D1282" i="6"/>
  <c r="D1281" i="6"/>
  <c r="D1280" i="6"/>
  <c r="D1279" i="6"/>
  <c r="D1278" i="6"/>
  <c r="D1277" i="6"/>
  <c r="D1276" i="6"/>
  <c r="D1275" i="6"/>
  <c r="D1274" i="6"/>
  <c r="D1273" i="6"/>
  <c r="D1272" i="6"/>
  <c r="D1271" i="6"/>
  <c r="D1270" i="6"/>
  <c r="D1269" i="6"/>
  <c r="D1268" i="6"/>
  <c r="D1267" i="6"/>
  <c r="D1266" i="6"/>
  <c r="D1265" i="6"/>
  <c r="D1264" i="6"/>
  <c r="D1263" i="6"/>
  <c r="D1262" i="6"/>
  <c r="D1261" i="6"/>
  <c r="D1260" i="6"/>
  <c r="D1259" i="6"/>
  <c r="D1258" i="6"/>
  <c r="D1257" i="6"/>
  <c r="D1256" i="6"/>
  <c r="D1255" i="6"/>
  <c r="D1254" i="6"/>
  <c r="D1253" i="6"/>
  <c r="D1252" i="6"/>
  <c r="D1251" i="6"/>
  <c r="D1250" i="6"/>
  <c r="D1249" i="6"/>
  <c r="D1248" i="6"/>
  <c r="D1247" i="6"/>
  <c r="D1246" i="6"/>
  <c r="D1245" i="6"/>
  <c r="D1244" i="6"/>
  <c r="D1243" i="6"/>
  <c r="D1242" i="6"/>
  <c r="D1241" i="6"/>
  <c r="D1240" i="6"/>
  <c r="D1239" i="6"/>
  <c r="D1238" i="6"/>
  <c r="D1237" i="6"/>
  <c r="D1236" i="6"/>
  <c r="D1235" i="6"/>
  <c r="D1234" i="6"/>
  <c r="D1233" i="6"/>
  <c r="D1232" i="6"/>
  <c r="D1231" i="6"/>
  <c r="D1230" i="6"/>
  <c r="D1229" i="6"/>
  <c r="D1228" i="6"/>
  <c r="D1227" i="6"/>
  <c r="D1226" i="6"/>
  <c r="D1225" i="6"/>
  <c r="D1224" i="6"/>
  <c r="D1223" i="6"/>
  <c r="D1222" i="6"/>
  <c r="D1221" i="6"/>
  <c r="D1220" i="6"/>
  <c r="D1219" i="6"/>
  <c r="D1218" i="6"/>
  <c r="D1217" i="6"/>
  <c r="D1216" i="6"/>
  <c r="D1215" i="6"/>
  <c r="D1214" i="6"/>
  <c r="D1213" i="6"/>
  <c r="D1212" i="6"/>
  <c r="D1211" i="6"/>
  <c r="D1210" i="6"/>
  <c r="D1209" i="6"/>
  <c r="D1208" i="6"/>
  <c r="D1207" i="6"/>
  <c r="D1206" i="6"/>
  <c r="D1205" i="6"/>
  <c r="D1204" i="6"/>
  <c r="D1203" i="6"/>
  <c r="D1202" i="6"/>
  <c r="D1201" i="6"/>
  <c r="D1200" i="6"/>
  <c r="D1199" i="6"/>
  <c r="D1198" i="6"/>
  <c r="D1197" i="6"/>
  <c r="D1196" i="6"/>
  <c r="D1195" i="6"/>
  <c r="D1194" i="6"/>
  <c r="D1193" i="6"/>
  <c r="D1192" i="6"/>
  <c r="D1191" i="6"/>
  <c r="D1190" i="6"/>
  <c r="D1189" i="6"/>
  <c r="D1188" i="6"/>
  <c r="D1187" i="6"/>
  <c r="D1186" i="6"/>
  <c r="D1185" i="6"/>
  <c r="D1184" i="6"/>
  <c r="D1183" i="6"/>
  <c r="D1182" i="6"/>
  <c r="D1181" i="6"/>
  <c r="D1180" i="6"/>
  <c r="D1179" i="6"/>
  <c r="D1178" i="6"/>
  <c r="D1177" i="6"/>
  <c r="D1176" i="6"/>
  <c r="D1175" i="6"/>
  <c r="D1174" i="6"/>
  <c r="D1173" i="6"/>
  <c r="D1172" i="6"/>
  <c r="D1171" i="6"/>
  <c r="D1170" i="6"/>
  <c r="D1169" i="6"/>
  <c r="D1168" i="6"/>
  <c r="D1167" i="6"/>
  <c r="D1166" i="6"/>
  <c r="D1165" i="6"/>
  <c r="D1164" i="6"/>
  <c r="D1163" i="6"/>
  <c r="D1162" i="6"/>
  <c r="D1161" i="6"/>
  <c r="D1160" i="6"/>
  <c r="D1159" i="6"/>
  <c r="D1158" i="6"/>
  <c r="D1157" i="6"/>
  <c r="D1156" i="6"/>
  <c r="D1155" i="6"/>
  <c r="D1154" i="6"/>
  <c r="D1153" i="6"/>
  <c r="D1152" i="6"/>
  <c r="D1151" i="6"/>
  <c r="D1150" i="6"/>
  <c r="D1149" i="6"/>
  <c r="D1148" i="6"/>
  <c r="D1147" i="6"/>
  <c r="D1146" i="6"/>
  <c r="D1145" i="6"/>
  <c r="D1144" i="6"/>
  <c r="D1143" i="6"/>
  <c r="D1142" i="6"/>
  <c r="D1141" i="6"/>
  <c r="D1140" i="6"/>
  <c r="D1139" i="6"/>
  <c r="D1138" i="6"/>
  <c r="D1137" i="6"/>
  <c r="D1136" i="6"/>
  <c r="D1135" i="6"/>
  <c r="D1134" i="6"/>
  <c r="D1133" i="6"/>
  <c r="D1132" i="6"/>
  <c r="D1131" i="6"/>
  <c r="D1130" i="6"/>
  <c r="D1129" i="6"/>
  <c r="D1128" i="6"/>
  <c r="D1127" i="6"/>
  <c r="D1126" i="6"/>
  <c r="D1125" i="6"/>
  <c r="D1124" i="6"/>
  <c r="D1123" i="6"/>
  <c r="D1122" i="6"/>
  <c r="D1121" i="6"/>
  <c r="D1120" i="6"/>
  <c r="D1119" i="6"/>
  <c r="D1118" i="6"/>
  <c r="D1117" i="6"/>
  <c r="D1116" i="6"/>
  <c r="D1115" i="6"/>
  <c r="D1114" i="6"/>
  <c r="D1113" i="6"/>
  <c r="D1112" i="6"/>
  <c r="D1111" i="6"/>
  <c r="D1110" i="6"/>
  <c r="D1109" i="6"/>
  <c r="D1108" i="6"/>
  <c r="D1107" i="6"/>
  <c r="D1106" i="6"/>
  <c r="D1105" i="6"/>
  <c r="D1104" i="6"/>
  <c r="D1103" i="6"/>
  <c r="D1102" i="6"/>
  <c r="D1101" i="6"/>
  <c r="D1100" i="6"/>
  <c r="D1099" i="6"/>
  <c r="D1098" i="6"/>
  <c r="D1097" i="6"/>
  <c r="D1096" i="6"/>
  <c r="D1095" i="6"/>
  <c r="D1094" i="6"/>
  <c r="D1093" i="6"/>
  <c r="D1092" i="6"/>
  <c r="D1091" i="6"/>
  <c r="D1090" i="6"/>
  <c r="D1089" i="6"/>
  <c r="D1088" i="6"/>
  <c r="D1087" i="6"/>
  <c r="D1086" i="6"/>
  <c r="D1085" i="6"/>
  <c r="D1084" i="6"/>
  <c r="D1083" i="6"/>
  <c r="D1082" i="6"/>
  <c r="D1081" i="6"/>
  <c r="D1080" i="6"/>
  <c r="D1079" i="6"/>
  <c r="D1078" i="6"/>
  <c r="D1077" i="6"/>
  <c r="D1076" i="6"/>
  <c r="D1075" i="6"/>
  <c r="D1074" i="6"/>
  <c r="D1073" i="6"/>
  <c r="D1072" i="6"/>
  <c r="D1071" i="6"/>
  <c r="D1070" i="6"/>
  <c r="D1069" i="6"/>
  <c r="D1068" i="6"/>
  <c r="D1067" i="6"/>
  <c r="D1066" i="6"/>
  <c r="D1065" i="6"/>
  <c r="D1064" i="6"/>
  <c r="D1063" i="6"/>
  <c r="D1062" i="6"/>
  <c r="D1061" i="6"/>
  <c r="D1060" i="6"/>
  <c r="D1059" i="6"/>
  <c r="D1058" i="6"/>
  <c r="D1057" i="6"/>
  <c r="D1056" i="6"/>
  <c r="D1055" i="6"/>
  <c r="D1054" i="6"/>
  <c r="D1053" i="6"/>
  <c r="D1052" i="6"/>
  <c r="D1051" i="6"/>
  <c r="D1050" i="6"/>
  <c r="D1049" i="6"/>
  <c r="D1048" i="6"/>
  <c r="D1047" i="6"/>
  <c r="D1046" i="6"/>
  <c r="D1045" i="6"/>
  <c r="D1044" i="6"/>
  <c r="D1043" i="6"/>
  <c r="D1042" i="6"/>
  <c r="D1041" i="6"/>
  <c r="D1040" i="6"/>
  <c r="D1039" i="6"/>
  <c r="D1038" i="6"/>
  <c r="D1037" i="6"/>
  <c r="D1036" i="6"/>
  <c r="D1035" i="6"/>
  <c r="D1034" i="6"/>
  <c r="D1033" i="6"/>
  <c r="D1032" i="6"/>
  <c r="D1031" i="6"/>
  <c r="D1030" i="6"/>
  <c r="D1029" i="6"/>
  <c r="D1028" i="6"/>
  <c r="D1027" i="6"/>
  <c r="D1026" i="6"/>
  <c r="D1025" i="6"/>
  <c r="D1024" i="6"/>
  <c r="D1023" i="6"/>
  <c r="D1022" i="6"/>
  <c r="D1021" i="6"/>
  <c r="D1020" i="6"/>
  <c r="D1019" i="6"/>
  <c r="D1018" i="6"/>
  <c r="D1017" i="6"/>
  <c r="D1016" i="6"/>
  <c r="D1015" i="6"/>
  <c r="D1014" i="6"/>
  <c r="D1013" i="6"/>
  <c r="D1012" i="6"/>
  <c r="D1011" i="6"/>
  <c r="D1010" i="6"/>
  <c r="D1009" i="6"/>
  <c r="D1008" i="6"/>
  <c r="D1007" i="6"/>
  <c r="D1006" i="6"/>
  <c r="D1005" i="6"/>
  <c r="D1004" i="6"/>
  <c r="D1003" i="6"/>
  <c r="D1002" i="6"/>
  <c r="D1001" i="6"/>
  <c r="D1000" i="6"/>
  <c r="D999" i="6"/>
  <c r="D998" i="6"/>
  <c r="D997" i="6"/>
  <c r="D996" i="6"/>
  <c r="D995" i="6"/>
  <c r="D994" i="6"/>
  <c r="A222" i="2" l="1"/>
  <c r="A333" i="2" s="1"/>
  <c r="A444" i="2" s="1"/>
  <c r="A555" i="2" s="1"/>
  <c r="A666" i="2" s="1"/>
  <c r="D99" i="2" l="1"/>
  <c r="D210" i="2" s="1"/>
  <c r="D321" i="2" s="1"/>
  <c r="D432" i="2" s="1"/>
  <c r="D543" i="2" s="1"/>
  <c r="D654" i="2" s="1"/>
  <c r="D98" i="2"/>
  <c r="D209" i="2" s="1"/>
  <c r="D320" i="2" s="1"/>
  <c r="D431" i="2" s="1"/>
  <c r="D542" i="2" s="1"/>
  <c r="D653" i="2" s="1"/>
  <c r="H248" i="5" l="1"/>
  <c r="I248" i="5"/>
  <c r="Y111" i="2"/>
  <c r="Y222" i="2" s="1"/>
  <c r="Y333" i="2" s="1"/>
  <c r="Y444" i="2" s="1"/>
  <c r="Y555" i="2" s="1"/>
  <c r="Y666" i="2" s="1"/>
  <c r="W111" i="2"/>
  <c r="W222" i="2" s="1"/>
  <c r="W333" i="2" s="1"/>
  <c r="W444" i="2" s="1"/>
  <c r="W555" i="2" s="1"/>
  <c r="W666" i="2" s="1"/>
  <c r="O111" i="2"/>
  <c r="O222" i="2" s="1"/>
  <c r="O333" i="2" s="1"/>
  <c r="O444" i="2" s="1"/>
  <c r="O555" i="2" s="1"/>
  <c r="O666" i="2" s="1"/>
  <c r="N111" i="2"/>
  <c r="N222" i="2" s="1"/>
  <c r="N333" i="2" s="1"/>
  <c r="N444" i="2" s="1"/>
  <c r="N555" i="2" s="1"/>
  <c r="N666" i="2" s="1"/>
  <c r="M111" i="2"/>
  <c r="M222" i="2" s="1"/>
  <c r="M333" i="2" s="1"/>
  <c r="M444" i="2" s="1"/>
  <c r="M555" i="2" s="1"/>
  <c r="M666" i="2" s="1"/>
  <c r="L111" i="2"/>
  <c r="L222" i="2" s="1"/>
  <c r="L333" i="2" s="1"/>
  <c r="L444" i="2" s="1"/>
  <c r="L555" i="2" s="1"/>
  <c r="L666" i="2" s="1"/>
  <c r="D222" i="2"/>
  <c r="D333" i="2" s="1"/>
  <c r="D444" i="2" s="1"/>
  <c r="D555" i="2" s="1"/>
  <c r="D666" i="2" s="1"/>
  <c r="O103" i="2"/>
  <c r="O214" i="2" s="1"/>
  <c r="O325" i="2" s="1"/>
  <c r="O436" i="2" s="1"/>
  <c r="O547" i="2" s="1"/>
  <c r="O658" i="2" s="1"/>
  <c r="M103" i="2"/>
  <c r="M214" i="2" s="1"/>
  <c r="M325" i="2" s="1"/>
  <c r="M436" i="2" s="1"/>
  <c r="M547" i="2" s="1"/>
  <c r="M658" i="2" s="1"/>
  <c r="L103" i="2"/>
  <c r="L214" i="2" s="1"/>
  <c r="L325" i="2" s="1"/>
  <c r="L436" i="2" s="1"/>
  <c r="L547" i="2" s="1"/>
  <c r="L658" i="2" s="1"/>
  <c r="H103" i="2"/>
  <c r="H214" i="2" s="1"/>
  <c r="H325" i="2" s="1"/>
  <c r="H436" i="2" s="1"/>
  <c r="H547" i="2" s="1"/>
  <c r="H658" i="2" s="1"/>
  <c r="D103" i="2"/>
  <c r="D214" i="2" s="1"/>
  <c r="D325" i="2" s="1"/>
  <c r="D436" i="2" s="1"/>
  <c r="D547" i="2" s="1"/>
  <c r="D658" i="2" s="1"/>
  <c r="H245" i="5"/>
  <c r="I245" i="5"/>
  <c r="Y103" i="2" s="1"/>
  <c r="Y214" i="2" s="1"/>
  <c r="Y325" i="2" s="1"/>
  <c r="Y436" i="2" s="1"/>
  <c r="Y547" i="2" s="1"/>
  <c r="Y658" i="2" s="1"/>
  <c r="W103" i="2" l="1"/>
  <c r="W214" i="2" s="1"/>
  <c r="W325" i="2" s="1"/>
  <c r="W436" i="2" s="1"/>
  <c r="W547" i="2" s="1"/>
  <c r="W658" i="2" s="1"/>
  <c r="Y105" i="2"/>
  <c r="Y216" i="2" s="1"/>
  <c r="Y327" i="2" s="1"/>
  <c r="Y438" i="2" s="1"/>
  <c r="Y549" i="2" s="1"/>
  <c r="Y660" i="2" s="1"/>
  <c r="W105" i="2"/>
  <c r="W216" i="2" s="1"/>
  <c r="W327" i="2" s="1"/>
  <c r="W438" i="2" s="1"/>
  <c r="W549" i="2" s="1"/>
  <c r="W660" i="2" s="1"/>
  <c r="D7" i="2"/>
  <c r="D118" i="2" s="1"/>
  <c r="D229" i="2" s="1"/>
  <c r="D340" i="2" s="1"/>
  <c r="D451" i="2" s="1"/>
  <c r="D562" i="2" s="1"/>
  <c r="D6" i="2"/>
  <c r="D117" i="2" s="1"/>
  <c r="D228" i="2" s="1"/>
  <c r="D339" i="2" s="1"/>
  <c r="D450" i="2" s="1"/>
  <c r="D561" i="2" s="1"/>
  <c r="D5" i="2"/>
  <c r="D116" i="2" s="1"/>
  <c r="D227" i="2" s="1"/>
  <c r="D338" i="2" s="1"/>
  <c r="D449" i="2" s="1"/>
  <c r="D560" i="2" s="1"/>
  <c r="A218" i="2" l="1"/>
  <c r="A329" i="2" s="1"/>
  <c r="A440" i="2" s="1"/>
  <c r="A551" i="2" s="1"/>
  <c r="A662" i="2" s="1"/>
  <c r="A217" i="2"/>
  <c r="A328" i="2" s="1"/>
  <c r="A439" i="2" s="1"/>
  <c r="A550" i="2" s="1"/>
  <c r="A661" i="2" s="1"/>
  <c r="A216" i="2"/>
  <c r="A327" i="2" s="1"/>
  <c r="A438" i="2" s="1"/>
  <c r="A549" i="2" s="1"/>
  <c r="A660" i="2" s="1"/>
  <c r="A215" i="2"/>
  <c r="A326" i="2" s="1"/>
  <c r="A437" i="2" s="1"/>
  <c r="A548" i="2" s="1"/>
  <c r="A659" i="2" s="1"/>
  <c r="A214" i="2"/>
  <c r="A325" i="2" s="1"/>
  <c r="A436" i="2" s="1"/>
  <c r="A547" i="2" s="1"/>
  <c r="A658" i="2" s="1"/>
  <c r="A213" i="2"/>
  <c r="A324" i="2" s="1"/>
  <c r="A435" i="2" s="1"/>
  <c r="A546" i="2" s="1"/>
  <c r="A657" i="2" s="1"/>
  <c r="A212" i="2"/>
  <c r="A323" i="2" s="1"/>
  <c r="A434" i="2" s="1"/>
  <c r="A545" i="2" s="1"/>
  <c r="A656" i="2" s="1"/>
  <c r="A211" i="2"/>
  <c r="A322" i="2" s="1"/>
  <c r="A433" i="2" s="1"/>
  <c r="A544" i="2" s="1"/>
  <c r="A655" i="2" s="1"/>
  <c r="A210" i="2"/>
  <c r="A321" i="2" s="1"/>
  <c r="A432" i="2" s="1"/>
  <c r="A543" i="2" s="1"/>
  <c r="A654" i="2" s="1"/>
  <c r="A209" i="2"/>
  <c r="A320" i="2" s="1"/>
  <c r="A431" i="2" s="1"/>
  <c r="A542" i="2" s="1"/>
  <c r="A653" i="2" s="1"/>
  <c r="A208" i="2"/>
  <c r="A319" i="2" s="1"/>
  <c r="A430" i="2" s="1"/>
  <c r="A541" i="2" s="1"/>
  <c r="A652" i="2" s="1"/>
  <c r="A207" i="2"/>
  <c r="A318" i="2" s="1"/>
  <c r="A429" i="2" s="1"/>
  <c r="A540" i="2" s="1"/>
  <c r="A651" i="2" s="1"/>
  <c r="A206" i="2"/>
  <c r="A317" i="2" s="1"/>
  <c r="A428" i="2" s="1"/>
  <c r="A539" i="2" s="1"/>
  <c r="A650" i="2" s="1"/>
  <c r="A205" i="2"/>
  <c r="A316" i="2" s="1"/>
  <c r="A427" i="2" s="1"/>
  <c r="A538" i="2" s="1"/>
  <c r="A649" i="2" s="1"/>
  <c r="A204" i="2"/>
  <c r="A315" i="2" s="1"/>
  <c r="A426" i="2" s="1"/>
  <c r="A537" i="2" s="1"/>
  <c r="A648" i="2" s="1"/>
  <c r="A203" i="2"/>
  <c r="A314" i="2" s="1"/>
  <c r="A425" i="2" s="1"/>
  <c r="A536" i="2" s="1"/>
  <c r="A647" i="2" s="1"/>
  <c r="A202" i="2"/>
  <c r="A313" i="2" s="1"/>
  <c r="A424" i="2" s="1"/>
  <c r="A535" i="2" s="1"/>
  <c r="A646" i="2" s="1"/>
  <c r="A201" i="2"/>
  <c r="A312" i="2" s="1"/>
  <c r="A423" i="2" s="1"/>
  <c r="A534" i="2" s="1"/>
  <c r="A645" i="2" s="1"/>
  <c r="A200" i="2"/>
  <c r="A311" i="2" s="1"/>
  <c r="A422" i="2" s="1"/>
  <c r="A533" i="2" s="1"/>
  <c r="A644" i="2" s="1"/>
  <c r="A199" i="2"/>
  <c r="A310" i="2" s="1"/>
  <c r="A421" i="2" s="1"/>
  <c r="A532" i="2" s="1"/>
  <c r="A643" i="2" s="1"/>
  <c r="A198" i="2"/>
  <c r="A309" i="2" s="1"/>
  <c r="A420" i="2" s="1"/>
  <c r="A531" i="2" s="1"/>
  <c r="A642" i="2" s="1"/>
  <c r="A197" i="2"/>
  <c r="A308" i="2" s="1"/>
  <c r="A419" i="2" s="1"/>
  <c r="A530" i="2" s="1"/>
  <c r="A641" i="2" s="1"/>
  <c r="A196" i="2"/>
  <c r="A307" i="2" s="1"/>
  <c r="A418" i="2" s="1"/>
  <c r="A529" i="2" s="1"/>
  <c r="A640" i="2" s="1"/>
  <c r="A195" i="2"/>
  <c r="A306" i="2" s="1"/>
  <c r="A417" i="2" s="1"/>
  <c r="A528" i="2" s="1"/>
  <c r="A639" i="2" s="1"/>
  <c r="A194" i="2"/>
  <c r="A305" i="2" s="1"/>
  <c r="A416" i="2" s="1"/>
  <c r="A527" i="2" s="1"/>
  <c r="A638" i="2" s="1"/>
  <c r="A193" i="2"/>
  <c r="A304" i="2" s="1"/>
  <c r="A415" i="2" s="1"/>
  <c r="A526" i="2" s="1"/>
  <c r="A637" i="2" s="1"/>
  <c r="A192" i="2"/>
  <c r="A303" i="2" s="1"/>
  <c r="A414" i="2" s="1"/>
  <c r="A525" i="2" s="1"/>
  <c r="A636" i="2" s="1"/>
  <c r="A191" i="2"/>
  <c r="A302" i="2" s="1"/>
  <c r="A413" i="2" s="1"/>
  <c r="A524" i="2" s="1"/>
  <c r="A635" i="2" s="1"/>
  <c r="A190" i="2"/>
  <c r="A301" i="2" s="1"/>
  <c r="A412" i="2" s="1"/>
  <c r="A523" i="2" s="1"/>
  <c r="A634" i="2" s="1"/>
  <c r="A189" i="2"/>
  <c r="A300" i="2" s="1"/>
  <c r="A411" i="2" s="1"/>
  <c r="A522" i="2" s="1"/>
  <c r="A633" i="2" s="1"/>
  <c r="A188" i="2"/>
  <c r="A299" i="2" s="1"/>
  <c r="A410" i="2" s="1"/>
  <c r="A521" i="2" s="1"/>
  <c r="A632" i="2" s="1"/>
  <c r="A187" i="2"/>
  <c r="A298" i="2" s="1"/>
  <c r="A409" i="2" s="1"/>
  <c r="A520" i="2" s="1"/>
  <c r="A631" i="2" s="1"/>
  <c r="A186" i="2"/>
  <c r="A297" i="2" s="1"/>
  <c r="A408" i="2" s="1"/>
  <c r="A519" i="2" s="1"/>
  <c r="A630" i="2" s="1"/>
  <c r="A185" i="2"/>
  <c r="A296" i="2" s="1"/>
  <c r="A407" i="2" s="1"/>
  <c r="A518" i="2" s="1"/>
  <c r="A629" i="2" s="1"/>
  <c r="A184" i="2"/>
  <c r="A295" i="2" s="1"/>
  <c r="A406" i="2" s="1"/>
  <c r="A517" i="2" s="1"/>
  <c r="A628" i="2" s="1"/>
  <c r="A183" i="2"/>
  <c r="A294" i="2" s="1"/>
  <c r="A405" i="2" s="1"/>
  <c r="A516" i="2" s="1"/>
  <c r="A627" i="2" s="1"/>
  <c r="A182" i="2"/>
  <c r="A293" i="2" s="1"/>
  <c r="A404" i="2" s="1"/>
  <c r="A515" i="2" s="1"/>
  <c r="A626" i="2" s="1"/>
  <c r="A181" i="2"/>
  <c r="A292" i="2" s="1"/>
  <c r="A403" i="2" s="1"/>
  <c r="A514" i="2" s="1"/>
  <c r="A625" i="2" s="1"/>
  <c r="A180" i="2"/>
  <c r="A291" i="2" s="1"/>
  <c r="A402" i="2" s="1"/>
  <c r="A513" i="2" s="1"/>
  <c r="A624" i="2" s="1"/>
  <c r="A179" i="2"/>
  <c r="A290" i="2" s="1"/>
  <c r="A401" i="2" s="1"/>
  <c r="A512" i="2" s="1"/>
  <c r="A623" i="2" s="1"/>
  <c r="A178" i="2"/>
  <c r="A289" i="2" s="1"/>
  <c r="A400" i="2" s="1"/>
  <c r="A511" i="2" s="1"/>
  <c r="A622" i="2" s="1"/>
  <c r="A177" i="2"/>
  <c r="A288" i="2" s="1"/>
  <c r="A399" i="2" s="1"/>
  <c r="A510" i="2" s="1"/>
  <c r="A621" i="2" s="1"/>
  <c r="A176" i="2"/>
  <c r="A287" i="2" s="1"/>
  <c r="A398" i="2" s="1"/>
  <c r="A509" i="2" s="1"/>
  <c r="A620" i="2" s="1"/>
  <c r="A175" i="2"/>
  <c r="A286" i="2" s="1"/>
  <c r="A397" i="2" s="1"/>
  <c r="A508" i="2" s="1"/>
  <c r="A619" i="2" s="1"/>
  <c r="A174" i="2"/>
  <c r="A285" i="2" s="1"/>
  <c r="A396" i="2" s="1"/>
  <c r="A507" i="2" s="1"/>
  <c r="A618" i="2" s="1"/>
  <c r="A173" i="2"/>
  <c r="A284" i="2" s="1"/>
  <c r="A395" i="2" s="1"/>
  <c r="A506" i="2" s="1"/>
  <c r="A617" i="2" s="1"/>
  <c r="A172" i="2"/>
  <c r="A283" i="2" s="1"/>
  <c r="A394" i="2" s="1"/>
  <c r="A505" i="2" s="1"/>
  <c r="A616" i="2" s="1"/>
  <c r="A171" i="2"/>
  <c r="A282" i="2" s="1"/>
  <c r="A393" i="2" s="1"/>
  <c r="A504" i="2" s="1"/>
  <c r="A615" i="2" s="1"/>
  <c r="A170" i="2"/>
  <c r="A281" i="2" s="1"/>
  <c r="A392" i="2" s="1"/>
  <c r="A503" i="2" s="1"/>
  <c r="A614" i="2" s="1"/>
  <c r="A169" i="2"/>
  <c r="A280" i="2" s="1"/>
  <c r="A391" i="2" s="1"/>
  <c r="A502" i="2" s="1"/>
  <c r="A613" i="2" s="1"/>
  <c r="A168" i="2"/>
  <c r="A279" i="2" s="1"/>
  <c r="A390" i="2" s="1"/>
  <c r="A501" i="2" s="1"/>
  <c r="A612" i="2" s="1"/>
  <c r="A167" i="2"/>
  <c r="A278" i="2" s="1"/>
  <c r="A389" i="2" s="1"/>
  <c r="A500" i="2" s="1"/>
  <c r="A611" i="2" s="1"/>
  <c r="A166" i="2"/>
  <c r="A277" i="2" s="1"/>
  <c r="A388" i="2" s="1"/>
  <c r="A499" i="2" s="1"/>
  <c r="A610" i="2" s="1"/>
  <c r="A165" i="2"/>
  <c r="A276" i="2" s="1"/>
  <c r="A387" i="2" s="1"/>
  <c r="A498" i="2" s="1"/>
  <c r="A609" i="2" s="1"/>
  <c r="A164" i="2"/>
  <c r="A275" i="2" s="1"/>
  <c r="A386" i="2" s="1"/>
  <c r="A497" i="2" s="1"/>
  <c r="A608" i="2" s="1"/>
  <c r="A163" i="2"/>
  <c r="A274" i="2" s="1"/>
  <c r="A385" i="2" s="1"/>
  <c r="A496" i="2" s="1"/>
  <c r="A607" i="2" s="1"/>
  <c r="A162" i="2"/>
  <c r="A273" i="2" s="1"/>
  <c r="A384" i="2" s="1"/>
  <c r="A495" i="2" s="1"/>
  <c r="A606" i="2" s="1"/>
  <c r="A161" i="2"/>
  <c r="A272" i="2" s="1"/>
  <c r="A383" i="2" s="1"/>
  <c r="A494" i="2" s="1"/>
  <c r="A605" i="2" s="1"/>
  <c r="A160" i="2"/>
  <c r="A271" i="2" s="1"/>
  <c r="A382" i="2" s="1"/>
  <c r="A493" i="2" s="1"/>
  <c r="A604" i="2" s="1"/>
  <c r="A159" i="2"/>
  <c r="A270" i="2" s="1"/>
  <c r="A381" i="2" s="1"/>
  <c r="A492" i="2" s="1"/>
  <c r="A603" i="2" s="1"/>
  <c r="A158" i="2"/>
  <c r="A269" i="2" s="1"/>
  <c r="A380" i="2" s="1"/>
  <c r="A491" i="2" s="1"/>
  <c r="A602" i="2" s="1"/>
  <c r="A157" i="2"/>
  <c r="A268" i="2" s="1"/>
  <c r="A379" i="2" s="1"/>
  <c r="A490" i="2" s="1"/>
  <c r="A601" i="2" s="1"/>
  <c r="A156" i="2"/>
  <c r="A267" i="2" s="1"/>
  <c r="A378" i="2" s="1"/>
  <c r="A489" i="2" s="1"/>
  <c r="A600" i="2" s="1"/>
  <c r="A155" i="2"/>
  <c r="A266" i="2" s="1"/>
  <c r="A377" i="2" s="1"/>
  <c r="A488" i="2" s="1"/>
  <c r="A599" i="2" s="1"/>
  <c r="A154" i="2"/>
  <c r="A265" i="2" s="1"/>
  <c r="A376" i="2" s="1"/>
  <c r="A487" i="2" s="1"/>
  <c r="A598" i="2" s="1"/>
  <c r="A153" i="2"/>
  <c r="A264" i="2" s="1"/>
  <c r="A375" i="2" s="1"/>
  <c r="A486" i="2" s="1"/>
  <c r="A597" i="2" s="1"/>
  <c r="A152" i="2"/>
  <c r="A263" i="2" s="1"/>
  <c r="A374" i="2" s="1"/>
  <c r="A485" i="2" s="1"/>
  <c r="A596" i="2" s="1"/>
  <c r="A151" i="2"/>
  <c r="A262" i="2" s="1"/>
  <c r="A373" i="2" s="1"/>
  <c r="A484" i="2" s="1"/>
  <c r="A595" i="2" s="1"/>
  <c r="A150" i="2"/>
  <c r="A261" i="2" s="1"/>
  <c r="A372" i="2" s="1"/>
  <c r="A483" i="2" s="1"/>
  <c r="A594" i="2" s="1"/>
  <c r="A149" i="2"/>
  <c r="A260" i="2" s="1"/>
  <c r="A371" i="2" s="1"/>
  <c r="A482" i="2" s="1"/>
  <c r="A593" i="2" s="1"/>
  <c r="A148" i="2"/>
  <c r="A259" i="2" s="1"/>
  <c r="A370" i="2" s="1"/>
  <c r="A481" i="2" s="1"/>
  <c r="A592" i="2" s="1"/>
  <c r="A147" i="2"/>
  <c r="A258" i="2" s="1"/>
  <c r="A369" i="2" s="1"/>
  <c r="A480" i="2" s="1"/>
  <c r="A591" i="2" s="1"/>
  <c r="A146" i="2"/>
  <c r="A257" i="2" s="1"/>
  <c r="A368" i="2" s="1"/>
  <c r="A479" i="2" s="1"/>
  <c r="A590" i="2" s="1"/>
  <c r="A145" i="2"/>
  <c r="A256" i="2" s="1"/>
  <c r="A367" i="2" s="1"/>
  <c r="A478" i="2" s="1"/>
  <c r="A589" i="2" s="1"/>
  <c r="A134" i="2"/>
  <c r="A245" i="2" s="1"/>
  <c r="A356" i="2" s="1"/>
  <c r="A467" i="2" s="1"/>
  <c r="A578" i="2" s="1"/>
  <c r="A133" i="2"/>
  <c r="A244" i="2" s="1"/>
  <c r="A355" i="2" s="1"/>
  <c r="A466" i="2" s="1"/>
  <c r="A577" i="2" s="1"/>
  <c r="A132" i="2"/>
  <c r="A243" i="2" s="1"/>
  <c r="A354" i="2" s="1"/>
  <c r="A465" i="2" s="1"/>
  <c r="A576" i="2" s="1"/>
  <c r="A131" i="2"/>
  <c r="A242" i="2" s="1"/>
  <c r="A353" i="2" s="1"/>
  <c r="A464" i="2" s="1"/>
  <c r="A575" i="2" s="1"/>
  <c r="A130" i="2"/>
  <c r="A241" i="2" s="1"/>
  <c r="A352" i="2" s="1"/>
  <c r="A463" i="2" s="1"/>
  <c r="A574" i="2" s="1"/>
  <c r="A124" i="2"/>
  <c r="A235" i="2" s="1"/>
  <c r="A346" i="2" s="1"/>
  <c r="A457" i="2" s="1"/>
  <c r="A568" i="2" s="1"/>
  <c r="A123" i="2"/>
  <c r="A234" i="2" s="1"/>
  <c r="A345" i="2" s="1"/>
  <c r="A456" i="2" s="1"/>
  <c r="A567" i="2" s="1"/>
  <c r="A122" i="2"/>
  <c r="A233" i="2" s="1"/>
  <c r="A344" i="2" s="1"/>
  <c r="A455" i="2" s="1"/>
  <c r="A566" i="2" s="1"/>
  <c r="A121" i="2"/>
  <c r="A232" i="2" s="1"/>
  <c r="A343" i="2" s="1"/>
  <c r="A454" i="2" s="1"/>
  <c r="A565" i="2" s="1"/>
  <c r="A120" i="2"/>
  <c r="A231" i="2" s="1"/>
  <c r="A342" i="2" s="1"/>
  <c r="A453" i="2" s="1"/>
  <c r="A564" i="2" s="1"/>
  <c r="A119" i="2"/>
  <c r="A230" i="2" s="1"/>
  <c r="A341" i="2" s="1"/>
  <c r="A452" i="2" s="1"/>
  <c r="A563" i="2" s="1"/>
  <c r="A118" i="2"/>
  <c r="A229" i="2" s="1"/>
  <c r="A340" i="2" s="1"/>
  <c r="A451" i="2" s="1"/>
  <c r="A562" i="2" s="1"/>
  <c r="A117" i="2"/>
  <c r="A228" i="2" s="1"/>
  <c r="A339" i="2" s="1"/>
  <c r="A450" i="2" s="1"/>
  <c r="A561" i="2" s="1"/>
  <c r="A116" i="2"/>
  <c r="A227" i="2" s="1"/>
  <c r="A338" i="2" s="1"/>
  <c r="A449" i="2" s="1"/>
  <c r="A560" i="2" s="1"/>
  <c r="A115" i="2"/>
  <c r="A226" i="2" s="1"/>
  <c r="A337" i="2" s="1"/>
  <c r="A448" i="2" s="1"/>
  <c r="A559" i="2" s="1"/>
  <c r="Q1162" i="1" l="1"/>
  <c r="P1162" i="1"/>
  <c r="O1162" i="1"/>
  <c r="M1162" i="1"/>
  <c r="L1162" i="1"/>
  <c r="H1162" i="1"/>
  <c r="D1162" i="1"/>
  <c r="Q1161" i="1"/>
  <c r="P1161" i="1"/>
  <c r="O1161" i="1"/>
  <c r="M1161" i="1"/>
  <c r="L1161" i="1"/>
  <c r="H1161" i="1"/>
  <c r="D1161" i="1"/>
  <c r="Q1160" i="1"/>
  <c r="P1160" i="1"/>
  <c r="O1160" i="1"/>
  <c r="L1160" i="1"/>
  <c r="H1160" i="1"/>
  <c r="D1160" i="1"/>
  <c r="Q1159" i="1"/>
  <c r="P1159" i="1"/>
  <c r="O1159" i="1"/>
  <c r="L1159" i="1"/>
  <c r="H1159" i="1"/>
  <c r="D1159" i="1"/>
  <c r="Q1158" i="1"/>
  <c r="P1158" i="1"/>
  <c r="O1158" i="1"/>
  <c r="L1158" i="1"/>
  <c r="H1158" i="1"/>
  <c r="D1158" i="1"/>
  <c r="H1155" i="1"/>
  <c r="D1155" i="1"/>
  <c r="H1154" i="1"/>
  <c r="D1154" i="1"/>
  <c r="H1153" i="1"/>
  <c r="D1153" i="1"/>
  <c r="H1152" i="1"/>
  <c r="D1152" i="1"/>
  <c r="H1151" i="1"/>
  <c r="D1151" i="1"/>
  <c r="H1150" i="1"/>
  <c r="D1150" i="1"/>
  <c r="H1149" i="1"/>
  <c r="D1149" i="1"/>
  <c r="H1148" i="1"/>
  <c r="D1148" i="1"/>
  <c r="O1147" i="1"/>
  <c r="L1147" i="1"/>
  <c r="H1147" i="1"/>
  <c r="D1147" i="1"/>
  <c r="O1146" i="1"/>
  <c r="L1146" i="1"/>
  <c r="H1146" i="1"/>
  <c r="D1146" i="1"/>
  <c r="O1145" i="1"/>
  <c r="L1145" i="1"/>
  <c r="H1145" i="1"/>
  <c r="D1145" i="1"/>
  <c r="O1144" i="1"/>
  <c r="L1144" i="1"/>
  <c r="H1144" i="1"/>
  <c r="D1144" i="1"/>
  <c r="O1143" i="1"/>
  <c r="L1143" i="1"/>
  <c r="H1143" i="1"/>
  <c r="D1143" i="1"/>
  <c r="O1142" i="1"/>
  <c r="L1142" i="1"/>
  <c r="H1142" i="1"/>
  <c r="D1142" i="1"/>
  <c r="L1141" i="1"/>
  <c r="H1141" i="1"/>
  <c r="D1141" i="1"/>
  <c r="L1140" i="1"/>
  <c r="H1140" i="1"/>
  <c r="D1140" i="1"/>
  <c r="Q1139" i="1"/>
  <c r="P1139" i="1"/>
  <c r="O1139" i="1"/>
  <c r="M1139" i="1"/>
  <c r="L1139" i="1"/>
  <c r="H1139" i="1"/>
  <c r="D1139" i="1"/>
  <c r="Q1138" i="1"/>
  <c r="P1138" i="1"/>
  <c r="O1138" i="1"/>
  <c r="M1138" i="1"/>
  <c r="L1138" i="1"/>
  <c r="H1138" i="1"/>
  <c r="D1138" i="1"/>
  <c r="Q1137" i="1"/>
  <c r="P1137" i="1"/>
  <c r="O1137" i="1"/>
  <c r="L1137" i="1"/>
  <c r="H1137" i="1"/>
  <c r="D1137" i="1"/>
  <c r="Q1136" i="1"/>
  <c r="P1136" i="1"/>
  <c r="O1136" i="1"/>
  <c r="L1136" i="1"/>
  <c r="H1136" i="1"/>
  <c r="D1136" i="1"/>
  <c r="Q1135" i="1"/>
  <c r="P1135" i="1"/>
  <c r="O1135" i="1"/>
  <c r="M1135" i="1"/>
  <c r="L1135" i="1"/>
  <c r="H1135" i="1"/>
  <c r="D1135" i="1"/>
  <c r="O1134" i="1"/>
  <c r="M1134" i="1"/>
  <c r="L1134" i="1"/>
  <c r="H1134" i="1"/>
  <c r="D1134" i="1"/>
  <c r="H1133" i="1"/>
  <c r="D1133" i="1"/>
  <c r="H1132" i="1"/>
  <c r="D1132" i="1"/>
  <c r="H1131" i="1"/>
  <c r="D1131" i="1"/>
  <c r="H1130" i="1"/>
  <c r="D1130" i="1"/>
  <c r="H1129" i="1"/>
  <c r="D1129" i="1"/>
  <c r="H1128" i="1"/>
  <c r="D1128" i="1"/>
  <c r="H1127" i="1"/>
  <c r="D1127" i="1"/>
  <c r="H1126" i="1"/>
  <c r="D1126" i="1"/>
  <c r="Y1125" i="1"/>
  <c r="W1125" i="1"/>
  <c r="O1125" i="1"/>
  <c r="M1125" i="1"/>
  <c r="L1125" i="1"/>
  <c r="H1125" i="1"/>
  <c r="D1125" i="1"/>
  <c r="O1124" i="1"/>
  <c r="H1124" i="1"/>
  <c r="D1124" i="1"/>
  <c r="O1123" i="1"/>
  <c r="L1123" i="1"/>
  <c r="H1123" i="1"/>
  <c r="D1123" i="1"/>
  <c r="O1122" i="1"/>
  <c r="L1122" i="1"/>
  <c r="H1122" i="1"/>
  <c r="D1122" i="1"/>
  <c r="O1121" i="1"/>
  <c r="L1121" i="1"/>
  <c r="H1121" i="1"/>
  <c r="D1121" i="1"/>
  <c r="O1120" i="1"/>
  <c r="L1120" i="1"/>
  <c r="H1120" i="1"/>
  <c r="D1120" i="1"/>
  <c r="O1119" i="1"/>
  <c r="L1119" i="1"/>
  <c r="H1119" i="1"/>
  <c r="D1119" i="1"/>
  <c r="L1118" i="1"/>
  <c r="H1118" i="1"/>
  <c r="D1118" i="1"/>
  <c r="L1117" i="1"/>
  <c r="H1117" i="1"/>
  <c r="D1117" i="1"/>
  <c r="Q1116" i="1"/>
  <c r="P1116" i="1"/>
  <c r="O1116" i="1"/>
  <c r="M1116" i="1"/>
  <c r="L1116" i="1"/>
  <c r="H1116" i="1"/>
  <c r="D1116" i="1"/>
  <c r="Q1115" i="1"/>
  <c r="P1115" i="1"/>
  <c r="O1115" i="1"/>
  <c r="M1115" i="1"/>
  <c r="L1115" i="1"/>
  <c r="H1115" i="1"/>
  <c r="D1115" i="1"/>
  <c r="Q1114" i="1"/>
  <c r="P1114" i="1"/>
  <c r="O1114" i="1"/>
  <c r="L1114" i="1"/>
  <c r="H1114" i="1"/>
  <c r="D1114" i="1"/>
  <c r="Q1113" i="1"/>
  <c r="P1113" i="1"/>
  <c r="O1113" i="1"/>
  <c r="L1113" i="1"/>
  <c r="H1113" i="1"/>
  <c r="D1113" i="1"/>
  <c r="Q1112" i="1"/>
  <c r="P1112" i="1"/>
  <c r="O1112" i="1"/>
  <c r="L1112" i="1"/>
  <c r="H1112" i="1"/>
  <c r="D1112" i="1"/>
  <c r="H1111" i="1"/>
  <c r="D1111" i="1"/>
  <c r="H1110" i="1"/>
  <c r="D1110" i="1"/>
  <c r="H1109" i="1"/>
  <c r="D1109" i="1"/>
  <c r="H1108" i="1"/>
  <c r="D1108" i="1"/>
  <c r="H1107" i="1"/>
  <c r="D1107" i="1"/>
  <c r="H1106" i="1"/>
  <c r="D1106" i="1"/>
  <c r="H1105" i="1"/>
  <c r="D1105" i="1"/>
  <c r="H1104" i="1"/>
  <c r="D1104" i="1"/>
  <c r="H1103" i="1"/>
  <c r="D1103" i="1"/>
  <c r="O1102" i="1"/>
  <c r="L1102" i="1"/>
  <c r="H1102" i="1"/>
  <c r="D1102" i="1"/>
  <c r="O1101" i="1"/>
  <c r="L1101" i="1"/>
  <c r="H1101" i="1"/>
  <c r="D1101" i="1"/>
  <c r="O1100" i="1"/>
  <c r="L1100" i="1"/>
  <c r="H1100" i="1"/>
  <c r="D1100" i="1"/>
  <c r="O1099" i="1"/>
  <c r="L1099" i="1"/>
  <c r="H1099" i="1"/>
  <c r="D1099" i="1"/>
  <c r="O1098" i="1"/>
  <c r="L1098" i="1"/>
  <c r="H1098" i="1"/>
  <c r="D1098" i="1"/>
  <c r="O1097" i="1"/>
  <c r="L1097" i="1"/>
  <c r="H1097" i="1"/>
  <c r="D1097" i="1"/>
  <c r="O1096" i="1"/>
  <c r="L1096" i="1"/>
  <c r="H1096" i="1"/>
  <c r="D1096" i="1"/>
  <c r="L1095" i="1"/>
  <c r="H1095" i="1"/>
  <c r="D1095" i="1"/>
  <c r="L1094" i="1"/>
  <c r="H1094" i="1"/>
  <c r="D1094" i="1"/>
  <c r="Q1093" i="1"/>
  <c r="P1093" i="1"/>
  <c r="O1093" i="1"/>
  <c r="M1093" i="1"/>
  <c r="L1093" i="1"/>
  <c r="H1093" i="1"/>
  <c r="D1093" i="1"/>
  <c r="Q1092" i="1"/>
  <c r="P1092" i="1"/>
  <c r="O1092" i="1"/>
  <c r="M1092" i="1"/>
  <c r="L1092" i="1"/>
  <c r="H1092" i="1"/>
  <c r="D1092" i="1"/>
  <c r="Q1091" i="1"/>
  <c r="P1091" i="1"/>
  <c r="O1091" i="1"/>
  <c r="L1091" i="1"/>
  <c r="H1091" i="1"/>
  <c r="D1091" i="1"/>
  <c r="Q1090" i="1"/>
  <c r="P1090" i="1"/>
  <c r="O1090" i="1"/>
  <c r="L1090" i="1"/>
  <c r="H1090" i="1"/>
  <c r="D1090" i="1"/>
  <c r="Q1089" i="1"/>
  <c r="P1089" i="1"/>
  <c r="O1089" i="1"/>
  <c r="L1089" i="1"/>
  <c r="H1089" i="1"/>
  <c r="D1089" i="1"/>
  <c r="H1088" i="1"/>
  <c r="D1088" i="1"/>
  <c r="H1087" i="1"/>
  <c r="D1087" i="1"/>
  <c r="H1086" i="1"/>
  <c r="D1086" i="1"/>
  <c r="H1085" i="1"/>
  <c r="D1085" i="1"/>
  <c r="H1084" i="1"/>
  <c r="D1084" i="1"/>
  <c r="H1083" i="1"/>
  <c r="D1083" i="1"/>
  <c r="H1082" i="1"/>
  <c r="D1082" i="1"/>
  <c r="H1081" i="1"/>
  <c r="D1081" i="1"/>
  <c r="H1080" i="1"/>
  <c r="D1080" i="1"/>
  <c r="H1079" i="1"/>
  <c r="D1079" i="1"/>
  <c r="O1078" i="1"/>
  <c r="L1078" i="1"/>
  <c r="H1078" i="1"/>
  <c r="D1078" i="1"/>
  <c r="O1077" i="1"/>
  <c r="L1077" i="1"/>
  <c r="H1077" i="1"/>
  <c r="D1077" i="1"/>
  <c r="O1076" i="1"/>
  <c r="L1076" i="1"/>
  <c r="H1076" i="1"/>
  <c r="D1076" i="1"/>
  <c r="O1075" i="1"/>
  <c r="L1075" i="1"/>
  <c r="H1075" i="1"/>
  <c r="D1075" i="1"/>
  <c r="O1074" i="1"/>
  <c r="L1074" i="1"/>
  <c r="H1074" i="1"/>
  <c r="D1074" i="1"/>
  <c r="O1073" i="1"/>
  <c r="L1073" i="1"/>
  <c r="H1073" i="1"/>
  <c r="D1073" i="1"/>
  <c r="L1072" i="1"/>
  <c r="H1072" i="1"/>
  <c r="D1072" i="1"/>
  <c r="L1071" i="1"/>
  <c r="H1071" i="1"/>
  <c r="D1071" i="1"/>
  <c r="L1070" i="1"/>
  <c r="H1070" i="1"/>
  <c r="D1070" i="1"/>
  <c r="L1069" i="1"/>
  <c r="H1069" i="1"/>
  <c r="D1069" i="1"/>
  <c r="Q1068" i="1"/>
  <c r="P1068" i="1"/>
  <c r="O1068" i="1"/>
  <c r="M1068" i="1"/>
  <c r="L1068" i="1"/>
  <c r="H1068" i="1"/>
  <c r="D1068" i="1"/>
  <c r="Q1067" i="1"/>
  <c r="P1067" i="1"/>
  <c r="O1067" i="1"/>
  <c r="M1067" i="1"/>
  <c r="L1067" i="1"/>
  <c r="H1067" i="1"/>
  <c r="D1067" i="1"/>
  <c r="P1066" i="1"/>
  <c r="O1066" i="1"/>
  <c r="L1066" i="1"/>
  <c r="H1066" i="1"/>
  <c r="D1066" i="1"/>
  <c r="Q1065" i="1"/>
  <c r="P1065" i="1"/>
  <c r="O1065" i="1"/>
  <c r="L1065" i="1"/>
  <c r="H1065" i="1"/>
  <c r="D1065" i="1"/>
  <c r="Q1064" i="1"/>
  <c r="P1064" i="1"/>
  <c r="O1064" i="1"/>
  <c r="L1064" i="1"/>
  <c r="H1064" i="1"/>
  <c r="D1064" i="1"/>
  <c r="H1063" i="1"/>
  <c r="D1063" i="1"/>
  <c r="H1062" i="1"/>
  <c r="D1062" i="1"/>
  <c r="H1061" i="1"/>
  <c r="D1061" i="1"/>
  <c r="H1060" i="1"/>
  <c r="D1060" i="1"/>
  <c r="H1059" i="1"/>
  <c r="D1059" i="1"/>
  <c r="H1058" i="1"/>
  <c r="D1058" i="1"/>
  <c r="H1057" i="1"/>
  <c r="D1057" i="1"/>
  <c r="H1056" i="1"/>
  <c r="D1056" i="1"/>
  <c r="H1055" i="1"/>
  <c r="D1055" i="1"/>
  <c r="H1054" i="1"/>
  <c r="D1054" i="1"/>
  <c r="O1053" i="1"/>
  <c r="L1053" i="1"/>
  <c r="H1053" i="1"/>
  <c r="D1053" i="1"/>
  <c r="O1052" i="1"/>
  <c r="L1052" i="1"/>
  <c r="H1052" i="1"/>
  <c r="D1052" i="1"/>
  <c r="O1051" i="1"/>
  <c r="L1051" i="1"/>
  <c r="H1051" i="1"/>
  <c r="D1051" i="1"/>
  <c r="O1050" i="1"/>
  <c r="L1050" i="1"/>
  <c r="H1050" i="1"/>
  <c r="D1050" i="1"/>
  <c r="O1049" i="1"/>
  <c r="L1049" i="1"/>
  <c r="H1049" i="1"/>
  <c r="D1049" i="1"/>
  <c r="O1048" i="1"/>
  <c r="L1048" i="1"/>
  <c r="H1048" i="1"/>
  <c r="D1048" i="1"/>
  <c r="O1047" i="1"/>
  <c r="L1047" i="1"/>
  <c r="H1047" i="1"/>
  <c r="D1047" i="1"/>
  <c r="O1046" i="1"/>
  <c r="L1046" i="1"/>
  <c r="H1046" i="1"/>
  <c r="D1046" i="1"/>
  <c r="L1045" i="1"/>
  <c r="H1045" i="1"/>
  <c r="D1045" i="1"/>
  <c r="L1044" i="1"/>
  <c r="H1044" i="1"/>
  <c r="D1044" i="1"/>
  <c r="L1043" i="1"/>
  <c r="H1043" i="1"/>
  <c r="D1043" i="1"/>
  <c r="L1042" i="1"/>
  <c r="H1042" i="1"/>
  <c r="D1042" i="1"/>
  <c r="R1041" i="1"/>
  <c r="Q1041" i="1"/>
  <c r="P1041" i="1"/>
  <c r="O1041" i="1"/>
  <c r="M1041" i="1"/>
  <c r="L1041" i="1"/>
  <c r="H1041" i="1"/>
  <c r="D1041" i="1"/>
  <c r="Q1040" i="1"/>
  <c r="P1040" i="1"/>
  <c r="O1040" i="1"/>
  <c r="L1040" i="1"/>
  <c r="H1040" i="1"/>
  <c r="D1040" i="1"/>
  <c r="Q1039" i="1"/>
  <c r="P1039" i="1"/>
  <c r="O1039" i="1"/>
  <c r="L1039" i="1"/>
  <c r="H1039" i="1"/>
  <c r="D1039" i="1"/>
  <c r="Q1038" i="1"/>
  <c r="P1038" i="1"/>
  <c r="O1038" i="1"/>
  <c r="L1038" i="1"/>
  <c r="H1038" i="1"/>
  <c r="D1038" i="1"/>
  <c r="Q1037" i="1"/>
  <c r="P1037" i="1"/>
  <c r="O1037" i="1"/>
  <c r="L1037" i="1"/>
  <c r="H1037" i="1"/>
  <c r="D1037" i="1"/>
  <c r="H1036" i="1"/>
  <c r="D1036" i="1"/>
  <c r="H1035" i="1"/>
  <c r="D1035" i="1"/>
  <c r="H1034" i="1"/>
  <c r="D1034" i="1"/>
  <c r="H1033" i="1"/>
  <c r="D1033" i="1"/>
  <c r="H1032" i="1"/>
  <c r="D1032" i="1"/>
  <c r="H1031" i="1"/>
  <c r="D1031" i="1"/>
  <c r="H1030" i="1"/>
  <c r="D1030" i="1"/>
  <c r="H1029" i="1"/>
  <c r="D1029" i="1"/>
  <c r="H1028" i="1"/>
  <c r="D1028" i="1"/>
  <c r="H1027" i="1"/>
  <c r="D1027" i="1"/>
  <c r="O1026" i="1"/>
  <c r="L1026" i="1"/>
  <c r="H1026" i="1"/>
  <c r="D1026" i="1"/>
  <c r="O1025" i="1"/>
  <c r="L1025" i="1"/>
  <c r="H1025" i="1"/>
  <c r="D1025" i="1"/>
  <c r="O1024" i="1"/>
  <c r="L1024" i="1"/>
  <c r="H1024" i="1"/>
  <c r="D1024" i="1"/>
  <c r="O1023" i="1"/>
  <c r="L1023" i="1"/>
  <c r="H1023" i="1"/>
  <c r="D1023" i="1"/>
  <c r="O1022" i="1"/>
  <c r="L1022" i="1"/>
  <c r="H1022" i="1"/>
  <c r="D1022" i="1"/>
  <c r="O1021" i="1"/>
  <c r="L1021" i="1"/>
  <c r="H1021" i="1"/>
  <c r="D1021" i="1"/>
  <c r="L1020" i="1"/>
  <c r="H1020" i="1"/>
  <c r="D1020" i="1"/>
  <c r="O1019" i="1"/>
  <c r="L1019" i="1"/>
  <c r="H1019" i="1"/>
  <c r="D1019" i="1"/>
  <c r="L1018" i="1"/>
  <c r="H1018" i="1"/>
  <c r="D1018" i="1"/>
  <c r="O1017" i="1"/>
  <c r="L1017" i="1"/>
  <c r="H1017" i="1"/>
  <c r="D1017" i="1"/>
  <c r="Q1016" i="1"/>
  <c r="P1016" i="1"/>
  <c r="O1016" i="1"/>
  <c r="L1016" i="1"/>
  <c r="I1016" i="1"/>
  <c r="H1016" i="1"/>
  <c r="D1016" i="1"/>
  <c r="P1015" i="1"/>
  <c r="O1015" i="1"/>
  <c r="L1015" i="1"/>
  <c r="I1015" i="1"/>
  <c r="H1015" i="1"/>
  <c r="D1015" i="1"/>
  <c r="Y1014" i="1"/>
  <c r="W1014" i="1"/>
  <c r="P1014" i="1"/>
  <c r="O1014" i="1"/>
  <c r="L1014" i="1"/>
  <c r="H1014" i="1"/>
  <c r="D1014" i="1"/>
  <c r="Y1013" i="1"/>
  <c r="W1013" i="1"/>
  <c r="P1013" i="1"/>
  <c r="O1013" i="1"/>
  <c r="L1013" i="1"/>
  <c r="H1013" i="1"/>
  <c r="D1013" i="1"/>
  <c r="Y1012" i="1"/>
  <c r="W1012" i="1"/>
  <c r="P1012" i="1"/>
  <c r="O1012" i="1"/>
  <c r="L1012" i="1"/>
  <c r="H1012" i="1"/>
  <c r="D1012" i="1"/>
  <c r="H1011" i="1"/>
  <c r="D1011" i="1"/>
  <c r="H1010" i="1"/>
  <c r="D1010" i="1"/>
  <c r="H1009" i="1"/>
  <c r="D1009" i="1"/>
  <c r="H1008" i="1"/>
  <c r="D1008" i="1"/>
  <c r="H1007" i="1"/>
  <c r="D1007" i="1"/>
  <c r="H1006" i="1"/>
  <c r="D1006" i="1"/>
  <c r="H1005" i="1"/>
  <c r="D1005" i="1"/>
  <c r="H1004" i="1"/>
  <c r="D1004" i="1"/>
  <c r="I1003" i="1"/>
  <c r="H1003" i="1"/>
  <c r="D1003" i="1"/>
  <c r="O1002" i="1"/>
  <c r="L1002" i="1"/>
  <c r="I1002" i="1"/>
  <c r="H1002" i="1"/>
  <c r="D1002" i="1"/>
  <c r="O1001" i="1"/>
  <c r="L1001" i="1"/>
  <c r="I1001" i="1"/>
  <c r="H1001" i="1"/>
  <c r="D1001" i="1"/>
  <c r="O1000" i="1"/>
  <c r="L1000" i="1"/>
  <c r="I1000" i="1"/>
  <c r="H1000" i="1"/>
  <c r="D1000" i="1"/>
  <c r="O999" i="1"/>
  <c r="L999" i="1"/>
  <c r="I999" i="1"/>
  <c r="H999" i="1"/>
  <c r="D999" i="1"/>
  <c r="O998" i="1"/>
  <c r="L998" i="1"/>
  <c r="I998" i="1"/>
  <c r="H998" i="1"/>
  <c r="D998" i="1"/>
  <c r="L997" i="1"/>
  <c r="I997" i="1"/>
  <c r="H997" i="1"/>
  <c r="D997" i="1"/>
  <c r="L996" i="1"/>
  <c r="I996" i="1"/>
  <c r="H996" i="1"/>
  <c r="D996" i="1"/>
  <c r="L995" i="1"/>
  <c r="I995" i="1"/>
  <c r="H995" i="1"/>
  <c r="D995" i="1"/>
  <c r="L994" i="1"/>
  <c r="I994" i="1"/>
  <c r="H994" i="1"/>
  <c r="D994" i="1"/>
  <c r="Q993" i="1"/>
  <c r="P993" i="1"/>
  <c r="O993" i="1"/>
  <c r="L993" i="1"/>
  <c r="H993" i="1"/>
  <c r="D993" i="1"/>
  <c r="P992" i="1"/>
  <c r="O992" i="1"/>
  <c r="L992" i="1"/>
  <c r="H992" i="1"/>
  <c r="D992" i="1"/>
  <c r="P991" i="1"/>
  <c r="O991" i="1"/>
  <c r="L991" i="1"/>
  <c r="I991" i="1"/>
  <c r="H991" i="1"/>
  <c r="D991" i="1"/>
  <c r="P990" i="1"/>
  <c r="O990" i="1"/>
  <c r="L990" i="1"/>
  <c r="I990" i="1"/>
  <c r="H990" i="1"/>
  <c r="D990" i="1"/>
  <c r="Y989" i="1"/>
  <c r="W989" i="1"/>
  <c r="P989" i="1"/>
  <c r="O989" i="1"/>
  <c r="L989" i="1"/>
  <c r="I989" i="1"/>
  <c r="H989" i="1"/>
  <c r="D989" i="1"/>
  <c r="I988" i="1"/>
  <c r="H988" i="1"/>
  <c r="D988" i="1"/>
  <c r="I987" i="1"/>
  <c r="H987" i="1"/>
  <c r="D987" i="1"/>
  <c r="I986" i="1"/>
  <c r="H986" i="1"/>
  <c r="D986" i="1"/>
  <c r="I985" i="1"/>
  <c r="H985" i="1"/>
  <c r="D985" i="1"/>
  <c r="I984" i="1"/>
  <c r="H984" i="1"/>
  <c r="D984" i="1"/>
  <c r="I983" i="1"/>
  <c r="H983" i="1"/>
  <c r="D983" i="1"/>
  <c r="I982" i="1"/>
  <c r="H982" i="1"/>
  <c r="D982" i="1"/>
  <c r="I981" i="1"/>
  <c r="H981" i="1"/>
  <c r="D981" i="1"/>
  <c r="I980" i="1"/>
  <c r="H980" i="1"/>
  <c r="D980" i="1"/>
  <c r="O979" i="1"/>
  <c r="L979" i="1"/>
  <c r="I979" i="1"/>
  <c r="H979" i="1"/>
  <c r="D979" i="1"/>
  <c r="O978" i="1"/>
  <c r="L978" i="1"/>
  <c r="I978" i="1"/>
  <c r="H978" i="1"/>
  <c r="D978" i="1"/>
  <c r="O977" i="1"/>
  <c r="L977" i="1"/>
  <c r="I977" i="1"/>
  <c r="H977" i="1"/>
  <c r="D977" i="1"/>
  <c r="O976" i="1"/>
  <c r="L976" i="1"/>
  <c r="I976" i="1"/>
  <c r="H976" i="1"/>
  <c r="D976" i="1"/>
  <c r="O975" i="1"/>
  <c r="L975" i="1"/>
  <c r="I975" i="1"/>
  <c r="H975" i="1"/>
  <c r="D975" i="1"/>
  <c r="L974" i="1"/>
  <c r="I974" i="1"/>
  <c r="H974" i="1"/>
  <c r="D974" i="1"/>
  <c r="L973" i="1"/>
  <c r="I973" i="1"/>
  <c r="H973" i="1"/>
  <c r="D973" i="1"/>
  <c r="L972" i="1"/>
  <c r="I972" i="1"/>
  <c r="H972" i="1"/>
  <c r="D972" i="1"/>
  <c r="L971" i="1"/>
  <c r="I971" i="1"/>
  <c r="H971" i="1"/>
  <c r="D971" i="1"/>
  <c r="Q969" i="1"/>
  <c r="P969" i="1"/>
  <c r="O969" i="1"/>
  <c r="M969" i="1"/>
  <c r="L969" i="1"/>
  <c r="H969" i="1"/>
  <c r="D969" i="1"/>
  <c r="Q968" i="1"/>
  <c r="P968" i="1"/>
  <c r="O968" i="1"/>
  <c r="M968" i="1"/>
  <c r="L968" i="1"/>
  <c r="H968" i="1"/>
  <c r="D968" i="1"/>
  <c r="Q967" i="1"/>
  <c r="P967" i="1"/>
  <c r="O967" i="1"/>
  <c r="L967" i="1"/>
  <c r="H967" i="1"/>
  <c r="D967" i="1"/>
  <c r="Q966" i="1"/>
  <c r="P966" i="1"/>
  <c r="O966" i="1"/>
  <c r="L966" i="1"/>
  <c r="H966" i="1"/>
  <c r="D966" i="1"/>
  <c r="Q965" i="1"/>
  <c r="P965" i="1"/>
  <c r="O965" i="1"/>
  <c r="L965" i="1"/>
  <c r="H965" i="1"/>
  <c r="D965" i="1"/>
  <c r="H962" i="1"/>
  <c r="D962" i="1"/>
  <c r="H961" i="1"/>
  <c r="D961" i="1"/>
  <c r="H960" i="1"/>
  <c r="D960" i="1"/>
  <c r="H959" i="1"/>
  <c r="D959" i="1"/>
  <c r="H958" i="1"/>
  <c r="D958" i="1"/>
  <c r="H957" i="1"/>
  <c r="D957" i="1"/>
  <c r="H956" i="1"/>
  <c r="D956" i="1"/>
  <c r="H955" i="1"/>
  <c r="D955" i="1"/>
  <c r="O954" i="1"/>
  <c r="L954" i="1"/>
  <c r="H954" i="1"/>
  <c r="D954" i="1"/>
  <c r="O953" i="1"/>
  <c r="L953" i="1"/>
  <c r="H953" i="1"/>
  <c r="D953" i="1"/>
  <c r="O952" i="1"/>
  <c r="L952" i="1"/>
  <c r="H952" i="1"/>
  <c r="D952" i="1"/>
  <c r="O951" i="1"/>
  <c r="L951" i="1"/>
  <c r="H951" i="1"/>
  <c r="D951" i="1"/>
  <c r="O950" i="1"/>
  <c r="L950" i="1"/>
  <c r="H950" i="1"/>
  <c r="D950" i="1"/>
  <c r="O949" i="1"/>
  <c r="L949" i="1"/>
  <c r="H949" i="1"/>
  <c r="D949" i="1"/>
  <c r="L948" i="1"/>
  <c r="H948" i="1"/>
  <c r="D948" i="1"/>
  <c r="L947" i="1"/>
  <c r="H947" i="1"/>
  <c r="D947" i="1"/>
  <c r="Q946" i="1"/>
  <c r="P946" i="1"/>
  <c r="O946" i="1"/>
  <c r="M946" i="1"/>
  <c r="L946" i="1"/>
  <c r="H946" i="1"/>
  <c r="D946" i="1"/>
  <c r="Q945" i="1"/>
  <c r="P945" i="1"/>
  <c r="O945" i="1"/>
  <c r="M945" i="1"/>
  <c r="L945" i="1"/>
  <c r="H945" i="1"/>
  <c r="D945" i="1"/>
  <c r="Q944" i="1"/>
  <c r="P944" i="1"/>
  <c r="O944" i="1"/>
  <c r="L944" i="1"/>
  <c r="H944" i="1"/>
  <c r="D944" i="1"/>
  <c r="Q943" i="1"/>
  <c r="P943" i="1"/>
  <c r="O943" i="1"/>
  <c r="L943" i="1"/>
  <c r="H943" i="1"/>
  <c r="D943" i="1"/>
  <c r="Q942" i="1"/>
  <c r="P942" i="1"/>
  <c r="O942" i="1"/>
  <c r="M942" i="1"/>
  <c r="L942" i="1"/>
  <c r="H942" i="1"/>
  <c r="D942" i="1"/>
  <c r="O941" i="1"/>
  <c r="M941" i="1"/>
  <c r="L941" i="1"/>
  <c r="H941" i="1"/>
  <c r="D941" i="1"/>
  <c r="H940" i="1"/>
  <c r="D940" i="1"/>
  <c r="H939" i="1"/>
  <c r="D939" i="1"/>
  <c r="H938" i="1"/>
  <c r="D938" i="1"/>
  <c r="H937" i="1"/>
  <c r="D937" i="1"/>
  <c r="H936" i="1"/>
  <c r="D936" i="1"/>
  <c r="H935" i="1"/>
  <c r="D935" i="1"/>
  <c r="H934" i="1"/>
  <c r="D934" i="1"/>
  <c r="H933" i="1"/>
  <c r="D933" i="1"/>
  <c r="Y932" i="1"/>
  <c r="W932" i="1"/>
  <c r="O932" i="1"/>
  <c r="M932" i="1"/>
  <c r="L932" i="1"/>
  <c r="H932" i="1"/>
  <c r="D932" i="1"/>
  <c r="O931" i="1"/>
  <c r="H931" i="1"/>
  <c r="D931" i="1"/>
  <c r="O930" i="1"/>
  <c r="L930" i="1"/>
  <c r="H930" i="1"/>
  <c r="D930" i="1"/>
  <c r="O929" i="1"/>
  <c r="L929" i="1"/>
  <c r="H929" i="1"/>
  <c r="D929" i="1"/>
  <c r="O928" i="1"/>
  <c r="L928" i="1"/>
  <c r="H928" i="1"/>
  <c r="D928" i="1"/>
  <c r="O927" i="1"/>
  <c r="L927" i="1"/>
  <c r="H927" i="1"/>
  <c r="D927" i="1"/>
  <c r="O926" i="1"/>
  <c r="L926" i="1"/>
  <c r="H926" i="1"/>
  <c r="D926" i="1"/>
  <c r="L925" i="1"/>
  <c r="H925" i="1"/>
  <c r="D925" i="1"/>
  <c r="L924" i="1"/>
  <c r="H924" i="1"/>
  <c r="D924" i="1"/>
  <c r="Q923" i="1"/>
  <c r="P923" i="1"/>
  <c r="O923" i="1"/>
  <c r="M923" i="1"/>
  <c r="L923" i="1"/>
  <c r="H923" i="1"/>
  <c r="D923" i="1"/>
  <c r="Q922" i="1"/>
  <c r="P922" i="1"/>
  <c r="O922" i="1"/>
  <c r="M922" i="1"/>
  <c r="L922" i="1"/>
  <c r="H922" i="1"/>
  <c r="D922" i="1"/>
  <c r="Q921" i="1"/>
  <c r="P921" i="1"/>
  <c r="O921" i="1"/>
  <c r="L921" i="1"/>
  <c r="H921" i="1"/>
  <c r="D921" i="1"/>
  <c r="Q920" i="1"/>
  <c r="P920" i="1"/>
  <c r="O920" i="1"/>
  <c r="L920" i="1"/>
  <c r="H920" i="1"/>
  <c r="D920" i="1"/>
  <c r="Q919" i="1"/>
  <c r="P919" i="1"/>
  <c r="O919" i="1"/>
  <c r="L919" i="1"/>
  <c r="H919" i="1"/>
  <c r="D919" i="1"/>
  <c r="H918" i="1"/>
  <c r="D918" i="1"/>
  <c r="H917" i="1"/>
  <c r="D917" i="1"/>
  <c r="H916" i="1"/>
  <c r="D916" i="1"/>
  <c r="H915" i="1"/>
  <c r="D915" i="1"/>
  <c r="H914" i="1"/>
  <c r="D914" i="1"/>
  <c r="H913" i="1"/>
  <c r="D913" i="1"/>
  <c r="H912" i="1"/>
  <c r="D912" i="1"/>
  <c r="H911" i="1"/>
  <c r="D911" i="1"/>
  <c r="H910" i="1"/>
  <c r="D910" i="1"/>
  <c r="O909" i="1"/>
  <c r="L909" i="1"/>
  <c r="H909" i="1"/>
  <c r="D909" i="1"/>
  <c r="O908" i="1"/>
  <c r="L908" i="1"/>
  <c r="H908" i="1"/>
  <c r="D908" i="1"/>
  <c r="O907" i="1"/>
  <c r="L907" i="1"/>
  <c r="H907" i="1"/>
  <c r="D907" i="1"/>
  <c r="O906" i="1"/>
  <c r="L906" i="1"/>
  <c r="H906" i="1"/>
  <c r="D906" i="1"/>
  <c r="O905" i="1"/>
  <c r="L905" i="1"/>
  <c r="H905" i="1"/>
  <c r="D905" i="1"/>
  <c r="O904" i="1"/>
  <c r="L904" i="1"/>
  <c r="H904" i="1"/>
  <c r="D904" i="1"/>
  <c r="O903" i="1"/>
  <c r="L903" i="1"/>
  <c r="H903" i="1"/>
  <c r="D903" i="1"/>
  <c r="L902" i="1"/>
  <c r="H902" i="1"/>
  <c r="D902" i="1"/>
  <c r="L901" i="1"/>
  <c r="H901" i="1"/>
  <c r="D901" i="1"/>
  <c r="Q900" i="1"/>
  <c r="P900" i="1"/>
  <c r="O900" i="1"/>
  <c r="M900" i="1"/>
  <c r="L900" i="1"/>
  <c r="H900" i="1"/>
  <c r="D900" i="1"/>
  <c r="Q899" i="1"/>
  <c r="P899" i="1"/>
  <c r="O899" i="1"/>
  <c r="M899" i="1"/>
  <c r="L899" i="1"/>
  <c r="H899" i="1"/>
  <c r="D899" i="1"/>
  <c r="Q898" i="1"/>
  <c r="P898" i="1"/>
  <c r="O898" i="1"/>
  <c r="L898" i="1"/>
  <c r="H898" i="1"/>
  <c r="D898" i="1"/>
  <c r="Q897" i="1"/>
  <c r="P897" i="1"/>
  <c r="O897" i="1"/>
  <c r="L897" i="1"/>
  <c r="H897" i="1"/>
  <c r="D897" i="1"/>
  <c r="Q896" i="1"/>
  <c r="P896" i="1"/>
  <c r="O896" i="1"/>
  <c r="L896" i="1"/>
  <c r="H896" i="1"/>
  <c r="D896" i="1"/>
  <c r="H895" i="1"/>
  <c r="D895" i="1"/>
  <c r="H894" i="1"/>
  <c r="D894" i="1"/>
  <c r="H893" i="1"/>
  <c r="D893" i="1"/>
  <c r="H892" i="1"/>
  <c r="D892" i="1"/>
  <c r="H891" i="1"/>
  <c r="D891" i="1"/>
  <c r="H890" i="1"/>
  <c r="D890" i="1"/>
  <c r="H889" i="1"/>
  <c r="D889" i="1"/>
  <c r="H888" i="1"/>
  <c r="D888" i="1"/>
  <c r="H887" i="1"/>
  <c r="D887" i="1"/>
  <c r="H886" i="1"/>
  <c r="D886" i="1"/>
  <c r="O885" i="1"/>
  <c r="L885" i="1"/>
  <c r="H885" i="1"/>
  <c r="D885" i="1"/>
  <c r="O884" i="1"/>
  <c r="L884" i="1"/>
  <c r="H884" i="1"/>
  <c r="D884" i="1"/>
  <c r="O883" i="1"/>
  <c r="L883" i="1"/>
  <c r="H883" i="1"/>
  <c r="D883" i="1"/>
  <c r="O882" i="1"/>
  <c r="L882" i="1"/>
  <c r="H882" i="1"/>
  <c r="D882" i="1"/>
  <c r="O881" i="1"/>
  <c r="L881" i="1"/>
  <c r="H881" i="1"/>
  <c r="D881" i="1"/>
  <c r="O880" i="1"/>
  <c r="L880" i="1"/>
  <c r="H880" i="1"/>
  <c r="D880" i="1"/>
  <c r="L879" i="1"/>
  <c r="H879" i="1"/>
  <c r="D879" i="1"/>
  <c r="L878" i="1"/>
  <c r="H878" i="1"/>
  <c r="D878" i="1"/>
  <c r="L877" i="1"/>
  <c r="H877" i="1"/>
  <c r="D877" i="1"/>
  <c r="L876" i="1"/>
  <c r="H876" i="1"/>
  <c r="D876" i="1"/>
  <c r="Q875" i="1"/>
  <c r="P875" i="1"/>
  <c r="O875" i="1"/>
  <c r="M875" i="1"/>
  <c r="L875" i="1"/>
  <c r="H875" i="1"/>
  <c r="D875" i="1"/>
  <c r="Q874" i="1"/>
  <c r="P874" i="1"/>
  <c r="O874" i="1"/>
  <c r="M874" i="1"/>
  <c r="L874" i="1"/>
  <c r="H874" i="1"/>
  <c r="D874" i="1"/>
  <c r="P873" i="1"/>
  <c r="O873" i="1"/>
  <c r="L873" i="1"/>
  <c r="H873" i="1"/>
  <c r="D873" i="1"/>
  <c r="Q872" i="1"/>
  <c r="P872" i="1"/>
  <c r="O872" i="1"/>
  <c r="L872" i="1"/>
  <c r="H872" i="1"/>
  <c r="D872" i="1"/>
  <c r="Q871" i="1"/>
  <c r="P871" i="1"/>
  <c r="O871" i="1"/>
  <c r="L871" i="1"/>
  <c r="H871" i="1"/>
  <c r="D871" i="1"/>
  <c r="H870" i="1"/>
  <c r="D870" i="1"/>
  <c r="H869" i="1"/>
  <c r="D869" i="1"/>
  <c r="H868" i="1"/>
  <c r="D868" i="1"/>
  <c r="H867" i="1"/>
  <c r="D867" i="1"/>
  <c r="H866" i="1"/>
  <c r="D866" i="1"/>
  <c r="H865" i="1"/>
  <c r="D865" i="1"/>
  <c r="H864" i="1"/>
  <c r="D864" i="1"/>
  <c r="H863" i="1"/>
  <c r="D863" i="1"/>
  <c r="H862" i="1"/>
  <c r="D862" i="1"/>
  <c r="H861" i="1"/>
  <c r="D861" i="1"/>
  <c r="O860" i="1"/>
  <c r="L860" i="1"/>
  <c r="H860" i="1"/>
  <c r="D860" i="1"/>
  <c r="O859" i="1"/>
  <c r="L859" i="1"/>
  <c r="H859" i="1"/>
  <c r="D859" i="1"/>
  <c r="O858" i="1"/>
  <c r="L858" i="1"/>
  <c r="H858" i="1"/>
  <c r="D858" i="1"/>
  <c r="O857" i="1"/>
  <c r="L857" i="1"/>
  <c r="H857" i="1"/>
  <c r="D857" i="1"/>
  <c r="O856" i="1"/>
  <c r="L856" i="1"/>
  <c r="H856" i="1"/>
  <c r="D856" i="1"/>
  <c r="O855" i="1"/>
  <c r="L855" i="1"/>
  <c r="H855" i="1"/>
  <c r="D855" i="1"/>
  <c r="O854" i="1"/>
  <c r="L854" i="1"/>
  <c r="H854" i="1"/>
  <c r="D854" i="1"/>
  <c r="O853" i="1"/>
  <c r="L853" i="1"/>
  <c r="H853" i="1"/>
  <c r="D853" i="1"/>
  <c r="L852" i="1"/>
  <c r="H852" i="1"/>
  <c r="D852" i="1"/>
  <c r="L851" i="1"/>
  <c r="H851" i="1"/>
  <c r="D851" i="1"/>
  <c r="L850" i="1"/>
  <c r="H850" i="1"/>
  <c r="D850" i="1"/>
  <c r="L849" i="1"/>
  <c r="H849" i="1"/>
  <c r="D849" i="1"/>
  <c r="R848" i="1"/>
  <c r="Q848" i="1"/>
  <c r="P848" i="1"/>
  <c r="O848" i="1"/>
  <c r="M848" i="1"/>
  <c r="L848" i="1"/>
  <c r="H848" i="1"/>
  <c r="D848" i="1"/>
  <c r="Q847" i="1"/>
  <c r="P847" i="1"/>
  <c r="O847" i="1"/>
  <c r="L847" i="1"/>
  <c r="H847" i="1"/>
  <c r="D847" i="1"/>
  <c r="Q846" i="1"/>
  <c r="P846" i="1"/>
  <c r="O846" i="1"/>
  <c r="L846" i="1"/>
  <c r="H846" i="1"/>
  <c r="D846" i="1"/>
  <c r="Q845" i="1"/>
  <c r="P845" i="1"/>
  <c r="O845" i="1"/>
  <c r="L845" i="1"/>
  <c r="H845" i="1"/>
  <c r="D845" i="1"/>
  <c r="Q844" i="1"/>
  <c r="P844" i="1"/>
  <c r="O844" i="1"/>
  <c r="L844" i="1"/>
  <c r="H844" i="1"/>
  <c r="D844" i="1"/>
  <c r="H843" i="1"/>
  <c r="D843" i="1"/>
  <c r="H842" i="1"/>
  <c r="D842" i="1"/>
  <c r="H841" i="1"/>
  <c r="D841" i="1"/>
  <c r="H840" i="1"/>
  <c r="D840" i="1"/>
  <c r="H839" i="1"/>
  <c r="D839" i="1"/>
  <c r="H838" i="1"/>
  <c r="D838" i="1"/>
  <c r="H837" i="1"/>
  <c r="D837" i="1"/>
  <c r="H836" i="1"/>
  <c r="D836" i="1"/>
  <c r="H835" i="1"/>
  <c r="D835" i="1"/>
  <c r="H834" i="1"/>
  <c r="D834" i="1"/>
  <c r="O833" i="1"/>
  <c r="L833" i="1"/>
  <c r="H833" i="1"/>
  <c r="D833" i="1"/>
  <c r="O832" i="1"/>
  <c r="L832" i="1"/>
  <c r="H832" i="1"/>
  <c r="D832" i="1"/>
  <c r="O831" i="1"/>
  <c r="L831" i="1"/>
  <c r="H831" i="1"/>
  <c r="D831" i="1"/>
  <c r="O830" i="1"/>
  <c r="L830" i="1"/>
  <c r="H830" i="1"/>
  <c r="D830" i="1"/>
  <c r="O829" i="1"/>
  <c r="L829" i="1"/>
  <c r="H829" i="1"/>
  <c r="D829" i="1"/>
  <c r="O828" i="1"/>
  <c r="L828" i="1"/>
  <c r="H828" i="1"/>
  <c r="D828" i="1"/>
  <c r="L827" i="1"/>
  <c r="H827" i="1"/>
  <c r="D827" i="1"/>
  <c r="O826" i="1"/>
  <c r="L826" i="1"/>
  <c r="H826" i="1"/>
  <c r="D826" i="1"/>
  <c r="L825" i="1"/>
  <c r="H825" i="1"/>
  <c r="D825" i="1"/>
  <c r="O824" i="1"/>
  <c r="L824" i="1"/>
  <c r="H824" i="1"/>
  <c r="D824" i="1"/>
  <c r="Q823" i="1"/>
  <c r="P823" i="1"/>
  <c r="O823" i="1"/>
  <c r="L823" i="1"/>
  <c r="I823" i="1"/>
  <c r="H823" i="1"/>
  <c r="D823" i="1"/>
  <c r="P822" i="1"/>
  <c r="O822" i="1"/>
  <c r="L822" i="1"/>
  <c r="I822" i="1"/>
  <c r="H822" i="1"/>
  <c r="D822" i="1"/>
  <c r="Y821" i="1"/>
  <c r="W821" i="1"/>
  <c r="P821" i="1"/>
  <c r="O821" i="1"/>
  <c r="L821" i="1"/>
  <c r="H821" i="1"/>
  <c r="D821" i="1"/>
  <c r="Y820" i="1"/>
  <c r="W820" i="1"/>
  <c r="P820" i="1"/>
  <c r="O820" i="1"/>
  <c r="L820" i="1"/>
  <c r="H820" i="1"/>
  <c r="D820" i="1"/>
  <c r="Y819" i="1"/>
  <c r="W819" i="1"/>
  <c r="P819" i="1"/>
  <c r="O819" i="1"/>
  <c r="L819" i="1"/>
  <c r="H819" i="1"/>
  <c r="D819" i="1"/>
  <c r="H818" i="1"/>
  <c r="D818" i="1"/>
  <c r="H817" i="1"/>
  <c r="D817" i="1"/>
  <c r="H816" i="1"/>
  <c r="D816" i="1"/>
  <c r="H815" i="1"/>
  <c r="D815" i="1"/>
  <c r="H814" i="1"/>
  <c r="D814" i="1"/>
  <c r="H813" i="1"/>
  <c r="D813" i="1"/>
  <c r="H812" i="1"/>
  <c r="D812" i="1"/>
  <c r="H811" i="1"/>
  <c r="D811" i="1"/>
  <c r="I810" i="1"/>
  <c r="H810" i="1"/>
  <c r="D810" i="1"/>
  <c r="O809" i="1"/>
  <c r="L809" i="1"/>
  <c r="I809" i="1"/>
  <c r="H809" i="1"/>
  <c r="D809" i="1"/>
  <c r="O808" i="1"/>
  <c r="L808" i="1"/>
  <c r="I808" i="1"/>
  <c r="H808" i="1"/>
  <c r="D808" i="1"/>
  <c r="O807" i="1"/>
  <c r="L807" i="1"/>
  <c r="I807" i="1"/>
  <c r="H807" i="1"/>
  <c r="D807" i="1"/>
  <c r="O806" i="1"/>
  <c r="L806" i="1"/>
  <c r="I806" i="1"/>
  <c r="H806" i="1"/>
  <c r="D806" i="1"/>
  <c r="O805" i="1"/>
  <c r="L805" i="1"/>
  <c r="I805" i="1"/>
  <c r="H805" i="1"/>
  <c r="D805" i="1"/>
  <c r="L804" i="1"/>
  <c r="I804" i="1"/>
  <c r="H804" i="1"/>
  <c r="D804" i="1"/>
  <c r="L803" i="1"/>
  <c r="I803" i="1"/>
  <c r="H803" i="1"/>
  <c r="D803" i="1"/>
  <c r="L802" i="1"/>
  <c r="I802" i="1"/>
  <c r="H802" i="1"/>
  <c r="D802" i="1"/>
  <c r="L801" i="1"/>
  <c r="I801" i="1"/>
  <c r="H801" i="1"/>
  <c r="D801" i="1"/>
  <c r="Q800" i="1"/>
  <c r="P800" i="1"/>
  <c r="O800" i="1"/>
  <c r="L800" i="1"/>
  <c r="H800" i="1"/>
  <c r="D800" i="1"/>
  <c r="P799" i="1"/>
  <c r="O799" i="1"/>
  <c r="L799" i="1"/>
  <c r="H799" i="1"/>
  <c r="D799" i="1"/>
  <c r="P798" i="1"/>
  <c r="O798" i="1"/>
  <c r="L798" i="1"/>
  <c r="I798" i="1"/>
  <c r="H798" i="1"/>
  <c r="D798" i="1"/>
  <c r="P797" i="1"/>
  <c r="O797" i="1"/>
  <c r="L797" i="1"/>
  <c r="I797" i="1"/>
  <c r="H797" i="1"/>
  <c r="D797" i="1"/>
  <c r="Y796" i="1"/>
  <c r="W796" i="1"/>
  <c r="P796" i="1"/>
  <c r="O796" i="1"/>
  <c r="L796" i="1"/>
  <c r="I796" i="1"/>
  <c r="H796" i="1"/>
  <c r="D796" i="1"/>
  <c r="I795" i="1"/>
  <c r="H795" i="1"/>
  <c r="D795" i="1"/>
  <c r="I794" i="1"/>
  <c r="H794" i="1"/>
  <c r="D794" i="1"/>
  <c r="I793" i="1"/>
  <c r="H793" i="1"/>
  <c r="D793" i="1"/>
  <c r="I792" i="1"/>
  <c r="H792" i="1"/>
  <c r="D792" i="1"/>
  <c r="I791" i="1"/>
  <c r="H791" i="1"/>
  <c r="D791" i="1"/>
  <c r="I790" i="1"/>
  <c r="H790" i="1"/>
  <c r="D790" i="1"/>
  <c r="I789" i="1"/>
  <c r="H789" i="1"/>
  <c r="D789" i="1"/>
  <c r="I788" i="1"/>
  <c r="H788" i="1"/>
  <c r="D788" i="1"/>
  <c r="I787" i="1"/>
  <c r="H787" i="1"/>
  <c r="D787" i="1"/>
  <c r="O786" i="1"/>
  <c r="L786" i="1"/>
  <c r="I786" i="1"/>
  <c r="H786" i="1"/>
  <c r="D786" i="1"/>
  <c r="O785" i="1"/>
  <c r="L785" i="1"/>
  <c r="I785" i="1"/>
  <c r="H785" i="1"/>
  <c r="D785" i="1"/>
  <c r="O784" i="1"/>
  <c r="L784" i="1"/>
  <c r="I784" i="1"/>
  <c r="H784" i="1"/>
  <c r="D784" i="1"/>
  <c r="O783" i="1"/>
  <c r="L783" i="1"/>
  <c r="I783" i="1"/>
  <c r="H783" i="1"/>
  <c r="D783" i="1"/>
  <c r="O782" i="1"/>
  <c r="L782" i="1"/>
  <c r="I782" i="1"/>
  <c r="H782" i="1"/>
  <c r="D782" i="1"/>
  <c r="L781" i="1"/>
  <c r="I781" i="1"/>
  <c r="H781" i="1"/>
  <c r="D781" i="1"/>
  <c r="L780" i="1"/>
  <c r="I780" i="1"/>
  <c r="H780" i="1"/>
  <c r="D780" i="1"/>
  <c r="L779" i="1"/>
  <c r="I779" i="1"/>
  <c r="H779" i="1"/>
  <c r="D779" i="1"/>
  <c r="L778" i="1"/>
  <c r="I778" i="1"/>
  <c r="H778" i="1"/>
  <c r="D778" i="1"/>
  <c r="D17" i="2" l="1"/>
  <c r="D16" i="2"/>
  <c r="D127" i="2" l="1"/>
  <c r="D238" i="2" s="1"/>
  <c r="D349" i="2" s="1"/>
  <c r="D460" i="2" s="1"/>
  <c r="D571" i="2" s="1"/>
  <c r="D128" i="2"/>
  <c r="D239" i="2" s="1"/>
  <c r="D350" i="2" s="1"/>
  <c r="Q197" i="1"/>
  <c r="P197" i="1"/>
  <c r="O197" i="1"/>
  <c r="M197" i="1"/>
  <c r="L197" i="1"/>
  <c r="H197" i="1"/>
  <c r="D197" i="1"/>
  <c r="Q196" i="1"/>
  <c r="P196" i="1"/>
  <c r="O196" i="1"/>
  <c r="M196" i="1"/>
  <c r="L196" i="1"/>
  <c r="H196" i="1"/>
  <c r="D196" i="1"/>
  <c r="H194" i="5"/>
  <c r="I194" i="5"/>
  <c r="Y197" i="1" s="1"/>
  <c r="I193" i="5"/>
  <c r="Y196" i="1" s="1"/>
  <c r="H193" i="5"/>
  <c r="W196" i="1" l="1"/>
  <c r="D461" i="2"/>
  <c r="D572" i="2" s="1"/>
  <c r="W197" i="1"/>
  <c r="D993" i="6" l="1"/>
  <c r="D992" i="6"/>
  <c r="D991" i="6"/>
  <c r="D990" i="6"/>
  <c r="D989" i="6"/>
  <c r="D988" i="6"/>
  <c r="D987" i="6"/>
  <c r="D986" i="6"/>
  <c r="D985" i="6"/>
  <c r="D984" i="6"/>
  <c r="D983" i="6"/>
  <c r="D982" i="6"/>
  <c r="D981" i="6"/>
  <c r="D980" i="6"/>
  <c r="D979" i="6"/>
  <c r="D978" i="6"/>
  <c r="D977" i="6"/>
  <c r="D976" i="6"/>
  <c r="D975" i="6"/>
  <c r="D974" i="6"/>
  <c r="D973" i="6"/>
  <c r="D972" i="6"/>
  <c r="D971" i="6"/>
  <c r="D970" i="6"/>
  <c r="D969" i="6"/>
  <c r="D968" i="6"/>
  <c r="D967" i="6"/>
  <c r="D966" i="6"/>
  <c r="D965" i="6"/>
  <c r="D964" i="6"/>
  <c r="D963" i="6"/>
  <c r="D962" i="6"/>
  <c r="D961" i="6"/>
  <c r="D960" i="6"/>
  <c r="D959" i="6"/>
  <c r="D958" i="6"/>
  <c r="D957" i="6"/>
  <c r="D956" i="6"/>
  <c r="D955" i="6"/>
  <c r="D954" i="6"/>
  <c r="D953" i="6"/>
  <c r="D952" i="6"/>
  <c r="D951" i="6"/>
  <c r="D950" i="6"/>
  <c r="D949" i="6"/>
  <c r="D948" i="6"/>
  <c r="D947" i="6"/>
  <c r="D946" i="6"/>
  <c r="D945" i="6"/>
  <c r="D944" i="6"/>
  <c r="D943" i="6"/>
  <c r="D942" i="6"/>
  <c r="D941" i="6"/>
  <c r="D940" i="6"/>
  <c r="D939" i="6"/>
  <c r="D938" i="6"/>
  <c r="D937" i="6"/>
  <c r="D936" i="6"/>
  <c r="D935" i="6"/>
  <c r="D934" i="6"/>
  <c r="D933" i="6"/>
  <c r="D932" i="6"/>
  <c r="D931" i="6"/>
  <c r="D930" i="6"/>
  <c r="D929" i="6"/>
  <c r="D928" i="6"/>
  <c r="D927" i="6"/>
  <c r="D926" i="6"/>
  <c r="D925" i="6"/>
  <c r="D924" i="6"/>
  <c r="D923" i="6"/>
  <c r="D922" i="6"/>
  <c r="D921" i="6"/>
  <c r="D920" i="6"/>
  <c r="D919" i="6"/>
  <c r="D918" i="6"/>
  <c r="D917" i="6"/>
  <c r="D916" i="6"/>
  <c r="D915" i="6"/>
  <c r="D914" i="6"/>
  <c r="D913" i="6"/>
  <c r="D912" i="6"/>
  <c r="D911" i="6"/>
  <c r="D910" i="6"/>
  <c r="D909" i="6"/>
  <c r="D908" i="6"/>
  <c r="D907" i="6"/>
  <c r="D906" i="6"/>
  <c r="D905" i="6"/>
  <c r="D904" i="6"/>
  <c r="D903" i="6"/>
  <c r="D902" i="6"/>
  <c r="D901" i="6"/>
  <c r="D900" i="6"/>
  <c r="D899" i="6"/>
  <c r="D898" i="6"/>
  <c r="D897" i="6"/>
  <c r="D896" i="6"/>
  <c r="D895" i="6"/>
  <c r="D894" i="6"/>
  <c r="D893" i="6"/>
  <c r="D892" i="6"/>
  <c r="D891" i="6"/>
  <c r="D890" i="6"/>
  <c r="D889" i="6"/>
  <c r="D888" i="6"/>
  <c r="D887" i="6"/>
  <c r="D886" i="6"/>
  <c r="D885" i="6"/>
  <c r="D884" i="6"/>
  <c r="D883" i="6"/>
  <c r="D882" i="6"/>
  <c r="D881" i="6"/>
  <c r="D880" i="6"/>
  <c r="D879" i="6"/>
  <c r="D878" i="6"/>
  <c r="D877" i="6"/>
  <c r="D876" i="6"/>
  <c r="D875" i="6"/>
  <c r="D874" i="6"/>
  <c r="D873" i="6"/>
  <c r="D872" i="6"/>
  <c r="D871" i="6"/>
  <c r="D870" i="6"/>
  <c r="D869" i="6"/>
  <c r="D868" i="6"/>
  <c r="D867" i="6"/>
  <c r="D866" i="6"/>
  <c r="D865" i="6"/>
  <c r="D864" i="6"/>
  <c r="D863" i="6"/>
  <c r="D862" i="6"/>
  <c r="D861" i="6"/>
  <c r="D860" i="6"/>
  <c r="D859" i="6"/>
  <c r="D858" i="6"/>
  <c r="D857" i="6"/>
  <c r="D856" i="6"/>
  <c r="D855" i="6"/>
  <c r="D854" i="6"/>
  <c r="D853" i="6"/>
  <c r="D852" i="6"/>
  <c r="D851" i="6"/>
  <c r="D850" i="6"/>
  <c r="D849" i="6"/>
  <c r="D848" i="6"/>
  <c r="D847" i="6"/>
  <c r="D846" i="6"/>
  <c r="D845" i="6"/>
  <c r="D844" i="6"/>
  <c r="D843" i="6"/>
  <c r="D842" i="6"/>
  <c r="D841" i="6"/>
  <c r="D840" i="6"/>
  <c r="D839" i="6"/>
  <c r="D838" i="6"/>
  <c r="D837" i="6"/>
  <c r="D836" i="6"/>
  <c r="D835" i="6"/>
  <c r="D834" i="6"/>
  <c r="D833" i="6"/>
  <c r="D832" i="6"/>
  <c r="D831" i="6"/>
  <c r="D830" i="6"/>
  <c r="D829" i="6"/>
  <c r="D828" i="6"/>
  <c r="D827" i="6"/>
  <c r="D826" i="6"/>
  <c r="D825" i="6"/>
  <c r="D824" i="6"/>
  <c r="D823" i="6"/>
  <c r="D822" i="6"/>
  <c r="D821" i="6"/>
  <c r="D820" i="6"/>
  <c r="D819" i="6"/>
  <c r="D818" i="6"/>
  <c r="D817" i="6"/>
  <c r="D816" i="6"/>
  <c r="D815" i="6"/>
  <c r="D814" i="6"/>
  <c r="D813" i="6"/>
  <c r="D812" i="6"/>
  <c r="D811" i="6"/>
  <c r="D810" i="6"/>
  <c r="D809" i="6"/>
  <c r="D808" i="6"/>
  <c r="D807" i="6"/>
  <c r="D806" i="6"/>
  <c r="D805" i="6"/>
  <c r="D804" i="6"/>
  <c r="D803" i="6"/>
  <c r="D802" i="6"/>
  <c r="D801" i="6"/>
  <c r="D800" i="6"/>
  <c r="D799" i="6"/>
  <c r="D798" i="6"/>
  <c r="D797" i="6"/>
  <c r="D796" i="6"/>
  <c r="D795" i="6"/>
  <c r="D794" i="6"/>
  <c r="D793" i="6"/>
  <c r="D792" i="6"/>
  <c r="D791" i="6"/>
  <c r="D790" i="6"/>
  <c r="D789" i="6"/>
  <c r="D788" i="6"/>
  <c r="D787" i="6"/>
  <c r="D786" i="6"/>
  <c r="D785" i="6"/>
  <c r="D784" i="6"/>
  <c r="D783" i="6"/>
  <c r="D782" i="6"/>
  <c r="D781" i="6"/>
  <c r="D780" i="6"/>
  <c r="D779" i="6"/>
  <c r="D778" i="6"/>
  <c r="D777" i="6"/>
  <c r="D776" i="6"/>
  <c r="D775" i="6"/>
  <c r="D774" i="6"/>
  <c r="D773" i="6"/>
  <c r="D772" i="6"/>
  <c r="D771" i="6"/>
  <c r="D770" i="6"/>
  <c r="D769" i="6"/>
  <c r="D768" i="6"/>
  <c r="D767" i="6"/>
  <c r="D766" i="6"/>
  <c r="D765" i="6"/>
  <c r="D764" i="6"/>
  <c r="D763" i="6"/>
  <c r="D762" i="6"/>
  <c r="D761" i="6"/>
  <c r="D760" i="6"/>
  <c r="D759" i="6"/>
  <c r="D758" i="6"/>
  <c r="D757" i="6"/>
  <c r="D756" i="6"/>
  <c r="D755" i="6"/>
  <c r="D754" i="6"/>
  <c r="D753" i="6"/>
  <c r="D752" i="6"/>
  <c r="D751" i="6"/>
  <c r="D750" i="6"/>
  <c r="D749" i="6"/>
  <c r="D748" i="6"/>
  <c r="D747" i="6"/>
  <c r="D746" i="6"/>
  <c r="D745" i="6"/>
  <c r="D744" i="6"/>
  <c r="D743" i="6"/>
  <c r="D742" i="6"/>
  <c r="D741" i="6"/>
  <c r="D740" i="6"/>
  <c r="D739" i="6"/>
  <c r="D738" i="6"/>
  <c r="D737" i="6"/>
  <c r="D736" i="6"/>
  <c r="D735" i="6"/>
  <c r="D734" i="6"/>
  <c r="D733" i="6"/>
  <c r="D732" i="6"/>
  <c r="D731" i="6"/>
  <c r="D730" i="6"/>
  <c r="D729" i="6"/>
  <c r="D728" i="6"/>
  <c r="D727" i="6"/>
  <c r="D726" i="6"/>
  <c r="D725" i="6"/>
  <c r="D724" i="6"/>
  <c r="D723" i="6"/>
  <c r="D722" i="6"/>
  <c r="D721" i="6"/>
  <c r="D720" i="6"/>
  <c r="D719" i="6"/>
  <c r="D718" i="6"/>
  <c r="D717" i="6"/>
  <c r="D716" i="6"/>
  <c r="D715" i="6"/>
  <c r="D714" i="6"/>
  <c r="D713" i="6"/>
  <c r="D712" i="6"/>
  <c r="D711" i="6"/>
  <c r="D710" i="6"/>
  <c r="D709" i="6"/>
  <c r="D708" i="6"/>
  <c r="D707" i="6"/>
  <c r="D706" i="6"/>
  <c r="D705" i="6"/>
  <c r="D704" i="6"/>
  <c r="D703" i="6"/>
  <c r="D702" i="6"/>
  <c r="D701" i="6"/>
  <c r="D700" i="6"/>
  <c r="D699" i="6"/>
  <c r="D698" i="6"/>
  <c r="D697" i="6"/>
  <c r="D696" i="6"/>
  <c r="D695" i="6"/>
  <c r="D694" i="6"/>
  <c r="D693" i="6"/>
  <c r="D692" i="6"/>
  <c r="D691" i="6"/>
  <c r="D690" i="6"/>
  <c r="D689" i="6"/>
  <c r="D688" i="6"/>
  <c r="D687" i="6"/>
  <c r="D686" i="6"/>
  <c r="D685" i="6"/>
  <c r="D684" i="6"/>
  <c r="D683" i="6"/>
  <c r="D682" i="6"/>
  <c r="D681" i="6"/>
  <c r="D680" i="6"/>
  <c r="D679" i="6"/>
  <c r="D678" i="6"/>
  <c r="D677" i="6"/>
  <c r="D676" i="6"/>
  <c r="D675" i="6"/>
  <c r="D674" i="6"/>
  <c r="D673" i="6"/>
  <c r="D672" i="6"/>
  <c r="D671" i="6"/>
  <c r="D670" i="6"/>
  <c r="D669" i="6"/>
  <c r="D668" i="6"/>
  <c r="D667" i="6"/>
  <c r="D666" i="6"/>
  <c r="D665" i="6"/>
  <c r="D664" i="6"/>
  <c r="D663" i="6"/>
  <c r="D662" i="6"/>
  <c r="D661" i="6"/>
  <c r="D660" i="6"/>
  <c r="D659" i="6"/>
  <c r="D658" i="6"/>
  <c r="D657" i="6"/>
  <c r="D656" i="6"/>
  <c r="D655" i="6"/>
  <c r="D654" i="6"/>
  <c r="D653" i="6"/>
  <c r="D652" i="6"/>
  <c r="D651" i="6"/>
  <c r="D650" i="6"/>
  <c r="D649" i="6"/>
  <c r="D648" i="6"/>
  <c r="D647" i="6"/>
  <c r="D646" i="6"/>
  <c r="D645" i="6"/>
  <c r="D644" i="6"/>
  <c r="D643" i="6"/>
  <c r="D642" i="6"/>
  <c r="D641" i="6"/>
  <c r="D640" i="6"/>
  <c r="D639" i="6"/>
  <c r="D638" i="6"/>
  <c r="D637" i="6"/>
  <c r="D636" i="6"/>
  <c r="D635" i="6"/>
  <c r="D634" i="6"/>
  <c r="D633" i="6"/>
  <c r="D632" i="6"/>
  <c r="D631" i="6"/>
  <c r="D630" i="6"/>
  <c r="D629" i="6"/>
  <c r="D628" i="6"/>
  <c r="D627" i="6"/>
  <c r="D626" i="6"/>
  <c r="D625" i="6"/>
  <c r="D624" i="6"/>
  <c r="D623" i="6"/>
  <c r="D622" i="6"/>
  <c r="D621" i="6"/>
  <c r="D620" i="6"/>
  <c r="D619" i="6"/>
  <c r="D618" i="6"/>
  <c r="D617" i="6"/>
  <c r="D616" i="6"/>
  <c r="D615" i="6"/>
  <c r="D614" i="6"/>
  <c r="D613" i="6"/>
  <c r="D612" i="6"/>
  <c r="D611" i="6"/>
  <c r="D610" i="6"/>
  <c r="D609" i="6"/>
  <c r="D608" i="6"/>
  <c r="D607" i="6"/>
  <c r="D606" i="6"/>
  <c r="D605" i="6"/>
  <c r="D604" i="6"/>
  <c r="D603" i="6"/>
  <c r="D602" i="6"/>
  <c r="D601" i="6"/>
  <c r="D600" i="6"/>
  <c r="D599" i="6"/>
  <c r="D598" i="6"/>
  <c r="D597" i="6"/>
  <c r="D596" i="6"/>
  <c r="D595" i="6"/>
  <c r="D594" i="6"/>
  <c r="D593" i="6"/>
  <c r="D592" i="6"/>
  <c r="D591" i="6"/>
  <c r="D590" i="6"/>
  <c r="D589" i="6"/>
  <c r="D588" i="6"/>
  <c r="D587" i="6"/>
  <c r="D586" i="6"/>
  <c r="D585" i="6"/>
  <c r="D584" i="6"/>
  <c r="D583" i="6"/>
  <c r="D582" i="6"/>
  <c r="D581" i="6"/>
  <c r="D580" i="6"/>
  <c r="D579" i="6"/>
  <c r="D578" i="6"/>
  <c r="D577" i="6"/>
  <c r="D576" i="6"/>
  <c r="D575" i="6"/>
  <c r="D574" i="6"/>
  <c r="D573" i="6"/>
  <c r="D572" i="6"/>
  <c r="D571" i="6"/>
  <c r="D570" i="6"/>
  <c r="D569" i="6"/>
  <c r="D568" i="6"/>
  <c r="D567" i="6"/>
  <c r="D566" i="6"/>
  <c r="D565" i="6"/>
  <c r="D564" i="6"/>
  <c r="D563" i="6"/>
  <c r="D562" i="6"/>
  <c r="D561" i="6"/>
  <c r="D560" i="6"/>
  <c r="D559" i="6"/>
  <c r="D558" i="6"/>
  <c r="D557" i="6"/>
  <c r="D556" i="6"/>
  <c r="D555" i="6"/>
  <c r="D554" i="6"/>
  <c r="D553" i="6"/>
  <c r="D552" i="6"/>
  <c r="D551" i="6"/>
  <c r="D550" i="6"/>
  <c r="D549" i="6"/>
  <c r="D548" i="6"/>
  <c r="D547" i="6"/>
  <c r="D546" i="6"/>
  <c r="D545" i="6"/>
  <c r="D544" i="6"/>
  <c r="D543" i="6"/>
  <c r="D542" i="6"/>
  <c r="D541" i="6"/>
  <c r="D540" i="6"/>
  <c r="D539" i="6"/>
  <c r="D538" i="6"/>
  <c r="D537" i="6"/>
  <c r="D536" i="6"/>
  <c r="D535" i="6"/>
  <c r="D534" i="6"/>
  <c r="D533" i="6"/>
  <c r="D532" i="6"/>
  <c r="D531" i="6"/>
  <c r="D530" i="6"/>
  <c r="D529" i="6"/>
  <c r="D528" i="6"/>
  <c r="D527" i="6"/>
  <c r="D526" i="6"/>
  <c r="D525" i="6"/>
  <c r="D524" i="6"/>
  <c r="D523" i="6"/>
  <c r="D522" i="6"/>
  <c r="D521" i="6"/>
  <c r="D520" i="6"/>
  <c r="D519" i="6"/>
  <c r="D518" i="6"/>
  <c r="D517" i="6"/>
  <c r="D516" i="6"/>
  <c r="D515" i="6"/>
  <c r="D514" i="6"/>
  <c r="D513" i="6"/>
  <c r="D512" i="6"/>
  <c r="D511" i="6"/>
  <c r="D510" i="6"/>
  <c r="D509" i="6"/>
  <c r="D508" i="6"/>
  <c r="D507" i="6"/>
  <c r="D506" i="6"/>
  <c r="D505" i="6"/>
  <c r="D504" i="6"/>
  <c r="D503" i="6"/>
  <c r="D502" i="6"/>
  <c r="D501" i="6"/>
  <c r="D500" i="6"/>
  <c r="D499" i="6"/>
  <c r="D498" i="6"/>
  <c r="D497" i="6"/>
  <c r="D496" i="6"/>
  <c r="D495" i="6"/>
  <c r="D494" i="6"/>
  <c r="D493" i="6"/>
  <c r="D492" i="6"/>
  <c r="D491" i="6"/>
  <c r="D490" i="6"/>
  <c r="D489" i="6"/>
  <c r="D488" i="6"/>
  <c r="D487" i="6"/>
  <c r="D486" i="6"/>
  <c r="D485" i="6"/>
  <c r="D484" i="6"/>
  <c r="D483" i="6"/>
  <c r="D482" i="6"/>
  <c r="D481" i="6"/>
  <c r="D480" i="6"/>
  <c r="D479" i="6"/>
  <c r="D478" i="6"/>
  <c r="D477" i="6"/>
  <c r="D476" i="6"/>
  <c r="D475" i="6"/>
  <c r="D474" i="6"/>
  <c r="D473" i="6"/>
  <c r="D472" i="6"/>
  <c r="D471" i="6"/>
  <c r="D470" i="6"/>
  <c r="D469" i="6"/>
  <c r="D468" i="6"/>
  <c r="D467" i="6"/>
  <c r="D466" i="6"/>
  <c r="D465" i="6"/>
  <c r="D464" i="6"/>
  <c r="D463" i="6"/>
  <c r="D462" i="6"/>
  <c r="D461" i="6"/>
  <c r="D460" i="6"/>
  <c r="D459" i="6"/>
  <c r="D458" i="6"/>
  <c r="D457" i="6"/>
  <c r="D456" i="6"/>
  <c r="D455" i="6"/>
  <c r="D454" i="6"/>
  <c r="D453" i="6"/>
  <c r="D452" i="6"/>
  <c r="D451" i="6"/>
  <c r="D450" i="6"/>
  <c r="D449" i="6"/>
  <c r="D448" i="6"/>
  <c r="D447" i="6"/>
  <c r="D446" i="6"/>
  <c r="D445" i="6"/>
  <c r="D444" i="6"/>
  <c r="D443" i="6"/>
  <c r="D442" i="6"/>
  <c r="D441" i="6"/>
  <c r="D440" i="6"/>
  <c r="D439" i="6"/>
  <c r="D438" i="6"/>
  <c r="D437" i="6"/>
  <c r="D436" i="6"/>
  <c r="D435" i="6"/>
  <c r="D434" i="6"/>
  <c r="D433" i="6"/>
  <c r="D432" i="6"/>
  <c r="D431" i="6"/>
  <c r="D430" i="6"/>
  <c r="D429" i="6"/>
  <c r="D428" i="6"/>
  <c r="D427" i="6"/>
  <c r="D426" i="6"/>
  <c r="D425" i="6"/>
  <c r="D424" i="6"/>
  <c r="D423" i="6"/>
  <c r="D422" i="6"/>
  <c r="D421" i="6"/>
  <c r="D420" i="6"/>
  <c r="D419" i="6"/>
  <c r="D418" i="6"/>
  <c r="D417" i="6"/>
  <c r="D416" i="6"/>
  <c r="D415" i="6"/>
  <c r="D414" i="6"/>
  <c r="D413" i="6"/>
  <c r="D412" i="6"/>
  <c r="D411" i="6"/>
  <c r="D410" i="6"/>
  <c r="D409" i="6"/>
  <c r="D408" i="6"/>
  <c r="D407" i="6"/>
  <c r="D406" i="6"/>
  <c r="D405" i="6"/>
  <c r="D404" i="6"/>
  <c r="D403" i="6"/>
  <c r="D402" i="6"/>
  <c r="D401" i="6"/>
  <c r="D400" i="6"/>
  <c r="D399" i="6"/>
  <c r="D398" i="6"/>
  <c r="D397" i="6"/>
  <c r="D396" i="6"/>
  <c r="D395" i="6"/>
  <c r="K22" i="2" s="1"/>
  <c r="K133" i="2" s="1"/>
  <c r="K244" i="2" s="1"/>
  <c r="K355" i="2" s="1"/>
  <c r="K466" i="2" s="1"/>
  <c r="K577" i="2" s="1"/>
  <c r="D394" i="6"/>
  <c r="D393" i="6"/>
  <c r="D392" i="6"/>
  <c r="D391" i="6"/>
  <c r="D390" i="6"/>
  <c r="D389" i="6"/>
  <c r="D388" i="6"/>
  <c r="D387" i="6"/>
  <c r="K15" i="2" s="1"/>
  <c r="D386" i="6"/>
  <c r="D385" i="6"/>
  <c r="D384" i="6"/>
  <c r="D383" i="6"/>
  <c r="D382" i="6"/>
  <c r="D381" i="6"/>
  <c r="D380" i="6"/>
  <c r="D379" i="6"/>
  <c r="D378" i="6"/>
  <c r="K126" i="2" l="1"/>
  <c r="K39" i="2"/>
  <c r="K150" i="2" s="1"/>
  <c r="K261" i="2" s="1"/>
  <c r="K372" i="2" s="1"/>
  <c r="K483" i="2" s="1"/>
  <c r="K594" i="2" s="1"/>
  <c r="K55" i="2"/>
  <c r="K166" i="2" s="1"/>
  <c r="K277" i="2" s="1"/>
  <c r="K388" i="2" s="1"/>
  <c r="K499" i="2" s="1"/>
  <c r="K610" i="2" s="1"/>
  <c r="K63" i="2"/>
  <c r="K174" i="2" s="1"/>
  <c r="K285" i="2" s="1"/>
  <c r="K396" i="2" s="1"/>
  <c r="K507" i="2" s="1"/>
  <c r="K618" i="2" s="1"/>
  <c r="K71" i="2"/>
  <c r="K182" i="2" s="1"/>
  <c r="K293" i="2" s="1"/>
  <c r="K404" i="2" s="1"/>
  <c r="K515" i="2" s="1"/>
  <c r="K626" i="2" s="1"/>
  <c r="K79" i="2"/>
  <c r="K190" i="2" s="1"/>
  <c r="K301" i="2" s="1"/>
  <c r="K412" i="2" s="1"/>
  <c r="K523" i="2" s="1"/>
  <c r="K634" i="2" s="1"/>
  <c r="K87" i="2"/>
  <c r="K198" i="2" s="1"/>
  <c r="K309" i="2" s="1"/>
  <c r="K420" i="2" s="1"/>
  <c r="K531" i="2" s="1"/>
  <c r="K642" i="2" s="1"/>
  <c r="K95" i="2"/>
  <c r="K206" i="2" s="1"/>
  <c r="K317" i="2" s="1"/>
  <c r="K428" i="2" s="1"/>
  <c r="K539" i="2" s="1"/>
  <c r="K650" i="2" s="1"/>
  <c r="K13" i="2"/>
  <c r="K124" i="2" s="1"/>
  <c r="K235" i="2" s="1"/>
  <c r="K346" i="2" s="1"/>
  <c r="K457" i="2" s="1"/>
  <c r="K568" i="2" s="1"/>
  <c r="K23" i="2"/>
  <c r="K134" i="2" s="1"/>
  <c r="K245" i="2" s="1"/>
  <c r="K356" i="2" s="1"/>
  <c r="K467" i="2" s="1"/>
  <c r="K578" i="2" s="1"/>
  <c r="K47" i="2"/>
  <c r="K158" i="2" s="1"/>
  <c r="K269" i="2" s="1"/>
  <c r="K380" i="2" s="1"/>
  <c r="K491" i="2" s="1"/>
  <c r="K602" i="2" s="1"/>
  <c r="K14" i="2"/>
  <c r="K40" i="2"/>
  <c r="K151" i="2" s="1"/>
  <c r="K262" i="2" s="1"/>
  <c r="K373" i="2" s="1"/>
  <c r="K484" i="2" s="1"/>
  <c r="K595" i="2" s="1"/>
  <c r="K48" i="2"/>
  <c r="K159" i="2" s="1"/>
  <c r="K270" i="2" s="1"/>
  <c r="K381" i="2" s="1"/>
  <c r="K492" i="2" s="1"/>
  <c r="K603" i="2" s="1"/>
  <c r="K56" i="2"/>
  <c r="K167" i="2" s="1"/>
  <c r="K278" i="2" s="1"/>
  <c r="K389" i="2" s="1"/>
  <c r="K500" i="2" s="1"/>
  <c r="K611" i="2" s="1"/>
  <c r="K64" i="2"/>
  <c r="K175" i="2" s="1"/>
  <c r="K286" i="2" s="1"/>
  <c r="K397" i="2" s="1"/>
  <c r="K508" i="2" s="1"/>
  <c r="K619" i="2" s="1"/>
  <c r="K72" i="2"/>
  <c r="K183" i="2" s="1"/>
  <c r="K294" i="2" s="1"/>
  <c r="K405" i="2" s="1"/>
  <c r="K516" i="2" s="1"/>
  <c r="K627" i="2" s="1"/>
  <c r="K80" i="2"/>
  <c r="K191" i="2" s="1"/>
  <c r="K302" i="2" s="1"/>
  <c r="K413" i="2" s="1"/>
  <c r="K524" i="2" s="1"/>
  <c r="K635" i="2" s="1"/>
  <c r="K88" i="2"/>
  <c r="K199" i="2" s="1"/>
  <c r="K310" i="2" s="1"/>
  <c r="K421" i="2" s="1"/>
  <c r="K532" i="2" s="1"/>
  <c r="K643" i="2" s="1"/>
  <c r="K96" i="2"/>
  <c r="K207" i="2" s="1"/>
  <c r="K318" i="2" s="1"/>
  <c r="K429" i="2" s="1"/>
  <c r="K540" i="2" s="1"/>
  <c r="K651" i="2" s="1"/>
  <c r="K41" i="2"/>
  <c r="K152" i="2" s="1"/>
  <c r="K263" i="2" s="1"/>
  <c r="K374" i="2" s="1"/>
  <c r="K485" i="2" s="1"/>
  <c r="K596" i="2" s="1"/>
  <c r="K49" i="2"/>
  <c r="K160" i="2" s="1"/>
  <c r="K271" i="2" s="1"/>
  <c r="K382" i="2" s="1"/>
  <c r="K493" i="2" s="1"/>
  <c r="K604" i="2" s="1"/>
  <c r="K57" i="2"/>
  <c r="K168" i="2" s="1"/>
  <c r="K279" i="2" s="1"/>
  <c r="K390" i="2" s="1"/>
  <c r="K501" i="2" s="1"/>
  <c r="K612" i="2" s="1"/>
  <c r="K65" i="2"/>
  <c r="K176" i="2" s="1"/>
  <c r="K287" i="2" s="1"/>
  <c r="K398" i="2" s="1"/>
  <c r="K509" i="2" s="1"/>
  <c r="K620" i="2" s="1"/>
  <c r="K73" i="2"/>
  <c r="K184" i="2" s="1"/>
  <c r="K295" i="2" s="1"/>
  <c r="K406" i="2" s="1"/>
  <c r="K517" i="2" s="1"/>
  <c r="K628" i="2" s="1"/>
  <c r="K81" i="2"/>
  <c r="K192" i="2" s="1"/>
  <c r="K303" i="2" s="1"/>
  <c r="K414" i="2" s="1"/>
  <c r="K525" i="2" s="1"/>
  <c r="K636" i="2" s="1"/>
  <c r="K89" i="2"/>
  <c r="K200" i="2" s="1"/>
  <c r="K311" i="2" s="1"/>
  <c r="K422" i="2" s="1"/>
  <c r="K533" i="2" s="1"/>
  <c r="K644" i="2" s="1"/>
  <c r="K97" i="2"/>
  <c r="K208" i="2" s="1"/>
  <c r="K319" i="2" s="1"/>
  <c r="K430" i="2" s="1"/>
  <c r="K541" i="2" s="1"/>
  <c r="K652" i="2" s="1"/>
  <c r="K34" i="2"/>
  <c r="K145" i="2" s="1"/>
  <c r="K256" i="2" s="1"/>
  <c r="K367" i="2" s="1"/>
  <c r="K478" i="2" s="1"/>
  <c r="K589" i="2" s="1"/>
  <c r="K42" i="2"/>
  <c r="K153" i="2" s="1"/>
  <c r="K264" i="2" s="1"/>
  <c r="K375" i="2" s="1"/>
  <c r="K486" i="2" s="1"/>
  <c r="K597" i="2" s="1"/>
  <c r="K50" i="2"/>
  <c r="K161" i="2" s="1"/>
  <c r="K272" i="2" s="1"/>
  <c r="K383" i="2" s="1"/>
  <c r="K494" i="2" s="1"/>
  <c r="K605" i="2" s="1"/>
  <c r="K58" i="2"/>
  <c r="K169" i="2" s="1"/>
  <c r="K280" i="2" s="1"/>
  <c r="K391" i="2" s="1"/>
  <c r="K502" i="2" s="1"/>
  <c r="K613" i="2" s="1"/>
  <c r="K66" i="2"/>
  <c r="K177" i="2" s="1"/>
  <c r="K288" i="2" s="1"/>
  <c r="K399" i="2" s="1"/>
  <c r="K510" i="2" s="1"/>
  <c r="K621" i="2" s="1"/>
  <c r="K74" i="2"/>
  <c r="K185" i="2" s="1"/>
  <c r="K296" i="2" s="1"/>
  <c r="K407" i="2" s="1"/>
  <c r="K518" i="2" s="1"/>
  <c r="K629" i="2" s="1"/>
  <c r="K82" i="2"/>
  <c r="K193" i="2" s="1"/>
  <c r="K304" i="2" s="1"/>
  <c r="K415" i="2" s="1"/>
  <c r="K526" i="2" s="1"/>
  <c r="K637" i="2" s="1"/>
  <c r="K90" i="2"/>
  <c r="K201" i="2" s="1"/>
  <c r="K312" i="2" s="1"/>
  <c r="K423" i="2" s="1"/>
  <c r="K534" i="2" s="1"/>
  <c r="K645" i="2" s="1"/>
  <c r="K98" i="2"/>
  <c r="K209" i="2" s="1"/>
  <c r="K320" i="2" s="1"/>
  <c r="K431" i="2" s="1"/>
  <c r="K542" i="2" s="1"/>
  <c r="K653" i="2" s="1"/>
  <c r="K217" i="2"/>
  <c r="K328" i="2" s="1"/>
  <c r="K439" i="2" s="1"/>
  <c r="K550" i="2" s="1"/>
  <c r="K661" i="2" s="1"/>
  <c r="K8" i="2"/>
  <c r="K119" i="2" s="1"/>
  <c r="K230" i="2" s="1"/>
  <c r="K341" i="2" s="1"/>
  <c r="K452" i="2" s="1"/>
  <c r="K563" i="2" s="1"/>
  <c r="K19" i="2"/>
  <c r="K130" i="2" s="1"/>
  <c r="K241" i="2" s="1"/>
  <c r="K352" i="2" s="1"/>
  <c r="K463" i="2" s="1"/>
  <c r="K574" i="2" s="1"/>
  <c r="K35" i="2"/>
  <c r="K146" i="2" s="1"/>
  <c r="K257" i="2" s="1"/>
  <c r="K368" i="2" s="1"/>
  <c r="K479" i="2" s="1"/>
  <c r="K590" i="2" s="1"/>
  <c r="K43" i="2"/>
  <c r="K154" i="2" s="1"/>
  <c r="K265" i="2" s="1"/>
  <c r="K376" i="2" s="1"/>
  <c r="K487" i="2" s="1"/>
  <c r="K598" i="2" s="1"/>
  <c r="K51" i="2"/>
  <c r="K162" i="2" s="1"/>
  <c r="K273" i="2" s="1"/>
  <c r="K384" i="2" s="1"/>
  <c r="K495" i="2" s="1"/>
  <c r="K606" i="2" s="1"/>
  <c r="K59" i="2"/>
  <c r="K170" i="2" s="1"/>
  <c r="K281" i="2" s="1"/>
  <c r="K392" i="2" s="1"/>
  <c r="K503" i="2" s="1"/>
  <c r="K614" i="2" s="1"/>
  <c r="K67" i="2"/>
  <c r="K178" i="2" s="1"/>
  <c r="K289" i="2" s="1"/>
  <c r="K400" i="2" s="1"/>
  <c r="K511" i="2" s="1"/>
  <c r="K622" i="2" s="1"/>
  <c r="K75" i="2"/>
  <c r="K186" i="2" s="1"/>
  <c r="K297" i="2" s="1"/>
  <c r="K408" i="2" s="1"/>
  <c r="K519" i="2" s="1"/>
  <c r="K630" i="2" s="1"/>
  <c r="K83" i="2"/>
  <c r="K194" i="2" s="1"/>
  <c r="K305" i="2" s="1"/>
  <c r="K416" i="2" s="1"/>
  <c r="K527" i="2" s="1"/>
  <c r="K638" i="2" s="1"/>
  <c r="K91" i="2"/>
  <c r="K202" i="2" s="1"/>
  <c r="K313" i="2" s="1"/>
  <c r="K424" i="2" s="1"/>
  <c r="K535" i="2" s="1"/>
  <c r="K646" i="2" s="1"/>
  <c r="K99" i="2"/>
  <c r="K210" i="2" s="1"/>
  <c r="K321" i="2" s="1"/>
  <c r="K432" i="2" s="1"/>
  <c r="K543" i="2" s="1"/>
  <c r="K654" i="2" s="1"/>
  <c r="K218" i="2"/>
  <c r="K329" i="2" s="1"/>
  <c r="K440" i="2" s="1"/>
  <c r="K551" i="2" s="1"/>
  <c r="K662" i="2" s="1"/>
  <c r="K9" i="2"/>
  <c r="K120" i="2" s="1"/>
  <c r="K231" i="2" s="1"/>
  <c r="K342" i="2" s="1"/>
  <c r="K453" i="2" s="1"/>
  <c r="K564" i="2" s="1"/>
  <c r="K20" i="2"/>
  <c r="K131" i="2" s="1"/>
  <c r="K242" i="2" s="1"/>
  <c r="K353" i="2" s="1"/>
  <c r="K464" i="2" s="1"/>
  <c r="K575" i="2" s="1"/>
  <c r="K36" i="2"/>
  <c r="K147" i="2" s="1"/>
  <c r="K258" i="2" s="1"/>
  <c r="K369" i="2" s="1"/>
  <c r="K480" i="2" s="1"/>
  <c r="K591" i="2" s="1"/>
  <c r="K44" i="2"/>
  <c r="K155" i="2" s="1"/>
  <c r="K266" i="2" s="1"/>
  <c r="K377" i="2" s="1"/>
  <c r="K488" i="2" s="1"/>
  <c r="K599" i="2" s="1"/>
  <c r="K52" i="2"/>
  <c r="K163" i="2" s="1"/>
  <c r="K274" i="2" s="1"/>
  <c r="K385" i="2" s="1"/>
  <c r="K496" i="2" s="1"/>
  <c r="K607" i="2" s="1"/>
  <c r="K60" i="2"/>
  <c r="K171" i="2" s="1"/>
  <c r="K282" i="2" s="1"/>
  <c r="K393" i="2" s="1"/>
  <c r="K504" i="2" s="1"/>
  <c r="K615" i="2" s="1"/>
  <c r="K68" i="2"/>
  <c r="K179" i="2" s="1"/>
  <c r="K290" i="2" s="1"/>
  <c r="K401" i="2" s="1"/>
  <c r="K512" i="2" s="1"/>
  <c r="K623" i="2" s="1"/>
  <c r="K76" i="2"/>
  <c r="K187" i="2" s="1"/>
  <c r="K298" i="2" s="1"/>
  <c r="K409" i="2" s="1"/>
  <c r="K520" i="2" s="1"/>
  <c r="K631" i="2" s="1"/>
  <c r="K84" i="2"/>
  <c r="K195" i="2" s="1"/>
  <c r="K306" i="2" s="1"/>
  <c r="K417" i="2" s="1"/>
  <c r="K528" i="2" s="1"/>
  <c r="K639" i="2" s="1"/>
  <c r="K92" i="2"/>
  <c r="K203" i="2" s="1"/>
  <c r="K314" i="2" s="1"/>
  <c r="K425" i="2" s="1"/>
  <c r="K536" i="2" s="1"/>
  <c r="K647" i="2" s="1"/>
  <c r="K100" i="2"/>
  <c r="K211" i="2" s="1"/>
  <c r="K322" i="2" s="1"/>
  <c r="K433" i="2" s="1"/>
  <c r="K544" i="2" s="1"/>
  <c r="K655" i="2" s="1"/>
  <c r="K10" i="2"/>
  <c r="K121" i="2" s="1"/>
  <c r="K232" i="2" s="1"/>
  <c r="K343" i="2" s="1"/>
  <c r="K454" i="2" s="1"/>
  <c r="K565" i="2" s="1"/>
  <c r="K21" i="2"/>
  <c r="K132" i="2" s="1"/>
  <c r="K243" i="2" s="1"/>
  <c r="K354" i="2" s="1"/>
  <c r="K465" i="2" s="1"/>
  <c r="K576" i="2" s="1"/>
  <c r="K37" i="2"/>
  <c r="K148" i="2" s="1"/>
  <c r="K259" i="2" s="1"/>
  <c r="K370" i="2" s="1"/>
  <c r="K481" i="2" s="1"/>
  <c r="K592" i="2" s="1"/>
  <c r="K45" i="2"/>
  <c r="K156" i="2" s="1"/>
  <c r="K267" i="2" s="1"/>
  <c r="K378" i="2" s="1"/>
  <c r="K489" i="2" s="1"/>
  <c r="K600" i="2" s="1"/>
  <c r="K53" i="2"/>
  <c r="K164" i="2" s="1"/>
  <c r="K275" i="2" s="1"/>
  <c r="K386" i="2" s="1"/>
  <c r="K497" i="2" s="1"/>
  <c r="K608" i="2" s="1"/>
  <c r="K61" i="2"/>
  <c r="K172" i="2" s="1"/>
  <c r="K283" i="2" s="1"/>
  <c r="K394" i="2" s="1"/>
  <c r="K505" i="2" s="1"/>
  <c r="K616" i="2" s="1"/>
  <c r="K69" i="2"/>
  <c r="K180" i="2" s="1"/>
  <c r="K291" i="2" s="1"/>
  <c r="K402" i="2" s="1"/>
  <c r="K513" i="2" s="1"/>
  <c r="K624" i="2" s="1"/>
  <c r="K77" i="2"/>
  <c r="K188" i="2" s="1"/>
  <c r="K299" i="2" s="1"/>
  <c r="K410" i="2" s="1"/>
  <c r="K521" i="2" s="1"/>
  <c r="K632" i="2" s="1"/>
  <c r="K85" i="2"/>
  <c r="K196" i="2" s="1"/>
  <c r="K307" i="2" s="1"/>
  <c r="K418" i="2" s="1"/>
  <c r="K529" i="2" s="1"/>
  <c r="K640" i="2" s="1"/>
  <c r="K93" i="2"/>
  <c r="K204" i="2" s="1"/>
  <c r="K315" i="2" s="1"/>
  <c r="K426" i="2" s="1"/>
  <c r="K537" i="2" s="1"/>
  <c r="K648" i="2" s="1"/>
  <c r="K101" i="2"/>
  <c r="K212" i="2" s="1"/>
  <c r="K323" i="2" s="1"/>
  <c r="K434" i="2" s="1"/>
  <c r="K545" i="2" s="1"/>
  <c r="K656" i="2" s="1"/>
  <c r="K11" i="2"/>
  <c r="K122" i="2" s="1"/>
  <c r="K233" i="2" s="1"/>
  <c r="K344" i="2" s="1"/>
  <c r="K455" i="2" s="1"/>
  <c r="K566" i="2" s="1"/>
  <c r="K38" i="2"/>
  <c r="K149" i="2" s="1"/>
  <c r="K260" i="2" s="1"/>
  <c r="K371" i="2" s="1"/>
  <c r="K482" i="2" s="1"/>
  <c r="K593" i="2" s="1"/>
  <c r="K46" i="2"/>
  <c r="K157" i="2" s="1"/>
  <c r="K268" i="2" s="1"/>
  <c r="K379" i="2" s="1"/>
  <c r="K490" i="2" s="1"/>
  <c r="K601" i="2" s="1"/>
  <c r="K54" i="2"/>
  <c r="K165" i="2" s="1"/>
  <c r="K276" i="2" s="1"/>
  <c r="K387" i="2" s="1"/>
  <c r="K498" i="2" s="1"/>
  <c r="K609" i="2" s="1"/>
  <c r="K62" i="2"/>
  <c r="K173" i="2" s="1"/>
  <c r="K284" i="2" s="1"/>
  <c r="K395" i="2" s="1"/>
  <c r="K506" i="2" s="1"/>
  <c r="K617" i="2" s="1"/>
  <c r="K70" i="2"/>
  <c r="K181" i="2" s="1"/>
  <c r="K292" i="2" s="1"/>
  <c r="K403" i="2" s="1"/>
  <c r="K514" i="2" s="1"/>
  <c r="K625" i="2" s="1"/>
  <c r="K78" i="2"/>
  <c r="K189" i="2" s="1"/>
  <c r="K300" i="2" s="1"/>
  <c r="K411" i="2" s="1"/>
  <c r="K522" i="2" s="1"/>
  <c r="K633" i="2" s="1"/>
  <c r="K86" i="2"/>
  <c r="K197" i="2" s="1"/>
  <c r="K308" i="2" s="1"/>
  <c r="K419" i="2" s="1"/>
  <c r="K530" i="2" s="1"/>
  <c r="K641" i="2" s="1"/>
  <c r="K94" i="2"/>
  <c r="K205" i="2" s="1"/>
  <c r="K316" i="2" s="1"/>
  <c r="K427" i="2" s="1"/>
  <c r="K538" i="2" s="1"/>
  <c r="K649" i="2" s="1"/>
  <c r="K102" i="2"/>
  <c r="K213" i="2" s="1"/>
  <c r="K324" i="2" s="1"/>
  <c r="K435" i="2" s="1"/>
  <c r="K546" i="2" s="1"/>
  <c r="K657" i="2" s="1"/>
  <c r="I244" i="5"/>
  <c r="Y99" i="2" s="1"/>
  <c r="Y210" i="2" s="1"/>
  <c r="Y321" i="2" s="1"/>
  <c r="Y432" i="2" s="1"/>
  <c r="Y543" i="2" s="1"/>
  <c r="Y654" i="2" s="1"/>
  <c r="H244" i="5"/>
  <c r="I243" i="5"/>
  <c r="Y98" i="2" s="1"/>
  <c r="Y209" i="2" s="1"/>
  <c r="Y320" i="2" s="1"/>
  <c r="Y431" i="2" s="1"/>
  <c r="Y542" i="2" s="1"/>
  <c r="Y653" i="2" s="1"/>
  <c r="H243" i="5"/>
  <c r="I242" i="5"/>
  <c r="H242" i="5"/>
  <c r="W99" i="2" l="1"/>
  <c r="W210" i="2" s="1"/>
  <c r="W321" i="2" s="1"/>
  <c r="W432" i="2" s="1"/>
  <c r="W543" i="2" s="1"/>
  <c r="W654" i="2" s="1"/>
  <c r="K237" i="2"/>
  <c r="K125" i="2"/>
  <c r="W98" i="2"/>
  <c r="W209" i="2" s="1"/>
  <c r="W320" i="2" s="1"/>
  <c r="W431" i="2" s="1"/>
  <c r="W542" i="2" s="1"/>
  <c r="W653" i="2" s="1"/>
  <c r="Q776" i="1"/>
  <c r="P776" i="1"/>
  <c r="O776" i="1"/>
  <c r="M776" i="1"/>
  <c r="L776" i="1"/>
  <c r="H776" i="1"/>
  <c r="D776" i="1"/>
  <c r="Q775" i="1"/>
  <c r="P775" i="1"/>
  <c r="O775" i="1"/>
  <c r="M775" i="1"/>
  <c r="L775" i="1"/>
  <c r="H775" i="1"/>
  <c r="D775" i="1"/>
  <c r="Q774" i="1"/>
  <c r="P774" i="1"/>
  <c r="O774" i="1"/>
  <c r="L774" i="1"/>
  <c r="H774" i="1"/>
  <c r="D774" i="1"/>
  <c r="Q773" i="1"/>
  <c r="P773" i="1"/>
  <c r="O773" i="1"/>
  <c r="L773" i="1"/>
  <c r="H773" i="1"/>
  <c r="D773" i="1"/>
  <c r="Q772" i="1"/>
  <c r="P772" i="1"/>
  <c r="O772" i="1"/>
  <c r="L772" i="1"/>
  <c r="H772" i="1"/>
  <c r="D772" i="1"/>
  <c r="H769" i="1"/>
  <c r="D769" i="1"/>
  <c r="H768" i="1"/>
  <c r="D768" i="1"/>
  <c r="H767" i="1"/>
  <c r="D767" i="1"/>
  <c r="H766" i="1"/>
  <c r="D766" i="1"/>
  <c r="H765" i="1"/>
  <c r="D765" i="1"/>
  <c r="H764" i="1"/>
  <c r="D764" i="1"/>
  <c r="H763" i="1"/>
  <c r="D763" i="1"/>
  <c r="H762" i="1"/>
  <c r="D762" i="1"/>
  <c r="O761" i="1"/>
  <c r="L761" i="1"/>
  <c r="H761" i="1"/>
  <c r="D761" i="1"/>
  <c r="O760" i="1"/>
  <c r="L760" i="1"/>
  <c r="H760" i="1"/>
  <c r="D760" i="1"/>
  <c r="O759" i="1"/>
  <c r="L759" i="1"/>
  <c r="H759" i="1"/>
  <c r="D759" i="1"/>
  <c r="O758" i="1"/>
  <c r="L758" i="1"/>
  <c r="H758" i="1"/>
  <c r="D758" i="1"/>
  <c r="O757" i="1"/>
  <c r="L757" i="1"/>
  <c r="H757" i="1"/>
  <c r="D757" i="1"/>
  <c r="O756" i="1"/>
  <c r="L756" i="1"/>
  <c r="H756" i="1"/>
  <c r="D756" i="1"/>
  <c r="L755" i="1"/>
  <c r="H755" i="1"/>
  <c r="D755" i="1"/>
  <c r="L754" i="1"/>
  <c r="H754" i="1"/>
  <c r="D754" i="1"/>
  <c r="Q753" i="1"/>
  <c r="P753" i="1"/>
  <c r="O753" i="1"/>
  <c r="M753" i="1"/>
  <c r="L753" i="1"/>
  <c r="H753" i="1"/>
  <c r="D753" i="1"/>
  <c r="Q752" i="1"/>
  <c r="P752" i="1"/>
  <c r="O752" i="1"/>
  <c r="M752" i="1"/>
  <c r="L752" i="1"/>
  <c r="H752" i="1"/>
  <c r="D752" i="1"/>
  <c r="Q751" i="1"/>
  <c r="P751" i="1"/>
  <c r="O751" i="1"/>
  <c r="L751" i="1"/>
  <c r="H751" i="1"/>
  <c r="D751" i="1"/>
  <c r="Q750" i="1"/>
  <c r="P750" i="1"/>
  <c r="O750" i="1"/>
  <c r="L750" i="1"/>
  <c r="H750" i="1"/>
  <c r="D750" i="1"/>
  <c r="Q749" i="1"/>
  <c r="P749" i="1"/>
  <c r="O749" i="1"/>
  <c r="M749" i="1"/>
  <c r="L749" i="1"/>
  <c r="H749" i="1"/>
  <c r="D749" i="1"/>
  <c r="O748" i="1"/>
  <c r="M748" i="1"/>
  <c r="L748" i="1"/>
  <c r="H748" i="1"/>
  <c r="D748" i="1"/>
  <c r="H747" i="1"/>
  <c r="D747" i="1"/>
  <c r="H746" i="1"/>
  <c r="D746" i="1"/>
  <c r="H745" i="1"/>
  <c r="D745" i="1"/>
  <c r="H744" i="1"/>
  <c r="D744" i="1"/>
  <c r="H743" i="1"/>
  <c r="D743" i="1"/>
  <c r="H742" i="1"/>
  <c r="D742" i="1"/>
  <c r="H741" i="1"/>
  <c r="D741" i="1"/>
  <c r="H740" i="1"/>
  <c r="D740" i="1"/>
  <c r="Y739" i="1"/>
  <c r="W739" i="1"/>
  <c r="O739" i="1"/>
  <c r="M739" i="1"/>
  <c r="L739" i="1"/>
  <c r="H739" i="1"/>
  <c r="D739" i="1"/>
  <c r="O738" i="1"/>
  <c r="H738" i="1"/>
  <c r="D738" i="1"/>
  <c r="O737" i="1"/>
  <c r="L737" i="1"/>
  <c r="H737" i="1"/>
  <c r="D737" i="1"/>
  <c r="O736" i="1"/>
  <c r="L736" i="1"/>
  <c r="H736" i="1"/>
  <c r="D736" i="1"/>
  <c r="O735" i="1"/>
  <c r="L735" i="1"/>
  <c r="H735" i="1"/>
  <c r="D735" i="1"/>
  <c r="O734" i="1"/>
  <c r="L734" i="1"/>
  <c r="H734" i="1"/>
  <c r="D734" i="1"/>
  <c r="O733" i="1"/>
  <c r="L733" i="1"/>
  <c r="H733" i="1"/>
  <c r="D733" i="1"/>
  <c r="L732" i="1"/>
  <c r="H732" i="1"/>
  <c r="D732" i="1"/>
  <c r="L731" i="1"/>
  <c r="H731" i="1"/>
  <c r="D731" i="1"/>
  <c r="Q730" i="1"/>
  <c r="P730" i="1"/>
  <c r="O730" i="1"/>
  <c r="M730" i="1"/>
  <c r="L730" i="1"/>
  <c r="H730" i="1"/>
  <c r="D730" i="1"/>
  <c r="Q729" i="1"/>
  <c r="P729" i="1"/>
  <c r="O729" i="1"/>
  <c r="M729" i="1"/>
  <c r="L729" i="1"/>
  <c r="H729" i="1"/>
  <c r="D729" i="1"/>
  <c r="Q728" i="1"/>
  <c r="P728" i="1"/>
  <c r="O728" i="1"/>
  <c r="L728" i="1"/>
  <c r="H728" i="1"/>
  <c r="D728" i="1"/>
  <c r="Q727" i="1"/>
  <c r="P727" i="1"/>
  <c r="O727" i="1"/>
  <c r="L727" i="1"/>
  <c r="H727" i="1"/>
  <c r="D727" i="1"/>
  <c r="Q726" i="1"/>
  <c r="P726" i="1"/>
  <c r="O726" i="1"/>
  <c r="L726" i="1"/>
  <c r="H726" i="1"/>
  <c r="D726" i="1"/>
  <c r="H725" i="1"/>
  <c r="D725" i="1"/>
  <c r="H724" i="1"/>
  <c r="D724" i="1"/>
  <c r="H723" i="1"/>
  <c r="D723" i="1"/>
  <c r="H722" i="1"/>
  <c r="D722" i="1"/>
  <c r="H721" i="1"/>
  <c r="D721" i="1"/>
  <c r="H720" i="1"/>
  <c r="D720" i="1"/>
  <c r="H719" i="1"/>
  <c r="D719" i="1"/>
  <c r="H718" i="1"/>
  <c r="D718" i="1"/>
  <c r="H717" i="1"/>
  <c r="D717" i="1"/>
  <c r="O716" i="1"/>
  <c r="L716" i="1"/>
  <c r="H716" i="1"/>
  <c r="D716" i="1"/>
  <c r="O715" i="1"/>
  <c r="L715" i="1"/>
  <c r="H715" i="1"/>
  <c r="D715" i="1"/>
  <c r="O714" i="1"/>
  <c r="L714" i="1"/>
  <c r="H714" i="1"/>
  <c r="D714" i="1"/>
  <c r="O713" i="1"/>
  <c r="L713" i="1"/>
  <c r="H713" i="1"/>
  <c r="D713" i="1"/>
  <c r="O712" i="1"/>
  <c r="L712" i="1"/>
  <c r="H712" i="1"/>
  <c r="D712" i="1"/>
  <c r="O711" i="1"/>
  <c r="L711" i="1"/>
  <c r="H711" i="1"/>
  <c r="D711" i="1"/>
  <c r="O710" i="1"/>
  <c r="L710" i="1"/>
  <c r="H710" i="1"/>
  <c r="D710" i="1"/>
  <c r="L709" i="1"/>
  <c r="H709" i="1"/>
  <c r="D709" i="1"/>
  <c r="L708" i="1"/>
  <c r="H708" i="1"/>
  <c r="D708" i="1"/>
  <c r="Q707" i="1"/>
  <c r="P707" i="1"/>
  <c r="O707" i="1"/>
  <c r="M707" i="1"/>
  <c r="L707" i="1"/>
  <c r="H707" i="1"/>
  <c r="D707" i="1"/>
  <c r="Q706" i="1"/>
  <c r="P706" i="1"/>
  <c r="O706" i="1"/>
  <c r="M706" i="1"/>
  <c r="L706" i="1"/>
  <c r="H706" i="1"/>
  <c r="D706" i="1"/>
  <c r="Q705" i="1"/>
  <c r="P705" i="1"/>
  <c r="O705" i="1"/>
  <c r="L705" i="1"/>
  <c r="H705" i="1"/>
  <c r="D705" i="1"/>
  <c r="Q704" i="1"/>
  <c r="P704" i="1"/>
  <c r="O704" i="1"/>
  <c r="L704" i="1"/>
  <c r="H704" i="1"/>
  <c r="D704" i="1"/>
  <c r="Q703" i="1"/>
  <c r="P703" i="1"/>
  <c r="O703" i="1"/>
  <c r="L703" i="1"/>
  <c r="H703" i="1"/>
  <c r="D703" i="1"/>
  <c r="H702" i="1"/>
  <c r="D702" i="1"/>
  <c r="H701" i="1"/>
  <c r="D701" i="1"/>
  <c r="H700" i="1"/>
  <c r="D700" i="1"/>
  <c r="H699" i="1"/>
  <c r="D699" i="1"/>
  <c r="H698" i="1"/>
  <c r="D698" i="1"/>
  <c r="H697" i="1"/>
  <c r="D697" i="1"/>
  <c r="H696" i="1"/>
  <c r="D696" i="1"/>
  <c r="H695" i="1"/>
  <c r="D695" i="1"/>
  <c r="H694" i="1"/>
  <c r="D694" i="1"/>
  <c r="H693" i="1"/>
  <c r="D693" i="1"/>
  <c r="O692" i="1"/>
  <c r="L692" i="1"/>
  <c r="H692" i="1"/>
  <c r="D692" i="1"/>
  <c r="O691" i="1"/>
  <c r="L691" i="1"/>
  <c r="H691" i="1"/>
  <c r="D691" i="1"/>
  <c r="O690" i="1"/>
  <c r="L690" i="1"/>
  <c r="H690" i="1"/>
  <c r="D690" i="1"/>
  <c r="O689" i="1"/>
  <c r="L689" i="1"/>
  <c r="H689" i="1"/>
  <c r="D689" i="1"/>
  <c r="O688" i="1"/>
  <c r="L688" i="1"/>
  <c r="H688" i="1"/>
  <c r="D688" i="1"/>
  <c r="O687" i="1"/>
  <c r="L687" i="1"/>
  <c r="H687" i="1"/>
  <c r="D687" i="1"/>
  <c r="L686" i="1"/>
  <c r="H686" i="1"/>
  <c r="D686" i="1"/>
  <c r="L685" i="1"/>
  <c r="H685" i="1"/>
  <c r="D685" i="1"/>
  <c r="L684" i="1"/>
  <c r="H684" i="1"/>
  <c r="D684" i="1"/>
  <c r="L683" i="1"/>
  <c r="H683" i="1"/>
  <c r="D683" i="1"/>
  <c r="Q682" i="1"/>
  <c r="P682" i="1"/>
  <c r="O682" i="1"/>
  <c r="M682" i="1"/>
  <c r="L682" i="1"/>
  <c r="H682" i="1"/>
  <c r="D682" i="1"/>
  <c r="Q681" i="1"/>
  <c r="P681" i="1"/>
  <c r="O681" i="1"/>
  <c r="M681" i="1"/>
  <c r="L681" i="1"/>
  <c r="H681" i="1"/>
  <c r="D681" i="1"/>
  <c r="P680" i="1"/>
  <c r="O680" i="1"/>
  <c r="L680" i="1"/>
  <c r="H680" i="1"/>
  <c r="D680" i="1"/>
  <c r="Q679" i="1"/>
  <c r="P679" i="1"/>
  <c r="O679" i="1"/>
  <c r="L679" i="1"/>
  <c r="H679" i="1"/>
  <c r="D679" i="1"/>
  <c r="Q678" i="1"/>
  <c r="P678" i="1"/>
  <c r="O678" i="1"/>
  <c r="L678" i="1"/>
  <c r="H678" i="1"/>
  <c r="D678" i="1"/>
  <c r="H677" i="1"/>
  <c r="D677" i="1"/>
  <c r="H676" i="1"/>
  <c r="D676" i="1"/>
  <c r="H675" i="1"/>
  <c r="D675" i="1"/>
  <c r="H674" i="1"/>
  <c r="D674" i="1"/>
  <c r="H673" i="1"/>
  <c r="D673" i="1"/>
  <c r="H672" i="1"/>
  <c r="D672" i="1"/>
  <c r="H671" i="1"/>
  <c r="D671" i="1"/>
  <c r="H670" i="1"/>
  <c r="D670" i="1"/>
  <c r="H669" i="1"/>
  <c r="D669" i="1"/>
  <c r="H668" i="1"/>
  <c r="D668" i="1"/>
  <c r="O667" i="1"/>
  <c r="L667" i="1"/>
  <c r="H667" i="1"/>
  <c r="D667" i="1"/>
  <c r="O666" i="1"/>
  <c r="L666" i="1"/>
  <c r="H666" i="1"/>
  <c r="D666" i="1"/>
  <c r="O665" i="1"/>
  <c r="L665" i="1"/>
  <c r="H665" i="1"/>
  <c r="D665" i="1"/>
  <c r="O664" i="1"/>
  <c r="L664" i="1"/>
  <c r="H664" i="1"/>
  <c r="D664" i="1"/>
  <c r="O663" i="1"/>
  <c r="L663" i="1"/>
  <c r="H663" i="1"/>
  <c r="D663" i="1"/>
  <c r="O662" i="1"/>
  <c r="L662" i="1"/>
  <c r="H662" i="1"/>
  <c r="D662" i="1"/>
  <c r="O661" i="1"/>
  <c r="L661" i="1"/>
  <c r="H661" i="1"/>
  <c r="D661" i="1"/>
  <c r="O660" i="1"/>
  <c r="L660" i="1"/>
  <c r="H660" i="1"/>
  <c r="D660" i="1"/>
  <c r="L659" i="1"/>
  <c r="H659" i="1"/>
  <c r="D659" i="1"/>
  <c r="L658" i="1"/>
  <c r="H658" i="1"/>
  <c r="D658" i="1"/>
  <c r="L657" i="1"/>
  <c r="H657" i="1"/>
  <c r="D657" i="1"/>
  <c r="L656" i="1"/>
  <c r="H656" i="1"/>
  <c r="D656" i="1"/>
  <c r="R655" i="1"/>
  <c r="Q655" i="1"/>
  <c r="P655" i="1"/>
  <c r="O655" i="1"/>
  <c r="M655" i="1"/>
  <c r="L655" i="1"/>
  <c r="H655" i="1"/>
  <c r="D655" i="1"/>
  <c r="Q654" i="1"/>
  <c r="P654" i="1"/>
  <c r="O654" i="1"/>
  <c r="L654" i="1"/>
  <c r="H654" i="1"/>
  <c r="D654" i="1"/>
  <c r="Q653" i="1"/>
  <c r="P653" i="1"/>
  <c r="O653" i="1"/>
  <c r="L653" i="1"/>
  <c r="H653" i="1"/>
  <c r="D653" i="1"/>
  <c r="Q652" i="1"/>
  <c r="P652" i="1"/>
  <c r="O652" i="1"/>
  <c r="L652" i="1"/>
  <c r="H652" i="1"/>
  <c r="D652" i="1"/>
  <c r="Q651" i="1"/>
  <c r="P651" i="1"/>
  <c r="O651" i="1"/>
  <c r="L651" i="1"/>
  <c r="H651" i="1"/>
  <c r="D651" i="1"/>
  <c r="H650" i="1"/>
  <c r="D650" i="1"/>
  <c r="H649" i="1"/>
  <c r="D649" i="1"/>
  <c r="H648" i="1"/>
  <c r="D648" i="1"/>
  <c r="H647" i="1"/>
  <c r="D647" i="1"/>
  <c r="H646" i="1"/>
  <c r="D646" i="1"/>
  <c r="H645" i="1"/>
  <c r="D645" i="1"/>
  <c r="H644" i="1"/>
  <c r="D644" i="1"/>
  <c r="H643" i="1"/>
  <c r="D643" i="1"/>
  <c r="H642" i="1"/>
  <c r="D642" i="1"/>
  <c r="H641" i="1"/>
  <c r="D641" i="1"/>
  <c r="O640" i="1"/>
  <c r="L640" i="1"/>
  <c r="H640" i="1"/>
  <c r="D640" i="1"/>
  <c r="O639" i="1"/>
  <c r="L639" i="1"/>
  <c r="H639" i="1"/>
  <c r="D639" i="1"/>
  <c r="O638" i="1"/>
  <c r="L638" i="1"/>
  <c r="H638" i="1"/>
  <c r="D638" i="1"/>
  <c r="O637" i="1"/>
  <c r="L637" i="1"/>
  <c r="H637" i="1"/>
  <c r="D637" i="1"/>
  <c r="O636" i="1"/>
  <c r="L636" i="1"/>
  <c r="H636" i="1"/>
  <c r="D636" i="1"/>
  <c r="O635" i="1"/>
  <c r="L635" i="1"/>
  <c r="H635" i="1"/>
  <c r="D635" i="1"/>
  <c r="L634" i="1"/>
  <c r="H634" i="1"/>
  <c r="D634" i="1"/>
  <c r="O633" i="1"/>
  <c r="L633" i="1"/>
  <c r="H633" i="1"/>
  <c r="D633" i="1"/>
  <c r="L632" i="1"/>
  <c r="H632" i="1"/>
  <c r="D632" i="1"/>
  <c r="O631" i="1"/>
  <c r="L631" i="1"/>
  <c r="H631" i="1"/>
  <c r="D631" i="1"/>
  <c r="Q630" i="1"/>
  <c r="P630" i="1"/>
  <c r="O630" i="1"/>
  <c r="L630" i="1"/>
  <c r="I630" i="1"/>
  <c r="H630" i="1"/>
  <c r="D630" i="1"/>
  <c r="P629" i="1"/>
  <c r="O629" i="1"/>
  <c r="L629" i="1"/>
  <c r="I629" i="1"/>
  <c r="H629" i="1"/>
  <c r="D629" i="1"/>
  <c r="Y628" i="1"/>
  <c r="W628" i="1"/>
  <c r="P628" i="1"/>
  <c r="O628" i="1"/>
  <c r="L628" i="1"/>
  <c r="H628" i="1"/>
  <c r="D628" i="1"/>
  <c r="Y627" i="1"/>
  <c r="W627" i="1"/>
  <c r="P627" i="1"/>
  <c r="O627" i="1"/>
  <c r="L627" i="1"/>
  <c r="H627" i="1"/>
  <c r="D627" i="1"/>
  <c r="Y626" i="1"/>
  <c r="W626" i="1"/>
  <c r="P626" i="1"/>
  <c r="O626" i="1"/>
  <c r="L626" i="1"/>
  <c r="H626" i="1"/>
  <c r="D626" i="1"/>
  <c r="H625" i="1"/>
  <c r="D625" i="1"/>
  <c r="H624" i="1"/>
  <c r="D624" i="1"/>
  <c r="H623" i="1"/>
  <c r="D623" i="1"/>
  <c r="H622" i="1"/>
  <c r="D622" i="1"/>
  <c r="H621" i="1"/>
  <c r="D621" i="1"/>
  <c r="H620" i="1"/>
  <c r="D620" i="1"/>
  <c r="H619" i="1"/>
  <c r="D619" i="1"/>
  <c r="H618" i="1"/>
  <c r="D618" i="1"/>
  <c r="I617" i="1"/>
  <c r="H617" i="1"/>
  <c r="D617" i="1"/>
  <c r="O616" i="1"/>
  <c r="L616" i="1"/>
  <c r="I616" i="1"/>
  <c r="H616" i="1"/>
  <c r="D616" i="1"/>
  <c r="O615" i="1"/>
  <c r="L615" i="1"/>
  <c r="I615" i="1"/>
  <c r="H615" i="1"/>
  <c r="D615" i="1"/>
  <c r="O614" i="1"/>
  <c r="L614" i="1"/>
  <c r="I614" i="1"/>
  <c r="H614" i="1"/>
  <c r="D614" i="1"/>
  <c r="O613" i="1"/>
  <c r="L613" i="1"/>
  <c r="I613" i="1"/>
  <c r="H613" i="1"/>
  <c r="D613" i="1"/>
  <c r="O612" i="1"/>
  <c r="L612" i="1"/>
  <c r="I612" i="1"/>
  <c r="H612" i="1"/>
  <c r="D612" i="1"/>
  <c r="L611" i="1"/>
  <c r="I611" i="1"/>
  <c r="H611" i="1"/>
  <c r="D611" i="1"/>
  <c r="L610" i="1"/>
  <c r="I610" i="1"/>
  <c r="H610" i="1"/>
  <c r="D610" i="1"/>
  <c r="L609" i="1"/>
  <c r="I609" i="1"/>
  <c r="H609" i="1"/>
  <c r="D609" i="1"/>
  <c r="L608" i="1"/>
  <c r="I608" i="1"/>
  <c r="H608" i="1"/>
  <c r="D608" i="1"/>
  <c r="Q607" i="1"/>
  <c r="P607" i="1"/>
  <c r="O607" i="1"/>
  <c r="L607" i="1"/>
  <c r="H607" i="1"/>
  <c r="D607" i="1"/>
  <c r="P606" i="1"/>
  <c r="O606" i="1"/>
  <c r="L606" i="1"/>
  <c r="H606" i="1"/>
  <c r="D606" i="1"/>
  <c r="P605" i="1"/>
  <c r="O605" i="1"/>
  <c r="L605" i="1"/>
  <c r="I605" i="1"/>
  <c r="H605" i="1"/>
  <c r="D605" i="1"/>
  <c r="P604" i="1"/>
  <c r="O604" i="1"/>
  <c r="L604" i="1"/>
  <c r="I604" i="1"/>
  <c r="H604" i="1"/>
  <c r="D604" i="1"/>
  <c r="Y603" i="1"/>
  <c r="W603" i="1"/>
  <c r="P603" i="1"/>
  <c r="O603" i="1"/>
  <c r="L603" i="1"/>
  <c r="I603" i="1"/>
  <c r="H603" i="1"/>
  <c r="D603" i="1"/>
  <c r="I602" i="1"/>
  <c r="H602" i="1"/>
  <c r="D602" i="1"/>
  <c r="I601" i="1"/>
  <c r="H601" i="1"/>
  <c r="D601" i="1"/>
  <c r="I600" i="1"/>
  <c r="H600" i="1"/>
  <c r="D600" i="1"/>
  <c r="I599" i="1"/>
  <c r="H599" i="1"/>
  <c r="D599" i="1"/>
  <c r="I598" i="1"/>
  <c r="H598" i="1"/>
  <c r="D598" i="1"/>
  <c r="I597" i="1"/>
  <c r="H597" i="1"/>
  <c r="D597" i="1"/>
  <c r="I596" i="1"/>
  <c r="H596" i="1"/>
  <c r="D596" i="1"/>
  <c r="I595" i="1"/>
  <c r="H595" i="1"/>
  <c r="D595" i="1"/>
  <c r="I594" i="1"/>
  <c r="H594" i="1"/>
  <c r="D594" i="1"/>
  <c r="O593" i="1"/>
  <c r="L593" i="1"/>
  <c r="I593" i="1"/>
  <c r="H593" i="1"/>
  <c r="D593" i="1"/>
  <c r="O592" i="1"/>
  <c r="L592" i="1"/>
  <c r="I592" i="1"/>
  <c r="H592" i="1"/>
  <c r="D592" i="1"/>
  <c r="O591" i="1"/>
  <c r="L591" i="1"/>
  <c r="I591" i="1"/>
  <c r="H591" i="1"/>
  <c r="D591" i="1"/>
  <c r="O590" i="1"/>
  <c r="L590" i="1"/>
  <c r="I590" i="1"/>
  <c r="H590" i="1"/>
  <c r="D590" i="1"/>
  <c r="O589" i="1"/>
  <c r="L589" i="1"/>
  <c r="I589" i="1"/>
  <c r="H589" i="1"/>
  <c r="D589" i="1"/>
  <c r="L588" i="1"/>
  <c r="I588" i="1"/>
  <c r="H588" i="1"/>
  <c r="D588" i="1"/>
  <c r="L587" i="1"/>
  <c r="I587" i="1"/>
  <c r="H587" i="1"/>
  <c r="D587" i="1"/>
  <c r="L586" i="1"/>
  <c r="I586" i="1"/>
  <c r="H586" i="1"/>
  <c r="D586" i="1"/>
  <c r="L585" i="1"/>
  <c r="I585" i="1"/>
  <c r="H585" i="1"/>
  <c r="D585" i="1"/>
  <c r="Q583" i="1"/>
  <c r="P583" i="1"/>
  <c r="O583" i="1"/>
  <c r="M583" i="1"/>
  <c r="L583" i="1"/>
  <c r="H583" i="1"/>
  <c r="D583" i="1"/>
  <c r="Q582" i="1"/>
  <c r="P582" i="1"/>
  <c r="O582" i="1"/>
  <c r="M582" i="1"/>
  <c r="L582" i="1"/>
  <c r="H582" i="1"/>
  <c r="D582" i="1"/>
  <c r="Q581" i="1"/>
  <c r="P581" i="1"/>
  <c r="O581" i="1"/>
  <c r="L581" i="1"/>
  <c r="H581" i="1"/>
  <c r="D581" i="1"/>
  <c r="Q580" i="1"/>
  <c r="P580" i="1"/>
  <c r="O580" i="1"/>
  <c r="L580" i="1"/>
  <c r="H580" i="1"/>
  <c r="D580" i="1"/>
  <c r="Q579" i="1"/>
  <c r="P579" i="1"/>
  <c r="O579" i="1"/>
  <c r="L579" i="1"/>
  <c r="H579" i="1"/>
  <c r="D579" i="1"/>
  <c r="H576" i="1"/>
  <c r="D576" i="1"/>
  <c r="H575" i="1"/>
  <c r="D575" i="1"/>
  <c r="H574" i="1"/>
  <c r="D574" i="1"/>
  <c r="H573" i="1"/>
  <c r="D573" i="1"/>
  <c r="H572" i="1"/>
  <c r="D572" i="1"/>
  <c r="H571" i="1"/>
  <c r="D571" i="1"/>
  <c r="H570" i="1"/>
  <c r="D570" i="1"/>
  <c r="H569" i="1"/>
  <c r="D569" i="1"/>
  <c r="O568" i="1"/>
  <c r="L568" i="1"/>
  <c r="H568" i="1"/>
  <c r="D568" i="1"/>
  <c r="O567" i="1"/>
  <c r="L567" i="1"/>
  <c r="H567" i="1"/>
  <c r="D567" i="1"/>
  <c r="O566" i="1"/>
  <c r="L566" i="1"/>
  <c r="H566" i="1"/>
  <c r="D566" i="1"/>
  <c r="O565" i="1"/>
  <c r="L565" i="1"/>
  <c r="H565" i="1"/>
  <c r="D565" i="1"/>
  <c r="O564" i="1"/>
  <c r="L564" i="1"/>
  <c r="H564" i="1"/>
  <c r="D564" i="1"/>
  <c r="O563" i="1"/>
  <c r="L563" i="1"/>
  <c r="H563" i="1"/>
  <c r="D563" i="1"/>
  <c r="L562" i="1"/>
  <c r="H562" i="1"/>
  <c r="D562" i="1"/>
  <c r="L561" i="1"/>
  <c r="H561" i="1"/>
  <c r="D561" i="1"/>
  <c r="Q560" i="1"/>
  <c r="P560" i="1"/>
  <c r="O560" i="1"/>
  <c r="M560" i="1"/>
  <c r="L560" i="1"/>
  <c r="H560" i="1"/>
  <c r="D560" i="1"/>
  <c r="Q559" i="1"/>
  <c r="P559" i="1"/>
  <c r="O559" i="1"/>
  <c r="M559" i="1"/>
  <c r="L559" i="1"/>
  <c r="H559" i="1"/>
  <c r="D559" i="1"/>
  <c r="Q558" i="1"/>
  <c r="P558" i="1"/>
  <c r="O558" i="1"/>
  <c r="L558" i="1"/>
  <c r="H558" i="1"/>
  <c r="D558" i="1"/>
  <c r="Q557" i="1"/>
  <c r="P557" i="1"/>
  <c r="O557" i="1"/>
  <c r="L557" i="1"/>
  <c r="H557" i="1"/>
  <c r="D557" i="1"/>
  <c r="Q556" i="1"/>
  <c r="P556" i="1"/>
  <c r="O556" i="1"/>
  <c r="M556" i="1"/>
  <c r="L556" i="1"/>
  <c r="H556" i="1"/>
  <c r="D556" i="1"/>
  <c r="O555" i="1"/>
  <c r="M555" i="1"/>
  <c r="L555" i="1"/>
  <c r="H555" i="1"/>
  <c r="D555" i="1"/>
  <c r="H554" i="1"/>
  <c r="D554" i="1"/>
  <c r="H553" i="1"/>
  <c r="D553" i="1"/>
  <c r="H552" i="1"/>
  <c r="D552" i="1"/>
  <c r="H551" i="1"/>
  <c r="D551" i="1"/>
  <c r="H550" i="1"/>
  <c r="D550" i="1"/>
  <c r="H549" i="1"/>
  <c r="D549" i="1"/>
  <c r="H548" i="1"/>
  <c r="D548" i="1"/>
  <c r="H547" i="1"/>
  <c r="D547" i="1"/>
  <c r="Y546" i="1"/>
  <c r="W546" i="1"/>
  <c r="O546" i="1"/>
  <c r="M546" i="1"/>
  <c r="L546" i="1"/>
  <c r="H546" i="1"/>
  <c r="D546" i="1"/>
  <c r="O545" i="1"/>
  <c r="H545" i="1"/>
  <c r="D545" i="1"/>
  <c r="O544" i="1"/>
  <c r="L544" i="1"/>
  <c r="H544" i="1"/>
  <c r="D544" i="1"/>
  <c r="O543" i="1"/>
  <c r="L543" i="1"/>
  <c r="H543" i="1"/>
  <c r="D543" i="1"/>
  <c r="O542" i="1"/>
  <c r="L542" i="1"/>
  <c r="H542" i="1"/>
  <c r="D542" i="1"/>
  <c r="O541" i="1"/>
  <c r="L541" i="1"/>
  <c r="H541" i="1"/>
  <c r="D541" i="1"/>
  <c r="O540" i="1"/>
  <c r="L540" i="1"/>
  <c r="H540" i="1"/>
  <c r="D540" i="1"/>
  <c r="L539" i="1"/>
  <c r="H539" i="1"/>
  <c r="D539" i="1"/>
  <c r="L538" i="1"/>
  <c r="H538" i="1"/>
  <c r="D538" i="1"/>
  <c r="Q537" i="1"/>
  <c r="P537" i="1"/>
  <c r="O537" i="1"/>
  <c r="M537" i="1"/>
  <c r="L537" i="1"/>
  <c r="H537" i="1"/>
  <c r="D537" i="1"/>
  <c r="Q536" i="1"/>
  <c r="P536" i="1"/>
  <c r="O536" i="1"/>
  <c r="M536" i="1"/>
  <c r="L536" i="1"/>
  <c r="H536" i="1"/>
  <c r="D536" i="1"/>
  <c r="Q535" i="1"/>
  <c r="P535" i="1"/>
  <c r="O535" i="1"/>
  <c r="L535" i="1"/>
  <c r="H535" i="1"/>
  <c r="D535" i="1"/>
  <c r="Q534" i="1"/>
  <c r="P534" i="1"/>
  <c r="O534" i="1"/>
  <c r="L534" i="1"/>
  <c r="H534" i="1"/>
  <c r="D534" i="1"/>
  <c r="Q533" i="1"/>
  <c r="P533" i="1"/>
  <c r="O533" i="1"/>
  <c r="L533" i="1"/>
  <c r="H533" i="1"/>
  <c r="D533" i="1"/>
  <c r="H532" i="1"/>
  <c r="D532" i="1"/>
  <c r="H531" i="1"/>
  <c r="D531" i="1"/>
  <c r="H530" i="1"/>
  <c r="D530" i="1"/>
  <c r="H529" i="1"/>
  <c r="D529" i="1"/>
  <c r="H528" i="1"/>
  <c r="D528" i="1"/>
  <c r="H527" i="1"/>
  <c r="D527" i="1"/>
  <c r="H526" i="1"/>
  <c r="D526" i="1"/>
  <c r="H525" i="1"/>
  <c r="D525" i="1"/>
  <c r="H524" i="1"/>
  <c r="D524" i="1"/>
  <c r="O523" i="1"/>
  <c r="L523" i="1"/>
  <c r="H523" i="1"/>
  <c r="D523" i="1"/>
  <c r="O522" i="1"/>
  <c r="L522" i="1"/>
  <c r="H522" i="1"/>
  <c r="D522" i="1"/>
  <c r="O521" i="1"/>
  <c r="L521" i="1"/>
  <c r="H521" i="1"/>
  <c r="D521" i="1"/>
  <c r="O520" i="1"/>
  <c r="L520" i="1"/>
  <c r="H520" i="1"/>
  <c r="D520" i="1"/>
  <c r="O519" i="1"/>
  <c r="L519" i="1"/>
  <c r="H519" i="1"/>
  <c r="D519" i="1"/>
  <c r="O518" i="1"/>
  <c r="L518" i="1"/>
  <c r="H518" i="1"/>
  <c r="D518" i="1"/>
  <c r="O517" i="1"/>
  <c r="L517" i="1"/>
  <c r="H517" i="1"/>
  <c r="D517" i="1"/>
  <c r="L516" i="1"/>
  <c r="H516" i="1"/>
  <c r="D516" i="1"/>
  <c r="L515" i="1"/>
  <c r="H515" i="1"/>
  <c r="D515" i="1"/>
  <c r="Q514" i="1"/>
  <c r="P514" i="1"/>
  <c r="O514" i="1"/>
  <c r="M514" i="1"/>
  <c r="L514" i="1"/>
  <c r="H514" i="1"/>
  <c r="D514" i="1"/>
  <c r="Q513" i="1"/>
  <c r="P513" i="1"/>
  <c r="O513" i="1"/>
  <c r="M513" i="1"/>
  <c r="L513" i="1"/>
  <c r="H513" i="1"/>
  <c r="D513" i="1"/>
  <c r="Q512" i="1"/>
  <c r="P512" i="1"/>
  <c r="O512" i="1"/>
  <c r="L512" i="1"/>
  <c r="H512" i="1"/>
  <c r="D512" i="1"/>
  <c r="Q511" i="1"/>
  <c r="P511" i="1"/>
  <c r="O511" i="1"/>
  <c r="L511" i="1"/>
  <c r="H511" i="1"/>
  <c r="D511" i="1"/>
  <c r="Q510" i="1"/>
  <c r="P510" i="1"/>
  <c r="O510" i="1"/>
  <c r="L510" i="1"/>
  <c r="H510" i="1"/>
  <c r="D510" i="1"/>
  <c r="H509" i="1"/>
  <c r="D509" i="1"/>
  <c r="H508" i="1"/>
  <c r="D508" i="1"/>
  <c r="H507" i="1"/>
  <c r="D507" i="1"/>
  <c r="H506" i="1"/>
  <c r="D506" i="1"/>
  <c r="H505" i="1"/>
  <c r="D505" i="1"/>
  <c r="H504" i="1"/>
  <c r="D504" i="1"/>
  <c r="H503" i="1"/>
  <c r="D503" i="1"/>
  <c r="H502" i="1"/>
  <c r="D502" i="1"/>
  <c r="H501" i="1"/>
  <c r="D501" i="1"/>
  <c r="H500" i="1"/>
  <c r="D500" i="1"/>
  <c r="O499" i="1"/>
  <c r="L499" i="1"/>
  <c r="H499" i="1"/>
  <c r="D499" i="1"/>
  <c r="O498" i="1"/>
  <c r="L498" i="1"/>
  <c r="H498" i="1"/>
  <c r="D498" i="1"/>
  <c r="O497" i="1"/>
  <c r="L497" i="1"/>
  <c r="H497" i="1"/>
  <c r="D497" i="1"/>
  <c r="O496" i="1"/>
  <c r="L496" i="1"/>
  <c r="H496" i="1"/>
  <c r="D496" i="1"/>
  <c r="O495" i="1"/>
  <c r="L495" i="1"/>
  <c r="H495" i="1"/>
  <c r="D495" i="1"/>
  <c r="O494" i="1"/>
  <c r="L494" i="1"/>
  <c r="H494" i="1"/>
  <c r="D494" i="1"/>
  <c r="L493" i="1"/>
  <c r="H493" i="1"/>
  <c r="D493" i="1"/>
  <c r="L492" i="1"/>
  <c r="H492" i="1"/>
  <c r="D492" i="1"/>
  <c r="L491" i="1"/>
  <c r="H491" i="1"/>
  <c r="D491" i="1"/>
  <c r="L490" i="1"/>
  <c r="H490" i="1"/>
  <c r="D490" i="1"/>
  <c r="Q489" i="1"/>
  <c r="P489" i="1"/>
  <c r="O489" i="1"/>
  <c r="M489" i="1"/>
  <c r="L489" i="1"/>
  <c r="H489" i="1"/>
  <c r="D489" i="1"/>
  <c r="Q488" i="1"/>
  <c r="P488" i="1"/>
  <c r="O488" i="1"/>
  <c r="M488" i="1"/>
  <c r="L488" i="1"/>
  <c r="H488" i="1"/>
  <c r="D488" i="1"/>
  <c r="P487" i="1"/>
  <c r="O487" i="1"/>
  <c r="L487" i="1"/>
  <c r="H487" i="1"/>
  <c r="D487" i="1"/>
  <c r="Q486" i="1"/>
  <c r="P486" i="1"/>
  <c r="O486" i="1"/>
  <c r="L486" i="1"/>
  <c r="H486" i="1"/>
  <c r="D486" i="1"/>
  <c r="Q485" i="1"/>
  <c r="P485" i="1"/>
  <c r="O485" i="1"/>
  <c r="L485" i="1"/>
  <c r="H485" i="1"/>
  <c r="D485" i="1"/>
  <c r="H484" i="1"/>
  <c r="D484" i="1"/>
  <c r="H483" i="1"/>
  <c r="D483" i="1"/>
  <c r="H482" i="1"/>
  <c r="D482" i="1"/>
  <c r="H481" i="1"/>
  <c r="D481" i="1"/>
  <c r="H480" i="1"/>
  <c r="D480" i="1"/>
  <c r="H479" i="1"/>
  <c r="D479" i="1"/>
  <c r="H478" i="1"/>
  <c r="D478" i="1"/>
  <c r="H477" i="1"/>
  <c r="D477" i="1"/>
  <c r="H476" i="1"/>
  <c r="D476" i="1"/>
  <c r="H475" i="1"/>
  <c r="D475" i="1"/>
  <c r="O474" i="1"/>
  <c r="L474" i="1"/>
  <c r="H474" i="1"/>
  <c r="D474" i="1"/>
  <c r="O473" i="1"/>
  <c r="L473" i="1"/>
  <c r="H473" i="1"/>
  <c r="D473" i="1"/>
  <c r="O472" i="1"/>
  <c r="L472" i="1"/>
  <c r="H472" i="1"/>
  <c r="D472" i="1"/>
  <c r="O471" i="1"/>
  <c r="L471" i="1"/>
  <c r="H471" i="1"/>
  <c r="D471" i="1"/>
  <c r="O470" i="1"/>
  <c r="L470" i="1"/>
  <c r="H470" i="1"/>
  <c r="D470" i="1"/>
  <c r="O469" i="1"/>
  <c r="L469" i="1"/>
  <c r="H469" i="1"/>
  <c r="D469" i="1"/>
  <c r="O468" i="1"/>
  <c r="L468" i="1"/>
  <c r="H468" i="1"/>
  <c r="D468" i="1"/>
  <c r="O467" i="1"/>
  <c r="L467" i="1"/>
  <c r="H467" i="1"/>
  <c r="D467" i="1"/>
  <c r="L466" i="1"/>
  <c r="H466" i="1"/>
  <c r="D466" i="1"/>
  <c r="L465" i="1"/>
  <c r="H465" i="1"/>
  <c r="D465" i="1"/>
  <c r="L464" i="1"/>
  <c r="H464" i="1"/>
  <c r="D464" i="1"/>
  <c r="L463" i="1"/>
  <c r="H463" i="1"/>
  <c r="D463" i="1"/>
  <c r="R462" i="1"/>
  <c r="Q462" i="1"/>
  <c r="P462" i="1"/>
  <c r="O462" i="1"/>
  <c r="M462" i="1"/>
  <c r="L462" i="1"/>
  <c r="H462" i="1"/>
  <c r="D462" i="1"/>
  <c r="Q461" i="1"/>
  <c r="P461" i="1"/>
  <c r="O461" i="1"/>
  <c r="L461" i="1"/>
  <c r="H461" i="1"/>
  <c r="D461" i="1"/>
  <c r="Q460" i="1"/>
  <c r="P460" i="1"/>
  <c r="O460" i="1"/>
  <c r="L460" i="1"/>
  <c r="H460" i="1"/>
  <c r="D460" i="1"/>
  <c r="Q459" i="1"/>
  <c r="P459" i="1"/>
  <c r="O459" i="1"/>
  <c r="L459" i="1"/>
  <c r="H459" i="1"/>
  <c r="D459" i="1"/>
  <c r="Q458" i="1"/>
  <c r="P458" i="1"/>
  <c r="O458" i="1"/>
  <c r="L458" i="1"/>
  <c r="H458" i="1"/>
  <c r="D458" i="1"/>
  <c r="H457" i="1"/>
  <c r="D457" i="1"/>
  <c r="H456" i="1"/>
  <c r="D456" i="1"/>
  <c r="H455" i="1"/>
  <c r="D455" i="1"/>
  <c r="H454" i="1"/>
  <c r="D454" i="1"/>
  <c r="H453" i="1"/>
  <c r="D453" i="1"/>
  <c r="H452" i="1"/>
  <c r="D452" i="1"/>
  <c r="H451" i="1"/>
  <c r="D451" i="1"/>
  <c r="H450" i="1"/>
  <c r="D450" i="1"/>
  <c r="H449" i="1"/>
  <c r="D449" i="1"/>
  <c r="H448" i="1"/>
  <c r="D448" i="1"/>
  <c r="O447" i="1"/>
  <c r="L447" i="1"/>
  <c r="H447" i="1"/>
  <c r="D447" i="1"/>
  <c r="O446" i="1"/>
  <c r="L446" i="1"/>
  <c r="H446" i="1"/>
  <c r="D446" i="1"/>
  <c r="O445" i="1"/>
  <c r="L445" i="1"/>
  <c r="H445" i="1"/>
  <c r="D445" i="1"/>
  <c r="O444" i="1"/>
  <c r="L444" i="1"/>
  <c r="H444" i="1"/>
  <c r="D444" i="1"/>
  <c r="O443" i="1"/>
  <c r="L443" i="1"/>
  <c r="H443" i="1"/>
  <c r="D443" i="1"/>
  <c r="O442" i="1"/>
  <c r="L442" i="1"/>
  <c r="H442" i="1"/>
  <c r="D442" i="1"/>
  <c r="L441" i="1"/>
  <c r="H441" i="1"/>
  <c r="D441" i="1"/>
  <c r="O440" i="1"/>
  <c r="L440" i="1"/>
  <c r="H440" i="1"/>
  <c r="D440" i="1"/>
  <c r="L439" i="1"/>
  <c r="H439" i="1"/>
  <c r="D439" i="1"/>
  <c r="O438" i="1"/>
  <c r="L438" i="1"/>
  <c r="H438" i="1"/>
  <c r="D438" i="1"/>
  <c r="Q437" i="1"/>
  <c r="P437" i="1"/>
  <c r="O437" i="1"/>
  <c r="L437" i="1"/>
  <c r="I437" i="1"/>
  <c r="H437" i="1"/>
  <c r="D437" i="1"/>
  <c r="P436" i="1"/>
  <c r="O436" i="1"/>
  <c r="L436" i="1"/>
  <c r="I436" i="1"/>
  <c r="H436" i="1"/>
  <c r="D436" i="1"/>
  <c r="Y435" i="1"/>
  <c r="W435" i="1"/>
  <c r="P435" i="1"/>
  <c r="O435" i="1"/>
  <c r="L435" i="1"/>
  <c r="H435" i="1"/>
  <c r="D435" i="1"/>
  <c r="Y434" i="1"/>
  <c r="W434" i="1"/>
  <c r="P434" i="1"/>
  <c r="O434" i="1"/>
  <c r="L434" i="1"/>
  <c r="H434" i="1"/>
  <c r="D434" i="1"/>
  <c r="Y433" i="1"/>
  <c r="W433" i="1"/>
  <c r="P433" i="1"/>
  <c r="O433" i="1"/>
  <c r="L433" i="1"/>
  <c r="H433" i="1"/>
  <c r="D433" i="1"/>
  <c r="H432" i="1"/>
  <c r="D432" i="1"/>
  <c r="H431" i="1"/>
  <c r="D431" i="1"/>
  <c r="H430" i="1"/>
  <c r="D430" i="1"/>
  <c r="H429" i="1"/>
  <c r="D429" i="1"/>
  <c r="H428" i="1"/>
  <c r="D428" i="1"/>
  <c r="H427" i="1"/>
  <c r="D427" i="1"/>
  <c r="H426" i="1"/>
  <c r="D426" i="1"/>
  <c r="H425" i="1"/>
  <c r="D425" i="1"/>
  <c r="I424" i="1"/>
  <c r="H424" i="1"/>
  <c r="D424" i="1"/>
  <c r="O423" i="1"/>
  <c r="L423" i="1"/>
  <c r="I423" i="1"/>
  <c r="H423" i="1"/>
  <c r="D423" i="1"/>
  <c r="O422" i="1"/>
  <c r="L422" i="1"/>
  <c r="I422" i="1"/>
  <c r="H422" i="1"/>
  <c r="D422" i="1"/>
  <c r="O421" i="1"/>
  <c r="L421" i="1"/>
  <c r="I421" i="1"/>
  <c r="H421" i="1"/>
  <c r="D421" i="1"/>
  <c r="O420" i="1"/>
  <c r="L420" i="1"/>
  <c r="I420" i="1"/>
  <c r="H420" i="1"/>
  <c r="D420" i="1"/>
  <c r="O419" i="1"/>
  <c r="L419" i="1"/>
  <c r="I419" i="1"/>
  <c r="H419" i="1"/>
  <c r="D419" i="1"/>
  <c r="L418" i="1"/>
  <c r="I418" i="1"/>
  <c r="H418" i="1"/>
  <c r="D418" i="1"/>
  <c r="L417" i="1"/>
  <c r="I417" i="1"/>
  <c r="H417" i="1"/>
  <c r="D417" i="1"/>
  <c r="L416" i="1"/>
  <c r="I416" i="1"/>
  <c r="H416" i="1"/>
  <c r="D416" i="1"/>
  <c r="L415" i="1"/>
  <c r="I415" i="1"/>
  <c r="H415" i="1"/>
  <c r="D415" i="1"/>
  <c r="Q414" i="1"/>
  <c r="P414" i="1"/>
  <c r="O414" i="1"/>
  <c r="L414" i="1"/>
  <c r="H414" i="1"/>
  <c r="D414" i="1"/>
  <c r="P413" i="1"/>
  <c r="O413" i="1"/>
  <c r="L413" i="1"/>
  <c r="H413" i="1"/>
  <c r="D413" i="1"/>
  <c r="P412" i="1"/>
  <c r="O412" i="1"/>
  <c r="L412" i="1"/>
  <c r="I412" i="1"/>
  <c r="H412" i="1"/>
  <c r="D412" i="1"/>
  <c r="P411" i="1"/>
  <c r="O411" i="1"/>
  <c r="L411" i="1"/>
  <c r="I411" i="1"/>
  <c r="H411" i="1"/>
  <c r="D411" i="1"/>
  <c r="Y410" i="1"/>
  <c r="W410" i="1"/>
  <c r="P410" i="1"/>
  <c r="O410" i="1"/>
  <c r="L410" i="1"/>
  <c r="I410" i="1"/>
  <c r="H410" i="1"/>
  <c r="D410" i="1"/>
  <c r="I409" i="1"/>
  <c r="H409" i="1"/>
  <c r="D409" i="1"/>
  <c r="I408" i="1"/>
  <c r="H408" i="1"/>
  <c r="D408" i="1"/>
  <c r="I407" i="1"/>
  <c r="H407" i="1"/>
  <c r="D407" i="1"/>
  <c r="I406" i="1"/>
  <c r="H406" i="1"/>
  <c r="D406" i="1"/>
  <c r="I405" i="1"/>
  <c r="H405" i="1"/>
  <c r="D405" i="1"/>
  <c r="I404" i="1"/>
  <c r="H404" i="1"/>
  <c r="D404" i="1"/>
  <c r="I403" i="1"/>
  <c r="H403" i="1"/>
  <c r="D403" i="1"/>
  <c r="I402" i="1"/>
  <c r="H402" i="1"/>
  <c r="D402" i="1"/>
  <c r="I401" i="1"/>
  <c r="H401" i="1"/>
  <c r="D401" i="1"/>
  <c r="O400" i="1"/>
  <c r="L400" i="1"/>
  <c r="I400" i="1"/>
  <c r="H400" i="1"/>
  <c r="D400" i="1"/>
  <c r="O399" i="1"/>
  <c r="L399" i="1"/>
  <c r="I399" i="1"/>
  <c r="H399" i="1"/>
  <c r="D399" i="1"/>
  <c r="O398" i="1"/>
  <c r="L398" i="1"/>
  <c r="I398" i="1"/>
  <c r="H398" i="1"/>
  <c r="D398" i="1"/>
  <c r="O397" i="1"/>
  <c r="L397" i="1"/>
  <c r="I397" i="1"/>
  <c r="H397" i="1"/>
  <c r="D397" i="1"/>
  <c r="O396" i="1"/>
  <c r="L396" i="1"/>
  <c r="I396" i="1"/>
  <c r="H396" i="1"/>
  <c r="D396" i="1"/>
  <c r="L395" i="1"/>
  <c r="I395" i="1"/>
  <c r="H395" i="1"/>
  <c r="D395" i="1"/>
  <c r="L394" i="1"/>
  <c r="I394" i="1"/>
  <c r="H394" i="1"/>
  <c r="D394" i="1"/>
  <c r="L393" i="1"/>
  <c r="I393" i="1"/>
  <c r="H393" i="1"/>
  <c r="D393" i="1"/>
  <c r="L392" i="1"/>
  <c r="I392" i="1"/>
  <c r="H392" i="1"/>
  <c r="D392" i="1"/>
  <c r="A200" i="1"/>
  <c r="A393" i="1" s="1"/>
  <c r="A586" i="1" s="1"/>
  <c r="A779" i="1" s="1"/>
  <c r="A972" i="1" s="1"/>
  <c r="A201" i="1"/>
  <c r="A394" i="1" s="1"/>
  <c r="A587" i="1" s="1"/>
  <c r="A780" i="1" s="1"/>
  <c r="A973" i="1" s="1"/>
  <c r="A202" i="1"/>
  <c r="A395" i="1" s="1"/>
  <c r="A588" i="1" s="1"/>
  <c r="A781" i="1" s="1"/>
  <c r="A974" i="1" s="1"/>
  <c r="A203" i="1"/>
  <c r="A396" i="1" s="1"/>
  <c r="A589" i="1" s="1"/>
  <c r="A782" i="1" s="1"/>
  <c r="A975" i="1" s="1"/>
  <c r="A204" i="1"/>
  <c r="A397" i="1" s="1"/>
  <c r="A590" i="1" s="1"/>
  <c r="A783" i="1" s="1"/>
  <c r="A976" i="1" s="1"/>
  <c r="A205" i="1"/>
  <c r="A398" i="1" s="1"/>
  <c r="A591" i="1" s="1"/>
  <c r="A784" i="1" s="1"/>
  <c r="A977" i="1" s="1"/>
  <c r="A206" i="1"/>
  <c r="A399" i="1" s="1"/>
  <c r="A592" i="1" s="1"/>
  <c r="A785" i="1" s="1"/>
  <c r="A978" i="1" s="1"/>
  <c r="A207" i="1"/>
  <c r="A400" i="1" s="1"/>
  <c r="A593" i="1" s="1"/>
  <c r="A786" i="1" s="1"/>
  <c r="A979" i="1" s="1"/>
  <c r="A208" i="1"/>
  <c r="A401" i="1" s="1"/>
  <c r="A594" i="1" s="1"/>
  <c r="A787" i="1" s="1"/>
  <c r="A980" i="1" s="1"/>
  <c r="A209" i="1"/>
  <c r="A402" i="1" s="1"/>
  <c r="A595" i="1" s="1"/>
  <c r="A788" i="1" s="1"/>
  <c r="A981" i="1" s="1"/>
  <c r="A210" i="1"/>
  <c r="A403" i="1" s="1"/>
  <c r="A596" i="1" s="1"/>
  <c r="A789" i="1" s="1"/>
  <c r="A982" i="1" s="1"/>
  <c r="A211" i="1"/>
  <c r="A404" i="1" s="1"/>
  <c r="A597" i="1" s="1"/>
  <c r="A790" i="1" s="1"/>
  <c r="A983" i="1" s="1"/>
  <c r="A212" i="1"/>
  <c r="A405" i="1" s="1"/>
  <c r="A598" i="1" s="1"/>
  <c r="A791" i="1" s="1"/>
  <c r="A984" i="1" s="1"/>
  <c r="A213" i="1"/>
  <c r="A406" i="1" s="1"/>
  <c r="A599" i="1" s="1"/>
  <c r="A792" i="1" s="1"/>
  <c r="A985" i="1" s="1"/>
  <c r="A214" i="1"/>
  <c r="A407" i="1" s="1"/>
  <c r="A600" i="1" s="1"/>
  <c r="A793" i="1" s="1"/>
  <c r="A986" i="1" s="1"/>
  <c r="A215" i="1"/>
  <c r="A408" i="1" s="1"/>
  <c r="A601" i="1" s="1"/>
  <c r="A794" i="1" s="1"/>
  <c r="A987" i="1" s="1"/>
  <c r="A216" i="1"/>
  <c r="A409" i="1" s="1"/>
  <c r="A602" i="1" s="1"/>
  <c r="A795" i="1" s="1"/>
  <c r="A988" i="1" s="1"/>
  <c r="A217" i="1"/>
  <c r="A410" i="1" s="1"/>
  <c r="A603" i="1" s="1"/>
  <c r="A796" i="1" s="1"/>
  <c r="A989" i="1" s="1"/>
  <c r="A218" i="1"/>
  <c r="A411" i="1" s="1"/>
  <c r="A604" i="1" s="1"/>
  <c r="A797" i="1" s="1"/>
  <c r="A990" i="1" s="1"/>
  <c r="A219" i="1"/>
  <c r="A412" i="1" s="1"/>
  <c r="A605" i="1" s="1"/>
  <c r="A798" i="1" s="1"/>
  <c r="A991" i="1" s="1"/>
  <c r="A220" i="1"/>
  <c r="A413" i="1" s="1"/>
  <c r="A606" i="1" s="1"/>
  <c r="A799" i="1" s="1"/>
  <c r="A992" i="1" s="1"/>
  <c r="A221" i="1"/>
  <c r="A414" i="1" s="1"/>
  <c r="A607" i="1" s="1"/>
  <c r="A800" i="1" s="1"/>
  <c r="A993" i="1" s="1"/>
  <c r="A222" i="1"/>
  <c r="A415" i="1" s="1"/>
  <c r="A608" i="1" s="1"/>
  <c r="A801" i="1" s="1"/>
  <c r="A994" i="1" s="1"/>
  <c r="A223" i="1"/>
  <c r="A416" i="1" s="1"/>
  <c r="A609" i="1" s="1"/>
  <c r="A802" i="1" s="1"/>
  <c r="A995" i="1" s="1"/>
  <c r="A224" i="1"/>
  <c r="A417" i="1" s="1"/>
  <c r="A610" i="1" s="1"/>
  <c r="A803" i="1" s="1"/>
  <c r="A996" i="1" s="1"/>
  <c r="A225" i="1"/>
  <c r="A418" i="1" s="1"/>
  <c r="A611" i="1" s="1"/>
  <c r="A804" i="1" s="1"/>
  <c r="A997" i="1" s="1"/>
  <c r="A226" i="1"/>
  <c r="A419" i="1" s="1"/>
  <c r="A612" i="1" s="1"/>
  <c r="A805" i="1" s="1"/>
  <c r="A998" i="1" s="1"/>
  <c r="A227" i="1"/>
  <c r="A420" i="1" s="1"/>
  <c r="A613" i="1" s="1"/>
  <c r="A806" i="1" s="1"/>
  <c r="A999" i="1" s="1"/>
  <c r="A228" i="1"/>
  <c r="A421" i="1" s="1"/>
  <c r="A614" i="1" s="1"/>
  <c r="A807" i="1" s="1"/>
  <c r="A1000" i="1" s="1"/>
  <c r="A229" i="1"/>
  <c r="A422" i="1" s="1"/>
  <c r="A615" i="1" s="1"/>
  <c r="A808" i="1" s="1"/>
  <c r="A1001" i="1" s="1"/>
  <c r="A230" i="1"/>
  <c r="A423" i="1" s="1"/>
  <c r="A616" i="1" s="1"/>
  <c r="A809" i="1" s="1"/>
  <c r="A1002" i="1" s="1"/>
  <c r="A231" i="1"/>
  <c r="A424" i="1" s="1"/>
  <c r="A617" i="1" s="1"/>
  <c r="A810" i="1" s="1"/>
  <c r="A1003" i="1" s="1"/>
  <c r="A232" i="1"/>
  <c r="A425" i="1" s="1"/>
  <c r="A618" i="1" s="1"/>
  <c r="A811" i="1" s="1"/>
  <c r="A1004" i="1" s="1"/>
  <c r="A233" i="1"/>
  <c r="A426" i="1" s="1"/>
  <c r="A619" i="1" s="1"/>
  <c r="A812" i="1" s="1"/>
  <c r="A1005" i="1" s="1"/>
  <c r="A234" i="1"/>
  <c r="A427" i="1" s="1"/>
  <c r="A620" i="1" s="1"/>
  <c r="A813" i="1" s="1"/>
  <c r="A1006" i="1" s="1"/>
  <c r="A235" i="1"/>
  <c r="A428" i="1" s="1"/>
  <c r="A621" i="1" s="1"/>
  <c r="A814" i="1" s="1"/>
  <c r="A1007" i="1" s="1"/>
  <c r="A236" i="1"/>
  <c r="A429" i="1" s="1"/>
  <c r="A622" i="1" s="1"/>
  <c r="A815" i="1" s="1"/>
  <c r="A1008" i="1" s="1"/>
  <c r="A237" i="1"/>
  <c r="A430" i="1" s="1"/>
  <c r="A623" i="1" s="1"/>
  <c r="A816" i="1" s="1"/>
  <c r="A1009" i="1" s="1"/>
  <c r="A238" i="1"/>
  <c r="A431" i="1" s="1"/>
  <c r="A624" i="1" s="1"/>
  <c r="A817" i="1" s="1"/>
  <c r="A1010" i="1" s="1"/>
  <c r="A239" i="1"/>
  <c r="A432" i="1" s="1"/>
  <c r="A625" i="1" s="1"/>
  <c r="A818" i="1" s="1"/>
  <c r="A1011" i="1" s="1"/>
  <c r="A240" i="1"/>
  <c r="A433" i="1" s="1"/>
  <c r="A626" i="1" s="1"/>
  <c r="A819" i="1" s="1"/>
  <c r="A1012" i="1" s="1"/>
  <c r="A241" i="1"/>
  <c r="A434" i="1" s="1"/>
  <c r="A627" i="1" s="1"/>
  <c r="A820" i="1" s="1"/>
  <c r="A1013" i="1" s="1"/>
  <c r="A242" i="1"/>
  <c r="A435" i="1" s="1"/>
  <c r="A628" i="1" s="1"/>
  <c r="A821" i="1" s="1"/>
  <c r="A1014" i="1" s="1"/>
  <c r="A243" i="1"/>
  <c r="A436" i="1" s="1"/>
  <c r="A629" i="1" s="1"/>
  <c r="A822" i="1" s="1"/>
  <c r="A1015" i="1" s="1"/>
  <c r="A244" i="1"/>
  <c r="A437" i="1" s="1"/>
  <c r="A630" i="1" s="1"/>
  <c r="A823" i="1" s="1"/>
  <c r="A1016" i="1" s="1"/>
  <c r="A245" i="1"/>
  <c r="A438" i="1" s="1"/>
  <c r="A631" i="1" s="1"/>
  <c r="A824" i="1" s="1"/>
  <c r="A1017" i="1" s="1"/>
  <c r="A246" i="1"/>
  <c r="A439" i="1" s="1"/>
  <c r="A632" i="1" s="1"/>
  <c r="A825" i="1" s="1"/>
  <c r="A1018" i="1" s="1"/>
  <c r="A247" i="1"/>
  <c r="A440" i="1" s="1"/>
  <c r="A633" i="1" s="1"/>
  <c r="A826" i="1" s="1"/>
  <c r="A1019" i="1" s="1"/>
  <c r="A248" i="1"/>
  <c r="A441" i="1" s="1"/>
  <c r="A634" i="1" s="1"/>
  <c r="A827" i="1" s="1"/>
  <c r="A1020" i="1" s="1"/>
  <c r="A249" i="1"/>
  <c r="A442" i="1" s="1"/>
  <c r="A635" i="1" s="1"/>
  <c r="A828" i="1" s="1"/>
  <c r="A1021" i="1" s="1"/>
  <c r="A250" i="1"/>
  <c r="A443" i="1" s="1"/>
  <c r="A636" i="1" s="1"/>
  <c r="A829" i="1" s="1"/>
  <c r="A1022" i="1" s="1"/>
  <c r="A251" i="1"/>
  <c r="A444" i="1" s="1"/>
  <c r="A637" i="1" s="1"/>
  <c r="A830" i="1" s="1"/>
  <c r="A1023" i="1" s="1"/>
  <c r="A252" i="1"/>
  <c r="A445" i="1" s="1"/>
  <c r="A638" i="1" s="1"/>
  <c r="A831" i="1" s="1"/>
  <c r="A1024" i="1" s="1"/>
  <c r="A253" i="1"/>
  <c r="A446" i="1" s="1"/>
  <c r="A639" i="1" s="1"/>
  <c r="A832" i="1" s="1"/>
  <c r="A1025" i="1" s="1"/>
  <c r="A254" i="1"/>
  <c r="A447" i="1" s="1"/>
  <c r="A640" i="1" s="1"/>
  <c r="A833" i="1" s="1"/>
  <c r="A1026" i="1" s="1"/>
  <c r="A255" i="1"/>
  <c r="A448" i="1" s="1"/>
  <c r="A641" i="1" s="1"/>
  <c r="A834" i="1" s="1"/>
  <c r="A1027" i="1" s="1"/>
  <c r="A256" i="1"/>
  <c r="A449" i="1" s="1"/>
  <c r="A642" i="1" s="1"/>
  <c r="A835" i="1" s="1"/>
  <c r="A1028" i="1" s="1"/>
  <c r="A257" i="1"/>
  <c r="A450" i="1" s="1"/>
  <c r="A643" i="1" s="1"/>
  <c r="A836" i="1" s="1"/>
  <c r="A1029" i="1" s="1"/>
  <c r="A258" i="1"/>
  <c r="A451" i="1" s="1"/>
  <c r="A644" i="1" s="1"/>
  <c r="A837" i="1" s="1"/>
  <c r="A1030" i="1" s="1"/>
  <c r="A259" i="1"/>
  <c r="A452" i="1" s="1"/>
  <c r="A645" i="1" s="1"/>
  <c r="A838" i="1" s="1"/>
  <c r="A1031" i="1" s="1"/>
  <c r="A260" i="1"/>
  <c r="A453" i="1" s="1"/>
  <c r="A646" i="1" s="1"/>
  <c r="A839" i="1" s="1"/>
  <c r="A1032" i="1" s="1"/>
  <c r="A261" i="1"/>
  <c r="A454" i="1" s="1"/>
  <c r="A647" i="1" s="1"/>
  <c r="A840" i="1" s="1"/>
  <c r="A1033" i="1" s="1"/>
  <c r="A262" i="1"/>
  <c r="A455" i="1" s="1"/>
  <c r="A648" i="1" s="1"/>
  <c r="A841" i="1" s="1"/>
  <c r="A1034" i="1" s="1"/>
  <c r="A263" i="1"/>
  <c r="A456" i="1" s="1"/>
  <c r="A649" i="1" s="1"/>
  <c r="A842" i="1" s="1"/>
  <c r="A1035" i="1" s="1"/>
  <c r="A264" i="1"/>
  <c r="A457" i="1" s="1"/>
  <c r="A650" i="1" s="1"/>
  <c r="A843" i="1" s="1"/>
  <c r="A1036" i="1" s="1"/>
  <c r="A265" i="1"/>
  <c r="A458" i="1" s="1"/>
  <c r="A651" i="1" s="1"/>
  <c r="A844" i="1" s="1"/>
  <c r="A1037" i="1" s="1"/>
  <c r="A266" i="1"/>
  <c r="A459" i="1" s="1"/>
  <c r="A652" i="1" s="1"/>
  <c r="A845" i="1" s="1"/>
  <c r="A1038" i="1" s="1"/>
  <c r="A267" i="1"/>
  <c r="A460" i="1" s="1"/>
  <c r="A653" i="1" s="1"/>
  <c r="A846" i="1" s="1"/>
  <c r="A1039" i="1" s="1"/>
  <c r="A268" i="1"/>
  <c r="A461" i="1" s="1"/>
  <c r="A654" i="1" s="1"/>
  <c r="A847" i="1" s="1"/>
  <c r="A1040" i="1" s="1"/>
  <c r="A269" i="1"/>
  <c r="A462" i="1" s="1"/>
  <c r="A655" i="1" s="1"/>
  <c r="A848" i="1" s="1"/>
  <c r="A1041" i="1" s="1"/>
  <c r="A270" i="1"/>
  <c r="A463" i="1" s="1"/>
  <c r="A656" i="1" s="1"/>
  <c r="A849" i="1" s="1"/>
  <c r="A1042" i="1" s="1"/>
  <c r="A271" i="1"/>
  <c r="A464" i="1" s="1"/>
  <c r="A657" i="1" s="1"/>
  <c r="A850" i="1" s="1"/>
  <c r="A1043" i="1" s="1"/>
  <c r="A272" i="1"/>
  <c r="A465" i="1" s="1"/>
  <c r="A658" i="1" s="1"/>
  <c r="A851" i="1" s="1"/>
  <c r="A1044" i="1" s="1"/>
  <c r="A273" i="1"/>
  <c r="A466" i="1" s="1"/>
  <c r="A659" i="1" s="1"/>
  <c r="A852" i="1" s="1"/>
  <c r="A1045" i="1" s="1"/>
  <c r="A274" i="1"/>
  <c r="A467" i="1" s="1"/>
  <c r="A660" i="1" s="1"/>
  <c r="A853" i="1" s="1"/>
  <c r="A1046" i="1" s="1"/>
  <c r="A275" i="1"/>
  <c r="A468" i="1" s="1"/>
  <c r="A661" i="1" s="1"/>
  <c r="A854" i="1" s="1"/>
  <c r="A1047" i="1" s="1"/>
  <c r="A276" i="1"/>
  <c r="A469" i="1" s="1"/>
  <c r="A662" i="1" s="1"/>
  <c r="A855" i="1" s="1"/>
  <c r="A1048" i="1" s="1"/>
  <c r="A277" i="1"/>
  <c r="A470" i="1" s="1"/>
  <c r="A663" i="1" s="1"/>
  <c r="A856" i="1" s="1"/>
  <c r="A1049" i="1" s="1"/>
  <c r="A278" i="1"/>
  <c r="A471" i="1" s="1"/>
  <c r="A664" i="1" s="1"/>
  <c r="A857" i="1" s="1"/>
  <c r="A1050" i="1" s="1"/>
  <c r="A279" i="1"/>
  <c r="A472" i="1" s="1"/>
  <c r="A665" i="1" s="1"/>
  <c r="A858" i="1" s="1"/>
  <c r="A1051" i="1" s="1"/>
  <c r="A280" i="1"/>
  <c r="A473" i="1" s="1"/>
  <c r="A666" i="1" s="1"/>
  <c r="A859" i="1" s="1"/>
  <c r="A1052" i="1" s="1"/>
  <c r="A281" i="1"/>
  <c r="A474" i="1" s="1"/>
  <c r="A667" i="1" s="1"/>
  <c r="A860" i="1" s="1"/>
  <c r="A1053" i="1" s="1"/>
  <c r="A282" i="1"/>
  <c r="A475" i="1" s="1"/>
  <c r="A668" i="1" s="1"/>
  <c r="A861" i="1" s="1"/>
  <c r="A1054" i="1" s="1"/>
  <c r="A283" i="1"/>
  <c r="A476" i="1" s="1"/>
  <c r="A669" i="1" s="1"/>
  <c r="A862" i="1" s="1"/>
  <c r="A1055" i="1" s="1"/>
  <c r="A284" i="1"/>
  <c r="A477" i="1" s="1"/>
  <c r="A670" i="1" s="1"/>
  <c r="A863" i="1" s="1"/>
  <c r="A1056" i="1" s="1"/>
  <c r="A285" i="1"/>
  <c r="A478" i="1" s="1"/>
  <c r="A671" i="1" s="1"/>
  <c r="A864" i="1" s="1"/>
  <c r="A1057" i="1" s="1"/>
  <c r="A286" i="1"/>
  <c r="A479" i="1" s="1"/>
  <c r="A672" i="1" s="1"/>
  <c r="A865" i="1" s="1"/>
  <c r="A1058" i="1" s="1"/>
  <c r="A287" i="1"/>
  <c r="A480" i="1" s="1"/>
  <c r="A673" i="1" s="1"/>
  <c r="A866" i="1" s="1"/>
  <c r="A1059" i="1" s="1"/>
  <c r="A288" i="1"/>
  <c r="A481" i="1" s="1"/>
  <c r="A674" i="1" s="1"/>
  <c r="A867" i="1" s="1"/>
  <c r="A1060" i="1" s="1"/>
  <c r="A289" i="1"/>
  <c r="A482" i="1" s="1"/>
  <c r="A675" i="1" s="1"/>
  <c r="A868" i="1" s="1"/>
  <c r="A1061" i="1" s="1"/>
  <c r="A290" i="1"/>
  <c r="A483" i="1" s="1"/>
  <c r="A676" i="1" s="1"/>
  <c r="A869" i="1" s="1"/>
  <c r="A1062" i="1" s="1"/>
  <c r="A291" i="1"/>
  <c r="A484" i="1" s="1"/>
  <c r="A677" i="1" s="1"/>
  <c r="A870" i="1" s="1"/>
  <c r="A1063" i="1" s="1"/>
  <c r="A292" i="1"/>
  <c r="A485" i="1" s="1"/>
  <c r="A678" i="1" s="1"/>
  <c r="A871" i="1" s="1"/>
  <c r="A1064" i="1" s="1"/>
  <c r="A293" i="1"/>
  <c r="A486" i="1" s="1"/>
  <c r="A679" i="1" s="1"/>
  <c r="A872" i="1" s="1"/>
  <c r="A1065" i="1" s="1"/>
  <c r="A294" i="1"/>
  <c r="A487" i="1" s="1"/>
  <c r="A680" i="1" s="1"/>
  <c r="A873" i="1" s="1"/>
  <c r="A1066" i="1" s="1"/>
  <c r="A295" i="1"/>
  <c r="A488" i="1" s="1"/>
  <c r="A681" i="1" s="1"/>
  <c r="A874" i="1" s="1"/>
  <c r="A1067" i="1" s="1"/>
  <c r="A296" i="1"/>
  <c r="A489" i="1" s="1"/>
  <c r="A682" i="1" s="1"/>
  <c r="A875" i="1" s="1"/>
  <c r="A1068" i="1" s="1"/>
  <c r="A297" i="1"/>
  <c r="A490" i="1" s="1"/>
  <c r="A683" i="1" s="1"/>
  <c r="A876" i="1" s="1"/>
  <c r="A1069" i="1" s="1"/>
  <c r="A298" i="1"/>
  <c r="A491" i="1" s="1"/>
  <c r="A684" i="1" s="1"/>
  <c r="A877" i="1" s="1"/>
  <c r="A1070" i="1" s="1"/>
  <c r="A299" i="1"/>
  <c r="A492" i="1" s="1"/>
  <c r="A685" i="1" s="1"/>
  <c r="A878" i="1" s="1"/>
  <c r="A1071" i="1" s="1"/>
  <c r="A300" i="1"/>
  <c r="A493" i="1" s="1"/>
  <c r="A686" i="1" s="1"/>
  <c r="A879" i="1" s="1"/>
  <c r="A1072" i="1" s="1"/>
  <c r="A301" i="1"/>
  <c r="A494" i="1" s="1"/>
  <c r="A687" i="1" s="1"/>
  <c r="A880" i="1" s="1"/>
  <c r="A1073" i="1" s="1"/>
  <c r="A302" i="1"/>
  <c r="A495" i="1" s="1"/>
  <c r="A688" i="1" s="1"/>
  <c r="A881" i="1" s="1"/>
  <c r="A1074" i="1" s="1"/>
  <c r="A303" i="1"/>
  <c r="A496" i="1" s="1"/>
  <c r="A689" i="1" s="1"/>
  <c r="A882" i="1" s="1"/>
  <c r="A1075" i="1" s="1"/>
  <c r="A304" i="1"/>
  <c r="A497" i="1" s="1"/>
  <c r="A690" i="1" s="1"/>
  <c r="A883" i="1" s="1"/>
  <c r="A1076" i="1" s="1"/>
  <c r="A305" i="1"/>
  <c r="A498" i="1" s="1"/>
  <c r="A691" i="1" s="1"/>
  <c r="A884" i="1" s="1"/>
  <c r="A1077" i="1" s="1"/>
  <c r="A306" i="1"/>
  <c r="A499" i="1" s="1"/>
  <c r="A692" i="1" s="1"/>
  <c r="A885" i="1" s="1"/>
  <c r="A1078" i="1" s="1"/>
  <c r="A307" i="1"/>
  <c r="A500" i="1" s="1"/>
  <c r="A693" i="1" s="1"/>
  <c r="A886" i="1" s="1"/>
  <c r="A1079" i="1" s="1"/>
  <c r="A308" i="1"/>
  <c r="A501" i="1" s="1"/>
  <c r="A694" i="1" s="1"/>
  <c r="A887" i="1" s="1"/>
  <c r="A1080" i="1" s="1"/>
  <c r="A309" i="1"/>
  <c r="A502" i="1" s="1"/>
  <c r="A695" i="1" s="1"/>
  <c r="A888" i="1" s="1"/>
  <c r="A1081" i="1" s="1"/>
  <c r="A310" i="1"/>
  <c r="A503" i="1" s="1"/>
  <c r="A696" i="1" s="1"/>
  <c r="A889" i="1" s="1"/>
  <c r="A1082" i="1" s="1"/>
  <c r="A311" i="1"/>
  <c r="A504" i="1" s="1"/>
  <c r="A697" i="1" s="1"/>
  <c r="A890" i="1" s="1"/>
  <c r="A1083" i="1" s="1"/>
  <c r="A312" i="1"/>
  <c r="A505" i="1" s="1"/>
  <c r="A698" i="1" s="1"/>
  <c r="A891" i="1" s="1"/>
  <c r="A1084" i="1" s="1"/>
  <c r="A313" i="1"/>
  <c r="A506" i="1" s="1"/>
  <c r="A699" i="1" s="1"/>
  <c r="A892" i="1" s="1"/>
  <c r="A1085" i="1" s="1"/>
  <c r="A314" i="1"/>
  <c r="A507" i="1" s="1"/>
  <c r="A700" i="1" s="1"/>
  <c r="A893" i="1" s="1"/>
  <c r="A1086" i="1" s="1"/>
  <c r="A315" i="1"/>
  <c r="A508" i="1" s="1"/>
  <c r="A701" i="1" s="1"/>
  <c r="A894" i="1" s="1"/>
  <c r="A1087" i="1" s="1"/>
  <c r="A316" i="1"/>
  <c r="A509" i="1" s="1"/>
  <c r="A702" i="1" s="1"/>
  <c r="A895" i="1" s="1"/>
  <c r="A1088" i="1" s="1"/>
  <c r="A317" i="1"/>
  <c r="A510" i="1" s="1"/>
  <c r="A703" i="1" s="1"/>
  <c r="A896" i="1" s="1"/>
  <c r="A1089" i="1" s="1"/>
  <c r="A318" i="1"/>
  <c r="A511" i="1" s="1"/>
  <c r="A704" i="1" s="1"/>
  <c r="A897" i="1" s="1"/>
  <c r="A1090" i="1" s="1"/>
  <c r="A319" i="1"/>
  <c r="A512" i="1" s="1"/>
  <c r="A705" i="1" s="1"/>
  <c r="A898" i="1" s="1"/>
  <c r="A1091" i="1" s="1"/>
  <c r="A320" i="1"/>
  <c r="A513" i="1" s="1"/>
  <c r="A706" i="1" s="1"/>
  <c r="A899" i="1" s="1"/>
  <c r="A1092" i="1" s="1"/>
  <c r="A321" i="1"/>
  <c r="A514" i="1" s="1"/>
  <c r="A707" i="1" s="1"/>
  <c r="A900" i="1" s="1"/>
  <c r="A1093" i="1" s="1"/>
  <c r="A322" i="1"/>
  <c r="A515" i="1" s="1"/>
  <c r="A708" i="1" s="1"/>
  <c r="A901" i="1" s="1"/>
  <c r="A1094" i="1" s="1"/>
  <c r="A323" i="1"/>
  <c r="A516" i="1" s="1"/>
  <c r="A709" i="1" s="1"/>
  <c r="A902" i="1" s="1"/>
  <c r="A1095" i="1" s="1"/>
  <c r="A324" i="1"/>
  <c r="A517" i="1" s="1"/>
  <c r="A710" i="1" s="1"/>
  <c r="A903" i="1" s="1"/>
  <c r="A1096" i="1" s="1"/>
  <c r="A325" i="1"/>
  <c r="A518" i="1" s="1"/>
  <c r="A711" i="1" s="1"/>
  <c r="A904" i="1" s="1"/>
  <c r="A1097" i="1" s="1"/>
  <c r="A326" i="1"/>
  <c r="A519" i="1" s="1"/>
  <c r="A712" i="1" s="1"/>
  <c r="A905" i="1" s="1"/>
  <c r="A1098" i="1" s="1"/>
  <c r="A327" i="1"/>
  <c r="A520" i="1" s="1"/>
  <c r="A713" i="1" s="1"/>
  <c r="A906" i="1" s="1"/>
  <c r="A1099" i="1" s="1"/>
  <c r="A328" i="1"/>
  <c r="A521" i="1" s="1"/>
  <c r="A714" i="1" s="1"/>
  <c r="A907" i="1" s="1"/>
  <c r="A1100" i="1" s="1"/>
  <c r="A329" i="1"/>
  <c r="A522" i="1" s="1"/>
  <c r="A715" i="1" s="1"/>
  <c r="A908" i="1" s="1"/>
  <c r="A1101" i="1" s="1"/>
  <c r="A330" i="1"/>
  <c r="A523" i="1" s="1"/>
  <c r="A716" i="1" s="1"/>
  <c r="A909" i="1" s="1"/>
  <c r="A1102" i="1" s="1"/>
  <c r="A331" i="1"/>
  <c r="A524" i="1" s="1"/>
  <c r="A717" i="1" s="1"/>
  <c r="A910" i="1" s="1"/>
  <c r="A1103" i="1" s="1"/>
  <c r="A332" i="1"/>
  <c r="A525" i="1" s="1"/>
  <c r="A718" i="1" s="1"/>
  <c r="A911" i="1" s="1"/>
  <c r="A1104" i="1" s="1"/>
  <c r="A333" i="1"/>
  <c r="A526" i="1" s="1"/>
  <c r="A719" i="1" s="1"/>
  <c r="A912" i="1" s="1"/>
  <c r="A1105" i="1" s="1"/>
  <c r="A334" i="1"/>
  <c r="A527" i="1" s="1"/>
  <c r="A720" i="1" s="1"/>
  <c r="A913" i="1" s="1"/>
  <c r="A1106" i="1" s="1"/>
  <c r="A335" i="1"/>
  <c r="A528" i="1" s="1"/>
  <c r="A721" i="1" s="1"/>
  <c r="A914" i="1" s="1"/>
  <c r="A1107" i="1" s="1"/>
  <c r="A336" i="1"/>
  <c r="A529" i="1" s="1"/>
  <c r="A722" i="1" s="1"/>
  <c r="A915" i="1" s="1"/>
  <c r="A1108" i="1" s="1"/>
  <c r="A337" i="1"/>
  <c r="A530" i="1" s="1"/>
  <c r="A723" i="1" s="1"/>
  <c r="A916" i="1" s="1"/>
  <c r="A1109" i="1" s="1"/>
  <c r="A338" i="1"/>
  <c r="A531" i="1" s="1"/>
  <c r="A724" i="1" s="1"/>
  <c r="A917" i="1" s="1"/>
  <c r="A1110" i="1" s="1"/>
  <c r="A339" i="1"/>
  <c r="A532" i="1" s="1"/>
  <c r="A725" i="1" s="1"/>
  <c r="A918" i="1" s="1"/>
  <c r="A1111" i="1" s="1"/>
  <c r="A340" i="1"/>
  <c r="A533" i="1" s="1"/>
  <c r="A726" i="1" s="1"/>
  <c r="A919" i="1" s="1"/>
  <c r="A1112" i="1" s="1"/>
  <c r="A341" i="1"/>
  <c r="A534" i="1" s="1"/>
  <c r="A727" i="1" s="1"/>
  <c r="A920" i="1" s="1"/>
  <c r="A1113" i="1" s="1"/>
  <c r="A342" i="1"/>
  <c r="A535" i="1" s="1"/>
  <c r="A728" i="1" s="1"/>
  <c r="A921" i="1" s="1"/>
  <c r="A1114" i="1" s="1"/>
  <c r="A343" i="1"/>
  <c r="A536" i="1" s="1"/>
  <c r="A729" i="1" s="1"/>
  <c r="A922" i="1" s="1"/>
  <c r="A1115" i="1" s="1"/>
  <c r="A344" i="1"/>
  <c r="A537" i="1" s="1"/>
  <c r="A730" i="1" s="1"/>
  <c r="A923" i="1" s="1"/>
  <c r="A1116" i="1" s="1"/>
  <c r="A345" i="1"/>
  <c r="A538" i="1" s="1"/>
  <c r="A731" i="1" s="1"/>
  <c r="A924" i="1" s="1"/>
  <c r="A1117" i="1" s="1"/>
  <c r="A346" i="1"/>
  <c r="A539" i="1" s="1"/>
  <c r="A732" i="1" s="1"/>
  <c r="A925" i="1" s="1"/>
  <c r="A1118" i="1" s="1"/>
  <c r="A347" i="1"/>
  <c r="A540" i="1" s="1"/>
  <c r="A733" i="1" s="1"/>
  <c r="A926" i="1" s="1"/>
  <c r="A1119" i="1" s="1"/>
  <c r="A348" i="1"/>
  <c r="A541" i="1" s="1"/>
  <c r="A734" i="1" s="1"/>
  <c r="A927" i="1" s="1"/>
  <c r="A1120" i="1" s="1"/>
  <c r="A349" i="1"/>
  <c r="A542" i="1" s="1"/>
  <c r="A735" i="1" s="1"/>
  <c r="A928" i="1" s="1"/>
  <c r="A1121" i="1" s="1"/>
  <c r="A350" i="1"/>
  <c r="A543" i="1" s="1"/>
  <c r="A736" i="1" s="1"/>
  <c r="A929" i="1" s="1"/>
  <c r="A1122" i="1" s="1"/>
  <c r="A351" i="1"/>
  <c r="A544" i="1" s="1"/>
  <c r="A737" i="1" s="1"/>
  <c r="A930" i="1" s="1"/>
  <c r="A1123" i="1" s="1"/>
  <c r="A352" i="1"/>
  <c r="A545" i="1" s="1"/>
  <c r="A738" i="1" s="1"/>
  <c r="A931" i="1" s="1"/>
  <c r="A1124" i="1" s="1"/>
  <c r="A353" i="1"/>
  <c r="A546" i="1" s="1"/>
  <c r="A739" i="1" s="1"/>
  <c r="A932" i="1" s="1"/>
  <c r="A1125" i="1" s="1"/>
  <c r="A354" i="1"/>
  <c r="A547" i="1" s="1"/>
  <c r="A740" i="1" s="1"/>
  <c r="A933" i="1" s="1"/>
  <c r="A1126" i="1" s="1"/>
  <c r="A355" i="1"/>
  <c r="A548" i="1" s="1"/>
  <c r="A741" i="1" s="1"/>
  <c r="A934" i="1" s="1"/>
  <c r="A1127" i="1" s="1"/>
  <c r="A356" i="1"/>
  <c r="A549" i="1" s="1"/>
  <c r="A742" i="1" s="1"/>
  <c r="A935" i="1" s="1"/>
  <c r="A1128" i="1" s="1"/>
  <c r="A357" i="1"/>
  <c r="A550" i="1" s="1"/>
  <c r="A743" i="1" s="1"/>
  <c r="A936" i="1" s="1"/>
  <c r="A1129" i="1" s="1"/>
  <c r="A358" i="1"/>
  <c r="A551" i="1" s="1"/>
  <c r="A744" i="1" s="1"/>
  <c r="A937" i="1" s="1"/>
  <c r="A1130" i="1" s="1"/>
  <c r="A359" i="1"/>
  <c r="A552" i="1" s="1"/>
  <c r="A745" i="1" s="1"/>
  <c r="A938" i="1" s="1"/>
  <c r="A1131" i="1" s="1"/>
  <c r="A360" i="1"/>
  <c r="A553" i="1" s="1"/>
  <c r="A746" i="1" s="1"/>
  <c r="A939" i="1" s="1"/>
  <c r="A1132" i="1" s="1"/>
  <c r="A361" i="1"/>
  <c r="A554" i="1" s="1"/>
  <c r="A747" i="1" s="1"/>
  <c r="A940" i="1" s="1"/>
  <c r="A1133" i="1" s="1"/>
  <c r="A362" i="1"/>
  <c r="A555" i="1" s="1"/>
  <c r="A748" i="1" s="1"/>
  <c r="A941" i="1" s="1"/>
  <c r="A1134" i="1" s="1"/>
  <c r="A363" i="1"/>
  <c r="A556" i="1" s="1"/>
  <c r="A749" i="1" s="1"/>
  <c r="A942" i="1" s="1"/>
  <c r="A1135" i="1" s="1"/>
  <c r="A364" i="1"/>
  <c r="A557" i="1" s="1"/>
  <c r="A750" i="1" s="1"/>
  <c r="A943" i="1" s="1"/>
  <c r="A1136" i="1" s="1"/>
  <c r="A365" i="1"/>
  <c r="A558" i="1" s="1"/>
  <c r="A751" i="1" s="1"/>
  <c r="A944" i="1" s="1"/>
  <c r="A1137" i="1" s="1"/>
  <c r="A366" i="1"/>
  <c r="A559" i="1" s="1"/>
  <c r="A752" i="1" s="1"/>
  <c r="A945" i="1" s="1"/>
  <c r="A1138" i="1" s="1"/>
  <c r="A367" i="1"/>
  <c r="A560" i="1" s="1"/>
  <c r="A753" i="1" s="1"/>
  <c r="A946" i="1" s="1"/>
  <c r="A1139" i="1" s="1"/>
  <c r="A368" i="1"/>
  <c r="A561" i="1" s="1"/>
  <c r="A754" i="1" s="1"/>
  <c r="A947" i="1" s="1"/>
  <c r="A1140" i="1" s="1"/>
  <c r="A369" i="1"/>
  <c r="A562" i="1" s="1"/>
  <c r="A755" i="1" s="1"/>
  <c r="A948" i="1" s="1"/>
  <c r="A1141" i="1" s="1"/>
  <c r="A370" i="1"/>
  <c r="A563" i="1" s="1"/>
  <c r="A756" i="1" s="1"/>
  <c r="A949" i="1" s="1"/>
  <c r="A1142" i="1" s="1"/>
  <c r="A371" i="1"/>
  <c r="A564" i="1" s="1"/>
  <c r="A757" i="1" s="1"/>
  <c r="A950" i="1" s="1"/>
  <c r="A1143" i="1" s="1"/>
  <c r="A372" i="1"/>
  <c r="A565" i="1" s="1"/>
  <c r="A758" i="1" s="1"/>
  <c r="A951" i="1" s="1"/>
  <c r="A1144" i="1" s="1"/>
  <c r="A373" i="1"/>
  <c r="A566" i="1" s="1"/>
  <c r="A759" i="1" s="1"/>
  <c r="A952" i="1" s="1"/>
  <c r="A1145" i="1" s="1"/>
  <c r="A374" i="1"/>
  <c r="A567" i="1" s="1"/>
  <c r="A760" i="1" s="1"/>
  <c r="A953" i="1" s="1"/>
  <c r="A1146" i="1" s="1"/>
  <c r="A375" i="1"/>
  <c r="A568" i="1" s="1"/>
  <c r="A761" i="1" s="1"/>
  <c r="A954" i="1" s="1"/>
  <c r="A1147" i="1" s="1"/>
  <c r="A376" i="1"/>
  <c r="A569" i="1" s="1"/>
  <c r="A762" i="1" s="1"/>
  <c r="A955" i="1" s="1"/>
  <c r="A1148" i="1" s="1"/>
  <c r="A377" i="1"/>
  <c r="A570" i="1" s="1"/>
  <c r="A763" i="1" s="1"/>
  <c r="A956" i="1" s="1"/>
  <c r="A1149" i="1" s="1"/>
  <c r="A378" i="1"/>
  <c r="A571" i="1" s="1"/>
  <c r="A764" i="1" s="1"/>
  <c r="A957" i="1" s="1"/>
  <c r="A1150" i="1" s="1"/>
  <c r="A379" i="1"/>
  <c r="A572" i="1" s="1"/>
  <c r="A765" i="1" s="1"/>
  <c r="A958" i="1" s="1"/>
  <c r="A1151" i="1" s="1"/>
  <c r="A380" i="1"/>
  <c r="A573" i="1" s="1"/>
  <c r="A766" i="1" s="1"/>
  <c r="A959" i="1" s="1"/>
  <c r="A1152" i="1" s="1"/>
  <c r="A381" i="1"/>
  <c r="A574" i="1" s="1"/>
  <c r="A767" i="1" s="1"/>
  <c r="A960" i="1" s="1"/>
  <c r="A1153" i="1" s="1"/>
  <c r="A382" i="1"/>
  <c r="A575" i="1" s="1"/>
  <c r="A768" i="1" s="1"/>
  <c r="A961" i="1" s="1"/>
  <c r="A1154" i="1" s="1"/>
  <c r="A383" i="1"/>
  <c r="A576" i="1" s="1"/>
  <c r="A769" i="1" s="1"/>
  <c r="A962" i="1" s="1"/>
  <c r="A1155" i="1" s="1"/>
  <c r="A384" i="1"/>
  <c r="A577" i="1" s="1"/>
  <c r="A770" i="1" s="1"/>
  <c r="A963" i="1" s="1"/>
  <c r="A1156" i="1" s="1"/>
  <c r="A385" i="1"/>
  <c r="A578" i="1" s="1"/>
  <c r="A771" i="1" s="1"/>
  <c r="A964" i="1" s="1"/>
  <c r="A1157" i="1" s="1"/>
  <c r="A386" i="1"/>
  <c r="A579" i="1" s="1"/>
  <c r="A772" i="1" s="1"/>
  <c r="A965" i="1" s="1"/>
  <c r="A1158" i="1" s="1"/>
  <c r="A387" i="1"/>
  <c r="A580" i="1" s="1"/>
  <c r="A773" i="1" s="1"/>
  <c r="A966" i="1" s="1"/>
  <c r="A1159" i="1" s="1"/>
  <c r="A388" i="1"/>
  <c r="A581" i="1" s="1"/>
  <c r="A774" i="1" s="1"/>
  <c r="A967" i="1" s="1"/>
  <c r="A1160" i="1" s="1"/>
  <c r="A389" i="1"/>
  <c r="A582" i="1" s="1"/>
  <c r="A775" i="1" s="1"/>
  <c r="A968" i="1" s="1"/>
  <c r="A1161" i="1" s="1"/>
  <c r="A390" i="1"/>
  <c r="A583" i="1" s="1"/>
  <c r="A776" i="1" s="1"/>
  <c r="A969" i="1" s="1"/>
  <c r="A1162" i="1" s="1"/>
  <c r="A199" i="1"/>
  <c r="A392" i="1" s="1"/>
  <c r="A585" i="1" s="1"/>
  <c r="A778" i="1" s="1"/>
  <c r="A971" i="1" s="1"/>
  <c r="Q390" i="1"/>
  <c r="P390" i="1"/>
  <c r="O390" i="1"/>
  <c r="M390" i="1"/>
  <c r="L390" i="1"/>
  <c r="H390" i="1"/>
  <c r="D390" i="1"/>
  <c r="Q389" i="1"/>
  <c r="P389" i="1"/>
  <c r="O389" i="1"/>
  <c r="M389" i="1"/>
  <c r="L389" i="1"/>
  <c r="H389" i="1"/>
  <c r="D389" i="1"/>
  <c r="Q388" i="1"/>
  <c r="P388" i="1"/>
  <c r="O388" i="1"/>
  <c r="L388" i="1"/>
  <c r="H388" i="1"/>
  <c r="D388" i="1"/>
  <c r="Q387" i="1"/>
  <c r="P387" i="1"/>
  <c r="O387" i="1"/>
  <c r="L387" i="1"/>
  <c r="H387" i="1"/>
  <c r="D387" i="1"/>
  <c r="Q386" i="1"/>
  <c r="P386" i="1"/>
  <c r="O386" i="1"/>
  <c r="L386" i="1"/>
  <c r="H386" i="1"/>
  <c r="D386" i="1"/>
  <c r="H383" i="1"/>
  <c r="D383" i="1"/>
  <c r="H382" i="1"/>
  <c r="D382" i="1"/>
  <c r="H381" i="1"/>
  <c r="D381" i="1"/>
  <c r="H380" i="1"/>
  <c r="D380" i="1"/>
  <c r="H379" i="1"/>
  <c r="D379" i="1"/>
  <c r="H378" i="1"/>
  <c r="D378" i="1"/>
  <c r="H377" i="1"/>
  <c r="D377" i="1"/>
  <c r="H376" i="1"/>
  <c r="D376" i="1"/>
  <c r="O375" i="1"/>
  <c r="L375" i="1"/>
  <c r="H375" i="1"/>
  <c r="D375" i="1"/>
  <c r="O374" i="1"/>
  <c r="L374" i="1"/>
  <c r="H374" i="1"/>
  <c r="D374" i="1"/>
  <c r="O373" i="1"/>
  <c r="L373" i="1"/>
  <c r="H373" i="1"/>
  <c r="D373" i="1"/>
  <c r="O372" i="1"/>
  <c r="L372" i="1"/>
  <c r="H372" i="1"/>
  <c r="D372" i="1"/>
  <c r="O371" i="1"/>
  <c r="L371" i="1"/>
  <c r="H371" i="1"/>
  <c r="D371" i="1"/>
  <c r="O370" i="1"/>
  <c r="L370" i="1"/>
  <c r="H370" i="1"/>
  <c r="D370" i="1"/>
  <c r="L369" i="1"/>
  <c r="H369" i="1"/>
  <c r="D369" i="1"/>
  <c r="L368" i="1"/>
  <c r="H368" i="1"/>
  <c r="D368" i="1"/>
  <c r="Q367" i="1"/>
  <c r="P367" i="1"/>
  <c r="O367" i="1"/>
  <c r="M367" i="1"/>
  <c r="L367" i="1"/>
  <c r="H367" i="1"/>
  <c r="D367" i="1"/>
  <c r="Q366" i="1"/>
  <c r="P366" i="1"/>
  <c r="O366" i="1"/>
  <c r="M366" i="1"/>
  <c r="L366" i="1"/>
  <c r="H366" i="1"/>
  <c r="D366" i="1"/>
  <c r="Q365" i="1"/>
  <c r="P365" i="1"/>
  <c r="O365" i="1"/>
  <c r="L365" i="1"/>
  <c r="H365" i="1"/>
  <c r="D365" i="1"/>
  <c r="Q364" i="1"/>
  <c r="P364" i="1"/>
  <c r="O364" i="1"/>
  <c r="L364" i="1"/>
  <c r="H364" i="1"/>
  <c r="D364" i="1"/>
  <c r="Q363" i="1"/>
  <c r="P363" i="1"/>
  <c r="O363" i="1"/>
  <c r="M363" i="1"/>
  <c r="L363" i="1"/>
  <c r="H363" i="1"/>
  <c r="D363" i="1"/>
  <c r="O362" i="1"/>
  <c r="M362" i="1"/>
  <c r="L362" i="1"/>
  <c r="H362" i="1"/>
  <c r="D362" i="1"/>
  <c r="H361" i="1"/>
  <c r="D361" i="1"/>
  <c r="H360" i="1"/>
  <c r="D360" i="1"/>
  <c r="H359" i="1"/>
  <c r="D359" i="1"/>
  <c r="H358" i="1"/>
  <c r="D358" i="1"/>
  <c r="H357" i="1"/>
  <c r="D357" i="1"/>
  <c r="H356" i="1"/>
  <c r="D356" i="1"/>
  <c r="H355" i="1"/>
  <c r="D355" i="1"/>
  <c r="H354" i="1"/>
  <c r="D354" i="1"/>
  <c r="Y353" i="1"/>
  <c r="W353" i="1"/>
  <c r="O353" i="1"/>
  <c r="M353" i="1"/>
  <c r="L353" i="1"/>
  <c r="H353" i="1"/>
  <c r="D353" i="1"/>
  <c r="O352" i="1"/>
  <c r="H352" i="1"/>
  <c r="D352" i="1"/>
  <c r="O351" i="1"/>
  <c r="L351" i="1"/>
  <c r="H351" i="1"/>
  <c r="D351" i="1"/>
  <c r="O350" i="1"/>
  <c r="L350" i="1"/>
  <c r="H350" i="1"/>
  <c r="D350" i="1"/>
  <c r="O349" i="1"/>
  <c r="L349" i="1"/>
  <c r="H349" i="1"/>
  <c r="D349" i="1"/>
  <c r="O348" i="1"/>
  <c r="L348" i="1"/>
  <c r="H348" i="1"/>
  <c r="D348" i="1"/>
  <c r="O347" i="1"/>
  <c r="L347" i="1"/>
  <c r="H347" i="1"/>
  <c r="D347" i="1"/>
  <c r="L346" i="1"/>
  <c r="H346" i="1"/>
  <c r="D346" i="1"/>
  <c r="L345" i="1"/>
  <c r="H345" i="1"/>
  <c r="D345" i="1"/>
  <c r="Q344" i="1"/>
  <c r="P344" i="1"/>
  <c r="O344" i="1"/>
  <c r="M344" i="1"/>
  <c r="L344" i="1"/>
  <c r="H344" i="1"/>
  <c r="D344" i="1"/>
  <c r="Q343" i="1"/>
  <c r="P343" i="1"/>
  <c r="O343" i="1"/>
  <c r="M343" i="1"/>
  <c r="L343" i="1"/>
  <c r="H343" i="1"/>
  <c r="D343" i="1"/>
  <c r="Q342" i="1"/>
  <c r="P342" i="1"/>
  <c r="O342" i="1"/>
  <c r="L342" i="1"/>
  <c r="H342" i="1"/>
  <c r="D342" i="1"/>
  <c r="Q341" i="1"/>
  <c r="P341" i="1"/>
  <c r="O341" i="1"/>
  <c r="L341" i="1"/>
  <c r="H341" i="1"/>
  <c r="D341" i="1"/>
  <c r="Q340" i="1"/>
  <c r="P340" i="1"/>
  <c r="O340" i="1"/>
  <c r="L340" i="1"/>
  <c r="H340" i="1"/>
  <c r="D340" i="1"/>
  <c r="H339" i="1"/>
  <c r="D339" i="1"/>
  <c r="H338" i="1"/>
  <c r="D338" i="1"/>
  <c r="H337" i="1"/>
  <c r="D337" i="1"/>
  <c r="H336" i="1"/>
  <c r="D336" i="1"/>
  <c r="H335" i="1"/>
  <c r="D335" i="1"/>
  <c r="H334" i="1"/>
  <c r="D334" i="1"/>
  <c r="H333" i="1"/>
  <c r="D333" i="1"/>
  <c r="H332" i="1"/>
  <c r="D332" i="1"/>
  <c r="H331" i="1"/>
  <c r="D331" i="1"/>
  <c r="O330" i="1"/>
  <c r="L330" i="1"/>
  <c r="H330" i="1"/>
  <c r="D330" i="1"/>
  <c r="O329" i="1"/>
  <c r="L329" i="1"/>
  <c r="H329" i="1"/>
  <c r="D329" i="1"/>
  <c r="O328" i="1"/>
  <c r="L328" i="1"/>
  <c r="H328" i="1"/>
  <c r="D328" i="1"/>
  <c r="O327" i="1"/>
  <c r="L327" i="1"/>
  <c r="H327" i="1"/>
  <c r="D327" i="1"/>
  <c r="O326" i="1"/>
  <c r="L326" i="1"/>
  <c r="H326" i="1"/>
  <c r="D326" i="1"/>
  <c r="O325" i="1"/>
  <c r="L325" i="1"/>
  <c r="H325" i="1"/>
  <c r="D325" i="1"/>
  <c r="O324" i="1"/>
  <c r="L324" i="1"/>
  <c r="H324" i="1"/>
  <c r="D324" i="1"/>
  <c r="L323" i="1"/>
  <c r="H323" i="1"/>
  <c r="D323" i="1"/>
  <c r="L322" i="1"/>
  <c r="H322" i="1"/>
  <c r="D322" i="1"/>
  <c r="Q321" i="1"/>
  <c r="P321" i="1"/>
  <c r="O321" i="1"/>
  <c r="M321" i="1"/>
  <c r="L321" i="1"/>
  <c r="H321" i="1"/>
  <c r="D321" i="1"/>
  <c r="Q320" i="1"/>
  <c r="P320" i="1"/>
  <c r="O320" i="1"/>
  <c r="M320" i="1"/>
  <c r="L320" i="1"/>
  <c r="H320" i="1"/>
  <c r="D320" i="1"/>
  <c r="Q319" i="1"/>
  <c r="P319" i="1"/>
  <c r="O319" i="1"/>
  <c r="L319" i="1"/>
  <c r="H319" i="1"/>
  <c r="D319" i="1"/>
  <c r="Q318" i="1"/>
  <c r="P318" i="1"/>
  <c r="O318" i="1"/>
  <c r="L318" i="1"/>
  <c r="H318" i="1"/>
  <c r="D318" i="1"/>
  <c r="Q317" i="1"/>
  <c r="P317" i="1"/>
  <c r="O317" i="1"/>
  <c r="L317" i="1"/>
  <c r="H317" i="1"/>
  <c r="D317" i="1"/>
  <c r="H316" i="1"/>
  <c r="D316" i="1"/>
  <c r="H315" i="1"/>
  <c r="D315" i="1"/>
  <c r="H314" i="1"/>
  <c r="D314" i="1"/>
  <c r="H313" i="1"/>
  <c r="D313" i="1"/>
  <c r="H312" i="1"/>
  <c r="D312" i="1"/>
  <c r="H311" i="1"/>
  <c r="D311" i="1"/>
  <c r="H310" i="1"/>
  <c r="D310" i="1"/>
  <c r="H309" i="1"/>
  <c r="D309" i="1"/>
  <c r="H308" i="1"/>
  <c r="D308" i="1"/>
  <c r="H307" i="1"/>
  <c r="D307" i="1"/>
  <c r="O306" i="1"/>
  <c r="L306" i="1"/>
  <c r="H306" i="1"/>
  <c r="D306" i="1"/>
  <c r="O305" i="1"/>
  <c r="L305" i="1"/>
  <c r="H305" i="1"/>
  <c r="D305" i="1"/>
  <c r="O304" i="1"/>
  <c r="L304" i="1"/>
  <c r="H304" i="1"/>
  <c r="D304" i="1"/>
  <c r="O303" i="1"/>
  <c r="L303" i="1"/>
  <c r="H303" i="1"/>
  <c r="D303" i="1"/>
  <c r="O302" i="1"/>
  <c r="L302" i="1"/>
  <c r="H302" i="1"/>
  <c r="D302" i="1"/>
  <c r="O301" i="1"/>
  <c r="L301" i="1"/>
  <c r="H301" i="1"/>
  <c r="D301" i="1"/>
  <c r="L300" i="1"/>
  <c r="H300" i="1"/>
  <c r="D300" i="1"/>
  <c r="L299" i="1"/>
  <c r="H299" i="1"/>
  <c r="D299" i="1"/>
  <c r="L298" i="1"/>
  <c r="H298" i="1"/>
  <c r="D298" i="1"/>
  <c r="L297" i="1"/>
  <c r="H297" i="1"/>
  <c r="D297" i="1"/>
  <c r="Q296" i="1"/>
  <c r="P296" i="1"/>
  <c r="O296" i="1"/>
  <c r="M296" i="1"/>
  <c r="L296" i="1"/>
  <c r="H296" i="1"/>
  <c r="D296" i="1"/>
  <c r="Q295" i="1"/>
  <c r="P295" i="1"/>
  <c r="O295" i="1"/>
  <c r="M295" i="1"/>
  <c r="L295" i="1"/>
  <c r="H295" i="1"/>
  <c r="D295" i="1"/>
  <c r="P294" i="1"/>
  <c r="O294" i="1"/>
  <c r="L294" i="1"/>
  <c r="H294" i="1"/>
  <c r="D294" i="1"/>
  <c r="Q293" i="1"/>
  <c r="P293" i="1"/>
  <c r="O293" i="1"/>
  <c r="L293" i="1"/>
  <c r="H293" i="1"/>
  <c r="D293" i="1"/>
  <c r="Q292" i="1"/>
  <c r="P292" i="1"/>
  <c r="O292" i="1"/>
  <c r="L292" i="1"/>
  <c r="H292" i="1"/>
  <c r="D292" i="1"/>
  <c r="H291" i="1"/>
  <c r="D291" i="1"/>
  <c r="H290" i="1"/>
  <c r="D290" i="1"/>
  <c r="H289" i="1"/>
  <c r="D289" i="1"/>
  <c r="H288" i="1"/>
  <c r="D288" i="1"/>
  <c r="H287" i="1"/>
  <c r="D287" i="1"/>
  <c r="H286" i="1"/>
  <c r="D286" i="1"/>
  <c r="H285" i="1"/>
  <c r="D285" i="1"/>
  <c r="H284" i="1"/>
  <c r="D284" i="1"/>
  <c r="H283" i="1"/>
  <c r="D283" i="1"/>
  <c r="H282" i="1"/>
  <c r="D282" i="1"/>
  <c r="O281" i="1"/>
  <c r="L281" i="1"/>
  <c r="H281" i="1"/>
  <c r="D281" i="1"/>
  <c r="O280" i="1"/>
  <c r="L280" i="1"/>
  <c r="H280" i="1"/>
  <c r="D280" i="1"/>
  <c r="O279" i="1"/>
  <c r="L279" i="1"/>
  <c r="H279" i="1"/>
  <c r="D279" i="1"/>
  <c r="O278" i="1"/>
  <c r="L278" i="1"/>
  <c r="H278" i="1"/>
  <c r="D278" i="1"/>
  <c r="O277" i="1"/>
  <c r="L277" i="1"/>
  <c r="H277" i="1"/>
  <c r="D277" i="1"/>
  <c r="O276" i="1"/>
  <c r="L276" i="1"/>
  <c r="H276" i="1"/>
  <c r="D276" i="1"/>
  <c r="O275" i="1"/>
  <c r="L275" i="1"/>
  <c r="H275" i="1"/>
  <c r="D275" i="1"/>
  <c r="O274" i="1"/>
  <c r="L274" i="1"/>
  <c r="H274" i="1"/>
  <c r="D274" i="1"/>
  <c r="L273" i="1"/>
  <c r="H273" i="1"/>
  <c r="D273" i="1"/>
  <c r="L272" i="1"/>
  <c r="H272" i="1"/>
  <c r="D272" i="1"/>
  <c r="L271" i="1"/>
  <c r="H271" i="1"/>
  <c r="D271" i="1"/>
  <c r="L270" i="1"/>
  <c r="H270" i="1"/>
  <c r="D270" i="1"/>
  <c r="R269" i="1"/>
  <c r="Q269" i="1"/>
  <c r="P269" i="1"/>
  <c r="O269" i="1"/>
  <c r="M269" i="1"/>
  <c r="L269" i="1"/>
  <c r="H269" i="1"/>
  <c r="D269" i="1"/>
  <c r="Q268" i="1"/>
  <c r="P268" i="1"/>
  <c r="O268" i="1"/>
  <c r="L268" i="1"/>
  <c r="H268" i="1"/>
  <c r="D268" i="1"/>
  <c r="Q267" i="1"/>
  <c r="P267" i="1"/>
  <c r="O267" i="1"/>
  <c r="L267" i="1"/>
  <c r="H267" i="1"/>
  <c r="D267" i="1"/>
  <c r="Q266" i="1"/>
  <c r="P266" i="1"/>
  <c r="O266" i="1"/>
  <c r="L266" i="1"/>
  <c r="H266" i="1"/>
  <c r="D266" i="1"/>
  <c r="Q265" i="1"/>
  <c r="P265" i="1"/>
  <c r="O265" i="1"/>
  <c r="L265" i="1"/>
  <c r="H265" i="1"/>
  <c r="D265" i="1"/>
  <c r="H264" i="1"/>
  <c r="D264" i="1"/>
  <c r="H263" i="1"/>
  <c r="D263" i="1"/>
  <c r="H262" i="1"/>
  <c r="D262" i="1"/>
  <c r="H261" i="1"/>
  <c r="D261" i="1"/>
  <c r="H260" i="1"/>
  <c r="D260" i="1"/>
  <c r="H259" i="1"/>
  <c r="D259" i="1"/>
  <c r="H258" i="1"/>
  <c r="D258" i="1"/>
  <c r="H257" i="1"/>
  <c r="D257" i="1"/>
  <c r="H256" i="1"/>
  <c r="D256" i="1"/>
  <c r="H255" i="1"/>
  <c r="D255" i="1"/>
  <c r="O254" i="1"/>
  <c r="L254" i="1"/>
  <c r="H254" i="1"/>
  <c r="D254" i="1"/>
  <c r="O253" i="1"/>
  <c r="L253" i="1"/>
  <c r="H253" i="1"/>
  <c r="D253" i="1"/>
  <c r="O252" i="1"/>
  <c r="L252" i="1"/>
  <c r="H252" i="1"/>
  <c r="D252" i="1"/>
  <c r="O251" i="1"/>
  <c r="L251" i="1"/>
  <c r="H251" i="1"/>
  <c r="D251" i="1"/>
  <c r="O250" i="1"/>
  <c r="L250" i="1"/>
  <c r="H250" i="1"/>
  <c r="D250" i="1"/>
  <c r="O249" i="1"/>
  <c r="L249" i="1"/>
  <c r="H249" i="1"/>
  <c r="D249" i="1"/>
  <c r="L248" i="1"/>
  <c r="H248" i="1"/>
  <c r="D248" i="1"/>
  <c r="O247" i="1"/>
  <c r="L247" i="1"/>
  <c r="H247" i="1"/>
  <c r="D247" i="1"/>
  <c r="L246" i="1"/>
  <c r="H246" i="1"/>
  <c r="D246" i="1"/>
  <c r="O245" i="1"/>
  <c r="L245" i="1"/>
  <c r="H245" i="1"/>
  <c r="D245" i="1"/>
  <c r="Q244" i="1"/>
  <c r="P244" i="1"/>
  <c r="O244" i="1"/>
  <c r="L244" i="1"/>
  <c r="I244" i="1"/>
  <c r="H244" i="1"/>
  <c r="D244" i="1"/>
  <c r="P243" i="1"/>
  <c r="O243" i="1"/>
  <c r="L243" i="1"/>
  <c r="I243" i="1"/>
  <c r="H243" i="1"/>
  <c r="D243" i="1"/>
  <c r="Y242" i="1"/>
  <c r="W242" i="1"/>
  <c r="P242" i="1"/>
  <c r="O242" i="1"/>
  <c r="L242" i="1"/>
  <c r="H242" i="1"/>
  <c r="D242" i="1"/>
  <c r="Y241" i="1"/>
  <c r="W241" i="1"/>
  <c r="P241" i="1"/>
  <c r="O241" i="1"/>
  <c r="L241" i="1"/>
  <c r="H241" i="1"/>
  <c r="D241" i="1"/>
  <c r="Y240" i="1"/>
  <c r="W240" i="1"/>
  <c r="P240" i="1"/>
  <c r="O240" i="1"/>
  <c r="L240" i="1"/>
  <c r="H240" i="1"/>
  <c r="D240" i="1"/>
  <c r="H239" i="1"/>
  <c r="D239" i="1"/>
  <c r="H238" i="1"/>
  <c r="D238" i="1"/>
  <c r="H237" i="1"/>
  <c r="D237" i="1"/>
  <c r="H236" i="1"/>
  <c r="D236" i="1"/>
  <c r="H235" i="1"/>
  <c r="D235" i="1"/>
  <c r="H234" i="1"/>
  <c r="D234" i="1"/>
  <c r="H233" i="1"/>
  <c r="D233" i="1"/>
  <c r="H232" i="1"/>
  <c r="D232" i="1"/>
  <c r="I231" i="1"/>
  <c r="H231" i="1"/>
  <c r="D231" i="1"/>
  <c r="O230" i="1"/>
  <c r="L230" i="1"/>
  <c r="I230" i="1"/>
  <c r="H230" i="1"/>
  <c r="D230" i="1"/>
  <c r="O229" i="1"/>
  <c r="L229" i="1"/>
  <c r="I229" i="1"/>
  <c r="H229" i="1"/>
  <c r="D229" i="1"/>
  <c r="O228" i="1"/>
  <c r="L228" i="1"/>
  <c r="I228" i="1"/>
  <c r="H228" i="1"/>
  <c r="D228" i="1"/>
  <c r="O227" i="1"/>
  <c r="L227" i="1"/>
  <c r="I227" i="1"/>
  <c r="H227" i="1"/>
  <c r="D227" i="1"/>
  <c r="O226" i="1"/>
  <c r="L226" i="1"/>
  <c r="I226" i="1"/>
  <c r="H226" i="1"/>
  <c r="D226" i="1"/>
  <c r="L225" i="1"/>
  <c r="I225" i="1"/>
  <c r="H225" i="1"/>
  <c r="D225" i="1"/>
  <c r="L224" i="1"/>
  <c r="I224" i="1"/>
  <c r="H224" i="1"/>
  <c r="D224" i="1"/>
  <c r="L223" i="1"/>
  <c r="I223" i="1"/>
  <c r="H223" i="1"/>
  <c r="D223" i="1"/>
  <c r="L222" i="1"/>
  <c r="I222" i="1"/>
  <c r="H222" i="1"/>
  <c r="D222" i="1"/>
  <c r="Q221" i="1"/>
  <c r="P221" i="1"/>
  <c r="O221" i="1"/>
  <c r="L221" i="1"/>
  <c r="H221" i="1"/>
  <c r="D221" i="1"/>
  <c r="P220" i="1"/>
  <c r="O220" i="1"/>
  <c r="L220" i="1"/>
  <c r="H220" i="1"/>
  <c r="D220" i="1"/>
  <c r="P219" i="1"/>
  <c r="O219" i="1"/>
  <c r="L219" i="1"/>
  <c r="I219" i="1"/>
  <c r="H219" i="1"/>
  <c r="D219" i="1"/>
  <c r="P218" i="1"/>
  <c r="O218" i="1"/>
  <c r="L218" i="1"/>
  <c r="I218" i="1"/>
  <c r="H218" i="1"/>
  <c r="D218" i="1"/>
  <c r="Y217" i="1"/>
  <c r="W217" i="1"/>
  <c r="P217" i="1"/>
  <c r="O217" i="1"/>
  <c r="L217" i="1"/>
  <c r="I217" i="1"/>
  <c r="H217" i="1"/>
  <c r="D217" i="1"/>
  <c r="I216" i="1"/>
  <c r="H216" i="1"/>
  <c r="D216" i="1"/>
  <c r="I215" i="1"/>
  <c r="H215" i="1"/>
  <c r="D215" i="1"/>
  <c r="I214" i="1"/>
  <c r="H214" i="1"/>
  <c r="D214" i="1"/>
  <c r="I213" i="1"/>
  <c r="H213" i="1"/>
  <c r="D213" i="1"/>
  <c r="I212" i="1"/>
  <c r="H212" i="1"/>
  <c r="D212" i="1"/>
  <c r="I211" i="1"/>
  <c r="H211" i="1"/>
  <c r="D211" i="1"/>
  <c r="I210" i="1"/>
  <c r="H210" i="1"/>
  <c r="D210" i="1"/>
  <c r="I209" i="1"/>
  <c r="H209" i="1"/>
  <c r="D209" i="1"/>
  <c r="I208" i="1"/>
  <c r="H208" i="1"/>
  <c r="D208" i="1"/>
  <c r="O207" i="1"/>
  <c r="L207" i="1"/>
  <c r="I207" i="1"/>
  <c r="H207" i="1"/>
  <c r="D207" i="1"/>
  <c r="O206" i="1"/>
  <c r="L206" i="1"/>
  <c r="I206" i="1"/>
  <c r="H206" i="1"/>
  <c r="D206" i="1"/>
  <c r="O205" i="1"/>
  <c r="L205" i="1"/>
  <c r="I205" i="1"/>
  <c r="H205" i="1"/>
  <c r="D205" i="1"/>
  <c r="O204" i="1"/>
  <c r="L204" i="1"/>
  <c r="I204" i="1"/>
  <c r="H204" i="1"/>
  <c r="D204" i="1"/>
  <c r="O203" i="1"/>
  <c r="L203" i="1"/>
  <c r="I203" i="1"/>
  <c r="H203" i="1"/>
  <c r="D203" i="1"/>
  <c r="L202" i="1"/>
  <c r="I202" i="1"/>
  <c r="H202" i="1"/>
  <c r="D202" i="1"/>
  <c r="L201" i="1"/>
  <c r="I201" i="1"/>
  <c r="H201" i="1"/>
  <c r="D201" i="1"/>
  <c r="L200" i="1"/>
  <c r="I200" i="1"/>
  <c r="H200" i="1"/>
  <c r="D200" i="1"/>
  <c r="L199" i="1"/>
  <c r="I199" i="1"/>
  <c r="H199" i="1"/>
  <c r="D199" i="1"/>
  <c r="K348" i="2" l="1"/>
  <c r="K236" i="2"/>
  <c r="E37" i="2"/>
  <c r="E148" i="2" s="1"/>
  <c r="E259" i="2" s="1"/>
  <c r="E370" i="2" s="1"/>
  <c r="E481" i="2" s="1"/>
  <c r="E592" i="2" s="1"/>
  <c r="D37" i="2"/>
  <c r="D148" i="2" s="1"/>
  <c r="D259" i="2" s="1"/>
  <c r="D370" i="2" s="1"/>
  <c r="D481" i="2" s="1"/>
  <c r="D592" i="2" s="1"/>
  <c r="K459" i="2" l="1"/>
  <c r="K570" i="2" s="1"/>
  <c r="K347" i="2"/>
  <c r="Q195" i="1"/>
  <c r="P195" i="1"/>
  <c r="O195" i="1"/>
  <c r="M195" i="1"/>
  <c r="L195" i="1"/>
  <c r="K458" i="2" l="1"/>
  <c r="K569" i="2" s="1"/>
  <c r="Q194" i="1"/>
  <c r="P194" i="1"/>
  <c r="O194" i="1"/>
  <c r="M194" i="1"/>
  <c r="L194" i="1"/>
  <c r="H194" i="1"/>
  <c r="D194" i="1"/>
  <c r="I192" i="5"/>
  <c r="H192" i="5"/>
  <c r="Y1162" i="1" l="1"/>
  <c r="Y969" i="1"/>
  <c r="W1162" i="1"/>
  <c r="W969" i="1"/>
  <c r="Y776" i="1"/>
  <c r="W776" i="1"/>
  <c r="Y583" i="1"/>
  <c r="W583" i="1"/>
  <c r="Y390" i="1"/>
  <c r="W390" i="1"/>
  <c r="W37" i="2"/>
  <c r="W148" i="2" s="1"/>
  <c r="W259" i="2" s="1"/>
  <c r="W370" i="2" s="1"/>
  <c r="W481" i="2" s="1"/>
  <c r="W592" i="2" s="1"/>
  <c r="E36" i="2" l="1"/>
  <c r="E147" i="2" s="1"/>
  <c r="E258" i="2" s="1"/>
  <c r="E369" i="2" s="1"/>
  <c r="E480" i="2" s="1"/>
  <c r="E591" i="2" s="1"/>
  <c r="E35" i="2"/>
  <c r="E146" i="2" s="1"/>
  <c r="E257" i="2" s="1"/>
  <c r="E368" i="2" s="1"/>
  <c r="E479" i="2" s="1"/>
  <c r="E590" i="2" s="1"/>
  <c r="E34" i="2"/>
  <c r="E145" i="2" s="1"/>
  <c r="E256" i="2" s="1"/>
  <c r="E367" i="2" s="1"/>
  <c r="E478" i="2" s="1"/>
  <c r="E589" i="2" s="1"/>
  <c r="E33" i="2"/>
  <c r="E144" i="2" s="1"/>
  <c r="E255" i="2" s="1"/>
  <c r="E366" i="2" s="1"/>
  <c r="E477" i="2" s="1"/>
  <c r="E588" i="2" s="1"/>
  <c r="E32" i="2"/>
  <c r="E143" i="2" s="1"/>
  <c r="E254" i="2" s="1"/>
  <c r="E365" i="2" s="1"/>
  <c r="E476" i="2" s="1"/>
  <c r="E587" i="2" s="1"/>
  <c r="E31" i="2"/>
  <c r="E142" i="2" s="1"/>
  <c r="E253" i="2" s="1"/>
  <c r="E364" i="2" s="1"/>
  <c r="E475" i="2" s="1"/>
  <c r="E586" i="2" s="1"/>
  <c r="D36" i="2"/>
  <c r="D147" i="2" s="1"/>
  <c r="D258" i="2" s="1"/>
  <c r="D369" i="2" s="1"/>
  <c r="D480" i="2" s="1"/>
  <c r="D591" i="2" s="1"/>
  <c r="D35" i="2"/>
  <c r="D146" i="2" s="1"/>
  <c r="D257" i="2" s="1"/>
  <c r="D368" i="2" s="1"/>
  <c r="D479" i="2" s="1"/>
  <c r="D590" i="2" s="1"/>
  <c r="D34" i="2"/>
  <c r="D145" i="2" s="1"/>
  <c r="D256" i="2" s="1"/>
  <c r="D367" i="2" s="1"/>
  <c r="D478" i="2" s="1"/>
  <c r="D589" i="2" s="1"/>
  <c r="D33" i="2"/>
  <c r="D144" i="2" s="1"/>
  <c r="D255" i="2" s="1"/>
  <c r="D366" i="2" s="1"/>
  <c r="D477" i="2" s="1"/>
  <c r="D588" i="2" s="1"/>
  <c r="D32" i="2"/>
  <c r="D143" i="2" s="1"/>
  <c r="D254" i="2" s="1"/>
  <c r="D365" i="2" s="1"/>
  <c r="D476" i="2" s="1"/>
  <c r="D587" i="2" s="1"/>
  <c r="D31" i="2"/>
  <c r="D142" i="2" s="1"/>
  <c r="D253" i="2" s="1"/>
  <c r="D364" i="2" s="1"/>
  <c r="D475" i="2" s="1"/>
  <c r="D586" i="2" s="1"/>
  <c r="D30" i="2"/>
  <c r="D141" i="2" s="1"/>
  <c r="D252" i="2" s="1"/>
  <c r="D363" i="2" s="1"/>
  <c r="D474" i="2" s="1"/>
  <c r="D585" i="2" s="1"/>
  <c r="D28" i="2"/>
  <c r="D139" i="2" s="1"/>
  <c r="D250" i="2" s="1"/>
  <c r="D361" i="2" s="1"/>
  <c r="D472" i="2" s="1"/>
  <c r="D583" i="2" s="1"/>
  <c r="D27" i="2"/>
  <c r="D138" i="2" s="1"/>
  <c r="D249" i="2" s="1"/>
  <c r="D360" i="2" s="1"/>
  <c r="D471" i="2" s="1"/>
  <c r="D582" i="2" s="1"/>
  <c r="D26" i="2"/>
  <c r="D137" i="2" s="1"/>
  <c r="D248" i="2" s="1"/>
  <c r="D359" i="2" s="1"/>
  <c r="D470" i="2" s="1"/>
  <c r="D581" i="2" s="1"/>
  <c r="H158" i="5" l="1"/>
  <c r="O167" i="1"/>
  <c r="M167" i="1"/>
  <c r="L167" i="1"/>
  <c r="H167" i="1"/>
  <c r="D167" i="1"/>
  <c r="Q49" i="1" l="1"/>
  <c r="P49" i="1"/>
  <c r="O49" i="1"/>
  <c r="L49" i="1"/>
  <c r="I49" i="1"/>
  <c r="H49" i="1"/>
  <c r="D49" i="1"/>
  <c r="Q26" i="1"/>
  <c r="P26" i="1"/>
  <c r="O26" i="1"/>
  <c r="L26" i="1"/>
  <c r="H26" i="1"/>
  <c r="D26" i="1"/>
  <c r="I36" i="1" l="1"/>
  <c r="I35" i="1"/>
  <c r="I34" i="1"/>
  <c r="I33" i="1"/>
  <c r="I32" i="1"/>
  <c r="I31" i="1"/>
  <c r="I30" i="1"/>
  <c r="I29" i="1"/>
  <c r="I28" i="1"/>
  <c r="I27" i="1"/>
  <c r="I48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125" i="5"/>
  <c r="H125" i="5"/>
  <c r="Q126" i="1"/>
  <c r="P126" i="1"/>
  <c r="O126" i="1"/>
  <c r="M126" i="1"/>
  <c r="L126" i="1"/>
  <c r="H126" i="1"/>
  <c r="D126" i="1"/>
  <c r="Y1093" i="1" l="1"/>
  <c r="Y900" i="1"/>
  <c r="W1093" i="1"/>
  <c r="W900" i="1"/>
  <c r="Y514" i="1"/>
  <c r="Y707" i="1"/>
  <c r="W707" i="1"/>
  <c r="Y321" i="1"/>
  <c r="W514" i="1"/>
  <c r="W321" i="1"/>
  <c r="W35" i="2"/>
  <c r="W146" i="2" s="1"/>
  <c r="W257" i="2" s="1"/>
  <c r="W368" i="2" s="1"/>
  <c r="W479" i="2" s="1"/>
  <c r="W590" i="2" s="1"/>
  <c r="Y126" i="1"/>
  <c r="W126" i="1"/>
  <c r="D94" i="1"/>
  <c r="O192" i="1"/>
  <c r="P192" i="1"/>
  <c r="Q192" i="1"/>
  <c r="Q191" i="1" l="1"/>
  <c r="P191" i="1"/>
  <c r="O191" i="1"/>
  <c r="D377" i="6" l="1"/>
  <c r="D376" i="6"/>
  <c r="D375" i="6"/>
  <c r="D374" i="6"/>
  <c r="D373" i="6"/>
  <c r="D372" i="6"/>
  <c r="D371" i="6"/>
  <c r="D370" i="6"/>
  <c r="D369" i="6"/>
  <c r="D368" i="6"/>
  <c r="D367" i="6"/>
  <c r="D366" i="6"/>
  <c r="D365" i="6"/>
  <c r="D364" i="6"/>
  <c r="O178" i="1" l="1"/>
  <c r="O179" i="1"/>
  <c r="H181" i="1"/>
  <c r="H182" i="1"/>
  <c r="H183" i="1"/>
  <c r="H184" i="1"/>
  <c r="H185" i="1"/>
  <c r="H186" i="1"/>
  <c r="H187" i="1"/>
  <c r="H188" i="1"/>
  <c r="D181" i="1"/>
  <c r="D182" i="1"/>
  <c r="D183" i="1"/>
  <c r="D184" i="1"/>
  <c r="D185" i="1"/>
  <c r="D186" i="1"/>
  <c r="D187" i="1"/>
  <c r="D188" i="1"/>
  <c r="I180" i="5"/>
  <c r="I181" i="5"/>
  <c r="I182" i="5"/>
  <c r="I183" i="5"/>
  <c r="I184" i="5"/>
  <c r="I185" i="5"/>
  <c r="I186" i="5"/>
  <c r="I187" i="5"/>
  <c r="H180" i="5"/>
  <c r="H181" i="5"/>
  <c r="H182" i="5"/>
  <c r="H183" i="5"/>
  <c r="H184" i="5"/>
  <c r="H185" i="5"/>
  <c r="H187" i="5"/>
  <c r="H186" i="5"/>
  <c r="Y1152" i="1" l="1"/>
  <c r="Y959" i="1"/>
  <c r="W1152" i="1"/>
  <c r="W959" i="1"/>
  <c r="Y1151" i="1"/>
  <c r="Y958" i="1"/>
  <c r="W1151" i="1"/>
  <c r="W958" i="1"/>
  <c r="Y1150" i="1"/>
  <c r="Y957" i="1"/>
  <c r="W1150" i="1"/>
  <c r="W957" i="1"/>
  <c r="Y1153" i="1"/>
  <c r="Y960" i="1"/>
  <c r="W1153" i="1"/>
  <c r="W960" i="1"/>
  <c r="Y1149" i="1"/>
  <c r="Y956" i="1"/>
  <c r="W1149" i="1"/>
  <c r="W956" i="1"/>
  <c r="Y1148" i="1"/>
  <c r="Y955" i="1"/>
  <c r="W1148" i="1"/>
  <c r="W955" i="1"/>
  <c r="Y1155" i="1"/>
  <c r="Y962" i="1"/>
  <c r="W1155" i="1"/>
  <c r="W962" i="1"/>
  <c r="Y1154" i="1"/>
  <c r="Y961" i="1"/>
  <c r="W1154" i="1"/>
  <c r="W961" i="1"/>
  <c r="W186" i="1"/>
  <c r="W574" i="1"/>
  <c r="Y767" i="1"/>
  <c r="W767" i="1"/>
  <c r="Y574" i="1"/>
  <c r="Y381" i="1"/>
  <c r="W381" i="1"/>
  <c r="Y185" i="1"/>
  <c r="Y573" i="1"/>
  <c r="W573" i="1"/>
  <c r="Y766" i="1"/>
  <c r="W766" i="1"/>
  <c r="Y380" i="1"/>
  <c r="W380" i="1"/>
  <c r="Y183" i="1"/>
  <c r="Y571" i="1"/>
  <c r="W571" i="1"/>
  <c r="Y764" i="1"/>
  <c r="W764" i="1"/>
  <c r="Y378" i="1"/>
  <c r="W378" i="1"/>
  <c r="Y182" i="1"/>
  <c r="W570" i="1"/>
  <c r="Y763" i="1"/>
  <c r="W763" i="1"/>
  <c r="Y570" i="1"/>
  <c r="Y377" i="1"/>
  <c r="W377" i="1"/>
  <c r="Y184" i="1"/>
  <c r="W572" i="1"/>
  <c r="Y765" i="1"/>
  <c r="W765" i="1"/>
  <c r="Y572" i="1"/>
  <c r="Y379" i="1"/>
  <c r="W379" i="1"/>
  <c r="Y181" i="1"/>
  <c r="Y569" i="1"/>
  <c r="W569" i="1"/>
  <c r="Y762" i="1"/>
  <c r="W762" i="1"/>
  <c r="Y376" i="1"/>
  <c r="W376" i="1"/>
  <c r="Y188" i="1"/>
  <c r="W576" i="1"/>
  <c r="Y769" i="1"/>
  <c r="W769" i="1"/>
  <c r="Y576" i="1"/>
  <c r="Y383" i="1"/>
  <c r="W383" i="1"/>
  <c r="Y187" i="1"/>
  <c r="Y575" i="1"/>
  <c r="W575" i="1"/>
  <c r="Y768" i="1"/>
  <c r="W768" i="1"/>
  <c r="Y382" i="1"/>
  <c r="W382" i="1"/>
  <c r="W185" i="1"/>
  <c r="Y186" i="1"/>
  <c r="W184" i="1"/>
  <c r="W183" i="1"/>
  <c r="W182" i="1"/>
  <c r="W181" i="1"/>
  <c r="W188" i="1"/>
  <c r="W187" i="1"/>
  <c r="O11" i="2"/>
  <c r="O122" i="2" s="1"/>
  <c r="O233" i="2" s="1"/>
  <c r="O344" i="2" s="1"/>
  <c r="O455" i="2" s="1"/>
  <c r="O566" i="2" s="1"/>
  <c r="D11" i="2"/>
  <c r="D122" i="2" s="1"/>
  <c r="D233" i="2" s="1"/>
  <c r="D344" i="2" s="1"/>
  <c r="D455" i="2" s="1"/>
  <c r="D566" i="2" s="1"/>
  <c r="L10" i="2"/>
  <c r="L121" i="2" s="1"/>
  <c r="L232" i="2" s="1"/>
  <c r="L343" i="2" s="1"/>
  <c r="L454" i="2" s="1"/>
  <c r="L565" i="2" s="1"/>
  <c r="D10" i="2"/>
  <c r="D121" i="2" s="1"/>
  <c r="D232" i="2" s="1"/>
  <c r="D343" i="2" s="1"/>
  <c r="D454" i="2" s="1"/>
  <c r="D565" i="2" s="1"/>
  <c r="E30" i="2" l="1"/>
  <c r="E141" i="2" s="1"/>
  <c r="E252" i="2" s="1"/>
  <c r="E363" i="2" s="1"/>
  <c r="E474" i="2" s="1"/>
  <c r="E585" i="2" s="1"/>
  <c r="E29" i="2"/>
  <c r="E140" i="2" s="1"/>
  <c r="E251" i="2" s="1"/>
  <c r="E362" i="2" s="1"/>
  <c r="E473" i="2" s="1"/>
  <c r="E584" i="2" s="1"/>
  <c r="E28" i="2"/>
  <c r="E139" i="2" s="1"/>
  <c r="E250" i="2" s="1"/>
  <c r="E361" i="2" s="1"/>
  <c r="E472" i="2" s="1"/>
  <c r="E583" i="2" s="1"/>
  <c r="E27" i="2"/>
  <c r="E138" i="2" s="1"/>
  <c r="E249" i="2" s="1"/>
  <c r="E360" i="2" s="1"/>
  <c r="E471" i="2" s="1"/>
  <c r="E582" i="2" s="1"/>
  <c r="E26" i="2"/>
  <c r="E137" i="2" s="1"/>
  <c r="E248" i="2" s="1"/>
  <c r="E359" i="2" s="1"/>
  <c r="E470" i="2" s="1"/>
  <c r="E581" i="2" s="1"/>
  <c r="E25" i="2"/>
  <c r="E136" i="2" s="1"/>
  <c r="E247" i="2" s="1"/>
  <c r="E358" i="2" s="1"/>
  <c r="E469" i="2" s="1"/>
  <c r="E580" i="2" s="1"/>
  <c r="E24" i="2"/>
  <c r="E135" i="2" s="1"/>
  <c r="E246" i="2" s="1"/>
  <c r="E357" i="2" s="1"/>
  <c r="E468" i="2" s="1"/>
  <c r="E579" i="2" s="1"/>
  <c r="E23" i="2"/>
  <c r="E134" i="2" s="1"/>
  <c r="E245" i="2" s="1"/>
  <c r="E356" i="2" s="1"/>
  <c r="E467" i="2" s="1"/>
  <c r="E578" i="2" s="1"/>
  <c r="E22" i="2"/>
  <c r="E133" i="2" s="1"/>
  <c r="E244" i="2" s="1"/>
  <c r="E355" i="2" s="1"/>
  <c r="E466" i="2" s="1"/>
  <c r="E577" i="2" s="1"/>
  <c r="A25" i="2"/>
  <c r="A136" i="2" s="1"/>
  <c r="A247" i="2" s="1"/>
  <c r="A358" i="2" s="1"/>
  <c r="A469" i="2" s="1"/>
  <c r="A580" i="2" s="1"/>
  <c r="A24" i="2"/>
  <c r="A135" i="2" s="1"/>
  <c r="A246" i="2" s="1"/>
  <c r="A357" i="2" s="1"/>
  <c r="A468" i="2" s="1"/>
  <c r="A579" i="2" s="1"/>
  <c r="D29" i="2"/>
  <c r="D140" i="2" s="1"/>
  <c r="D251" i="2" s="1"/>
  <c r="D362" i="2" s="1"/>
  <c r="D473" i="2" s="1"/>
  <c r="D584" i="2" s="1"/>
  <c r="D25" i="2"/>
  <c r="D136" i="2" s="1"/>
  <c r="D247" i="2" s="1"/>
  <c r="D358" i="2" s="1"/>
  <c r="D469" i="2" s="1"/>
  <c r="D580" i="2" s="1"/>
  <c r="D24" i="2"/>
  <c r="D135" i="2" s="1"/>
  <c r="D246" i="2" s="1"/>
  <c r="D357" i="2" s="1"/>
  <c r="D468" i="2" s="1"/>
  <c r="D579" i="2" s="1"/>
  <c r="A26" i="2" l="1"/>
  <c r="A137" i="2" s="1"/>
  <c r="A248" i="2" s="1"/>
  <c r="A359" i="2" s="1"/>
  <c r="A470" i="2" s="1"/>
  <c r="A581" i="2" s="1"/>
  <c r="K24" i="2"/>
  <c r="K135" i="2" s="1"/>
  <c r="K246" i="2" s="1"/>
  <c r="K357" i="2" s="1"/>
  <c r="K468" i="2" s="1"/>
  <c r="K579" i="2" s="1"/>
  <c r="A27" i="2"/>
  <c r="A138" i="2" s="1"/>
  <c r="A249" i="2" s="1"/>
  <c r="A360" i="2" s="1"/>
  <c r="A471" i="2" s="1"/>
  <c r="A582" i="2" s="1"/>
  <c r="K25" i="2"/>
  <c r="K136" i="2" s="1"/>
  <c r="K247" i="2" s="1"/>
  <c r="K358" i="2" s="1"/>
  <c r="K469" i="2" s="1"/>
  <c r="K580" i="2" s="1"/>
  <c r="D23" i="2"/>
  <c r="D134" i="2" s="1"/>
  <c r="D245" i="2" s="1"/>
  <c r="D356" i="2" s="1"/>
  <c r="D467" i="2" s="1"/>
  <c r="D578" i="2" s="1"/>
  <c r="A29" i="2" l="1"/>
  <c r="A140" i="2" s="1"/>
  <c r="A251" i="2" s="1"/>
  <c r="A362" i="2" s="1"/>
  <c r="A473" i="2" s="1"/>
  <c r="A584" i="2" s="1"/>
  <c r="K27" i="2"/>
  <c r="K138" i="2" s="1"/>
  <c r="K249" i="2" s="1"/>
  <c r="K360" i="2" s="1"/>
  <c r="K471" i="2" s="1"/>
  <c r="K582" i="2" s="1"/>
  <c r="A28" i="2"/>
  <c r="A139" i="2" s="1"/>
  <c r="A250" i="2" s="1"/>
  <c r="A361" i="2" s="1"/>
  <c r="A472" i="2" s="1"/>
  <c r="A583" i="2" s="1"/>
  <c r="K26" i="2"/>
  <c r="K137" i="2" s="1"/>
  <c r="K248" i="2" s="1"/>
  <c r="K359" i="2" s="1"/>
  <c r="K470" i="2" s="1"/>
  <c r="K581" i="2" s="1"/>
  <c r="H204" i="5"/>
  <c r="I204" i="5"/>
  <c r="A30" i="2" l="1"/>
  <c r="A141" i="2" s="1"/>
  <c r="A252" i="2" s="1"/>
  <c r="A363" i="2" s="1"/>
  <c r="A474" i="2" s="1"/>
  <c r="A585" i="2" s="1"/>
  <c r="K28" i="2"/>
  <c r="K139" i="2" s="1"/>
  <c r="K250" i="2" s="1"/>
  <c r="K361" i="2" s="1"/>
  <c r="K472" i="2" s="1"/>
  <c r="K583" i="2" s="1"/>
  <c r="A31" i="2"/>
  <c r="A142" i="2" s="1"/>
  <c r="A253" i="2" s="1"/>
  <c r="A364" i="2" s="1"/>
  <c r="A475" i="2" s="1"/>
  <c r="A586" i="2" s="1"/>
  <c r="K29" i="2"/>
  <c r="K140" i="2" s="1"/>
  <c r="K251" i="2" s="1"/>
  <c r="K362" i="2" s="1"/>
  <c r="K473" i="2" s="1"/>
  <c r="K584" i="2" s="1"/>
  <c r="W11" i="2"/>
  <c r="W122" i="2" s="1"/>
  <c r="W233" i="2" s="1"/>
  <c r="W344" i="2" s="1"/>
  <c r="W455" i="2" s="1"/>
  <c r="W566" i="2" s="1"/>
  <c r="Y10" i="2"/>
  <c r="Y121" i="2" s="1"/>
  <c r="Y232" i="2" s="1"/>
  <c r="Y343" i="2" s="1"/>
  <c r="Y454" i="2" s="1"/>
  <c r="Y565" i="2" s="1"/>
  <c r="W10" i="2"/>
  <c r="W121" i="2" s="1"/>
  <c r="W232" i="2" s="1"/>
  <c r="W343" i="2" s="1"/>
  <c r="W454" i="2" s="1"/>
  <c r="W565" i="2" s="1"/>
  <c r="Y11" i="2"/>
  <c r="Y122" i="2" s="1"/>
  <c r="Y233" i="2" s="1"/>
  <c r="Y344" i="2" s="1"/>
  <c r="Y455" i="2" s="1"/>
  <c r="Y566" i="2" s="1"/>
  <c r="N8" i="2"/>
  <c r="N119" i="2" s="1"/>
  <c r="N230" i="2" s="1"/>
  <c r="N341" i="2" s="1"/>
  <c r="N452" i="2" s="1"/>
  <c r="N563" i="2" s="1"/>
  <c r="A33" i="2" l="1"/>
  <c r="K31" i="2"/>
  <c r="K142" i="2" s="1"/>
  <c r="K253" i="2" s="1"/>
  <c r="K364" i="2" s="1"/>
  <c r="K475" i="2" s="1"/>
  <c r="K586" i="2" s="1"/>
  <c r="A32" i="2"/>
  <c r="K30" i="2"/>
  <c r="K141" i="2" s="1"/>
  <c r="K252" i="2" s="1"/>
  <c r="K363" i="2" s="1"/>
  <c r="K474" i="2" s="1"/>
  <c r="K585" i="2" s="1"/>
  <c r="D363" i="6"/>
  <c r="D362" i="6"/>
  <c r="D361" i="6"/>
  <c r="D360" i="6"/>
  <c r="D359" i="6"/>
  <c r="D358" i="6"/>
  <c r="D357" i="6"/>
  <c r="D356" i="6"/>
  <c r="D355" i="6"/>
  <c r="D354" i="6"/>
  <c r="D353" i="6"/>
  <c r="D352" i="6"/>
  <c r="D351" i="6"/>
  <c r="D350" i="6"/>
  <c r="D349" i="6"/>
  <c r="D348" i="6"/>
  <c r="D347" i="6"/>
  <c r="D346" i="6"/>
  <c r="D345" i="6"/>
  <c r="D344" i="6"/>
  <c r="D343" i="6"/>
  <c r="D342" i="6"/>
  <c r="D341" i="6"/>
  <c r="D340" i="6"/>
  <c r="D339" i="6"/>
  <c r="D338" i="6"/>
  <c r="D337" i="6"/>
  <c r="D336" i="6"/>
  <c r="D335" i="6"/>
  <c r="D334" i="6"/>
  <c r="D333" i="6"/>
  <c r="D332" i="6"/>
  <c r="D331" i="6"/>
  <c r="D330" i="6"/>
  <c r="D329" i="6"/>
  <c r="D328" i="6"/>
  <c r="D327" i="6"/>
  <c r="D326" i="6"/>
  <c r="D325" i="6"/>
  <c r="D324" i="6"/>
  <c r="D323" i="6"/>
  <c r="D322" i="6"/>
  <c r="D321" i="6"/>
  <c r="D320" i="6"/>
  <c r="D319" i="6"/>
  <c r="D318" i="6"/>
  <c r="D317" i="6"/>
  <c r="D316" i="6"/>
  <c r="D315" i="6"/>
  <c r="D314" i="6"/>
  <c r="D313" i="6"/>
  <c r="D312" i="6"/>
  <c r="D311" i="6"/>
  <c r="D310" i="6"/>
  <c r="D309" i="6"/>
  <c r="D308" i="6"/>
  <c r="D307" i="6"/>
  <c r="D306" i="6"/>
  <c r="D305" i="6"/>
  <c r="D304" i="6"/>
  <c r="D303" i="6"/>
  <c r="D302" i="6"/>
  <c r="D301" i="6"/>
  <c r="D300" i="6"/>
  <c r="D299" i="6"/>
  <c r="D298" i="6"/>
  <c r="D297" i="6"/>
  <c r="D296" i="6"/>
  <c r="D295" i="6"/>
  <c r="D294" i="6"/>
  <c r="D293" i="6"/>
  <c r="D292" i="6"/>
  <c r="D291" i="6"/>
  <c r="D290" i="6"/>
  <c r="D289" i="6"/>
  <c r="D288" i="6"/>
  <c r="D287" i="6"/>
  <c r="D286" i="6"/>
  <c r="D285" i="6"/>
  <c r="D284" i="6"/>
  <c r="D283" i="6"/>
  <c r="D282" i="6"/>
  <c r="D281" i="6"/>
  <c r="D280" i="6"/>
  <c r="D279" i="6"/>
  <c r="D278" i="6"/>
  <c r="D277" i="6"/>
  <c r="D276" i="6"/>
  <c r="D275" i="6"/>
  <c r="D274" i="6"/>
  <c r="D273" i="6"/>
  <c r="D272" i="6"/>
  <c r="D271" i="6"/>
  <c r="D270" i="6"/>
  <c r="D269" i="6"/>
  <c r="D268" i="6"/>
  <c r="D267" i="6"/>
  <c r="D266" i="6"/>
  <c r="D265" i="6"/>
  <c r="D264" i="6"/>
  <c r="D263" i="6"/>
  <c r="D262" i="6"/>
  <c r="D261" i="6"/>
  <c r="D260" i="6"/>
  <c r="D259" i="6"/>
  <c r="D258" i="6"/>
  <c r="D257" i="6"/>
  <c r="D256" i="6"/>
  <c r="D255" i="6"/>
  <c r="D254" i="6"/>
  <c r="D253" i="6"/>
  <c r="D252" i="6"/>
  <c r="D251" i="6"/>
  <c r="D250" i="6"/>
  <c r="D249" i="6"/>
  <c r="D248" i="6"/>
  <c r="D247" i="6"/>
  <c r="K195" i="1" s="1"/>
  <c r="K390" i="1" s="1"/>
  <c r="K583" i="1" s="1"/>
  <c r="K776" i="1" s="1"/>
  <c r="K969" i="1" s="1"/>
  <c r="K1162" i="1" s="1"/>
  <c r="D246" i="6"/>
  <c r="K194" i="1" s="1"/>
  <c r="K389" i="1" s="1"/>
  <c r="K582" i="1" s="1"/>
  <c r="K775" i="1" s="1"/>
  <c r="K968" i="1" s="1"/>
  <c r="K1161" i="1" s="1"/>
  <c r="D245" i="6"/>
  <c r="K193" i="1" s="1"/>
  <c r="K388" i="1" s="1"/>
  <c r="K581" i="1" s="1"/>
  <c r="K774" i="1" s="1"/>
  <c r="K967" i="1" s="1"/>
  <c r="K1160" i="1" s="1"/>
  <c r="D244" i="6"/>
  <c r="K192" i="1" s="1"/>
  <c r="K387" i="1" s="1"/>
  <c r="K580" i="1" s="1"/>
  <c r="K773" i="1" s="1"/>
  <c r="K966" i="1" s="1"/>
  <c r="K1159" i="1" s="1"/>
  <c r="D243" i="6"/>
  <c r="K191" i="1" s="1"/>
  <c r="K386" i="1" s="1"/>
  <c r="K579" i="1" s="1"/>
  <c r="K772" i="1" s="1"/>
  <c r="K965" i="1" s="1"/>
  <c r="K1158" i="1" s="1"/>
  <c r="D242" i="6"/>
  <c r="K190" i="1" s="1"/>
  <c r="K385" i="1" s="1"/>
  <c r="K578" i="1" s="1"/>
  <c r="K771" i="1" s="1"/>
  <c r="K964" i="1" s="1"/>
  <c r="K1157" i="1" s="1"/>
  <c r="D241" i="6"/>
  <c r="K189" i="1" s="1"/>
  <c r="K384" i="1" s="1"/>
  <c r="K577" i="1" s="1"/>
  <c r="K770" i="1" s="1"/>
  <c r="K963" i="1" s="1"/>
  <c r="K1156" i="1" s="1"/>
  <c r="D240" i="6"/>
  <c r="K188" i="1" s="1"/>
  <c r="K383" i="1" s="1"/>
  <c r="K576" i="1" s="1"/>
  <c r="K769" i="1" s="1"/>
  <c r="K962" i="1" s="1"/>
  <c r="K1155" i="1" s="1"/>
  <c r="D239" i="6"/>
  <c r="K187" i="1" s="1"/>
  <c r="K382" i="1" s="1"/>
  <c r="K575" i="1" s="1"/>
  <c r="K768" i="1" s="1"/>
  <c r="K961" i="1" s="1"/>
  <c r="K1154" i="1" s="1"/>
  <c r="D238" i="6"/>
  <c r="K186" i="1" s="1"/>
  <c r="K381" i="1" s="1"/>
  <c r="K574" i="1" s="1"/>
  <c r="K767" i="1" s="1"/>
  <c r="K960" i="1" s="1"/>
  <c r="K1153" i="1" s="1"/>
  <c r="D237" i="6"/>
  <c r="K185" i="1" s="1"/>
  <c r="K380" i="1" s="1"/>
  <c r="K573" i="1" s="1"/>
  <c r="K766" i="1" s="1"/>
  <c r="K959" i="1" s="1"/>
  <c r="K1152" i="1" s="1"/>
  <c r="D236" i="6"/>
  <c r="K184" i="1" s="1"/>
  <c r="K379" i="1" s="1"/>
  <c r="K572" i="1" s="1"/>
  <c r="K765" i="1" s="1"/>
  <c r="K958" i="1" s="1"/>
  <c r="K1151" i="1" s="1"/>
  <c r="D235" i="6"/>
  <c r="K183" i="1" s="1"/>
  <c r="K378" i="1" s="1"/>
  <c r="K571" i="1" s="1"/>
  <c r="K764" i="1" s="1"/>
  <c r="K957" i="1" s="1"/>
  <c r="K1150" i="1" s="1"/>
  <c r="D234" i="6"/>
  <c r="K182" i="1" s="1"/>
  <c r="K377" i="1" s="1"/>
  <c r="K570" i="1" s="1"/>
  <c r="K763" i="1" s="1"/>
  <c r="K956" i="1" s="1"/>
  <c r="K1149" i="1" s="1"/>
  <c r="D233" i="6"/>
  <c r="K181" i="1" s="1"/>
  <c r="K376" i="1" s="1"/>
  <c r="K569" i="1" s="1"/>
  <c r="K762" i="1" s="1"/>
  <c r="K955" i="1" s="1"/>
  <c r="K1148" i="1" s="1"/>
  <c r="D232" i="6"/>
  <c r="K180" i="1" s="1"/>
  <c r="K375" i="1" s="1"/>
  <c r="K568" i="1" s="1"/>
  <c r="K761" i="1" s="1"/>
  <c r="K954" i="1" s="1"/>
  <c r="K1147" i="1" s="1"/>
  <c r="D231" i="6"/>
  <c r="K179" i="1" s="1"/>
  <c r="K374" i="1" s="1"/>
  <c r="K567" i="1" s="1"/>
  <c r="K760" i="1" s="1"/>
  <c r="K953" i="1" s="1"/>
  <c r="K1146" i="1" s="1"/>
  <c r="D230" i="6"/>
  <c r="K178" i="1" s="1"/>
  <c r="K373" i="1" s="1"/>
  <c r="K566" i="1" s="1"/>
  <c r="K759" i="1" s="1"/>
  <c r="K952" i="1" s="1"/>
  <c r="K1145" i="1" s="1"/>
  <c r="D229" i="6"/>
  <c r="K177" i="1" s="1"/>
  <c r="K372" i="1" s="1"/>
  <c r="K565" i="1" s="1"/>
  <c r="K758" i="1" s="1"/>
  <c r="K951" i="1" s="1"/>
  <c r="K1144" i="1" s="1"/>
  <c r="D228" i="6"/>
  <c r="K176" i="1" s="1"/>
  <c r="K371" i="1" s="1"/>
  <c r="K564" i="1" s="1"/>
  <c r="K757" i="1" s="1"/>
  <c r="K950" i="1" s="1"/>
  <c r="K1143" i="1" s="1"/>
  <c r="D227" i="6"/>
  <c r="K175" i="1" s="1"/>
  <c r="K370" i="1" s="1"/>
  <c r="K563" i="1" s="1"/>
  <c r="K756" i="1" s="1"/>
  <c r="K949" i="1" s="1"/>
  <c r="K1142" i="1" s="1"/>
  <c r="D226" i="6"/>
  <c r="K174" i="1" s="1"/>
  <c r="K369" i="1" s="1"/>
  <c r="K562" i="1" s="1"/>
  <c r="K755" i="1" s="1"/>
  <c r="K948" i="1" s="1"/>
  <c r="K1141" i="1" s="1"/>
  <c r="D225" i="6"/>
  <c r="K173" i="1" s="1"/>
  <c r="K368" i="1" s="1"/>
  <c r="K561" i="1" s="1"/>
  <c r="K754" i="1" s="1"/>
  <c r="K947" i="1" s="1"/>
  <c r="K1140" i="1" s="1"/>
  <c r="D224" i="6"/>
  <c r="K172" i="1" s="1"/>
  <c r="D223" i="6"/>
  <c r="K171" i="1" s="1"/>
  <c r="D222" i="6"/>
  <c r="K170" i="1" s="1"/>
  <c r="D221" i="6"/>
  <c r="K169" i="1" s="1"/>
  <c r="D220" i="6"/>
  <c r="K168" i="1" s="1"/>
  <c r="D219" i="6"/>
  <c r="K167" i="1" s="1"/>
  <c r="K362" i="1" s="1"/>
  <c r="K555" i="1" s="1"/>
  <c r="K748" i="1" s="1"/>
  <c r="K941" i="1" s="1"/>
  <c r="K1134" i="1" s="1"/>
  <c r="D218" i="6"/>
  <c r="K166" i="1" s="1"/>
  <c r="D217" i="6"/>
  <c r="K165" i="1" s="1"/>
  <c r="D216" i="6"/>
  <c r="K164" i="1" s="1"/>
  <c r="D215" i="6"/>
  <c r="K163" i="1" s="1"/>
  <c r="D214" i="6"/>
  <c r="K162" i="1" s="1"/>
  <c r="D213" i="6"/>
  <c r="K161" i="1" s="1"/>
  <c r="D212" i="6"/>
  <c r="K160" i="1" s="1"/>
  <c r="D211" i="6"/>
  <c r="K159" i="1" s="1"/>
  <c r="D210" i="6"/>
  <c r="K158" i="1" s="1"/>
  <c r="D209" i="6"/>
  <c r="K157" i="1" s="1"/>
  <c r="D208" i="6"/>
  <c r="K156" i="1" s="1"/>
  <c r="D207" i="6"/>
  <c r="K155" i="1" s="1"/>
  <c r="D206" i="6"/>
  <c r="K154" i="1" s="1"/>
  <c r="D205" i="6"/>
  <c r="K153" i="1" s="1"/>
  <c r="D204" i="6"/>
  <c r="K152" i="1" s="1"/>
  <c r="D203" i="6"/>
  <c r="K151" i="1" s="1"/>
  <c r="D202" i="6"/>
  <c r="K150" i="1" s="1"/>
  <c r="D201" i="6"/>
  <c r="K149" i="1" s="1"/>
  <c r="D200" i="6"/>
  <c r="K148" i="1" s="1"/>
  <c r="D199" i="6"/>
  <c r="K147" i="1" s="1"/>
  <c r="D198" i="6"/>
  <c r="K146" i="1" s="1"/>
  <c r="D197" i="6"/>
  <c r="K145" i="1" s="1"/>
  <c r="D196" i="6"/>
  <c r="K144" i="1" s="1"/>
  <c r="D195" i="6"/>
  <c r="K143" i="1" s="1"/>
  <c r="D194" i="6"/>
  <c r="K142" i="1" s="1"/>
  <c r="D193" i="6"/>
  <c r="K141" i="1" s="1"/>
  <c r="D192" i="6"/>
  <c r="K140" i="1" s="1"/>
  <c r="D191" i="6"/>
  <c r="K139" i="1" s="1"/>
  <c r="D190" i="6"/>
  <c r="K138" i="1" s="1"/>
  <c r="D189" i="6"/>
  <c r="K137" i="1" s="1"/>
  <c r="D188" i="6"/>
  <c r="K136" i="1" s="1"/>
  <c r="D187" i="6"/>
  <c r="K135" i="1" s="1"/>
  <c r="D186" i="6"/>
  <c r="K134" i="1" s="1"/>
  <c r="D185" i="6"/>
  <c r="K133" i="1" s="1"/>
  <c r="D184" i="6"/>
  <c r="K132" i="1" s="1"/>
  <c r="D183" i="6"/>
  <c r="K131" i="1" s="1"/>
  <c r="D182" i="6"/>
  <c r="K130" i="1" s="1"/>
  <c r="D181" i="6"/>
  <c r="K129" i="1" s="1"/>
  <c r="D180" i="6"/>
  <c r="K128" i="1" s="1"/>
  <c r="D179" i="6"/>
  <c r="K127" i="1" s="1"/>
  <c r="D178" i="6"/>
  <c r="K126" i="1" s="1"/>
  <c r="K321" i="1" s="1"/>
  <c r="K514" i="1" s="1"/>
  <c r="K707" i="1" s="1"/>
  <c r="K900" i="1" s="1"/>
  <c r="K1093" i="1" s="1"/>
  <c r="D177" i="6"/>
  <c r="K125" i="1" s="1"/>
  <c r="D176" i="6"/>
  <c r="K124" i="1" s="1"/>
  <c r="D175" i="6"/>
  <c r="K123" i="1" s="1"/>
  <c r="D174" i="6"/>
  <c r="K122" i="1" s="1"/>
  <c r="D173" i="6"/>
  <c r="K121" i="1" s="1"/>
  <c r="D172" i="6"/>
  <c r="K120" i="1" s="1"/>
  <c r="D171" i="6"/>
  <c r="K119" i="1" s="1"/>
  <c r="D170" i="6"/>
  <c r="K118" i="1" s="1"/>
  <c r="D169" i="6"/>
  <c r="K117" i="1" s="1"/>
  <c r="D168" i="6"/>
  <c r="K116" i="1" s="1"/>
  <c r="D167" i="6"/>
  <c r="K115" i="1" s="1"/>
  <c r="D166" i="6"/>
  <c r="K114" i="1" s="1"/>
  <c r="D165" i="6"/>
  <c r="K113" i="1" s="1"/>
  <c r="D164" i="6"/>
  <c r="K112" i="1" s="1"/>
  <c r="D163" i="6"/>
  <c r="K111" i="1" s="1"/>
  <c r="D162" i="6"/>
  <c r="K110" i="1" s="1"/>
  <c r="D161" i="6"/>
  <c r="K109" i="1" s="1"/>
  <c r="D160" i="6"/>
  <c r="K108" i="1" s="1"/>
  <c r="D159" i="6"/>
  <c r="K107" i="1" s="1"/>
  <c r="D158" i="6"/>
  <c r="K106" i="1" s="1"/>
  <c r="D157" i="6"/>
  <c r="K105" i="1" s="1"/>
  <c r="D156" i="6"/>
  <c r="K104" i="1" s="1"/>
  <c r="D155" i="6"/>
  <c r="K103" i="1" s="1"/>
  <c r="D154" i="6"/>
  <c r="K102" i="1" s="1"/>
  <c r="D153" i="6"/>
  <c r="K101" i="1" s="1"/>
  <c r="D152" i="6"/>
  <c r="K100" i="1" s="1"/>
  <c r="D151" i="6"/>
  <c r="K99" i="1" s="1"/>
  <c r="D150" i="6"/>
  <c r="K98" i="1" s="1"/>
  <c r="D149" i="6"/>
  <c r="K97" i="1" s="1"/>
  <c r="D148" i="6"/>
  <c r="K96" i="1" s="1"/>
  <c r="D147" i="6"/>
  <c r="K95" i="1" s="1"/>
  <c r="D146" i="6"/>
  <c r="K94" i="1" s="1"/>
  <c r="D145" i="6"/>
  <c r="K93" i="1" s="1"/>
  <c r="D144" i="6"/>
  <c r="K92" i="1" s="1"/>
  <c r="D143" i="6"/>
  <c r="K91" i="1" s="1"/>
  <c r="D142" i="6"/>
  <c r="K90" i="1" s="1"/>
  <c r="D141" i="6"/>
  <c r="K89" i="1" s="1"/>
  <c r="D140" i="6"/>
  <c r="K88" i="1" s="1"/>
  <c r="D139" i="6"/>
  <c r="K87" i="1" s="1"/>
  <c r="D138" i="6"/>
  <c r="K86" i="1" s="1"/>
  <c r="D137" i="6"/>
  <c r="K85" i="1" s="1"/>
  <c r="D136" i="6"/>
  <c r="K84" i="1" s="1"/>
  <c r="D135" i="6"/>
  <c r="K83" i="1" s="1"/>
  <c r="D134" i="6"/>
  <c r="K82" i="1" s="1"/>
  <c r="D133" i="6"/>
  <c r="K81" i="1" s="1"/>
  <c r="D132" i="6"/>
  <c r="K80" i="1" s="1"/>
  <c r="D131" i="6"/>
  <c r="K79" i="1" s="1"/>
  <c r="D130" i="6"/>
  <c r="K78" i="1" s="1"/>
  <c r="D129" i="6"/>
  <c r="K77" i="1" s="1"/>
  <c r="D128" i="6"/>
  <c r="K76" i="1" s="1"/>
  <c r="D127" i="6"/>
  <c r="K75" i="1" s="1"/>
  <c r="D126" i="6"/>
  <c r="K74" i="1" s="1"/>
  <c r="D125" i="6"/>
  <c r="K73" i="1" s="1"/>
  <c r="D124" i="6"/>
  <c r="K72" i="1" s="1"/>
  <c r="D123" i="6"/>
  <c r="D122" i="6"/>
  <c r="K70" i="1" s="1"/>
  <c r="D121" i="6"/>
  <c r="K69" i="1" s="1"/>
  <c r="D120" i="6"/>
  <c r="K68" i="1" s="1"/>
  <c r="D119" i="6"/>
  <c r="K67" i="1" s="1"/>
  <c r="D118" i="6"/>
  <c r="K66" i="1" s="1"/>
  <c r="D117" i="6"/>
  <c r="K65" i="1" s="1"/>
  <c r="D116" i="6"/>
  <c r="K64" i="1" s="1"/>
  <c r="D115" i="6"/>
  <c r="K63" i="1" s="1"/>
  <c r="D114" i="6"/>
  <c r="K62" i="1" s="1"/>
  <c r="D113" i="6"/>
  <c r="K61" i="1" s="1"/>
  <c r="D112" i="6"/>
  <c r="K60" i="1" s="1"/>
  <c r="D111" i="6"/>
  <c r="K59" i="1" s="1"/>
  <c r="D110" i="6"/>
  <c r="K58" i="1" s="1"/>
  <c r="D109" i="6"/>
  <c r="K57" i="1" s="1"/>
  <c r="D108" i="6"/>
  <c r="K56" i="1" s="1"/>
  <c r="D107" i="6"/>
  <c r="K55" i="1" s="1"/>
  <c r="D106" i="6"/>
  <c r="K54" i="1" s="1"/>
  <c r="D105" i="6"/>
  <c r="K53" i="1" s="1"/>
  <c r="D104" i="6"/>
  <c r="K52" i="1" s="1"/>
  <c r="D103" i="6"/>
  <c r="K51" i="1" s="1"/>
  <c r="D102" i="6"/>
  <c r="K50" i="1" s="1"/>
  <c r="D101" i="6"/>
  <c r="K49" i="1" s="1"/>
  <c r="D100" i="6"/>
  <c r="K48" i="1" s="1"/>
  <c r="D99" i="6"/>
  <c r="K47" i="1" s="1"/>
  <c r="D98" i="6"/>
  <c r="K46" i="1" s="1"/>
  <c r="D97" i="6"/>
  <c r="K45" i="1" s="1"/>
  <c r="D96" i="6"/>
  <c r="K44" i="1" s="1"/>
  <c r="D95" i="6"/>
  <c r="D94" i="6"/>
  <c r="K42" i="1" s="1"/>
  <c r="D93" i="6"/>
  <c r="K41" i="1" s="1"/>
  <c r="D92" i="6"/>
  <c r="K40" i="1" s="1"/>
  <c r="D91" i="6"/>
  <c r="K39" i="1" s="1"/>
  <c r="D90" i="6"/>
  <c r="K38" i="1" s="1"/>
  <c r="D89" i="6"/>
  <c r="K37" i="1" s="1"/>
  <c r="D88" i="6"/>
  <c r="K36" i="1" s="1"/>
  <c r="D87" i="6"/>
  <c r="K35" i="1" s="1"/>
  <c r="D86" i="6"/>
  <c r="K34" i="1" s="1"/>
  <c r="D85" i="6"/>
  <c r="K33" i="1" s="1"/>
  <c r="D84" i="6"/>
  <c r="K32" i="1" s="1"/>
  <c r="D83" i="6"/>
  <c r="K31" i="1" s="1"/>
  <c r="D82" i="6"/>
  <c r="K30" i="1" s="1"/>
  <c r="D81" i="6"/>
  <c r="K29" i="1" s="1"/>
  <c r="D80" i="6"/>
  <c r="K28" i="1" s="1"/>
  <c r="D79" i="6"/>
  <c r="K27" i="1" s="1"/>
  <c r="D78" i="6"/>
  <c r="K26" i="1" s="1"/>
  <c r="D77" i="6"/>
  <c r="K25" i="1" s="1"/>
  <c r="D76" i="6"/>
  <c r="K24" i="1" s="1"/>
  <c r="D75" i="6"/>
  <c r="K23" i="1" s="1"/>
  <c r="D74" i="6"/>
  <c r="K22" i="1" s="1"/>
  <c r="D73" i="6"/>
  <c r="K21" i="1" s="1"/>
  <c r="D72" i="6"/>
  <c r="D71" i="6"/>
  <c r="K19" i="1" s="1"/>
  <c r="D70" i="6"/>
  <c r="K18" i="1" s="1"/>
  <c r="D69" i="6"/>
  <c r="K17" i="1" s="1"/>
  <c r="D68" i="6"/>
  <c r="K16" i="1" s="1"/>
  <c r="D67" i="6"/>
  <c r="K15" i="1" s="1"/>
  <c r="D66" i="6"/>
  <c r="K14" i="1" s="1"/>
  <c r="D65" i="6"/>
  <c r="K13" i="1" s="1"/>
  <c r="D64" i="6"/>
  <c r="K12" i="1" s="1"/>
  <c r="D63" i="6"/>
  <c r="K11" i="1" s="1"/>
  <c r="D62" i="6"/>
  <c r="K10" i="1" s="1"/>
  <c r="D61" i="6"/>
  <c r="K9" i="1" s="1"/>
  <c r="D60" i="6"/>
  <c r="K8" i="1" s="1"/>
  <c r="D59" i="6"/>
  <c r="K7" i="1" s="1"/>
  <c r="D58" i="6"/>
  <c r="K6" i="1" s="1"/>
  <c r="D57" i="6"/>
  <c r="K5" i="1" s="1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" i="6"/>
  <c r="K71" i="1" l="1"/>
  <c r="K68" i="3"/>
  <c r="K32" i="2"/>
  <c r="K143" i="2" s="1"/>
  <c r="K254" i="2" s="1"/>
  <c r="K365" i="2" s="1"/>
  <c r="K476" i="2" s="1"/>
  <c r="K587" i="2" s="1"/>
  <c r="A143" i="2"/>
  <c r="A254" i="2" s="1"/>
  <c r="A365" i="2" s="1"/>
  <c r="A476" i="2" s="1"/>
  <c r="A587" i="2" s="1"/>
  <c r="K33" i="2"/>
  <c r="K144" i="2" s="1"/>
  <c r="K255" i="2" s="1"/>
  <c r="K366" i="2" s="1"/>
  <c r="K477" i="2" s="1"/>
  <c r="K588" i="2" s="1"/>
  <c r="A144" i="2"/>
  <c r="A255" i="2" s="1"/>
  <c r="A366" i="2" s="1"/>
  <c r="A477" i="2" s="1"/>
  <c r="A588" i="2" s="1"/>
  <c r="K221" i="1"/>
  <c r="K414" i="1" s="1"/>
  <c r="K607" i="1" s="1"/>
  <c r="K800" i="1" s="1"/>
  <c r="K993" i="1" s="1"/>
  <c r="K20" i="1"/>
  <c r="K215" i="1" s="1"/>
  <c r="K408" i="1" s="1"/>
  <c r="K601" i="1" s="1"/>
  <c r="K794" i="1" s="1"/>
  <c r="K987" i="1" s="1"/>
  <c r="K244" i="1"/>
  <c r="K437" i="1" s="1"/>
  <c r="K630" i="1" s="1"/>
  <c r="K823" i="1" s="1"/>
  <c r="K1016" i="1" s="1"/>
  <c r="K43" i="1"/>
  <c r="K238" i="1" s="1"/>
  <c r="K431" i="1" s="1"/>
  <c r="K624" i="1" s="1"/>
  <c r="K817" i="1" s="1"/>
  <c r="K1010" i="1" s="1"/>
  <c r="K67" i="3"/>
  <c r="K66" i="3"/>
  <c r="K65" i="3"/>
  <c r="K64" i="3"/>
  <c r="K63" i="3"/>
  <c r="K62" i="3"/>
  <c r="K203" i="1"/>
  <c r="K396" i="1" s="1"/>
  <c r="K589" i="1" s="1"/>
  <c r="K782" i="1" s="1"/>
  <c r="K975" i="1" s="1"/>
  <c r="K4" i="1"/>
  <c r="K199" i="1" s="1"/>
  <c r="K392" i="1" s="1"/>
  <c r="K585" i="1" s="1"/>
  <c r="K778" i="1" s="1"/>
  <c r="K971" i="1" s="1"/>
  <c r="K200" i="1"/>
  <c r="K393" i="1" s="1"/>
  <c r="K586" i="1" s="1"/>
  <c r="K779" i="1" s="1"/>
  <c r="K972" i="1" s="1"/>
  <c r="K201" i="1"/>
  <c r="K394" i="1" s="1"/>
  <c r="K587" i="1" s="1"/>
  <c r="K780" i="1" s="1"/>
  <c r="K973" i="1" s="1"/>
  <c r="K202" i="1"/>
  <c r="K395" i="1" s="1"/>
  <c r="K588" i="1" s="1"/>
  <c r="K781" i="1" s="1"/>
  <c r="K974" i="1" s="1"/>
  <c r="K204" i="1"/>
  <c r="K397" i="1" s="1"/>
  <c r="K590" i="1" s="1"/>
  <c r="K783" i="1" s="1"/>
  <c r="K976" i="1" s="1"/>
  <c r="K205" i="1"/>
  <c r="K398" i="1" s="1"/>
  <c r="K591" i="1" s="1"/>
  <c r="K784" i="1" s="1"/>
  <c r="K977" i="1" s="1"/>
  <c r="K206" i="1"/>
  <c r="K399" i="1" s="1"/>
  <c r="K592" i="1" s="1"/>
  <c r="K785" i="1" s="1"/>
  <c r="K978" i="1" s="1"/>
  <c r="K207" i="1"/>
  <c r="K400" i="1" s="1"/>
  <c r="K593" i="1" s="1"/>
  <c r="K786" i="1" s="1"/>
  <c r="K979" i="1" s="1"/>
  <c r="K208" i="1"/>
  <c r="K401" i="1" s="1"/>
  <c r="K594" i="1" s="1"/>
  <c r="K787" i="1" s="1"/>
  <c r="K980" i="1" s="1"/>
  <c r="K209" i="1"/>
  <c r="K402" i="1" s="1"/>
  <c r="K595" i="1" s="1"/>
  <c r="K788" i="1" s="1"/>
  <c r="K981" i="1" s="1"/>
  <c r="K210" i="1"/>
  <c r="K403" i="1" s="1"/>
  <c r="K596" i="1" s="1"/>
  <c r="K789" i="1" s="1"/>
  <c r="K982" i="1" s="1"/>
  <c r="K211" i="1"/>
  <c r="K404" i="1" s="1"/>
  <c r="K597" i="1" s="1"/>
  <c r="K790" i="1" s="1"/>
  <c r="K983" i="1" s="1"/>
  <c r="K212" i="1"/>
  <c r="K405" i="1" s="1"/>
  <c r="K598" i="1" s="1"/>
  <c r="K791" i="1" s="1"/>
  <c r="K984" i="1" s="1"/>
  <c r="K213" i="1"/>
  <c r="K406" i="1" s="1"/>
  <c r="K599" i="1" s="1"/>
  <c r="K792" i="1" s="1"/>
  <c r="K985" i="1" s="1"/>
  <c r="K214" i="1"/>
  <c r="K407" i="1" s="1"/>
  <c r="K600" i="1" s="1"/>
  <c r="K793" i="1" s="1"/>
  <c r="K986" i="1" s="1"/>
  <c r="K216" i="1"/>
  <c r="K409" i="1" s="1"/>
  <c r="K602" i="1" s="1"/>
  <c r="K795" i="1" s="1"/>
  <c r="K988" i="1" s="1"/>
  <c r="K217" i="1"/>
  <c r="K410" i="1" s="1"/>
  <c r="K603" i="1" s="1"/>
  <c r="K796" i="1" s="1"/>
  <c r="K989" i="1" s="1"/>
  <c r="K218" i="1"/>
  <c r="K411" i="1" s="1"/>
  <c r="K604" i="1" s="1"/>
  <c r="K797" i="1" s="1"/>
  <c r="K990" i="1" s="1"/>
  <c r="K219" i="1"/>
  <c r="K412" i="1" s="1"/>
  <c r="K605" i="1" s="1"/>
  <c r="K798" i="1" s="1"/>
  <c r="K991" i="1" s="1"/>
  <c r="K243" i="1"/>
  <c r="K436" i="1" s="1"/>
  <c r="K629" i="1" s="1"/>
  <c r="K822" i="1" s="1"/>
  <c r="K1015" i="1" s="1"/>
  <c r="K222" i="1"/>
  <c r="K415" i="1" s="1"/>
  <c r="K608" i="1" s="1"/>
  <c r="K801" i="1" s="1"/>
  <c r="K994" i="1" s="1"/>
  <c r="K223" i="1"/>
  <c r="K416" i="1" s="1"/>
  <c r="K609" i="1" s="1"/>
  <c r="K802" i="1" s="1"/>
  <c r="K995" i="1" s="1"/>
  <c r="K224" i="1"/>
  <c r="K417" i="1" s="1"/>
  <c r="K610" i="1" s="1"/>
  <c r="K803" i="1" s="1"/>
  <c r="K996" i="1" s="1"/>
  <c r="K225" i="1"/>
  <c r="K418" i="1" s="1"/>
  <c r="K611" i="1" s="1"/>
  <c r="K804" i="1" s="1"/>
  <c r="K997" i="1" s="1"/>
  <c r="K226" i="1"/>
  <c r="K419" i="1" s="1"/>
  <c r="K612" i="1" s="1"/>
  <c r="K805" i="1" s="1"/>
  <c r="K998" i="1" s="1"/>
  <c r="K227" i="1"/>
  <c r="K420" i="1" s="1"/>
  <c r="K613" i="1" s="1"/>
  <c r="K806" i="1" s="1"/>
  <c r="K999" i="1" s="1"/>
  <c r="K228" i="1"/>
  <c r="K421" i="1" s="1"/>
  <c r="K614" i="1" s="1"/>
  <c r="K807" i="1" s="1"/>
  <c r="K1000" i="1" s="1"/>
  <c r="K229" i="1"/>
  <c r="K422" i="1" s="1"/>
  <c r="K615" i="1" s="1"/>
  <c r="K808" i="1" s="1"/>
  <c r="K1001" i="1" s="1"/>
  <c r="K230" i="1"/>
  <c r="K423" i="1" s="1"/>
  <c r="K616" i="1" s="1"/>
  <c r="K809" i="1" s="1"/>
  <c r="K1002" i="1" s="1"/>
  <c r="K231" i="1"/>
  <c r="K424" i="1" s="1"/>
  <c r="K617" i="1" s="1"/>
  <c r="K810" i="1" s="1"/>
  <c r="K1003" i="1" s="1"/>
  <c r="K232" i="1"/>
  <c r="K425" i="1" s="1"/>
  <c r="K618" i="1" s="1"/>
  <c r="K811" i="1" s="1"/>
  <c r="K1004" i="1" s="1"/>
  <c r="K233" i="1"/>
  <c r="K426" i="1" s="1"/>
  <c r="K619" i="1" s="1"/>
  <c r="K812" i="1" s="1"/>
  <c r="K1005" i="1" s="1"/>
  <c r="K234" i="1"/>
  <c r="K427" i="1" s="1"/>
  <c r="K620" i="1" s="1"/>
  <c r="K813" i="1" s="1"/>
  <c r="K1006" i="1" s="1"/>
  <c r="K235" i="1"/>
  <c r="K428" i="1" s="1"/>
  <c r="K621" i="1" s="1"/>
  <c r="K814" i="1" s="1"/>
  <c r="K1007" i="1" s="1"/>
  <c r="K236" i="1"/>
  <c r="K429" i="1" s="1"/>
  <c r="K622" i="1" s="1"/>
  <c r="K815" i="1" s="1"/>
  <c r="K1008" i="1" s="1"/>
  <c r="K237" i="1"/>
  <c r="K430" i="1" s="1"/>
  <c r="K623" i="1" s="1"/>
  <c r="K816" i="1" s="1"/>
  <c r="K1009" i="1" s="1"/>
  <c r="K239" i="1"/>
  <c r="K432" i="1" s="1"/>
  <c r="K625" i="1" s="1"/>
  <c r="K818" i="1" s="1"/>
  <c r="K1011" i="1" s="1"/>
  <c r="K240" i="1"/>
  <c r="K433" i="1" s="1"/>
  <c r="K626" i="1" s="1"/>
  <c r="K819" i="1" s="1"/>
  <c r="K1012" i="1" s="1"/>
  <c r="K241" i="1"/>
  <c r="K434" i="1" s="1"/>
  <c r="K627" i="1" s="1"/>
  <c r="K820" i="1" s="1"/>
  <c r="K1013" i="1" s="1"/>
  <c r="K242" i="1"/>
  <c r="K435" i="1" s="1"/>
  <c r="K628" i="1" s="1"/>
  <c r="K821" i="1" s="1"/>
  <c r="K1014" i="1" s="1"/>
  <c r="K220" i="1"/>
  <c r="K413" i="1" s="1"/>
  <c r="K606" i="1" s="1"/>
  <c r="K799" i="1" s="1"/>
  <c r="K992" i="1" s="1"/>
  <c r="K245" i="1"/>
  <c r="K438" i="1" s="1"/>
  <c r="K631" i="1" s="1"/>
  <c r="K824" i="1" s="1"/>
  <c r="K1017" i="1" s="1"/>
  <c r="K246" i="1"/>
  <c r="K439" i="1" s="1"/>
  <c r="K632" i="1" s="1"/>
  <c r="K825" i="1" s="1"/>
  <c r="K1018" i="1" s="1"/>
  <c r="K247" i="1"/>
  <c r="K440" i="1" s="1"/>
  <c r="K633" i="1" s="1"/>
  <c r="K826" i="1" s="1"/>
  <c r="K1019" i="1" s="1"/>
  <c r="K248" i="1"/>
  <c r="K441" i="1" s="1"/>
  <c r="K634" i="1" s="1"/>
  <c r="K827" i="1" s="1"/>
  <c r="K1020" i="1" s="1"/>
  <c r="K249" i="1"/>
  <c r="K442" i="1" s="1"/>
  <c r="K635" i="1" s="1"/>
  <c r="K828" i="1" s="1"/>
  <c r="K1021" i="1" s="1"/>
  <c r="K250" i="1"/>
  <c r="K443" i="1" s="1"/>
  <c r="K636" i="1" s="1"/>
  <c r="K829" i="1" s="1"/>
  <c r="K1022" i="1" s="1"/>
  <c r="K251" i="1"/>
  <c r="K444" i="1" s="1"/>
  <c r="K637" i="1" s="1"/>
  <c r="K830" i="1" s="1"/>
  <c r="K1023" i="1" s="1"/>
  <c r="K252" i="1"/>
  <c r="K445" i="1" s="1"/>
  <c r="K638" i="1" s="1"/>
  <c r="K831" i="1" s="1"/>
  <c r="K1024" i="1" s="1"/>
  <c r="K253" i="1"/>
  <c r="K446" i="1" s="1"/>
  <c r="K639" i="1" s="1"/>
  <c r="K832" i="1" s="1"/>
  <c r="K1025" i="1" s="1"/>
  <c r="K254" i="1"/>
  <c r="K447" i="1" s="1"/>
  <c r="K640" i="1" s="1"/>
  <c r="K833" i="1" s="1"/>
  <c r="K1026" i="1" s="1"/>
  <c r="K255" i="1"/>
  <c r="K448" i="1" s="1"/>
  <c r="K641" i="1" s="1"/>
  <c r="K834" i="1" s="1"/>
  <c r="K1027" i="1" s="1"/>
  <c r="K256" i="1"/>
  <c r="K449" i="1" s="1"/>
  <c r="K642" i="1" s="1"/>
  <c r="K835" i="1" s="1"/>
  <c r="K1028" i="1" s="1"/>
  <c r="K257" i="1"/>
  <c r="K450" i="1" s="1"/>
  <c r="K643" i="1" s="1"/>
  <c r="K836" i="1" s="1"/>
  <c r="K1029" i="1" s="1"/>
  <c r="K258" i="1"/>
  <c r="K451" i="1" s="1"/>
  <c r="K644" i="1" s="1"/>
  <c r="K837" i="1" s="1"/>
  <c r="K1030" i="1" s="1"/>
  <c r="K259" i="1"/>
  <c r="K452" i="1" s="1"/>
  <c r="K645" i="1" s="1"/>
  <c r="K838" i="1" s="1"/>
  <c r="K1031" i="1" s="1"/>
  <c r="K260" i="1"/>
  <c r="K453" i="1" s="1"/>
  <c r="K646" i="1" s="1"/>
  <c r="K839" i="1" s="1"/>
  <c r="K1032" i="1" s="1"/>
  <c r="K261" i="1"/>
  <c r="K454" i="1" s="1"/>
  <c r="K647" i="1" s="1"/>
  <c r="K840" i="1" s="1"/>
  <c r="K1033" i="1" s="1"/>
  <c r="K262" i="1"/>
  <c r="K455" i="1" s="1"/>
  <c r="K648" i="1" s="1"/>
  <c r="K841" i="1" s="1"/>
  <c r="K1034" i="1" s="1"/>
  <c r="K263" i="1"/>
  <c r="K456" i="1" s="1"/>
  <c r="K649" i="1" s="1"/>
  <c r="K842" i="1" s="1"/>
  <c r="K1035" i="1" s="1"/>
  <c r="K264" i="1"/>
  <c r="K457" i="1" s="1"/>
  <c r="K650" i="1" s="1"/>
  <c r="K843" i="1" s="1"/>
  <c r="K1036" i="1" s="1"/>
  <c r="K265" i="1"/>
  <c r="K458" i="1" s="1"/>
  <c r="K651" i="1" s="1"/>
  <c r="K844" i="1" s="1"/>
  <c r="K1037" i="1" s="1"/>
  <c r="K266" i="1"/>
  <c r="K459" i="1" s="1"/>
  <c r="K652" i="1" s="1"/>
  <c r="K845" i="1" s="1"/>
  <c r="K1038" i="1" s="1"/>
  <c r="K267" i="1"/>
  <c r="K460" i="1" s="1"/>
  <c r="K653" i="1" s="1"/>
  <c r="K846" i="1" s="1"/>
  <c r="K1039" i="1" s="1"/>
  <c r="K268" i="1"/>
  <c r="K461" i="1" s="1"/>
  <c r="K654" i="1" s="1"/>
  <c r="K847" i="1" s="1"/>
  <c r="K1040" i="1" s="1"/>
  <c r="K269" i="1"/>
  <c r="K462" i="1" s="1"/>
  <c r="K655" i="1" s="1"/>
  <c r="K848" i="1" s="1"/>
  <c r="K1041" i="1" s="1"/>
  <c r="K270" i="1"/>
  <c r="K463" i="1" s="1"/>
  <c r="K656" i="1" s="1"/>
  <c r="K849" i="1" s="1"/>
  <c r="K1042" i="1" s="1"/>
  <c r="K271" i="1"/>
  <c r="K464" i="1" s="1"/>
  <c r="K657" i="1" s="1"/>
  <c r="K850" i="1" s="1"/>
  <c r="K1043" i="1" s="1"/>
  <c r="K272" i="1"/>
  <c r="K465" i="1" s="1"/>
  <c r="K658" i="1" s="1"/>
  <c r="K851" i="1" s="1"/>
  <c r="K1044" i="1" s="1"/>
  <c r="K273" i="1"/>
  <c r="K466" i="1" s="1"/>
  <c r="K659" i="1" s="1"/>
  <c r="K852" i="1" s="1"/>
  <c r="K1045" i="1" s="1"/>
  <c r="K274" i="1"/>
  <c r="K467" i="1" s="1"/>
  <c r="K660" i="1" s="1"/>
  <c r="K853" i="1" s="1"/>
  <c r="K1046" i="1" s="1"/>
  <c r="K275" i="1"/>
  <c r="K468" i="1" s="1"/>
  <c r="K661" i="1" s="1"/>
  <c r="K854" i="1" s="1"/>
  <c r="K1047" i="1" s="1"/>
  <c r="K276" i="1"/>
  <c r="K469" i="1" s="1"/>
  <c r="K662" i="1" s="1"/>
  <c r="K855" i="1" s="1"/>
  <c r="K1048" i="1" s="1"/>
  <c r="K277" i="1"/>
  <c r="K470" i="1" s="1"/>
  <c r="K663" i="1" s="1"/>
  <c r="K856" i="1" s="1"/>
  <c r="K1049" i="1" s="1"/>
  <c r="K278" i="1"/>
  <c r="K471" i="1" s="1"/>
  <c r="K664" i="1" s="1"/>
  <c r="K857" i="1" s="1"/>
  <c r="K1050" i="1" s="1"/>
  <c r="K279" i="1"/>
  <c r="K472" i="1" s="1"/>
  <c r="K665" i="1" s="1"/>
  <c r="K858" i="1" s="1"/>
  <c r="K1051" i="1" s="1"/>
  <c r="K280" i="1"/>
  <c r="K473" i="1" s="1"/>
  <c r="K666" i="1" s="1"/>
  <c r="K859" i="1" s="1"/>
  <c r="K1052" i="1" s="1"/>
  <c r="K281" i="1"/>
  <c r="K474" i="1" s="1"/>
  <c r="K667" i="1" s="1"/>
  <c r="K860" i="1" s="1"/>
  <c r="K1053" i="1" s="1"/>
  <c r="K282" i="1"/>
  <c r="K475" i="1" s="1"/>
  <c r="K668" i="1" s="1"/>
  <c r="K861" i="1" s="1"/>
  <c r="K1054" i="1" s="1"/>
  <c r="K283" i="1"/>
  <c r="K476" i="1" s="1"/>
  <c r="K669" i="1" s="1"/>
  <c r="K862" i="1" s="1"/>
  <c r="K1055" i="1" s="1"/>
  <c r="K284" i="1"/>
  <c r="K477" i="1" s="1"/>
  <c r="K670" i="1" s="1"/>
  <c r="K863" i="1" s="1"/>
  <c r="K1056" i="1" s="1"/>
  <c r="K285" i="1"/>
  <c r="K478" i="1" s="1"/>
  <c r="K671" i="1" s="1"/>
  <c r="K864" i="1" s="1"/>
  <c r="K1057" i="1" s="1"/>
  <c r="K286" i="1"/>
  <c r="K479" i="1" s="1"/>
  <c r="K672" i="1" s="1"/>
  <c r="K865" i="1" s="1"/>
  <c r="K1058" i="1" s="1"/>
  <c r="K287" i="1"/>
  <c r="K480" i="1" s="1"/>
  <c r="K673" i="1" s="1"/>
  <c r="K866" i="1" s="1"/>
  <c r="K1059" i="1" s="1"/>
  <c r="K288" i="1"/>
  <c r="K481" i="1" s="1"/>
  <c r="K674" i="1" s="1"/>
  <c r="K867" i="1" s="1"/>
  <c r="K1060" i="1" s="1"/>
  <c r="K289" i="1"/>
  <c r="K482" i="1" s="1"/>
  <c r="K675" i="1" s="1"/>
  <c r="K868" i="1" s="1"/>
  <c r="K1061" i="1" s="1"/>
  <c r="K290" i="1"/>
  <c r="K483" i="1" s="1"/>
  <c r="K676" i="1" s="1"/>
  <c r="K869" i="1" s="1"/>
  <c r="K1062" i="1" s="1"/>
  <c r="K291" i="1"/>
  <c r="K484" i="1" s="1"/>
  <c r="K677" i="1" s="1"/>
  <c r="K870" i="1" s="1"/>
  <c r="K1063" i="1" s="1"/>
  <c r="K292" i="1"/>
  <c r="K485" i="1" s="1"/>
  <c r="K678" i="1" s="1"/>
  <c r="K871" i="1" s="1"/>
  <c r="K1064" i="1" s="1"/>
  <c r="K293" i="1"/>
  <c r="K486" i="1" s="1"/>
  <c r="K679" i="1" s="1"/>
  <c r="K872" i="1" s="1"/>
  <c r="K1065" i="1" s="1"/>
  <c r="K294" i="1"/>
  <c r="K487" i="1" s="1"/>
  <c r="K680" i="1" s="1"/>
  <c r="K873" i="1" s="1"/>
  <c r="K1066" i="1" s="1"/>
  <c r="K295" i="1"/>
  <c r="K488" i="1" s="1"/>
  <c r="K681" i="1" s="1"/>
  <c r="K874" i="1" s="1"/>
  <c r="K1067" i="1" s="1"/>
  <c r="K296" i="1"/>
  <c r="K489" i="1" s="1"/>
  <c r="K682" i="1" s="1"/>
  <c r="K875" i="1" s="1"/>
  <c r="K1068" i="1" s="1"/>
  <c r="K297" i="1"/>
  <c r="K490" i="1" s="1"/>
  <c r="K683" i="1" s="1"/>
  <c r="K876" i="1" s="1"/>
  <c r="K1069" i="1" s="1"/>
  <c r="K298" i="1"/>
  <c r="K491" i="1" s="1"/>
  <c r="K684" i="1" s="1"/>
  <c r="K877" i="1" s="1"/>
  <c r="K1070" i="1" s="1"/>
  <c r="K299" i="1"/>
  <c r="K492" i="1" s="1"/>
  <c r="K685" i="1" s="1"/>
  <c r="K878" i="1" s="1"/>
  <c r="K1071" i="1" s="1"/>
  <c r="K300" i="1"/>
  <c r="K493" i="1" s="1"/>
  <c r="K686" i="1" s="1"/>
  <c r="K879" i="1" s="1"/>
  <c r="K1072" i="1" s="1"/>
  <c r="K301" i="1"/>
  <c r="K494" i="1" s="1"/>
  <c r="K687" i="1" s="1"/>
  <c r="K880" i="1" s="1"/>
  <c r="K1073" i="1" s="1"/>
  <c r="K302" i="1"/>
  <c r="K495" i="1" s="1"/>
  <c r="K688" i="1" s="1"/>
  <c r="K881" i="1" s="1"/>
  <c r="K1074" i="1" s="1"/>
  <c r="K303" i="1"/>
  <c r="K496" i="1" s="1"/>
  <c r="K689" i="1" s="1"/>
  <c r="K882" i="1" s="1"/>
  <c r="K1075" i="1" s="1"/>
  <c r="K304" i="1"/>
  <c r="K497" i="1" s="1"/>
  <c r="K690" i="1" s="1"/>
  <c r="K883" i="1" s="1"/>
  <c r="K1076" i="1" s="1"/>
  <c r="K305" i="1"/>
  <c r="K498" i="1" s="1"/>
  <c r="K691" i="1" s="1"/>
  <c r="K884" i="1" s="1"/>
  <c r="K1077" i="1" s="1"/>
  <c r="K306" i="1"/>
  <c r="K499" i="1" s="1"/>
  <c r="K692" i="1" s="1"/>
  <c r="K885" i="1" s="1"/>
  <c r="K1078" i="1" s="1"/>
  <c r="K307" i="1"/>
  <c r="K500" i="1" s="1"/>
  <c r="K693" i="1" s="1"/>
  <c r="K886" i="1" s="1"/>
  <c r="K1079" i="1" s="1"/>
  <c r="K308" i="1"/>
  <c r="K501" i="1" s="1"/>
  <c r="K694" i="1" s="1"/>
  <c r="K887" i="1" s="1"/>
  <c r="K1080" i="1" s="1"/>
  <c r="K309" i="1"/>
  <c r="K502" i="1" s="1"/>
  <c r="K695" i="1" s="1"/>
  <c r="K888" i="1" s="1"/>
  <c r="K1081" i="1" s="1"/>
  <c r="K310" i="1"/>
  <c r="K503" i="1" s="1"/>
  <c r="K696" i="1" s="1"/>
  <c r="K889" i="1" s="1"/>
  <c r="K1082" i="1" s="1"/>
  <c r="K311" i="1"/>
  <c r="K504" i="1" s="1"/>
  <c r="K697" i="1" s="1"/>
  <c r="K890" i="1" s="1"/>
  <c r="K1083" i="1" s="1"/>
  <c r="K312" i="1"/>
  <c r="K505" i="1" s="1"/>
  <c r="K698" i="1" s="1"/>
  <c r="K891" i="1" s="1"/>
  <c r="K1084" i="1" s="1"/>
  <c r="K313" i="1"/>
  <c r="K506" i="1" s="1"/>
  <c r="K699" i="1" s="1"/>
  <c r="K892" i="1" s="1"/>
  <c r="K1085" i="1" s="1"/>
  <c r="K314" i="1"/>
  <c r="K507" i="1" s="1"/>
  <c r="K700" i="1" s="1"/>
  <c r="K893" i="1" s="1"/>
  <c r="K1086" i="1" s="1"/>
  <c r="K315" i="1"/>
  <c r="K508" i="1" s="1"/>
  <c r="K701" i="1" s="1"/>
  <c r="K894" i="1" s="1"/>
  <c r="K1087" i="1" s="1"/>
  <c r="K316" i="1"/>
  <c r="K509" i="1" s="1"/>
  <c r="K702" i="1" s="1"/>
  <c r="K895" i="1" s="1"/>
  <c r="K1088" i="1" s="1"/>
  <c r="K317" i="1"/>
  <c r="K510" i="1" s="1"/>
  <c r="K703" i="1" s="1"/>
  <c r="K896" i="1" s="1"/>
  <c r="K1089" i="1" s="1"/>
  <c r="K318" i="1"/>
  <c r="K511" i="1" s="1"/>
  <c r="K704" i="1" s="1"/>
  <c r="K897" i="1" s="1"/>
  <c r="K1090" i="1" s="1"/>
  <c r="K319" i="1"/>
  <c r="K512" i="1" s="1"/>
  <c r="K705" i="1" s="1"/>
  <c r="K898" i="1" s="1"/>
  <c r="K1091" i="1" s="1"/>
  <c r="K320" i="1"/>
  <c r="K513" i="1" s="1"/>
  <c r="K706" i="1" s="1"/>
  <c r="K899" i="1" s="1"/>
  <c r="K1092" i="1" s="1"/>
  <c r="K322" i="1"/>
  <c r="K515" i="1" s="1"/>
  <c r="K708" i="1" s="1"/>
  <c r="K901" i="1" s="1"/>
  <c r="K1094" i="1" s="1"/>
  <c r="K323" i="1"/>
  <c r="K516" i="1" s="1"/>
  <c r="K709" i="1" s="1"/>
  <c r="K902" i="1" s="1"/>
  <c r="K1095" i="1" s="1"/>
  <c r="K324" i="1"/>
  <c r="K517" i="1" s="1"/>
  <c r="K710" i="1" s="1"/>
  <c r="K903" i="1" s="1"/>
  <c r="K1096" i="1" s="1"/>
  <c r="K325" i="1"/>
  <c r="K518" i="1" s="1"/>
  <c r="K711" i="1" s="1"/>
  <c r="K904" i="1" s="1"/>
  <c r="K1097" i="1" s="1"/>
  <c r="K326" i="1"/>
  <c r="K519" i="1" s="1"/>
  <c r="K712" i="1" s="1"/>
  <c r="K905" i="1" s="1"/>
  <c r="K1098" i="1" s="1"/>
  <c r="K327" i="1"/>
  <c r="K520" i="1" s="1"/>
  <c r="K713" i="1" s="1"/>
  <c r="K906" i="1" s="1"/>
  <c r="K1099" i="1" s="1"/>
  <c r="K328" i="1"/>
  <c r="K521" i="1" s="1"/>
  <c r="K714" i="1" s="1"/>
  <c r="K907" i="1" s="1"/>
  <c r="K1100" i="1" s="1"/>
  <c r="K329" i="1"/>
  <c r="K522" i="1" s="1"/>
  <c r="K715" i="1" s="1"/>
  <c r="K908" i="1" s="1"/>
  <c r="K1101" i="1" s="1"/>
  <c r="K330" i="1"/>
  <c r="K523" i="1" s="1"/>
  <c r="K716" i="1" s="1"/>
  <c r="K909" i="1" s="1"/>
  <c r="K1102" i="1" s="1"/>
  <c r="K331" i="1"/>
  <c r="K524" i="1" s="1"/>
  <c r="K717" i="1" s="1"/>
  <c r="K910" i="1" s="1"/>
  <c r="K1103" i="1" s="1"/>
  <c r="K332" i="1"/>
  <c r="K525" i="1" s="1"/>
  <c r="K718" i="1" s="1"/>
  <c r="K911" i="1" s="1"/>
  <c r="K1104" i="1" s="1"/>
  <c r="K333" i="1"/>
  <c r="K526" i="1" s="1"/>
  <c r="K719" i="1" s="1"/>
  <c r="K912" i="1" s="1"/>
  <c r="K1105" i="1" s="1"/>
  <c r="K334" i="1"/>
  <c r="K527" i="1" s="1"/>
  <c r="K720" i="1" s="1"/>
  <c r="K913" i="1" s="1"/>
  <c r="K1106" i="1" s="1"/>
  <c r="K335" i="1"/>
  <c r="K528" i="1" s="1"/>
  <c r="K721" i="1" s="1"/>
  <c r="K914" i="1" s="1"/>
  <c r="K1107" i="1" s="1"/>
  <c r="K336" i="1"/>
  <c r="K529" i="1" s="1"/>
  <c r="K722" i="1" s="1"/>
  <c r="K915" i="1" s="1"/>
  <c r="K1108" i="1" s="1"/>
  <c r="K337" i="1"/>
  <c r="K530" i="1" s="1"/>
  <c r="K723" i="1" s="1"/>
  <c r="K916" i="1" s="1"/>
  <c r="K1109" i="1" s="1"/>
  <c r="K338" i="1"/>
  <c r="K531" i="1" s="1"/>
  <c r="K724" i="1" s="1"/>
  <c r="K917" i="1" s="1"/>
  <c r="K1110" i="1" s="1"/>
  <c r="K339" i="1"/>
  <c r="K532" i="1" s="1"/>
  <c r="K725" i="1" s="1"/>
  <c r="K918" i="1" s="1"/>
  <c r="K1111" i="1" s="1"/>
  <c r="K340" i="1"/>
  <c r="K533" i="1" s="1"/>
  <c r="K726" i="1" s="1"/>
  <c r="K919" i="1" s="1"/>
  <c r="K1112" i="1" s="1"/>
  <c r="K341" i="1"/>
  <c r="K534" i="1" s="1"/>
  <c r="K727" i="1" s="1"/>
  <c r="K920" i="1" s="1"/>
  <c r="K1113" i="1" s="1"/>
  <c r="K342" i="1"/>
  <c r="K535" i="1" s="1"/>
  <c r="K728" i="1" s="1"/>
  <c r="K921" i="1" s="1"/>
  <c r="K1114" i="1" s="1"/>
  <c r="K343" i="1"/>
  <c r="K536" i="1" s="1"/>
  <c r="K729" i="1" s="1"/>
  <c r="K922" i="1" s="1"/>
  <c r="K1115" i="1" s="1"/>
  <c r="K344" i="1"/>
  <c r="K537" i="1" s="1"/>
  <c r="K730" i="1" s="1"/>
  <c r="K923" i="1" s="1"/>
  <c r="K1116" i="1" s="1"/>
  <c r="K345" i="1"/>
  <c r="K538" i="1" s="1"/>
  <c r="K731" i="1" s="1"/>
  <c r="K924" i="1" s="1"/>
  <c r="K1117" i="1" s="1"/>
  <c r="K346" i="1"/>
  <c r="K539" i="1" s="1"/>
  <c r="K732" i="1" s="1"/>
  <c r="K925" i="1" s="1"/>
  <c r="K1118" i="1" s="1"/>
  <c r="K347" i="1"/>
  <c r="K540" i="1" s="1"/>
  <c r="K733" i="1" s="1"/>
  <c r="K926" i="1" s="1"/>
  <c r="K1119" i="1" s="1"/>
  <c r="K348" i="1"/>
  <c r="K541" i="1" s="1"/>
  <c r="K734" i="1" s="1"/>
  <c r="K927" i="1" s="1"/>
  <c r="K1120" i="1" s="1"/>
  <c r="K349" i="1"/>
  <c r="K542" i="1" s="1"/>
  <c r="K735" i="1" s="1"/>
  <c r="K928" i="1" s="1"/>
  <c r="K1121" i="1" s="1"/>
  <c r="K350" i="1"/>
  <c r="K543" i="1" s="1"/>
  <c r="K736" i="1" s="1"/>
  <c r="K929" i="1" s="1"/>
  <c r="K1122" i="1" s="1"/>
  <c r="K351" i="1"/>
  <c r="K544" i="1" s="1"/>
  <c r="K737" i="1" s="1"/>
  <c r="K930" i="1" s="1"/>
  <c r="K1123" i="1" s="1"/>
  <c r="K352" i="1"/>
  <c r="K545" i="1" s="1"/>
  <c r="K738" i="1" s="1"/>
  <c r="K931" i="1" s="1"/>
  <c r="K1124" i="1" s="1"/>
  <c r="K353" i="1"/>
  <c r="K546" i="1" s="1"/>
  <c r="K739" i="1" s="1"/>
  <c r="K932" i="1" s="1"/>
  <c r="K1125" i="1" s="1"/>
  <c r="K354" i="1"/>
  <c r="K547" i="1" s="1"/>
  <c r="K740" i="1" s="1"/>
  <c r="K933" i="1" s="1"/>
  <c r="K1126" i="1" s="1"/>
  <c r="K355" i="1"/>
  <c r="K548" i="1" s="1"/>
  <c r="K741" i="1" s="1"/>
  <c r="K934" i="1" s="1"/>
  <c r="K1127" i="1" s="1"/>
  <c r="K356" i="1"/>
  <c r="K549" i="1" s="1"/>
  <c r="K742" i="1" s="1"/>
  <c r="K935" i="1" s="1"/>
  <c r="K1128" i="1" s="1"/>
  <c r="K357" i="1"/>
  <c r="K550" i="1" s="1"/>
  <c r="K743" i="1" s="1"/>
  <c r="K936" i="1" s="1"/>
  <c r="K1129" i="1" s="1"/>
  <c r="K358" i="1"/>
  <c r="K551" i="1" s="1"/>
  <c r="K744" i="1" s="1"/>
  <c r="K937" i="1" s="1"/>
  <c r="K1130" i="1" s="1"/>
  <c r="K359" i="1"/>
  <c r="K552" i="1" s="1"/>
  <c r="K745" i="1" s="1"/>
  <c r="K938" i="1" s="1"/>
  <c r="K1131" i="1" s="1"/>
  <c r="K360" i="1"/>
  <c r="K553" i="1" s="1"/>
  <c r="K746" i="1" s="1"/>
  <c r="K939" i="1" s="1"/>
  <c r="K1132" i="1" s="1"/>
  <c r="K361" i="1"/>
  <c r="K554" i="1" s="1"/>
  <c r="K747" i="1" s="1"/>
  <c r="K940" i="1" s="1"/>
  <c r="K1133" i="1" s="1"/>
  <c r="K363" i="1"/>
  <c r="K556" i="1" s="1"/>
  <c r="K749" i="1" s="1"/>
  <c r="K942" i="1" s="1"/>
  <c r="K1135" i="1" s="1"/>
  <c r="K364" i="1"/>
  <c r="K557" i="1" s="1"/>
  <c r="K750" i="1" s="1"/>
  <c r="K943" i="1" s="1"/>
  <c r="K1136" i="1" s="1"/>
  <c r="K365" i="1"/>
  <c r="K558" i="1" s="1"/>
  <c r="K751" i="1" s="1"/>
  <c r="K944" i="1" s="1"/>
  <c r="K1137" i="1" s="1"/>
  <c r="K366" i="1"/>
  <c r="K559" i="1" s="1"/>
  <c r="K752" i="1" s="1"/>
  <c r="K945" i="1" s="1"/>
  <c r="K1138" i="1" s="1"/>
  <c r="K367" i="1"/>
  <c r="K560" i="1" s="1"/>
  <c r="K753" i="1" s="1"/>
  <c r="K946" i="1" s="1"/>
  <c r="K1139" i="1" s="1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H95" i="5" l="1"/>
  <c r="H94" i="5"/>
  <c r="H93" i="5"/>
  <c r="H92" i="5"/>
  <c r="H91" i="5"/>
  <c r="H90" i="5"/>
  <c r="H89" i="5"/>
  <c r="H88" i="5"/>
  <c r="H159" i="1"/>
  <c r="H160" i="1"/>
  <c r="H161" i="1"/>
  <c r="H162" i="1"/>
  <c r="H163" i="1"/>
  <c r="H164" i="1"/>
  <c r="H165" i="1"/>
  <c r="H166" i="1"/>
  <c r="D159" i="1"/>
  <c r="D160" i="1"/>
  <c r="D161" i="1"/>
  <c r="D162" i="1"/>
  <c r="D163" i="1"/>
  <c r="D164" i="1"/>
  <c r="D165" i="1"/>
  <c r="D166" i="1"/>
  <c r="I160" i="5"/>
  <c r="I161" i="5"/>
  <c r="I162" i="5"/>
  <c r="I163" i="5"/>
  <c r="I164" i="5"/>
  <c r="I165" i="5"/>
  <c r="I166" i="5"/>
  <c r="I159" i="5"/>
  <c r="H159" i="5"/>
  <c r="H160" i="5"/>
  <c r="H161" i="5"/>
  <c r="H162" i="5"/>
  <c r="H163" i="5"/>
  <c r="H164" i="5"/>
  <c r="H165" i="5"/>
  <c r="H166" i="5"/>
  <c r="P10" i="3"/>
  <c r="O10" i="3"/>
  <c r="Y1126" i="1" l="1"/>
  <c r="Y933" i="1"/>
  <c r="W1126" i="1"/>
  <c r="W933" i="1"/>
  <c r="Y1132" i="1"/>
  <c r="Y939" i="1"/>
  <c r="W1132" i="1"/>
  <c r="W939" i="1"/>
  <c r="Y1131" i="1"/>
  <c r="Y938" i="1"/>
  <c r="W1131" i="1"/>
  <c r="W938" i="1"/>
  <c r="Y1133" i="1"/>
  <c r="Y940" i="1"/>
  <c r="W1133" i="1"/>
  <c r="W940" i="1"/>
  <c r="Y1130" i="1"/>
  <c r="Y937" i="1"/>
  <c r="W1130" i="1"/>
  <c r="W937" i="1"/>
  <c r="Y1129" i="1"/>
  <c r="Y936" i="1"/>
  <c r="W1129" i="1"/>
  <c r="W936" i="1"/>
  <c r="Y1128" i="1"/>
  <c r="Y935" i="1"/>
  <c r="W1128" i="1"/>
  <c r="W935" i="1"/>
  <c r="Y1127" i="1"/>
  <c r="Y934" i="1"/>
  <c r="W1127" i="1"/>
  <c r="W934" i="1"/>
  <c r="Y159" i="1"/>
  <c r="Y547" i="1"/>
  <c r="W547" i="1"/>
  <c r="Y740" i="1"/>
  <c r="W740" i="1"/>
  <c r="Y354" i="1"/>
  <c r="W354" i="1"/>
  <c r="W166" i="1"/>
  <c r="W747" i="1"/>
  <c r="Y554" i="1"/>
  <c r="W554" i="1"/>
  <c r="Y747" i="1"/>
  <c r="Y361" i="1"/>
  <c r="W361" i="1"/>
  <c r="W164" i="1"/>
  <c r="W745" i="1"/>
  <c r="Y552" i="1"/>
  <c r="W552" i="1"/>
  <c r="Y745" i="1"/>
  <c r="Y359" i="1"/>
  <c r="W359" i="1"/>
  <c r="Y165" i="1"/>
  <c r="Y553" i="1"/>
  <c r="W553" i="1"/>
  <c r="Y746" i="1"/>
  <c r="W746" i="1"/>
  <c r="Y360" i="1"/>
  <c r="W360" i="1"/>
  <c r="W163" i="1"/>
  <c r="Y551" i="1"/>
  <c r="W551" i="1"/>
  <c r="Y744" i="1"/>
  <c r="W744" i="1"/>
  <c r="Y358" i="1"/>
  <c r="W358" i="1"/>
  <c r="Y162" i="1"/>
  <c r="W743" i="1"/>
  <c r="Y550" i="1"/>
  <c r="W550" i="1"/>
  <c r="Y743" i="1"/>
  <c r="Y357" i="1"/>
  <c r="W357" i="1"/>
  <c r="Y161" i="1"/>
  <c r="Y549" i="1"/>
  <c r="W549" i="1"/>
  <c r="Y742" i="1"/>
  <c r="W742" i="1"/>
  <c r="Y356" i="1"/>
  <c r="W356" i="1"/>
  <c r="W160" i="1"/>
  <c r="W741" i="1"/>
  <c r="Y548" i="1"/>
  <c r="W548" i="1"/>
  <c r="Y741" i="1"/>
  <c r="Y355" i="1"/>
  <c r="W355" i="1"/>
  <c r="W161" i="1"/>
  <c r="W162" i="1"/>
  <c r="Y164" i="1"/>
  <c r="W159" i="1"/>
  <c r="Y166" i="1"/>
  <c r="W165" i="1"/>
  <c r="Y160" i="1"/>
  <c r="Y163" i="1"/>
  <c r="Y10" i="3"/>
  <c r="W10" i="3"/>
  <c r="L10" i="3"/>
  <c r="H10" i="3"/>
  <c r="E10" i="3"/>
  <c r="D10" i="3"/>
  <c r="I208" i="5" l="1"/>
  <c r="H208" i="5"/>
  <c r="I148" i="5" l="1"/>
  <c r="H148" i="5"/>
  <c r="Q149" i="1"/>
  <c r="P149" i="1"/>
  <c r="O149" i="1"/>
  <c r="M149" i="1"/>
  <c r="L149" i="1"/>
  <c r="H149" i="1"/>
  <c r="D149" i="1"/>
  <c r="Y1116" i="1" l="1"/>
  <c r="Y923" i="1"/>
  <c r="W1116" i="1"/>
  <c r="W923" i="1"/>
  <c r="Y537" i="1"/>
  <c r="W537" i="1"/>
  <c r="Y730" i="1"/>
  <c r="W730" i="1"/>
  <c r="Y344" i="1"/>
  <c r="W344" i="1"/>
  <c r="W33" i="2"/>
  <c r="W144" i="2" s="1"/>
  <c r="W255" i="2" s="1"/>
  <c r="W366" i="2" s="1"/>
  <c r="W477" i="2" s="1"/>
  <c r="W588" i="2" s="1"/>
  <c r="Y149" i="1"/>
  <c r="W149" i="1"/>
  <c r="D28" i="1"/>
  <c r="D29" i="1"/>
  <c r="D30" i="1"/>
  <c r="D31" i="1"/>
  <c r="D32" i="1"/>
  <c r="D33" i="1"/>
  <c r="D34" i="1"/>
  <c r="D35" i="1"/>
  <c r="I35" i="5"/>
  <c r="I36" i="5"/>
  <c r="I37" i="5"/>
  <c r="I38" i="5"/>
  <c r="I39" i="5"/>
  <c r="I40" i="5"/>
  <c r="I41" i="5"/>
  <c r="I42" i="5"/>
  <c r="I43" i="5"/>
  <c r="W37" i="1"/>
  <c r="W39" i="1"/>
  <c r="D60" i="1"/>
  <c r="D61" i="1"/>
  <c r="D62" i="1"/>
  <c r="D63" i="1"/>
  <c r="D64" i="1"/>
  <c r="D65" i="1"/>
  <c r="D66" i="1"/>
  <c r="D67" i="1"/>
  <c r="D68" i="1"/>
  <c r="D69" i="1"/>
  <c r="H136" i="1"/>
  <c r="H137" i="1"/>
  <c r="H138" i="1"/>
  <c r="H139" i="1"/>
  <c r="H140" i="1"/>
  <c r="H141" i="1"/>
  <c r="H142" i="1"/>
  <c r="H143" i="1"/>
  <c r="H144" i="1"/>
  <c r="D136" i="1"/>
  <c r="D137" i="1"/>
  <c r="D138" i="1"/>
  <c r="D139" i="1"/>
  <c r="D140" i="1"/>
  <c r="D141" i="1"/>
  <c r="D142" i="1"/>
  <c r="D143" i="1"/>
  <c r="D144" i="1"/>
  <c r="H121" i="1"/>
  <c r="D121" i="1"/>
  <c r="L122" i="1"/>
  <c r="H112" i="1"/>
  <c r="H113" i="1"/>
  <c r="H114" i="1"/>
  <c r="H115" i="1"/>
  <c r="H116" i="1"/>
  <c r="H117" i="1"/>
  <c r="H118" i="1"/>
  <c r="H119" i="1"/>
  <c r="H120" i="1"/>
  <c r="D112" i="1"/>
  <c r="D113" i="1"/>
  <c r="D114" i="1"/>
  <c r="D115" i="1"/>
  <c r="D116" i="1"/>
  <c r="D117" i="1"/>
  <c r="D118" i="1"/>
  <c r="D119" i="1"/>
  <c r="D120" i="1"/>
  <c r="H87" i="1"/>
  <c r="H88" i="1"/>
  <c r="H89" i="1"/>
  <c r="H90" i="1"/>
  <c r="H91" i="1"/>
  <c r="H92" i="1"/>
  <c r="H93" i="1"/>
  <c r="H94" i="1"/>
  <c r="H95" i="1"/>
  <c r="H96" i="1"/>
  <c r="D87" i="1"/>
  <c r="D88" i="1"/>
  <c r="D89" i="1"/>
  <c r="D90" i="1"/>
  <c r="D91" i="1"/>
  <c r="D92" i="1"/>
  <c r="D93" i="1"/>
  <c r="D95" i="1"/>
  <c r="D96" i="1"/>
  <c r="H60" i="1"/>
  <c r="H61" i="1"/>
  <c r="H62" i="1"/>
  <c r="H63" i="1"/>
  <c r="H64" i="1"/>
  <c r="H65" i="1"/>
  <c r="H66" i="1"/>
  <c r="H67" i="1"/>
  <c r="H68" i="1"/>
  <c r="H69" i="1"/>
  <c r="H36" i="1"/>
  <c r="H37" i="1"/>
  <c r="H38" i="1"/>
  <c r="H39" i="1"/>
  <c r="H40" i="1"/>
  <c r="H41" i="1"/>
  <c r="H42" i="1"/>
  <c r="H43" i="1"/>
  <c r="H44" i="1"/>
  <c r="D36" i="1"/>
  <c r="D37" i="1"/>
  <c r="D38" i="1"/>
  <c r="D39" i="1"/>
  <c r="D40" i="1"/>
  <c r="D41" i="1"/>
  <c r="D42" i="1"/>
  <c r="D43" i="1"/>
  <c r="D44" i="1"/>
  <c r="I135" i="5"/>
  <c r="I136" i="5"/>
  <c r="I137" i="5"/>
  <c r="I138" i="5"/>
  <c r="I139" i="5"/>
  <c r="I140" i="5"/>
  <c r="I141" i="5"/>
  <c r="I142" i="5"/>
  <c r="I143" i="5"/>
  <c r="H135" i="5"/>
  <c r="H136" i="5"/>
  <c r="H137" i="5"/>
  <c r="H138" i="5"/>
  <c r="H139" i="5"/>
  <c r="H140" i="5"/>
  <c r="H141" i="5"/>
  <c r="H142" i="5"/>
  <c r="H143" i="5"/>
  <c r="I111" i="5"/>
  <c r="I112" i="5"/>
  <c r="I113" i="5"/>
  <c r="I114" i="5"/>
  <c r="I115" i="5"/>
  <c r="I116" i="5"/>
  <c r="I117" i="5"/>
  <c r="I118" i="5"/>
  <c r="I119" i="5"/>
  <c r="I120" i="5"/>
  <c r="H111" i="5"/>
  <c r="H112" i="5"/>
  <c r="H113" i="5"/>
  <c r="H114" i="5"/>
  <c r="H115" i="5"/>
  <c r="H116" i="5"/>
  <c r="H117" i="5"/>
  <c r="H118" i="5"/>
  <c r="H119" i="5"/>
  <c r="H120" i="5"/>
  <c r="I86" i="5"/>
  <c r="I87" i="5"/>
  <c r="I88" i="5"/>
  <c r="I89" i="5"/>
  <c r="I90" i="5"/>
  <c r="I91" i="5"/>
  <c r="I92" i="5"/>
  <c r="I93" i="5"/>
  <c r="I94" i="5"/>
  <c r="I95" i="5"/>
  <c r="H86" i="5"/>
  <c r="H87" i="5"/>
  <c r="I59" i="5"/>
  <c r="I60" i="5"/>
  <c r="I61" i="5"/>
  <c r="I62" i="5"/>
  <c r="I63" i="5"/>
  <c r="I64" i="5"/>
  <c r="I65" i="5"/>
  <c r="I66" i="5"/>
  <c r="I67" i="5"/>
  <c r="I68" i="5"/>
  <c r="H59" i="5"/>
  <c r="H60" i="5"/>
  <c r="H61" i="5"/>
  <c r="H62" i="5"/>
  <c r="H63" i="5"/>
  <c r="H64" i="5"/>
  <c r="H65" i="5"/>
  <c r="H66" i="5"/>
  <c r="H67" i="5"/>
  <c r="H68" i="5"/>
  <c r="I34" i="5"/>
  <c r="H35" i="5"/>
  <c r="H36" i="5"/>
  <c r="H37" i="5"/>
  <c r="H38" i="5"/>
  <c r="H39" i="5"/>
  <c r="H40" i="5"/>
  <c r="H41" i="5"/>
  <c r="H42" i="5"/>
  <c r="H43" i="5"/>
  <c r="H203" i="5"/>
  <c r="I203" i="5"/>
  <c r="D8" i="2"/>
  <c r="D119" i="2" s="1"/>
  <c r="D230" i="2" s="1"/>
  <c r="D341" i="2" s="1"/>
  <c r="D452" i="2" s="1"/>
  <c r="D563" i="2" s="1"/>
  <c r="Y1005" i="1" l="1"/>
  <c r="W1005" i="1"/>
  <c r="Y812" i="1"/>
  <c r="W812" i="1"/>
  <c r="Y1060" i="1"/>
  <c r="Y867" i="1"/>
  <c r="W1060" i="1"/>
  <c r="W867" i="1"/>
  <c r="Y1004" i="1"/>
  <c r="W1004" i="1"/>
  <c r="Y811" i="1"/>
  <c r="W811" i="1"/>
  <c r="Y1029" i="1"/>
  <c r="W1029" i="1"/>
  <c r="Y836" i="1"/>
  <c r="W836" i="1"/>
  <c r="W1081" i="1"/>
  <c r="W888" i="1"/>
  <c r="Y1107" i="1"/>
  <c r="Y914" i="1"/>
  <c r="W1107" i="1"/>
  <c r="W914" i="1"/>
  <c r="Y1036" i="1"/>
  <c r="W1036" i="1"/>
  <c r="Y843" i="1"/>
  <c r="W843" i="1"/>
  <c r="Y1028" i="1"/>
  <c r="W1028" i="1"/>
  <c r="Y835" i="1"/>
  <c r="W835" i="1"/>
  <c r="W1059" i="1"/>
  <c r="Y1059" i="1"/>
  <c r="Y866" i="1"/>
  <c r="W866" i="1"/>
  <c r="W1088" i="1"/>
  <c r="W895" i="1"/>
  <c r="W1080" i="1"/>
  <c r="W887" i="1"/>
  <c r="Y1106" i="1"/>
  <c r="Y913" i="1"/>
  <c r="W1106" i="1"/>
  <c r="W913" i="1"/>
  <c r="Y1011" i="1"/>
  <c r="W1011" i="1"/>
  <c r="Y818" i="1"/>
  <c r="W818" i="1"/>
  <c r="Y1003" i="1"/>
  <c r="W1003" i="1"/>
  <c r="Y810" i="1"/>
  <c r="W810" i="1"/>
  <c r="Y1027" i="1"/>
  <c r="W1027" i="1"/>
  <c r="Y834" i="1"/>
  <c r="W834" i="1"/>
  <c r="W1087" i="1"/>
  <c r="W894" i="1"/>
  <c r="Y1105" i="1"/>
  <c r="Y912" i="1"/>
  <c r="W1105" i="1"/>
  <c r="W912" i="1"/>
  <c r="Y1010" i="1"/>
  <c r="W1010" i="1"/>
  <c r="Y817" i="1"/>
  <c r="W817" i="1"/>
  <c r="Y1104" i="1"/>
  <c r="Y911" i="1"/>
  <c r="W1104" i="1"/>
  <c r="W911" i="1"/>
  <c r="Y1009" i="1"/>
  <c r="W1009" i="1"/>
  <c r="Y816" i="1"/>
  <c r="W816" i="1"/>
  <c r="Y1058" i="1"/>
  <c r="Y865" i="1"/>
  <c r="W1058" i="1"/>
  <c r="W865" i="1"/>
  <c r="W1057" i="1"/>
  <c r="Y1057" i="1"/>
  <c r="Y864" i="1"/>
  <c r="W864" i="1"/>
  <c r="Y1056" i="1"/>
  <c r="Y863" i="1"/>
  <c r="W1056" i="1"/>
  <c r="W863" i="1"/>
  <c r="W41" i="1"/>
  <c r="Y1008" i="1"/>
  <c r="W1008" i="1"/>
  <c r="Y815" i="1"/>
  <c r="W815" i="1"/>
  <c r="W1061" i="1"/>
  <c r="Y1061" i="1"/>
  <c r="Y868" i="1"/>
  <c r="W868" i="1"/>
  <c r="W1086" i="1"/>
  <c r="W893" i="1"/>
  <c r="W1085" i="1"/>
  <c r="W892" i="1"/>
  <c r="Y1111" i="1"/>
  <c r="Y918" i="1"/>
  <c r="W1111" i="1"/>
  <c r="W918" i="1"/>
  <c r="Y1032" i="1"/>
  <c r="W1032" i="1"/>
  <c r="Y839" i="1"/>
  <c r="W839" i="1"/>
  <c r="W1055" i="1"/>
  <c r="Y1055" i="1"/>
  <c r="Y862" i="1"/>
  <c r="W862" i="1"/>
  <c r="W1084" i="1"/>
  <c r="W891" i="1"/>
  <c r="Y1110" i="1"/>
  <c r="Y917" i="1"/>
  <c r="W1110" i="1"/>
  <c r="W917" i="1"/>
  <c r="W42" i="1"/>
  <c r="Y1007" i="1"/>
  <c r="W1007" i="1"/>
  <c r="Y814" i="1"/>
  <c r="W814" i="1"/>
  <c r="Y1030" i="1"/>
  <c r="W1030" i="1"/>
  <c r="Y837" i="1"/>
  <c r="W837" i="1"/>
  <c r="W1082" i="1"/>
  <c r="W889" i="1"/>
  <c r="Y1108" i="1"/>
  <c r="Y915" i="1"/>
  <c r="W1108" i="1"/>
  <c r="W915" i="1"/>
  <c r="Y1035" i="1"/>
  <c r="W1035" i="1"/>
  <c r="Y842" i="1"/>
  <c r="W842" i="1"/>
  <c r="W1079" i="1"/>
  <c r="W886" i="1"/>
  <c r="Y1034" i="1"/>
  <c r="W1034" i="1"/>
  <c r="Y841" i="1"/>
  <c r="W841" i="1"/>
  <c r="Y1033" i="1"/>
  <c r="W1033" i="1"/>
  <c r="Y840" i="1"/>
  <c r="W840" i="1"/>
  <c r="Y1103" i="1"/>
  <c r="Y910" i="1"/>
  <c r="W1103" i="1"/>
  <c r="W910" i="1"/>
  <c r="W1063" i="1"/>
  <c r="Y1063" i="1"/>
  <c r="Y870" i="1"/>
  <c r="W870" i="1"/>
  <c r="Y1002" i="1"/>
  <c r="W1002" i="1"/>
  <c r="Y809" i="1"/>
  <c r="W809" i="1"/>
  <c r="Y1031" i="1"/>
  <c r="W1031" i="1"/>
  <c r="Y838" i="1"/>
  <c r="W838" i="1"/>
  <c r="Y1062" i="1"/>
  <c r="Y869" i="1"/>
  <c r="W1062" i="1"/>
  <c r="W869" i="1"/>
  <c r="Y1054" i="1"/>
  <c r="Y861" i="1"/>
  <c r="W1054" i="1"/>
  <c r="W861" i="1"/>
  <c r="W1083" i="1"/>
  <c r="W890" i="1"/>
  <c r="Y1109" i="1"/>
  <c r="Y916" i="1"/>
  <c r="W1109" i="1"/>
  <c r="W916" i="1"/>
  <c r="W40" i="1"/>
  <c r="Y1006" i="1"/>
  <c r="W1006" i="1"/>
  <c r="Y813" i="1"/>
  <c r="W813" i="1"/>
  <c r="Y649" i="1"/>
  <c r="W649" i="1"/>
  <c r="Y456" i="1"/>
  <c r="Y263" i="1"/>
  <c r="W263" i="1"/>
  <c r="W456" i="1"/>
  <c r="W112" i="1"/>
  <c r="W500" i="1"/>
  <c r="W693" i="1"/>
  <c r="W307" i="1"/>
  <c r="W455" i="1"/>
  <c r="Y648" i="1"/>
  <c r="W648" i="1"/>
  <c r="Y455" i="1"/>
  <c r="Y262" i="1"/>
  <c r="W262" i="1"/>
  <c r="Y90" i="1"/>
  <c r="Y671" i="1"/>
  <c r="W671" i="1"/>
  <c r="Y478" i="1"/>
  <c r="W285" i="1"/>
  <c r="W478" i="1"/>
  <c r="Y285" i="1"/>
  <c r="W119" i="1"/>
  <c r="W507" i="1"/>
  <c r="W700" i="1"/>
  <c r="W314" i="1"/>
  <c r="Y647" i="1"/>
  <c r="W647" i="1"/>
  <c r="Y454" i="1"/>
  <c r="W454" i="1"/>
  <c r="Y261" i="1"/>
  <c r="W261" i="1"/>
  <c r="Y89" i="1"/>
  <c r="Y477" i="1"/>
  <c r="Y670" i="1"/>
  <c r="W670" i="1"/>
  <c r="Y284" i="1"/>
  <c r="W477" i="1"/>
  <c r="W284" i="1"/>
  <c r="W118" i="1"/>
  <c r="W699" i="1"/>
  <c r="W506" i="1"/>
  <c r="W313" i="1"/>
  <c r="Y532" i="1"/>
  <c r="Y725" i="1"/>
  <c r="W725" i="1"/>
  <c r="Y339" i="1"/>
  <c r="W532" i="1"/>
  <c r="W339" i="1"/>
  <c r="Y524" i="1"/>
  <c r="Y717" i="1"/>
  <c r="W717" i="1"/>
  <c r="W524" i="1"/>
  <c r="Y331" i="1"/>
  <c r="W331" i="1"/>
  <c r="Y42" i="1"/>
  <c r="W430" i="1"/>
  <c r="Y623" i="1"/>
  <c r="W623" i="1"/>
  <c r="Y430" i="1"/>
  <c r="W237" i="1"/>
  <c r="Y237" i="1"/>
  <c r="Y96" i="1"/>
  <c r="Y677" i="1"/>
  <c r="W677" i="1"/>
  <c r="W291" i="1"/>
  <c r="Y484" i="1"/>
  <c r="W484" i="1"/>
  <c r="Y291" i="1"/>
  <c r="Y616" i="1"/>
  <c r="W616" i="1"/>
  <c r="Y423" i="1"/>
  <c r="Y230" i="1"/>
  <c r="W423" i="1"/>
  <c r="W230" i="1"/>
  <c r="Y645" i="1"/>
  <c r="W645" i="1"/>
  <c r="Y452" i="1"/>
  <c r="Y259" i="1"/>
  <c r="W452" i="1"/>
  <c r="W259" i="1"/>
  <c r="Y483" i="1"/>
  <c r="Y676" i="1"/>
  <c r="W676" i="1"/>
  <c r="Y290" i="1"/>
  <c r="W290" i="1"/>
  <c r="W483" i="1"/>
  <c r="Y87" i="1"/>
  <c r="Y475" i="1"/>
  <c r="Y668" i="1"/>
  <c r="W668" i="1"/>
  <c r="W475" i="1"/>
  <c r="Y282" i="1"/>
  <c r="W282" i="1"/>
  <c r="W116" i="1"/>
  <c r="W697" i="1"/>
  <c r="W504" i="1"/>
  <c r="W311" i="1"/>
  <c r="Y530" i="1"/>
  <c r="Y723" i="1"/>
  <c r="W723" i="1"/>
  <c r="W530" i="1"/>
  <c r="Y337" i="1"/>
  <c r="W337" i="1"/>
  <c r="Y40" i="1"/>
  <c r="W428" i="1"/>
  <c r="Y621" i="1"/>
  <c r="W621" i="1"/>
  <c r="Y428" i="1"/>
  <c r="W235" i="1"/>
  <c r="Y235" i="1"/>
  <c r="Y41" i="1"/>
  <c r="Y622" i="1"/>
  <c r="W622" i="1"/>
  <c r="Y429" i="1"/>
  <c r="Y236" i="1"/>
  <c r="W236" i="1"/>
  <c r="W429" i="1"/>
  <c r="W451" i="1"/>
  <c r="Y644" i="1"/>
  <c r="W644" i="1"/>
  <c r="Y451" i="1"/>
  <c r="W258" i="1"/>
  <c r="Y258" i="1"/>
  <c r="Y94" i="1"/>
  <c r="Y675" i="1"/>
  <c r="W675" i="1"/>
  <c r="W289" i="1"/>
  <c r="Y482" i="1"/>
  <c r="W482" i="1"/>
  <c r="Y289" i="1"/>
  <c r="W115" i="1"/>
  <c r="W696" i="1"/>
  <c r="W503" i="1"/>
  <c r="W310" i="1"/>
  <c r="W529" i="1"/>
  <c r="Y722" i="1"/>
  <c r="W722" i="1"/>
  <c r="Y529" i="1"/>
  <c r="Y336" i="1"/>
  <c r="W336" i="1"/>
  <c r="Y39" i="1"/>
  <c r="Y620" i="1"/>
  <c r="W620" i="1"/>
  <c r="Y427" i="1"/>
  <c r="Y234" i="1"/>
  <c r="W234" i="1"/>
  <c r="W427" i="1"/>
  <c r="Y643" i="1"/>
  <c r="W643" i="1"/>
  <c r="Y450" i="1"/>
  <c r="Y257" i="1"/>
  <c r="W257" i="1"/>
  <c r="W450" i="1"/>
  <c r="W114" i="1"/>
  <c r="W502" i="1"/>
  <c r="W695" i="1"/>
  <c r="W309" i="1"/>
  <c r="Y528" i="1"/>
  <c r="Y721" i="1"/>
  <c r="W721" i="1"/>
  <c r="Y335" i="1"/>
  <c r="W528" i="1"/>
  <c r="W335" i="1"/>
  <c r="Y38" i="1"/>
  <c r="W426" i="1"/>
  <c r="Y619" i="1"/>
  <c r="W619" i="1"/>
  <c r="Y233" i="1"/>
  <c r="Y426" i="1"/>
  <c r="W233" i="1"/>
  <c r="W117" i="1"/>
  <c r="W698" i="1"/>
  <c r="W505" i="1"/>
  <c r="W312" i="1"/>
  <c r="Y93" i="1"/>
  <c r="Y481" i="1"/>
  <c r="Y674" i="1"/>
  <c r="W674" i="1"/>
  <c r="Y288" i="1"/>
  <c r="W481" i="1"/>
  <c r="W288" i="1"/>
  <c r="W457" i="1"/>
  <c r="Y650" i="1"/>
  <c r="W650" i="1"/>
  <c r="Y264" i="1"/>
  <c r="W264" i="1"/>
  <c r="Y457" i="1"/>
  <c r="W449" i="1"/>
  <c r="Y642" i="1"/>
  <c r="W642" i="1"/>
  <c r="Y256" i="1"/>
  <c r="Y449" i="1"/>
  <c r="W256" i="1"/>
  <c r="Y92" i="1"/>
  <c r="Y673" i="1"/>
  <c r="W673" i="1"/>
  <c r="W287" i="1"/>
  <c r="Y480" i="1"/>
  <c r="W480" i="1"/>
  <c r="Y287" i="1"/>
  <c r="W121" i="1"/>
  <c r="W702" i="1"/>
  <c r="W509" i="1"/>
  <c r="W316" i="1"/>
  <c r="W113" i="1"/>
  <c r="W694" i="1"/>
  <c r="W308" i="1"/>
  <c r="W501" i="1"/>
  <c r="W527" i="1"/>
  <c r="Y720" i="1"/>
  <c r="W720" i="1"/>
  <c r="Y527" i="1"/>
  <c r="Y334" i="1"/>
  <c r="W334" i="1"/>
  <c r="Y37" i="1"/>
  <c r="Y618" i="1"/>
  <c r="W618" i="1"/>
  <c r="Y425" i="1"/>
  <c r="Y232" i="1"/>
  <c r="W425" i="1"/>
  <c r="W232" i="1"/>
  <c r="Y88" i="1"/>
  <c r="Y669" i="1"/>
  <c r="W669" i="1"/>
  <c r="W476" i="1"/>
  <c r="W283" i="1"/>
  <c r="Y476" i="1"/>
  <c r="Y283" i="1"/>
  <c r="Y641" i="1"/>
  <c r="W641" i="1"/>
  <c r="Y448" i="1"/>
  <c r="Y255" i="1"/>
  <c r="W448" i="1"/>
  <c r="W255" i="1"/>
  <c r="W120" i="1"/>
  <c r="W508" i="1"/>
  <c r="W701" i="1"/>
  <c r="W315" i="1"/>
  <c r="Y526" i="1"/>
  <c r="Y719" i="1"/>
  <c r="W719" i="1"/>
  <c r="W526" i="1"/>
  <c r="Y333" i="1"/>
  <c r="W333" i="1"/>
  <c r="Y44" i="1"/>
  <c r="W432" i="1"/>
  <c r="Y625" i="1"/>
  <c r="W625" i="1"/>
  <c r="W239" i="1"/>
  <c r="Y432" i="1"/>
  <c r="Y239" i="1"/>
  <c r="Y36" i="1"/>
  <c r="W424" i="1"/>
  <c r="Y617" i="1"/>
  <c r="W617" i="1"/>
  <c r="W231" i="1"/>
  <c r="Y424" i="1"/>
  <c r="Y231" i="1"/>
  <c r="W453" i="1"/>
  <c r="Y646" i="1"/>
  <c r="W646" i="1"/>
  <c r="Y453" i="1"/>
  <c r="Y260" i="1"/>
  <c r="W260" i="1"/>
  <c r="W531" i="1"/>
  <c r="Y724" i="1"/>
  <c r="W724" i="1"/>
  <c r="Y531" i="1"/>
  <c r="Y338" i="1"/>
  <c r="W338" i="1"/>
  <c r="Y91" i="1"/>
  <c r="Y479" i="1"/>
  <c r="Y672" i="1"/>
  <c r="W672" i="1"/>
  <c r="Y286" i="1"/>
  <c r="W286" i="1"/>
  <c r="W479" i="1"/>
  <c r="W525" i="1"/>
  <c r="Y718" i="1"/>
  <c r="W718" i="1"/>
  <c r="Y525" i="1"/>
  <c r="Y332" i="1"/>
  <c r="W332" i="1"/>
  <c r="Y43" i="1"/>
  <c r="Y624" i="1"/>
  <c r="W624" i="1"/>
  <c r="Y431" i="1"/>
  <c r="Y238" i="1"/>
  <c r="W238" i="1"/>
  <c r="W431" i="1"/>
  <c r="W43" i="1"/>
  <c r="W36" i="1"/>
  <c r="W38" i="1"/>
  <c r="W44" i="1"/>
  <c r="W95" i="1"/>
  <c r="Y95" i="1"/>
  <c r="W8" i="2"/>
  <c r="W119" i="2" s="1"/>
  <c r="W230" i="2" s="1"/>
  <c r="W341" i="2" s="1"/>
  <c r="W452" i="2" s="1"/>
  <c r="W563" i="2" s="1"/>
  <c r="Y8" i="2"/>
  <c r="Y119" i="2" s="1"/>
  <c r="Y230" i="2" s="1"/>
  <c r="Y341" i="2" s="1"/>
  <c r="Y452" i="2" s="1"/>
  <c r="Y563" i="2" s="1"/>
  <c r="W62" i="1"/>
  <c r="Y62" i="1"/>
  <c r="W69" i="1"/>
  <c r="Y69" i="1"/>
  <c r="W61" i="1"/>
  <c r="Y61" i="1"/>
  <c r="W92" i="1"/>
  <c r="W139" i="1"/>
  <c r="Y139" i="1"/>
  <c r="W68" i="1"/>
  <c r="Y68" i="1"/>
  <c r="W60" i="1"/>
  <c r="Y60" i="1"/>
  <c r="W138" i="1"/>
  <c r="Y138" i="1"/>
  <c r="W140" i="1"/>
  <c r="Y140" i="1"/>
  <c r="W90" i="1"/>
  <c r="W66" i="1"/>
  <c r="Y66" i="1"/>
  <c r="W89" i="1"/>
  <c r="W144" i="1"/>
  <c r="Y144" i="1"/>
  <c r="W136" i="1"/>
  <c r="Y136" i="1"/>
  <c r="W93" i="1"/>
  <c r="W65" i="1"/>
  <c r="Y65" i="1"/>
  <c r="W96" i="1"/>
  <c r="W88" i="1"/>
  <c r="W143" i="1"/>
  <c r="Y143" i="1"/>
  <c r="W67" i="1"/>
  <c r="Y67" i="1"/>
  <c r="W64" i="1"/>
  <c r="Y64" i="1"/>
  <c r="W87" i="1"/>
  <c r="W142" i="1"/>
  <c r="Y142" i="1"/>
  <c r="W91" i="1"/>
  <c r="W137" i="1"/>
  <c r="Y137" i="1"/>
  <c r="W63" i="1"/>
  <c r="Y63" i="1"/>
  <c r="W141" i="1"/>
  <c r="Y141" i="1"/>
  <c r="W94" i="1"/>
  <c r="D13" i="2"/>
  <c r="D124" i="2" s="1"/>
  <c r="D235" i="2" s="1"/>
  <c r="D346" i="2" s="1"/>
  <c r="D457" i="2" s="1"/>
  <c r="D568" i="2" s="1"/>
  <c r="D14" i="2"/>
  <c r="D15" i="2"/>
  <c r="D126" i="2" l="1"/>
  <c r="D125" i="2"/>
  <c r="Y9" i="2"/>
  <c r="Y120" i="2" s="1"/>
  <c r="Y231" i="2" s="1"/>
  <c r="Y342" i="2" s="1"/>
  <c r="Y453" i="2" s="1"/>
  <c r="Y564" i="2" s="1"/>
  <c r="W9" i="2"/>
  <c r="W120" i="2" s="1"/>
  <c r="W231" i="2" s="1"/>
  <c r="W342" i="2" s="1"/>
  <c r="W453" i="2" s="1"/>
  <c r="W564" i="2" s="1"/>
  <c r="L9" i="2"/>
  <c r="L120" i="2" s="1"/>
  <c r="L231" i="2" s="1"/>
  <c r="L342" i="2" s="1"/>
  <c r="L453" i="2" s="1"/>
  <c r="L564" i="2" s="1"/>
  <c r="D9" i="2"/>
  <c r="D120" i="2" s="1"/>
  <c r="D231" i="2" s="1"/>
  <c r="D342" i="2" s="1"/>
  <c r="D453" i="2" s="1"/>
  <c r="D564" i="2" s="1"/>
  <c r="D236" i="2" l="1"/>
  <c r="D237" i="2"/>
  <c r="Q8" i="2"/>
  <c r="Q119" i="2" s="1"/>
  <c r="Q230" i="2" s="1"/>
  <c r="Q341" i="2" s="1"/>
  <c r="Q452" i="2" s="1"/>
  <c r="Q563" i="2" s="1"/>
  <c r="P8" i="2"/>
  <c r="P119" i="2" s="1"/>
  <c r="P230" i="2" s="1"/>
  <c r="P341" i="2" s="1"/>
  <c r="P452" i="2" s="1"/>
  <c r="P563" i="2" s="1"/>
  <c r="O8" i="2"/>
  <c r="O119" i="2" s="1"/>
  <c r="O230" i="2" s="1"/>
  <c r="O341" i="2" s="1"/>
  <c r="O452" i="2" s="1"/>
  <c r="O563" i="2" s="1"/>
  <c r="M8" i="2"/>
  <c r="M119" i="2" s="1"/>
  <c r="M230" i="2" s="1"/>
  <c r="M341" i="2" s="1"/>
  <c r="M452" i="2" s="1"/>
  <c r="M563" i="2" s="1"/>
  <c r="L8" i="2"/>
  <c r="L119" i="2" s="1"/>
  <c r="L230" i="2" s="1"/>
  <c r="L341" i="2" s="1"/>
  <c r="L452" i="2" s="1"/>
  <c r="L563" i="2" s="1"/>
  <c r="D348" i="2" l="1"/>
  <c r="D347" i="2"/>
  <c r="M74" i="1"/>
  <c r="W158" i="1"/>
  <c r="H195" i="1"/>
  <c r="H193" i="1"/>
  <c r="H192" i="1"/>
  <c r="H19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58" i="1"/>
  <c r="H157" i="1"/>
  <c r="H156" i="1"/>
  <c r="H155" i="1"/>
  <c r="H154" i="1"/>
  <c r="H153" i="1"/>
  <c r="H152" i="1"/>
  <c r="H151" i="1"/>
  <c r="H150" i="1"/>
  <c r="H148" i="1"/>
  <c r="H147" i="1"/>
  <c r="H146" i="1"/>
  <c r="H145" i="1"/>
  <c r="H135" i="1"/>
  <c r="H134" i="1"/>
  <c r="H133" i="1"/>
  <c r="H132" i="1"/>
  <c r="H131" i="1"/>
  <c r="H130" i="1"/>
  <c r="H129" i="1"/>
  <c r="H128" i="1"/>
  <c r="H127" i="1"/>
  <c r="H125" i="1"/>
  <c r="H124" i="1"/>
  <c r="H123" i="1"/>
  <c r="H12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59" i="1"/>
  <c r="H58" i="1"/>
  <c r="H57" i="1"/>
  <c r="H56" i="1"/>
  <c r="H55" i="1"/>
  <c r="H54" i="1"/>
  <c r="H53" i="1"/>
  <c r="H52" i="1"/>
  <c r="H51" i="1"/>
  <c r="H50" i="1"/>
  <c r="H25" i="1"/>
  <c r="H47" i="1"/>
  <c r="H46" i="1"/>
  <c r="H45" i="1"/>
  <c r="H35" i="1"/>
  <c r="H34" i="1"/>
  <c r="H33" i="1"/>
  <c r="H32" i="1"/>
  <c r="H31" i="1"/>
  <c r="H30" i="1"/>
  <c r="H29" i="1"/>
  <c r="H28" i="1"/>
  <c r="H27" i="1"/>
  <c r="H48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D458" i="2" l="1"/>
  <c r="D569" i="2" s="1"/>
  <c r="D459" i="2"/>
  <c r="D570" i="2" s="1"/>
  <c r="Y56" i="2"/>
  <c r="Y167" i="2" s="1"/>
  <c r="Y278" i="2" s="1"/>
  <c r="Y389" i="2" s="1"/>
  <c r="Y500" i="2" s="1"/>
  <c r="Y611" i="2" s="1"/>
  <c r="AA19" i="2"/>
  <c r="AA130" i="2" s="1"/>
  <c r="AA241" i="2" s="1"/>
  <c r="AA352" i="2" s="1"/>
  <c r="AA463" i="2" s="1"/>
  <c r="AA574" i="2" s="1"/>
  <c r="Z19" i="2"/>
  <c r="Z130" i="2" s="1"/>
  <c r="Z241" i="2" s="1"/>
  <c r="Z352" i="2" s="1"/>
  <c r="Z463" i="2" s="1"/>
  <c r="Z574" i="2" s="1"/>
  <c r="Y19" i="2"/>
  <c r="Y130" i="2" s="1"/>
  <c r="Y241" i="2" s="1"/>
  <c r="Y352" i="2" s="1"/>
  <c r="Y463" i="2" s="1"/>
  <c r="Y574" i="2" s="1"/>
  <c r="W19" i="2"/>
  <c r="W130" i="2" s="1"/>
  <c r="W241" i="2" s="1"/>
  <c r="W352" i="2" s="1"/>
  <c r="W463" i="2" s="1"/>
  <c r="W574" i="2" s="1"/>
  <c r="W56" i="2"/>
  <c r="W167" i="2" s="1"/>
  <c r="W278" i="2" s="1"/>
  <c r="W389" i="2" s="1"/>
  <c r="W500" i="2" s="1"/>
  <c r="W611" i="2" s="1"/>
  <c r="D72" i="2" l="1"/>
  <c r="D183" i="2" s="1"/>
  <c r="D294" i="2" s="1"/>
  <c r="D405" i="2" s="1"/>
  <c r="D516" i="2" s="1"/>
  <c r="D627" i="2" s="1"/>
  <c r="D71" i="2"/>
  <c r="D182" i="2" s="1"/>
  <c r="D293" i="2" s="1"/>
  <c r="D404" i="2" s="1"/>
  <c r="D515" i="2" s="1"/>
  <c r="D626" i="2" s="1"/>
  <c r="D70" i="2"/>
  <c r="D181" i="2" s="1"/>
  <c r="D292" i="2" s="1"/>
  <c r="D403" i="2" s="1"/>
  <c r="D514" i="2" s="1"/>
  <c r="D625" i="2" s="1"/>
  <c r="D69" i="2"/>
  <c r="D180" i="2" s="1"/>
  <c r="D291" i="2" s="1"/>
  <c r="D402" i="2" s="1"/>
  <c r="D513" i="2" s="1"/>
  <c r="D624" i="2" s="1"/>
  <c r="D68" i="2"/>
  <c r="D179" i="2" s="1"/>
  <c r="D290" i="2" s="1"/>
  <c r="D401" i="2" s="1"/>
  <c r="D512" i="2" s="1"/>
  <c r="D623" i="2" s="1"/>
  <c r="D67" i="2"/>
  <c r="D178" i="2" s="1"/>
  <c r="D289" i="2" s="1"/>
  <c r="D400" i="2" s="1"/>
  <c r="D511" i="2" s="1"/>
  <c r="D622" i="2" s="1"/>
  <c r="D66" i="2"/>
  <c r="D177" i="2" s="1"/>
  <c r="D288" i="2" s="1"/>
  <c r="D399" i="2" s="1"/>
  <c r="D510" i="2" s="1"/>
  <c r="D621" i="2" s="1"/>
  <c r="D65" i="2"/>
  <c r="D176" i="2" s="1"/>
  <c r="D287" i="2" s="1"/>
  <c r="D398" i="2" s="1"/>
  <c r="D509" i="2" s="1"/>
  <c r="D620" i="2" s="1"/>
  <c r="D64" i="2"/>
  <c r="D175" i="2" s="1"/>
  <c r="D286" i="2" s="1"/>
  <c r="D397" i="2" s="1"/>
  <c r="D508" i="2" s="1"/>
  <c r="D619" i="2" s="1"/>
  <c r="D63" i="2"/>
  <c r="D174" i="2" s="1"/>
  <c r="D285" i="2" s="1"/>
  <c r="D396" i="2" s="1"/>
  <c r="D507" i="2" s="1"/>
  <c r="D618" i="2" s="1"/>
  <c r="D62" i="2"/>
  <c r="D173" i="2" s="1"/>
  <c r="D284" i="2" s="1"/>
  <c r="D395" i="2" s="1"/>
  <c r="D506" i="2" s="1"/>
  <c r="D617" i="2" s="1"/>
  <c r="D61" i="2"/>
  <c r="D172" i="2" s="1"/>
  <c r="D283" i="2" s="1"/>
  <c r="D394" i="2" s="1"/>
  <c r="D505" i="2" s="1"/>
  <c r="D616" i="2" s="1"/>
  <c r="D60" i="2"/>
  <c r="D171" i="2" s="1"/>
  <c r="D282" i="2" s="1"/>
  <c r="D393" i="2" s="1"/>
  <c r="D504" i="2" s="1"/>
  <c r="D615" i="2" s="1"/>
  <c r="D59" i="2"/>
  <c r="D170" i="2" s="1"/>
  <c r="D281" i="2" s="1"/>
  <c r="D392" i="2" s="1"/>
  <c r="D503" i="2" s="1"/>
  <c r="D614" i="2" s="1"/>
  <c r="D58" i="2"/>
  <c r="D169" i="2" s="1"/>
  <c r="D280" i="2" s="1"/>
  <c r="D391" i="2" s="1"/>
  <c r="D502" i="2" s="1"/>
  <c r="D613" i="2" s="1"/>
  <c r="D57" i="2"/>
  <c r="D168" i="2" s="1"/>
  <c r="D279" i="2" s="1"/>
  <c r="D390" i="2" s="1"/>
  <c r="D501" i="2" s="1"/>
  <c r="D612" i="2" s="1"/>
  <c r="D56" i="2"/>
  <c r="D167" i="2" s="1"/>
  <c r="D278" i="2" s="1"/>
  <c r="D389" i="2" s="1"/>
  <c r="D500" i="2" s="1"/>
  <c r="D611" i="2" s="1"/>
  <c r="D53" i="2"/>
  <c r="D164" i="2" s="1"/>
  <c r="D275" i="2" s="1"/>
  <c r="D386" i="2" s="1"/>
  <c r="D497" i="2" s="1"/>
  <c r="D608" i="2" s="1"/>
  <c r="D52" i="2"/>
  <c r="D163" i="2" s="1"/>
  <c r="D274" i="2" s="1"/>
  <c r="D385" i="2" s="1"/>
  <c r="D496" i="2" s="1"/>
  <c r="D607" i="2" s="1"/>
  <c r="D51" i="2"/>
  <c r="D162" i="2" s="1"/>
  <c r="D273" i="2" s="1"/>
  <c r="D384" i="2" s="1"/>
  <c r="D495" i="2" s="1"/>
  <c r="D606" i="2" s="1"/>
  <c r="D50" i="2"/>
  <c r="D161" i="2" s="1"/>
  <c r="D272" i="2" s="1"/>
  <c r="D383" i="2" s="1"/>
  <c r="D494" i="2" s="1"/>
  <c r="D605" i="2" s="1"/>
  <c r="D49" i="2"/>
  <c r="D160" i="2" s="1"/>
  <c r="D271" i="2" s="1"/>
  <c r="D382" i="2" s="1"/>
  <c r="D493" i="2" s="1"/>
  <c r="D604" i="2" s="1"/>
  <c r="D48" i="2"/>
  <c r="D159" i="2" s="1"/>
  <c r="D270" i="2" s="1"/>
  <c r="D381" i="2" s="1"/>
  <c r="D492" i="2" s="1"/>
  <c r="D603" i="2" s="1"/>
  <c r="D47" i="2"/>
  <c r="D158" i="2" s="1"/>
  <c r="D269" i="2" s="1"/>
  <c r="D380" i="2" s="1"/>
  <c r="D491" i="2" s="1"/>
  <c r="D602" i="2" s="1"/>
  <c r="D46" i="2"/>
  <c r="D157" i="2" s="1"/>
  <c r="D268" i="2" s="1"/>
  <c r="D379" i="2" s="1"/>
  <c r="D490" i="2" s="1"/>
  <c r="D601" i="2" s="1"/>
  <c r="D45" i="2"/>
  <c r="D156" i="2" s="1"/>
  <c r="D267" i="2" s="1"/>
  <c r="D378" i="2" s="1"/>
  <c r="D489" i="2" s="1"/>
  <c r="D600" i="2" s="1"/>
  <c r="D44" i="2"/>
  <c r="D155" i="2" s="1"/>
  <c r="D266" i="2" s="1"/>
  <c r="D377" i="2" s="1"/>
  <c r="D488" i="2" s="1"/>
  <c r="D599" i="2" s="1"/>
  <c r="D43" i="2"/>
  <c r="D154" i="2" s="1"/>
  <c r="D265" i="2" s="1"/>
  <c r="D376" i="2" s="1"/>
  <c r="D487" i="2" s="1"/>
  <c r="D598" i="2" s="1"/>
  <c r="D42" i="2"/>
  <c r="D153" i="2" s="1"/>
  <c r="D264" i="2" s="1"/>
  <c r="D375" i="2" s="1"/>
  <c r="D486" i="2" s="1"/>
  <c r="D597" i="2" s="1"/>
  <c r="D41" i="2"/>
  <c r="D152" i="2" s="1"/>
  <c r="D263" i="2" s="1"/>
  <c r="D374" i="2" s="1"/>
  <c r="D485" i="2" s="1"/>
  <c r="D596" i="2" s="1"/>
  <c r="D40" i="2"/>
  <c r="D151" i="2" s="1"/>
  <c r="D262" i="2" s="1"/>
  <c r="D373" i="2" s="1"/>
  <c r="D484" i="2" s="1"/>
  <c r="D595" i="2" s="1"/>
  <c r="D39" i="2"/>
  <c r="D150" i="2" s="1"/>
  <c r="D261" i="2" s="1"/>
  <c r="D372" i="2" s="1"/>
  <c r="D483" i="2" s="1"/>
  <c r="D594" i="2" s="1"/>
  <c r="D38" i="2"/>
  <c r="D149" i="2" s="1"/>
  <c r="D260" i="2" s="1"/>
  <c r="D371" i="2" s="1"/>
  <c r="D482" i="2" s="1"/>
  <c r="D593" i="2" s="1"/>
  <c r="D22" i="2"/>
  <c r="D133" i="2" s="1"/>
  <c r="D244" i="2" s="1"/>
  <c r="D355" i="2" s="1"/>
  <c r="D466" i="2" s="1"/>
  <c r="D577" i="2" s="1"/>
  <c r="R4" i="2"/>
  <c r="R115" i="2" s="1"/>
  <c r="R226" i="2" s="1"/>
  <c r="R337" i="2" s="1"/>
  <c r="R448" i="2" s="1"/>
  <c r="R559" i="2" s="1"/>
  <c r="Q4" i="2"/>
  <c r="Q115" i="2" s="1"/>
  <c r="Q226" i="2" s="1"/>
  <c r="Q337" i="2" s="1"/>
  <c r="Q448" i="2" s="1"/>
  <c r="Q559" i="2" s="1"/>
  <c r="P4" i="2"/>
  <c r="P115" i="2" s="1"/>
  <c r="P226" i="2" s="1"/>
  <c r="P337" i="2" s="1"/>
  <c r="P448" i="2" s="1"/>
  <c r="P559" i="2" s="1"/>
  <c r="O4" i="2"/>
  <c r="O115" i="2" s="1"/>
  <c r="O226" i="2" s="1"/>
  <c r="O337" i="2" s="1"/>
  <c r="O448" i="2" s="1"/>
  <c r="O559" i="2" s="1"/>
  <c r="N4" i="2"/>
  <c r="N115" i="2" s="1"/>
  <c r="N226" i="2" s="1"/>
  <c r="N337" i="2" s="1"/>
  <c r="N448" i="2" s="1"/>
  <c r="N559" i="2" s="1"/>
  <c r="M4" i="2"/>
  <c r="M115" i="2" s="1"/>
  <c r="M226" i="2" s="1"/>
  <c r="M337" i="2" s="1"/>
  <c r="M448" i="2" s="1"/>
  <c r="M559" i="2" s="1"/>
  <c r="L4" i="2"/>
  <c r="L115" i="2" s="1"/>
  <c r="L226" i="2" s="1"/>
  <c r="L337" i="2" s="1"/>
  <c r="L448" i="2" s="1"/>
  <c r="L559" i="2" s="1"/>
  <c r="H4" i="2"/>
  <c r="H115" i="2" s="1"/>
  <c r="H226" i="2" s="1"/>
  <c r="H337" i="2" s="1"/>
  <c r="H448" i="2" s="1"/>
  <c r="H559" i="2" s="1"/>
  <c r="D4" i="2"/>
  <c r="D115" i="2" s="1"/>
  <c r="D226" i="2" s="1"/>
  <c r="D337" i="2" s="1"/>
  <c r="D448" i="2" s="1"/>
  <c r="D559" i="2" s="1"/>
  <c r="Y47" i="1"/>
  <c r="Y46" i="1"/>
  <c r="Y45" i="1"/>
  <c r="W47" i="1"/>
  <c r="W46" i="1"/>
  <c r="W45" i="1"/>
  <c r="Q193" i="1"/>
  <c r="P193" i="1"/>
  <c r="O193" i="1"/>
  <c r="O180" i="1"/>
  <c r="O177" i="1"/>
  <c r="O176" i="1"/>
  <c r="O175" i="1"/>
  <c r="Q172" i="1"/>
  <c r="Q171" i="1"/>
  <c r="Q170" i="1"/>
  <c r="Q169" i="1"/>
  <c r="Q168" i="1"/>
  <c r="P172" i="1"/>
  <c r="P171" i="1"/>
  <c r="P170" i="1"/>
  <c r="P169" i="1"/>
  <c r="P168" i="1"/>
  <c r="O172" i="1"/>
  <c r="O171" i="1"/>
  <c r="O170" i="1"/>
  <c r="O169" i="1"/>
  <c r="O168" i="1"/>
  <c r="O158" i="1"/>
  <c r="O157" i="1"/>
  <c r="O156" i="1"/>
  <c r="O155" i="1"/>
  <c r="O154" i="1"/>
  <c r="O153" i="1"/>
  <c r="O152" i="1"/>
  <c r="Q148" i="1"/>
  <c r="Q147" i="1"/>
  <c r="Q146" i="1"/>
  <c r="Q145" i="1"/>
  <c r="P148" i="1"/>
  <c r="P147" i="1"/>
  <c r="P146" i="1"/>
  <c r="P145" i="1"/>
  <c r="O148" i="1"/>
  <c r="O147" i="1"/>
  <c r="O146" i="1"/>
  <c r="O145" i="1"/>
  <c r="O135" i="1"/>
  <c r="O134" i="1"/>
  <c r="O133" i="1"/>
  <c r="O132" i="1"/>
  <c r="O131" i="1"/>
  <c r="O130" i="1"/>
  <c r="O129" i="1"/>
  <c r="Q125" i="1"/>
  <c r="Q124" i="1"/>
  <c r="Q123" i="1"/>
  <c r="Q122" i="1"/>
  <c r="P125" i="1"/>
  <c r="P124" i="1"/>
  <c r="P123" i="1"/>
  <c r="P122" i="1"/>
  <c r="O125" i="1"/>
  <c r="O124" i="1"/>
  <c r="O123" i="1"/>
  <c r="O122" i="1"/>
  <c r="O111" i="1"/>
  <c r="O110" i="1"/>
  <c r="O109" i="1"/>
  <c r="O108" i="1"/>
  <c r="O107" i="1"/>
  <c r="O106" i="1"/>
  <c r="Q101" i="1"/>
  <c r="Q100" i="1"/>
  <c r="Q98" i="1"/>
  <c r="Q97" i="1"/>
  <c r="P101" i="1"/>
  <c r="P100" i="1"/>
  <c r="P99" i="1"/>
  <c r="P98" i="1"/>
  <c r="P97" i="1"/>
  <c r="O101" i="1"/>
  <c r="O100" i="1"/>
  <c r="O99" i="1"/>
  <c r="O98" i="1"/>
  <c r="O97" i="1"/>
  <c r="O86" i="1"/>
  <c r="O85" i="1"/>
  <c r="O84" i="1"/>
  <c r="O83" i="1"/>
  <c r="O82" i="1"/>
  <c r="O81" i="1"/>
  <c r="O80" i="1"/>
  <c r="O79" i="1"/>
  <c r="R74" i="1"/>
  <c r="Q74" i="1"/>
  <c r="P74" i="1"/>
  <c r="Q73" i="1"/>
  <c r="P73" i="1"/>
  <c r="Q72" i="1"/>
  <c r="P72" i="1"/>
  <c r="Q71" i="1"/>
  <c r="P71" i="1"/>
  <c r="Q70" i="1"/>
  <c r="P70" i="1"/>
  <c r="O74" i="1"/>
  <c r="O73" i="1"/>
  <c r="O72" i="1"/>
  <c r="O71" i="1"/>
  <c r="O70" i="1"/>
  <c r="O59" i="1"/>
  <c r="O58" i="1"/>
  <c r="O57" i="1"/>
  <c r="O56" i="1"/>
  <c r="O55" i="1"/>
  <c r="O54" i="1"/>
  <c r="P25" i="1"/>
  <c r="P47" i="1"/>
  <c r="P46" i="1"/>
  <c r="P45" i="1"/>
  <c r="P48" i="1"/>
  <c r="P24" i="1"/>
  <c r="P23" i="1"/>
  <c r="P22" i="1"/>
  <c r="O52" i="1"/>
  <c r="O50" i="1"/>
  <c r="O25" i="1"/>
  <c r="O47" i="1"/>
  <c r="O46" i="1"/>
  <c r="O45" i="1"/>
  <c r="O35" i="1"/>
  <c r="O34" i="1"/>
  <c r="O33" i="1"/>
  <c r="O32" i="1"/>
  <c r="O31" i="1"/>
  <c r="O48" i="1"/>
  <c r="O24" i="1"/>
  <c r="O23" i="1"/>
  <c r="O22" i="1"/>
  <c r="O12" i="1"/>
  <c r="O11" i="1"/>
  <c r="O10" i="1"/>
  <c r="O9" i="1"/>
  <c r="O8" i="1"/>
  <c r="M101" i="1"/>
  <c r="M100" i="1"/>
  <c r="M125" i="1"/>
  <c r="M148" i="1"/>
  <c r="M172" i="1"/>
  <c r="M171" i="1"/>
  <c r="M168" i="1"/>
  <c r="M158" i="1"/>
  <c r="L193" i="1"/>
  <c r="L192" i="1"/>
  <c r="L19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58" i="1"/>
  <c r="L156" i="1"/>
  <c r="L155" i="1"/>
  <c r="L154" i="1"/>
  <c r="L153" i="1"/>
  <c r="L152" i="1"/>
  <c r="L151" i="1"/>
  <c r="L150" i="1"/>
  <c r="L148" i="1"/>
  <c r="L147" i="1"/>
  <c r="L146" i="1"/>
  <c r="L145" i="1"/>
  <c r="L135" i="1"/>
  <c r="L134" i="1"/>
  <c r="L133" i="1"/>
  <c r="L132" i="1"/>
  <c r="L131" i="1"/>
  <c r="L130" i="1"/>
  <c r="L129" i="1"/>
  <c r="L128" i="1"/>
  <c r="L127" i="1"/>
  <c r="L125" i="1"/>
  <c r="L124" i="1"/>
  <c r="L123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59" i="1"/>
  <c r="L58" i="1"/>
  <c r="L57" i="1"/>
  <c r="L56" i="1"/>
  <c r="L55" i="1"/>
  <c r="L54" i="1"/>
  <c r="L53" i="1"/>
  <c r="L52" i="1"/>
  <c r="L51" i="1"/>
  <c r="L50" i="1"/>
  <c r="L25" i="1"/>
  <c r="L47" i="1"/>
  <c r="L46" i="1"/>
  <c r="L45" i="1"/>
  <c r="L35" i="1"/>
  <c r="L34" i="1"/>
  <c r="L33" i="1"/>
  <c r="L32" i="1"/>
  <c r="L31" i="1"/>
  <c r="L30" i="1"/>
  <c r="L29" i="1"/>
  <c r="L28" i="1"/>
  <c r="L27" i="1"/>
  <c r="L48" i="1"/>
  <c r="L24" i="1"/>
  <c r="L23" i="1"/>
  <c r="L22" i="1"/>
  <c r="L12" i="1"/>
  <c r="L11" i="1"/>
  <c r="L10" i="1"/>
  <c r="L9" i="1"/>
  <c r="L8" i="1"/>
  <c r="L7" i="1"/>
  <c r="L6" i="1"/>
  <c r="L5" i="1"/>
  <c r="W97" i="2"/>
  <c r="W208" i="2" s="1"/>
  <c r="W319" i="2" s="1"/>
  <c r="W430" i="2" s="1"/>
  <c r="W541" i="2" s="1"/>
  <c r="W652" i="2" s="1"/>
  <c r="I241" i="5"/>
  <c r="H241" i="5"/>
  <c r="I240" i="5"/>
  <c r="H240" i="5"/>
  <c r="I239" i="5"/>
  <c r="H239" i="5"/>
  <c r="I238" i="5"/>
  <c r="H238" i="5"/>
  <c r="I237" i="5"/>
  <c r="H237" i="5"/>
  <c r="I236" i="5"/>
  <c r="H236" i="5"/>
  <c r="I235" i="5"/>
  <c r="H235" i="5"/>
  <c r="I234" i="5"/>
  <c r="H234" i="5"/>
  <c r="I233" i="5"/>
  <c r="H233" i="5"/>
  <c r="I232" i="5"/>
  <c r="H232" i="5"/>
  <c r="I231" i="5"/>
  <c r="H231" i="5"/>
  <c r="I230" i="5"/>
  <c r="H230" i="5"/>
  <c r="I229" i="5"/>
  <c r="H229" i="5"/>
  <c r="I228" i="5"/>
  <c r="H228" i="5"/>
  <c r="I227" i="5"/>
  <c r="H227" i="5"/>
  <c r="I226" i="5"/>
  <c r="H226" i="5"/>
  <c r="I225" i="5"/>
  <c r="H225" i="5"/>
  <c r="I224" i="5"/>
  <c r="H224" i="5"/>
  <c r="I223" i="5"/>
  <c r="H223" i="5"/>
  <c r="I222" i="5"/>
  <c r="H222" i="5"/>
  <c r="I221" i="5"/>
  <c r="H221" i="5"/>
  <c r="I220" i="5"/>
  <c r="H220" i="5"/>
  <c r="I219" i="5"/>
  <c r="H219" i="5"/>
  <c r="I218" i="5"/>
  <c r="H218" i="5"/>
  <c r="I217" i="5"/>
  <c r="H217" i="5"/>
  <c r="I216" i="5"/>
  <c r="H216" i="5"/>
  <c r="I215" i="5"/>
  <c r="H215" i="5"/>
  <c r="I214" i="5"/>
  <c r="H214" i="5"/>
  <c r="I213" i="5"/>
  <c r="H213" i="5"/>
  <c r="I212" i="5"/>
  <c r="H212" i="5"/>
  <c r="I211" i="5"/>
  <c r="H211" i="5"/>
  <c r="I210" i="5"/>
  <c r="H210" i="5"/>
  <c r="I209" i="5"/>
  <c r="H209" i="5"/>
  <c r="I207" i="5"/>
  <c r="H207" i="5"/>
  <c r="I206" i="5"/>
  <c r="H206" i="5"/>
  <c r="I205" i="5"/>
  <c r="H205" i="5"/>
  <c r="I202" i="5"/>
  <c r="H202" i="5"/>
  <c r="I201" i="5"/>
  <c r="H201" i="5"/>
  <c r="I200" i="5"/>
  <c r="Y4" i="2" s="1"/>
  <c r="Y115" i="2" s="1"/>
  <c r="Y226" i="2" s="1"/>
  <c r="Y337" i="2" s="1"/>
  <c r="Y448" i="2" s="1"/>
  <c r="Y559" i="2" s="1"/>
  <c r="H200" i="5"/>
  <c r="I199" i="5"/>
  <c r="H199" i="5"/>
  <c r="I198" i="5"/>
  <c r="H198" i="5"/>
  <c r="I197" i="5"/>
  <c r="H197" i="5"/>
  <c r="I196" i="5"/>
  <c r="H196" i="5"/>
  <c r="I195" i="5"/>
  <c r="H195" i="5"/>
  <c r="I191" i="5"/>
  <c r="H191" i="5"/>
  <c r="I190" i="5"/>
  <c r="H190" i="5"/>
  <c r="I189" i="5"/>
  <c r="H189" i="5"/>
  <c r="I188" i="5"/>
  <c r="H188" i="5"/>
  <c r="I179" i="5"/>
  <c r="H179" i="5"/>
  <c r="I178" i="5"/>
  <c r="H178" i="5"/>
  <c r="I177" i="5"/>
  <c r="H177" i="5"/>
  <c r="I176" i="5"/>
  <c r="H176" i="5"/>
  <c r="I175" i="5"/>
  <c r="H175" i="5"/>
  <c r="I174" i="5"/>
  <c r="H174" i="5"/>
  <c r="I173" i="5"/>
  <c r="H173" i="5"/>
  <c r="I172" i="5"/>
  <c r="H172" i="5"/>
  <c r="I171" i="5"/>
  <c r="H171" i="5"/>
  <c r="I170" i="5"/>
  <c r="H170" i="5"/>
  <c r="I169" i="5"/>
  <c r="H169" i="5"/>
  <c r="I168" i="5"/>
  <c r="H168" i="5"/>
  <c r="I167" i="5"/>
  <c r="H167" i="5"/>
  <c r="H157" i="5"/>
  <c r="I156" i="5"/>
  <c r="H156" i="5"/>
  <c r="I155" i="5"/>
  <c r="H155" i="5"/>
  <c r="I154" i="5"/>
  <c r="H154" i="5"/>
  <c r="I153" i="5"/>
  <c r="H153" i="5"/>
  <c r="I152" i="5"/>
  <c r="H152" i="5"/>
  <c r="I151" i="5"/>
  <c r="H151" i="5"/>
  <c r="I150" i="5"/>
  <c r="H150" i="5"/>
  <c r="I149" i="5"/>
  <c r="H149" i="5"/>
  <c r="I147" i="5"/>
  <c r="H147" i="5"/>
  <c r="I146" i="5"/>
  <c r="H146" i="5"/>
  <c r="I145" i="5"/>
  <c r="H145" i="5"/>
  <c r="I144" i="5"/>
  <c r="H144" i="5"/>
  <c r="I134" i="5"/>
  <c r="H134" i="5"/>
  <c r="I133" i="5"/>
  <c r="H133" i="5"/>
  <c r="I132" i="5"/>
  <c r="H132" i="5"/>
  <c r="I131" i="5"/>
  <c r="H131" i="5"/>
  <c r="I130" i="5"/>
  <c r="H130" i="5"/>
  <c r="I129" i="5"/>
  <c r="H129" i="5"/>
  <c r="I128" i="5"/>
  <c r="H128" i="5"/>
  <c r="I127" i="5"/>
  <c r="H127" i="5"/>
  <c r="I126" i="5"/>
  <c r="H126" i="5"/>
  <c r="I124" i="5"/>
  <c r="H124" i="5"/>
  <c r="I123" i="5"/>
  <c r="H123" i="5"/>
  <c r="I122" i="5"/>
  <c r="H122" i="5"/>
  <c r="I121" i="5"/>
  <c r="H121" i="5"/>
  <c r="I110" i="5"/>
  <c r="H110" i="5"/>
  <c r="I109" i="5"/>
  <c r="H109" i="5"/>
  <c r="I108" i="5"/>
  <c r="H108" i="5"/>
  <c r="I107" i="5"/>
  <c r="H107" i="5"/>
  <c r="I106" i="5"/>
  <c r="H106" i="5"/>
  <c r="I105" i="5"/>
  <c r="H105" i="5"/>
  <c r="I104" i="5"/>
  <c r="H104" i="5"/>
  <c r="I103" i="5"/>
  <c r="H103" i="5"/>
  <c r="I102" i="5"/>
  <c r="H102" i="5"/>
  <c r="I101" i="5"/>
  <c r="H101" i="5"/>
  <c r="I100" i="5"/>
  <c r="H100" i="5"/>
  <c r="I99" i="5"/>
  <c r="H99" i="5"/>
  <c r="I98" i="5"/>
  <c r="H98" i="5"/>
  <c r="I97" i="5"/>
  <c r="H97" i="5"/>
  <c r="I96" i="5"/>
  <c r="H96" i="5"/>
  <c r="I85" i="5"/>
  <c r="H85" i="5"/>
  <c r="I84" i="5"/>
  <c r="H84" i="5"/>
  <c r="I83" i="5"/>
  <c r="H83" i="5"/>
  <c r="I82" i="5"/>
  <c r="H82" i="5"/>
  <c r="I81" i="5"/>
  <c r="H81" i="5"/>
  <c r="I80" i="5"/>
  <c r="H80" i="5"/>
  <c r="I79" i="5"/>
  <c r="H79" i="5"/>
  <c r="I78" i="5"/>
  <c r="H78" i="5"/>
  <c r="I77" i="5"/>
  <c r="H77" i="5"/>
  <c r="I76" i="5"/>
  <c r="H76" i="5"/>
  <c r="I75" i="5"/>
  <c r="H75" i="5"/>
  <c r="I74" i="5"/>
  <c r="H74" i="5"/>
  <c r="I73" i="5"/>
  <c r="H73" i="5"/>
  <c r="I72" i="5"/>
  <c r="H72" i="5"/>
  <c r="I71" i="5"/>
  <c r="H71" i="5"/>
  <c r="I70" i="5"/>
  <c r="H70" i="5"/>
  <c r="I69" i="5"/>
  <c r="H69" i="5"/>
  <c r="I58" i="5"/>
  <c r="H58" i="5"/>
  <c r="I57" i="5"/>
  <c r="H57" i="5"/>
  <c r="I56" i="5"/>
  <c r="H56" i="5"/>
  <c r="I55" i="5"/>
  <c r="H55" i="5"/>
  <c r="I54" i="5"/>
  <c r="H54" i="5"/>
  <c r="I53" i="5"/>
  <c r="H53" i="5"/>
  <c r="I52" i="5"/>
  <c r="H52" i="5"/>
  <c r="I51" i="5"/>
  <c r="H51" i="5"/>
  <c r="I50" i="5"/>
  <c r="H50" i="5"/>
  <c r="I49" i="5"/>
  <c r="H49" i="5"/>
  <c r="I48" i="5"/>
  <c r="H48" i="5"/>
  <c r="I47" i="5"/>
  <c r="H47" i="5"/>
  <c r="H46" i="5"/>
  <c r="H45" i="5"/>
  <c r="H44" i="5"/>
  <c r="W35" i="1"/>
  <c r="H34" i="5"/>
  <c r="I33" i="5"/>
  <c r="H33" i="5"/>
  <c r="I32" i="5"/>
  <c r="H32" i="5"/>
  <c r="I31" i="5"/>
  <c r="H31" i="5"/>
  <c r="I30" i="5"/>
  <c r="H30" i="5"/>
  <c r="I29" i="5"/>
  <c r="H29" i="5"/>
  <c r="I28" i="5"/>
  <c r="H28" i="5"/>
  <c r="I27" i="5"/>
  <c r="H27" i="5"/>
  <c r="I26" i="5"/>
  <c r="H26" i="5"/>
  <c r="I25" i="5"/>
  <c r="H25" i="5"/>
  <c r="I24" i="5"/>
  <c r="H24" i="5"/>
  <c r="I23" i="5"/>
  <c r="H23" i="5"/>
  <c r="I22" i="5"/>
  <c r="H22" i="5"/>
  <c r="W22" i="1"/>
  <c r="H21" i="5"/>
  <c r="I20" i="5"/>
  <c r="H20" i="5"/>
  <c r="I19" i="5"/>
  <c r="H19" i="5"/>
  <c r="I18" i="5"/>
  <c r="H18" i="5"/>
  <c r="I17" i="5"/>
  <c r="H17" i="5"/>
  <c r="I16" i="5"/>
  <c r="H16" i="5"/>
  <c r="I15" i="5"/>
  <c r="H15" i="5"/>
  <c r="I14" i="5"/>
  <c r="H14" i="5"/>
  <c r="I13" i="5"/>
  <c r="H13" i="5"/>
  <c r="I12" i="5"/>
  <c r="H12" i="5"/>
  <c r="I11" i="5"/>
  <c r="H11" i="5"/>
  <c r="I10" i="5"/>
  <c r="H10" i="5"/>
  <c r="I9" i="5"/>
  <c r="H9" i="5"/>
  <c r="I8" i="5"/>
  <c r="H8" i="5"/>
  <c r="I7" i="5"/>
  <c r="H7" i="5"/>
  <c r="I6" i="5"/>
  <c r="H6" i="5"/>
  <c r="I5" i="5"/>
  <c r="H5" i="5"/>
  <c r="I4" i="5"/>
  <c r="H4" i="5"/>
  <c r="I3" i="5"/>
  <c r="H3" i="5"/>
  <c r="D195" i="1"/>
  <c r="D193" i="1"/>
  <c r="D192" i="1"/>
  <c r="D19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58" i="1"/>
  <c r="D157" i="1"/>
  <c r="D156" i="1"/>
  <c r="D155" i="1"/>
  <c r="D154" i="1"/>
  <c r="D153" i="1"/>
  <c r="D152" i="1"/>
  <c r="D151" i="1"/>
  <c r="D150" i="1"/>
  <c r="D148" i="1"/>
  <c r="D147" i="1"/>
  <c r="D146" i="1"/>
  <c r="D145" i="1"/>
  <c r="D135" i="1"/>
  <c r="D134" i="1"/>
  <c r="D133" i="1"/>
  <c r="D132" i="1"/>
  <c r="D131" i="1"/>
  <c r="D130" i="1"/>
  <c r="D129" i="1"/>
  <c r="D128" i="1"/>
  <c r="D127" i="1"/>
  <c r="D125" i="1"/>
  <c r="D124" i="1"/>
  <c r="D123" i="1"/>
  <c r="D12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59" i="1"/>
  <c r="D58" i="1"/>
  <c r="D57" i="1"/>
  <c r="D56" i="1"/>
  <c r="D55" i="1"/>
  <c r="D54" i="1"/>
  <c r="D53" i="1"/>
  <c r="D52" i="1"/>
  <c r="D51" i="1"/>
  <c r="D50" i="1"/>
  <c r="D25" i="1"/>
  <c r="D47" i="1"/>
  <c r="D46" i="1"/>
  <c r="D45" i="1"/>
  <c r="D27" i="1"/>
  <c r="D48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L4" i="1"/>
  <c r="D4" i="1"/>
  <c r="Y974" i="1" l="1"/>
  <c r="W974" i="1"/>
  <c r="Y781" i="1"/>
  <c r="W781" i="1"/>
  <c r="Y978" i="1"/>
  <c r="W978" i="1"/>
  <c r="Y785" i="1"/>
  <c r="W785" i="1"/>
  <c r="Y986" i="1"/>
  <c r="W986" i="1"/>
  <c r="Y793" i="1"/>
  <c r="W793" i="1"/>
  <c r="Y990" i="1"/>
  <c r="W990" i="1"/>
  <c r="Y797" i="1"/>
  <c r="W797" i="1"/>
  <c r="W994" i="1"/>
  <c r="Y994" i="1"/>
  <c r="W801" i="1"/>
  <c r="Y801" i="1"/>
  <c r="Y998" i="1"/>
  <c r="W998" i="1"/>
  <c r="W805" i="1"/>
  <c r="Y805" i="1"/>
  <c r="Y1135" i="1"/>
  <c r="Y942" i="1"/>
  <c r="W1135" i="1"/>
  <c r="W942" i="1"/>
  <c r="Y1139" i="1"/>
  <c r="Y946" i="1"/>
  <c r="W1139" i="1"/>
  <c r="W946" i="1"/>
  <c r="Y1143" i="1"/>
  <c r="Y950" i="1"/>
  <c r="W1143" i="1"/>
  <c r="W950" i="1"/>
  <c r="Y1147" i="1"/>
  <c r="Y954" i="1"/>
  <c r="W1147" i="1"/>
  <c r="W954" i="1"/>
  <c r="Y1161" i="1"/>
  <c r="Y968" i="1"/>
  <c r="W1161" i="1"/>
  <c r="W968" i="1"/>
  <c r="Y1017" i="1"/>
  <c r="W1017" i="1"/>
  <c r="Y824" i="1"/>
  <c r="W824" i="1"/>
  <c r="Y1021" i="1"/>
  <c r="Y828" i="1"/>
  <c r="W1021" i="1"/>
  <c r="W828" i="1"/>
  <c r="Y1025" i="1"/>
  <c r="Y832" i="1"/>
  <c r="W1025" i="1"/>
  <c r="W832" i="1"/>
  <c r="Y1039" i="1"/>
  <c r="W1039" i="1"/>
  <c r="Y846" i="1"/>
  <c r="W846" i="1"/>
  <c r="Y1043" i="1"/>
  <c r="Y850" i="1"/>
  <c r="W1043" i="1"/>
  <c r="W850" i="1"/>
  <c r="Y1047" i="1"/>
  <c r="Y854" i="1"/>
  <c r="W1047" i="1"/>
  <c r="W854" i="1"/>
  <c r="Y1051" i="1"/>
  <c r="Y858" i="1"/>
  <c r="W1051" i="1"/>
  <c r="W858" i="1"/>
  <c r="W1065" i="1"/>
  <c r="Y1065" i="1"/>
  <c r="Y872" i="1"/>
  <c r="W872" i="1"/>
  <c r="Y1069" i="1"/>
  <c r="Y876" i="1"/>
  <c r="W1069" i="1"/>
  <c r="W876" i="1"/>
  <c r="Y1073" i="1"/>
  <c r="W1073" i="1"/>
  <c r="W880" i="1"/>
  <c r="Y880" i="1"/>
  <c r="Y1077" i="1"/>
  <c r="Y884" i="1"/>
  <c r="W1077" i="1"/>
  <c r="W884" i="1"/>
  <c r="Y1091" i="1"/>
  <c r="Y898" i="1"/>
  <c r="W1091" i="1"/>
  <c r="W898" i="1"/>
  <c r="Y1096" i="1"/>
  <c r="Y903" i="1"/>
  <c r="W1096" i="1"/>
  <c r="W903" i="1"/>
  <c r="Y1100" i="1"/>
  <c r="Y907" i="1"/>
  <c r="W1100" i="1"/>
  <c r="W907" i="1"/>
  <c r="Y1113" i="1"/>
  <c r="Y920" i="1"/>
  <c r="W1113" i="1"/>
  <c r="W920" i="1"/>
  <c r="Y1118" i="1"/>
  <c r="Y925" i="1"/>
  <c r="W1118" i="1"/>
  <c r="W925" i="1"/>
  <c r="Y1122" i="1"/>
  <c r="Y929" i="1"/>
  <c r="W1122" i="1"/>
  <c r="W929" i="1"/>
  <c r="Y971" i="1"/>
  <c r="W971" i="1"/>
  <c r="Y778" i="1"/>
  <c r="W778" i="1"/>
  <c r="Y975" i="1"/>
  <c r="W975" i="1"/>
  <c r="W782" i="1"/>
  <c r="Y782" i="1"/>
  <c r="Y979" i="1"/>
  <c r="W979" i="1"/>
  <c r="Y786" i="1"/>
  <c r="W786" i="1"/>
  <c r="Y987" i="1"/>
  <c r="W987" i="1"/>
  <c r="Y794" i="1"/>
  <c r="W794" i="1"/>
  <c r="Y991" i="1"/>
  <c r="W991" i="1"/>
  <c r="Y798" i="1"/>
  <c r="W798" i="1"/>
  <c r="Y995" i="1"/>
  <c r="W995" i="1"/>
  <c r="Y802" i="1"/>
  <c r="W802" i="1"/>
  <c r="W999" i="1"/>
  <c r="Y999" i="1"/>
  <c r="Y806" i="1"/>
  <c r="W806" i="1"/>
  <c r="Y1136" i="1"/>
  <c r="Y943" i="1"/>
  <c r="W1136" i="1"/>
  <c r="W943" i="1"/>
  <c r="Y1140" i="1"/>
  <c r="Y947" i="1"/>
  <c r="W1140" i="1"/>
  <c r="W947" i="1"/>
  <c r="Y1144" i="1"/>
  <c r="Y951" i="1"/>
  <c r="W1144" i="1"/>
  <c r="W951" i="1"/>
  <c r="Y1158" i="1"/>
  <c r="Y965" i="1"/>
  <c r="W1158" i="1"/>
  <c r="W965" i="1"/>
  <c r="Y7" i="2"/>
  <c r="Y118" i="2" s="1"/>
  <c r="Y229" i="2" s="1"/>
  <c r="Y340" i="2" s="1"/>
  <c r="Y451" i="2" s="1"/>
  <c r="Y562" i="2" s="1"/>
  <c r="W7" i="2"/>
  <c r="W118" i="2" s="1"/>
  <c r="W229" i="2" s="1"/>
  <c r="W340" i="2" s="1"/>
  <c r="W451" i="2" s="1"/>
  <c r="W562" i="2" s="1"/>
  <c r="W6" i="2"/>
  <c r="W117" i="2" s="1"/>
  <c r="W228" i="2" s="1"/>
  <c r="W339" i="2" s="1"/>
  <c r="W450" i="2" s="1"/>
  <c r="W561" i="2" s="1"/>
  <c r="Y6" i="2"/>
  <c r="Y117" i="2" s="1"/>
  <c r="Y228" i="2" s="1"/>
  <c r="Y339" i="2" s="1"/>
  <c r="Y450" i="2" s="1"/>
  <c r="Y561" i="2" s="1"/>
  <c r="Y1018" i="1"/>
  <c r="W1018" i="1"/>
  <c r="Y825" i="1"/>
  <c r="W825" i="1"/>
  <c r="Y1022" i="1"/>
  <c r="W1022" i="1"/>
  <c r="W829" i="1"/>
  <c r="Y829" i="1"/>
  <c r="Y1026" i="1"/>
  <c r="W1026" i="1"/>
  <c r="Y833" i="1"/>
  <c r="W833" i="1"/>
  <c r="Y1040" i="1"/>
  <c r="W1040" i="1"/>
  <c r="Y847" i="1"/>
  <c r="W847" i="1"/>
  <c r="Y1044" i="1"/>
  <c r="W1044" i="1"/>
  <c r="Y851" i="1"/>
  <c r="W851" i="1"/>
  <c r="Y1048" i="1"/>
  <c r="Y855" i="1"/>
  <c r="W1048" i="1"/>
  <c r="W855" i="1"/>
  <c r="Y1052" i="1"/>
  <c r="Y859" i="1"/>
  <c r="W1052" i="1"/>
  <c r="W859" i="1"/>
  <c r="Y1066" i="1"/>
  <c r="W1066" i="1"/>
  <c r="W873" i="1"/>
  <c r="Y873" i="1"/>
  <c r="Y1070" i="1"/>
  <c r="W1070" i="1"/>
  <c r="W877" i="1"/>
  <c r="Y877" i="1"/>
  <c r="Y1074" i="1"/>
  <c r="Y881" i="1"/>
  <c r="W1074" i="1"/>
  <c r="W881" i="1"/>
  <c r="Y1078" i="1"/>
  <c r="Y885" i="1"/>
  <c r="W1078" i="1"/>
  <c r="W885" i="1"/>
  <c r="W1092" i="1"/>
  <c r="W899" i="1"/>
  <c r="Y1092" i="1"/>
  <c r="Y899" i="1"/>
  <c r="Y1097" i="1"/>
  <c r="Y904" i="1"/>
  <c r="W1097" i="1"/>
  <c r="W904" i="1"/>
  <c r="Y1101" i="1"/>
  <c r="Y908" i="1"/>
  <c r="W1101" i="1"/>
  <c r="W908" i="1"/>
  <c r="Y1114" i="1"/>
  <c r="Y921" i="1"/>
  <c r="W1114" i="1"/>
  <c r="W921" i="1"/>
  <c r="Y1119" i="1"/>
  <c r="Y926" i="1"/>
  <c r="W1119" i="1"/>
  <c r="W926" i="1"/>
  <c r="Y1123" i="1"/>
  <c r="Y930" i="1"/>
  <c r="W1123" i="1"/>
  <c r="W930" i="1"/>
  <c r="Y972" i="1"/>
  <c r="W972" i="1"/>
  <c r="Y779" i="1"/>
  <c r="W779" i="1"/>
  <c r="Y976" i="1"/>
  <c r="W976" i="1"/>
  <c r="Y783" i="1"/>
  <c r="W783" i="1"/>
  <c r="Y980" i="1"/>
  <c r="W980" i="1"/>
  <c r="Y787" i="1"/>
  <c r="W787" i="1"/>
  <c r="Y984" i="1"/>
  <c r="W984" i="1"/>
  <c r="Y791" i="1"/>
  <c r="W791" i="1"/>
  <c r="Y988" i="1"/>
  <c r="W988" i="1"/>
  <c r="Y795" i="1"/>
  <c r="W795" i="1"/>
  <c r="Y1015" i="1"/>
  <c r="W1015" i="1"/>
  <c r="Y822" i="1"/>
  <c r="W822" i="1"/>
  <c r="Y996" i="1"/>
  <c r="W996" i="1"/>
  <c r="Y803" i="1"/>
  <c r="W803" i="1"/>
  <c r="Y1000" i="1"/>
  <c r="W1000" i="1"/>
  <c r="Y807" i="1"/>
  <c r="W807" i="1"/>
  <c r="Y1137" i="1"/>
  <c r="Y944" i="1"/>
  <c r="W1137" i="1"/>
  <c r="W944" i="1"/>
  <c r="Y1141" i="1"/>
  <c r="Y948" i="1"/>
  <c r="W1141" i="1"/>
  <c r="W948" i="1"/>
  <c r="Y1145" i="1"/>
  <c r="Y952" i="1"/>
  <c r="W1145" i="1"/>
  <c r="W952" i="1"/>
  <c r="Y1159" i="1"/>
  <c r="Y966" i="1"/>
  <c r="W1159" i="1"/>
  <c r="W966" i="1"/>
  <c r="Y18" i="2"/>
  <c r="Y129" i="2" s="1"/>
  <c r="Y240" i="2" s="1"/>
  <c r="Y351" i="2" s="1"/>
  <c r="Y462" i="2" s="1"/>
  <c r="Y573" i="2" s="1"/>
  <c r="W18" i="2"/>
  <c r="W129" i="2" s="1"/>
  <c r="W240" i="2" s="1"/>
  <c r="W351" i="2" s="1"/>
  <c r="W462" i="2" s="1"/>
  <c r="W573" i="2" s="1"/>
  <c r="Y5" i="2"/>
  <c r="Y116" i="2" s="1"/>
  <c r="Y227" i="2" s="1"/>
  <c r="Y338" i="2" s="1"/>
  <c r="Y449" i="2" s="1"/>
  <c r="Y560" i="2" s="1"/>
  <c r="W5" i="2"/>
  <c r="W116" i="2" s="1"/>
  <c r="W227" i="2" s="1"/>
  <c r="W338" i="2" s="1"/>
  <c r="W449" i="2" s="1"/>
  <c r="W560" i="2" s="1"/>
  <c r="Y992" i="1"/>
  <c r="W992" i="1"/>
  <c r="Y799" i="1"/>
  <c r="W799" i="1"/>
  <c r="Y1019" i="1"/>
  <c r="W1019" i="1"/>
  <c r="W826" i="1"/>
  <c r="Y826" i="1"/>
  <c r="W1023" i="1"/>
  <c r="Y1023" i="1"/>
  <c r="Y830" i="1"/>
  <c r="W830" i="1"/>
  <c r="Y1037" i="1"/>
  <c r="W1037" i="1"/>
  <c r="Y844" i="1"/>
  <c r="W844" i="1"/>
  <c r="Y1041" i="1"/>
  <c r="Y848" i="1"/>
  <c r="W1041" i="1"/>
  <c r="W848" i="1"/>
  <c r="W1045" i="1"/>
  <c r="Y1045" i="1"/>
  <c r="Y852" i="1"/>
  <c r="W852" i="1"/>
  <c r="W1049" i="1"/>
  <c r="Y1049" i="1"/>
  <c r="Y856" i="1"/>
  <c r="W856" i="1"/>
  <c r="W1053" i="1"/>
  <c r="Y1053" i="1"/>
  <c r="Y860" i="1"/>
  <c r="W860" i="1"/>
  <c r="W1067" i="1"/>
  <c r="Y1067" i="1"/>
  <c r="Y874" i="1"/>
  <c r="W874" i="1"/>
  <c r="W1071" i="1"/>
  <c r="Y1071" i="1"/>
  <c r="Y878" i="1"/>
  <c r="W878" i="1"/>
  <c r="Y1075" i="1"/>
  <c r="W1075" i="1"/>
  <c r="W882" i="1"/>
  <c r="Y882" i="1"/>
  <c r="Y1089" i="1"/>
  <c r="Y896" i="1"/>
  <c r="W1089" i="1"/>
  <c r="W896" i="1"/>
  <c r="Y1094" i="1"/>
  <c r="Y901" i="1"/>
  <c r="W1094" i="1"/>
  <c r="W901" i="1"/>
  <c r="Y1098" i="1"/>
  <c r="Y905" i="1"/>
  <c r="W1098" i="1"/>
  <c r="W905" i="1"/>
  <c r="Y1102" i="1"/>
  <c r="Y909" i="1"/>
  <c r="W1102" i="1"/>
  <c r="W909" i="1"/>
  <c r="Y1115" i="1"/>
  <c r="Y922" i="1"/>
  <c r="W1115" i="1"/>
  <c r="W922" i="1"/>
  <c r="Y1120" i="1"/>
  <c r="Y927" i="1"/>
  <c r="W1120" i="1"/>
  <c r="W927" i="1"/>
  <c r="W1124" i="1"/>
  <c r="W931" i="1"/>
  <c r="Y1124" i="1"/>
  <c r="Y931" i="1"/>
  <c r="Y973" i="1"/>
  <c r="W973" i="1"/>
  <c r="Y780" i="1"/>
  <c r="W780" i="1"/>
  <c r="Y977" i="1"/>
  <c r="W977" i="1"/>
  <c r="Y784" i="1"/>
  <c r="W784" i="1"/>
  <c r="Y981" i="1"/>
  <c r="W981" i="1"/>
  <c r="Y788" i="1"/>
  <c r="W788" i="1"/>
  <c r="Y985" i="1"/>
  <c r="W985" i="1"/>
  <c r="Y792" i="1"/>
  <c r="W792" i="1"/>
  <c r="W1016" i="1"/>
  <c r="Y1016" i="1"/>
  <c r="Y823" i="1"/>
  <c r="W823" i="1"/>
  <c r="Y997" i="1"/>
  <c r="W997" i="1"/>
  <c r="Y804" i="1"/>
  <c r="W804" i="1"/>
  <c r="Y1001" i="1"/>
  <c r="W1001" i="1"/>
  <c r="Y808" i="1"/>
  <c r="W808" i="1"/>
  <c r="Y1138" i="1"/>
  <c r="Y945" i="1"/>
  <c r="W1138" i="1"/>
  <c r="W945" i="1"/>
  <c r="Y1142" i="1"/>
  <c r="Y949" i="1"/>
  <c r="W1142" i="1"/>
  <c r="W949" i="1"/>
  <c r="Y1146" i="1"/>
  <c r="Y953" i="1"/>
  <c r="W1146" i="1"/>
  <c r="W953" i="1"/>
  <c r="Y1160" i="1"/>
  <c r="Y967" i="1"/>
  <c r="W1160" i="1"/>
  <c r="W967" i="1"/>
  <c r="Y993" i="1"/>
  <c r="W993" i="1"/>
  <c r="Y800" i="1"/>
  <c r="W800" i="1"/>
  <c r="Y1020" i="1"/>
  <c r="W1020" i="1"/>
  <c r="Y827" i="1"/>
  <c r="W827" i="1"/>
  <c r="Y1024" i="1"/>
  <c r="W1024" i="1"/>
  <c r="Y831" i="1"/>
  <c r="W831" i="1"/>
  <c r="Y1038" i="1"/>
  <c r="W1038" i="1"/>
  <c r="Y845" i="1"/>
  <c r="W845" i="1"/>
  <c r="Y1042" i="1"/>
  <c r="W1042" i="1"/>
  <c r="W849" i="1"/>
  <c r="Y849" i="1"/>
  <c r="Y1046" i="1"/>
  <c r="Y853" i="1"/>
  <c r="W1046" i="1"/>
  <c r="W853" i="1"/>
  <c r="Y1050" i="1"/>
  <c r="Y857" i="1"/>
  <c r="W1050" i="1"/>
  <c r="W857" i="1"/>
  <c r="W1064" i="1"/>
  <c r="Y1064" i="1"/>
  <c r="Y871" i="1"/>
  <c r="W871" i="1"/>
  <c r="Y1068" i="1"/>
  <c r="Y875" i="1"/>
  <c r="W1068" i="1"/>
  <c r="W875" i="1"/>
  <c r="Y1072" i="1"/>
  <c r="Y879" i="1"/>
  <c r="W1072" i="1"/>
  <c r="W879" i="1"/>
  <c r="Y1076" i="1"/>
  <c r="Y883" i="1"/>
  <c r="W1076" i="1"/>
  <c r="W883" i="1"/>
  <c r="Y1090" i="1"/>
  <c r="Y897" i="1"/>
  <c r="W1090" i="1"/>
  <c r="W897" i="1"/>
  <c r="Y1095" i="1"/>
  <c r="Y902" i="1"/>
  <c r="W1095" i="1"/>
  <c r="W902" i="1"/>
  <c r="Y1099" i="1"/>
  <c r="Y906" i="1"/>
  <c r="W1099" i="1"/>
  <c r="W906" i="1"/>
  <c r="Y1112" i="1"/>
  <c r="Y919" i="1"/>
  <c r="W1112" i="1"/>
  <c r="W919" i="1"/>
  <c r="W1117" i="1"/>
  <c r="W924" i="1"/>
  <c r="Y1117" i="1"/>
  <c r="Y924" i="1"/>
  <c r="Y1121" i="1"/>
  <c r="Y928" i="1"/>
  <c r="W1121" i="1"/>
  <c r="W928" i="1"/>
  <c r="W59" i="1"/>
  <c r="W447" i="1"/>
  <c r="Y640" i="1"/>
  <c r="W640" i="1"/>
  <c r="W254" i="1"/>
  <c r="Y447" i="1"/>
  <c r="Y254" i="1"/>
  <c r="W130" i="1"/>
  <c r="W711" i="1"/>
  <c r="W518" i="1"/>
  <c r="Y711" i="1"/>
  <c r="Y325" i="1"/>
  <c r="W325" i="1"/>
  <c r="Y518" i="1"/>
  <c r="W629" i="1"/>
  <c r="W436" i="1"/>
  <c r="Y629" i="1"/>
  <c r="Y436" i="1"/>
  <c r="Y243" i="1"/>
  <c r="W243" i="1"/>
  <c r="W192" i="1"/>
  <c r="W580" i="1"/>
  <c r="Y773" i="1"/>
  <c r="W773" i="1"/>
  <c r="Y580" i="1"/>
  <c r="Y387" i="1"/>
  <c r="W387" i="1"/>
  <c r="Y4" i="1"/>
  <c r="Y585" i="1"/>
  <c r="W585" i="1"/>
  <c r="Y199" i="1"/>
  <c r="Y392" i="1"/>
  <c r="W199" i="1"/>
  <c r="W392" i="1"/>
  <c r="W8" i="1"/>
  <c r="Y589" i="1"/>
  <c r="W589" i="1"/>
  <c r="Y203" i="1"/>
  <c r="W203" i="1"/>
  <c r="Y396" i="1"/>
  <c r="W396" i="1"/>
  <c r="Y12" i="1"/>
  <c r="W400" i="1"/>
  <c r="Y593" i="1"/>
  <c r="W593" i="1"/>
  <c r="Y207" i="1"/>
  <c r="Y400" i="1"/>
  <c r="W207" i="1"/>
  <c r="Y20" i="1"/>
  <c r="Y601" i="1"/>
  <c r="W601" i="1"/>
  <c r="Y215" i="1"/>
  <c r="W215" i="1"/>
  <c r="Y408" i="1"/>
  <c r="W408" i="1"/>
  <c r="Y24" i="1"/>
  <c r="Y605" i="1"/>
  <c r="W605" i="1"/>
  <c r="W412" i="1"/>
  <c r="Y219" i="1"/>
  <c r="W219" i="1"/>
  <c r="Y412" i="1"/>
  <c r="W28" i="1"/>
  <c r="Y609" i="1"/>
  <c r="W609" i="1"/>
  <c r="Y416" i="1"/>
  <c r="Y223" i="1"/>
  <c r="W223" i="1"/>
  <c r="W416" i="1"/>
  <c r="Y32" i="1"/>
  <c r="Y613" i="1"/>
  <c r="W613" i="1"/>
  <c r="W227" i="1"/>
  <c r="Y420" i="1"/>
  <c r="W420" i="1"/>
  <c r="Y227" i="1"/>
  <c r="W557" i="1"/>
  <c r="Y750" i="1"/>
  <c r="W750" i="1"/>
  <c r="Y557" i="1"/>
  <c r="Y364" i="1"/>
  <c r="W364" i="1"/>
  <c r="W173" i="1"/>
  <c r="Y561" i="1"/>
  <c r="W561" i="1"/>
  <c r="Y754" i="1"/>
  <c r="W754" i="1"/>
  <c r="Y368" i="1"/>
  <c r="W368" i="1"/>
  <c r="W177" i="1"/>
  <c r="Y565" i="1"/>
  <c r="W565" i="1"/>
  <c r="Y758" i="1"/>
  <c r="W758" i="1"/>
  <c r="Y372" i="1"/>
  <c r="W372" i="1"/>
  <c r="W191" i="1"/>
  <c r="W579" i="1"/>
  <c r="Y772" i="1"/>
  <c r="W772" i="1"/>
  <c r="Y579" i="1"/>
  <c r="Y386" i="1"/>
  <c r="W386" i="1"/>
  <c r="Y17" i="2"/>
  <c r="W17" i="2"/>
  <c r="W77" i="1"/>
  <c r="Y658" i="1"/>
  <c r="W658" i="1"/>
  <c r="Y272" i="1"/>
  <c r="Y465" i="1"/>
  <c r="W272" i="1"/>
  <c r="W465" i="1"/>
  <c r="Y706" i="1"/>
  <c r="W706" i="1"/>
  <c r="W320" i="1"/>
  <c r="Y513" i="1"/>
  <c r="W513" i="1"/>
  <c r="Y320" i="1"/>
  <c r="W34" i="2"/>
  <c r="W145" i="2" s="1"/>
  <c r="W256" i="2" s="1"/>
  <c r="W367" i="2" s="1"/>
  <c r="W478" i="2" s="1"/>
  <c r="W589" i="2" s="1"/>
  <c r="W469" i="1"/>
  <c r="Y662" i="1"/>
  <c r="W662" i="1"/>
  <c r="Y469" i="1"/>
  <c r="W276" i="1"/>
  <c r="Y276" i="1"/>
  <c r="W134" i="1"/>
  <c r="W715" i="1"/>
  <c r="W522" i="1"/>
  <c r="Y715" i="1"/>
  <c r="Y522" i="1"/>
  <c r="Y329" i="1"/>
  <c r="W329" i="1"/>
  <c r="Y13" i="1"/>
  <c r="W594" i="1"/>
  <c r="Y594" i="1"/>
  <c r="Y208" i="1"/>
  <c r="W208" i="1"/>
  <c r="Y401" i="1"/>
  <c r="W401" i="1"/>
  <c r="W16" i="2"/>
  <c r="Y16" i="2"/>
  <c r="W461" i="1"/>
  <c r="Y654" i="1"/>
  <c r="W654" i="1"/>
  <c r="W268" i="1"/>
  <c r="Y461" i="1"/>
  <c r="Y268" i="1"/>
  <c r="Y499" i="1"/>
  <c r="Y692" i="1"/>
  <c r="W692" i="1"/>
  <c r="W499" i="1"/>
  <c r="Y306" i="1"/>
  <c r="W306" i="1"/>
  <c r="Y21" i="1"/>
  <c r="Y602" i="1"/>
  <c r="W602" i="1"/>
  <c r="W409" i="1"/>
  <c r="Y216" i="1"/>
  <c r="W216" i="1"/>
  <c r="Y409" i="1"/>
  <c r="W413" i="1"/>
  <c r="Y606" i="1"/>
  <c r="W606" i="1"/>
  <c r="Y413" i="1"/>
  <c r="Y220" i="1"/>
  <c r="W220" i="1"/>
  <c r="Y52" i="1"/>
  <c r="Y440" i="1"/>
  <c r="Y633" i="1"/>
  <c r="W633" i="1"/>
  <c r="W440" i="1"/>
  <c r="Y247" i="1"/>
  <c r="W247" i="1"/>
  <c r="Y56" i="1"/>
  <c r="Y637" i="1"/>
  <c r="W637" i="1"/>
  <c r="W251" i="1"/>
  <c r="Y444" i="1"/>
  <c r="W444" i="1"/>
  <c r="Y251" i="1"/>
  <c r="Y70" i="1"/>
  <c r="W458" i="1"/>
  <c r="Y651" i="1"/>
  <c r="W651" i="1"/>
  <c r="Y458" i="1"/>
  <c r="W265" i="1"/>
  <c r="Y265" i="1"/>
  <c r="Y462" i="1"/>
  <c r="Y655" i="1"/>
  <c r="W655" i="1"/>
  <c r="W462" i="1"/>
  <c r="Y269" i="1"/>
  <c r="W269" i="1"/>
  <c r="W78" i="1"/>
  <c r="Y659" i="1"/>
  <c r="W659" i="1"/>
  <c r="Y466" i="1"/>
  <c r="W273" i="1"/>
  <c r="W466" i="1"/>
  <c r="Y273" i="1"/>
  <c r="Y663" i="1"/>
  <c r="W663" i="1"/>
  <c r="W277" i="1"/>
  <c r="Y470" i="1"/>
  <c r="W470" i="1"/>
  <c r="Y277" i="1"/>
  <c r="W86" i="1"/>
  <c r="Y667" i="1"/>
  <c r="W667" i="1"/>
  <c r="W281" i="1"/>
  <c r="Y474" i="1"/>
  <c r="W474" i="1"/>
  <c r="Y281" i="1"/>
  <c r="Y681" i="1"/>
  <c r="W681" i="1"/>
  <c r="W295" i="1"/>
  <c r="Y488" i="1"/>
  <c r="W488" i="1"/>
  <c r="Y295" i="1"/>
  <c r="W104" i="1"/>
  <c r="Y685" i="1"/>
  <c r="W685" i="1"/>
  <c r="Y492" i="1"/>
  <c r="W299" i="1"/>
  <c r="W492" i="1"/>
  <c r="Y299" i="1"/>
  <c r="W689" i="1"/>
  <c r="W496" i="1"/>
  <c r="Y689" i="1"/>
  <c r="Y303" i="1"/>
  <c r="Y496" i="1"/>
  <c r="W303" i="1"/>
  <c r="W122" i="1"/>
  <c r="W703" i="1"/>
  <c r="W510" i="1"/>
  <c r="Y703" i="1"/>
  <c r="Y317" i="1"/>
  <c r="Y510" i="1"/>
  <c r="W317" i="1"/>
  <c r="Y708" i="1"/>
  <c r="W708" i="1"/>
  <c r="Y515" i="1"/>
  <c r="W515" i="1"/>
  <c r="Y322" i="1"/>
  <c r="W322" i="1"/>
  <c r="W131" i="1"/>
  <c r="W519" i="1"/>
  <c r="Y712" i="1"/>
  <c r="W712" i="1"/>
  <c r="Y519" i="1"/>
  <c r="Y326" i="1"/>
  <c r="W326" i="1"/>
  <c r="W523" i="1"/>
  <c r="Y716" i="1"/>
  <c r="W716" i="1"/>
  <c r="Y523" i="1"/>
  <c r="Y330" i="1"/>
  <c r="W330" i="1"/>
  <c r="Y536" i="1"/>
  <c r="W536" i="1"/>
  <c r="Y729" i="1"/>
  <c r="W729" i="1"/>
  <c r="W343" i="1"/>
  <c r="Y343" i="1"/>
  <c r="W32" i="2"/>
  <c r="W143" i="2" s="1"/>
  <c r="W254" i="2" s="1"/>
  <c r="W365" i="2" s="1"/>
  <c r="W476" i="2" s="1"/>
  <c r="W587" i="2" s="1"/>
  <c r="Y541" i="1"/>
  <c r="Y734" i="1"/>
  <c r="W734" i="1"/>
  <c r="W541" i="1"/>
  <c r="Y348" i="1"/>
  <c r="W348" i="1"/>
  <c r="W157" i="1"/>
  <c r="W545" i="1"/>
  <c r="Y738" i="1"/>
  <c r="W738" i="1"/>
  <c r="W352" i="1"/>
  <c r="Y545" i="1"/>
  <c r="Y352" i="1"/>
  <c r="Y55" i="1"/>
  <c r="W443" i="1"/>
  <c r="Y636" i="1"/>
  <c r="W636" i="1"/>
  <c r="Y443" i="1"/>
  <c r="W250" i="1"/>
  <c r="Y250" i="1"/>
  <c r="Y495" i="1"/>
  <c r="Y688" i="1"/>
  <c r="W688" i="1"/>
  <c r="W495" i="1"/>
  <c r="Y302" i="1"/>
  <c r="W302" i="1"/>
  <c r="Y9" i="1"/>
  <c r="Y590" i="1"/>
  <c r="W590" i="1"/>
  <c r="Y204" i="1"/>
  <c r="Y397" i="1"/>
  <c r="W204" i="1"/>
  <c r="W397" i="1"/>
  <c r="Y562" i="1"/>
  <c r="W562" i="1"/>
  <c r="Y755" i="1"/>
  <c r="W755" i="1"/>
  <c r="Y369" i="1"/>
  <c r="W369" i="1"/>
  <c r="W6" i="1"/>
  <c r="Y587" i="1"/>
  <c r="W587" i="1"/>
  <c r="W394" i="1"/>
  <c r="Y394" i="1"/>
  <c r="W201" i="1"/>
  <c r="Y201" i="1"/>
  <c r="Y10" i="1"/>
  <c r="Y591" i="1"/>
  <c r="W591" i="1"/>
  <c r="Y205" i="1"/>
  <c r="W205" i="1"/>
  <c r="Y398" i="1"/>
  <c r="W398" i="1"/>
  <c r="Y595" i="1"/>
  <c r="W595" i="1"/>
  <c r="Y209" i="1"/>
  <c r="W402" i="1"/>
  <c r="W209" i="1"/>
  <c r="Y402" i="1"/>
  <c r="Y18" i="1"/>
  <c r="Y599" i="1"/>
  <c r="W599" i="1"/>
  <c r="W406" i="1"/>
  <c r="Y213" i="1"/>
  <c r="W213" i="1"/>
  <c r="Y406" i="1"/>
  <c r="Y630" i="1"/>
  <c r="W630" i="1"/>
  <c r="W437" i="1"/>
  <c r="W244" i="1"/>
  <c r="Y437" i="1"/>
  <c r="Y244" i="1"/>
  <c r="Y30" i="1"/>
  <c r="W418" i="1"/>
  <c r="Y611" i="1"/>
  <c r="W611" i="1"/>
  <c r="Y418" i="1"/>
  <c r="Y225" i="1"/>
  <c r="W225" i="1"/>
  <c r="W34" i="1"/>
  <c r="Y615" i="1"/>
  <c r="W615" i="1"/>
  <c r="Y422" i="1"/>
  <c r="W422" i="1"/>
  <c r="Y229" i="1"/>
  <c r="W229" i="1"/>
  <c r="Y752" i="1"/>
  <c r="W752" i="1"/>
  <c r="Y559" i="1"/>
  <c r="W559" i="1"/>
  <c r="Y366" i="1"/>
  <c r="W366" i="1"/>
  <c r="W756" i="1"/>
  <c r="Y563" i="1"/>
  <c r="W563" i="1"/>
  <c r="Y756" i="1"/>
  <c r="Y370" i="1"/>
  <c r="W370" i="1"/>
  <c r="W760" i="1"/>
  <c r="Y567" i="1"/>
  <c r="W567" i="1"/>
  <c r="Y760" i="1"/>
  <c r="Y374" i="1"/>
  <c r="W374" i="1"/>
  <c r="W193" i="1"/>
  <c r="W581" i="1"/>
  <c r="Y774" i="1"/>
  <c r="W774" i="1"/>
  <c r="Y581" i="1"/>
  <c r="Y388" i="1"/>
  <c r="W388" i="1"/>
  <c r="W85" i="1"/>
  <c r="W473" i="1"/>
  <c r="Y666" i="1"/>
  <c r="W666" i="1"/>
  <c r="W280" i="1"/>
  <c r="Y473" i="1"/>
  <c r="Y280" i="1"/>
  <c r="Y540" i="1"/>
  <c r="W540" i="1"/>
  <c r="Y733" i="1"/>
  <c r="W733" i="1"/>
  <c r="Y347" i="1"/>
  <c r="W347" i="1"/>
  <c r="Y586" i="1"/>
  <c r="W586" i="1"/>
  <c r="Y200" i="1"/>
  <c r="W393" i="1"/>
  <c r="Y393" i="1"/>
  <c r="W200" i="1"/>
  <c r="Y29" i="1"/>
  <c r="Y610" i="1"/>
  <c r="W610" i="1"/>
  <c r="Y417" i="1"/>
  <c r="W417" i="1"/>
  <c r="Y224" i="1"/>
  <c r="W224" i="1"/>
  <c r="Y566" i="1"/>
  <c r="W566" i="1"/>
  <c r="Y759" i="1"/>
  <c r="W759" i="1"/>
  <c r="Y373" i="1"/>
  <c r="W373" i="1"/>
  <c r="W414" i="1"/>
  <c r="Y607" i="1"/>
  <c r="W607" i="1"/>
  <c r="Y414" i="1"/>
  <c r="Y221" i="1"/>
  <c r="W221" i="1"/>
  <c r="Y53" i="1"/>
  <c r="Y634" i="1"/>
  <c r="W634" i="1"/>
  <c r="Y441" i="1"/>
  <c r="Y248" i="1"/>
  <c r="W248" i="1"/>
  <c r="W441" i="1"/>
  <c r="Y57" i="1"/>
  <c r="Y638" i="1"/>
  <c r="W638" i="1"/>
  <c r="Y445" i="1"/>
  <c r="Y252" i="1"/>
  <c r="W252" i="1"/>
  <c r="W445" i="1"/>
  <c r="Y71" i="1"/>
  <c r="W459" i="1"/>
  <c r="Y652" i="1"/>
  <c r="W652" i="1"/>
  <c r="Y459" i="1"/>
  <c r="W266" i="1"/>
  <c r="Y266" i="1"/>
  <c r="Y75" i="1"/>
  <c r="Y463" i="1"/>
  <c r="Y656" i="1"/>
  <c r="W656" i="1"/>
  <c r="W463" i="1"/>
  <c r="Y270" i="1"/>
  <c r="W270" i="1"/>
  <c r="W79" i="1"/>
  <c r="Y660" i="1"/>
  <c r="W660" i="1"/>
  <c r="Y467" i="1"/>
  <c r="Y274" i="1"/>
  <c r="W274" i="1"/>
  <c r="W467" i="1"/>
  <c r="Y664" i="1"/>
  <c r="W664" i="1"/>
  <c r="Y471" i="1"/>
  <c r="Y278" i="1"/>
  <c r="W278" i="1"/>
  <c r="W471" i="1"/>
  <c r="Y97" i="1"/>
  <c r="Y678" i="1"/>
  <c r="W678" i="1"/>
  <c r="W292" i="1"/>
  <c r="Y485" i="1"/>
  <c r="W485" i="1"/>
  <c r="Y292" i="1"/>
  <c r="Y489" i="1"/>
  <c r="Y682" i="1"/>
  <c r="W682" i="1"/>
  <c r="Y296" i="1"/>
  <c r="W489" i="1"/>
  <c r="W296" i="1"/>
  <c r="W105" i="1"/>
  <c r="W493" i="1"/>
  <c r="Y686" i="1"/>
  <c r="W686" i="1"/>
  <c r="Y493" i="1"/>
  <c r="Y300" i="1"/>
  <c r="W300" i="1"/>
  <c r="W497" i="1"/>
  <c r="Y690" i="1"/>
  <c r="W690" i="1"/>
  <c r="Y497" i="1"/>
  <c r="Y304" i="1"/>
  <c r="W304" i="1"/>
  <c r="W704" i="1"/>
  <c r="W511" i="1"/>
  <c r="Y704" i="1"/>
  <c r="Y318" i="1"/>
  <c r="W318" i="1"/>
  <c r="Y511" i="1"/>
  <c r="Y516" i="1"/>
  <c r="W516" i="1"/>
  <c r="Y709" i="1"/>
  <c r="W709" i="1"/>
  <c r="Y323" i="1"/>
  <c r="W323" i="1"/>
  <c r="W132" i="1"/>
  <c r="Y520" i="1"/>
  <c r="W520" i="1"/>
  <c r="Y713" i="1"/>
  <c r="W713" i="1"/>
  <c r="Y327" i="1"/>
  <c r="W327" i="1"/>
  <c r="W145" i="1"/>
  <c r="Y533" i="1"/>
  <c r="Y726" i="1"/>
  <c r="W726" i="1"/>
  <c r="Y340" i="1"/>
  <c r="W533" i="1"/>
  <c r="W340" i="1"/>
  <c r="W150" i="1"/>
  <c r="W538" i="1"/>
  <c r="Y731" i="1"/>
  <c r="W731" i="1"/>
  <c r="W345" i="1"/>
  <c r="Y538" i="1"/>
  <c r="Y345" i="1"/>
  <c r="W735" i="1"/>
  <c r="Y542" i="1"/>
  <c r="W542" i="1"/>
  <c r="Y735" i="1"/>
  <c r="Y349" i="1"/>
  <c r="W349" i="1"/>
  <c r="W680" i="1"/>
  <c r="W487" i="1"/>
  <c r="Y680" i="1"/>
  <c r="Y294" i="1"/>
  <c r="W294" i="1"/>
  <c r="Y487" i="1"/>
  <c r="Y535" i="1"/>
  <c r="Y728" i="1"/>
  <c r="W728" i="1"/>
  <c r="W535" i="1"/>
  <c r="Y342" i="1"/>
  <c r="W342" i="1"/>
  <c r="W33" i="1"/>
  <c r="W614" i="1"/>
  <c r="Y614" i="1"/>
  <c r="W421" i="1"/>
  <c r="Y228" i="1"/>
  <c r="W228" i="1"/>
  <c r="Y421" i="1"/>
  <c r="W558" i="1"/>
  <c r="Y751" i="1"/>
  <c r="W751" i="1"/>
  <c r="Y558" i="1"/>
  <c r="Y365" i="1"/>
  <c r="W365" i="1"/>
  <c r="W7" i="1"/>
  <c r="W588" i="1"/>
  <c r="Y588" i="1"/>
  <c r="Y202" i="1"/>
  <c r="Y395" i="1"/>
  <c r="W202" i="1"/>
  <c r="W395" i="1"/>
  <c r="Y11" i="1"/>
  <c r="Y592" i="1"/>
  <c r="W592" i="1"/>
  <c r="W399" i="1"/>
  <c r="Y206" i="1"/>
  <c r="Y399" i="1"/>
  <c r="W206" i="1"/>
  <c r="Y19" i="1"/>
  <c r="Y407" i="1"/>
  <c r="Y600" i="1"/>
  <c r="W600" i="1"/>
  <c r="W407" i="1"/>
  <c r="W214" i="1"/>
  <c r="Y214" i="1"/>
  <c r="Y23" i="1"/>
  <c r="Y604" i="1"/>
  <c r="W604" i="1"/>
  <c r="W411" i="1"/>
  <c r="Y218" i="1"/>
  <c r="W218" i="1"/>
  <c r="Y411" i="1"/>
  <c r="Y27" i="1"/>
  <c r="Y608" i="1"/>
  <c r="W608" i="1"/>
  <c r="W222" i="1"/>
  <c r="Y415" i="1"/>
  <c r="W415" i="1"/>
  <c r="Y222" i="1"/>
  <c r="Y419" i="1"/>
  <c r="Y612" i="1"/>
  <c r="W612" i="1"/>
  <c r="Y226" i="1"/>
  <c r="W419" i="1"/>
  <c r="W226" i="1"/>
  <c r="W168" i="1"/>
  <c r="W556" i="1"/>
  <c r="Y749" i="1"/>
  <c r="W749" i="1"/>
  <c r="Y556" i="1"/>
  <c r="Y363" i="1"/>
  <c r="W363" i="1"/>
  <c r="W753" i="1"/>
  <c r="Y560" i="1"/>
  <c r="W560" i="1"/>
  <c r="Y753" i="1"/>
  <c r="Y367" i="1"/>
  <c r="W367" i="1"/>
  <c r="W31" i="2"/>
  <c r="W142" i="2" s="1"/>
  <c r="W253" i="2" s="1"/>
  <c r="W364" i="2" s="1"/>
  <c r="W475" i="2" s="1"/>
  <c r="W586" i="2" s="1"/>
  <c r="W172" i="1"/>
  <c r="Y172" i="1"/>
  <c r="W176" i="1"/>
  <c r="W564" i="1"/>
  <c r="Y757" i="1"/>
  <c r="W757" i="1"/>
  <c r="Y564" i="1"/>
  <c r="Y371" i="1"/>
  <c r="W371" i="1"/>
  <c r="W568" i="1"/>
  <c r="Y761" i="1"/>
  <c r="W761" i="1"/>
  <c r="Y568" i="1"/>
  <c r="Y375" i="1"/>
  <c r="W375" i="1"/>
  <c r="W195" i="1"/>
  <c r="Y36" i="2"/>
  <c r="Y147" i="2" s="1"/>
  <c r="Y258" i="2" s="1"/>
  <c r="Y369" i="2" s="1"/>
  <c r="Y480" i="2" s="1"/>
  <c r="Y591" i="2" s="1"/>
  <c r="Y775" i="1"/>
  <c r="W775" i="1"/>
  <c r="Y582" i="1"/>
  <c r="W582" i="1"/>
  <c r="Y389" i="1"/>
  <c r="W389" i="1"/>
  <c r="W36" i="2"/>
  <c r="W147" i="2" s="1"/>
  <c r="W258" i="2" s="1"/>
  <c r="W369" i="2" s="1"/>
  <c r="W480" i="2" s="1"/>
  <c r="W591" i="2" s="1"/>
  <c r="Y194" i="1"/>
  <c r="W194" i="1"/>
  <c r="W51" i="1"/>
  <c r="Y632" i="1"/>
  <c r="W632" i="1"/>
  <c r="Y246" i="1"/>
  <c r="Y439" i="1"/>
  <c r="W246" i="1"/>
  <c r="W439" i="1"/>
  <c r="W103" i="1"/>
  <c r="W491" i="1"/>
  <c r="Y684" i="1"/>
  <c r="W684" i="1"/>
  <c r="Y298" i="1"/>
  <c r="Y491" i="1"/>
  <c r="W298" i="1"/>
  <c r="W156" i="1"/>
  <c r="Y544" i="1"/>
  <c r="W544" i="1"/>
  <c r="Y737" i="1"/>
  <c r="W737" i="1"/>
  <c r="Y351" i="1"/>
  <c r="W351" i="1"/>
  <c r="W598" i="1"/>
  <c r="Y598" i="1"/>
  <c r="Y212" i="1"/>
  <c r="W212" i="1"/>
  <c r="Y405" i="1"/>
  <c r="W405" i="1"/>
  <c r="Y50" i="1"/>
  <c r="Y631" i="1"/>
  <c r="W631" i="1"/>
  <c r="Y438" i="1"/>
  <c r="Y245" i="1"/>
  <c r="W438" i="1"/>
  <c r="W245" i="1"/>
  <c r="Y54" i="1"/>
  <c r="Y442" i="1"/>
  <c r="Y635" i="1"/>
  <c r="W635" i="1"/>
  <c r="Y249" i="1"/>
  <c r="W249" i="1"/>
  <c r="W442" i="1"/>
  <c r="W58" i="1"/>
  <c r="Y446" i="1"/>
  <c r="Y639" i="1"/>
  <c r="W639" i="1"/>
  <c r="W446" i="1"/>
  <c r="Y253" i="1"/>
  <c r="W253" i="1"/>
  <c r="W460" i="1"/>
  <c r="Y653" i="1"/>
  <c r="W653" i="1"/>
  <c r="Y460" i="1"/>
  <c r="W267" i="1"/>
  <c r="Y267" i="1"/>
  <c r="W76" i="1"/>
  <c r="Y657" i="1"/>
  <c r="W657" i="1"/>
  <c r="Y464" i="1"/>
  <c r="Y271" i="1"/>
  <c r="W464" i="1"/>
  <c r="W271" i="1"/>
  <c r="Y468" i="1"/>
  <c r="Y661" i="1"/>
  <c r="W661" i="1"/>
  <c r="Y275" i="1"/>
  <c r="W275" i="1"/>
  <c r="W468" i="1"/>
  <c r="W84" i="1"/>
  <c r="Y472" i="1"/>
  <c r="Y665" i="1"/>
  <c r="W665" i="1"/>
  <c r="W472" i="1"/>
  <c r="Y279" i="1"/>
  <c r="W279" i="1"/>
  <c r="Y679" i="1"/>
  <c r="W679" i="1"/>
  <c r="W293" i="1"/>
  <c r="Y486" i="1"/>
  <c r="W486" i="1"/>
  <c r="Y293" i="1"/>
  <c r="W102" i="1"/>
  <c r="Y683" i="1"/>
  <c r="W683" i="1"/>
  <c r="Y490" i="1"/>
  <c r="W490" i="1"/>
  <c r="Y297" i="1"/>
  <c r="W297" i="1"/>
  <c r="W494" i="1"/>
  <c r="Y687" i="1"/>
  <c r="W687" i="1"/>
  <c r="Y494" i="1"/>
  <c r="Y301" i="1"/>
  <c r="W301" i="1"/>
  <c r="W110" i="1"/>
  <c r="W498" i="1"/>
  <c r="Y691" i="1"/>
  <c r="W691" i="1"/>
  <c r="Y305" i="1"/>
  <c r="Y498" i="1"/>
  <c r="W305" i="1"/>
  <c r="W705" i="1"/>
  <c r="W512" i="1"/>
  <c r="Y705" i="1"/>
  <c r="Y319" i="1"/>
  <c r="W319" i="1"/>
  <c r="Y512" i="1"/>
  <c r="W129" i="1"/>
  <c r="Y517" i="1"/>
  <c r="Y710" i="1"/>
  <c r="W710" i="1"/>
  <c r="Y324" i="1"/>
  <c r="W517" i="1"/>
  <c r="W324" i="1"/>
  <c r="Y521" i="1"/>
  <c r="Y714" i="1"/>
  <c r="W714" i="1"/>
  <c r="Y328" i="1"/>
  <c r="W521" i="1"/>
  <c r="W328" i="1"/>
  <c r="W146" i="1"/>
  <c r="Y534" i="1"/>
  <c r="Y727" i="1"/>
  <c r="W727" i="1"/>
  <c r="Y341" i="1"/>
  <c r="W534" i="1"/>
  <c r="W341" i="1"/>
  <c r="W539" i="1"/>
  <c r="Y732" i="1"/>
  <c r="W732" i="1"/>
  <c r="Y539" i="1"/>
  <c r="Y346" i="1"/>
  <c r="W346" i="1"/>
  <c r="W155" i="1"/>
  <c r="W543" i="1"/>
  <c r="Y736" i="1"/>
  <c r="W736" i="1"/>
  <c r="Y543" i="1"/>
  <c r="Y350" i="1"/>
  <c r="W350" i="1"/>
  <c r="W148" i="1"/>
  <c r="Y32" i="2"/>
  <c r="Y143" i="2" s="1"/>
  <c r="Y254" i="2" s="1"/>
  <c r="Y365" i="2" s="1"/>
  <c r="Y476" i="2" s="1"/>
  <c r="Y587" i="2" s="1"/>
  <c r="Y49" i="1"/>
  <c r="W49" i="1"/>
  <c r="W30" i="2"/>
  <c r="W141" i="2" s="1"/>
  <c r="W252" i="2" s="1"/>
  <c r="W363" i="2" s="1"/>
  <c r="W474" i="2" s="1"/>
  <c r="W585" i="2" s="1"/>
  <c r="Y30" i="2"/>
  <c r="Y141" i="2" s="1"/>
  <c r="Y252" i="2" s="1"/>
  <c r="Y363" i="2" s="1"/>
  <c r="Y474" i="2" s="1"/>
  <c r="Y585" i="2" s="1"/>
  <c r="Y26" i="1"/>
  <c r="W26" i="1"/>
  <c r="Y29" i="2"/>
  <c r="Y140" i="2" s="1"/>
  <c r="Y251" i="2" s="1"/>
  <c r="Y362" i="2" s="1"/>
  <c r="Y473" i="2" s="1"/>
  <c r="Y584" i="2" s="1"/>
  <c r="W29" i="2"/>
  <c r="W140" i="2" s="1"/>
  <c r="W251" i="2" s="1"/>
  <c r="W362" i="2" s="1"/>
  <c r="W473" i="2" s="1"/>
  <c r="W584" i="2" s="1"/>
  <c r="Y34" i="2"/>
  <c r="Y145" i="2" s="1"/>
  <c r="Y256" i="2" s="1"/>
  <c r="Y367" i="2" s="1"/>
  <c r="Y478" i="2" s="1"/>
  <c r="Y589" i="2" s="1"/>
  <c r="W98" i="1"/>
  <c r="Y98" i="1"/>
  <c r="W99" i="1"/>
  <c r="Y99" i="1"/>
  <c r="W174" i="1"/>
  <c r="Y174" i="1"/>
  <c r="Y25" i="1"/>
  <c r="Y24" i="2"/>
  <c r="Y135" i="2" s="1"/>
  <c r="Y246" i="2" s="1"/>
  <c r="Y357" i="2" s="1"/>
  <c r="Y468" i="2" s="1"/>
  <c r="Y579" i="2" s="1"/>
  <c r="W24" i="2"/>
  <c r="W135" i="2" s="1"/>
  <c r="W246" i="2" s="1"/>
  <c r="W357" i="2" s="1"/>
  <c r="W468" i="2" s="1"/>
  <c r="W579" i="2" s="1"/>
  <c r="Y27" i="2"/>
  <c r="Y138" i="2" s="1"/>
  <c r="Y249" i="2" s="1"/>
  <c r="Y360" i="2" s="1"/>
  <c r="Y471" i="2" s="1"/>
  <c r="Y582" i="2" s="1"/>
  <c r="W27" i="2"/>
  <c r="W138" i="2" s="1"/>
  <c r="W249" i="2" s="1"/>
  <c r="W360" i="2" s="1"/>
  <c r="W471" i="2" s="1"/>
  <c r="W582" i="2" s="1"/>
  <c r="Y28" i="2"/>
  <c r="Y139" i="2" s="1"/>
  <c r="Y250" i="2" s="1"/>
  <c r="Y361" i="2" s="1"/>
  <c r="Y472" i="2" s="1"/>
  <c r="Y583" i="2" s="1"/>
  <c r="W28" i="2"/>
  <c r="W139" i="2" s="1"/>
  <c r="W250" i="2" s="1"/>
  <c r="W361" i="2" s="1"/>
  <c r="W472" i="2" s="1"/>
  <c r="W583" i="2" s="1"/>
  <c r="Y23" i="2"/>
  <c r="Y134" i="2" s="1"/>
  <c r="Y245" i="2" s="1"/>
  <c r="Y356" i="2" s="1"/>
  <c r="Y467" i="2" s="1"/>
  <c r="Y578" i="2" s="1"/>
  <c r="W23" i="2"/>
  <c r="W134" i="2" s="1"/>
  <c r="W245" i="2" s="1"/>
  <c r="W356" i="2" s="1"/>
  <c r="W467" i="2" s="1"/>
  <c r="W578" i="2" s="1"/>
  <c r="Y25" i="2"/>
  <c r="Y136" i="2" s="1"/>
  <c r="Y247" i="2" s="1"/>
  <c r="Y358" i="2" s="1"/>
  <c r="Y469" i="2" s="1"/>
  <c r="Y580" i="2" s="1"/>
  <c r="W25" i="2"/>
  <c r="W136" i="2" s="1"/>
  <c r="W247" i="2" s="1"/>
  <c r="W358" i="2" s="1"/>
  <c r="W469" i="2" s="1"/>
  <c r="W580" i="2" s="1"/>
  <c r="Y73" i="1"/>
  <c r="Y26" i="2"/>
  <c r="Y137" i="2" s="1"/>
  <c r="Y248" i="2" s="1"/>
  <c r="Y359" i="2" s="1"/>
  <c r="Y470" i="2" s="1"/>
  <c r="Y581" i="2" s="1"/>
  <c r="W26" i="2"/>
  <c r="W137" i="2" s="1"/>
  <c r="W248" i="2" s="1"/>
  <c r="W359" i="2" s="1"/>
  <c r="W470" i="2" s="1"/>
  <c r="W581" i="2" s="1"/>
  <c r="W48" i="1"/>
  <c r="Y22" i="2"/>
  <c r="Y133" i="2" s="1"/>
  <c r="Y244" i="2" s="1"/>
  <c r="Y355" i="2" s="1"/>
  <c r="Y466" i="2" s="1"/>
  <c r="Y577" i="2" s="1"/>
  <c r="W22" i="2"/>
  <c r="W133" i="2" s="1"/>
  <c r="W244" i="2" s="1"/>
  <c r="W355" i="2" s="1"/>
  <c r="W466" i="2" s="1"/>
  <c r="W577" i="2" s="1"/>
  <c r="W17" i="1"/>
  <c r="Y17" i="1"/>
  <c r="Y101" i="1"/>
  <c r="W101" i="1"/>
  <c r="W14" i="1"/>
  <c r="Y14" i="1"/>
  <c r="W74" i="1"/>
  <c r="Y74" i="1"/>
  <c r="W4" i="1"/>
  <c r="Y191" i="1"/>
  <c r="W18" i="1"/>
  <c r="Y33" i="1"/>
  <c r="Y171" i="1"/>
  <c r="W171" i="1"/>
  <c r="Y175" i="1"/>
  <c r="W175" i="1"/>
  <c r="Y179" i="1"/>
  <c r="W179" i="1"/>
  <c r="W15" i="2"/>
  <c r="Y15" i="2"/>
  <c r="W20" i="1"/>
  <c r="W70" i="1"/>
  <c r="Y35" i="1"/>
  <c r="Y76" i="1"/>
  <c r="Y129" i="1"/>
  <c r="Y82" i="1"/>
  <c r="W82" i="1"/>
  <c r="Y100" i="1"/>
  <c r="W100" i="1"/>
  <c r="Y127" i="1"/>
  <c r="W127" i="1"/>
  <c r="W75" i="1"/>
  <c r="Y83" i="1"/>
  <c r="W83" i="1"/>
  <c r="W97" i="1"/>
  <c r="Y109" i="1"/>
  <c r="W109" i="1"/>
  <c r="Y123" i="1"/>
  <c r="W123" i="1"/>
  <c r="Y128" i="1"/>
  <c r="W128" i="1"/>
  <c r="Y154" i="1"/>
  <c r="W154" i="1"/>
  <c r="W27" i="1"/>
  <c r="Y6" i="1"/>
  <c r="Y78" i="1"/>
  <c r="Y131" i="1"/>
  <c r="Y135" i="1"/>
  <c r="W135" i="1"/>
  <c r="W52" i="1"/>
  <c r="Y180" i="1"/>
  <c r="W180" i="1"/>
  <c r="W29" i="1"/>
  <c r="Y8" i="1"/>
  <c r="Y84" i="1"/>
  <c r="Y146" i="1"/>
  <c r="Y80" i="1"/>
  <c r="W80" i="1"/>
  <c r="Y106" i="1"/>
  <c r="W106" i="1"/>
  <c r="Y124" i="1"/>
  <c r="W124" i="1"/>
  <c r="Y133" i="1"/>
  <c r="W133" i="1"/>
  <c r="Y151" i="1"/>
  <c r="W151" i="1"/>
  <c r="Y86" i="1"/>
  <c r="Y148" i="1"/>
  <c r="Y108" i="1"/>
  <c r="W108" i="1"/>
  <c r="Y153" i="1"/>
  <c r="W153" i="1"/>
  <c r="Y122" i="1"/>
  <c r="Y169" i="1"/>
  <c r="W169" i="1"/>
  <c r="Y102" i="1"/>
  <c r="Y155" i="1"/>
  <c r="Y81" i="1"/>
  <c r="W81" i="1"/>
  <c r="Y107" i="1"/>
  <c r="W107" i="1"/>
  <c r="Y111" i="1"/>
  <c r="W111" i="1"/>
  <c r="Y125" i="1"/>
  <c r="W125" i="1"/>
  <c r="Y147" i="1"/>
  <c r="W147" i="1"/>
  <c r="Y152" i="1"/>
  <c r="W152" i="1"/>
  <c r="Y48" i="1"/>
  <c r="Y104" i="1"/>
  <c r="Y157" i="1"/>
  <c r="Y170" i="1"/>
  <c r="W170" i="1"/>
  <c r="Y178" i="1"/>
  <c r="W178" i="1"/>
  <c r="W10" i="1"/>
  <c r="Y58" i="1"/>
  <c r="Y110" i="1"/>
  <c r="Y173" i="1"/>
  <c r="W87" i="2"/>
  <c r="W198" i="2" s="1"/>
  <c r="W309" i="2" s="1"/>
  <c r="W420" i="2" s="1"/>
  <c r="W531" i="2" s="1"/>
  <c r="W642" i="2" s="1"/>
  <c r="Y87" i="2"/>
  <c r="Y198" i="2" s="1"/>
  <c r="Y309" i="2" s="1"/>
  <c r="Y420" i="2" s="1"/>
  <c r="Y531" i="2" s="1"/>
  <c r="Y642" i="2" s="1"/>
  <c r="W63" i="2"/>
  <c r="W174" i="2" s="1"/>
  <c r="W285" i="2" s="1"/>
  <c r="W396" i="2" s="1"/>
  <c r="W507" i="2" s="1"/>
  <c r="W618" i="2" s="1"/>
  <c r="Y63" i="2"/>
  <c r="Y174" i="2" s="1"/>
  <c r="Y285" i="2" s="1"/>
  <c r="Y396" i="2" s="1"/>
  <c r="Y507" i="2" s="1"/>
  <c r="Y618" i="2" s="1"/>
  <c r="W95" i="2"/>
  <c r="W206" i="2" s="1"/>
  <c r="W317" i="2" s="1"/>
  <c r="W428" i="2" s="1"/>
  <c r="W539" i="2" s="1"/>
  <c r="W650" i="2" s="1"/>
  <c r="Y95" i="2"/>
  <c r="Y206" i="2" s="1"/>
  <c r="Y317" i="2" s="1"/>
  <c r="Y428" i="2" s="1"/>
  <c r="Y539" i="2" s="1"/>
  <c r="Y650" i="2" s="1"/>
  <c r="Y41" i="2"/>
  <c r="Y152" i="2" s="1"/>
  <c r="Y263" i="2" s="1"/>
  <c r="Y374" i="2" s="1"/>
  <c r="Y485" i="2" s="1"/>
  <c r="Y596" i="2" s="1"/>
  <c r="W41" i="2"/>
  <c r="W152" i="2" s="1"/>
  <c r="W263" i="2" s="1"/>
  <c r="W374" i="2" s="1"/>
  <c r="W485" i="2" s="1"/>
  <c r="W596" i="2" s="1"/>
  <c r="W54" i="2"/>
  <c r="W165" i="2" s="1"/>
  <c r="W276" i="2" s="1"/>
  <c r="W387" i="2" s="1"/>
  <c r="W498" i="2" s="1"/>
  <c r="W609" i="2" s="1"/>
  <c r="Y54" i="2"/>
  <c r="Y165" i="2" s="1"/>
  <c r="Y276" i="2" s="1"/>
  <c r="Y387" i="2" s="1"/>
  <c r="Y498" i="2" s="1"/>
  <c r="Y609" i="2" s="1"/>
  <c r="W9" i="1"/>
  <c r="W19" i="1"/>
  <c r="W53" i="1"/>
  <c r="W71" i="1"/>
  <c r="Y7" i="1"/>
  <c r="Y34" i="1"/>
  <c r="Y51" i="1"/>
  <c r="Y59" i="1"/>
  <c r="Y77" i="1"/>
  <c r="Y85" i="1"/>
  <c r="Y103" i="1"/>
  <c r="Y130" i="1"/>
  <c r="Y156" i="1"/>
  <c r="Y192" i="1"/>
  <c r="Y75" i="2"/>
  <c r="Y186" i="2" s="1"/>
  <c r="Y297" i="2" s="1"/>
  <c r="Y408" i="2" s="1"/>
  <c r="Y519" i="2" s="1"/>
  <c r="Y630" i="2" s="1"/>
  <c r="W75" i="2"/>
  <c r="W186" i="2" s="1"/>
  <c r="W297" i="2" s="1"/>
  <c r="W408" i="2" s="1"/>
  <c r="W519" i="2" s="1"/>
  <c r="W630" i="2" s="1"/>
  <c r="Y57" i="2"/>
  <c r="Y168" i="2" s="1"/>
  <c r="Y279" i="2" s="1"/>
  <c r="Y390" i="2" s="1"/>
  <c r="Y501" i="2" s="1"/>
  <c r="Y612" i="2" s="1"/>
  <c r="W57" i="2"/>
  <c r="W168" i="2" s="1"/>
  <c r="W279" i="2" s="1"/>
  <c r="W390" i="2" s="1"/>
  <c r="W501" i="2" s="1"/>
  <c r="W612" i="2" s="1"/>
  <c r="W67" i="2"/>
  <c r="W178" i="2" s="1"/>
  <c r="W289" i="2" s="1"/>
  <c r="W400" i="2" s="1"/>
  <c r="W511" i="2" s="1"/>
  <c r="W622" i="2" s="1"/>
  <c r="Y67" i="2"/>
  <c r="Y178" i="2" s="1"/>
  <c r="Y289" i="2" s="1"/>
  <c r="Y400" i="2" s="1"/>
  <c r="Y511" i="2" s="1"/>
  <c r="Y622" i="2" s="1"/>
  <c r="W46" i="2"/>
  <c r="W157" i="2" s="1"/>
  <c r="W268" i="2" s="1"/>
  <c r="W379" i="2" s="1"/>
  <c r="W490" i="2" s="1"/>
  <c r="W601" i="2" s="1"/>
  <c r="Y46" i="2"/>
  <c r="Y157" i="2" s="1"/>
  <c r="Y268" i="2" s="1"/>
  <c r="Y379" i="2" s="1"/>
  <c r="Y490" i="2" s="1"/>
  <c r="Y601" i="2" s="1"/>
  <c r="W92" i="2"/>
  <c r="W203" i="2" s="1"/>
  <c r="W314" i="2" s="1"/>
  <c r="W425" i="2" s="1"/>
  <c r="W536" i="2" s="1"/>
  <c r="W647" i="2" s="1"/>
  <c r="Y92" i="2"/>
  <c r="Y203" i="2" s="1"/>
  <c r="Y314" i="2" s="1"/>
  <c r="Y425" i="2" s="1"/>
  <c r="Y536" i="2" s="1"/>
  <c r="Y647" i="2" s="1"/>
  <c r="W54" i="1"/>
  <c r="Y193" i="1"/>
  <c r="W38" i="2"/>
  <c r="W149" i="2" s="1"/>
  <c r="W260" i="2" s="1"/>
  <c r="W371" i="2" s="1"/>
  <c r="W482" i="2" s="1"/>
  <c r="W593" i="2" s="1"/>
  <c r="Y38" i="2"/>
  <c r="Y149" i="2" s="1"/>
  <c r="Y260" i="2" s="1"/>
  <c r="Y371" i="2" s="1"/>
  <c r="Y482" i="2" s="1"/>
  <c r="Y593" i="2" s="1"/>
  <c r="W42" i="2"/>
  <c r="W153" i="2" s="1"/>
  <c r="W264" i="2" s="1"/>
  <c r="W375" i="2" s="1"/>
  <c r="W486" i="2" s="1"/>
  <c r="W597" i="2" s="1"/>
  <c r="Y42" i="2"/>
  <c r="Y153" i="2" s="1"/>
  <c r="Y264" i="2" s="1"/>
  <c r="Y375" i="2" s="1"/>
  <c r="Y486" i="2" s="1"/>
  <c r="Y597" i="2" s="1"/>
  <c r="W11" i="1"/>
  <c r="W21" i="1"/>
  <c r="W30" i="1"/>
  <c r="W55" i="1"/>
  <c r="W73" i="1"/>
  <c r="Y28" i="1"/>
  <c r="Y79" i="1"/>
  <c r="Y105" i="1"/>
  <c r="Y132" i="1"/>
  <c r="Y150" i="1"/>
  <c r="Y168" i="1"/>
  <c r="Y176" i="1"/>
  <c r="Y195" i="1"/>
  <c r="W83" i="2"/>
  <c r="W194" i="2" s="1"/>
  <c r="W305" i="2" s="1"/>
  <c r="W416" i="2" s="1"/>
  <c r="W527" i="2" s="1"/>
  <c r="W638" i="2" s="1"/>
  <c r="Y83" i="2"/>
  <c r="Y194" i="2" s="1"/>
  <c r="Y305" i="2" s="1"/>
  <c r="Y416" i="2" s="1"/>
  <c r="Y527" i="2" s="1"/>
  <c r="Y638" i="2" s="1"/>
  <c r="Y51" i="2"/>
  <c r="Y162" i="2" s="1"/>
  <c r="Y273" i="2" s="1"/>
  <c r="Y384" i="2" s="1"/>
  <c r="Y495" i="2" s="1"/>
  <c r="Y606" i="2" s="1"/>
  <c r="W51" i="2"/>
  <c r="W162" i="2" s="1"/>
  <c r="W273" i="2" s="1"/>
  <c r="W384" i="2" s="1"/>
  <c r="W495" i="2" s="1"/>
  <c r="W606" i="2" s="1"/>
  <c r="W62" i="2"/>
  <c r="W173" i="2" s="1"/>
  <c r="W284" i="2" s="1"/>
  <c r="W395" i="2" s="1"/>
  <c r="W506" i="2" s="1"/>
  <c r="W617" i="2" s="1"/>
  <c r="Y62" i="2"/>
  <c r="Y173" i="2" s="1"/>
  <c r="Y284" i="2" s="1"/>
  <c r="Y395" i="2" s="1"/>
  <c r="Y506" i="2" s="1"/>
  <c r="Y617" i="2" s="1"/>
  <c r="W84" i="2"/>
  <c r="W195" i="2" s="1"/>
  <c r="W306" i="2" s="1"/>
  <c r="W417" i="2" s="1"/>
  <c r="W528" i="2" s="1"/>
  <c r="W639" i="2" s="1"/>
  <c r="Y84" i="2"/>
  <c r="Y195" i="2" s="1"/>
  <c r="Y306" i="2" s="1"/>
  <c r="Y417" i="2" s="1"/>
  <c r="Y528" i="2" s="1"/>
  <c r="Y639" i="2" s="1"/>
  <c r="Y66" i="2"/>
  <c r="Y177" i="2" s="1"/>
  <c r="Y288" i="2" s="1"/>
  <c r="Y399" i="2" s="1"/>
  <c r="Y510" i="2" s="1"/>
  <c r="Y621" i="2" s="1"/>
  <c r="W66" i="2"/>
  <c r="W177" i="2" s="1"/>
  <c r="W288" i="2" s="1"/>
  <c r="W399" i="2" s="1"/>
  <c r="W510" i="2" s="1"/>
  <c r="W621" i="2" s="1"/>
  <c r="W53" i="2"/>
  <c r="W164" i="2" s="1"/>
  <c r="W275" i="2" s="1"/>
  <c r="W386" i="2" s="1"/>
  <c r="W497" i="2" s="1"/>
  <c r="W608" i="2" s="1"/>
  <c r="Y53" i="2"/>
  <c r="Y164" i="2" s="1"/>
  <c r="Y275" i="2" s="1"/>
  <c r="Y386" i="2" s="1"/>
  <c r="Y497" i="2" s="1"/>
  <c r="Y608" i="2" s="1"/>
  <c r="W70" i="2"/>
  <c r="W181" i="2" s="1"/>
  <c r="W292" i="2" s="1"/>
  <c r="W403" i="2" s="1"/>
  <c r="W514" i="2" s="1"/>
  <c r="W625" i="2" s="1"/>
  <c r="Y70" i="2"/>
  <c r="Y181" i="2" s="1"/>
  <c r="Y292" i="2" s="1"/>
  <c r="Y403" i="2" s="1"/>
  <c r="Y514" i="2" s="1"/>
  <c r="Y625" i="2" s="1"/>
  <c r="W68" i="2"/>
  <c r="W179" i="2" s="1"/>
  <c r="W290" i="2" s="1"/>
  <c r="W401" i="2" s="1"/>
  <c r="W512" i="2" s="1"/>
  <c r="W623" i="2" s="1"/>
  <c r="Y68" i="2"/>
  <c r="Y179" i="2" s="1"/>
  <c r="Y290" i="2" s="1"/>
  <c r="Y401" i="2" s="1"/>
  <c r="Y512" i="2" s="1"/>
  <c r="Y623" i="2" s="1"/>
  <c r="W40" i="2"/>
  <c r="W151" i="2" s="1"/>
  <c r="W262" i="2" s="1"/>
  <c r="W373" i="2" s="1"/>
  <c r="W484" i="2" s="1"/>
  <c r="W595" i="2" s="1"/>
  <c r="Y40" i="2"/>
  <c r="Y151" i="2" s="1"/>
  <c r="Y262" i="2" s="1"/>
  <c r="Y373" i="2" s="1"/>
  <c r="Y484" i="2" s="1"/>
  <c r="Y595" i="2" s="1"/>
  <c r="Y13" i="2"/>
  <c r="Y124" i="2" s="1"/>
  <c r="Y235" i="2" s="1"/>
  <c r="Y346" i="2" s="1"/>
  <c r="Y457" i="2" s="1"/>
  <c r="Y568" i="2" s="1"/>
  <c r="W13" i="2"/>
  <c r="W124" i="2" s="1"/>
  <c r="W235" i="2" s="1"/>
  <c r="W346" i="2" s="1"/>
  <c r="W457" i="2" s="1"/>
  <c r="W568" i="2" s="1"/>
  <c r="W61" i="2"/>
  <c r="W172" i="2" s="1"/>
  <c r="W283" i="2" s="1"/>
  <c r="W394" i="2" s="1"/>
  <c r="W505" i="2" s="1"/>
  <c r="W616" i="2" s="1"/>
  <c r="Y61" i="2"/>
  <c r="Y172" i="2" s="1"/>
  <c r="Y283" i="2" s="1"/>
  <c r="Y394" i="2" s="1"/>
  <c r="Y505" i="2" s="1"/>
  <c r="Y616" i="2" s="1"/>
  <c r="Y73" i="2"/>
  <c r="Y184" i="2" s="1"/>
  <c r="Y295" i="2" s="1"/>
  <c r="Y406" i="2" s="1"/>
  <c r="Y517" i="2" s="1"/>
  <c r="Y628" i="2" s="1"/>
  <c r="W73" i="2"/>
  <c r="W184" i="2" s="1"/>
  <c r="W295" i="2" s="1"/>
  <c r="W406" i="2" s="1"/>
  <c r="W517" i="2" s="1"/>
  <c r="W628" i="2" s="1"/>
  <c r="W77" i="2"/>
  <c r="W188" i="2" s="1"/>
  <c r="W299" i="2" s="1"/>
  <c r="W410" i="2" s="1"/>
  <c r="W521" i="2" s="1"/>
  <c r="W632" i="2" s="1"/>
  <c r="Y77" i="2"/>
  <c r="Y188" i="2" s="1"/>
  <c r="Y299" i="2" s="1"/>
  <c r="Y410" i="2" s="1"/>
  <c r="Y521" i="2" s="1"/>
  <c r="Y632" i="2" s="1"/>
  <c r="Y81" i="2"/>
  <c r="Y192" i="2" s="1"/>
  <c r="Y303" i="2" s="1"/>
  <c r="Y414" i="2" s="1"/>
  <c r="Y525" i="2" s="1"/>
  <c r="Y636" i="2" s="1"/>
  <c r="W81" i="2"/>
  <c r="W192" i="2" s="1"/>
  <c r="W303" i="2" s="1"/>
  <c r="W414" i="2" s="1"/>
  <c r="W525" i="2" s="1"/>
  <c r="W636" i="2" s="1"/>
  <c r="W85" i="2"/>
  <c r="W196" i="2" s="1"/>
  <c r="W307" i="2" s="1"/>
  <c r="W418" i="2" s="1"/>
  <c r="W529" i="2" s="1"/>
  <c r="W640" i="2" s="1"/>
  <c r="Y85" i="2"/>
  <c r="Y196" i="2" s="1"/>
  <c r="Y307" i="2" s="1"/>
  <c r="Y418" i="2" s="1"/>
  <c r="Y529" i="2" s="1"/>
  <c r="Y640" i="2" s="1"/>
  <c r="Y89" i="2"/>
  <c r="Y200" i="2" s="1"/>
  <c r="Y311" i="2" s="1"/>
  <c r="Y422" i="2" s="1"/>
  <c r="Y533" i="2" s="1"/>
  <c r="Y644" i="2" s="1"/>
  <c r="W89" i="2"/>
  <c r="W200" i="2" s="1"/>
  <c r="W311" i="2" s="1"/>
  <c r="W422" i="2" s="1"/>
  <c r="W533" i="2" s="1"/>
  <c r="W644" i="2" s="1"/>
  <c r="W93" i="2"/>
  <c r="W204" i="2" s="1"/>
  <c r="W315" i="2" s="1"/>
  <c r="W426" i="2" s="1"/>
  <c r="W537" i="2" s="1"/>
  <c r="W648" i="2" s="1"/>
  <c r="Y93" i="2"/>
  <c r="Y204" i="2" s="1"/>
  <c r="Y315" i="2" s="1"/>
  <c r="Y426" i="2" s="1"/>
  <c r="Y537" i="2" s="1"/>
  <c r="Y648" i="2" s="1"/>
  <c r="Y97" i="2"/>
  <c r="Y208" i="2" s="1"/>
  <c r="Y319" i="2" s="1"/>
  <c r="Y430" i="2" s="1"/>
  <c r="Y541" i="2" s="1"/>
  <c r="Y652" i="2" s="1"/>
  <c r="W12" i="1"/>
  <c r="W23" i="1"/>
  <c r="W31" i="1"/>
  <c r="W25" i="1"/>
  <c r="W56" i="1"/>
  <c r="Y72" i="1"/>
  <c r="Y177" i="1"/>
  <c r="W72" i="2"/>
  <c r="W183" i="2" s="1"/>
  <c r="W294" i="2" s="1"/>
  <c r="W405" i="2" s="1"/>
  <c r="W516" i="2" s="1"/>
  <c r="W627" i="2" s="1"/>
  <c r="Y72" i="2"/>
  <c r="Y183" i="2" s="1"/>
  <c r="Y294" i="2" s="1"/>
  <c r="Y405" i="2" s="1"/>
  <c r="Y516" i="2" s="1"/>
  <c r="Y627" i="2" s="1"/>
  <c r="W47" i="2"/>
  <c r="W158" i="2" s="1"/>
  <c r="W269" i="2" s="1"/>
  <c r="W380" i="2" s="1"/>
  <c r="W491" i="2" s="1"/>
  <c r="W602" i="2" s="1"/>
  <c r="Y47" i="2"/>
  <c r="Y158" i="2" s="1"/>
  <c r="Y269" i="2" s="1"/>
  <c r="Y380" i="2" s="1"/>
  <c r="Y491" i="2" s="1"/>
  <c r="Y602" i="2" s="1"/>
  <c r="W60" i="2"/>
  <c r="W171" i="2" s="1"/>
  <c r="W282" i="2" s="1"/>
  <c r="W393" i="2" s="1"/>
  <c r="W504" i="2" s="1"/>
  <c r="W615" i="2" s="1"/>
  <c r="Y60" i="2"/>
  <c r="Y171" i="2" s="1"/>
  <c r="Y282" i="2" s="1"/>
  <c r="Y393" i="2" s="1"/>
  <c r="Y504" i="2" s="1"/>
  <c r="Y615" i="2" s="1"/>
  <c r="Y58" i="2"/>
  <c r="Y169" i="2" s="1"/>
  <c r="Y280" i="2" s="1"/>
  <c r="Y391" i="2" s="1"/>
  <c r="Y502" i="2" s="1"/>
  <c r="Y613" i="2" s="1"/>
  <c r="W58" i="2"/>
  <c r="W169" i="2" s="1"/>
  <c r="W280" i="2" s="1"/>
  <c r="W391" i="2" s="1"/>
  <c r="W502" i="2" s="1"/>
  <c r="W613" i="2" s="1"/>
  <c r="W55" i="2"/>
  <c r="W166" i="2" s="1"/>
  <c r="W277" i="2" s="1"/>
  <c r="W388" i="2" s="1"/>
  <c r="W499" i="2" s="1"/>
  <c r="W610" i="2" s="1"/>
  <c r="Y55" i="2"/>
  <c r="Y166" i="2" s="1"/>
  <c r="Y277" i="2" s="1"/>
  <c r="Y388" i="2" s="1"/>
  <c r="Y499" i="2" s="1"/>
  <c r="Y610" i="2" s="1"/>
  <c r="W76" i="2"/>
  <c r="W187" i="2" s="1"/>
  <c r="W298" i="2" s="1"/>
  <c r="W409" i="2" s="1"/>
  <c r="W520" i="2" s="1"/>
  <c r="W631" i="2" s="1"/>
  <c r="Y76" i="2"/>
  <c r="Y187" i="2" s="1"/>
  <c r="Y298" i="2" s="1"/>
  <c r="Y409" i="2" s="1"/>
  <c r="Y520" i="2" s="1"/>
  <c r="Y631" i="2" s="1"/>
  <c r="W96" i="2"/>
  <c r="W207" i="2" s="1"/>
  <c r="W318" i="2" s="1"/>
  <c r="W429" i="2" s="1"/>
  <c r="W540" i="2" s="1"/>
  <c r="W651" i="2" s="1"/>
  <c r="Y96" i="2"/>
  <c r="Y207" i="2" s="1"/>
  <c r="Y318" i="2" s="1"/>
  <c r="Y429" i="2" s="1"/>
  <c r="Y540" i="2" s="1"/>
  <c r="Y651" i="2" s="1"/>
  <c r="W39" i="2"/>
  <c r="W150" i="2" s="1"/>
  <c r="W261" i="2" s="1"/>
  <c r="W372" i="2" s="1"/>
  <c r="W483" i="2" s="1"/>
  <c r="W594" i="2" s="1"/>
  <c r="Y39" i="2"/>
  <c r="Y150" i="2" s="1"/>
  <c r="Y261" i="2" s="1"/>
  <c r="Y372" i="2" s="1"/>
  <c r="Y483" i="2" s="1"/>
  <c r="Y594" i="2" s="1"/>
  <c r="W43" i="2"/>
  <c r="W154" i="2" s="1"/>
  <c r="W265" i="2" s="1"/>
  <c r="W376" i="2" s="1"/>
  <c r="W487" i="2" s="1"/>
  <c r="W598" i="2" s="1"/>
  <c r="Y43" i="2"/>
  <c r="Y154" i="2" s="1"/>
  <c r="Y265" i="2" s="1"/>
  <c r="Y376" i="2" s="1"/>
  <c r="Y487" i="2" s="1"/>
  <c r="Y598" i="2" s="1"/>
  <c r="W5" i="1"/>
  <c r="W13" i="1"/>
  <c r="W24" i="1"/>
  <c r="W32" i="1"/>
  <c r="W57" i="1"/>
  <c r="Y134" i="1"/>
  <c r="W45" i="2"/>
  <c r="W156" i="2" s="1"/>
  <c r="W267" i="2" s="1"/>
  <c r="W378" i="2" s="1"/>
  <c r="W489" i="2" s="1"/>
  <c r="W600" i="2" s="1"/>
  <c r="Y45" i="2"/>
  <c r="Y156" i="2" s="1"/>
  <c r="Y267" i="2" s="1"/>
  <c r="Y378" i="2" s="1"/>
  <c r="Y489" i="2" s="1"/>
  <c r="Y600" i="2" s="1"/>
  <c r="W44" i="2"/>
  <c r="W155" i="2" s="1"/>
  <c r="W266" i="2" s="1"/>
  <c r="W377" i="2" s="1"/>
  <c r="W488" i="2" s="1"/>
  <c r="W599" i="2" s="1"/>
  <c r="Y44" i="2"/>
  <c r="Y155" i="2" s="1"/>
  <c r="Y266" i="2" s="1"/>
  <c r="Y377" i="2" s="1"/>
  <c r="Y488" i="2" s="1"/>
  <c r="Y599" i="2" s="1"/>
  <c r="W91" i="2"/>
  <c r="W202" i="2" s="1"/>
  <c r="W313" i="2" s="1"/>
  <c r="W424" i="2" s="1"/>
  <c r="W535" i="2" s="1"/>
  <c r="W646" i="2" s="1"/>
  <c r="Y91" i="2"/>
  <c r="Y202" i="2" s="1"/>
  <c r="Y313" i="2" s="1"/>
  <c r="Y424" i="2" s="1"/>
  <c r="Y535" i="2" s="1"/>
  <c r="Y646" i="2" s="1"/>
  <c r="W69" i="2"/>
  <c r="W180" i="2" s="1"/>
  <c r="W291" i="2" s="1"/>
  <c r="W402" i="2" s="1"/>
  <c r="W513" i="2" s="1"/>
  <c r="W624" i="2" s="1"/>
  <c r="Y69" i="2"/>
  <c r="Y180" i="2" s="1"/>
  <c r="Y291" i="2" s="1"/>
  <c r="Y402" i="2" s="1"/>
  <c r="Y513" i="2" s="1"/>
  <c r="Y624" i="2" s="1"/>
  <c r="W88" i="2"/>
  <c r="W199" i="2" s="1"/>
  <c r="W310" i="2" s="1"/>
  <c r="W421" i="2" s="1"/>
  <c r="W532" i="2" s="1"/>
  <c r="W643" i="2" s="1"/>
  <c r="Y88" i="2"/>
  <c r="Y199" i="2" s="1"/>
  <c r="Y310" i="2" s="1"/>
  <c r="Y421" i="2" s="1"/>
  <c r="Y532" i="2" s="1"/>
  <c r="Y643" i="2" s="1"/>
  <c r="W72" i="1"/>
  <c r="Y49" i="2"/>
  <c r="Y160" i="2" s="1"/>
  <c r="Y271" i="2" s="1"/>
  <c r="Y382" i="2" s="1"/>
  <c r="Y493" i="2" s="1"/>
  <c r="Y604" i="2" s="1"/>
  <c r="W49" i="2"/>
  <c r="W160" i="2" s="1"/>
  <c r="W271" i="2" s="1"/>
  <c r="W382" i="2" s="1"/>
  <c r="W493" i="2" s="1"/>
  <c r="W604" i="2" s="1"/>
  <c r="Y65" i="2"/>
  <c r="Y176" i="2" s="1"/>
  <c r="Y287" i="2" s="1"/>
  <c r="Y398" i="2" s="1"/>
  <c r="Y509" i="2" s="1"/>
  <c r="Y620" i="2" s="1"/>
  <c r="W65" i="2"/>
  <c r="W176" i="2" s="1"/>
  <c r="W287" i="2" s="1"/>
  <c r="W398" i="2" s="1"/>
  <c r="W509" i="2" s="1"/>
  <c r="W620" i="2" s="1"/>
  <c r="W14" i="2"/>
  <c r="Y14" i="2"/>
  <c r="W48" i="2"/>
  <c r="W159" i="2" s="1"/>
  <c r="W270" i="2" s="1"/>
  <c r="W381" i="2" s="1"/>
  <c r="W492" i="2" s="1"/>
  <c r="W603" i="2" s="1"/>
  <c r="Y48" i="2"/>
  <c r="Y159" i="2" s="1"/>
  <c r="Y270" i="2" s="1"/>
  <c r="Y381" i="2" s="1"/>
  <c r="Y492" i="2" s="1"/>
  <c r="Y603" i="2" s="1"/>
  <c r="W59" i="2"/>
  <c r="W170" i="2" s="1"/>
  <c r="W281" i="2" s="1"/>
  <c r="W392" i="2" s="1"/>
  <c r="W503" i="2" s="1"/>
  <c r="W614" i="2" s="1"/>
  <c r="Y59" i="2"/>
  <c r="Y170" i="2" s="1"/>
  <c r="Y281" i="2" s="1"/>
  <c r="Y392" i="2" s="1"/>
  <c r="Y503" i="2" s="1"/>
  <c r="Y614" i="2" s="1"/>
  <c r="Y74" i="2"/>
  <c r="Y185" i="2" s="1"/>
  <c r="Y296" i="2" s="1"/>
  <c r="Y407" i="2" s="1"/>
  <c r="Y518" i="2" s="1"/>
  <c r="Y629" i="2" s="1"/>
  <c r="W74" i="2"/>
  <c r="W185" i="2" s="1"/>
  <c r="W296" i="2" s="1"/>
  <c r="W407" i="2" s="1"/>
  <c r="W518" i="2" s="1"/>
  <c r="W629" i="2" s="1"/>
  <c r="W78" i="2"/>
  <c r="W189" i="2" s="1"/>
  <c r="W300" i="2" s="1"/>
  <c r="W411" i="2" s="1"/>
  <c r="W522" i="2" s="1"/>
  <c r="W633" i="2" s="1"/>
  <c r="Y78" i="2"/>
  <c r="Y189" i="2" s="1"/>
  <c r="Y300" i="2" s="1"/>
  <c r="Y411" i="2" s="1"/>
  <c r="Y522" i="2" s="1"/>
  <c r="Y633" i="2" s="1"/>
  <c r="W82" i="2"/>
  <c r="W193" i="2" s="1"/>
  <c r="W304" i="2" s="1"/>
  <c r="W415" i="2" s="1"/>
  <c r="W526" i="2" s="1"/>
  <c r="W637" i="2" s="1"/>
  <c r="Y82" i="2"/>
  <c r="Y193" i="2" s="1"/>
  <c r="Y304" i="2" s="1"/>
  <c r="Y415" i="2" s="1"/>
  <c r="Y526" i="2" s="1"/>
  <c r="Y637" i="2" s="1"/>
  <c r="W86" i="2"/>
  <c r="W197" i="2" s="1"/>
  <c r="W308" i="2" s="1"/>
  <c r="W419" i="2" s="1"/>
  <c r="W530" i="2" s="1"/>
  <c r="W641" i="2" s="1"/>
  <c r="Y86" i="2"/>
  <c r="Y197" i="2" s="1"/>
  <c r="Y308" i="2" s="1"/>
  <c r="Y419" i="2" s="1"/>
  <c r="Y530" i="2" s="1"/>
  <c r="Y641" i="2" s="1"/>
  <c r="W90" i="2"/>
  <c r="W201" i="2" s="1"/>
  <c r="W312" i="2" s="1"/>
  <c r="W423" i="2" s="1"/>
  <c r="W534" i="2" s="1"/>
  <c r="W645" i="2" s="1"/>
  <c r="Y90" i="2"/>
  <c r="Y201" i="2" s="1"/>
  <c r="Y312" i="2" s="1"/>
  <c r="Y423" i="2" s="1"/>
  <c r="Y534" i="2" s="1"/>
  <c r="Y645" i="2" s="1"/>
  <c r="W94" i="2"/>
  <c r="W205" i="2" s="1"/>
  <c r="W316" i="2" s="1"/>
  <c r="W427" i="2" s="1"/>
  <c r="W538" i="2" s="1"/>
  <c r="W649" i="2" s="1"/>
  <c r="Y94" i="2"/>
  <c r="Y205" i="2" s="1"/>
  <c r="Y316" i="2" s="1"/>
  <c r="Y427" i="2" s="1"/>
  <c r="Y538" i="2" s="1"/>
  <c r="Y649" i="2" s="1"/>
  <c r="W50" i="1"/>
  <c r="Y31" i="1"/>
  <c r="W4" i="2"/>
  <c r="W115" i="2" s="1"/>
  <c r="W226" i="2" s="1"/>
  <c r="W337" i="2" s="1"/>
  <c r="W448" i="2" s="1"/>
  <c r="W559" i="2" s="1"/>
  <c r="W50" i="2"/>
  <c r="W161" i="2" s="1"/>
  <c r="W272" i="2" s="1"/>
  <c r="W383" i="2" s="1"/>
  <c r="W494" i="2" s="1"/>
  <c r="W605" i="2" s="1"/>
  <c r="Y50" i="2"/>
  <c r="Y161" i="2" s="1"/>
  <c r="Y272" i="2" s="1"/>
  <c r="Y383" i="2" s="1"/>
  <c r="Y494" i="2" s="1"/>
  <c r="Y605" i="2" s="1"/>
  <c r="W52" i="2"/>
  <c r="W163" i="2" s="1"/>
  <c r="W274" i="2" s="1"/>
  <c r="W385" i="2" s="1"/>
  <c r="W496" i="2" s="1"/>
  <c r="W607" i="2" s="1"/>
  <c r="Y52" i="2"/>
  <c r="Y163" i="2" s="1"/>
  <c r="Y274" i="2" s="1"/>
  <c r="Y385" i="2" s="1"/>
  <c r="Y496" i="2" s="1"/>
  <c r="Y607" i="2" s="1"/>
  <c r="W79" i="2"/>
  <c r="W190" i="2" s="1"/>
  <c r="W301" i="2" s="1"/>
  <c r="W412" i="2" s="1"/>
  <c r="W523" i="2" s="1"/>
  <c r="W634" i="2" s="1"/>
  <c r="Y79" i="2"/>
  <c r="Y190" i="2" s="1"/>
  <c r="Y301" i="2" s="1"/>
  <c r="Y412" i="2" s="1"/>
  <c r="Y523" i="2" s="1"/>
  <c r="Y634" i="2" s="1"/>
  <c r="W64" i="2"/>
  <c r="W175" i="2" s="1"/>
  <c r="W286" i="2" s="1"/>
  <c r="W397" i="2" s="1"/>
  <c r="W508" i="2" s="1"/>
  <c r="W619" i="2" s="1"/>
  <c r="Y64" i="2"/>
  <c r="Y175" i="2" s="1"/>
  <c r="Y286" i="2" s="1"/>
  <c r="Y397" i="2" s="1"/>
  <c r="Y508" i="2" s="1"/>
  <c r="Y619" i="2" s="1"/>
  <c r="W71" i="2"/>
  <c r="W182" i="2" s="1"/>
  <c r="W293" i="2" s="1"/>
  <c r="W404" i="2" s="1"/>
  <c r="W515" i="2" s="1"/>
  <c r="W626" i="2" s="1"/>
  <c r="Y71" i="2"/>
  <c r="Y182" i="2" s="1"/>
  <c r="Y293" i="2" s="1"/>
  <c r="Y404" i="2" s="1"/>
  <c r="Y515" i="2" s="1"/>
  <c r="Y626" i="2" s="1"/>
  <c r="W80" i="2"/>
  <c r="W191" i="2" s="1"/>
  <c r="W302" i="2" s="1"/>
  <c r="W413" i="2" s="1"/>
  <c r="W524" i="2" s="1"/>
  <c r="W635" i="2" s="1"/>
  <c r="Y80" i="2"/>
  <c r="Y191" i="2" s="1"/>
  <c r="Y302" i="2" s="1"/>
  <c r="Y413" i="2" s="1"/>
  <c r="Y524" i="2" s="1"/>
  <c r="Y635" i="2" s="1"/>
  <c r="Y5" i="1"/>
  <c r="Y145" i="1"/>
  <c r="Y158" i="1"/>
  <c r="Y22" i="1"/>
  <c r="Y125" i="2" l="1"/>
  <c r="Y127" i="2"/>
  <c r="W125" i="2"/>
  <c r="Y126" i="2"/>
  <c r="W127" i="2"/>
  <c r="W126" i="2"/>
  <c r="W128" i="2"/>
  <c r="Y128" i="2"/>
  <c r="W237" i="2" l="1"/>
  <c r="W238" i="2"/>
  <c r="Y237" i="2"/>
  <c r="W236" i="2"/>
  <c r="W239" i="2"/>
  <c r="Y239" i="2"/>
  <c r="Y238" i="2"/>
  <c r="Y236" i="2"/>
  <c r="Y349" i="2" l="1"/>
  <c r="W350" i="2"/>
  <c r="Y347" i="2"/>
  <c r="W347" i="2"/>
  <c r="Y348" i="2"/>
  <c r="Y350" i="2"/>
  <c r="W349" i="2"/>
  <c r="W348" i="2"/>
  <c r="W460" i="2" l="1"/>
  <c r="W571" i="2" s="1"/>
  <c r="Y461" i="2"/>
  <c r="Y572" i="2" s="1"/>
  <c r="W458" i="2"/>
  <c r="W569" i="2" s="1"/>
  <c r="Y459" i="2"/>
  <c r="Y570" i="2" s="1"/>
  <c r="W459" i="2"/>
  <c r="W570" i="2" s="1"/>
  <c r="W461" i="2"/>
  <c r="W572" i="2" s="1"/>
  <c r="Y458" i="2"/>
  <c r="Y569" i="2" s="1"/>
  <c r="Y460" i="2"/>
  <c r="Y571" i="2" s="1"/>
</calcChain>
</file>

<file path=xl/comments1.xml><?xml version="1.0" encoding="utf-8"?>
<comments xmlns="http://schemas.openxmlformats.org/spreadsheetml/2006/main">
  <authors>
    <author>오은석</author>
  </authors>
  <commentList>
    <comment ref="E2" authorId="0" shapeId="0">
      <text>
        <r>
          <rPr>
            <sz val="11"/>
            <color theme="1"/>
            <rFont val="맑은 고딕"/>
            <family val="2"/>
            <scheme val="minor"/>
          </rPr>
          <t>Attacker 어태커
Tanker 탱커
Supporter 서포터
Ranger 레인저
Attack 공격형
Defense 방어형</t>
        </r>
      </text>
    </comment>
  </commentList>
</comments>
</file>

<file path=xl/comments2.xml><?xml version="1.0" encoding="utf-8"?>
<comments xmlns="http://schemas.openxmlformats.org/spreadsheetml/2006/main">
  <authors>
    <author>오은석</author>
  </authors>
  <commentList>
    <comment ref="E2" authorId="0" shapeId="0">
      <text>
        <r>
          <rPr>
            <sz val="11"/>
            <color theme="1"/>
            <rFont val="맑은 고딕"/>
            <family val="2"/>
            <scheme val="minor"/>
          </rPr>
          <t>Attacker 어태커
Tanker 탱커
Supporter 서포터
Ranger 레인저
Attack 공격형
Defense 방어형</t>
        </r>
      </text>
    </comment>
  </commentList>
</comments>
</file>

<file path=xl/comments3.xml><?xml version="1.0" encoding="utf-8"?>
<comments xmlns="http://schemas.openxmlformats.org/spreadsheetml/2006/main">
  <authors>
    <author>오은석</author>
  </authors>
  <commentList>
    <comment ref="E2" authorId="0" shapeId="0">
      <text>
        <r>
          <rPr>
            <sz val="11"/>
            <color theme="1"/>
            <rFont val="맑은 고딕"/>
            <family val="2"/>
            <scheme val="minor"/>
          </rPr>
          <t>Attacker 어태커
Tanker 탱커
Supporter 서포터
Ranger 레인저
Attack 공격형
Defense 방어형</t>
        </r>
      </text>
    </comment>
  </commentList>
</comments>
</file>

<file path=xl/comments4.xml><?xml version="1.0" encoding="utf-8"?>
<comments xmlns="http://schemas.openxmlformats.org/spreadsheetml/2006/main">
  <authors>
    <author>오은석</author>
  </authors>
  <commentList>
    <comment ref="E2" authorId="0" shapeId="0">
      <text>
        <r>
          <rPr>
            <sz val="11"/>
            <color theme="1"/>
            <rFont val="맑은 고딕"/>
            <family val="2"/>
            <scheme val="minor"/>
          </rPr>
          <t>Attacker 어태커
Tanker 탱커
Supporter 서포터
Ranger 레인저
Attack 공격형
Defense 방어형</t>
        </r>
      </text>
    </comment>
  </commentList>
</comments>
</file>

<file path=xl/sharedStrings.xml><?xml version="1.0" encoding="utf-8"?>
<sst xmlns="http://schemas.openxmlformats.org/spreadsheetml/2006/main" count="16191" uniqueCount="3993">
  <si>
    <t>Id</t>
  </si>
  <si>
    <t>#기획</t>
  </si>
  <si>
    <t>Name</t>
  </si>
  <si>
    <t>Type</t>
  </si>
  <si>
    <t>FactionGroudId</t>
  </si>
  <si>
    <t>Attackable</t>
  </si>
  <si>
    <t>Boss</t>
  </si>
  <si>
    <t>Radius</t>
  </si>
  <si>
    <t>NormalSkill1</t>
  </si>
  <si>
    <t>NormalSkill2</t>
  </si>
  <si>
    <t>NormalSkill3</t>
  </si>
  <si>
    <t>Skill1</t>
  </si>
  <si>
    <t>Skill2</t>
  </si>
  <si>
    <t>Skill3</t>
  </si>
  <si>
    <t>Skill4</t>
  </si>
  <si>
    <t>Skill5</t>
  </si>
  <si>
    <t>UltimateSkill</t>
  </si>
  <si>
    <t>Left</t>
  </si>
  <si>
    <t>PrefabBattle</t>
  </si>
  <si>
    <t>PrefabSpine</t>
  </si>
  <si>
    <t>Icon</t>
  </si>
  <si>
    <t>UltimateTimeline</t>
  </si>
  <si>
    <t>VictoryTimeline</t>
  </si>
  <si>
    <t>DieSound</t>
  </si>
  <si>
    <t>Scale</t>
  </si>
  <si>
    <t>CriticalEffect</t>
  </si>
  <si>
    <t>StartTimeline</t>
  </si>
  <si>
    <t>EndTimeline</t>
  </si>
  <si>
    <t>*long</t>
  </si>
  <si>
    <t>#</t>
  </si>
  <si>
    <t>string</t>
  </si>
  <si>
    <t>ClassType</t>
  </si>
  <si>
    <t>$FactionGroup?</t>
  </si>
  <si>
    <t>bool</t>
  </si>
  <si>
    <t>int</t>
  </si>
  <si>
    <t>$SkillGroup?</t>
  </si>
  <si>
    <t>float</t>
  </si>
  <si>
    <t>common</t>
  </si>
  <si>
    <t>#사용처</t>
  </si>
  <si>
    <t>#리소스명</t>
  </si>
  <si>
    <t>client</t>
  </si>
  <si>
    <t>Sector01</t>
  </si>
  <si>
    <t>솔리드메카mk1</t>
  </si>
  <si>
    <t>Attacker</t>
  </si>
  <si>
    <t>Fac_nul_ind</t>
  </si>
  <si>
    <t>TRUE</t>
  </si>
  <si>
    <t>터렛프로토</t>
  </si>
  <si>
    <t>Ranger</t>
  </si>
  <si>
    <t>일렉트릭드론</t>
  </si>
  <si>
    <t>Monster.Name.electric_drone_1</t>
  </si>
  <si>
    <t>Character/Prefabs/m_s_attacker_electric_drone_1</t>
  </si>
  <si>
    <t>m_s_attacker_electric_drone_1</t>
  </si>
  <si>
    <t>재밍드론</t>
  </si>
  <si>
    <t>Monster.Name.jamming_drone_1</t>
  </si>
  <si>
    <t>Character/Prefabs/m_s_ranger_jamming_drone_1</t>
  </si>
  <si>
    <t>m_s_ranger_jamming_drone_1</t>
  </si>
  <si>
    <t>트루퍼라이플</t>
  </si>
  <si>
    <t>트루퍼쉴드</t>
  </si>
  <si>
    <t>Tanker</t>
  </si>
  <si>
    <t>트루퍼건틀릿</t>
  </si>
  <si>
    <t>트루퍼런처</t>
  </si>
  <si>
    <t>트루퍼플레임</t>
  </si>
  <si>
    <t>엑시큐서너베타</t>
  </si>
  <si>
    <t>엑시큐서너알파</t>
  </si>
  <si>
    <t>Sector01.harbor_crab_1.passive01</t>
  </si>
  <si>
    <t>엑시큐서너감마</t>
  </si>
  <si>
    <t>솔리드메카mk1베리</t>
  </si>
  <si>
    <t>터렛프로토베리</t>
  </si>
  <si>
    <t>일렉트릭드론베리</t>
  </si>
  <si>
    <t>재밍드론베리</t>
  </si>
  <si>
    <t>트루퍼라이플베리</t>
  </si>
  <si>
    <t>트루퍼쉴드베리</t>
  </si>
  <si>
    <t>트루퍼건틀릿베리</t>
  </si>
  <si>
    <t>트루퍼런처베리</t>
  </si>
  <si>
    <t>트루퍼플레임베리</t>
  </si>
  <si>
    <t>갤리어스</t>
  </si>
  <si>
    <t>Boss.Common.Immun</t>
  </si>
  <si>
    <t>Character/Timeline/02_MON/trooper_boss/appearance</t>
  </si>
  <si>
    <t>Character/Timeline/02_MON/trooper_boss/die</t>
  </si>
  <si>
    <t>강화갤리어스</t>
  </si>
  <si>
    <t>Character/Timeline/02_MON/gallius_2/trooper_boss_appearance_2</t>
  </si>
  <si>
    <t>Character/Timeline/02_MON/gallius_2/trooper_boss_die_2</t>
  </si>
  <si>
    <t>Sector02</t>
  </si>
  <si>
    <t>터틀메카mk3</t>
  </si>
  <si>
    <t>스콜피온터렛mk2</t>
  </si>
  <si>
    <t>라이노메카mk3</t>
  </si>
  <si>
    <t>스파이더터렛mk2</t>
  </si>
  <si>
    <t>헬파이어드론</t>
  </si>
  <si>
    <t>실루엣건틀릿</t>
  </si>
  <si>
    <t>실루엣런처</t>
  </si>
  <si>
    <t>실루엣쉴드</t>
  </si>
  <si>
    <t>실루엣플레임</t>
  </si>
  <si>
    <t>쉘터청소부r1</t>
  </si>
  <si>
    <t>쉘터청소부v1</t>
  </si>
  <si>
    <t>쉘터청소부g1</t>
  </si>
  <si>
    <t>카산드라</t>
  </si>
  <si>
    <t>Sector02.cassandra_1.passive01</t>
  </si>
  <si>
    <t>Character/Prefabs/m_boss_ranger_cassandra_1</t>
  </si>
  <si>
    <t>m_boss_ranger_cassandra_1</t>
  </si>
  <si>
    <t>Character/Timeline/02_MON/cassandra/appearance</t>
  </si>
  <si>
    <t>Character/Timeline/02_MON/cassandra/die</t>
  </si>
  <si>
    <t>강화카산드라</t>
  </si>
  <si>
    <t>Sector02.cassandra_2.passive01</t>
  </si>
  <si>
    <t>Character/Timeline/02_MON/cassandra/appearance2</t>
  </si>
  <si>
    <t>Character/Timeline/02_MON/cassandra/die2</t>
  </si>
  <si>
    <t>Sector03</t>
  </si>
  <si>
    <t>브레인헌터</t>
  </si>
  <si>
    <t>감염된터틀메카</t>
  </si>
  <si>
    <t>코어헌터</t>
  </si>
  <si>
    <t>감염된스콜피온터렛</t>
  </si>
  <si>
    <t>감염된더스트쉴드</t>
  </si>
  <si>
    <t>감염된더스트건틀릿</t>
  </si>
  <si>
    <t>감염된더스트라이플</t>
  </si>
  <si>
    <t>감염된더스트런처</t>
  </si>
  <si>
    <t>헤드스내쳐</t>
  </si>
  <si>
    <t>코어스내쳐</t>
  </si>
  <si>
    <t>그리마알파</t>
  </si>
  <si>
    <t>드레인데미스</t>
  </si>
  <si>
    <t>그리마베타</t>
  </si>
  <si>
    <t>디오메가</t>
  </si>
  <si>
    <t>Sector03.theomega_1.passive01</t>
  </si>
  <si>
    <t>Character/Timeline/02_MON/boss3/appearance</t>
  </si>
  <si>
    <t>Character/Timeline/02_MON/boss3/die</t>
  </si>
  <si>
    <t>강화디오메가</t>
  </si>
  <si>
    <t>Sector03.theomega_3.passive01</t>
  </si>
  <si>
    <t>Sector04</t>
  </si>
  <si>
    <t>친절한화이트워킹아이볼</t>
  </si>
  <si>
    <t>Sector04.friendly_walking_eyeball_1.attack01</t>
  </si>
  <si>
    <t>Character/Prefabs/m_s_ranger_friendly_walking_eyeball_1</t>
  </si>
  <si>
    <t>m_s_ranger_friendly_walking_eyeball_1</t>
  </si>
  <si>
    <t>친절한순찰대</t>
  </si>
  <si>
    <t>Sector04.friendly_patrol_1.attack01</t>
  </si>
  <si>
    <t>Character/Prefabs/m_s_attacker_friendly_patrol_1</t>
  </si>
  <si>
    <t>m_s_attacker_friendly_patrol_1</t>
  </si>
  <si>
    <t>친절한블랙워킹아이볼</t>
  </si>
  <si>
    <t>Sector04.friendly_walking_eyeball_2.attack01</t>
  </si>
  <si>
    <t>Character/Prefabs/m_s_ranger_friendly_walking_eyeball_2</t>
  </si>
  <si>
    <t>m_s_ranger_friendly_walking_eyeball_2</t>
  </si>
  <si>
    <t>친절한야간순찰대</t>
  </si>
  <si>
    <t>친절한엣지아이볼</t>
  </si>
  <si>
    <t>친절한전기아이볼</t>
  </si>
  <si>
    <t>친절한톱날순찰대</t>
  </si>
  <si>
    <t>친절한스태프순찰대</t>
  </si>
  <si>
    <t>Supporter</t>
  </si>
  <si>
    <t>친절한카마순찰대</t>
  </si>
  <si>
    <t>친절한경비</t>
  </si>
  <si>
    <t>친절한캐논</t>
  </si>
  <si>
    <t>친절한건</t>
  </si>
  <si>
    <t>친절한레일건</t>
  </si>
  <si>
    <t>친절한펀치</t>
  </si>
  <si>
    <t>친절한핀서</t>
  </si>
  <si>
    <t>널엑스</t>
  </si>
  <si>
    <t>Sector04.nullaxe_1.passive01</t>
  </si>
  <si>
    <t>Character/Timeline/02_MON/nullaxe/die</t>
  </si>
  <si>
    <t>강화널엑스</t>
  </si>
  <si>
    <t>Sector04.nullaxe_2.passive01</t>
  </si>
  <si>
    <t>Sector05</t>
  </si>
  <si>
    <t>연구소드론P1</t>
  </si>
  <si>
    <t>연구소드론P2</t>
  </si>
  <si>
    <t>연구소드론P3</t>
  </si>
  <si>
    <t>연구소포인터</t>
  </si>
  <si>
    <t>연구소트루퍼라이플</t>
  </si>
  <si>
    <t>연구소트루퍼쉴드</t>
  </si>
  <si>
    <t>연구소트루퍼가스</t>
  </si>
  <si>
    <t>연구소트루퍼런처</t>
  </si>
  <si>
    <t>연구소트루퍼플라이어</t>
  </si>
  <si>
    <t>연구소캐논</t>
  </si>
  <si>
    <t>연구소리액터</t>
  </si>
  <si>
    <t>연구소임팩트</t>
  </si>
  <si>
    <t>연구소인젝터</t>
  </si>
  <si>
    <t>연구소골리앗</t>
  </si>
  <si>
    <t>Sector05.goliath_1.passive01</t>
  </si>
  <si>
    <t>Character/Timeline/02_MON/goliath_1/m_boss_attacker_goliath_1@appearance</t>
  </si>
  <si>
    <t>Character/Timeline/02_MON/goliath_1/m_boss_attacker_goliath_1@die</t>
  </si>
  <si>
    <t>Sector06</t>
  </si>
  <si>
    <t>부식된순찰대</t>
  </si>
  <si>
    <t>부식된아이볼</t>
  </si>
  <si>
    <t>오염체익스플로더</t>
  </si>
  <si>
    <t>오염체플루터</t>
  </si>
  <si>
    <t>오염체플루터엣지</t>
  </si>
  <si>
    <t>오염체플루터플루이드</t>
  </si>
  <si>
    <t>오염체플루터리퀴드</t>
  </si>
  <si>
    <t>오염체플루터포그</t>
  </si>
  <si>
    <t>오염체플루터헤이즈</t>
  </si>
  <si>
    <t>오염체플루터청크</t>
  </si>
  <si>
    <t>오염체플루터스파이크</t>
  </si>
  <si>
    <t>오염체플루터블롭런처</t>
  </si>
  <si>
    <t>톡식</t>
  </si>
  <si>
    <t>Character/Timeline/02_MON/toxic_1/m_boss_attacker_toxic_1@appearance</t>
  </si>
  <si>
    <t>Character/Timeline/02_MON/toxic_1/m_boss_attacker_toxic_1@die</t>
  </si>
  <si>
    <t>Sector07</t>
  </si>
  <si>
    <t>시계탑발톱파수견</t>
  </si>
  <si>
    <t>시계탑화염파수견</t>
  </si>
  <si>
    <t>시계탑창병</t>
  </si>
  <si>
    <t>시계탑종자</t>
  </si>
  <si>
    <t>시계탑석궁병</t>
  </si>
  <si>
    <t>시계탑방패병</t>
  </si>
  <si>
    <t>시계탑광대</t>
  </si>
  <si>
    <t>시계탑징집병</t>
  </si>
  <si>
    <t>Sector07.clock_draftee_1.passive01</t>
  </si>
  <si>
    <t>오너나이트</t>
  </si>
  <si>
    <t>노블나이트</t>
  </si>
  <si>
    <t>Sector07.clock_noble_knight_1.passive01</t>
  </si>
  <si>
    <t>노블비숍</t>
  </si>
  <si>
    <t>노블키퍼</t>
  </si>
  <si>
    <t>로열퀸</t>
  </si>
  <si>
    <t>Sector07.clock_royal_queen_1.passive01</t>
  </si>
  <si>
    <t>Character/Timeline/02_MON/royal_queen_1/appearance</t>
  </si>
  <si>
    <t>Character/Timeline/02_MON/royal_queen_1/die</t>
  </si>
  <si>
    <t>강화로열퀸</t>
  </si>
  <si>
    <t>Sector08</t>
  </si>
  <si>
    <t>식물변이체스티키</t>
  </si>
  <si>
    <t>식물변이체스팅어</t>
  </si>
  <si>
    <t>식물변이체바크</t>
  </si>
  <si>
    <t>식물변이체브렌치</t>
  </si>
  <si>
    <t>식물변이체슈터</t>
  </si>
  <si>
    <t>식물변이체캐논</t>
  </si>
  <si>
    <t>식물변이체벌키</t>
  </si>
  <si>
    <t>식물변이체가든</t>
  </si>
  <si>
    <t>식물변이체모터</t>
  </si>
  <si>
    <t>식물변이체로버스트</t>
  </si>
  <si>
    <t>식물변이체디케이</t>
  </si>
  <si>
    <t>크로울러</t>
  </si>
  <si>
    <t>WorldRaid</t>
  </si>
  <si>
    <t>에페리우스</t>
  </si>
  <si>
    <t>WorldRaid.eperiusunit_1.passive01</t>
  </si>
  <si>
    <t>Die_machine</t>
  </si>
  <si>
    <t>Character/Timeline/02_MON/eperiusunit_1/appearance</t>
  </si>
  <si>
    <t>Character/Timeline/02_MON/eperiusunit_1/die</t>
  </si>
  <si>
    <t>GuildOperation01</t>
  </si>
  <si>
    <t>톡식베리</t>
  </si>
  <si>
    <t>GuildOperation01.toxic_2.attack01</t>
  </si>
  <si>
    <t>GuildOperation01.toxic_2.attack02</t>
  </si>
  <si>
    <t>GuildOperation01.toxic_2.skill01</t>
  </si>
  <si>
    <t>GuildOperation01.toxic_2.skill02</t>
  </si>
  <si>
    <t>GuildOperation01.toxic_2.skill03</t>
  </si>
  <si>
    <t>GuildOperation.Normal</t>
  </si>
  <si>
    <t>GuildOperation02</t>
  </si>
  <si>
    <t>골리앗베리</t>
  </si>
  <si>
    <t>GuildOperation02.goliath_2.attack01</t>
  </si>
  <si>
    <t>GuildOperation02.goliath_2.skill01</t>
  </si>
  <si>
    <t>GuildOperation02.goliath_2.skill02</t>
  </si>
  <si>
    <t>GuildOperation02.goliath_2.skill03</t>
  </si>
  <si>
    <t>GuildOperation02.goliath_2.passive01</t>
  </si>
  <si>
    <t>GuildOperation.Hard</t>
  </si>
  <si>
    <t>GuildOperation02.mini_1.attack01</t>
  </si>
  <si>
    <t>GuildOperation02.mini_1.passive01</t>
  </si>
  <si>
    <t>Raid1001</t>
  </si>
  <si>
    <t>기간투스</t>
  </si>
  <si>
    <t>Character/Timeline/02_MON/boss2/appearance_1</t>
  </si>
  <si>
    <t>Character/Timeline/02_MON/boss2/die_1</t>
  </si>
  <si>
    <t>기간투스베리</t>
  </si>
  <si>
    <t>Character/Timeline/02_MON/boss2/appearance_2</t>
  </si>
  <si>
    <t>Character/Timeline/02_MON/boss2/die_2</t>
  </si>
  <si>
    <t>Raid2001</t>
  </si>
  <si>
    <t>카라</t>
  </si>
  <si>
    <t>Character/Timeline/02_MON/kara/die</t>
  </si>
  <si>
    <t>GuildRaid1001</t>
  </si>
  <si>
    <t>freyja</t>
  </si>
  <si>
    <t>Name.Character.freyja</t>
  </si>
  <si>
    <t>Fac_sti_ast</t>
  </si>
  <si>
    <t>freyja.attack1</t>
  </si>
  <si>
    <t>freyja.attack2</t>
  </si>
  <si>
    <t>freyja.attack3</t>
  </si>
  <si>
    <t>freyja.active1</t>
  </si>
  <si>
    <t>freyja.active2</t>
  </si>
  <si>
    <t>freyja.passive</t>
  </si>
  <si>
    <t>freyja.ult</t>
  </si>
  <si>
    <t>character_freyja_01</t>
  </si>
  <si>
    <t>GuildRaid1002</t>
  </si>
  <si>
    <t>mana</t>
  </si>
  <si>
    <t>Name.Character.mana</t>
  </si>
  <si>
    <t>Fac_rim_aki</t>
  </si>
  <si>
    <t>mana.attack1</t>
  </si>
  <si>
    <t>mana.attack2</t>
  </si>
  <si>
    <t>mana.attack3</t>
  </si>
  <si>
    <t>mana.active1</t>
  </si>
  <si>
    <t>mana.active2</t>
  </si>
  <si>
    <t>mana.passive</t>
  </si>
  <si>
    <t>mana.ult</t>
  </si>
  <si>
    <t>Character/Prefabs/c_ranger_mana_1</t>
  </si>
  <si>
    <t>character_mana_01</t>
  </si>
  <si>
    <t>Character/Timeline/01_CHA/ult_c_ranger_mana_1</t>
  </si>
  <si>
    <t>Character/Timeline/01_CHA/victory_c_ranger_mana_1</t>
  </si>
  <si>
    <t>GuildRaid1003</t>
  </si>
  <si>
    <t>balencia</t>
  </si>
  <si>
    <t>Name.Character.balencia</t>
  </si>
  <si>
    <t>Fac_sti_ars</t>
  </si>
  <si>
    <t>balencia.attack1</t>
  </si>
  <si>
    <t>balencia.attack2</t>
  </si>
  <si>
    <t>balencia.attack3</t>
  </si>
  <si>
    <t>balencia.active1</t>
  </si>
  <si>
    <t>balencia.active2</t>
  </si>
  <si>
    <t>balencia.passive</t>
  </si>
  <si>
    <t>balencia.ult</t>
  </si>
  <si>
    <t>Character/Prefabs/c_attacker_balencia_1</t>
  </si>
  <si>
    <t>character_balencia_01</t>
  </si>
  <si>
    <t>Character/Timeline/01_CHA/ult_c_attacker_balencia_1</t>
  </si>
  <si>
    <t>Character/Timeline/01_CHA/victory_c_attacker_balencia_1</t>
  </si>
  <si>
    <t>Daily.Exp</t>
  </si>
  <si>
    <t>Daily.Exp.solid_turretmk1_1.attack01</t>
  </si>
  <si>
    <t>Daily.Exp.spider_turret_prototype_1.attack01</t>
  </si>
  <si>
    <t>터틀메카mk1</t>
  </si>
  <si>
    <t>Daily.Exp.turtle_mechamk1_1.attack01</t>
  </si>
  <si>
    <t>Daily.Exp.turtle_mechamk3_3.attack01</t>
  </si>
  <si>
    <t>Daily.Exp.scorpion_turretmk2_3.attack01</t>
  </si>
  <si>
    <t>Daily.Exp.rhino_mechamk3_3.attack01</t>
  </si>
  <si>
    <t>Daily.Gold1</t>
  </si>
  <si>
    <t>더스트드론</t>
  </si>
  <si>
    <t>Daily.Gold1.hellfire_drone_3.attack01</t>
  </si>
  <si>
    <t>Daily.Gold1.hellfire_drone_3.skill01</t>
  </si>
  <si>
    <t>Daily.Gold1.hellfire_drone_3.passive01</t>
  </si>
  <si>
    <t>Daily.Gold2</t>
  </si>
  <si>
    <t>Daily.Gold2.hellfire_drone_3.attack01</t>
  </si>
  <si>
    <t>Daily.Gold2.hellfire_drone_3.skill01</t>
  </si>
  <si>
    <t>Daily.Gold2.hellfire_drone_3.passive01</t>
  </si>
  <si>
    <t>Daily.Gold</t>
  </si>
  <si>
    <t>헤비트루퍼런처</t>
  </si>
  <si>
    <t>Daily.Gold.trooper_demolisher_1.attack01</t>
  </si>
  <si>
    <t>Daily.Gold.trooper_demolisher_1.skill01</t>
  </si>
  <si>
    <t>Daily.Gold.trooper_demolisher_1.skill02</t>
  </si>
  <si>
    <t>Daily.Gold.trooper_demolisher_1.passive01</t>
  </si>
  <si>
    <t>헤비트루퍼라이플</t>
  </si>
  <si>
    <t>Daily.Gold.trooper_sniper_1.attack01</t>
  </si>
  <si>
    <t>Daily.Gold.trooper_sniper_1.skill01</t>
  </si>
  <si>
    <t>헤비트루퍼플레임</t>
  </si>
  <si>
    <t>Daily.Gold.trooper_inferno_1.attack01</t>
  </si>
  <si>
    <t>Daily.Gold.grima_alpha_1.attack01</t>
  </si>
  <si>
    <t>Daily.Gold.grima_alpha_1.skill01</t>
  </si>
  <si>
    <t>Daily.Gold.grima_alpha_1.skill02</t>
  </si>
  <si>
    <t>Daily.Gold.draindermis_1.attack01</t>
  </si>
  <si>
    <t>Daily.Gold.draindermis_1.skill01</t>
  </si>
  <si>
    <t>Daily.Gold.draindermis_1.skill02</t>
  </si>
  <si>
    <t>Daily.Gold.grima_beta_1.attack01</t>
  </si>
  <si>
    <t>Daily.Gold.grima_beta_1.skill01</t>
  </si>
  <si>
    <t>Daily.Gold.grima_beta_1.skill02</t>
  </si>
  <si>
    <t>Daily.Gold.labmecha_punch_1.attack01</t>
  </si>
  <si>
    <t>Daily.Gold.labmecha_punch_1.skill01</t>
  </si>
  <si>
    <t>Daily.Gold.harbor_cannon_1.attack01</t>
  </si>
  <si>
    <t>Daily.Atk</t>
  </si>
  <si>
    <t>Monster.Name.Atk.Sub.drone_1</t>
  </si>
  <si>
    <t>Daily.Atk.hellfire_drone_3.attack01</t>
  </si>
  <si>
    <t>Daily.Atk.hellfire_drone_3.passive01</t>
  </si>
  <si>
    <t>리제네이션드론</t>
  </si>
  <si>
    <t>Monster.Name.Atk.Sub.drone_2</t>
  </si>
  <si>
    <t>Daily.Atk.regeneration_drone_3.attack01</t>
  </si>
  <si>
    <t>Daily.Atk.regeneration_drone_3.passive01</t>
  </si>
  <si>
    <t>Daily.Atk.shelter_sweeper_g_1.attack01</t>
  </si>
  <si>
    <t>Daily.Atk.shelter_sweeper_g_1.skill01</t>
  </si>
  <si>
    <t>Daily.Atk.shelter_sweeper_g_1.skill02</t>
  </si>
  <si>
    <t>Daily.Atk.Boss.End.passive01</t>
  </si>
  <si>
    <t>Daily.Def</t>
  </si>
  <si>
    <t>Daily.Def.brain_hunter_1.attack01</t>
  </si>
  <si>
    <t>Daily.Def.brain_hunter_1.skill01</t>
  </si>
  <si>
    <t>Daily.Def.DamageUp.passive01</t>
  </si>
  <si>
    <t>Daily.Def.polluter_exploder_1.attack01</t>
  </si>
  <si>
    <t>Daily.Def.polluter_exploder_1.skill01</t>
  </si>
  <si>
    <t>Daily.Seed</t>
  </si>
  <si>
    <t>Daily.Seed.trooper_inferno_1.attack01</t>
  </si>
  <si>
    <t>Daily.Seed.trooper_inferno_1.skill01</t>
  </si>
  <si>
    <t>Daily.Seed.trooper_sniper_1.attack01</t>
  </si>
  <si>
    <t>Daily.Seed.trooper_sniper_1.skill01</t>
  </si>
  <si>
    <t>헤비트루퍼건틀릿</t>
  </si>
  <si>
    <t>Daily.Seed.trooper_champion_1.attack01</t>
  </si>
  <si>
    <t>Daily.Seed.trooper_champion_1.skill01</t>
  </si>
  <si>
    <t>Daily.Seed.trooper_champion_1.skill02</t>
  </si>
  <si>
    <t>헤비트루퍼실드</t>
  </si>
  <si>
    <t>Daily.Seed.trooper_guard_1.attack01</t>
  </si>
  <si>
    <t>Daily.Seed.trooper_guard_1.skill01</t>
  </si>
  <si>
    <t>Daily.Seed.friendly_edge_eyeball_1.attack01</t>
  </si>
  <si>
    <t>Daily.Seed.friendly_edge_eyeball_1.skill01</t>
  </si>
  <si>
    <t>Daily.Seed.friendly_edge_eyeball_1.passive01</t>
  </si>
  <si>
    <t>Daily.Seed.friendly_electric_eyeball_1.attack01</t>
  </si>
  <si>
    <t>Daily.Seed.friendly_electric_eyeball_1.skill01</t>
  </si>
  <si>
    <t>Daily.Seed.friendly_gun_1.attack01</t>
  </si>
  <si>
    <t>Daily.Seed.friendly_gun_1.skill01</t>
  </si>
  <si>
    <t>Daily.Seed.friendly_pincers_1.attack01</t>
  </si>
  <si>
    <t>Daily.Seed.friendly_pincers_1.skill01</t>
  </si>
  <si>
    <t>Daily.Seed.friendly_punch_1.attack01</t>
  </si>
  <si>
    <t>Daily.Seed.friendly_punch_1.skill01</t>
  </si>
  <si>
    <t>Daily.Seed.friendly_punch_1.skill02</t>
  </si>
  <si>
    <t>Daily.Seed.polluter_bloblauncher_1.attack01</t>
  </si>
  <si>
    <t>Daily.Seed.polluter_bloblauncher_1.skill01</t>
  </si>
  <si>
    <t>Daily.Seed.polluter_liquid_1.attack01</t>
  </si>
  <si>
    <t>Daily.Seed.polluter_liquid_1.skill01</t>
  </si>
  <si>
    <t>Daily.Seed.polluter_fog_1.attack01</t>
  </si>
  <si>
    <t>Daily.Seed.polluter_fog_1.skill01</t>
  </si>
  <si>
    <t>Daily.Seed.polluter_spike_1.attack01</t>
  </si>
  <si>
    <t>Daily.Seed.polluter_spike_1.skill01</t>
  </si>
  <si>
    <t>Daily.Seed.polluter_spike_1.skill02</t>
  </si>
  <si>
    <t>Daily.Seed.polluter_spike_1.skill03</t>
  </si>
  <si>
    <t>Daily.Seed.polluter_chunk_1.attack01</t>
  </si>
  <si>
    <t>Daily.Seed.polluter_chunk_1.skill01</t>
  </si>
  <si>
    <t>Rotation</t>
  </si>
  <si>
    <t>큐브01_01</t>
  </si>
  <si>
    <t>Monster.Name.RotationCube.Tier1</t>
  </si>
  <si>
    <t>Rotation.cube_tier01_01.skill01</t>
  </si>
  <si>
    <t>Rotation.cube_tier01_01.Immun</t>
  </si>
  <si>
    <t>Effect/Prefab/02.mob/cube_military_01/EFF_cube_military_01_hit_01</t>
  </si>
  <si>
    <t>큐브01_02</t>
  </si>
  <si>
    <t>Rotation.cube_tier01_02.skill01</t>
  </si>
  <si>
    <t>Rotation.cube_tier01_02.Immun</t>
  </si>
  <si>
    <t>큐브01_03</t>
  </si>
  <si>
    <t>Rotation.cube_tier01_03.skill01</t>
  </si>
  <si>
    <t>Rotation.cube_tier01_03.Immun</t>
  </si>
  <si>
    <t>큐브01_04</t>
  </si>
  <si>
    <t>Rotation.cube_tier01_04.skill01</t>
  </si>
  <si>
    <t>Rotation.cube_tier01_04.Immun</t>
  </si>
  <si>
    <t>큐브01_05</t>
  </si>
  <si>
    <t>Rotation.cube_tier01_05.skill01</t>
  </si>
  <si>
    <t>Rotation.cube_tier01_05.Immun</t>
  </si>
  <si>
    <t>큐브02_01</t>
  </si>
  <si>
    <t>Monster.Name.RotationCube.Tier2</t>
  </si>
  <si>
    <t>Rotation.cube_tier02_01.skill01</t>
  </si>
  <si>
    <t>Rotation.cube_tier02_01.Immun</t>
  </si>
  <si>
    <t>큐브02_02</t>
  </si>
  <si>
    <t>Rotation.cube_tier02_02.skill01</t>
  </si>
  <si>
    <t>Rotation.cube_tier02_02.Immun</t>
  </si>
  <si>
    <t>큐브02_03</t>
  </si>
  <si>
    <t>Rotation.cube_tier02_03.skill01</t>
  </si>
  <si>
    <t>Rotation.cube_tier02_03.Immun</t>
  </si>
  <si>
    <t>큐브02_04</t>
  </si>
  <si>
    <t>Rotation.cube_tier02_04.skill01</t>
  </si>
  <si>
    <t>Rotation.cube_tier02_04.Immun</t>
  </si>
  <si>
    <t>큐브02_05</t>
  </si>
  <si>
    <t>Rotation.cube_tier02_05.skill01</t>
  </si>
  <si>
    <t>Rotation.cube_tier02_05.Immun</t>
  </si>
  <si>
    <t>큐브03_01</t>
  </si>
  <si>
    <t>Monster.Name.RotationCube.Tier3</t>
  </si>
  <si>
    <t>Rotation.cube_tier03_01.skill01</t>
  </si>
  <si>
    <t>Rotation.cube_tier03_01.Immun</t>
  </si>
  <si>
    <t>큐브03_02</t>
  </si>
  <si>
    <t>Rotation.cube_tier03_02.skill01</t>
  </si>
  <si>
    <t>Rotation.cube_tier03_02.Immun</t>
  </si>
  <si>
    <t>큐브03_03</t>
  </si>
  <si>
    <t>Rotation.cube_tier03_03.skill01</t>
  </si>
  <si>
    <t>Rotation.cube_tier03_03.Immun</t>
  </si>
  <si>
    <t>큐브03_04</t>
  </si>
  <si>
    <t>Rotation.cube_tier03_04.skill01</t>
  </si>
  <si>
    <t>Rotation.cube_tier03_04.Immun</t>
  </si>
  <si>
    <t>큐브03_05</t>
  </si>
  <si>
    <t>Rotation.cube_tier03_05.skill01</t>
  </si>
  <si>
    <t>Rotation.cube_tier03_05.Immun</t>
  </si>
  <si>
    <t>큐브04_01</t>
  </si>
  <si>
    <t>Monster.Name.RotationCube.Tier4</t>
  </si>
  <si>
    <t>Rotation.cube_tier04_01.skill01</t>
  </si>
  <si>
    <t>Rotation.cube_tier04_01.Immun</t>
  </si>
  <si>
    <t>큐브04_02</t>
  </si>
  <si>
    <t>Rotation.cube_tier04_02.skill01</t>
  </si>
  <si>
    <t>Rotation.cube_tier04_02.Immun</t>
  </si>
  <si>
    <t>큐브04_03</t>
  </si>
  <si>
    <t>Rotation.cube_tier04_03.skill01</t>
  </si>
  <si>
    <t>Rotation.cube_tier04_03.Immun</t>
  </si>
  <si>
    <t>큐브04_04</t>
  </si>
  <si>
    <t>Rotation.cube_tier04_04.skill01</t>
  </si>
  <si>
    <t>Rotation.cube_tier04_04.Immun</t>
  </si>
  <si>
    <t>큐브04_05</t>
  </si>
  <si>
    <t>Rotation.cube_tier04_05.skill01</t>
  </si>
  <si>
    <t>Rotation.cube_tier04_05.Immun</t>
  </si>
  <si>
    <t>큐브05_01</t>
  </si>
  <si>
    <t>Monster.Name.RotationCube.Tier5</t>
  </si>
  <si>
    <t>Rotation.cube_tier05_01.skill01</t>
  </si>
  <si>
    <t>Rotation.cube_tier05_01.Immun</t>
  </si>
  <si>
    <t>큐브05_02</t>
  </si>
  <si>
    <t>Rotation.cube_tier05_02.skill01</t>
  </si>
  <si>
    <t>Rotation.cube_tier05_02.Immun</t>
  </si>
  <si>
    <t>큐브05_03</t>
  </si>
  <si>
    <t>Rotation.cube_tier05_03.skill01</t>
  </si>
  <si>
    <t>Rotation.cube_tier05_03.Immun</t>
  </si>
  <si>
    <t>큐브05_04</t>
  </si>
  <si>
    <t>Rotation.cube_tier05_04.skill01</t>
  </si>
  <si>
    <t>Rotation.cube_tier05_04.Immun</t>
  </si>
  <si>
    <t>큐브05_05</t>
  </si>
  <si>
    <t>Rotation.cube_tier05_05.skill01</t>
  </si>
  <si>
    <t>Rotation.cube_tier05_05.Immun</t>
  </si>
  <si>
    <t>튜토리얼</t>
  </si>
  <si>
    <t>마나</t>
  </si>
  <si>
    <t>FALSE</t>
  </si>
  <si>
    <t>tuto.mana.attack1</t>
  </si>
  <si>
    <t>tuto.mana.attack2</t>
  </si>
  <si>
    <t>tuto.mana.attack3</t>
  </si>
  <si>
    <t>Voice_renas_retire</t>
  </si>
  <si>
    <t>아이렌</t>
  </si>
  <si>
    <t>Name.Character.airen</t>
  </si>
  <si>
    <t>Fac_sta_sec</t>
  </si>
  <si>
    <t>tuto.airen.attack1</t>
  </si>
  <si>
    <t>tuto.airen.attack2</t>
  </si>
  <si>
    <t>tuto.airen.attack3</t>
  </si>
  <si>
    <t>airen.active1</t>
  </si>
  <si>
    <t>airen.active2</t>
  </si>
  <si>
    <t>airen.passive</t>
  </si>
  <si>
    <t>airen.ult</t>
  </si>
  <si>
    <t>Character/Prefabs/c_attacker_airen_1</t>
  </si>
  <si>
    <t>character_airen_01</t>
  </si>
  <si>
    <t>Character/Timeline/01_CHA/ult_c_attacker_airen_1</t>
  </si>
  <si>
    <t>Voice_Ann_retire</t>
  </si>
  <si>
    <t>오로라</t>
  </si>
  <si>
    <t>Name.Character.aurora</t>
  </si>
  <si>
    <t>tuto.aurora.attack1</t>
  </si>
  <si>
    <t>tuto.aurora.attack2</t>
  </si>
  <si>
    <t>tuto.aurora.attack3</t>
  </si>
  <si>
    <t>aurora.active1</t>
  </si>
  <si>
    <t>aurora.active2</t>
  </si>
  <si>
    <t>aurora.passive</t>
  </si>
  <si>
    <t>aurora.ult</t>
  </si>
  <si>
    <t>Character/Prefabs/c_ranger_aurora_1</t>
  </si>
  <si>
    <t>character_aurora_01</t>
  </si>
  <si>
    <t>Character/Timeline/01_CHA/ult_c_ranger_aurora_1</t>
  </si>
  <si>
    <t>Voice_assault_rifle_retire_001</t>
  </si>
  <si>
    <t>MonsterName.Cassandra</t>
  </si>
  <si>
    <t>tuto.cassandra.attack01</t>
  </si>
  <si>
    <t>tuto.cassandra.skill01</t>
  </si>
  <si>
    <t>tuto.cassandra.skill02</t>
  </si>
  <si>
    <t>boss.immun.knockback</t>
  </si>
  <si>
    <t>tuto.electric_drone_1.attack01</t>
  </si>
  <si>
    <t>tuto.jamming_drone_1.attack01</t>
  </si>
  <si>
    <t>미리보기</t>
  </si>
  <si>
    <t>Character.Name.aurora</t>
  </si>
  <si>
    <t>aurora.attack1</t>
  </si>
  <si>
    <t>aurora.attack2</t>
  </si>
  <si>
    <t>aurora.attack3</t>
  </si>
  <si>
    <t>샤레</t>
  </si>
  <si>
    <t>shale.attack1</t>
  </si>
  <si>
    <t>shale.attack2</t>
  </si>
  <si>
    <t>shale.attack3</t>
  </si>
  <si>
    <t>Character/Prefabs/c_supporter_shale_1</t>
  </si>
  <si>
    <t>MonsterName.Turret1</t>
  </si>
  <si>
    <t>stage.fever</t>
  </si>
  <si>
    <t>다이아나</t>
  </si>
  <si>
    <t>diana</t>
  </si>
  <si>
    <t>Name.Character.diana</t>
  </si>
  <si>
    <t>Fac_sti_shi</t>
  </si>
  <si>
    <t>diana.attack1</t>
  </si>
  <si>
    <t>diana.attack2</t>
  </si>
  <si>
    <t>diana.attack3</t>
  </si>
  <si>
    <t>Character/Prefabs/m_tanker_diana_enemy_1</t>
  </si>
  <si>
    <t>character_diana_01</t>
  </si>
  <si>
    <t>airen</t>
  </si>
  <si>
    <t>airen.attack1</t>
  </si>
  <si>
    <t>airen.attack2</t>
  </si>
  <si>
    <t>airen.attack3</t>
  </si>
  <si>
    <t>Character/Prefabs/m_attacker_airen_enemy_1</t>
  </si>
  <si>
    <t>시즈</t>
  </si>
  <si>
    <t>siege</t>
  </si>
  <si>
    <t>Name.Character.siege</t>
  </si>
  <si>
    <t>Fac_sti_alt</t>
  </si>
  <si>
    <t>siege.attack1</t>
  </si>
  <si>
    <t>siege.attack2</t>
  </si>
  <si>
    <t>siege.attack3</t>
  </si>
  <si>
    <t>Character/Prefabs/m_supporter_siege_enemy_1</t>
  </si>
  <si>
    <t>character_siege_01</t>
  </si>
  <si>
    <t>Character/Prefabs/m_ranger_mana_enemy_1</t>
  </si>
  <si>
    <t>aurora</t>
  </si>
  <si>
    <t>Character/Prefabs/m_ranger_aurora_enemy_1</t>
  </si>
  <si>
    <t>앤</t>
  </si>
  <si>
    <t>anne</t>
  </si>
  <si>
    <t>Name.Character.anne</t>
  </si>
  <si>
    <t>Fac_rim_ode</t>
  </si>
  <si>
    <t>anne.attack1</t>
  </si>
  <si>
    <t>anne.attack2</t>
  </si>
  <si>
    <t>anne.attack3</t>
  </si>
  <si>
    <t>anne.active1</t>
  </si>
  <si>
    <t>anne.active2</t>
  </si>
  <si>
    <t>anne.passive</t>
  </si>
  <si>
    <t>anne.ult</t>
  </si>
  <si>
    <t>Character/Prefabs/m_tanker_anne_enemy_1</t>
  </si>
  <si>
    <t>character_anne_01</t>
  </si>
  <si>
    <t>안젤리카</t>
  </si>
  <si>
    <t>angelica</t>
  </si>
  <si>
    <t>Name.Character.angelica</t>
  </si>
  <si>
    <t>Fac_art_lib</t>
  </si>
  <si>
    <t>angelica.attack1</t>
  </si>
  <si>
    <t>angelica.attack2</t>
  </si>
  <si>
    <t>angelica.attack3</t>
  </si>
  <si>
    <t>Character/Prefabs/m_attacker_angelica_enemy_1</t>
  </si>
  <si>
    <t>character_angelica_01</t>
  </si>
  <si>
    <t>페렐</t>
  </si>
  <si>
    <t>ferrel</t>
  </si>
  <si>
    <t>Name.Character.ferrel</t>
  </si>
  <si>
    <t>ferrel.attack1</t>
  </si>
  <si>
    <t>ferrel.attack2</t>
  </si>
  <si>
    <t>ferrel.attack3</t>
  </si>
  <si>
    <t>ferrel.active1</t>
  </si>
  <si>
    <t>ferrel.active2</t>
  </si>
  <si>
    <t>ferrel.passive</t>
  </si>
  <si>
    <t>ferrel.ult</t>
  </si>
  <si>
    <t>Character/Prefabs/m_ranger_ferrel_enemy_1</t>
  </si>
  <si>
    <t>character_ferrel_01</t>
  </si>
  <si>
    <t>크림슨</t>
  </si>
  <si>
    <t>crimson</t>
  </si>
  <si>
    <t>Name.Character.crimson</t>
  </si>
  <si>
    <t>Fac_sti_swo</t>
  </si>
  <si>
    <t>Character/Prefabs/m_ranger_crimson_enemy_1</t>
  </si>
  <si>
    <t>character_crimson_01</t>
  </si>
  <si>
    <t>에이코</t>
  </si>
  <si>
    <t>eiko</t>
  </si>
  <si>
    <t>Name.Character.eiko</t>
  </si>
  <si>
    <t>eiko.attack1</t>
  </si>
  <si>
    <t>eiko.attack2</t>
  </si>
  <si>
    <t>eiko.attack3</t>
  </si>
  <si>
    <t>eiko.active1</t>
  </si>
  <si>
    <t>eiko.active2</t>
  </si>
  <si>
    <t>eiko.passive</t>
  </si>
  <si>
    <t>eiko.ult</t>
  </si>
  <si>
    <t>Character/Prefabs/m_ranger_eiko_enemy_1</t>
  </si>
  <si>
    <t>character_eiko_01</t>
  </si>
  <si>
    <t>스노프릴</t>
  </si>
  <si>
    <t>snopril</t>
  </si>
  <si>
    <t>Name.Character.snopril</t>
  </si>
  <si>
    <t>Fac_aut_gla</t>
  </si>
  <si>
    <t>snopril.attack1</t>
  </si>
  <si>
    <t>snopril.attack2</t>
  </si>
  <si>
    <t>snopril.attack3</t>
  </si>
  <si>
    <t>snopril.active1</t>
  </si>
  <si>
    <t>snopril.active2</t>
  </si>
  <si>
    <t>snopril.passive</t>
  </si>
  <si>
    <t>snopril.ult</t>
  </si>
  <si>
    <t>Character/Prefabs/m_tanker_snopril_enemy_1</t>
  </si>
  <si>
    <t>character_snopril_01</t>
  </si>
  <si>
    <t>발렌시아</t>
  </si>
  <si>
    <t>Character/Prefabs/m_attacker_balencia_enemy_1</t>
  </si>
  <si>
    <t>헬렌</t>
  </si>
  <si>
    <t>hellen</t>
  </si>
  <si>
    <t>Name.Character.hellen</t>
  </si>
  <si>
    <t>Fac_art_app</t>
  </si>
  <si>
    <t>hellen.attack1</t>
  </si>
  <si>
    <t>hellen.attack2</t>
  </si>
  <si>
    <t>hellen.attack3</t>
  </si>
  <si>
    <t>Character/Prefabs/m_supporter_hellen_enemy_1</t>
  </si>
  <si>
    <t>character_hellen_01</t>
  </si>
  <si>
    <t>아셀스</t>
  </si>
  <si>
    <t>arcels</t>
  </si>
  <si>
    <t>Name.Character.arcels</t>
  </si>
  <si>
    <t>Fac_aut_ter</t>
  </si>
  <si>
    <t>arcels.attack1</t>
  </si>
  <si>
    <t>arcels.attack2</t>
  </si>
  <si>
    <t>arcels.attack3</t>
  </si>
  <si>
    <t>arcels.active1</t>
  </si>
  <si>
    <t>arcels.active2</t>
  </si>
  <si>
    <t>arcels.ult</t>
  </si>
  <si>
    <t>Character/Prefabs/m_attacker_arcels_enemy_1</t>
  </si>
  <si>
    <t>character_arcels_01</t>
  </si>
  <si>
    <t>쉐리</t>
  </si>
  <si>
    <t>shery</t>
  </si>
  <si>
    <t>Name.Character.shery</t>
  </si>
  <si>
    <t>shery.attack1</t>
  </si>
  <si>
    <t>shery.attack2</t>
  </si>
  <si>
    <t>shery.attack3</t>
  </si>
  <si>
    <t>Character/Prefabs/m_ranger_shery_enemy_1</t>
  </si>
  <si>
    <t>character_shery_01</t>
  </si>
  <si>
    <t>메리샤</t>
  </si>
  <si>
    <t>melissa</t>
  </si>
  <si>
    <t>Name.Character.melissa</t>
  </si>
  <si>
    <t>melissa.attack1</t>
  </si>
  <si>
    <t>melissa.attack2</t>
  </si>
  <si>
    <t>melissa.attack3</t>
  </si>
  <si>
    <t>melissa.active1</t>
  </si>
  <si>
    <t>melissa.active2</t>
  </si>
  <si>
    <t>melissa.passive</t>
  </si>
  <si>
    <t>melissa.ult</t>
  </si>
  <si>
    <t>Character/Prefabs/m_tanker_melissa_enemy_1</t>
  </si>
  <si>
    <t>character_melissa_01</t>
  </si>
  <si>
    <t>시아</t>
  </si>
  <si>
    <t>sia</t>
  </si>
  <si>
    <t>Name.Character.sia</t>
  </si>
  <si>
    <t>sia.attack1</t>
  </si>
  <si>
    <t>sia.attack2</t>
  </si>
  <si>
    <t>sia.attack3</t>
  </si>
  <si>
    <t>sia.active1</t>
  </si>
  <si>
    <t>sia.active2</t>
  </si>
  <si>
    <t>sia.passive</t>
  </si>
  <si>
    <t>sia.ult</t>
  </si>
  <si>
    <t>Character/Prefabs/m_attacker_sia_enemy_1</t>
  </si>
  <si>
    <t>character_sia_01</t>
  </si>
  <si>
    <t>카나타</t>
  </si>
  <si>
    <t>kanata</t>
  </si>
  <si>
    <t>Name.Character.kanata</t>
  </si>
  <si>
    <t>Fac_rim_its</t>
  </si>
  <si>
    <t>kanata.attack1</t>
  </si>
  <si>
    <t>kanata.attack2</t>
  </si>
  <si>
    <t>kanata.attack3</t>
  </si>
  <si>
    <t>kanata.active1</t>
  </si>
  <si>
    <t>kanata.active2</t>
  </si>
  <si>
    <t>kanata.passive</t>
  </si>
  <si>
    <t>kanata.ult</t>
  </si>
  <si>
    <t>Character/Prefabs/m_ranger_kanata_enemy_1</t>
  </si>
  <si>
    <t>character_kanata_01</t>
  </si>
  <si>
    <t>레이호우</t>
  </si>
  <si>
    <t>rayhou</t>
  </si>
  <si>
    <t>Name.Character.rayhou</t>
  </si>
  <si>
    <t>rayhou.attack1</t>
  </si>
  <si>
    <t>rayhou.attack2</t>
  </si>
  <si>
    <t>rayhou.attack3</t>
  </si>
  <si>
    <t>Character/Prefabs/m_supporter_rayhou_enemy_1</t>
  </si>
  <si>
    <t>character_rayhou_01</t>
  </si>
  <si>
    <t>아크페이지</t>
  </si>
  <si>
    <t>archphase</t>
  </si>
  <si>
    <t>Name.Character.archphase</t>
  </si>
  <si>
    <t>Fac_lde_phy</t>
  </si>
  <si>
    <t>Character/Prefabs/m_ranger_archphase_enemy_1</t>
  </si>
  <si>
    <t>character_archphase_01</t>
  </si>
  <si>
    <t>릴리안</t>
  </si>
  <si>
    <t>lilian</t>
  </si>
  <si>
    <t>Name.Character.lilian</t>
  </si>
  <si>
    <t>lilian.attack1</t>
  </si>
  <si>
    <t>lilian.attack2</t>
  </si>
  <si>
    <t>lilian.attack3</t>
  </si>
  <si>
    <t>lilian.active1</t>
  </si>
  <si>
    <t>lilian.active2</t>
  </si>
  <si>
    <t>lilian.passive</t>
  </si>
  <si>
    <t>lilian.ult</t>
  </si>
  <si>
    <t>Character/Prefabs/m_tanker_lilian_enemy_1</t>
  </si>
  <si>
    <t>character_lilian_01</t>
  </si>
  <si>
    <t>다리아</t>
  </si>
  <si>
    <t>daria</t>
  </si>
  <si>
    <t>Name.Character.daria</t>
  </si>
  <si>
    <t>daria.attack1</t>
  </si>
  <si>
    <t>daria.attack2</t>
  </si>
  <si>
    <t>daria.attack3</t>
  </si>
  <si>
    <t>daria.active1</t>
  </si>
  <si>
    <t>daria.active2</t>
  </si>
  <si>
    <t>daria.passive</t>
  </si>
  <si>
    <t>daria.ult</t>
  </si>
  <si>
    <t>Character/Prefabs/m_tanker_daria_enemy_1</t>
  </si>
  <si>
    <t>character_daria_01</t>
  </si>
  <si>
    <t>타이나</t>
  </si>
  <si>
    <t>taina</t>
  </si>
  <si>
    <t>Name.Character.taina</t>
  </si>
  <si>
    <t>taina.attack1</t>
  </si>
  <si>
    <t>taina.attack2</t>
  </si>
  <si>
    <t>taina.attack3</t>
  </si>
  <si>
    <t>taina.active1</t>
  </si>
  <si>
    <t>taina.active2</t>
  </si>
  <si>
    <t>taina.passive</t>
  </si>
  <si>
    <t>taina.ult</t>
  </si>
  <si>
    <t>Character/Prefabs/m_tanker_taina_enemy_1</t>
  </si>
  <si>
    <t>character_taina_01</t>
  </si>
  <si>
    <t>세라펄사</t>
  </si>
  <si>
    <t>serapulsar</t>
  </si>
  <si>
    <t>Name.Character.serapulsar</t>
  </si>
  <si>
    <t>serapulsar.attack1</t>
  </si>
  <si>
    <t>serapulsar.attack2</t>
  </si>
  <si>
    <t>serapulsar.attack3</t>
  </si>
  <si>
    <t>Character/Prefabs/m_attacker_serapulsar_enemy_1</t>
  </si>
  <si>
    <t>character_serapulsar_01</t>
  </si>
  <si>
    <t>아이라스</t>
  </si>
  <si>
    <t>iras</t>
  </si>
  <si>
    <t>Name.Character.iras</t>
  </si>
  <si>
    <t>iras.attack1</t>
  </si>
  <si>
    <t>iras.attack2</t>
  </si>
  <si>
    <t>iras.attack3</t>
  </si>
  <si>
    <t>iras.active1</t>
  </si>
  <si>
    <t>iras.active2</t>
  </si>
  <si>
    <t>iras.passive</t>
  </si>
  <si>
    <t>iras.ult</t>
  </si>
  <si>
    <t>Character/Prefabs/m_attacker_iras_enemy_1</t>
  </si>
  <si>
    <t>character_iras_01</t>
  </si>
  <si>
    <t>Character/Timeline/01_CHA/ult_c_attacker_iras_1</t>
  </si>
  <si>
    <t>Character/Timeline/01_CHA/victory_c_attacker_iras_1</t>
  </si>
  <si>
    <t>앰브로시아</t>
  </si>
  <si>
    <t>ambrosia</t>
  </si>
  <si>
    <t>Name.Character.ambrosia</t>
  </si>
  <si>
    <t>ambrosia.attack1</t>
  </si>
  <si>
    <t>ambrosia.attack2</t>
  </si>
  <si>
    <t>ambrosia.attack3</t>
  </si>
  <si>
    <t>ambrosia.active1</t>
  </si>
  <si>
    <t>ambrosia.active2</t>
  </si>
  <si>
    <t>ambrosia.passive</t>
  </si>
  <si>
    <t>ambrosia.ult</t>
  </si>
  <si>
    <t>Character/Prefabs/m_attacker_ambrosia_enemy_1</t>
  </si>
  <si>
    <t>character_ambrosia_01</t>
  </si>
  <si>
    <t>메아</t>
  </si>
  <si>
    <t>mea</t>
  </si>
  <si>
    <t>Name.Character.mea</t>
  </si>
  <si>
    <t>Fac_aut_oce</t>
  </si>
  <si>
    <t>mea.attack1</t>
  </si>
  <si>
    <t>mea.attack2</t>
  </si>
  <si>
    <t>mea.attack3</t>
  </si>
  <si>
    <t>mea.active1</t>
  </si>
  <si>
    <t>mea.active2</t>
  </si>
  <si>
    <t>mea.passive</t>
  </si>
  <si>
    <t>mea.ult</t>
  </si>
  <si>
    <t>Character/Prefabs/m_attacker_mea_enemy_1</t>
  </si>
  <si>
    <t>character_mea_01</t>
  </si>
  <si>
    <t>레이첼</t>
  </si>
  <si>
    <t>rachel</t>
  </si>
  <si>
    <t>Name.Character.rachel</t>
  </si>
  <si>
    <t>rachel.attack1</t>
  </si>
  <si>
    <t>rachel.attack2</t>
  </si>
  <si>
    <t>rachel.attack3</t>
  </si>
  <si>
    <t>rachel.active1</t>
  </si>
  <si>
    <t>rachel.active2</t>
  </si>
  <si>
    <t>rachel.passive</t>
  </si>
  <si>
    <t>rachel.ult</t>
  </si>
  <si>
    <t>Character/Prefabs/m_attacker_rachel_enemy_1</t>
  </si>
  <si>
    <t>character_rachel_01</t>
  </si>
  <si>
    <t>이사벨라</t>
  </si>
  <si>
    <t>isabella</t>
  </si>
  <si>
    <t>Name.Character.isabella</t>
  </si>
  <si>
    <t>isabella.attack1</t>
  </si>
  <si>
    <t>isabella.attack2</t>
  </si>
  <si>
    <t>isabella.attack3</t>
  </si>
  <si>
    <t>Character/Prefabs/m_attacker_isabella_enemy_1</t>
  </si>
  <si>
    <t>character_isabella_01</t>
  </si>
  <si>
    <t>벨리타</t>
  </si>
  <si>
    <t>belita</t>
  </si>
  <si>
    <t>Name.Character.belita</t>
  </si>
  <si>
    <t>Fac_art_pur</t>
  </si>
  <si>
    <t>belita.attack1</t>
  </si>
  <si>
    <t>belita.attack2</t>
  </si>
  <si>
    <t>belita.attack3</t>
  </si>
  <si>
    <t>belita.active1</t>
  </si>
  <si>
    <t>belita.active2</t>
  </si>
  <si>
    <t>belita.passive</t>
  </si>
  <si>
    <t>belita.ult</t>
  </si>
  <si>
    <t>Character/Prefabs/m_attacker_belita_enemy_1</t>
  </si>
  <si>
    <t>character_belita_01</t>
  </si>
  <si>
    <t>베르베타</t>
  </si>
  <si>
    <t>belebeta</t>
  </si>
  <si>
    <t>Name.Character.belebeta</t>
  </si>
  <si>
    <t>belebeta.attack1</t>
  </si>
  <si>
    <t>belebeta.attack2</t>
  </si>
  <si>
    <t>belebeta.attack3</t>
  </si>
  <si>
    <t>belebeta.active1</t>
  </si>
  <si>
    <t>belebeta.active2</t>
  </si>
  <si>
    <t>belebeta.passive</t>
  </si>
  <si>
    <t>belebeta.ult</t>
  </si>
  <si>
    <t>Character/Prefabs/m_attacker_belebeta_enemy_1</t>
  </si>
  <si>
    <t>character_belebeta_01</t>
  </si>
  <si>
    <t>브륀힐데</t>
  </si>
  <si>
    <t>brynhild</t>
  </si>
  <si>
    <t>Name.Character.brynhild</t>
  </si>
  <si>
    <t>brynhild.attack1</t>
  </si>
  <si>
    <t>brynhild.attack2</t>
  </si>
  <si>
    <t>brynhild.attack3</t>
  </si>
  <si>
    <t>Character/Prefabs/m_attacker_brynhild_enemy_1</t>
  </si>
  <si>
    <t>character_brynhild_01</t>
  </si>
  <si>
    <t>유나</t>
  </si>
  <si>
    <t>yuna</t>
  </si>
  <si>
    <t>Name.Character.yuna</t>
  </si>
  <si>
    <t>yuna.attack1</t>
  </si>
  <si>
    <t>yuna.attack2</t>
  </si>
  <si>
    <t>yuna.attack3</t>
  </si>
  <si>
    <t>yuna.active1</t>
  </si>
  <si>
    <t>yuna.active2</t>
  </si>
  <si>
    <t>yuna.passive</t>
  </si>
  <si>
    <t>yuna.ult</t>
  </si>
  <si>
    <t>Character/Prefabs/m_attacker_yuna_enemy_1</t>
  </si>
  <si>
    <t>character_yuna_01</t>
  </si>
  <si>
    <t>그레이</t>
  </si>
  <si>
    <t>gray</t>
  </si>
  <si>
    <t>Name.Character.gray</t>
  </si>
  <si>
    <t>Character/Prefabs/m_attacker_gray_enemy_1</t>
  </si>
  <si>
    <t>character_gray_01</t>
  </si>
  <si>
    <t>페이</t>
  </si>
  <si>
    <t>fei</t>
  </si>
  <si>
    <t>Name.Character.fei</t>
  </si>
  <si>
    <t>fei.attack1</t>
  </si>
  <si>
    <t>fei.attack2</t>
  </si>
  <si>
    <t>fei.attack3</t>
  </si>
  <si>
    <t>fei.active1</t>
  </si>
  <si>
    <t>fei.active2</t>
  </si>
  <si>
    <t>fei.passive</t>
  </si>
  <si>
    <t>fei.ult</t>
  </si>
  <si>
    <t>Character/Prefabs/m_attacker_fei_enemy_1</t>
  </si>
  <si>
    <t>character_fei_01</t>
  </si>
  <si>
    <t>클레아스</t>
  </si>
  <si>
    <t>klairs</t>
  </si>
  <si>
    <t>Name.Character.klairs</t>
  </si>
  <si>
    <t>Character/Prefabs/m_attacker_klairs_enemy_1</t>
  </si>
  <si>
    <t>character_klairs_01</t>
  </si>
  <si>
    <t>프레이야</t>
  </si>
  <si>
    <t>Character/Prefabs/m_ranger_freyja_enemy_1</t>
  </si>
  <si>
    <t>에라디카</t>
  </si>
  <si>
    <t>eradica</t>
  </si>
  <si>
    <t>Name.Character.eradica</t>
  </si>
  <si>
    <t>eradica.attack1</t>
  </si>
  <si>
    <t>eradica.attack2</t>
  </si>
  <si>
    <t>eradica.attack3</t>
  </si>
  <si>
    <t>eradica.active1</t>
  </si>
  <si>
    <t>eradica.active2</t>
  </si>
  <si>
    <t>eradica.passive</t>
  </si>
  <si>
    <t>eradica.ult</t>
  </si>
  <si>
    <t>Character/Prefabs/m_ranger_eradica_enemy_1</t>
  </si>
  <si>
    <t>character_eradica_01</t>
  </si>
  <si>
    <t>이드</t>
  </si>
  <si>
    <t>id</t>
  </si>
  <si>
    <t>Name.Character.id</t>
  </si>
  <si>
    <t>id.attack1</t>
  </si>
  <si>
    <t>id.attack2</t>
  </si>
  <si>
    <t>id.attack3</t>
  </si>
  <si>
    <t>id.active1</t>
  </si>
  <si>
    <t>id.active2</t>
  </si>
  <si>
    <t>id.passive</t>
  </si>
  <si>
    <t>id.ult</t>
  </si>
  <si>
    <t>Character/Prefabs/m_ranger_id_enemy_1</t>
  </si>
  <si>
    <t>character_id_01</t>
  </si>
  <si>
    <t>페트리샤</t>
  </si>
  <si>
    <t>patricia</t>
  </si>
  <si>
    <t>Name.Character.patricia</t>
  </si>
  <si>
    <t>patricia.attack1</t>
  </si>
  <si>
    <t>patricia.attack2</t>
  </si>
  <si>
    <t>patricia.attack3</t>
  </si>
  <si>
    <t>patricia.active1</t>
  </si>
  <si>
    <t>patricia.active2</t>
  </si>
  <si>
    <t>patricia.passive</t>
  </si>
  <si>
    <t>patricia.ult</t>
  </si>
  <si>
    <t>Character/Prefabs/m_ranger_patricia_enemy_1</t>
  </si>
  <si>
    <t>character_patricia_01</t>
  </si>
  <si>
    <t>레나스</t>
  </si>
  <si>
    <t>renas</t>
  </si>
  <si>
    <t>Name.Character.renas</t>
  </si>
  <si>
    <t>Fac_aut_cae</t>
  </si>
  <si>
    <t>renas.attack1</t>
  </si>
  <si>
    <t>renas.attack2</t>
  </si>
  <si>
    <t>renas.attack3</t>
  </si>
  <si>
    <t>renas.active1</t>
  </si>
  <si>
    <t>renas.active2</t>
  </si>
  <si>
    <t>renas.passive</t>
  </si>
  <si>
    <t>renas.ult</t>
  </si>
  <si>
    <t>Character/Prefabs/m_ranger_renas_enemy_1</t>
  </si>
  <si>
    <t>character_renas_01</t>
  </si>
  <si>
    <t>라일라</t>
  </si>
  <si>
    <t>leila</t>
  </si>
  <si>
    <t>Name.Character.leila</t>
  </si>
  <si>
    <t>leila.attack1</t>
  </si>
  <si>
    <t>Character/Prefabs/m_ranger_leila_enemy_1</t>
  </si>
  <si>
    <t>character_leila_01</t>
  </si>
  <si>
    <t>에리카</t>
  </si>
  <si>
    <t>erica</t>
  </si>
  <si>
    <t>Name.Character.erica</t>
  </si>
  <si>
    <t>erica.attack1</t>
  </si>
  <si>
    <t>erica.attack2</t>
  </si>
  <si>
    <t>erica.attack3</t>
  </si>
  <si>
    <t>erica.active1</t>
  </si>
  <si>
    <t>erica.active2</t>
  </si>
  <si>
    <t>erica.passive</t>
  </si>
  <si>
    <t>erica.ult</t>
  </si>
  <si>
    <t>Character/Prefabs/m_ranger_erica_enemy_1</t>
  </si>
  <si>
    <t>character_erica_01</t>
  </si>
  <si>
    <t>이노</t>
  </si>
  <si>
    <t>ino</t>
  </si>
  <si>
    <t>Name.Character.ino</t>
  </si>
  <si>
    <t>ino.attack1</t>
  </si>
  <si>
    <t>ino.attack2</t>
  </si>
  <si>
    <t>ino.attack3</t>
  </si>
  <si>
    <t>ino.active1</t>
  </si>
  <si>
    <t>ino.active2</t>
  </si>
  <si>
    <t>ino.passive</t>
  </si>
  <si>
    <t>ino.ult</t>
  </si>
  <si>
    <t>Character/Prefabs/m_ranger_ino_enemy_1</t>
  </si>
  <si>
    <t>character_ino_01</t>
  </si>
  <si>
    <t>유리지아</t>
  </si>
  <si>
    <t>yurizia</t>
  </si>
  <si>
    <t>Name.Character.yurizia</t>
  </si>
  <si>
    <t>yurizia.attack1</t>
  </si>
  <si>
    <t>yurizia.attack2</t>
  </si>
  <si>
    <t>yurizia.attack3</t>
  </si>
  <si>
    <t>Character/Prefabs/m_supporter_yurizia_enemy_1</t>
  </si>
  <si>
    <t>character_yurizia_01</t>
  </si>
  <si>
    <t>shale</t>
  </si>
  <si>
    <t>Name.Character.shale</t>
  </si>
  <si>
    <t>Character/Prefabs/m_supporter_shale_enemy_1</t>
  </si>
  <si>
    <t>character_shale_01</t>
  </si>
  <si>
    <t>할로나</t>
  </si>
  <si>
    <t>hallona</t>
  </si>
  <si>
    <t>Name.Character.hallona</t>
  </si>
  <si>
    <t>hallona.attack1</t>
  </si>
  <si>
    <t>hallona.attack2</t>
  </si>
  <si>
    <t>hallona.attack3</t>
  </si>
  <si>
    <t>hallona.active1</t>
  </si>
  <si>
    <t>hallona.active2</t>
  </si>
  <si>
    <t>hallona.passive</t>
  </si>
  <si>
    <t>hallona.ult</t>
  </si>
  <si>
    <t>Character/Prefabs/m_supporter_hallona_enemy_1</t>
  </si>
  <si>
    <t>character_hallona_01</t>
  </si>
  <si>
    <t>1110002001</t>
  </si>
  <si>
    <t>메리샤 궁극기 소환</t>
  </si>
  <si>
    <t>melissa.summon.attack1</t>
  </si>
  <si>
    <t>melissa.summon.attack2</t>
  </si>
  <si>
    <t>melissa.summon.attack3</t>
  </si>
  <si>
    <t>Character/Prefabs/c_tanker_melissa_summon_1</t>
  </si>
  <si>
    <t>1110002002</t>
  </si>
  <si>
    <t>샤레 북</t>
  </si>
  <si>
    <t>Character/Prefabs/c_supporter_shale_book</t>
  </si>
  <si>
    <t>한글명</t>
  </si>
  <si>
    <t>영문명</t>
  </si>
  <si>
    <t>구분</t>
  </si>
  <si>
    <t>유형</t>
  </si>
  <si>
    <t>소속</t>
  </si>
  <si>
    <t>클래스</t>
  </si>
  <si>
    <t>공격 형태</t>
  </si>
  <si>
    <t>리소스명</t>
  </si>
  <si>
    <t>스킬개수</t>
  </si>
  <si>
    <t>보스</t>
  </si>
  <si>
    <t>m_boss_</t>
  </si>
  <si>
    <t>solid_turretmk1_1</t>
  </si>
  <si>
    <t>섹터01</t>
  </si>
  <si>
    <t>소형</t>
  </si>
  <si>
    <t>중간</t>
  </si>
  <si>
    <t>m_l_</t>
  </si>
  <si>
    <t>spider_turret_prototype_1</t>
  </si>
  <si>
    <t>일반</t>
  </si>
  <si>
    <t>m_m_</t>
  </si>
  <si>
    <t>electric_drone_1</t>
  </si>
  <si>
    <t>m_s_</t>
  </si>
  <si>
    <t>jamming_drone_1</t>
  </si>
  <si>
    <t>trooper_sniper_1</t>
  </si>
  <si>
    <t>trooper_guard_1</t>
  </si>
  <si>
    <t>trooper_champion_1</t>
  </si>
  <si>
    <t>trooper_demolisher_1</t>
  </si>
  <si>
    <t>trooper_inferno_1</t>
  </si>
  <si>
    <t>labmecha_launcher_1</t>
  </si>
  <si>
    <t>harbor_crab_1</t>
  </si>
  <si>
    <t>harbor_punch_1</t>
  </si>
  <si>
    <t>gallius_1</t>
  </si>
  <si>
    <t>gallius_2</t>
  </si>
  <si>
    <t>turtle_mechamk3_3</t>
  </si>
  <si>
    <t>섹터02</t>
  </si>
  <si>
    <t>scorpion_turretmk2_3</t>
  </si>
  <si>
    <t>rhino_mechamk3_3</t>
  </si>
  <si>
    <t>spider_turretmk2_3</t>
  </si>
  <si>
    <t>hellfire_drone_3</t>
  </si>
  <si>
    <t>silhouette_champion_3</t>
  </si>
  <si>
    <t>silhouette_demolisher_3</t>
  </si>
  <si>
    <t>silhouette_guard_3</t>
  </si>
  <si>
    <t>silhouette_inferno_3</t>
  </si>
  <si>
    <t>shelter_sweeper_r_1</t>
  </si>
  <si>
    <t>shelter_sweeper_v_1</t>
  </si>
  <si>
    <t>shelter_sweeper_g_1</t>
  </si>
  <si>
    <t>cassandra_1</t>
  </si>
  <si>
    <t>cassandra_2</t>
  </si>
  <si>
    <t>brain_hunter_1</t>
  </si>
  <si>
    <t>섹터03</t>
  </si>
  <si>
    <t>infmecha_2</t>
  </si>
  <si>
    <t>core_hunter_1</t>
  </si>
  <si>
    <t>infturret_2</t>
  </si>
  <si>
    <t>infdust_shield_2</t>
  </si>
  <si>
    <t>infdust_gauntlet_2</t>
  </si>
  <si>
    <t>infdust_rifle_2</t>
  </si>
  <si>
    <t>infdust_launcher_2</t>
  </si>
  <si>
    <t>head_snatcher_1</t>
  </si>
  <si>
    <t>core_snatcher_1</t>
  </si>
  <si>
    <t>grima_alpha_1</t>
  </si>
  <si>
    <t>draindermis_1</t>
  </si>
  <si>
    <t>grima_beta_1</t>
  </si>
  <si>
    <t>theomega_1</t>
  </si>
  <si>
    <t>theomega_3</t>
  </si>
  <si>
    <t>friendly_walking_eyeball_1</t>
  </si>
  <si>
    <t>섹터04</t>
  </si>
  <si>
    <t>friendly_patrol_1</t>
  </si>
  <si>
    <t>friendly_walking_eyeball_2</t>
  </si>
  <si>
    <t>friendly_patrol_2</t>
  </si>
  <si>
    <t>friendly_edge_eyeball_1</t>
  </si>
  <si>
    <t>friendly_electric_eyeball_1</t>
  </si>
  <si>
    <t>friendly_sawpatrol_1</t>
  </si>
  <si>
    <t>friendly_staffpatrol_1</t>
  </si>
  <si>
    <t>friendly_sicklepatrol_1</t>
  </si>
  <si>
    <t>friendly_cannon_1</t>
  </si>
  <si>
    <t>friendly_gun_1</t>
  </si>
  <si>
    <t>friendly_railgun_1</t>
  </si>
  <si>
    <t>friendly_punch_1</t>
  </si>
  <si>
    <t>friendly_pincers_1</t>
  </si>
  <si>
    <t>nullaxe_1</t>
  </si>
  <si>
    <t>nullaxe_2</t>
  </si>
  <si>
    <t>killer_drone_4</t>
  </si>
  <si>
    <t>섹터05</t>
  </si>
  <si>
    <t>killer_drone_2</t>
  </si>
  <si>
    <t>terminate_drone_3</t>
  </si>
  <si>
    <t>clock_thunderdog_1</t>
  </si>
  <si>
    <t>labtrooper_rifle_1</t>
  </si>
  <si>
    <t>labtrooper_shield_1</t>
  </si>
  <si>
    <t>labtrooper_flame_1</t>
  </si>
  <si>
    <t>labtrooper_launcher_1</t>
  </si>
  <si>
    <t>silhouette_flyer_3</t>
  </si>
  <si>
    <t>harbor_cannon_1</t>
  </si>
  <si>
    <t>labsuit_gun_1</t>
  </si>
  <si>
    <t>labmecha_punch_1</t>
  </si>
  <si>
    <t>labsuit_cannon_1</t>
  </si>
  <si>
    <t>goliath_1</t>
  </si>
  <si>
    <t>polluter_patrol_1</t>
  </si>
  <si>
    <t>섹터06</t>
  </si>
  <si>
    <t>polluter_eyeball_1</t>
  </si>
  <si>
    <t>polluter_exploder_1</t>
  </si>
  <si>
    <t>polluter_1</t>
  </si>
  <si>
    <t>polluter_edge_1</t>
  </si>
  <si>
    <t>polluter_fluid_1</t>
  </si>
  <si>
    <t>polluter_liquid_1</t>
  </si>
  <si>
    <t>polluter_fog_1</t>
  </si>
  <si>
    <t>polluter_haze_1</t>
  </si>
  <si>
    <t>polluter_chunk_1</t>
  </si>
  <si>
    <t>polluter_spike_1</t>
  </si>
  <si>
    <t>polluter_bloblauncher_1</t>
  </si>
  <si>
    <t>toxic_1</t>
  </si>
  <si>
    <t>clock_clawdog_1</t>
  </si>
  <si>
    <t>섹터07</t>
  </si>
  <si>
    <t>clock_flamedog_1</t>
  </si>
  <si>
    <t>clock_spear_1</t>
  </si>
  <si>
    <t>clock_squire_1</t>
  </si>
  <si>
    <t>clock_crossbow_1</t>
  </si>
  <si>
    <t>clock_shield_1</t>
  </si>
  <si>
    <t>clock_clown_1</t>
  </si>
  <si>
    <t>clock_draftee_1</t>
  </si>
  <si>
    <t>clock_honor_knight_1</t>
  </si>
  <si>
    <t>clock_noble_knight_1</t>
  </si>
  <si>
    <t>clock_noble_bishop_1</t>
  </si>
  <si>
    <t>clock_noble_keeper_1</t>
  </si>
  <si>
    <t>clock_royal_queen_1</t>
  </si>
  <si>
    <t>clock_royal_queen_2</t>
  </si>
  <si>
    <t>plants_sticky_1</t>
  </si>
  <si>
    <t>섹터08</t>
  </si>
  <si>
    <t>plants_bark_1</t>
  </si>
  <si>
    <t>plants_branch_1</t>
  </si>
  <si>
    <t>plants_shooter_1</t>
  </si>
  <si>
    <t>plants_cannon_1</t>
  </si>
  <si>
    <t>creeper_seed_1</t>
  </si>
  <si>
    <t>plants_garden_1</t>
  </si>
  <si>
    <t>plants_mortor_1</t>
  </si>
  <si>
    <t>plants_robust_1</t>
  </si>
  <si>
    <t>plants_decay_1</t>
  </si>
  <si>
    <t>crawler_1</t>
  </si>
  <si>
    <t>turtle_mechamk1_1</t>
  </si>
  <si>
    <t>스콜피온터렛mk3</t>
  </si>
  <si>
    <t>scorpion_turretmk3_3</t>
  </si>
  <si>
    <t>힐링드론</t>
  </si>
  <si>
    <t>healing_drone_1</t>
  </si>
  <si>
    <t>regeneration_drone_3</t>
  </si>
  <si>
    <t>카산드라프로토</t>
  </si>
  <si>
    <t>2301000000000</t>
  </si>
  <si>
    <t>eperiusunit_1</t>
  </si>
  <si>
    <t>에페리우스2</t>
  </si>
  <si>
    <t>eperiusunit_2</t>
  </si>
  <si>
    <t>에페리우스3</t>
  </si>
  <si>
    <t>eperiusunit_3</t>
  </si>
  <si>
    <t>gigantooth_1</t>
  </si>
  <si>
    <t>gigantooth_2</t>
  </si>
  <si>
    <t>kara_1</t>
  </si>
  <si>
    <t>디오메가다크</t>
  </si>
  <si>
    <t>theomega_2</t>
  </si>
  <si>
    <t>goliath_2</t>
  </si>
  <si>
    <t>toxic_2</t>
  </si>
  <si>
    <t>hellfire_drone_2</t>
  </si>
  <si>
    <t>heavy_trooper_shield_1</t>
  </si>
  <si>
    <t>heavy_trooper_guantlet_1</t>
  </si>
  <si>
    <t>heavy_trooper_flame_1</t>
  </si>
  <si>
    <t>heavy_trooper_rifle_1</t>
  </si>
  <si>
    <t>heavy_trooper_launcher_1</t>
  </si>
  <si>
    <t>cube_tier01_01</t>
  </si>
  <si>
    <t>cube_tier01_02</t>
  </si>
  <si>
    <t>cube_tier01_03</t>
  </si>
  <si>
    <t>cube_tier01_04</t>
  </si>
  <si>
    <t>cube_tier01_05</t>
  </si>
  <si>
    <t>cube_tier02_01</t>
  </si>
  <si>
    <t>cube_tier02_02</t>
  </si>
  <si>
    <t>cube_tier02_03</t>
  </si>
  <si>
    <t>cube_tier02_04</t>
  </si>
  <si>
    <t>cube_tier02_05</t>
  </si>
  <si>
    <t>cube_tier03_01</t>
  </si>
  <si>
    <t>cube_tier03_02</t>
  </si>
  <si>
    <t>cube_tier03_03</t>
  </si>
  <si>
    <t>cube_tier03_04</t>
  </si>
  <si>
    <t>cube_tier03_05</t>
  </si>
  <si>
    <t>cube_tier04_01</t>
  </si>
  <si>
    <t>cube_tier04_02</t>
  </si>
  <si>
    <t>cube_tier04_03</t>
  </si>
  <si>
    <t>cube_tier04_04</t>
  </si>
  <si>
    <t>cube_tier04_05</t>
  </si>
  <si>
    <t>cube_tier05_01</t>
  </si>
  <si>
    <t>cube_tier05_02</t>
  </si>
  <si>
    <t>cube_tier05_03</t>
  </si>
  <si>
    <t>cube_tier05_04</t>
  </si>
  <si>
    <t>cube_tier05_05</t>
  </si>
  <si>
    <t>solid_turretmk1_2</t>
    <phoneticPr fontId="1" type="noConversion"/>
  </si>
  <si>
    <t>spider_turret_prototype_2</t>
    <phoneticPr fontId="1" type="noConversion"/>
  </si>
  <si>
    <t>electric_drone_2</t>
    <phoneticPr fontId="1" type="noConversion"/>
  </si>
  <si>
    <t>jamming_drone_2</t>
    <phoneticPr fontId="1" type="noConversion"/>
  </si>
  <si>
    <t>trooper_sniper_2</t>
    <phoneticPr fontId="1" type="noConversion"/>
  </si>
  <si>
    <t>trooper_guard_2</t>
    <phoneticPr fontId="1" type="noConversion"/>
  </si>
  <si>
    <t>trooper_champion_2</t>
    <phoneticPr fontId="1" type="noConversion"/>
  </si>
  <si>
    <t>trooper_demolisher_2</t>
    <phoneticPr fontId="1" type="noConversion"/>
  </si>
  <si>
    <t>trooper_inferno_2</t>
    <phoneticPr fontId="1" type="noConversion"/>
  </si>
  <si>
    <t>Sector01.solid_turretmk1_1.attack01</t>
  </si>
  <si>
    <t>Sector01.spider_turret_prototype_1.attack01</t>
  </si>
  <si>
    <t>Sector01.electric_drone_1.attack01</t>
  </si>
  <si>
    <t>Sector01.jamming_drone_1.attack01</t>
  </si>
  <si>
    <t>Sector01.trooper_sniper_1.attack01</t>
  </si>
  <si>
    <t>Sector01.trooper_sniper_1.skill01</t>
  </si>
  <si>
    <t>Sector01.trooper_guard_1.attack01</t>
  </si>
  <si>
    <t>Sector01.trooper_guard_1.skill01</t>
  </si>
  <si>
    <t>Sector01.trooper_champion_1.attack01</t>
  </si>
  <si>
    <t>Sector01.trooper_champion_1.skill01</t>
  </si>
  <si>
    <t>Sector01.trooper_demolisher_1.attack01</t>
  </si>
  <si>
    <t>Sector01.trooper_demolisher_1.skill01</t>
  </si>
  <si>
    <t>Sector01.trooper_inferno_1.attack01</t>
  </si>
  <si>
    <t>Sector01.trooper_inferno_1.skill01</t>
  </si>
  <si>
    <t>중간</t>
    <phoneticPr fontId="1" type="noConversion"/>
  </si>
  <si>
    <t>m_m_ranger_labmecha_launcher_1</t>
  </si>
  <si>
    <t>Character/Prefabs/m_s_attacker_electric_drone_5</t>
  </si>
  <si>
    <t>Character/Prefabs/m_s_ranger_jamming_drone_4</t>
  </si>
  <si>
    <t>m_s_attacker_electric_drone_5</t>
  </si>
  <si>
    <t>m_s_ranger_jamming_drone_4</t>
  </si>
  <si>
    <t>m_m_attacker_shelter_sweeper_r_1</t>
  </si>
  <si>
    <t>m_m_ranger_shelter_sweeper_v_1</t>
  </si>
  <si>
    <t>m_m_tanker_shelter_sweeper_g_1</t>
  </si>
  <si>
    <t>중간</t>
    <phoneticPr fontId="1" type="noConversion"/>
  </si>
  <si>
    <t>m_l_attacker_clock_honor_knight_1</t>
  </si>
  <si>
    <t>GuildAssault</t>
  </si>
  <si>
    <t>GuildAssault</t>
    <phoneticPr fontId="1" type="noConversion"/>
  </si>
  <si>
    <t>GuildAssault.Passive</t>
    <phoneticPr fontId="1" type="noConversion"/>
  </si>
  <si>
    <t>1111401001.Passive</t>
    <phoneticPr fontId="1" type="noConversion"/>
  </si>
  <si>
    <t>1111401002.Passive</t>
    <phoneticPr fontId="1" type="noConversion"/>
  </si>
  <si>
    <t>Character/Timeline/02_MON/boss3/appearance_2</t>
    <phoneticPr fontId="1" type="noConversion"/>
  </si>
  <si>
    <t>m_boss_attacker_clock_royal_queen_1</t>
  </si>
  <si>
    <t>마리오네</t>
    <phoneticPr fontId="1" type="noConversion"/>
  </si>
  <si>
    <t>marionne_1</t>
    <phoneticPr fontId="1" type="noConversion"/>
  </si>
  <si>
    <t>보스</t>
    <phoneticPr fontId="1" type="noConversion"/>
  </si>
  <si>
    <t>Ranger</t>
    <phoneticPr fontId="1" type="noConversion"/>
  </si>
  <si>
    <t>마리오네</t>
    <phoneticPr fontId="1" type="noConversion"/>
  </si>
  <si>
    <t>터틀메카mk3베리</t>
  </si>
  <si>
    <t>스콜피온터렛mk2베리</t>
  </si>
  <si>
    <t>라이노메카mk3베리</t>
  </si>
  <si>
    <t>스파이더터렛mk2베리</t>
  </si>
  <si>
    <t>헬파이어드론베리</t>
  </si>
  <si>
    <t>실루엣건틀릿베리</t>
  </si>
  <si>
    <t>실루엣런처베리</t>
  </si>
  <si>
    <t>실루엣쉴드베리</t>
  </si>
  <si>
    <t>실루엣플레임베리</t>
  </si>
  <si>
    <t>터틀메카mk3베리</t>
    <phoneticPr fontId="1" type="noConversion"/>
  </si>
  <si>
    <t>turtle_mechamk3_4</t>
    <phoneticPr fontId="1" type="noConversion"/>
  </si>
  <si>
    <t>스콜피온터렛mk2베리</t>
    <phoneticPr fontId="1" type="noConversion"/>
  </si>
  <si>
    <t>scorpion_turretmk2_4</t>
    <phoneticPr fontId="1" type="noConversion"/>
  </si>
  <si>
    <t>라이노메카mk3베리</t>
    <phoneticPr fontId="1" type="noConversion"/>
  </si>
  <si>
    <t>rhino_mechamk3_4</t>
    <phoneticPr fontId="1" type="noConversion"/>
  </si>
  <si>
    <t>스파이더터렛mk2베리</t>
    <phoneticPr fontId="1" type="noConversion"/>
  </si>
  <si>
    <t>spider_turretmk2_4</t>
    <phoneticPr fontId="1" type="noConversion"/>
  </si>
  <si>
    <t>헬파이어드론베리</t>
    <phoneticPr fontId="1" type="noConversion"/>
  </si>
  <si>
    <t>hellfire_drone_4</t>
    <phoneticPr fontId="1" type="noConversion"/>
  </si>
  <si>
    <t>실루엣건틀릿베리</t>
    <phoneticPr fontId="1" type="noConversion"/>
  </si>
  <si>
    <t>실루엣런처베리</t>
    <phoneticPr fontId="1" type="noConversion"/>
  </si>
  <si>
    <t>실루엣쉴드베리</t>
    <phoneticPr fontId="1" type="noConversion"/>
  </si>
  <si>
    <t>실루엣플레임베리</t>
    <phoneticPr fontId="1" type="noConversion"/>
  </si>
  <si>
    <t>브레인헌터베리</t>
  </si>
  <si>
    <t>brain_hunter_2</t>
  </si>
  <si>
    <t>감염된터틀메카베리</t>
  </si>
  <si>
    <t>infmecha_3</t>
  </si>
  <si>
    <t>코어헌터베리</t>
  </si>
  <si>
    <t>core_hunter_2</t>
  </si>
  <si>
    <t>감염된스콜피온터렛베리</t>
  </si>
  <si>
    <t>infturret_3</t>
  </si>
  <si>
    <t>감염된더스트쉴드베리</t>
  </si>
  <si>
    <t>infdust_shield_3</t>
  </si>
  <si>
    <t>감염된더스트건틀릿베리</t>
  </si>
  <si>
    <t>infdust_gauntlet_3</t>
  </si>
  <si>
    <t>감염된더스트라이플베리</t>
  </si>
  <si>
    <t>infdust_rifle_3</t>
  </si>
  <si>
    <t>감염된더스트런처베리</t>
  </si>
  <si>
    <t>infdust_launcher_3</t>
  </si>
  <si>
    <t>헤드스내쳐베리</t>
  </si>
  <si>
    <t>head_snatcher_2</t>
  </si>
  <si>
    <t>코어스내쳐베리</t>
  </si>
  <si>
    <t>core_snatcher_2</t>
  </si>
  <si>
    <t>친절한화이트워킹아이볼베리</t>
  </si>
  <si>
    <t>friendly_walking_eyeball_3</t>
  </si>
  <si>
    <t>친절한순찰대베리</t>
  </si>
  <si>
    <t>friendly_patrol_3</t>
  </si>
  <si>
    <t>친절한엣지아이볼베리</t>
  </si>
  <si>
    <t>friendly_edge_eyeball_2</t>
  </si>
  <si>
    <t>친절한전기아이볼베리</t>
  </si>
  <si>
    <t>friendly_electric_eyeball_2</t>
  </si>
  <si>
    <t>친절한톱날순찰대베리</t>
  </si>
  <si>
    <t>friendly_sawpatrol_2</t>
  </si>
  <si>
    <t>친절한스태프순찰대베리</t>
  </si>
  <si>
    <t>friendly_staffpatrol_2</t>
  </si>
  <si>
    <t>친절한카마순찰대베리</t>
  </si>
  <si>
    <t>friendly_sicklepatrol_2</t>
  </si>
  <si>
    <t>친절한경비베리</t>
  </si>
  <si>
    <t>친절한캐논베리</t>
  </si>
  <si>
    <t>friendly_cannon_2</t>
  </si>
  <si>
    <t>친절한건베리</t>
  </si>
  <si>
    <t>friendly_gun_2</t>
  </si>
  <si>
    <t>연구소드론P1베리</t>
  </si>
  <si>
    <t>killer_drone_6</t>
  </si>
  <si>
    <t>연구소드론P2베리</t>
  </si>
  <si>
    <t>killer_drone_5</t>
  </si>
  <si>
    <t>연구소드론P3베리</t>
  </si>
  <si>
    <t>terminate_drone_4</t>
  </si>
  <si>
    <t>연구소포인터베리</t>
  </si>
  <si>
    <t>clock_thunderdog_2</t>
  </si>
  <si>
    <t>연구소트루퍼라이플베리</t>
  </si>
  <si>
    <t>labtrooper_rifle_2</t>
  </si>
  <si>
    <t>연구소트루퍼쉴드베리</t>
  </si>
  <si>
    <t>labtrooper_shield_2</t>
  </si>
  <si>
    <t>연구소트루퍼가스베리</t>
  </si>
  <si>
    <t>labtrooper_flame_2</t>
  </si>
  <si>
    <t>연구소트루퍼런처베리</t>
  </si>
  <si>
    <t>labtrooper_launcher_2</t>
  </si>
  <si>
    <t>연구소트루퍼플라이어베리</t>
  </si>
  <si>
    <t>silhouette_flyer_4</t>
  </si>
  <si>
    <t>연구소캐논베리</t>
  </si>
  <si>
    <t>harbor_cannon_2</t>
  </si>
  <si>
    <t>부식된순찰대베리</t>
  </si>
  <si>
    <t>polluter_patrol_2</t>
  </si>
  <si>
    <t>부식된아이볼베리</t>
  </si>
  <si>
    <t>polluter_eyeball_2</t>
  </si>
  <si>
    <t>오염체익스플로더베리</t>
  </si>
  <si>
    <t>polluter_exploder_2</t>
  </si>
  <si>
    <t>오염체플루터베리</t>
  </si>
  <si>
    <t>polluter_2</t>
  </si>
  <si>
    <t>오염체플루터엣지베리</t>
  </si>
  <si>
    <t>polluter_edge_2</t>
  </si>
  <si>
    <t>오염체플루터플루이드베리</t>
  </si>
  <si>
    <t>polluter_fluid_2</t>
  </si>
  <si>
    <t>오염체플루터리퀴드베리</t>
  </si>
  <si>
    <t>polluter_liquid_2</t>
  </si>
  <si>
    <t>오염체플루터포그베리</t>
  </si>
  <si>
    <t>polluter_fog_2</t>
  </si>
  <si>
    <t>오염체플루터헤이즈베리</t>
  </si>
  <si>
    <t>polluter_haze_2</t>
  </si>
  <si>
    <t>Sector02.turtle_mechamk3_3.attack01</t>
  </si>
  <si>
    <t>Sector02.scorpion_turretmk2_3.attack01</t>
  </si>
  <si>
    <t>Sector02.rhino_mechamk3_3.attack01</t>
  </si>
  <si>
    <t>Sector02.spider_turretmk2_3.attack01</t>
  </si>
  <si>
    <t>Sector02.hellfire_drone_3.attack01</t>
  </si>
  <si>
    <t>Sector02.silhouette_champion_3.attack01</t>
  </si>
  <si>
    <t>Sector02.silhouette_demolisher_3.attack01</t>
  </si>
  <si>
    <t>Sector02.silhouette_guard_3.attack01</t>
  </si>
  <si>
    <t>Sector02.silhouette_inferno_3.attack01</t>
  </si>
  <si>
    <t>Sector02.hellfire_drone_3.skill01</t>
  </si>
  <si>
    <t>Sector02.silhouette_champion_3.skill01</t>
  </si>
  <si>
    <t>Sector02.silhouette_demolisher_3.skill01</t>
  </si>
  <si>
    <t>Sector02.silhouette_guard_3.skill01</t>
  </si>
  <si>
    <t>Sector02.silhouette_inferno_3.skill01</t>
  </si>
  <si>
    <t>Sector03.brain_hunter_1.attack01</t>
  </si>
  <si>
    <t>Sector03.infmecha_2.attack01</t>
  </si>
  <si>
    <t>Sector03.core_hunter_1.attack01</t>
  </si>
  <si>
    <t>Sector03.infturret_2.attack01</t>
  </si>
  <si>
    <t>Sector03.infdust_shield_2.attack01</t>
  </si>
  <si>
    <t>Sector03.infdust_gauntlet_2.attack01</t>
  </si>
  <si>
    <t>Sector03.infdust_rifle_2.attack01</t>
  </si>
  <si>
    <t>Sector03.infdust_launcher_2.attack01</t>
  </si>
  <si>
    <t>Sector03.head_snatcher_1.attack01</t>
  </si>
  <si>
    <t>Sector03.core_snatcher_1.attack01</t>
  </si>
  <si>
    <t>Sector03.infdust_shield_2.skill01</t>
  </si>
  <si>
    <t>Sector03.infdust_gauntlet_2.skill01</t>
  </si>
  <si>
    <t>Sector03.infdust_rifle_2.skill01</t>
  </si>
  <si>
    <t>Sector03.infdust_launcher_2.skill01</t>
  </si>
  <si>
    <t>Sector03.head_snatcher_1.skill01</t>
  </si>
  <si>
    <t>Sector03.core_snatcher_1.skill01</t>
  </si>
  <si>
    <t>Sector04.friendly_edge_eyeball_1.attack01</t>
  </si>
  <si>
    <t>Sector04.friendly_electric_eyeball_1.attack01</t>
  </si>
  <si>
    <t>Sector04.friendly_sawpatrol_1.attack01</t>
  </si>
  <si>
    <t>Sector04.friendly_staffpatrol_1.attack01</t>
  </si>
  <si>
    <t>Sector04.friendly_sicklepatrol_1.attack01</t>
  </si>
  <si>
    <t>Sector04.friendly_cannon_1.attack01</t>
  </si>
  <si>
    <t>Sector04.friendly_gun_1.attack01</t>
  </si>
  <si>
    <t>Sector04.friendly_edge_eyeball_1.skill01</t>
  </si>
  <si>
    <t>Sector04.friendly_electric_eyeball_1.skill01</t>
  </si>
  <si>
    <t>Sector04.friendly_sawpatrol_1.skill01</t>
  </si>
  <si>
    <t>Sector04.friendly_staffpatrol_1.skill01</t>
  </si>
  <si>
    <t>Sector04.friendly_sicklepatrol_1.skill01</t>
  </si>
  <si>
    <t>Sector04.friendly_cannon_1.skill01</t>
  </si>
  <si>
    <t>Sector04.friendly_gun_1.skill01</t>
  </si>
  <si>
    <t>Sector05.killer_drone_4.attack01</t>
  </si>
  <si>
    <t>Sector05.killer_drone_2.attack01</t>
  </si>
  <si>
    <t>Sector05.terminate_drone_3.attack01</t>
  </si>
  <si>
    <t>Sector05.clock_thunderdog_1.attack01</t>
  </si>
  <si>
    <t>Sector05.labtrooper_rifle_1.attack01</t>
  </si>
  <si>
    <t>Sector05.labtrooper_shield_1.attack01</t>
  </si>
  <si>
    <t>Sector05.labtrooper_flame_1.attack01</t>
  </si>
  <si>
    <t>Sector05.labtrooper_launcher_1.attack01</t>
  </si>
  <si>
    <t>Sector05.silhouette_flyer_3.attack01</t>
  </si>
  <si>
    <t>Sector05.harbor_cannon_1.attack01</t>
  </si>
  <si>
    <t>Sector05.labtrooper_rifle_1.skill01</t>
  </si>
  <si>
    <t>Sector05.labtrooper_shield_1.skill01</t>
  </si>
  <si>
    <t>Sector05.labtrooper_flame_1.skill01</t>
  </si>
  <si>
    <t>Sector05.labtrooper_launcher_1.skill01</t>
  </si>
  <si>
    <t>Sector05.silhouette_flyer_3.skill01</t>
  </si>
  <si>
    <t>Sector05.harbor_cannon_1.skill01</t>
  </si>
  <si>
    <t>Sector06.polluter_patrol_1.attack01</t>
  </si>
  <si>
    <t>Sector06.polluter_eyeball_1.attack01</t>
  </si>
  <si>
    <t>Sector06.polluter_exploder_1.attack01</t>
  </si>
  <si>
    <t>Sector06.polluter_1.attack01</t>
  </si>
  <si>
    <t>Sector06.polluter_edge_1.attack01</t>
  </si>
  <si>
    <t>Sector06.polluter_fluid_1.attack01</t>
  </si>
  <si>
    <t>Sector06.polluter_liquid_1.attack01</t>
  </si>
  <si>
    <t>Sector06.polluter_fog_1.attack01</t>
  </si>
  <si>
    <t>Sector06.polluter_haze_1.attack01</t>
  </si>
  <si>
    <t>Sector06.polluter_exploder_1.skill01</t>
  </si>
  <si>
    <t>Sector06.polluter_1.skill01</t>
  </si>
  <si>
    <t>Sector06.polluter_edge_1.skill01</t>
  </si>
  <si>
    <t>Sector06.polluter_fluid_1.skill01</t>
  </si>
  <si>
    <t>Sector06.polluter_liquid_1.skill01</t>
  </si>
  <si>
    <t>Sector06.polluter_fog_1.skill01</t>
  </si>
  <si>
    <t>Sector06.polluter_haze_1.skill01</t>
  </si>
  <si>
    <t>MoveValue</t>
  </si>
  <si>
    <t>trooper_silhouette_champion_4</t>
    <phoneticPr fontId="1" type="noConversion"/>
  </si>
  <si>
    <t>trooper_silhouette_demolisher_4</t>
    <phoneticPr fontId="1" type="noConversion"/>
  </si>
  <si>
    <t>trooper_silhouette_guard_4</t>
    <phoneticPr fontId="1" type="noConversion"/>
  </si>
  <si>
    <t>trooper_silhouette_inferno_4</t>
    <phoneticPr fontId="1" type="noConversion"/>
  </si>
  <si>
    <t>강화톡식</t>
    <phoneticPr fontId="1" type="noConversion"/>
  </si>
  <si>
    <t>Sector06.toxic_1.passive01</t>
  </si>
  <si>
    <t>Sector06.toxic_1.passive02</t>
  </si>
  <si>
    <t>m_s_attacker_killer_drone_6</t>
  </si>
  <si>
    <t>m_s_attacker_killer_drone_5</t>
  </si>
  <si>
    <t>m_s_attacker_terminate_drone_4</t>
  </si>
  <si>
    <t>m_s_attacker_clock_thunderdog_2</t>
  </si>
  <si>
    <t>m_m_ranger_labtrooper_rifle_2</t>
  </si>
  <si>
    <t>m_m_tanker_labtrooper_shield_2</t>
  </si>
  <si>
    <t>m_m_attacker_labtrooper_flame_2</t>
  </si>
  <si>
    <t>m_m_ranger_labtrooper_launcher_2</t>
  </si>
  <si>
    <t>m_m_supporter_silhouette_flyer_4</t>
  </si>
  <si>
    <t>m_m_ranger_harbor_cannon_2</t>
  </si>
  <si>
    <t>toxic_3</t>
    <phoneticPr fontId="1" type="noConversion"/>
  </si>
  <si>
    <t>Sector06.toxic_3.passive01</t>
  </si>
  <si>
    <t>Sector06.toxic_3.passive02</t>
  </si>
  <si>
    <t>카라베리</t>
    <phoneticPr fontId="1" type="noConversion"/>
  </si>
  <si>
    <t>kara_2</t>
    <phoneticPr fontId="1" type="noConversion"/>
  </si>
  <si>
    <t>tuto</t>
    <phoneticPr fontId="1" type="noConversion"/>
  </si>
  <si>
    <t>시계탑발톱파수견베리</t>
  </si>
  <si>
    <t>시계탑화염파수견베리</t>
  </si>
  <si>
    <t>시계탑창병베리</t>
  </si>
  <si>
    <t>시계탑종자베리</t>
  </si>
  <si>
    <t>시계탑석궁병베리</t>
  </si>
  <si>
    <t>시계탑방패병베리</t>
  </si>
  <si>
    <t>시계탑광대베리</t>
  </si>
  <si>
    <t>시계탑징집병베리</t>
  </si>
  <si>
    <t>clock_clawdog_2</t>
  </si>
  <si>
    <t>clock_flamedog_2</t>
  </si>
  <si>
    <t>clock_spear_2</t>
  </si>
  <si>
    <t>clock_squire_2</t>
  </si>
  <si>
    <t>clock_crossbow_2</t>
  </si>
  <si>
    <t>clock_shield_2</t>
  </si>
  <si>
    <t>clock_clown_2</t>
  </si>
  <si>
    <t>clock_draftee_2</t>
  </si>
  <si>
    <t>Sector07.clock_clawdog_1.attack01</t>
  </si>
  <si>
    <t>Sector07.clock_flamedog_1.attack01</t>
  </si>
  <si>
    <t>Sector07.clock_spear_1.attack01</t>
  </si>
  <si>
    <t>Sector07.clock_squire_1.attack01</t>
  </si>
  <si>
    <t>Sector07.clock_crossbow_1.attack01</t>
  </si>
  <si>
    <t>Sector07.clock_shield_1.attack01</t>
  </si>
  <si>
    <t>Sector07.clock_clown_1.attack01</t>
  </si>
  <si>
    <t>Sector07.clock_spear_1.skill01</t>
  </si>
  <si>
    <t>Sector07.clock_squire_1.skill01</t>
  </si>
  <si>
    <t>Sector07.clock_crossbow_1.skill01</t>
  </si>
  <si>
    <t>Sector07.clock_shield_1.skill01</t>
  </si>
  <si>
    <t>Sector07.clock_clown_1.skill01</t>
  </si>
  <si>
    <t>Sector07.clock_draftee_1.skill01</t>
  </si>
  <si>
    <t>friendly_security_2</t>
    <phoneticPr fontId="1" type="noConversion"/>
  </si>
  <si>
    <t>m_boss_attacker_toxic_1</t>
  </si>
  <si>
    <t>Character/Timeline/02_MON/nullaxe/appearance</t>
    <phoneticPr fontId="1" type="noConversion"/>
  </si>
  <si>
    <t>Character/Timeline/02_MON/nullaxe/appearance_2new</t>
    <phoneticPr fontId="1" type="noConversion"/>
  </si>
  <si>
    <t>Value.Duration</t>
  </si>
  <si>
    <t>1010000000_run</t>
  </si>
  <si>
    <t>1010910002_run</t>
  </si>
  <si>
    <t>1010710001_run</t>
  </si>
  <si>
    <t>1010710002_run</t>
  </si>
  <si>
    <t>1010710003_run</t>
  </si>
  <si>
    <t>1010510001_run</t>
  </si>
  <si>
    <t>1010510002_run</t>
  </si>
  <si>
    <t>1010310001_run</t>
  </si>
  <si>
    <t>1010920002_run</t>
  </si>
  <si>
    <t>1010920003_run</t>
  </si>
  <si>
    <t>1010920004_run</t>
  </si>
  <si>
    <t>1010920005_run</t>
  </si>
  <si>
    <t>1010720001_run</t>
  </si>
  <si>
    <t>1010720002_run</t>
  </si>
  <si>
    <t>1010720003_run</t>
  </si>
  <si>
    <t>1010720004_run</t>
  </si>
  <si>
    <t>1010720005_run</t>
  </si>
  <si>
    <t>1010720006_run</t>
  </si>
  <si>
    <t>1010720007_run</t>
  </si>
  <si>
    <t>1010520001_run</t>
  </si>
  <si>
    <t>1010520002_run</t>
  </si>
  <si>
    <t>1010520003_run</t>
  </si>
  <si>
    <t>1010520004_run</t>
  </si>
  <si>
    <t>1010520005_run</t>
  </si>
  <si>
    <t>1010320001_run</t>
  </si>
  <si>
    <t>1010320002_run</t>
  </si>
  <si>
    <t>1010930001_run</t>
  </si>
  <si>
    <t>1010930002_run</t>
  </si>
  <si>
    <t>1010930003_run</t>
  </si>
  <si>
    <t>1010930004_run</t>
  </si>
  <si>
    <t>1010930005_run</t>
  </si>
  <si>
    <t>1010730001_run</t>
  </si>
  <si>
    <t>1010730002_run</t>
  </si>
  <si>
    <t>1010730003_run</t>
  </si>
  <si>
    <t>1010730004_run</t>
  </si>
  <si>
    <t>1010730005_run</t>
  </si>
  <si>
    <t>1010530001_run</t>
  </si>
  <si>
    <t>1010530002_run</t>
  </si>
  <si>
    <t>1010530003_run</t>
  </si>
  <si>
    <t>1010530004_run</t>
  </si>
  <si>
    <t>1010330001_run</t>
  </si>
  <si>
    <t>1010330002_run</t>
  </si>
  <si>
    <t>1010940001_run</t>
  </si>
  <si>
    <t>1010940002_run</t>
  </si>
  <si>
    <t>1010940003_run</t>
  </si>
  <si>
    <t>1010740001_run</t>
  </si>
  <si>
    <t>1010740002_run</t>
  </si>
  <si>
    <t>1010340001_run</t>
  </si>
  <si>
    <t>1110201101_run</t>
  </si>
  <si>
    <t>1110201102_run</t>
  </si>
  <si>
    <t>1110201103_run</t>
  </si>
  <si>
    <t>1110201104_run</t>
  </si>
  <si>
    <t>1110201105_run</t>
  </si>
  <si>
    <t>1110201106_run</t>
  </si>
  <si>
    <t>1110201107_run</t>
  </si>
  <si>
    <t>1110201108_run</t>
  </si>
  <si>
    <t>1110201109_run</t>
  </si>
  <si>
    <t>1110201110_run</t>
  </si>
  <si>
    <t>1110201111_run</t>
  </si>
  <si>
    <t>1110201112_run</t>
  </si>
  <si>
    <t>1110201113_run</t>
  </si>
  <si>
    <t>1110201114_run</t>
  </si>
  <si>
    <t>1110201115_run</t>
  </si>
  <si>
    <t>1110201116_run</t>
  </si>
  <si>
    <t>1110201117_run</t>
  </si>
  <si>
    <t>1110201118_run</t>
  </si>
  <si>
    <t>1110201201_run</t>
  </si>
  <si>
    <t>1110201202_run</t>
  </si>
  <si>
    <t>1110201203_run</t>
  </si>
  <si>
    <t>1110201301_run</t>
  </si>
  <si>
    <t>1110201302_run</t>
  </si>
  <si>
    <t>1110202101_run</t>
  </si>
  <si>
    <t>1110202102_run</t>
  </si>
  <si>
    <t>1110202103_run</t>
  </si>
  <si>
    <t>1110202104_run</t>
  </si>
  <si>
    <t>1110202105_run</t>
  </si>
  <si>
    <t>1110202106_run</t>
  </si>
  <si>
    <t>1110202107_run</t>
  </si>
  <si>
    <t>1110202108_run</t>
  </si>
  <si>
    <t>1110202109_run</t>
  </si>
  <si>
    <t>1110202110_run</t>
  </si>
  <si>
    <t>1110202111_run</t>
  </si>
  <si>
    <t>1110202112_run</t>
  </si>
  <si>
    <t>1110202113_run</t>
  </si>
  <si>
    <t>1110202114_run</t>
  </si>
  <si>
    <t>1110202115_run</t>
  </si>
  <si>
    <t>1110202116_run</t>
  </si>
  <si>
    <t>1110202117_run</t>
  </si>
  <si>
    <t>1110202118_run</t>
  </si>
  <si>
    <t>1110202201_run</t>
  </si>
  <si>
    <t>1110202202_run</t>
  </si>
  <si>
    <t>1110202203_run</t>
  </si>
  <si>
    <t>1110202301_run</t>
  </si>
  <si>
    <t>1110202302_run</t>
  </si>
  <si>
    <t>1110203101_run</t>
  </si>
  <si>
    <t>1110203102_run</t>
  </si>
  <si>
    <t>1110203103_run</t>
  </si>
  <si>
    <t>1110203104_run</t>
  </si>
  <si>
    <t>1110203105_run</t>
  </si>
  <si>
    <t>1110203106_run</t>
  </si>
  <si>
    <t>1110203107_run</t>
  </si>
  <si>
    <t>1110203108_run</t>
  </si>
  <si>
    <t>1110203109_run</t>
  </si>
  <si>
    <t>1110203110_run</t>
  </si>
  <si>
    <t>1110203111_run</t>
  </si>
  <si>
    <t>1110203112_run</t>
  </si>
  <si>
    <t>1110203113_run</t>
  </si>
  <si>
    <t>1110203114_run</t>
  </si>
  <si>
    <t>1110203115_run</t>
  </si>
  <si>
    <t>1110203116_run</t>
  </si>
  <si>
    <t>1110203117_run</t>
  </si>
  <si>
    <t>1110203118_run</t>
  </si>
  <si>
    <t>1110203119_run</t>
  </si>
  <si>
    <t>1110203120_run</t>
  </si>
  <si>
    <t>1110203201_run</t>
  </si>
  <si>
    <t>1110203202_run</t>
  </si>
  <si>
    <t>1110203203_run</t>
  </si>
  <si>
    <t>1110203301_run</t>
  </si>
  <si>
    <t>1110203302_run</t>
  </si>
  <si>
    <t>1110204101_run</t>
  </si>
  <si>
    <t>1110204102_run</t>
  </si>
  <si>
    <t>1110204103_run</t>
  </si>
  <si>
    <t>1110204104_run</t>
  </si>
  <si>
    <t>1110204105_run</t>
  </si>
  <si>
    <t>1110204106_run</t>
  </si>
  <si>
    <t>1110204107_run</t>
  </si>
  <si>
    <t>1110204108_run</t>
  </si>
  <si>
    <t>1110204109_run</t>
  </si>
  <si>
    <t>1110204110_run</t>
  </si>
  <si>
    <t>1110204111_run</t>
  </si>
  <si>
    <t>1110204112_run</t>
  </si>
  <si>
    <t>1110204113_run</t>
  </si>
  <si>
    <t>1110204114_run</t>
  </si>
  <si>
    <t>1110204115_run</t>
  </si>
  <si>
    <t>1110204116_run</t>
  </si>
  <si>
    <t>1110204117_run</t>
  </si>
  <si>
    <t>1110204118_run</t>
  </si>
  <si>
    <t>1110204119_run</t>
  </si>
  <si>
    <t>1110204120_run</t>
  </si>
  <si>
    <t>1110204121_run</t>
  </si>
  <si>
    <t>1110204122_run</t>
  </si>
  <si>
    <t>1110204201_run</t>
  </si>
  <si>
    <t>1110204202_run</t>
  </si>
  <si>
    <t>1110204203_run</t>
  </si>
  <si>
    <t>1110204301_run</t>
  </si>
  <si>
    <t>1110204302_run</t>
  </si>
  <si>
    <t>1110205101_run</t>
  </si>
  <si>
    <t>1110205102_run</t>
  </si>
  <si>
    <t>1110205103_run</t>
  </si>
  <si>
    <t>1110205104_run</t>
  </si>
  <si>
    <t>1110205105_run</t>
  </si>
  <si>
    <t>1110205106_run</t>
  </si>
  <si>
    <t>1110205107_run</t>
  </si>
  <si>
    <t>1110205108_run</t>
  </si>
  <si>
    <t>1110205109_run</t>
  </si>
  <si>
    <t>1110205110_run</t>
  </si>
  <si>
    <t>1110205111_run</t>
  </si>
  <si>
    <t>1110205112_run</t>
  </si>
  <si>
    <t>1110205113_run</t>
  </si>
  <si>
    <t>1110205114_run</t>
  </si>
  <si>
    <t>1110205115_run</t>
  </si>
  <si>
    <t>1110205116_run</t>
  </si>
  <si>
    <t>1110205117_run</t>
  </si>
  <si>
    <t>1110205118_run</t>
  </si>
  <si>
    <t>1110205119_run</t>
  </si>
  <si>
    <t>1110205120_run</t>
  </si>
  <si>
    <t>1110205201_run</t>
  </si>
  <si>
    <t>1110205202_run</t>
  </si>
  <si>
    <t>1110205203_run</t>
  </si>
  <si>
    <t>1110205301_run</t>
  </si>
  <si>
    <t>1110206101_run</t>
  </si>
  <si>
    <t>1110206102_run</t>
  </si>
  <si>
    <t>1110206103_run</t>
  </si>
  <si>
    <t>1110206104_run</t>
  </si>
  <si>
    <t>1110206105_run</t>
  </si>
  <si>
    <t>1110206106_run</t>
  </si>
  <si>
    <t>1110206107_run</t>
  </si>
  <si>
    <t>1110206108_run</t>
  </si>
  <si>
    <t>1110206109_run</t>
  </si>
  <si>
    <t>1110206110_run</t>
  </si>
  <si>
    <t>1110206111_run</t>
  </si>
  <si>
    <t>1110206112_run</t>
  </si>
  <si>
    <t>1110206113_run</t>
  </si>
  <si>
    <t>1110206114_run</t>
  </si>
  <si>
    <t>1110206115_run</t>
  </si>
  <si>
    <t>1110206116_run</t>
  </si>
  <si>
    <t>1110206117_run</t>
  </si>
  <si>
    <t>1110206118_run</t>
  </si>
  <si>
    <t>1110206201_run</t>
  </si>
  <si>
    <t>1110206202_run</t>
  </si>
  <si>
    <t>1110206203_run</t>
  </si>
  <si>
    <t>1110206301_run</t>
  </si>
  <si>
    <t>1110206302_run</t>
  </si>
  <si>
    <t>1110207101_run</t>
  </si>
  <si>
    <t>1110207102_run</t>
  </si>
  <si>
    <t>1110207103_run</t>
  </si>
  <si>
    <t>1110207104_run</t>
  </si>
  <si>
    <t>1110207105_run</t>
  </si>
  <si>
    <t>1110207106_run</t>
  </si>
  <si>
    <t>1110207107_run</t>
  </si>
  <si>
    <t>1110207108_run</t>
  </si>
  <si>
    <t>1110207109_run</t>
  </si>
  <si>
    <t>1110207110_run</t>
  </si>
  <si>
    <t>1110207111_run</t>
  </si>
  <si>
    <t>1110207112_run</t>
  </si>
  <si>
    <t>1110207113_run</t>
  </si>
  <si>
    <t>1110207114_run</t>
  </si>
  <si>
    <t>1110207115_run</t>
  </si>
  <si>
    <t>1110207116_run</t>
  </si>
  <si>
    <t>1110207117_run</t>
  </si>
  <si>
    <t>1110207201_run</t>
  </si>
  <si>
    <t>1110207202_run</t>
  </si>
  <si>
    <t>1110207203_run</t>
  </si>
  <si>
    <t>1110207301_run</t>
  </si>
  <si>
    <t>1110207302_run</t>
  </si>
  <si>
    <t>1110208101_run</t>
  </si>
  <si>
    <t>1110208102_run</t>
  </si>
  <si>
    <t>1110208103_run</t>
  </si>
  <si>
    <t>1110208104_run</t>
  </si>
  <si>
    <t>1110208105_run</t>
  </si>
  <si>
    <t>1110208106_run</t>
  </si>
  <si>
    <t>1110208108_run</t>
  </si>
  <si>
    <t>1110208111_run</t>
  </si>
  <si>
    <t>1111201001_run</t>
  </si>
  <si>
    <t>1111202001_run</t>
  </si>
  <si>
    <t>1111202002_run</t>
  </si>
  <si>
    <t>1111401001_run</t>
  </si>
  <si>
    <t>1111401002_run</t>
  </si>
  <si>
    <t>1110501001_run</t>
  </si>
  <si>
    <t>1110501002_run</t>
  </si>
  <si>
    <t>1110502001_run</t>
  </si>
  <si>
    <t>1110502002_run</t>
  </si>
  <si>
    <t>1111101001_run</t>
  </si>
  <si>
    <t>1111101002_run</t>
  </si>
  <si>
    <t>1111101003_run</t>
  </si>
  <si>
    <t>1111301001_run</t>
  </si>
  <si>
    <t>1110301001_run</t>
  </si>
  <si>
    <t>1110301002_run</t>
  </si>
  <si>
    <t>1110301003_run</t>
  </si>
  <si>
    <t>1110301004_run</t>
  </si>
  <si>
    <t>1110301005_run</t>
  </si>
  <si>
    <t>1110301006_run</t>
  </si>
  <si>
    <t>1110302001_run</t>
  </si>
  <si>
    <t>1110302002_run</t>
  </si>
  <si>
    <t>1110302003_run</t>
  </si>
  <si>
    <t>1110302004_run</t>
  </si>
  <si>
    <t>1110302005_run</t>
  </si>
  <si>
    <t>1110302006_run</t>
  </si>
  <si>
    <t>1110302007_run</t>
  </si>
  <si>
    <t>1110302008_run</t>
  </si>
  <si>
    <t>1110302009_run</t>
  </si>
  <si>
    <t>1110302010_run</t>
  </si>
  <si>
    <t>1110303001_run</t>
  </si>
  <si>
    <t>1110303002_run</t>
  </si>
  <si>
    <t>1110303003_run</t>
  </si>
  <si>
    <t>1110304001_run</t>
  </si>
  <si>
    <t>1110304002_run</t>
  </si>
  <si>
    <t>1110305001_run</t>
  </si>
  <si>
    <t>1110305002_run</t>
  </si>
  <si>
    <t>1110305003_run</t>
  </si>
  <si>
    <t>1110305004_run</t>
  </si>
  <si>
    <t>1110305005_run</t>
  </si>
  <si>
    <t>1110305006_run</t>
  </si>
  <si>
    <t>1110305007_run</t>
  </si>
  <si>
    <t>1110305008_run</t>
  </si>
  <si>
    <t>1110305009_run</t>
  </si>
  <si>
    <t>1110305010_run</t>
  </si>
  <si>
    <t>1110305011_run</t>
  </si>
  <si>
    <t>1110305012_run</t>
  </si>
  <si>
    <t>1110305013_run</t>
  </si>
  <si>
    <t>1110305014_run</t>
  </si>
  <si>
    <t>1110401001_run</t>
  </si>
  <si>
    <t>1110401002_run</t>
  </si>
  <si>
    <t>1110401003_run</t>
  </si>
  <si>
    <t>1110401004_run</t>
  </si>
  <si>
    <t>1110401005_run</t>
  </si>
  <si>
    <t>1110401006_run</t>
  </si>
  <si>
    <t>1110401007_run</t>
  </si>
  <si>
    <t>1110401008_run</t>
  </si>
  <si>
    <t>1110401009_run</t>
  </si>
  <si>
    <t>1110401010_run</t>
  </si>
  <si>
    <t>1110401011_run</t>
  </si>
  <si>
    <t>1110401012_run</t>
  </si>
  <si>
    <t>1110401013_run</t>
  </si>
  <si>
    <t>1110401014_run</t>
  </si>
  <si>
    <t>1110401015_run</t>
  </si>
  <si>
    <t>1110401016_run</t>
  </si>
  <si>
    <t>1110401017_run</t>
  </si>
  <si>
    <t>1110401018_run</t>
  </si>
  <si>
    <t>1110401019_run</t>
  </si>
  <si>
    <t>1110401020_run</t>
  </si>
  <si>
    <t>1110401021_run</t>
  </si>
  <si>
    <t>1110401022_run</t>
  </si>
  <si>
    <t>1110401023_run</t>
  </si>
  <si>
    <t>1110401024_run</t>
  </si>
  <si>
    <t>1110401025_run</t>
  </si>
  <si>
    <t>1110101001_run</t>
  </si>
  <si>
    <t>1110101002_run</t>
  </si>
  <si>
    <t>1110101003_run</t>
  </si>
  <si>
    <t>1110101004_run</t>
  </si>
  <si>
    <t>1110101005_run</t>
  </si>
  <si>
    <t>1110101006_run</t>
  </si>
  <si>
    <t>1110101007_run</t>
  </si>
  <si>
    <t>1110001001_run</t>
  </si>
  <si>
    <t>1110001002_run</t>
  </si>
  <si>
    <t>1110001003_run</t>
  </si>
  <si>
    <t>1110001004_run</t>
  </si>
  <si>
    <t>1110001005_run</t>
  </si>
  <si>
    <t>1110701001_run</t>
  </si>
  <si>
    <t>1110701002_run</t>
  </si>
  <si>
    <t>1110701003_run</t>
  </si>
  <si>
    <t>1110701004_run</t>
  </si>
  <si>
    <t>1110701005_run</t>
  </si>
  <si>
    <t>1110701006_run</t>
  </si>
  <si>
    <t>1110701007_run</t>
  </si>
  <si>
    <t>1110701008_run</t>
  </si>
  <si>
    <t>1110701009_run</t>
  </si>
  <si>
    <t>1110701010_run</t>
  </si>
  <si>
    <t>1110701011_run</t>
  </si>
  <si>
    <t>1110701012_run</t>
  </si>
  <si>
    <t>1110701013_run</t>
  </si>
  <si>
    <t>1110701014_run</t>
  </si>
  <si>
    <t>1110701015_run</t>
  </si>
  <si>
    <t>1110701016_run</t>
  </si>
  <si>
    <t>1110701017_run</t>
  </si>
  <si>
    <t>1110701018_run</t>
  </si>
  <si>
    <t>1110701019_run</t>
  </si>
  <si>
    <t>1110701020_run</t>
  </si>
  <si>
    <t>1110701021_run</t>
  </si>
  <si>
    <t>1110701022_run</t>
  </si>
  <si>
    <t>1110701023_run</t>
  </si>
  <si>
    <t>1110701024_run</t>
  </si>
  <si>
    <t>1110701025_run</t>
  </si>
  <si>
    <t>1110701026_run</t>
  </si>
  <si>
    <t>1110701027_run</t>
  </si>
  <si>
    <t>1110701028_run</t>
  </si>
  <si>
    <t>1110701029_run</t>
  </si>
  <si>
    <t>1110701030_run</t>
  </si>
  <si>
    <t>1110701031_run</t>
  </si>
  <si>
    <t>1110701032_run</t>
  </si>
  <si>
    <t>1110701033_run</t>
  </si>
  <si>
    <t>1110701034_run</t>
  </si>
  <si>
    <t>1110701035_run</t>
  </si>
  <si>
    <t>1110701036_run</t>
  </si>
  <si>
    <t>1110701037_run</t>
  </si>
  <si>
    <t>1110701038_run</t>
  </si>
  <si>
    <t>1110701039_run</t>
  </si>
  <si>
    <t>1110701040_run</t>
  </si>
  <si>
    <t>1110701041_run</t>
  </si>
  <si>
    <t>1110701042_run</t>
  </si>
  <si>
    <t>1110701043_run</t>
  </si>
  <si>
    <t>1110701044_run</t>
  </si>
  <si>
    <t>1110701045_run</t>
  </si>
  <si>
    <t>1110701046_run</t>
  </si>
  <si>
    <t>1110701047_run</t>
  </si>
  <si>
    <t>1110002001_run</t>
  </si>
  <si>
    <t>열1</t>
    <phoneticPr fontId="1" type="noConversion"/>
  </si>
  <si>
    <t>Monster.Name.electric_drone_2</t>
  </si>
  <si>
    <t>Monster.Name.trooper_guard_1</t>
  </si>
  <si>
    <t>Character/Prefabs/m_m_tanker_trooper_guard_1</t>
  </si>
  <si>
    <t>m_m_tanker_trooper_guard_1</t>
  </si>
  <si>
    <t>Monster.Name.labmecha_launcher_1</t>
  </si>
  <si>
    <t>Character/Prefabs/m_m_ranger_labmecha_launcher_1</t>
  </si>
  <si>
    <t>1110101008_run</t>
  </si>
  <si>
    <t>1110101009_run</t>
  </si>
  <si>
    <t>1110101010_run</t>
  </si>
  <si>
    <t>1110101011_run</t>
  </si>
  <si>
    <t>1110101012_run</t>
  </si>
  <si>
    <t>1110101013_run</t>
  </si>
  <si>
    <t>ID</t>
  </si>
  <si>
    <t>tuto.mana.active1</t>
    <phoneticPr fontId="1" type="noConversion"/>
  </si>
  <si>
    <t>tuto.mana.active2</t>
    <phoneticPr fontId="1" type="noConversion"/>
  </si>
  <si>
    <t>tuto.airen.active1</t>
    <phoneticPr fontId="1" type="noConversion"/>
  </si>
  <si>
    <t>tuto.airen.active2</t>
    <phoneticPr fontId="1" type="noConversion"/>
  </si>
  <si>
    <t>tuto.aurora.active1</t>
    <phoneticPr fontId="1" type="noConversion"/>
  </si>
  <si>
    <t>tuto.aurora.active2</t>
    <phoneticPr fontId="1" type="noConversion"/>
  </si>
  <si>
    <t>tuto.labmecha_launcher_1.attack01</t>
  </si>
  <si>
    <t>tuto.labmecha_launcher_1.skill01</t>
  </si>
  <si>
    <t>tuto.labmecha_launcher_1.skill02</t>
  </si>
  <si>
    <t>갤리어스</t>
    <phoneticPr fontId="1" type="noConversion"/>
  </si>
  <si>
    <t>VLOOKUP($C24,'#Data'!$B$3:$J$322,6,FALSE)</t>
    <phoneticPr fontId="1" type="noConversion"/>
  </si>
  <si>
    <t>None</t>
  </si>
  <si>
    <t>None</t>
    <phoneticPr fontId="1" type="noConversion"/>
  </si>
  <si>
    <t>섹터공용</t>
  </si>
  <si>
    <t>플랭커</t>
  </si>
  <si>
    <t>Monster.Name.roamer_flanker_1</t>
  </si>
  <si>
    <t>roamer_flanker_1.attack01</t>
  </si>
  <si>
    <t>roamer_flanker_1.skill01</t>
  </si>
  <si>
    <t>Character/Prefabs/m_m_attacker_roamer_flanker_1</t>
  </si>
  <si>
    <t>m_m_attacker_roamer_flanker_1</t>
  </si>
  <si>
    <t>볼트쇼커</t>
  </si>
  <si>
    <t>Monster.Name.roamer_voltshocker_1</t>
  </si>
  <si>
    <t>roamer_voltshocker_1.attack01</t>
  </si>
  <si>
    <t>roamer_voltshocker_1.skill01</t>
  </si>
  <si>
    <t>Character/Prefabs/m_m_attacker_roamer_voltshocker_1</t>
  </si>
  <si>
    <t>m_m_attacker_roamer_voltshocker_1</t>
  </si>
  <si>
    <t>플로터</t>
  </si>
  <si>
    <t>Monster.Name.floater_1</t>
  </si>
  <si>
    <t>roamer_floater_1.attack01</t>
  </si>
  <si>
    <t>roamer_floater_1.skill01</t>
  </si>
  <si>
    <t>Character/Prefabs/m_m_supporter_roamer_floater_1</t>
  </si>
  <si>
    <t>m_m_supporter_roamer_floater_1</t>
  </si>
  <si>
    <t>Character/Timeline/02_MON/marionne/m_boss_ranger_marionne_1@enter_timeline</t>
    <phoneticPr fontId="1" type="noConversion"/>
  </si>
  <si>
    <t>Character/Timeline/02_MON/marionne/m_boss_ranger_marionne_1@die_timeline</t>
    <phoneticPr fontId="1" type="noConversion"/>
  </si>
  <si>
    <t>마리오네_퍼펫</t>
  </si>
  <si>
    <t>마리오네_퍼펫</t>
    <phoneticPr fontId="1" type="noConversion"/>
  </si>
  <si>
    <t>marionne_puppet_1</t>
    <phoneticPr fontId="1" type="noConversion"/>
  </si>
  <si>
    <t>일반</t>
    <phoneticPr fontId="1" type="noConversion"/>
  </si>
  <si>
    <t>Attacker</t>
    <phoneticPr fontId="1" type="noConversion"/>
  </si>
  <si>
    <t>강화갤리어스</t>
    <phoneticPr fontId="1" type="noConversion"/>
  </si>
  <si>
    <t>카산드라</t>
    <phoneticPr fontId="1" type="noConversion"/>
  </si>
  <si>
    <t>강화카산드라</t>
    <phoneticPr fontId="1" type="noConversion"/>
  </si>
  <si>
    <t>디오메가</t>
    <phoneticPr fontId="1" type="noConversion"/>
  </si>
  <si>
    <t>강화디오메가</t>
    <phoneticPr fontId="1" type="noConversion"/>
  </si>
  <si>
    <t>널엑스</t>
    <phoneticPr fontId="1" type="noConversion"/>
  </si>
  <si>
    <t>강화널엑스</t>
    <phoneticPr fontId="1" type="noConversion"/>
  </si>
  <si>
    <t>로열퀸</t>
    <phoneticPr fontId="1" type="noConversion"/>
  </si>
  <si>
    <t>강화로열퀸</t>
    <phoneticPr fontId="1" type="noConversion"/>
  </si>
  <si>
    <t>Character/Timeline/02_MON/boss3/appearance_2</t>
  </si>
  <si>
    <t>Character/Timeline/02_MON/boss3/die_2</t>
  </si>
  <si>
    <t>Character/Timeline/02_MON/nullaxe/appearance</t>
  </si>
  <si>
    <t>Character/Timeline/02_MON/nullaxe/appearance_2new</t>
  </si>
  <si>
    <t>Character/Timeline/02_MON/nullaxe/die_2new</t>
  </si>
  <si>
    <t>1111401003.Passive</t>
  </si>
  <si>
    <t>1110208107_run</t>
  </si>
  <si>
    <t>1110208112_run</t>
  </si>
  <si>
    <t>1111401003_run</t>
  </si>
  <si>
    <t>1111401004_run</t>
  </si>
  <si>
    <t>1111301002_run</t>
  </si>
  <si>
    <t>1111301011_run</t>
  </si>
  <si>
    <t>1111301012_run</t>
  </si>
  <si>
    <t>1111301021_run</t>
  </si>
  <si>
    <t>1111301022_run</t>
  </si>
  <si>
    <t>1111301031_run</t>
  </si>
  <si>
    <t>1111301032_run</t>
  </si>
  <si>
    <t>1111301041_run</t>
  </si>
  <si>
    <t>1110200101_run</t>
  </si>
  <si>
    <t>1110200102_run</t>
  </si>
  <si>
    <t>1110200103_run</t>
  </si>
  <si>
    <t>식물변이체스티키베리</t>
    <phoneticPr fontId="1" type="noConversion"/>
  </si>
  <si>
    <t>식물변이체스팅어베리</t>
    <phoneticPr fontId="1" type="noConversion"/>
  </si>
  <si>
    <t>식물변이체바크베리</t>
    <phoneticPr fontId="1" type="noConversion"/>
  </si>
  <si>
    <t>식물변이체브렌치베리</t>
    <phoneticPr fontId="1" type="noConversion"/>
  </si>
  <si>
    <t>식물변이체슈터베리</t>
    <phoneticPr fontId="1" type="noConversion"/>
  </si>
  <si>
    <t>식물변이체캐논베리</t>
    <phoneticPr fontId="1" type="noConversion"/>
  </si>
  <si>
    <t>식물변이체벌키베리</t>
    <phoneticPr fontId="1" type="noConversion"/>
  </si>
  <si>
    <t>식물변이체가든베리</t>
    <phoneticPr fontId="1" type="noConversion"/>
  </si>
  <si>
    <t>plants_sticky_2</t>
    <phoneticPr fontId="1" type="noConversion"/>
  </si>
  <si>
    <t>plants_bark_2</t>
    <phoneticPr fontId="1" type="noConversion"/>
  </si>
  <si>
    <t>plants_branch_2</t>
    <phoneticPr fontId="1" type="noConversion"/>
  </si>
  <si>
    <t>plants_shooter_2</t>
    <phoneticPr fontId="1" type="noConversion"/>
  </si>
  <si>
    <t>plants_cannon_2</t>
    <phoneticPr fontId="1" type="noConversion"/>
  </si>
  <si>
    <t>creeper_seed_2</t>
    <phoneticPr fontId="1" type="noConversion"/>
  </si>
  <si>
    <t>plants_garden_2</t>
    <phoneticPr fontId="1" type="noConversion"/>
  </si>
  <si>
    <t>Sector08.plants_sticky_1.attack01</t>
  </si>
  <si>
    <t>Sector08.plants_bark_1.attack01</t>
  </si>
  <si>
    <t>Sector08.plants_branch_1.attack01</t>
  </si>
  <si>
    <t>Sector08.plants_shooter_1.attack01</t>
  </si>
  <si>
    <t>Sector08.plants_cannon_1.attack01</t>
  </si>
  <si>
    <t>Sector08.creeper_seed_1.attack01</t>
  </si>
  <si>
    <t>Sector08.plants_garden_1.attack01</t>
  </si>
  <si>
    <t>Sector08.plants_bark_1.skill01</t>
  </si>
  <si>
    <t>Sector08.plants_branch_1.skill01</t>
  </si>
  <si>
    <t>Sector08.plants_shooter_1.skill01</t>
  </si>
  <si>
    <t>Sector08.plants_garden_1.skill01</t>
  </si>
  <si>
    <t>Sector08.plants_cannon_1.skill01</t>
  </si>
  <si>
    <t>Sector08.creeper_seed_1.skill01</t>
  </si>
  <si>
    <t>Monster.Name.plants_bark_1</t>
  </si>
  <si>
    <t>Character/Prefabs/m_m_attacker_plants_bark_1</t>
  </si>
  <si>
    <t>m_m_attacker_plants_bark_1</t>
  </si>
  <si>
    <t>Monster.Name.plants_branch_1</t>
  </si>
  <si>
    <t>Character/Prefabs/m_m_attacker_plants_branch_1</t>
  </si>
  <si>
    <t>m_m_attacker_plants_branch_1</t>
  </si>
  <si>
    <t>식물변이체바크_소환</t>
    <phoneticPr fontId="1" type="noConversion"/>
  </si>
  <si>
    <t>식물변이체브렌치_소환</t>
    <phoneticPr fontId="1" type="noConversion"/>
  </si>
  <si>
    <t>Sector08.crawler_1.passive01</t>
  </si>
  <si>
    <t>루</t>
    <phoneticPr fontId="1" type="noConversion"/>
  </si>
  <si>
    <t>에르메일</t>
    <phoneticPr fontId="1" type="noConversion"/>
  </si>
  <si>
    <t>이올렛</t>
    <phoneticPr fontId="1" type="noConversion"/>
  </si>
  <si>
    <t>린</t>
    <phoneticPr fontId="1" type="noConversion"/>
  </si>
  <si>
    <t>lue</t>
  </si>
  <si>
    <t>ermeil</t>
  </si>
  <si>
    <t>iolet</t>
  </si>
  <si>
    <t>reen</t>
  </si>
  <si>
    <t>Name.Character.lue</t>
  </si>
  <si>
    <t>Name.Character.ermeil</t>
  </si>
  <si>
    <t>Name.Character.iolet</t>
  </si>
  <si>
    <t>Name.Character.reen</t>
  </si>
  <si>
    <t>character_lue_01</t>
  </si>
  <si>
    <t>character_ermeil_01</t>
  </si>
  <si>
    <t>character_iolet_01</t>
  </si>
  <si>
    <t>character_reen_01</t>
  </si>
  <si>
    <t>이벤트보스</t>
  </si>
  <si>
    <t>강화톡식</t>
    <phoneticPr fontId="1" type="noConversion"/>
  </si>
  <si>
    <t>Sector08.plants_bark_1.summon.attack01</t>
  </si>
  <si>
    <t>Sector08.plants_branch_1.summon.attack01</t>
  </si>
  <si>
    <t>Sector08.plants_bark_1.summon.passive01</t>
  </si>
  <si>
    <t>Sector08.plants_branch_1.summon.passive01</t>
  </si>
  <si>
    <t>Character/Timeline/02_MON/crawler/appearance</t>
  </si>
  <si>
    <t>Character/Timeline/02_MON/crawler/appearance</t>
    <phoneticPr fontId="1" type="noConversion"/>
  </si>
  <si>
    <t>Character/Timeline/02_MON/crawler/die</t>
  </si>
  <si>
    <t>Character/Timeline/02_MON/crawler/die</t>
    <phoneticPr fontId="1" type="noConversion"/>
  </si>
  <si>
    <t>common</t>
    <phoneticPr fontId="1" type="noConversion"/>
  </si>
  <si>
    <t>괴도엘 상자</t>
  </si>
  <si>
    <t>괴도엘</t>
  </si>
  <si>
    <t>kaito.aile.summon.passive</t>
  </si>
  <si>
    <t>Sector05.common.passive01</t>
  </si>
  <si>
    <t>Sector08.common.passive01</t>
  </si>
  <si>
    <t>Character/Prefabs/m_boss_ranger_marionne_1_abn</t>
  </si>
  <si>
    <t>마리오네_스킬5</t>
    <phoneticPr fontId="1" type="noConversion"/>
  </si>
  <si>
    <t>Ranger</t>
    <phoneticPr fontId="1" type="noConversion"/>
  </si>
  <si>
    <t>1111401004.Passive</t>
    <phoneticPr fontId="1" type="noConversion"/>
  </si>
  <si>
    <t>plants_stinger_1</t>
    <phoneticPr fontId="1" type="noConversion"/>
  </si>
  <si>
    <t>plants_stinger_2</t>
    <phoneticPr fontId="1" type="noConversion"/>
  </si>
  <si>
    <t>Sector08.plants_stinger_1.attack01</t>
    <phoneticPr fontId="1" type="noConversion"/>
  </si>
  <si>
    <t>friendly_security_1</t>
    <phoneticPr fontId="1" type="noConversion"/>
  </si>
  <si>
    <t>Sector04.friendly_security_1.attack01</t>
    <phoneticPr fontId="1" type="noConversion"/>
  </si>
  <si>
    <t>Sector04.friendly_security_1.skill01</t>
    <phoneticPr fontId="1" type="noConversion"/>
  </si>
  <si>
    <t>Sector07.clock_honor_knight_1.passive01</t>
  </si>
  <si>
    <t>강화골리앗</t>
    <phoneticPr fontId="1" type="noConversion"/>
  </si>
  <si>
    <t>m_boss_attacker_goliath_1</t>
  </si>
  <si>
    <t>Sector05.goliath_1.passive02</t>
    <phoneticPr fontId="1" type="noConversion"/>
  </si>
  <si>
    <t>이벤트보스</t>
    <phoneticPr fontId="1" type="noConversion"/>
  </si>
  <si>
    <t>Hamberger.skill01</t>
    <phoneticPr fontId="1" type="noConversion"/>
  </si>
  <si>
    <t>엘리나</t>
    <phoneticPr fontId="1" type="noConversion"/>
  </si>
  <si>
    <t>elina</t>
    <phoneticPr fontId="1" type="noConversion"/>
  </si>
  <si>
    <t>Name.Character.elina</t>
  </si>
  <si>
    <t>elina.attack1</t>
  </si>
  <si>
    <t>elina.attack2</t>
  </si>
  <si>
    <t>elina.attack3</t>
  </si>
  <si>
    <t>Character/Prefabs/m_tanker_lue_enemy_1</t>
    <phoneticPr fontId="1" type="noConversion"/>
  </si>
  <si>
    <t>Character/Prefabs/m_attacker_ermeil_enemy_1</t>
    <phoneticPr fontId="1" type="noConversion"/>
  </si>
  <si>
    <t>Character/Prefabs/m_ranger_iolet_enemy_1</t>
    <phoneticPr fontId="1" type="noConversion"/>
  </si>
  <si>
    <t>Character/Prefabs/m_supporter_reen_enemy_1</t>
    <phoneticPr fontId="1" type="noConversion"/>
  </si>
  <si>
    <t>Character/Prefabs/m_supporter_elina_enemy_1</t>
    <phoneticPr fontId="1" type="noConversion"/>
  </si>
  <si>
    <t>character_elina_01</t>
    <phoneticPr fontId="1" type="noConversion"/>
  </si>
  <si>
    <t>UseHpSlice</t>
    <phoneticPr fontId="1" type="noConversion"/>
  </si>
  <si>
    <t>client</t>
    <phoneticPr fontId="1" type="noConversion"/>
  </si>
  <si>
    <t>Sector01.solid_turretmk1_1.skill01</t>
  </si>
  <si>
    <t>Sector01.spider_turret_prototype_1.skill01</t>
  </si>
  <si>
    <t>Sector01.electric_drone_1.skill01</t>
  </si>
  <si>
    <t>Sector01.jamming_drone_1.skill01</t>
  </si>
  <si>
    <t>Sector01.trooper_sniper_1.skill02</t>
  </si>
  <si>
    <t>Sector01.trooper_guard_1.skill02</t>
  </si>
  <si>
    <t>Sector01.trooper_champion_1.skill02</t>
  </si>
  <si>
    <t>Sector01.trooper_demolisher_1.skill02</t>
  </si>
  <si>
    <t>Sector01.trooper_inferno_1.skill02</t>
  </si>
  <si>
    <t>Sector02.turtle_mechamk3_3.skill01</t>
  </si>
  <si>
    <t>Sector02.scorpion_turretmk2_3.skill01</t>
  </si>
  <si>
    <t>Sector02.rhino_mechamk3_3.skill01</t>
  </si>
  <si>
    <t>Sector02.spider_turretmk2_3.skill01</t>
  </si>
  <si>
    <t>Sector02.hellfire_drone_3.skill02</t>
  </si>
  <si>
    <t>Sector02.silhouette_champion_3.skill02</t>
  </si>
  <si>
    <t>Sector02.silhouette_demolisher_3.skill02</t>
  </si>
  <si>
    <t>Sector02.silhouette_guard_3.skill02</t>
  </si>
  <si>
    <t>Sector02.silhouette_inferno_3.skill02</t>
  </si>
  <si>
    <t>Sector02.silhouette_champion_3.skill02</t>
    <phoneticPr fontId="1" type="noConversion"/>
  </si>
  <si>
    <t>Sector03.infmecha_2.skill01</t>
  </si>
  <si>
    <t>Sector03.core_hunter_1.skill02</t>
  </si>
  <si>
    <t>Sector03.infturret_2.skill01</t>
  </si>
  <si>
    <t>Sector03.infdust_shield_2.skill02</t>
  </si>
  <si>
    <t>Sector03.infdust_gauntlet_2.skill02</t>
  </si>
  <si>
    <t>Sector03.infdust_rifle_2.skill02</t>
  </si>
  <si>
    <t>Sector03.infdust_launcher_2.skill02</t>
  </si>
  <si>
    <t>Sector03.head_snatcher_1.skill02</t>
  </si>
  <si>
    <t>Sector03.core_snatcher_1.skill02</t>
  </si>
  <si>
    <t>Sector01.trooper_demolisher_1.skill02</t>
    <phoneticPr fontId="1" type="noConversion"/>
  </si>
  <si>
    <t>Sector04.friendly_walking_eyeball_1.skill01</t>
  </si>
  <si>
    <t>Sector04.friendly_patrol_1.skill01</t>
  </si>
  <si>
    <t>Sector04.friendly_walking_eyeball_2.skill01</t>
  </si>
  <si>
    <t>Sector04.friendly_patrol_2.skill01</t>
  </si>
  <si>
    <t>Sector04.friendly_edge_eyeball_1.skill02</t>
  </si>
  <si>
    <t>Sector04.friendly_electric_eyeball_1.skill02</t>
  </si>
  <si>
    <t>Sector04.friendly_sawpatrol_1.skill02</t>
  </si>
  <si>
    <t>Sector04.friendly_staffpatrol_1.skill02</t>
  </si>
  <si>
    <t>Sector04.friendly_sicklepatrol_1.skill02</t>
  </si>
  <si>
    <t>Sector04.friendly_security_1.skill02</t>
  </si>
  <si>
    <t>Sector04.friendly_cannon_1.skill02</t>
  </si>
  <si>
    <t>Sector04.friendly_gun_1.skill02</t>
  </si>
  <si>
    <t>Sector05.killer_drone_4.skill02</t>
  </si>
  <si>
    <t>Sector05.killer_drone_2.skill02</t>
  </si>
  <si>
    <t>Sector05.terminate_drone_3.skill02</t>
  </si>
  <si>
    <t>Sector05.clock_thunderdog_1.skill02</t>
  </si>
  <si>
    <t>Sector05.labtrooper_rifle_1.skill02</t>
  </si>
  <si>
    <t>Sector05.labtrooper_shield_1.skill02</t>
  </si>
  <si>
    <t>Sector05.labtrooper_flame_1.skill02</t>
  </si>
  <si>
    <t>Sector05.labtrooper_launcher_1.skill02</t>
  </si>
  <si>
    <t>Sector05.silhouette_flyer_3.skill02</t>
  </si>
  <si>
    <t>Sector05.harbor_cannon_1.skill02</t>
  </si>
  <si>
    <t>Sector06.polluter_patrol_1.skill01</t>
  </si>
  <si>
    <t>Sector06.polluter_eyeball_1.skill01</t>
  </si>
  <si>
    <t>Sector06.polluter_exploder_1.skill02</t>
  </si>
  <si>
    <t>Sector06.polluter_1.skill02</t>
  </si>
  <si>
    <t>Sector06.polluter_edge_1.skill02</t>
  </si>
  <si>
    <t>Sector06.polluter_fluid_1.skill02</t>
  </si>
  <si>
    <t>Sector06.polluter_liquid_1.skill02</t>
  </si>
  <si>
    <t>Sector06.polluter_fog_1.skill02</t>
  </si>
  <si>
    <t>Sector06.polluter_haze_1.skill02</t>
  </si>
  <si>
    <t>Sector07.clock_clawdog_1.skill01</t>
  </si>
  <si>
    <t>Sector07.clock_flamedog_1.skill01</t>
  </si>
  <si>
    <t>Sector07.clock_spear_1.skill02</t>
  </si>
  <si>
    <t>Sector07.clock_squire_1.skill02</t>
  </si>
  <si>
    <t>Sector07.clock_crossbow_1.skill02</t>
  </si>
  <si>
    <t>Sector07.clock_shield_1.skill02</t>
  </si>
  <si>
    <t>Sector07.clock_clown_1.skill02</t>
  </si>
  <si>
    <t>Sector08.plants_sticky_1.skill02</t>
  </si>
  <si>
    <t>Sector08.plants_stinger_1.skill02</t>
  </si>
  <si>
    <t>Sector08.plants_bark_1.skill02</t>
  </si>
  <si>
    <t>Sector08.plants_branch_1.skill02</t>
  </si>
  <si>
    <t>Sector08.plants_shooter_1.skill02</t>
  </si>
  <si>
    <t>Sector08.plants_cannon_1.skill02</t>
  </si>
  <si>
    <t>Sector08.creeper_seed_1.skill02</t>
  </si>
  <si>
    <t>Sector08.plants_garden_1.skill02</t>
  </si>
  <si>
    <t>블러드나이트</t>
    <phoneticPr fontId="1" type="noConversion"/>
  </si>
  <si>
    <t>블러드나이트</t>
    <phoneticPr fontId="1" type="noConversion"/>
  </si>
  <si>
    <t>clock_honor_knight_2</t>
    <phoneticPr fontId="1" type="noConversion"/>
  </si>
  <si>
    <t>m_l_attacker_clock_honor_knight_2</t>
    <phoneticPr fontId="1" type="noConversion"/>
  </si>
  <si>
    <t>Sector07.clock_honor_knight_2.passive01</t>
    <phoneticPr fontId="1" type="noConversion"/>
  </si>
  <si>
    <t>Sector01.gallius_1.passive01</t>
    <phoneticPr fontId="1" type="noConversion"/>
  </si>
  <si>
    <t>Sector01.gallius_2.passive01</t>
    <phoneticPr fontId="1" type="noConversion"/>
  </si>
  <si>
    <t>강화골리앗</t>
    <phoneticPr fontId="1" type="noConversion"/>
  </si>
  <si>
    <t>Sector04.nullaxe_2.passive02</t>
    <phoneticPr fontId="1" type="noConversion"/>
  </si>
  <si>
    <t>Daily.Atk.Boss.passive01</t>
    <phoneticPr fontId="1" type="noConversion"/>
  </si>
  <si>
    <t>Mid.Boss.Immun.orange</t>
  </si>
  <si>
    <t>Mid.Boss.Immun.red</t>
  </si>
  <si>
    <t>Mid.Boss.Immun.purple</t>
  </si>
  <si>
    <t>Mid.Boss.Immun.green</t>
  </si>
  <si>
    <t>109.Academy.01</t>
  </si>
  <si>
    <t>goliath_4</t>
    <phoneticPr fontId="1" type="noConversion"/>
  </si>
  <si>
    <t>Character/Timeline/02_MON/goliath_4/appearance4</t>
    <phoneticPr fontId="1" type="noConversion"/>
  </si>
  <si>
    <t>Character/Timeline/02_MON/toxic_3/appearance3</t>
    <phoneticPr fontId="1" type="noConversion"/>
  </si>
  <si>
    <t>Character/Timeline/02_MON/royal_queen_2/appearance2</t>
    <phoneticPr fontId="1" type="noConversion"/>
  </si>
  <si>
    <t>Sector05.goliath_4.passive01</t>
  </si>
  <si>
    <t>Sector05.goliath_4.passive02</t>
  </si>
  <si>
    <t>Character/Prefabs/m_l_attacker_clock_honor_knight_1</t>
    <phoneticPr fontId="1" type="noConversion"/>
  </si>
  <si>
    <t>m_l_attacker_clock_honor_knight_1</t>
    <phoneticPr fontId="1" type="noConversion"/>
  </si>
  <si>
    <t>강화크로울러</t>
    <phoneticPr fontId="1" type="noConversion"/>
  </si>
  <si>
    <t>skull_crawler_1</t>
    <phoneticPr fontId="1" type="noConversion"/>
  </si>
  <si>
    <t>Character/Timeline/02_MON/crawler/appearance2</t>
    <phoneticPr fontId="1" type="noConversion"/>
  </si>
  <si>
    <t>Attribute</t>
    <phoneticPr fontId="1" type="noConversion"/>
  </si>
  <si>
    <t>AttributeType</t>
    <phoneticPr fontId="1" type="noConversion"/>
  </si>
  <si>
    <t>AttributeRed</t>
  </si>
  <si>
    <t>강화크로울러</t>
    <phoneticPr fontId="1" type="noConversion"/>
  </si>
  <si>
    <t>m_boss_attacker_crawler_1</t>
  </si>
  <si>
    <t>Character/Timeline/02_MON/goliath_4/appearance4</t>
  </si>
  <si>
    <t>Character/Timeline/02_MON/goliath_4/die4</t>
  </si>
  <si>
    <t>Character/Timeline/02_MON/toxic_3/appearance3</t>
  </si>
  <si>
    <t>Character/Timeline/02_MON/toxic_3/die3</t>
  </si>
  <si>
    <t>Character/Timeline/02_MON/royal_queen_2/appearance2</t>
  </si>
  <si>
    <t>Character/Timeline/02_MON/royal_queen_2/die2</t>
  </si>
  <si>
    <t>Character/Timeline/02_MON/crawler/appearance2</t>
  </si>
  <si>
    <t>Character/Timeline/02_MON/crawler/die2</t>
  </si>
  <si>
    <t>AttributeNone</t>
  </si>
  <si>
    <t>AttributeGreen</t>
  </si>
  <si>
    <t>AttributeBlue</t>
  </si>
  <si>
    <t>햄버거01</t>
    <phoneticPr fontId="1" type="noConversion"/>
  </si>
  <si>
    <t>햄버거02</t>
    <phoneticPr fontId="1" type="noConversion"/>
  </si>
  <si>
    <t>일반</t>
    <phoneticPr fontId="1" type="noConversion"/>
  </si>
  <si>
    <t>Hamberger.skill01</t>
  </si>
  <si>
    <t>햄버거01</t>
    <phoneticPr fontId="1" type="noConversion"/>
  </si>
  <si>
    <t>햄버거02</t>
    <phoneticPr fontId="1" type="noConversion"/>
  </si>
  <si>
    <t>trapburger_1</t>
    <phoneticPr fontId="1" type="noConversion"/>
  </si>
  <si>
    <t>trapburger_2</t>
    <phoneticPr fontId="1" type="noConversion"/>
  </si>
  <si>
    <t>1010910001_run</t>
  </si>
  <si>
    <t>1010210001_run</t>
  </si>
  <si>
    <t>1010220001_run</t>
  </si>
  <si>
    <t>1010230001_run</t>
  </si>
  <si>
    <t>1010540001_run</t>
  </si>
  <si>
    <t>1010240001_run</t>
  </si>
  <si>
    <t>1110205302_run</t>
  </si>
  <si>
    <t>1110207118_run</t>
  </si>
  <si>
    <t>1110208109_run</t>
  </si>
  <si>
    <t>1110208110_run</t>
  </si>
  <si>
    <t>1110208113_run</t>
  </si>
  <si>
    <t>1110208114_run</t>
  </si>
  <si>
    <t>1110208115_run</t>
  </si>
  <si>
    <t>1110208116_run</t>
  </si>
  <si>
    <t>1110208117_run</t>
  </si>
  <si>
    <t>1110208118_run</t>
  </si>
  <si>
    <t>1110208201_run</t>
  </si>
  <si>
    <t>1110208202_run</t>
  </si>
  <si>
    <t>1110208203_run</t>
  </si>
  <si>
    <t>1110208301_run</t>
  </si>
  <si>
    <t>1110208302_run</t>
  </si>
  <si>
    <t>1210201101_run</t>
  </si>
  <si>
    <t>1210201102_run</t>
  </si>
  <si>
    <t>1210201103_run</t>
  </si>
  <si>
    <t>1210201104_run</t>
  </si>
  <si>
    <t>1210201105_run</t>
  </si>
  <si>
    <t>1210201106_run</t>
  </si>
  <si>
    <t>1210201107_run</t>
  </si>
  <si>
    <t>1210201108_run</t>
  </si>
  <si>
    <t>1210201109_run</t>
  </si>
  <si>
    <t>1210201110_run</t>
  </si>
  <si>
    <t>1210201111_run</t>
  </si>
  <si>
    <t>1210201112_run</t>
  </si>
  <si>
    <t>1210201113_run</t>
  </si>
  <si>
    <t>1210201114_run</t>
  </si>
  <si>
    <t>1210201115_run</t>
  </si>
  <si>
    <t>1210201116_run</t>
  </si>
  <si>
    <t>1210201117_run</t>
  </si>
  <si>
    <t>1210201118_run</t>
  </si>
  <si>
    <t>1210201201_run</t>
  </si>
  <si>
    <t>1210201202_run</t>
  </si>
  <si>
    <t>1210201203_run</t>
  </si>
  <si>
    <t>1210201301_run</t>
  </si>
  <si>
    <t>1210201302_run</t>
  </si>
  <si>
    <t>1210202101_run</t>
  </si>
  <si>
    <t>1210202102_run</t>
  </si>
  <si>
    <t>1210202103_run</t>
  </si>
  <si>
    <t>1210202104_run</t>
  </si>
  <si>
    <t>1210202105_run</t>
  </si>
  <si>
    <t>1210202106_run</t>
  </si>
  <si>
    <t>1210202107_run</t>
  </si>
  <si>
    <t>1210202108_run</t>
  </si>
  <si>
    <t>1210202109_run</t>
  </si>
  <si>
    <t>1210202110_run</t>
  </si>
  <si>
    <t>1210202111_run</t>
  </si>
  <si>
    <t>1210202112_run</t>
  </si>
  <si>
    <t>1210202113_run</t>
  </si>
  <si>
    <t>1210202114_run</t>
  </si>
  <si>
    <t>1210202115_run</t>
  </si>
  <si>
    <t>1210202116_run</t>
  </si>
  <si>
    <t>1210202117_run</t>
  </si>
  <si>
    <t>1210202118_run</t>
  </si>
  <si>
    <t>1210202201_run</t>
  </si>
  <si>
    <t>1210202202_run</t>
  </si>
  <si>
    <t>1210202203_run</t>
  </si>
  <si>
    <t>1210202301_run</t>
  </si>
  <si>
    <t>1210202302_run</t>
  </si>
  <si>
    <t>1210203101_run</t>
  </si>
  <si>
    <t>1210203102_run</t>
  </si>
  <si>
    <t>1210203103_run</t>
  </si>
  <si>
    <t>1210203104_run</t>
  </si>
  <si>
    <t>1210203105_run</t>
  </si>
  <si>
    <t>1210203106_run</t>
  </si>
  <si>
    <t>1210203107_run</t>
  </si>
  <si>
    <t>1210203108_run</t>
  </si>
  <si>
    <t>1210203109_run</t>
  </si>
  <si>
    <t>1210203110_run</t>
  </si>
  <si>
    <t>1210203111_run</t>
  </si>
  <si>
    <t>1210203112_run</t>
  </si>
  <si>
    <t>1210203113_run</t>
  </si>
  <si>
    <t>1210203114_run</t>
  </si>
  <si>
    <t>1210203115_run</t>
  </si>
  <si>
    <t>1210203116_run</t>
  </si>
  <si>
    <t>1210203117_run</t>
  </si>
  <si>
    <t>1210203118_run</t>
  </si>
  <si>
    <t>1210203119_run</t>
  </si>
  <si>
    <t>1210203120_run</t>
  </si>
  <si>
    <t>1210203201_run</t>
  </si>
  <si>
    <t>1210203202_run</t>
  </si>
  <si>
    <t>1210203203_run</t>
  </si>
  <si>
    <t>1210203301_run</t>
  </si>
  <si>
    <t>1210203302_run</t>
  </si>
  <si>
    <t>1210204101_run</t>
  </si>
  <si>
    <t>1210204102_run</t>
  </si>
  <si>
    <t>1210204103_run</t>
  </si>
  <si>
    <t>1210204104_run</t>
  </si>
  <si>
    <t>1210204105_run</t>
  </si>
  <si>
    <t>1210204106_run</t>
  </si>
  <si>
    <t>1210204107_run</t>
  </si>
  <si>
    <t>1210204108_run</t>
  </si>
  <si>
    <t>1210204109_run</t>
  </si>
  <si>
    <t>1210204110_run</t>
  </si>
  <si>
    <t>1210204111_run</t>
  </si>
  <si>
    <t>1210204112_run</t>
  </si>
  <si>
    <t>1210204113_run</t>
  </si>
  <si>
    <t>1210204114_run</t>
  </si>
  <si>
    <t>1210204115_run</t>
  </si>
  <si>
    <t>1210204116_run</t>
  </si>
  <si>
    <t>1210204117_run</t>
  </si>
  <si>
    <t>1210204118_run</t>
  </si>
  <si>
    <t>1210204119_run</t>
  </si>
  <si>
    <t>1210204120_run</t>
  </si>
  <si>
    <t>1210204121_run</t>
  </si>
  <si>
    <t>1210204122_run</t>
  </si>
  <si>
    <t>1210204201_run</t>
  </si>
  <si>
    <t>1210204202_run</t>
  </si>
  <si>
    <t>1210204203_run</t>
  </si>
  <si>
    <t>1210204301_run</t>
  </si>
  <si>
    <t>1210204302_run</t>
  </si>
  <si>
    <t>1210205101_run</t>
  </si>
  <si>
    <t>1210205102_run</t>
  </si>
  <si>
    <t>1210205103_run</t>
  </si>
  <si>
    <t>1210205104_run</t>
  </si>
  <si>
    <t>1210205105_run</t>
  </si>
  <si>
    <t>1210205106_run</t>
  </si>
  <si>
    <t>1210205107_run</t>
  </si>
  <si>
    <t>1210205108_run</t>
  </si>
  <si>
    <t>1210205109_run</t>
  </si>
  <si>
    <t>1210205110_run</t>
  </si>
  <si>
    <t>1210205111_run</t>
  </si>
  <si>
    <t>1210205112_run</t>
  </si>
  <si>
    <t>1210205113_run</t>
  </si>
  <si>
    <t>1210205114_run</t>
  </si>
  <si>
    <t>1210205115_run</t>
  </si>
  <si>
    <t>1210205116_run</t>
  </si>
  <si>
    <t>1210205117_run</t>
  </si>
  <si>
    <t>1210205118_run</t>
  </si>
  <si>
    <t>1210205119_run</t>
  </si>
  <si>
    <t>1210205120_run</t>
  </si>
  <si>
    <t>1210205201_run</t>
  </si>
  <si>
    <t>1210205202_run</t>
  </si>
  <si>
    <t>1210205203_run</t>
  </si>
  <si>
    <t>1210205301_run</t>
  </si>
  <si>
    <t>1210205302_run</t>
  </si>
  <si>
    <t>1210206101_run</t>
  </si>
  <si>
    <t>1210206102_run</t>
  </si>
  <si>
    <t>1210206103_run</t>
  </si>
  <si>
    <t>1210206104_run</t>
  </si>
  <si>
    <t>1210206105_run</t>
  </si>
  <si>
    <t>1210206106_run</t>
  </si>
  <si>
    <t>1210206107_run</t>
  </si>
  <si>
    <t>1210206108_run</t>
  </si>
  <si>
    <t>1210206109_run</t>
  </si>
  <si>
    <t>1210206110_run</t>
  </si>
  <si>
    <t>1210206111_run</t>
  </si>
  <si>
    <t>1210206112_run</t>
  </si>
  <si>
    <t>1210206113_run</t>
  </si>
  <si>
    <t>1210206114_run</t>
  </si>
  <si>
    <t>1210206115_run</t>
  </si>
  <si>
    <t>1210206116_run</t>
  </si>
  <si>
    <t>1210206117_run</t>
  </si>
  <si>
    <t>1210206118_run</t>
  </si>
  <si>
    <t>1210206201_run</t>
  </si>
  <si>
    <t>1210206202_run</t>
  </si>
  <si>
    <t>1210206203_run</t>
  </si>
  <si>
    <t>1210206301_run</t>
  </si>
  <si>
    <t>1210206302_run</t>
  </si>
  <si>
    <t>1210207101_run</t>
  </si>
  <si>
    <t>1210207102_run</t>
  </si>
  <si>
    <t>1210207103_run</t>
  </si>
  <si>
    <t>1210207104_run</t>
  </si>
  <si>
    <t>1210207105_run</t>
  </si>
  <si>
    <t>1210207106_run</t>
  </si>
  <si>
    <t>1210207107_run</t>
  </si>
  <si>
    <t>1210207108_run</t>
  </si>
  <si>
    <t>1210207109_run</t>
  </si>
  <si>
    <t>1210207110_run</t>
  </si>
  <si>
    <t>1210207111_run</t>
  </si>
  <si>
    <t>1210207112_run</t>
  </si>
  <si>
    <t>1210207113_run</t>
  </si>
  <si>
    <t>1210207114_run</t>
  </si>
  <si>
    <t>1210207115_run</t>
  </si>
  <si>
    <t>1210207116_run</t>
  </si>
  <si>
    <t>1210207117_run</t>
  </si>
  <si>
    <t>1210207118_run</t>
  </si>
  <si>
    <t>1210207201_run</t>
  </si>
  <si>
    <t>1210207202_run</t>
  </si>
  <si>
    <t>1210207203_run</t>
  </si>
  <si>
    <t>1210207301_run</t>
  </si>
  <si>
    <t>1210207302_run</t>
  </si>
  <si>
    <t>1210208101_run</t>
  </si>
  <si>
    <t>1210208102_run</t>
  </si>
  <si>
    <t>1210208103_run</t>
  </si>
  <si>
    <t>1210208104_run</t>
  </si>
  <si>
    <t>1210208105_run</t>
  </si>
  <si>
    <t>1210208106_run</t>
  </si>
  <si>
    <t>1210208107_run</t>
  </si>
  <si>
    <t>1210208108_run</t>
  </si>
  <si>
    <t>1210208109_run</t>
  </si>
  <si>
    <t>1210208110_run</t>
  </si>
  <si>
    <t>1210208111_run</t>
  </si>
  <si>
    <t>1210208112_run</t>
  </si>
  <si>
    <t>1210208113_run</t>
  </si>
  <si>
    <t>1210208114_run</t>
  </si>
  <si>
    <t>1210208115_run</t>
  </si>
  <si>
    <t>1210208116_run</t>
  </si>
  <si>
    <t>1210208117_run</t>
  </si>
  <si>
    <t>1210208118_run</t>
  </si>
  <si>
    <t>1210208201_run</t>
  </si>
  <si>
    <t>1210208202_run</t>
  </si>
  <si>
    <t>1210208203_run</t>
  </si>
  <si>
    <t>1210208301_run</t>
  </si>
  <si>
    <t>1210208302_run</t>
  </si>
  <si>
    <t>1310201101_run</t>
  </si>
  <si>
    <t>1310201102_run</t>
  </si>
  <si>
    <t>1310201103_run</t>
  </si>
  <si>
    <t>1310201104_run</t>
  </si>
  <si>
    <t>1310201105_run</t>
  </si>
  <si>
    <t>1310201106_run</t>
  </si>
  <si>
    <t>1310201107_run</t>
  </si>
  <si>
    <t>1310201108_run</t>
  </si>
  <si>
    <t>1310201109_run</t>
  </si>
  <si>
    <t>1310201110_run</t>
  </si>
  <si>
    <t>1310201111_run</t>
  </si>
  <si>
    <t>1310201112_run</t>
  </si>
  <si>
    <t>1310201113_run</t>
  </si>
  <si>
    <t>1310201114_run</t>
  </si>
  <si>
    <t>1310201115_run</t>
  </si>
  <si>
    <t>1310201116_run</t>
  </si>
  <si>
    <t>1310201117_run</t>
  </si>
  <si>
    <t>1310201118_run</t>
  </si>
  <si>
    <t>1310201201_run</t>
  </si>
  <si>
    <t>1310201202_run</t>
  </si>
  <si>
    <t>1310201203_run</t>
  </si>
  <si>
    <t>1310201301_run</t>
  </si>
  <si>
    <t>1310201302_run</t>
  </si>
  <si>
    <t>1310202101_run</t>
  </si>
  <si>
    <t>1310202102_run</t>
  </si>
  <si>
    <t>1310202103_run</t>
  </si>
  <si>
    <t>1310202104_run</t>
  </si>
  <si>
    <t>1310202105_run</t>
  </si>
  <si>
    <t>1310202106_run</t>
  </si>
  <si>
    <t>1310202107_run</t>
  </si>
  <si>
    <t>1310202108_run</t>
  </si>
  <si>
    <t>1310202109_run</t>
  </si>
  <si>
    <t>1310202110_run</t>
  </si>
  <si>
    <t>1310202111_run</t>
  </si>
  <si>
    <t>1310202112_run</t>
  </si>
  <si>
    <t>1310202113_run</t>
  </si>
  <si>
    <t>1310202114_run</t>
  </si>
  <si>
    <t>1310202115_run</t>
  </si>
  <si>
    <t>1310202116_run</t>
  </si>
  <si>
    <t>1310202117_run</t>
  </si>
  <si>
    <t>1310202118_run</t>
  </si>
  <si>
    <t>1310202201_run</t>
  </si>
  <si>
    <t>1310202202_run</t>
  </si>
  <si>
    <t>1310202203_run</t>
  </si>
  <si>
    <t>1310202301_run</t>
  </si>
  <si>
    <t>1310202302_run</t>
  </si>
  <si>
    <t>1310203101_run</t>
  </si>
  <si>
    <t>1310203102_run</t>
  </si>
  <si>
    <t>1310203103_run</t>
  </si>
  <si>
    <t>1310203104_run</t>
  </si>
  <si>
    <t>1310203105_run</t>
  </si>
  <si>
    <t>1310203106_run</t>
  </si>
  <si>
    <t>1310203107_run</t>
  </si>
  <si>
    <t>1310203108_run</t>
  </si>
  <si>
    <t>1310203109_run</t>
  </si>
  <si>
    <t>1310203110_run</t>
  </si>
  <si>
    <t>1310203111_run</t>
  </si>
  <si>
    <t>1310203112_run</t>
  </si>
  <si>
    <t>1310203113_run</t>
  </si>
  <si>
    <t>1310203114_run</t>
  </si>
  <si>
    <t>1310203115_run</t>
  </si>
  <si>
    <t>1310203116_run</t>
  </si>
  <si>
    <t>1310203117_run</t>
  </si>
  <si>
    <t>1310203118_run</t>
  </si>
  <si>
    <t>1310203119_run</t>
  </si>
  <si>
    <t>1310203120_run</t>
  </si>
  <si>
    <t>1310203201_run</t>
  </si>
  <si>
    <t>1310203202_run</t>
  </si>
  <si>
    <t>1310203203_run</t>
  </si>
  <si>
    <t>1310203301_run</t>
  </si>
  <si>
    <t>1310203302_run</t>
  </si>
  <si>
    <t>1310204101_run</t>
  </si>
  <si>
    <t>1310204102_run</t>
  </si>
  <si>
    <t>1310204103_run</t>
  </si>
  <si>
    <t>1310204104_run</t>
  </si>
  <si>
    <t>1310204105_run</t>
  </si>
  <si>
    <t>1310204106_run</t>
  </si>
  <si>
    <t>1310204107_run</t>
  </si>
  <si>
    <t>1310204108_run</t>
  </si>
  <si>
    <t>1310204109_run</t>
  </si>
  <si>
    <t>1310204110_run</t>
  </si>
  <si>
    <t>1310204111_run</t>
  </si>
  <si>
    <t>1310204112_run</t>
  </si>
  <si>
    <t>1310204113_run</t>
  </si>
  <si>
    <t>1310204114_run</t>
  </si>
  <si>
    <t>1310204115_run</t>
  </si>
  <si>
    <t>1310204116_run</t>
  </si>
  <si>
    <t>1310204117_run</t>
  </si>
  <si>
    <t>1310204118_run</t>
  </si>
  <si>
    <t>1310204119_run</t>
  </si>
  <si>
    <t>1310204120_run</t>
  </si>
  <si>
    <t>1310204121_run</t>
  </si>
  <si>
    <t>1310204122_run</t>
  </si>
  <si>
    <t>1310204201_run</t>
  </si>
  <si>
    <t>1310204202_run</t>
  </si>
  <si>
    <t>1310204203_run</t>
  </si>
  <si>
    <t>1310204301_run</t>
  </si>
  <si>
    <t>1310204302_run</t>
  </si>
  <si>
    <t>1310205101_run</t>
  </si>
  <si>
    <t>1310205102_run</t>
  </si>
  <si>
    <t>1310205103_run</t>
  </si>
  <si>
    <t>1310205104_run</t>
  </si>
  <si>
    <t>1310205105_run</t>
  </si>
  <si>
    <t>1310205106_run</t>
  </si>
  <si>
    <t>1310205107_run</t>
  </si>
  <si>
    <t>1310205108_run</t>
  </si>
  <si>
    <t>1310205109_run</t>
  </si>
  <si>
    <t>1310205110_run</t>
  </si>
  <si>
    <t>1310205111_run</t>
  </si>
  <si>
    <t>1310205112_run</t>
  </si>
  <si>
    <t>1310205113_run</t>
  </si>
  <si>
    <t>1310205114_run</t>
  </si>
  <si>
    <t>1310205115_run</t>
  </si>
  <si>
    <t>1310205116_run</t>
  </si>
  <si>
    <t>1310205117_run</t>
  </si>
  <si>
    <t>1310205118_run</t>
  </si>
  <si>
    <t>1310205119_run</t>
  </si>
  <si>
    <t>1310205120_run</t>
  </si>
  <si>
    <t>1310205201_run</t>
  </si>
  <si>
    <t>1310205202_run</t>
  </si>
  <si>
    <t>1310205203_run</t>
  </si>
  <si>
    <t>1310205301_run</t>
  </si>
  <si>
    <t>1310205302_run</t>
  </si>
  <si>
    <t>1310206101_run</t>
  </si>
  <si>
    <t>1310206102_run</t>
  </si>
  <si>
    <t>1310206103_run</t>
  </si>
  <si>
    <t>1310206104_run</t>
  </si>
  <si>
    <t>1310206105_run</t>
  </si>
  <si>
    <t>1310206106_run</t>
  </si>
  <si>
    <t>1310206107_run</t>
  </si>
  <si>
    <t>1310206108_run</t>
  </si>
  <si>
    <t>1310206109_run</t>
  </si>
  <si>
    <t>1310206110_run</t>
  </si>
  <si>
    <t>1310206111_run</t>
  </si>
  <si>
    <t>1310206112_run</t>
  </si>
  <si>
    <t>1310206113_run</t>
  </si>
  <si>
    <t>1310206114_run</t>
  </si>
  <si>
    <t>1310206115_run</t>
  </si>
  <si>
    <t>1310206116_run</t>
  </si>
  <si>
    <t>1310206117_run</t>
  </si>
  <si>
    <t>1310206118_run</t>
  </si>
  <si>
    <t>1310206201_run</t>
  </si>
  <si>
    <t>1310206202_run</t>
  </si>
  <si>
    <t>1310206203_run</t>
  </si>
  <si>
    <t>1310206301_run</t>
  </si>
  <si>
    <t>1310206302_run</t>
  </si>
  <si>
    <t>1310207101_run</t>
  </si>
  <si>
    <t>1310207102_run</t>
  </si>
  <si>
    <t>1310207103_run</t>
  </si>
  <si>
    <t>1310207104_run</t>
  </si>
  <si>
    <t>1310207105_run</t>
  </si>
  <si>
    <t>1310207106_run</t>
  </si>
  <si>
    <t>1310207107_run</t>
  </si>
  <si>
    <t>1310207108_run</t>
  </si>
  <si>
    <t>1310207109_run</t>
  </si>
  <si>
    <t>1310207110_run</t>
  </si>
  <si>
    <t>1310207111_run</t>
  </si>
  <si>
    <t>1310207112_run</t>
  </si>
  <si>
    <t>1310207113_run</t>
  </si>
  <si>
    <t>1310207114_run</t>
  </si>
  <si>
    <t>1310207115_run</t>
  </si>
  <si>
    <t>1310207116_run</t>
  </si>
  <si>
    <t>1310207117_run</t>
  </si>
  <si>
    <t>1310207118_run</t>
  </si>
  <si>
    <t>1310207201_run</t>
  </si>
  <si>
    <t>1310207202_run</t>
  </si>
  <si>
    <t>1310207203_run</t>
  </si>
  <si>
    <t>1310207301_run</t>
  </si>
  <si>
    <t>1310207302_run</t>
  </si>
  <si>
    <t>1310208101_run</t>
  </si>
  <si>
    <t>1310208102_run</t>
  </si>
  <si>
    <t>1310208103_run</t>
  </si>
  <si>
    <t>1310208104_run</t>
  </si>
  <si>
    <t>1310208105_run</t>
  </si>
  <si>
    <t>1310208106_run</t>
  </si>
  <si>
    <t>1310208107_run</t>
  </si>
  <si>
    <t>1310208108_run</t>
  </si>
  <si>
    <t>1310208109_run</t>
  </si>
  <si>
    <t>1310208110_run</t>
  </si>
  <si>
    <t>1310208111_run</t>
  </si>
  <si>
    <t>1310208112_run</t>
  </si>
  <si>
    <t>1310208113_run</t>
  </si>
  <si>
    <t>1310208114_run</t>
  </si>
  <si>
    <t>1310208115_run</t>
  </si>
  <si>
    <t>1310208116_run</t>
  </si>
  <si>
    <t>1310208117_run</t>
  </si>
  <si>
    <t>1310208118_run</t>
  </si>
  <si>
    <t>1310208201_run</t>
  </si>
  <si>
    <t>1310208202_run</t>
  </si>
  <si>
    <t>1310208203_run</t>
  </si>
  <si>
    <t>1310208301_run</t>
  </si>
  <si>
    <t>1310208302_run</t>
  </si>
  <si>
    <t>1410201101_run</t>
  </si>
  <si>
    <t>1410201102_run</t>
  </si>
  <si>
    <t>1410201103_run</t>
  </si>
  <si>
    <t>1410201104_run</t>
  </si>
  <si>
    <t>1410201105_run</t>
  </si>
  <si>
    <t>1410201106_run</t>
  </si>
  <si>
    <t>1410201107_run</t>
  </si>
  <si>
    <t>1410201108_run</t>
  </si>
  <si>
    <t>1410201109_run</t>
  </si>
  <si>
    <t>1410201110_run</t>
  </si>
  <si>
    <t>1410201111_run</t>
  </si>
  <si>
    <t>1410201112_run</t>
  </si>
  <si>
    <t>1410201113_run</t>
  </si>
  <si>
    <t>1410201114_run</t>
  </si>
  <si>
    <t>1410201115_run</t>
  </si>
  <si>
    <t>1410201116_run</t>
  </si>
  <si>
    <t>1410201117_run</t>
  </si>
  <si>
    <t>1410201118_run</t>
  </si>
  <si>
    <t>1410201201_run</t>
  </si>
  <si>
    <t>1410201202_run</t>
  </si>
  <si>
    <t>1410201203_run</t>
  </si>
  <si>
    <t>1410201301_run</t>
  </si>
  <si>
    <t>1410201302_run</t>
  </si>
  <si>
    <t>1410202101_run</t>
  </si>
  <si>
    <t>1410202102_run</t>
  </si>
  <si>
    <t>1410202103_run</t>
  </si>
  <si>
    <t>1410202104_run</t>
  </si>
  <si>
    <t>1410202105_run</t>
  </si>
  <si>
    <t>1410202106_run</t>
  </si>
  <si>
    <t>1410202107_run</t>
  </si>
  <si>
    <t>1410202108_run</t>
  </si>
  <si>
    <t>1410202109_run</t>
  </si>
  <si>
    <t>1410202110_run</t>
  </si>
  <si>
    <t>1410202111_run</t>
  </si>
  <si>
    <t>1410202112_run</t>
  </si>
  <si>
    <t>1410202113_run</t>
  </si>
  <si>
    <t>1410202114_run</t>
  </si>
  <si>
    <t>1410202115_run</t>
  </si>
  <si>
    <t>1410202116_run</t>
  </si>
  <si>
    <t>1410202117_run</t>
  </si>
  <si>
    <t>1410202118_run</t>
  </si>
  <si>
    <t>1410202201_run</t>
  </si>
  <si>
    <t>1410202202_run</t>
  </si>
  <si>
    <t>1410202203_run</t>
  </si>
  <si>
    <t>1410202301_run</t>
  </si>
  <si>
    <t>1410202302_run</t>
  </si>
  <si>
    <t>1410203101_run</t>
  </si>
  <si>
    <t>1410203102_run</t>
  </si>
  <si>
    <t>1410203103_run</t>
  </si>
  <si>
    <t>1410203104_run</t>
  </si>
  <si>
    <t>1410203105_run</t>
  </si>
  <si>
    <t>1410203106_run</t>
  </si>
  <si>
    <t>1410203107_run</t>
  </si>
  <si>
    <t>1410203108_run</t>
  </si>
  <si>
    <t>1410203109_run</t>
  </si>
  <si>
    <t>1410203110_run</t>
  </si>
  <si>
    <t>1410203111_run</t>
  </si>
  <si>
    <t>1410203112_run</t>
  </si>
  <si>
    <t>1410203113_run</t>
  </si>
  <si>
    <t>1410203114_run</t>
  </si>
  <si>
    <t>1410203115_run</t>
  </si>
  <si>
    <t>1410203116_run</t>
  </si>
  <si>
    <t>1410203117_run</t>
  </si>
  <si>
    <t>1410203118_run</t>
  </si>
  <si>
    <t>1410203119_run</t>
  </si>
  <si>
    <t>1410203120_run</t>
  </si>
  <si>
    <t>1410203201_run</t>
  </si>
  <si>
    <t>1410203202_run</t>
  </si>
  <si>
    <t>1410203203_run</t>
  </si>
  <si>
    <t>1410203301_run</t>
  </si>
  <si>
    <t>1410203302_run</t>
  </si>
  <si>
    <t>1410204101_run</t>
  </si>
  <si>
    <t>1410204102_run</t>
  </si>
  <si>
    <t>1410204103_run</t>
  </si>
  <si>
    <t>1410204104_run</t>
  </si>
  <si>
    <t>1410204105_run</t>
  </si>
  <si>
    <t>1410204106_run</t>
  </si>
  <si>
    <t>1410204107_run</t>
  </si>
  <si>
    <t>1410204108_run</t>
  </si>
  <si>
    <t>1410204109_run</t>
  </si>
  <si>
    <t>1410204110_run</t>
  </si>
  <si>
    <t>1410204111_run</t>
  </si>
  <si>
    <t>1410204112_run</t>
  </si>
  <si>
    <t>1410204113_run</t>
  </si>
  <si>
    <t>1410204114_run</t>
  </si>
  <si>
    <t>1410204115_run</t>
  </si>
  <si>
    <t>1410204116_run</t>
  </si>
  <si>
    <t>1410204117_run</t>
  </si>
  <si>
    <t>1410204118_run</t>
  </si>
  <si>
    <t>1410204119_run</t>
  </si>
  <si>
    <t>1410204120_run</t>
  </si>
  <si>
    <t>1410204121_run</t>
  </si>
  <si>
    <t>1410204122_run</t>
  </si>
  <si>
    <t>1410204201_run</t>
  </si>
  <si>
    <t>1410204202_run</t>
  </si>
  <si>
    <t>1410204203_run</t>
  </si>
  <si>
    <t>1410204301_run</t>
  </si>
  <si>
    <t>1410204302_run</t>
  </si>
  <si>
    <t>1410205101_run</t>
  </si>
  <si>
    <t>1410205102_run</t>
  </si>
  <si>
    <t>1410205103_run</t>
  </si>
  <si>
    <t>1410205104_run</t>
  </si>
  <si>
    <t>1410205105_run</t>
  </si>
  <si>
    <t>1410205106_run</t>
  </si>
  <si>
    <t>1410205107_run</t>
  </si>
  <si>
    <t>1410205108_run</t>
  </si>
  <si>
    <t>1410205109_run</t>
  </si>
  <si>
    <t>1410205110_run</t>
  </si>
  <si>
    <t>1410205111_run</t>
  </si>
  <si>
    <t>1410205112_run</t>
  </si>
  <si>
    <t>1410205113_run</t>
  </si>
  <si>
    <t>1410205114_run</t>
  </si>
  <si>
    <t>1410205115_run</t>
  </si>
  <si>
    <t>1410205116_run</t>
  </si>
  <si>
    <t>1410205117_run</t>
  </si>
  <si>
    <t>1410205118_run</t>
  </si>
  <si>
    <t>1410205119_run</t>
  </si>
  <si>
    <t>1410205120_run</t>
  </si>
  <si>
    <t>1410205201_run</t>
  </si>
  <si>
    <t>1410205202_run</t>
  </si>
  <si>
    <t>1410205203_run</t>
  </si>
  <si>
    <t>1410205301_run</t>
  </si>
  <si>
    <t>1410205302_run</t>
  </si>
  <si>
    <t>1410206101_run</t>
  </si>
  <si>
    <t>1410206102_run</t>
  </si>
  <si>
    <t>1410206103_run</t>
  </si>
  <si>
    <t>1410206104_run</t>
  </si>
  <si>
    <t>1410206105_run</t>
  </si>
  <si>
    <t>1410206106_run</t>
  </si>
  <si>
    <t>1410206107_run</t>
  </si>
  <si>
    <t>1410206108_run</t>
  </si>
  <si>
    <t>1410206109_run</t>
  </si>
  <si>
    <t>1410206110_run</t>
  </si>
  <si>
    <t>1410206111_run</t>
  </si>
  <si>
    <t>1410206112_run</t>
  </si>
  <si>
    <t>1410206113_run</t>
  </si>
  <si>
    <t>1410206114_run</t>
  </si>
  <si>
    <t>1410206115_run</t>
  </si>
  <si>
    <t>1410206116_run</t>
  </si>
  <si>
    <t>1410206117_run</t>
  </si>
  <si>
    <t>1410206118_run</t>
  </si>
  <si>
    <t>1410206201_run</t>
  </si>
  <si>
    <t>1410206202_run</t>
  </si>
  <si>
    <t>1410206203_run</t>
  </si>
  <si>
    <t>1410206301_run</t>
  </si>
  <si>
    <t>1410206302_run</t>
  </si>
  <si>
    <t>1410207101_run</t>
  </si>
  <si>
    <t>1410207102_run</t>
  </si>
  <si>
    <t>1410207103_run</t>
  </si>
  <si>
    <t>1410207104_run</t>
  </si>
  <si>
    <t>1410207105_run</t>
  </si>
  <si>
    <t>1410207106_run</t>
  </si>
  <si>
    <t>1410207107_run</t>
  </si>
  <si>
    <t>1410207108_run</t>
  </si>
  <si>
    <t>1410207109_run</t>
  </si>
  <si>
    <t>1410207110_run</t>
  </si>
  <si>
    <t>1410207111_run</t>
  </si>
  <si>
    <t>1410207112_run</t>
  </si>
  <si>
    <t>1410207113_run</t>
  </si>
  <si>
    <t>1410207114_run</t>
  </si>
  <si>
    <t>1410207115_run</t>
  </si>
  <si>
    <t>1410207116_run</t>
  </si>
  <si>
    <t>1410207117_run</t>
  </si>
  <si>
    <t>1410207118_run</t>
  </si>
  <si>
    <t>1410207201_run</t>
  </si>
  <si>
    <t>1410207202_run</t>
  </si>
  <si>
    <t>1410207203_run</t>
  </si>
  <si>
    <t>1410207301_run</t>
  </si>
  <si>
    <t>1410207302_run</t>
  </si>
  <si>
    <t>1410208101_run</t>
  </si>
  <si>
    <t>1410208102_run</t>
  </si>
  <si>
    <t>1410208103_run</t>
  </si>
  <si>
    <t>1410208104_run</t>
  </si>
  <si>
    <t>1410208105_run</t>
  </si>
  <si>
    <t>1410208106_run</t>
  </si>
  <si>
    <t>1410208107_run</t>
  </si>
  <si>
    <t>1410208108_run</t>
  </si>
  <si>
    <t>1410208109_run</t>
  </si>
  <si>
    <t>1410208110_run</t>
  </si>
  <si>
    <t>1410208111_run</t>
  </si>
  <si>
    <t>1410208112_run</t>
  </si>
  <si>
    <t>1410208113_run</t>
  </si>
  <si>
    <t>1410208114_run</t>
  </si>
  <si>
    <t>1410208115_run</t>
  </si>
  <si>
    <t>1410208116_run</t>
  </si>
  <si>
    <t>1410208117_run</t>
  </si>
  <si>
    <t>1410208118_run</t>
  </si>
  <si>
    <t>1410208201_run</t>
  </si>
  <si>
    <t>1410208202_run</t>
  </si>
  <si>
    <t>1410208203_run</t>
  </si>
  <si>
    <t>1410208301_run</t>
  </si>
  <si>
    <t>1410208302_run</t>
  </si>
  <si>
    <t>1110701048_run</t>
  </si>
  <si>
    <t>1110701049_run</t>
  </si>
  <si>
    <t>1110701050_run</t>
  </si>
  <si>
    <t>1110701051_run</t>
  </si>
  <si>
    <t>1110701052_run</t>
  </si>
  <si>
    <t>1111301042_run</t>
  </si>
  <si>
    <t>1111301051_run</t>
  </si>
  <si>
    <t>1111301052_run</t>
  </si>
  <si>
    <t>1111301061_run</t>
  </si>
  <si>
    <t>1111301062_run</t>
  </si>
  <si>
    <t>1111301071_run</t>
  </si>
  <si>
    <t>1111301072_run</t>
  </si>
  <si>
    <t>1110401101_run</t>
  </si>
  <si>
    <t>1110401102_run</t>
  </si>
  <si>
    <t>1111601301_run</t>
  </si>
  <si>
    <t>1111601302_run</t>
  </si>
  <si>
    <t>1111601303_run</t>
  </si>
  <si>
    <t>1111601304_run</t>
  </si>
  <si>
    <t>1111601305_run</t>
  </si>
  <si>
    <t>바나클빌더</t>
    <phoneticPr fontId="1" type="noConversion"/>
  </si>
  <si>
    <t>마인드로더</t>
    <phoneticPr fontId="1" type="noConversion"/>
  </si>
  <si>
    <t>Tanker</t>
    <phoneticPr fontId="1" type="noConversion"/>
  </si>
  <si>
    <t>barnacle_builder_1</t>
    <phoneticPr fontId="1" type="noConversion"/>
  </si>
  <si>
    <t>mindloader_1</t>
    <phoneticPr fontId="1" type="noConversion"/>
  </si>
  <si>
    <t>Attacker</t>
    <phoneticPr fontId="1" type="noConversion"/>
  </si>
  <si>
    <t>섹터10</t>
    <phoneticPr fontId="1" type="noConversion"/>
  </si>
  <si>
    <t>섹터09</t>
    <phoneticPr fontId="1" type="noConversion"/>
  </si>
  <si>
    <t>Attribute</t>
  </si>
  <si>
    <t>AttributeType</t>
  </si>
  <si>
    <t>바나클빌더</t>
    <phoneticPr fontId="1" type="noConversion"/>
  </si>
  <si>
    <t>마인드로더</t>
    <phoneticPr fontId="1" type="noConversion"/>
  </si>
  <si>
    <t>Sector09</t>
    <phoneticPr fontId="1" type="noConversion"/>
  </si>
  <si>
    <t>Sector10</t>
    <phoneticPr fontId="1" type="noConversion"/>
  </si>
  <si>
    <t>Character/Timeline/02_MON/mindloader/appearance</t>
    <phoneticPr fontId="1" type="noConversion"/>
  </si>
  <si>
    <t>Character/Timeline/02_MON/mindloader/die</t>
    <phoneticPr fontId="1" type="noConversion"/>
  </si>
  <si>
    <t>Character/Timeline/02_MON/barnacle_builder_1/appearance</t>
    <phoneticPr fontId="1" type="noConversion"/>
  </si>
  <si>
    <t>Character/Timeline/02_MON/barnacle_builder_1/die</t>
    <phoneticPr fontId="1" type="noConversion"/>
  </si>
  <si>
    <t>Sector10.mindloader_1.skill04</t>
    <phoneticPr fontId="1" type="noConversion"/>
  </si>
  <si>
    <t>Sector10.mindloader_1.passive01</t>
    <phoneticPr fontId="1" type="noConversion"/>
  </si>
  <si>
    <t>Sector09.barnacle_builder_1.passive01</t>
    <phoneticPr fontId="1" type="noConversion"/>
  </si>
  <si>
    <t>Character/Timeline/02_MON/toxic_1/m_boss_attacker_toxic_2_appearance</t>
  </si>
  <si>
    <t>Character/Timeline/02_MON/goliath_2/m_boss_attacker_goliath_2@appearance</t>
  </si>
  <si>
    <t>CharacterSpine/c_ranger_mana_1</t>
    <phoneticPr fontId="1" type="noConversion"/>
  </si>
  <si>
    <t>CharacterSpine/c_attacker_airen_1</t>
    <phoneticPr fontId="1" type="noConversion"/>
  </si>
  <si>
    <t>CharacterSpine/c_ranger_aurora_1</t>
    <phoneticPr fontId="1" type="noConversion"/>
  </si>
  <si>
    <t>AttributeGold</t>
  </si>
  <si>
    <t>AttributePurple</t>
  </si>
  <si>
    <t>AttributePurple</t>
    <phoneticPr fontId="1" type="noConversion"/>
  </si>
  <si>
    <t>AttributeGold</t>
    <phoneticPr fontId="1" type="noConversion"/>
  </si>
  <si>
    <t>AttributeRed</t>
    <phoneticPr fontId="1" type="noConversion"/>
  </si>
  <si>
    <t>AttributeBlue</t>
    <phoneticPr fontId="1" type="noConversion"/>
  </si>
  <si>
    <t>AttributeGreen</t>
    <phoneticPr fontId="1" type="noConversion"/>
  </si>
  <si>
    <t>AttributeGold</t>
    <phoneticPr fontId="1" type="noConversion"/>
  </si>
  <si>
    <t>AttributePurple</t>
    <phoneticPr fontId="1" type="noConversion"/>
  </si>
  <si>
    <t>UltimateExSkill</t>
    <phoneticPr fontId="1" type="noConversion"/>
  </si>
  <si>
    <t>UltimateExSkill</t>
    <phoneticPr fontId="1" type="noConversion"/>
  </si>
  <si>
    <t>UltimateExSkill</t>
    <phoneticPr fontId="1" type="noConversion"/>
  </si>
  <si>
    <t>anne.ult.B</t>
  </si>
  <si>
    <t>ferrel.ult.B</t>
  </si>
  <si>
    <t>eiko.ult.B</t>
  </si>
  <si>
    <t>snopril.ult.B</t>
  </si>
  <si>
    <t>arcels.ult.B</t>
  </si>
  <si>
    <t>melissa.ult.B</t>
  </si>
  <si>
    <t>sia.ult.B</t>
  </si>
  <si>
    <t>kanata.ult.B</t>
  </si>
  <si>
    <t>lilian.ult.B</t>
  </si>
  <si>
    <t>daria.ult.B</t>
  </si>
  <si>
    <t>taina.ult.B</t>
  </si>
  <si>
    <t>iras.ult.B</t>
  </si>
  <si>
    <t>ambrosia.ult.B</t>
  </si>
  <si>
    <t>mea.ult.B</t>
  </si>
  <si>
    <t>rachel.ult.B</t>
  </si>
  <si>
    <t>belita.ult.B</t>
  </si>
  <si>
    <t>belebeta.ult.B</t>
  </si>
  <si>
    <t>yuna.ult.B</t>
  </si>
  <si>
    <t>fei.ult.B</t>
  </si>
  <si>
    <t>freyja.ult.B</t>
  </si>
  <si>
    <t>eradica.ult.B</t>
  </si>
  <si>
    <t>id.ult.B</t>
  </si>
  <si>
    <t>patricia.ult.B</t>
  </si>
  <si>
    <t>renas.ult.B</t>
  </si>
  <si>
    <t>erica.ult.B</t>
  </si>
  <si>
    <t>ino.ult.B</t>
  </si>
  <si>
    <t>hallona.ult.B</t>
  </si>
  <si>
    <t>airen.ult.B</t>
    <phoneticPr fontId="1" type="noConversion"/>
  </si>
  <si>
    <t>airen.ult.B</t>
    <phoneticPr fontId="1" type="noConversion"/>
  </si>
  <si>
    <t>airen.ult.B</t>
    <phoneticPr fontId="1" type="noConversion"/>
  </si>
  <si>
    <t>이사벨라 궁극기 소환</t>
    <phoneticPr fontId="1" type="noConversion"/>
  </si>
  <si>
    <t>이사벨라</t>
    <phoneticPr fontId="1" type="noConversion"/>
  </si>
  <si>
    <t>Character/Timeline/02_MON/barnacle_builder_1/appearance</t>
  </si>
  <si>
    <t>Character/Timeline/02_MON/barnacle_builder_1/die</t>
  </si>
  <si>
    <t>Character/Timeline/02_MON/mindloader/appearance</t>
  </si>
  <si>
    <t>Character/Timeline/02_MON/mindloader/die</t>
  </si>
  <si>
    <t>게임마스터</t>
    <phoneticPr fontId="1" type="noConversion"/>
  </si>
  <si>
    <t>보스</t>
    <phoneticPr fontId="1" type="noConversion"/>
  </si>
  <si>
    <t>Ranger</t>
    <phoneticPr fontId="1" type="noConversion"/>
  </si>
  <si>
    <t>gamemaster_1</t>
    <phoneticPr fontId="1" type="noConversion"/>
  </si>
  <si>
    <t>EventStory</t>
  </si>
  <si>
    <t>EventStory</t>
    <phoneticPr fontId="1" type="noConversion"/>
  </si>
  <si>
    <t>메카카나타</t>
    <phoneticPr fontId="1" type="noConversion"/>
  </si>
  <si>
    <t>Attacker</t>
    <phoneticPr fontId="1" type="noConversion"/>
  </si>
  <si>
    <t>1010920006_run</t>
  </si>
  <si>
    <t>1110002004_run</t>
  </si>
  <si>
    <t>1110503001_run</t>
  </si>
  <si>
    <t>1110504001_run</t>
  </si>
  <si>
    <t>1110504000_run</t>
  </si>
  <si>
    <t>1211201001_run</t>
  </si>
  <si>
    <t>1211202001_run</t>
  </si>
  <si>
    <t>1211202002_run</t>
  </si>
  <si>
    <t>1211401001_run</t>
  </si>
  <si>
    <t>1211401002_run</t>
  </si>
  <si>
    <t>1211401003_run</t>
  </si>
  <si>
    <t>1211401004_run</t>
  </si>
  <si>
    <t>1210501001_run</t>
  </si>
  <si>
    <t>1210501002_run</t>
  </si>
  <si>
    <t>1210502001_run</t>
  </si>
  <si>
    <t>1210502002_run</t>
  </si>
  <si>
    <t>1210503001_run</t>
  </si>
  <si>
    <t>1210504001_run</t>
  </si>
  <si>
    <t>1210504000_run</t>
  </si>
  <si>
    <t>1211101001_run</t>
  </si>
  <si>
    <t>1211101002_run</t>
  </si>
  <si>
    <t>1211101003_run</t>
  </si>
  <si>
    <t>1211301001_run</t>
  </si>
  <si>
    <t>1211301002_run</t>
  </si>
  <si>
    <t>1211301011_run</t>
  </si>
  <si>
    <t>1211301012_run</t>
  </si>
  <si>
    <t>1211301021_run</t>
  </si>
  <si>
    <t>1211301022_run</t>
  </si>
  <si>
    <t>1211301031_run</t>
  </si>
  <si>
    <t>1211301032_run</t>
  </si>
  <si>
    <t>1211301041_run</t>
  </si>
  <si>
    <t>1211301042_run</t>
  </si>
  <si>
    <t>1211301051_run</t>
  </si>
  <si>
    <t>1211301052_run</t>
  </si>
  <si>
    <t>1211301061_run</t>
  </si>
  <si>
    <t>1211301062_run</t>
  </si>
  <si>
    <t>1211301071_run</t>
  </si>
  <si>
    <t>1211301072_run</t>
  </si>
  <si>
    <t>1210301001_run</t>
  </si>
  <si>
    <t>1210301002_run</t>
  </si>
  <si>
    <t>1210301003_run</t>
  </si>
  <si>
    <t>1210301004_run</t>
  </si>
  <si>
    <t>1210301005_run</t>
  </si>
  <si>
    <t>1210301006_run</t>
  </si>
  <si>
    <t>1210302001_run</t>
  </si>
  <si>
    <t>1210302002_run</t>
  </si>
  <si>
    <t>1210302003_run</t>
  </si>
  <si>
    <t>1210302004_run</t>
  </si>
  <si>
    <t>1210302005_run</t>
  </si>
  <si>
    <t>1210302006_run</t>
  </si>
  <si>
    <t>1210302007_run</t>
  </si>
  <si>
    <t>1210302008_run</t>
  </si>
  <si>
    <t>1210302009_run</t>
  </si>
  <si>
    <t>1210302010_run</t>
  </si>
  <si>
    <t>1210303001_run</t>
  </si>
  <si>
    <t>1210303002_run</t>
  </si>
  <si>
    <t>1210303003_run</t>
  </si>
  <si>
    <t>1210304001_run</t>
  </si>
  <si>
    <t>1210304002_run</t>
  </si>
  <si>
    <t>1210305001_run</t>
  </si>
  <si>
    <t>1210305002_run</t>
  </si>
  <si>
    <t>1210305003_run</t>
  </si>
  <si>
    <t>1210305004_run</t>
  </si>
  <si>
    <t>1210305005_run</t>
  </si>
  <si>
    <t>1210305006_run</t>
  </si>
  <si>
    <t>1210305007_run</t>
  </si>
  <si>
    <t>1210305008_run</t>
  </si>
  <si>
    <t>1210305009_run</t>
  </si>
  <si>
    <t>1210305010_run</t>
  </si>
  <si>
    <t>1210305011_run</t>
  </si>
  <si>
    <t>1210305012_run</t>
  </si>
  <si>
    <t>1210305013_run</t>
  </si>
  <si>
    <t>1210305014_run</t>
  </si>
  <si>
    <t>1210401001_run</t>
  </si>
  <si>
    <t>1210401002_run</t>
  </si>
  <si>
    <t>1210401003_run</t>
  </si>
  <si>
    <t>1210401004_run</t>
  </si>
  <si>
    <t>1210401005_run</t>
  </si>
  <si>
    <t>1210401006_run</t>
  </si>
  <si>
    <t>1210401007_run</t>
  </si>
  <si>
    <t>1210401008_run</t>
  </si>
  <si>
    <t>1210401009_run</t>
  </si>
  <si>
    <t>1210401010_run</t>
  </si>
  <si>
    <t>1210401011_run</t>
  </si>
  <si>
    <t>1210401012_run</t>
  </si>
  <si>
    <t>1210401013_run</t>
  </si>
  <si>
    <t>1210401014_run</t>
  </si>
  <si>
    <t>1210401015_run</t>
  </si>
  <si>
    <t>1210401016_run</t>
  </si>
  <si>
    <t>1210401017_run</t>
  </si>
  <si>
    <t>1210401018_run</t>
  </si>
  <si>
    <t>1210401019_run</t>
  </si>
  <si>
    <t>1210401020_run</t>
  </si>
  <si>
    <t>1210401021_run</t>
  </si>
  <si>
    <t>1210401022_run</t>
  </si>
  <si>
    <t>1210401023_run</t>
  </si>
  <si>
    <t>1210401024_run</t>
  </si>
  <si>
    <t>1210401025_run</t>
  </si>
  <si>
    <t>1210401101_run</t>
  </si>
  <si>
    <t>1210401102_run</t>
  </si>
  <si>
    <t>1210200101_run</t>
  </si>
  <si>
    <t>1210200102_run</t>
  </si>
  <si>
    <t>1210200103_run</t>
  </si>
  <si>
    <t>1211601301_run</t>
  </si>
  <si>
    <t>1211601302_run</t>
  </si>
  <si>
    <t>1211601303_run</t>
  </si>
  <si>
    <t>1211601304_run</t>
  </si>
  <si>
    <t>1211601305_run</t>
  </si>
  <si>
    <t>1311201001_run</t>
  </si>
  <si>
    <t>1311202001_run</t>
  </si>
  <si>
    <t>1311202002_run</t>
  </si>
  <si>
    <t>1311401001_run</t>
  </si>
  <si>
    <t>1311401002_run</t>
  </si>
  <si>
    <t>1311401003_run</t>
  </si>
  <si>
    <t>1311401004_run</t>
  </si>
  <si>
    <t>1310501001_run</t>
  </si>
  <si>
    <t>1310501002_run</t>
  </si>
  <si>
    <t>1310502001_run</t>
  </si>
  <si>
    <t>1310502002_run</t>
  </si>
  <si>
    <t>1310503001_run</t>
  </si>
  <si>
    <t>1310504001_run</t>
  </si>
  <si>
    <t>1310504000_run</t>
  </si>
  <si>
    <t>1311101001_run</t>
  </si>
  <si>
    <t>1311101002_run</t>
  </si>
  <si>
    <t>1311101003_run</t>
  </si>
  <si>
    <t>1311301001_run</t>
  </si>
  <si>
    <t>1311301002_run</t>
  </si>
  <si>
    <t>1311301011_run</t>
  </si>
  <si>
    <t>1311301012_run</t>
  </si>
  <si>
    <t>1311301021_run</t>
  </si>
  <si>
    <t>1311301022_run</t>
  </si>
  <si>
    <t>1311301031_run</t>
  </si>
  <si>
    <t>1311301032_run</t>
  </si>
  <si>
    <t>1311301041_run</t>
  </si>
  <si>
    <t>1311301042_run</t>
  </si>
  <si>
    <t>1311301051_run</t>
  </si>
  <si>
    <t>1311301052_run</t>
  </si>
  <si>
    <t>1311301061_run</t>
  </si>
  <si>
    <t>1311301062_run</t>
  </si>
  <si>
    <t>1311301071_run</t>
  </si>
  <si>
    <t>1311301072_run</t>
  </si>
  <si>
    <t>1310301001_run</t>
  </si>
  <si>
    <t>1310301002_run</t>
  </si>
  <si>
    <t>1310301003_run</t>
  </si>
  <si>
    <t>1310301004_run</t>
  </si>
  <si>
    <t>1310301005_run</t>
  </si>
  <si>
    <t>1310301006_run</t>
  </si>
  <si>
    <t>1310302001_run</t>
  </si>
  <si>
    <t>1310302002_run</t>
  </si>
  <si>
    <t>1310302003_run</t>
  </si>
  <si>
    <t>1310302004_run</t>
  </si>
  <si>
    <t>1310302005_run</t>
  </si>
  <si>
    <t>1310302006_run</t>
  </si>
  <si>
    <t>1310302007_run</t>
  </si>
  <si>
    <t>1310302008_run</t>
  </si>
  <si>
    <t>1310302009_run</t>
  </si>
  <si>
    <t>1310302010_run</t>
  </si>
  <si>
    <t>1310303001_run</t>
  </si>
  <si>
    <t>1310303002_run</t>
  </si>
  <si>
    <t>1310303003_run</t>
  </si>
  <si>
    <t>1310304001_run</t>
  </si>
  <si>
    <t>1310304002_run</t>
  </si>
  <si>
    <t>1310305001_run</t>
  </si>
  <si>
    <t>1310305002_run</t>
  </si>
  <si>
    <t>1310305003_run</t>
  </si>
  <si>
    <t>1310305004_run</t>
  </si>
  <si>
    <t>1310305005_run</t>
  </si>
  <si>
    <t>1310305006_run</t>
  </si>
  <si>
    <t>1310305007_run</t>
  </si>
  <si>
    <t>1310305008_run</t>
  </si>
  <si>
    <t>1310305009_run</t>
  </si>
  <si>
    <t>1310305010_run</t>
  </si>
  <si>
    <t>1310305011_run</t>
  </si>
  <si>
    <t>1310305012_run</t>
  </si>
  <si>
    <t>1310305013_run</t>
  </si>
  <si>
    <t>1310305014_run</t>
  </si>
  <si>
    <t>1310401001_run</t>
  </si>
  <si>
    <t>1310401002_run</t>
  </si>
  <si>
    <t>1310401003_run</t>
  </si>
  <si>
    <t>1310401004_run</t>
  </si>
  <si>
    <t>1310401005_run</t>
  </si>
  <si>
    <t>1310401006_run</t>
  </si>
  <si>
    <t>1310401007_run</t>
  </si>
  <si>
    <t>1310401008_run</t>
  </si>
  <si>
    <t>1310401009_run</t>
  </si>
  <si>
    <t>1310401010_run</t>
  </si>
  <si>
    <t>1310401011_run</t>
  </si>
  <si>
    <t>1310401012_run</t>
  </si>
  <si>
    <t>1310401013_run</t>
  </si>
  <si>
    <t>1310401014_run</t>
  </si>
  <si>
    <t>1310401015_run</t>
  </si>
  <si>
    <t>1310401016_run</t>
  </si>
  <si>
    <t>1310401017_run</t>
  </si>
  <si>
    <t>1310401018_run</t>
  </si>
  <si>
    <t>1310401019_run</t>
  </si>
  <si>
    <t>1310401020_run</t>
  </si>
  <si>
    <t>1310401021_run</t>
  </si>
  <si>
    <t>1310401022_run</t>
  </si>
  <si>
    <t>1310401023_run</t>
  </si>
  <si>
    <t>1310401024_run</t>
  </si>
  <si>
    <t>1310401025_run</t>
  </si>
  <si>
    <t>1310401101_run</t>
  </si>
  <si>
    <t>1310401102_run</t>
  </si>
  <si>
    <t>1310200101_run</t>
  </si>
  <si>
    <t>1310200102_run</t>
  </si>
  <si>
    <t>1310200103_run</t>
  </si>
  <si>
    <t>1311601301_run</t>
  </si>
  <si>
    <t>1311601302_run</t>
  </si>
  <si>
    <t>1311601303_run</t>
  </si>
  <si>
    <t>1311601304_run</t>
  </si>
  <si>
    <t>1311601305_run</t>
  </si>
  <si>
    <t>1411201001_run</t>
  </si>
  <si>
    <t>1411202001_run</t>
  </si>
  <si>
    <t>1411202002_run</t>
  </si>
  <si>
    <t>1411401001_run</t>
  </si>
  <si>
    <t>1411401002_run</t>
  </si>
  <si>
    <t>1411401003_run</t>
  </si>
  <si>
    <t>1411401004_run</t>
  </si>
  <si>
    <t>1410501001_run</t>
  </si>
  <si>
    <t>1410501002_run</t>
  </si>
  <si>
    <t>1410502001_run</t>
  </si>
  <si>
    <t>1410502002_run</t>
  </si>
  <si>
    <t>1410503001_run</t>
  </si>
  <si>
    <t>1410504001_run</t>
  </si>
  <si>
    <t>1410504000_run</t>
  </si>
  <si>
    <t>1411101001_run</t>
  </si>
  <si>
    <t>1411101002_run</t>
  </si>
  <si>
    <t>1411101003_run</t>
  </si>
  <si>
    <t>1411301001_run</t>
  </si>
  <si>
    <t>1411301002_run</t>
  </si>
  <si>
    <t>1411301011_run</t>
  </si>
  <si>
    <t>1411301012_run</t>
  </si>
  <si>
    <t>1411301021_run</t>
  </si>
  <si>
    <t>1411301022_run</t>
  </si>
  <si>
    <t>1411301031_run</t>
  </si>
  <si>
    <t>1411301032_run</t>
  </si>
  <si>
    <t>1411301041_run</t>
  </si>
  <si>
    <t>1411301042_run</t>
  </si>
  <si>
    <t>1411301051_run</t>
  </si>
  <si>
    <t>1411301052_run</t>
  </si>
  <si>
    <t>1411301061_run</t>
  </si>
  <si>
    <t>1411301062_run</t>
  </si>
  <si>
    <t>1411301071_run</t>
  </si>
  <si>
    <t>1411301072_run</t>
  </si>
  <si>
    <t>1410301001_run</t>
  </si>
  <si>
    <t>1410301002_run</t>
  </si>
  <si>
    <t>1410301003_run</t>
  </si>
  <si>
    <t>1410301004_run</t>
  </si>
  <si>
    <t>1410301005_run</t>
  </si>
  <si>
    <t>1410301006_run</t>
  </si>
  <si>
    <t>1410302001_run</t>
  </si>
  <si>
    <t>1410302002_run</t>
  </si>
  <si>
    <t>1410302003_run</t>
  </si>
  <si>
    <t>1410302004_run</t>
  </si>
  <si>
    <t>1410302005_run</t>
  </si>
  <si>
    <t>1410302006_run</t>
  </si>
  <si>
    <t>1410302007_run</t>
  </si>
  <si>
    <t>1410302008_run</t>
  </si>
  <si>
    <t>1410302009_run</t>
  </si>
  <si>
    <t>1410302010_run</t>
  </si>
  <si>
    <t>1410303001_run</t>
  </si>
  <si>
    <t>1410303002_run</t>
  </si>
  <si>
    <t>1410303003_run</t>
  </si>
  <si>
    <t>1410304001_run</t>
  </si>
  <si>
    <t>1410304002_run</t>
  </si>
  <si>
    <t>1410305001_run</t>
  </si>
  <si>
    <t>1410305002_run</t>
  </si>
  <si>
    <t>1410305003_run</t>
  </si>
  <si>
    <t>1410305004_run</t>
  </si>
  <si>
    <t>1410305005_run</t>
  </si>
  <si>
    <t>1410305006_run</t>
  </si>
  <si>
    <t>1410305007_run</t>
  </si>
  <si>
    <t>1410305008_run</t>
  </si>
  <si>
    <t>1410305009_run</t>
  </si>
  <si>
    <t>1410305010_run</t>
  </si>
  <si>
    <t>1410305011_run</t>
  </si>
  <si>
    <t>1410305012_run</t>
  </si>
  <si>
    <t>1410305013_run</t>
  </si>
  <si>
    <t>1410305014_run</t>
  </si>
  <si>
    <t>1410401001_run</t>
  </si>
  <si>
    <t>1410401002_run</t>
  </si>
  <si>
    <t>1410401003_run</t>
  </si>
  <si>
    <t>1410401004_run</t>
  </si>
  <si>
    <t>1410401005_run</t>
  </si>
  <si>
    <t>1410401006_run</t>
  </si>
  <si>
    <t>1410401007_run</t>
  </si>
  <si>
    <t>1410401008_run</t>
  </si>
  <si>
    <t>1410401009_run</t>
  </si>
  <si>
    <t>1410401010_run</t>
  </si>
  <si>
    <t>1410401011_run</t>
  </si>
  <si>
    <t>1410401012_run</t>
  </si>
  <si>
    <t>1410401013_run</t>
  </si>
  <si>
    <t>1410401014_run</t>
  </si>
  <si>
    <t>1410401015_run</t>
  </si>
  <si>
    <t>1410401016_run</t>
  </si>
  <si>
    <t>1410401017_run</t>
  </si>
  <si>
    <t>1410401018_run</t>
  </si>
  <si>
    <t>1410401019_run</t>
  </si>
  <si>
    <t>1410401020_run</t>
  </si>
  <si>
    <t>1410401021_run</t>
  </si>
  <si>
    <t>1410401022_run</t>
  </si>
  <si>
    <t>1410401023_run</t>
  </si>
  <si>
    <t>1410401024_run</t>
  </si>
  <si>
    <t>1410401025_run</t>
  </si>
  <si>
    <t>1410401101_run</t>
  </si>
  <si>
    <t>1410401102_run</t>
  </si>
  <si>
    <t>1410200101_run</t>
  </si>
  <si>
    <t>1410200102_run</t>
  </si>
  <si>
    <t>1410200103_run</t>
  </si>
  <si>
    <t>1411601301_run</t>
  </si>
  <si>
    <t>1411601302_run</t>
  </si>
  <si>
    <t>1411601303_run</t>
  </si>
  <si>
    <t>1411601304_run</t>
  </si>
  <si>
    <t>1411601305_run</t>
  </si>
  <si>
    <t>1511201001_run</t>
  </si>
  <si>
    <t>1511202001_run</t>
  </si>
  <si>
    <t>1511202002_run</t>
  </si>
  <si>
    <t>1511401001_run</t>
  </si>
  <si>
    <t>1511401002_run</t>
  </si>
  <si>
    <t>1511401003_run</t>
  </si>
  <si>
    <t>1511401004_run</t>
  </si>
  <si>
    <t>1510501001_run</t>
  </si>
  <si>
    <t>1510501002_run</t>
  </si>
  <si>
    <t>1510502001_run</t>
  </si>
  <si>
    <t>1510502002_run</t>
  </si>
  <si>
    <t>1510503001_run</t>
  </si>
  <si>
    <t>1510504001_run</t>
  </si>
  <si>
    <t>1510504000_run</t>
  </si>
  <si>
    <t>1511101001_run</t>
  </si>
  <si>
    <t>1511101002_run</t>
  </si>
  <si>
    <t>1511101003_run</t>
  </si>
  <si>
    <t>1511301001_run</t>
  </si>
  <si>
    <t>1511301002_run</t>
  </si>
  <si>
    <t>1511301011_run</t>
  </si>
  <si>
    <t>1511301012_run</t>
  </si>
  <si>
    <t>1511301021_run</t>
  </si>
  <si>
    <t>1511301022_run</t>
  </si>
  <si>
    <t>1511301031_run</t>
  </si>
  <si>
    <t>1511301032_run</t>
  </si>
  <si>
    <t>1511301041_run</t>
  </si>
  <si>
    <t>1511301042_run</t>
  </si>
  <si>
    <t>1511301051_run</t>
  </si>
  <si>
    <t>1511301052_run</t>
  </si>
  <si>
    <t>1511301061_run</t>
  </si>
  <si>
    <t>1511301062_run</t>
  </si>
  <si>
    <t>1511301071_run</t>
  </si>
  <si>
    <t>1511301072_run</t>
  </si>
  <si>
    <t>1510301001_run</t>
  </si>
  <si>
    <t>1510301002_run</t>
  </si>
  <si>
    <t>1510301003_run</t>
  </si>
  <si>
    <t>1510301004_run</t>
  </si>
  <si>
    <t>1510301005_run</t>
  </si>
  <si>
    <t>1510301006_run</t>
  </si>
  <si>
    <t>1510302001_run</t>
  </si>
  <si>
    <t>1510302002_run</t>
  </si>
  <si>
    <t>1510302003_run</t>
  </si>
  <si>
    <t>1510302004_run</t>
  </si>
  <si>
    <t>1510302005_run</t>
  </si>
  <si>
    <t>1510302006_run</t>
  </si>
  <si>
    <t>1510302007_run</t>
  </si>
  <si>
    <t>1510302008_run</t>
  </si>
  <si>
    <t>1510302009_run</t>
  </si>
  <si>
    <t>1510302010_run</t>
  </si>
  <si>
    <t>1510303001_run</t>
  </si>
  <si>
    <t>1510303002_run</t>
  </si>
  <si>
    <t>1510303003_run</t>
  </si>
  <si>
    <t>1510304001_run</t>
  </si>
  <si>
    <t>1510304002_run</t>
  </si>
  <si>
    <t>1510305001_run</t>
  </si>
  <si>
    <t>1510305002_run</t>
  </si>
  <si>
    <t>1510305003_run</t>
  </si>
  <si>
    <t>1510305004_run</t>
  </si>
  <si>
    <t>1510305005_run</t>
  </si>
  <si>
    <t>1510305006_run</t>
  </si>
  <si>
    <t>1510305007_run</t>
  </si>
  <si>
    <t>1510305008_run</t>
  </si>
  <si>
    <t>1510305009_run</t>
  </si>
  <si>
    <t>1510305010_run</t>
  </si>
  <si>
    <t>1510305011_run</t>
  </si>
  <si>
    <t>1510305012_run</t>
  </si>
  <si>
    <t>1510305013_run</t>
  </si>
  <si>
    <t>1510305014_run</t>
  </si>
  <si>
    <t>1510401001_run</t>
  </si>
  <si>
    <t>1510401002_run</t>
  </si>
  <si>
    <t>1510401003_run</t>
  </si>
  <si>
    <t>1510401004_run</t>
  </si>
  <si>
    <t>1510401005_run</t>
  </si>
  <si>
    <t>1510401006_run</t>
  </si>
  <si>
    <t>1510401007_run</t>
  </si>
  <si>
    <t>1510401008_run</t>
  </si>
  <si>
    <t>1510401009_run</t>
  </si>
  <si>
    <t>1510401010_run</t>
  </si>
  <si>
    <t>1510401011_run</t>
  </si>
  <si>
    <t>1510401012_run</t>
  </si>
  <si>
    <t>1510401013_run</t>
  </si>
  <si>
    <t>1510401014_run</t>
  </si>
  <si>
    <t>1510401015_run</t>
  </si>
  <si>
    <t>1510401016_run</t>
  </si>
  <si>
    <t>1510401017_run</t>
  </si>
  <si>
    <t>1510401018_run</t>
  </si>
  <si>
    <t>1510401019_run</t>
  </si>
  <si>
    <t>1510401020_run</t>
  </si>
  <si>
    <t>1510401021_run</t>
  </si>
  <si>
    <t>1510401022_run</t>
  </si>
  <si>
    <t>1510401023_run</t>
  </si>
  <si>
    <t>1510401024_run</t>
  </si>
  <si>
    <t>1510401025_run</t>
  </si>
  <si>
    <t>1510401101_run</t>
  </si>
  <si>
    <t>1510401102_run</t>
  </si>
  <si>
    <t>1510200101_run</t>
  </si>
  <si>
    <t>1510200102_run</t>
  </si>
  <si>
    <t>1510200103_run</t>
  </si>
  <si>
    <t>1511601301_run</t>
  </si>
  <si>
    <t>1511601302_run</t>
  </si>
  <si>
    <t>1511601303_run</t>
  </si>
  <si>
    <t>1511601304_run</t>
  </si>
  <si>
    <t>1511601305_run</t>
  </si>
  <si>
    <t>1611201001_run</t>
  </si>
  <si>
    <t>1611202001_run</t>
  </si>
  <si>
    <t>1611202002_run</t>
  </si>
  <si>
    <t>1611401001_run</t>
  </si>
  <si>
    <t>1611401002_run</t>
  </si>
  <si>
    <t>1611401003_run</t>
  </si>
  <si>
    <t>1611401004_run</t>
  </si>
  <si>
    <t>1610501001_run</t>
  </si>
  <si>
    <t>1610501002_run</t>
  </si>
  <si>
    <t>1610502001_run</t>
  </si>
  <si>
    <t>1610502002_run</t>
  </si>
  <si>
    <t>1610503001_run</t>
  </si>
  <si>
    <t>1610504001_run</t>
  </si>
  <si>
    <t>1610504000_run</t>
  </si>
  <si>
    <t>1611101001_run</t>
  </si>
  <si>
    <t>1611101002_run</t>
  </si>
  <si>
    <t>1611101003_run</t>
  </si>
  <si>
    <t>1611301001_run</t>
  </si>
  <si>
    <t>1611301002_run</t>
  </si>
  <si>
    <t>1611301011_run</t>
  </si>
  <si>
    <t>1611301012_run</t>
  </si>
  <si>
    <t>1611301021_run</t>
  </si>
  <si>
    <t>1611301022_run</t>
  </si>
  <si>
    <t>1611301031_run</t>
  </si>
  <si>
    <t>1611301032_run</t>
  </si>
  <si>
    <t>1611301041_run</t>
  </si>
  <si>
    <t>1611301042_run</t>
  </si>
  <si>
    <t>1611301051_run</t>
  </si>
  <si>
    <t>1611301052_run</t>
  </si>
  <si>
    <t>1611301061_run</t>
  </si>
  <si>
    <t>1611301062_run</t>
  </si>
  <si>
    <t>1611301071_run</t>
  </si>
  <si>
    <t>1611301072_run</t>
  </si>
  <si>
    <t>1610301001_run</t>
  </si>
  <si>
    <t>1610301002_run</t>
  </si>
  <si>
    <t>1610301003_run</t>
  </si>
  <si>
    <t>1610301004_run</t>
  </si>
  <si>
    <t>1610301005_run</t>
  </si>
  <si>
    <t>1610301006_run</t>
  </si>
  <si>
    <t>1610302001_run</t>
  </si>
  <si>
    <t>1610302002_run</t>
  </si>
  <si>
    <t>1610302003_run</t>
  </si>
  <si>
    <t>1610302004_run</t>
  </si>
  <si>
    <t>1610302005_run</t>
  </si>
  <si>
    <t>1610302006_run</t>
  </si>
  <si>
    <t>1610302007_run</t>
  </si>
  <si>
    <t>1610302008_run</t>
  </si>
  <si>
    <t>1610302009_run</t>
  </si>
  <si>
    <t>1610302010_run</t>
  </si>
  <si>
    <t>1610303001_run</t>
  </si>
  <si>
    <t>1610303002_run</t>
  </si>
  <si>
    <t>1610303003_run</t>
  </si>
  <si>
    <t>1610304001_run</t>
  </si>
  <si>
    <t>1610304002_run</t>
  </si>
  <si>
    <t>1610305001_run</t>
  </si>
  <si>
    <t>1610305002_run</t>
  </si>
  <si>
    <t>1610305003_run</t>
  </si>
  <si>
    <t>1610305004_run</t>
  </si>
  <si>
    <t>1610305005_run</t>
  </si>
  <si>
    <t>1610305006_run</t>
  </si>
  <si>
    <t>1610305007_run</t>
  </si>
  <si>
    <t>1610305008_run</t>
  </si>
  <si>
    <t>1610305009_run</t>
  </si>
  <si>
    <t>1610305010_run</t>
  </si>
  <si>
    <t>1610305011_run</t>
  </si>
  <si>
    <t>1610305012_run</t>
  </si>
  <si>
    <t>1610305013_run</t>
  </si>
  <si>
    <t>1610305014_run</t>
  </si>
  <si>
    <t>1610401001_run</t>
  </si>
  <si>
    <t>1610401002_run</t>
  </si>
  <si>
    <t>1610401003_run</t>
  </si>
  <si>
    <t>1610401004_run</t>
  </si>
  <si>
    <t>1610401005_run</t>
  </si>
  <si>
    <t>1610401006_run</t>
  </si>
  <si>
    <t>1610401007_run</t>
  </si>
  <si>
    <t>1610401008_run</t>
  </si>
  <si>
    <t>1610401009_run</t>
  </si>
  <si>
    <t>1610401010_run</t>
  </si>
  <si>
    <t>1610401011_run</t>
  </si>
  <si>
    <t>1610401012_run</t>
  </si>
  <si>
    <t>1610401013_run</t>
  </si>
  <si>
    <t>1610401014_run</t>
  </si>
  <si>
    <t>1610401015_run</t>
  </si>
  <si>
    <t>1610401016_run</t>
  </si>
  <si>
    <t>1610401017_run</t>
  </si>
  <si>
    <t>1610401018_run</t>
  </si>
  <si>
    <t>1610401019_run</t>
  </si>
  <si>
    <t>1610401020_run</t>
  </si>
  <si>
    <t>1610401021_run</t>
  </si>
  <si>
    <t>1610401022_run</t>
  </si>
  <si>
    <t>1610401023_run</t>
  </si>
  <si>
    <t>1610401024_run</t>
  </si>
  <si>
    <t>1610401025_run</t>
  </si>
  <si>
    <t>1610401101_run</t>
  </si>
  <si>
    <t>1610401102_run</t>
  </si>
  <si>
    <t>1610200101_run</t>
  </si>
  <si>
    <t>1610200102_run</t>
  </si>
  <si>
    <t>1610200103_run</t>
  </si>
  <si>
    <t>1611601301_run</t>
  </si>
  <si>
    <t>1611601302_run</t>
  </si>
  <si>
    <t>1611601303_run</t>
  </si>
  <si>
    <t>1611601304_run</t>
  </si>
  <si>
    <t>1611601305_run</t>
  </si>
  <si>
    <t>1110209301_run</t>
  </si>
  <si>
    <t>1110210301_run</t>
  </si>
  <si>
    <t>1610202108_run</t>
  </si>
  <si>
    <t>1610202109_run</t>
  </si>
  <si>
    <t>1610202110_run</t>
  </si>
  <si>
    <t>1610202111_run</t>
  </si>
  <si>
    <t>1610202112_run</t>
  </si>
  <si>
    <t>1610202113_run</t>
  </si>
  <si>
    <t>1610202114_run</t>
  </si>
  <si>
    <t>1610202115_run</t>
  </si>
  <si>
    <t>1610202116_run</t>
  </si>
  <si>
    <t>1610202117_run</t>
  </si>
  <si>
    <t>1610202118_run</t>
  </si>
  <si>
    <t>1610202201_run</t>
  </si>
  <si>
    <t>1610202202_run</t>
  </si>
  <si>
    <t>1610202203_run</t>
  </si>
  <si>
    <t>1610202301_run</t>
  </si>
  <si>
    <t>1610202302_run</t>
  </si>
  <si>
    <t>1610203101_run</t>
  </si>
  <si>
    <t>1610203102_run</t>
  </si>
  <si>
    <t>1610203103_run</t>
  </si>
  <si>
    <t>1610203104_run</t>
  </si>
  <si>
    <t>1610203105_run</t>
  </si>
  <si>
    <t>1610203106_run</t>
  </si>
  <si>
    <t>1610203107_run</t>
  </si>
  <si>
    <t>1610203108_run</t>
  </si>
  <si>
    <t>1610203109_run</t>
  </si>
  <si>
    <t>1610203110_run</t>
  </si>
  <si>
    <t>1610203111_run</t>
  </si>
  <si>
    <t>1610203112_run</t>
  </si>
  <si>
    <t>1610203113_run</t>
  </si>
  <si>
    <t>1610203114_run</t>
  </si>
  <si>
    <t>1610203115_run</t>
  </si>
  <si>
    <t>1610203116_run</t>
  </si>
  <si>
    <t>1610203117_run</t>
  </si>
  <si>
    <t>1610203118_run</t>
  </si>
  <si>
    <t>1610203119_run</t>
  </si>
  <si>
    <t>1610203120_run</t>
  </si>
  <si>
    <t>1610203201_run</t>
  </si>
  <si>
    <t>1610203202_run</t>
  </si>
  <si>
    <t>1610203203_run</t>
  </si>
  <si>
    <t>1610203301_run</t>
  </si>
  <si>
    <t>1610203302_run</t>
  </si>
  <si>
    <t>1610204101_run</t>
  </si>
  <si>
    <t>1610204102_run</t>
  </si>
  <si>
    <t>1610204103_run</t>
  </si>
  <si>
    <t>1610204104_run</t>
  </si>
  <si>
    <t>1610204105_run</t>
  </si>
  <si>
    <t>1610204106_run</t>
  </si>
  <si>
    <t>1610204107_run</t>
  </si>
  <si>
    <t>1610204108_run</t>
  </si>
  <si>
    <t>1610204109_run</t>
  </si>
  <si>
    <t>1610204110_run</t>
  </si>
  <si>
    <t>1610204111_run</t>
  </si>
  <si>
    <t>1610204112_run</t>
  </si>
  <si>
    <t>1610204113_run</t>
  </si>
  <si>
    <t>1610204114_run</t>
  </si>
  <si>
    <t>1610204115_run</t>
  </si>
  <si>
    <t>1610204116_run</t>
  </si>
  <si>
    <t>1610204117_run</t>
  </si>
  <si>
    <t>1610204118_run</t>
  </si>
  <si>
    <t>1610204119_run</t>
  </si>
  <si>
    <t>1610204120_run</t>
  </si>
  <si>
    <t>1610204121_run</t>
  </si>
  <si>
    <t>1610204122_run</t>
  </si>
  <si>
    <t>1610204201_run</t>
  </si>
  <si>
    <t>1610204202_run</t>
  </si>
  <si>
    <t>1610204203_run</t>
  </si>
  <si>
    <t>1610204301_run</t>
  </si>
  <si>
    <t>1610204302_run</t>
  </si>
  <si>
    <t>1610205101_run</t>
  </si>
  <si>
    <t>1610205102_run</t>
  </si>
  <si>
    <t>1610205103_run</t>
  </si>
  <si>
    <t>1610205104_run</t>
  </si>
  <si>
    <t>1610205105_run</t>
  </si>
  <si>
    <t>1610205106_run</t>
  </si>
  <si>
    <t>1610205107_run</t>
  </si>
  <si>
    <t>1610205108_run</t>
  </si>
  <si>
    <t>1610205109_run</t>
  </si>
  <si>
    <t>1610205110_run</t>
  </si>
  <si>
    <t>1610205111_run</t>
  </si>
  <si>
    <t>1610205112_run</t>
  </si>
  <si>
    <t>1610205113_run</t>
  </si>
  <si>
    <t>1610205114_run</t>
  </si>
  <si>
    <t>1610205115_run</t>
  </si>
  <si>
    <t>1610205116_run</t>
  </si>
  <si>
    <t>1610205117_run</t>
  </si>
  <si>
    <t>1610205118_run</t>
  </si>
  <si>
    <t>1610205119_run</t>
  </si>
  <si>
    <t>1610205120_run</t>
  </si>
  <si>
    <t>1610205201_run</t>
  </si>
  <si>
    <t>1610205202_run</t>
  </si>
  <si>
    <t>1610205203_run</t>
  </si>
  <si>
    <t>1610205301_run</t>
  </si>
  <si>
    <t>1610205302_run</t>
  </si>
  <si>
    <t>1610206101_run</t>
  </si>
  <si>
    <t>1610206102_run</t>
  </si>
  <si>
    <t>1610206103_run</t>
  </si>
  <si>
    <t>1610206104_run</t>
  </si>
  <si>
    <t>1610206105_run</t>
  </si>
  <si>
    <t>1610206106_run</t>
  </si>
  <si>
    <t>1610206107_run</t>
  </si>
  <si>
    <t>1610206108_run</t>
  </si>
  <si>
    <t>1610206109_run</t>
  </si>
  <si>
    <t>1610206110_run</t>
  </si>
  <si>
    <t>1610206111_run</t>
  </si>
  <si>
    <t>1610206112_run</t>
  </si>
  <si>
    <t>1610206113_run</t>
  </si>
  <si>
    <t>1610206114_run</t>
  </si>
  <si>
    <t>1610206115_run</t>
  </si>
  <si>
    <t>1610206116_run</t>
  </si>
  <si>
    <t>1610206117_run</t>
  </si>
  <si>
    <t>1610206118_run</t>
  </si>
  <si>
    <t>1610206201_run</t>
  </si>
  <si>
    <t>1610206202_run</t>
  </si>
  <si>
    <t>1610206203_run</t>
  </si>
  <si>
    <t>1610206301_run</t>
  </si>
  <si>
    <t>1610206302_run</t>
  </si>
  <si>
    <t>1610207101_run</t>
  </si>
  <si>
    <t>1610207102_run</t>
  </si>
  <si>
    <t>1610207103_run</t>
  </si>
  <si>
    <t>1610207104_run</t>
  </si>
  <si>
    <t>1610207105_run</t>
  </si>
  <si>
    <t>1610207106_run</t>
  </si>
  <si>
    <t>1610207107_run</t>
  </si>
  <si>
    <t>1610207108_run</t>
  </si>
  <si>
    <t>1610207109_run</t>
  </si>
  <si>
    <t>1610207110_run</t>
  </si>
  <si>
    <t>1610207111_run</t>
  </si>
  <si>
    <t>1610207112_run</t>
  </si>
  <si>
    <t>1610207113_run</t>
  </si>
  <si>
    <t>1610207114_run</t>
  </si>
  <si>
    <t>1610207115_run</t>
  </si>
  <si>
    <t>1610207116_run</t>
  </si>
  <si>
    <t>1610207117_run</t>
  </si>
  <si>
    <t>1610207118_run</t>
  </si>
  <si>
    <t>1610207201_run</t>
  </si>
  <si>
    <t>1610207202_run</t>
  </si>
  <si>
    <t>1610207203_run</t>
  </si>
  <si>
    <t>1610207301_run</t>
  </si>
  <si>
    <t>1610207302_run</t>
  </si>
  <si>
    <t>1610208101_run</t>
  </si>
  <si>
    <t>1610208102_run</t>
  </si>
  <si>
    <t>1610208103_run</t>
  </si>
  <si>
    <t>1610208104_run</t>
  </si>
  <si>
    <t>1610208105_run</t>
  </si>
  <si>
    <t>1610208106_run</t>
  </si>
  <si>
    <t>1610208107_run</t>
  </si>
  <si>
    <t>1610208108_run</t>
  </si>
  <si>
    <t>1610208109_run</t>
  </si>
  <si>
    <t>1610208110_run</t>
  </si>
  <si>
    <t>1610208111_run</t>
  </si>
  <si>
    <t>1610208112_run</t>
  </si>
  <si>
    <t>1610208113_run</t>
  </si>
  <si>
    <t>1610208114_run</t>
  </si>
  <si>
    <t>1610208115_run</t>
  </si>
  <si>
    <t>1610208116_run</t>
  </si>
  <si>
    <t>1610208117_run</t>
  </si>
  <si>
    <t>1610208118_run</t>
  </si>
  <si>
    <t>1610208201_run</t>
  </si>
  <si>
    <t>1610208202_run</t>
  </si>
  <si>
    <t>1610208203_run</t>
  </si>
  <si>
    <t>1610208301_run</t>
  </si>
  <si>
    <t>1610208302_run</t>
  </si>
  <si>
    <t>1510201101_run</t>
  </si>
  <si>
    <t>1510201102_run</t>
  </si>
  <si>
    <t>1510201103_run</t>
  </si>
  <si>
    <t>1510201104_run</t>
  </si>
  <si>
    <t>1510201105_run</t>
  </si>
  <si>
    <t>1510201106_run</t>
  </si>
  <si>
    <t>1510201107_run</t>
  </si>
  <si>
    <t>1510201108_run</t>
  </si>
  <si>
    <t>1510201109_run</t>
  </si>
  <si>
    <t>1510201110_run</t>
  </si>
  <si>
    <t>1510201111_run</t>
  </si>
  <si>
    <t>1510201112_run</t>
  </si>
  <si>
    <t>1510201113_run</t>
  </si>
  <si>
    <t>1510201114_run</t>
  </si>
  <si>
    <t>1510201115_run</t>
  </si>
  <si>
    <t>1510201116_run</t>
  </si>
  <si>
    <t>1510201117_run</t>
  </si>
  <si>
    <t>1510201118_run</t>
  </si>
  <si>
    <t>1510201201_run</t>
  </si>
  <si>
    <t>1510201202_run</t>
  </si>
  <si>
    <t>1510201203_run</t>
  </si>
  <si>
    <t>1510201301_run</t>
  </si>
  <si>
    <t>1510201302_run</t>
  </si>
  <si>
    <t>1510202101_run</t>
  </si>
  <si>
    <t>1510202102_run</t>
  </si>
  <si>
    <t>1510202103_run</t>
  </si>
  <si>
    <t>1510202104_run</t>
  </si>
  <si>
    <t>1510202105_run</t>
  </si>
  <si>
    <t>1510202106_run</t>
  </si>
  <si>
    <t>1510202107_run</t>
  </si>
  <si>
    <t>1510202108_run</t>
  </si>
  <si>
    <t>1510202109_run</t>
  </si>
  <si>
    <t>1510202110_run</t>
  </si>
  <si>
    <t>1510202111_run</t>
  </si>
  <si>
    <t>1510202112_run</t>
  </si>
  <si>
    <t>1510202113_run</t>
  </si>
  <si>
    <t>1510202114_run</t>
  </si>
  <si>
    <t>1510202115_run</t>
  </si>
  <si>
    <t>1510202116_run</t>
  </si>
  <si>
    <t>1510202117_run</t>
  </si>
  <si>
    <t>1510202118_run</t>
  </si>
  <si>
    <t>1510202201_run</t>
  </si>
  <si>
    <t>1510202202_run</t>
  </si>
  <si>
    <t>1510202203_run</t>
  </si>
  <si>
    <t>1510202301_run</t>
  </si>
  <si>
    <t>1510202302_run</t>
  </si>
  <si>
    <t>1510203101_run</t>
  </si>
  <si>
    <t>1510203102_run</t>
  </si>
  <si>
    <t>1510203103_run</t>
  </si>
  <si>
    <t>1510203104_run</t>
  </si>
  <si>
    <t>1510203105_run</t>
  </si>
  <si>
    <t>1510203106_run</t>
  </si>
  <si>
    <t>1510203107_run</t>
  </si>
  <si>
    <t>1510203108_run</t>
  </si>
  <si>
    <t>1510203109_run</t>
  </si>
  <si>
    <t>1510203110_run</t>
  </si>
  <si>
    <t>1510203111_run</t>
  </si>
  <si>
    <t>1510203112_run</t>
  </si>
  <si>
    <t>1510203113_run</t>
  </si>
  <si>
    <t>1510203114_run</t>
  </si>
  <si>
    <t>1510203115_run</t>
  </si>
  <si>
    <t>1510203116_run</t>
  </si>
  <si>
    <t>1510203117_run</t>
  </si>
  <si>
    <t>1510203118_run</t>
  </si>
  <si>
    <t>1510203119_run</t>
  </si>
  <si>
    <t>1510203120_run</t>
  </si>
  <si>
    <t>1510203201_run</t>
  </si>
  <si>
    <t>1510203202_run</t>
  </si>
  <si>
    <t>1510203203_run</t>
  </si>
  <si>
    <t>1510203301_run</t>
  </si>
  <si>
    <t>1510203302_run</t>
  </si>
  <si>
    <t>1510204101_run</t>
  </si>
  <si>
    <t>1510204102_run</t>
  </si>
  <si>
    <t>1510204103_run</t>
  </si>
  <si>
    <t>1510204104_run</t>
  </si>
  <si>
    <t>1510204105_run</t>
  </si>
  <si>
    <t>1510204106_run</t>
  </si>
  <si>
    <t>1510204107_run</t>
  </si>
  <si>
    <t>1510204108_run</t>
  </si>
  <si>
    <t>1510204109_run</t>
  </si>
  <si>
    <t>1510204110_run</t>
  </si>
  <si>
    <t>1510204111_run</t>
  </si>
  <si>
    <t>1510204112_run</t>
  </si>
  <si>
    <t>1510204113_run</t>
  </si>
  <si>
    <t>1510204114_run</t>
  </si>
  <si>
    <t>1510204115_run</t>
  </si>
  <si>
    <t>1510204116_run</t>
  </si>
  <si>
    <t>1510204117_run</t>
  </si>
  <si>
    <t>1510204118_run</t>
  </si>
  <si>
    <t>1510204119_run</t>
  </si>
  <si>
    <t>1510204120_run</t>
  </si>
  <si>
    <t>1510204121_run</t>
  </si>
  <si>
    <t>1510204122_run</t>
  </si>
  <si>
    <t>1510204201_run</t>
  </si>
  <si>
    <t>1510204202_run</t>
  </si>
  <si>
    <t>1510204203_run</t>
  </si>
  <si>
    <t>1510204301_run</t>
  </si>
  <si>
    <t>1510204302_run</t>
  </si>
  <si>
    <t>1510205101_run</t>
  </si>
  <si>
    <t>1510205102_run</t>
  </si>
  <si>
    <t>1510205103_run</t>
  </si>
  <si>
    <t>1510205104_run</t>
  </si>
  <si>
    <t>1510205105_run</t>
  </si>
  <si>
    <t>1510205106_run</t>
  </si>
  <si>
    <t>1510205107_run</t>
  </si>
  <si>
    <t>1510205108_run</t>
  </si>
  <si>
    <t>1510205109_run</t>
  </si>
  <si>
    <t>1510205110_run</t>
  </si>
  <si>
    <t>1510205111_run</t>
  </si>
  <si>
    <t>1510205112_run</t>
  </si>
  <si>
    <t>1510205113_run</t>
  </si>
  <si>
    <t>1510205114_run</t>
  </si>
  <si>
    <t>1510205115_run</t>
  </si>
  <si>
    <t>1510205116_run</t>
  </si>
  <si>
    <t>1510205117_run</t>
  </si>
  <si>
    <t>1510205118_run</t>
  </si>
  <si>
    <t>1510205119_run</t>
  </si>
  <si>
    <t>1510205120_run</t>
  </si>
  <si>
    <t>1510205201_run</t>
  </si>
  <si>
    <t>1510205202_run</t>
  </si>
  <si>
    <t>1510205203_run</t>
  </si>
  <si>
    <t>1510205301_run</t>
  </si>
  <si>
    <t>1510205302_run</t>
  </si>
  <si>
    <t>1510206101_run</t>
  </si>
  <si>
    <t>1510206102_run</t>
  </si>
  <si>
    <t>1510206103_run</t>
  </si>
  <si>
    <t>1510206104_run</t>
  </si>
  <si>
    <t>1510206105_run</t>
  </si>
  <si>
    <t>1510206106_run</t>
  </si>
  <si>
    <t>1510206107_run</t>
  </si>
  <si>
    <t>1510206108_run</t>
  </si>
  <si>
    <t>1510206109_run</t>
  </si>
  <si>
    <t>1510206110_run</t>
  </si>
  <si>
    <t>1510206111_run</t>
  </si>
  <si>
    <t>1510206112_run</t>
  </si>
  <si>
    <t>1510206113_run</t>
  </si>
  <si>
    <t>1510206114_run</t>
  </si>
  <si>
    <t>1510206115_run</t>
  </si>
  <si>
    <t>1510206116_run</t>
  </si>
  <si>
    <t>1510206117_run</t>
  </si>
  <si>
    <t>1510206118_run</t>
  </si>
  <si>
    <t>1510206201_run</t>
  </si>
  <si>
    <t>1510206202_run</t>
  </si>
  <si>
    <t>1510206203_run</t>
  </si>
  <si>
    <t>1510206301_run</t>
  </si>
  <si>
    <t>1510206302_run</t>
  </si>
  <si>
    <t>1510207101_run</t>
  </si>
  <si>
    <t>1510207102_run</t>
  </si>
  <si>
    <t>1510207103_run</t>
  </si>
  <si>
    <t>1510207104_run</t>
  </si>
  <si>
    <t>1510207105_run</t>
  </si>
  <si>
    <t>1510207106_run</t>
  </si>
  <si>
    <t>1510207107_run</t>
  </si>
  <si>
    <t>1510207108_run</t>
  </si>
  <si>
    <t>1510207109_run</t>
  </si>
  <si>
    <t>1510207110_run</t>
  </si>
  <si>
    <t>1510207111_run</t>
  </si>
  <si>
    <t>1510207112_run</t>
  </si>
  <si>
    <t>1510207113_run</t>
  </si>
  <si>
    <t>1510207114_run</t>
  </si>
  <si>
    <t>1510207115_run</t>
  </si>
  <si>
    <t>1510207116_run</t>
  </si>
  <si>
    <t>1510207117_run</t>
  </si>
  <si>
    <t>1510207118_run</t>
  </si>
  <si>
    <t>1510207201_run</t>
  </si>
  <si>
    <t>1510207202_run</t>
  </si>
  <si>
    <t>1510207203_run</t>
  </si>
  <si>
    <t>1510207301_run</t>
  </si>
  <si>
    <t>1510207302_run</t>
  </si>
  <si>
    <t>1510208101_run</t>
  </si>
  <si>
    <t>1510208102_run</t>
  </si>
  <si>
    <t>1510208103_run</t>
  </si>
  <si>
    <t>1510208104_run</t>
  </si>
  <si>
    <t>1510208105_run</t>
  </si>
  <si>
    <t>1510208106_run</t>
  </si>
  <si>
    <t>1510208107_run</t>
  </si>
  <si>
    <t>1510208108_run</t>
  </si>
  <si>
    <t>1510208109_run</t>
  </si>
  <si>
    <t>1510208110_run</t>
  </si>
  <si>
    <t>1510208111_run</t>
  </si>
  <si>
    <t>1510208112_run</t>
  </si>
  <si>
    <t>1510208113_run</t>
  </si>
  <si>
    <t>1510208114_run</t>
  </si>
  <si>
    <t>1510208115_run</t>
  </si>
  <si>
    <t>1510208116_run</t>
  </si>
  <si>
    <t>1510208117_run</t>
  </si>
  <si>
    <t>1510208118_run</t>
  </si>
  <si>
    <t>1510208201_run</t>
  </si>
  <si>
    <t>1510208202_run</t>
  </si>
  <si>
    <t>1510208203_run</t>
  </si>
  <si>
    <t>1510208301_run</t>
  </si>
  <si>
    <t>1510208302_run</t>
  </si>
  <si>
    <t>1610201101_run</t>
  </si>
  <si>
    <t>1610201102_run</t>
  </si>
  <si>
    <t>1610201103_run</t>
  </si>
  <si>
    <t>1610201104_run</t>
  </si>
  <si>
    <t>1610201105_run</t>
  </si>
  <si>
    <t>1610201106_run</t>
  </si>
  <si>
    <t>1610201107_run</t>
  </si>
  <si>
    <t>1610201108_run</t>
  </si>
  <si>
    <t>1610201109_run</t>
  </si>
  <si>
    <t>1610201110_run</t>
  </si>
  <si>
    <t>1610201111_run</t>
  </si>
  <si>
    <t>1610201112_run</t>
  </si>
  <si>
    <t>1610201113_run</t>
  </si>
  <si>
    <t>1610201114_run</t>
  </si>
  <si>
    <t>1610201115_run</t>
  </si>
  <si>
    <t>1610201116_run</t>
  </si>
  <si>
    <t>1610201117_run</t>
  </si>
  <si>
    <t>1610201118_run</t>
  </si>
  <si>
    <t>1610201201_run</t>
  </si>
  <si>
    <t>1610201202_run</t>
  </si>
  <si>
    <t>1610201203_run</t>
  </si>
  <si>
    <t>1610201301_run</t>
  </si>
  <si>
    <t>1610201302_run</t>
  </si>
  <si>
    <t>1610202101_run</t>
  </si>
  <si>
    <t>1610202102_run</t>
  </si>
  <si>
    <t>1610202103_run</t>
  </si>
  <si>
    <t>1610202104_run</t>
  </si>
  <si>
    <t>1610202105_run</t>
  </si>
  <si>
    <t>1610202106_run</t>
  </si>
  <si>
    <t>1610202107_run</t>
  </si>
  <si>
    <t>melissa.summon.B.passive</t>
    <phoneticPr fontId="1" type="noConversion"/>
  </si>
  <si>
    <t>isabella.passive.summon</t>
    <phoneticPr fontId="1" type="noConversion"/>
  </si>
  <si>
    <t>Character/Prefabs/c_attacker_isabella_summon_1</t>
    <phoneticPr fontId="1" type="noConversion"/>
  </si>
  <si>
    <t>melissa.summon.A.passive</t>
    <phoneticPr fontId="1" type="noConversion"/>
  </si>
  <si>
    <t>airen.passive</t>
    <phoneticPr fontId="1" type="noConversion"/>
  </si>
  <si>
    <t>airen.passive.Ex</t>
    <phoneticPr fontId="1" type="noConversion"/>
  </si>
  <si>
    <t>arcels.passive</t>
    <phoneticPr fontId="1" type="noConversion"/>
  </si>
  <si>
    <t>ferrel.passive.Ex</t>
  </si>
  <si>
    <t>eiko.passive.Ex</t>
  </si>
  <si>
    <t>snopril.passive.Ex</t>
  </si>
  <si>
    <t>arcels.passive.Ex</t>
  </si>
  <si>
    <t>melissa.passive.Ex</t>
  </si>
  <si>
    <t>lilian.passive.Ex</t>
  </si>
  <si>
    <t>daria.passive.Ex</t>
  </si>
  <si>
    <t>taina.passive.Ex</t>
  </si>
  <si>
    <t>iras.passive.Ex</t>
  </si>
  <si>
    <t>ambrosia.passive.Ex</t>
  </si>
  <si>
    <t>mea.passive.Ex</t>
  </si>
  <si>
    <t>belita.passive.Ex</t>
  </si>
  <si>
    <t>belebeta.passive.Ex</t>
  </si>
  <si>
    <t>yuna.passive.Ex</t>
  </si>
  <si>
    <t>fei.passive.Ex</t>
  </si>
  <si>
    <t>id.passive.Ex</t>
  </si>
  <si>
    <t>patricia.passive.Ex</t>
  </si>
  <si>
    <t>renas.passive.Ex</t>
  </si>
  <si>
    <t>erica.passive.Ex</t>
  </si>
  <si>
    <t>ino.passive.Ex</t>
  </si>
  <si>
    <t>hallona.passive.Ex</t>
  </si>
  <si>
    <t>메카토아</t>
    <phoneticPr fontId="1" type="noConversion"/>
  </si>
  <si>
    <t>mechatoa_1</t>
    <phoneticPr fontId="1" type="noConversion"/>
  </si>
  <si>
    <t>보스</t>
    <phoneticPr fontId="1" type="noConversion"/>
  </si>
  <si>
    <t>Attacker</t>
    <phoneticPr fontId="1" type="noConversion"/>
  </si>
  <si>
    <t>메카카나타</t>
  </si>
  <si>
    <t>mechakanata_1</t>
  </si>
  <si>
    <t>pandahappy_1</t>
    <phoneticPr fontId="1" type="noConversion"/>
  </si>
  <si>
    <t>팬더해피</t>
    <phoneticPr fontId="1" type="noConversion"/>
  </si>
  <si>
    <t>아이투스</t>
    <phoneticPr fontId="1" type="noConversion"/>
  </si>
  <si>
    <t>Character/Prefabs/m_tanker_itus_enemy_1</t>
    <phoneticPr fontId="1" type="noConversion"/>
  </si>
  <si>
    <t>itus</t>
  </si>
  <si>
    <t>Name.Character.itus</t>
  </si>
  <si>
    <t>itus.attack1</t>
  </si>
  <si>
    <t>itus.attack2</t>
  </si>
  <si>
    <t>itus.attack3</t>
  </si>
  <si>
    <t>itus.active1</t>
  </si>
  <si>
    <t>itus.active2</t>
  </si>
  <si>
    <t>itus.passive</t>
  </si>
  <si>
    <t>itus.ult</t>
  </si>
  <si>
    <t>itus.ult.B</t>
  </si>
  <si>
    <t>character_itus_01</t>
  </si>
  <si>
    <t>BossChallenge</t>
  </si>
  <si>
    <t>BossChallenge.gallius_1.passive01</t>
  </si>
  <si>
    <t>BossChallenge.gallius_2.passive01</t>
  </si>
  <si>
    <t>BossChallenge.cassandra_1.passive01</t>
  </si>
  <si>
    <t>BossChallenge.cassandra_2.passive01</t>
  </si>
  <si>
    <t>BossChallenge.theomega_1.passive01</t>
  </si>
  <si>
    <t>BossChallenge.theomega_3.passive01</t>
  </si>
  <si>
    <t>BossChallenge.nullaxe_1.passive01</t>
  </si>
  <si>
    <t>BossChallenge.nullaxe_2.passive01</t>
  </si>
  <si>
    <t>BossChallenge.nullaxe_2.passive02</t>
  </si>
  <si>
    <t>BossChallenge.clock_royal_queen_1.passive01</t>
  </si>
  <si>
    <t>BossChallenge.toxic_1.passive01</t>
  </si>
  <si>
    <t>BossChallenge.toxic_1.passive02</t>
  </si>
  <si>
    <t>BossChallenge.toxic_3.passive01</t>
  </si>
  <si>
    <t>BossChallenge.toxic_3.passive02</t>
  </si>
  <si>
    <t>BossChallenge.goliath_1.passive01</t>
  </si>
  <si>
    <t>BossChallenge.goliath_1.passive02</t>
  </si>
  <si>
    <t>BossChallenge.goliath_4.passive01</t>
  </si>
  <si>
    <t>BossChallenge.goliath_4.passive02</t>
  </si>
  <si>
    <t>BossChallenge.crawler_1.passive01</t>
  </si>
  <si>
    <t>isabella.active1.summon</t>
    <phoneticPr fontId="1" type="noConversion"/>
  </si>
  <si>
    <t>isabella.active2.summon</t>
    <phoneticPr fontId="1" type="noConversion"/>
  </si>
  <si>
    <t>카라베리</t>
  </si>
  <si>
    <t>Raid3001</t>
    <phoneticPr fontId="1" type="noConversion"/>
  </si>
  <si>
    <t>Raid4001</t>
  </si>
  <si>
    <t>Raid4001</t>
    <phoneticPr fontId="1" type="noConversion"/>
  </si>
  <si>
    <t>바나클빌더</t>
  </si>
  <si>
    <t>Character/Timeline/02_MON/kara/appearance_2</t>
  </si>
  <si>
    <t>Character/Timeline/02_MON/kara/die_2</t>
  </si>
  <si>
    <t>Raid1001.kara_1.passive01</t>
    <phoneticPr fontId="1" type="noConversion"/>
  </si>
  <si>
    <t>Raid1001.kara_2.passive01</t>
    <phoneticPr fontId="1" type="noConversion"/>
  </si>
  <si>
    <t>Raid2001.barnacle_builder_1.passive01</t>
    <phoneticPr fontId="1" type="noConversion"/>
  </si>
  <si>
    <t>Raid3001.mindloader_1.passive01</t>
    <phoneticPr fontId="1" type="noConversion"/>
  </si>
  <si>
    <t>Raid4001.gigantooth_1.passive01</t>
    <phoneticPr fontId="1" type="noConversion"/>
  </si>
  <si>
    <t>Character/Timeline/02_MON/kara/appearance</t>
  </si>
  <si>
    <t>Raid4001.gigantooth_2.passive01</t>
    <phoneticPr fontId="1" type="noConversion"/>
  </si>
  <si>
    <t>EventStory.gamemaster_1.passive01</t>
  </si>
  <si>
    <t>EventStory.mechatoa_1.passive01</t>
    <phoneticPr fontId="1" type="noConversion"/>
  </si>
  <si>
    <t>버려진수호자</t>
  </si>
  <si>
    <t>버려진수호자</t>
    <phoneticPr fontId="1" type="noConversion"/>
  </si>
  <si>
    <t>시비우자동장치</t>
  </si>
  <si>
    <t>시비우자동장치</t>
    <phoneticPr fontId="1" type="noConversion"/>
  </si>
  <si>
    <t>드론네스트</t>
  </si>
  <si>
    <t>드론네스트</t>
    <phoneticPr fontId="1" type="noConversion"/>
  </si>
  <si>
    <t>디안티콰로스</t>
    <phoneticPr fontId="1" type="noConversion"/>
  </si>
  <si>
    <t>메타모르파지</t>
    <phoneticPr fontId="1" type="noConversion"/>
  </si>
  <si>
    <t>레터캐리어</t>
    <phoneticPr fontId="1" type="noConversion"/>
  </si>
  <si>
    <t>oldguardian_1</t>
    <phoneticPr fontId="1" type="noConversion"/>
  </si>
  <si>
    <t>sibiurobot_1</t>
    <phoneticPr fontId="1" type="noConversion"/>
  </si>
  <si>
    <t>dronenest_1</t>
    <phoneticPr fontId="1" type="noConversion"/>
  </si>
  <si>
    <t>theantiqualos_1</t>
    <phoneticPr fontId="1" type="noConversion"/>
  </si>
  <si>
    <t>metamorphage_1</t>
    <phoneticPr fontId="1" type="noConversion"/>
  </si>
  <si>
    <t>lettercarrier_1</t>
    <phoneticPr fontId="1" type="noConversion"/>
  </si>
  <si>
    <t>Ranger</t>
    <phoneticPr fontId="1" type="noConversion"/>
  </si>
  <si>
    <t>Supporter</t>
    <phoneticPr fontId="1" type="noConversion"/>
  </si>
  <si>
    <t>Attacker</t>
    <phoneticPr fontId="1" type="noConversion"/>
  </si>
  <si>
    <t>아이라스(졸)</t>
  </si>
  <si>
    <t>팬더해피</t>
  </si>
  <si>
    <t>Monster.Name.mechakanata_1</t>
  </si>
  <si>
    <t>Interceptor_1</t>
    <phoneticPr fontId="1" type="noConversion"/>
  </si>
  <si>
    <t>원거리</t>
  </si>
  <si>
    <t>드론네스트_소환</t>
  </si>
  <si>
    <t>드론네스트_소환</t>
    <phoneticPr fontId="1" type="noConversion"/>
  </si>
  <si>
    <t>EventStory.pandahappy_1.passive01</t>
    <phoneticPr fontId="1" type="noConversion"/>
  </si>
  <si>
    <t>m.diana.active1</t>
  </si>
  <si>
    <t>m.diana.active2</t>
  </si>
  <si>
    <t>m.diana.passive</t>
  </si>
  <si>
    <t>m.diana.ult</t>
  </si>
  <si>
    <t>m.siege.active1</t>
  </si>
  <si>
    <t>m.siege.active2</t>
  </si>
  <si>
    <t>m.siege.passive</t>
  </si>
  <si>
    <t>m.siege.ult</t>
  </si>
  <si>
    <t>m.mana.active1</t>
  </si>
  <si>
    <t>m.mana.active2</t>
  </si>
  <si>
    <t>m.mana.passive</t>
  </si>
  <si>
    <t>m.mana.ult</t>
  </si>
  <si>
    <t>m.aurora.active1</t>
  </si>
  <si>
    <t>m.aurora.active2</t>
  </si>
  <si>
    <t>m.aurora.passive</t>
  </si>
  <si>
    <t>m.aurora.ult</t>
  </si>
  <si>
    <t>m.angelica.active1</t>
  </si>
  <si>
    <t>m.angelica.active2</t>
  </si>
  <si>
    <t>m.angelica.passive</t>
  </si>
  <si>
    <t>m.angelica.passive.Ex</t>
  </si>
  <si>
    <t>m.angelica.ult</t>
  </si>
  <si>
    <t>m.angelica.ult.B</t>
  </si>
  <si>
    <t>m.hellen.active1</t>
  </si>
  <si>
    <t>m.hellen.active2</t>
  </si>
  <si>
    <t>m.hellen.passive</t>
  </si>
  <si>
    <t>m.hellen.passive.Ex</t>
  </si>
  <si>
    <t>m.hellen.ult</t>
  </si>
  <si>
    <t>m.hellen.ult.B</t>
  </si>
  <si>
    <t>m.shery.active1</t>
  </si>
  <si>
    <t>m.shery.active2</t>
  </si>
  <si>
    <t>m.shery.passive</t>
  </si>
  <si>
    <t>m.shery.ult</t>
  </si>
  <si>
    <t>m.rayhou.active1</t>
  </si>
  <si>
    <t>m.rayhou.active2</t>
  </si>
  <si>
    <t>m.rayhou.passive</t>
  </si>
  <si>
    <t>m.rayhou.passive.Ex</t>
  </si>
  <si>
    <t>m.rayhou.ult</t>
  </si>
  <si>
    <t>m.rayhou.ult.B</t>
  </si>
  <si>
    <t>m.serapulsar.active1</t>
  </si>
  <si>
    <t>m.serapulsar.active2</t>
  </si>
  <si>
    <t>m.serapulsar.passive</t>
  </si>
  <si>
    <t>m.serapulsar.passive.Ex</t>
  </si>
  <si>
    <t>m.serapulsar.ult</t>
  </si>
  <si>
    <t>m.serapulsar.ult.B</t>
  </si>
  <si>
    <t>m.brynhild.active1</t>
  </si>
  <si>
    <t>m.brynhild.active2</t>
  </si>
  <si>
    <t>m.brynhild.passive</t>
  </si>
  <si>
    <t>m.brynhild.ult</t>
  </si>
  <si>
    <t>m.yurizia.active1</t>
  </si>
  <si>
    <t>m.yurizia.active2</t>
  </si>
  <si>
    <t>m.yurizia.passive</t>
  </si>
  <si>
    <t>m.yurizia.passive.Ex</t>
  </si>
  <si>
    <t>m.yurizia.ult</t>
  </si>
  <si>
    <t>m.yurizia.ult.B</t>
  </si>
  <si>
    <t>m.shale.active1</t>
  </si>
  <si>
    <t>m.shale.active2</t>
  </si>
  <si>
    <t>m.shale.passive</t>
  </si>
  <si>
    <t>m.shale.passive.Ex</t>
  </si>
  <si>
    <t>m.shale.ult</t>
  </si>
  <si>
    <t>m.shale.ult.B</t>
  </si>
  <si>
    <t>m.lue.attack1</t>
  </si>
  <si>
    <t>m.lue.active1</t>
  </si>
  <si>
    <t>m.ermeil.attack1</t>
  </si>
  <si>
    <t>m.ermeil.active1</t>
  </si>
  <si>
    <t>m.iolet.attack1</t>
  </si>
  <si>
    <t>m.iolet.active1</t>
  </si>
  <si>
    <t>m.reen.attack1</t>
  </si>
  <si>
    <t>m.reen.active1</t>
  </si>
  <si>
    <t>m.elina.active1</t>
  </si>
  <si>
    <t>m.elina.active2</t>
  </si>
  <si>
    <t>m.elina.passive</t>
  </si>
  <si>
    <t>m.elina.passive.Ex</t>
  </si>
  <si>
    <t>m.elina.ult</t>
  </si>
  <si>
    <t>m.elina.ult.B</t>
  </si>
  <si>
    <t>EventStory.oldguardian_1.passive01</t>
  </si>
  <si>
    <t>m.archphase.attack1</t>
  </si>
  <si>
    <t>m.archphase.attack2</t>
  </si>
  <si>
    <t>m.archphase.attack3</t>
  </si>
  <si>
    <t>m.archphase.active1</t>
  </si>
  <si>
    <t>m.archphase.active2</t>
  </si>
  <si>
    <t>m.archphase.passive</t>
  </si>
  <si>
    <t>m.archphase.passive.Ex</t>
  </si>
  <si>
    <t>m.archphase.ult</t>
  </si>
  <si>
    <t>m.archphase.ult.B</t>
  </si>
  <si>
    <t>m.leila.attack2</t>
  </si>
  <si>
    <t>m.leila.attack3</t>
  </si>
  <si>
    <t>m.leila.active1</t>
  </si>
  <si>
    <t>m.leila.active2</t>
  </si>
  <si>
    <t>m.leila.passive</t>
  </si>
  <si>
    <t>m.leila.passive.Ex</t>
  </si>
  <si>
    <t>m.leila.ult</t>
  </si>
  <si>
    <t>m.leila.ult.B</t>
  </si>
  <si>
    <t>EventStory.sibiurobot_1.passive01</t>
    <phoneticPr fontId="1" type="noConversion"/>
  </si>
  <si>
    <t>m.crimson.attack1</t>
  </si>
  <si>
    <t>m.crimson.attack2</t>
  </si>
  <si>
    <t>m.crimson.attack3</t>
  </si>
  <si>
    <t>m.crimson.active1</t>
  </si>
  <si>
    <t>m.crimson.active2</t>
  </si>
  <si>
    <t>m.crimson.passive</t>
  </si>
  <si>
    <t>m.crimson.passive.Ex</t>
  </si>
  <si>
    <t>m.crimson.ult</t>
  </si>
  <si>
    <t>m.crimson.ult.B</t>
  </si>
  <si>
    <t>m.balencia.attack1</t>
  </si>
  <si>
    <t>m.balencia.attack2</t>
  </si>
  <si>
    <t>m.balencia.attack3</t>
  </si>
  <si>
    <t>m.balencia.active1</t>
  </si>
  <si>
    <t>m.balencia.active2</t>
  </si>
  <si>
    <t>m.balencia.passive</t>
  </si>
  <si>
    <t>m.balencia.passive.Ex</t>
  </si>
  <si>
    <t>m.balencia.ult</t>
  </si>
  <si>
    <t>m.balencia.ult.B</t>
  </si>
  <si>
    <t>m.klairs.attack1</t>
  </si>
  <si>
    <t>m.klairs.attack2</t>
  </si>
  <si>
    <t>m.klairs.attack3</t>
  </si>
  <si>
    <t>m.klairs.active1</t>
  </si>
  <si>
    <t>m.klairs.active2</t>
  </si>
  <si>
    <t>m.klairs.passive</t>
  </si>
  <si>
    <t>m.klairs.passive.Ex</t>
  </si>
  <si>
    <t>m.klairs.ult</t>
  </si>
  <si>
    <t>m.klairs.ult.B</t>
  </si>
  <si>
    <t>m.gray.attack1</t>
  </si>
  <si>
    <t>m.gray.attack2</t>
  </si>
  <si>
    <t>m.gray.attack3</t>
  </si>
  <si>
    <t>m.gray.active1</t>
  </si>
  <si>
    <t>m.gray.active2</t>
  </si>
  <si>
    <t>m.gray.passive</t>
  </si>
  <si>
    <t>m.gray.passive.Ex</t>
  </si>
  <si>
    <t>m.gray.ult</t>
  </si>
  <si>
    <t>m.gray.ult.B</t>
  </si>
  <si>
    <t>Character/Prefabs/c_attacker_isabella_summon_1</t>
  </si>
  <si>
    <t>이사벨라_미믹 소환</t>
    <phoneticPr fontId="1" type="noConversion"/>
  </si>
  <si>
    <t>m.isabella.attack1</t>
  </si>
  <si>
    <t>m.isabella.attack2</t>
  </si>
  <si>
    <t>m.isabella.attack3</t>
  </si>
  <si>
    <t>m.isabella.active1.summon</t>
  </si>
  <si>
    <t>m.isabella.active2.summon</t>
  </si>
  <si>
    <t>m.isabella.passive.summon</t>
  </si>
  <si>
    <t>m.isabella.active1</t>
  </si>
  <si>
    <t>m.isabella.active2</t>
  </si>
  <si>
    <t>m.isabella.passive</t>
  </si>
  <si>
    <t>m.isabella.passive.Ex</t>
  </si>
  <si>
    <t>m.isabella.ult</t>
  </si>
  <si>
    <t>m.isabella.ult.B</t>
  </si>
  <si>
    <t>Hamberger.passive</t>
  </si>
  <si>
    <t>SymbolRaid</t>
    <phoneticPr fontId="1" type="noConversion"/>
  </si>
  <si>
    <t>Monster.Name.gallius_2</t>
  </si>
  <si>
    <t>Character/Prefabs/m_boss_tanker_gallius_2</t>
  </si>
  <si>
    <t>m_boss_tanker_gallius_2</t>
  </si>
  <si>
    <t>Monster.Name.cassandra_2</t>
  </si>
  <si>
    <t>Character/Prefabs/m_boss_ranger_cassandra_2</t>
  </si>
  <si>
    <t>m_boss_ranger_cassandra_2</t>
  </si>
  <si>
    <t>SymbolRaid.gallius_2.attack01</t>
    <phoneticPr fontId="1" type="noConversion"/>
  </si>
  <si>
    <t>SymbolRaid.gallius_2.skill01</t>
  </si>
  <si>
    <t>SymbolRaid.gallius_2.skill02</t>
  </si>
  <si>
    <t>SymbolRaid.gallius_2.skill03</t>
  </si>
  <si>
    <t>SymbolRaid.cassandra_2.skill01</t>
  </si>
  <si>
    <t>SymbolRaid.cassandra_2.skill02</t>
  </si>
  <si>
    <t>SymbolRaid.cassandra_2.skill03</t>
  </si>
  <si>
    <t>SymbolRaid.cassandra_2.passive01</t>
  </si>
  <si>
    <t>SymbolRaid.gallius_2.passive01</t>
    <phoneticPr fontId="1" type="noConversion"/>
  </si>
  <si>
    <t>SymbolRaid.cassandra_2.attack01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</si>
</sst>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17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2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0"/>
      <name val="맑은 고딕"/>
      <family val="2"/>
      <scheme val="minor"/>
    </font>
    <font>
      <sz val="10"/>
      <color theme="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2"/>
      <scheme val="minor"/>
    </font>
    <font>
      <sz val="10"/>
      <color rgb="FFFF0000"/>
      <name val="맑은 고딕"/>
      <family val="2"/>
      <scheme val="minor"/>
    </font>
    <font>
      <sz val="10"/>
      <color rgb="FFFF0000"/>
      <name val="맑은 고딕"/>
      <family val="3"/>
      <charset val="129"/>
      <scheme val="minor"/>
    </font>
    <font>
      <sz val="10"/>
      <color theme="1" tint="4.9989318521683403E-2"/>
      <name val="맑은 고딕"/>
      <family val="2"/>
      <scheme val="minor"/>
    </font>
    <font>
      <sz val="10"/>
      <name val="맑은 고딕"/>
      <family val="2"/>
      <scheme val="minor"/>
    </font>
    <font>
      <sz val="10"/>
      <name val="맑은 고딕"/>
      <family val="3"/>
      <charset val="129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7"/>
      </patternFill>
    </fill>
    <fill>
      <patternFill patternType="solid">
        <fgColor theme="9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3" fillId="4" borderId="0">
      <alignment vertical="center"/>
    </xf>
    <xf numFmtId="0" fontId="3" fillId="5" borderId="0">
      <alignment vertical="center"/>
    </xf>
    <xf numFmtId="0" fontId="3" fillId="6" borderId="0">
      <alignment vertical="center"/>
    </xf>
    <xf numFmtId="0" fontId="3" fillId="7" borderId="0">
      <alignment vertical="center"/>
    </xf>
    <xf numFmtId="0" fontId="2" fillId="0" borderId="1">
      <alignment horizontal="center" vertical="center"/>
    </xf>
  </cellStyleXfs>
  <cellXfs count="183">
    <xf numFmtId="0" fontId="0" fillId="0" borderId="0" xfId="0"/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4" borderId="1" xfId="1" applyFont="1" applyBorder="1" applyAlignment="1">
      <alignment horizontal="center" vertical="center" wrapText="1"/>
    </xf>
    <xf numFmtId="0" fontId="9" fillId="5" borderId="1" xfId="2" applyFont="1" applyBorder="1" applyAlignment="1">
      <alignment horizontal="center" vertical="center"/>
    </xf>
    <xf numFmtId="0" fontId="9" fillId="6" borderId="1" xfId="3" applyFont="1" applyBorder="1" applyAlignment="1">
      <alignment horizontal="center" vertical="center" wrapText="1"/>
    </xf>
    <xf numFmtId="0" fontId="9" fillId="7" borderId="1" xfId="4" applyFont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0" fillId="0" borderId="1" xfId="0" applyBorder="1"/>
    <xf numFmtId="0" fontId="7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4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14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/>
    </xf>
    <xf numFmtId="0" fontId="4" fillId="15" borderId="1" xfId="0" applyFont="1" applyFill="1" applyBorder="1" applyAlignment="1">
      <alignment horizontal="center"/>
    </xf>
    <xf numFmtId="0" fontId="7" fillId="15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7" fillId="16" borderId="1" xfId="0" applyFont="1" applyFill="1" applyBorder="1" applyAlignment="1">
      <alignment horizontal="center"/>
    </xf>
    <xf numFmtId="0" fontId="4" fillId="16" borderId="1" xfId="0" applyFont="1" applyFill="1" applyBorder="1" applyAlignment="1">
      <alignment horizontal="center"/>
    </xf>
    <xf numFmtId="0" fontId="7" fillId="16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7" fillId="17" borderId="1" xfId="0" applyFont="1" applyFill="1" applyBorder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horizontal="center"/>
    </xf>
    <xf numFmtId="0" fontId="4" fillId="20" borderId="1" xfId="0" applyFont="1" applyFill="1" applyBorder="1" applyAlignment="1">
      <alignment horizontal="center"/>
    </xf>
    <xf numFmtId="0" fontId="4" fillId="19" borderId="1" xfId="0" applyFont="1" applyFill="1" applyBorder="1" applyAlignment="1">
      <alignment horizontal="center" vertical="center"/>
    </xf>
    <xf numFmtId="0" fontId="7" fillId="19" borderId="1" xfId="0" applyFont="1" applyFill="1" applyBorder="1" applyAlignment="1">
      <alignment horizontal="center"/>
    </xf>
    <xf numFmtId="0" fontId="7" fillId="9" borderId="1" xfId="0" applyFont="1" applyFill="1" applyBorder="1" applyAlignment="1">
      <alignment horizontal="center"/>
    </xf>
    <xf numFmtId="0" fontId="7" fillId="9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/>
    </xf>
    <xf numFmtId="0" fontId="4" fillId="20" borderId="1" xfId="0" applyFont="1" applyFill="1" applyBorder="1" applyAlignment="1">
      <alignment horizontal="center" vertical="center"/>
    </xf>
    <xf numFmtId="0" fontId="7" fillId="20" borderId="1" xfId="0" applyFont="1" applyFill="1" applyBorder="1" applyAlignment="1">
      <alignment horizontal="center"/>
    </xf>
    <xf numFmtId="0" fontId="7" fillId="20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/>
    </xf>
    <xf numFmtId="0" fontId="4" fillId="18" borderId="1" xfId="0" applyFont="1" applyFill="1" applyBorder="1" applyAlignment="1">
      <alignment horizontal="center" vertical="center"/>
    </xf>
    <xf numFmtId="0" fontId="7" fillId="18" borderId="1" xfId="0" applyFont="1" applyFill="1" applyBorder="1" applyAlignment="1">
      <alignment horizontal="center"/>
    </xf>
    <xf numFmtId="0" fontId="4" fillId="21" borderId="1" xfId="0" applyFont="1" applyFill="1" applyBorder="1" applyAlignment="1">
      <alignment horizontal="center" vertical="center"/>
    </xf>
    <xf numFmtId="0" fontId="7" fillId="21" borderId="1" xfId="0" applyFont="1" applyFill="1" applyBorder="1" applyAlignment="1">
      <alignment horizontal="center"/>
    </xf>
    <xf numFmtId="0" fontId="7" fillId="14" borderId="1" xfId="0" applyFont="1" applyFill="1" applyBorder="1" applyAlignment="1">
      <alignment horizontal="center"/>
    </xf>
    <xf numFmtId="0" fontId="7" fillId="14" borderId="1" xfId="0" applyFont="1" applyFill="1" applyBorder="1" applyAlignment="1">
      <alignment horizontal="center" vertical="center"/>
    </xf>
    <xf numFmtId="0" fontId="9" fillId="4" borderId="1" xfId="1" applyFont="1" applyBorder="1" applyAlignment="1">
      <alignment horizontal="left" vertical="center" wrapText="1" indent="1"/>
    </xf>
    <xf numFmtId="0" fontId="9" fillId="5" borderId="1" xfId="2" applyFont="1" applyBorder="1" applyAlignment="1">
      <alignment horizontal="left" vertical="center" indent="1"/>
    </xf>
    <xf numFmtId="0" fontId="9" fillId="6" borderId="1" xfId="3" applyFont="1" applyBorder="1" applyAlignment="1">
      <alignment horizontal="left" vertical="center" wrapText="1" indent="1"/>
    </xf>
    <xf numFmtId="0" fontId="9" fillId="7" borderId="1" xfId="4" applyFont="1" applyBorder="1" applyAlignment="1">
      <alignment horizontal="left" vertical="center" wrapText="1" indent="1"/>
    </xf>
    <xf numFmtId="0" fontId="4" fillId="19" borderId="1" xfId="0" applyFont="1" applyFill="1" applyBorder="1" applyAlignment="1">
      <alignment horizontal="left" indent="1"/>
    </xf>
    <xf numFmtId="0" fontId="7" fillId="19" borderId="1" xfId="0" applyFont="1" applyFill="1" applyBorder="1" applyAlignment="1">
      <alignment horizontal="left" vertical="center" indent="1"/>
    </xf>
    <xf numFmtId="0" fontId="4" fillId="21" borderId="1" xfId="0" applyFont="1" applyFill="1" applyBorder="1" applyAlignment="1">
      <alignment horizontal="left" indent="1"/>
    </xf>
    <xf numFmtId="0" fontId="7" fillId="21" borderId="1" xfId="0" applyFont="1" applyFill="1" applyBorder="1" applyAlignment="1">
      <alignment horizontal="left" vertical="center" indent="1"/>
    </xf>
    <xf numFmtId="0" fontId="4" fillId="9" borderId="1" xfId="0" applyFont="1" applyFill="1" applyBorder="1" applyAlignment="1">
      <alignment horizontal="left" indent="1"/>
    </xf>
    <xf numFmtId="0" fontId="7" fillId="9" borderId="1" xfId="0" applyFont="1" applyFill="1" applyBorder="1" applyAlignment="1">
      <alignment horizontal="left" vertical="center" indent="1"/>
    </xf>
    <xf numFmtId="0" fontId="4" fillId="18" borderId="1" xfId="0" applyFont="1" applyFill="1" applyBorder="1" applyAlignment="1">
      <alignment horizontal="left" indent="1"/>
    </xf>
    <xf numFmtId="0" fontId="7" fillId="18" borderId="1" xfId="0" applyFont="1" applyFill="1" applyBorder="1" applyAlignment="1">
      <alignment horizontal="left" vertical="center" indent="1"/>
    </xf>
    <xf numFmtId="0" fontId="4" fillId="13" borderId="1" xfId="0" applyFont="1" applyFill="1" applyBorder="1" applyAlignment="1">
      <alignment horizontal="left" indent="1"/>
    </xf>
    <xf numFmtId="0" fontId="7" fillId="13" borderId="1" xfId="0" applyFont="1" applyFill="1" applyBorder="1" applyAlignment="1">
      <alignment horizontal="left" vertical="center" indent="1"/>
    </xf>
    <xf numFmtId="0" fontId="4" fillId="12" borderId="1" xfId="0" applyFont="1" applyFill="1" applyBorder="1" applyAlignment="1">
      <alignment horizontal="left" indent="1"/>
    </xf>
    <xf numFmtId="0" fontId="7" fillId="12" borderId="1" xfId="0" applyFont="1" applyFill="1" applyBorder="1" applyAlignment="1">
      <alignment horizontal="left" vertical="center" indent="1"/>
    </xf>
    <xf numFmtId="0" fontId="4" fillId="8" borderId="1" xfId="0" applyFont="1" applyFill="1" applyBorder="1" applyAlignment="1">
      <alignment horizontal="left" indent="1"/>
    </xf>
    <xf numFmtId="0" fontId="7" fillId="8" borderId="1" xfId="0" applyFont="1" applyFill="1" applyBorder="1" applyAlignment="1">
      <alignment horizontal="left" vertical="center" indent="1"/>
    </xf>
    <xf numFmtId="0" fontId="4" fillId="20" borderId="1" xfId="0" applyFont="1" applyFill="1" applyBorder="1" applyAlignment="1">
      <alignment horizontal="left" indent="1"/>
    </xf>
    <xf numFmtId="0" fontId="7" fillId="20" borderId="1" xfId="0" applyFont="1" applyFill="1" applyBorder="1" applyAlignment="1">
      <alignment horizontal="left" vertical="center" indent="1"/>
    </xf>
    <xf numFmtId="0" fontId="11" fillId="2" borderId="1" xfId="0" applyFont="1" applyFill="1" applyBorder="1" applyAlignment="1">
      <alignment horizontal="center" vertical="center" wrapText="1"/>
    </xf>
    <xf numFmtId="0" fontId="4" fillId="22" borderId="1" xfId="0" applyFont="1" applyFill="1" applyBorder="1" applyAlignment="1">
      <alignment horizontal="center" vertical="center"/>
    </xf>
    <xf numFmtId="0" fontId="4" fillId="23" borderId="1" xfId="0" applyFont="1" applyFill="1" applyBorder="1" applyAlignment="1">
      <alignment horizontal="center" vertical="center"/>
    </xf>
    <xf numFmtId="0" fontId="7" fillId="23" borderId="1" xfId="0" applyFont="1" applyFill="1" applyBorder="1" applyAlignment="1">
      <alignment horizontal="center"/>
    </xf>
    <xf numFmtId="0" fontId="4" fillId="23" borderId="1" xfId="0" applyFont="1" applyFill="1" applyBorder="1" applyAlignment="1">
      <alignment horizontal="left" indent="1"/>
    </xf>
    <xf numFmtId="0" fontId="7" fillId="23" borderId="1" xfId="0" applyFont="1" applyFill="1" applyBorder="1" applyAlignment="1">
      <alignment horizontal="left" vertical="center" indent="1"/>
    </xf>
    <xf numFmtId="0" fontId="4" fillId="24" borderId="1" xfId="0" applyFont="1" applyFill="1" applyBorder="1" applyAlignment="1">
      <alignment horizontal="center" vertical="center"/>
    </xf>
    <xf numFmtId="0" fontId="7" fillId="24" borderId="1" xfId="0" applyFont="1" applyFill="1" applyBorder="1" applyAlignment="1">
      <alignment horizontal="center"/>
    </xf>
    <xf numFmtId="0" fontId="7" fillId="24" borderId="1" xfId="0" applyFont="1" applyFill="1" applyBorder="1" applyAlignment="1">
      <alignment horizontal="center" vertical="center"/>
    </xf>
    <xf numFmtId="176" fontId="4" fillId="19" borderId="1" xfId="0" applyNumberFormat="1" applyFont="1" applyFill="1" applyBorder="1" applyAlignment="1">
      <alignment horizontal="center" vertical="center"/>
    </xf>
    <xf numFmtId="176" fontId="0" fillId="0" borderId="0" xfId="0" applyNumberFormat="1"/>
    <xf numFmtId="176" fontId="4" fillId="21" borderId="1" xfId="0" applyNumberFormat="1" applyFont="1" applyFill="1" applyBorder="1" applyAlignment="1">
      <alignment horizontal="center" vertical="center"/>
    </xf>
    <xf numFmtId="176" fontId="4" fillId="23" borderId="1" xfId="0" applyNumberFormat="1" applyFont="1" applyFill="1" applyBorder="1" applyAlignment="1">
      <alignment horizontal="center" vertical="center"/>
    </xf>
    <xf numFmtId="176" fontId="4" fillId="9" borderId="1" xfId="0" applyNumberFormat="1" applyFont="1" applyFill="1" applyBorder="1" applyAlignment="1">
      <alignment horizontal="center" vertical="center"/>
    </xf>
    <xf numFmtId="176" fontId="4" fillId="18" borderId="1" xfId="0" applyNumberFormat="1" applyFont="1" applyFill="1" applyBorder="1" applyAlignment="1">
      <alignment horizontal="center" vertical="center"/>
    </xf>
    <xf numFmtId="176" fontId="4" fillId="13" borderId="1" xfId="0" applyNumberFormat="1" applyFont="1" applyFill="1" applyBorder="1" applyAlignment="1">
      <alignment horizontal="center" vertical="center"/>
    </xf>
    <xf numFmtId="176" fontId="4" fillId="12" borderId="1" xfId="0" applyNumberFormat="1" applyFont="1" applyFill="1" applyBorder="1" applyAlignment="1">
      <alignment horizontal="center" vertical="center"/>
    </xf>
    <xf numFmtId="176" fontId="4" fillId="8" borderId="1" xfId="0" applyNumberFormat="1" applyFont="1" applyFill="1" applyBorder="1" applyAlignment="1">
      <alignment horizontal="center" vertical="center"/>
    </xf>
    <xf numFmtId="176" fontId="4" fillId="20" borderId="1" xfId="0" applyNumberFormat="1" applyFont="1" applyFill="1" applyBorder="1" applyAlignment="1">
      <alignment horizontal="center" vertical="center"/>
    </xf>
    <xf numFmtId="176" fontId="7" fillId="11" borderId="1" xfId="0" applyNumberFormat="1" applyFont="1" applyFill="1" applyBorder="1" applyAlignment="1">
      <alignment horizontal="center" vertical="center"/>
    </xf>
    <xf numFmtId="176" fontId="4" fillId="14" borderId="1" xfId="0" applyNumberFormat="1" applyFont="1" applyFill="1" applyBorder="1" applyAlignment="1">
      <alignment horizontal="center" vertical="center"/>
    </xf>
    <xf numFmtId="176" fontId="4" fillId="24" borderId="1" xfId="0" applyNumberFormat="1" applyFont="1" applyFill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176" fontId="4" fillId="15" borderId="1" xfId="0" applyNumberFormat="1" applyFont="1" applyFill="1" applyBorder="1" applyAlignment="1">
      <alignment horizontal="center" vertical="center"/>
    </xf>
    <xf numFmtId="176" fontId="4" fillId="16" borderId="1" xfId="0" applyNumberFormat="1" applyFont="1" applyFill="1" applyBorder="1" applyAlignment="1">
      <alignment horizontal="center" vertical="center"/>
    </xf>
    <xf numFmtId="176" fontId="4" fillId="17" borderId="1" xfId="0" applyNumberFormat="1" applyFont="1" applyFill="1" applyBorder="1" applyAlignment="1">
      <alignment horizontal="center" vertical="center"/>
    </xf>
    <xf numFmtId="0" fontId="4" fillId="21" borderId="1" xfId="0" applyFont="1" applyFill="1" applyBorder="1" applyAlignment="1">
      <alignment horizontal="center"/>
    </xf>
    <xf numFmtId="0" fontId="4" fillId="23" borderId="1" xfId="0" applyFont="1" applyFill="1" applyBorder="1" applyAlignment="1">
      <alignment horizontal="center"/>
    </xf>
    <xf numFmtId="0" fontId="12" fillId="21" borderId="1" xfId="0" applyFont="1" applyFill="1" applyBorder="1" applyAlignment="1">
      <alignment horizontal="center" vertical="center"/>
    </xf>
    <xf numFmtId="0" fontId="13" fillId="21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4" fillId="25" borderId="1" xfId="0" applyFont="1" applyFill="1" applyBorder="1" applyAlignment="1">
      <alignment horizontal="center" vertical="center"/>
    </xf>
    <xf numFmtId="0" fontId="7" fillId="25" borderId="1" xfId="0" applyFont="1" applyFill="1" applyBorder="1" applyAlignment="1">
      <alignment horizontal="center"/>
    </xf>
    <xf numFmtId="0" fontId="7" fillId="25" borderId="1" xfId="0" applyFont="1" applyFill="1" applyBorder="1" applyAlignment="1">
      <alignment horizontal="center" vertical="center"/>
    </xf>
    <xf numFmtId="176" fontId="4" fillId="25" borderId="1" xfId="0" applyNumberFormat="1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/>
    </xf>
    <xf numFmtId="0" fontId="4" fillId="25" borderId="1" xfId="0" applyFont="1" applyFill="1" applyBorder="1" applyAlignment="1">
      <alignment horizontal="left" indent="1"/>
    </xf>
    <xf numFmtId="0" fontId="7" fillId="25" borderId="1" xfId="0" applyFont="1" applyFill="1" applyBorder="1" applyAlignment="1">
      <alignment horizontal="left" vertical="center" indent="1"/>
    </xf>
    <xf numFmtId="0" fontId="4" fillId="15" borderId="1" xfId="0" applyFont="1" applyFill="1" applyBorder="1" applyAlignment="1">
      <alignment horizontal="left" indent="1"/>
    </xf>
    <xf numFmtId="0" fontId="7" fillId="15" borderId="1" xfId="0" applyFont="1" applyFill="1" applyBorder="1" applyAlignment="1">
      <alignment horizontal="left" vertical="center" indent="1"/>
    </xf>
    <xf numFmtId="0" fontId="4" fillId="26" borderId="1" xfId="0" applyFont="1" applyFill="1" applyBorder="1" applyAlignment="1">
      <alignment horizontal="center" vertical="center"/>
    </xf>
    <xf numFmtId="0" fontId="7" fillId="26" borderId="1" xfId="0" applyFont="1" applyFill="1" applyBorder="1" applyAlignment="1">
      <alignment horizontal="center"/>
    </xf>
    <xf numFmtId="0" fontId="4" fillId="26" borderId="1" xfId="0" applyFont="1" applyFill="1" applyBorder="1" applyAlignment="1">
      <alignment horizontal="left" indent="1"/>
    </xf>
    <xf numFmtId="0" fontId="7" fillId="26" borderId="1" xfId="0" applyFont="1" applyFill="1" applyBorder="1" applyAlignment="1">
      <alignment horizontal="left" vertical="center" indent="1"/>
    </xf>
    <xf numFmtId="176" fontId="4" fillId="26" borderId="1" xfId="0" applyNumberFormat="1" applyFont="1" applyFill="1" applyBorder="1" applyAlignment="1">
      <alignment horizontal="center" vertical="center"/>
    </xf>
    <xf numFmtId="0" fontId="12" fillId="26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7" fillId="10" borderId="1" xfId="0" applyFont="1" applyFill="1" applyBorder="1" applyAlignment="1">
      <alignment horizontal="center" vertical="center"/>
    </xf>
    <xf numFmtId="0" fontId="7" fillId="18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12" borderId="1" xfId="0" applyFont="1" applyFill="1" applyBorder="1" applyAlignment="1">
      <alignment horizontal="center"/>
    </xf>
    <xf numFmtId="0" fontId="7" fillId="1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2" fillId="0" borderId="0" xfId="5" applyBorder="1" applyAlignment="1">
      <alignment horizontal="left" vertical="center" indent="1"/>
    </xf>
    <xf numFmtId="0" fontId="7" fillId="19" borderId="1" xfId="5" applyFont="1" applyFill="1" applyAlignment="1">
      <alignment horizontal="left" vertical="center" indent="1"/>
    </xf>
    <xf numFmtId="0" fontId="7" fillId="21" borderId="1" xfId="5" applyFont="1" applyFill="1" applyAlignment="1">
      <alignment horizontal="left" vertical="center" indent="1"/>
    </xf>
    <xf numFmtId="0" fontId="7" fillId="23" borderId="1" xfId="5" applyFont="1" applyFill="1" applyAlignment="1">
      <alignment horizontal="left" vertical="center" indent="1"/>
    </xf>
    <xf numFmtId="0" fontId="7" fillId="9" borderId="1" xfId="5" applyFont="1" applyFill="1" applyAlignment="1">
      <alignment horizontal="left" vertical="center" indent="1"/>
    </xf>
    <xf numFmtId="0" fontId="7" fillId="18" borderId="1" xfId="5" applyFont="1" applyFill="1" applyAlignment="1">
      <alignment horizontal="left" vertical="center" indent="1"/>
    </xf>
    <xf numFmtId="0" fontId="7" fillId="25" borderId="1" xfId="5" applyFont="1" applyFill="1" applyAlignment="1">
      <alignment horizontal="left" vertical="center" indent="1"/>
    </xf>
    <xf numFmtId="0" fontId="7" fillId="13" borderId="1" xfId="5" applyFont="1" applyFill="1" applyAlignment="1">
      <alignment horizontal="left" vertical="center" indent="1"/>
    </xf>
    <xf numFmtId="0" fontId="7" fillId="12" borderId="1" xfId="5" applyFont="1" applyFill="1" applyAlignment="1">
      <alignment horizontal="left" vertical="center" indent="1"/>
    </xf>
    <xf numFmtId="0" fontId="7" fillId="15" borderId="1" xfId="5" applyFont="1" applyFill="1" applyAlignment="1">
      <alignment horizontal="left" vertical="center" indent="1"/>
    </xf>
    <xf numFmtId="0" fontId="7" fillId="8" borderId="1" xfId="5" applyFont="1" applyFill="1" applyAlignment="1">
      <alignment horizontal="left" vertical="center" indent="1"/>
    </xf>
    <xf numFmtId="0" fontId="7" fillId="20" borderId="1" xfId="5" applyFont="1" applyFill="1" applyAlignment="1">
      <alignment horizontal="left" vertical="center" indent="1"/>
    </xf>
    <xf numFmtId="0" fontId="7" fillId="26" borderId="1" xfId="5" applyFont="1" applyFill="1" applyAlignment="1">
      <alignment horizontal="left" vertical="center" indent="1"/>
    </xf>
    <xf numFmtId="0" fontId="7" fillId="0" borderId="0" xfId="5" applyFont="1" applyBorder="1">
      <alignment horizontal="center" vertical="center"/>
    </xf>
    <xf numFmtId="0" fontId="2" fillId="0" borderId="0" xfId="5" applyBorder="1">
      <alignment horizontal="center" vertical="center"/>
    </xf>
    <xf numFmtId="0" fontId="7" fillId="9" borderId="1" xfId="5" applyFont="1" applyFill="1">
      <alignment horizontal="center" vertical="center"/>
    </xf>
    <xf numFmtId="0" fontId="7" fillId="12" borderId="1" xfId="5" applyFont="1" applyFill="1">
      <alignment horizontal="center" vertical="center"/>
    </xf>
    <xf numFmtId="0" fontId="7" fillId="15" borderId="1" xfId="5" applyFont="1" applyFill="1">
      <alignment horizontal="center" vertical="center"/>
    </xf>
    <xf numFmtId="0" fontId="7" fillId="18" borderId="1" xfId="5" applyFont="1" applyFill="1">
      <alignment horizontal="center" vertical="center"/>
    </xf>
    <xf numFmtId="0" fontId="7" fillId="27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center" vertical="center"/>
    </xf>
    <xf numFmtId="0" fontId="7" fillId="27" borderId="1" xfId="0" applyFont="1" applyFill="1" applyBorder="1" applyAlignment="1">
      <alignment horizontal="center"/>
    </xf>
    <xf numFmtId="176" fontId="7" fillId="27" borderId="1" xfId="0" applyNumberFormat="1" applyFont="1" applyFill="1" applyBorder="1" applyAlignment="1">
      <alignment horizontal="center" vertical="center"/>
    </xf>
    <xf numFmtId="0" fontId="0" fillId="27" borderId="0" xfId="0" applyFill="1"/>
    <xf numFmtId="0" fontId="7" fillId="8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left" indent="1"/>
    </xf>
    <xf numFmtId="176" fontId="7" fillId="8" borderId="1" xfId="0" applyNumberFormat="1" applyFont="1" applyFill="1" applyBorder="1" applyAlignment="1">
      <alignment horizontal="center" vertical="center"/>
    </xf>
    <xf numFmtId="0" fontId="10" fillId="0" borderId="0" xfId="0" applyFont="1"/>
    <xf numFmtId="176" fontId="10" fillId="0" borderId="0" xfId="0" applyNumberFormat="1" applyFont="1"/>
    <xf numFmtId="0" fontId="10" fillId="0" borderId="0" xfId="0" applyFont="1" applyAlignment="1">
      <alignment horizontal="center" vertical="center"/>
    </xf>
    <xf numFmtId="0" fontId="7" fillId="20" borderId="1" xfId="0" applyFont="1" applyFill="1" applyBorder="1" applyAlignment="1">
      <alignment horizontal="left" indent="1"/>
    </xf>
    <xf numFmtId="176" fontId="7" fillId="20" borderId="1" xfId="0" applyNumberFormat="1" applyFont="1" applyFill="1" applyBorder="1" applyAlignment="1">
      <alignment horizontal="center" vertical="center"/>
    </xf>
    <xf numFmtId="0" fontId="12" fillId="24" borderId="1" xfId="0" applyFont="1" applyFill="1" applyBorder="1" applyAlignment="1">
      <alignment horizontal="center" vertical="center"/>
    </xf>
    <xf numFmtId="0" fontId="13" fillId="24" borderId="1" xfId="0" applyFont="1" applyFill="1" applyBorder="1" applyAlignment="1">
      <alignment horizontal="center" vertical="center"/>
    </xf>
    <xf numFmtId="0" fontId="15" fillId="23" borderId="1" xfId="0" applyFont="1" applyFill="1" applyBorder="1" applyAlignment="1">
      <alignment horizontal="center" vertical="center"/>
    </xf>
    <xf numFmtId="0" fontId="15" fillId="25" borderId="1" xfId="0" applyFont="1" applyFill="1" applyBorder="1" applyAlignment="1">
      <alignment horizontal="center" vertical="center"/>
    </xf>
    <xf numFmtId="0" fontId="15" fillId="15" borderId="1" xfId="0" applyFont="1" applyFill="1" applyBorder="1" applyAlignment="1">
      <alignment horizontal="center" vertical="center"/>
    </xf>
    <xf numFmtId="0" fontId="16" fillId="12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 wrapText="1"/>
    </xf>
    <xf numFmtId="0" fontId="15" fillId="24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7" fillId="14" borderId="1" xfId="5" applyFont="1" applyFill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20" borderId="1" xfId="5" applyFont="1" applyFill="1">
      <alignment horizontal="center" vertical="center"/>
    </xf>
    <xf numFmtId="0" fontId="7" fillId="25" borderId="1" xfId="5" applyFont="1" applyFill="1">
      <alignment horizontal="center" vertical="center"/>
    </xf>
    <xf numFmtId="0" fontId="7" fillId="13" borderId="1" xfId="5" applyFont="1" applyFill="1">
      <alignment horizontal="center" vertical="center"/>
    </xf>
    <xf numFmtId="0" fontId="7" fillId="24" borderId="1" xfId="5" applyFont="1" applyFill="1">
      <alignment horizontal="center" vertical="center"/>
    </xf>
    <xf numFmtId="0" fontId="7" fillId="0" borderId="1" xfId="5" applyFont="1">
      <alignment horizontal="center" vertical="center"/>
    </xf>
    <xf numFmtId="0" fontId="2" fillId="0" borderId="1" xfId="5">
      <alignment horizontal="center" vertical="center"/>
    </xf>
    <xf numFmtId="0" fontId="0" fillId="27" borderId="1" xfId="0" applyFill="1" applyBorder="1" applyAlignment="1">
      <alignment horizontal="center" vertical="center"/>
    </xf>
    <xf numFmtId="176" fontId="7" fillId="13" borderId="1" xfId="0" applyNumberFormat="1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</cellXfs>
  <cellStyles count="6">
    <cellStyle name="강조색1" xfId="1" builtinId="29"/>
    <cellStyle name="강조색2" xfId="2" builtinId="33"/>
    <cellStyle name="강조색4" xfId="3" builtinId="41"/>
    <cellStyle name="강조색6" xfId="4" builtinId="49"/>
    <cellStyle name="기본" xfId="5"/>
    <cellStyle name="표준" xfId="0" builtinId="0"/>
  </cellStyles>
  <dxfs count="60"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b/>
        <color theme="0"/>
      </font>
      <fill>
        <patternFill>
          <bgColor rgb="FFC00000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0" tint="-0.499984740745262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/>
        </patternFill>
      </fill>
    </dxf>
    <dxf>
      <fill>
        <patternFill>
          <bgColor theme="0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/>
        </patternFill>
      </fill>
    </dxf>
    <dxf>
      <fill>
        <patternFill>
          <bgColor theme="0" tint="-0.499984740745262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/>
        </patternFill>
      </fill>
    </dxf>
    <dxf>
      <fill>
        <patternFill>
          <bgColor theme="0" tint="-0.499984740745262"/>
        </patternFill>
      </fill>
    </dxf>
    <dxf>
      <fill>
        <patternFill>
          <bgColor theme="1"/>
        </patternFill>
      </fill>
    </dxf>
    <dxf>
      <fill>
        <patternFill>
          <bgColor theme="0" tint="-0.499984740745262"/>
        </patternFill>
      </fill>
    </dxf>
    <dxf>
      <fill>
        <patternFill>
          <bgColor theme="1"/>
        </patternFill>
      </fill>
    </dxf>
    <dxf>
      <fill>
        <patternFill>
          <bgColor theme="0" tint="-0.499984740745262"/>
        </patternFill>
      </fill>
    </dxf>
    <dxf>
      <fill>
        <patternFill>
          <bgColor theme="1"/>
        </patternFill>
      </fill>
    </dxf>
    <dxf>
      <fill>
        <patternFill>
          <bgColor theme="0" tint="-0.499984740745262"/>
        </patternFill>
      </fill>
    </dxf>
    <dxf>
      <fill>
        <patternFill>
          <bgColor theme="1"/>
        </patternFill>
      </fill>
    </dxf>
    <dxf>
      <fill>
        <patternFill>
          <bgColor theme="0" tint="-0.499984740745262"/>
        </patternFill>
      </fill>
    </dxf>
    <dxf>
      <fill>
        <patternFill>
          <bgColor theme="1"/>
        </patternFill>
      </fill>
    </dxf>
    <dxf>
      <fill>
        <patternFill>
          <bgColor theme="0" tint="-0.499984740745262"/>
        </patternFill>
      </fill>
    </dxf>
    <dxf>
      <fill>
        <patternFill>
          <bgColor theme="1"/>
        </patternFill>
      </fill>
    </dxf>
    <dxf>
      <fill>
        <patternFill>
          <bgColor theme="0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쿼리1" displayName="쿼리1" ref="A1:D1900" totalsRowShown="0">
  <autoFilter ref="A1:D1900"/>
  <tableColumns count="4">
    <tableColumn id="1" name="Name"/>
    <tableColumn id="2" name="ID"/>
    <tableColumn id="3" name="Value.Duration"/>
    <tableColumn id="4" name="열1"/>
  </tableColumns>
  <tableStyleInfo name="TableStyleMedium8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J1162"/>
  <sheetViews>
    <sheetView zoomScale="85" zoomScaleNormal="85" workbookViewId="0">
      <pane xSplit="3" ySplit="3" topLeftCell="D146" activePane="bottomRight" state="frozen"/>
      <selection pane="topRight" activeCell="D1" sqref="D1"/>
      <selection pane="bottomLeft" activeCell="A4" sqref="A4"/>
      <selection pane="bottomRight" activeCell="D76" sqref="D76"/>
    </sheetView>
  </sheetViews>
  <sheetFormatPr defaultColWidth="9" defaultRowHeight="16.5" x14ac:dyDescent="0.3"/>
  <cols>
    <col min="1" max="1" width="10.625" style="1" bestFit="1" customWidth="1"/>
    <col min="2" max="2" width="11" style="1" bestFit="1" customWidth="1"/>
    <col min="3" max="3" width="19.375" style="1" bestFit="1" customWidth="1"/>
    <col min="4" max="4" width="37" style="1" customWidth="1"/>
    <col min="5" max="5" width="11.375" style="1" customWidth="1"/>
    <col min="6" max="6" width="20.625" style="1" customWidth="1"/>
    <col min="7" max="7" width="10.375" style="1" customWidth="1"/>
    <col min="8" max="9" width="12.625" style="1" customWidth="1"/>
    <col min="10" max="11" width="9.375" style="1" customWidth="1"/>
    <col min="12" max="12" width="37.75" style="129" customWidth="1"/>
    <col min="13" max="13" width="35.875" style="129" customWidth="1"/>
    <col min="14" max="14" width="24.25" style="129" customWidth="1"/>
    <col min="15" max="15" width="40.625" style="130" customWidth="1"/>
    <col min="16" max="16" width="31.625" style="129" customWidth="1"/>
    <col min="17" max="17" width="28.625" style="129" bestFit="1" customWidth="1"/>
    <col min="18" max="18" width="36.75" style="129" bestFit="1" customWidth="1"/>
    <col min="19" max="21" width="17" style="129" customWidth="1"/>
    <col min="22" max="22" width="6" style="1" bestFit="1" customWidth="1"/>
    <col min="23" max="23" width="55.125" style="1" bestFit="1" customWidth="1"/>
    <col min="24" max="24" width="10.625" style="1" bestFit="1" customWidth="1"/>
    <col min="25" max="25" width="30.375" style="1" bestFit="1" customWidth="1"/>
    <col min="26" max="26" width="32.75" style="1" bestFit="1" customWidth="1"/>
    <col min="27" max="27" width="13.375" style="1" bestFit="1" customWidth="1"/>
    <col min="28" max="28" width="9" style="1" bestFit="1" customWidth="1"/>
    <col min="29" max="29" width="6.375" style="1" bestFit="1" customWidth="1"/>
    <col min="30" max="30" width="10.875" style="1" bestFit="1" customWidth="1"/>
    <col min="31" max="32" width="45.75" style="1" customWidth="1"/>
    <col min="33" max="33" width="13.125" style="1" bestFit="1" customWidth="1"/>
    <col min="34" max="36" width="9" customWidth="1"/>
    <col min="37" max="38" width="9" style="1" customWidth="1"/>
    <col min="39" max="16384" width="9" style="1"/>
  </cols>
  <sheetData>
    <row r="1" spans="1:34" x14ac:dyDescent="0.3">
      <c r="A1" s="6" t="s">
        <v>0</v>
      </c>
      <c r="B1" s="6" t="s">
        <v>1</v>
      </c>
      <c r="C1" s="6" t="s">
        <v>1</v>
      </c>
      <c r="D1" s="6" t="s">
        <v>2</v>
      </c>
      <c r="E1" s="6" t="s">
        <v>3</v>
      </c>
      <c r="F1" s="7" t="s">
        <v>4</v>
      </c>
      <c r="G1" s="6" t="s">
        <v>5</v>
      </c>
      <c r="H1" s="6" t="s">
        <v>6</v>
      </c>
      <c r="I1" s="6" t="s">
        <v>1988</v>
      </c>
      <c r="J1" s="6" t="s">
        <v>7</v>
      </c>
      <c r="K1" s="6" t="s">
        <v>1394</v>
      </c>
      <c r="L1" s="55" t="s">
        <v>8</v>
      </c>
      <c r="M1" s="55" t="s">
        <v>9</v>
      </c>
      <c r="N1" s="55" t="s">
        <v>10</v>
      </c>
      <c r="O1" s="56" t="s">
        <v>11</v>
      </c>
      <c r="P1" s="57" t="s">
        <v>12</v>
      </c>
      <c r="Q1" s="57" t="s">
        <v>13</v>
      </c>
      <c r="R1" s="58" t="s">
        <v>14</v>
      </c>
      <c r="S1" s="58" t="s">
        <v>15</v>
      </c>
      <c r="T1" s="58" t="s">
        <v>16</v>
      </c>
      <c r="U1" s="58" t="s">
        <v>2767</v>
      </c>
      <c r="V1" s="11" t="s">
        <v>17</v>
      </c>
      <c r="W1" s="6" t="s">
        <v>18</v>
      </c>
      <c r="X1" s="6" t="s">
        <v>19</v>
      </c>
      <c r="Y1" s="6" t="s">
        <v>20</v>
      </c>
      <c r="Z1" s="6" t="s">
        <v>21</v>
      </c>
      <c r="AA1" s="6" t="s">
        <v>22</v>
      </c>
      <c r="AB1" s="6" t="s">
        <v>23</v>
      </c>
      <c r="AC1" s="6" t="s">
        <v>24</v>
      </c>
      <c r="AD1" s="6" t="s">
        <v>25</v>
      </c>
      <c r="AE1" s="6" t="s">
        <v>26</v>
      </c>
      <c r="AF1" s="6" t="s">
        <v>27</v>
      </c>
      <c r="AG1" s="6" t="s">
        <v>2739</v>
      </c>
    </row>
    <row r="2" spans="1:34" x14ac:dyDescent="0.3">
      <c r="A2" s="6" t="s">
        <v>28</v>
      </c>
      <c r="B2" s="6" t="s">
        <v>29</v>
      </c>
      <c r="C2" s="6" t="s">
        <v>29</v>
      </c>
      <c r="D2" s="6" t="s">
        <v>30</v>
      </c>
      <c r="E2" s="6" t="s">
        <v>31</v>
      </c>
      <c r="F2" s="7" t="s">
        <v>32</v>
      </c>
      <c r="G2" s="6" t="s">
        <v>33</v>
      </c>
      <c r="H2" s="6" t="s">
        <v>33</v>
      </c>
      <c r="I2" s="6" t="s">
        <v>33</v>
      </c>
      <c r="J2" s="6" t="s">
        <v>34</v>
      </c>
      <c r="K2" s="6" t="s">
        <v>34</v>
      </c>
      <c r="L2" s="55" t="s">
        <v>35</v>
      </c>
      <c r="M2" s="55" t="s">
        <v>35</v>
      </c>
      <c r="N2" s="55" t="s">
        <v>35</v>
      </c>
      <c r="O2" s="56" t="s">
        <v>35</v>
      </c>
      <c r="P2" s="57" t="s">
        <v>35</v>
      </c>
      <c r="Q2" s="57" t="s">
        <v>35</v>
      </c>
      <c r="R2" s="58" t="s">
        <v>35</v>
      </c>
      <c r="S2" s="58" t="s">
        <v>35</v>
      </c>
      <c r="T2" s="58" t="s">
        <v>35</v>
      </c>
      <c r="U2" s="58" t="s">
        <v>35</v>
      </c>
      <c r="V2" s="11" t="s">
        <v>33</v>
      </c>
      <c r="W2" s="6" t="s">
        <v>30</v>
      </c>
      <c r="X2" s="6" t="s">
        <v>30</v>
      </c>
      <c r="Y2" s="6" t="s">
        <v>30</v>
      </c>
      <c r="Z2" s="6" t="s">
        <v>30</v>
      </c>
      <c r="AA2" s="6" t="s">
        <v>30</v>
      </c>
      <c r="AB2" s="6" t="s">
        <v>30</v>
      </c>
      <c r="AC2" s="6" t="s">
        <v>36</v>
      </c>
      <c r="AD2" s="6" t="s">
        <v>30</v>
      </c>
      <c r="AE2" s="6" t="s">
        <v>30</v>
      </c>
      <c r="AF2" s="6" t="s">
        <v>30</v>
      </c>
      <c r="AG2" s="6" t="s">
        <v>2740</v>
      </c>
    </row>
    <row r="3" spans="1:34" x14ac:dyDescent="0.3">
      <c r="A3" s="6" t="s">
        <v>37</v>
      </c>
      <c r="B3" s="6" t="s">
        <v>38</v>
      </c>
      <c r="C3" s="6" t="s">
        <v>39</v>
      </c>
      <c r="D3" s="6" t="s">
        <v>40</v>
      </c>
      <c r="E3" s="6" t="s">
        <v>37</v>
      </c>
      <c r="F3" s="7" t="s">
        <v>37</v>
      </c>
      <c r="G3" s="6" t="s">
        <v>37</v>
      </c>
      <c r="H3" s="6" t="s">
        <v>37</v>
      </c>
      <c r="I3" s="6" t="s">
        <v>1989</v>
      </c>
      <c r="J3" s="6" t="s">
        <v>37</v>
      </c>
      <c r="K3" s="6" t="s">
        <v>37</v>
      </c>
      <c r="L3" s="55" t="s">
        <v>37</v>
      </c>
      <c r="M3" s="55" t="s">
        <v>37</v>
      </c>
      <c r="N3" s="55" t="s">
        <v>37</v>
      </c>
      <c r="O3" s="56" t="s">
        <v>37</v>
      </c>
      <c r="P3" s="57" t="s">
        <v>37</v>
      </c>
      <c r="Q3" s="57" t="s">
        <v>37</v>
      </c>
      <c r="R3" s="58" t="s">
        <v>37</v>
      </c>
      <c r="S3" s="58" t="s">
        <v>37</v>
      </c>
      <c r="T3" s="58" t="s">
        <v>37</v>
      </c>
      <c r="U3" s="58" t="s">
        <v>37</v>
      </c>
      <c r="V3" s="11" t="s">
        <v>40</v>
      </c>
      <c r="W3" s="6" t="s">
        <v>40</v>
      </c>
      <c r="X3" s="6" t="s">
        <v>40</v>
      </c>
      <c r="Y3" s="6" t="s">
        <v>40</v>
      </c>
      <c r="Z3" s="6" t="s">
        <v>40</v>
      </c>
      <c r="AA3" s="6" t="s">
        <v>40</v>
      </c>
      <c r="AB3" s="6" t="s">
        <v>40</v>
      </c>
      <c r="AC3" s="6" t="s">
        <v>40</v>
      </c>
      <c r="AD3" s="6" t="s">
        <v>40</v>
      </c>
      <c r="AE3" s="6" t="s">
        <v>37</v>
      </c>
      <c r="AF3" s="6" t="s">
        <v>37</v>
      </c>
      <c r="AG3" s="6" t="s">
        <v>37</v>
      </c>
    </row>
    <row r="4" spans="1:34" x14ac:dyDescent="0.3">
      <c r="A4" s="37">
        <v>1110201101</v>
      </c>
      <c r="B4" s="37" t="s">
        <v>41</v>
      </c>
      <c r="C4" s="37" t="s">
        <v>42</v>
      </c>
      <c r="D4" s="37" t="str">
        <f>"Monster.Name."&amp;VLOOKUP($C4,'#Data'!$B$2:$J$344,2,FALSE)</f>
        <v>Monster.Name.solid_turretmk1_1</v>
      </c>
      <c r="E4" s="37" t="s">
        <v>43</v>
      </c>
      <c r="F4" s="38" t="s">
        <v>44</v>
      </c>
      <c r="G4" s="37" t="s">
        <v>45</v>
      </c>
      <c r="H4" s="37" t="b">
        <f>IF(OR(VLOOKUP($C4,'#Data'!$B$2:$J$344,4,FALSE)="보스",VLOOKUP($C4,'#Data'!$B$2:$J$344,4,FALSE)="중간"),TRUE,FALSE)</f>
        <v>0</v>
      </c>
      <c r="I4" s="37" t="b">
        <f>IF(OR(VLOOKUP($C4,'#Data'!$B$2:$J$344,4,FALSE)="보스",VLOOKUP($C4,'#Data'!$B$2:$J$344,4,FALSE)="중간"),TRUE,FALSE)</f>
        <v>0</v>
      </c>
      <c r="J4" s="37">
        <v>10</v>
      </c>
      <c r="K4" s="37">
        <f>VLOOKUP($A4,쿼리1[[ID]:[열1]],3,FALSE)</f>
        <v>10</v>
      </c>
      <c r="L4" s="59" t="str">
        <f>$B4&amp;"."&amp;VLOOKUP($C4,'#Data'!$B$2:$J$344,2,FALSE)&amp;".attack0"&amp;RIGHT(L$1,1)</f>
        <v>Sector01.solid_turretmk1_1.attack01</v>
      </c>
      <c r="M4" s="59"/>
      <c r="N4" s="59"/>
      <c r="O4" s="131" t="s">
        <v>1990</v>
      </c>
      <c r="P4" s="131"/>
      <c r="Q4" s="131"/>
      <c r="R4" s="60"/>
      <c r="S4" s="60"/>
      <c r="T4" s="60"/>
      <c r="U4" s="60"/>
      <c r="V4" s="37" t="b">
        <v>0</v>
      </c>
      <c r="W4" s="37" t="str">
        <f>"Character/Prefabs/"&amp;VLOOKUP($C4,'#Data'!$B$3:$I$344,8,FALSE)</f>
        <v>Character/Prefabs/m_s_attacker_solid_turretmk1_1</v>
      </c>
      <c r="X4" s="37"/>
      <c r="Y4" s="37" t="str">
        <f>VLOOKUP($C4,'#Data'!$B$3:$I$344,8,FALSE)</f>
        <v>m_s_attacker_solid_turretmk1_1</v>
      </c>
      <c r="Z4" s="37"/>
      <c r="AA4" s="37"/>
      <c r="AB4" s="37"/>
      <c r="AC4" s="84">
        <v>0.7</v>
      </c>
      <c r="AD4" s="37"/>
      <c r="AE4" s="37"/>
      <c r="AF4" s="37"/>
      <c r="AG4" s="37" t="s">
        <v>2104</v>
      </c>
      <c r="AH4" s="85"/>
    </row>
    <row r="5" spans="1:34" x14ac:dyDescent="0.3">
      <c r="A5" s="37">
        <v>1110201102</v>
      </c>
      <c r="B5" s="37" t="s">
        <v>41</v>
      </c>
      <c r="C5" s="37" t="s">
        <v>46</v>
      </c>
      <c r="D5" s="37" t="str">
        <f>"Monster.Name."&amp;VLOOKUP($C5,'#Data'!$B$2:$J$344,2,FALSE)</f>
        <v>Monster.Name.spider_turret_prototype_1</v>
      </c>
      <c r="E5" s="37" t="s">
        <v>47</v>
      </c>
      <c r="F5" s="38" t="s">
        <v>44</v>
      </c>
      <c r="G5" s="37" t="s">
        <v>45</v>
      </c>
      <c r="H5" s="37" t="b">
        <f>IF(OR(VLOOKUP($C5,'#Data'!$B$2:$J$344,4,FALSE)="보스",VLOOKUP($C5,'#Data'!$B$2:$J$344,4,FALSE)="중간"),TRUE,FALSE)</f>
        <v>0</v>
      </c>
      <c r="I5" s="37" t="b">
        <f>IF(OR(VLOOKUP($C5,'#Data'!$B$2:$J$344,4,FALSE)="보스",VLOOKUP($C5,'#Data'!$B$2:$J$344,4,FALSE)="중간"),TRUE,FALSE)</f>
        <v>0</v>
      </c>
      <c r="J5" s="37">
        <v>10</v>
      </c>
      <c r="K5" s="37">
        <f>VLOOKUP($A5,쿼리1[[ID]:[열1]],3,FALSE)</f>
        <v>30</v>
      </c>
      <c r="L5" s="59" t="str">
        <f>$B5&amp;"."&amp;VLOOKUP($C5,'#Data'!$B$2:$J$344,2,FALSE)&amp;".attack0"&amp;RIGHT(L$1,1)</f>
        <v>Sector01.spider_turret_prototype_1.attack01</v>
      </c>
      <c r="M5" s="59"/>
      <c r="N5" s="59"/>
      <c r="O5" s="131" t="s">
        <v>1991</v>
      </c>
      <c r="P5" s="131"/>
      <c r="Q5" s="131"/>
      <c r="R5" s="60"/>
      <c r="S5" s="60"/>
      <c r="T5" s="60"/>
      <c r="U5" s="60"/>
      <c r="V5" s="37" t="b">
        <v>0</v>
      </c>
      <c r="W5" s="37" t="str">
        <f>"Character/Prefabs/"&amp;VLOOKUP($C5,'#Data'!$B$3:$I$344,8,FALSE)</f>
        <v>Character/Prefabs/m_s_ranger_spider_turret_prototype_1</v>
      </c>
      <c r="X5" s="37"/>
      <c r="Y5" s="37" t="str">
        <f>VLOOKUP($C5,'#Data'!$B$3:$I$344,8,FALSE)</f>
        <v>m_s_ranger_spider_turret_prototype_1</v>
      </c>
      <c r="Z5" s="37"/>
      <c r="AA5" s="37"/>
      <c r="AB5" s="37"/>
      <c r="AC5" s="84">
        <v>0.6</v>
      </c>
      <c r="AD5" s="37"/>
      <c r="AE5" s="37"/>
      <c r="AF5" s="37"/>
      <c r="AG5" s="37" t="s">
        <v>2104</v>
      </c>
      <c r="AH5" s="85"/>
    </row>
    <row r="6" spans="1:34" x14ac:dyDescent="0.3">
      <c r="A6" s="37">
        <v>1110201103</v>
      </c>
      <c r="B6" s="37" t="s">
        <v>41</v>
      </c>
      <c r="C6" s="37" t="s">
        <v>48</v>
      </c>
      <c r="D6" s="37" t="str">
        <f>"Monster.Name."&amp;VLOOKUP($C6,'#Data'!$B$2:$J$344,2,FALSE)</f>
        <v>Monster.Name.electric_drone_1</v>
      </c>
      <c r="E6" s="37" t="s">
        <v>43</v>
      </c>
      <c r="F6" s="38" t="s">
        <v>44</v>
      </c>
      <c r="G6" s="37" t="s">
        <v>45</v>
      </c>
      <c r="H6" s="37" t="b">
        <f>IF(OR(VLOOKUP($C6,'#Data'!$B$2:$J$344,4,FALSE)="보스",VLOOKUP($C6,'#Data'!$B$2:$J$344,4,FALSE)="중간"),TRUE,FALSE)</f>
        <v>0</v>
      </c>
      <c r="I6" s="37" t="b">
        <f>IF(OR(VLOOKUP($C6,'#Data'!$B$2:$J$344,4,FALSE)="보스",VLOOKUP($C6,'#Data'!$B$2:$J$344,4,FALSE)="중간"),TRUE,FALSE)</f>
        <v>0</v>
      </c>
      <c r="J6" s="37">
        <v>10</v>
      </c>
      <c r="K6" s="37">
        <f>VLOOKUP($A6,쿼리1[[ID]:[열1]],3,FALSE)</f>
        <v>10</v>
      </c>
      <c r="L6" s="59" t="str">
        <f>$B6&amp;"."&amp;VLOOKUP($C6,'#Data'!$B$2:$J$344,2,FALSE)&amp;".attack0"&amp;RIGHT(L$1,1)</f>
        <v>Sector01.electric_drone_1.attack01</v>
      </c>
      <c r="M6" s="59"/>
      <c r="N6" s="59"/>
      <c r="O6" s="131" t="s">
        <v>1992</v>
      </c>
      <c r="P6" s="131"/>
      <c r="Q6" s="131"/>
      <c r="R6" s="60"/>
      <c r="S6" s="60"/>
      <c r="T6" s="60"/>
      <c r="U6" s="60"/>
      <c r="V6" s="37" t="b">
        <v>0</v>
      </c>
      <c r="W6" s="37" t="str">
        <f>"Character/Prefabs/"&amp;VLOOKUP($C6,'#Data'!$B$3:$I$344,8,FALSE)</f>
        <v>Character/Prefabs/m_s_attacker_electric_drone_1</v>
      </c>
      <c r="X6" s="37"/>
      <c r="Y6" s="37" t="str">
        <f>VLOOKUP($C6,'#Data'!$B$3:$I$344,8,FALSE)</f>
        <v>m_s_attacker_electric_drone_1</v>
      </c>
      <c r="Z6" s="37"/>
      <c r="AA6" s="37"/>
      <c r="AB6" s="37"/>
      <c r="AC6" s="84">
        <v>0.7</v>
      </c>
      <c r="AD6" s="37"/>
      <c r="AE6" s="37"/>
      <c r="AF6" s="37"/>
      <c r="AG6" s="37" t="s">
        <v>2104</v>
      </c>
      <c r="AH6" s="85"/>
    </row>
    <row r="7" spans="1:34" x14ac:dyDescent="0.3">
      <c r="A7" s="37">
        <v>1110201104</v>
      </c>
      <c r="B7" s="37" t="s">
        <v>41</v>
      </c>
      <c r="C7" s="37" t="s">
        <v>52</v>
      </c>
      <c r="D7" s="37" t="str">
        <f>"Monster.Name."&amp;VLOOKUP($C7,'#Data'!$B$2:$J$344,2,FALSE)</f>
        <v>Monster.Name.jamming_drone_1</v>
      </c>
      <c r="E7" s="37" t="s">
        <v>47</v>
      </c>
      <c r="F7" s="38" t="s">
        <v>44</v>
      </c>
      <c r="G7" s="37" t="s">
        <v>45</v>
      </c>
      <c r="H7" s="37" t="b">
        <f>IF(OR(VLOOKUP($C7,'#Data'!$B$2:$J$344,4,FALSE)="보스",VLOOKUP($C7,'#Data'!$B$2:$J$344,4,FALSE)="중간"),TRUE,FALSE)</f>
        <v>0</v>
      </c>
      <c r="I7" s="37" t="b">
        <f>IF(OR(VLOOKUP($C7,'#Data'!$B$2:$J$344,4,FALSE)="보스",VLOOKUP($C7,'#Data'!$B$2:$J$344,4,FALSE)="중간"),TRUE,FALSE)</f>
        <v>0</v>
      </c>
      <c r="J7" s="37">
        <v>10</v>
      </c>
      <c r="K7" s="37">
        <f>VLOOKUP($A7,쿼리1[[ID]:[열1]],3,FALSE)</f>
        <v>10</v>
      </c>
      <c r="L7" s="59" t="str">
        <f>$B7&amp;"."&amp;VLOOKUP($C7,'#Data'!$B$2:$J$344,2,FALSE)&amp;".attack0"&amp;RIGHT(L$1,1)</f>
        <v>Sector01.jamming_drone_1.attack01</v>
      </c>
      <c r="M7" s="59"/>
      <c r="N7" s="59"/>
      <c r="O7" s="131" t="s">
        <v>1993</v>
      </c>
      <c r="P7" s="131"/>
      <c r="Q7" s="131"/>
      <c r="R7" s="60"/>
      <c r="S7" s="60"/>
      <c r="T7" s="60"/>
      <c r="U7" s="60"/>
      <c r="V7" s="37" t="b">
        <v>0</v>
      </c>
      <c r="W7" s="37" t="str">
        <f>"Character/Prefabs/"&amp;VLOOKUP($C7,'#Data'!$B$3:$I$344,8,FALSE)</f>
        <v>Character/Prefabs/m_s_ranger_jamming_drone_1</v>
      </c>
      <c r="X7" s="37"/>
      <c r="Y7" s="37" t="str">
        <f>VLOOKUP($C7,'#Data'!$B$3:$I$344,8,FALSE)</f>
        <v>m_s_ranger_jamming_drone_1</v>
      </c>
      <c r="Z7" s="37"/>
      <c r="AA7" s="37"/>
      <c r="AB7" s="37"/>
      <c r="AC7" s="84">
        <v>0.6</v>
      </c>
      <c r="AD7" s="37"/>
      <c r="AE7" s="37"/>
      <c r="AF7" s="37"/>
      <c r="AG7" s="37" t="s">
        <v>2104</v>
      </c>
      <c r="AH7" s="85"/>
    </row>
    <row r="8" spans="1:34" x14ac:dyDescent="0.3">
      <c r="A8" s="37">
        <v>1110201105</v>
      </c>
      <c r="B8" s="37" t="s">
        <v>41</v>
      </c>
      <c r="C8" s="37" t="s">
        <v>56</v>
      </c>
      <c r="D8" s="37" t="str">
        <f>"Monster.Name."&amp;VLOOKUP($C8,'#Data'!$B$2:$J$344,2,FALSE)</f>
        <v>Monster.Name.trooper_sniper_1</v>
      </c>
      <c r="E8" s="37" t="s">
        <v>47</v>
      </c>
      <c r="F8" s="38" t="s">
        <v>44</v>
      </c>
      <c r="G8" s="37" t="s">
        <v>45</v>
      </c>
      <c r="H8" s="37" t="b">
        <f>IF(OR(VLOOKUP($C8,'#Data'!$B$2:$J$344,4,FALSE)="보스",VLOOKUP($C8,'#Data'!$B$2:$J$344,4,FALSE)="중간"),TRUE,FALSE)</f>
        <v>0</v>
      </c>
      <c r="I8" s="37" t="b">
        <f>IF(OR(VLOOKUP($C8,'#Data'!$B$2:$J$344,4,FALSE)="보스",VLOOKUP($C8,'#Data'!$B$2:$J$344,4,FALSE)="중간"),TRUE,FALSE)</f>
        <v>0</v>
      </c>
      <c r="J8" s="37">
        <v>10</v>
      </c>
      <c r="K8" s="37">
        <f>VLOOKUP($A8,쿼리1[[ID]:[열1]],3,FALSE)</f>
        <v>10</v>
      </c>
      <c r="L8" s="59" t="str">
        <f>$B8&amp;"."&amp;VLOOKUP($C8,'#Data'!$B$2:$J$344,2,FALSE)&amp;".attack0"&amp;RIGHT(L$1,1)</f>
        <v>Sector01.trooper_sniper_1.attack01</v>
      </c>
      <c r="M8" s="59"/>
      <c r="N8" s="59"/>
      <c r="O8" s="131" t="str">
        <f>$B8&amp;"."&amp;VLOOKUP($C8,'#Data'!$B$2:$J$344,2,FALSE)&amp;".skill0"&amp;RIGHT(O$1,1)</f>
        <v>Sector01.trooper_sniper_1.skill01</v>
      </c>
      <c r="P8" s="131" t="s">
        <v>1994</v>
      </c>
      <c r="Q8" s="131"/>
      <c r="R8" s="60"/>
      <c r="S8" s="60"/>
      <c r="T8" s="60"/>
      <c r="U8" s="60"/>
      <c r="V8" s="37" t="b">
        <v>0</v>
      </c>
      <c r="W8" s="37" t="str">
        <f>"Character/Prefabs/"&amp;VLOOKUP($C8,'#Data'!$B$3:$I$344,8,FALSE)</f>
        <v>Character/Prefabs/m_m_ranger_trooper_sniper_1</v>
      </c>
      <c r="X8" s="37"/>
      <c r="Y8" s="37" t="str">
        <f>VLOOKUP($C8,'#Data'!$B$3:$I$344,8,FALSE)</f>
        <v>m_m_ranger_trooper_sniper_1</v>
      </c>
      <c r="Z8" s="37"/>
      <c r="AA8" s="37"/>
      <c r="AB8" s="37"/>
      <c r="AC8" s="84">
        <v>0.8</v>
      </c>
      <c r="AD8" s="37"/>
      <c r="AE8" s="37"/>
      <c r="AF8" s="37"/>
      <c r="AG8" s="37" t="s">
        <v>2104</v>
      </c>
      <c r="AH8" s="85"/>
    </row>
    <row r="9" spans="1:34" x14ac:dyDescent="0.3">
      <c r="A9" s="37">
        <v>1110201106</v>
      </c>
      <c r="B9" s="37" t="s">
        <v>41</v>
      </c>
      <c r="C9" s="37" t="s">
        <v>57</v>
      </c>
      <c r="D9" s="37" t="str">
        <f>"Monster.Name."&amp;VLOOKUP($C9,'#Data'!$B$2:$J$344,2,FALSE)</f>
        <v>Monster.Name.trooper_guard_1</v>
      </c>
      <c r="E9" s="37" t="s">
        <v>58</v>
      </c>
      <c r="F9" s="38" t="s">
        <v>44</v>
      </c>
      <c r="G9" s="37" t="s">
        <v>45</v>
      </c>
      <c r="H9" s="37" t="b">
        <f>IF(OR(VLOOKUP($C9,'#Data'!$B$2:$J$344,4,FALSE)="보스",VLOOKUP($C9,'#Data'!$B$2:$J$344,4,FALSE)="중간"),TRUE,FALSE)</f>
        <v>0</v>
      </c>
      <c r="I9" s="37" t="b">
        <f>IF(OR(VLOOKUP($C9,'#Data'!$B$2:$J$344,4,FALSE)="보스",VLOOKUP($C9,'#Data'!$B$2:$J$344,4,FALSE)="중간"),TRUE,FALSE)</f>
        <v>0</v>
      </c>
      <c r="J9" s="37">
        <v>10</v>
      </c>
      <c r="K9" s="37">
        <f>VLOOKUP($A9,쿼리1[[ID]:[열1]],3,FALSE)</f>
        <v>10</v>
      </c>
      <c r="L9" s="59" t="str">
        <f>$B9&amp;"."&amp;VLOOKUP($C9,'#Data'!$B$2:$J$344,2,FALSE)&amp;".attack0"&amp;RIGHT(L$1,1)</f>
        <v>Sector01.trooper_guard_1.attack01</v>
      </c>
      <c r="M9" s="59"/>
      <c r="N9" s="59"/>
      <c r="O9" s="131" t="str">
        <f>$B9&amp;"."&amp;VLOOKUP($C9,'#Data'!$B$2:$J$344,2,FALSE)&amp;".skill0"&amp;RIGHT(O$1,1)</f>
        <v>Sector01.trooper_guard_1.skill01</v>
      </c>
      <c r="P9" s="131" t="s">
        <v>1995</v>
      </c>
      <c r="Q9" s="131"/>
      <c r="R9" s="60"/>
      <c r="S9" s="60"/>
      <c r="T9" s="60"/>
      <c r="U9" s="60"/>
      <c r="V9" s="37" t="b">
        <v>0</v>
      </c>
      <c r="W9" s="37" t="str">
        <f>"Character/Prefabs/"&amp;VLOOKUP($C9,'#Data'!$B$3:$I$344,8,FALSE)</f>
        <v>Character/Prefabs/m_m_tanker_trooper_guard_1</v>
      </c>
      <c r="X9" s="37"/>
      <c r="Y9" s="37" t="str">
        <f>VLOOKUP($C9,'#Data'!$B$3:$I$344,8,FALSE)</f>
        <v>m_m_tanker_trooper_guard_1</v>
      </c>
      <c r="Z9" s="37"/>
      <c r="AA9" s="37"/>
      <c r="AB9" s="37"/>
      <c r="AC9" s="84">
        <v>0.8</v>
      </c>
      <c r="AD9" s="37"/>
      <c r="AE9" s="37"/>
      <c r="AF9" s="37"/>
      <c r="AG9" s="37" t="s">
        <v>2104</v>
      </c>
      <c r="AH9" s="85"/>
    </row>
    <row r="10" spans="1:34" x14ac:dyDescent="0.3">
      <c r="A10" s="37">
        <v>1110201107</v>
      </c>
      <c r="B10" s="37" t="s">
        <v>41</v>
      </c>
      <c r="C10" s="37" t="s">
        <v>59</v>
      </c>
      <c r="D10" s="37" t="str">
        <f>"Monster.Name."&amp;VLOOKUP($C10,'#Data'!$B$2:$J$344,2,FALSE)</f>
        <v>Monster.Name.trooper_champion_1</v>
      </c>
      <c r="E10" s="37" t="s">
        <v>43</v>
      </c>
      <c r="F10" s="38" t="s">
        <v>44</v>
      </c>
      <c r="G10" s="37" t="s">
        <v>45</v>
      </c>
      <c r="H10" s="37" t="b">
        <f>IF(OR(VLOOKUP($C10,'#Data'!$B$2:$J$344,4,FALSE)="보스",VLOOKUP($C10,'#Data'!$B$2:$J$344,4,FALSE)="중간"),TRUE,FALSE)</f>
        <v>0</v>
      </c>
      <c r="I10" s="37" t="b">
        <f>IF(OR(VLOOKUP($C10,'#Data'!$B$2:$J$344,4,FALSE)="보스",VLOOKUP($C10,'#Data'!$B$2:$J$344,4,FALSE)="중간"),TRUE,FALSE)</f>
        <v>0</v>
      </c>
      <c r="J10" s="37">
        <v>10</v>
      </c>
      <c r="K10" s="37">
        <f>VLOOKUP($A10,쿼리1[[ID]:[열1]],3,FALSE)</f>
        <v>10</v>
      </c>
      <c r="L10" s="59" t="str">
        <f>$B10&amp;"."&amp;VLOOKUP($C10,'#Data'!$B$2:$J$344,2,FALSE)&amp;".attack0"&amp;RIGHT(L$1,1)</f>
        <v>Sector01.trooper_champion_1.attack01</v>
      </c>
      <c r="M10" s="59"/>
      <c r="N10" s="59"/>
      <c r="O10" s="131" t="str">
        <f>$B10&amp;"."&amp;VLOOKUP($C10,'#Data'!$B$2:$J$344,2,FALSE)&amp;".skill0"&amp;RIGHT(O$1,1)</f>
        <v>Sector01.trooper_champion_1.skill01</v>
      </c>
      <c r="P10" s="131" t="s">
        <v>1996</v>
      </c>
      <c r="Q10" s="131"/>
      <c r="R10" s="60"/>
      <c r="S10" s="60"/>
      <c r="T10" s="60"/>
      <c r="U10" s="60"/>
      <c r="V10" s="37" t="b">
        <v>0</v>
      </c>
      <c r="W10" s="37" t="str">
        <f>"Character/Prefabs/"&amp;VLOOKUP($C10,'#Data'!$B$3:$I$344,8,FALSE)</f>
        <v>Character/Prefabs/m_m_attacker_trooper_champion_1</v>
      </c>
      <c r="X10" s="37"/>
      <c r="Y10" s="37" t="str">
        <f>VLOOKUP($C10,'#Data'!$B$3:$I$344,8,FALSE)</f>
        <v>m_m_attacker_trooper_champion_1</v>
      </c>
      <c r="Z10" s="37"/>
      <c r="AA10" s="37"/>
      <c r="AB10" s="37"/>
      <c r="AC10" s="84">
        <v>0.8</v>
      </c>
      <c r="AD10" s="37"/>
      <c r="AE10" s="37"/>
      <c r="AF10" s="37"/>
      <c r="AG10" s="37" t="s">
        <v>2104</v>
      </c>
      <c r="AH10" s="85"/>
    </row>
    <row r="11" spans="1:34" x14ac:dyDescent="0.3">
      <c r="A11" s="37">
        <v>1110201108</v>
      </c>
      <c r="B11" s="37" t="s">
        <v>41</v>
      </c>
      <c r="C11" s="37" t="s">
        <v>60</v>
      </c>
      <c r="D11" s="37" t="str">
        <f>"Monster.Name."&amp;VLOOKUP($C11,'#Data'!$B$2:$J$344,2,FALSE)</f>
        <v>Monster.Name.trooper_demolisher_1</v>
      </c>
      <c r="E11" s="37" t="s">
        <v>47</v>
      </c>
      <c r="F11" s="38" t="s">
        <v>44</v>
      </c>
      <c r="G11" s="37" t="s">
        <v>45</v>
      </c>
      <c r="H11" s="37" t="b">
        <f>IF(OR(VLOOKUP($C11,'#Data'!$B$2:$J$344,4,FALSE)="보스",VLOOKUP($C11,'#Data'!$B$2:$J$344,4,FALSE)="중간"),TRUE,FALSE)</f>
        <v>0</v>
      </c>
      <c r="I11" s="37" t="b">
        <f>IF(OR(VLOOKUP($C11,'#Data'!$B$2:$J$344,4,FALSE)="보스",VLOOKUP($C11,'#Data'!$B$2:$J$344,4,FALSE)="중간"),TRUE,FALSE)</f>
        <v>0</v>
      </c>
      <c r="J11" s="37">
        <v>10</v>
      </c>
      <c r="K11" s="37">
        <f>VLOOKUP($A11,쿼리1[[ID]:[열1]],3,FALSE)</f>
        <v>10</v>
      </c>
      <c r="L11" s="59" t="str">
        <f>$B11&amp;"."&amp;VLOOKUP($C11,'#Data'!$B$2:$J$344,2,FALSE)&amp;".attack0"&amp;RIGHT(L$1,1)</f>
        <v>Sector01.trooper_demolisher_1.attack01</v>
      </c>
      <c r="M11" s="59"/>
      <c r="N11" s="59"/>
      <c r="O11" s="131" t="str">
        <f>$B11&amp;"."&amp;VLOOKUP($C11,'#Data'!$B$2:$J$344,2,FALSE)&amp;".skill0"&amp;RIGHT(O$1,1)</f>
        <v>Sector01.trooper_demolisher_1.skill01</v>
      </c>
      <c r="P11" s="131" t="s">
        <v>2018</v>
      </c>
      <c r="Q11" s="131"/>
      <c r="R11" s="60"/>
      <c r="S11" s="60"/>
      <c r="T11" s="60"/>
      <c r="U11" s="60"/>
      <c r="V11" s="37" t="b">
        <v>0</v>
      </c>
      <c r="W11" s="37" t="str">
        <f>"Character/Prefabs/"&amp;VLOOKUP($C11,'#Data'!$B$3:$I$344,8,FALSE)</f>
        <v>Character/Prefabs/m_m_ranger_trooper_demolisher_1</v>
      </c>
      <c r="X11" s="37"/>
      <c r="Y11" s="37" t="str">
        <f>VLOOKUP($C11,'#Data'!$B$3:$I$344,8,FALSE)</f>
        <v>m_m_ranger_trooper_demolisher_1</v>
      </c>
      <c r="Z11" s="37"/>
      <c r="AA11" s="37"/>
      <c r="AB11" s="37"/>
      <c r="AC11" s="84">
        <v>0.8</v>
      </c>
      <c r="AD11" s="37"/>
      <c r="AE11" s="37"/>
      <c r="AF11" s="37"/>
      <c r="AG11" s="37" t="s">
        <v>2104</v>
      </c>
      <c r="AH11" s="85"/>
    </row>
    <row r="12" spans="1:34" x14ac:dyDescent="0.3">
      <c r="A12" s="37">
        <v>1110201109</v>
      </c>
      <c r="B12" s="37" t="s">
        <v>41</v>
      </c>
      <c r="C12" s="37" t="s">
        <v>61</v>
      </c>
      <c r="D12" s="37" t="str">
        <f>"Monster.Name."&amp;VLOOKUP($C12,'#Data'!$B$2:$J$344,2,FALSE)</f>
        <v>Monster.Name.trooper_inferno_1</v>
      </c>
      <c r="E12" s="37" t="s">
        <v>43</v>
      </c>
      <c r="F12" s="38" t="s">
        <v>44</v>
      </c>
      <c r="G12" s="37" t="s">
        <v>45</v>
      </c>
      <c r="H12" s="37" t="b">
        <f>IF(OR(VLOOKUP($C12,'#Data'!$B$2:$J$344,4,FALSE)="보스",VLOOKUP($C12,'#Data'!$B$2:$J$344,4,FALSE)="중간"),TRUE,FALSE)</f>
        <v>0</v>
      </c>
      <c r="I12" s="37" t="b">
        <f>IF(OR(VLOOKUP($C12,'#Data'!$B$2:$J$344,4,FALSE)="보스",VLOOKUP($C12,'#Data'!$B$2:$J$344,4,FALSE)="중간"),TRUE,FALSE)</f>
        <v>0</v>
      </c>
      <c r="J12" s="37">
        <v>10</v>
      </c>
      <c r="K12" s="37">
        <f>VLOOKUP($A12,쿼리1[[ID]:[열1]],3,FALSE)</f>
        <v>10</v>
      </c>
      <c r="L12" s="59" t="str">
        <f>$B12&amp;"."&amp;VLOOKUP($C12,'#Data'!$B$2:$J$344,2,FALSE)&amp;".attack0"&amp;RIGHT(L$1,1)</f>
        <v>Sector01.trooper_inferno_1.attack01</v>
      </c>
      <c r="M12" s="59"/>
      <c r="N12" s="59"/>
      <c r="O12" s="131" t="str">
        <f>$B12&amp;"."&amp;VLOOKUP($C12,'#Data'!$B$2:$J$344,2,FALSE)&amp;".skill0"&amp;RIGHT(O$1,1)</f>
        <v>Sector01.trooper_inferno_1.skill01</v>
      </c>
      <c r="P12" s="131" t="s">
        <v>1998</v>
      </c>
      <c r="Q12" s="131"/>
      <c r="R12" s="60"/>
      <c r="S12" s="60"/>
      <c r="T12" s="60"/>
      <c r="U12" s="60"/>
      <c r="V12" s="37" t="b">
        <v>0</v>
      </c>
      <c r="W12" s="37" t="str">
        <f>"Character/Prefabs/"&amp;VLOOKUP($C12,'#Data'!$B$3:$I$344,8,FALSE)</f>
        <v>Character/Prefabs/m_m_attacker_trooper_inferno_1</v>
      </c>
      <c r="X12" s="37"/>
      <c r="Y12" s="37" t="str">
        <f>VLOOKUP($C12,'#Data'!$B$3:$I$344,8,FALSE)</f>
        <v>m_m_attacker_trooper_inferno_1</v>
      </c>
      <c r="Z12" s="37"/>
      <c r="AA12" s="37"/>
      <c r="AB12" s="37"/>
      <c r="AC12" s="84">
        <v>0.8</v>
      </c>
      <c r="AD12" s="37"/>
      <c r="AE12" s="37"/>
      <c r="AF12" s="37"/>
      <c r="AG12" s="37" t="s">
        <v>2104</v>
      </c>
      <c r="AH12" s="85"/>
    </row>
    <row r="13" spans="1:34" x14ac:dyDescent="0.3">
      <c r="A13" s="51">
        <v>1110201110</v>
      </c>
      <c r="B13" s="51" t="s">
        <v>41</v>
      </c>
      <c r="C13" s="51" t="s">
        <v>66</v>
      </c>
      <c r="D13" s="51" t="str">
        <f>"Monster.Name."&amp;VLOOKUP($C13,'#Data'!$B$2:$J$344,2,FALSE)</f>
        <v>Monster.Name.solid_turretmk1_2</v>
      </c>
      <c r="E13" s="51" t="s">
        <v>43</v>
      </c>
      <c r="F13" s="52" t="s">
        <v>44</v>
      </c>
      <c r="G13" s="51" t="s">
        <v>45</v>
      </c>
      <c r="H13" s="51" t="b">
        <f>IF(OR(VLOOKUP($C13,'#Data'!$B$2:$J$344,4,FALSE)="보스",VLOOKUP($C13,'#Data'!$B$2:$J$344,4,FALSE)="중간"),TRUE,FALSE)</f>
        <v>0</v>
      </c>
      <c r="I13" s="51" t="b">
        <f>IF(OR(VLOOKUP($C13,'#Data'!$B$2:$J$344,4,FALSE)="보스",VLOOKUP($C13,'#Data'!$B$2:$J$344,4,FALSE)="중간"),TRUE,FALSE)</f>
        <v>0</v>
      </c>
      <c r="J13" s="51">
        <v>10</v>
      </c>
      <c r="K13" s="51">
        <f>VLOOKUP($A13,쿼리1[[ID]:[열1]],3,FALSE)</f>
        <v>10</v>
      </c>
      <c r="L13" s="61" t="s">
        <v>1181</v>
      </c>
      <c r="M13" s="61"/>
      <c r="N13" s="61"/>
      <c r="O13" s="132" t="s">
        <v>1990</v>
      </c>
      <c r="P13" s="132"/>
      <c r="Q13" s="132"/>
      <c r="R13" s="62"/>
      <c r="S13" s="62"/>
      <c r="T13" s="62"/>
      <c r="U13" s="62"/>
      <c r="V13" s="51" t="b">
        <v>0</v>
      </c>
      <c r="W13" s="51" t="str">
        <f>"Character/Prefabs/"&amp;VLOOKUP($C13,'#Data'!$B$3:$I$344,8,FALSE)</f>
        <v>Character/Prefabs/m_s_attacker_solid_turretmk1_2</v>
      </c>
      <c r="X13" s="51"/>
      <c r="Y13" s="51" t="str">
        <f>VLOOKUP($C13,'#Data'!$B$3:$I$344,8,FALSE)</f>
        <v>m_s_attacker_solid_turretmk1_2</v>
      </c>
      <c r="Z13" s="51"/>
      <c r="AA13" s="51"/>
      <c r="AB13" s="51"/>
      <c r="AC13" s="86">
        <v>0.7</v>
      </c>
      <c r="AD13" s="51"/>
      <c r="AE13" s="51"/>
      <c r="AF13" s="51"/>
      <c r="AG13" s="51" t="s">
        <v>2104</v>
      </c>
      <c r="AH13" s="85"/>
    </row>
    <row r="14" spans="1:34" x14ac:dyDescent="0.3">
      <c r="A14" s="51">
        <v>1110201111</v>
      </c>
      <c r="B14" s="51" t="s">
        <v>41</v>
      </c>
      <c r="C14" s="51" t="s">
        <v>67</v>
      </c>
      <c r="D14" s="51" t="str">
        <f>"Monster.Name."&amp;VLOOKUP($C14,'#Data'!$B$2:$J$344,2,FALSE)</f>
        <v>Monster.Name.spider_turret_prototype_2</v>
      </c>
      <c r="E14" s="51" t="s">
        <v>47</v>
      </c>
      <c r="F14" s="52" t="s">
        <v>44</v>
      </c>
      <c r="G14" s="51" t="s">
        <v>45</v>
      </c>
      <c r="H14" s="51" t="b">
        <f>IF(OR(VLOOKUP($C14,'#Data'!$B$2:$J$344,4,FALSE)="보스",VLOOKUP($C14,'#Data'!$B$2:$J$344,4,FALSE)="중간"),TRUE,FALSE)</f>
        <v>0</v>
      </c>
      <c r="I14" s="51" t="b">
        <f>IF(OR(VLOOKUP($C14,'#Data'!$B$2:$J$344,4,FALSE)="보스",VLOOKUP($C14,'#Data'!$B$2:$J$344,4,FALSE)="중간"),TRUE,FALSE)</f>
        <v>0</v>
      </c>
      <c r="J14" s="51">
        <v>10</v>
      </c>
      <c r="K14" s="51">
        <f>VLOOKUP($A14,쿼리1[[ID]:[열1]],3,FALSE)</f>
        <v>30</v>
      </c>
      <c r="L14" s="61" t="s">
        <v>1182</v>
      </c>
      <c r="M14" s="61"/>
      <c r="N14" s="61"/>
      <c r="O14" s="132" t="s">
        <v>1991</v>
      </c>
      <c r="P14" s="132"/>
      <c r="Q14" s="132"/>
      <c r="R14" s="62"/>
      <c r="S14" s="62"/>
      <c r="T14" s="62"/>
      <c r="U14" s="62"/>
      <c r="V14" s="51" t="b">
        <v>0</v>
      </c>
      <c r="W14" s="51" t="str">
        <f>"Character/Prefabs/"&amp;VLOOKUP($C14,'#Data'!$B$3:$I$344,8,FALSE)</f>
        <v>Character/Prefabs/m_s_ranger_spider_turret_prototype_2</v>
      </c>
      <c r="X14" s="51"/>
      <c r="Y14" s="51" t="str">
        <f>VLOOKUP($C14,'#Data'!$B$3:$I$344,8,FALSE)</f>
        <v>m_s_ranger_spider_turret_prototype_2</v>
      </c>
      <c r="Z14" s="51"/>
      <c r="AA14" s="51"/>
      <c r="AB14" s="51"/>
      <c r="AC14" s="86">
        <v>0.6</v>
      </c>
      <c r="AD14" s="51"/>
      <c r="AE14" s="51"/>
      <c r="AF14" s="51"/>
      <c r="AG14" s="51" t="s">
        <v>2104</v>
      </c>
      <c r="AH14" s="85"/>
    </row>
    <row r="15" spans="1:34" x14ac:dyDescent="0.3">
      <c r="A15" s="51">
        <v>1110201112</v>
      </c>
      <c r="B15" s="51" t="s">
        <v>41</v>
      </c>
      <c r="C15" s="51" t="s">
        <v>68</v>
      </c>
      <c r="D15" s="51" t="str">
        <f>"Monster.Name."&amp;VLOOKUP($C15,'#Data'!$B$2:$J$344,2,FALSE)</f>
        <v>Monster.Name.electric_drone_2</v>
      </c>
      <c r="E15" s="51" t="s">
        <v>43</v>
      </c>
      <c r="F15" s="52" t="s">
        <v>44</v>
      </c>
      <c r="G15" s="51" t="s">
        <v>45</v>
      </c>
      <c r="H15" s="51" t="b">
        <f>IF(OR(VLOOKUP($C15,'#Data'!$B$2:$J$344,4,FALSE)="보스",VLOOKUP($C15,'#Data'!$B$2:$J$344,4,FALSE)="중간"),TRUE,FALSE)</f>
        <v>0</v>
      </c>
      <c r="I15" s="51" t="b">
        <f>IF(OR(VLOOKUP($C15,'#Data'!$B$2:$J$344,4,FALSE)="보스",VLOOKUP($C15,'#Data'!$B$2:$J$344,4,FALSE)="중간"),TRUE,FALSE)</f>
        <v>0</v>
      </c>
      <c r="J15" s="51">
        <v>10</v>
      </c>
      <c r="K15" s="51">
        <f>VLOOKUP($A15,쿼리1[[ID]:[열1]],3,FALSE)</f>
        <v>10</v>
      </c>
      <c r="L15" s="61" t="s">
        <v>1183</v>
      </c>
      <c r="M15" s="61"/>
      <c r="N15" s="61"/>
      <c r="O15" s="132" t="s">
        <v>1992</v>
      </c>
      <c r="P15" s="132"/>
      <c r="Q15" s="132"/>
      <c r="R15" s="62"/>
      <c r="S15" s="62"/>
      <c r="T15" s="62"/>
      <c r="U15" s="62"/>
      <c r="V15" s="51" t="b">
        <v>0</v>
      </c>
      <c r="W15" s="103" t="s">
        <v>1197</v>
      </c>
      <c r="X15" s="51"/>
      <c r="Y15" s="104" t="s">
        <v>1199</v>
      </c>
      <c r="Z15" s="51"/>
      <c r="AA15" s="51"/>
      <c r="AB15" s="51"/>
      <c r="AC15" s="86">
        <v>0.7</v>
      </c>
      <c r="AD15" s="51"/>
      <c r="AE15" s="51"/>
      <c r="AF15" s="51"/>
      <c r="AG15" s="51" t="s">
        <v>2104</v>
      </c>
      <c r="AH15" s="85"/>
    </row>
    <row r="16" spans="1:34" x14ac:dyDescent="0.3">
      <c r="A16" s="51">
        <v>1110201113</v>
      </c>
      <c r="B16" s="51" t="s">
        <v>41</v>
      </c>
      <c r="C16" s="51" t="s">
        <v>69</v>
      </c>
      <c r="D16" s="51" t="str">
        <f>"Monster.Name."&amp;VLOOKUP($C16,'#Data'!$B$2:$J$344,2,FALSE)</f>
        <v>Monster.Name.jamming_drone_2</v>
      </c>
      <c r="E16" s="51" t="s">
        <v>47</v>
      </c>
      <c r="F16" s="52" t="s">
        <v>44</v>
      </c>
      <c r="G16" s="51" t="s">
        <v>45</v>
      </c>
      <c r="H16" s="51" t="b">
        <f>IF(OR(VLOOKUP($C16,'#Data'!$B$2:$J$344,4,FALSE)="보스",VLOOKUP($C16,'#Data'!$B$2:$J$344,4,FALSE)="중간"),TRUE,FALSE)</f>
        <v>0</v>
      </c>
      <c r="I16" s="51" t="b">
        <f>IF(OR(VLOOKUP($C16,'#Data'!$B$2:$J$344,4,FALSE)="보스",VLOOKUP($C16,'#Data'!$B$2:$J$344,4,FALSE)="중간"),TRUE,FALSE)</f>
        <v>0</v>
      </c>
      <c r="J16" s="51">
        <v>10</v>
      </c>
      <c r="K16" s="51">
        <f>VLOOKUP($A16,쿼리1[[ID]:[열1]],3,FALSE)</f>
        <v>10</v>
      </c>
      <c r="L16" s="61" t="s">
        <v>1184</v>
      </c>
      <c r="M16" s="61"/>
      <c r="N16" s="61"/>
      <c r="O16" s="132" t="s">
        <v>1993</v>
      </c>
      <c r="P16" s="132"/>
      <c r="Q16" s="132"/>
      <c r="R16" s="62"/>
      <c r="S16" s="62"/>
      <c r="T16" s="62"/>
      <c r="U16" s="62"/>
      <c r="V16" s="51" t="b">
        <v>0</v>
      </c>
      <c r="W16" s="104" t="s">
        <v>1198</v>
      </c>
      <c r="X16" s="51"/>
      <c r="Y16" s="104" t="s">
        <v>1200</v>
      </c>
      <c r="Z16" s="51"/>
      <c r="AA16" s="51"/>
      <c r="AB16" s="51"/>
      <c r="AC16" s="86">
        <v>0.6</v>
      </c>
      <c r="AD16" s="51"/>
      <c r="AE16" s="51"/>
      <c r="AF16" s="51"/>
      <c r="AG16" s="51" t="s">
        <v>2104</v>
      </c>
      <c r="AH16" s="85"/>
    </row>
    <row r="17" spans="1:34" x14ac:dyDescent="0.3">
      <c r="A17" s="51">
        <v>1110201114</v>
      </c>
      <c r="B17" s="51" t="s">
        <v>41</v>
      </c>
      <c r="C17" s="51" t="s">
        <v>70</v>
      </c>
      <c r="D17" s="51" t="str">
        <f>"Monster.Name."&amp;VLOOKUP($C17,'#Data'!$B$2:$J$344,2,FALSE)</f>
        <v>Monster.Name.trooper_sniper_2</v>
      </c>
      <c r="E17" s="51" t="s">
        <v>47</v>
      </c>
      <c r="F17" s="52" t="s">
        <v>44</v>
      </c>
      <c r="G17" s="51" t="s">
        <v>45</v>
      </c>
      <c r="H17" s="51" t="b">
        <f>IF(OR(VLOOKUP($C17,'#Data'!$B$2:$J$344,4,FALSE)="보스",VLOOKUP($C17,'#Data'!$B$2:$J$344,4,FALSE)="중간"),TRUE,FALSE)</f>
        <v>0</v>
      </c>
      <c r="I17" s="51" t="b">
        <f>IF(OR(VLOOKUP($C17,'#Data'!$B$2:$J$344,4,FALSE)="보스",VLOOKUP($C17,'#Data'!$B$2:$J$344,4,FALSE)="중간"),TRUE,FALSE)</f>
        <v>0</v>
      </c>
      <c r="J17" s="51">
        <v>10</v>
      </c>
      <c r="K17" s="51">
        <f>VLOOKUP($A17,쿼리1[[ID]:[열1]],3,FALSE)</f>
        <v>10</v>
      </c>
      <c r="L17" s="61" t="s">
        <v>1185</v>
      </c>
      <c r="M17" s="61"/>
      <c r="N17" s="61"/>
      <c r="O17" s="132" t="s">
        <v>1186</v>
      </c>
      <c r="P17" s="132" t="s">
        <v>1994</v>
      </c>
      <c r="Q17" s="132"/>
      <c r="R17" s="62"/>
      <c r="S17" s="62"/>
      <c r="T17" s="62"/>
      <c r="U17" s="62"/>
      <c r="V17" s="51" t="b">
        <v>0</v>
      </c>
      <c r="W17" s="51" t="str">
        <f>"Character/Prefabs/"&amp;VLOOKUP($C17,'#Data'!$B$3:$I$344,8,FALSE)</f>
        <v>Character/Prefabs/m_m_ranger_trooper_sniper_2</v>
      </c>
      <c r="X17" s="51"/>
      <c r="Y17" s="51" t="str">
        <f>VLOOKUP($C17,'#Data'!$B$3:$I$344,8,FALSE)</f>
        <v>m_m_ranger_trooper_sniper_2</v>
      </c>
      <c r="Z17" s="51"/>
      <c r="AA17" s="51"/>
      <c r="AB17" s="51"/>
      <c r="AC17" s="86">
        <v>0.8</v>
      </c>
      <c r="AD17" s="51"/>
      <c r="AE17" s="51"/>
      <c r="AF17" s="51"/>
      <c r="AG17" s="51" t="s">
        <v>2104</v>
      </c>
      <c r="AH17" s="85"/>
    </row>
    <row r="18" spans="1:34" x14ac:dyDescent="0.3">
      <c r="A18" s="51">
        <v>1110201115</v>
      </c>
      <c r="B18" s="51" t="s">
        <v>41</v>
      </c>
      <c r="C18" s="51" t="s">
        <v>71</v>
      </c>
      <c r="D18" s="51" t="str">
        <f>"Monster.Name."&amp;VLOOKUP($C18,'#Data'!$B$2:$J$344,2,FALSE)</f>
        <v>Monster.Name.trooper_guard_2</v>
      </c>
      <c r="E18" s="51" t="s">
        <v>58</v>
      </c>
      <c r="F18" s="52" t="s">
        <v>44</v>
      </c>
      <c r="G18" s="51" t="s">
        <v>45</v>
      </c>
      <c r="H18" s="51" t="b">
        <f>IF(OR(VLOOKUP($C18,'#Data'!$B$2:$J$344,4,FALSE)="보스",VLOOKUP($C18,'#Data'!$B$2:$J$344,4,FALSE)="중간"),TRUE,FALSE)</f>
        <v>0</v>
      </c>
      <c r="I18" s="51" t="b">
        <f>IF(OR(VLOOKUP($C18,'#Data'!$B$2:$J$344,4,FALSE)="보스",VLOOKUP($C18,'#Data'!$B$2:$J$344,4,FALSE)="중간"),TRUE,FALSE)</f>
        <v>0</v>
      </c>
      <c r="J18" s="51">
        <v>10</v>
      </c>
      <c r="K18" s="51">
        <f>VLOOKUP($A18,쿼리1[[ID]:[열1]],3,FALSE)</f>
        <v>10</v>
      </c>
      <c r="L18" s="61" t="s">
        <v>1187</v>
      </c>
      <c r="M18" s="61"/>
      <c r="N18" s="61"/>
      <c r="O18" s="132" t="s">
        <v>1188</v>
      </c>
      <c r="P18" s="132" t="s">
        <v>1995</v>
      </c>
      <c r="Q18" s="132"/>
      <c r="R18" s="62"/>
      <c r="S18" s="62"/>
      <c r="T18" s="62"/>
      <c r="U18" s="62"/>
      <c r="V18" s="51" t="b">
        <v>0</v>
      </c>
      <c r="W18" s="51" t="str">
        <f>"Character/Prefabs/"&amp;VLOOKUP($C18,'#Data'!$B$3:$I$344,8,FALSE)</f>
        <v>Character/Prefabs/m_m_tanker_trooper_guard_2</v>
      </c>
      <c r="X18" s="51"/>
      <c r="Y18" s="51" t="str">
        <f>VLOOKUP($C18,'#Data'!$B$3:$I$344,8,FALSE)</f>
        <v>m_m_tanker_trooper_guard_2</v>
      </c>
      <c r="Z18" s="51"/>
      <c r="AA18" s="51"/>
      <c r="AB18" s="51"/>
      <c r="AC18" s="86">
        <v>0.8</v>
      </c>
      <c r="AD18" s="51"/>
      <c r="AE18" s="51"/>
      <c r="AF18" s="51"/>
      <c r="AG18" s="51" t="s">
        <v>2104</v>
      </c>
      <c r="AH18" s="85"/>
    </row>
    <row r="19" spans="1:34" x14ac:dyDescent="0.3">
      <c r="A19" s="51">
        <v>1110201116</v>
      </c>
      <c r="B19" s="51" t="s">
        <v>41</v>
      </c>
      <c r="C19" s="51" t="s">
        <v>72</v>
      </c>
      <c r="D19" s="51" t="str">
        <f>"Monster.Name."&amp;VLOOKUP($C19,'#Data'!$B$2:$J$344,2,FALSE)</f>
        <v>Monster.Name.trooper_champion_2</v>
      </c>
      <c r="E19" s="51" t="s">
        <v>43</v>
      </c>
      <c r="F19" s="52" t="s">
        <v>44</v>
      </c>
      <c r="G19" s="51" t="s">
        <v>45</v>
      </c>
      <c r="H19" s="51" t="b">
        <f>IF(OR(VLOOKUP($C19,'#Data'!$B$2:$J$344,4,FALSE)="보스",VLOOKUP($C19,'#Data'!$B$2:$J$344,4,FALSE)="중간"),TRUE,FALSE)</f>
        <v>0</v>
      </c>
      <c r="I19" s="51" t="b">
        <f>IF(OR(VLOOKUP($C19,'#Data'!$B$2:$J$344,4,FALSE)="보스",VLOOKUP($C19,'#Data'!$B$2:$J$344,4,FALSE)="중간"),TRUE,FALSE)</f>
        <v>0</v>
      </c>
      <c r="J19" s="51">
        <v>10</v>
      </c>
      <c r="K19" s="51">
        <f>VLOOKUP($A19,쿼리1[[ID]:[열1]],3,FALSE)</f>
        <v>10</v>
      </c>
      <c r="L19" s="61" t="s">
        <v>1189</v>
      </c>
      <c r="M19" s="61"/>
      <c r="N19" s="61"/>
      <c r="O19" s="132" t="s">
        <v>1190</v>
      </c>
      <c r="P19" s="132" t="s">
        <v>1996</v>
      </c>
      <c r="Q19" s="132"/>
      <c r="R19" s="62"/>
      <c r="S19" s="62"/>
      <c r="T19" s="62"/>
      <c r="U19" s="62"/>
      <c r="V19" s="51" t="b">
        <v>0</v>
      </c>
      <c r="W19" s="51" t="str">
        <f>"Character/Prefabs/"&amp;VLOOKUP($C19,'#Data'!$B$3:$I$344,8,FALSE)</f>
        <v>Character/Prefabs/m_m_attacker_trooper_champion_2</v>
      </c>
      <c r="X19" s="51"/>
      <c r="Y19" s="51" t="str">
        <f>VLOOKUP($C19,'#Data'!$B$3:$I$344,8,FALSE)</f>
        <v>m_m_attacker_trooper_champion_2</v>
      </c>
      <c r="Z19" s="51"/>
      <c r="AA19" s="51"/>
      <c r="AB19" s="51"/>
      <c r="AC19" s="86">
        <v>0.8</v>
      </c>
      <c r="AD19" s="51"/>
      <c r="AE19" s="51"/>
      <c r="AF19" s="51"/>
      <c r="AG19" s="51" t="s">
        <v>2104</v>
      </c>
      <c r="AH19" s="85"/>
    </row>
    <row r="20" spans="1:34" x14ac:dyDescent="0.3">
      <c r="A20" s="51">
        <v>1110201117</v>
      </c>
      <c r="B20" s="51" t="s">
        <v>41</v>
      </c>
      <c r="C20" s="51" t="s">
        <v>73</v>
      </c>
      <c r="D20" s="51" t="str">
        <f>"Monster.Name."&amp;VLOOKUP($C20,'#Data'!$B$2:$J$344,2,FALSE)</f>
        <v>Monster.Name.trooper_demolisher_2</v>
      </c>
      <c r="E20" s="51" t="s">
        <v>47</v>
      </c>
      <c r="F20" s="52" t="s">
        <v>44</v>
      </c>
      <c r="G20" s="51" t="s">
        <v>45</v>
      </c>
      <c r="H20" s="51" t="b">
        <f>IF(OR(VLOOKUP($C20,'#Data'!$B$2:$J$344,4,FALSE)="보스",VLOOKUP($C20,'#Data'!$B$2:$J$344,4,FALSE)="중간"),TRUE,FALSE)</f>
        <v>0</v>
      </c>
      <c r="I20" s="51" t="b">
        <f>IF(OR(VLOOKUP($C20,'#Data'!$B$2:$J$344,4,FALSE)="보스",VLOOKUP($C20,'#Data'!$B$2:$J$344,4,FALSE)="중간"),TRUE,FALSE)</f>
        <v>0</v>
      </c>
      <c r="J20" s="51">
        <v>10</v>
      </c>
      <c r="K20" s="51">
        <f>VLOOKUP($A20,쿼리1[[ID]:[열1]],3,FALSE)</f>
        <v>10</v>
      </c>
      <c r="L20" s="61" t="s">
        <v>1191</v>
      </c>
      <c r="M20" s="61"/>
      <c r="N20" s="61"/>
      <c r="O20" s="132" t="s">
        <v>1192</v>
      </c>
      <c r="P20" s="132" t="s">
        <v>1997</v>
      </c>
      <c r="Q20" s="132"/>
      <c r="R20" s="62"/>
      <c r="S20" s="62"/>
      <c r="T20" s="62"/>
      <c r="U20" s="62"/>
      <c r="V20" s="51" t="b">
        <v>0</v>
      </c>
      <c r="W20" s="51" t="str">
        <f>"Character/Prefabs/"&amp;VLOOKUP($C20,'#Data'!$B$3:$I$344,8,FALSE)</f>
        <v>Character/Prefabs/m_m_ranger_trooper_demolisher_2</v>
      </c>
      <c r="X20" s="51"/>
      <c r="Y20" s="51" t="str">
        <f>VLOOKUP($C20,'#Data'!$B$3:$I$344,8,FALSE)</f>
        <v>m_m_ranger_trooper_demolisher_2</v>
      </c>
      <c r="Z20" s="51"/>
      <c r="AA20" s="51"/>
      <c r="AB20" s="51"/>
      <c r="AC20" s="86">
        <v>0.8</v>
      </c>
      <c r="AD20" s="51"/>
      <c r="AE20" s="51"/>
      <c r="AF20" s="51"/>
      <c r="AG20" s="51" t="s">
        <v>2104</v>
      </c>
      <c r="AH20" s="85"/>
    </row>
    <row r="21" spans="1:34" x14ac:dyDescent="0.3">
      <c r="A21" s="51">
        <v>1110201118</v>
      </c>
      <c r="B21" s="51" t="s">
        <v>41</v>
      </c>
      <c r="C21" s="51" t="s">
        <v>74</v>
      </c>
      <c r="D21" s="51" t="str">
        <f>"Monster.Name."&amp;VLOOKUP($C21,'#Data'!$B$2:$J$344,2,FALSE)</f>
        <v>Monster.Name.trooper_inferno_2</v>
      </c>
      <c r="E21" s="51" t="s">
        <v>43</v>
      </c>
      <c r="F21" s="52" t="s">
        <v>44</v>
      </c>
      <c r="G21" s="51" t="s">
        <v>45</v>
      </c>
      <c r="H21" s="51" t="b">
        <f>IF(OR(VLOOKUP($C21,'#Data'!$B$2:$J$344,4,FALSE)="보스",VLOOKUP($C21,'#Data'!$B$2:$J$344,4,FALSE)="중간"),TRUE,FALSE)</f>
        <v>0</v>
      </c>
      <c r="I21" s="51" t="b">
        <f>IF(OR(VLOOKUP($C21,'#Data'!$B$2:$J$344,4,FALSE)="보스",VLOOKUP($C21,'#Data'!$B$2:$J$344,4,FALSE)="중간"),TRUE,FALSE)</f>
        <v>0</v>
      </c>
      <c r="J21" s="51">
        <v>10</v>
      </c>
      <c r="K21" s="51">
        <f>VLOOKUP($A21,쿼리1[[ID]:[열1]],3,FALSE)</f>
        <v>10</v>
      </c>
      <c r="L21" s="61" t="s">
        <v>1193</v>
      </c>
      <c r="M21" s="61"/>
      <c r="N21" s="61"/>
      <c r="O21" s="132" t="s">
        <v>1194</v>
      </c>
      <c r="P21" s="132" t="s">
        <v>1998</v>
      </c>
      <c r="Q21" s="132"/>
      <c r="R21" s="62"/>
      <c r="S21" s="62"/>
      <c r="T21" s="62"/>
      <c r="U21" s="62"/>
      <c r="V21" s="51" t="b">
        <v>0</v>
      </c>
      <c r="W21" s="51" t="str">
        <f>"Character/Prefabs/"&amp;VLOOKUP($C21,'#Data'!$B$3:$I$344,8,FALSE)</f>
        <v>Character/Prefabs/m_m_attacker_trooper_inferno_2</v>
      </c>
      <c r="X21" s="51"/>
      <c r="Y21" s="51" t="str">
        <f>VLOOKUP($C21,'#Data'!$B$3:$I$344,8,FALSE)</f>
        <v>m_m_attacker_trooper_inferno_2</v>
      </c>
      <c r="Z21" s="51"/>
      <c r="AA21" s="51"/>
      <c r="AB21" s="51"/>
      <c r="AC21" s="86">
        <v>0.8</v>
      </c>
      <c r="AD21" s="51"/>
      <c r="AE21" s="51"/>
      <c r="AF21" s="51"/>
      <c r="AG21" s="51" t="s">
        <v>2104</v>
      </c>
      <c r="AH21" s="85"/>
    </row>
    <row r="22" spans="1:34" x14ac:dyDescent="0.3">
      <c r="A22" s="37">
        <v>1110201201</v>
      </c>
      <c r="B22" s="37" t="s">
        <v>41</v>
      </c>
      <c r="C22" s="37" t="s">
        <v>62</v>
      </c>
      <c r="D22" s="37" t="str">
        <f>"Monster.Name."&amp;VLOOKUP($C22,'#Data'!$B$2:$J$344,2,FALSE)</f>
        <v>Monster.Name.labmecha_launcher_1</v>
      </c>
      <c r="E22" s="37" t="s">
        <v>47</v>
      </c>
      <c r="F22" s="38" t="s">
        <v>44</v>
      </c>
      <c r="G22" s="37" t="s">
        <v>45</v>
      </c>
      <c r="H22" s="37" t="b">
        <f>IF(OR(VLOOKUP($C22,'#Data'!$B$2:$J$344,4,FALSE)="보스",VLOOKUP($C22,'#Data'!$B$2:$J$344,4,FALSE)="중간"),TRUE,FALSE)</f>
        <v>1</v>
      </c>
      <c r="I22" s="37" t="b">
        <f>IF(OR(VLOOKUP($C22,'#Data'!$B$2:$J$344,4,FALSE)="보스",VLOOKUP($C22,'#Data'!$B$2:$J$344,4,FALSE)="중간"),TRUE,FALSE)</f>
        <v>1</v>
      </c>
      <c r="J22" s="37">
        <v>10</v>
      </c>
      <c r="K22" s="37">
        <f>VLOOKUP($A22,쿼리1[[ID]:[열1]],3,FALSE)</f>
        <v>10</v>
      </c>
      <c r="L22" s="59" t="str">
        <f>$B22&amp;"."&amp;VLOOKUP($C22,'#Data'!$B$2:$J$344,2,FALSE)&amp;".attack0"&amp;RIGHT(L$1,1)</f>
        <v>Sector01.labmecha_launcher_1.attack01</v>
      </c>
      <c r="M22" s="59"/>
      <c r="N22" s="59"/>
      <c r="O22" s="131" t="str">
        <f>$B22&amp;"."&amp;VLOOKUP($C22,'#Data'!$B$2:$J$344,2,FALSE)&amp;".skill0"&amp;RIGHT(O$1,1)</f>
        <v>Sector01.labmecha_launcher_1.skill01</v>
      </c>
      <c r="P22" s="131" t="str">
        <f>$B22&amp;"."&amp;VLOOKUP($C22,'#Data'!$B$2:$J$344,2,FALSE)&amp;".skill0"&amp;RIGHT(P$1,1)</f>
        <v>Sector01.labmecha_launcher_1.skill02</v>
      </c>
      <c r="Q22" s="131"/>
      <c r="R22" s="60"/>
      <c r="S22" s="60" t="s">
        <v>2075</v>
      </c>
      <c r="T22" s="60"/>
      <c r="U22" s="60"/>
      <c r="V22" s="37" t="b">
        <v>0</v>
      </c>
      <c r="W22" s="37" t="str">
        <f>"Character/Prefabs/"&amp;VLOOKUP($C22,'#Data'!$B$3:$I$344,8,FALSE)</f>
        <v>Character/Prefabs/m_m_ranger_labmecha_launcher_1</v>
      </c>
      <c r="X22" s="37"/>
      <c r="Y22" s="37" t="str">
        <f>VLOOKUP($C22,'#Data'!$B$3:$I$344,8,FALSE)</f>
        <v>m_m_ranger_labmecha_launcher_1</v>
      </c>
      <c r="Z22" s="37"/>
      <c r="AA22" s="37"/>
      <c r="AB22" s="37"/>
      <c r="AC22" s="84">
        <v>0.7</v>
      </c>
      <c r="AD22" s="37"/>
      <c r="AE22" s="37"/>
      <c r="AF22" s="37"/>
      <c r="AG22" s="37" t="s">
        <v>2104</v>
      </c>
      <c r="AH22" s="85"/>
    </row>
    <row r="23" spans="1:34" x14ac:dyDescent="0.3">
      <c r="A23" s="37">
        <v>1110201202</v>
      </c>
      <c r="B23" s="37" t="s">
        <v>41</v>
      </c>
      <c r="C23" s="37" t="s">
        <v>63</v>
      </c>
      <c r="D23" s="37" t="str">
        <f>"Monster.Name."&amp;VLOOKUP($C23,'#Data'!$B$2:$J$344,2,FALSE)</f>
        <v>Monster.Name.harbor_crab_1</v>
      </c>
      <c r="E23" s="37" t="s">
        <v>58</v>
      </c>
      <c r="F23" s="38" t="s">
        <v>44</v>
      </c>
      <c r="G23" s="37" t="s">
        <v>45</v>
      </c>
      <c r="H23" s="37" t="b">
        <f>IF(OR(VLOOKUP($C23,'#Data'!$B$2:$J$344,4,FALSE)="보스",VLOOKUP($C23,'#Data'!$B$2:$J$344,4,FALSE)="중간"),TRUE,FALSE)</f>
        <v>1</v>
      </c>
      <c r="I23" s="37" t="b">
        <f>IF(OR(VLOOKUP($C23,'#Data'!$B$2:$J$344,4,FALSE)="보스",VLOOKUP($C23,'#Data'!$B$2:$J$344,4,FALSE)="중간"),TRUE,FALSE)</f>
        <v>1</v>
      </c>
      <c r="J23" s="37">
        <v>20</v>
      </c>
      <c r="K23" s="37">
        <f>VLOOKUP($A23,쿼리1[[ID]:[열1]],3,FALSE)</f>
        <v>10</v>
      </c>
      <c r="L23" s="59" t="str">
        <f>$B23&amp;"."&amp;VLOOKUP($C23,'#Data'!$B$2:$J$344,2,FALSE)&amp;".attack0"&amp;RIGHT(L$1,1)</f>
        <v>Sector01.harbor_crab_1.attack01</v>
      </c>
      <c r="M23" s="59"/>
      <c r="N23" s="59"/>
      <c r="O23" s="131" t="str">
        <f>$B23&amp;"."&amp;VLOOKUP($C23,'#Data'!$B$2:$J$344,2,FALSE)&amp;".skill0"&amp;RIGHT(O$1,1)</f>
        <v>Sector01.harbor_crab_1.skill01</v>
      </c>
      <c r="P23" s="131" t="str">
        <f>$B23&amp;"."&amp;VLOOKUP($C23,'#Data'!$B$2:$J$344,2,FALSE)&amp;".skill0"&amp;RIGHT(P$1,1)</f>
        <v>Sector01.harbor_crab_1.skill02</v>
      </c>
      <c r="Q23" s="131" t="s">
        <v>64</v>
      </c>
      <c r="R23" s="60"/>
      <c r="S23" s="60" t="s">
        <v>2075</v>
      </c>
      <c r="T23" s="60"/>
      <c r="U23" s="60"/>
      <c r="V23" s="37" t="b">
        <v>0</v>
      </c>
      <c r="W23" s="37" t="str">
        <f>"Character/Prefabs/"&amp;VLOOKUP($C23,'#Data'!$B$3:$I$344,8,FALSE)</f>
        <v>Character/Prefabs/m_l_attacker_harbor_crab_1</v>
      </c>
      <c r="X23" s="37"/>
      <c r="Y23" s="37" t="str">
        <f>VLOOKUP($C23,'#Data'!$B$3:$I$344,8,FALSE)</f>
        <v>m_l_attacker_harbor_crab_1</v>
      </c>
      <c r="Z23" s="37"/>
      <c r="AA23" s="37"/>
      <c r="AB23" s="37"/>
      <c r="AC23" s="84">
        <v>1</v>
      </c>
      <c r="AD23" s="37"/>
      <c r="AE23" s="37"/>
      <c r="AF23" s="37"/>
      <c r="AG23" s="37" t="s">
        <v>2104</v>
      </c>
      <c r="AH23" s="85"/>
    </row>
    <row r="24" spans="1:34" x14ac:dyDescent="0.3">
      <c r="A24" s="37">
        <v>1110201203</v>
      </c>
      <c r="B24" s="37" t="s">
        <v>41</v>
      </c>
      <c r="C24" s="37" t="s">
        <v>65</v>
      </c>
      <c r="D24" s="37" t="str">
        <f>"Monster.Name."&amp;VLOOKUP($C24,'#Data'!$B$2:$J$344,2,FALSE)</f>
        <v>Monster.Name.harbor_punch_1</v>
      </c>
      <c r="E24" s="37" t="s">
        <v>58</v>
      </c>
      <c r="F24" s="38" t="s">
        <v>44</v>
      </c>
      <c r="G24" s="37" t="s">
        <v>45</v>
      </c>
      <c r="H24" s="37" t="b">
        <f>IF(OR(VLOOKUP($C24,'#Data'!$B$2:$J$344,4,FALSE)="보스",VLOOKUP($C24,'#Data'!$B$2:$J$344,4,FALSE)="중간"),TRUE,FALSE)</f>
        <v>1</v>
      </c>
      <c r="I24" s="37" t="b">
        <f>IF(OR(VLOOKUP($C24,'#Data'!$B$2:$J$344,4,FALSE)="보스",VLOOKUP($C24,'#Data'!$B$2:$J$344,4,FALSE)="중간"),TRUE,FALSE)</f>
        <v>1</v>
      </c>
      <c r="J24" s="37">
        <v>20</v>
      </c>
      <c r="K24" s="37">
        <f>VLOOKUP($A24,쿼리1[[ID]:[열1]],3,FALSE)</f>
        <v>10</v>
      </c>
      <c r="L24" s="59" t="str">
        <f>$B24&amp;"."&amp;VLOOKUP($C24,'#Data'!$B$2:$J$344,2,FALSE)&amp;".attack0"&amp;RIGHT(L$1,1)</f>
        <v>Sector01.harbor_punch_1.attack01</v>
      </c>
      <c r="M24" s="59"/>
      <c r="N24" s="59"/>
      <c r="O24" s="131" t="str">
        <f>$B24&amp;"."&amp;VLOOKUP($C24,'#Data'!$B$2:$J$344,2,FALSE)&amp;".skill0"&amp;RIGHT(O$1,1)</f>
        <v>Sector01.harbor_punch_1.skill01</v>
      </c>
      <c r="P24" s="131" t="str">
        <f>$B24&amp;"."&amp;VLOOKUP($C24,'#Data'!$B$2:$J$344,2,FALSE)&amp;".skill0"&amp;RIGHT(P$1,1)</f>
        <v>Sector01.harbor_punch_1.skill02</v>
      </c>
      <c r="Q24" s="131"/>
      <c r="R24" s="60"/>
      <c r="S24" s="60" t="s">
        <v>2075</v>
      </c>
      <c r="T24" s="60"/>
      <c r="U24" s="60"/>
      <c r="V24" s="37" t="b">
        <v>0</v>
      </c>
      <c r="W24" s="37" t="str">
        <f>"Character/Prefabs/"&amp;VLOOKUP($C24,'#Data'!$B$3:$I$344,8,FALSE)</f>
        <v>Character/Prefabs/m_l_tanker_harbor_punch_1</v>
      </c>
      <c r="X24" s="37"/>
      <c r="Y24" s="37" t="str">
        <f>VLOOKUP($C24,'#Data'!$B$3:$I$344,8,FALSE)</f>
        <v>m_l_tanker_harbor_punch_1</v>
      </c>
      <c r="Z24" s="37"/>
      <c r="AA24" s="37"/>
      <c r="AB24" s="37"/>
      <c r="AC24" s="84">
        <v>1</v>
      </c>
      <c r="AD24" s="37"/>
      <c r="AE24" s="37"/>
      <c r="AF24" s="37"/>
      <c r="AG24" s="37" t="s">
        <v>2104</v>
      </c>
      <c r="AH24" s="85"/>
    </row>
    <row r="25" spans="1:34" x14ac:dyDescent="0.3">
      <c r="A25" s="108">
        <v>1110201301</v>
      </c>
      <c r="B25" s="108" t="s">
        <v>82</v>
      </c>
      <c r="C25" s="108" t="s">
        <v>95</v>
      </c>
      <c r="D25" s="108" t="str">
        <f>"Monster.Name."&amp;VLOOKUP($C25,'#Data'!$B$2:$J$344,2,FALSE)</f>
        <v>Monster.Name.cassandra_1</v>
      </c>
      <c r="E25" s="108" t="s">
        <v>1833</v>
      </c>
      <c r="F25" s="109" t="s">
        <v>44</v>
      </c>
      <c r="G25" s="108" t="s">
        <v>45</v>
      </c>
      <c r="H25" s="108" t="b">
        <f>IF(OR(VLOOKUP($C25,'#Data'!$B$2:$J$344,4,FALSE)="보스",VLOOKUP($C25,'#Data'!$B$2:$J$344,4,FALSE)="중간"),TRUE,FALSE)</f>
        <v>1</v>
      </c>
      <c r="I25" s="108" t="b">
        <v>1</v>
      </c>
      <c r="J25" s="108">
        <v>30</v>
      </c>
      <c r="K25" s="108">
        <f>VLOOKUP($A25,쿼리1[[ID]:[열1]],3,FALSE)</f>
        <v>10</v>
      </c>
      <c r="L25" s="113" t="str">
        <f>$B25&amp;"."&amp;VLOOKUP($C25,'#Data'!$B$2:$J$344,2,FALSE)&amp;".attack0"&amp;RIGHT(L$1,1)</f>
        <v>Sector02.cassandra_1.attack01</v>
      </c>
      <c r="M25" s="113"/>
      <c r="N25" s="113"/>
      <c r="O25" s="136" t="str">
        <f>$B25&amp;"."&amp;VLOOKUP($C25,'#Data'!$B$2:$J$344,2,FALSE)&amp;".skill0"&amp;RIGHT(O$1,1)</f>
        <v>Sector02.cassandra_1.skill01</v>
      </c>
      <c r="P25" s="136" t="str">
        <f>$B25&amp;"."&amp;VLOOKUP($C25,'#Data'!$B$2:$J$344,2,FALSE)&amp;".skill0"&amp;RIGHT(P$1,1)</f>
        <v>Sector02.cassandra_1.skill02</v>
      </c>
      <c r="Q25" s="136" t="s">
        <v>96</v>
      </c>
      <c r="R25" s="114"/>
      <c r="S25" s="114" t="s">
        <v>76</v>
      </c>
      <c r="T25" s="114"/>
      <c r="U25" s="114"/>
      <c r="V25" s="108" t="b">
        <v>0</v>
      </c>
      <c r="W25" s="108" t="str">
        <f>"Character/Prefabs/"&amp;VLOOKUP($C25,'#Data'!$B$3:$I$344,8,FALSE)</f>
        <v>Character/Prefabs/m_boss_ranger_cassandra_1</v>
      </c>
      <c r="X25" s="108"/>
      <c r="Y25" s="108" t="str">
        <f>VLOOKUP($C25,'#Data'!$B$3:$I$344,8,FALSE)</f>
        <v>m_boss_ranger_cassandra_1</v>
      </c>
      <c r="Z25" s="108"/>
      <c r="AA25" s="108"/>
      <c r="AB25" s="108"/>
      <c r="AC25" s="111">
        <v>0.9</v>
      </c>
      <c r="AD25" s="108"/>
      <c r="AE25" s="108" t="s">
        <v>99</v>
      </c>
      <c r="AF25" s="108" t="s">
        <v>100</v>
      </c>
      <c r="AG25" s="108" t="s">
        <v>2104</v>
      </c>
      <c r="AH25" s="85"/>
    </row>
    <row r="26" spans="1:34" x14ac:dyDescent="0.3">
      <c r="A26" s="108">
        <v>1110201302</v>
      </c>
      <c r="B26" s="108" t="s">
        <v>82</v>
      </c>
      <c r="C26" s="108" t="s">
        <v>101</v>
      </c>
      <c r="D26" s="108" t="str">
        <f>"Monster.Name."&amp;VLOOKUP($C26,'#Data'!$B$2:$J$344,2,FALSE)</f>
        <v>Monster.Name.cassandra_2</v>
      </c>
      <c r="E26" s="108" t="s">
        <v>1833</v>
      </c>
      <c r="F26" s="109" t="s">
        <v>44</v>
      </c>
      <c r="G26" s="108" t="s">
        <v>45</v>
      </c>
      <c r="H26" s="108" t="b">
        <f>IF(OR(VLOOKUP($C26,'#Data'!$B$2:$J$344,4,FALSE)="보스",VLOOKUP($C26,'#Data'!$B$2:$J$344,4,FALSE)="중간"),TRUE,FALSE)</f>
        <v>1</v>
      </c>
      <c r="I26" s="108" t="b">
        <v>1</v>
      </c>
      <c r="J26" s="108">
        <v>30</v>
      </c>
      <c r="K26" s="108">
        <f>VLOOKUP($A26,쿼리1[[ID]:[열1]],3,FALSE)</f>
        <v>10</v>
      </c>
      <c r="L26" s="113" t="str">
        <f>$B26&amp;"."&amp;VLOOKUP($C26,'#Data'!$B$2:$J$344,2,FALSE)&amp;".attack0"&amp;RIGHT(L$1,1)</f>
        <v>Sector02.cassandra_2.attack01</v>
      </c>
      <c r="M26" s="113"/>
      <c r="N26" s="113"/>
      <c r="O26" s="136" t="str">
        <f>$B26&amp;"."&amp;VLOOKUP($C26,'#Data'!$B$2:$J$344,2,FALSE)&amp;".skill0"&amp;RIGHT(O$1,1)</f>
        <v>Sector02.cassandra_2.skill01</v>
      </c>
      <c r="P26" s="136" t="str">
        <f>$B26&amp;"."&amp;VLOOKUP($C26,'#Data'!$B$2:$J$344,2,FALSE)&amp;".skill0"&amp;RIGHT(P$1,1)</f>
        <v>Sector02.cassandra_2.skill02</v>
      </c>
      <c r="Q26" s="136" t="str">
        <f>$B26&amp;"."&amp;VLOOKUP($C26,'#Data'!$B$2:$J$344,2,FALSE)&amp;".skill0"&amp;RIGHT(Q$1,1)</f>
        <v>Sector02.cassandra_2.skill03</v>
      </c>
      <c r="R26" s="114" t="s">
        <v>102</v>
      </c>
      <c r="S26" s="114" t="s">
        <v>76</v>
      </c>
      <c r="T26" s="114"/>
      <c r="U26" s="114"/>
      <c r="V26" s="108" t="b">
        <v>0</v>
      </c>
      <c r="W26" s="108" t="str">
        <f>"Character/Prefabs/"&amp;VLOOKUP($C26,'#Data'!$B$3:$I$344,8,FALSE)</f>
        <v>Character/Prefabs/m_boss_ranger_cassandra_2</v>
      </c>
      <c r="X26" s="108"/>
      <c r="Y26" s="108" t="str">
        <f>VLOOKUP($C26,'#Data'!$B$3:$I$344,8,FALSE)</f>
        <v>m_boss_ranger_cassandra_2</v>
      </c>
      <c r="Z26" s="108"/>
      <c r="AA26" s="108"/>
      <c r="AB26" s="108"/>
      <c r="AC26" s="111">
        <v>0.9</v>
      </c>
      <c r="AD26" s="108"/>
      <c r="AE26" s="108" t="s">
        <v>103</v>
      </c>
      <c r="AF26" s="108" t="s">
        <v>104</v>
      </c>
      <c r="AG26" s="108" t="s">
        <v>2104</v>
      </c>
      <c r="AH26" s="85"/>
    </row>
    <row r="27" spans="1:34" x14ac:dyDescent="0.3">
      <c r="A27" s="12">
        <v>1110202101</v>
      </c>
      <c r="B27" s="12" t="s">
        <v>82</v>
      </c>
      <c r="C27" s="12" t="s">
        <v>83</v>
      </c>
      <c r="D27" s="12" t="str">
        <f>"Monster.Name."&amp;VLOOKUP($C27,'#Data'!$B$2:$J$344,2,FALSE)</f>
        <v>Monster.Name.turtle_mechamk3_3</v>
      </c>
      <c r="E27" s="12" t="s">
        <v>43</v>
      </c>
      <c r="F27" s="39" t="s">
        <v>44</v>
      </c>
      <c r="G27" s="12" t="s">
        <v>45</v>
      </c>
      <c r="H27" s="12" t="b">
        <f>IF(OR(VLOOKUP($C27,'#Data'!$B$2:$J$344,4,FALSE)="보스",VLOOKUP($C27,'#Data'!$B$2:$J$344,4,FALSE)="중간"),TRUE,FALSE)</f>
        <v>0</v>
      </c>
      <c r="I27" s="12" t="b">
        <f>IF(OR(VLOOKUP($C27,'#Data'!$B$2:$J$344,4,FALSE)="보스",VLOOKUP($C27,'#Data'!$B$2:$J$344,4,FALSE)="중간"),TRUE,FALSE)</f>
        <v>0</v>
      </c>
      <c r="J27" s="12">
        <v>10</v>
      </c>
      <c r="K27" s="12">
        <f>VLOOKUP($A27,쿼리1[[ID]:[열1]],3,FALSE)</f>
        <v>10</v>
      </c>
      <c r="L27" s="63" t="str">
        <f>$B27&amp;"."&amp;VLOOKUP($C27,'#Data'!$B$2:$J$344,2,FALSE)&amp;".attack0"&amp;RIGHT(L$1,1)</f>
        <v>Sector02.turtle_mechamk3_3.attack01</v>
      </c>
      <c r="M27" s="63"/>
      <c r="N27" s="63"/>
      <c r="O27" s="134" t="s">
        <v>1999</v>
      </c>
      <c r="P27" s="134"/>
      <c r="Q27" s="134"/>
      <c r="R27" s="64"/>
      <c r="S27" s="64"/>
      <c r="T27" s="64"/>
      <c r="U27" s="64"/>
      <c r="V27" s="12" t="b">
        <v>0</v>
      </c>
      <c r="W27" s="12" t="str">
        <f>"Character/Prefabs/"&amp;VLOOKUP($C27,'#Data'!$B$3:$I$344,8,FALSE)</f>
        <v>Character/Prefabs/m_s_attacker_turtle_mechamk3_3</v>
      </c>
      <c r="X27" s="12"/>
      <c r="Y27" s="12" t="str">
        <f>VLOOKUP($C27,'#Data'!$B$3:$I$344,8,FALSE)</f>
        <v>m_s_attacker_turtle_mechamk3_3</v>
      </c>
      <c r="Z27" s="12"/>
      <c r="AA27" s="12"/>
      <c r="AB27" s="12"/>
      <c r="AC27" s="88">
        <v>0.7</v>
      </c>
      <c r="AD27" s="12"/>
      <c r="AE27" s="12"/>
      <c r="AF27" s="12"/>
      <c r="AG27" s="12" t="s">
        <v>2104</v>
      </c>
      <c r="AH27" s="85"/>
    </row>
    <row r="28" spans="1:34" x14ac:dyDescent="0.3">
      <c r="A28" s="12">
        <v>1110202102</v>
      </c>
      <c r="B28" s="12" t="s">
        <v>82</v>
      </c>
      <c r="C28" s="12" t="s">
        <v>84</v>
      </c>
      <c r="D28" s="12" t="str">
        <f>"Monster.Name."&amp;VLOOKUP($C28,'#Data'!$B$2:$J$344,2,FALSE)</f>
        <v>Monster.Name.scorpion_turretmk2_3</v>
      </c>
      <c r="E28" s="12" t="s">
        <v>47</v>
      </c>
      <c r="F28" s="39" t="s">
        <v>44</v>
      </c>
      <c r="G28" s="12" t="s">
        <v>45</v>
      </c>
      <c r="H28" s="12" t="b">
        <f>IF(OR(VLOOKUP($C28,'#Data'!$B$2:$J$344,4,FALSE)="보스",VLOOKUP($C28,'#Data'!$B$2:$J$344,4,FALSE)="중간"),TRUE,FALSE)</f>
        <v>0</v>
      </c>
      <c r="I28" s="12" t="b">
        <f>IF(OR(VLOOKUP($C28,'#Data'!$B$2:$J$344,4,FALSE)="보스",VLOOKUP($C28,'#Data'!$B$2:$J$344,4,FALSE)="중간"),TRUE,FALSE)</f>
        <v>0</v>
      </c>
      <c r="J28" s="12">
        <v>10</v>
      </c>
      <c r="K28" s="12">
        <f>VLOOKUP($A28,쿼리1[[ID]:[열1]],3,FALSE)</f>
        <v>10</v>
      </c>
      <c r="L28" s="63" t="str">
        <f>$B28&amp;"."&amp;VLOOKUP($C28,'#Data'!$B$2:$J$344,2,FALSE)&amp;".attack0"&amp;RIGHT(L$1,1)</f>
        <v>Sector02.scorpion_turretmk2_3.attack01</v>
      </c>
      <c r="M28" s="63"/>
      <c r="N28" s="63"/>
      <c r="O28" s="134" t="s">
        <v>2000</v>
      </c>
      <c r="P28" s="134"/>
      <c r="Q28" s="134"/>
      <c r="R28" s="64"/>
      <c r="S28" s="64"/>
      <c r="T28" s="64"/>
      <c r="U28" s="64"/>
      <c r="V28" s="12" t="b">
        <v>0</v>
      </c>
      <c r="W28" s="12" t="str">
        <f>"Character/Prefabs/"&amp;VLOOKUP($C28,'#Data'!$B$3:$I$344,8,FALSE)</f>
        <v>Character/Prefabs/m_s_ranger_scorpion_turretmk2_3</v>
      </c>
      <c r="X28" s="12"/>
      <c r="Y28" s="12" t="str">
        <f>VLOOKUP($C28,'#Data'!$B$3:$I$344,8,FALSE)</f>
        <v>m_s_ranger_scorpion_turretmk2_3</v>
      </c>
      <c r="Z28" s="12"/>
      <c r="AA28" s="12"/>
      <c r="AB28" s="12"/>
      <c r="AC28" s="88">
        <v>0.7</v>
      </c>
      <c r="AD28" s="12"/>
      <c r="AE28" s="12"/>
      <c r="AF28" s="12"/>
      <c r="AG28" s="12" t="s">
        <v>2104</v>
      </c>
      <c r="AH28" s="85"/>
    </row>
    <row r="29" spans="1:34" x14ac:dyDescent="0.3">
      <c r="A29" s="12">
        <v>1110202103</v>
      </c>
      <c r="B29" s="12" t="s">
        <v>82</v>
      </c>
      <c r="C29" s="12" t="s">
        <v>85</v>
      </c>
      <c r="D29" s="12" t="str">
        <f>"Monster.Name."&amp;VLOOKUP($C29,'#Data'!$B$2:$J$344,2,FALSE)</f>
        <v>Monster.Name.rhino_mechamk3_3</v>
      </c>
      <c r="E29" s="12" t="s">
        <v>43</v>
      </c>
      <c r="F29" s="39" t="s">
        <v>44</v>
      </c>
      <c r="G29" s="12" t="s">
        <v>45</v>
      </c>
      <c r="H29" s="12" t="b">
        <f>IF(OR(VLOOKUP($C29,'#Data'!$B$2:$J$344,4,FALSE)="보스",VLOOKUP($C29,'#Data'!$B$2:$J$344,4,FALSE)="중간"),TRUE,FALSE)</f>
        <v>0</v>
      </c>
      <c r="I29" s="12" t="b">
        <f>IF(OR(VLOOKUP($C29,'#Data'!$B$2:$J$344,4,FALSE)="보스",VLOOKUP($C29,'#Data'!$B$2:$J$344,4,FALSE)="중간"),TRUE,FALSE)</f>
        <v>0</v>
      </c>
      <c r="J29" s="12">
        <v>10</v>
      </c>
      <c r="K29" s="12">
        <f>VLOOKUP($A29,쿼리1[[ID]:[열1]],3,FALSE)</f>
        <v>10</v>
      </c>
      <c r="L29" s="63" t="str">
        <f>$B29&amp;"."&amp;VLOOKUP($C29,'#Data'!$B$2:$J$344,2,FALSE)&amp;".attack0"&amp;RIGHT(L$1,1)</f>
        <v>Sector02.rhino_mechamk3_3.attack01</v>
      </c>
      <c r="M29" s="63"/>
      <c r="N29" s="63"/>
      <c r="O29" s="134" t="s">
        <v>2001</v>
      </c>
      <c r="P29" s="134"/>
      <c r="Q29" s="134"/>
      <c r="R29" s="64"/>
      <c r="S29" s="64"/>
      <c r="T29" s="64"/>
      <c r="U29" s="64"/>
      <c r="V29" s="12" t="b">
        <v>0</v>
      </c>
      <c r="W29" s="12" t="str">
        <f>"Character/Prefabs/"&amp;VLOOKUP($C29,'#Data'!$B$3:$I$344,8,FALSE)</f>
        <v>Character/Prefabs/m_s_attacker_rhino_mechamk3_3</v>
      </c>
      <c r="X29" s="12"/>
      <c r="Y29" s="12" t="str">
        <f>VLOOKUP($C29,'#Data'!$B$3:$I$344,8,FALSE)</f>
        <v>m_s_attacker_rhino_mechamk3_3</v>
      </c>
      <c r="Z29" s="12"/>
      <c r="AA29" s="12"/>
      <c r="AB29" s="12"/>
      <c r="AC29" s="88">
        <v>0.7</v>
      </c>
      <c r="AD29" s="12"/>
      <c r="AE29" s="12"/>
      <c r="AF29" s="12"/>
      <c r="AG29" s="12" t="s">
        <v>2104</v>
      </c>
      <c r="AH29" s="85"/>
    </row>
    <row r="30" spans="1:34" x14ac:dyDescent="0.3">
      <c r="A30" s="12">
        <v>1110202104</v>
      </c>
      <c r="B30" s="12" t="s">
        <v>82</v>
      </c>
      <c r="C30" s="12" t="s">
        <v>86</v>
      </c>
      <c r="D30" s="12" t="str">
        <f>"Monster.Name."&amp;VLOOKUP($C30,'#Data'!$B$2:$J$344,2,FALSE)</f>
        <v>Monster.Name.spider_turretmk2_3</v>
      </c>
      <c r="E30" s="12" t="s">
        <v>47</v>
      </c>
      <c r="F30" s="39" t="s">
        <v>44</v>
      </c>
      <c r="G30" s="12" t="s">
        <v>45</v>
      </c>
      <c r="H30" s="12" t="b">
        <f>IF(OR(VLOOKUP($C30,'#Data'!$B$2:$J$344,4,FALSE)="보스",VLOOKUP($C30,'#Data'!$B$2:$J$344,4,FALSE)="중간"),TRUE,FALSE)</f>
        <v>0</v>
      </c>
      <c r="I30" s="12" t="b">
        <f>IF(OR(VLOOKUP($C30,'#Data'!$B$2:$J$344,4,FALSE)="보스",VLOOKUP($C30,'#Data'!$B$2:$J$344,4,FALSE)="중간"),TRUE,FALSE)</f>
        <v>0</v>
      </c>
      <c r="J30" s="12">
        <v>10</v>
      </c>
      <c r="K30" s="12">
        <f>VLOOKUP($A30,쿼리1[[ID]:[열1]],3,FALSE)</f>
        <v>10</v>
      </c>
      <c r="L30" s="63" t="str">
        <f>$B30&amp;"."&amp;VLOOKUP($C30,'#Data'!$B$2:$J$344,2,FALSE)&amp;".attack0"&amp;RIGHT(L$1,1)</f>
        <v>Sector02.spider_turretmk2_3.attack01</v>
      </c>
      <c r="M30" s="63"/>
      <c r="N30" s="63"/>
      <c r="O30" s="134" t="s">
        <v>2002</v>
      </c>
      <c r="P30" s="134"/>
      <c r="Q30" s="134"/>
      <c r="R30" s="64"/>
      <c r="S30" s="64"/>
      <c r="T30" s="64"/>
      <c r="U30" s="64"/>
      <c r="V30" s="12" t="b">
        <v>0</v>
      </c>
      <c r="W30" s="12" t="str">
        <f>"Character/Prefabs/"&amp;VLOOKUP($C30,'#Data'!$B$3:$I$344,8,FALSE)</f>
        <v>Character/Prefabs/m_s_ranger_spider_turretmk2_3</v>
      </c>
      <c r="X30" s="12"/>
      <c r="Y30" s="12" t="str">
        <f>VLOOKUP($C30,'#Data'!$B$3:$I$344,8,FALSE)</f>
        <v>m_s_ranger_spider_turretmk2_3</v>
      </c>
      <c r="Z30" s="12"/>
      <c r="AA30" s="12"/>
      <c r="AB30" s="12"/>
      <c r="AC30" s="88">
        <v>0.7</v>
      </c>
      <c r="AD30" s="12"/>
      <c r="AE30" s="12"/>
      <c r="AF30" s="12"/>
      <c r="AG30" s="12" t="s">
        <v>2104</v>
      </c>
      <c r="AH30" s="85"/>
    </row>
    <row r="31" spans="1:34" x14ac:dyDescent="0.3">
      <c r="A31" s="12">
        <v>1110202105</v>
      </c>
      <c r="B31" s="12" t="s">
        <v>82</v>
      </c>
      <c r="C31" s="12" t="s">
        <v>87</v>
      </c>
      <c r="D31" s="12" t="str">
        <f>"Monster.Name."&amp;VLOOKUP($C31,'#Data'!$B$2:$J$344,2,FALSE)</f>
        <v>Monster.Name.hellfire_drone_3</v>
      </c>
      <c r="E31" s="12" t="s">
        <v>47</v>
      </c>
      <c r="F31" s="39" t="s">
        <v>44</v>
      </c>
      <c r="G31" s="12" t="s">
        <v>45</v>
      </c>
      <c r="H31" s="12" t="b">
        <f>IF(OR(VLOOKUP($C31,'#Data'!$B$2:$J$344,4,FALSE)="보스",VLOOKUP($C31,'#Data'!$B$2:$J$344,4,FALSE)="중간"),TRUE,FALSE)</f>
        <v>0</v>
      </c>
      <c r="I31" s="12" t="b">
        <f>IF(OR(VLOOKUP($C31,'#Data'!$B$2:$J$344,4,FALSE)="보스",VLOOKUP($C31,'#Data'!$B$2:$J$344,4,FALSE)="중간"),TRUE,FALSE)</f>
        <v>0</v>
      </c>
      <c r="J31" s="12">
        <v>10</v>
      </c>
      <c r="K31" s="12">
        <f>VLOOKUP($A31,쿼리1[[ID]:[열1]],3,FALSE)</f>
        <v>10</v>
      </c>
      <c r="L31" s="63" t="str">
        <f>$B31&amp;"."&amp;VLOOKUP($C31,'#Data'!$B$2:$J$344,2,FALSE)&amp;".attack0"&amp;RIGHT(L$1,1)</f>
        <v>Sector02.hellfire_drone_3.attack01</v>
      </c>
      <c r="M31" s="63"/>
      <c r="N31" s="63"/>
      <c r="O31" s="134" t="str">
        <f>$B31&amp;"."&amp;VLOOKUP($C31,'#Data'!$B$2:$J$344,2,FALSE)&amp;".skill0"&amp;RIGHT(O$1,1)</f>
        <v>Sector02.hellfire_drone_3.skill01</v>
      </c>
      <c r="P31" s="134" t="s">
        <v>2003</v>
      </c>
      <c r="Q31" s="134"/>
      <c r="R31" s="64"/>
      <c r="S31" s="64"/>
      <c r="T31" s="64"/>
      <c r="U31" s="64"/>
      <c r="V31" s="12" t="b">
        <v>0</v>
      </c>
      <c r="W31" s="12" t="str">
        <f>"Character/Prefabs/"&amp;VLOOKUP($C31,'#Data'!$B$3:$I$344,8,FALSE)</f>
        <v>Character/Prefabs/m_s_ranger_hellfire_drone_3</v>
      </c>
      <c r="X31" s="12"/>
      <c r="Y31" s="12" t="str">
        <f>VLOOKUP($C31,'#Data'!$B$3:$I$344,8,FALSE)</f>
        <v>m_s_ranger_hellfire_drone_3</v>
      </c>
      <c r="Z31" s="12"/>
      <c r="AA31" s="12"/>
      <c r="AB31" s="12"/>
      <c r="AC31" s="88">
        <v>0.6</v>
      </c>
      <c r="AD31" s="12"/>
      <c r="AE31" s="12"/>
      <c r="AF31" s="12"/>
      <c r="AG31" s="12" t="s">
        <v>2104</v>
      </c>
      <c r="AH31" s="85"/>
    </row>
    <row r="32" spans="1:34" x14ac:dyDescent="0.3">
      <c r="A32" s="12">
        <v>1110202106</v>
      </c>
      <c r="B32" s="12" t="s">
        <v>82</v>
      </c>
      <c r="C32" s="12" t="s">
        <v>88</v>
      </c>
      <c r="D32" s="12" t="str">
        <f>"Monster.Name."&amp;VLOOKUP($C32,'#Data'!$B$2:$J$344,2,FALSE)</f>
        <v>Monster.Name.silhouette_champion_3</v>
      </c>
      <c r="E32" s="12" t="s">
        <v>43</v>
      </c>
      <c r="F32" s="39" t="s">
        <v>44</v>
      </c>
      <c r="G32" s="12" t="s">
        <v>45</v>
      </c>
      <c r="H32" s="12" t="b">
        <f>IF(OR(VLOOKUP($C32,'#Data'!$B$2:$J$344,4,FALSE)="보스",VLOOKUP($C32,'#Data'!$B$2:$J$344,4,FALSE)="중간"),TRUE,FALSE)</f>
        <v>0</v>
      </c>
      <c r="I32" s="12" t="b">
        <f>IF(OR(VLOOKUP($C32,'#Data'!$B$2:$J$344,4,FALSE)="보스",VLOOKUP($C32,'#Data'!$B$2:$J$344,4,FALSE)="중간"),TRUE,FALSE)</f>
        <v>0</v>
      </c>
      <c r="J32" s="12">
        <v>10</v>
      </c>
      <c r="K32" s="12">
        <f>VLOOKUP($A32,쿼리1[[ID]:[열1]],3,FALSE)</f>
        <v>10</v>
      </c>
      <c r="L32" s="63" t="str">
        <f>$B32&amp;"."&amp;VLOOKUP($C32,'#Data'!$B$2:$J$344,2,FALSE)&amp;".attack0"&amp;RIGHT(L$1,1)</f>
        <v>Sector02.silhouette_champion_3.attack01</v>
      </c>
      <c r="M32" s="63"/>
      <c r="N32" s="63"/>
      <c r="O32" s="134" t="str">
        <f>$B32&amp;"."&amp;VLOOKUP($C32,'#Data'!$B$2:$J$344,2,FALSE)&amp;".skill0"&amp;RIGHT(O$1,1)</f>
        <v>Sector02.silhouette_champion_3.skill01</v>
      </c>
      <c r="P32" s="134" t="s">
        <v>2004</v>
      </c>
      <c r="Q32" s="134"/>
      <c r="R32" s="64"/>
      <c r="S32" s="64"/>
      <c r="T32" s="64"/>
      <c r="U32" s="64"/>
      <c r="V32" s="12" t="b">
        <v>0</v>
      </c>
      <c r="W32" s="12" t="str">
        <f>"Character/Prefabs/"&amp;VLOOKUP($C32,'#Data'!$B$3:$I$344,8,FALSE)</f>
        <v>Character/Prefabs/m_m_attacker_silhouette_champion_3</v>
      </c>
      <c r="X32" s="12"/>
      <c r="Y32" s="12" t="str">
        <f>VLOOKUP($C32,'#Data'!$B$3:$I$344,8,FALSE)</f>
        <v>m_m_attacker_silhouette_champion_3</v>
      </c>
      <c r="Z32" s="12"/>
      <c r="AA32" s="12"/>
      <c r="AB32" s="12"/>
      <c r="AC32" s="88">
        <v>0.8</v>
      </c>
      <c r="AD32" s="12"/>
      <c r="AE32" s="12"/>
      <c r="AF32" s="12"/>
      <c r="AG32" s="12" t="s">
        <v>2104</v>
      </c>
      <c r="AH32" s="85"/>
    </row>
    <row r="33" spans="1:34" x14ac:dyDescent="0.3">
      <c r="A33" s="12">
        <v>1110202107</v>
      </c>
      <c r="B33" s="12" t="s">
        <v>82</v>
      </c>
      <c r="C33" s="12" t="s">
        <v>89</v>
      </c>
      <c r="D33" s="12" t="str">
        <f>"Monster.Name."&amp;VLOOKUP($C33,'#Data'!$B$2:$J$344,2,FALSE)</f>
        <v>Monster.Name.silhouette_demolisher_3</v>
      </c>
      <c r="E33" s="12" t="s">
        <v>47</v>
      </c>
      <c r="F33" s="39" t="s">
        <v>44</v>
      </c>
      <c r="G33" s="12" t="s">
        <v>45</v>
      </c>
      <c r="H33" s="12" t="b">
        <f>IF(OR(VLOOKUP($C33,'#Data'!$B$2:$J$344,4,FALSE)="보스",VLOOKUP($C33,'#Data'!$B$2:$J$344,4,FALSE)="중간"),TRUE,FALSE)</f>
        <v>0</v>
      </c>
      <c r="I33" s="12" t="b">
        <f>IF(OR(VLOOKUP($C33,'#Data'!$B$2:$J$344,4,FALSE)="보스",VLOOKUP($C33,'#Data'!$B$2:$J$344,4,FALSE)="중간"),TRUE,FALSE)</f>
        <v>0</v>
      </c>
      <c r="J33" s="12">
        <v>10</v>
      </c>
      <c r="K33" s="12">
        <f>VLOOKUP($A33,쿼리1[[ID]:[열1]],3,FALSE)</f>
        <v>10</v>
      </c>
      <c r="L33" s="63" t="str">
        <f>$B33&amp;"."&amp;VLOOKUP($C33,'#Data'!$B$2:$J$344,2,FALSE)&amp;".attack0"&amp;RIGHT(L$1,1)</f>
        <v>Sector02.silhouette_demolisher_3.attack01</v>
      </c>
      <c r="M33" s="63"/>
      <c r="N33" s="63"/>
      <c r="O33" s="134" t="str">
        <f>$B33&amp;"."&amp;VLOOKUP($C33,'#Data'!$B$2:$J$344,2,FALSE)&amp;".skill0"&amp;RIGHT(O$1,1)</f>
        <v>Sector02.silhouette_demolisher_3.skill01</v>
      </c>
      <c r="P33" s="134" t="s">
        <v>2005</v>
      </c>
      <c r="Q33" s="134"/>
      <c r="R33" s="64"/>
      <c r="S33" s="64"/>
      <c r="T33" s="64"/>
      <c r="U33" s="64"/>
      <c r="V33" s="12" t="b">
        <v>0</v>
      </c>
      <c r="W33" s="12" t="str">
        <f>"Character/Prefabs/"&amp;VLOOKUP($C33,'#Data'!$B$3:$I$344,8,FALSE)</f>
        <v>Character/Prefabs/m_m_ranger_silhouette_demolisher_3</v>
      </c>
      <c r="X33" s="12"/>
      <c r="Y33" s="12" t="str">
        <f>VLOOKUP($C33,'#Data'!$B$3:$I$344,8,FALSE)</f>
        <v>m_m_ranger_silhouette_demolisher_3</v>
      </c>
      <c r="Z33" s="12"/>
      <c r="AA33" s="12"/>
      <c r="AB33" s="12"/>
      <c r="AC33" s="88">
        <v>0.8</v>
      </c>
      <c r="AD33" s="12"/>
      <c r="AE33" s="12"/>
      <c r="AF33" s="12"/>
      <c r="AG33" s="12" t="s">
        <v>2104</v>
      </c>
      <c r="AH33" s="85"/>
    </row>
    <row r="34" spans="1:34" x14ac:dyDescent="0.3">
      <c r="A34" s="12">
        <v>1110202108</v>
      </c>
      <c r="B34" s="12" t="s">
        <v>82</v>
      </c>
      <c r="C34" s="12" t="s">
        <v>90</v>
      </c>
      <c r="D34" s="12" t="str">
        <f>"Monster.Name."&amp;VLOOKUP($C34,'#Data'!$B$2:$J$344,2,FALSE)</f>
        <v>Monster.Name.silhouette_guard_3</v>
      </c>
      <c r="E34" s="12" t="s">
        <v>58</v>
      </c>
      <c r="F34" s="39" t="s">
        <v>44</v>
      </c>
      <c r="G34" s="12" t="s">
        <v>45</v>
      </c>
      <c r="H34" s="12" t="b">
        <f>IF(OR(VLOOKUP($C34,'#Data'!$B$2:$J$344,4,FALSE)="보스",VLOOKUP($C34,'#Data'!$B$2:$J$344,4,FALSE)="중간"),TRUE,FALSE)</f>
        <v>0</v>
      </c>
      <c r="I34" s="12" t="b">
        <f>IF(OR(VLOOKUP($C34,'#Data'!$B$2:$J$344,4,FALSE)="보스",VLOOKUP($C34,'#Data'!$B$2:$J$344,4,FALSE)="중간"),TRUE,FALSE)</f>
        <v>0</v>
      </c>
      <c r="J34" s="12">
        <v>10</v>
      </c>
      <c r="K34" s="12">
        <f>VLOOKUP($A34,쿼리1[[ID]:[열1]],3,FALSE)</f>
        <v>10</v>
      </c>
      <c r="L34" s="63" t="str">
        <f>$B34&amp;"."&amp;VLOOKUP($C34,'#Data'!$B$2:$J$344,2,FALSE)&amp;".attack0"&amp;RIGHT(L$1,1)</f>
        <v>Sector02.silhouette_guard_3.attack01</v>
      </c>
      <c r="M34" s="63"/>
      <c r="N34" s="63"/>
      <c r="O34" s="134" t="str">
        <f>$B34&amp;"."&amp;VLOOKUP($C34,'#Data'!$B$2:$J$344,2,FALSE)&amp;".skill0"&amp;RIGHT(O$1,1)</f>
        <v>Sector02.silhouette_guard_3.skill01</v>
      </c>
      <c r="P34" s="134" t="s">
        <v>2006</v>
      </c>
      <c r="Q34" s="134"/>
      <c r="R34" s="64"/>
      <c r="S34" s="64"/>
      <c r="T34" s="64"/>
      <c r="U34" s="64"/>
      <c r="V34" s="12" t="b">
        <v>0</v>
      </c>
      <c r="W34" s="12" t="str">
        <f>"Character/Prefabs/"&amp;VLOOKUP($C34,'#Data'!$B$3:$I$344,8,FALSE)</f>
        <v>Character/Prefabs/m_m_tanker_silhouette_guard_3</v>
      </c>
      <c r="X34" s="12"/>
      <c r="Y34" s="12" t="str">
        <f>VLOOKUP($C34,'#Data'!$B$3:$I$344,8,FALSE)</f>
        <v>m_m_tanker_silhouette_guard_3</v>
      </c>
      <c r="Z34" s="12"/>
      <c r="AA34" s="12"/>
      <c r="AB34" s="12"/>
      <c r="AC34" s="88">
        <v>0.8</v>
      </c>
      <c r="AD34" s="12"/>
      <c r="AE34" s="12"/>
      <c r="AF34" s="12"/>
      <c r="AG34" s="12" t="s">
        <v>2104</v>
      </c>
      <c r="AH34" s="85"/>
    </row>
    <row r="35" spans="1:34" x14ac:dyDescent="0.3">
      <c r="A35" s="12">
        <v>1110202109</v>
      </c>
      <c r="B35" s="12" t="s">
        <v>82</v>
      </c>
      <c r="C35" s="12" t="s">
        <v>91</v>
      </c>
      <c r="D35" s="12" t="str">
        <f>"Monster.Name."&amp;VLOOKUP($C35,'#Data'!$B$2:$J$344,2,FALSE)</f>
        <v>Monster.Name.silhouette_inferno_3</v>
      </c>
      <c r="E35" s="12" t="s">
        <v>43</v>
      </c>
      <c r="F35" s="39" t="s">
        <v>44</v>
      </c>
      <c r="G35" s="12" t="s">
        <v>45</v>
      </c>
      <c r="H35" s="12" t="b">
        <f>IF(OR(VLOOKUP($C35,'#Data'!$B$2:$J$344,4,FALSE)="보스",VLOOKUP($C35,'#Data'!$B$2:$J$344,4,FALSE)="중간"),TRUE,FALSE)</f>
        <v>0</v>
      </c>
      <c r="I35" s="12" t="b">
        <f>IF(OR(VLOOKUP($C35,'#Data'!$B$2:$J$344,4,FALSE)="보스",VLOOKUP($C35,'#Data'!$B$2:$J$344,4,FALSE)="중간"),TRUE,FALSE)</f>
        <v>0</v>
      </c>
      <c r="J35" s="12">
        <v>10</v>
      </c>
      <c r="K35" s="12">
        <f>VLOOKUP($A35,쿼리1[[ID]:[열1]],3,FALSE)</f>
        <v>10</v>
      </c>
      <c r="L35" s="63" t="str">
        <f>$B35&amp;"."&amp;VLOOKUP($C35,'#Data'!$B$2:$J$344,2,FALSE)&amp;".attack0"&amp;RIGHT(L$1,1)</f>
        <v>Sector02.silhouette_inferno_3.attack01</v>
      </c>
      <c r="M35" s="63"/>
      <c r="N35" s="63"/>
      <c r="O35" s="134" t="str">
        <f>$B35&amp;"."&amp;VLOOKUP($C35,'#Data'!$B$2:$J$344,2,FALSE)&amp;".skill0"&amp;RIGHT(O$1,1)</f>
        <v>Sector02.silhouette_inferno_3.skill01</v>
      </c>
      <c r="P35" s="134" t="s">
        <v>2007</v>
      </c>
      <c r="Q35" s="134"/>
      <c r="R35" s="64"/>
      <c r="S35" s="64"/>
      <c r="T35" s="64"/>
      <c r="U35" s="64"/>
      <c r="V35" s="12" t="b">
        <v>0</v>
      </c>
      <c r="W35" s="12" t="str">
        <f>"Character/Prefabs/"&amp;VLOOKUP($C35,'#Data'!$B$3:$I$344,8,FALSE)</f>
        <v>Character/Prefabs/m_m_attacker_silhouette_inferno_3</v>
      </c>
      <c r="X35" s="12"/>
      <c r="Y35" s="12" t="str">
        <f>VLOOKUP($C35,'#Data'!$B$3:$I$344,8,FALSE)</f>
        <v>m_m_attacker_silhouette_inferno_3</v>
      </c>
      <c r="Z35" s="12"/>
      <c r="AA35" s="12"/>
      <c r="AB35" s="12"/>
      <c r="AC35" s="88">
        <v>0.8</v>
      </c>
      <c r="AD35" s="12"/>
      <c r="AE35" s="12"/>
      <c r="AF35" s="12"/>
      <c r="AG35" s="12" t="s">
        <v>2104</v>
      </c>
      <c r="AH35" s="85"/>
    </row>
    <row r="36" spans="1:34" x14ac:dyDescent="0.3">
      <c r="A36" s="49">
        <v>1110202110</v>
      </c>
      <c r="B36" s="49" t="s">
        <v>82</v>
      </c>
      <c r="C36" s="49" t="s">
        <v>1218</v>
      </c>
      <c r="D36" s="49" t="str">
        <f>"Monster.Name."&amp;VLOOKUP($C36,'#Data'!$B$2:$J$344,2,FALSE)</f>
        <v>Monster.Name.turtle_mechamk3_4</v>
      </c>
      <c r="E36" s="49" t="s">
        <v>43</v>
      </c>
      <c r="F36" s="50" t="s">
        <v>44</v>
      </c>
      <c r="G36" s="49" t="s">
        <v>45</v>
      </c>
      <c r="H36" s="49" t="b">
        <f>IF(OR(VLOOKUP($C36,'#Data'!$B$2:$J$344,4,FALSE)="보스",VLOOKUP($C36,'#Data'!$B$2:$J$344,4,FALSE)="중간"),TRUE,FALSE)</f>
        <v>0</v>
      </c>
      <c r="I36" s="49" t="b">
        <f>IF(OR(VLOOKUP($C36,'#Data'!$B$2:$J$344,4,FALSE)="보스",VLOOKUP($C36,'#Data'!$B$2:$J$344,4,FALSE)="중간"),TRUE,FALSE)</f>
        <v>0</v>
      </c>
      <c r="J36" s="49">
        <v>10</v>
      </c>
      <c r="K36" s="49">
        <f>VLOOKUP($A36,쿼리1[[ID]:[열1]],3,FALSE)</f>
        <v>10</v>
      </c>
      <c r="L36" s="65" t="s">
        <v>1318</v>
      </c>
      <c r="M36" s="65"/>
      <c r="N36" s="65"/>
      <c r="O36" s="135" t="s">
        <v>1999</v>
      </c>
      <c r="P36" s="135"/>
      <c r="Q36" s="135"/>
      <c r="R36" s="66"/>
      <c r="S36" s="66"/>
      <c r="T36" s="66"/>
      <c r="U36" s="66"/>
      <c r="V36" s="49" t="b">
        <v>0</v>
      </c>
      <c r="W36" s="49" t="str">
        <f>"Character/Prefabs/"&amp;VLOOKUP($C36,'#Data'!$B$3:$I$344,8,FALSE)</f>
        <v>Character/Prefabs/m_s_attacker_turtle_mechamk3_4</v>
      </c>
      <c r="X36" s="49"/>
      <c r="Y36" s="49" t="str">
        <f>VLOOKUP($C36,'#Data'!$B$3:$I$344,8,FALSE)</f>
        <v>m_s_attacker_turtle_mechamk3_4</v>
      </c>
      <c r="Z36" s="49"/>
      <c r="AA36" s="49"/>
      <c r="AB36" s="49"/>
      <c r="AC36" s="89">
        <v>0.7</v>
      </c>
      <c r="AD36" s="49"/>
      <c r="AE36" s="49"/>
      <c r="AF36" s="49"/>
      <c r="AG36" s="49" t="s">
        <v>2104</v>
      </c>
      <c r="AH36" s="85"/>
    </row>
    <row r="37" spans="1:34" x14ac:dyDescent="0.3">
      <c r="A37" s="49">
        <v>1110202111</v>
      </c>
      <c r="B37" s="49" t="s">
        <v>82</v>
      </c>
      <c r="C37" s="49" t="s">
        <v>1219</v>
      </c>
      <c r="D37" s="49" t="str">
        <f>"Monster.Name."&amp;VLOOKUP($C37,'#Data'!$B$2:$J$344,2,FALSE)</f>
        <v>Monster.Name.scorpion_turretmk2_4</v>
      </c>
      <c r="E37" s="49" t="s">
        <v>47</v>
      </c>
      <c r="F37" s="50" t="s">
        <v>44</v>
      </c>
      <c r="G37" s="49" t="s">
        <v>45</v>
      </c>
      <c r="H37" s="49" t="b">
        <f>IF(OR(VLOOKUP($C37,'#Data'!$B$2:$J$344,4,FALSE)="보스",VLOOKUP($C37,'#Data'!$B$2:$J$344,4,FALSE)="중간"),TRUE,FALSE)</f>
        <v>0</v>
      </c>
      <c r="I37" s="49" t="b">
        <v>0</v>
      </c>
      <c r="J37" s="49">
        <v>10</v>
      </c>
      <c r="K37" s="49">
        <f>VLOOKUP($A37,쿼리1[[ID]:[열1]],3,FALSE)</f>
        <v>10</v>
      </c>
      <c r="L37" s="65" t="s">
        <v>1319</v>
      </c>
      <c r="M37" s="65"/>
      <c r="N37" s="65"/>
      <c r="O37" s="135" t="s">
        <v>2000</v>
      </c>
      <c r="P37" s="135"/>
      <c r="Q37" s="135"/>
      <c r="R37" s="66"/>
      <c r="S37" s="66"/>
      <c r="T37" s="66"/>
      <c r="U37" s="66"/>
      <c r="V37" s="49" t="b">
        <v>0</v>
      </c>
      <c r="W37" s="49" t="str">
        <f>"Character/Prefabs/"&amp;VLOOKUP($C37,'#Data'!$B$3:$I$344,8,FALSE)</f>
        <v>Character/Prefabs/m_s_ranger_scorpion_turretmk2_4</v>
      </c>
      <c r="X37" s="49"/>
      <c r="Y37" s="49" t="str">
        <f>VLOOKUP($C37,'#Data'!$B$3:$I$344,8,FALSE)</f>
        <v>m_s_ranger_scorpion_turretmk2_4</v>
      </c>
      <c r="Z37" s="49"/>
      <c r="AA37" s="49"/>
      <c r="AB37" s="49"/>
      <c r="AC37" s="89">
        <v>0.7</v>
      </c>
      <c r="AD37" s="49"/>
      <c r="AE37" s="49"/>
      <c r="AF37" s="49"/>
      <c r="AG37" s="49" t="s">
        <v>2104</v>
      </c>
      <c r="AH37" s="85"/>
    </row>
    <row r="38" spans="1:34" x14ac:dyDescent="0.3">
      <c r="A38" s="49">
        <v>1110202112</v>
      </c>
      <c r="B38" s="49" t="s">
        <v>82</v>
      </c>
      <c r="C38" s="49" t="s">
        <v>1220</v>
      </c>
      <c r="D38" s="49" t="str">
        <f>"Monster.Name."&amp;VLOOKUP($C38,'#Data'!$B$2:$J$344,2,FALSE)</f>
        <v>Monster.Name.rhino_mechamk3_4</v>
      </c>
      <c r="E38" s="49" t="s">
        <v>43</v>
      </c>
      <c r="F38" s="50" t="s">
        <v>44</v>
      </c>
      <c r="G38" s="49" t="s">
        <v>45</v>
      </c>
      <c r="H38" s="49" t="b">
        <f>IF(OR(VLOOKUP($C38,'#Data'!$B$2:$J$344,4,FALSE)="보스",VLOOKUP($C38,'#Data'!$B$2:$J$344,4,FALSE)="중간"),TRUE,FALSE)</f>
        <v>0</v>
      </c>
      <c r="I38" s="49" t="b">
        <v>0</v>
      </c>
      <c r="J38" s="49">
        <v>10</v>
      </c>
      <c r="K38" s="49">
        <f>VLOOKUP($A38,쿼리1[[ID]:[열1]],3,FALSE)</f>
        <v>10</v>
      </c>
      <c r="L38" s="65" t="s">
        <v>1320</v>
      </c>
      <c r="M38" s="65"/>
      <c r="N38" s="65"/>
      <c r="O38" s="135" t="s">
        <v>2001</v>
      </c>
      <c r="P38" s="135"/>
      <c r="Q38" s="135"/>
      <c r="R38" s="66"/>
      <c r="S38" s="66"/>
      <c r="T38" s="66"/>
      <c r="U38" s="66"/>
      <c r="V38" s="49" t="b">
        <v>0</v>
      </c>
      <c r="W38" s="49" t="str">
        <f>"Character/Prefabs/"&amp;VLOOKUP($C38,'#Data'!$B$3:$I$344,8,FALSE)</f>
        <v>Character/Prefabs/m_s_attacker_rhino_mechamk3_4</v>
      </c>
      <c r="X38" s="49"/>
      <c r="Y38" s="49" t="str">
        <f>VLOOKUP($C38,'#Data'!$B$3:$I$344,8,FALSE)</f>
        <v>m_s_attacker_rhino_mechamk3_4</v>
      </c>
      <c r="Z38" s="49"/>
      <c r="AA38" s="49"/>
      <c r="AB38" s="49"/>
      <c r="AC38" s="89">
        <v>0.7</v>
      </c>
      <c r="AD38" s="49"/>
      <c r="AE38" s="49"/>
      <c r="AF38" s="49"/>
      <c r="AG38" s="49" t="s">
        <v>2104</v>
      </c>
      <c r="AH38" s="85"/>
    </row>
    <row r="39" spans="1:34" x14ac:dyDescent="0.3">
      <c r="A39" s="49">
        <v>1110202113</v>
      </c>
      <c r="B39" s="49" t="s">
        <v>82</v>
      </c>
      <c r="C39" s="49" t="s">
        <v>1221</v>
      </c>
      <c r="D39" s="49" t="str">
        <f>"Monster.Name."&amp;VLOOKUP($C39,'#Data'!$B$2:$J$344,2,FALSE)</f>
        <v>Monster.Name.spider_turretmk2_4</v>
      </c>
      <c r="E39" s="49" t="s">
        <v>47</v>
      </c>
      <c r="F39" s="50" t="s">
        <v>44</v>
      </c>
      <c r="G39" s="49" t="s">
        <v>45</v>
      </c>
      <c r="H39" s="49" t="b">
        <f>IF(OR(VLOOKUP($C39,'#Data'!$B$2:$J$344,4,FALSE)="보스",VLOOKUP($C39,'#Data'!$B$2:$J$344,4,FALSE)="중간"),TRUE,FALSE)</f>
        <v>0</v>
      </c>
      <c r="I39" s="49" t="b">
        <v>0</v>
      </c>
      <c r="J39" s="49">
        <v>10</v>
      </c>
      <c r="K39" s="49">
        <f>VLOOKUP($A39,쿼리1[[ID]:[열1]],3,FALSE)</f>
        <v>10</v>
      </c>
      <c r="L39" s="65" t="s">
        <v>1321</v>
      </c>
      <c r="M39" s="65"/>
      <c r="N39" s="65"/>
      <c r="O39" s="135" t="s">
        <v>2002</v>
      </c>
      <c r="P39" s="135"/>
      <c r="Q39" s="135"/>
      <c r="R39" s="66"/>
      <c r="S39" s="66"/>
      <c r="T39" s="66"/>
      <c r="U39" s="66"/>
      <c r="V39" s="49" t="b">
        <v>0</v>
      </c>
      <c r="W39" s="49" t="str">
        <f>"Character/Prefabs/"&amp;VLOOKUP($C39,'#Data'!$B$3:$I$344,8,FALSE)</f>
        <v>Character/Prefabs/m_s_ranger_spider_turretmk2_4</v>
      </c>
      <c r="X39" s="49"/>
      <c r="Y39" s="49" t="str">
        <f>VLOOKUP($C39,'#Data'!$B$3:$I$344,8,FALSE)</f>
        <v>m_s_ranger_spider_turretmk2_4</v>
      </c>
      <c r="Z39" s="49"/>
      <c r="AA39" s="49"/>
      <c r="AB39" s="49"/>
      <c r="AC39" s="89">
        <v>0.7</v>
      </c>
      <c r="AD39" s="49"/>
      <c r="AE39" s="49"/>
      <c r="AF39" s="49"/>
      <c r="AG39" s="49" t="s">
        <v>2104</v>
      </c>
      <c r="AH39" s="85"/>
    </row>
    <row r="40" spans="1:34" x14ac:dyDescent="0.3">
      <c r="A40" s="49">
        <v>1110202114</v>
      </c>
      <c r="B40" s="49" t="s">
        <v>82</v>
      </c>
      <c r="C40" s="49" t="s">
        <v>1222</v>
      </c>
      <c r="D40" s="49" t="str">
        <f>"Monster.Name."&amp;VLOOKUP($C40,'#Data'!$B$2:$J$344,2,FALSE)</f>
        <v>Monster.Name.hellfire_drone_4</v>
      </c>
      <c r="E40" s="49" t="s">
        <v>47</v>
      </c>
      <c r="F40" s="50" t="s">
        <v>44</v>
      </c>
      <c r="G40" s="49" t="s">
        <v>45</v>
      </c>
      <c r="H40" s="49" t="b">
        <f>IF(OR(VLOOKUP($C40,'#Data'!$B$2:$J$344,4,FALSE)="보스",VLOOKUP($C40,'#Data'!$B$2:$J$344,4,FALSE)="중간"),TRUE,FALSE)</f>
        <v>0</v>
      </c>
      <c r="I40" s="49" t="b">
        <v>0</v>
      </c>
      <c r="J40" s="49">
        <v>10</v>
      </c>
      <c r="K40" s="49">
        <f>VLOOKUP($A40,쿼리1[[ID]:[열1]],3,FALSE)</f>
        <v>10</v>
      </c>
      <c r="L40" s="65" t="s">
        <v>1322</v>
      </c>
      <c r="M40" s="65"/>
      <c r="N40" s="65"/>
      <c r="O40" s="135" t="s">
        <v>1327</v>
      </c>
      <c r="P40" s="135" t="s">
        <v>2003</v>
      </c>
      <c r="Q40" s="135"/>
      <c r="R40" s="66"/>
      <c r="S40" s="66"/>
      <c r="T40" s="66"/>
      <c r="U40" s="66"/>
      <c r="V40" s="49" t="b">
        <v>0</v>
      </c>
      <c r="W40" s="49" t="str">
        <f>"Character/Prefabs/"&amp;VLOOKUP($C40,'#Data'!$B$3:$I$344,8,FALSE)</f>
        <v>Character/Prefabs/m_s_ranger_hellfire_drone_4</v>
      </c>
      <c r="X40" s="49"/>
      <c r="Y40" s="49" t="str">
        <f>VLOOKUP($C40,'#Data'!$B$3:$I$344,8,FALSE)</f>
        <v>m_s_ranger_hellfire_drone_4</v>
      </c>
      <c r="Z40" s="49"/>
      <c r="AA40" s="49"/>
      <c r="AB40" s="49"/>
      <c r="AC40" s="89">
        <v>0.6</v>
      </c>
      <c r="AD40" s="49"/>
      <c r="AE40" s="49"/>
      <c r="AF40" s="49"/>
      <c r="AG40" s="49" t="s">
        <v>2104</v>
      </c>
      <c r="AH40" s="85"/>
    </row>
    <row r="41" spans="1:34" x14ac:dyDescent="0.3">
      <c r="A41" s="49">
        <v>1110202115</v>
      </c>
      <c r="B41" s="49" t="s">
        <v>82</v>
      </c>
      <c r="C41" s="49" t="s">
        <v>1223</v>
      </c>
      <c r="D41" s="49" t="str">
        <f>"Monster.Name."&amp;VLOOKUP($C41,'#Data'!$B$2:$J$344,2,FALSE)</f>
        <v>Monster.Name.trooper_silhouette_champion_4</v>
      </c>
      <c r="E41" s="49" t="s">
        <v>43</v>
      </c>
      <c r="F41" s="50" t="s">
        <v>44</v>
      </c>
      <c r="G41" s="49" t="s">
        <v>45</v>
      </c>
      <c r="H41" s="49" t="b">
        <f>IF(OR(VLOOKUP($C41,'#Data'!$B$2:$J$344,4,FALSE)="보스",VLOOKUP($C41,'#Data'!$B$2:$J$344,4,FALSE)="중간"),TRUE,FALSE)</f>
        <v>0</v>
      </c>
      <c r="I41" s="49" t="b">
        <v>0</v>
      </c>
      <c r="J41" s="49">
        <v>10</v>
      </c>
      <c r="K41" s="49">
        <f>VLOOKUP($A41,쿼리1[[ID]:[열1]],3,FALSE)</f>
        <v>10</v>
      </c>
      <c r="L41" s="65" t="s">
        <v>1323</v>
      </c>
      <c r="M41" s="65"/>
      <c r="N41" s="65"/>
      <c r="O41" s="135" t="s">
        <v>1328</v>
      </c>
      <c r="P41" s="135" t="s">
        <v>2008</v>
      </c>
      <c r="Q41" s="135"/>
      <c r="R41" s="66"/>
      <c r="S41" s="66"/>
      <c r="T41" s="66"/>
      <c r="U41" s="66"/>
      <c r="V41" s="49" t="b">
        <v>0</v>
      </c>
      <c r="W41" s="49" t="str">
        <f>"Character/Prefabs/"&amp;VLOOKUP($C41,'#Data'!$B$3:$I$344,8,FALSE)</f>
        <v>Character/Prefabs/m_m_attacker_trooper_silhouette_champion_4</v>
      </c>
      <c r="X41" s="49"/>
      <c r="Y41" s="49" t="str">
        <f>VLOOKUP($C41,'#Data'!$B$3:$I$344,8,FALSE)</f>
        <v>m_m_attacker_trooper_silhouette_champion_4</v>
      </c>
      <c r="Z41" s="49"/>
      <c r="AA41" s="49"/>
      <c r="AB41" s="49"/>
      <c r="AC41" s="89">
        <v>0.8</v>
      </c>
      <c r="AD41" s="49"/>
      <c r="AE41" s="49"/>
      <c r="AF41" s="49"/>
      <c r="AG41" s="49" t="s">
        <v>2104</v>
      </c>
      <c r="AH41" s="85"/>
    </row>
    <row r="42" spans="1:34" x14ac:dyDescent="0.3">
      <c r="A42" s="49">
        <v>1110202116</v>
      </c>
      <c r="B42" s="49" t="s">
        <v>82</v>
      </c>
      <c r="C42" s="49" t="s">
        <v>1224</v>
      </c>
      <c r="D42" s="49" t="str">
        <f>"Monster.Name."&amp;VLOOKUP($C42,'#Data'!$B$2:$J$344,2,FALSE)</f>
        <v>Monster.Name.trooper_silhouette_demolisher_4</v>
      </c>
      <c r="E42" s="49" t="s">
        <v>47</v>
      </c>
      <c r="F42" s="50" t="s">
        <v>44</v>
      </c>
      <c r="G42" s="49" t="s">
        <v>45</v>
      </c>
      <c r="H42" s="49" t="b">
        <f>IF(OR(VLOOKUP($C42,'#Data'!$B$2:$J$344,4,FALSE)="보스",VLOOKUP($C42,'#Data'!$B$2:$J$344,4,FALSE)="중간"),TRUE,FALSE)</f>
        <v>0</v>
      </c>
      <c r="I42" s="49" t="b">
        <v>0</v>
      </c>
      <c r="J42" s="49">
        <v>10</v>
      </c>
      <c r="K42" s="49">
        <f>VLOOKUP($A42,쿼리1[[ID]:[열1]],3,FALSE)</f>
        <v>10</v>
      </c>
      <c r="L42" s="65" t="s">
        <v>1324</v>
      </c>
      <c r="M42" s="65"/>
      <c r="N42" s="65"/>
      <c r="O42" s="135" t="s">
        <v>1329</v>
      </c>
      <c r="P42" s="135" t="s">
        <v>2005</v>
      </c>
      <c r="Q42" s="135"/>
      <c r="R42" s="66"/>
      <c r="S42" s="66"/>
      <c r="T42" s="66"/>
      <c r="U42" s="66"/>
      <c r="V42" s="49" t="b">
        <v>0</v>
      </c>
      <c r="W42" s="49" t="str">
        <f>"Character/Prefabs/"&amp;VLOOKUP($C42,'#Data'!$B$3:$I$344,8,FALSE)</f>
        <v>Character/Prefabs/m_m_ranger_trooper_silhouette_demolisher_4</v>
      </c>
      <c r="X42" s="49"/>
      <c r="Y42" s="49" t="str">
        <f>VLOOKUP($C42,'#Data'!$B$3:$I$344,8,FALSE)</f>
        <v>m_m_ranger_trooper_silhouette_demolisher_4</v>
      </c>
      <c r="Z42" s="49"/>
      <c r="AA42" s="49"/>
      <c r="AB42" s="49"/>
      <c r="AC42" s="89">
        <v>0.8</v>
      </c>
      <c r="AD42" s="49"/>
      <c r="AE42" s="49"/>
      <c r="AF42" s="49"/>
      <c r="AG42" s="49" t="s">
        <v>2104</v>
      </c>
      <c r="AH42" s="85"/>
    </row>
    <row r="43" spans="1:34" x14ac:dyDescent="0.3">
      <c r="A43" s="49">
        <v>1110202117</v>
      </c>
      <c r="B43" s="49" t="s">
        <v>82</v>
      </c>
      <c r="C43" s="49" t="s">
        <v>1225</v>
      </c>
      <c r="D43" s="49" t="str">
        <f>"Monster.Name."&amp;VLOOKUP($C43,'#Data'!$B$2:$J$344,2,FALSE)</f>
        <v>Monster.Name.trooper_silhouette_guard_4</v>
      </c>
      <c r="E43" s="49" t="s">
        <v>58</v>
      </c>
      <c r="F43" s="50" t="s">
        <v>44</v>
      </c>
      <c r="G43" s="49" t="s">
        <v>45</v>
      </c>
      <c r="H43" s="49" t="b">
        <f>IF(OR(VLOOKUP($C43,'#Data'!$B$2:$J$344,4,FALSE)="보스",VLOOKUP($C43,'#Data'!$B$2:$J$344,4,FALSE)="중간"),TRUE,FALSE)</f>
        <v>0</v>
      </c>
      <c r="I43" s="49" t="b">
        <v>0</v>
      </c>
      <c r="J43" s="49">
        <v>10</v>
      </c>
      <c r="K43" s="49">
        <f>VLOOKUP($A43,쿼리1[[ID]:[열1]],3,FALSE)</f>
        <v>10</v>
      </c>
      <c r="L43" s="65" t="s">
        <v>1325</v>
      </c>
      <c r="M43" s="65"/>
      <c r="N43" s="65"/>
      <c r="O43" s="135" t="s">
        <v>1330</v>
      </c>
      <c r="P43" s="135" t="s">
        <v>2006</v>
      </c>
      <c r="Q43" s="135"/>
      <c r="R43" s="66"/>
      <c r="S43" s="66"/>
      <c r="T43" s="66"/>
      <c r="U43" s="66"/>
      <c r="V43" s="49" t="b">
        <v>0</v>
      </c>
      <c r="W43" s="49" t="str">
        <f>"Character/Prefabs/"&amp;VLOOKUP($C43,'#Data'!$B$3:$I$344,8,FALSE)</f>
        <v>Character/Prefabs/m_m_tanker_trooper_silhouette_guard_4</v>
      </c>
      <c r="X43" s="49"/>
      <c r="Y43" s="49" t="str">
        <f>VLOOKUP($C43,'#Data'!$B$3:$I$344,8,FALSE)</f>
        <v>m_m_tanker_trooper_silhouette_guard_4</v>
      </c>
      <c r="Z43" s="49"/>
      <c r="AA43" s="49"/>
      <c r="AB43" s="49"/>
      <c r="AC43" s="89">
        <v>0.8</v>
      </c>
      <c r="AD43" s="49"/>
      <c r="AE43" s="49"/>
      <c r="AF43" s="49"/>
      <c r="AG43" s="49" t="s">
        <v>2104</v>
      </c>
      <c r="AH43" s="85"/>
    </row>
    <row r="44" spans="1:34" x14ac:dyDescent="0.3">
      <c r="A44" s="49">
        <v>1110202118</v>
      </c>
      <c r="B44" s="49" t="s">
        <v>82</v>
      </c>
      <c r="C44" s="49" t="s">
        <v>1226</v>
      </c>
      <c r="D44" s="49" t="str">
        <f>"Monster.Name."&amp;VLOOKUP($C44,'#Data'!$B$2:$J$344,2,FALSE)</f>
        <v>Monster.Name.trooper_silhouette_inferno_4</v>
      </c>
      <c r="E44" s="49" t="s">
        <v>43</v>
      </c>
      <c r="F44" s="50" t="s">
        <v>44</v>
      </c>
      <c r="G44" s="49" t="s">
        <v>45</v>
      </c>
      <c r="H44" s="49" t="b">
        <f>IF(OR(VLOOKUP($C44,'#Data'!$B$2:$J$344,4,FALSE)="보스",VLOOKUP($C44,'#Data'!$B$2:$J$344,4,FALSE)="중간"),TRUE,FALSE)</f>
        <v>0</v>
      </c>
      <c r="I44" s="49" t="b">
        <v>0</v>
      </c>
      <c r="J44" s="49">
        <v>10</v>
      </c>
      <c r="K44" s="49">
        <f>VLOOKUP($A44,쿼리1[[ID]:[열1]],3,FALSE)</f>
        <v>10</v>
      </c>
      <c r="L44" s="65" t="s">
        <v>1326</v>
      </c>
      <c r="M44" s="65"/>
      <c r="N44" s="65"/>
      <c r="O44" s="135" t="s">
        <v>1331</v>
      </c>
      <c r="P44" s="135" t="s">
        <v>2007</v>
      </c>
      <c r="Q44" s="135"/>
      <c r="R44" s="66"/>
      <c r="S44" s="66"/>
      <c r="T44" s="66"/>
      <c r="U44" s="66"/>
      <c r="V44" s="49" t="b">
        <v>0</v>
      </c>
      <c r="W44" s="49" t="str">
        <f>"Character/Prefabs/"&amp;VLOOKUP($C44,'#Data'!$B$3:$I$344,8,FALSE)</f>
        <v>Character/Prefabs/m_m_attacker_trooper_silhouette_inferno_4</v>
      </c>
      <c r="X44" s="49"/>
      <c r="Y44" s="49" t="str">
        <f>VLOOKUP($C44,'#Data'!$B$3:$I$344,8,FALSE)</f>
        <v>m_m_attacker_trooper_silhouette_inferno_4</v>
      </c>
      <c r="Z44" s="49"/>
      <c r="AA44" s="49"/>
      <c r="AB44" s="49"/>
      <c r="AC44" s="89">
        <v>0.8</v>
      </c>
      <c r="AD44" s="49"/>
      <c r="AE44" s="49"/>
      <c r="AF44" s="49"/>
      <c r="AG44" s="49" t="s">
        <v>2104</v>
      </c>
      <c r="AH44" s="85"/>
    </row>
    <row r="45" spans="1:34" x14ac:dyDescent="0.3">
      <c r="A45" s="12">
        <v>1110202201</v>
      </c>
      <c r="B45" s="12" t="s">
        <v>82</v>
      </c>
      <c r="C45" s="12" t="s">
        <v>92</v>
      </c>
      <c r="D45" s="12" t="str">
        <f>"Monster.Name."&amp;VLOOKUP($C45,'#Data'!$B$2:$J$344,2,FALSE)</f>
        <v>Monster.Name.shelter_sweeper_r_1</v>
      </c>
      <c r="E45" s="12" t="s">
        <v>43</v>
      </c>
      <c r="F45" s="39" t="s">
        <v>44</v>
      </c>
      <c r="G45" s="12" t="s">
        <v>45</v>
      </c>
      <c r="H45" s="12" t="b">
        <f>IF(OR(VLOOKUP($C45,'#Data'!$B$2:$J$344,4,FALSE)="보스",VLOOKUP($C45,'#Data'!$B$2:$J$344,4,FALSE)="중간"),TRUE,FALSE)</f>
        <v>1</v>
      </c>
      <c r="I45" s="12" t="b">
        <v>1</v>
      </c>
      <c r="J45" s="12">
        <v>20</v>
      </c>
      <c r="K45" s="12">
        <f>VLOOKUP($A45,쿼리1[[ID]:[열1]],3,FALSE)</f>
        <v>10</v>
      </c>
      <c r="L45" s="63" t="str">
        <f>$B45&amp;"."&amp;VLOOKUP($C45,'#Data'!$B$2:$J$344,2,FALSE)&amp;".attack0"&amp;RIGHT(L$1,1)</f>
        <v>Sector02.shelter_sweeper_r_1.attack01</v>
      </c>
      <c r="M45" s="63"/>
      <c r="N45" s="63"/>
      <c r="O45" s="134" t="str">
        <f>$B45&amp;"."&amp;VLOOKUP($C45,'#Data'!$B$2:$J$344,2,FALSE)&amp;".skill0"&amp;RIGHT(O$1,1)</f>
        <v>Sector02.shelter_sweeper_r_1.skill01</v>
      </c>
      <c r="P45" s="134" t="str">
        <f>$B45&amp;"."&amp;VLOOKUP($C45,'#Data'!$B$2:$J$344,2,FALSE)&amp;".skill0"&amp;RIGHT(P$1,1)</f>
        <v>Sector02.shelter_sweeper_r_1.skill02</v>
      </c>
      <c r="Q45" s="134"/>
      <c r="R45" s="64"/>
      <c r="S45" s="64" t="s">
        <v>2076</v>
      </c>
      <c r="T45" s="64"/>
      <c r="U45" s="64"/>
      <c r="V45" s="12" t="b">
        <v>0</v>
      </c>
      <c r="W45" s="12" t="str">
        <f>"Character/Prefabs/"&amp;VLOOKUP($C45,'#Data'!$B$3:$I$344,8,FALSE)</f>
        <v>Character/Prefabs/m_m_attacker_shelter_sweeper_r_1</v>
      </c>
      <c r="X45" s="12"/>
      <c r="Y45" s="12" t="str">
        <f>VLOOKUP($C45,'#Data'!$B$3:$I$344,8,FALSE)</f>
        <v>m_m_attacker_shelter_sweeper_r_1</v>
      </c>
      <c r="Z45" s="12"/>
      <c r="AA45" s="12"/>
      <c r="AB45" s="12"/>
      <c r="AC45" s="88">
        <v>0.9</v>
      </c>
      <c r="AD45" s="12"/>
      <c r="AE45" s="12"/>
      <c r="AF45" s="12"/>
      <c r="AG45" s="12" t="s">
        <v>2104</v>
      </c>
      <c r="AH45" s="85"/>
    </row>
    <row r="46" spans="1:34" x14ac:dyDescent="0.3">
      <c r="A46" s="12">
        <v>1110202202</v>
      </c>
      <c r="B46" s="12" t="s">
        <v>82</v>
      </c>
      <c r="C46" s="12" t="s">
        <v>93</v>
      </c>
      <c r="D46" s="12" t="str">
        <f>"Monster.Name."&amp;VLOOKUP($C46,'#Data'!$B$2:$J$344,2,FALSE)</f>
        <v>Monster.Name.shelter_sweeper_v_1</v>
      </c>
      <c r="E46" s="12" t="s">
        <v>47</v>
      </c>
      <c r="F46" s="39" t="s">
        <v>44</v>
      </c>
      <c r="G46" s="12" t="s">
        <v>45</v>
      </c>
      <c r="H46" s="12" t="b">
        <f>IF(OR(VLOOKUP($C46,'#Data'!$B$2:$J$344,4,FALSE)="보스",VLOOKUP($C46,'#Data'!$B$2:$J$344,4,FALSE)="중간"),TRUE,FALSE)</f>
        <v>1</v>
      </c>
      <c r="I46" s="12" t="b">
        <v>1</v>
      </c>
      <c r="J46" s="12">
        <v>20</v>
      </c>
      <c r="K46" s="12">
        <f>VLOOKUP($A46,쿼리1[[ID]:[열1]],3,FALSE)</f>
        <v>10</v>
      </c>
      <c r="L46" s="63" t="str">
        <f>$B46&amp;"."&amp;VLOOKUP($C46,'#Data'!$B$2:$J$344,2,FALSE)&amp;".attack0"&amp;RIGHT(L$1,1)</f>
        <v>Sector02.shelter_sweeper_v_1.attack01</v>
      </c>
      <c r="M46" s="63"/>
      <c r="N46" s="63"/>
      <c r="O46" s="134" t="str">
        <f>$B46&amp;"."&amp;VLOOKUP($C46,'#Data'!$B$2:$J$344,2,FALSE)&amp;".skill0"&amp;RIGHT(O$1,1)</f>
        <v>Sector02.shelter_sweeper_v_1.skill01</v>
      </c>
      <c r="P46" s="134" t="str">
        <f>$B46&amp;"."&amp;VLOOKUP($C46,'#Data'!$B$2:$J$344,2,FALSE)&amp;".skill0"&amp;RIGHT(P$1,1)</f>
        <v>Sector02.shelter_sweeper_v_1.skill02</v>
      </c>
      <c r="Q46" s="134"/>
      <c r="R46" s="64"/>
      <c r="S46" s="64" t="s">
        <v>2076</v>
      </c>
      <c r="T46" s="64"/>
      <c r="U46" s="64"/>
      <c r="V46" s="12" t="b">
        <v>0</v>
      </c>
      <c r="W46" s="12" t="str">
        <f>"Character/Prefabs/"&amp;VLOOKUP($C46,'#Data'!$B$3:$I$344,8,FALSE)</f>
        <v>Character/Prefabs/m_m_ranger_shelter_sweeper_v_1</v>
      </c>
      <c r="X46" s="12"/>
      <c r="Y46" s="12" t="str">
        <f>VLOOKUP($C46,'#Data'!$B$3:$I$344,8,FALSE)</f>
        <v>m_m_ranger_shelter_sweeper_v_1</v>
      </c>
      <c r="Z46" s="12"/>
      <c r="AA46" s="12"/>
      <c r="AB46" s="12"/>
      <c r="AC46" s="88">
        <v>0.9</v>
      </c>
      <c r="AD46" s="12"/>
      <c r="AE46" s="12"/>
      <c r="AF46" s="12"/>
      <c r="AG46" s="12" t="s">
        <v>2104</v>
      </c>
      <c r="AH46" s="85"/>
    </row>
    <row r="47" spans="1:34" x14ac:dyDescent="0.3">
      <c r="A47" s="12">
        <v>1110202203</v>
      </c>
      <c r="B47" s="12" t="s">
        <v>82</v>
      </c>
      <c r="C47" s="12" t="s">
        <v>94</v>
      </c>
      <c r="D47" s="12" t="str">
        <f>"Monster.Name."&amp;VLOOKUP($C47,'#Data'!$B$2:$J$344,2,FALSE)</f>
        <v>Monster.Name.shelter_sweeper_g_1</v>
      </c>
      <c r="E47" s="12" t="s">
        <v>58</v>
      </c>
      <c r="F47" s="39" t="s">
        <v>44</v>
      </c>
      <c r="G47" s="12" t="s">
        <v>45</v>
      </c>
      <c r="H47" s="12" t="b">
        <f>IF(OR(VLOOKUP($C47,'#Data'!$B$2:$J$344,4,FALSE)="보스",VLOOKUP($C47,'#Data'!$B$2:$J$344,4,FALSE)="중간"),TRUE,FALSE)</f>
        <v>1</v>
      </c>
      <c r="I47" s="12" t="b">
        <v>1</v>
      </c>
      <c r="J47" s="12">
        <v>20</v>
      </c>
      <c r="K47" s="12">
        <f>VLOOKUP($A47,쿼리1[[ID]:[열1]],3,FALSE)</f>
        <v>10</v>
      </c>
      <c r="L47" s="63" t="str">
        <f>$B47&amp;"."&amp;VLOOKUP($C47,'#Data'!$B$2:$J$344,2,FALSE)&amp;".attack0"&amp;RIGHT(L$1,1)</f>
        <v>Sector02.shelter_sweeper_g_1.attack01</v>
      </c>
      <c r="M47" s="63"/>
      <c r="N47" s="63"/>
      <c r="O47" s="134" t="str">
        <f>$B47&amp;"."&amp;VLOOKUP($C47,'#Data'!$B$2:$J$344,2,FALSE)&amp;".skill0"&amp;RIGHT(O$1,1)</f>
        <v>Sector02.shelter_sweeper_g_1.skill01</v>
      </c>
      <c r="P47" s="134" t="str">
        <f>$B47&amp;"."&amp;VLOOKUP($C47,'#Data'!$B$2:$J$344,2,FALSE)&amp;".skill0"&amp;RIGHT(P$1,1)</f>
        <v>Sector02.shelter_sweeper_g_1.skill02</v>
      </c>
      <c r="Q47" s="134"/>
      <c r="R47" s="64"/>
      <c r="S47" s="64" t="s">
        <v>2076</v>
      </c>
      <c r="T47" s="64"/>
      <c r="U47" s="64"/>
      <c r="V47" s="12" t="b">
        <v>0</v>
      </c>
      <c r="W47" s="12" t="str">
        <f>"Character/Prefabs/"&amp;VLOOKUP($C47,'#Data'!$B$3:$I$344,8,FALSE)</f>
        <v>Character/Prefabs/m_m_tanker_shelter_sweeper_g_1</v>
      </c>
      <c r="X47" s="12"/>
      <c r="Y47" s="12" t="str">
        <f>VLOOKUP($C47,'#Data'!$B$3:$I$344,8,FALSE)</f>
        <v>m_m_tanker_shelter_sweeper_g_1</v>
      </c>
      <c r="Z47" s="12"/>
      <c r="AA47" s="12"/>
      <c r="AB47" s="12"/>
      <c r="AC47" s="88">
        <v>0.9</v>
      </c>
      <c r="AD47" s="12"/>
      <c r="AE47" s="12"/>
      <c r="AF47" s="12"/>
      <c r="AG47" s="12" t="s">
        <v>2104</v>
      </c>
      <c r="AH47" s="85"/>
    </row>
    <row r="48" spans="1:34" x14ac:dyDescent="0.3">
      <c r="A48" s="77">
        <v>1110202301</v>
      </c>
      <c r="B48" s="77" t="s">
        <v>41</v>
      </c>
      <c r="C48" s="77" t="s">
        <v>75</v>
      </c>
      <c r="D48" s="77" t="str">
        <f>"Monster.Name."&amp;VLOOKUP($C48,'#Data'!$B$2:$J$344,2,FALSE)</f>
        <v>Monster.Name.gallius_1</v>
      </c>
      <c r="E48" s="77" t="s">
        <v>58</v>
      </c>
      <c r="F48" s="78" t="s">
        <v>44</v>
      </c>
      <c r="G48" s="77" t="s">
        <v>45</v>
      </c>
      <c r="H48" s="77" t="b">
        <f>IF(OR(VLOOKUP($C48,'#Data'!$B$2:$J$344,4,FALSE)="보스",VLOOKUP($C48,'#Data'!$B$2:$J$344,4,FALSE)="중간"),TRUE,FALSE)</f>
        <v>1</v>
      </c>
      <c r="I48" s="77" t="b">
        <f>IF(OR(VLOOKUP($C48,'#Data'!$B$2:$J$344,4,FALSE)="보스",VLOOKUP($C48,'#Data'!$B$2:$J$344,4,FALSE)="중간"),TRUE,FALSE)</f>
        <v>1</v>
      </c>
      <c r="J48" s="77">
        <v>20</v>
      </c>
      <c r="K48" s="77">
        <f>VLOOKUP($A48,쿼리1[[ID]:[열1]],3,FALSE)</f>
        <v>10</v>
      </c>
      <c r="L48" s="79" t="str">
        <f>$B48&amp;"."&amp;VLOOKUP($C48,'#Data'!$B$2:$J$344,2,FALSE)&amp;".attack0"&amp;RIGHT(L$1,1)</f>
        <v>Sector01.gallius_1.attack01</v>
      </c>
      <c r="M48" s="79"/>
      <c r="N48" s="79"/>
      <c r="O48" s="133" t="str">
        <f>$B48&amp;"."&amp;VLOOKUP($C48,'#Data'!$B$2:$J$344,2,FALSE)&amp;".skill0"&amp;RIGHT(O$1,1)</f>
        <v>Sector01.gallius_1.skill01</v>
      </c>
      <c r="P48" s="133" t="str">
        <f>$B48&amp;"."&amp;VLOOKUP($C48,'#Data'!$B$2:$J$344,2,FALSE)&amp;".skill0"&amp;RIGHT(P$1,1)</f>
        <v>Sector01.gallius_1.skill02</v>
      </c>
      <c r="Q48" s="133" t="s">
        <v>2070</v>
      </c>
      <c r="R48" s="80"/>
      <c r="S48" s="80" t="s">
        <v>76</v>
      </c>
      <c r="T48" s="80"/>
      <c r="U48" s="80"/>
      <c r="V48" s="77" t="b">
        <v>0</v>
      </c>
      <c r="W48" s="77" t="str">
        <f>"Character/Prefabs/"&amp;VLOOKUP($C48,'#Data'!$B$3:$I$344,8,FALSE)</f>
        <v>Character/Prefabs/m_boss_tanker_gallius_1</v>
      </c>
      <c r="X48" s="77"/>
      <c r="Y48" s="77" t="str">
        <f>VLOOKUP($C48,'#Data'!$B$3:$I$344,8,FALSE)</f>
        <v>m_boss_tanker_gallius_1</v>
      </c>
      <c r="Z48" s="77"/>
      <c r="AA48" s="77"/>
      <c r="AB48" s="77"/>
      <c r="AC48" s="87">
        <v>1.1000000000000001</v>
      </c>
      <c r="AD48" s="77"/>
      <c r="AE48" s="77" t="s">
        <v>77</v>
      </c>
      <c r="AF48" s="77" t="s">
        <v>78</v>
      </c>
      <c r="AG48" s="77" t="s">
        <v>2104</v>
      </c>
      <c r="AH48" s="85"/>
    </row>
    <row r="49" spans="1:34" x14ac:dyDescent="0.3">
      <c r="A49" s="77">
        <v>1110202302</v>
      </c>
      <c r="B49" s="77" t="s">
        <v>41</v>
      </c>
      <c r="C49" s="77" t="s">
        <v>79</v>
      </c>
      <c r="D49" s="77" t="str">
        <f>"Monster.Name."&amp;VLOOKUP($C49,'#Data'!$B$2:$J$344,2,FALSE)</f>
        <v>Monster.Name.gallius_2</v>
      </c>
      <c r="E49" s="77" t="s">
        <v>58</v>
      </c>
      <c r="F49" s="78" t="s">
        <v>44</v>
      </c>
      <c r="G49" s="77" t="s">
        <v>45</v>
      </c>
      <c r="H49" s="77" t="b">
        <f>IF(OR(VLOOKUP($C49,'#Data'!$B$2:$J$344,4,FALSE)="보스",VLOOKUP($C49,'#Data'!$B$2:$J$344,4,FALSE)="중간"),TRUE,FALSE)</f>
        <v>1</v>
      </c>
      <c r="I49" s="77" t="b">
        <f>IF(OR(VLOOKUP($C49,'#Data'!$B$2:$J$344,4,FALSE)="보스",VLOOKUP($C49,'#Data'!$B$2:$J$344,4,FALSE)="중간"),TRUE,FALSE)</f>
        <v>1</v>
      </c>
      <c r="J49" s="77">
        <v>20</v>
      </c>
      <c r="K49" s="77">
        <f>VLOOKUP($A49,쿼리1[[ID]:[열1]],3,FALSE)</f>
        <v>10</v>
      </c>
      <c r="L49" s="79" t="str">
        <f>$B49&amp;"."&amp;VLOOKUP($C49,'#Data'!$B$2:$J$344,2,FALSE)&amp;".attack0"&amp;RIGHT(L$1,1)</f>
        <v>Sector01.gallius_2.attack01</v>
      </c>
      <c r="M49" s="79"/>
      <c r="N49" s="79"/>
      <c r="O49" s="133" t="str">
        <f>$B49&amp;"."&amp;VLOOKUP($C49,'#Data'!$B$2:$J$344,2,FALSE)&amp;".skill0"&amp;RIGHT(O$1,1)</f>
        <v>Sector01.gallius_2.skill01</v>
      </c>
      <c r="P49" s="133" t="str">
        <f>$B49&amp;"."&amp;VLOOKUP($C49,'#Data'!$B$2:$J$344,2,FALSE)&amp;".skill0"&amp;RIGHT(P$1,1)</f>
        <v>Sector01.gallius_2.skill02</v>
      </c>
      <c r="Q49" s="133" t="str">
        <f>$B49&amp;"."&amp;VLOOKUP($C49,'#Data'!$B$2:$J$344,2,FALSE)&amp;".skill0"&amp;RIGHT(Q$1,1)</f>
        <v>Sector01.gallius_2.skill03</v>
      </c>
      <c r="R49" s="133" t="s">
        <v>2071</v>
      </c>
      <c r="S49" s="80" t="s">
        <v>76</v>
      </c>
      <c r="T49" s="80"/>
      <c r="U49" s="80"/>
      <c r="V49" s="77" t="b">
        <v>0</v>
      </c>
      <c r="W49" s="77" t="str">
        <f>"Character/Prefabs/"&amp;VLOOKUP($C49,'#Data'!$B$3:$I$344,8,FALSE)</f>
        <v>Character/Prefabs/m_boss_tanker_gallius_2</v>
      </c>
      <c r="X49" s="77"/>
      <c r="Y49" s="77" t="str">
        <f>VLOOKUP($C49,'#Data'!$B$3:$I$344,8,FALSE)</f>
        <v>m_boss_tanker_gallius_2</v>
      </c>
      <c r="Z49" s="77"/>
      <c r="AA49" s="77"/>
      <c r="AB49" s="77"/>
      <c r="AC49" s="87">
        <v>1.1000000000000001</v>
      </c>
      <c r="AD49" s="77"/>
      <c r="AE49" s="77" t="s">
        <v>80</v>
      </c>
      <c r="AF49" s="77" t="s">
        <v>81</v>
      </c>
      <c r="AG49" s="77" t="s">
        <v>2104</v>
      </c>
      <c r="AH49" s="85"/>
    </row>
    <row r="50" spans="1:34" x14ac:dyDescent="0.3">
      <c r="A50" s="41">
        <v>1110203101</v>
      </c>
      <c r="B50" s="41" t="s">
        <v>105</v>
      </c>
      <c r="C50" s="41" t="s">
        <v>106</v>
      </c>
      <c r="D50" s="41" t="str">
        <f>"Monster.Name."&amp;VLOOKUP($C50,'#Data'!$B$2:$J$344,2,FALSE)</f>
        <v>Monster.Name.brain_hunter_1</v>
      </c>
      <c r="E50" s="41" t="s">
        <v>43</v>
      </c>
      <c r="F50" s="42" t="s">
        <v>44</v>
      </c>
      <c r="G50" s="41" t="s">
        <v>45</v>
      </c>
      <c r="H50" s="41" t="b">
        <f>IF(OR(VLOOKUP($C50,'#Data'!$B$2:$J$344,4,FALSE)="보스",VLOOKUP($C50,'#Data'!$B$2:$J$344,4,FALSE)="중간"),TRUE,FALSE)</f>
        <v>0</v>
      </c>
      <c r="I50" s="41" t="b">
        <v>0</v>
      </c>
      <c r="J50" s="41">
        <v>10</v>
      </c>
      <c r="K50" s="41">
        <f>VLOOKUP($A50,쿼리1[[ID]:[열1]],3,FALSE)</f>
        <v>10</v>
      </c>
      <c r="L50" s="67" t="str">
        <f>$B50&amp;"."&amp;VLOOKUP($C50,'#Data'!$B$2:$J$344,2,FALSE)&amp;".attack0"&amp;RIGHT(L$1,1)</f>
        <v>Sector03.brain_hunter_1.attack01</v>
      </c>
      <c r="M50" s="67"/>
      <c r="N50" s="67"/>
      <c r="O50" s="137" t="str">
        <f>$B50&amp;"."&amp;VLOOKUP($C50,'#Data'!$B$2:$J$344,2,FALSE)&amp;".skill0"&amp;RIGHT(O$1,1)</f>
        <v>Sector03.brain_hunter_1.skill01</v>
      </c>
      <c r="P50" s="137"/>
      <c r="Q50" s="137"/>
      <c r="R50" s="68"/>
      <c r="S50" s="68"/>
      <c r="T50" s="68"/>
      <c r="U50" s="68"/>
      <c r="V50" s="41" t="b">
        <v>0</v>
      </c>
      <c r="W50" s="41" t="str">
        <f>"Character/Prefabs/"&amp;VLOOKUP($C50,'#Data'!$B$3:$I$344,8,FALSE)</f>
        <v>Character/Prefabs/m_s_attacker_brain_hunter_1</v>
      </c>
      <c r="X50" s="41"/>
      <c r="Y50" s="41" t="str">
        <f>VLOOKUP($C50,'#Data'!$B$3:$I$344,8,FALSE)</f>
        <v>m_s_attacker_brain_hunter_1</v>
      </c>
      <c r="Z50" s="41"/>
      <c r="AA50" s="41"/>
      <c r="AB50" s="41"/>
      <c r="AC50" s="90">
        <v>0.9</v>
      </c>
      <c r="AD50" s="41"/>
      <c r="AE50" s="41"/>
      <c r="AF50" s="41"/>
      <c r="AG50" s="41" t="s">
        <v>2104</v>
      </c>
      <c r="AH50" s="85"/>
    </row>
    <row r="51" spans="1:34" x14ac:dyDescent="0.3">
      <c r="A51" s="41">
        <v>1110203102</v>
      </c>
      <c r="B51" s="41" t="s">
        <v>105</v>
      </c>
      <c r="C51" s="41" t="s">
        <v>107</v>
      </c>
      <c r="D51" s="41" t="str">
        <f>"Monster.Name."&amp;VLOOKUP($C51,'#Data'!$B$2:$J$344,2,FALSE)</f>
        <v>Monster.Name.infmecha_2</v>
      </c>
      <c r="E51" s="41" t="s">
        <v>43</v>
      </c>
      <c r="F51" s="42" t="s">
        <v>44</v>
      </c>
      <c r="G51" s="41" t="s">
        <v>45</v>
      </c>
      <c r="H51" s="41" t="b">
        <f>IF(OR(VLOOKUP($C51,'#Data'!$B$2:$J$344,4,FALSE)="보스",VLOOKUP($C51,'#Data'!$B$2:$J$344,4,FALSE)="중간"),TRUE,FALSE)</f>
        <v>0</v>
      </c>
      <c r="I51" s="41" t="b">
        <v>0</v>
      </c>
      <c r="J51" s="41">
        <v>10</v>
      </c>
      <c r="K51" s="41">
        <f>VLOOKUP($A51,쿼리1[[ID]:[열1]],3,FALSE)</f>
        <v>10</v>
      </c>
      <c r="L51" s="67" t="str">
        <f>$B51&amp;"."&amp;VLOOKUP($C51,'#Data'!$B$2:$J$344,2,FALSE)&amp;".attack0"&amp;RIGHT(L$1,1)</f>
        <v>Sector03.infmecha_2.attack01</v>
      </c>
      <c r="M51" s="67"/>
      <c r="N51" s="67"/>
      <c r="O51" s="137" t="s">
        <v>2009</v>
      </c>
      <c r="P51" s="137"/>
      <c r="Q51" s="137"/>
      <c r="R51" s="68"/>
      <c r="S51" s="68"/>
      <c r="T51" s="68"/>
      <c r="U51" s="68"/>
      <c r="V51" s="41" t="b">
        <v>0</v>
      </c>
      <c r="W51" s="41" t="str">
        <f>"Character/Prefabs/"&amp;VLOOKUP($C51,'#Data'!$B$3:$I$344,8,FALSE)</f>
        <v>Character/Prefabs/m_s_attacker_infmecha_2</v>
      </c>
      <c r="X51" s="41"/>
      <c r="Y51" s="41" t="str">
        <f>VLOOKUP($C51,'#Data'!$B$3:$I$344,8,FALSE)</f>
        <v>m_s_attacker_infmecha_2</v>
      </c>
      <c r="Z51" s="41"/>
      <c r="AA51" s="41"/>
      <c r="AB51" s="41"/>
      <c r="AC51" s="90">
        <v>0.6</v>
      </c>
      <c r="AD51" s="41"/>
      <c r="AE51" s="41"/>
      <c r="AF51" s="41"/>
      <c r="AG51" s="41" t="s">
        <v>2104</v>
      </c>
      <c r="AH51" s="85"/>
    </row>
    <row r="52" spans="1:34" x14ac:dyDescent="0.3">
      <c r="A52" s="41">
        <v>1110203103</v>
      </c>
      <c r="B52" s="41" t="s">
        <v>105</v>
      </c>
      <c r="C52" s="41" t="s">
        <v>108</v>
      </c>
      <c r="D52" s="41" t="str">
        <f>"Monster.Name."&amp;VLOOKUP($C52,'#Data'!$B$2:$J$344,2,FALSE)</f>
        <v>Monster.Name.core_hunter_1</v>
      </c>
      <c r="E52" s="41" t="s">
        <v>47</v>
      </c>
      <c r="F52" s="42" t="s">
        <v>44</v>
      </c>
      <c r="G52" s="41" t="s">
        <v>45</v>
      </c>
      <c r="H52" s="41" t="b">
        <f>IF(OR(VLOOKUP($C52,'#Data'!$B$2:$J$344,4,FALSE)="보스",VLOOKUP($C52,'#Data'!$B$2:$J$344,4,FALSE)="중간"),TRUE,FALSE)</f>
        <v>0</v>
      </c>
      <c r="I52" s="41" t="b">
        <v>0</v>
      </c>
      <c r="J52" s="41">
        <v>10</v>
      </c>
      <c r="K52" s="41">
        <f>VLOOKUP($A52,쿼리1[[ID]:[열1]],3,FALSE)</f>
        <v>10</v>
      </c>
      <c r="L52" s="67" t="str">
        <f>$B52&amp;"."&amp;VLOOKUP($C52,'#Data'!$B$2:$J$344,2,FALSE)&amp;".attack0"&amp;RIGHT(L$1,1)</f>
        <v>Sector03.core_hunter_1.attack01</v>
      </c>
      <c r="M52" s="67"/>
      <c r="N52" s="67"/>
      <c r="O52" s="137" t="str">
        <f>$B52&amp;"."&amp;VLOOKUP($C52,'#Data'!$B$2:$J$344,2,FALSE)&amp;".skill0"&amp;RIGHT(O$1,1)</f>
        <v>Sector03.core_hunter_1.skill01</v>
      </c>
      <c r="P52" s="137" t="s">
        <v>2010</v>
      </c>
      <c r="Q52" s="137"/>
      <c r="R52" s="68"/>
      <c r="S52" s="68"/>
      <c r="T52" s="68"/>
      <c r="U52" s="68"/>
      <c r="V52" s="41" t="b">
        <v>0</v>
      </c>
      <c r="W52" s="41" t="str">
        <f>"Character/Prefabs/"&amp;VLOOKUP($C52,'#Data'!$B$3:$I$344,8,FALSE)</f>
        <v>Character/Prefabs/m_s_ranger_core_hunter_1</v>
      </c>
      <c r="X52" s="41"/>
      <c r="Y52" s="41" t="str">
        <f>VLOOKUP($C52,'#Data'!$B$3:$I$344,8,FALSE)</f>
        <v>m_s_ranger_core_hunter_1</v>
      </c>
      <c r="Z52" s="41"/>
      <c r="AA52" s="41"/>
      <c r="AB52" s="41"/>
      <c r="AC52" s="90">
        <v>0.9</v>
      </c>
      <c r="AD52" s="41"/>
      <c r="AE52" s="41"/>
      <c r="AF52" s="41"/>
      <c r="AG52" s="41" t="s">
        <v>2104</v>
      </c>
      <c r="AH52" s="85"/>
    </row>
    <row r="53" spans="1:34" x14ac:dyDescent="0.3">
      <c r="A53" s="41">
        <v>1110203104</v>
      </c>
      <c r="B53" s="41" t="s">
        <v>105</v>
      </c>
      <c r="C53" s="41" t="s">
        <v>109</v>
      </c>
      <c r="D53" s="41" t="str">
        <f>"Monster.Name."&amp;VLOOKUP($C53,'#Data'!$B$2:$J$344,2,FALSE)</f>
        <v>Monster.Name.infturret_2</v>
      </c>
      <c r="E53" s="41" t="s">
        <v>47</v>
      </c>
      <c r="F53" s="42" t="s">
        <v>44</v>
      </c>
      <c r="G53" s="41" t="s">
        <v>45</v>
      </c>
      <c r="H53" s="41" t="b">
        <f>IF(OR(VLOOKUP($C53,'#Data'!$B$2:$J$344,4,FALSE)="보스",VLOOKUP($C53,'#Data'!$B$2:$J$344,4,FALSE)="중간"),TRUE,FALSE)</f>
        <v>0</v>
      </c>
      <c r="I53" s="41" t="b">
        <v>0</v>
      </c>
      <c r="J53" s="41">
        <v>10</v>
      </c>
      <c r="K53" s="41">
        <f>VLOOKUP($A53,쿼리1[[ID]:[열1]],3,FALSE)</f>
        <v>10</v>
      </c>
      <c r="L53" s="67" t="str">
        <f>$B53&amp;"."&amp;VLOOKUP($C53,'#Data'!$B$2:$J$344,2,FALSE)&amp;".attack0"&amp;RIGHT(L$1,1)</f>
        <v>Sector03.infturret_2.attack01</v>
      </c>
      <c r="M53" s="67"/>
      <c r="N53" s="67"/>
      <c r="O53" s="137" t="s">
        <v>2011</v>
      </c>
      <c r="P53" s="137"/>
      <c r="Q53" s="137"/>
      <c r="R53" s="68"/>
      <c r="S53" s="68"/>
      <c r="T53" s="68"/>
      <c r="U53" s="68"/>
      <c r="V53" s="41" t="b">
        <v>0</v>
      </c>
      <c r="W53" s="41" t="str">
        <f>"Character/Prefabs/"&amp;VLOOKUP($C53,'#Data'!$B$3:$I$344,8,FALSE)</f>
        <v>Character/Prefabs/m_s_ranger_infturret_2</v>
      </c>
      <c r="X53" s="41"/>
      <c r="Y53" s="41" t="str">
        <f>VLOOKUP($C53,'#Data'!$B$3:$I$344,8,FALSE)</f>
        <v>m_s_ranger_infturret_2</v>
      </c>
      <c r="Z53" s="41"/>
      <c r="AA53" s="41"/>
      <c r="AB53" s="41"/>
      <c r="AC53" s="90">
        <v>0.6</v>
      </c>
      <c r="AD53" s="41"/>
      <c r="AE53" s="41"/>
      <c r="AF53" s="41"/>
      <c r="AG53" s="41" t="s">
        <v>2104</v>
      </c>
      <c r="AH53" s="85"/>
    </row>
    <row r="54" spans="1:34" x14ac:dyDescent="0.3">
      <c r="A54" s="41">
        <v>1110203105</v>
      </c>
      <c r="B54" s="41" t="s">
        <v>105</v>
      </c>
      <c r="C54" s="41" t="s">
        <v>110</v>
      </c>
      <c r="D54" s="41" t="str">
        <f>"Monster.Name."&amp;VLOOKUP($C54,'#Data'!$B$2:$J$344,2,FALSE)</f>
        <v>Monster.Name.infdust_shield_2</v>
      </c>
      <c r="E54" s="41" t="s">
        <v>58</v>
      </c>
      <c r="F54" s="42" t="s">
        <v>44</v>
      </c>
      <c r="G54" s="41" t="s">
        <v>45</v>
      </c>
      <c r="H54" s="41" t="b">
        <f>IF(OR(VLOOKUP($C54,'#Data'!$B$2:$J$344,4,FALSE)="보스",VLOOKUP($C54,'#Data'!$B$2:$J$344,4,FALSE)="중간"),TRUE,FALSE)</f>
        <v>0</v>
      </c>
      <c r="I54" s="41" t="b">
        <v>0</v>
      </c>
      <c r="J54" s="41">
        <v>10</v>
      </c>
      <c r="K54" s="41">
        <f>VLOOKUP($A54,쿼리1[[ID]:[열1]],3,FALSE)</f>
        <v>10</v>
      </c>
      <c r="L54" s="67" t="str">
        <f>$B54&amp;"."&amp;VLOOKUP($C54,'#Data'!$B$2:$J$344,2,FALSE)&amp;".attack0"&amp;RIGHT(L$1,1)</f>
        <v>Sector03.infdust_shield_2.attack01</v>
      </c>
      <c r="M54" s="67"/>
      <c r="N54" s="67"/>
      <c r="O54" s="137" t="str">
        <f>$B54&amp;"."&amp;VLOOKUP($C54,'#Data'!$B$2:$J$344,2,FALSE)&amp;".skill0"&amp;RIGHT(O$1,1)</f>
        <v>Sector03.infdust_shield_2.skill01</v>
      </c>
      <c r="P54" s="137" t="s">
        <v>2012</v>
      </c>
      <c r="Q54" s="137"/>
      <c r="R54" s="68"/>
      <c r="S54" s="68"/>
      <c r="T54" s="68"/>
      <c r="U54" s="68"/>
      <c r="V54" s="41" t="b">
        <v>0</v>
      </c>
      <c r="W54" s="41" t="str">
        <f>"Character/Prefabs/"&amp;VLOOKUP($C54,'#Data'!$B$3:$I$344,8,FALSE)</f>
        <v>Character/Prefabs/m_m_tanker_infdust_shield_2</v>
      </c>
      <c r="X54" s="41"/>
      <c r="Y54" s="41" t="str">
        <f>VLOOKUP($C54,'#Data'!$B$3:$I$344,8,FALSE)</f>
        <v>m_m_tanker_infdust_shield_2</v>
      </c>
      <c r="Z54" s="41"/>
      <c r="AA54" s="41"/>
      <c r="AB54" s="41"/>
      <c r="AC54" s="90">
        <v>0.7</v>
      </c>
      <c r="AD54" s="41"/>
      <c r="AE54" s="41"/>
      <c r="AF54" s="41"/>
      <c r="AG54" s="41" t="s">
        <v>2104</v>
      </c>
      <c r="AH54" s="85"/>
    </row>
    <row r="55" spans="1:34" x14ac:dyDescent="0.3">
      <c r="A55" s="41">
        <v>1110203106</v>
      </c>
      <c r="B55" s="41" t="s">
        <v>105</v>
      </c>
      <c r="C55" s="41" t="s">
        <v>111</v>
      </c>
      <c r="D55" s="41" t="str">
        <f>"Monster.Name."&amp;VLOOKUP($C55,'#Data'!$B$2:$J$344,2,FALSE)</f>
        <v>Monster.Name.infdust_gauntlet_2</v>
      </c>
      <c r="E55" s="41" t="s">
        <v>43</v>
      </c>
      <c r="F55" s="42" t="s">
        <v>44</v>
      </c>
      <c r="G55" s="41" t="s">
        <v>45</v>
      </c>
      <c r="H55" s="41" t="b">
        <f>IF(OR(VLOOKUP($C55,'#Data'!$B$2:$J$344,4,FALSE)="보스",VLOOKUP($C55,'#Data'!$B$2:$J$344,4,FALSE)="중간"),TRUE,FALSE)</f>
        <v>0</v>
      </c>
      <c r="I55" s="41" t="b">
        <v>0</v>
      </c>
      <c r="J55" s="41">
        <v>10</v>
      </c>
      <c r="K55" s="41">
        <f>VLOOKUP($A55,쿼리1[[ID]:[열1]],3,FALSE)</f>
        <v>10</v>
      </c>
      <c r="L55" s="67" t="str">
        <f>$B55&amp;"."&amp;VLOOKUP($C55,'#Data'!$B$2:$J$344,2,FALSE)&amp;".attack0"&amp;RIGHT(L$1,1)</f>
        <v>Sector03.infdust_gauntlet_2.attack01</v>
      </c>
      <c r="M55" s="67"/>
      <c r="N55" s="67"/>
      <c r="O55" s="137" t="str">
        <f>$B55&amp;"."&amp;VLOOKUP($C55,'#Data'!$B$2:$J$344,2,FALSE)&amp;".skill0"&amp;RIGHT(O$1,1)</f>
        <v>Sector03.infdust_gauntlet_2.skill01</v>
      </c>
      <c r="P55" s="137" t="s">
        <v>2013</v>
      </c>
      <c r="Q55" s="137"/>
      <c r="R55" s="68"/>
      <c r="S55" s="68"/>
      <c r="T55" s="68"/>
      <c r="U55" s="68"/>
      <c r="V55" s="41" t="b">
        <v>0</v>
      </c>
      <c r="W55" s="41" t="str">
        <f>"Character/Prefabs/"&amp;VLOOKUP($C55,'#Data'!$B$3:$I$344,8,FALSE)</f>
        <v>Character/Prefabs/m_m_attacker_infdust_gauntlet_2</v>
      </c>
      <c r="X55" s="41"/>
      <c r="Y55" s="41" t="str">
        <f>VLOOKUP($C55,'#Data'!$B$3:$I$344,8,FALSE)</f>
        <v>m_m_attacker_infdust_gauntlet_2</v>
      </c>
      <c r="Z55" s="41"/>
      <c r="AA55" s="41"/>
      <c r="AB55" s="41"/>
      <c r="AC55" s="90">
        <v>0.7</v>
      </c>
      <c r="AD55" s="41"/>
      <c r="AE55" s="41"/>
      <c r="AF55" s="41"/>
      <c r="AG55" s="41" t="s">
        <v>2104</v>
      </c>
      <c r="AH55" s="85"/>
    </row>
    <row r="56" spans="1:34" x14ac:dyDescent="0.3">
      <c r="A56" s="41">
        <v>1110203107</v>
      </c>
      <c r="B56" s="41" t="s">
        <v>105</v>
      </c>
      <c r="C56" s="41" t="s">
        <v>112</v>
      </c>
      <c r="D56" s="41" t="str">
        <f>"Monster.Name."&amp;VLOOKUP($C56,'#Data'!$B$2:$J$344,2,FALSE)</f>
        <v>Monster.Name.infdust_rifle_2</v>
      </c>
      <c r="E56" s="41" t="s">
        <v>47</v>
      </c>
      <c r="F56" s="42" t="s">
        <v>44</v>
      </c>
      <c r="G56" s="41" t="s">
        <v>45</v>
      </c>
      <c r="H56" s="41" t="b">
        <f>IF(OR(VLOOKUP($C56,'#Data'!$B$2:$J$344,4,FALSE)="보스",VLOOKUP($C56,'#Data'!$B$2:$J$344,4,FALSE)="중간"),TRUE,FALSE)</f>
        <v>0</v>
      </c>
      <c r="I56" s="41" t="b">
        <v>0</v>
      </c>
      <c r="J56" s="41">
        <v>10</v>
      </c>
      <c r="K56" s="41">
        <f>VLOOKUP($A56,쿼리1[[ID]:[열1]],3,FALSE)</f>
        <v>10</v>
      </c>
      <c r="L56" s="67" t="str">
        <f>$B56&amp;"."&amp;VLOOKUP($C56,'#Data'!$B$2:$J$344,2,FALSE)&amp;".attack0"&amp;RIGHT(L$1,1)</f>
        <v>Sector03.infdust_rifle_2.attack01</v>
      </c>
      <c r="M56" s="67"/>
      <c r="N56" s="67"/>
      <c r="O56" s="137" t="str">
        <f>$B56&amp;"."&amp;VLOOKUP($C56,'#Data'!$B$2:$J$344,2,FALSE)&amp;".skill0"&amp;RIGHT(O$1,1)</f>
        <v>Sector03.infdust_rifle_2.skill01</v>
      </c>
      <c r="P56" s="137" t="s">
        <v>2014</v>
      </c>
      <c r="Q56" s="137"/>
      <c r="R56" s="68"/>
      <c r="S56" s="68"/>
      <c r="T56" s="68"/>
      <c r="U56" s="68"/>
      <c r="V56" s="41" t="b">
        <v>0</v>
      </c>
      <c r="W56" s="41" t="str">
        <f>"Character/Prefabs/"&amp;VLOOKUP($C56,'#Data'!$B$3:$I$344,8,FALSE)</f>
        <v>Character/Prefabs/m_m_ranger_infdust_rifle_2</v>
      </c>
      <c r="X56" s="41"/>
      <c r="Y56" s="41" t="str">
        <f>VLOOKUP($C56,'#Data'!$B$3:$I$344,8,FALSE)</f>
        <v>m_m_ranger_infdust_rifle_2</v>
      </c>
      <c r="Z56" s="41"/>
      <c r="AA56" s="41"/>
      <c r="AB56" s="41"/>
      <c r="AC56" s="90">
        <v>0.7</v>
      </c>
      <c r="AD56" s="41"/>
      <c r="AE56" s="41"/>
      <c r="AF56" s="41"/>
      <c r="AG56" s="41" t="s">
        <v>2104</v>
      </c>
      <c r="AH56" s="85"/>
    </row>
    <row r="57" spans="1:34" x14ac:dyDescent="0.3">
      <c r="A57" s="41">
        <v>1110203108</v>
      </c>
      <c r="B57" s="41" t="s">
        <v>105</v>
      </c>
      <c r="C57" s="41" t="s">
        <v>113</v>
      </c>
      <c r="D57" s="41" t="str">
        <f>"Monster.Name."&amp;VLOOKUP($C57,'#Data'!$B$2:$J$344,2,FALSE)</f>
        <v>Monster.Name.infdust_launcher_2</v>
      </c>
      <c r="E57" s="41" t="s">
        <v>47</v>
      </c>
      <c r="F57" s="42" t="s">
        <v>44</v>
      </c>
      <c r="G57" s="41" t="s">
        <v>45</v>
      </c>
      <c r="H57" s="41" t="b">
        <f>IF(OR(VLOOKUP($C57,'#Data'!$B$2:$J$344,4,FALSE)="보스",VLOOKUP($C57,'#Data'!$B$2:$J$344,4,FALSE)="중간"),TRUE,FALSE)</f>
        <v>0</v>
      </c>
      <c r="I57" s="41" t="b">
        <v>0</v>
      </c>
      <c r="J57" s="41">
        <v>10</v>
      </c>
      <c r="K57" s="41">
        <f>VLOOKUP($A57,쿼리1[[ID]:[열1]],3,FALSE)</f>
        <v>10</v>
      </c>
      <c r="L57" s="67" t="str">
        <f>$B57&amp;"."&amp;VLOOKUP($C57,'#Data'!$B$2:$J$344,2,FALSE)&amp;".attack0"&amp;RIGHT(L$1,1)</f>
        <v>Sector03.infdust_launcher_2.attack01</v>
      </c>
      <c r="M57" s="67"/>
      <c r="N57" s="67"/>
      <c r="O57" s="137" t="str">
        <f>$B57&amp;"."&amp;VLOOKUP($C57,'#Data'!$B$2:$J$344,2,FALSE)&amp;".skill0"&amp;RIGHT(O$1,1)</f>
        <v>Sector03.infdust_launcher_2.skill01</v>
      </c>
      <c r="P57" s="137" t="s">
        <v>2015</v>
      </c>
      <c r="Q57" s="137"/>
      <c r="R57" s="68"/>
      <c r="S57" s="68"/>
      <c r="T57" s="68"/>
      <c r="U57" s="68"/>
      <c r="V57" s="41" t="b">
        <v>0</v>
      </c>
      <c r="W57" s="41" t="str">
        <f>"Character/Prefabs/"&amp;VLOOKUP($C57,'#Data'!$B$3:$I$344,8,FALSE)</f>
        <v>Character/Prefabs/m_m_ranger_infdust_launcher_2</v>
      </c>
      <c r="X57" s="41"/>
      <c r="Y57" s="41" t="str">
        <f>VLOOKUP($C57,'#Data'!$B$3:$I$344,8,FALSE)</f>
        <v>m_m_ranger_infdust_launcher_2</v>
      </c>
      <c r="Z57" s="41"/>
      <c r="AA57" s="41"/>
      <c r="AB57" s="41"/>
      <c r="AC57" s="90">
        <v>0.7</v>
      </c>
      <c r="AD57" s="41"/>
      <c r="AE57" s="41"/>
      <c r="AF57" s="41"/>
      <c r="AG57" s="41" t="s">
        <v>2104</v>
      </c>
      <c r="AH57" s="85"/>
    </row>
    <row r="58" spans="1:34" x14ac:dyDescent="0.3">
      <c r="A58" s="41">
        <v>1110203109</v>
      </c>
      <c r="B58" s="41" t="s">
        <v>105</v>
      </c>
      <c r="C58" s="41" t="s">
        <v>114</v>
      </c>
      <c r="D58" s="41" t="str">
        <f>"Monster.Name."&amp;VLOOKUP($C58,'#Data'!$B$2:$J$344,2,FALSE)</f>
        <v>Monster.Name.head_snatcher_1</v>
      </c>
      <c r="E58" s="41" t="s">
        <v>43</v>
      </c>
      <c r="F58" s="42" t="s">
        <v>44</v>
      </c>
      <c r="G58" s="41" t="s">
        <v>45</v>
      </c>
      <c r="H58" s="41" t="b">
        <f>IF(OR(VLOOKUP($C58,'#Data'!$B$2:$J$344,4,FALSE)="보스",VLOOKUP($C58,'#Data'!$B$2:$J$344,4,FALSE)="중간"),TRUE,FALSE)</f>
        <v>0</v>
      </c>
      <c r="I58" s="41" t="b">
        <v>0</v>
      </c>
      <c r="J58" s="41">
        <v>10</v>
      </c>
      <c r="K58" s="41">
        <f>VLOOKUP($A58,쿼리1[[ID]:[열1]],3,FALSE)</f>
        <v>10</v>
      </c>
      <c r="L58" s="67" t="str">
        <f>$B58&amp;"."&amp;VLOOKUP($C58,'#Data'!$B$2:$J$344,2,FALSE)&amp;".attack0"&amp;RIGHT(L$1,1)</f>
        <v>Sector03.head_snatcher_1.attack01</v>
      </c>
      <c r="M58" s="67"/>
      <c r="N58" s="67"/>
      <c r="O58" s="137" t="str">
        <f>$B58&amp;"."&amp;VLOOKUP($C58,'#Data'!$B$2:$J$344,2,FALSE)&amp;".skill0"&amp;RIGHT(O$1,1)</f>
        <v>Sector03.head_snatcher_1.skill01</v>
      </c>
      <c r="P58" s="137" t="s">
        <v>2016</v>
      </c>
      <c r="Q58" s="137"/>
      <c r="R58" s="68"/>
      <c r="S58" s="68"/>
      <c r="T58" s="68"/>
      <c r="U58" s="68"/>
      <c r="V58" s="41" t="b">
        <v>0</v>
      </c>
      <c r="W58" s="41" t="str">
        <f>"Character/Prefabs/"&amp;VLOOKUP($C58,'#Data'!$B$3:$I$344,8,FALSE)</f>
        <v>Character/Prefabs/m_m_attacker_head_snatcher_1</v>
      </c>
      <c r="X58" s="41"/>
      <c r="Y58" s="41" t="str">
        <f>VLOOKUP($C58,'#Data'!$B$3:$I$344,8,FALSE)</f>
        <v>m_m_attacker_head_snatcher_1</v>
      </c>
      <c r="Z58" s="41"/>
      <c r="AA58" s="41"/>
      <c r="AB58" s="41"/>
      <c r="AC58" s="90">
        <v>0.7</v>
      </c>
      <c r="AD58" s="41"/>
      <c r="AE58" s="41"/>
      <c r="AF58" s="41"/>
      <c r="AG58" s="41" t="s">
        <v>2104</v>
      </c>
      <c r="AH58" s="85"/>
    </row>
    <row r="59" spans="1:34" x14ac:dyDescent="0.3">
      <c r="A59" s="41">
        <v>1110203110</v>
      </c>
      <c r="B59" s="41" t="s">
        <v>105</v>
      </c>
      <c r="C59" s="41" t="s">
        <v>115</v>
      </c>
      <c r="D59" s="41" t="str">
        <f>"Monster.Name."&amp;VLOOKUP($C59,'#Data'!$B$2:$J$344,2,FALSE)</f>
        <v>Monster.Name.core_snatcher_1</v>
      </c>
      <c r="E59" s="41" t="s">
        <v>47</v>
      </c>
      <c r="F59" s="42" t="s">
        <v>44</v>
      </c>
      <c r="G59" s="41" t="s">
        <v>45</v>
      </c>
      <c r="H59" s="41" t="b">
        <f>IF(OR(VLOOKUP($C59,'#Data'!$B$2:$J$344,4,FALSE)="보스",VLOOKUP($C59,'#Data'!$B$2:$J$344,4,FALSE)="중간"),TRUE,FALSE)</f>
        <v>0</v>
      </c>
      <c r="I59" s="41" t="b">
        <v>0</v>
      </c>
      <c r="J59" s="41">
        <v>10</v>
      </c>
      <c r="K59" s="41">
        <f>VLOOKUP($A59,쿼리1[[ID]:[열1]],3,FALSE)</f>
        <v>10</v>
      </c>
      <c r="L59" s="67" t="str">
        <f>$B59&amp;"."&amp;VLOOKUP($C59,'#Data'!$B$2:$J$344,2,FALSE)&amp;".attack0"&amp;RIGHT(L$1,1)</f>
        <v>Sector03.core_snatcher_1.attack01</v>
      </c>
      <c r="M59" s="67"/>
      <c r="N59" s="67"/>
      <c r="O59" s="137" t="str">
        <f>$B59&amp;"."&amp;VLOOKUP($C59,'#Data'!$B$2:$J$344,2,FALSE)&amp;".skill0"&amp;RIGHT(O$1,1)</f>
        <v>Sector03.core_snatcher_1.skill01</v>
      </c>
      <c r="P59" s="137" t="s">
        <v>2017</v>
      </c>
      <c r="Q59" s="137"/>
      <c r="R59" s="68"/>
      <c r="S59" s="68"/>
      <c r="T59" s="68"/>
      <c r="U59" s="68"/>
      <c r="V59" s="41" t="b">
        <v>0</v>
      </c>
      <c r="W59" s="41" t="str">
        <f>"Character/Prefabs/"&amp;VLOOKUP($C59,'#Data'!$B$3:$I$344,8,FALSE)</f>
        <v>Character/Prefabs/m_m_ranger_core_snatcher_1</v>
      </c>
      <c r="X59" s="41"/>
      <c r="Y59" s="41" t="str">
        <f>VLOOKUP($C59,'#Data'!$B$3:$I$344,8,FALSE)</f>
        <v>m_m_ranger_core_snatcher_1</v>
      </c>
      <c r="Z59" s="41"/>
      <c r="AA59" s="41"/>
      <c r="AB59" s="41"/>
      <c r="AC59" s="90">
        <v>0.7</v>
      </c>
      <c r="AD59" s="41"/>
      <c r="AE59" s="41"/>
      <c r="AF59" s="41"/>
      <c r="AG59" s="41" t="s">
        <v>2104</v>
      </c>
      <c r="AH59" s="85"/>
    </row>
    <row r="60" spans="1:34" x14ac:dyDescent="0.3">
      <c r="A60" s="19">
        <v>1110203111</v>
      </c>
      <c r="B60" s="19" t="s">
        <v>105</v>
      </c>
      <c r="C60" s="19" t="s">
        <v>1241</v>
      </c>
      <c r="D60" s="19" t="str">
        <f>"Monster.Name."&amp;VLOOKUP($C60,'#Data'!$B$2:$J$344,2,FALSE)</f>
        <v>Monster.Name.brain_hunter_2</v>
      </c>
      <c r="E60" s="19" t="s">
        <v>43</v>
      </c>
      <c r="F60" s="48" t="s">
        <v>44</v>
      </c>
      <c r="G60" s="19" t="s">
        <v>45</v>
      </c>
      <c r="H60" s="19" t="b">
        <f>IF(OR(VLOOKUP($C60,'#Data'!$B$2:$J$344,4,FALSE)="보스",VLOOKUP($C60,'#Data'!$B$2:$J$344,4,FALSE)="중간"),TRUE,FALSE)</f>
        <v>0</v>
      </c>
      <c r="I60" s="19" t="b">
        <v>0</v>
      </c>
      <c r="J60" s="19">
        <v>10</v>
      </c>
      <c r="K60" s="19">
        <f>VLOOKUP($A60,쿼리1[[ID]:[열1]],3,FALSE)</f>
        <v>10</v>
      </c>
      <c r="L60" s="69" t="s">
        <v>1332</v>
      </c>
      <c r="M60" s="69"/>
      <c r="N60" s="69"/>
      <c r="O60" s="138"/>
      <c r="P60" s="138"/>
      <c r="Q60" s="138"/>
      <c r="R60" s="70"/>
      <c r="S60" s="70"/>
      <c r="T60" s="70"/>
      <c r="U60" s="70"/>
      <c r="V60" s="19" t="b">
        <v>0</v>
      </c>
      <c r="W60" s="19" t="str">
        <f>"Character/Prefabs/"&amp;VLOOKUP($C60,'#Data'!$B$3:$I$344,8,FALSE)</f>
        <v>Character/Prefabs/m_s_attacker_brain_hunter_2</v>
      </c>
      <c r="X60" s="19"/>
      <c r="Y60" s="19" t="str">
        <f>VLOOKUP($C60,'#Data'!$B$3:$I$344,8,FALSE)</f>
        <v>m_s_attacker_brain_hunter_2</v>
      </c>
      <c r="Z60" s="19"/>
      <c r="AA60" s="19"/>
      <c r="AB60" s="19"/>
      <c r="AC60" s="91">
        <v>0.9</v>
      </c>
      <c r="AD60" s="19"/>
      <c r="AE60" s="19"/>
      <c r="AF60" s="19"/>
      <c r="AG60" s="19" t="s">
        <v>2104</v>
      </c>
      <c r="AH60" s="85"/>
    </row>
    <row r="61" spans="1:34" x14ac:dyDescent="0.3">
      <c r="A61" s="19">
        <v>1110203112</v>
      </c>
      <c r="B61" s="19" t="s">
        <v>105</v>
      </c>
      <c r="C61" s="19" t="s">
        <v>1243</v>
      </c>
      <c r="D61" s="19" t="str">
        <f>"Monster.Name."&amp;VLOOKUP($C61,'#Data'!$B$2:$J$344,2,FALSE)</f>
        <v>Monster.Name.infmecha_3</v>
      </c>
      <c r="E61" s="19" t="s">
        <v>43</v>
      </c>
      <c r="F61" s="48" t="s">
        <v>44</v>
      </c>
      <c r="G61" s="19" t="s">
        <v>45</v>
      </c>
      <c r="H61" s="19" t="b">
        <f>IF(OR(VLOOKUP($C61,'#Data'!$B$2:$J$344,4,FALSE)="보스",VLOOKUP($C61,'#Data'!$B$2:$J$344,4,FALSE)="중간"),TRUE,FALSE)</f>
        <v>0</v>
      </c>
      <c r="I61" s="19" t="b">
        <v>0</v>
      </c>
      <c r="J61" s="19">
        <v>10</v>
      </c>
      <c r="K61" s="19">
        <f>VLOOKUP($A61,쿼리1[[ID]:[열1]],3,FALSE)</f>
        <v>10</v>
      </c>
      <c r="L61" s="69" t="s">
        <v>1333</v>
      </c>
      <c r="M61" s="69"/>
      <c r="N61" s="69"/>
      <c r="O61" s="138" t="s">
        <v>2009</v>
      </c>
      <c r="P61" s="138"/>
      <c r="Q61" s="138"/>
      <c r="R61" s="70"/>
      <c r="S61" s="70"/>
      <c r="T61" s="70"/>
      <c r="U61" s="70"/>
      <c r="V61" s="19" t="b">
        <v>0</v>
      </c>
      <c r="W61" s="19" t="str">
        <f>"Character/Prefabs/"&amp;VLOOKUP($C61,'#Data'!$B$3:$I$344,8,FALSE)</f>
        <v>Character/Prefabs/m_s_attacker_infmecha_3</v>
      </c>
      <c r="X61" s="19"/>
      <c r="Y61" s="19" t="str">
        <f>VLOOKUP($C61,'#Data'!$B$3:$I$344,8,FALSE)</f>
        <v>m_s_attacker_infmecha_3</v>
      </c>
      <c r="Z61" s="19"/>
      <c r="AA61" s="19"/>
      <c r="AB61" s="19"/>
      <c r="AC61" s="91">
        <v>0.6</v>
      </c>
      <c r="AD61" s="19"/>
      <c r="AE61" s="19"/>
      <c r="AF61" s="19"/>
      <c r="AG61" s="19" t="s">
        <v>2104</v>
      </c>
      <c r="AH61" s="85"/>
    </row>
    <row r="62" spans="1:34" x14ac:dyDescent="0.3">
      <c r="A62" s="19">
        <v>1110203113</v>
      </c>
      <c r="B62" s="19" t="s">
        <v>105</v>
      </c>
      <c r="C62" s="19" t="s">
        <v>1245</v>
      </c>
      <c r="D62" s="19" t="str">
        <f>"Monster.Name."&amp;VLOOKUP($C62,'#Data'!$B$2:$J$344,2,FALSE)</f>
        <v>Monster.Name.core_hunter_2</v>
      </c>
      <c r="E62" s="19" t="s">
        <v>47</v>
      </c>
      <c r="F62" s="48" t="s">
        <v>44</v>
      </c>
      <c r="G62" s="19" t="s">
        <v>45</v>
      </c>
      <c r="H62" s="19" t="b">
        <f>IF(OR(VLOOKUP($C62,'#Data'!$B$2:$J$344,4,FALSE)="보스",VLOOKUP($C62,'#Data'!$B$2:$J$344,4,FALSE)="중간"),TRUE,FALSE)</f>
        <v>0</v>
      </c>
      <c r="I62" s="19" t="b">
        <v>0</v>
      </c>
      <c r="J62" s="19">
        <v>10</v>
      </c>
      <c r="K62" s="19">
        <f>VLOOKUP($A62,쿼리1[[ID]:[열1]],3,FALSE)</f>
        <v>10</v>
      </c>
      <c r="L62" s="69" t="s">
        <v>1334</v>
      </c>
      <c r="M62" s="69"/>
      <c r="N62" s="69"/>
      <c r="O62" s="138" t="s">
        <v>2010</v>
      </c>
      <c r="P62" s="138"/>
      <c r="Q62" s="138"/>
      <c r="R62" s="70"/>
      <c r="S62" s="70"/>
      <c r="T62" s="70"/>
      <c r="U62" s="70"/>
      <c r="V62" s="19" t="b">
        <v>0</v>
      </c>
      <c r="W62" s="19" t="str">
        <f>"Character/Prefabs/"&amp;VLOOKUP($C62,'#Data'!$B$3:$I$344,8,FALSE)</f>
        <v>Character/Prefabs/m_s_ranger_core_hunter_2</v>
      </c>
      <c r="X62" s="19"/>
      <c r="Y62" s="19" t="str">
        <f>VLOOKUP($C62,'#Data'!$B$3:$I$344,8,FALSE)</f>
        <v>m_s_ranger_core_hunter_2</v>
      </c>
      <c r="Z62" s="19"/>
      <c r="AA62" s="19"/>
      <c r="AB62" s="19"/>
      <c r="AC62" s="91">
        <v>0.9</v>
      </c>
      <c r="AD62" s="19"/>
      <c r="AE62" s="19"/>
      <c r="AF62" s="19"/>
      <c r="AG62" s="19" t="s">
        <v>2104</v>
      </c>
      <c r="AH62" s="85"/>
    </row>
    <row r="63" spans="1:34" x14ac:dyDescent="0.3">
      <c r="A63" s="19">
        <v>1110203114</v>
      </c>
      <c r="B63" s="19" t="s">
        <v>105</v>
      </c>
      <c r="C63" s="19" t="s">
        <v>1247</v>
      </c>
      <c r="D63" s="19" t="str">
        <f>"Monster.Name."&amp;VLOOKUP($C63,'#Data'!$B$2:$J$344,2,FALSE)</f>
        <v>Monster.Name.infturret_3</v>
      </c>
      <c r="E63" s="19" t="s">
        <v>47</v>
      </c>
      <c r="F63" s="48" t="s">
        <v>44</v>
      </c>
      <c r="G63" s="19" t="s">
        <v>45</v>
      </c>
      <c r="H63" s="19" t="b">
        <f>IF(OR(VLOOKUP($C63,'#Data'!$B$2:$J$344,4,FALSE)="보스",VLOOKUP($C63,'#Data'!$B$2:$J$344,4,FALSE)="중간"),TRUE,FALSE)</f>
        <v>0</v>
      </c>
      <c r="I63" s="19" t="b">
        <v>0</v>
      </c>
      <c r="J63" s="19">
        <v>10</v>
      </c>
      <c r="K63" s="19">
        <f>VLOOKUP($A63,쿼리1[[ID]:[열1]],3,FALSE)</f>
        <v>10</v>
      </c>
      <c r="L63" s="69" t="s">
        <v>1335</v>
      </c>
      <c r="M63" s="69"/>
      <c r="N63" s="69"/>
      <c r="O63" s="138" t="s">
        <v>2011</v>
      </c>
      <c r="P63" s="138"/>
      <c r="Q63" s="138"/>
      <c r="R63" s="70"/>
      <c r="S63" s="70"/>
      <c r="T63" s="70"/>
      <c r="U63" s="70"/>
      <c r="V63" s="19" t="b">
        <v>0</v>
      </c>
      <c r="W63" s="19" t="str">
        <f>"Character/Prefabs/"&amp;VLOOKUP($C63,'#Data'!$B$3:$I$344,8,FALSE)</f>
        <v>Character/Prefabs/m_s_ranger_infturret_3</v>
      </c>
      <c r="X63" s="19"/>
      <c r="Y63" s="19" t="str">
        <f>VLOOKUP($C63,'#Data'!$B$3:$I$344,8,FALSE)</f>
        <v>m_s_ranger_infturret_3</v>
      </c>
      <c r="Z63" s="19"/>
      <c r="AA63" s="19"/>
      <c r="AB63" s="19"/>
      <c r="AC63" s="91">
        <v>0.6</v>
      </c>
      <c r="AD63" s="19"/>
      <c r="AE63" s="19"/>
      <c r="AF63" s="19"/>
      <c r="AG63" s="19" t="s">
        <v>2104</v>
      </c>
      <c r="AH63" s="85"/>
    </row>
    <row r="64" spans="1:34" x14ac:dyDescent="0.3">
      <c r="A64" s="19">
        <v>1110203115</v>
      </c>
      <c r="B64" s="19" t="s">
        <v>105</v>
      </c>
      <c r="C64" s="19" t="s">
        <v>1249</v>
      </c>
      <c r="D64" s="19" t="str">
        <f>"Monster.Name."&amp;VLOOKUP($C64,'#Data'!$B$2:$J$344,2,FALSE)</f>
        <v>Monster.Name.infdust_shield_3</v>
      </c>
      <c r="E64" s="19" t="s">
        <v>58</v>
      </c>
      <c r="F64" s="48" t="s">
        <v>44</v>
      </c>
      <c r="G64" s="19" t="s">
        <v>45</v>
      </c>
      <c r="H64" s="19" t="b">
        <f>IF(OR(VLOOKUP($C64,'#Data'!$B$2:$J$344,4,FALSE)="보스",VLOOKUP($C64,'#Data'!$B$2:$J$344,4,FALSE)="중간"),TRUE,FALSE)</f>
        <v>0</v>
      </c>
      <c r="I64" s="19" t="b">
        <v>0</v>
      </c>
      <c r="J64" s="19">
        <v>10</v>
      </c>
      <c r="K64" s="19">
        <f>VLOOKUP($A64,쿼리1[[ID]:[열1]],3,FALSE)</f>
        <v>10</v>
      </c>
      <c r="L64" s="69" t="s">
        <v>1336</v>
      </c>
      <c r="M64" s="69"/>
      <c r="N64" s="69"/>
      <c r="O64" s="138" t="s">
        <v>1342</v>
      </c>
      <c r="P64" s="138" t="s">
        <v>2012</v>
      </c>
      <c r="Q64" s="138"/>
      <c r="R64" s="70"/>
      <c r="S64" s="70"/>
      <c r="T64" s="70"/>
      <c r="U64" s="70"/>
      <c r="V64" s="19" t="b">
        <v>0</v>
      </c>
      <c r="W64" s="19" t="str">
        <f>"Character/Prefabs/"&amp;VLOOKUP($C64,'#Data'!$B$3:$I$344,8,FALSE)</f>
        <v>Character/Prefabs/m_m_tanker_infdust_shield_3</v>
      </c>
      <c r="X64" s="19"/>
      <c r="Y64" s="19" t="str">
        <f>VLOOKUP($C64,'#Data'!$B$3:$I$344,8,FALSE)</f>
        <v>m_m_tanker_infdust_shield_3</v>
      </c>
      <c r="Z64" s="19"/>
      <c r="AA64" s="19"/>
      <c r="AB64" s="19"/>
      <c r="AC64" s="91">
        <v>0.7</v>
      </c>
      <c r="AD64" s="19"/>
      <c r="AE64" s="19"/>
      <c r="AF64" s="19"/>
      <c r="AG64" s="19" t="s">
        <v>2104</v>
      </c>
      <c r="AH64" s="85"/>
    </row>
    <row r="65" spans="1:36" x14ac:dyDescent="0.3">
      <c r="A65" s="19">
        <v>1110203116</v>
      </c>
      <c r="B65" s="19" t="s">
        <v>105</v>
      </c>
      <c r="C65" s="19" t="s">
        <v>1251</v>
      </c>
      <c r="D65" s="19" t="str">
        <f>"Monster.Name."&amp;VLOOKUP($C65,'#Data'!$B$2:$J$344,2,FALSE)</f>
        <v>Monster.Name.infdust_gauntlet_3</v>
      </c>
      <c r="E65" s="19" t="s">
        <v>43</v>
      </c>
      <c r="F65" s="48" t="s">
        <v>44</v>
      </c>
      <c r="G65" s="19" t="s">
        <v>45</v>
      </c>
      <c r="H65" s="19" t="b">
        <f>IF(OR(VLOOKUP($C65,'#Data'!$B$2:$J$344,4,FALSE)="보스",VLOOKUP($C65,'#Data'!$B$2:$J$344,4,FALSE)="중간"),TRUE,FALSE)</f>
        <v>0</v>
      </c>
      <c r="I65" s="19" t="b">
        <v>0</v>
      </c>
      <c r="J65" s="19">
        <v>10</v>
      </c>
      <c r="K65" s="19">
        <f>VLOOKUP($A65,쿼리1[[ID]:[열1]],3,FALSE)</f>
        <v>10</v>
      </c>
      <c r="L65" s="69" t="s">
        <v>1337</v>
      </c>
      <c r="M65" s="69"/>
      <c r="N65" s="69"/>
      <c r="O65" s="138" t="s">
        <v>1343</v>
      </c>
      <c r="P65" s="138" t="s">
        <v>2013</v>
      </c>
      <c r="Q65" s="138"/>
      <c r="R65" s="70"/>
      <c r="S65" s="70"/>
      <c r="T65" s="70"/>
      <c r="U65" s="70"/>
      <c r="V65" s="19" t="b">
        <v>0</v>
      </c>
      <c r="W65" s="19" t="str">
        <f>"Character/Prefabs/"&amp;VLOOKUP($C65,'#Data'!$B$3:$I$344,8,FALSE)</f>
        <v>Character/Prefabs/m_m_attacker_infdust_gauntlet_3</v>
      </c>
      <c r="X65" s="19"/>
      <c r="Y65" s="19" t="str">
        <f>VLOOKUP($C65,'#Data'!$B$3:$I$344,8,FALSE)</f>
        <v>m_m_attacker_infdust_gauntlet_3</v>
      </c>
      <c r="Z65" s="19"/>
      <c r="AA65" s="19"/>
      <c r="AB65" s="19"/>
      <c r="AC65" s="91">
        <v>0.7</v>
      </c>
      <c r="AD65" s="19"/>
      <c r="AE65" s="19"/>
      <c r="AF65" s="19"/>
      <c r="AG65" s="19" t="s">
        <v>2104</v>
      </c>
      <c r="AH65" s="85"/>
    </row>
    <row r="66" spans="1:36" x14ac:dyDescent="0.3">
      <c r="A66" s="19">
        <v>1110203117</v>
      </c>
      <c r="B66" s="19" t="s">
        <v>105</v>
      </c>
      <c r="C66" s="19" t="s">
        <v>1253</v>
      </c>
      <c r="D66" s="19" t="str">
        <f>"Monster.Name."&amp;VLOOKUP($C66,'#Data'!$B$2:$J$344,2,FALSE)</f>
        <v>Monster.Name.infdust_rifle_3</v>
      </c>
      <c r="E66" s="19" t="s">
        <v>47</v>
      </c>
      <c r="F66" s="48" t="s">
        <v>44</v>
      </c>
      <c r="G66" s="19" t="s">
        <v>45</v>
      </c>
      <c r="H66" s="19" t="b">
        <f>IF(OR(VLOOKUP($C66,'#Data'!$B$2:$J$344,4,FALSE)="보스",VLOOKUP($C66,'#Data'!$B$2:$J$344,4,FALSE)="중간"),TRUE,FALSE)</f>
        <v>0</v>
      </c>
      <c r="I66" s="19" t="b">
        <v>0</v>
      </c>
      <c r="J66" s="19">
        <v>10</v>
      </c>
      <c r="K66" s="19">
        <f>VLOOKUP($A66,쿼리1[[ID]:[열1]],3,FALSE)</f>
        <v>10</v>
      </c>
      <c r="L66" s="69" t="s">
        <v>1338</v>
      </c>
      <c r="M66" s="69"/>
      <c r="N66" s="69"/>
      <c r="O66" s="138" t="s">
        <v>1344</v>
      </c>
      <c r="P66" s="138" t="s">
        <v>2014</v>
      </c>
      <c r="Q66" s="138"/>
      <c r="R66" s="70"/>
      <c r="S66" s="70"/>
      <c r="T66" s="70"/>
      <c r="U66" s="70"/>
      <c r="V66" s="19" t="b">
        <v>0</v>
      </c>
      <c r="W66" s="19" t="str">
        <f>"Character/Prefabs/"&amp;VLOOKUP($C66,'#Data'!$B$3:$I$344,8,FALSE)</f>
        <v>Character/Prefabs/m_m_ranger_infdust_rifle_3</v>
      </c>
      <c r="X66" s="19"/>
      <c r="Y66" s="19" t="str">
        <f>VLOOKUP($C66,'#Data'!$B$3:$I$344,8,FALSE)</f>
        <v>m_m_ranger_infdust_rifle_3</v>
      </c>
      <c r="Z66" s="19"/>
      <c r="AA66" s="19"/>
      <c r="AB66" s="19"/>
      <c r="AC66" s="91">
        <v>0.7</v>
      </c>
      <c r="AD66" s="19"/>
      <c r="AE66" s="19"/>
      <c r="AF66" s="19"/>
      <c r="AG66" s="19" t="s">
        <v>2104</v>
      </c>
      <c r="AH66" s="85"/>
    </row>
    <row r="67" spans="1:36" x14ac:dyDescent="0.3">
      <c r="A67" s="19">
        <v>1110203118</v>
      </c>
      <c r="B67" s="19" t="s">
        <v>105</v>
      </c>
      <c r="C67" s="19" t="s">
        <v>1255</v>
      </c>
      <c r="D67" s="19" t="str">
        <f>"Monster.Name."&amp;VLOOKUP($C67,'#Data'!$B$2:$J$344,2,FALSE)</f>
        <v>Monster.Name.infdust_launcher_3</v>
      </c>
      <c r="E67" s="19" t="s">
        <v>47</v>
      </c>
      <c r="F67" s="48" t="s">
        <v>44</v>
      </c>
      <c r="G67" s="19" t="s">
        <v>45</v>
      </c>
      <c r="H67" s="19" t="b">
        <f>IF(OR(VLOOKUP($C67,'#Data'!$B$2:$J$344,4,FALSE)="보스",VLOOKUP($C67,'#Data'!$B$2:$J$344,4,FALSE)="중간"),TRUE,FALSE)</f>
        <v>0</v>
      </c>
      <c r="I67" s="19" t="b">
        <v>0</v>
      </c>
      <c r="J67" s="19">
        <v>10</v>
      </c>
      <c r="K67" s="19">
        <f>VLOOKUP($A67,쿼리1[[ID]:[열1]],3,FALSE)</f>
        <v>10</v>
      </c>
      <c r="L67" s="69" t="s">
        <v>1339</v>
      </c>
      <c r="M67" s="69"/>
      <c r="N67" s="69"/>
      <c r="O67" s="138" t="s">
        <v>1345</v>
      </c>
      <c r="P67" s="138" t="s">
        <v>2015</v>
      </c>
      <c r="Q67" s="138"/>
      <c r="R67" s="70"/>
      <c r="S67" s="70"/>
      <c r="T67" s="70"/>
      <c r="U67" s="70"/>
      <c r="V67" s="19" t="b">
        <v>0</v>
      </c>
      <c r="W67" s="19" t="str">
        <f>"Character/Prefabs/"&amp;VLOOKUP($C67,'#Data'!$B$3:$I$344,8,FALSE)</f>
        <v>Character/Prefabs/m_m_ranger_infdust_launcher_3</v>
      </c>
      <c r="X67" s="19"/>
      <c r="Y67" s="19" t="str">
        <f>VLOOKUP($C67,'#Data'!$B$3:$I$344,8,FALSE)</f>
        <v>m_m_ranger_infdust_launcher_3</v>
      </c>
      <c r="Z67" s="19"/>
      <c r="AA67" s="19"/>
      <c r="AB67" s="19"/>
      <c r="AC67" s="91">
        <v>0.7</v>
      </c>
      <c r="AD67" s="19"/>
      <c r="AE67" s="19"/>
      <c r="AF67" s="19"/>
      <c r="AG67" s="19" t="s">
        <v>2104</v>
      </c>
      <c r="AH67" s="85"/>
    </row>
    <row r="68" spans="1:36" x14ac:dyDescent="0.3">
      <c r="A68" s="19">
        <v>1110203119</v>
      </c>
      <c r="B68" s="19" t="s">
        <v>105</v>
      </c>
      <c r="C68" s="19" t="s">
        <v>1257</v>
      </c>
      <c r="D68" s="19" t="str">
        <f>"Monster.Name."&amp;VLOOKUP($C68,'#Data'!$B$2:$J$344,2,FALSE)</f>
        <v>Monster.Name.head_snatcher_2</v>
      </c>
      <c r="E68" s="19" t="s">
        <v>43</v>
      </c>
      <c r="F68" s="48" t="s">
        <v>44</v>
      </c>
      <c r="G68" s="19" t="s">
        <v>45</v>
      </c>
      <c r="H68" s="19" t="b">
        <f>IF(OR(VLOOKUP($C68,'#Data'!$B$2:$J$344,4,FALSE)="보스",VLOOKUP($C68,'#Data'!$B$2:$J$344,4,FALSE)="중간"),TRUE,FALSE)</f>
        <v>0</v>
      </c>
      <c r="I68" s="19" t="b">
        <v>0</v>
      </c>
      <c r="J68" s="19">
        <v>10</v>
      </c>
      <c r="K68" s="19">
        <f>VLOOKUP($A68,쿼리1[[ID]:[열1]],3,FALSE)</f>
        <v>10</v>
      </c>
      <c r="L68" s="69" t="s">
        <v>1340</v>
      </c>
      <c r="M68" s="69"/>
      <c r="N68" s="69"/>
      <c r="O68" s="138" t="s">
        <v>1346</v>
      </c>
      <c r="P68" s="138" t="s">
        <v>2016</v>
      </c>
      <c r="Q68" s="138"/>
      <c r="R68" s="70"/>
      <c r="S68" s="70"/>
      <c r="T68" s="70"/>
      <c r="U68" s="70"/>
      <c r="V68" s="19" t="b">
        <v>0</v>
      </c>
      <c r="W68" s="19" t="str">
        <f>"Character/Prefabs/"&amp;VLOOKUP($C68,'#Data'!$B$3:$I$344,8,FALSE)</f>
        <v>Character/Prefabs/m_m_attacker_head_snatcher_2</v>
      </c>
      <c r="X68" s="19"/>
      <c r="Y68" s="19" t="str">
        <f>VLOOKUP($C68,'#Data'!$B$3:$I$344,8,FALSE)</f>
        <v>m_m_attacker_head_snatcher_2</v>
      </c>
      <c r="Z68" s="19"/>
      <c r="AA68" s="19"/>
      <c r="AB68" s="19"/>
      <c r="AC68" s="91">
        <v>0.7</v>
      </c>
      <c r="AD68" s="19"/>
      <c r="AE68" s="19"/>
      <c r="AF68" s="19"/>
      <c r="AG68" s="19" t="s">
        <v>2104</v>
      </c>
      <c r="AH68" s="85"/>
    </row>
    <row r="69" spans="1:36" x14ac:dyDescent="0.3">
      <c r="A69" s="19">
        <v>1110203120</v>
      </c>
      <c r="B69" s="19" t="s">
        <v>105</v>
      </c>
      <c r="C69" s="19" t="s">
        <v>1259</v>
      </c>
      <c r="D69" s="19" t="str">
        <f>"Monster.Name."&amp;VLOOKUP($C69,'#Data'!$B$2:$J$344,2,FALSE)</f>
        <v>Monster.Name.core_snatcher_2</v>
      </c>
      <c r="E69" s="19" t="s">
        <v>47</v>
      </c>
      <c r="F69" s="48" t="s">
        <v>44</v>
      </c>
      <c r="G69" s="19" t="s">
        <v>45</v>
      </c>
      <c r="H69" s="19" t="b">
        <f>IF(OR(VLOOKUP($C69,'#Data'!$B$2:$J$344,4,FALSE)="보스",VLOOKUP($C69,'#Data'!$B$2:$J$344,4,FALSE)="중간"),TRUE,FALSE)</f>
        <v>0</v>
      </c>
      <c r="I69" s="19" t="b">
        <v>0</v>
      </c>
      <c r="J69" s="19">
        <v>10</v>
      </c>
      <c r="K69" s="19">
        <f>VLOOKUP($A69,쿼리1[[ID]:[열1]],3,FALSE)</f>
        <v>10</v>
      </c>
      <c r="L69" s="69" t="s">
        <v>1341</v>
      </c>
      <c r="M69" s="69"/>
      <c r="N69" s="69"/>
      <c r="O69" s="138" t="s">
        <v>1347</v>
      </c>
      <c r="P69" s="138" t="s">
        <v>2017</v>
      </c>
      <c r="Q69" s="138"/>
      <c r="R69" s="70"/>
      <c r="S69" s="70"/>
      <c r="T69" s="70"/>
      <c r="U69" s="70"/>
      <c r="V69" s="19" t="b">
        <v>0</v>
      </c>
      <c r="W69" s="19" t="str">
        <f>"Character/Prefabs/"&amp;VLOOKUP($C69,'#Data'!$B$3:$I$344,8,FALSE)</f>
        <v>Character/Prefabs/m_m_ranger_core_snatcher_2</v>
      </c>
      <c r="X69" s="19"/>
      <c r="Y69" s="19" t="str">
        <f>VLOOKUP($C69,'#Data'!$B$3:$I$344,8,FALSE)</f>
        <v>m_m_ranger_core_snatcher_2</v>
      </c>
      <c r="Z69" s="19"/>
      <c r="AA69" s="19"/>
      <c r="AB69" s="19"/>
      <c r="AC69" s="91">
        <v>0.7</v>
      </c>
      <c r="AD69" s="19"/>
      <c r="AE69" s="19"/>
      <c r="AF69" s="19"/>
      <c r="AG69" s="19" t="s">
        <v>2104</v>
      </c>
      <c r="AH69" s="85"/>
    </row>
    <row r="70" spans="1:36" x14ac:dyDescent="0.3">
      <c r="A70" s="41">
        <v>1110203201</v>
      </c>
      <c r="B70" s="41" t="s">
        <v>105</v>
      </c>
      <c r="C70" s="41" t="s">
        <v>116</v>
      </c>
      <c r="D70" s="41" t="str">
        <f>"Monster.Name."&amp;VLOOKUP($C70,'#Data'!$B$2:$J$344,2,FALSE)</f>
        <v>Monster.Name.grima_alpha_1</v>
      </c>
      <c r="E70" s="41" t="s">
        <v>43</v>
      </c>
      <c r="F70" s="42" t="s">
        <v>44</v>
      </c>
      <c r="G70" s="41" t="s">
        <v>45</v>
      </c>
      <c r="H70" s="41" t="b">
        <f>IF(OR(VLOOKUP($C70,'#Data'!$B$2:$J$344,4,FALSE)="보스",VLOOKUP($C70,'#Data'!$B$2:$J$344,4,FALSE)="중간"),TRUE,FALSE)</f>
        <v>1</v>
      </c>
      <c r="I70" s="41" t="b">
        <v>1</v>
      </c>
      <c r="J70" s="41">
        <v>20</v>
      </c>
      <c r="K70" s="41">
        <f>VLOOKUP($A70,쿼리1[[ID]:[열1]],3,FALSE)</f>
        <v>10</v>
      </c>
      <c r="L70" s="67" t="str">
        <f>$B70&amp;"."&amp;VLOOKUP($C70,'#Data'!$B$2:$J$344,2,FALSE)&amp;".attack0"&amp;RIGHT(L$1,1)</f>
        <v>Sector03.grima_alpha_1.attack01</v>
      </c>
      <c r="M70" s="67"/>
      <c r="N70" s="67"/>
      <c r="O70" s="137" t="str">
        <f>$B70&amp;"."&amp;VLOOKUP($C70,'#Data'!$B$2:$J$344,2,FALSE)&amp;".skill0"&amp;RIGHT(O$1,1)</f>
        <v>Sector03.grima_alpha_1.skill01</v>
      </c>
      <c r="P70" s="137" t="str">
        <f>$B70&amp;"."&amp;VLOOKUP($C70,'#Data'!$B$2:$J$344,2,FALSE)&amp;".skill0"&amp;RIGHT(P$1,1)</f>
        <v>Sector03.grima_alpha_1.skill02</v>
      </c>
      <c r="Q70" s="137" t="str">
        <f>$B70&amp;"."&amp;VLOOKUP($C70,'#Data'!$B$2:$J$344,2,FALSE)&amp;".skill0"&amp;RIGHT(Q$1,1)</f>
        <v>Sector03.grima_alpha_1.skill03</v>
      </c>
      <c r="R70" s="68"/>
      <c r="S70" s="68" t="s">
        <v>2076</v>
      </c>
      <c r="T70" s="68"/>
      <c r="U70" s="68"/>
      <c r="V70" s="41" t="b">
        <v>0</v>
      </c>
      <c r="W70" s="41" t="str">
        <f>"Character/Prefabs/"&amp;VLOOKUP($C70,'#Data'!$B$3:$I$344,8,FALSE)</f>
        <v>Character/Prefabs/m_l_attacker_grima_alpha_1</v>
      </c>
      <c r="X70" s="41"/>
      <c r="Y70" s="41" t="str">
        <f>VLOOKUP($C70,'#Data'!$B$3:$I$344,8,FALSE)</f>
        <v>m_l_attacker_grima_alpha_1</v>
      </c>
      <c r="Z70" s="41"/>
      <c r="AA70" s="41"/>
      <c r="AB70" s="41"/>
      <c r="AC70" s="90">
        <v>0.9</v>
      </c>
      <c r="AD70" s="41"/>
      <c r="AE70" s="41"/>
      <c r="AF70" s="41"/>
      <c r="AG70" s="41" t="s">
        <v>2104</v>
      </c>
      <c r="AH70" s="85"/>
    </row>
    <row r="71" spans="1:36" x14ac:dyDescent="0.3">
      <c r="A71" s="41">
        <v>1110203202</v>
      </c>
      <c r="B71" s="41" t="s">
        <v>105</v>
      </c>
      <c r="C71" s="41" t="s">
        <v>117</v>
      </c>
      <c r="D71" s="41" t="str">
        <f>"Monster.Name."&amp;VLOOKUP($C71,'#Data'!$B$2:$J$344,2,FALSE)</f>
        <v>Monster.Name.draindermis_1</v>
      </c>
      <c r="E71" s="41" t="s">
        <v>47</v>
      </c>
      <c r="F71" s="42" t="s">
        <v>44</v>
      </c>
      <c r="G71" s="41" t="s">
        <v>45</v>
      </c>
      <c r="H71" s="41" t="b">
        <f>IF(OR(VLOOKUP($C71,'#Data'!$B$2:$J$344,4,FALSE)="보스",VLOOKUP($C71,'#Data'!$B$2:$J$344,4,FALSE)="중간"),TRUE,FALSE)</f>
        <v>1</v>
      </c>
      <c r="I71" s="41" t="b">
        <v>1</v>
      </c>
      <c r="J71" s="41">
        <v>20</v>
      </c>
      <c r="K71" s="41">
        <f>VLOOKUP($A71,쿼리1[[ID]:[열1]],3,FALSE)</f>
        <v>10</v>
      </c>
      <c r="L71" s="67" t="str">
        <f>$B71&amp;"."&amp;VLOOKUP($C71,'#Data'!$B$2:$J$344,2,FALSE)&amp;".attack0"&amp;RIGHT(L$1,1)</f>
        <v>Sector03.draindermis_1.attack01</v>
      </c>
      <c r="M71" s="67"/>
      <c r="N71" s="67"/>
      <c r="O71" s="137" t="str">
        <f>$B71&amp;"."&amp;VLOOKUP($C71,'#Data'!$B$2:$J$344,2,FALSE)&amp;".skill0"&amp;RIGHT(O$1,1)</f>
        <v>Sector03.draindermis_1.skill01</v>
      </c>
      <c r="P71" s="137" t="str">
        <f>$B71&amp;"."&amp;VLOOKUP($C71,'#Data'!$B$2:$J$344,2,FALSE)&amp;".skill0"&amp;RIGHT(P$1,1)</f>
        <v>Sector03.draindermis_1.skill02</v>
      </c>
      <c r="Q71" s="137" t="str">
        <f>$B71&amp;"."&amp;VLOOKUP($C71,'#Data'!$B$2:$J$344,2,FALSE)&amp;".skill0"&amp;RIGHT(Q$1,1)</f>
        <v>Sector03.draindermis_1.skill03</v>
      </c>
      <c r="R71" s="68"/>
      <c r="S71" s="68" t="s">
        <v>2076</v>
      </c>
      <c r="T71" s="68"/>
      <c r="U71" s="68"/>
      <c r="V71" s="41" t="b">
        <v>0</v>
      </c>
      <c r="W71" s="41" t="str">
        <f>"Character/Prefabs/"&amp;VLOOKUP($C71,'#Data'!$B$3:$I$344,8,FALSE)</f>
        <v>Character/Prefabs/m_l_ranger_draindermis_1</v>
      </c>
      <c r="X71" s="41"/>
      <c r="Y71" s="41" t="str">
        <f>VLOOKUP($C71,'#Data'!$B$3:$I$344,8,FALSE)</f>
        <v>m_l_ranger_draindermis_1</v>
      </c>
      <c r="Z71" s="41"/>
      <c r="AA71" s="41"/>
      <c r="AB71" s="41"/>
      <c r="AC71" s="90">
        <v>0.9</v>
      </c>
      <c r="AD71" s="41"/>
      <c r="AE71" s="41"/>
      <c r="AF71" s="41"/>
      <c r="AG71" s="41" t="s">
        <v>2104</v>
      </c>
      <c r="AH71" s="85"/>
    </row>
    <row r="72" spans="1:36" x14ac:dyDescent="0.3">
      <c r="A72" s="41">
        <v>1110203203</v>
      </c>
      <c r="B72" s="41" t="s">
        <v>105</v>
      </c>
      <c r="C72" s="41" t="s">
        <v>118</v>
      </c>
      <c r="D72" s="41" t="str">
        <f>"Monster.Name."&amp;VLOOKUP($C72,'#Data'!$B$2:$J$344,2,FALSE)</f>
        <v>Monster.Name.grima_beta_1</v>
      </c>
      <c r="E72" s="41" t="s">
        <v>43</v>
      </c>
      <c r="F72" s="42" t="s">
        <v>44</v>
      </c>
      <c r="G72" s="41" t="s">
        <v>45</v>
      </c>
      <c r="H72" s="41" t="b">
        <f>IF(OR(VLOOKUP($C72,'#Data'!$B$2:$J$344,4,FALSE)="보스",VLOOKUP($C72,'#Data'!$B$2:$J$344,4,FALSE)="중간"),TRUE,FALSE)</f>
        <v>1</v>
      </c>
      <c r="I72" s="41" t="b">
        <v>1</v>
      </c>
      <c r="J72" s="41">
        <v>20</v>
      </c>
      <c r="K72" s="41">
        <f>VLOOKUP($A72,쿼리1[[ID]:[열1]],3,FALSE)</f>
        <v>10</v>
      </c>
      <c r="L72" s="67" t="str">
        <f>$B72&amp;"."&amp;VLOOKUP($C72,'#Data'!$B$2:$J$344,2,FALSE)&amp;".attack0"&amp;RIGHT(L$1,1)</f>
        <v>Sector03.grima_beta_1.attack01</v>
      </c>
      <c r="M72" s="67"/>
      <c r="N72" s="67"/>
      <c r="O72" s="137" t="str">
        <f>$B72&amp;"."&amp;VLOOKUP($C72,'#Data'!$B$2:$J$344,2,FALSE)&amp;".skill0"&amp;RIGHT(O$1,1)</f>
        <v>Sector03.grima_beta_1.skill01</v>
      </c>
      <c r="P72" s="137" t="str">
        <f>$B72&amp;"."&amp;VLOOKUP($C72,'#Data'!$B$2:$J$344,2,FALSE)&amp;".skill0"&amp;RIGHT(P$1,1)</f>
        <v>Sector03.grima_beta_1.skill02</v>
      </c>
      <c r="Q72" s="137" t="str">
        <f>$B72&amp;"."&amp;VLOOKUP($C72,'#Data'!$B$2:$J$344,2,FALSE)&amp;".skill0"&amp;RIGHT(Q$1,1)</f>
        <v>Sector03.grima_beta_1.skill03</v>
      </c>
      <c r="R72" s="68"/>
      <c r="S72" s="68" t="s">
        <v>2076</v>
      </c>
      <c r="T72" s="68"/>
      <c r="U72" s="68"/>
      <c r="V72" s="41" t="b">
        <v>0</v>
      </c>
      <c r="W72" s="41" t="str">
        <f>"Character/Prefabs/"&amp;VLOOKUP($C72,'#Data'!$B$3:$I$344,8,FALSE)</f>
        <v>Character/Prefabs/m_l_attacker_grima_beta_1</v>
      </c>
      <c r="X72" s="41"/>
      <c r="Y72" s="41" t="str">
        <f>VLOOKUP($C72,'#Data'!$B$3:$I$344,8,FALSE)</f>
        <v>m_l_attacker_grima_beta_1</v>
      </c>
      <c r="Z72" s="41"/>
      <c r="AA72" s="41"/>
      <c r="AB72" s="41"/>
      <c r="AC72" s="90">
        <v>0.9</v>
      </c>
      <c r="AD72" s="41"/>
      <c r="AE72" s="41"/>
      <c r="AF72" s="41"/>
      <c r="AG72" s="41" t="s">
        <v>2104</v>
      </c>
      <c r="AH72" s="85"/>
    </row>
    <row r="73" spans="1:36" x14ac:dyDescent="0.3">
      <c r="A73" s="23">
        <v>1110203301</v>
      </c>
      <c r="B73" s="23" t="s">
        <v>105</v>
      </c>
      <c r="C73" s="23" t="s">
        <v>119</v>
      </c>
      <c r="D73" s="23" t="str">
        <f>"Monster.Name."&amp;VLOOKUP($C73,'#Data'!$B$2:$J$344,2,FALSE)</f>
        <v>Monster.Name.theomega_1</v>
      </c>
      <c r="E73" s="23" t="s">
        <v>58</v>
      </c>
      <c r="F73" s="24" t="s">
        <v>44</v>
      </c>
      <c r="G73" s="23" t="s">
        <v>45</v>
      </c>
      <c r="H73" s="23" t="b">
        <f>IF(OR(VLOOKUP($C73,'#Data'!$B$2:$J$344,4,FALSE)="보스",VLOOKUP($C73,'#Data'!$B$2:$J$344,4,FALSE)="중간"),TRUE,FALSE)</f>
        <v>1</v>
      </c>
      <c r="I73" s="23" t="b">
        <v>1</v>
      </c>
      <c r="J73" s="23">
        <v>30</v>
      </c>
      <c r="K73" s="23">
        <f>VLOOKUP($A73,쿼리1[[ID]:[열1]],3,FALSE)</f>
        <v>10</v>
      </c>
      <c r="L73" s="115" t="str">
        <f>$B73&amp;"."&amp;VLOOKUP($C73,'#Data'!$B$2:$J$344,2,FALSE)&amp;".attack0"&amp;RIGHT(L$1,1)</f>
        <v>Sector03.theomega_1.attack01</v>
      </c>
      <c r="M73" s="115"/>
      <c r="N73" s="115"/>
      <c r="O73" s="139" t="str">
        <f>$B73&amp;"."&amp;VLOOKUP($C73,'#Data'!$B$2:$J$344,2,FALSE)&amp;".skill0"&amp;RIGHT(O$1,1)</f>
        <v>Sector03.theomega_1.skill01</v>
      </c>
      <c r="P73" s="139" t="str">
        <f>$B73&amp;"."&amp;VLOOKUP($C73,'#Data'!$B$2:$J$344,2,FALSE)&amp;".skill0"&amp;RIGHT(P$1,1)</f>
        <v>Sector03.theomega_1.skill02</v>
      </c>
      <c r="Q73" s="139" t="str">
        <f>$B73&amp;"."&amp;VLOOKUP($C73,'#Data'!$B$2:$J$344,2,FALSE)&amp;".skill0"&amp;RIGHT(Q$1,1)</f>
        <v>Sector03.theomega_1.skill03</v>
      </c>
      <c r="R73" s="116" t="s">
        <v>120</v>
      </c>
      <c r="S73" s="116" t="s">
        <v>76</v>
      </c>
      <c r="T73" s="116"/>
      <c r="U73" s="116"/>
      <c r="V73" s="23" t="b">
        <v>0</v>
      </c>
      <c r="W73" s="23" t="str">
        <f>"Character/Prefabs/"&amp;VLOOKUP($C73,'#Data'!$B$3:$I$344,8,FALSE)</f>
        <v>Character/Prefabs/m_boss_attacker_theomega_1</v>
      </c>
      <c r="X73" s="23"/>
      <c r="Y73" s="23" t="str">
        <f>VLOOKUP($C73,'#Data'!$B$3:$I$344,8,FALSE)</f>
        <v>m_boss_attacker_theomega_1</v>
      </c>
      <c r="Z73" s="23"/>
      <c r="AA73" s="23"/>
      <c r="AB73" s="23"/>
      <c r="AC73" s="98">
        <v>0.9</v>
      </c>
      <c r="AD73" s="23"/>
      <c r="AE73" s="23" t="s">
        <v>121</v>
      </c>
      <c r="AF73" s="23" t="s">
        <v>122</v>
      </c>
      <c r="AG73" s="23" t="s">
        <v>2104</v>
      </c>
      <c r="AH73" s="85"/>
    </row>
    <row r="74" spans="1:36" x14ac:dyDescent="0.3">
      <c r="A74" s="23">
        <v>1110203302</v>
      </c>
      <c r="B74" s="23" t="s">
        <v>105</v>
      </c>
      <c r="C74" s="23" t="s">
        <v>123</v>
      </c>
      <c r="D74" s="23" t="str">
        <f>"Monster.Name."&amp;VLOOKUP($C74,'#Data'!$B$2:$J$344,2,FALSE)</f>
        <v>Monster.Name.theomega_3</v>
      </c>
      <c r="E74" s="23" t="s">
        <v>58</v>
      </c>
      <c r="F74" s="24" t="s">
        <v>44</v>
      </c>
      <c r="G74" s="23" t="s">
        <v>45</v>
      </c>
      <c r="H74" s="23" t="b">
        <f>IF(OR(VLOOKUP($C74,'#Data'!$B$2:$J$344,4,FALSE)="보스",VLOOKUP($C74,'#Data'!$B$2:$J$344,4,FALSE)="중간"),TRUE,FALSE)</f>
        <v>1</v>
      </c>
      <c r="I74" s="23" t="b">
        <v>1</v>
      </c>
      <c r="J74" s="23">
        <v>30</v>
      </c>
      <c r="K74" s="23">
        <f>VLOOKUP($A74,쿼리1[[ID]:[열1]],3,FALSE)</f>
        <v>10</v>
      </c>
      <c r="L74" s="115" t="str">
        <f>$B74&amp;"."&amp;VLOOKUP($C74,'#Data'!$B$2:$J$344,2,FALSE)&amp;".attack0"&amp;RIGHT(L$1,1)</f>
        <v>Sector03.theomega_3.attack01</v>
      </c>
      <c r="M74" s="115" t="str">
        <f>$B74&amp;"."&amp;VLOOKUP($C74,'#Data'!$B$2:$J$344,2,FALSE)&amp;".attack0"&amp;RIGHT(M$1,1)</f>
        <v>Sector03.theomega_3.attack02</v>
      </c>
      <c r="N74" s="115"/>
      <c r="O74" s="139" t="str">
        <f>$B74&amp;"."&amp;VLOOKUP($C74,'#Data'!$B$2:$J$344,2,FALSE)&amp;".skill0"&amp;RIGHT(O$1,1)</f>
        <v>Sector03.theomega_3.skill01</v>
      </c>
      <c r="P74" s="139" t="str">
        <f>$B74&amp;"."&amp;VLOOKUP($C74,'#Data'!$B$2:$J$344,2,FALSE)&amp;".skill0"&amp;RIGHT(P$1,1)</f>
        <v>Sector03.theomega_3.skill02</v>
      </c>
      <c r="Q74" s="139" t="str">
        <f>$B74&amp;"."&amp;VLOOKUP($C74,'#Data'!$B$2:$J$344,2,FALSE)&amp;".skill0"&amp;RIGHT(Q$1,1)</f>
        <v>Sector03.theomega_3.skill03</v>
      </c>
      <c r="R74" s="116" t="str">
        <f>$B74&amp;"."&amp;VLOOKUP($C74,'#Data'!$B$2:$J$344,2,FALSE)&amp;".skill0"&amp;RIGHT(R$1,1)</f>
        <v>Sector03.theomega_3.skill04</v>
      </c>
      <c r="S74" s="116" t="s">
        <v>124</v>
      </c>
      <c r="T74" s="116"/>
      <c r="U74" s="116"/>
      <c r="V74" s="23" t="b">
        <v>0</v>
      </c>
      <c r="W74" s="23" t="str">
        <f>"Character/Prefabs/"&amp;VLOOKUP($C74,'#Data'!$B$3:$I$344,8,FALSE)</f>
        <v>Character/Prefabs/m_boss_attacker_theomega_3</v>
      </c>
      <c r="X74" s="23"/>
      <c r="Y74" s="23" t="str">
        <f>VLOOKUP($C74,'#Data'!$B$3:$I$344,8,FALSE)</f>
        <v>m_boss_attacker_theomega_3</v>
      </c>
      <c r="Z74" s="23"/>
      <c r="AA74" s="23"/>
      <c r="AB74" s="23"/>
      <c r="AC74" s="98">
        <v>0.9</v>
      </c>
      <c r="AD74" s="23"/>
      <c r="AE74" s="23" t="s">
        <v>1211</v>
      </c>
      <c r="AF74" s="23" t="s">
        <v>1871</v>
      </c>
      <c r="AG74" s="23" t="s">
        <v>2104</v>
      </c>
      <c r="AH74" s="85"/>
    </row>
    <row r="75" spans="1:36" s="159" customFormat="1" x14ac:dyDescent="0.3">
      <c r="A75" s="154">
        <v>1110204101</v>
      </c>
      <c r="B75" s="154" t="s">
        <v>125</v>
      </c>
      <c r="C75" s="154" t="s">
        <v>126</v>
      </c>
      <c r="D75" s="154" t="str">
        <f>"Monster.Name."&amp;VLOOKUP($C75,'#Data'!$B$2:$J$344,2,FALSE)</f>
        <v>Monster.Name.friendly_walking_eyeball_1</v>
      </c>
      <c r="E75" s="154" t="s">
        <v>47</v>
      </c>
      <c r="F75" s="44" t="s">
        <v>44</v>
      </c>
      <c r="G75" s="154" t="s">
        <v>45</v>
      </c>
      <c r="H75" s="154" t="b">
        <f>IF(OR(VLOOKUP($C75,'#Data'!$B$2:$J$344,4,FALSE)="보스",VLOOKUP($C75,'#Data'!$B$2:$J$344,4,FALSE)="중간"),TRUE,FALSE)</f>
        <v>0</v>
      </c>
      <c r="I75" s="154" t="b">
        <v>0</v>
      </c>
      <c r="J75" s="154">
        <v>10</v>
      </c>
      <c r="K75" s="154">
        <f>VLOOKUP($A75,쿼리1[[ID]:[열1]],3,FALSE)</f>
        <v>10</v>
      </c>
      <c r="L75" s="155" t="str">
        <f>$B75&amp;"."&amp;VLOOKUP($C75,'#Data'!$B$2:$J$344,2,FALSE)&amp;".attack0"&amp;RIGHT(L$1,1)</f>
        <v>Sector04.friendly_walking_eyeball_1.attack01</v>
      </c>
      <c r="M75" s="155"/>
      <c r="N75" s="155"/>
      <c r="O75" s="140" t="s">
        <v>2019</v>
      </c>
      <c r="P75" s="140"/>
      <c r="Q75" s="140"/>
      <c r="R75" s="72"/>
      <c r="S75" s="72"/>
      <c r="T75" s="72"/>
      <c r="U75" s="72"/>
      <c r="V75" s="154" t="b">
        <v>0</v>
      </c>
      <c r="W75" s="154" t="str">
        <f>"Character/Prefabs/"&amp;VLOOKUP($C75,'#Data'!$B$3:$I$344,8,FALSE)</f>
        <v>Character/Prefabs/m_s_ranger_friendly_walking_eyeball_1</v>
      </c>
      <c r="X75" s="154"/>
      <c r="Y75" s="154" t="str">
        <f>VLOOKUP($C75,'#Data'!$B$3:$I$344,8,FALSE)</f>
        <v>m_s_ranger_friendly_walking_eyeball_1</v>
      </c>
      <c r="Z75" s="154"/>
      <c r="AA75" s="154"/>
      <c r="AB75" s="154"/>
      <c r="AC75" s="156">
        <v>1.2</v>
      </c>
      <c r="AD75" s="154"/>
      <c r="AE75" s="154"/>
      <c r="AF75" s="154"/>
      <c r="AG75" s="154" t="s">
        <v>2104</v>
      </c>
      <c r="AH75" s="158"/>
      <c r="AI75" s="157"/>
      <c r="AJ75" s="157"/>
    </row>
    <row r="76" spans="1:36" s="159" customFormat="1" x14ac:dyDescent="0.3">
      <c r="A76" s="154">
        <v>1110204102</v>
      </c>
      <c r="B76" s="154" t="s">
        <v>125</v>
      </c>
      <c r="C76" s="154" t="s">
        <v>130</v>
      </c>
      <c r="D76" s="154" t="str">
        <f>"Monster.Name."&amp;VLOOKUP($C76,'#Data'!$B$2:$J$344,2,FALSE)</f>
        <v>Monster.Name.friendly_patrol_1</v>
      </c>
      <c r="E76" s="154" t="s">
        <v>43</v>
      </c>
      <c r="F76" s="44" t="s">
        <v>44</v>
      </c>
      <c r="G76" s="154" t="s">
        <v>45</v>
      </c>
      <c r="H76" s="154" t="b">
        <f>IF(OR(VLOOKUP($C76,'#Data'!$B$2:$J$344,4,FALSE)="보스",VLOOKUP($C76,'#Data'!$B$2:$J$344,4,FALSE)="중간"),TRUE,FALSE)</f>
        <v>0</v>
      </c>
      <c r="I76" s="154" t="b">
        <v>0</v>
      </c>
      <c r="J76" s="154">
        <v>10</v>
      </c>
      <c r="K76" s="154">
        <f>VLOOKUP($A76,쿼리1[[ID]:[열1]],3,FALSE)</f>
        <v>10</v>
      </c>
      <c r="L76" s="155" t="str">
        <f>$B76&amp;"."&amp;VLOOKUP($C76,'#Data'!$B$2:$J$344,2,FALSE)&amp;".attack0"&amp;RIGHT(L$1,1)</f>
        <v>Sector04.friendly_patrol_1.attack01</v>
      </c>
      <c r="M76" s="155"/>
      <c r="N76" s="155"/>
      <c r="O76" s="140" t="s">
        <v>2020</v>
      </c>
      <c r="P76" s="140"/>
      <c r="Q76" s="140"/>
      <c r="R76" s="72"/>
      <c r="S76" s="72"/>
      <c r="T76" s="72"/>
      <c r="U76" s="72"/>
      <c r="V76" s="154" t="b">
        <v>0</v>
      </c>
      <c r="W76" s="154" t="str">
        <f>"Character/Prefabs/"&amp;VLOOKUP($C76,'#Data'!$B$3:$I$344,8,FALSE)</f>
        <v>Character/Prefabs/m_s_attacker_friendly_patrol_1</v>
      </c>
      <c r="X76" s="154"/>
      <c r="Y76" s="154" t="str">
        <f>VLOOKUP($C76,'#Data'!$B$3:$I$344,8,FALSE)</f>
        <v>m_s_attacker_friendly_patrol_1</v>
      </c>
      <c r="Z76" s="154"/>
      <c r="AA76" s="154"/>
      <c r="AB76" s="154"/>
      <c r="AC76" s="156">
        <v>1</v>
      </c>
      <c r="AD76" s="154"/>
      <c r="AE76" s="154"/>
      <c r="AF76" s="154"/>
      <c r="AG76" s="154" t="s">
        <v>2104</v>
      </c>
      <c r="AH76" s="158"/>
      <c r="AI76" s="157"/>
      <c r="AJ76" s="157"/>
    </row>
    <row r="77" spans="1:36" s="159" customFormat="1" x14ac:dyDescent="0.3">
      <c r="A77" s="154">
        <v>1110204103</v>
      </c>
      <c r="B77" s="154" t="s">
        <v>125</v>
      </c>
      <c r="C77" s="154" t="s">
        <v>134</v>
      </c>
      <c r="D77" s="154" t="str">
        <f>"Monster.Name."&amp;VLOOKUP($C77,'#Data'!$B$2:$J$344,2,FALSE)</f>
        <v>Monster.Name.friendly_walking_eyeball_2</v>
      </c>
      <c r="E77" s="154" t="s">
        <v>47</v>
      </c>
      <c r="F77" s="44" t="s">
        <v>44</v>
      </c>
      <c r="G77" s="154" t="s">
        <v>45</v>
      </c>
      <c r="H77" s="154" t="b">
        <f>IF(OR(VLOOKUP($C77,'#Data'!$B$2:$J$344,4,FALSE)="보스",VLOOKUP($C77,'#Data'!$B$2:$J$344,4,FALSE)="중간"),TRUE,FALSE)</f>
        <v>0</v>
      </c>
      <c r="I77" s="154" t="b">
        <v>0</v>
      </c>
      <c r="J77" s="154">
        <v>10</v>
      </c>
      <c r="K77" s="154">
        <f>VLOOKUP($A77,쿼리1[[ID]:[열1]],3,FALSE)</f>
        <v>10</v>
      </c>
      <c r="L77" s="155" t="str">
        <f>$B77&amp;"."&amp;VLOOKUP($C77,'#Data'!$B$2:$J$344,2,FALSE)&amp;".attack0"&amp;RIGHT(L$1,1)</f>
        <v>Sector04.friendly_walking_eyeball_2.attack01</v>
      </c>
      <c r="M77" s="155"/>
      <c r="N77" s="155"/>
      <c r="O77" s="140" t="s">
        <v>2021</v>
      </c>
      <c r="P77" s="140"/>
      <c r="Q77" s="140"/>
      <c r="R77" s="72"/>
      <c r="S77" s="72"/>
      <c r="T77" s="72"/>
      <c r="U77" s="72"/>
      <c r="V77" s="154" t="b">
        <v>0</v>
      </c>
      <c r="W77" s="154" t="str">
        <f>"Character/Prefabs/"&amp;VLOOKUP($C77,'#Data'!$B$3:$I$344,8,FALSE)</f>
        <v>Character/Prefabs/m_s_ranger_friendly_walking_eyeball_2</v>
      </c>
      <c r="X77" s="154"/>
      <c r="Y77" s="154" t="str">
        <f>VLOOKUP($C77,'#Data'!$B$3:$I$344,8,FALSE)</f>
        <v>m_s_ranger_friendly_walking_eyeball_2</v>
      </c>
      <c r="Z77" s="154"/>
      <c r="AA77" s="154"/>
      <c r="AB77" s="154"/>
      <c r="AC77" s="156">
        <v>1.2</v>
      </c>
      <c r="AD77" s="154"/>
      <c r="AE77" s="154"/>
      <c r="AF77" s="154"/>
      <c r="AG77" s="154" t="s">
        <v>2104</v>
      </c>
      <c r="AH77" s="158"/>
      <c r="AI77" s="157"/>
      <c r="AJ77" s="157"/>
    </row>
    <row r="78" spans="1:36" s="159" customFormat="1" x14ac:dyDescent="0.3">
      <c r="A78" s="154">
        <v>1110204104</v>
      </c>
      <c r="B78" s="154" t="s">
        <v>125</v>
      </c>
      <c r="C78" s="154" t="s">
        <v>138</v>
      </c>
      <c r="D78" s="154" t="str">
        <f>"Monster.Name."&amp;VLOOKUP($C78,'#Data'!$B$2:$J$344,2,FALSE)</f>
        <v>Monster.Name.friendly_patrol_2</v>
      </c>
      <c r="E78" s="154" t="s">
        <v>43</v>
      </c>
      <c r="F78" s="44" t="s">
        <v>44</v>
      </c>
      <c r="G78" s="154" t="s">
        <v>45</v>
      </c>
      <c r="H78" s="154" t="b">
        <f>IF(OR(VLOOKUP($C78,'#Data'!$B$2:$J$344,4,FALSE)="보스",VLOOKUP($C78,'#Data'!$B$2:$J$344,4,FALSE)="중간"),TRUE,FALSE)</f>
        <v>0</v>
      </c>
      <c r="I78" s="154" t="b">
        <v>0</v>
      </c>
      <c r="J78" s="154">
        <v>10</v>
      </c>
      <c r="K78" s="154">
        <f>VLOOKUP($A78,쿼리1[[ID]:[열1]],3,FALSE)</f>
        <v>10</v>
      </c>
      <c r="L78" s="155" t="str">
        <f>$B78&amp;"."&amp;VLOOKUP($C78,'#Data'!$B$2:$J$344,2,FALSE)&amp;".attack0"&amp;RIGHT(L$1,1)</f>
        <v>Sector04.friendly_patrol_2.attack01</v>
      </c>
      <c r="M78" s="155"/>
      <c r="N78" s="155"/>
      <c r="O78" s="140" t="s">
        <v>2022</v>
      </c>
      <c r="P78" s="140"/>
      <c r="Q78" s="140"/>
      <c r="R78" s="72"/>
      <c r="S78" s="72"/>
      <c r="T78" s="72"/>
      <c r="U78" s="72"/>
      <c r="V78" s="154" t="b">
        <v>0</v>
      </c>
      <c r="W78" s="154" t="str">
        <f>"Character/Prefabs/"&amp;VLOOKUP($C78,'#Data'!$B$3:$I$344,8,FALSE)</f>
        <v>Character/Prefabs/m_s_attacker_friendly_patrol_2</v>
      </c>
      <c r="X78" s="154"/>
      <c r="Y78" s="154" t="str">
        <f>VLOOKUP($C78,'#Data'!$B$3:$I$344,8,FALSE)</f>
        <v>m_s_attacker_friendly_patrol_2</v>
      </c>
      <c r="Z78" s="154"/>
      <c r="AA78" s="154"/>
      <c r="AB78" s="154"/>
      <c r="AC78" s="156">
        <v>1</v>
      </c>
      <c r="AD78" s="154"/>
      <c r="AE78" s="154"/>
      <c r="AF78" s="154"/>
      <c r="AG78" s="154" t="s">
        <v>2104</v>
      </c>
      <c r="AH78" s="158"/>
      <c r="AI78" s="157"/>
      <c r="AJ78" s="157"/>
    </row>
    <row r="79" spans="1:36" s="159" customFormat="1" x14ac:dyDescent="0.3">
      <c r="A79" s="154">
        <v>1110204105</v>
      </c>
      <c r="B79" s="154" t="s">
        <v>125</v>
      </c>
      <c r="C79" s="154" t="s">
        <v>139</v>
      </c>
      <c r="D79" s="154" t="str">
        <f>"Monster.Name."&amp;VLOOKUP($C79,'#Data'!$B$2:$J$344,2,FALSE)</f>
        <v>Monster.Name.friendly_edge_eyeball_1</v>
      </c>
      <c r="E79" s="154" t="s">
        <v>43</v>
      </c>
      <c r="F79" s="44" t="s">
        <v>44</v>
      </c>
      <c r="G79" s="154" t="s">
        <v>45</v>
      </c>
      <c r="H79" s="154" t="b">
        <f>IF(OR(VLOOKUP($C79,'#Data'!$B$2:$J$344,4,FALSE)="보스",VLOOKUP($C79,'#Data'!$B$2:$J$344,4,FALSE)="중간"),TRUE,FALSE)</f>
        <v>0</v>
      </c>
      <c r="I79" s="154" t="b">
        <v>0</v>
      </c>
      <c r="J79" s="154">
        <v>10</v>
      </c>
      <c r="K79" s="154">
        <f>VLOOKUP($A79,쿼리1[[ID]:[열1]],3,FALSE)</f>
        <v>10</v>
      </c>
      <c r="L79" s="155" t="str">
        <f>$B79&amp;"."&amp;VLOOKUP($C79,'#Data'!$B$2:$J$344,2,FALSE)&amp;".attack0"&amp;RIGHT(L$1,1)</f>
        <v>Sector04.friendly_edge_eyeball_1.attack01</v>
      </c>
      <c r="M79" s="155"/>
      <c r="N79" s="155"/>
      <c r="O79" s="140" t="str">
        <f>$B79&amp;"."&amp;VLOOKUP($C79,'#Data'!$B$2:$J$344,2,FALSE)&amp;".skill0"&amp;RIGHT(O$1,1)</f>
        <v>Sector04.friendly_edge_eyeball_1.skill01</v>
      </c>
      <c r="P79" s="140" t="s">
        <v>2023</v>
      </c>
      <c r="Q79" s="140"/>
      <c r="R79" s="72"/>
      <c r="S79" s="72"/>
      <c r="T79" s="72"/>
      <c r="U79" s="72"/>
      <c r="V79" s="154" t="b">
        <v>0</v>
      </c>
      <c r="W79" s="154" t="str">
        <f>"Character/Prefabs/"&amp;VLOOKUP($C79,'#Data'!$B$3:$I$344,8,FALSE)</f>
        <v>Character/Prefabs/m_m_attacker_friendly_edge_eyeball_1</v>
      </c>
      <c r="X79" s="154"/>
      <c r="Y79" s="154" t="str">
        <f>VLOOKUP($C79,'#Data'!$B$3:$I$344,8,FALSE)</f>
        <v>m_m_attacker_friendly_edge_eyeball_1</v>
      </c>
      <c r="Z79" s="154"/>
      <c r="AA79" s="154"/>
      <c r="AB79" s="154"/>
      <c r="AC79" s="156">
        <v>0.9</v>
      </c>
      <c r="AD79" s="154"/>
      <c r="AE79" s="154"/>
      <c r="AF79" s="154"/>
      <c r="AG79" s="154" t="s">
        <v>2104</v>
      </c>
      <c r="AH79" s="158"/>
      <c r="AI79" s="157"/>
      <c r="AJ79" s="157"/>
    </row>
    <row r="80" spans="1:36" s="159" customFormat="1" x14ac:dyDescent="0.3">
      <c r="A80" s="154">
        <v>1110204106</v>
      </c>
      <c r="B80" s="154" t="s">
        <v>125</v>
      </c>
      <c r="C80" s="154" t="s">
        <v>140</v>
      </c>
      <c r="D80" s="154" t="str">
        <f>"Monster.Name."&amp;VLOOKUP($C80,'#Data'!$B$2:$J$344,2,FALSE)</f>
        <v>Monster.Name.friendly_electric_eyeball_1</v>
      </c>
      <c r="E80" s="154" t="s">
        <v>47</v>
      </c>
      <c r="F80" s="44" t="s">
        <v>44</v>
      </c>
      <c r="G80" s="154" t="s">
        <v>45</v>
      </c>
      <c r="H80" s="154" t="b">
        <f>IF(OR(VLOOKUP($C80,'#Data'!$B$2:$J$344,4,FALSE)="보스",VLOOKUP($C80,'#Data'!$B$2:$J$344,4,FALSE)="중간"),TRUE,FALSE)</f>
        <v>0</v>
      </c>
      <c r="I80" s="154" t="b">
        <v>0</v>
      </c>
      <c r="J80" s="154">
        <v>10</v>
      </c>
      <c r="K80" s="154">
        <f>VLOOKUP($A80,쿼리1[[ID]:[열1]],3,FALSE)</f>
        <v>10</v>
      </c>
      <c r="L80" s="155" t="str">
        <f>$B80&amp;"."&amp;VLOOKUP($C80,'#Data'!$B$2:$J$344,2,FALSE)&amp;".attack0"&amp;RIGHT(L$1,1)</f>
        <v>Sector04.friendly_electric_eyeball_1.attack01</v>
      </c>
      <c r="M80" s="155"/>
      <c r="N80" s="155"/>
      <c r="O80" s="140" t="str">
        <f>$B80&amp;"."&amp;VLOOKUP($C80,'#Data'!$B$2:$J$344,2,FALSE)&amp;".skill0"&amp;RIGHT(O$1,1)</f>
        <v>Sector04.friendly_electric_eyeball_1.skill01</v>
      </c>
      <c r="P80" s="140" t="s">
        <v>2024</v>
      </c>
      <c r="Q80" s="140"/>
      <c r="R80" s="72"/>
      <c r="S80" s="72"/>
      <c r="T80" s="72"/>
      <c r="U80" s="72"/>
      <c r="V80" s="154" t="b">
        <v>0</v>
      </c>
      <c r="W80" s="154" t="str">
        <f>"Character/Prefabs/"&amp;VLOOKUP($C80,'#Data'!$B$3:$I$344,8,FALSE)</f>
        <v>Character/Prefabs/m_m_ranger_friendly_electric_eyeball_1</v>
      </c>
      <c r="X80" s="154"/>
      <c r="Y80" s="154" t="str">
        <f>VLOOKUP($C80,'#Data'!$B$3:$I$344,8,FALSE)</f>
        <v>m_m_ranger_friendly_electric_eyeball_1</v>
      </c>
      <c r="Z80" s="154"/>
      <c r="AA80" s="154"/>
      <c r="AB80" s="154"/>
      <c r="AC80" s="156">
        <v>0.9</v>
      </c>
      <c r="AD80" s="154"/>
      <c r="AE80" s="154"/>
      <c r="AF80" s="154"/>
      <c r="AG80" s="154" t="s">
        <v>2104</v>
      </c>
      <c r="AH80" s="158"/>
      <c r="AI80" s="157"/>
      <c r="AJ80" s="157"/>
    </row>
    <row r="81" spans="1:36" s="159" customFormat="1" x14ac:dyDescent="0.3">
      <c r="A81" s="154">
        <v>1110204107</v>
      </c>
      <c r="B81" s="154" t="s">
        <v>125</v>
      </c>
      <c r="C81" s="154" t="s">
        <v>141</v>
      </c>
      <c r="D81" s="154" t="str">
        <f>"Monster.Name."&amp;VLOOKUP($C81,'#Data'!$B$2:$J$344,2,FALSE)</f>
        <v>Monster.Name.friendly_sawpatrol_1</v>
      </c>
      <c r="E81" s="154" t="s">
        <v>43</v>
      </c>
      <c r="F81" s="44" t="s">
        <v>44</v>
      </c>
      <c r="G81" s="154" t="s">
        <v>45</v>
      </c>
      <c r="H81" s="154" t="b">
        <f>IF(OR(VLOOKUP($C81,'#Data'!$B$2:$J$344,4,FALSE)="보스",VLOOKUP($C81,'#Data'!$B$2:$J$344,4,FALSE)="중간"),TRUE,FALSE)</f>
        <v>0</v>
      </c>
      <c r="I81" s="154" t="b">
        <v>0</v>
      </c>
      <c r="J81" s="154">
        <v>10</v>
      </c>
      <c r="K81" s="154">
        <f>VLOOKUP($A81,쿼리1[[ID]:[열1]],3,FALSE)</f>
        <v>10</v>
      </c>
      <c r="L81" s="155" t="str">
        <f>$B81&amp;"."&amp;VLOOKUP($C81,'#Data'!$B$2:$J$344,2,FALSE)&amp;".attack0"&amp;RIGHT(L$1,1)</f>
        <v>Sector04.friendly_sawpatrol_1.attack01</v>
      </c>
      <c r="M81" s="155"/>
      <c r="N81" s="155"/>
      <c r="O81" s="140" t="str">
        <f>$B81&amp;"."&amp;VLOOKUP($C81,'#Data'!$B$2:$J$344,2,FALSE)&amp;".skill0"&amp;RIGHT(O$1,1)</f>
        <v>Sector04.friendly_sawpatrol_1.skill01</v>
      </c>
      <c r="P81" s="140" t="s">
        <v>2025</v>
      </c>
      <c r="Q81" s="140"/>
      <c r="R81" s="72"/>
      <c r="S81" s="72"/>
      <c r="T81" s="72"/>
      <c r="U81" s="72"/>
      <c r="V81" s="154" t="b">
        <v>0</v>
      </c>
      <c r="W81" s="154" t="str">
        <f>"Character/Prefabs/"&amp;VLOOKUP($C81,'#Data'!$B$3:$I$344,8,FALSE)</f>
        <v>Character/Prefabs/m_m_attacker_friendly_sawpatrol_1</v>
      </c>
      <c r="X81" s="154"/>
      <c r="Y81" s="154" t="str">
        <f>VLOOKUP($C81,'#Data'!$B$3:$I$344,8,FALSE)</f>
        <v>m_m_attacker_friendly_sawpatrol_1</v>
      </c>
      <c r="Z81" s="154"/>
      <c r="AA81" s="154"/>
      <c r="AB81" s="154"/>
      <c r="AC81" s="156">
        <v>1</v>
      </c>
      <c r="AD81" s="154"/>
      <c r="AE81" s="154"/>
      <c r="AF81" s="154"/>
      <c r="AG81" s="154" t="s">
        <v>2104</v>
      </c>
      <c r="AH81" s="158"/>
      <c r="AI81" s="157"/>
      <c r="AJ81" s="157"/>
    </row>
    <row r="82" spans="1:36" s="159" customFormat="1" x14ac:dyDescent="0.3">
      <c r="A82" s="154">
        <v>1110204108</v>
      </c>
      <c r="B82" s="154" t="s">
        <v>125</v>
      </c>
      <c r="C82" s="154" t="s">
        <v>142</v>
      </c>
      <c r="D82" s="154" t="str">
        <f>"Monster.Name."&amp;VLOOKUP($C82,'#Data'!$B$2:$J$344,2,FALSE)</f>
        <v>Monster.Name.friendly_staffpatrol_1</v>
      </c>
      <c r="E82" s="154" t="s">
        <v>143</v>
      </c>
      <c r="F82" s="44" t="s">
        <v>44</v>
      </c>
      <c r="G82" s="154" t="s">
        <v>45</v>
      </c>
      <c r="H82" s="154" t="b">
        <f>IF(OR(VLOOKUP($C82,'#Data'!$B$2:$J$344,4,FALSE)="보스",VLOOKUP($C82,'#Data'!$B$2:$J$344,4,FALSE)="중간"),TRUE,FALSE)</f>
        <v>0</v>
      </c>
      <c r="I82" s="154" t="b">
        <v>0</v>
      </c>
      <c r="J82" s="154">
        <v>10</v>
      </c>
      <c r="K82" s="154">
        <f>VLOOKUP($A82,쿼리1[[ID]:[열1]],3,FALSE)</f>
        <v>10</v>
      </c>
      <c r="L82" s="155" t="str">
        <f>$B82&amp;"."&amp;VLOOKUP($C82,'#Data'!$B$2:$J$344,2,FALSE)&amp;".attack0"&amp;RIGHT(L$1,1)</f>
        <v>Sector04.friendly_staffpatrol_1.attack01</v>
      </c>
      <c r="M82" s="155"/>
      <c r="N82" s="155"/>
      <c r="O82" s="140" t="str">
        <f>$B82&amp;"."&amp;VLOOKUP($C82,'#Data'!$B$2:$J$344,2,FALSE)&amp;".skill0"&amp;RIGHT(O$1,1)</f>
        <v>Sector04.friendly_staffpatrol_1.skill01</v>
      </c>
      <c r="P82" s="140" t="s">
        <v>2026</v>
      </c>
      <c r="Q82" s="140"/>
      <c r="R82" s="72"/>
      <c r="S82" s="72"/>
      <c r="T82" s="72"/>
      <c r="U82" s="72"/>
      <c r="V82" s="154" t="b">
        <v>0</v>
      </c>
      <c r="W82" s="154" t="str">
        <f>"Character/Prefabs/"&amp;VLOOKUP($C82,'#Data'!$B$3:$I$344,8,FALSE)</f>
        <v>Character/Prefabs/m_m_supporter_friendly_staffpatrol_1</v>
      </c>
      <c r="X82" s="154"/>
      <c r="Y82" s="154" t="str">
        <f>VLOOKUP($C82,'#Data'!$B$3:$I$344,8,FALSE)</f>
        <v>m_m_supporter_friendly_staffpatrol_1</v>
      </c>
      <c r="Z82" s="154"/>
      <c r="AA82" s="154"/>
      <c r="AB82" s="154"/>
      <c r="AC82" s="156">
        <v>1</v>
      </c>
      <c r="AD82" s="154"/>
      <c r="AE82" s="154"/>
      <c r="AF82" s="154"/>
      <c r="AG82" s="154" t="s">
        <v>2104</v>
      </c>
      <c r="AH82" s="158"/>
      <c r="AI82" s="157"/>
      <c r="AJ82" s="157"/>
    </row>
    <row r="83" spans="1:36" s="159" customFormat="1" x14ac:dyDescent="0.3">
      <c r="A83" s="154">
        <v>1110204109</v>
      </c>
      <c r="B83" s="154" t="s">
        <v>125</v>
      </c>
      <c r="C83" s="154" t="s">
        <v>144</v>
      </c>
      <c r="D83" s="154" t="str">
        <f>"Monster.Name."&amp;VLOOKUP($C83,'#Data'!$B$2:$J$344,2,FALSE)</f>
        <v>Monster.Name.friendly_sicklepatrol_1</v>
      </c>
      <c r="E83" s="154" t="s">
        <v>43</v>
      </c>
      <c r="F83" s="44" t="s">
        <v>44</v>
      </c>
      <c r="G83" s="154" t="s">
        <v>45</v>
      </c>
      <c r="H83" s="154" t="b">
        <f>IF(OR(VLOOKUP($C83,'#Data'!$B$2:$J$344,4,FALSE)="보스",VLOOKUP($C83,'#Data'!$B$2:$J$344,4,FALSE)="중간"),TRUE,FALSE)</f>
        <v>0</v>
      </c>
      <c r="I83" s="154" t="b">
        <v>0</v>
      </c>
      <c r="J83" s="154">
        <v>10</v>
      </c>
      <c r="K83" s="154">
        <f>VLOOKUP($A83,쿼리1[[ID]:[열1]],3,FALSE)</f>
        <v>10</v>
      </c>
      <c r="L83" s="155" t="str">
        <f>$B83&amp;"."&amp;VLOOKUP($C83,'#Data'!$B$2:$J$344,2,FALSE)&amp;".attack0"&amp;RIGHT(L$1,1)</f>
        <v>Sector04.friendly_sicklepatrol_1.attack01</v>
      </c>
      <c r="M83" s="155"/>
      <c r="N83" s="155"/>
      <c r="O83" s="140" t="str">
        <f>$B83&amp;"."&amp;VLOOKUP($C83,'#Data'!$B$2:$J$344,2,FALSE)&amp;".skill0"&amp;RIGHT(O$1,1)</f>
        <v>Sector04.friendly_sicklepatrol_1.skill01</v>
      </c>
      <c r="P83" s="140" t="s">
        <v>2027</v>
      </c>
      <c r="Q83" s="140"/>
      <c r="R83" s="72"/>
      <c r="S83" s="72"/>
      <c r="T83" s="72"/>
      <c r="U83" s="72"/>
      <c r="V83" s="154" t="b">
        <v>0</v>
      </c>
      <c r="W83" s="154" t="str">
        <f>"Character/Prefabs/"&amp;VLOOKUP($C83,'#Data'!$B$3:$I$344,8,FALSE)</f>
        <v>Character/Prefabs/m_m_attacker_friendly_sicklepatrol_1</v>
      </c>
      <c r="X83" s="154"/>
      <c r="Y83" s="154" t="str">
        <f>VLOOKUP($C83,'#Data'!$B$3:$I$344,8,FALSE)</f>
        <v>m_m_attacker_friendly_sicklepatrol_1</v>
      </c>
      <c r="Z83" s="154"/>
      <c r="AA83" s="154"/>
      <c r="AB83" s="154"/>
      <c r="AC83" s="156">
        <v>1</v>
      </c>
      <c r="AD83" s="154"/>
      <c r="AE83" s="154"/>
      <c r="AF83" s="154"/>
      <c r="AG83" s="154" t="s">
        <v>2104</v>
      </c>
      <c r="AH83" s="158"/>
      <c r="AI83" s="157"/>
      <c r="AJ83" s="157"/>
    </row>
    <row r="84" spans="1:36" s="159" customFormat="1" x14ac:dyDescent="0.3">
      <c r="A84" s="154">
        <v>1110204110</v>
      </c>
      <c r="B84" s="154" t="s">
        <v>125</v>
      </c>
      <c r="C84" s="154" t="s">
        <v>145</v>
      </c>
      <c r="D84" s="154" t="str">
        <f>"Monster.Name."&amp;VLOOKUP($C84,'#Data'!$B$2:$J$344,2,FALSE)</f>
        <v>Monster.Name.friendly_security_1</v>
      </c>
      <c r="E84" s="154" t="s">
        <v>43</v>
      </c>
      <c r="F84" s="44" t="s">
        <v>44</v>
      </c>
      <c r="G84" s="154" t="s">
        <v>45</v>
      </c>
      <c r="H84" s="154" t="b">
        <f>IF(OR(VLOOKUP($C84,'#Data'!$B$2:$J$344,4,FALSE)="보스",VLOOKUP($C84,'#Data'!$B$2:$J$344,4,FALSE)="중간"),TRUE,FALSE)</f>
        <v>0</v>
      </c>
      <c r="I84" s="154" t="b">
        <v>0</v>
      </c>
      <c r="J84" s="154">
        <v>10</v>
      </c>
      <c r="K84" s="154">
        <f>VLOOKUP($A84,쿼리1[[ID]:[열1]],3,FALSE)</f>
        <v>10</v>
      </c>
      <c r="L84" s="155" t="str">
        <f>$B84&amp;"."&amp;VLOOKUP($C84,'#Data'!$B$2:$J$344,2,FALSE)&amp;".attack0"&amp;RIGHT(L$1,1)</f>
        <v>Sector04.friendly_security_1.attack01</v>
      </c>
      <c r="M84" s="155"/>
      <c r="N84" s="155"/>
      <c r="O84" s="140" t="str">
        <f>$B84&amp;"."&amp;VLOOKUP($C84,'#Data'!$B$2:$J$344,2,FALSE)&amp;".skill0"&amp;RIGHT(O$1,1)</f>
        <v>Sector04.friendly_security_1.skill01</v>
      </c>
      <c r="P84" s="140" t="s">
        <v>2028</v>
      </c>
      <c r="Q84" s="140"/>
      <c r="R84" s="72"/>
      <c r="S84" s="72"/>
      <c r="T84" s="72"/>
      <c r="U84" s="72"/>
      <c r="V84" s="154" t="b">
        <v>0</v>
      </c>
      <c r="W84" s="154" t="str">
        <f>"Character/Prefabs/"&amp;VLOOKUP($C84,'#Data'!$B$3:$I$344,8,FALSE)</f>
        <v>Character/Prefabs/m_m_attacker_friendly_security_1</v>
      </c>
      <c r="X84" s="154"/>
      <c r="Y84" s="154" t="str">
        <f>VLOOKUP($C84,'#Data'!$B$3:$I$344,8,FALSE)</f>
        <v>m_m_attacker_friendly_security_1</v>
      </c>
      <c r="Z84" s="154"/>
      <c r="AA84" s="154"/>
      <c r="AB84" s="154"/>
      <c r="AC84" s="156">
        <v>0.9</v>
      </c>
      <c r="AD84" s="154"/>
      <c r="AE84" s="154"/>
      <c r="AF84" s="154"/>
      <c r="AG84" s="154" t="s">
        <v>2104</v>
      </c>
      <c r="AH84" s="158"/>
      <c r="AI84" s="157"/>
      <c r="AJ84" s="157"/>
    </row>
    <row r="85" spans="1:36" s="159" customFormat="1" x14ac:dyDescent="0.3">
      <c r="A85" s="154">
        <v>1110204111</v>
      </c>
      <c r="B85" s="154" t="s">
        <v>125</v>
      </c>
      <c r="C85" s="154" t="s">
        <v>146</v>
      </c>
      <c r="D85" s="154" t="str">
        <f>"Monster.Name."&amp;VLOOKUP($C85,'#Data'!$B$2:$J$344,2,FALSE)</f>
        <v>Monster.Name.friendly_cannon_1</v>
      </c>
      <c r="E85" s="154" t="s">
        <v>47</v>
      </c>
      <c r="F85" s="44" t="s">
        <v>44</v>
      </c>
      <c r="G85" s="154" t="s">
        <v>45</v>
      </c>
      <c r="H85" s="154" t="b">
        <f>IF(OR(VLOOKUP($C85,'#Data'!$B$2:$J$344,4,FALSE)="보스",VLOOKUP($C85,'#Data'!$B$2:$J$344,4,FALSE)="중간"),TRUE,FALSE)</f>
        <v>0</v>
      </c>
      <c r="I85" s="154" t="b">
        <v>0</v>
      </c>
      <c r="J85" s="154">
        <v>10</v>
      </c>
      <c r="K85" s="154">
        <f>VLOOKUP($A85,쿼리1[[ID]:[열1]],3,FALSE)</f>
        <v>10</v>
      </c>
      <c r="L85" s="155" t="str">
        <f>$B85&amp;"."&amp;VLOOKUP($C85,'#Data'!$B$2:$J$344,2,FALSE)&amp;".attack0"&amp;RIGHT(L$1,1)</f>
        <v>Sector04.friendly_cannon_1.attack01</v>
      </c>
      <c r="M85" s="155"/>
      <c r="N85" s="155"/>
      <c r="O85" s="140" t="str">
        <f>$B85&amp;"."&amp;VLOOKUP($C85,'#Data'!$B$2:$J$344,2,FALSE)&amp;".skill0"&amp;RIGHT(O$1,1)</f>
        <v>Sector04.friendly_cannon_1.skill01</v>
      </c>
      <c r="P85" s="140" t="s">
        <v>2029</v>
      </c>
      <c r="Q85" s="140"/>
      <c r="R85" s="72"/>
      <c r="S85" s="72"/>
      <c r="T85" s="72"/>
      <c r="U85" s="72"/>
      <c r="V85" s="154" t="b">
        <v>0</v>
      </c>
      <c r="W85" s="154" t="str">
        <f>"Character/Prefabs/"&amp;VLOOKUP($C85,'#Data'!$B$3:$I$344,8,FALSE)</f>
        <v>Character/Prefabs/m_m_ranger_friendly_cannon_1</v>
      </c>
      <c r="X85" s="154"/>
      <c r="Y85" s="154" t="str">
        <f>VLOOKUP($C85,'#Data'!$B$3:$I$344,8,FALSE)</f>
        <v>m_m_ranger_friendly_cannon_1</v>
      </c>
      <c r="Z85" s="154"/>
      <c r="AA85" s="154"/>
      <c r="AB85" s="154"/>
      <c r="AC85" s="156">
        <v>0.7</v>
      </c>
      <c r="AD85" s="154"/>
      <c r="AE85" s="154"/>
      <c r="AF85" s="154"/>
      <c r="AG85" s="154" t="s">
        <v>2104</v>
      </c>
      <c r="AH85" s="158"/>
      <c r="AI85" s="157"/>
      <c r="AJ85" s="157"/>
    </row>
    <row r="86" spans="1:36" s="159" customFormat="1" x14ac:dyDescent="0.3">
      <c r="A86" s="154">
        <v>1110204112</v>
      </c>
      <c r="B86" s="154" t="s">
        <v>125</v>
      </c>
      <c r="C86" s="154" t="s">
        <v>147</v>
      </c>
      <c r="D86" s="154" t="str">
        <f>"Monster.Name."&amp;VLOOKUP($C86,'#Data'!$B$2:$J$344,2,FALSE)</f>
        <v>Monster.Name.friendly_gun_1</v>
      </c>
      <c r="E86" s="154" t="s">
        <v>47</v>
      </c>
      <c r="F86" s="44" t="s">
        <v>44</v>
      </c>
      <c r="G86" s="154" t="s">
        <v>45</v>
      </c>
      <c r="H86" s="154" t="b">
        <f>IF(OR(VLOOKUP($C86,'#Data'!$B$2:$J$344,4,FALSE)="보스",VLOOKUP($C86,'#Data'!$B$2:$J$344,4,FALSE)="중간"),TRUE,FALSE)</f>
        <v>0</v>
      </c>
      <c r="I86" s="154" t="b">
        <v>0</v>
      </c>
      <c r="J86" s="154">
        <v>10</v>
      </c>
      <c r="K86" s="154">
        <f>VLOOKUP($A86,쿼리1[[ID]:[열1]],3,FALSE)</f>
        <v>10</v>
      </c>
      <c r="L86" s="155" t="str">
        <f>$B86&amp;"."&amp;VLOOKUP($C86,'#Data'!$B$2:$J$344,2,FALSE)&amp;".attack0"&amp;RIGHT(L$1,1)</f>
        <v>Sector04.friendly_gun_1.attack01</v>
      </c>
      <c r="M86" s="155"/>
      <c r="N86" s="155"/>
      <c r="O86" s="140" t="str">
        <f>$B86&amp;"."&amp;VLOOKUP($C86,'#Data'!$B$2:$J$344,2,FALSE)&amp;".skill0"&amp;RIGHT(O$1,1)</f>
        <v>Sector04.friendly_gun_1.skill01</v>
      </c>
      <c r="P86" s="140" t="s">
        <v>2030</v>
      </c>
      <c r="Q86" s="140"/>
      <c r="R86" s="72"/>
      <c r="S86" s="72"/>
      <c r="T86" s="72"/>
      <c r="U86" s="72"/>
      <c r="V86" s="154" t="b">
        <v>0</v>
      </c>
      <c r="W86" s="154" t="str">
        <f>"Character/Prefabs/"&amp;VLOOKUP($C86,'#Data'!$B$3:$I$344,8,FALSE)</f>
        <v>Character/Prefabs/m_m_ranger_friendly_gun_1</v>
      </c>
      <c r="X86" s="154"/>
      <c r="Y86" s="154" t="str">
        <f>VLOOKUP($C86,'#Data'!$B$3:$I$344,8,FALSE)</f>
        <v>m_m_ranger_friendly_gun_1</v>
      </c>
      <c r="Z86" s="154"/>
      <c r="AA86" s="154"/>
      <c r="AB86" s="154"/>
      <c r="AC86" s="156">
        <v>0.7</v>
      </c>
      <c r="AD86" s="154"/>
      <c r="AE86" s="154"/>
      <c r="AF86" s="154"/>
      <c r="AG86" s="154" t="s">
        <v>2104</v>
      </c>
      <c r="AH86" s="158"/>
      <c r="AI86" s="157"/>
      <c r="AJ86" s="157"/>
    </row>
    <row r="87" spans="1:36" s="159" customFormat="1" x14ac:dyDescent="0.3">
      <c r="A87" s="47">
        <v>1110204113</v>
      </c>
      <c r="B87" s="47" t="s">
        <v>125</v>
      </c>
      <c r="C87" s="47" t="s">
        <v>1261</v>
      </c>
      <c r="D87" s="47" t="str">
        <f>"Monster.Name."&amp;VLOOKUP($C87,'#Data'!$B$2:$J$344,2,FALSE)</f>
        <v>Monster.Name.friendly_walking_eyeball_3</v>
      </c>
      <c r="E87" s="47" t="s">
        <v>47</v>
      </c>
      <c r="F87" s="46" t="s">
        <v>44</v>
      </c>
      <c r="G87" s="47" t="s">
        <v>45</v>
      </c>
      <c r="H87" s="47" t="b">
        <f>IF(OR(VLOOKUP($C87,'#Data'!$B$2:$J$344,4,FALSE)="보스",VLOOKUP($C87,'#Data'!$B$2:$J$344,4,FALSE)="중간"),TRUE,FALSE)</f>
        <v>0</v>
      </c>
      <c r="I87" s="47" t="b">
        <v>0</v>
      </c>
      <c r="J87" s="47">
        <v>10</v>
      </c>
      <c r="K87" s="47">
        <f>VLOOKUP($A87,쿼리1[[ID]:[열1]],3,FALSE)</f>
        <v>10</v>
      </c>
      <c r="L87" s="160" t="s">
        <v>127</v>
      </c>
      <c r="M87" s="160"/>
      <c r="N87" s="160"/>
      <c r="O87" s="141" t="s">
        <v>2019</v>
      </c>
      <c r="P87" s="141"/>
      <c r="Q87" s="141"/>
      <c r="R87" s="74"/>
      <c r="S87" s="74"/>
      <c r="T87" s="74"/>
      <c r="U87" s="74"/>
      <c r="V87" s="47" t="b">
        <v>0</v>
      </c>
      <c r="W87" s="47" t="str">
        <f>"Character/Prefabs/"&amp;VLOOKUP($C87,'#Data'!$B$3:$I$344,8,FALSE)</f>
        <v>Character/Prefabs/m_s_ranger_friendly_walking_eyeball_3</v>
      </c>
      <c r="X87" s="47"/>
      <c r="Y87" s="47" t="str">
        <f>VLOOKUP($C87,'#Data'!$B$3:$I$344,8,FALSE)</f>
        <v>m_s_ranger_friendly_walking_eyeball_3</v>
      </c>
      <c r="Z87" s="47"/>
      <c r="AA87" s="47"/>
      <c r="AB87" s="47"/>
      <c r="AC87" s="161">
        <v>1.2</v>
      </c>
      <c r="AD87" s="47"/>
      <c r="AE87" s="47"/>
      <c r="AF87" s="47"/>
      <c r="AG87" s="47" t="s">
        <v>2104</v>
      </c>
      <c r="AH87" s="158"/>
      <c r="AI87" s="157"/>
      <c r="AJ87" s="157"/>
    </row>
    <row r="88" spans="1:36" s="159" customFormat="1" x14ac:dyDescent="0.3">
      <c r="A88" s="47">
        <v>1110204114</v>
      </c>
      <c r="B88" s="47" t="s">
        <v>125</v>
      </c>
      <c r="C88" s="47" t="s">
        <v>1263</v>
      </c>
      <c r="D88" s="47" t="str">
        <f>"Monster.Name."&amp;VLOOKUP($C88,'#Data'!$B$2:$J$344,2,FALSE)</f>
        <v>Monster.Name.friendly_patrol_3</v>
      </c>
      <c r="E88" s="47" t="s">
        <v>43</v>
      </c>
      <c r="F88" s="46" t="s">
        <v>44</v>
      </c>
      <c r="G88" s="47" t="s">
        <v>45</v>
      </c>
      <c r="H88" s="47" t="b">
        <f>IF(OR(VLOOKUP($C88,'#Data'!$B$2:$J$344,4,FALSE)="보스",VLOOKUP($C88,'#Data'!$B$2:$J$344,4,FALSE)="중간"),TRUE,FALSE)</f>
        <v>0</v>
      </c>
      <c r="I88" s="47" t="b">
        <v>0</v>
      </c>
      <c r="J88" s="47">
        <v>10</v>
      </c>
      <c r="K88" s="47">
        <f>VLOOKUP($A88,쿼리1[[ID]:[열1]],3,FALSE)</f>
        <v>10</v>
      </c>
      <c r="L88" s="160" t="s">
        <v>131</v>
      </c>
      <c r="M88" s="160"/>
      <c r="N88" s="160"/>
      <c r="O88" s="141" t="s">
        <v>2020</v>
      </c>
      <c r="P88" s="141"/>
      <c r="Q88" s="141"/>
      <c r="R88" s="74"/>
      <c r="S88" s="74"/>
      <c r="T88" s="74"/>
      <c r="U88" s="74"/>
      <c r="V88" s="47" t="b">
        <v>0</v>
      </c>
      <c r="W88" s="47" t="str">
        <f>"Character/Prefabs/"&amp;VLOOKUP($C88,'#Data'!$B$3:$I$344,8,FALSE)</f>
        <v>Character/Prefabs/m_s_attacker_friendly_patrol_3</v>
      </c>
      <c r="X88" s="47"/>
      <c r="Y88" s="47" t="str">
        <f>VLOOKUP($C88,'#Data'!$B$3:$I$344,8,FALSE)</f>
        <v>m_s_attacker_friendly_patrol_3</v>
      </c>
      <c r="Z88" s="47"/>
      <c r="AA88" s="47"/>
      <c r="AB88" s="47"/>
      <c r="AC88" s="161">
        <v>1</v>
      </c>
      <c r="AD88" s="47"/>
      <c r="AE88" s="47"/>
      <c r="AF88" s="47"/>
      <c r="AG88" s="47" t="s">
        <v>2104</v>
      </c>
      <c r="AH88" s="158"/>
      <c r="AI88" s="157"/>
      <c r="AJ88" s="157"/>
    </row>
    <row r="89" spans="1:36" s="159" customFormat="1" x14ac:dyDescent="0.3">
      <c r="A89" s="47">
        <v>1110204115</v>
      </c>
      <c r="B89" s="47" t="s">
        <v>125</v>
      </c>
      <c r="C89" s="47" t="s">
        <v>1265</v>
      </c>
      <c r="D89" s="47" t="str">
        <f>"Monster.Name."&amp;VLOOKUP($C89,'#Data'!$B$2:$J$344,2,FALSE)</f>
        <v>Monster.Name.friendly_edge_eyeball_2</v>
      </c>
      <c r="E89" s="47" t="s">
        <v>43</v>
      </c>
      <c r="F89" s="46" t="s">
        <v>44</v>
      </c>
      <c r="G89" s="47" t="s">
        <v>45</v>
      </c>
      <c r="H89" s="47" t="b">
        <f>IF(OR(VLOOKUP($C89,'#Data'!$B$2:$J$344,4,FALSE)="보스",VLOOKUP($C89,'#Data'!$B$2:$J$344,4,FALSE)="중간"),TRUE,FALSE)</f>
        <v>0</v>
      </c>
      <c r="I89" s="47" t="b">
        <v>0</v>
      </c>
      <c r="J89" s="47">
        <v>10</v>
      </c>
      <c r="K89" s="47">
        <f>VLOOKUP($A89,쿼리1[[ID]:[열1]],3,FALSE)</f>
        <v>10</v>
      </c>
      <c r="L89" s="160" t="s">
        <v>1348</v>
      </c>
      <c r="M89" s="160"/>
      <c r="N89" s="160"/>
      <c r="O89" s="141" t="s">
        <v>1355</v>
      </c>
      <c r="P89" s="141" t="s">
        <v>2023</v>
      </c>
      <c r="Q89" s="141"/>
      <c r="R89" s="74"/>
      <c r="S89" s="74"/>
      <c r="T89" s="74"/>
      <c r="U89" s="74"/>
      <c r="V89" s="47" t="b">
        <v>0</v>
      </c>
      <c r="W89" s="47" t="str">
        <f>"Character/Prefabs/"&amp;VLOOKUP($C89,'#Data'!$B$3:$I$344,8,FALSE)</f>
        <v>Character/Prefabs/m_m_attacker_friendly_edge_eyeball_2</v>
      </c>
      <c r="X89" s="47"/>
      <c r="Y89" s="47" t="str">
        <f>VLOOKUP($C89,'#Data'!$B$3:$I$344,8,FALSE)</f>
        <v>m_m_attacker_friendly_edge_eyeball_2</v>
      </c>
      <c r="Z89" s="47"/>
      <c r="AA89" s="47"/>
      <c r="AB89" s="47"/>
      <c r="AC89" s="161">
        <v>0.9</v>
      </c>
      <c r="AD89" s="47"/>
      <c r="AE89" s="47"/>
      <c r="AF89" s="47"/>
      <c r="AG89" s="47" t="s">
        <v>2104</v>
      </c>
      <c r="AH89" s="158"/>
      <c r="AI89" s="157"/>
      <c r="AJ89" s="157"/>
    </row>
    <row r="90" spans="1:36" s="159" customFormat="1" x14ac:dyDescent="0.3">
      <c r="A90" s="47">
        <v>1110204116</v>
      </c>
      <c r="B90" s="47" t="s">
        <v>125</v>
      </c>
      <c r="C90" s="47" t="s">
        <v>1267</v>
      </c>
      <c r="D90" s="47" t="str">
        <f>"Monster.Name."&amp;VLOOKUP($C90,'#Data'!$B$2:$J$344,2,FALSE)</f>
        <v>Monster.Name.friendly_electric_eyeball_2</v>
      </c>
      <c r="E90" s="47" t="s">
        <v>47</v>
      </c>
      <c r="F90" s="46" t="s">
        <v>44</v>
      </c>
      <c r="G90" s="47" t="s">
        <v>45</v>
      </c>
      <c r="H90" s="47" t="b">
        <f>IF(OR(VLOOKUP($C90,'#Data'!$B$2:$J$344,4,FALSE)="보스",VLOOKUP($C90,'#Data'!$B$2:$J$344,4,FALSE)="중간"),TRUE,FALSE)</f>
        <v>0</v>
      </c>
      <c r="I90" s="47" t="b">
        <v>0</v>
      </c>
      <c r="J90" s="47">
        <v>10</v>
      </c>
      <c r="K90" s="47">
        <f>VLOOKUP($A90,쿼리1[[ID]:[열1]],3,FALSE)</f>
        <v>10</v>
      </c>
      <c r="L90" s="160" t="s">
        <v>1349</v>
      </c>
      <c r="M90" s="160"/>
      <c r="N90" s="160"/>
      <c r="O90" s="141" t="s">
        <v>1356</v>
      </c>
      <c r="P90" s="141" t="s">
        <v>2024</v>
      </c>
      <c r="Q90" s="141"/>
      <c r="R90" s="74"/>
      <c r="S90" s="74"/>
      <c r="T90" s="74"/>
      <c r="U90" s="74"/>
      <c r="V90" s="47" t="b">
        <v>0</v>
      </c>
      <c r="W90" s="47" t="str">
        <f>"Character/Prefabs/"&amp;VLOOKUP($C90,'#Data'!$B$3:$I$344,8,FALSE)</f>
        <v>Character/Prefabs/m_m_ranger_friendly_electric_eyeball_2</v>
      </c>
      <c r="X90" s="47"/>
      <c r="Y90" s="47" t="str">
        <f>VLOOKUP($C90,'#Data'!$B$3:$I$344,8,FALSE)</f>
        <v>m_m_ranger_friendly_electric_eyeball_2</v>
      </c>
      <c r="Z90" s="47"/>
      <c r="AA90" s="47"/>
      <c r="AB90" s="47"/>
      <c r="AC90" s="161">
        <v>0.9</v>
      </c>
      <c r="AD90" s="47"/>
      <c r="AE90" s="47"/>
      <c r="AF90" s="47"/>
      <c r="AG90" s="47" t="s">
        <v>2104</v>
      </c>
      <c r="AH90" s="158"/>
      <c r="AI90" s="157"/>
      <c r="AJ90" s="157"/>
    </row>
    <row r="91" spans="1:36" s="159" customFormat="1" x14ac:dyDescent="0.3">
      <c r="A91" s="47">
        <v>1110204117</v>
      </c>
      <c r="B91" s="47" t="s">
        <v>125</v>
      </c>
      <c r="C91" s="47" t="s">
        <v>1269</v>
      </c>
      <c r="D91" s="47" t="str">
        <f>"Monster.Name."&amp;VLOOKUP($C91,'#Data'!$B$2:$J$344,2,FALSE)</f>
        <v>Monster.Name.friendly_sawpatrol_2</v>
      </c>
      <c r="E91" s="47" t="s">
        <v>43</v>
      </c>
      <c r="F91" s="46" t="s">
        <v>44</v>
      </c>
      <c r="G91" s="47" t="s">
        <v>45</v>
      </c>
      <c r="H91" s="47" t="b">
        <f>IF(OR(VLOOKUP($C91,'#Data'!$B$2:$J$344,4,FALSE)="보스",VLOOKUP($C91,'#Data'!$B$2:$J$344,4,FALSE)="중간"),TRUE,FALSE)</f>
        <v>0</v>
      </c>
      <c r="I91" s="47" t="b">
        <v>0</v>
      </c>
      <c r="J91" s="47">
        <v>10</v>
      </c>
      <c r="K91" s="47">
        <f>VLOOKUP($A91,쿼리1[[ID]:[열1]],3,FALSE)</f>
        <v>10</v>
      </c>
      <c r="L91" s="160" t="s">
        <v>1350</v>
      </c>
      <c r="M91" s="160"/>
      <c r="N91" s="160"/>
      <c r="O91" s="141" t="s">
        <v>1357</v>
      </c>
      <c r="P91" s="141" t="s">
        <v>2025</v>
      </c>
      <c r="Q91" s="141"/>
      <c r="R91" s="74"/>
      <c r="S91" s="74"/>
      <c r="T91" s="74"/>
      <c r="U91" s="74"/>
      <c r="V91" s="47" t="b">
        <v>0</v>
      </c>
      <c r="W91" s="47" t="str">
        <f>"Character/Prefabs/"&amp;VLOOKUP($C91,'#Data'!$B$3:$I$344,8,FALSE)</f>
        <v>Character/Prefabs/m_m_attacker_friendly_sawpatrol_2</v>
      </c>
      <c r="X91" s="47"/>
      <c r="Y91" s="47" t="str">
        <f>VLOOKUP($C91,'#Data'!$B$3:$I$344,8,FALSE)</f>
        <v>m_m_attacker_friendly_sawpatrol_2</v>
      </c>
      <c r="Z91" s="47"/>
      <c r="AA91" s="47"/>
      <c r="AB91" s="47"/>
      <c r="AC91" s="161">
        <v>1</v>
      </c>
      <c r="AD91" s="47"/>
      <c r="AE91" s="47"/>
      <c r="AF91" s="47"/>
      <c r="AG91" s="47" t="s">
        <v>2104</v>
      </c>
      <c r="AH91" s="158"/>
      <c r="AI91" s="157"/>
      <c r="AJ91" s="157"/>
    </row>
    <row r="92" spans="1:36" s="159" customFormat="1" x14ac:dyDescent="0.3">
      <c r="A92" s="47">
        <v>1110204118</v>
      </c>
      <c r="B92" s="47" t="s">
        <v>125</v>
      </c>
      <c r="C92" s="47" t="s">
        <v>1271</v>
      </c>
      <c r="D92" s="47" t="str">
        <f>"Monster.Name."&amp;VLOOKUP($C92,'#Data'!$B$2:$J$344,2,FALSE)</f>
        <v>Monster.Name.friendly_staffpatrol_2</v>
      </c>
      <c r="E92" s="47" t="s">
        <v>143</v>
      </c>
      <c r="F92" s="46" t="s">
        <v>44</v>
      </c>
      <c r="G92" s="47" t="s">
        <v>45</v>
      </c>
      <c r="H92" s="47" t="b">
        <f>IF(OR(VLOOKUP($C92,'#Data'!$B$2:$J$344,4,FALSE)="보스",VLOOKUP($C92,'#Data'!$B$2:$J$344,4,FALSE)="중간"),TRUE,FALSE)</f>
        <v>0</v>
      </c>
      <c r="I92" s="47" t="b">
        <v>0</v>
      </c>
      <c r="J92" s="47">
        <v>10</v>
      </c>
      <c r="K92" s="47">
        <f>VLOOKUP($A92,쿼리1[[ID]:[열1]],3,FALSE)</f>
        <v>10</v>
      </c>
      <c r="L92" s="160" t="s">
        <v>1351</v>
      </c>
      <c r="M92" s="160"/>
      <c r="N92" s="160"/>
      <c r="O92" s="141" t="s">
        <v>1358</v>
      </c>
      <c r="P92" s="141" t="s">
        <v>2026</v>
      </c>
      <c r="Q92" s="141"/>
      <c r="R92" s="74"/>
      <c r="S92" s="74"/>
      <c r="T92" s="74"/>
      <c r="U92" s="74"/>
      <c r="V92" s="47" t="b">
        <v>0</v>
      </c>
      <c r="W92" s="47" t="str">
        <f>"Character/Prefabs/"&amp;VLOOKUP($C92,'#Data'!$B$3:$I$344,8,FALSE)</f>
        <v>Character/Prefabs/m_m_supporter_friendly_staffpatrol_2</v>
      </c>
      <c r="X92" s="47"/>
      <c r="Y92" s="47" t="str">
        <f>VLOOKUP($C92,'#Data'!$B$3:$I$344,8,FALSE)</f>
        <v>m_m_supporter_friendly_staffpatrol_2</v>
      </c>
      <c r="Z92" s="47"/>
      <c r="AA92" s="47"/>
      <c r="AB92" s="47"/>
      <c r="AC92" s="161">
        <v>1</v>
      </c>
      <c r="AD92" s="47"/>
      <c r="AE92" s="47"/>
      <c r="AF92" s="47"/>
      <c r="AG92" s="47" t="s">
        <v>2104</v>
      </c>
      <c r="AH92" s="158"/>
      <c r="AI92" s="157"/>
      <c r="AJ92" s="157"/>
    </row>
    <row r="93" spans="1:36" s="159" customFormat="1" x14ac:dyDescent="0.3">
      <c r="A93" s="47">
        <v>1110204119</v>
      </c>
      <c r="B93" s="47" t="s">
        <v>125</v>
      </c>
      <c r="C93" s="47" t="s">
        <v>1273</v>
      </c>
      <c r="D93" s="47" t="str">
        <f>"Monster.Name."&amp;VLOOKUP($C93,'#Data'!$B$2:$J$344,2,FALSE)</f>
        <v>Monster.Name.friendly_sicklepatrol_2</v>
      </c>
      <c r="E93" s="47" t="s">
        <v>43</v>
      </c>
      <c r="F93" s="46" t="s">
        <v>44</v>
      </c>
      <c r="G93" s="47" t="s">
        <v>45</v>
      </c>
      <c r="H93" s="47" t="b">
        <f>IF(OR(VLOOKUP($C93,'#Data'!$B$2:$J$344,4,FALSE)="보스",VLOOKUP($C93,'#Data'!$B$2:$J$344,4,FALSE)="중간"),TRUE,FALSE)</f>
        <v>0</v>
      </c>
      <c r="I93" s="47" t="b">
        <v>0</v>
      </c>
      <c r="J93" s="47">
        <v>10</v>
      </c>
      <c r="K93" s="47">
        <f>VLOOKUP($A93,쿼리1[[ID]:[열1]],3,FALSE)</f>
        <v>10</v>
      </c>
      <c r="L93" s="160" t="s">
        <v>1352</v>
      </c>
      <c r="M93" s="160"/>
      <c r="N93" s="160"/>
      <c r="O93" s="141" t="s">
        <v>1359</v>
      </c>
      <c r="P93" s="141" t="s">
        <v>2027</v>
      </c>
      <c r="Q93" s="141"/>
      <c r="R93" s="74"/>
      <c r="S93" s="74"/>
      <c r="T93" s="74"/>
      <c r="U93" s="74"/>
      <c r="V93" s="47" t="b">
        <v>0</v>
      </c>
      <c r="W93" s="47" t="str">
        <f>"Character/Prefabs/"&amp;VLOOKUP($C93,'#Data'!$B$3:$I$344,8,FALSE)</f>
        <v>Character/Prefabs/m_m_attacker_friendly_sicklepatrol_2</v>
      </c>
      <c r="X93" s="47"/>
      <c r="Y93" s="47" t="str">
        <f>VLOOKUP($C93,'#Data'!$B$3:$I$344,8,FALSE)</f>
        <v>m_m_attacker_friendly_sicklepatrol_2</v>
      </c>
      <c r="Z93" s="47"/>
      <c r="AA93" s="47"/>
      <c r="AB93" s="47"/>
      <c r="AC93" s="161">
        <v>1</v>
      </c>
      <c r="AD93" s="47"/>
      <c r="AE93" s="47"/>
      <c r="AF93" s="47"/>
      <c r="AG93" s="47" t="s">
        <v>2104</v>
      </c>
      <c r="AH93" s="158"/>
      <c r="AI93" s="157"/>
      <c r="AJ93" s="157"/>
    </row>
    <row r="94" spans="1:36" s="159" customFormat="1" x14ac:dyDescent="0.3">
      <c r="A94" s="47">
        <v>1110204120</v>
      </c>
      <c r="B94" s="47" t="s">
        <v>125</v>
      </c>
      <c r="C94" s="47" t="s">
        <v>1275</v>
      </c>
      <c r="D94" s="47" t="str">
        <f>"Monster.Name."&amp;VLOOKUP($C94,'#Data'!$B$2:$J$344,2,FALSE)</f>
        <v>Monster.Name.friendly_security_2</v>
      </c>
      <c r="E94" s="47" t="s">
        <v>43</v>
      </c>
      <c r="F94" s="46" t="s">
        <v>44</v>
      </c>
      <c r="G94" s="47" t="s">
        <v>45</v>
      </c>
      <c r="H94" s="47" t="b">
        <f>IF(OR(VLOOKUP($C94,'#Data'!$B$2:$J$344,4,FALSE)="보스",VLOOKUP($C94,'#Data'!$B$2:$J$344,4,FALSE)="중간"),TRUE,FALSE)</f>
        <v>0</v>
      </c>
      <c r="I94" s="47" t="b">
        <v>0</v>
      </c>
      <c r="J94" s="47">
        <v>10</v>
      </c>
      <c r="K94" s="47">
        <f>VLOOKUP($A94,쿼리1[[ID]:[열1]],3,FALSE)</f>
        <v>10</v>
      </c>
      <c r="L94" s="160" t="s">
        <v>1968</v>
      </c>
      <c r="M94" s="160"/>
      <c r="N94" s="160"/>
      <c r="O94" s="141" t="s">
        <v>1969</v>
      </c>
      <c r="P94" s="141" t="s">
        <v>2028</v>
      </c>
      <c r="Q94" s="141"/>
      <c r="R94" s="74"/>
      <c r="S94" s="74"/>
      <c r="T94" s="74"/>
      <c r="U94" s="74"/>
      <c r="V94" s="47" t="b">
        <v>0</v>
      </c>
      <c r="W94" s="47" t="str">
        <f>"Character/Prefabs/"&amp;VLOOKUP($C94,'#Data'!$B$3:$I$344,8,FALSE)</f>
        <v>Character/Prefabs/m_m_attacker_friendly_security_2</v>
      </c>
      <c r="X94" s="47"/>
      <c r="Y94" s="47" t="str">
        <f>VLOOKUP($C94,'#Data'!$B$3:$I$344,8,FALSE)</f>
        <v>m_m_attacker_friendly_security_2</v>
      </c>
      <c r="Z94" s="47"/>
      <c r="AA94" s="47"/>
      <c r="AB94" s="47"/>
      <c r="AC94" s="161">
        <v>0.9</v>
      </c>
      <c r="AD94" s="47"/>
      <c r="AE94" s="47"/>
      <c r="AF94" s="47"/>
      <c r="AG94" s="47" t="s">
        <v>2104</v>
      </c>
      <c r="AH94" s="158"/>
      <c r="AI94" s="157"/>
      <c r="AJ94" s="157"/>
    </row>
    <row r="95" spans="1:36" s="159" customFormat="1" x14ac:dyDescent="0.3">
      <c r="A95" s="47">
        <v>1110204121</v>
      </c>
      <c r="B95" s="47" t="s">
        <v>125</v>
      </c>
      <c r="C95" s="47" t="s">
        <v>1276</v>
      </c>
      <c r="D95" s="47" t="str">
        <f>"Monster.Name."&amp;VLOOKUP($C95,'#Data'!$B$2:$J$344,2,FALSE)</f>
        <v>Monster.Name.friendly_cannon_2</v>
      </c>
      <c r="E95" s="47" t="s">
        <v>47</v>
      </c>
      <c r="F95" s="46" t="s">
        <v>44</v>
      </c>
      <c r="G95" s="47" t="s">
        <v>45</v>
      </c>
      <c r="H95" s="47" t="b">
        <f>IF(OR(VLOOKUP($C95,'#Data'!$B$2:$J$344,4,FALSE)="보스",VLOOKUP($C95,'#Data'!$B$2:$J$344,4,FALSE)="중간"),TRUE,FALSE)</f>
        <v>0</v>
      </c>
      <c r="I95" s="47" t="b">
        <v>0</v>
      </c>
      <c r="J95" s="47">
        <v>10</v>
      </c>
      <c r="K95" s="47">
        <f>VLOOKUP($A95,쿼리1[[ID]:[열1]],3,FALSE)</f>
        <v>10</v>
      </c>
      <c r="L95" s="160" t="s">
        <v>1353</v>
      </c>
      <c r="M95" s="160"/>
      <c r="N95" s="160"/>
      <c r="O95" s="141" t="s">
        <v>1360</v>
      </c>
      <c r="P95" s="141" t="s">
        <v>2029</v>
      </c>
      <c r="Q95" s="141"/>
      <c r="R95" s="74"/>
      <c r="S95" s="74"/>
      <c r="T95" s="74"/>
      <c r="U95" s="74"/>
      <c r="V95" s="47" t="b">
        <v>0</v>
      </c>
      <c r="W95" s="47" t="str">
        <f>"Character/Prefabs/"&amp;VLOOKUP($C95,'#Data'!$B$3:$I$344,8,FALSE)</f>
        <v>Character/Prefabs/m_m_ranger_friendly_cannon_2</v>
      </c>
      <c r="X95" s="47"/>
      <c r="Y95" s="47" t="str">
        <f>VLOOKUP($C95,'#Data'!$B$3:$I$344,8,FALSE)</f>
        <v>m_m_ranger_friendly_cannon_2</v>
      </c>
      <c r="Z95" s="47"/>
      <c r="AA95" s="47"/>
      <c r="AB95" s="47"/>
      <c r="AC95" s="161">
        <v>0.7</v>
      </c>
      <c r="AD95" s="47"/>
      <c r="AE95" s="47"/>
      <c r="AF95" s="47"/>
      <c r="AG95" s="47" t="s">
        <v>2104</v>
      </c>
      <c r="AH95" s="158"/>
      <c r="AI95" s="157"/>
      <c r="AJ95" s="157"/>
    </row>
    <row r="96" spans="1:36" s="159" customFormat="1" x14ac:dyDescent="0.3">
      <c r="A96" s="47">
        <v>1110204122</v>
      </c>
      <c r="B96" s="47" t="s">
        <v>125</v>
      </c>
      <c r="C96" s="47" t="s">
        <v>1278</v>
      </c>
      <c r="D96" s="47" t="str">
        <f>"Monster.Name."&amp;VLOOKUP($C96,'#Data'!$B$2:$J$344,2,FALSE)</f>
        <v>Monster.Name.friendly_gun_2</v>
      </c>
      <c r="E96" s="47" t="s">
        <v>47</v>
      </c>
      <c r="F96" s="46" t="s">
        <v>44</v>
      </c>
      <c r="G96" s="47" t="s">
        <v>45</v>
      </c>
      <c r="H96" s="47" t="b">
        <f>IF(OR(VLOOKUP($C96,'#Data'!$B$2:$J$344,4,FALSE)="보스",VLOOKUP($C96,'#Data'!$B$2:$J$344,4,FALSE)="중간"),TRUE,FALSE)</f>
        <v>0</v>
      </c>
      <c r="I96" s="47" t="b">
        <v>0</v>
      </c>
      <c r="J96" s="47">
        <v>10</v>
      </c>
      <c r="K96" s="47">
        <f>VLOOKUP($A96,쿼리1[[ID]:[열1]],3,FALSE)</f>
        <v>10</v>
      </c>
      <c r="L96" s="160" t="s">
        <v>1354</v>
      </c>
      <c r="M96" s="160"/>
      <c r="N96" s="160"/>
      <c r="O96" s="141" t="s">
        <v>1361</v>
      </c>
      <c r="P96" s="141" t="s">
        <v>2030</v>
      </c>
      <c r="Q96" s="141"/>
      <c r="R96" s="74"/>
      <c r="S96" s="74"/>
      <c r="T96" s="74"/>
      <c r="U96" s="74"/>
      <c r="V96" s="47" t="b">
        <v>0</v>
      </c>
      <c r="W96" s="47" t="str">
        <f>"Character/Prefabs/"&amp;VLOOKUP($C96,'#Data'!$B$3:$I$344,8,FALSE)</f>
        <v>Character/Prefabs/m_m_ranger_friendly_gun_2</v>
      </c>
      <c r="X96" s="47"/>
      <c r="Y96" s="47" t="str">
        <f>VLOOKUP($C96,'#Data'!$B$3:$I$344,8,FALSE)</f>
        <v>m_m_ranger_friendly_gun_2</v>
      </c>
      <c r="Z96" s="47"/>
      <c r="AA96" s="47"/>
      <c r="AB96" s="47"/>
      <c r="AC96" s="161">
        <v>0.7</v>
      </c>
      <c r="AD96" s="47"/>
      <c r="AE96" s="47"/>
      <c r="AF96" s="47"/>
      <c r="AG96" s="47" t="s">
        <v>2104</v>
      </c>
      <c r="AH96" s="158"/>
      <c r="AI96" s="157"/>
      <c r="AJ96" s="157"/>
    </row>
    <row r="97" spans="1:34" x14ac:dyDescent="0.3">
      <c r="A97" s="13">
        <v>1110204201</v>
      </c>
      <c r="B97" s="13" t="s">
        <v>125</v>
      </c>
      <c r="C97" s="13" t="s">
        <v>148</v>
      </c>
      <c r="D97" s="13" t="str">
        <f>"Monster.Name."&amp;VLOOKUP($C97,'#Data'!$B$2:$J$344,2,FALSE)</f>
        <v>Monster.Name.friendly_railgun_1</v>
      </c>
      <c r="E97" s="13" t="s">
        <v>47</v>
      </c>
      <c r="F97" s="44" t="s">
        <v>44</v>
      </c>
      <c r="G97" s="13" t="s">
        <v>45</v>
      </c>
      <c r="H97" s="13" t="b">
        <f>IF(OR(VLOOKUP($C97,'#Data'!$B$2:$J$344,4,FALSE)="보스",VLOOKUP($C97,'#Data'!$B$2:$J$344,4,FALSE)="중간"),TRUE,FALSE)</f>
        <v>1</v>
      </c>
      <c r="I97" s="13" t="b">
        <v>1</v>
      </c>
      <c r="J97" s="13">
        <v>10</v>
      </c>
      <c r="K97" s="13">
        <f>VLOOKUP($A97,쿼리1[[ID]:[열1]],3,FALSE)</f>
        <v>10</v>
      </c>
      <c r="L97" s="71" t="str">
        <f>$B97&amp;"."&amp;VLOOKUP($C97,'#Data'!$B$2:$J$344,2,FALSE)&amp;".attack0"&amp;RIGHT(L$1,1)</f>
        <v>Sector04.friendly_railgun_1.attack01</v>
      </c>
      <c r="M97" s="71"/>
      <c r="N97" s="71"/>
      <c r="O97" s="140" t="str">
        <f>$B97&amp;"."&amp;VLOOKUP($C97,'#Data'!$B$2:$J$344,2,FALSE)&amp;".skill0"&amp;RIGHT(O$1,1)</f>
        <v>Sector04.friendly_railgun_1.skill01</v>
      </c>
      <c r="P97" s="140" t="str">
        <f>$B97&amp;"."&amp;VLOOKUP($C97,'#Data'!$B$2:$J$344,2,FALSE)&amp;".skill0"&amp;RIGHT(P$1,1)</f>
        <v>Sector04.friendly_railgun_1.skill02</v>
      </c>
      <c r="Q97" s="140" t="str">
        <f>$B97&amp;"."&amp;VLOOKUP($C97,'#Data'!$B$2:$J$344,2,FALSE)&amp;".skill0"&amp;RIGHT(Q$1,1)</f>
        <v>Sector04.friendly_railgun_1.skill03</v>
      </c>
      <c r="R97" s="72"/>
      <c r="S97" s="72" t="s">
        <v>2076</v>
      </c>
      <c r="T97" s="72"/>
      <c r="U97" s="72"/>
      <c r="V97" s="13" t="b">
        <v>0</v>
      </c>
      <c r="W97" s="13" t="str">
        <f>"Character/Prefabs/"&amp;VLOOKUP($C97,'#Data'!$B$3:$I$344,8,FALSE)</f>
        <v>Character/Prefabs/m_l_ranger_friendly_railgun_1</v>
      </c>
      <c r="X97" s="13"/>
      <c r="Y97" s="13" t="str">
        <f>VLOOKUP($C97,'#Data'!$B$3:$I$344,8,FALSE)</f>
        <v>m_l_ranger_friendly_railgun_1</v>
      </c>
      <c r="Z97" s="13"/>
      <c r="AA97" s="13"/>
      <c r="AB97" s="13"/>
      <c r="AC97" s="92">
        <v>0.9</v>
      </c>
      <c r="AD97" s="13"/>
      <c r="AE97" s="13"/>
      <c r="AF97" s="13"/>
      <c r="AG97" s="13" t="s">
        <v>2104</v>
      </c>
      <c r="AH97" s="85"/>
    </row>
    <row r="98" spans="1:34" x14ac:dyDescent="0.3">
      <c r="A98" s="13">
        <v>1110204202</v>
      </c>
      <c r="B98" s="13" t="s">
        <v>125</v>
      </c>
      <c r="C98" s="13" t="s">
        <v>149</v>
      </c>
      <c r="D98" s="13" t="str">
        <f>"Monster.Name."&amp;VLOOKUP($C98,'#Data'!$B$2:$J$344,2,FALSE)</f>
        <v>Monster.Name.friendly_punch_1</v>
      </c>
      <c r="E98" s="13" t="s">
        <v>58</v>
      </c>
      <c r="F98" s="44" t="s">
        <v>44</v>
      </c>
      <c r="G98" s="13" t="s">
        <v>45</v>
      </c>
      <c r="H98" s="13" t="b">
        <f>IF(OR(VLOOKUP($C98,'#Data'!$B$2:$J$344,4,FALSE)="보스",VLOOKUP($C98,'#Data'!$B$2:$J$344,4,FALSE)="중간"),TRUE,FALSE)</f>
        <v>1</v>
      </c>
      <c r="I98" s="13" t="b">
        <v>1</v>
      </c>
      <c r="J98" s="13">
        <v>10</v>
      </c>
      <c r="K98" s="13">
        <f>VLOOKUP($A98,쿼리1[[ID]:[열1]],3,FALSE)</f>
        <v>10</v>
      </c>
      <c r="L98" s="71" t="str">
        <f>$B98&amp;"."&amp;VLOOKUP($C98,'#Data'!$B$2:$J$344,2,FALSE)&amp;".attack0"&amp;RIGHT(L$1,1)</f>
        <v>Sector04.friendly_punch_1.attack01</v>
      </c>
      <c r="M98" s="71"/>
      <c r="N98" s="71"/>
      <c r="O98" s="140" t="str">
        <f>$B98&amp;"."&amp;VLOOKUP($C98,'#Data'!$B$2:$J$344,2,FALSE)&amp;".skill0"&amp;RIGHT(O$1,1)</f>
        <v>Sector04.friendly_punch_1.skill01</v>
      </c>
      <c r="P98" s="140" t="str">
        <f>$B98&amp;"."&amp;VLOOKUP($C98,'#Data'!$B$2:$J$344,2,FALSE)&amp;".skill0"&amp;RIGHT(P$1,1)</f>
        <v>Sector04.friendly_punch_1.skill02</v>
      </c>
      <c r="Q98" s="140" t="str">
        <f>$B98&amp;"."&amp;VLOOKUP($C98,'#Data'!$B$2:$J$344,2,FALSE)&amp;".skill0"&amp;RIGHT(Q$1,1)</f>
        <v>Sector04.friendly_punch_1.skill03</v>
      </c>
      <c r="R98" s="72"/>
      <c r="S98" s="72" t="s">
        <v>2076</v>
      </c>
      <c r="T98" s="72"/>
      <c r="U98" s="72"/>
      <c r="V98" s="13" t="b">
        <v>0</v>
      </c>
      <c r="W98" s="13" t="str">
        <f>"Character/Prefabs/"&amp;VLOOKUP($C98,'#Data'!$B$3:$I$344,8,FALSE)</f>
        <v>Character/Prefabs/m_l_tanker_friendly_punch_1</v>
      </c>
      <c r="X98" s="13"/>
      <c r="Y98" s="13" t="str">
        <f>VLOOKUP($C98,'#Data'!$B$3:$I$344,8,FALSE)</f>
        <v>m_l_tanker_friendly_punch_1</v>
      </c>
      <c r="Z98" s="13"/>
      <c r="AA98" s="13"/>
      <c r="AB98" s="13"/>
      <c r="AC98" s="92">
        <v>0.9</v>
      </c>
      <c r="AD98" s="13"/>
      <c r="AE98" s="13"/>
      <c r="AF98" s="13"/>
      <c r="AG98" s="13" t="s">
        <v>2104</v>
      </c>
      <c r="AH98" s="85"/>
    </row>
    <row r="99" spans="1:34" x14ac:dyDescent="0.3">
      <c r="A99" s="13">
        <v>1110204203</v>
      </c>
      <c r="B99" s="13" t="s">
        <v>125</v>
      </c>
      <c r="C99" s="13" t="s">
        <v>150</v>
      </c>
      <c r="D99" s="13" t="str">
        <f>"Monster.Name."&amp;VLOOKUP($C99,'#Data'!$B$2:$J$344,2,FALSE)</f>
        <v>Monster.Name.friendly_pincers_1</v>
      </c>
      <c r="E99" s="13" t="s">
        <v>43</v>
      </c>
      <c r="F99" s="44" t="s">
        <v>44</v>
      </c>
      <c r="G99" s="13" t="s">
        <v>45</v>
      </c>
      <c r="H99" s="13" t="b">
        <f>IF(OR(VLOOKUP($C99,'#Data'!$B$2:$J$344,4,FALSE)="보스",VLOOKUP($C99,'#Data'!$B$2:$J$344,4,FALSE)="중간"),TRUE,FALSE)</f>
        <v>1</v>
      </c>
      <c r="I99" s="13" t="b">
        <v>1</v>
      </c>
      <c r="J99" s="13">
        <v>10</v>
      </c>
      <c r="K99" s="13">
        <f>VLOOKUP($A99,쿼리1[[ID]:[열1]],3,FALSE)</f>
        <v>10</v>
      </c>
      <c r="L99" s="71" t="str">
        <f>$B99&amp;"."&amp;VLOOKUP($C99,'#Data'!$B$2:$J$344,2,FALSE)&amp;".attack0"&amp;RIGHT(L$1,1)</f>
        <v>Sector04.friendly_pincers_1.attack01</v>
      </c>
      <c r="M99" s="71"/>
      <c r="N99" s="71"/>
      <c r="O99" s="140" t="str">
        <f>$B99&amp;"."&amp;VLOOKUP($C99,'#Data'!$B$2:$J$344,2,FALSE)&amp;".skill0"&amp;RIGHT(O$1,1)</f>
        <v>Sector04.friendly_pincers_1.skill01</v>
      </c>
      <c r="P99" s="140" t="str">
        <f>$B99&amp;"."&amp;VLOOKUP($C99,'#Data'!$B$2:$J$344,2,FALSE)&amp;".skill0"&amp;RIGHT(P$1,1)</f>
        <v>Sector04.friendly_pincers_1.skill02</v>
      </c>
      <c r="Q99" s="140"/>
      <c r="R99" s="72"/>
      <c r="S99" s="72" t="s">
        <v>2076</v>
      </c>
      <c r="T99" s="72"/>
      <c r="U99" s="72"/>
      <c r="V99" s="13" t="b">
        <v>0</v>
      </c>
      <c r="W99" s="13" t="str">
        <f>"Character/Prefabs/"&amp;VLOOKUP($C99,'#Data'!$B$3:$I$344,8,FALSE)</f>
        <v>Character/Prefabs/m_l_attacker_friendly_pincers_1</v>
      </c>
      <c r="X99" s="13"/>
      <c r="Y99" s="13" t="str">
        <f>VLOOKUP($C99,'#Data'!$B$3:$I$344,8,FALSE)</f>
        <v>m_l_attacker_friendly_pincers_1</v>
      </c>
      <c r="Z99" s="13"/>
      <c r="AA99" s="13"/>
      <c r="AB99" s="13"/>
      <c r="AC99" s="92">
        <v>0.9</v>
      </c>
      <c r="AD99" s="13"/>
      <c r="AE99" s="13"/>
      <c r="AF99" s="13"/>
      <c r="AG99" s="13" t="s">
        <v>2104</v>
      </c>
      <c r="AH99" s="85"/>
    </row>
    <row r="100" spans="1:34" x14ac:dyDescent="0.3">
      <c r="A100" s="117">
        <v>1110204301</v>
      </c>
      <c r="B100" s="117" t="s">
        <v>125</v>
      </c>
      <c r="C100" s="117" t="s">
        <v>151</v>
      </c>
      <c r="D100" s="117" t="str">
        <f>"Monster.Name."&amp;VLOOKUP($C100,'#Data'!$B$2:$J$344,2,FALSE)</f>
        <v>Monster.Name.nullaxe_1</v>
      </c>
      <c r="E100" s="117" t="s">
        <v>43</v>
      </c>
      <c r="F100" s="118" t="s">
        <v>44</v>
      </c>
      <c r="G100" s="117" t="s">
        <v>45</v>
      </c>
      <c r="H100" s="117" t="b">
        <f>IF(OR(VLOOKUP($C100,'#Data'!$B$2:$J$344,4,FALSE)="보스",VLOOKUP($C100,'#Data'!$B$2:$J$344,4,FALSE)="중간"),TRUE,FALSE)</f>
        <v>1</v>
      </c>
      <c r="I100" s="117" t="b">
        <v>1</v>
      </c>
      <c r="J100" s="117">
        <v>20</v>
      </c>
      <c r="K100" s="117">
        <f>VLOOKUP($A100,쿼리1[[ID]:[열1]],3,FALSE)</f>
        <v>10</v>
      </c>
      <c r="L100" s="119" t="str">
        <f>$B100&amp;"."&amp;VLOOKUP($C100,'#Data'!$B$2:$J$344,2,FALSE)&amp;".attack0"&amp;RIGHT(L$1,1)</f>
        <v>Sector04.nullaxe_1.attack01</v>
      </c>
      <c r="M100" s="119" t="str">
        <f>$B100&amp;"."&amp;VLOOKUP($C100,'#Data'!$B$2:$J$344,2,FALSE)&amp;".attack0"&amp;RIGHT(M$1,1)</f>
        <v>Sector04.nullaxe_1.attack02</v>
      </c>
      <c r="N100" s="119"/>
      <c r="O100" s="142" t="str">
        <f>$B100&amp;"."&amp;VLOOKUP($C100,'#Data'!$B$2:$J$344,2,FALSE)&amp;".skill0"&amp;RIGHT(O$1,1)</f>
        <v>Sector04.nullaxe_1.skill01</v>
      </c>
      <c r="P100" s="142" t="str">
        <f>$B100&amp;"."&amp;VLOOKUP($C100,'#Data'!$B$2:$J$344,2,FALSE)&amp;".skill0"&amp;RIGHT(P$1,1)</f>
        <v>Sector04.nullaxe_1.skill02</v>
      </c>
      <c r="Q100" s="142" t="str">
        <f>$B100&amp;"."&amp;VLOOKUP($C100,'#Data'!$B$2:$J$344,2,FALSE)&amp;".skill0"&amp;RIGHT(Q$1,1)</f>
        <v>Sector04.nullaxe_1.skill03</v>
      </c>
      <c r="R100" s="120" t="s">
        <v>152</v>
      </c>
      <c r="S100" s="120" t="s">
        <v>76</v>
      </c>
      <c r="T100" s="120"/>
      <c r="U100" s="120"/>
      <c r="V100" s="117" t="b">
        <v>0</v>
      </c>
      <c r="W100" s="117" t="str">
        <f>"Character/Prefabs/"&amp;VLOOKUP($C100,'#Data'!$B$3:$I$344,8,FALSE)</f>
        <v>Character/Prefabs/m_boss_attacker_nullaxe_1</v>
      </c>
      <c r="X100" s="117"/>
      <c r="Y100" s="117" t="str">
        <f>VLOOKUP($C100,'#Data'!$B$3:$I$344,8,FALSE)</f>
        <v>m_boss_attacker_nullaxe_1</v>
      </c>
      <c r="Z100" s="117"/>
      <c r="AA100" s="117"/>
      <c r="AB100" s="117"/>
      <c r="AC100" s="121">
        <v>1.6</v>
      </c>
      <c r="AD100" s="117"/>
      <c r="AE100" s="117" t="s">
        <v>1449</v>
      </c>
      <c r="AF100" s="117" t="s">
        <v>153</v>
      </c>
      <c r="AG100" s="117" t="s">
        <v>2104</v>
      </c>
      <c r="AH100" s="85"/>
    </row>
    <row r="101" spans="1:34" x14ac:dyDescent="0.3">
      <c r="A101" s="117">
        <v>1110204302</v>
      </c>
      <c r="B101" s="117" t="s">
        <v>125</v>
      </c>
      <c r="C101" s="117" t="s">
        <v>154</v>
      </c>
      <c r="D101" s="117" t="str">
        <f>"Monster.Name."&amp;VLOOKUP($C101,'#Data'!$B$2:$J$344,2,FALSE)</f>
        <v>Monster.Name.nullaxe_2</v>
      </c>
      <c r="E101" s="117" t="s">
        <v>43</v>
      </c>
      <c r="F101" s="118" t="s">
        <v>44</v>
      </c>
      <c r="G101" s="117" t="s">
        <v>45</v>
      </c>
      <c r="H101" s="117" t="b">
        <f>IF(OR(VLOOKUP($C101,'#Data'!$B$2:$J$344,4,FALSE)="보스",VLOOKUP($C101,'#Data'!$B$2:$J$344,4,FALSE)="중간"),TRUE,FALSE)</f>
        <v>1</v>
      </c>
      <c r="I101" s="117" t="b">
        <v>1</v>
      </c>
      <c r="J101" s="117">
        <v>20</v>
      </c>
      <c r="K101" s="117">
        <f>VLOOKUP($A101,쿼리1[[ID]:[열1]],3,FALSE)</f>
        <v>10</v>
      </c>
      <c r="L101" s="119" t="str">
        <f>$B101&amp;"."&amp;VLOOKUP($C101,'#Data'!$B$2:$J$344,2,FALSE)&amp;".attack0"&amp;RIGHT(L$1,1)</f>
        <v>Sector04.nullaxe_2.attack01</v>
      </c>
      <c r="M101" s="119" t="str">
        <f>$B101&amp;"."&amp;VLOOKUP($C101,'#Data'!$B$2:$J$344,2,FALSE)&amp;".attack0"&amp;RIGHT(M$1,1)</f>
        <v>Sector04.nullaxe_2.attack02</v>
      </c>
      <c r="N101" s="119"/>
      <c r="O101" s="142" t="str">
        <f>$B101&amp;"."&amp;VLOOKUP($C101,'#Data'!$B$2:$J$344,2,FALSE)&amp;".skill0"&amp;RIGHT(O$1,1)</f>
        <v>Sector04.nullaxe_2.skill01</v>
      </c>
      <c r="P101" s="142" t="str">
        <f>$B101&amp;"."&amp;VLOOKUP($C101,'#Data'!$B$2:$J$344,2,FALSE)&amp;".skill0"&amp;RIGHT(P$1,1)</f>
        <v>Sector04.nullaxe_2.skill02</v>
      </c>
      <c r="Q101" s="142" t="str">
        <f>$B101&amp;"."&amp;VLOOKUP($C101,'#Data'!$B$2:$J$344,2,FALSE)&amp;".skill0"&amp;RIGHT(Q$1,1)</f>
        <v>Sector04.nullaxe_2.skill03</v>
      </c>
      <c r="R101" s="120" t="s">
        <v>155</v>
      </c>
      <c r="S101" s="120" t="s">
        <v>2073</v>
      </c>
      <c r="T101" s="120"/>
      <c r="U101" s="120"/>
      <c r="V101" s="117" t="b">
        <v>0</v>
      </c>
      <c r="W101" s="122" t="str">
        <f>"Character/Prefabs/"&amp;VLOOKUP($C101,'#Data'!$B$3:$I$344,8,FALSE)</f>
        <v>Character/Prefabs/m_boss_attacker_nullaxe_2</v>
      </c>
      <c r="X101" s="117"/>
      <c r="Y101" s="122" t="str">
        <f>VLOOKUP($C101,'#Data'!$B$3:$I$344,8,FALSE)</f>
        <v>m_boss_attacker_nullaxe_2</v>
      </c>
      <c r="Z101" s="117"/>
      <c r="AA101" s="117"/>
      <c r="AB101" s="117"/>
      <c r="AC101" s="121">
        <v>1.6</v>
      </c>
      <c r="AD101" s="117"/>
      <c r="AE101" s="117" t="s">
        <v>1450</v>
      </c>
      <c r="AF101" s="117" t="s">
        <v>1874</v>
      </c>
      <c r="AG101" s="117" t="s">
        <v>2104</v>
      </c>
      <c r="AH101" s="85"/>
    </row>
    <row r="102" spans="1:34" x14ac:dyDescent="0.3">
      <c r="A102" s="37">
        <v>1110205101</v>
      </c>
      <c r="B102" s="37" t="s">
        <v>156</v>
      </c>
      <c r="C102" s="37" t="s">
        <v>157</v>
      </c>
      <c r="D102" s="37" t="str">
        <f>"Monster.Name."&amp;VLOOKUP($C102,'#Data'!$B$2:$J$344,2,FALSE)</f>
        <v>Monster.Name.killer_drone_4</v>
      </c>
      <c r="E102" s="37" t="s">
        <v>43</v>
      </c>
      <c r="F102" s="38" t="s">
        <v>44</v>
      </c>
      <c r="G102" s="37" t="s">
        <v>45</v>
      </c>
      <c r="H102" s="37" t="b">
        <f>IF(OR(VLOOKUP($C102,'#Data'!$B$2:$J$344,4,FALSE)="보스",VLOOKUP($C102,'#Data'!$B$2:$J$344,4,FALSE)="중간"),TRUE,FALSE)</f>
        <v>0</v>
      </c>
      <c r="I102" s="37" t="b">
        <v>0</v>
      </c>
      <c r="J102" s="37">
        <v>10</v>
      </c>
      <c r="K102" s="37">
        <f>VLOOKUP($A102,쿼리1[[ID]:[열1]],3,FALSE)</f>
        <v>10</v>
      </c>
      <c r="L102" s="59" t="str">
        <f>$B102&amp;"."&amp;VLOOKUP($C102,'#Data'!$B$2:$J$344,2,FALSE)&amp;".attack0"&amp;RIGHT(L$1,1)</f>
        <v>Sector05.killer_drone_4.attack01</v>
      </c>
      <c r="M102" s="59"/>
      <c r="N102" s="59"/>
      <c r="O102" s="131" t="s">
        <v>2031</v>
      </c>
      <c r="P102" s="131" t="s">
        <v>1958</v>
      </c>
      <c r="Q102" s="60"/>
      <c r="R102" s="60"/>
      <c r="S102" s="60"/>
      <c r="T102" s="60"/>
      <c r="U102" s="60"/>
      <c r="V102" s="37" t="b">
        <v>0</v>
      </c>
      <c r="W102" s="37" t="str">
        <f>"Character/Prefabs/"&amp;VLOOKUP($C102,'#Data'!$B$3:$I$344,8,FALSE)</f>
        <v>Character/Prefabs/m_s_attacker_killer_drone_4</v>
      </c>
      <c r="X102" s="37"/>
      <c r="Y102" s="37" t="str">
        <f>VLOOKUP($C102,'#Data'!$B$3:$I$344,8,FALSE)</f>
        <v>m_s_attacker_killer_drone_4</v>
      </c>
      <c r="Z102" s="37"/>
      <c r="AA102" s="37"/>
      <c r="AB102" s="37"/>
      <c r="AC102" s="84">
        <v>0.7</v>
      </c>
      <c r="AD102" s="37"/>
      <c r="AE102" s="37"/>
      <c r="AF102" s="37"/>
      <c r="AG102" s="37" t="s">
        <v>2104</v>
      </c>
      <c r="AH102" s="85"/>
    </row>
    <row r="103" spans="1:34" x14ac:dyDescent="0.3">
      <c r="A103" s="37">
        <v>1110205102</v>
      </c>
      <c r="B103" s="37" t="s">
        <v>156</v>
      </c>
      <c r="C103" s="37" t="s">
        <v>158</v>
      </c>
      <c r="D103" s="37" t="str">
        <f>"Monster.Name."&amp;VLOOKUP($C103,'#Data'!$B$2:$J$344,2,FALSE)</f>
        <v>Monster.Name.killer_drone_2</v>
      </c>
      <c r="E103" s="37" t="s">
        <v>43</v>
      </c>
      <c r="F103" s="38" t="s">
        <v>44</v>
      </c>
      <c r="G103" s="37" t="s">
        <v>45</v>
      </c>
      <c r="H103" s="37" t="b">
        <f>IF(OR(VLOOKUP($C103,'#Data'!$B$2:$J$344,4,FALSE)="보스",VLOOKUP($C103,'#Data'!$B$2:$J$344,4,FALSE)="중간"),TRUE,FALSE)</f>
        <v>0</v>
      </c>
      <c r="I103" s="37" t="b">
        <v>0</v>
      </c>
      <c r="J103" s="37">
        <v>10</v>
      </c>
      <c r="K103" s="37">
        <f>VLOOKUP($A103,쿼리1[[ID]:[열1]],3,FALSE)</f>
        <v>10</v>
      </c>
      <c r="L103" s="59" t="str">
        <f>$B103&amp;"."&amp;VLOOKUP($C103,'#Data'!$B$2:$J$344,2,FALSE)&amp;".attack0"&amp;RIGHT(L$1,1)</f>
        <v>Sector05.killer_drone_2.attack01</v>
      </c>
      <c r="M103" s="59"/>
      <c r="N103" s="59"/>
      <c r="O103" s="131" t="s">
        <v>2032</v>
      </c>
      <c r="P103" s="131" t="s">
        <v>1958</v>
      </c>
      <c r="Q103" s="60"/>
      <c r="R103" s="60"/>
      <c r="S103" s="60"/>
      <c r="T103" s="60"/>
      <c r="U103" s="60"/>
      <c r="V103" s="37" t="b">
        <v>0</v>
      </c>
      <c r="W103" s="37" t="str">
        <f>"Character/Prefabs/"&amp;VLOOKUP($C103,'#Data'!$B$3:$I$344,8,FALSE)</f>
        <v>Character/Prefabs/m_s_attacker_killer_drone_2</v>
      </c>
      <c r="X103" s="37"/>
      <c r="Y103" s="37" t="str">
        <f>VLOOKUP($C103,'#Data'!$B$3:$I$344,8,FALSE)</f>
        <v>m_s_attacker_killer_drone_2</v>
      </c>
      <c r="Z103" s="37"/>
      <c r="AA103" s="37"/>
      <c r="AB103" s="37"/>
      <c r="AC103" s="84">
        <v>0.7</v>
      </c>
      <c r="AD103" s="37"/>
      <c r="AE103" s="37"/>
      <c r="AF103" s="37"/>
      <c r="AG103" s="37" t="s">
        <v>2104</v>
      </c>
      <c r="AH103" s="85"/>
    </row>
    <row r="104" spans="1:34" x14ac:dyDescent="0.3">
      <c r="A104" s="37">
        <v>1110205103</v>
      </c>
      <c r="B104" s="37" t="s">
        <v>156</v>
      </c>
      <c r="C104" s="37" t="s">
        <v>159</v>
      </c>
      <c r="D104" s="37" t="str">
        <f>"Monster.Name."&amp;VLOOKUP($C104,'#Data'!$B$2:$J$344,2,FALSE)</f>
        <v>Monster.Name.terminate_drone_3</v>
      </c>
      <c r="E104" s="37" t="s">
        <v>43</v>
      </c>
      <c r="F104" s="38" t="s">
        <v>44</v>
      </c>
      <c r="G104" s="37" t="s">
        <v>45</v>
      </c>
      <c r="H104" s="37" t="b">
        <f>IF(OR(VLOOKUP($C104,'#Data'!$B$2:$J$344,4,FALSE)="보스",VLOOKUP($C104,'#Data'!$B$2:$J$344,4,FALSE)="중간"),TRUE,FALSE)</f>
        <v>0</v>
      </c>
      <c r="I104" s="37" t="b">
        <v>0</v>
      </c>
      <c r="J104" s="37">
        <v>10</v>
      </c>
      <c r="K104" s="37">
        <f>VLOOKUP($A104,쿼리1[[ID]:[열1]],3,FALSE)</f>
        <v>10</v>
      </c>
      <c r="L104" s="59" t="str">
        <f>$B104&amp;"."&amp;VLOOKUP($C104,'#Data'!$B$2:$J$344,2,FALSE)&amp;".attack0"&amp;RIGHT(L$1,1)</f>
        <v>Sector05.terminate_drone_3.attack01</v>
      </c>
      <c r="M104" s="59"/>
      <c r="N104" s="59"/>
      <c r="O104" s="131" t="s">
        <v>2033</v>
      </c>
      <c r="P104" s="131" t="s">
        <v>1958</v>
      </c>
      <c r="Q104" s="60"/>
      <c r="R104" s="60"/>
      <c r="S104" s="60"/>
      <c r="T104" s="60"/>
      <c r="U104" s="60"/>
      <c r="V104" s="37" t="b">
        <v>0</v>
      </c>
      <c r="W104" s="37" t="str">
        <f>"Character/Prefabs/"&amp;VLOOKUP($C104,'#Data'!$B$3:$I$344,8,FALSE)</f>
        <v>Character/Prefabs/m_s_attacker_terminate_drone_3</v>
      </c>
      <c r="X104" s="37"/>
      <c r="Y104" s="37" t="str">
        <f>VLOOKUP($C104,'#Data'!$B$3:$I$344,8,FALSE)</f>
        <v>m_s_attacker_terminate_drone_3</v>
      </c>
      <c r="Z104" s="37"/>
      <c r="AA104" s="37"/>
      <c r="AB104" s="37"/>
      <c r="AC104" s="84">
        <v>0.7</v>
      </c>
      <c r="AD104" s="37"/>
      <c r="AE104" s="37"/>
      <c r="AF104" s="37"/>
      <c r="AG104" s="37" t="s">
        <v>2104</v>
      </c>
      <c r="AH104" s="85"/>
    </row>
    <row r="105" spans="1:34" x14ac:dyDescent="0.3">
      <c r="A105" s="37">
        <v>1110205104</v>
      </c>
      <c r="B105" s="37" t="s">
        <v>156</v>
      </c>
      <c r="C105" s="37" t="s">
        <v>160</v>
      </c>
      <c r="D105" s="37" t="str">
        <f>"Monster.Name."&amp;VLOOKUP($C105,'#Data'!$B$2:$J$344,2,FALSE)</f>
        <v>Monster.Name.clock_thunderdog_1</v>
      </c>
      <c r="E105" s="37" t="s">
        <v>43</v>
      </c>
      <c r="F105" s="38" t="s">
        <v>44</v>
      </c>
      <c r="G105" s="37" t="s">
        <v>45</v>
      </c>
      <c r="H105" s="37" t="b">
        <f>IF(OR(VLOOKUP($C105,'#Data'!$B$2:$J$344,4,FALSE)="보스",VLOOKUP($C105,'#Data'!$B$2:$J$344,4,FALSE)="중간"),TRUE,FALSE)</f>
        <v>0</v>
      </c>
      <c r="I105" s="37" t="b">
        <v>0</v>
      </c>
      <c r="J105" s="37">
        <v>10</v>
      </c>
      <c r="K105" s="37">
        <f>VLOOKUP($A105,쿼리1[[ID]:[열1]],3,FALSE)</f>
        <v>10</v>
      </c>
      <c r="L105" s="59" t="str">
        <f>$B105&amp;"."&amp;VLOOKUP($C105,'#Data'!$B$2:$J$344,2,FALSE)&amp;".attack0"&amp;RIGHT(L$1,1)</f>
        <v>Sector05.clock_thunderdog_1.attack01</v>
      </c>
      <c r="M105" s="59"/>
      <c r="N105" s="59"/>
      <c r="O105" s="131" t="s">
        <v>2034</v>
      </c>
      <c r="P105" s="131" t="s">
        <v>1958</v>
      </c>
      <c r="Q105" s="60"/>
      <c r="R105" s="60"/>
      <c r="S105" s="60"/>
      <c r="T105" s="60"/>
      <c r="U105" s="60"/>
      <c r="V105" s="37" t="b">
        <v>0</v>
      </c>
      <c r="W105" s="37" t="str">
        <f>"Character/Prefabs/"&amp;VLOOKUP($C105,'#Data'!$B$3:$I$344,8,FALSE)</f>
        <v>Character/Prefabs/m_s_attacker_clock_thunderdog_1</v>
      </c>
      <c r="X105" s="37"/>
      <c r="Y105" s="37" t="str">
        <f>VLOOKUP($C105,'#Data'!$B$3:$I$344,8,FALSE)</f>
        <v>m_s_attacker_clock_thunderdog_1</v>
      </c>
      <c r="Z105" s="37"/>
      <c r="AA105" s="37"/>
      <c r="AB105" s="37"/>
      <c r="AC105" s="84">
        <v>0.9</v>
      </c>
      <c r="AD105" s="37"/>
      <c r="AE105" s="37"/>
      <c r="AF105" s="37"/>
      <c r="AG105" s="37" t="s">
        <v>2104</v>
      </c>
      <c r="AH105" s="85"/>
    </row>
    <row r="106" spans="1:34" x14ac:dyDescent="0.3">
      <c r="A106" s="37">
        <v>1110205105</v>
      </c>
      <c r="B106" s="37" t="s">
        <v>156</v>
      </c>
      <c r="C106" s="37" t="s">
        <v>161</v>
      </c>
      <c r="D106" s="37" t="str">
        <f>"Monster.Name."&amp;VLOOKUP($C106,'#Data'!$B$2:$J$344,2,FALSE)</f>
        <v>Monster.Name.labtrooper_rifle_1</v>
      </c>
      <c r="E106" s="37" t="s">
        <v>47</v>
      </c>
      <c r="F106" s="38" t="s">
        <v>44</v>
      </c>
      <c r="G106" s="37" t="s">
        <v>45</v>
      </c>
      <c r="H106" s="37" t="b">
        <f>IF(OR(VLOOKUP($C106,'#Data'!$B$2:$J$344,4,FALSE)="보스",VLOOKUP($C106,'#Data'!$B$2:$J$344,4,FALSE)="중간"),TRUE,FALSE)</f>
        <v>0</v>
      </c>
      <c r="I106" s="37" t="b">
        <v>0</v>
      </c>
      <c r="J106" s="37">
        <v>10</v>
      </c>
      <c r="K106" s="37">
        <f>VLOOKUP($A106,쿼리1[[ID]:[열1]],3,FALSE)</f>
        <v>10</v>
      </c>
      <c r="L106" s="59" t="str">
        <f>$B106&amp;"."&amp;VLOOKUP($C106,'#Data'!$B$2:$J$344,2,FALSE)&amp;".attack0"&amp;RIGHT(L$1,1)</f>
        <v>Sector05.labtrooper_rifle_1.attack01</v>
      </c>
      <c r="M106" s="59"/>
      <c r="N106" s="59"/>
      <c r="O106" s="131" t="str">
        <f>$B106&amp;"."&amp;VLOOKUP($C106,'#Data'!$B$2:$J$344,2,FALSE)&amp;".skill0"&amp;RIGHT(O$1,1)</f>
        <v>Sector05.labtrooper_rifle_1.skill01</v>
      </c>
      <c r="P106" s="131" t="s">
        <v>2035</v>
      </c>
      <c r="Q106" s="131" t="s">
        <v>1958</v>
      </c>
      <c r="R106" s="60"/>
      <c r="S106" s="60"/>
      <c r="T106" s="60"/>
      <c r="U106" s="60"/>
      <c r="V106" s="37" t="b">
        <v>0</v>
      </c>
      <c r="W106" s="37" t="str">
        <f>"Character/Prefabs/"&amp;VLOOKUP($C106,'#Data'!$B$3:$I$344,8,FALSE)</f>
        <v>Character/Prefabs/m_m_ranger_labtrooper_rifle_1</v>
      </c>
      <c r="X106" s="37"/>
      <c r="Y106" s="37" t="str">
        <f>VLOOKUP($C106,'#Data'!$B$3:$I$344,8,FALSE)</f>
        <v>m_m_ranger_labtrooper_rifle_1</v>
      </c>
      <c r="Z106" s="37"/>
      <c r="AA106" s="37"/>
      <c r="AB106" s="37"/>
      <c r="AC106" s="84">
        <v>0.6</v>
      </c>
      <c r="AD106" s="37"/>
      <c r="AE106" s="37"/>
      <c r="AF106" s="37"/>
      <c r="AG106" s="37" t="s">
        <v>2104</v>
      </c>
      <c r="AH106" s="85"/>
    </row>
    <row r="107" spans="1:34" x14ac:dyDescent="0.3">
      <c r="A107" s="37">
        <v>1110205106</v>
      </c>
      <c r="B107" s="37" t="s">
        <v>156</v>
      </c>
      <c r="C107" s="37" t="s">
        <v>162</v>
      </c>
      <c r="D107" s="37" t="str">
        <f>"Monster.Name."&amp;VLOOKUP($C107,'#Data'!$B$2:$J$344,2,FALSE)</f>
        <v>Monster.Name.labtrooper_shield_1</v>
      </c>
      <c r="E107" s="37" t="s">
        <v>58</v>
      </c>
      <c r="F107" s="38" t="s">
        <v>44</v>
      </c>
      <c r="G107" s="37" t="s">
        <v>45</v>
      </c>
      <c r="H107" s="37" t="b">
        <f>IF(OR(VLOOKUP($C107,'#Data'!$B$2:$J$344,4,FALSE)="보스",VLOOKUP($C107,'#Data'!$B$2:$J$344,4,FALSE)="중간"),TRUE,FALSE)</f>
        <v>0</v>
      </c>
      <c r="I107" s="37" t="b">
        <v>0</v>
      </c>
      <c r="J107" s="37">
        <v>10</v>
      </c>
      <c r="K107" s="37">
        <f>VLOOKUP($A107,쿼리1[[ID]:[열1]],3,FALSE)</f>
        <v>10</v>
      </c>
      <c r="L107" s="59" t="str">
        <f>$B107&amp;"."&amp;VLOOKUP($C107,'#Data'!$B$2:$J$344,2,FALSE)&amp;".attack0"&amp;RIGHT(L$1,1)</f>
        <v>Sector05.labtrooper_shield_1.attack01</v>
      </c>
      <c r="M107" s="59"/>
      <c r="N107" s="59"/>
      <c r="O107" s="131" t="str">
        <f>$B107&amp;"."&amp;VLOOKUP($C107,'#Data'!$B$2:$J$344,2,FALSE)&amp;".skill0"&amp;RIGHT(O$1,1)</f>
        <v>Sector05.labtrooper_shield_1.skill01</v>
      </c>
      <c r="P107" s="131" t="s">
        <v>2036</v>
      </c>
      <c r="Q107" s="131" t="s">
        <v>1958</v>
      </c>
      <c r="R107" s="60"/>
      <c r="S107" s="60"/>
      <c r="T107" s="60"/>
      <c r="U107" s="60"/>
      <c r="V107" s="37" t="b">
        <v>0</v>
      </c>
      <c r="W107" s="37" t="str">
        <f>"Character/Prefabs/"&amp;VLOOKUP($C107,'#Data'!$B$3:$I$344,8,FALSE)</f>
        <v>Character/Prefabs/m_m_tanker_labtrooper_shield_1</v>
      </c>
      <c r="X107" s="37"/>
      <c r="Y107" s="37" t="str">
        <f>VLOOKUP($C107,'#Data'!$B$3:$I$344,8,FALSE)</f>
        <v>m_m_tanker_labtrooper_shield_1</v>
      </c>
      <c r="Z107" s="37"/>
      <c r="AA107" s="37"/>
      <c r="AB107" s="37"/>
      <c r="AC107" s="84">
        <v>0.6</v>
      </c>
      <c r="AD107" s="37"/>
      <c r="AE107" s="37"/>
      <c r="AF107" s="37"/>
      <c r="AG107" s="37" t="s">
        <v>2104</v>
      </c>
      <c r="AH107" s="85"/>
    </row>
    <row r="108" spans="1:34" x14ac:dyDescent="0.3">
      <c r="A108" s="37">
        <v>1110205107</v>
      </c>
      <c r="B108" s="37" t="s">
        <v>156</v>
      </c>
      <c r="C108" s="37" t="s">
        <v>163</v>
      </c>
      <c r="D108" s="37" t="str">
        <f>"Monster.Name."&amp;VLOOKUP($C108,'#Data'!$B$2:$J$344,2,FALSE)</f>
        <v>Monster.Name.labtrooper_flame_1</v>
      </c>
      <c r="E108" s="37" t="s">
        <v>43</v>
      </c>
      <c r="F108" s="38" t="s">
        <v>44</v>
      </c>
      <c r="G108" s="37" t="s">
        <v>45</v>
      </c>
      <c r="H108" s="37" t="b">
        <f>IF(OR(VLOOKUP($C108,'#Data'!$B$2:$J$344,4,FALSE)="보스",VLOOKUP($C108,'#Data'!$B$2:$J$344,4,FALSE)="중간"),TRUE,FALSE)</f>
        <v>0</v>
      </c>
      <c r="I108" s="37" t="b">
        <v>0</v>
      </c>
      <c r="J108" s="37">
        <v>10</v>
      </c>
      <c r="K108" s="37">
        <f>VLOOKUP($A108,쿼리1[[ID]:[열1]],3,FALSE)</f>
        <v>10</v>
      </c>
      <c r="L108" s="59" t="str">
        <f>$B108&amp;"."&amp;VLOOKUP($C108,'#Data'!$B$2:$J$344,2,FALSE)&amp;".attack0"&amp;RIGHT(L$1,1)</f>
        <v>Sector05.labtrooper_flame_1.attack01</v>
      </c>
      <c r="M108" s="59"/>
      <c r="N108" s="59"/>
      <c r="O108" s="131" t="str">
        <f>$B108&amp;"."&amp;VLOOKUP($C108,'#Data'!$B$2:$J$344,2,FALSE)&amp;".skill0"&amp;RIGHT(O$1,1)</f>
        <v>Sector05.labtrooper_flame_1.skill01</v>
      </c>
      <c r="P108" s="131" t="s">
        <v>2037</v>
      </c>
      <c r="Q108" s="131" t="s">
        <v>1958</v>
      </c>
      <c r="R108" s="60"/>
      <c r="S108" s="60"/>
      <c r="T108" s="60"/>
      <c r="U108" s="60"/>
      <c r="V108" s="37" t="b">
        <v>0</v>
      </c>
      <c r="W108" s="37" t="str">
        <f>"Character/Prefabs/"&amp;VLOOKUP($C108,'#Data'!$B$3:$I$344,8,FALSE)</f>
        <v>Character/Prefabs/m_m_attacker_labtrooper_flame_1</v>
      </c>
      <c r="X108" s="37"/>
      <c r="Y108" s="37" t="str">
        <f>VLOOKUP($C108,'#Data'!$B$3:$I$344,8,FALSE)</f>
        <v>m_m_attacker_labtrooper_flame_1</v>
      </c>
      <c r="Z108" s="37"/>
      <c r="AA108" s="37"/>
      <c r="AB108" s="37"/>
      <c r="AC108" s="84">
        <v>0.6</v>
      </c>
      <c r="AD108" s="37"/>
      <c r="AE108" s="37"/>
      <c r="AF108" s="37"/>
      <c r="AG108" s="37" t="s">
        <v>2104</v>
      </c>
      <c r="AH108" s="85"/>
    </row>
    <row r="109" spans="1:34" x14ac:dyDescent="0.3">
      <c r="A109" s="37">
        <v>1110205108</v>
      </c>
      <c r="B109" s="37" t="s">
        <v>156</v>
      </c>
      <c r="C109" s="37" t="s">
        <v>164</v>
      </c>
      <c r="D109" s="37" t="str">
        <f>"Monster.Name."&amp;VLOOKUP($C109,'#Data'!$B$2:$J$344,2,FALSE)</f>
        <v>Monster.Name.labtrooper_launcher_1</v>
      </c>
      <c r="E109" s="37" t="s">
        <v>47</v>
      </c>
      <c r="F109" s="38" t="s">
        <v>44</v>
      </c>
      <c r="G109" s="37" t="s">
        <v>45</v>
      </c>
      <c r="H109" s="37" t="b">
        <f>IF(OR(VLOOKUP($C109,'#Data'!$B$2:$J$344,4,FALSE)="보스",VLOOKUP($C109,'#Data'!$B$2:$J$344,4,FALSE)="중간"),TRUE,FALSE)</f>
        <v>0</v>
      </c>
      <c r="I109" s="37" t="b">
        <v>0</v>
      </c>
      <c r="J109" s="37">
        <v>10</v>
      </c>
      <c r="K109" s="37">
        <f>VLOOKUP($A109,쿼리1[[ID]:[열1]],3,FALSE)</f>
        <v>10</v>
      </c>
      <c r="L109" s="59" t="str">
        <f>$B109&amp;"."&amp;VLOOKUP($C109,'#Data'!$B$2:$J$344,2,FALSE)&amp;".attack0"&amp;RIGHT(L$1,1)</f>
        <v>Sector05.labtrooper_launcher_1.attack01</v>
      </c>
      <c r="M109" s="59"/>
      <c r="N109" s="59"/>
      <c r="O109" s="131" t="str">
        <f>$B109&amp;"."&amp;VLOOKUP($C109,'#Data'!$B$2:$J$344,2,FALSE)&amp;".skill0"&amp;RIGHT(O$1,1)</f>
        <v>Sector05.labtrooper_launcher_1.skill01</v>
      </c>
      <c r="P109" s="131" t="s">
        <v>2038</v>
      </c>
      <c r="Q109" s="131" t="s">
        <v>1958</v>
      </c>
      <c r="R109" s="60"/>
      <c r="S109" s="60"/>
      <c r="T109" s="60"/>
      <c r="U109" s="60"/>
      <c r="V109" s="37" t="b">
        <v>0</v>
      </c>
      <c r="W109" s="37" t="str">
        <f>"Character/Prefabs/"&amp;VLOOKUP($C109,'#Data'!$B$3:$I$344,8,FALSE)</f>
        <v>Character/Prefabs/m_m_ranger_labtrooper_launcher_1</v>
      </c>
      <c r="X109" s="37"/>
      <c r="Y109" s="37" t="str">
        <f>VLOOKUP($C109,'#Data'!$B$3:$I$344,8,FALSE)</f>
        <v>m_m_ranger_labtrooper_launcher_1</v>
      </c>
      <c r="Z109" s="37"/>
      <c r="AA109" s="37"/>
      <c r="AB109" s="37"/>
      <c r="AC109" s="84">
        <v>0.6</v>
      </c>
      <c r="AD109" s="37"/>
      <c r="AE109" s="37"/>
      <c r="AF109" s="37"/>
      <c r="AG109" s="37" t="s">
        <v>2104</v>
      </c>
      <c r="AH109" s="85"/>
    </row>
    <row r="110" spans="1:34" x14ac:dyDescent="0.3">
      <c r="A110" s="37">
        <v>1110205109</v>
      </c>
      <c r="B110" s="37" t="s">
        <v>156</v>
      </c>
      <c r="C110" s="37" t="s">
        <v>165</v>
      </c>
      <c r="D110" s="37" t="str">
        <f>"Monster.Name."&amp;VLOOKUP($C110,'#Data'!$B$2:$J$344,2,FALSE)</f>
        <v>Monster.Name.silhouette_flyer_3</v>
      </c>
      <c r="E110" s="37" t="s">
        <v>143</v>
      </c>
      <c r="F110" s="38" t="s">
        <v>44</v>
      </c>
      <c r="G110" s="37" t="s">
        <v>45</v>
      </c>
      <c r="H110" s="37" t="b">
        <f>IF(OR(VLOOKUP($C110,'#Data'!$B$2:$J$344,4,FALSE)="보스",VLOOKUP($C110,'#Data'!$B$2:$J$344,4,FALSE)="중간"),TRUE,FALSE)</f>
        <v>0</v>
      </c>
      <c r="I110" s="37" t="b">
        <v>0</v>
      </c>
      <c r="J110" s="37">
        <v>10</v>
      </c>
      <c r="K110" s="37">
        <f>VLOOKUP($A110,쿼리1[[ID]:[열1]],3,FALSE)</f>
        <v>10</v>
      </c>
      <c r="L110" s="59" t="str">
        <f>$B110&amp;"."&amp;VLOOKUP($C110,'#Data'!$B$2:$J$344,2,FALSE)&amp;".attack0"&amp;RIGHT(L$1,1)</f>
        <v>Sector05.silhouette_flyer_3.attack01</v>
      </c>
      <c r="M110" s="59"/>
      <c r="N110" s="59"/>
      <c r="O110" s="131" t="str">
        <f>$B110&amp;"."&amp;VLOOKUP($C110,'#Data'!$B$2:$J$344,2,FALSE)&amp;".skill0"&amp;RIGHT(O$1,1)</f>
        <v>Sector05.silhouette_flyer_3.skill01</v>
      </c>
      <c r="P110" s="131" t="s">
        <v>2039</v>
      </c>
      <c r="Q110" s="131" t="s">
        <v>1958</v>
      </c>
      <c r="R110" s="60"/>
      <c r="S110" s="60"/>
      <c r="T110" s="60"/>
      <c r="U110" s="60"/>
      <c r="V110" s="37" t="b">
        <v>0</v>
      </c>
      <c r="W110" s="37" t="str">
        <f>"Character/Prefabs/"&amp;VLOOKUP($C110,'#Data'!$B$3:$I$344,8,FALSE)</f>
        <v>Character/Prefabs/m_m_supporter_silhouette_flyer_3</v>
      </c>
      <c r="X110" s="37"/>
      <c r="Y110" s="37" t="str">
        <f>VLOOKUP($C110,'#Data'!$B$3:$I$344,8,FALSE)</f>
        <v>m_m_supporter_silhouette_flyer_3</v>
      </c>
      <c r="Z110" s="37"/>
      <c r="AA110" s="37"/>
      <c r="AB110" s="37"/>
      <c r="AC110" s="84">
        <v>0.8</v>
      </c>
      <c r="AD110" s="37"/>
      <c r="AE110" s="37"/>
      <c r="AF110" s="37"/>
      <c r="AG110" s="37" t="s">
        <v>2104</v>
      </c>
      <c r="AH110" s="85"/>
    </row>
    <row r="111" spans="1:34" x14ac:dyDescent="0.3">
      <c r="A111" s="37">
        <v>1110205110</v>
      </c>
      <c r="B111" s="37" t="s">
        <v>156</v>
      </c>
      <c r="C111" s="37" t="s">
        <v>166</v>
      </c>
      <c r="D111" s="37" t="str">
        <f>"Monster.Name."&amp;VLOOKUP($C111,'#Data'!$B$2:$J$344,2,FALSE)</f>
        <v>Monster.Name.harbor_cannon_1</v>
      </c>
      <c r="E111" s="37" t="s">
        <v>47</v>
      </c>
      <c r="F111" s="38" t="s">
        <v>44</v>
      </c>
      <c r="G111" s="37" t="s">
        <v>45</v>
      </c>
      <c r="H111" s="37" t="b">
        <f>IF(OR(VLOOKUP($C111,'#Data'!$B$2:$J$344,4,FALSE)="보스",VLOOKUP($C111,'#Data'!$B$2:$J$344,4,FALSE)="중간"),TRUE,FALSE)</f>
        <v>0</v>
      </c>
      <c r="I111" s="37" t="b">
        <v>0</v>
      </c>
      <c r="J111" s="37">
        <v>10</v>
      </c>
      <c r="K111" s="37">
        <f>VLOOKUP($A111,쿼리1[[ID]:[열1]],3,FALSE)</f>
        <v>20</v>
      </c>
      <c r="L111" s="59" t="str">
        <f>$B111&amp;"."&amp;VLOOKUP($C111,'#Data'!$B$2:$J$344,2,FALSE)&amp;".attack0"&amp;RIGHT(L$1,1)</f>
        <v>Sector05.harbor_cannon_1.attack01</v>
      </c>
      <c r="M111" s="59"/>
      <c r="N111" s="59"/>
      <c r="O111" s="131" t="str">
        <f>$B111&amp;"."&amp;VLOOKUP($C111,'#Data'!$B$2:$J$344,2,FALSE)&amp;".skill0"&amp;RIGHT(O$1,1)</f>
        <v>Sector05.harbor_cannon_1.skill01</v>
      </c>
      <c r="P111" s="131" t="s">
        <v>2040</v>
      </c>
      <c r="Q111" s="131" t="s">
        <v>1958</v>
      </c>
      <c r="R111" s="60"/>
      <c r="S111" s="60"/>
      <c r="T111" s="60"/>
      <c r="U111" s="60"/>
      <c r="V111" s="37" t="b">
        <v>0</v>
      </c>
      <c r="W111" s="37" t="str">
        <f>"Character/Prefabs/"&amp;VLOOKUP($C111,'#Data'!$B$3:$I$344,8,FALSE)</f>
        <v>Character/Prefabs/m_m_ranger_harbor_cannon_1</v>
      </c>
      <c r="X111" s="37"/>
      <c r="Y111" s="37" t="str">
        <f>VLOOKUP($C111,'#Data'!$B$3:$I$344,8,FALSE)</f>
        <v>m_m_ranger_harbor_cannon_1</v>
      </c>
      <c r="Z111" s="37"/>
      <c r="AA111" s="37"/>
      <c r="AB111" s="37"/>
      <c r="AC111" s="84">
        <v>0.7</v>
      </c>
      <c r="AD111" s="37"/>
      <c r="AE111" s="37"/>
      <c r="AF111" s="37"/>
      <c r="AG111" s="37" t="s">
        <v>2104</v>
      </c>
      <c r="AH111" s="85"/>
    </row>
    <row r="112" spans="1:34" x14ac:dyDescent="0.3">
      <c r="A112" s="51">
        <v>1110205111</v>
      </c>
      <c r="B112" s="51" t="s">
        <v>156</v>
      </c>
      <c r="C112" s="51" t="s">
        <v>1280</v>
      </c>
      <c r="D112" s="51" t="str">
        <f>"Monster.Name."&amp;VLOOKUP($C112,'#Data'!$B$2:$J$344,2,FALSE)</f>
        <v>Monster.Name.killer_drone_6</v>
      </c>
      <c r="E112" s="51" t="s">
        <v>43</v>
      </c>
      <c r="F112" s="52" t="s">
        <v>44</v>
      </c>
      <c r="G112" s="51" t="s">
        <v>45</v>
      </c>
      <c r="H112" s="51" t="b">
        <f>IF(OR(VLOOKUP($C112,'#Data'!$B$2:$J$344,4,FALSE)="보스",VLOOKUP($C112,'#Data'!$B$2:$J$344,4,FALSE)="중간"),TRUE,FALSE)</f>
        <v>0</v>
      </c>
      <c r="I112" s="51" t="b">
        <v>0</v>
      </c>
      <c r="J112" s="51">
        <v>10</v>
      </c>
      <c r="K112" s="51">
        <f>VLOOKUP($A112,쿼리1[[ID]:[열1]],3,FALSE)</f>
        <v>10</v>
      </c>
      <c r="L112" s="61" t="s">
        <v>1362</v>
      </c>
      <c r="M112" s="61"/>
      <c r="N112" s="61"/>
      <c r="O112" s="131" t="s">
        <v>2031</v>
      </c>
      <c r="P112" s="132" t="s">
        <v>1958</v>
      </c>
      <c r="Q112" s="132"/>
      <c r="R112" s="62"/>
      <c r="S112" s="62"/>
      <c r="T112" s="62"/>
      <c r="U112" s="62"/>
      <c r="V112" s="51" t="b">
        <v>0</v>
      </c>
      <c r="W112" s="51" t="str">
        <f>"Character/Prefabs/"&amp;VLOOKUP($C112,'#Data'!$B$3:$I$344,8,FALSE)</f>
        <v>Character/Prefabs/m_s_attacker_killer_drone_6</v>
      </c>
      <c r="X112" s="51"/>
      <c r="Y112" s="103" t="s">
        <v>1402</v>
      </c>
      <c r="Z112" s="51"/>
      <c r="AA112" s="51"/>
      <c r="AB112" s="51"/>
      <c r="AC112" s="86">
        <v>0.7</v>
      </c>
      <c r="AD112" s="51"/>
      <c r="AE112" s="51"/>
      <c r="AF112" s="51"/>
      <c r="AG112" s="51" t="s">
        <v>2104</v>
      </c>
      <c r="AH112" s="85"/>
    </row>
    <row r="113" spans="1:34" x14ac:dyDescent="0.3">
      <c r="A113" s="51">
        <v>1110205112</v>
      </c>
      <c r="B113" s="51" t="s">
        <v>156</v>
      </c>
      <c r="C113" s="51" t="s">
        <v>1282</v>
      </c>
      <c r="D113" s="51" t="str">
        <f>"Monster.Name."&amp;VLOOKUP($C113,'#Data'!$B$2:$J$344,2,FALSE)</f>
        <v>Monster.Name.killer_drone_5</v>
      </c>
      <c r="E113" s="51" t="s">
        <v>43</v>
      </c>
      <c r="F113" s="52" t="s">
        <v>44</v>
      </c>
      <c r="G113" s="51" t="s">
        <v>45</v>
      </c>
      <c r="H113" s="51" t="b">
        <f>IF(OR(VLOOKUP($C113,'#Data'!$B$2:$J$344,4,FALSE)="보스",VLOOKUP($C113,'#Data'!$B$2:$J$344,4,FALSE)="중간"),TRUE,FALSE)</f>
        <v>0</v>
      </c>
      <c r="I113" s="51" t="b">
        <v>0</v>
      </c>
      <c r="J113" s="51">
        <v>10</v>
      </c>
      <c r="K113" s="51">
        <f>VLOOKUP($A113,쿼리1[[ID]:[열1]],3,FALSE)</f>
        <v>10</v>
      </c>
      <c r="L113" s="61" t="s">
        <v>1363</v>
      </c>
      <c r="M113" s="61"/>
      <c r="N113" s="61"/>
      <c r="O113" s="131" t="s">
        <v>2032</v>
      </c>
      <c r="P113" s="132" t="s">
        <v>1958</v>
      </c>
      <c r="Q113" s="132"/>
      <c r="R113" s="62"/>
      <c r="S113" s="62"/>
      <c r="T113" s="62"/>
      <c r="U113" s="62"/>
      <c r="V113" s="51" t="b">
        <v>0</v>
      </c>
      <c r="W113" s="51" t="str">
        <f>"Character/Prefabs/"&amp;VLOOKUP($C113,'#Data'!$B$3:$I$344,8,FALSE)</f>
        <v>Character/Prefabs/m_s_attacker_killer_drone_5</v>
      </c>
      <c r="X113" s="51"/>
      <c r="Y113" s="104" t="s">
        <v>1403</v>
      </c>
      <c r="Z113" s="51"/>
      <c r="AA113" s="51"/>
      <c r="AB113" s="51"/>
      <c r="AC113" s="86">
        <v>0.7</v>
      </c>
      <c r="AD113" s="51"/>
      <c r="AE113" s="51"/>
      <c r="AF113" s="51"/>
      <c r="AG113" s="51" t="s">
        <v>2104</v>
      </c>
      <c r="AH113" s="85"/>
    </row>
    <row r="114" spans="1:34" x14ac:dyDescent="0.3">
      <c r="A114" s="51">
        <v>1110205113</v>
      </c>
      <c r="B114" s="51" t="s">
        <v>156</v>
      </c>
      <c r="C114" s="51" t="s">
        <v>1284</v>
      </c>
      <c r="D114" s="51" t="str">
        <f>"Monster.Name."&amp;VLOOKUP($C114,'#Data'!$B$2:$J$344,2,FALSE)</f>
        <v>Monster.Name.terminate_drone_4</v>
      </c>
      <c r="E114" s="51" t="s">
        <v>43</v>
      </c>
      <c r="F114" s="52" t="s">
        <v>44</v>
      </c>
      <c r="G114" s="51" t="s">
        <v>45</v>
      </c>
      <c r="H114" s="51" t="b">
        <f>IF(OR(VLOOKUP($C114,'#Data'!$B$2:$J$344,4,FALSE)="보스",VLOOKUP($C114,'#Data'!$B$2:$J$344,4,FALSE)="중간"),TRUE,FALSE)</f>
        <v>0</v>
      </c>
      <c r="I114" s="51" t="b">
        <v>0</v>
      </c>
      <c r="J114" s="51">
        <v>10</v>
      </c>
      <c r="K114" s="51">
        <f>VLOOKUP($A114,쿼리1[[ID]:[열1]],3,FALSE)</f>
        <v>10</v>
      </c>
      <c r="L114" s="61" t="s">
        <v>1364</v>
      </c>
      <c r="M114" s="61"/>
      <c r="N114" s="61"/>
      <c r="O114" s="131" t="s">
        <v>2033</v>
      </c>
      <c r="P114" s="132" t="s">
        <v>1958</v>
      </c>
      <c r="Q114" s="132"/>
      <c r="R114" s="62"/>
      <c r="S114" s="62"/>
      <c r="T114" s="62"/>
      <c r="U114" s="62"/>
      <c r="V114" s="51" t="b">
        <v>0</v>
      </c>
      <c r="W114" s="51" t="str">
        <f>"Character/Prefabs/"&amp;VLOOKUP($C114,'#Data'!$B$3:$I$344,8,FALSE)</f>
        <v>Character/Prefabs/m_s_attacker_terminate_drone_4</v>
      </c>
      <c r="X114" s="51"/>
      <c r="Y114" s="104" t="s">
        <v>1404</v>
      </c>
      <c r="Z114" s="51"/>
      <c r="AA114" s="51"/>
      <c r="AB114" s="51"/>
      <c r="AC114" s="86">
        <v>0.7</v>
      </c>
      <c r="AD114" s="51"/>
      <c r="AE114" s="51"/>
      <c r="AF114" s="51"/>
      <c r="AG114" s="51" t="s">
        <v>2104</v>
      </c>
      <c r="AH114" s="85"/>
    </row>
    <row r="115" spans="1:34" x14ac:dyDescent="0.3">
      <c r="A115" s="51">
        <v>1110205114</v>
      </c>
      <c r="B115" s="51" t="s">
        <v>156</v>
      </c>
      <c r="C115" s="51" t="s">
        <v>1286</v>
      </c>
      <c r="D115" s="51" t="str">
        <f>"Monster.Name."&amp;VLOOKUP($C115,'#Data'!$B$2:$J$344,2,FALSE)</f>
        <v>Monster.Name.clock_thunderdog_2</v>
      </c>
      <c r="E115" s="51" t="s">
        <v>43</v>
      </c>
      <c r="F115" s="52" t="s">
        <v>44</v>
      </c>
      <c r="G115" s="51" t="s">
        <v>45</v>
      </c>
      <c r="H115" s="51" t="b">
        <f>IF(OR(VLOOKUP($C115,'#Data'!$B$2:$J$344,4,FALSE)="보스",VLOOKUP($C115,'#Data'!$B$2:$J$344,4,FALSE)="중간"),TRUE,FALSE)</f>
        <v>0</v>
      </c>
      <c r="I115" s="51" t="b">
        <v>0</v>
      </c>
      <c r="J115" s="51">
        <v>10</v>
      </c>
      <c r="K115" s="51">
        <f>VLOOKUP($A115,쿼리1[[ID]:[열1]],3,FALSE)</f>
        <v>10</v>
      </c>
      <c r="L115" s="61" t="s">
        <v>1365</v>
      </c>
      <c r="M115" s="61"/>
      <c r="N115" s="61"/>
      <c r="O115" s="131" t="s">
        <v>2034</v>
      </c>
      <c r="P115" s="132" t="s">
        <v>1958</v>
      </c>
      <c r="Q115" s="132"/>
      <c r="R115" s="62"/>
      <c r="S115" s="62"/>
      <c r="T115" s="62"/>
      <c r="U115" s="62"/>
      <c r="V115" s="51" t="b">
        <v>0</v>
      </c>
      <c r="W115" s="51" t="str">
        <f>"Character/Prefabs/"&amp;VLOOKUP($C115,'#Data'!$B$3:$I$344,8,FALSE)</f>
        <v>Character/Prefabs/m_s_attacker_clock_thunderdog_2</v>
      </c>
      <c r="X115" s="51"/>
      <c r="Y115" s="104" t="s">
        <v>1405</v>
      </c>
      <c r="Z115" s="51"/>
      <c r="AA115" s="51"/>
      <c r="AB115" s="51"/>
      <c r="AC115" s="86">
        <v>0.9</v>
      </c>
      <c r="AD115" s="51"/>
      <c r="AE115" s="51"/>
      <c r="AF115" s="51"/>
      <c r="AG115" s="51" t="s">
        <v>2104</v>
      </c>
      <c r="AH115" s="85"/>
    </row>
    <row r="116" spans="1:34" x14ac:dyDescent="0.3">
      <c r="A116" s="51">
        <v>1110205115</v>
      </c>
      <c r="B116" s="51" t="s">
        <v>156</v>
      </c>
      <c r="C116" s="51" t="s">
        <v>1288</v>
      </c>
      <c r="D116" s="51" t="str">
        <f>"Monster.Name."&amp;VLOOKUP($C116,'#Data'!$B$2:$J$344,2,FALSE)</f>
        <v>Monster.Name.labtrooper_rifle_2</v>
      </c>
      <c r="E116" s="51" t="s">
        <v>47</v>
      </c>
      <c r="F116" s="52" t="s">
        <v>44</v>
      </c>
      <c r="G116" s="51" t="s">
        <v>45</v>
      </c>
      <c r="H116" s="51" t="b">
        <f>IF(OR(VLOOKUP($C116,'#Data'!$B$2:$J$344,4,FALSE)="보스",VLOOKUP($C116,'#Data'!$B$2:$J$344,4,FALSE)="중간"),TRUE,FALSE)</f>
        <v>0</v>
      </c>
      <c r="I116" s="51" t="b">
        <v>0</v>
      </c>
      <c r="J116" s="51">
        <v>10</v>
      </c>
      <c r="K116" s="51">
        <f>VLOOKUP($A116,쿼리1[[ID]:[열1]],3,FALSE)</f>
        <v>10</v>
      </c>
      <c r="L116" s="61" t="s">
        <v>1366</v>
      </c>
      <c r="M116" s="61"/>
      <c r="N116" s="61"/>
      <c r="O116" s="132" t="s">
        <v>1372</v>
      </c>
      <c r="P116" s="131" t="s">
        <v>2035</v>
      </c>
      <c r="Q116" s="132" t="s">
        <v>1958</v>
      </c>
      <c r="R116" s="62"/>
      <c r="S116" s="62"/>
      <c r="T116" s="62"/>
      <c r="U116" s="62"/>
      <c r="V116" s="51" t="b">
        <v>0</v>
      </c>
      <c r="W116" s="51" t="str">
        <f>"Character/Prefabs/"&amp;VLOOKUP($C116,'#Data'!$B$3:$I$344,8,FALSE)</f>
        <v>Character/Prefabs/m_m_ranger_labtrooper_rifle_2</v>
      </c>
      <c r="X116" s="51"/>
      <c r="Y116" s="104" t="s">
        <v>1406</v>
      </c>
      <c r="Z116" s="51"/>
      <c r="AA116" s="51"/>
      <c r="AB116" s="51"/>
      <c r="AC116" s="86">
        <v>0.6</v>
      </c>
      <c r="AD116" s="51"/>
      <c r="AE116" s="51"/>
      <c r="AF116" s="51"/>
      <c r="AG116" s="51" t="s">
        <v>2104</v>
      </c>
      <c r="AH116" s="85"/>
    </row>
    <row r="117" spans="1:34" x14ac:dyDescent="0.3">
      <c r="A117" s="51">
        <v>1110205116</v>
      </c>
      <c r="B117" s="51" t="s">
        <v>156</v>
      </c>
      <c r="C117" s="51" t="s">
        <v>1290</v>
      </c>
      <c r="D117" s="51" t="str">
        <f>"Monster.Name."&amp;VLOOKUP($C117,'#Data'!$B$2:$J$344,2,FALSE)</f>
        <v>Monster.Name.labtrooper_shield_2</v>
      </c>
      <c r="E117" s="51" t="s">
        <v>58</v>
      </c>
      <c r="F117" s="52" t="s">
        <v>44</v>
      </c>
      <c r="G117" s="51" t="s">
        <v>45</v>
      </c>
      <c r="H117" s="51" t="b">
        <f>IF(OR(VLOOKUP($C117,'#Data'!$B$2:$J$344,4,FALSE)="보스",VLOOKUP($C117,'#Data'!$B$2:$J$344,4,FALSE)="중간"),TRUE,FALSE)</f>
        <v>0</v>
      </c>
      <c r="I117" s="51" t="b">
        <v>0</v>
      </c>
      <c r="J117" s="51">
        <v>10</v>
      </c>
      <c r="K117" s="51">
        <f>VLOOKUP($A117,쿼리1[[ID]:[열1]],3,FALSE)</f>
        <v>10</v>
      </c>
      <c r="L117" s="61" t="s">
        <v>1367</v>
      </c>
      <c r="M117" s="61"/>
      <c r="N117" s="61"/>
      <c r="O117" s="132" t="s">
        <v>1373</v>
      </c>
      <c r="P117" s="131" t="s">
        <v>2036</v>
      </c>
      <c r="Q117" s="132" t="s">
        <v>1958</v>
      </c>
      <c r="R117" s="62"/>
      <c r="S117" s="62"/>
      <c r="T117" s="62"/>
      <c r="U117" s="62"/>
      <c r="V117" s="51" t="b">
        <v>0</v>
      </c>
      <c r="W117" s="51" t="str">
        <f>"Character/Prefabs/"&amp;VLOOKUP($C117,'#Data'!$B$3:$I$344,8,FALSE)</f>
        <v>Character/Prefabs/m_m_tanker_labtrooper_shield_2</v>
      </c>
      <c r="X117" s="51"/>
      <c r="Y117" s="104" t="s">
        <v>1407</v>
      </c>
      <c r="Z117" s="51"/>
      <c r="AA117" s="51"/>
      <c r="AB117" s="51"/>
      <c r="AC117" s="86">
        <v>0.6</v>
      </c>
      <c r="AD117" s="51"/>
      <c r="AE117" s="51"/>
      <c r="AF117" s="51"/>
      <c r="AG117" s="51" t="s">
        <v>2104</v>
      </c>
      <c r="AH117" s="85"/>
    </row>
    <row r="118" spans="1:34" x14ac:dyDescent="0.3">
      <c r="A118" s="51">
        <v>1110205117</v>
      </c>
      <c r="B118" s="51" t="s">
        <v>156</v>
      </c>
      <c r="C118" s="51" t="s">
        <v>1292</v>
      </c>
      <c r="D118" s="51" t="str">
        <f>"Monster.Name."&amp;VLOOKUP($C118,'#Data'!$B$2:$J$344,2,FALSE)</f>
        <v>Monster.Name.labtrooper_flame_2</v>
      </c>
      <c r="E118" s="51" t="s">
        <v>43</v>
      </c>
      <c r="F118" s="52" t="s">
        <v>44</v>
      </c>
      <c r="G118" s="51" t="s">
        <v>45</v>
      </c>
      <c r="H118" s="51" t="b">
        <f>IF(OR(VLOOKUP($C118,'#Data'!$B$2:$J$344,4,FALSE)="보스",VLOOKUP($C118,'#Data'!$B$2:$J$344,4,FALSE)="중간"),TRUE,FALSE)</f>
        <v>0</v>
      </c>
      <c r="I118" s="51" t="b">
        <v>0</v>
      </c>
      <c r="J118" s="51">
        <v>10</v>
      </c>
      <c r="K118" s="51">
        <f>VLOOKUP($A118,쿼리1[[ID]:[열1]],3,FALSE)</f>
        <v>10</v>
      </c>
      <c r="L118" s="61" t="s">
        <v>1368</v>
      </c>
      <c r="M118" s="61"/>
      <c r="N118" s="61"/>
      <c r="O118" s="132" t="s">
        <v>1374</v>
      </c>
      <c r="P118" s="131" t="s">
        <v>2037</v>
      </c>
      <c r="Q118" s="132" t="s">
        <v>1958</v>
      </c>
      <c r="R118" s="62"/>
      <c r="S118" s="62"/>
      <c r="T118" s="62"/>
      <c r="U118" s="62"/>
      <c r="V118" s="51" t="b">
        <v>0</v>
      </c>
      <c r="W118" s="51" t="str">
        <f>"Character/Prefabs/"&amp;VLOOKUP($C118,'#Data'!$B$3:$I$344,8,FALSE)</f>
        <v>Character/Prefabs/m_m_attacker_labtrooper_flame_2</v>
      </c>
      <c r="X118" s="51"/>
      <c r="Y118" s="104" t="s">
        <v>1408</v>
      </c>
      <c r="Z118" s="51"/>
      <c r="AA118" s="51"/>
      <c r="AB118" s="51"/>
      <c r="AC118" s="86">
        <v>0.6</v>
      </c>
      <c r="AD118" s="51"/>
      <c r="AE118" s="51"/>
      <c r="AF118" s="51"/>
      <c r="AG118" s="51" t="s">
        <v>2104</v>
      </c>
      <c r="AH118" s="85"/>
    </row>
    <row r="119" spans="1:34" x14ac:dyDescent="0.3">
      <c r="A119" s="51">
        <v>1110205118</v>
      </c>
      <c r="B119" s="51" t="s">
        <v>156</v>
      </c>
      <c r="C119" s="51" t="s">
        <v>1294</v>
      </c>
      <c r="D119" s="51" t="str">
        <f>"Monster.Name."&amp;VLOOKUP($C119,'#Data'!$B$2:$J$344,2,FALSE)</f>
        <v>Monster.Name.labtrooper_launcher_2</v>
      </c>
      <c r="E119" s="51" t="s">
        <v>47</v>
      </c>
      <c r="F119" s="52" t="s">
        <v>44</v>
      </c>
      <c r="G119" s="51" t="s">
        <v>45</v>
      </c>
      <c r="H119" s="51" t="b">
        <f>IF(OR(VLOOKUP($C119,'#Data'!$B$2:$J$344,4,FALSE)="보스",VLOOKUP($C119,'#Data'!$B$2:$J$344,4,FALSE)="중간"),TRUE,FALSE)</f>
        <v>0</v>
      </c>
      <c r="I119" s="51" t="b">
        <v>0</v>
      </c>
      <c r="J119" s="51">
        <v>10</v>
      </c>
      <c r="K119" s="51">
        <f>VLOOKUP($A119,쿼리1[[ID]:[열1]],3,FALSE)</f>
        <v>10</v>
      </c>
      <c r="L119" s="61" t="s">
        <v>1369</v>
      </c>
      <c r="M119" s="61"/>
      <c r="N119" s="61"/>
      <c r="O119" s="132" t="s">
        <v>1375</v>
      </c>
      <c r="P119" s="131" t="s">
        <v>2038</v>
      </c>
      <c r="Q119" s="132" t="s">
        <v>1958</v>
      </c>
      <c r="R119" s="62"/>
      <c r="S119" s="62"/>
      <c r="T119" s="62"/>
      <c r="U119" s="62"/>
      <c r="V119" s="51" t="b">
        <v>0</v>
      </c>
      <c r="W119" s="51" t="str">
        <f>"Character/Prefabs/"&amp;VLOOKUP($C119,'#Data'!$B$3:$I$344,8,FALSE)</f>
        <v>Character/Prefabs/m_m_ranger_labtrooper_launcher_2</v>
      </c>
      <c r="X119" s="51"/>
      <c r="Y119" s="104" t="s">
        <v>1409</v>
      </c>
      <c r="Z119" s="51"/>
      <c r="AA119" s="51"/>
      <c r="AB119" s="51"/>
      <c r="AC119" s="86">
        <v>0.6</v>
      </c>
      <c r="AD119" s="51"/>
      <c r="AE119" s="51"/>
      <c r="AF119" s="51"/>
      <c r="AG119" s="51" t="s">
        <v>2104</v>
      </c>
      <c r="AH119" s="85"/>
    </row>
    <row r="120" spans="1:34" x14ac:dyDescent="0.3">
      <c r="A120" s="51">
        <v>1110205119</v>
      </c>
      <c r="B120" s="51" t="s">
        <v>156</v>
      </c>
      <c r="C120" s="51" t="s">
        <v>1296</v>
      </c>
      <c r="D120" s="51" t="str">
        <f>"Monster.Name."&amp;VLOOKUP($C120,'#Data'!$B$2:$J$344,2,FALSE)</f>
        <v>Monster.Name.silhouette_flyer_4</v>
      </c>
      <c r="E120" s="51" t="s">
        <v>143</v>
      </c>
      <c r="F120" s="52" t="s">
        <v>44</v>
      </c>
      <c r="G120" s="51" t="s">
        <v>45</v>
      </c>
      <c r="H120" s="51" t="b">
        <f>IF(OR(VLOOKUP($C120,'#Data'!$B$2:$J$344,4,FALSE)="보스",VLOOKUP($C120,'#Data'!$B$2:$J$344,4,FALSE)="중간"),TRUE,FALSE)</f>
        <v>0</v>
      </c>
      <c r="I120" s="51" t="b">
        <v>0</v>
      </c>
      <c r="J120" s="51">
        <v>10</v>
      </c>
      <c r="K120" s="51">
        <f>VLOOKUP($A120,쿼리1[[ID]:[열1]],3,FALSE)</f>
        <v>10</v>
      </c>
      <c r="L120" s="61" t="s">
        <v>1370</v>
      </c>
      <c r="M120" s="61"/>
      <c r="N120" s="61"/>
      <c r="O120" s="132" t="s">
        <v>1376</v>
      </c>
      <c r="P120" s="131" t="s">
        <v>2039</v>
      </c>
      <c r="Q120" s="132" t="s">
        <v>1958</v>
      </c>
      <c r="R120" s="62"/>
      <c r="S120" s="62"/>
      <c r="T120" s="62"/>
      <c r="U120" s="62"/>
      <c r="V120" s="51" t="b">
        <v>0</v>
      </c>
      <c r="W120" s="51" t="str">
        <f>"Character/Prefabs/"&amp;VLOOKUP($C120,'#Data'!$B$3:$I$344,8,FALSE)</f>
        <v>Character/Prefabs/m_m_supporter_silhouette_flyer_4</v>
      </c>
      <c r="X120" s="51"/>
      <c r="Y120" s="104" t="s">
        <v>1410</v>
      </c>
      <c r="Z120" s="51"/>
      <c r="AA120" s="51"/>
      <c r="AB120" s="51"/>
      <c r="AC120" s="86">
        <v>0.8</v>
      </c>
      <c r="AD120" s="51"/>
      <c r="AE120" s="51"/>
      <c r="AF120" s="51"/>
      <c r="AG120" s="51" t="s">
        <v>2104</v>
      </c>
      <c r="AH120" s="85"/>
    </row>
    <row r="121" spans="1:34" x14ac:dyDescent="0.3">
      <c r="A121" s="51">
        <v>1110205120</v>
      </c>
      <c r="B121" s="51" t="s">
        <v>156</v>
      </c>
      <c r="C121" s="51" t="s">
        <v>1298</v>
      </c>
      <c r="D121" s="51" t="str">
        <f>"Monster.Name."&amp;VLOOKUP($C121,'#Data'!$B$2:$J$344,2,FALSE)</f>
        <v>Monster.Name.harbor_cannon_2</v>
      </c>
      <c r="E121" s="51" t="s">
        <v>47</v>
      </c>
      <c r="F121" s="52" t="s">
        <v>44</v>
      </c>
      <c r="G121" s="51" t="s">
        <v>45</v>
      </c>
      <c r="H121" s="51" t="b">
        <f>IF(OR(VLOOKUP($C121,'#Data'!$B$2:$J$344,4,FALSE)="보스",VLOOKUP($C121,'#Data'!$B$2:$J$344,4,FALSE)="중간"),TRUE,FALSE)</f>
        <v>0</v>
      </c>
      <c r="I121" s="51" t="b">
        <v>0</v>
      </c>
      <c r="J121" s="51">
        <v>10</v>
      </c>
      <c r="K121" s="51">
        <f>VLOOKUP($A121,쿼리1[[ID]:[열1]],3,FALSE)</f>
        <v>20</v>
      </c>
      <c r="L121" s="61" t="s">
        <v>1371</v>
      </c>
      <c r="M121" s="61"/>
      <c r="N121" s="61"/>
      <c r="O121" s="132" t="s">
        <v>1377</v>
      </c>
      <c r="P121" s="131" t="s">
        <v>2040</v>
      </c>
      <c r="Q121" s="132" t="s">
        <v>1958</v>
      </c>
      <c r="R121" s="62"/>
      <c r="S121" s="62"/>
      <c r="T121" s="62"/>
      <c r="U121" s="62"/>
      <c r="V121" s="51" t="b">
        <v>0</v>
      </c>
      <c r="W121" s="51" t="str">
        <f>"Character/Prefabs/"&amp;VLOOKUP($C121,'#Data'!$B$3:$I$344,8,FALSE)</f>
        <v>Character/Prefabs/m_m_ranger_harbor_cannon_2</v>
      </c>
      <c r="X121" s="51"/>
      <c r="Y121" s="104" t="s">
        <v>1411</v>
      </c>
      <c r="Z121" s="51"/>
      <c r="AA121" s="51"/>
      <c r="AB121" s="51"/>
      <c r="AC121" s="86">
        <v>0.7</v>
      </c>
      <c r="AD121" s="51"/>
      <c r="AE121" s="51"/>
      <c r="AF121" s="51"/>
      <c r="AG121" s="51" t="s">
        <v>2104</v>
      </c>
      <c r="AH121" s="85"/>
    </row>
    <row r="122" spans="1:34" x14ac:dyDescent="0.3">
      <c r="A122" s="37">
        <v>1110205201</v>
      </c>
      <c r="B122" s="37" t="s">
        <v>156</v>
      </c>
      <c r="C122" s="37" t="s">
        <v>167</v>
      </c>
      <c r="D122" s="37" t="str">
        <f>"Monster.Name."&amp;VLOOKUP($C122,'#Data'!$B$2:$J$344,2,FALSE)</f>
        <v>Monster.Name.labsuit_gun_1</v>
      </c>
      <c r="E122" s="37" t="s">
        <v>47</v>
      </c>
      <c r="F122" s="38" t="s">
        <v>44</v>
      </c>
      <c r="G122" s="37" t="s">
        <v>45</v>
      </c>
      <c r="H122" s="37" t="b">
        <f>IF(OR(VLOOKUP($C122,'#Data'!$B$2:$J$344,4,FALSE)="보스",VLOOKUP($C122,'#Data'!$B$2:$J$344,4,FALSE)="중간"),TRUE,FALSE)</f>
        <v>1</v>
      </c>
      <c r="I122" s="37" t="b">
        <v>1</v>
      </c>
      <c r="J122" s="37">
        <v>10</v>
      </c>
      <c r="K122" s="37">
        <f>VLOOKUP($A122,쿼리1[[ID]:[열1]],3,FALSE)</f>
        <v>10</v>
      </c>
      <c r="L122" s="59" t="str">
        <f>$B122&amp;"."&amp;VLOOKUP($C122,'#Data'!$B$2:$J$344,2,FALSE)&amp;".attack0"&amp;RIGHT(L$1,1)</f>
        <v>Sector05.labsuit_gun_1.attack01</v>
      </c>
      <c r="M122" s="59"/>
      <c r="N122" s="59"/>
      <c r="O122" s="131" t="str">
        <f>$B122&amp;"."&amp;VLOOKUP($C122,'#Data'!$B$2:$J$344,2,FALSE)&amp;".skill0"&amp;RIGHT(O$1,1)</f>
        <v>Sector05.labsuit_gun_1.skill01</v>
      </c>
      <c r="P122" s="131" t="str">
        <f>$B122&amp;"."&amp;VLOOKUP($C122,'#Data'!$B$2:$J$344,2,FALSE)&amp;".skill0"&amp;RIGHT(P$1,1)</f>
        <v>Sector05.labsuit_gun_1.skill02</v>
      </c>
      <c r="Q122" s="131" t="str">
        <f>$B122&amp;"."&amp;VLOOKUP($C122,'#Data'!$B$2:$J$344,2,FALSE)&amp;".skill0"&amp;RIGHT(Q$1,1)</f>
        <v>Sector05.labsuit_gun_1.skill03</v>
      </c>
      <c r="R122" s="60" t="s">
        <v>1958</v>
      </c>
      <c r="S122" s="60" t="s">
        <v>2078</v>
      </c>
      <c r="T122" s="60"/>
      <c r="U122" s="60"/>
      <c r="V122" s="37" t="b">
        <v>0</v>
      </c>
      <c r="W122" s="37" t="str">
        <f>"Character/Prefabs/"&amp;VLOOKUP($C122,'#Data'!$B$3:$I$344,8,FALSE)</f>
        <v>Character/Prefabs/m_l_ranger_labsuit_gun_1</v>
      </c>
      <c r="X122" s="37"/>
      <c r="Y122" s="37" t="str">
        <f>VLOOKUP($C122,'#Data'!$B$3:$I$344,8,FALSE)</f>
        <v>m_l_ranger_labsuit_gun_1</v>
      </c>
      <c r="Z122" s="37"/>
      <c r="AA122" s="37"/>
      <c r="AB122" s="37"/>
      <c r="AC122" s="84">
        <v>1.2</v>
      </c>
      <c r="AD122" s="37"/>
      <c r="AE122" s="37"/>
      <c r="AF122" s="37"/>
      <c r="AG122" s="37" t="s">
        <v>2104</v>
      </c>
      <c r="AH122" s="85"/>
    </row>
    <row r="123" spans="1:34" x14ac:dyDescent="0.3">
      <c r="A123" s="37">
        <v>1110205202</v>
      </c>
      <c r="B123" s="37" t="s">
        <v>156</v>
      </c>
      <c r="C123" s="37" t="s">
        <v>168</v>
      </c>
      <c r="D123" s="37" t="str">
        <f>"Monster.Name."&amp;VLOOKUP($C123,'#Data'!$B$2:$J$344,2,FALSE)</f>
        <v>Monster.Name.labmecha_punch_1</v>
      </c>
      <c r="E123" s="37" t="s">
        <v>58</v>
      </c>
      <c r="F123" s="38" t="s">
        <v>44</v>
      </c>
      <c r="G123" s="37" t="s">
        <v>45</v>
      </c>
      <c r="H123" s="37" t="b">
        <f>IF(OR(VLOOKUP($C123,'#Data'!$B$2:$J$344,4,FALSE)="보스",VLOOKUP($C123,'#Data'!$B$2:$J$344,4,FALSE)="중간"),TRUE,FALSE)</f>
        <v>1</v>
      </c>
      <c r="I123" s="37" t="b">
        <v>1</v>
      </c>
      <c r="J123" s="37">
        <v>20</v>
      </c>
      <c r="K123" s="37">
        <f>VLOOKUP($A123,쿼리1[[ID]:[열1]],3,FALSE)</f>
        <v>10</v>
      </c>
      <c r="L123" s="59" t="str">
        <f>$B123&amp;"."&amp;VLOOKUP($C123,'#Data'!$B$2:$J$344,2,FALSE)&amp;".attack0"&amp;RIGHT(L$1,1)</f>
        <v>Sector05.labmecha_punch_1.attack01</v>
      </c>
      <c r="M123" s="59"/>
      <c r="N123" s="59"/>
      <c r="O123" s="131" t="str">
        <f>$B123&amp;"."&amp;VLOOKUP($C123,'#Data'!$B$2:$J$344,2,FALSE)&amp;".skill0"&amp;RIGHT(O$1,1)</f>
        <v>Sector05.labmecha_punch_1.skill01</v>
      </c>
      <c r="P123" s="131" t="str">
        <f>$B123&amp;"."&amp;VLOOKUP($C123,'#Data'!$B$2:$J$344,2,FALSE)&amp;".skill0"&amp;RIGHT(P$1,1)</f>
        <v>Sector05.labmecha_punch_1.skill02</v>
      </c>
      <c r="Q123" s="131" t="str">
        <f>$B123&amp;"."&amp;VLOOKUP($C123,'#Data'!$B$2:$J$344,2,FALSE)&amp;".skill0"&amp;RIGHT(Q$1,1)</f>
        <v>Sector05.labmecha_punch_1.skill03</v>
      </c>
      <c r="R123" s="60" t="s">
        <v>1958</v>
      </c>
      <c r="S123" s="60" t="s">
        <v>2078</v>
      </c>
      <c r="T123" s="60"/>
      <c r="U123" s="60"/>
      <c r="V123" s="37" t="b">
        <v>0</v>
      </c>
      <c r="W123" s="37" t="str">
        <f>"Character/Prefabs/"&amp;VLOOKUP($C123,'#Data'!$B$3:$I$344,8,FALSE)</f>
        <v>Character/Prefabs/m_l_tanker_labmecha_punch_1</v>
      </c>
      <c r="X123" s="37"/>
      <c r="Y123" s="37" t="str">
        <f>VLOOKUP($C123,'#Data'!$B$3:$I$344,8,FALSE)</f>
        <v>m_l_tanker_labmecha_punch_1</v>
      </c>
      <c r="Z123" s="37"/>
      <c r="AA123" s="37"/>
      <c r="AB123" s="37"/>
      <c r="AC123" s="84">
        <v>0.9</v>
      </c>
      <c r="AD123" s="37"/>
      <c r="AE123" s="37"/>
      <c r="AF123" s="37"/>
      <c r="AG123" s="37" t="s">
        <v>2104</v>
      </c>
      <c r="AH123" s="85"/>
    </row>
    <row r="124" spans="1:34" x14ac:dyDescent="0.3">
      <c r="A124" s="37">
        <v>1110205203</v>
      </c>
      <c r="B124" s="37" t="s">
        <v>156</v>
      </c>
      <c r="C124" s="37" t="s">
        <v>169</v>
      </c>
      <c r="D124" s="37" t="str">
        <f>"Monster.Name."&amp;VLOOKUP($C124,'#Data'!$B$2:$J$344,2,FALSE)</f>
        <v>Monster.Name.labsuit_cannon_1</v>
      </c>
      <c r="E124" s="37" t="s">
        <v>47</v>
      </c>
      <c r="F124" s="38" t="s">
        <v>44</v>
      </c>
      <c r="G124" s="37" t="s">
        <v>45</v>
      </c>
      <c r="H124" s="37" t="b">
        <f>IF(OR(VLOOKUP($C124,'#Data'!$B$2:$J$344,4,FALSE)="보스",VLOOKUP($C124,'#Data'!$B$2:$J$344,4,FALSE)="중간"),TRUE,FALSE)</f>
        <v>1</v>
      </c>
      <c r="I124" s="37" t="b">
        <v>1</v>
      </c>
      <c r="J124" s="37">
        <v>10</v>
      </c>
      <c r="K124" s="37">
        <f>VLOOKUP($A124,쿼리1[[ID]:[열1]],3,FALSE)</f>
        <v>10</v>
      </c>
      <c r="L124" s="59" t="str">
        <f>$B124&amp;"."&amp;VLOOKUP($C124,'#Data'!$B$2:$J$344,2,FALSE)&amp;".attack0"&amp;RIGHT(L$1,1)</f>
        <v>Sector05.labsuit_cannon_1.attack01</v>
      </c>
      <c r="M124" s="59"/>
      <c r="N124" s="59"/>
      <c r="O124" s="131" t="str">
        <f>$B124&amp;"."&amp;VLOOKUP($C124,'#Data'!$B$2:$J$344,2,FALSE)&amp;".skill0"&amp;RIGHT(O$1,1)</f>
        <v>Sector05.labsuit_cannon_1.skill01</v>
      </c>
      <c r="P124" s="131" t="str">
        <f>$B124&amp;"."&amp;VLOOKUP($C124,'#Data'!$B$2:$J$344,2,FALSE)&amp;".skill0"&amp;RIGHT(P$1,1)</f>
        <v>Sector05.labsuit_cannon_1.skill02</v>
      </c>
      <c r="Q124" s="131" t="str">
        <f>$B124&amp;"."&amp;VLOOKUP($C124,'#Data'!$B$2:$J$344,2,FALSE)&amp;".skill0"&amp;RIGHT(Q$1,1)</f>
        <v>Sector05.labsuit_cannon_1.skill03</v>
      </c>
      <c r="R124" s="60" t="s">
        <v>1958</v>
      </c>
      <c r="S124" s="60" t="s">
        <v>2078</v>
      </c>
      <c r="T124" s="60"/>
      <c r="U124" s="60"/>
      <c r="V124" s="37" t="b">
        <v>0</v>
      </c>
      <c r="W124" s="37" t="str">
        <f>"Character/Prefabs/"&amp;VLOOKUP($C124,'#Data'!$B$3:$I$344,8,FALSE)</f>
        <v>Character/Prefabs/m_l_ranger_labsuit_cannon_1</v>
      </c>
      <c r="X124" s="37"/>
      <c r="Y124" s="37" t="str">
        <f>VLOOKUP($C124,'#Data'!$B$3:$I$344,8,FALSE)</f>
        <v>m_l_ranger_labsuit_cannon_1</v>
      </c>
      <c r="Z124" s="37"/>
      <c r="AA124" s="37"/>
      <c r="AB124" s="37"/>
      <c r="AC124" s="84">
        <v>0.9</v>
      </c>
      <c r="AD124" s="37"/>
      <c r="AE124" s="37"/>
      <c r="AF124" s="37"/>
      <c r="AG124" s="37" t="s">
        <v>2104</v>
      </c>
      <c r="AH124" s="85"/>
    </row>
    <row r="125" spans="1:34" x14ac:dyDescent="0.3">
      <c r="A125" s="77">
        <v>1110205301</v>
      </c>
      <c r="B125" s="77" t="s">
        <v>156</v>
      </c>
      <c r="C125" s="77" t="s">
        <v>170</v>
      </c>
      <c r="D125" s="77" t="str">
        <f>"Monster.Name."&amp;VLOOKUP($C125,'#Data'!$B$2:$J$344,2,FALSE)</f>
        <v>Monster.Name.goliath_1</v>
      </c>
      <c r="E125" s="77" t="s">
        <v>43</v>
      </c>
      <c r="F125" s="78" t="s">
        <v>44</v>
      </c>
      <c r="G125" s="77" t="s">
        <v>45</v>
      </c>
      <c r="H125" s="77" t="b">
        <f>IF(OR(VLOOKUP($C125,'#Data'!$B$2:$J$344,4,FALSE)="보스",VLOOKUP($C125,'#Data'!$B$2:$J$344,4,FALSE)="중간"),TRUE,FALSE)</f>
        <v>1</v>
      </c>
      <c r="I125" s="77" t="b">
        <v>1</v>
      </c>
      <c r="J125" s="77">
        <v>20</v>
      </c>
      <c r="K125" s="77">
        <f>VLOOKUP($A125,쿼리1[[ID]:[열1]],3,FALSE)</f>
        <v>10</v>
      </c>
      <c r="L125" s="79" t="str">
        <f>$B125&amp;"."&amp;VLOOKUP($C125,'#Data'!$B$2:$J$344,2,FALSE)&amp;".attack0"&amp;RIGHT(L$1,1)</f>
        <v>Sector05.goliath_1.attack01</v>
      </c>
      <c r="M125" s="79" t="str">
        <f>$B125&amp;"."&amp;VLOOKUP($C125,'#Data'!$B$2:$J$344,2,FALSE)&amp;".attack0"&amp;RIGHT(M$1,1)</f>
        <v>Sector05.goliath_1.attack02</v>
      </c>
      <c r="N125" s="79"/>
      <c r="O125" s="133" t="str">
        <f>$B125&amp;"."&amp;VLOOKUP($C125,'#Data'!$B$2:$J$344,2,FALSE)&amp;".skill0"&amp;RIGHT(O$1,1)</f>
        <v>Sector05.goliath_1.skill01</v>
      </c>
      <c r="P125" s="133" t="str">
        <f>$B125&amp;"."&amp;VLOOKUP($C125,'#Data'!$B$2:$J$344,2,FALSE)&amp;".skill0"&amp;RIGHT(P$1,1)</f>
        <v>Sector05.goliath_1.skill02</v>
      </c>
      <c r="Q125" s="133" t="str">
        <f>$B125&amp;"."&amp;VLOOKUP($C125,'#Data'!$B$2:$J$344,2,FALSE)&amp;".skill0"&amp;RIGHT(Q$1,1)</f>
        <v>Sector05.goliath_1.skill03</v>
      </c>
      <c r="R125" s="80" t="s">
        <v>171</v>
      </c>
      <c r="S125" s="80" t="s">
        <v>1973</v>
      </c>
      <c r="T125" s="80"/>
      <c r="U125" s="80"/>
      <c r="V125" s="77" t="b">
        <v>0</v>
      </c>
      <c r="W125" s="164" t="str">
        <f>"Character/Prefabs/"&amp;VLOOKUP($C125,'#Data'!$B$3:$I$344,8,FALSE)</f>
        <v>Character/Prefabs/m_boss_attacker_goliath_1</v>
      </c>
      <c r="X125" s="164"/>
      <c r="Y125" s="164" t="str">
        <f>VLOOKUP($C125,'#Data'!$B$3:$I$344,8,FALSE)</f>
        <v>m_boss_attacker_goliath_1</v>
      </c>
      <c r="Z125" s="77"/>
      <c r="AA125" s="77"/>
      <c r="AB125" s="77"/>
      <c r="AC125" s="87">
        <v>1.4</v>
      </c>
      <c r="AD125" s="77"/>
      <c r="AE125" s="77" t="s">
        <v>172</v>
      </c>
      <c r="AF125" s="77" t="s">
        <v>173</v>
      </c>
      <c r="AG125" s="77" t="s">
        <v>2104</v>
      </c>
      <c r="AH125" s="85"/>
    </row>
    <row r="126" spans="1:34" x14ac:dyDescent="0.3">
      <c r="A126" s="77">
        <v>1110205302</v>
      </c>
      <c r="B126" s="77" t="s">
        <v>156</v>
      </c>
      <c r="C126" s="77" t="s">
        <v>1971</v>
      </c>
      <c r="D126" s="77" t="str">
        <f>"Monster.Name."&amp;VLOOKUP($C126,'#Data'!$B$2:$J$344,2,FALSE)</f>
        <v>Monster.Name.goliath_4</v>
      </c>
      <c r="E126" s="77" t="s">
        <v>43</v>
      </c>
      <c r="F126" s="78" t="s">
        <v>44</v>
      </c>
      <c r="G126" s="77" t="s">
        <v>45</v>
      </c>
      <c r="H126" s="77" t="b">
        <f>IF(OR(VLOOKUP($C126,'#Data'!$B$2:$J$344,4,FALSE)="보스",VLOOKUP($C126,'#Data'!$B$2:$J$344,4,FALSE)="중간"),TRUE,FALSE)</f>
        <v>1</v>
      </c>
      <c r="I126" s="77" t="b">
        <v>1</v>
      </c>
      <c r="J126" s="77">
        <v>20</v>
      </c>
      <c r="K126" s="77">
        <f>VLOOKUP($A126,쿼리1[[ID]:[열1]],3,FALSE)</f>
        <v>10</v>
      </c>
      <c r="L126" s="79" t="str">
        <f>$B126&amp;"."&amp;VLOOKUP($C126,'#Data'!$B$2:$J$344,2,FALSE)&amp;".attack0"&amp;RIGHT(L$1,1)</f>
        <v>Sector05.goliath_4.attack01</v>
      </c>
      <c r="M126" s="79" t="str">
        <f>$B126&amp;"."&amp;VLOOKUP($C126,'#Data'!$B$2:$J$344,2,FALSE)&amp;".attack0"&amp;RIGHT(M$1,1)</f>
        <v>Sector05.goliath_4.attack02</v>
      </c>
      <c r="N126" s="79"/>
      <c r="O126" s="133" t="str">
        <f>$B126&amp;"."&amp;VLOOKUP($C126,'#Data'!$B$2:$J$344,2,FALSE)&amp;".skill0"&amp;RIGHT(O$1,1)</f>
        <v>Sector05.goliath_4.skill01</v>
      </c>
      <c r="P126" s="133" t="str">
        <f>$B126&amp;"."&amp;VLOOKUP($C126,'#Data'!$B$2:$J$344,2,FALSE)&amp;".skill0"&amp;RIGHT(P$1,1)</f>
        <v>Sector05.goliath_4.skill02</v>
      </c>
      <c r="Q126" s="133" t="str">
        <f>$B126&amp;"."&amp;VLOOKUP($C126,'#Data'!$B$2:$J$344,2,FALSE)&amp;".skill0"&amp;RIGHT(Q$1,1)</f>
        <v>Sector05.goliath_4.skill03</v>
      </c>
      <c r="R126" s="80" t="s">
        <v>2084</v>
      </c>
      <c r="S126" s="80" t="s">
        <v>2085</v>
      </c>
      <c r="T126" s="80"/>
      <c r="U126" s="80"/>
      <c r="V126" s="77" t="b">
        <v>0</v>
      </c>
      <c r="W126" s="164" t="str">
        <f>"Character/Prefabs/"&amp;VLOOKUP($C126,'#Data'!$B$3:$I$344,8,FALSE)</f>
        <v>Character/Prefabs/m_boss_attacker_goliath_4</v>
      </c>
      <c r="X126" s="164"/>
      <c r="Y126" s="164" t="str">
        <f>VLOOKUP($C126,'#Data'!$B$3:$I$344,8,FALSE)</f>
        <v>m_boss_attacker_goliath_4</v>
      </c>
      <c r="Z126" s="77"/>
      <c r="AA126" s="77"/>
      <c r="AB126" s="77"/>
      <c r="AC126" s="87">
        <v>1.4</v>
      </c>
      <c r="AD126" s="77"/>
      <c r="AE126" s="77" t="s">
        <v>2081</v>
      </c>
      <c r="AF126" s="77" t="s">
        <v>2097</v>
      </c>
      <c r="AG126" s="77" t="s">
        <v>2104</v>
      </c>
      <c r="AH126" s="85"/>
    </row>
    <row r="127" spans="1:34" x14ac:dyDescent="0.3">
      <c r="A127" s="12">
        <v>1110206101</v>
      </c>
      <c r="B127" s="12" t="s">
        <v>174</v>
      </c>
      <c r="C127" s="12" t="s">
        <v>175</v>
      </c>
      <c r="D127" s="12" t="str">
        <f>"Monster.Name."&amp;VLOOKUP($C127,'#Data'!$B$2:$J$344,2,FALSE)</f>
        <v>Monster.Name.polluter_patrol_1</v>
      </c>
      <c r="E127" s="12" t="s">
        <v>43</v>
      </c>
      <c r="F127" s="39" t="s">
        <v>44</v>
      </c>
      <c r="G127" s="12" t="s">
        <v>45</v>
      </c>
      <c r="H127" s="12" t="b">
        <f>IF(OR(VLOOKUP($C127,'#Data'!$B$2:$J$344,4,FALSE)="보스",VLOOKUP($C127,'#Data'!$B$2:$J$344,4,FALSE)="중간"),TRUE,FALSE)</f>
        <v>0</v>
      </c>
      <c r="I127" s="12" t="b">
        <v>0</v>
      </c>
      <c r="J127" s="12">
        <v>10</v>
      </c>
      <c r="K127" s="12">
        <f>VLOOKUP($A127,쿼리1[[ID]:[열1]],3,FALSE)</f>
        <v>10</v>
      </c>
      <c r="L127" s="63" t="str">
        <f>$B127&amp;"."&amp;VLOOKUP($C127,'#Data'!$B$2:$J$344,2,FALSE)&amp;".attack0"&amp;RIGHT(L$1,1)</f>
        <v>Sector06.polluter_patrol_1.attack01</v>
      </c>
      <c r="M127" s="63"/>
      <c r="N127" s="63"/>
      <c r="O127" s="134" t="s">
        <v>2041</v>
      </c>
      <c r="P127" s="134"/>
      <c r="Q127" s="134"/>
      <c r="R127" s="64"/>
      <c r="S127" s="64"/>
      <c r="T127" s="64"/>
      <c r="U127" s="64"/>
      <c r="V127" s="12" t="b">
        <v>0</v>
      </c>
      <c r="W127" s="12" t="str">
        <f>"Character/Prefabs/"&amp;VLOOKUP($C127,'#Data'!$B$3:$I$344,8,FALSE)</f>
        <v>Character/Prefabs/m_s_attacker_polluter_patrol_1</v>
      </c>
      <c r="X127" s="12"/>
      <c r="Y127" s="12" t="str">
        <f>VLOOKUP($C127,'#Data'!$B$3:$I$344,8,FALSE)</f>
        <v>m_s_attacker_polluter_patrol_1</v>
      </c>
      <c r="Z127" s="12"/>
      <c r="AA127" s="12"/>
      <c r="AB127" s="12"/>
      <c r="AC127" s="88">
        <v>0.9</v>
      </c>
      <c r="AD127" s="12"/>
      <c r="AE127" s="12"/>
      <c r="AF127" s="12"/>
      <c r="AG127" s="12" t="s">
        <v>2104</v>
      </c>
      <c r="AH127" s="85"/>
    </row>
    <row r="128" spans="1:34" x14ac:dyDescent="0.3">
      <c r="A128" s="12">
        <v>1110206102</v>
      </c>
      <c r="B128" s="12" t="s">
        <v>174</v>
      </c>
      <c r="C128" s="12" t="s">
        <v>176</v>
      </c>
      <c r="D128" s="12" t="str">
        <f>"Monster.Name."&amp;VLOOKUP($C128,'#Data'!$B$2:$J$344,2,FALSE)</f>
        <v>Monster.Name.polluter_eyeball_1</v>
      </c>
      <c r="E128" s="12" t="s">
        <v>47</v>
      </c>
      <c r="F128" s="39" t="s">
        <v>44</v>
      </c>
      <c r="G128" s="12" t="s">
        <v>45</v>
      </c>
      <c r="H128" s="12" t="b">
        <f>IF(OR(VLOOKUP($C128,'#Data'!$B$2:$J$344,4,FALSE)="보스",VLOOKUP($C128,'#Data'!$B$2:$J$344,4,FALSE)="중간"),TRUE,FALSE)</f>
        <v>0</v>
      </c>
      <c r="I128" s="12" t="b">
        <v>0</v>
      </c>
      <c r="J128" s="12">
        <v>10</v>
      </c>
      <c r="K128" s="12">
        <f>VLOOKUP($A128,쿼리1[[ID]:[열1]],3,FALSE)</f>
        <v>10</v>
      </c>
      <c r="L128" s="63" t="str">
        <f>$B128&amp;"."&amp;VLOOKUP($C128,'#Data'!$B$2:$J$344,2,FALSE)&amp;".attack0"&amp;RIGHT(L$1,1)</f>
        <v>Sector06.polluter_eyeball_1.attack01</v>
      </c>
      <c r="M128" s="63"/>
      <c r="N128" s="63"/>
      <c r="O128" s="134" t="s">
        <v>2042</v>
      </c>
      <c r="P128" s="134"/>
      <c r="Q128" s="134"/>
      <c r="R128" s="64"/>
      <c r="S128" s="64"/>
      <c r="T128" s="64"/>
      <c r="U128" s="64"/>
      <c r="V128" s="12" t="b">
        <v>0</v>
      </c>
      <c r="W128" s="12" t="str">
        <f>"Character/Prefabs/"&amp;VLOOKUP($C128,'#Data'!$B$3:$I$344,8,FALSE)</f>
        <v>Character/Prefabs/m_s_ranger_polluter_eyeball_1</v>
      </c>
      <c r="X128" s="12"/>
      <c r="Y128" s="12" t="str">
        <f>VLOOKUP($C128,'#Data'!$B$3:$I$344,8,FALSE)</f>
        <v>m_s_ranger_polluter_eyeball_1</v>
      </c>
      <c r="Z128" s="12"/>
      <c r="AA128" s="12"/>
      <c r="AB128" s="12"/>
      <c r="AC128" s="88">
        <v>0.9</v>
      </c>
      <c r="AD128" s="12"/>
      <c r="AE128" s="12"/>
      <c r="AF128" s="12"/>
      <c r="AG128" s="12" t="s">
        <v>2104</v>
      </c>
      <c r="AH128" s="85"/>
    </row>
    <row r="129" spans="1:34" x14ac:dyDescent="0.3">
      <c r="A129" s="12">
        <v>1110206103</v>
      </c>
      <c r="B129" s="12" t="s">
        <v>174</v>
      </c>
      <c r="C129" s="12" t="s">
        <v>177</v>
      </c>
      <c r="D129" s="12" t="str">
        <f>"Monster.Name."&amp;VLOOKUP($C129,'#Data'!$B$2:$J$344,2,FALSE)</f>
        <v>Monster.Name.polluter_exploder_1</v>
      </c>
      <c r="E129" s="12" t="s">
        <v>43</v>
      </c>
      <c r="F129" s="39" t="s">
        <v>44</v>
      </c>
      <c r="G129" s="12" t="s">
        <v>45</v>
      </c>
      <c r="H129" s="12" t="b">
        <f>IF(OR(VLOOKUP($C129,'#Data'!$B$2:$J$344,4,FALSE)="보스",VLOOKUP($C129,'#Data'!$B$2:$J$344,4,FALSE)="중간"),TRUE,FALSE)</f>
        <v>0</v>
      </c>
      <c r="I129" s="12" t="b">
        <v>0</v>
      </c>
      <c r="J129" s="12">
        <v>10</v>
      </c>
      <c r="K129" s="12">
        <f>VLOOKUP($A129,쿼리1[[ID]:[열1]],3,FALSE)</f>
        <v>10</v>
      </c>
      <c r="L129" s="63" t="str">
        <f>$B129&amp;"."&amp;VLOOKUP($C129,'#Data'!$B$2:$J$344,2,FALSE)&amp;".attack0"&amp;RIGHT(L$1,1)</f>
        <v>Sector06.polluter_exploder_1.attack01</v>
      </c>
      <c r="M129" s="63"/>
      <c r="N129" s="63"/>
      <c r="O129" s="134" t="str">
        <f>$B129&amp;"."&amp;VLOOKUP($C129,'#Data'!$B$2:$J$344,2,FALSE)&amp;".skill0"&amp;RIGHT(O$1,1)</f>
        <v>Sector06.polluter_exploder_1.skill01</v>
      </c>
      <c r="P129" s="134" t="s">
        <v>2043</v>
      </c>
      <c r="Q129" s="134"/>
      <c r="R129" s="64"/>
      <c r="S129" s="64"/>
      <c r="T129" s="64"/>
      <c r="U129" s="64"/>
      <c r="V129" s="12" t="b">
        <v>0</v>
      </c>
      <c r="W129" s="12" t="str">
        <f>"Character/Prefabs/"&amp;VLOOKUP($C129,'#Data'!$B$3:$I$344,8,FALSE)</f>
        <v>Character/Prefabs/m_s_attacker_polluter_exploder_1</v>
      </c>
      <c r="X129" s="12"/>
      <c r="Y129" s="12" t="str">
        <f>VLOOKUP($C129,'#Data'!$B$3:$I$344,8,FALSE)</f>
        <v>m_s_attacker_polluter_exploder_1</v>
      </c>
      <c r="Z129" s="12"/>
      <c r="AA129" s="12"/>
      <c r="AB129" s="12"/>
      <c r="AC129" s="88">
        <v>0.9</v>
      </c>
      <c r="AD129" s="12"/>
      <c r="AE129" s="12"/>
      <c r="AF129" s="12"/>
      <c r="AG129" s="12" t="s">
        <v>2104</v>
      </c>
      <c r="AH129" s="85"/>
    </row>
    <row r="130" spans="1:34" x14ac:dyDescent="0.3">
      <c r="A130" s="12">
        <v>1110206104</v>
      </c>
      <c r="B130" s="12" t="s">
        <v>174</v>
      </c>
      <c r="C130" s="12" t="s">
        <v>178</v>
      </c>
      <c r="D130" s="12" t="str">
        <f>"Monster.Name."&amp;VLOOKUP($C130,'#Data'!$B$2:$J$344,2,FALSE)</f>
        <v>Monster.Name.polluter_1</v>
      </c>
      <c r="E130" s="12" t="s">
        <v>43</v>
      </c>
      <c r="F130" s="39" t="s">
        <v>44</v>
      </c>
      <c r="G130" s="12" t="s">
        <v>45</v>
      </c>
      <c r="H130" s="12" t="b">
        <f>IF(OR(VLOOKUP($C130,'#Data'!$B$2:$J$344,4,FALSE)="보스",VLOOKUP($C130,'#Data'!$B$2:$J$344,4,FALSE)="중간"),TRUE,FALSE)</f>
        <v>0</v>
      </c>
      <c r="I130" s="12" t="b">
        <v>0</v>
      </c>
      <c r="J130" s="12">
        <v>10</v>
      </c>
      <c r="K130" s="12">
        <f>VLOOKUP($A130,쿼리1[[ID]:[열1]],3,FALSE)</f>
        <v>10</v>
      </c>
      <c r="L130" s="63" t="str">
        <f>$B130&amp;"."&amp;VLOOKUP($C130,'#Data'!$B$2:$J$344,2,FALSE)&amp;".attack0"&amp;RIGHT(L$1,1)</f>
        <v>Sector06.polluter_1.attack01</v>
      </c>
      <c r="M130" s="63"/>
      <c r="N130" s="63"/>
      <c r="O130" s="134" t="str">
        <f>$B130&amp;"."&amp;VLOOKUP($C130,'#Data'!$B$2:$J$344,2,FALSE)&amp;".skill0"&amp;RIGHT(O$1,1)</f>
        <v>Sector06.polluter_1.skill01</v>
      </c>
      <c r="P130" s="134" t="s">
        <v>2044</v>
      </c>
      <c r="Q130" s="134"/>
      <c r="R130" s="64"/>
      <c r="S130" s="64"/>
      <c r="T130" s="64"/>
      <c r="U130" s="64"/>
      <c r="V130" s="12" t="b">
        <v>0</v>
      </c>
      <c r="W130" s="12" t="str">
        <f>"Character/Prefabs/"&amp;VLOOKUP($C130,'#Data'!$B$3:$I$344,8,FALSE)</f>
        <v>Character/Prefabs/m_m_attacker_polluter_1</v>
      </c>
      <c r="X130" s="12"/>
      <c r="Y130" s="12" t="str">
        <f>VLOOKUP($C130,'#Data'!$B$3:$I$344,8,FALSE)</f>
        <v>m_m_attacker_polluter_1</v>
      </c>
      <c r="Z130" s="12"/>
      <c r="AA130" s="12"/>
      <c r="AB130" s="12"/>
      <c r="AC130" s="88">
        <v>0.6</v>
      </c>
      <c r="AD130" s="12"/>
      <c r="AE130" s="12"/>
      <c r="AF130" s="12"/>
      <c r="AG130" s="12" t="s">
        <v>2104</v>
      </c>
      <c r="AH130" s="85"/>
    </row>
    <row r="131" spans="1:34" x14ac:dyDescent="0.3">
      <c r="A131" s="12">
        <v>1110206105</v>
      </c>
      <c r="B131" s="12" t="s">
        <v>174</v>
      </c>
      <c r="C131" s="12" t="s">
        <v>179</v>
      </c>
      <c r="D131" s="12" t="str">
        <f>"Monster.Name."&amp;VLOOKUP($C131,'#Data'!$B$2:$J$344,2,FALSE)</f>
        <v>Monster.Name.polluter_edge_1</v>
      </c>
      <c r="E131" s="12" t="s">
        <v>43</v>
      </c>
      <c r="F131" s="39" t="s">
        <v>44</v>
      </c>
      <c r="G131" s="12" t="s">
        <v>45</v>
      </c>
      <c r="H131" s="12" t="b">
        <f>IF(OR(VLOOKUP($C131,'#Data'!$B$2:$J$344,4,FALSE)="보스",VLOOKUP($C131,'#Data'!$B$2:$J$344,4,FALSE)="중간"),TRUE,FALSE)</f>
        <v>0</v>
      </c>
      <c r="I131" s="12" t="b">
        <v>0</v>
      </c>
      <c r="J131" s="12">
        <v>10</v>
      </c>
      <c r="K131" s="12">
        <f>VLOOKUP($A131,쿼리1[[ID]:[열1]],3,FALSE)</f>
        <v>10</v>
      </c>
      <c r="L131" s="63" t="str">
        <f>$B131&amp;"."&amp;VLOOKUP($C131,'#Data'!$B$2:$J$344,2,FALSE)&amp;".attack0"&amp;RIGHT(L$1,1)</f>
        <v>Sector06.polluter_edge_1.attack01</v>
      </c>
      <c r="M131" s="63"/>
      <c r="N131" s="63"/>
      <c r="O131" s="134" t="str">
        <f>$B131&amp;"."&amp;VLOOKUP($C131,'#Data'!$B$2:$J$344,2,FALSE)&amp;".skill0"&amp;RIGHT(O$1,1)</f>
        <v>Sector06.polluter_edge_1.skill01</v>
      </c>
      <c r="P131" s="134" t="s">
        <v>2045</v>
      </c>
      <c r="Q131" s="134"/>
      <c r="R131" s="64"/>
      <c r="S131" s="64"/>
      <c r="T131" s="64"/>
      <c r="U131" s="64"/>
      <c r="V131" s="12" t="b">
        <v>0</v>
      </c>
      <c r="W131" s="12" t="str">
        <f>"Character/Prefabs/"&amp;VLOOKUP($C131,'#Data'!$B$3:$I$344,8,FALSE)</f>
        <v>Character/Prefabs/m_m_attacker_polluter_edge_1</v>
      </c>
      <c r="X131" s="12"/>
      <c r="Y131" s="12" t="str">
        <f>VLOOKUP($C131,'#Data'!$B$3:$I$344,8,FALSE)</f>
        <v>m_m_attacker_polluter_edge_1</v>
      </c>
      <c r="Z131" s="12"/>
      <c r="AA131" s="12"/>
      <c r="AB131" s="12"/>
      <c r="AC131" s="88">
        <v>0.6</v>
      </c>
      <c r="AD131" s="12"/>
      <c r="AE131" s="12"/>
      <c r="AF131" s="12"/>
      <c r="AG131" s="12" t="s">
        <v>2104</v>
      </c>
      <c r="AH131" s="85"/>
    </row>
    <row r="132" spans="1:34" x14ac:dyDescent="0.3">
      <c r="A132" s="12">
        <v>1110206106</v>
      </c>
      <c r="B132" s="12" t="s">
        <v>174</v>
      </c>
      <c r="C132" s="12" t="s">
        <v>180</v>
      </c>
      <c r="D132" s="12" t="str">
        <f>"Monster.Name."&amp;VLOOKUP($C132,'#Data'!$B$2:$J$344,2,FALSE)</f>
        <v>Monster.Name.polluter_fluid_1</v>
      </c>
      <c r="E132" s="12" t="s">
        <v>47</v>
      </c>
      <c r="F132" s="39" t="s">
        <v>44</v>
      </c>
      <c r="G132" s="12" t="s">
        <v>45</v>
      </c>
      <c r="H132" s="12" t="b">
        <f>IF(OR(VLOOKUP($C132,'#Data'!$B$2:$J$344,4,FALSE)="보스",VLOOKUP($C132,'#Data'!$B$2:$J$344,4,FALSE)="중간"),TRUE,FALSE)</f>
        <v>0</v>
      </c>
      <c r="I132" s="12" t="b">
        <v>0</v>
      </c>
      <c r="J132" s="12">
        <v>10</v>
      </c>
      <c r="K132" s="12">
        <f>VLOOKUP($A132,쿼리1[[ID]:[열1]],3,FALSE)</f>
        <v>10</v>
      </c>
      <c r="L132" s="63" t="str">
        <f>$B132&amp;"."&amp;VLOOKUP($C132,'#Data'!$B$2:$J$344,2,FALSE)&amp;".attack0"&amp;RIGHT(L$1,1)</f>
        <v>Sector06.polluter_fluid_1.attack01</v>
      </c>
      <c r="M132" s="63"/>
      <c r="N132" s="63"/>
      <c r="O132" s="134" t="str">
        <f>$B132&amp;"."&amp;VLOOKUP($C132,'#Data'!$B$2:$J$344,2,FALSE)&amp;".skill0"&amp;RIGHT(O$1,1)</f>
        <v>Sector06.polluter_fluid_1.skill01</v>
      </c>
      <c r="P132" s="134" t="s">
        <v>2046</v>
      </c>
      <c r="Q132" s="134"/>
      <c r="R132" s="64"/>
      <c r="S132" s="64"/>
      <c r="T132" s="64"/>
      <c r="U132" s="64"/>
      <c r="V132" s="12" t="b">
        <v>0</v>
      </c>
      <c r="W132" s="12" t="str">
        <f>"Character/Prefabs/"&amp;VLOOKUP($C132,'#Data'!$B$3:$I$344,8,FALSE)</f>
        <v>Character/Prefabs/m_m_ranger_polluter_fluid_1</v>
      </c>
      <c r="X132" s="12"/>
      <c r="Y132" s="12" t="str">
        <f>VLOOKUP($C132,'#Data'!$B$3:$I$344,8,FALSE)</f>
        <v>m_m_ranger_polluter_fluid_1</v>
      </c>
      <c r="Z132" s="12"/>
      <c r="AA132" s="12"/>
      <c r="AB132" s="12"/>
      <c r="AC132" s="88">
        <v>0.6</v>
      </c>
      <c r="AD132" s="12"/>
      <c r="AE132" s="12"/>
      <c r="AF132" s="12"/>
      <c r="AG132" s="12" t="s">
        <v>2104</v>
      </c>
      <c r="AH132" s="85"/>
    </row>
    <row r="133" spans="1:34" x14ac:dyDescent="0.3">
      <c r="A133" s="12">
        <v>1110206107</v>
      </c>
      <c r="B133" s="12" t="s">
        <v>174</v>
      </c>
      <c r="C133" s="12" t="s">
        <v>181</v>
      </c>
      <c r="D133" s="12" t="str">
        <f>"Monster.Name."&amp;VLOOKUP($C133,'#Data'!$B$2:$J$344,2,FALSE)</f>
        <v>Monster.Name.polluter_liquid_1</v>
      </c>
      <c r="E133" s="12" t="s">
        <v>47</v>
      </c>
      <c r="F133" s="39" t="s">
        <v>44</v>
      </c>
      <c r="G133" s="12" t="s">
        <v>45</v>
      </c>
      <c r="H133" s="12" t="b">
        <f>IF(OR(VLOOKUP($C133,'#Data'!$B$2:$J$344,4,FALSE)="보스",VLOOKUP($C133,'#Data'!$B$2:$J$344,4,FALSE)="중간"),TRUE,FALSE)</f>
        <v>0</v>
      </c>
      <c r="I133" s="12" t="b">
        <v>0</v>
      </c>
      <c r="J133" s="12">
        <v>10</v>
      </c>
      <c r="K133" s="12">
        <f>VLOOKUP($A133,쿼리1[[ID]:[열1]],3,FALSE)</f>
        <v>10</v>
      </c>
      <c r="L133" s="63" t="str">
        <f>$B133&amp;"."&amp;VLOOKUP($C133,'#Data'!$B$2:$J$344,2,FALSE)&amp;".attack0"&amp;RIGHT(L$1,1)</f>
        <v>Sector06.polluter_liquid_1.attack01</v>
      </c>
      <c r="M133" s="63"/>
      <c r="N133" s="63"/>
      <c r="O133" s="134" t="str">
        <f>$B133&amp;"."&amp;VLOOKUP($C133,'#Data'!$B$2:$J$344,2,FALSE)&amp;".skill0"&amp;RIGHT(O$1,1)</f>
        <v>Sector06.polluter_liquid_1.skill01</v>
      </c>
      <c r="P133" s="134" t="s">
        <v>2047</v>
      </c>
      <c r="Q133" s="134"/>
      <c r="R133" s="64"/>
      <c r="S133" s="64"/>
      <c r="T133" s="64"/>
      <c r="U133" s="64"/>
      <c r="V133" s="12" t="b">
        <v>0</v>
      </c>
      <c r="W133" s="12" t="str">
        <f>"Character/Prefabs/"&amp;VLOOKUP($C133,'#Data'!$B$3:$I$344,8,FALSE)</f>
        <v>Character/Prefabs/m_m_ranger_polluter_liquid_1</v>
      </c>
      <c r="X133" s="12"/>
      <c r="Y133" s="12" t="str">
        <f>VLOOKUP($C133,'#Data'!$B$3:$I$344,8,FALSE)</f>
        <v>m_m_ranger_polluter_liquid_1</v>
      </c>
      <c r="Z133" s="12"/>
      <c r="AA133" s="12"/>
      <c r="AB133" s="12"/>
      <c r="AC133" s="88">
        <v>0.6</v>
      </c>
      <c r="AD133" s="12"/>
      <c r="AE133" s="12"/>
      <c r="AF133" s="12"/>
      <c r="AG133" s="12" t="s">
        <v>2104</v>
      </c>
      <c r="AH133" s="85"/>
    </row>
    <row r="134" spans="1:34" x14ac:dyDescent="0.3">
      <c r="A134" s="12">
        <v>1110206108</v>
      </c>
      <c r="B134" s="12" t="s">
        <v>174</v>
      </c>
      <c r="C134" s="12" t="s">
        <v>182</v>
      </c>
      <c r="D134" s="12" t="str">
        <f>"Monster.Name."&amp;VLOOKUP($C134,'#Data'!$B$2:$J$344,2,FALSE)</f>
        <v>Monster.Name.polluter_fog_1</v>
      </c>
      <c r="E134" s="12" t="s">
        <v>143</v>
      </c>
      <c r="F134" s="39" t="s">
        <v>44</v>
      </c>
      <c r="G134" s="12" t="s">
        <v>45</v>
      </c>
      <c r="H134" s="12" t="b">
        <f>IF(OR(VLOOKUP($C134,'#Data'!$B$2:$J$344,4,FALSE)="보스",VLOOKUP($C134,'#Data'!$B$2:$J$344,4,FALSE)="중간"),TRUE,FALSE)</f>
        <v>0</v>
      </c>
      <c r="I134" s="12" t="b">
        <v>0</v>
      </c>
      <c r="J134" s="12">
        <v>10</v>
      </c>
      <c r="K134" s="12">
        <f>VLOOKUP($A134,쿼리1[[ID]:[열1]],3,FALSE)</f>
        <v>10</v>
      </c>
      <c r="L134" s="63" t="str">
        <f>$B134&amp;"."&amp;VLOOKUP($C134,'#Data'!$B$2:$J$344,2,FALSE)&amp;".attack0"&amp;RIGHT(L$1,1)</f>
        <v>Sector06.polluter_fog_1.attack01</v>
      </c>
      <c r="M134" s="63"/>
      <c r="N134" s="63"/>
      <c r="O134" s="134" t="str">
        <f>$B134&amp;"."&amp;VLOOKUP($C134,'#Data'!$B$2:$J$344,2,FALSE)&amp;".skill0"&amp;RIGHT(O$1,1)</f>
        <v>Sector06.polluter_fog_1.skill01</v>
      </c>
      <c r="P134" s="134" t="s">
        <v>2048</v>
      </c>
      <c r="Q134" s="134"/>
      <c r="R134" s="64"/>
      <c r="S134" s="64"/>
      <c r="T134" s="64"/>
      <c r="U134" s="64"/>
      <c r="V134" s="12" t="b">
        <v>0</v>
      </c>
      <c r="W134" s="12" t="str">
        <f>"Character/Prefabs/"&amp;VLOOKUP($C134,'#Data'!$B$3:$I$344,8,FALSE)</f>
        <v>Character/Prefabs/m_m_supporter_polluter_fog_1</v>
      </c>
      <c r="X134" s="12"/>
      <c r="Y134" s="12" t="str">
        <f>VLOOKUP($C134,'#Data'!$B$3:$I$344,8,FALSE)</f>
        <v>m_m_supporter_polluter_fog_1</v>
      </c>
      <c r="Z134" s="12"/>
      <c r="AA134" s="12"/>
      <c r="AB134" s="12"/>
      <c r="AC134" s="88">
        <v>0.6</v>
      </c>
      <c r="AD134" s="12"/>
      <c r="AE134" s="12"/>
      <c r="AF134" s="12"/>
      <c r="AG134" s="12" t="s">
        <v>2104</v>
      </c>
      <c r="AH134" s="85"/>
    </row>
    <row r="135" spans="1:34" x14ac:dyDescent="0.3">
      <c r="A135" s="12">
        <v>1110206109</v>
      </c>
      <c r="B135" s="12" t="s">
        <v>174</v>
      </c>
      <c r="C135" s="12" t="s">
        <v>183</v>
      </c>
      <c r="D135" s="12" t="str">
        <f>"Monster.Name."&amp;VLOOKUP($C135,'#Data'!$B$2:$J$344,2,FALSE)</f>
        <v>Monster.Name.polluter_haze_1</v>
      </c>
      <c r="E135" s="12" t="s">
        <v>143</v>
      </c>
      <c r="F135" s="39" t="s">
        <v>44</v>
      </c>
      <c r="G135" s="12" t="s">
        <v>45</v>
      </c>
      <c r="H135" s="12" t="b">
        <f>IF(OR(VLOOKUP($C135,'#Data'!$B$2:$J$344,4,FALSE)="보스",VLOOKUP($C135,'#Data'!$B$2:$J$344,4,FALSE)="중간"),TRUE,FALSE)</f>
        <v>0</v>
      </c>
      <c r="I135" s="12" t="b">
        <v>0</v>
      </c>
      <c r="J135" s="12">
        <v>10</v>
      </c>
      <c r="K135" s="12">
        <f>VLOOKUP($A135,쿼리1[[ID]:[열1]],3,FALSE)</f>
        <v>10</v>
      </c>
      <c r="L135" s="63" t="str">
        <f>$B135&amp;"."&amp;VLOOKUP($C135,'#Data'!$B$2:$J$344,2,FALSE)&amp;".attack0"&amp;RIGHT(L$1,1)</f>
        <v>Sector06.polluter_haze_1.attack01</v>
      </c>
      <c r="M135" s="63"/>
      <c r="N135" s="63"/>
      <c r="O135" s="134" t="str">
        <f>$B135&amp;"."&amp;VLOOKUP($C135,'#Data'!$B$2:$J$344,2,FALSE)&amp;".skill0"&amp;RIGHT(O$1,1)</f>
        <v>Sector06.polluter_haze_1.skill01</v>
      </c>
      <c r="P135" s="134" t="s">
        <v>2049</v>
      </c>
      <c r="Q135" s="134"/>
      <c r="R135" s="64"/>
      <c r="S135" s="64"/>
      <c r="T135" s="64"/>
      <c r="U135" s="64"/>
      <c r="V135" s="12" t="b">
        <v>0</v>
      </c>
      <c r="W135" s="12" t="str">
        <f>"Character/Prefabs/"&amp;VLOOKUP($C135,'#Data'!$B$3:$I$344,8,FALSE)</f>
        <v>Character/Prefabs/m_m_supporter_polluter_haze_1</v>
      </c>
      <c r="X135" s="12"/>
      <c r="Y135" s="12" t="str">
        <f>VLOOKUP($C135,'#Data'!$B$3:$I$344,8,FALSE)</f>
        <v>m_m_supporter_polluter_haze_1</v>
      </c>
      <c r="Z135" s="12"/>
      <c r="AA135" s="12"/>
      <c r="AB135" s="12"/>
      <c r="AC135" s="88">
        <v>0.6</v>
      </c>
      <c r="AD135" s="12"/>
      <c r="AE135" s="12"/>
      <c r="AF135" s="12"/>
      <c r="AG135" s="12" t="s">
        <v>2104</v>
      </c>
      <c r="AH135" s="85"/>
    </row>
    <row r="136" spans="1:34" x14ac:dyDescent="0.3">
      <c r="A136" s="49">
        <v>1110206110</v>
      </c>
      <c r="B136" s="49" t="s">
        <v>174</v>
      </c>
      <c r="C136" s="49" t="s">
        <v>1300</v>
      </c>
      <c r="D136" s="49" t="str">
        <f>"Monster.Name."&amp;VLOOKUP($C136,'#Data'!$B$2:$J$344,2,FALSE)</f>
        <v>Monster.Name.polluter_patrol_2</v>
      </c>
      <c r="E136" s="49" t="s">
        <v>43</v>
      </c>
      <c r="F136" s="50" t="s">
        <v>44</v>
      </c>
      <c r="G136" s="49" t="s">
        <v>45</v>
      </c>
      <c r="H136" s="49" t="b">
        <f>IF(OR(VLOOKUP($C136,'#Data'!$B$2:$J$344,4,FALSE)="보스",VLOOKUP($C136,'#Data'!$B$2:$J$344,4,FALSE)="중간"),TRUE,FALSE)</f>
        <v>0</v>
      </c>
      <c r="I136" s="49" t="b">
        <v>0</v>
      </c>
      <c r="J136" s="49">
        <v>10</v>
      </c>
      <c r="K136" s="49">
        <f>VLOOKUP($A136,쿼리1[[ID]:[열1]],3,FALSE)</f>
        <v>10</v>
      </c>
      <c r="L136" s="65" t="s">
        <v>1378</v>
      </c>
      <c r="M136" s="65"/>
      <c r="N136" s="65"/>
      <c r="O136" s="134" t="s">
        <v>2041</v>
      </c>
      <c r="P136" s="135"/>
      <c r="Q136" s="135"/>
      <c r="R136" s="66"/>
      <c r="S136" s="66"/>
      <c r="T136" s="66"/>
      <c r="U136" s="66"/>
      <c r="V136" s="49" t="b">
        <v>0</v>
      </c>
      <c r="W136" s="49" t="str">
        <f>"Character/Prefabs/"&amp;VLOOKUP($C136,'#Data'!$B$3:$I$344,8,FALSE)</f>
        <v>Character/Prefabs/m_s_attacker_polluter_patrol_2</v>
      </c>
      <c r="X136" s="49"/>
      <c r="Y136" s="49" t="str">
        <f>VLOOKUP($C136,'#Data'!$B$3:$I$344,8,FALSE)</f>
        <v>m_s_attacker_polluter_patrol_2</v>
      </c>
      <c r="Z136" s="49"/>
      <c r="AA136" s="49"/>
      <c r="AB136" s="49"/>
      <c r="AC136" s="89">
        <v>0.9</v>
      </c>
      <c r="AD136" s="49"/>
      <c r="AE136" s="49"/>
      <c r="AF136" s="49"/>
      <c r="AG136" s="49" t="s">
        <v>2104</v>
      </c>
      <c r="AH136" s="85"/>
    </row>
    <row r="137" spans="1:34" x14ac:dyDescent="0.3">
      <c r="A137" s="49">
        <v>1110206111</v>
      </c>
      <c r="B137" s="49" t="s">
        <v>174</v>
      </c>
      <c r="C137" s="49" t="s">
        <v>1302</v>
      </c>
      <c r="D137" s="49" t="str">
        <f>"Monster.Name."&amp;VLOOKUP($C137,'#Data'!$B$2:$J$344,2,FALSE)</f>
        <v>Monster.Name.polluter_eyeball_2</v>
      </c>
      <c r="E137" s="49" t="s">
        <v>47</v>
      </c>
      <c r="F137" s="50" t="s">
        <v>44</v>
      </c>
      <c r="G137" s="49" t="s">
        <v>45</v>
      </c>
      <c r="H137" s="49" t="b">
        <f>IF(OR(VLOOKUP($C137,'#Data'!$B$2:$J$344,4,FALSE)="보스",VLOOKUP($C137,'#Data'!$B$2:$J$344,4,FALSE)="중간"),TRUE,FALSE)</f>
        <v>0</v>
      </c>
      <c r="I137" s="49" t="b">
        <v>0</v>
      </c>
      <c r="J137" s="49">
        <v>10</v>
      </c>
      <c r="K137" s="49">
        <f>VLOOKUP($A137,쿼리1[[ID]:[열1]],3,FALSE)</f>
        <v>10</v>
      </c>
      <c r="L137" s="65" t="s">
        <v>1379</v>
      </c>
      <c r="M137" s="65"/>
      <c r="N137" s="65"/>
      <c r="O137" s="134" t="s">
        <v>2042</v>
      </c>
      <c r="P137" s="135"/>
      <c r="Q137" s="135"/>
      <c r="R137" s="66"/>
      <c r="S137" s="66"/>
      <c r="T137" s="66"/>
      <c r="U137" s="66"/>
      <c r="V137" s="49" t="b">
        <v>0</v>
      </c>
      <c r="W137" s="49" t="str">
        <f>"Character/Prefabs/"&amp;VLOOKUP($C137,'#Data'!$B$3:$I$344,8,FALSE)</f>
        <v>Character/Prefabs/m_s_ranger_polluter_eyeball_2</v>
      </c>
      <c r="X137" s="49"/>
      <c r="Y137" s="49" t="str">
        <f>VLOOKUP($C137,'#Data'!$B$3:$I$344,8,FALSE)</f>
        <v>m_s_ranger_polluter_eyeball_2</v>
      </c>
      <c r="Z137" s="49"/>
      <c r="AA137" s="49"/>
      <c r="AB137" s="49"/>
      <c r="AC137" s="89">
        <v>0.9</v>
      </c>
      <c r="AD137" s="49"/>
      <c r="AE137" s="49"/>
      <c r="AF137" s="49"/>
      <c r="AG137" s="49" t="s">
        <v>2104</v>
      </c>
      <c r="AH137" s="85"/>
    </row>
    <row r="138" spans="1:34" x14ac:dyDescent="0.3">
      <c r="A138" s="49">
        <v>1110206112</v>
      </c>
      <c r="B138" s="49" t="s">
        <v>174</v>
      </c>
      <c r="C138" s="49" t="s">
        <v>1304</v>
      </c>
      <c r="D138" s="49" t="str">
        <f>"Monster.Name."&amp;VLOOKUP($C138,'#Data'!$B$2:$J$344,2,FALSE)</f>
        <v>Monster.Name.polluter_exploder_2</v>
      </c>
      <c r="E138" s="49" t="s">
        <v>43</v>
      </c>
      <c r="F138" s="50" t="s">
        <v>44</v>
      </c>
      <c r="G138" s="49" t="s">
        <v>45</v>
      </c>
      <c r="H138" s="49" t="b">
        <f>IF(OR(VLOOKUP($C138,'#Data'!$B$2:$J$344,4,FALSE)="보스",VLOOKUP($C138,'#Data'!$B$2:$J$344,4,FALSE)="중간"),TRUE,FALSE)</f>
        <v>0</v>
      </c>
      <c r="I138" s="49" t="b">
        <v>0</v>
      </c>
      <c r="J138" s="49">
        <v>10</v>
      </c>
      <c r="K138" s="49">
        <f>VLOOKUP($A138,쿼리1[[ID]:[열1]],3,FALSE)</f>
        <v>10</v>
      </c>
      <c r="L138" s="65" t="s">
        <v>1380</v>
      </c>
      <c r="M138" s="65"/>
      <c r="N138" s="65"/>
      <c r="O138" s="135" t="s">
        <v>1387</v>
      </c>
      <c r="P138" s="134" t="s">
        <v>2043</v>
      </c>
      <c r="Q138" s="135"/>
      <c r="R138" s="66"/>
      <c r="S138" s="66"/>
      <c r="T138" s="66"/>
      <c r="U138" s="66"/>
      <c r="V138" s="49" t="b">
        <v>0</v>
      </c>
      <c r="W138" s="49" t="str">
        <f>"Character/Prefabs/"&amp;VLOOKUP($C138,'#Data'!$B$3:$I$344,8,FALSE)</f>
        <v>Character/Prefabs/m_s_attacker_polluter_exploder_2</v>
      </c>
      <c r="X138" s="49"/>
      <c r="Y138" s="49" t="str">
        <f>VLOOKUP($C138,'#Data'!$B$3:$I$344,8,FALSE)</f>
        <v>m_s_attacker_polluter_exploder_2</v>
      </c>
      <c r="Z138" s="49"/>
      <c r="AA138" s="49"/>
      <c r="AB138" s="49"/>
      <c r="AC138" s="89">
        <v>0.9</v>
      </c>
      <c r="AD138" s="49"/>
      <c r="AE138" s="49"/>
      <c r="AF138" s="49"/>
      <c r="AG138" s="49" t="s">
        <v>2104</v>
      </c>
      <c r="AH138" s="85"/>
    </row>
    <row r="139" spans="1:34" x14ac:dyDescent="0.3">
      <c r="A139" s="49">
        <v>1110206113</v>
      </c>
      <c r="B139" s="49" t="s">
        <v>174</v>
      </c>
      <c r="C139" s="49" t="s">
        <v>1306</v>
      </c>
      <c r="D139" s="49" t="str">
        <f>"Monster.Name."&amp;VLOOKUP($C139,'#Data'!$B$2:$J$344,2,FALSE)</f>
        <v>Monster.Name.polluter_2</v>
      </c>
      <c r="E139" s="49" t="s">
        <v>43</v>
      </c>
      <c r="F139" s="50" t="s">
        <v>44</v>
      </c>
      <c r="G139" s="49" t="s">
        <v>45</v>
      </c>
      <c r="H139" s="49" t="b">
        <f>IF(OR(VLOOKUP($C139,'#Data'!$B$2:$J$344,4,FALSE)="보스",VLOOKUP($C139,'#Data'!$B$2:$J$344,4,FALSE)="중간"),TRUE,FALSE)</f>
        <v>0</v>
      </c>
      <c r="I139" s="49" t="b">
        <v>0</v>
      </c>
      <c r="J139" s="49">
        <v>10</v>
      </c>
      <c r="K139" s="49">
        <f>VLOOKUP($A139,쿼리1[[ID]:[열1]],3,FALSE)</f>
        <v>10</v>
      </c>
      <c r="L139" s="65" t="s">
        <v>1381</v>
      </c>
      <c r="M139" s="65"/>
      <c r="N139" s="65"/>
      <c r="O139" s="135" t="s">
        <v>1388</v>
      </c>
      <c r="P139" s="134" t="s">
        <v>2044</v>
      </c>
      <c r="Q139" s="135"/>
      <c r="R139" s="66"/>
      <c r="S139" s="66"/>
      <c r="T139" s="66"/>
      <c r="U139" s="66"/>
      <c r="V139" s="49" t="b">
        <v>0</v>
      </c>
      <c r="W139" s="49" t="str">
        <f>"Character/Prefabs/"&amp;VLOOKUP($C139,'#Data'!$B$3:$I$344,8,FALSE)</f>
        <v>Character/Prefabs/m_m_attacker_polluter_2</v>
      </c>
      <c r="X139" s="49"/>
      <c r="Y139" s="49" t="str">
        <f>VLOOKUP($C139,'#Data'!$B$3:$I$344,8,FALSE)</f>
        <v>m_m_attacker_polluter_2</v>
      </c>
      <c r="Z139" s="49"/>
      <c r="AA139" s="49"/>
      <c r="AB139" s="49"/>
      <c r="AC139" s="89">
        <v>0.6</v>
      </c>
      <c r="AD139" s="49"/>
      <c r="AE139" s="49"/>
      <c r="AF139" s="49"/>
      <c r="AG139" s="49" t="s">
        <v>2104</v>
      </c>
      <c r="AH139" s="85"/>
    </row>
    <row r="140" spans="1:34" x14ac:dyDescent="0.3">
      <c r="A140" s="49">
        <v>1110206114</v>
      </c>
      <c r="B140" s="49" t="s">
        <v>174</v>
      </c>
      <c r="C140" s="49" t="s">
        <v>1308</v>
      </c>
      <c r="D140" s="49" t="str">
        <f>"Monster.Name."&amp;VLOOKUP($C140,'#Data'!$B$2:$J$344,2,FALSE)</f>
        <v>Monster.Name.polluter_edge_2</v>
      </c>
      <c r="E140" s="49" t="s">
        <v>43</v>
      </c>
      <c r="F140" s="50" t="s">
        <v>44</v>
      </c>
      <c r="G140" s="49" t="s">
        <v>45</v>
      </c>
      <c r="H140" s="49" t="b">
        <f>IF(OR(VLOOKUP($C140,'#Data'!$B$2:$J$344,4,FALSE)="보스",VLOOKUP($C140,'#Data'!$B$2:$J$344,4,FALSE)="중간"),TRUE,FALSE)</f>
        <v>0</v>
      </c>
      <c r="I140" s="49" t="b">
        <v>0</v>
      </c>
      <c r="J140" s="49">
        <v>10</v>
      </c>
      <c r="K140" s="49">
        <f>VLOOKUP($A140,쿼리1[[ID]:[열1]],3,FALSE)</f>
        <v>10</v>
      </c>
      <c r="L140" s="65" t="s">
        <v>1382</v>
      </c>
      <c r="M140" s="65"/>
      <c r="N140" s="65"/>
      <c r="O140" s="135" t="s">
        <v>1389</v>
      </c>
      <c r="P140" s="134" t="s">
        <v>2045</v>
      </c>
      <c r="Q140" s="135"/>
      <c r="R140" s="66"/>
      <c r="S140" s="66"/>
      <c r="T140" s="66"/>
      <c r="U140" s="66"/>
      <c r="V140" s="49" t="b">
        <v>0</v>
      </c>
      <c r="W140" s="49" t="str">
        <f>"Character/Prefabs/"&amp;VLOOKUP($C140,'#Data'!$B$3:$I$344,8,FALSE)</f>
        <v>Character/Prefabs/m_m_attacker_polluter_edge_2</v>
      </c>
      <c r="X140" s="49"/>
      <c r="Y140" s="49" t="str">
        <f>VLOOKUP($C140,'#Data'!$B$3:$I$344,8,FALSE)</f>
        <v>m_m_attacker_polluter_edge_2</v>
      </c>
      <c r="Z140" s="49"/>
      <c r="AA140" s="49"/>
      <c r="AB140" s="49"/>
      <c r="AC140" s="89">
        <v>0.6</v>
      </c>
      <c r="AD140" s="49"/>
      <c r="AE140" s="49"/>
      <c r="AF140" s="49"/>
      <c r="AG140" s="49" t="s">
        <v>2104</v>
      </c>
      <c r="AH140" s="85"/>
    </row>
    <row r="141" spans="1:34" x14ac:dyDescent="0.3">
      <c r="A141" s="49">
        <v>1110206115</v>
      </c>
      <c r="B141" s="49" t="s">
        <v>174</v>
      </c>
      <c r="C141" s="49" t="s">
        <v>1310</v>
      </c>
      <c r="D141" s="49" t="str">
        <f>"Monster.Name."&amp;VLOOKUP($C141,'#Data'!$B$2:$J$344,2,FALSE)</f>
        <v>Monster.Name.polluter_fluid_2</v>
      </c>
      <c r="E141" s="49" t="s">
        <v>47</v>
      </c>
      <c r="F141" s="50" t="s">
        <v>44</v>
      </c>
      <c r="G141" s="49" t="s">
        <v>45</v>
      </c>
      <c r="H141" s="49" t="b">
        <f>IF(OR(VLOOKUP($C141,'#Data'!$B$2:$J$344,4,FALSE)="보스",VLOOKUP($C141,'#Data'!$B$2:$J$344,4,FALSE)="중간"),TRUE,FALSE)</f>
        <v>0</v>
      </c>
      <c r="I141" s="49" t="b">
        <v>0</v>
      </c>
      <c r="J141" s="49">
        <v>10</v>
      </c>
      <c r="K141" s="49">
        <f>VLOOKUP($A141,쿼리1[[ID]:[열1]],3,FALSE)</f>
        <v>10</v>
      </c>
      <c r="L141" s="65" t="s">
        <v>1383</v>
      </c>
      <c r="M141" s="65"/>
      <c r="N141" s="65"/>
      <c r="O141" s="135" t="s">
        <v>1390</v>
      </c>
      <c r="P141" s="134" t="s">
        <v>2046</v>
      </c>
      <c r="Q141" s="135"/>
      <c r="R141" s="66"/>
      <c r="S141" s="66"/>
      <c r="T141" s="66"/>
      <c r="U141" s="66"/>
      <c r="V141" s="49" t="b">
        <v>0</v>
      </c>
      <c r="W141" s="49" t="str">
        <f>"Character/Prefabs/"&amp;VLOOKUP($C141,'#Data'!$B$3:$I$344,8,FALSE)</f>
        <v>Character/Prefabs/m_m_ranger_polluter_fluid_2</v>
      </c>
      <c r="X141" s="49"/>
      <c r="Y141" s="49" t="str">
        <f>VLOOKUP($C141,'#Data'!$B$3:$I$344,8,FALSE)</f>
        <v>m_m_ranger_polluter_fluid_2</v>
      </c>
      <c r="Z141" s="49"/>
      <c r="AA141" s="49"/>
      <c r="AB141" s="49"/>
      <c r="AC141" s="89">
        <v>0.6</v>
      </c>
      <c r="AD141" s="49"/>
      <c r="AE141" s="49"/>
      <c r="AF141" s="49"/>
      <c r="AG141" s="49" t="s">
        <v>2104</v>
      </c>
      <c r="AH141" s="85"/>
    </row>
    <row r="142" spans="1:34" x14ac:dyDescent="0.3">
      <c r="A142" s="49">
        <v>1110206116</v>
      </c>
      <c r="B142" s="49" t="s">
        <v>174</v>
      </c>
      <c r="C142" s="49" t="s">
        <v>1312</v>
      </c>
      <c r="D142" s="49" t="str">
        <f>"Monster.Name."&amp;VLOOKUP($C142,'#Data'!$B$2:$J$344,2,FALSE)</f>
        <v>Monster.Name.polluter_liquid_2</v>
      </c>
      <c r="E142" s="49" t="s">
        <v>47</v>
      </c>
      <c r="F142" s="50" t="s">
        <v>44</v>
      </c>
      <c r="G142" s="49" t="s">
        <v>45</v>
      </c>
      <c r="H142" s="49" t="b">
        <f>IF(OR(VLOOKUP($C142,'#Data'!$B$2:$J$344,4,FALSE)="보스",VLOOKUP($C142,'#Data'!$B$2:$J$344,4,FALSE)="중간"),TRUE,FALSE)</f>
        <v>0</v>
      </c>
      <c r="I142" s="49" t="b">
        <v>0</v>
      </c>
      <c r="J142" s="49">
        <v>10</v>
      </c>
      <c r="K142" s="49">
        <f>VLOOKUP($A142,쿼리1[[ID]:[열1]],3,FALSE)</f>
        <v>10</v>
      </c>
      <c r="L142" s="65" t="s">
        <v>1384</v>
      </c>
      <c r="M142" s="65"/>
      <c r="N142" s="65"/>
      <c r="O142" s="135" t="s">
        <v>1391</v>
      </c>
      <c r="P142" s="134" t="s">
        <v>2047</v>
      </c>
      <c r="Q142" s="135"/>
      <c r="R142" s="66"/>
      <c r="S142" s="66"/>
      <c r="T142" s="66"/>
      <c r="U142" s="66"/>
      <c r="V142" s="49" t="b">
        <v>0</v>
      </c>
      <c r="W142" s="49" t="str">
        <f>"Character/Prefabs/"&amp;VLOOKUP($C142,'#Data'!$B$3:$I$344,8,FALSE)</f>
        <v>Character/Prefabs/m_m_ranger_polluter_liquid_2</v>
      </c>
      <c r="X142" s="49"/>
      <c r="Y142" s="49" t="str">
        <f>VLOOKUP($C142,'#Data'!$B$3:$I$344,8,FALSE)</f>
        <v>m_m_ranger_polluter_liquid_2</v>
      </c>
      <c r="Z142" s="49"/>
      <c r="AA142" s="49"/>
      <c r="AB142" s="49"/>
      <c r="AC142" s="89">
        <v>0.6</v>
      </c>
      <c r="AD142" s="49"/>
      <c r="AE142" s="49"/>
      <c r="AF142" s="49"/>
      <c r="AG142" s="49" t="s">
        <v>2104</v>
      </c>
      <c r="AH142" s="85"/>
    </row>
    <row r="143" spans="1:34" x14ac:dyDescent="0.3">
      <c r="A143" s="49">
        <v>1110206117</v>
      </c>
      <c r="B143" s="49" t="s">
        <v>174</v>
      </c>
      <c r="C143" s="49" t="s">
        <v>1314</v>
      </c>
      <c r="D143" s="49" t="str">
        <f>"Monster.Name."&amp;VLOOKUP($C143,'#Data'!$B$2:$J$344,2,FALSE)</f>
        <v>Monster.Name.polluter_fog_2</v>
      </c>
      <c r="E143" s="49" t="s">
        <v>143</v>
      </c>
      <c r="F143" s="50" t="s">
        <v>44</v>
      </c>
      <c r="G143" s="49" t="s">
        <v>45</v>
      </c>
      <c r="H143" s="49" t="b">
        <f>IF(OR(VLOOKUP($C143,'#Data'!$B$2:$J$344,4,FALSE)="보스",VLOOKUP($C143,'#Data'!$B$2:$J$344,4,FALSE)="중간"),TRUE,FALSE)</f>
        <v>0</v>
      </c>
      <c r="I143" s="49" t="b">
        <v>0</v>
      </c>
      <c r="J143" s="49">
        <v>10</v>
      </c>
      <c r="K143" s="49">
        <f>VLOOKUP($A143,쿼리1[[ID]:[열1]],3,FALSE)</f>
        <v>10</v>
      </c>
      <c r="L143" s="65" t="s">
        <v>1385</v>
      </c>
      <c r="M143" s="65"/>
      <c r="N143" s="65"/>
      <c r="O143" s="135" t="s">
        <v>1392</v>
      </c>
      <c r="P143" s="134" t="s">
        <v>2048</v>
      </c>
      <c r="Q143" s="135"/>
      <c r="R143" s="66"/>
      <c r="S143" s="66"/>
      <c r="T143" s="66"/>
      <c r="U143" s="66"/>
      <c r="V143" s="49" t="b">
        <v>0</v>
      </c>
      <c r="W143" s="49" t="str">
        <f>"Character/Prefabs/"&amp;VLOOKUP($C143,'#Data'!$B$3:$I$344,8,FALSE)</f>
        <v>Character/Prefabs/m_m_supporter_polluter_fog_2</v>
      </c>
      <c r="X143" s="49"/>
      <c r="Y143" s="49" t="str">
        <f>VLOOKUP($C143,'#Data'!$B$3:$I$344,8,FALSE)</f>
        <v>m_m_supporter_polluter_fog_2</v>
      </c>
      <c r="Z143" s="49"/>
      <c r="AA143" s="49"/>
      <c r="AB143" s="49"/>
      <c r="AC143" s="89">
        <v>0.6</v>
      </c>
      <c r="AD143" s="49"/>
      <c r="AE143" s="49"/>
      <c r="AF143" s="49"/>
      <c r="AG143" s="49" t="s">
        <v>2104</v>
      </c>
      <c r="AH143" s="85"/>
    </row>
    <row r="144" spans="1:34" x14ac:dyDescent="0.3">
      <c r="A144" s="49">
        <v>1110206118</v>
      </c>
      <c r="B144" s="49" t="s">
        <v>174</v>
      </c>
      <c r="C144" s="49" t="s">
        <v>1316</v>
      </c>
      <c r="D144" s="49" t="str">
        <f>"Monster.Name."&amp;VLOOKUP($C144,'#Data'!$B$2:$J$344,2,FALSE)</f>
        <v>Monster.Name.polluter_haze_2</v>
      </c>
      <c r="E144" s="49" t="s">
        <v>143</v>
      </c>
      <c r="F144" s="50" t="s">
        <v>44</v>
      </c>
      <c r="G144" s="49" t="s">
        <v>45</v>
      </c>
      <c r="H144" s="49" t="b">
        <f>IF(OR(VLOOKUP($C144,'#Data'!$B$2:$J$344,4,FALSE)="보스",VLOOKUP($C144,'#Data'!$B$2:$J$344,4,FALSE)="중간"),TRUE,FALSE)</f>
        <v>0</v>
      </c>
      <c r="I144" s="49" t="b">
        <v>0</v>
      </c>
      <c r="J144" s="49">
        <v>10</v>
      </c>
      <c r="K144" s="49">
        <f>VLOOKUP($A144,쿼리1[[ID]:[열1]],3,FALSE)</f>
        <v>10</v>
      </c>
      <c r="L144" s="65" t="s">
        <v>1386</v>
      </c>
      <c r="M144" s="65"/>
      <c r="N144" s="65"/>
      <c r="O144" s="135" t="s">
        <v>1393</v>
      </c>
      <c r="P144" s="134" t="s">
        <v>2049</v>
      </c>
      <c r="Q144" s="135"/>
      <c r="R144" s="66"/>
      <c r="S144" s="66"/>
      <c r="T144" s="66"/>
      <c r="U144" s="66"/>
      <c r="V144" s="49" t="b">
        <v>0</v>
      </c>
      <c r="W144" s="49" t="str">
        <f>"Character/Prefabs/"&amp;VLOOKUP($C144,'#Data'!$B$3:$I$344,8,FALSE)</f>
        <v>Character/Prefabs/m_m_supporter_polluter_haze_2</v>
      </c>
      <c r="X144" s="49"/>
      <c r="Y144" s="49" t="str">
        <f>VLOOKUP($C144,'#Data'!$B$3:$I$344,8,FALSE)</f>
        <v>m_m_supporter_polluter_haze_2</v>
      </c>
      <c r="Z144" s="49"/>
      <c r="AA144" s="49"/>
      <c r="AB144" s="49"/>
      <c r="AC144" s="89">
        <v>0.6</v>
      </c>
      <c r="AD144" s="49"/>
      <c r="AE144" s="49"/>
      <c r="AF144" s="49"/>
      <c r="AG144" s="49" t="s">
        <v>2104</v>
      </c>
      <c r="AH144" s="85"/>
    </row>
    <row r="145" spans="1:34" x14ac:dyDescent="0.3">
      <c r="A145" s="12">
        <v>1110206201</v>
      </c>
      <c r="B145" s="12" t="s">
        <v>174</v>
      </c>
      <c r="C145" s="12" t="s">
        <v>184</v>
      </c>
      <c r="D145" s="12" t="str">
        <f>"Monster.Name."&amp;VLOOKUP($C145,'#Data'!$B$2:$J$344,2,FALSE)</f>
        <v>Monster.Name.polluter_chunk_1</v>
      </c>
      <c r="E145" s="12" t="s">
        <v>43</v>
      </c>
      <c r="F145" s="39" t="s">
        <v>44</v>
      </c>
      <c r="G145" s="12" t="s">
        <v>45</v>
      </c>
      <c r="H145" s="12" t="b">
        <f>IF(OR(VLOOKUP($C145,'#Data'!$B$2:$J$344,4,FALSE)="보스",VLOOKUP($C145,'#Data'!$B$2:$J$344,4,FALSE)="중간"),TRUE,FALSE)</f>
        <v>1</v>
      </c>
      <c r="I145" s="12" t="b">
        <v>1</v>
      </c>
      <c r="J145" s="12">
        <v>10</v>
      </c>
      <c r="K145" s="12">
        <f>VLOOKUP($A145,쿼리1[[ID]:[열1]],3,FALSE)</f>
        <v>10</v>
      </c>
      <c r="L145" s="63" t="str">
        <f>$B145&amp;"."&amp;VLOOKUP($C145,'#Data'!$B$2:$J$344,2,FALSE)&amp;".attack0"&amp;RIGHT(L$1,1)</f>
        <v>Sector06.polluter_chunk_1.attack01</v>
      </c>
      <c r="M145" s="63"/>
      <c r="N145" s="63"/>
      <c r="O145" s="134" t="str">
        <f>$B145&amp;"."&amp;VLOOKUP($C145,'#Data'!$B$2:$J$344,2,FALSE)&amp;".skill0"&amp;RIGHT(O$1,1)</f>
        <v>Sector06.polluter_chunk_1.skill01</v>
      </c>
      <c r="P145" s="134" t="str">
        <f>$B145&amp;"."&amp;VLOOKUP($C145,'#Data'!$B$2:$J$344,2,FALSE)&amp;".skill0"&amp;RIGHT(P$1,1)</f>
        <v>Sector06.polluter_chunk_1.skill02</v>
      </c>
      <c r="Q145" s="134" t="str">
        <f>$B145&amp;"."&amp;VLOOKUP($C145,'#Data'!$B$2:$J$344,2,FALSE)&amp;".skill0"&amp;RIGHT(Q$1,1)</f>
        <v>Sector06.polluter_chunk_1.skill03</v>
      </c>
      <c r="R145" s="64"/>
      <c r="S145" s="64" t="s">
        <v>2078</v>
      </c>
      <c r="T145" s="64"/>
      <c r="U145" s="64"/>
      <c r="V145" s="12" t="b">
        <v>0</v>
      </c>
      <c r="W145" s="12" t="str">
        <f>"Character/Prefabs/"&amp;VLOOKUP($C145,'#Data'!$B$3:$I$344,8,FALSE)</f>
        <v>Character/Prefabs/m_l_attacker_polluter_chunk_1</v>
      </c>
      <c r="X145" s="12"/>
      <c r="Y145" s="12" t="str">
        <f>VLOOKUP($C145,'#Data'!$B$3:$I$344,8,FALSE)</f>
        <v>m_l_attacker_polluter_chunk_1</v>
      </c>
      <c r="Z145" s="12"/>
      <c r="AA145" s="12"/>
      <c r="AB145" s="12"/>
      <c r="AC145" s="88">
        <v>1</v>
      </c>
      <c r="AD145" s="12"/>
      <c r="AE145" s="12"/>
      <c r="AF145" s="12"/>
      <c r="AG145" s="12" t="s">
        <v>2104</v>
      </c>
      <c r="AH145" s="85"/>
    </row>
    <row r="146" spans="1:34" x14ac:dyDescent="0.3">
      <c r="A146" s="12">
        <v>1110206202</v>
      </c>
      <c r="B146" s="12" t="s">
        <v>174</v>
      </c>
      <c r="C146" s="12" t="s">
        <v>185</v>
      </c>
      <c r="D146" s="12" t="str">
        <f>"Monster.Name."&amp;VLOOKUP($C146,'#Data'!$B$2:$J$344,2,FALSE)</f>
        <v>Monster.Name.polluter_spike_1</v>
      </c>
      <c r="E146" s="12" t="s">
        <v>43</v>
      </c>
      <c r="F146" s="39" t="s">
        <v>44</v>
      </c>
      <c r="G146" s="12" t="s">
        <v>45</v>
      </c>
      <c r="H146" s="12" t="b">
        <f>IF(OR(VLOOKUP($C146,'#Data'!$B$2:$J$344,4,FALSE)="보스",VLOOKUP($C146,'#Data'!$B$2:$J$344,4,FALSE)="중간"),TRUE,FALSE)</f>
        <v>1</v>
      </c>
      <c r="I146" s="12" t="b">
        <v>1</v>
      </c>
      <c r="J146" s="12">
        <v>10</v>
      </c>
      <c r="K146" s="12">
        <f>VLOOKUP($A146,쿼리1[[ID]:[열1]],3,FALSE)</f>
        <v>10</v>
      </c>
      <c r="L146" s="63" t="str">
        <f>$B146&amp;"."&amp;VLOOKUP($C146,'#Data'!$B$2:$J$344,2,FALSE)&amp;".attack0"&amp;RIGHT(L$1,1)</f>
        <v>Sector06.polluter_spike_1.attack01</v>
      </c>
      <c r="M146" s="63"/>
      <c r="N146" s="63"/>
      <c r="O146" s="134" t="str">
        <f>$B146&amp;"."&amp;VLOOKUP($C146,'#Data'!$B$2:$J$344,2,FALSE)&amp;".skill0"&amp;RIGHT(O$1,1)</f>
        <v>Sector06.polluter_spike_1.skill01</v>
      </c>
      <c r="P146" s="134" t="str">
        <f>$B146&amp;"."&amp;VLOOKUP($C146,'#Data'!$B$2:$J$344,2,FALSE)&amp;".skill0"&amp;RIGHT(P$1,1)</f>
        <v>Sector06.polluter_spike_1.skill02</v>
      </c>
      <c r="Q146" s="134" t="str">
        <f>$B146&amp;"."&amp;VLOOKUP($C146,'#Data'!$B$2:$J$344,2,FALSE)&amp;".skill0"&amp;RIGHT(Q$1,1)</f>
        <v>Sector06.polluter_spike_1.skill03</v>
      </c>
      <c r="R146" s="64"/>
      <c r="S146" s="64" t="s">
        <v>2078</v>
      </c>
      <c r="T146" s="64"/>
      <c r="U146" s="64"/>
      <c r="V146" s="12" t="b">
        <v>0</v>
      </c>
      <c r="W146" s="12" t="str">
        <f>"Character/Prefabs/"&amp;VLOOKUP($C146,'#Data'!$B$3:$I$344,8,FALSE)</f>
        <v>Character/Prefabs/m_l_attacker_polluter_spike_1</v>
      </c>
      <c r="X146" s="12"/>
      <c r="Y146" s="12" t="str">
        <f>VLOOKUP($C146,'#Data'!$B$3:$I$344,8,FALSE)</f>
        <v>m_l_attacker_polluter_spike_1</v>
      </c>
      <c r="Z146" s="12"/>
      <c r="AA146" s="12"/>
      <c r="AB146" s="12"/>
      <c r="AC146" s="88">
        <v>0.7</v>
      </c>
      <c r="AD146" s="12"/>
      <c r="AE146" s="12"/>
      <c r="AF146" s="12"/>
      <c r="AG146" s="12" t="s">
        <v>2104</v>
      </c>
      <c r="AH146" s="85"/>
    </row>
    <row r="147" spans="1:34" x14ac:dyDescent="0.3">
      <c r="A147" s="12">
        <v>1110206203</v>
      </c>
      <c r="B147" s="12" t="s">
        <v>174</v>
      </c>
      <c r="C147" s="12" t="s">
        <v>186</v>
      </c>
      <c r="D147" s="12" t="str">
        <f>"Monster.Name."&amp;VLOOKUP($C147,'#Data'!$B$2:$J$344,2,FALSE)</f>
        <v>Monster.Name.polluter_bloblauncher_1</v>
      </c>
      <c r="E147" s="12" t="s">
        <v>47</v>
      </c>
      <c r="F147" s="39" t="s">
        <v>44</v>
      </c>
      <c r="G147" s="12" t="s">
        <v>45</v>
      </c>
      <c r="H147" s="12" t="b">
        <f>IF(OR(VLOOKUP($C147,'#Data'!$B$2:$J$344,4,FALSE)="보스",VLOOKUP($C147,'#Data'!$B$2:$J$344,4,FALSE)="중간"),TRUE,FALSE)</f>
        <v>1</v>
      </c>
      <c r="I147" s="12" t="b">
        <v>1</v>
      </c>
      <c r="J147" s="12">
        <v>10</v>
      </c>
      <c r="K147" s="12">
        <f>VLOOKUP($A147,쿼리1[[ID]:[열1]],3,FALSE)</f>
        <v>10</v>
      </c>
      <c r="L147" s="63" t="str">
        <f>$B147&amp;"."&amp;VLOOKUP($C147,'#Data'!$B$2:$J$344,2,FALSE)&amp;".attack0"&amp;RIGHT(L$1,1)</f>
        <v>Sector06.polluter_bloblauncher_1.attack01</v>
      </c>
      <c r="M147" s="63"/>
      <c r="N147" s="63"/>
      <c r="O147" s="134" t="str">
        <f>$B147&amp;"."&amp;VLOOKUP($C147,'#Data'!$B$2:$J$344,2,FALSE)&amp;".skill0"&amp;RIGHT(O$1,1)</f>
        <v>Sector06.polluter_bloblauncher_1.skill01</v>
      </c>
      <c r="P147" s="134" t="str">
        <f>$B147&amp;"."&amp;VLOOKUP($C147,'#Data'!$B$2:$J$344,2,FALSE)&amp;".skill0"&amp;RIGHT(P$1,1)</f>
        <v>Sector06.polluter_bloblauncher_1.skill02</v>
      </c>
      <c r="Q147" s="134" t="str">
        <f>$B147&amp;"."&amp;VLOOKUP($C147,'#Data'!$B$2:$J$344,2,FALSE)&amp;".skill0"&amp;RIGHT(Q$1,1)</f>
        <v>Sector06.polluter_bloblauncher_1.skill03</v>
      </c>
      <c r="R147" s="64"/>
      <c r="S147" s="64" t="s">
        <v>2078</v>
      </c>
      <c r="T147" s="64"/>
      <c r="U147" s="64"/>
      <c r="V147" s="12" t="b">
        <v>0</v>
      </c>
      <c r="W147" s="12" t="str">
        <f>"Character/Prefabs/"&amp;VLOOKUP($C147,'#Data'!$B$3:$I$344,8,FALSE)</f>
        <v>Character/Prefabs/m_l_ranger_polluter_bloblauncher_1</v>
      </c>
      <c r="X147" s="12"/>
      <c r="Y147" s="12" t="str">
        <f>VLOOKUP($C147,'#Data'!$B$3:$I$344,8,FALSE)</f>
        <v>m_l_ranger_polluter_bloblauncher_1</v>
      </c>
      <c r="Z147" s="12"/>
      <c r="AA147" s="12"/>
      <c r="AB147" s="12"/>
      <c r="AC147" s="88">
        <v>0.9</v>
      </c>
      <c r="AD147" s="12"/>
      <c r="AE147" s="12"/>
      <c r="AF147" s="12"/>
      <c r="AG147" s="12" t="s">
        <v>2104</v>
      </c>
      <c r="AH147" s="85"/>
    </row>
    <row r="148" spans="1:34" x14ac:dyDescent="0.3">
      <c r="A148" s="108">
        <v>1110206301</v>
      </c>
      <c r="B148" s="108" t="s">
        <v>174</v>
      </c>
      <c r="C148" s="108" t="s">
        <v>187</v>
      </c>
      <c r="D148" s="108" t="str">
        <f>"Monster.Name."&amp;VLOOKUP($C148,'#Data'!$B$2:$J$344,2,FALSE)</f>
        <v>Monster.Name.toxic_1</v>
      </c>
      <c r="E148" s="108" t="s">
        <v>43</v>
      </c>
      <c r="F148" s="109" t="s">
        <v>44</v>
      </c>
      <c r="G148" s="108" t="s">
        <v>45</v>
      </c>
      <c r="H148" s="108" t="b">
        <f>IF(OR(VLOOKUP($C148,'#Data'!$B$2:$J$344,4,FALSE)="보스",VLOOKUP($C148,'#Data'!$B$2:$J$344,4,FALSE)="중간"),TRUE,FALSE)</f>
        <v>1</v>
      </c>
      <c r="I148" s="108" t="b">
        <v>1</v>
      </c>
      <c r="J148" s="108">
        <v>30</v>
      </c>
      <c r="K148" s="108">
        <f>VLOOKUP($A148,쿼리1[[ID]:[열1]],3,FALSE)</f>
        <v>10</v>
      </c>
      <c r="L148" s="113" t="str">
        <f>$B148&amp;"."&amp;VLOOKUP($C148,'#Data'!$B$2:$J$344,2,FALSE)&amp;".attack0"&amp;RIGHT(L$1,1)</f>
        <v>Sector06.toxic_1.attack01</v>
      </c>
      <c r="M148" s="113" t="str">
        <f>$B148&amp;"."&amp;VLOOKUP($C148,'#Data'!$B$2:$J$344,2,FALSE)&amp;".attack0"&amp;RIGHT(M$1,1)</f>
        <v>Sector06.toxic_1.attack02</v>
      </c>
      <c r="N148" s="113"/>
      <c r="O148" s="136" t="str">
        <f>$B148&amp;"."&amp;VLOOKUP($C148,'#Data'!$B$2:$J$344,2,FALSE)&amp;".skill0"&amp;RIGHT(O$1,1)</f>
        <v>Sector06.toxic_1.skill01</v>
      </c>
      <c r="P148" s="136" t="str">
        <f>$B148&amp;"."&amp;VLOOKUP($C148,'#Data'!$B$2:$J$344,2,FALSE)&amp;".skill0"&amp;RIGHT(P$1,1)</f>
        <v>Sector06.toxic_1.skill02</v>
      </c>
      <c r="Q148" s="136" t="str">
        <f>$B148&amp;"."&amp;VLOOKUP($C148,'#Data'!$B$2:$J$344,2,FALSE)&amp;".skill0"&amp;RIGHT(Q$1,1)</f>
        <v>Sector06.toxic_1.skill03</v>
      </c>
      <c r="R148" s="114" t="s">
        <v>1400</v>
      </c>
      <c r="S148" s="114" t="s">
        <v>1401</v>
      </c>
      <c r="T148" s="114"/>
      <c r="U148" s="114"/>
      <c r="V148" s="108" t="b">
        <v>0</v>
      </c>
      <c r="W148" s="108" t="str">
        <f>"Character/Prefabs/"&amp;VLOOKUP($C148,'#Data'!$B$3:$I$344,8,FALSE)</f>
        <v>Character/Prefabs/m_boss_attacker_toxic_1</v>
      </c>
      <c r="X148" s="108"/>
      <c r="Y148" s="108" t="str">
        <f>VLOOKUP($C148,'#Data'!$B$3:$I$344,8,FALSE)</f>
        <v>m_boss_attacker_toxic_1</v>
      </c>
      <c r="Z148" s="108"/>
      <c r="AA148" s="108"/>
      <c r="AB148" s="108"/>
      <c r="AC148" s="111">
        <v>0.9</v>
      </c>
      <c r="AD148" s="108"/>
      <c r="AE148" s="108" t="s">
        <v>188</v>
      </c>
      <c r="AF148" s="108" t="s">
        <v>189</v>
      </c>
      <c r="AG148" s="108" t="s">
        <v>2104</v>
      </c>
      <c r="AH148" s="85"/>
    </row>
    <row r="149" spans="1:34" x14ac:dyDescent="0.3">
      <c r="A149" s="108">
        <v>1110206302</v>
      </c>
      <c r="B149" s="108" t="s">
        <v>174</v>
      </c>
      <c r="C149" s="108" t="s">
        <v>1399</v>
      </c>
      <c r="D149" s="108" t="str">
        <f>"Monster.Name."&amp;VLOOKUP($C149,'#Data'!$B$2:$J$344,2,FALSE)</f>
        <v>Monster.Name.toxic_3</v>
      </c>
      <c r="E149" s="108" t="s">
        <v>43</v>
      </c>
      <c r="F149" s="109" t="s">
        <v>44</v>
      </c>
      <c r="G149" s="108" t="s">
        <v>45</v>
      </c>
      <c r="H149" s="108" t="b">
        <f>IF(OR(VLOOKUP($C149,'#Data'!$B$2:$J$344,4,FALSE)="보스",VLOOKUP($C149,'#Data'!$B$2:$J$344,4,FALSE)="중간"),TRUE,FALSE)</f>
        <v>1</v>
      </c>
      <c r="I149" s="108" t="b">
        <v>1</v>
      </c>
      <c r="J149" s="108">
        <v>30</v>
      </c>
      <c r="K149" s="108">
        <f>VLOOKUP($A149,쿼리1[[ID]:[열1]],3,FALSE)</f>
        <v>10</v>
      </c>
      <c r="L149" s="113" t="str">
        <f>$B149&amp;"."&amp;VLOOKUP($C149,'#Data'!$B$2:$J$344,2,FALSE)&amp;".attack0"&amp;RIGHT(L$1,1)</f>
        <v>Sector06.toxic_3.attack01</v>
      </c>
      <c r="M149" s="113" t="str">
        <f>$B149&amp;"."&amp;VLOOKUP($C149,'#Data'!$B$2:$J$344,2,FALSE)&amp;".attack0"&amp;RIGHT(M$1,1)</f>
        <v>Sector06.toxic_3.attack02</v>
      </c>
      <c r="N149" s="113"/>
      <c r="O149" s="136" t="str">
        <f>$B149&amp;"."&amp;VLOOKUP($C149,'#Data'!$B$2:$J$344,2,FALSE)&amp;".skill0"&amp;RIGHT(O$1,1)</f>
        <v>Sector06.toxic_3.skill01</v>
      </c>
      <c r="P149" s="136" t="str">
        <f>$B149&amp;"."&amp;VLOOKUP($C149,'#Data'!$B$2:$J$344,2,FALSE)&amp;".skill0"&amp;RIGHT(P$1,1)</f>
        <v>Sector06.toxic_3.skill02</v>
      </c>
      <c r="Q149" s="136" t="str">
        <f>$B149&amp;"."&amp;VLOOKUP($C149,'#Data'!$B$2:$J$344,2,FALSE)&amp;".skill0"&amp;RIGHT(Q$1,1)</f>
        <v>Sector06.toxic_3.skill03</v>
      </c>
      <c r="R149" s="114" t="s">
        <v>1413</v>
      </c>
      <c r="S149" s="114" t="s">
        <v>1414</v>
      </c>
      <c r="T149" s="114"/>
      <c r="U149" s="114"/>
      <c r="V149" s="108" t="b">
        <v>0</v>
      </c>
      <c r="W149" s="165" t="str">
        <f>"Character/Prefabs/"&amp;VLOOKUP($C149,'#Data'!$B$3:$I$344,8,FALSE)</f>
        <v>Character/Prefabs/m_boss_attacker_toxic_3</v>
      </c>
      <c r="X149" s="165"/>
      <c r="Y149" s="165" t="str">
        <f>VLOOKUP($C149,'#Data'!$B$3:$I$344,8,FALSE)</f>
        <v>m_boss_attacker_toxic_3</v>
      </c>
      <c r="Z149" s="108"/>
      <c r="AA149" s="108"/>
      <c r="AB149" s="108"/>
      <c r="AC149" s="111">
        <v>1.1000000000000001</v>
      </c>
      <c r="AD149" s="108"/>
      <c r="AE149" s="108" t="s">
        <v>2082</v>
      </c>
      <c r="AF149" s="108" t="s">
        <v>2099</v>
      </c>
      <c r="AG149" s="108" t="s">
        <v>2104</v>
      </c>
      <c r="AH149" s="85"/>
    </row>
    <row r="150" spans="1:34" x14ac:dyDescent="0.3">
      <c r="A150" s="41">
        <v>1110207101</v>
      </c>
      <c r="B150" s="41" t="s">
        <v>190</v>
      </c>
      <c r="C150" s="41" t="s">
        <v>191</v>
      </c>
      <c r="D150" s="41" t="str">
        <f>"Monster.Name."&amp;VLOOKUP($C150,'#Data'!$B$2:$J$344,2,FALSE)</f>
        <v>Monster.Name.clock_clawdog_1</v>
      </c>
      <c r="E150" s="41" t="s">
        <v>43</v>
      </c>
      <c r="F150" s="42" t="s">
        <v>44</v>
      </c>
      <c r="G150" s="41" t="s">
        <v>45</v>
      </c>
      <c r="H150" s="41" t="b">
        <f>IF(OR(VLOOKUP($C150,'#Data'!$B$2:$J$344,4,FALSE)="보스",VLOOKUP($C150,'#Data'!$B$2:$J$344,4,FALSE)="중간"),TRUE,FALSE)</f>
        <v>0</v>
      </c>
      <c r="I150" s="41" t="b">
        <v>0</v>
      </c>
      <c r="J150" s="41">
        <v>10</v>
      </c>
      <c r="K150" s="41">
        <f>VLOOKUP($A150,쿼리1[[ID]:[열1]],3,FALSE)</f>
        <v>10</v>
      </c>
      <c r="L150" s="67" t="str">
        <f>$B150&amp;"."&amp;VLOOKUP($C150,'#Data'!$B$2:$J$344,2,FALSE)&amp;".attack0"&amp;RIGHT(L$1,1)</f>
        <v>Sector07.clock_clawdog_1.attack01</v>
      </c>
      <c r="M150" s="67"/>
      <c r="N150" s="67"/>
      <c r="O150" s="137" t="s">
        <v>2050</v>
      </c>
      <c r="P150" s="137"/>
      <c r="Q150" s="137"/>
      <c r="R150" s="68"/>
      <c r="S150" s="68"/>
      <c r="T150" s="68"/>
      <c r="U150" s="68"/>
      <c r="V150" s="41" t="b">
        <v>0</v>
      </c>
      <c r="W150" s="41" t="str">
        <f>"Character/Prefabs/"&amp;VLOOKUP($C150,'#Data'!$B$3:$I$344,8,FALSE)</f>
        <v>Character/Prefabs/m_s_attacker_clock_clawdog_1</v>
      </c>
      <c r="X150" s="41"/>
      <c r="Y150" s="41" t="str">
        <f>VLOOKUP($C150,'#Data'!$B$3:$I$344,8,FALSE)</f>
        <v>m_s_attacker_clock_clawdog_1</v>
      </c>
      <c r="Z150" s="41"/>
      <c r="AA150" s="41"/>
      <c r="AB150" s="41"/>
      <c r="AC150" s="90">
        <v>0.9</v>
      </c>
      <c r="AD150" s="41"/>
      <c r="AE150" s="41"/>
      <c r="AF150" s="41"/>
      <c r="AG150" s="41" t="s">
        <v>2104</v>
      </c>
      <c r="AH150" s="85"/>
    </row>
    <row r="151" spans="1:34" x14ac:dyDescent="0.3">
      <c r="A151" s="41">
        <v>1110207102</v>
      </c>
      <c r="B151" s="41" t="s">
        <v>190</v>
      </c>
      <c r="C151" s="41" t="s">
        <v>192</v>
      </c>
      <c r="D151" s="41" t="str">
        <f>"Monster.Name."&amp;VLOOKUP($C151,'#Data'!$B$2:$J$344,2,FALSE)</f>
        <v>Monster.Name.clock_flamedog_1</v>
      </c>
      <c r="E151" s="41" t="s">
        <v>47</v>
      </c>
      <c r="F151" s="42" t="s">
        <v>44</v>
      </c>
      <c r="G151" s="41" t="s">
        <v>45</v>
      </c>
      <c r="H151" s="41" t="b">
        <f>IF(OR(VLOOKUP($C151,'#Data'!$B$2:$J$344,4,FALSE)="보스",VLOOKUP($C151,'#Data'!$B$2:$J$344,4,FALSE)="중간"),TRUE,FALSE)</f>
        <v>0</v>
      </c>
      <c r="I151" s="41" t="b">
        <v>0</v>
      </c>
      <c r="J151" s="41">
        <v>10</v>
      </c>
      <c r="K151" s="41">
        <f>VLOOKUP($A151,쿼리1[[ID]:[열1]],3,FALSE)</f>
        <v>10</v>
      </c>
      <c r="L151" s="67" t="str">
        <f>$B151&amp;"."&amp;VLOOKUP($C151,'#Data'!$B$2:$J$344,2,FALSE)&amp;".attack0"&amp;RIGHT(L$1,1)</f>
        <v>Sector07.clock_flamedog_1.attack01</v>
      </c>
      <c r="M151" s="67"/>
      <c r="N151" s="67"/>
      <c r="O151" s="137" t="s">
        <v>2051</v>
      </c>
      <c r="P151" s="137"/>
      <c r="Q151" s="137"/>
      <c r="R151" s="68"/>
      <c r="S151" s="68"/>
      <c r="T151" s="68"/>
      <c r="U151" s="68"/>
      <c r="V151" s="41" t="b">
        <v>0</v>
      </c>
      <c r="W151" s="41" t="str">
        <f>"Character/Prefabs/"&amp;VLOOKUP($C151,'#Data'!$B$3:$I$344,8,FALSE)</f>
        <v>Character/Prefabs/m_s_ranger_clock_flamedog_1</v>
      </c>
      <c r="X151" s="41"/>
      <c r="Y151" s="41" t="str">
        <f>VLOOKUP($C151,'#Data'!$B$3:$I$344,8,FALSE)</f>
        <v>m_s_ranger_clock_flamedog_1</v>
      </c>
      <c r="Z151" s="41"/>
      <c r="AA151" s="41"/>
      <c r="AB151" s="41"/>
      <c r="AC151" s="90">
        <v>0.9</v>
      </c>
      <c r="AD151" s="41"/>
      <c r="AE151" s="41"/>
      <c r="AF151" s="41"/>
      <c r="AG151" s="41" t="s">
        <v>2104</v>
      </c>
      <c r="AH151" s="85"/>
    </row>
    <row r="152" spans="1:34" x14ac:dyDescent="0.3">
      <c r="A152" s="41">
        <v>1110207103</v>
      </c>
      <c r="B152" s="41" t="s">
        <v>190</v>
      </c>
      <c r="C152" s="41" t="s">
        <v>193</v>
      </c>
      <c r="D152" s="41" t="str">
        <f>"Monster.Name."&amp;VLOOKUP($C152,'#Data'!$B$2:$J$344,2,FALSE)</f>
        <v>Monster.Name.clock_spear_1</v>
      </c>
      <c r="E152" s="41" t="s">
        <v>43</v>
      </c>
      <c r="F152" s="42" t="s">
        <v>44</v>
      </c>
      <c r="G152" s="41" t="s">
        <v>45</v>
      </c>
      <c r="H152" s="41" t="b">
        <f>IF(OR(VLOOKUP($C152,'#Data'!$B$2:$J$344,4,FALSE)="보스",VLOOKUP($C152,'#Data'!$B$2:$J$344,4,FALSE)="중간"),TRUE,FALSE)</f>
        <v>0</v>
      </c>
      <c r="I152" s="41" t="b">
        <v>0</v>
      </c>
      <c r="J152" s="41">
        <v>10</v>
      </c>
      <c r="K152" s="41">
        <f>VLOOKUP($A152,쿼리1[[ID]:[열1]],3,FALSE)</f>
        <v>10</v>
      </c>
      <c r="L152" s="67" t="str">
        <f>$B152&amp;"."&amp;VLOOKUP($C152,'#Data'!$B$2:$J$344,2,FALSE)&amp;".attack0"&amp;RIGHT(L$1,1)</f>
        <v>Sector07.clock_spear_1.attack01</v>
      </c>
      <c r="M152" s="67"/>
      <c r="N152" s="67"/>
      <c r="O152" s="137" t="str">
        <f>$B152&amp;"."&amp;VLOOKUP($C152,'#Data'!$B$2:$J$344,2,FALSE)&amp;".skill0"&amp;RIGHT(O$1,1)</f>
        <v>Sector07.clock_spear_1.skill01</v>
      </c>
      <c r="P152" s="137" t="s">
        <v>2052</v>
      </c>
      <c r="Q152" s="137"/>
      <c r="R152" s="68"/>
      <c r="S152" s="68"/>
      <c r="T152" s="68"/>
      <c r="U152" s="68"/>
      <c r="V152" s="41" t="b">
        <v>0</v>
      </c>
      <c r="W152" s="41" t="str">
        <f>"Character/Prefabs/"&amp;VLOOKUP($C152,'#Data'!$B$3:$I$344,8,FALSE)</f>
        <v>Character/Prefabs/m_m_attacker_clock_spear_1</v>
      </c>
      <c r="X152" s="41"/>
      <c r="Y152" s="41" t="str">
        <f>VLOOKUP($C152,'#Data'!$B$3:$I$344,8,FALSE)</f>
        <v>m_m_attacker_clock_spear_1</v>
      </c>
      <c r="Z152" s="41"/>
      <c r="AA152" s="41"/>
      <c r="AB152" s="41"/>
      <c r="AC152" s="90">
        <v>0.9</v>
      </c>
      <c r="AD152" s="41"/>
      <c r="AE152" s="41"/>
      <c r="AF152" s="41"/>
      <c r="AG152" s="41" t="s">
        <v>2104</v>
      </c>
      <c r="AH152" s="85"/>
    </row>
    <row r="153" spans="1:34" x14ac:dyDescent="0.3">
      <c r="A153" s="41">
        <v>1110207104</v>
      </c>
      <c r="B153" s="41" t="s">
        <v>190</v>
      </c>
      <c r="C153" s="41" t="s">
        <v>194</v>
      </c>
      <c r="D153" s="41" t="str">
        <f>"Monster.Name."&amp;VLOOKUP($C153,'#Data'!$B$2:$J$344,2,FALSE)</f>
        <v>Monster.Name.clock_squire_1</v>
      </c>
      <c r="E153" s="41" t="s">
        <v>47</v>
      </c>
      <c r="F153" s="42" t="s">
        <v>44</v>
      </c>
      <c r="G153" s="41" t="s">
        <v>45</v>
      </c>
      <c r="H153" s="41" t="b">
        <f>IF(OR(VLOOKUP($C153,'#Data'!$B$2:$J$344,4,FALSE)="보스",VLOOKUP($C153,'#Data'!$B$2:$J$344,4,FALSE)="중간"),TRUE,FALSE)</f>
        <v>0</v>
      </c>
      <c r="I153" s="41" t="b">
        <v>0</v>
      </c>
      <c r="J153" s="41">
        <v>10</v>
      </c>
      <c r="K153" s="41">
        <f>VLOOKUP($A153,쿼리1[[ID]:[열1]],3,FALSE)</f>
        <v>10</v>
      </c>
      <c r="L153" s="67" t="str">
        <f>$B153&amp;"."&amp;VLOOKUP($C153,'#Data'!$B$2:$J$344,2,FALSE)&amp;".attack0"&amp;RIGHT(L$1,1)</f>
        <v>Sector07.clock_squire_1.attack01</v>
      </c>
      <c r="M153" s="67"/>
      <c r="N153" s="67"/>
      <c r="O153" s="137" t="str">
        <f>$B153&amp;"."&amp;VLOOKUP($C153,'#Data'!$B$2:$J$344,2,FALSE)&amp;".skill0"&amp;RIGHT(O$1,1)</f>
        <v>Sector07.clock_squire_1.skill01</v>
      </c>
      <c r="P153" s="137" t="s">
        <v>2053</v>
      </c>
      <c r="Q153" s="137"/>
      <c r="R153" s="68"/>
      <c r="S153" s="68"/>
      <c r="T153" s="68"/>
      <c r="U153" s="68"/>
      <c r="V153" s="41" t="b">
        <v>0</v>
      </c>
      <c r="W153" s="41" t="str">
        <f>"Character/Prefabs/"&amp;VLOOKUP($C153,'#Data'!$B$3:$I$344,8,FALSE)</f>
        <v>Character/Prefabs/m_m_ranger_clock_squire_1</v>
      </c>
      <c r="X153" s="41"/>
      <c r="Y153" s="41" t="str">
        <f>VLOOKUP($C153,'#Data'!$B$3:$I$344,8,FALSE)</f>
        <v>m_m_ranger_clock_squire_1</v>
      </c>
      <c r="Z153" s="41"/>
      <c r="AA153" s="41"/>
      <c r="AB153" s="41"/>
      <c r="AC153" s="90">
        <v>0.9</v>
      </c>
      <c r="AD153" s="41"/>
      <c r="AE153" s="41"/>
      <c r="AF153" s="41"/>
      <c r="AG153" s="41" t="s">
        <v>2104</v>
      </c>
      <c r="AH153" s="85"/>
    </row>
    <row r="154" spans="1:34" x14ac:dyDescent="0.3">
      <c r="A154" s="41">
        <v>1110207105</v>
      </c>
      <c r="B154" s="41" t="s">
        <v>190</v>
      </c>
      <c r="C154" s="41" t="s">
        <v>195</v>
      </c>
      <c r="D154" s="41" t="str">
        <f>"Monster.Name."&amp;VLOOKUP($C154,'#Data'!$B$2:$J$344,2,FALSE)</f>
        <v>Monster.Name.clock_crossbow_1</v>
      </c>
      <c r="E154" s="41" t="s">
        <v>47</v>
      </c>
      <c r="F154" s="42" t="s">
        <v>44</v>
      </c>
      <c r="G154" s="41" t="s">
        <v>45</v>
      </c>
      <c r="H154" s="41" t="b">
        <f>IF(OR(VLOOKUP($C154,'#Data'!$B$2:$J$344,4,FALSE)="보스",VLOOKUP($C154,'#Data'!$B$2:$J$344,4,FALSE)="중간"),TRUE,FALSE)</f>
        <v>0</v>
      </c>
      <c r="I154" s="41" t="b">
        <v>0</v>
      </c>
      <c r="J154" s="41">
        <v>10</v>
      </c>
      <c r="K154" s="41">
        <f>VLOOKUP($A154,쿼리1[[ID]:[열1]],3,FALSE)</f>
        <v>10</v>
      </c>
      <c r="L154" s="67" t="str">
        <f>$B154&amp;"."&amp;VLOOKUP($C154,'#Data'!$B$2:$J$344,2,FALSE)&amp;".attack0"&amp;RIGHT(L$1,1)</f>
        <v>Sector07.clock_crossbow_1.attack01</v>
      </c>
      <c r="M154" s="67"/>
      <c r="N154" s="67"/>
      <c r="O154" s="137" t="str">
        <f>$B154&amp;"."&amp;VLOOKUP($C154,'#Data'!$B$2:$J$344,2,FALSE)&amp;".skill0"&amp;RIGHT(O$1,1)</f>
        <v>Sector07.clock_crossbow_1.skill01</v>
      </c>
      <c r="P154" s="137" t="s">
        <v>2054</v>
      </c>
      <c r="Q154" s="137"/>
      <c r="R154" s="68"/>
      <c r="S154" s="68"/>
      <c r="T154" s="68"/>
      <c r="U154" s="68"/>
      <c r="V154" s="41" t="b">
        <v>0</v>
      </c>
      <c r="W154" s="41" t="str">
        <f>"Character/Prefabs/"&amp;VLOOKUP($C154,'#Data'!$B$3:$I$344,8,FALSE)</f>
        <v>Character/Prefabs/m_m_ranger_clock_crossbow_1</v>
      </c>
      <c r="X154" s="41"/>
      <c r="Y154" s="41" t="str">
        <f>VLOOKUP($C154,'#Data'!$B$3:$I$344,8,FALSE)</f>
        <v>m_m_ranger_clock_crossbow_1</v>
      </c>
      <c r="Z154" s="41"/>
      <c r="AA154" s="41"/>
      <c r="AB154" s="41"/>
      <c r="AC154" s="90">
        <v>0.9</v>
      </c>
      <c r="AD154" s="41"/>
      <c r="AE154" s="41"/>
      <c r="AF154" s="41"/>
      <c r="AG154" s="41" t="s">
        <v>2104</v>
      </c>
      <c r="AH154" s="85"/>
    </row>
    <row r="155" spans="1:34" x14ac:dyDescent="0.3">
      <c r="A155" s="41">
        <v>1110207106</v>
      </c>
      <c r="B155" s="41" t="s">
        <v>190</v>
      </c>
      <c r="C155" s="41" t="s">
        <v>196</v>
      </c>
      <c r="D155" s="41" t="str">
        <f>"Monster.Name."&amp;VLOOKUP($C155,'#Data'!$B$2:$J$344,2,FALSE)</f>
        <v>Monster.Name.clock_shield_1</v>
      </c>
      <c r="E155" s="41" t="s">
        <v>43</v>
      </c>
      <c r="F155" s="42" t="s">
        <v>44</v>
      </c>
      <c r="G155" s="41" t="s">
        <v>45</v>
      </c>
      <c r="H155" s="41" t="b">
        <f>IF(OR(VLOOKUP($C155,'#Data'!$B$2:$J$344,4,FALSE)="보스",VLOOKUP($C155,'#Data'!$B$2:$J$344,4,FALSE)="중간"),TRUE,FALSE)</f>
        <v>0</v>
      </c>
      <c r="I155" s="41" t="b">
        <v>0</v>
      </c>
      <c r="J155" s="41">
        <v>10</v>
      </c>
      <c r="K155" s="41">
        <f>VLOOKUP($A155,쿼리1[[ID]:[열1]],3,FALSE)</f>
        <v>10</v>
      </c>
      <c r="L155" s="67" t="str">
        <f>$B155&amp;"."&amp;VLOOKUP($C155,'#Data'!$B$2:$J$344,2,FALSE)&amp;".attack0"&amp;RIGHT(L$1,1)</f>
        <v>Sector07.clock_shield_1.attack01</v>
      </c>
      <c r="M155" s="67"/>
      <c r="N155" s="67"/>
      <c r="O155" s="137" t="str">
        <f>$B155&amp;"."&amp;VLOOKUP($C155,'#Data'!$B$2:$J$344,2,FALSE)&amp;".skill0"&amp;RIGHT(O$1,1)</f>
        <v>Sector07.clock_shield_1.skill01</v>
      </c>
      <c r="P155" s="137" t="s">
        <v>2055</v>
      </c>
      <c r="Q155" s="137"/>
      <c r="R155" s="68"/>
      <c r="S155" s="68"/>
      <c r="T155" s="68"/>
      <c r="U155" s="68"/>
      <c r="V155" s="41" t="b">
        <v>0</v>
      </c>
      <c r="W155" s="41" t="str">
        <f>"Character/Prefabs/"&amp;VLOOKUP($C155,'#Data'!$B$3:$I$344,8,FALSE)</f>
        <v>Character/Prefabs/m_m_attacker_clock_shield_1</v>
      </c>
      <c r="X155" s="41"/>
      <c r="Y155" s="41" t="str">
        <f>VLOOKUP($C155,'#Data'!$B$3:$I$344,8,FALSE)</f>
        <v>m_m_attacker_clock_shield_1</v>
      </c>
      <c r="Z155" s="41"/>
      <c r="AA155" s="41"/>
      <c r="AB155" s="41"/>
      <c r="AC155" s="90">
        <v>0.9</v>
      </c>
      <c r="AD155" s="41"/>
      <c r="AE155" s="41"/>
      <c r="AF155" s="41"/>
      <c r="AG155" s="41" t="s">
        <v>2104</v>
      </c>
      <c r="AH155" s="85"/>
    </row>
    <row r="156" spans="1:34" x14ac:dyDescent="0.3">
      <c r="A156" s="41">
        <v>1110207107</v>
      </c>
      <c r="B156" s="41" t="s">
        <v>190</v>
      </c>
      <c r="C156" s="41" t="s">
        <v>197</v>
      </c>
      <c r="D156" s="41" t="str">
        <f>"Monster.Name."&amp;VLOOKUP($C156,'#Data'!$B$2:$J$344,2,FALSE)</f>
        <v>Monster.Name.clock_clown_1</v>
      </c>
      <c r="E156" s="41" t="s">
        <v>47</v>
      </c>
      <c r="F156" s="42" t="s">
        <v>44</v>
      </c>
      <c r="G156" s="41" t="s">
        <v>45</v>
      </c>
      <c r="H156" s="41" t="b">
        <f>IF(OR(VLOOKUP($C156,'#Data'!$B$2:$J$344,4,FALSE)="보스",VLOOKUP($C156,'#Data'!$B$2:$J$344,4,FALSE)="중간"),TRUE,FALSE)</f>
        <v>0</v>
      </c>
      <c r="I156" s="41" t="b">
        <v>0</v>
      </c>
      <c r="J156" s="41">
        <v>10</v>
      </c>
      <c r="K156" s="41">
        <f>VLOOKUP($A156,쿼리1[[ID]:[열1]],3,FALSE)</f>
        <v>10</v>
      </c>
      <c r="L156" s="67" t="str">
        <f>$B156&amp;"."&amp;VLOOKUP($C156,'#Data'!$B$2:$J$344,2,FALSE)&amp;".attack0"&amp;RIGHT(L$1,1)</f>
        <v>Sector07.clock_clown_1.attack01</v>
      </c>
      <c r="M156" s="67"/>
      <c r="N156" s="67"/>
      <c r="O156" s="137" t="str">
        <f>$B156&amp;"."&amp;VLOOKUP($C156,'#Data'!$B$2:$J$344,2,FALSE)&amp;".skill0"&amp;RIGHT(O$1,1)</f>
        <v>Sector07.clock_clown_1.skill01</v>
      </c>
      <c r="P156" s="137" t="s">
        <v>2056</v>
      </c>
      <c r="Q156" s="137"/>
      <c r="R156" s="68"/>
      <c r="S156" s="68"/>
      <c r="T156" s="68"/>
      <c r="U156" s="68"/>
      <c r="V156" s="41" t="b">
        <v>0</v>
      </c>
      <c r="W156" s="41" t="str">
        <f>"Character/Prefabs/"&amp;VLOOKUP($C156,'#Data'!$B$3:$I$344,8,FALSE)</f>
        <v>Character/Prefabs/m_m_ranger_clock_clown_1</v>
      </c>
      <c r="X156" s="41"/>
      <c r="Y156" s="41" t="str">
        <f>VLOOKUP($C156,'#Data'!$B$3:$I$344,8,FALSE)</f>
        <v>m_m_ranger_clock_clown_1</v>
      </c>
      <c r="Z156" s="41"/>
      <c r="AA156" s="41"/>
      <c r="AB156" s="41"/>
      <c r="AC156" s="90">
        <v>0.9</v>
      </c>
      <c r="AD156" s="41"/>
      <c r="AE156" s="41"/>
      <c r="AF156" s="41"/>
      <c r="AG156" s="41" t="s">
        <v>2104</v>
      </c>
      <c r="AH156" s="85"/>
    </row>
    <row r="157" spans="1:34" x14ac:dyDescent="0.3">
      <c r="A157" s="41">
        <v>1110207108</v>
      </c>
      <c r="B157" s="41" t="s">
        <v>190</v>
      </c>
      <c r="C157" s="41" t="s">
        <v>198</v>
      </c>
      <c r="D157" s="41" t="str">
        <f>"Monster.Name."&amp;VLOOKUP($C157,'#Data'!$B$2:$J$344,2,FALSE)</f>
        <v>Monster.Name.clock_draftee_1</v>
      </c>
      <c r="E157" s="41" t="s">
        <v>43</v>
      </c>
      <c r="F157" s="42" t="s">
        <v>44</v>
      </c>
      <c r="G157" s="41" t="s">
        <v>45</v>
      </c>
      <c r="H157" s="41" t="b">
        <f>IF(OR(VLOOKUP($C157,'#Data'!$B$2:$J$344,4,FALSE)="보스",VLOOKUP($C157,'#Data'!$B$2:$J$344,4,FALSE)="중간"),TRUE,FALSE)</f>
        <v>0</v>
      </c>
      <c r="I157" s="41" t="b">
        <v>0</v>
      </c>
      <c r="J157" s="41">
        <v>10</v>
      </c>
      <c r="K157" s="41">
        <f>VLOOKUP($A157,쿼리1[[ID]:[열1]],3,FALSE)</f>
        <v>10</v>
      </c>
      <c r="L157" s="67"/>
      <c r="M157" s="67"/>
      <c r="N157" s="67"/>
      <c r="O157" s="137" t="str">
        <f>$B157&amp;"."&amp;VLOOKUP($C157,'#Data'!$B$2:$J$344,2,FALSE)&amp;".skill0"&amp;RIGHT(O$1,1)</f>
        <v>Sector07.clock_draftee_1.skill01</v>
      </c>
      <c r="P157" s="137"/>
      <c r="Q157" s="137"/>
      <c r="R157" s="68"/>
      <c r="S157" s="68" t="s">
        <v>199</v>
      </c>
      <c r="T157" s="68"/>
      <c r="U157" s="68"/>
      <c r="V157" s="41" t="b">
        <v>0</v>
      </c>
      <c r="W157" s="41" t="str">
        <f>"Character/Prefabs/"&amp;VLOOKUP($C157,'#Data'!$B$3:$I$344,8,FALSE)</f>
        <v>Character/Prefabs/m_m_attacker_clock_draftee_1</v>
      </c>
      <c r="X157" s="41"/>
      <c r="Y157" s="41" t="str">
        <f>VLOOKUP($C157,'#Data'!$B$3:$I$344,8,FALSE)</f>
        <v>m_m_attacker_clock_draftee_1</v>
      </c>
      <c r="Z157" s="41"/>
      <c r="AA157" s="41"/>
      <c r="AB157" s="41"/>
      <c r="AC157" s="90">
        <v>0.9</v>
      </c>
      <c r="AD157" s="41"/>
      <c r="AE157" s="41"/>
      <c r="AF157" s="41"/>
      <c r="AG157" s="41" t="s">
        <v>2104</v>
      </c>
      <c r="AH157" s="85"/>
    </row>
    <row r="158" spans="1:34" x14ac:dyDescent="0.3">
      <c r="A158" s="41">
        <v>1110207109</v>
      </c>
      <c r="B158" s="41" t="s">
        <v>190</v>
      </c>
      <c r="C158" s="41" t="s">
        <v>200</v>
      </c>
      <c r="D158" s="41" t="str">
        <f>"Monster.Name."&amp;VLOOKUP($C158,'#Data'!$B$2:$J$344,2,FALSE)</f>
        <v>Monster.Name.clock_honor_knight_1</v>
      </c>
      <c r="E158" s="41" t="s">
        <v>43</v>
      </c>
      <c r="F158" s="42" t="s">
        <v>44</v>
      </c>
      <c r="G158" s="41" t="s">
        <v>45</v>
      </c>
      <c r="H158" s="41" t="b">
        <f>IF(OR(VLOOKUP($C158,'#Data'!$B$2:$J$344,4,FALSE)="보스",VLOOKUP($C158,'#Data'!$B$2:$J$344,4,FALSE)="중간"),TRUE,FALSE)</f>
        <v>0</v>
      </c>
      <c r="I158" s="41" t="b">
        <v>0</v>
      </c>
      <c r="J158" s="41">
        <v>10</v>
      </c>
      <c r="K158" s="41">
        <f>VLOOKUP($A158,쿼리1[[ID]:[열1]],3,FALSE)</f>
        <v>10</v>
      </c>
      <c r="L158" s="67" t="str">
        <f>$B158&amp;"."&amp;VLOOKUP($C158,'#Data'!$B$2:$J$344,2,FALSE)&amp;".attack0"&amp;RIGHT(L$1,1)</f>
        <v>Sector07.clock_honor_knight_1.attack01</v>
      </c>
      <c r="M158" s="67" t="str">
        <f>$B158&amp;"."&amp;VLOOKUP($C158,'#Data'!$B$2:$J$344,2,FALSE)&amp;".attack0"&amp;RIGHT(M$1,1)</f>
        <v>Sector07.clock_honor_knight_1.attack02</v>
      </c>
      <c r="N158" s="67"/>
      <c r="O158" s="137" t="str">
        <f>$B158&amp;"."&amp;VLOOKUP($C158,'#Data'!$B$2:$J$344,2,FALSE)&amp;".skill0"&amp;RIGHT(O$1,1)</f>
        <v>Sector07.clock_honor_knight_1.skill01</v>
      </c>
      <c r="P158" s="137"/>
      <c r="Q158" s="137"/>
      <c r="R158" s="68"/>
      <c r="S158" s="68" t="s">
        <v>1970</v>
      </c>
      <c r="T158" s="68"/>
      <c r="U158" s="68"/>
      <c r="V158" s="41" t="b">
        <v>0</v>
      </c>
      <c r="W158" s="41" t="str">
        <f>"Character/Prefabs/"&amp;VLOOKUP($C158,'#Data'!$B$3:$I$344,8,FALSE)</f>
        <v>Character/Prefabs/m_l_attacker_clock_honor_knight_1</v>
      </c>
      <c r="X158" s="41"/>
      <c r="Y158" s="41" t="str">
        <f>VLOOKUP($C158,'#Data'!$B$3:$I$344,8,FALSE)</f>
        <v>m_l_attacker_clock_honor_knight_1</v>
      </c>
      <c r="Z158" s="41"/>
      <c r="AA158" s="41"/>
      <c r="AB158" s="41"/>
      <c r="AC158" s="90">
        <v>0.9</v>
      </c>
      <c r="AD158" s="41"/>
      <c r="AE158" s="41"/>
      <c r="AF158" s="41"/>
      <c r="AG158" s="41" t="s">
        <v>2104</v>
      </c>
      <c r="AH158" s="85"/>
    </row>
    <row r="159" spans="1:34" x14ac:dyDescent="0.3">
      <c r="A159" s="19">
        <v>1110207110</v>
      </c>
      <c r="B159" s="19" t="s">
        <v>190</v>
      </c>
      <c r="C159" s="19" t="s">
        <v>1418</v>
      </c>
      <c r="D159" s="19" t="str">
        <f>"Monster.Name."&amp;VLOOKUP($C159,'#Data'!$B$2:$J$344,2,FALSE)</f>
        <v>Monster.Name.clock_clawdog_2</v>
      </c>
      <c r="E159" s="19" t="s">
        <v>43</v>
      </c>
      <c r="F159" s="48" t="s">
        <v>44</v>
      </c>
      <c r="G159" s="19" t="s">
        <v>45</v>
      </c>
      <c r="H159" s="41" t="b">
        <f>IF(OR(VLOOKUP($C159,'#Data'!$B$2:$J$344,4,FALSE)="보스",VLOOKUP($C159,'#Data'!$B$2:$J$344,4,FALSE)="중간"),TRUE,FALSE)</f>
        <v>0</v>
      </c>
      <c r="I159" s="41" t="b">
        <v>0</v>
      </c>
      <c r="J159" s="19">
        <v>10</v>
      </c>
      <c r="K159" s="19">
        <f>VLOOKUP($A159,쿼리1[[ID]:[열1]],3,FALSE)</f>
        <v>10</v>
      </c>
      <c r="L159" s="69" t="s">
        <v>1434</v>
      </c>
      <c r="M159" s="69"/>
      <c r="N159" s="69"/>
      <c r="O159" s="138" t="s">
        <v>2050</v>
      </c>
      <c r="P159" s="138"/>
      <c r="Q159" s="138"/>
      <c r="R159" s="70"/>
      <c r="S159" s="70"/>
      <c r="T159" s="70"/>
      <c r="U159" s="70"/>
      <c r="V159" s="19" t="b">
        <v>0</v>
      </c>
      <c r="W159" s="19" t="str">
        <f>"Character/Prefabs/"&amp;VLOOKUP($C159,'#Data'!$B$3:$I$344,8,FALSE)</f>
        <v>Character/Prefabs/m_s_attacker_clock_clawdog_2</v>
      </c>
      <c r="X159" s="19"/>
      <c r="Y159" s="19" t="str">
        <f>VLOOKUP($C159,'#Data'!$B$3:$I$344,8,FALSE)</f>
        <v>m_s_attacker_clock_clawdog_2</v>
      </c>
      <c r="Z159" s="19"/>
      <c r="AA159" s="19"/>
      <c r="AB159" s="19"/>
      <c r="AC159" s="91">
        <v>0.9</v>
      </c>
      <c r="AD159" s="19"/>
      <c r="AE159" s="19"/>
      <c r="AF159" s="19"/>
      <c r="AG159" s="19" t="s">
        <v>2104</v>
      </c>
      <c r="AH159" s="85"/>
    </row>
    <row r="160" spans="1:34" x14ac:dyDescent="0.3">
      <c r="A160" s="19">
        <v>1110207111</v>
      </c>
      <c r="B160" s="19" t="s">
        <v>190</v>
      </c>
      <c r="C160" s="19" t="s">
        <v>1419</v>
      </c>
      <c r="D160" s="19" t="str">
        <f>"Monster.Name."&amp;VLOOKUP($C160,'#Data'!$B$2:$J$344,2,FALSE)</f>
        <v>Monster.Name.clock_flamedog_2</v>
      </c>
      <c r="E160" s="19" t="s">
        <v>47</v>
      </c>
      <c r="F160" s="48" t="s">
        <v>44</v>
      </c>
      <c r="G160" s="19" t="s">
        <v>45</v>
      </c>
      <c r="H160" s="41" t="b">
        <f>IF(OR(VLOOKUP($C160,'#Data'!$B$2:$J$344,4,FALSE)="보스",VLOOKUP($C160,'#Data'!$B$2:$J$344,4,FALSE)="중간"),TRUE,FALSE)</f>
        <v>0</v>
      </c>
      <c r="I160" s="41" t="b">
        <v>0</v>
      </c>
      <c r="J160" s="19">
        <v>10</v>
      </c>
      <c r="K160" s="19">
        <f>VLOOKUP($A160,쿼리1[[ID]:[열1]],3,FALSE)</f>
        <v>10</v>
      </c>
      <c r="L160" s="69" t="s">
        <v>1435</v>
      </c>
      <c r="M160" s="69"/>
      <c r="N160" s="69"/>
      <c r="O160" s="138" t="s">
        <v>2051</v>
      </c>
      <c r="P160" s="138"/>
      <c r="Q160" s="138"/>
      <c r="R160" s="70"/>
      <c r="S160" s="70"/>
      <c r="T160" s="70"/>
      <c r="U160" s="70"/>
      <c r="V160" s="19" t="b">
        <v>0</v>
      </c>
      <c r="W160" s="19" t="str">
        <f>"Character/Prefabs/"&amp;VLOOKUP($C160,'#Data'!$B$3:$I$344,8,FALSE)</f>
        <v>Character/Prefabs/m_s_ranger_clock_flamedog_2</v>
      </c>
      <c r="X160" s="19"/>
      <c r="Y160" s="19" t="str">
        <f>VLOOKUP($C160,'#Data'!$B$3:$I$344,8,FALSE)</f>
        <v>m_s_ranger_clock_flamedog_2</v>
      </c>
      <c r="Z160" s="19"/>
      <c r="AA160" s="19"/>
      <c r="AB160" s="19"/>
      <c r="AC160" s="91">
        <v>0.9</v>
      </c>
      <c r="AD160" s="19"/>
      <c r="AE160" s="19"/>
      <c r="AF160" s="19"/>
      <c r="AG160" s="19" t="s">
        <v>2104</v>
      </c>
      <c r="AH160" s="85"/>
    </row>
    <row r="161" spans="1:34" x14ac:dyDescent="0.3">
      <c r="A161" s="19">
        <v>1110207112</v>
      </c>
      <c r="B161" s="19" t="s">
        <v>190</v>
      </c>
      <c r="C161" s="19" t="s">
        <v>1420</v>
      </c>
      <c r="D161" s="19" t="str">
        <f>"Monster.Name."&amp;VLOOKUP($C161,'#Data'!$B$2:$J$344,2,FALSE)</f>
        <v>Monster.Name.clock_spear_2</v>
      </c>
      <c r="E161" s="19" t="s">
        <v>43</v>
      </c>
      <c r="F161" s="48" t="s">
        <v>44</v>
      </c>
      <c r="G161" s="19" t="s">
        <v>45</v>
      </c>
      <c r="H161" s="41" t="b">
        <f>IF(OR(VLOOKUP($C161,'#Data'!$B$2:$J$344,4,FALSE)="보스",VLOOKUP($C161,'#Data'!$B$2:$J$344,4,FALSE)="중간"),TRUE,FALSE)</f>
        <v>0</v>
      </c>
      <c r="I161" s="41" t="b">
        <v>0</v>
      </c>
      <c r="J161" s="19">
        <v>10</v>
      </c>
      <c r="K161" s="19">
        <f>VLOOKUP($A161,쿼리1[[ID]:[열1]],3,FALSE)</f>
        <v>10</v>
      </c>
      <c r="L161" s="69" t="s">
        <v>1436</v>
      </c>
      <c r="M161" s="69"/>
      <c r="N161" s="69"/>
      <c r="O161" s="138" t="s">
        <v>1441</v>
      </c>
      <c r="P161" s="138" t="s">
        <v>2052</v>
      </c>
      <c r="Q161" s="138"/>
      <c r="R161" s="70"/>
      <c r="S161" s="70"/>
      <c r="T161" s="70"/>
      <c r="U161" s="70"/>
      <c r="V161" s="19" t="b">
        <v>0</v>
      </c>
      <c r="W161" s="19" t="str">
        <f>"Character/Prefabs/"&amp;VLOOKUP($C161,'#Data'!$B$3:$I$344,8,FALSE)</f>
        <v>Character/Prefabs/m_m_attacker_clock_spear_2</v>
      </c>
      <c r="X161" s="19"/>
      <c r="Y161" s="19" t="str">
        <f>VLOOKUP($C161,'#Data'!$B$3:$I$344,8,FALSE)</f>
        <v>m_m_attacker_clock_spear_2</v>
      </c>
      <c r="Z161" s="19"/>
      <c r="AA161" s="19"/>
      <c r="AB161" s="19"/>
      <c r="AC161" s="91">
        <v>0.9</v>
      </c>
      <c r="AD161" s="19"/>
      <c r="AE161" s="19"/>
      <c r="AF161" s="19"/>
      <c r="AG161" s="19" t="s">
        <v>2104</v>
      </c>
      <c r="AH161" s="85"/>
    </row>
    <row r="162" spans="1:34" x14ac:dyDescent="0.3">
      <c r="A162" s="19">
        <v>1110207113</v>
      </c>
      <c r="B162" s="19" t="s">
        <v>190</v>
      </c>
      <c r="C162" s="19" t="s">
        <v>1421</v>
      </c>
      <c r="D162" s="19" t="str">
        <f>"Monster.Name."&amp;VLOOKUP($C162,'#Data'!$B$2:$J$344,2,FALSE)</f>
        <v>Monster.Name.clock_squire_2</v>
      </c>
      <c r="E162" s="19" t="s">
        <v>47</v>
      </c>
      <c r="F162" s="48" t="s">
        <v>44</v>
      </c>
      <c r="G162" s="19" t="s">
        <v>45</v>
      </c>
      <c r="H162" s="41" t="b">
        <f>IF(OR(VLOOKUP($C162,'#Data'!$B$2:$J$344,4,FALSE)="보스",VLOOKUP($C162,'#Data'!$B$2:$J$344,4,FALSE)="중간"),TRUE,FALSE)</f>
        <v>0</v>
      </c>
      <c r="I162" s="41" t="b">
        <v>0</v>
      </c>
      <c r="J162" s="19">
        <v>10</v>
      </c>
      <c r="K162" s="19">
        <f>VLOOKUP($A162,쿼리1[[ID]:[열1]],3,FALSE)</f>
        <v>10</v>
      </c>
      <c r="L162" s="69" t="s">
        <v>1437</v>
      </c>
      <c r="M162" s="69"/>
      <c r="N162" s="69"/>
      <c r="O162" s="138" t="s">
        <v>1442</v>
      </c>
      <c r="P162" s="138" t="s">
        <v>2053</v>
      </c>
      <c r="Q162" s="138"/>
      <c r="R162" s="70"/>
      <c r="S162" s="70"/>
      <c r="T162" s="70"/>
      <c r="U162" s="70"/>
      <c r="V162" s="19" t="b">
        <v>0</v>
      </c>
      <c r="W162" s="19" t="str">
        <f>"Character/Prefabs/"&amp;VLOOKUP($C162,'#Data'!$B$3:$I$344,8,FALSE)</f>
        <v>Character/Prefabs/m_m_ranger_clock_squire_2</v>
      </c>
      <c r="X162" s="19"/>
      <c r="Y162" s="19" t="str">
        <f>VLOOKUP($C162,'#Data'!$B$3:$I$344,8,FALSE)</f>
        <v>m_m_ranger_clock_squire_2</v>
      </c>
      <c r="Z162" s="19"/>
      <c r="AA162" s="19"/>
      <c r="AB162" s="19"/>
      <c r="AC162" s="91">
        <v>0.9</v>
      </c>
      <c r="AD162" s="19"/>
      <c r="AE162" s="19"/>
      <c r="AF162" s="19"/>
      <c r="AG162" s="19" t="s">
        <v>2104</v>
      </c>
      <c r="AH162" s="85"/>
    </row>
    <row r="163" spans="1:34" x14ac:dyDescent="0.3">
      <c r="A163" s="19">
        <v>1110207114</v>
      </c>
      <c r="B163" s="19" t="s">
        <v>190</v>
      </c>
      <c r="C163" s="19" t="s">
        <v>1422</v>
      </c>
      <c r="D163" s="19" t="str">
        <f>"Monster.Name."&amp;VLOOKUP($C163,'#Data'!$B$2:$J$344,2,FALSE)</f>
        <v>Monster.Name.clock_crossbow_2</v>
      </c>
      <c r="E163" s="19" t="s">
        <v>47</v>
      </c>
      <c r="F163" s="48" t="s">
        <v>44</v>
      </c>
      <c r="G163" s="19" t="s">
        <v>45</v>
      </c>
      <c r="H163" s="41" t="b">
        <f>IF(OR(VLOOKUP($C163,'#Data'!$B$2:$J$344,4,FALSE)="보스",VLOOKUP($C163,'#Data'!$B$2:$J$344,4,FALSE)="중간"),TRUE,FALSE)</f>
        <v>0</v>
      </c>
      <c r="I163" s="41" t="b">
        <v>0</v>
      </c>
      <c r="J163" s="19">
        <v>10</v>
      </c>
      <c r="K163" s="19">
        <f>VLOOKUP($A163,쿼리1[[ID]:[열1]],3,FALSE)</f>
        <v>10</v>
      </c>
      <c r="L163" s="69" t="s">
        <v>1438</v>
      </c>
      <c r="M163" s="69"/>
      <c r="N163" s="69"/>
      <c r="O163" s="138" t="s">
        <v>1443</v>
      </c>
      <c r="P163" s="138" t="s">
        <v>2054</v>
      </c>
      <c r="Q163" s="138"/>
      <c r="R163" s="70"/>
      <c r="S163" s="70"/>
      <c r="T163" s="70"/>
      <c r="U163" s="70"/>
      <c r="V163" s="19" t="b">
        <v>0</v>
      </c>
      <c r="W163" s="19" t="str">
        <f>"Character/Prefabs/"&amp;VLOOKUP($C163,'#Data'!$B$3:$I$344,8,FALSE)</f>
        <v>Character/Prefabs/m_m_ranger_clock_crossbow_2</v>
      </c>
      <c r="X163" s="19"/>
      <c r="Y163" s="19" t="str">
        <f>VLOOKUP($C163,'#Data'!$B$3:$I$344,8,FALSE)</f>
        <v>m_m_ranger_clock_crossbow_2</v>
      </c>
      <c r="Z163" s="19"/>
      <c r="AA163" s="19"/>
      <c r="AB163" s="19"/>
      <c r="AC163" s="91">
        <v>0.9</v>
      </c>
      <c r="AD163" s="19"/>
      <c r="AE163" s="19"/>
      <c r="AF163" s="19"/>
      <c r="AG163" s="19" t="s">
        <v>2104</v>
      </c>
      <c r="AH163" s="85"/>
    </row>
    <row r="164" spans="1:34" x14ac:dyDescent="0.3">
      <c r="A164" s="19">
        <v>1110207115</v>
      </c>
      <c r="B164" s="19" t="s">
        <v>190</v>
      </c>
      <c r="C164" s="19" t="s">
        <v>1423</v>
      </c>
      <c r="D164" s="19" t="str">
        <f>"Monster.Name."&amp;VLOOKUP($C164,'#Data'!$B$2:$J$344,2,FALSE)</f>
        <v>Monster.Name.clock_shield_2</v>
      </c>
      <c r="E164" s="19" t="s">
        <v>43</v>
      </c>
      <c r="F164" s="48" t="s">
        <v>44</v>
      </c>
      <c r="G164" s="19" t="s">
        <v>45</v>
      </c>
      <c r="H164" s="41" t="b">
        <f>IF(OR(VLOOKUP($C164,'#Data'!$B$2:$J$344,4,FALSE)="보스",VLOOKUP($C164,'#Data'!$B$2:$J$344,4,FALSE)="중간"),TRUE,FALSE)</f>
        <v>0</v>
      </c>
      <c r="I164" s="41" t="b">
        <v>0</v>
      </c>
      <c r="J164" s="19">
        <v>10</v>
      </c>
      <c r="K164" s="19">
        <f>VLOOKUP($A164,쿼리1[[ID]:[열1]],3,FALSE)</f>
        <v>10</v>
      </c>
      <c r="L164" s="69" t="s">
        <v>1439</v>
      </c>
      <c r="M164" s="69"/>
      <c r="N164" s="69"/>
      <c r="O164" s="138" t="s">
        <v>1444</v>
      </c>
      <c r="P164" s="138" t="s">
        <v>2055</v>
      </c>
      <c r="Q164" s="138"/>
      <c r="R164" s="70"/>
      <c r="S164" s="70"/>
      <c r="T164" s="70"/>
      <c r="U164" s="70"/>
      <c r="V164" s="19" t="b">
        <v>0</v>
      </c>
      <c r="W164" s="19" t="str">
        <f>"Character/Prefabs/"&amp;VLOOKUP($C164,'#Data'!$B$3:$I$344,8,FALSE)</f>
        <v>Character/Prefabs/m_m_attacker_clock_shield_2</v>
      </c>
      <c r="X164" s="19"/>
      <c r="Y164" s="19" t="str">
        <f>VLOOKUP($C164,'#Data'!$B$3:$I$344,8,FALSE)</f>
        <v>m_m_attacker_clock_shield_2</v>
      </c>
      <c r="Z164" s="19"/>
      <c r="AA164" s="19"/>
      <c r="AB164" s="19"/>
      <c r="AC164" s="91">
        <v>0.9</v>
      </c>
      <c r="AD164" s="19"/>
      <c r="AE164" s="19"/>
      <c r="AF164" s="19"/>
      <c r="AG164" s="19" t="s">
        <v>2104</v>
      </c>
      <c r="AH164" s="85"/>
    </row>
    <row r="165" spans="1:34" x14ac:dyDescent="0.3">
      <c r="A165" s="19">
        <v>1110207116</v>
      </c>
      <c r="B165" s="19" t="s">
        <v>190</v>
      </c>
      <c r="C165" s="19" t="s">
        <v>1424</v>
      </c>
      <c r="D165" s="19" t="str">
        <f>"Monster.Name."&amp;VLOOKUP($C165,'#Data'!$B$2:$J$344,2,FALSE)</f>
        <v>Monster.Name.clock_clown_2</v>
      </c>
      <c r="E165" s="19" t="s">
        <v>47</v>
      </c>
      <c r="F165" s="48" t="s">
        <v>44</v>
      </c>
      <c r="G165" s="19" t="s">
        <v>45</v>
      </c>
      <c r="H165" s="41" t="b">
        <f>IF(OR(VLOOKUP($C165,'#Data'!$B$2:$J$344,4,FALSE)="보스",VLOOKUP($C165,'#Data'!$B$2:$J$344,4,FALSE)="중간"),TRUE,FALSE)</f>
        <v>0</v>
      </c>
      <c r="I165" s="41" t="b">
        <v>0</v>
      </c>
      <c r="J165" s="19">
        <v>10</v>
      </c>
      <c r="K165" s="19">
        <f>VLOOKUP($A165,쿼리1[[ID]:[열1]],3,FALSE)</f>
        <v>10</v>
      </c>
      <c r="L165" s="69" t="s">
        <v>1440</v>
      </c>
      <c r="M165" s="69"/>
      <c r="N165" s="69"/>
      <c r="O165" s="138" t="s">
        <v>1445</v>
      </c>
      <c r="P165" s="138" t="s">
        <v>2056</v>
      </c>
      <c r="Q165" s="138"/>
      <c r="R165" s="70"/>
      <c r="S165" s="70"/>
      <c r="T165" s="70"/>
      <c r="U165" s="70"/>
      <c r="V165" s="19" t="b">
        <v>0</v>
      </c>
      <c r="W165" s="19" t="str">
        <f>"Character/Prefabs/"&amp;VLOOKUP($C165,'#Data'!$B$3:$I$344,8,FALSE)</f>
        <v>Character/Prefabs/m_m_ranger_clock_clown_2</v>
      </c>
      <c r="X165" s="19"/>
      <c r="Y165" s="19" t="str">
        <f>VLOOKUP($C165,'#Data'!$B$3:$I$344,8,FALSE)</f>
        <v>m_m_ranger_clock_clown_2</v>
      </c>
      <c r="Z165" s="19"/>
      <c r="AA165" s="19"/>
      <c r="AB165" s="19"/>
      <c r="AC165" s="91">
        <v>0.9</v>
      </c>
      <c r="AD165" s="19"/>
      <c r="AE165" s="19"/>
      <c r="AF165" s="19"/>
      <c r="AG165" s="19" t="s">
        <v>2104</v>
      </c>
      <c r="AH165" s="85"/>
    </row>
    <row r="166" spans="1:34" x14ac:dyDescent="0.3">
      <c r="A166" s="19">
        <v>1110207117</v>
      </c>
      <c r="B166" s="19" t="s">
        <v>190</v>
      </c>
      <c r="C166" s="19" t="s">
        <v>1425</v>
      </c>
      <c r="D166" s="19" t="str">
        <f>"Monster.Name."&amp;VLOOKUP($C166,'#Data'!$B$2:$J$344,2,FALSE)</f>
        <v>Monster.Name.clock_draftee_2</v>
      </c>
      <c r="E166" s="19" t="s">
        <v>43</v>
      </c>
      <c r="F166" s="48" t="s">
        <v>44</v>
      </c>
      <c r="G166" s="19" t="s">
        <v>45</v>
      </c>
      <c r="H166" s="41" t="b">
        <f>IF(OR(VLOOKUP($C166,'#Data'!$B$2:$J$344,4,FALSE)="보스",VLOOKUP($C166,'#Data'!$B$2:$J$344,4,FALSE)="중간"),TRUE,FALSE)</f>
        <v>0</v>
      </c>
      <c r="I166" s="41" t="b">
        <v>0</v>
      </c>
      <c r="J166" s="19">
        <v>10</v>
      </c>
      <c r="K166" s="19">
        <f>VLOOKUP($A166,쿼리1[[ID]:[열1]],3,FALSE)</f>
        <v>10</v>
      </c>
      <c r="L166" s="69"/>
      <c r="M166" s="69"/>
      <c r="N166" s="69"/>
      <c r="O166" s="138" t="s">
        <v>1446</v>
      </c>
      <c r="P166" s="138"/>
      <c r="Q166" s="138"/>
      <c r="R166" s="70"/>
      <c r="S166" s="70" t="s">
        <v>199</v>
      </c>
      <c r="T166" s="70"/>
      <c r="U166" s="70"/>
      <c r="V166" s="19" t="b">
        <v>0</v>
      </c>
      <c r="W166" s="19" t="str">
        <f>"Character/Prefabs/"&amp;VLOOKUP($C166,'#Data'!$B$3:$I$344,8,FALSE)</f>
        <v>Character/Prefabs/m_m_attacker_clock_draftee_2</v>
      </c>
      <c r="X166" s="19"/>
      <c r="Y166" s="19" t="str">
        <f>VLOOKUP($C166,'#Data'!$B$3:$I$344,8,FALSE)</f>
        <v>m_m_attacker_clock_draftee_2</v>
      </c>
      <c r="Z166" s="19"/>
      <c r="AA166" s="19"/>
      <c r="AB166" s="19"/>
      <c r="AC166" s="91">
        <v>0.9</v>
      </c>
      <c r="AD166" s="19"/>
      <c r="AE166" s="19"/>
      <c r="AF166" s="19"/>
      <c r="AG166" s="19" t="s">
        <v>2104</v>
      </c>
      <c r="AH166" s="85"/>
    </row>
    <row r="167" spans="1:34" x14ac:dyDescent="0.3">
      <c r="A167" s="19">
        <v>1110207118</v>
      </c>
      <c r="B167" s="19" t="s">
        <v>190</v>
      </c>
      <c r="C167" s="19" t="s">
        <v>2065</v>
      </c>
      <c r="D167" s="19" t="str">
        <f>"Monster.Name."&amp;VLOOKUP($C167,'#Data'!$B$2:$J$344,2,FALSE)</f>
        <v>Monster.Name.clock_honor_knight_2</v>
      </c>
      <c r="E167" s="19" t="s">
        <v>43</v>
      </c>
      <c r="F167" s="48" t="s">
        <v>44</v>
      </c>
      <c r="G167" s="19" t="s">
        <v>45</v>
      </c>
      <c r="H167" s="41" t="b">
        <f>IF(OR(VLOOKUP($C167,'#Data'!$B$2:$J$344,4,FALSE)="보스",VLOOKUP($C167,'#Data'!$B$2:$J$344,4,FALSE)="중간"),TRUE,FALSE)</f>
        <v>0</v>
      </c>
      <c r="I167" s="41" t="b">
        <v>0</v>
      </c>
      <c r="J167" s="19">
        <v>10</v>
      </c>
      <c r="K167" s="19">
        <f>VLOOKUP($A167,쿼리1[[ID]:[열1]],3,FALSE)</f>
        <v>10</v>
      </c>
      <c r="L167" s="69" t="str">
        <f>$B167&amp;"."&amp;VLOOKUP($C167,'#Data'!$B$2:$J$344,2,FALSE)&amp;".attack0"&amp;RIGHT(L$1,1)</f>
        <v>Sector07.clock_honor_knight_2.attack01</v>
      </c>
      <c r="M167" s="69" t="str">
        <f>$B167&amp;"."&amp;VLOOKUP($C167,'#Data'!$B$2:$J$344,2,FALSE)&amp;".attack0"&amp;RIGHT(M$1,1)</f>
        <v>Sector07.clock_honor_knight_2.attack02</v>
      </c>
      <c r="N167" s="69"/>
      <c r="O167" s="138" t="str">
        <f>$B167&amp;"."&amp;VLOOKUP($C167,'#Data'!$B$2:$J$344,2,FALSE)&amp;".skill0"&amp;RIGHT(O$1,1)</f>
        <v>Sector07.clock_honor_knight_2.skill01</v>
      </c>
      <c r="P167" s="138"/>
      <c r="Q167" s="138"/>
      <c r="R167" s="70"/>
      <c r="S167" s="70" t="s">
        <v>2069</v>
      </c>
      <c r="T167" s="70"/>
      <c r="U167" s="70"/>
      <c r="V167" s="19" t="b">
        <v>0</v>
      </c>
      <c r="W167" s="168" t="s">
        <v>2086</v>
      </c>
      <c r="X167" s="167"/>
      <c r="Y167" s="168" t="s">
        <v>2087</v>
      </c>
      <c r="Z167" s="19"/>
      <c r="AA167" s="19"/>
      <c r="AB167" s="19"/>
      <c r="AC167" s="91">
        <v>0.9</v>
      </c>
      <c r="AD167" s="19"/>
      <c r="AE167" s="19"/>
      <c r="AF167" s="19"/>
      <c r="AG167" s="19" t="s">
        <v>2104</v>
      </c>
      <c r="AH167" s="85"/>
    </row>
    <row r="168" spans="1:34" x14ac:dyDescent="0.3">
      <c r="A168" s="41">
        <v>1110207201</v>
      </c>
      <c r="B168" s="41" t="s">
        <v>190</v>
      </c>
      <c r="C168" s="41" t="s">
        <v>201</v>
      </c>
      <c r="D168" s="41" t="str">
        <f>"Monster.Name."&amp;VLOOKUP($C168,'#Data'!$B$2:$J$344,2,FALSE)</f>
        <v>Monster.Name.clock_noble_knight_1</v>
      </c>
      <c r="E168" s="41" t="s">
        <v>43</v>
      </c>
      <c r="F168" s="42" t="s">
        <v>44</v>
      </c>
      <c r="G168" s="41" t="s">
        <v>45</v>
      </c>
      <c r="H168" s="41" t="b">
        <f>IF(OR(VLOOKUP($C168,'#Data'!$B$2:$J$344,4,FALSE)="보스",VLOOKUP($C168,'#Data'!$B$2:$J$344,4,FALSE)="중간"),TRUE,FALSE)</f>
        <v>1</v>
      </c>
      <c r="I168" s="41" t="b">
        <v>1</v>
      </c>
      <c r="J168" s="41">
        <v>10</v>
      </c>
      <c r="K168" s="41">
        <f>VLOOKUP($A168,쿼리1[[ID]:[열1]],3,FALSE)</f>
        <v>10</v>
      </c>
      <c r="L168" s="67" t="str">
        <f>$B168&amp;"."&amp;VLOOKUP($C168,'#Data'!$B$2:$J$344,2,FALSE)&amp;".attack0"&amp;RIGHT(L$1,1)</f>
        <v>Sector07.clock_noble_knight_1.attack01</v>
      </c>
      <c r="M168" s="67" t="str">
        <f>$B168&amp;"."&amp;VLOOKUP($C168,'#Data'!$B$2:$J$344,2,FALSE)&amp;".attack0"&amp;RIGHT(M$1,1)</f>
        <v>Sector07.clock_noble_knight_1.attack02</v>
      </c>
      <c r="N168" s="67"/>
      <c r="O168" s="137" t="str">
        <f>$B168&amp;"."&amp;VLOOKUP($C168,'#Data'!$B$2:$J$344,2,FALSE)&amp;".skill0"&amp;RIGHT(O$1,1)</f>
        <v>Sector07.clock_noble_knight_1.skill01</v>
      </c>
      <c r="P168" s="137" t="str">
        <f>$B168&amp;"."&amp;VLOOKUP($C168,'#Data'!$B$2:$J$344,2,FALSE)&amp;".skill0"&amp;RIGHT(P$1,1)</f>
        <v>Sector07.clock_noble_knight_1.skill02</v>
      </c>
      <c r="Q168" s="137" t="str">
        <f>$B168&amp;"."&amp;VLOOKUP($C168,'#Data'!$B$2:$J$344,2,FALSE)&amp;".skill0"&amp;RIGHT(Q$1,1)</f>
        <v>Sector07.clock_noble_knight_1.skill03</v>
      </c>
      <c r="R168" s="68" t="s">
        <v>202</v>
      </c>
      <c r="S168" s="68" t="s">
        <v>2077</v>
      </c>
      <c r="T168" s="68"/>
      <c r="U168" s="68"/>
      <c r="V168" s="41" t="b">
        <v>0</v>
      </c>
      <c r="W168" s="41" t="str">
        <f>"Character/Prefabs/"&amp;VLOOKUP($C168,'#Data'!$B$3:$I$344,8,FALSE)</f>
        <v>Character/Prefabs/m_l_attacker_clock_noble_knight_1</v>
      </c>
      <c r="X168" s="41"/>
      <c r="Y168" s="41" t="str">
        <f>VLOOKUP($C168,'#Data'!$B$3:$I$344,8,FALSE)</f>
        <v>m_l_attacker_clock_noble_knight_1</v>
      </c>
      <c r="Z168" s="41"/>
      <c r="AA168" s="41"/>
      <c r="AB168" s="41"/>
      <c r="AC168" s="90">
        <v>0.9</v>
      </c>
      <c r="AD168" s="41"/>
      <c r="AE168" s="41"/>
      <c r="AF168" s="41"/>
      <c r="AG168" s="41" t="s">
        <v>2104</v>
      </c>
      <c r="AH168" s="85"/>
    </row>
    <row r="169" spans="1:34" x14ac:dyDescent="0.3">
      <c r="A169" s="41">
        <v>1110207202</v>
      </c>
      <c r="B169" s="41" t="s">
        <v>190</v>
      </c>
      <c r="C169" s="41" t="s">
        <v>203</v>
      </c>
      <c r="D169" s="41" t="str">
        <f>"Monster.Name."&amp;VLOOKUP($C169,'#Data'!$B$2:$J$344,2,FALSE)</f>
        <v>Monster.Name.clock_noble_bishop_1</v>
      </c>
      <c r="E169" s="41" t="s">
        <v>47</v>
      </c>
      <c r="F169" s="42" t="s">
        <v>44</v>
      </c>
      <c r="G169" s="41" t="s">
        <v>45</v>
      </c>
      <c r="H169" s="41" t="b">
        <f>IF(OR(VLOOKUP($C169,'#Data'!$B$2:$J$344,4,FALSE)="보스",VLOOKUP($C169,'#Data'!$B$2:$J$344,4,FALSE)="중간"),TRUE,FALSE)</f>
        <v>1</v>
      </c>
      <c r="I169" s="41" t="b">
        <v>1</v>
      </c>
      <c r="J169" s="41">
        <v>10</v>
      </c>
      <c r="K169" s="41">
        <f>VLOOKUP($A169,쿼리1[[ID]:[열1]],3,FALSE)</f>
        <v>10</v>
      </c>
      <c r="L169" s="67" t="str">
        <f>$B169&amp;"."&amp;VLOOKUP($C169,'#Data'!$B$2:$J$344,2,FALSE)&amp;".attack0"&amp;RIGHT(L$1,1)</f>
        <v>Sector07.clock_noble_bishop_1.attack01</v>
      </c>
      <c r="M169" s="67"/>
      <c r="N169" s="67"/>
      <c r="O169" s="137" t="str">
        <f>$B169&amp;"."&amp;VLOOKUP($C169,'#Data'!$B$2:$J$344,2,FALSE)&amp;".skill0"&amp;RIGHT(O$1,1)</f>
        <v>Sector07.clock_noble_bishop_1.skill01</v>
      </c>
      <c r="P169" s="137" t="str">
        <f>$B169&amp;"."&amp;VLOOKUP($C169,'#Data'!$B$2:$J$344,2,FALSE)&amp;".skill0"&amp;RIGHT(P$1,1)</f>
        <v>Sector07.clock_noble_bishop_1.skill02</v>
      </c>
      <c r="Q169" s="137" t="str">
        <f>$B169&amp;"."&amp;VLOOKUP($C169,'#Data'!$B$2:$J$344,2,FALSE)&amp;".skill0"&amp;RIGHT(Q$1,1)</f>
        <v>Sector07.clock_noble_bishop_1.skill03</v>
      </c>
      <c r="R169" s="68"/>
      <c r="S169" s="68" t="s">
        <v>2076</v>
      </c>
      <c r="T169" s="68"/>
      <c r="U169" s="68"/>
      <c r="V169" s="41" t="b">
        <v>0</v>
      </c>
      <c r="W169" s="41" t="str">
        <f>"Character/Prefabs/"&amp;VLOOKUP($C169,'#Data'!$B$3:$I$344,8,FALSE)</f>
        <v>Character/Prefabs/m_l_ranger_clock_noble_bishop_1</v>
      </c>
      <c r="X169" s="41"/>
      <c r="Y169" s="41" t="str">
        <f>VLOOKUP($C169,'#Data'!$B$3:$I$344,8,FALSE)</f>
        <v>m_l_ranger_clock_noble_bishop_1</v>
      </c>
      <c r="Z169" s="41"/>
      <c r="AA169" s="41"/>
      <c r="AB169" s="41"/>
      <c r="AC169" s="90">
        <v>0.9</v>
      </c>
      <c r="AD169" s="41"/>
      <c r="AE169" s="41"/>
      <c r="AF169" s="41"/>
      <c r="AG169" s="41" t="s">
        <v>2104</v>
      </c>
      <c r="AH169" s="85"/>
    </row>
    <row r="170" spans="1:34" x14ac:dyDescent="0.3">
      <c r="A170" s="41">
        <v>1110207203</v>
      </c>
      <c r="B170" s="41" t="s">
        <v>190</v>
      </c>
      <c r="C170" s="41" t="s">
        <v>204</v>
      </c>
      <c r="D170" s="41" t="str">
        <f>"Monster.Name."&amp;VLOOKUP($C170,'#Data'!$B$2:$J$344,2,FALSE)</f>
        <v>Monster.Name.clock_noble_keeper_1</v>
      </c>
      <c r="E170" s="41" t="s">
        <v>43</v>
      </c>
      <c r="F170" s="42" t="s">
        <v>44</v>
      </c>
      <c r="G170" s="41" t="s">
        <v>45</v>
      </c>
      <c r="H170" s="41" t="b">
        <f>IF(OR(VLOOKUP($C170,'#Data'!$B$2:$J$344,4,FALSE)="보스",VLOOKUP($C170,'#Data'!$B$2:$J$344,4,FALSE)="중간"),TRUE,FALSE)</f>
        <v>1</v>
      </c>
      <c r="I170" s="41" t="b">
        <v>1</v>
      </c>
      <c r="J170" s="41">
        <v>10</v>
      </c>
      <c r="K170" s="41">
        <f>VLOOKUP($A170,쿼리1[[ID]:[열1]],3,FALSE)</f>
        <v>10</v>
      </c>
      <c r="L170" s="67" t="str">
        <f>$B170&amp;"."&amp;VLOOKUP($C170,'#Data'!$B$2:$J$344,2,FALSE)&amp;".attack0"&amp;RIGHT(L$1,1)</f>
        <v>Sector07.clock_noble_keeper_1.attack01</v>
      </c>
      <c r="M170" s="67"/>
      <c r="N170" s="67"/>
      <c r="O170" s="137" t="str">
        <f>$B170&amp;"."&amp;VLOOKUP($C170,'#Data'!$B$2:$J$344,2,FALSE)&amp;".skill0"&amp;RIGHT(O$1,1)</f>
        <v>Sector07.clock_noble_keeper_1.skill01</v>
      </c>
      <c r="P170" s="137" t="str">
        <f>$B170&amp;"."&amp;VLOOKUP($C170,'#Data'!$B$2:$J$344,2,FALSE)&amp;".skill0"&amp;RIGHT(P$1,1)</f>
        <v>Sector07.clock_noble_keeper_1.skill02</v>
      </c>
      <c r="Q170" s="137" t="str">
        <f>$B170&amp;"."&amp;VLOOKUP($C170,'#Data'!$B$2:$J$344,2,FALSE)&amp;".skill0"&amp;RIGHT(Q$1,1)</f>
        <v>Sector07.clock_noble_keeper_1.skill03</v>
      </c>
      <c r="R170" s="68"/>
      <c r="S170" s="68" t="s">
        <v>2076</v>
      </c>
      <c r="T170" s="68"/>
      <c r="U170" s="68"/>
      <c r="V170" s="41" t="b">
        <v>0</v>
      </c>
      <c r="W170" s="41" t="str">
        <f>"Character/Prefabs/"&amp;VLOOKUP($C170,'#Data'!$B$3:$I$344,8,FALSE)</f>
        <v>Character/Prefabs/m_l_attacker_clock_noble_keeper_1</v>
      </c>
      <c r="X170" s="41"/>
      <c r="Y170" s="41" t="str">
        <f>VLOOKUP($C170,'#Data'!$B$3:$I$344,8,FALSE)</f>
        <v>m_l_attacker_clock_noble_keeper_1</v>
      </c>
      <c r="Z170" s="41"/>
      <c r="AA170" s="41"/>
      <c r="AB170" s="41"/>
      <c r="AC170" s="90">
        <v>0.9</v>
      </c>
      <c r="AD170" s="41"/>
      <c r="AE170" s="41"/>
      <c r="AF170" s="41"/>
      <c r="AG170" s="41" t="s">
        <v>2104</v>
      </c>
      <c r="AH170" s="85"/>
    </row>
    <row r="171" spans="1:34" x14ac:dyDescent="0.3">
      <c r="A171" s="23">
        <v>1110207301</v>
      </c>
      <c r="B171" s="23" t="s">
        <v>190</v>
      </c>
      <c r="C171" s="23" t="s">
        <v>205</v>
      </c>
      <c r="D171" s="23" t="str">
        <f>"Monster.Name."&amp;VLOOKUP($C171,'#Data'!$B$2:$J$344,2,FALSE)</f>
        <v>Monster.Name.clock_royal_queen_1</v>
      </c>
      <c r="E171" s="23" t="s">
        <v>1833</v>
      </c>
      <c r="F171" s="24" t="s">
        <v>44</v>
      </c>
      <c r="G171" s="23" t="s">
        <v>45</v>
      </c>
      <c r="H171" s="23" t="b">
        <f>IF(OR(VLOOKUP($C171,'#Data'!$B$2:$J$344,4,FALSE)="보스",VLOOKUP($C171,'#Data'!$B$2:$J$344,4,FALSE)="중간"),TRUE,FALSE)</f>
        <v>1</v>
      </c>
      <c r="I171" s="23" t="b">
        <v>1</v>
      </c>
      <c r="J171" s="23">
        <v>20</v>
      </c>
      <c r="K171" s="23">
        <f>VLOOKUP($A171,쿼리1[[ID]:[열1]],3,FALSE)</f>
        <v>10</v>
      </c>
      <c r="L171" s="115" t="str">
        <f>$B171&amp;"."&amp;VLOOKUP($C171,'#Data'!$B$2:$J$344,2,FALSE)&amp;".attack0"&amp;RIGHT(L$1,1)</f>
        <v>Sector07.clock_royal_queen_1.attack01</v>
      </c>
      <c r="M171" s="115" t="str">
        <f>$B171&amp;"."&amp;VLOOKUP($C171,'#Data'!$B$2:$J$344,2,FALSE)&amp;".attack0"&amp;RIGHT(M$1,1)</f>
        <v>Sector07.clock_royal_queen_1.attack02</v>
      </c>
      <c r="N171" s="115"/>
      <c r="O171" s="139" t="str">
        <f>$B171&amp;"."&amp;VLOOKUP($C171,'#Data'!$B$2:$J$344,2,FALSE)&amp;".skill0"&amp;RIGHT(O$1,1)</f>
        <v>Sector07.clock_royal_queen_1.skill01</v>
      </c>
      <c r="P171" s="139" t="str">
        <f>$B171&amp;"."&amp;VLOOKUP($C171,'#Data'!$B$2:$J$344,2,FALSE)&amp;".skill0"&amp;RIGHT(P$1,1)</f>
        <v>Sector07.clock_royal_queen_1.skill02</v>
      </c>
      <c r="Q171" s="139" t="str">
        <f>$B171&amp;"."&amp;VLOOKUP($C171,'#Data'!$B$2:$J$344,2,FALSE)&amp;".skill0"&amp;RIGHT(Q$1,1)</f>
        <v>Sector07.clock_royal_queen_1.skill03</v>
      </c>
      <c r="R171" s="116" t="s">
        <v>206</v>
      </c>
      <c r="S171" s="116" t="s">
        <v>76</v>
      </c>
      <c r="T171" s="116"/>
      <c r="U171" s="116"/>
      <c r="V171" s="23" t="b">
        <v>0</v>
      </c>
      <c r="W171" s="23" t="str">
        <f>"Character/Prefabs/"&amp;VLOOKUP($C171,'#Data'!$B$3:$I$344,8,FALSE)</f>
        <v>Character/Prefabs/m_boss_attacker_clock_royal_queen_1</v>
      </c>
      <c r="X171" s="23"/>
      <c r="Y171" s="23" t="str">
        <f>VLOOKUP($C171,'#Data'!$B$3:$I$344,8,FALSE)</f>
        <v>m_boss_attacker_clock_royal_queen_1</v>
      </c>
      <c r="Z171" s="23"/>
      <c r="AA171" s="23"/>
      <c r="AB171" s="23"/>
      <c r="AC171" s="98">
        <v>0.9</v>
      </c>
      <c r="AD171" s="23"/>
      <c r="AE171" s="23" t="s">
        <v>207</v>
      </c>
      <c r="AF171" s="23" t="s">
        <v>208</v>
      </c>
      <c r="AG171" s="23" t="s">
        <v>2104</v>
      </c>
      <c r="AH171" s="85"/>
    </row>
    <row r="172" spans="1:34" x14ac:dyDescent="0.3">
      <c r="A172" s="23">
        <v>1110207302</v>
      </c>
      <c r="B172" s="23" t="s">
        <v>190</v>
      </c>
      <c r="C172" s="23" t="s">
        <v>209</v>
      </c>
      <c r="D172" s="23" t="str">
        <f>"Monster.Name."&amp;VLOOKUP($C172,'#Data'!$B$2:$J$344,2,FALSE)</f>
        <v>Monster.Name.clock_royal_queen_2</v>
      </c>
      <c r="E172" s="23" t="s">
        <v>1833</v>
      </c>
      <c r="F172" s="24" t="s">
        <v>44</v>
      </c>
      <c r="G172" s="23" t="s">
        <v>45</v>
      </c>
      <c r="H172" s="23" t="b">
        <f>IF(OR(VLOOKUP($C172,'#Data'!$B$2:$J$344,4,FALSE)="보스",VLOOKUP($C172,'#Data'!$B$2:$J$344,4,FALSE)="중간"),TRUE,FALSE)</f>
        <v>1</v>
      </c>
      <c r="I172" s="23" t="b">
        <v>1</v>
      </c>
      <c r="J172" s="23">
        <v>20</v>
      </c>
      <c r="K172" s="23">
        <f>VLOOKUP($A172,쿼리1[[ID]:[열1]],3,FALSE)</f>
        <v>10</v>
      </c>
      <c r="L172" s="115" t="str">
        <f>$B172&amp;"."&amp;VLOOKUP($C172,'#Data'!$B$2:$J$344,2,FALSE)&amp;".attack0"&amp;RIGHT(L$1,1)</f>
        <v>Sector07.clock_royal_queen_2.attack01</v>
      </c>
      <c r="M172" s="115" t="str">
        <f>$B172&amp;"."&amp;VLOOKUP($C172,'#Data'!$B$2:$J$344,2,FALSE)&amp;".attack0"&amp;RIGHT(M$1,1)</f>
        <v>Sector07.clock_royal_queen_2.attack02</v>
      </c>
      <c r="N172" s="115"/>
      <c r="O172" s="139" t="str">
        <f>$B172&amp;"."&amp;VLOOKUP($C172,'#Data'!$B$2:$J$344,2,FALSE)&amp;".skill0"&amp;RIGHT(O$1,1)</f>
        <v>Sector07.clock_royal_queen_2.skill01</v>
      </c>
      <c r="P172" s="139" t="str">
        <f>$B172&amp;"."&amp;VLOOKUP($C172,'#Data'!$B$2:$J$344,2,FALSE)&amp;".skill0"&amp;RIGHT(P$1,1)</f>
        <v>Sector07.clock_royal_queen_2.skill02</v>
      </c>
      <c r="Q172" s="139" t="str">
        <f>$B172&amp;"."&amp;VLOOKUP($C172,'#Data'!$B$2:$J$344,2,FALSE)&amp;".skill0"&amp;RIGHT(Q$1,1)</f>
        <v>Sector07.clock_royal_queen_2.skill03</v>
      </c>
      <c r="R172" s="116" t="s">
        <v>206</v>
      </c>
      <c r="S172" s="116" t="s">
        <v>76</v>
      </c>
      <c r="T172" s="116"/>
      <c r="U172" s="116"/>
      <c r="V172" s="23" t="b">
        <v>0</v>
      </c>
      <c r="W172" s="166" t="str">
        <f>"Character/Prefabs/"&amp;VLOOKUP($C172,'#Data'!$B$3:$I$344,8,FALSE)</f>
        <v>Character/Prefabs/m_boss_attacker_clock_royal_queen_2</v>
      </c>
      <c r="X172" s="166"/>
      <c r="Y172" s="166" t="str">
        <f>VLOOKUP($C172,'#Data'!$B$3:$I$344,8,FALSE)</f>
        <v>m_boss_attacker_clock_royal_queen_2</v>
      </c>
      <c r="Z172" s="23"/>
      <c r="AA172" s="23"/>
      <c r="AB172" s="23"/>
      <c r="AC172" s="98">
        <v>1.1000000000000001</v>
      </c>
      <c r="AD172" s="23"/>
      <c r="AE172" s="23" t="s">
        <v>2083</v>
      </c>
      <c r="AF172" s="23" t="s">
        <v>2101</v>
      </c>
      <c r="AG172" s="23" t="s">
        <v>2104</v>
      </c>
      <c r="AH172" s="85"/>
    </row>
    <row r="173" spans="1:34" x14ac:dyDescent="0.3">
      <c r="A173" s="13">
        <v>1110208101</v>
      </c>
      <c r="B173" s="13" t="s">
        <v>210</v>
      </c>
      <c r="C173" s="13" t="s">
        <v>211</v>
      </c>
      <c r="D173" s="13" t="str">
        <f>"Monster.Name."&amp;VLOOKUP($C173,'#Data'!$B$2:$J$344,2,FALSE)</f>
        <v>Monster.Name.plants_sticky_1</v>
      </c>
      <c r="E173" s="13" t="s">
        <v>43</v>
      </c>
      <c r="F173" s="44" t="s">
        <v>44</v>
      </c>
      <c r="G173" s="13" t="s">
        <v>45</v>
      </c>
      <c r="H173" s="13" t="b">
        <f>IF(OR(VLOOKUP($C173,'#Data'!$B$2:$J$344,4,FALSE)="보스",VLOOKUP($C173,'#Data'!$B$2:$J$344,4,FALSE)="중간"),TRUE,FALSE)</f>
        <v>0</v>
      </c>
      <c r="I173" s="13" t="b">
        <v>0</v>
      </c>
      <c r="J173" s="13">
        <v>10</v>
      </c>
      <c r="K173" s="13">
        <f>VLOOKUP($A173,쿼리1[[ID]:[열1]],3,FALSE)</f>
        <v>10</v>
      </c>
      <c r="L173" s="71" t="str">
        <f>$B173&amp;"."&amp;VLOOKUP($C173,'#Data'!$B$2:$J$344,2,FALSE)&amp;".attack0"&amp;RIGHT(L$1,1)</f>
        <v>Sector08.plants_sticky_1.attack01</v>
      </c>
      <c r="M173" s="71"/>
      <c r="N173" s="71"/>
      <c r="O173" s="140" t="s">
        <v>2057</v>
      </c>
      <c r="P173" s="140" t="s">
        <v>1959</v>
      </c>
      <c r="Q173" s="140"/>
      <c r="R173" s="72"/>
      <c r="S173" s="72"/>
      <c r="T173" s="72"/>
      <c r="U173" s="72"/>
      <c r="V173" s="13" t="b">
        <v>0</v>
      </c>
      <c r="W173" s="13" t="str">
        <f>"Character/Prefabs/"&amp;VLOOKUP($C173,'#Data'!$B$3:$I$344,8,FALSE)</f>
        <v>Character/Prefabs/m_s_attacker_plants_sticky_1</v>
      </c>
      <c r="X173" s="13"/>
      <c r="Y173" s="13" t="str">
        <f>VLOOKUP($C173,'#Data'!$B$3:$I$344,8,FALSE)</f>
        <v>m_s_attacker_plants_sticky_1</v>
      </c>
      <c r="Z173" s="13"/>
      <c r="AA173" s="13"/>
      <c r="AB173" s="13"/>
      <c r="AC173" s="92">
        <v>0.9</v>
      </c>
      <c r="AD173" s="13"/>
      <c r="AE173" s="13"/>
      <c r="AF173" s="13"/>
      <c r="AG173" s="13" t="s">
        <v>2104</v>
      </c>
      <c r="AH173" s="85"/>
    </row>
    <row r="174" spans="1:34" x14ac:dyDescent="0.3">
      <c r="A174" s="13">
        <v>1110208102</v>
      </c>
      <c r="B174" s="13" t="s">
        <v>210</v>
      </c>
      <c r="C174" s="13" t="s">
        <v>212</v>
      </c>
      <c r="D174" s="13" t="str">
        <f>"Monster.Name."&amp;VLOOKUP($C174,'#Data'!$B$2:$J$344,2,FALSE)</f>
        <v>Monster.Name.plants_stinger_1</v>
      </c>
      <c r="E174" s="13" t="s">
        <v>1962</v>
      </c>
      <c r="F174" s="44" t="s">
        <v>44</v>
      </c>
      <c r="G174" s="13" t="s">
        <v>45</v>
      </c>
      <c r="H174" s="13" t="b">
        <f>IF(OR(VLOOKUP($C174,'#Data'!$B$2:$J$344,4,FALSE)="보스",VLOOKUP($C174,'#Data'!$B$2:$J$344,4,FALSE)="중간"),TRUE,FALSE)</f>
        <v>0</v>
      </c>
      <c r="I174" s="13" t="b">
        <v>0</v>
      </c>
      <c r="J174" s="13">
        <v>10</v>
      </c>
      <c r="K174" s="13">
        <f>VLOOKUP($A174,쿼리1[[ID]:[열1]],3,FALSE)</f>
        <v>10</v>
      </c>
      <c r="L174" s="71" t="str">
        <f>$B174&amp;"."&amp;VLOOKUP($C174,'#Data'!$B$2:$J$344,2,FALSE)&amp;".attack0"&amp;RIGHT(L$1,1)</f>
        <v>Sector08.plants_stinger_1.attack01</v>
      </c>
      <c r="M174" s="71"/>
      <c r="N174" s="71"/>
      <c r="O174" s="140" t="s">
        <v>2058</v>
      </c>
      <c r="P174" s="140" t="s">
        <v>1959</v>
      </c>
      <c r="Q174" s="140"/>
      <c r="R174" s="72"/>
      <c r="S174" s="72"/>
      <c r="T174" s="72"/>
      <c r="U174" s="72"/>
      <c r="V174" s="13" t="b">
        <v>0</v>
      </c>
      <c r="W174" s="13" t="str">
        <f>"Character/Prefabs/"&amp;VLOOKUP($C174,'#Data'!$B$3:$I$344,8,FALSE)</f>
        <v>Character/Prefabs/m_s_ranger_plants_stinger_1</v>
      </c>
      <c r="X174" s="13"/>
      <c r="Y174" s="13" t="str">
        <f>VLOOKUP($C174,'#Data'!$B$3:$I$344,8,FALSE)</f>
        <v>m_s_ranger_plants_stinger_1</v>
      </c>
      <c r="Z174" s="13"/>
      <c r="AA174" s="13"/>
      <c r="AB174" s="13"/>
      <c r="AC174" s="92">
        <v>0.5</v>
      </c>
      <c r="AD174" s="13"/>
      <c r="AE174" s="13"/>
      <c r="AF174" s="13"/>
      <c r="AG174" s="13" t="s">
        <v>2104</v>
      </c>
      <c r="AH174" s="85"/>
    </row>
    <row r="175" spans="1:34" x14ac:dyDescent="0.3">
      <c r="A175" s="13">
        <v>1110208103</v>
      </c>
      <c r="B175" s="13" t="s">
        <v>210</v>
      </c>
      <c r="C175" s="13" t="s">
        <v>213</v>
      </c>
      <c r="D175" s="13" t="str">
        <f>"Monster.Name."&amp;VLOOKUP($C175,'#Data'!$B$2:$J$344,2,FALSE)</f>
        <v>Monster.Name.plants_bark_1</v>
      </c>
      <c r="E175" s="13" t="s">
        <v>43</v>
      </c>
      <c r="F175" s="44" t="s">
        <v>44</v>
      </c>
      <c r="G175" s="13" t="s">
        <v>45</v>
      </c>
      <c r="H175" s="13" t="b">
        <f>IF(OR(VLOOKUP($C175,'#Data'!$B$2:$J$344,4,FALSE)="보스",VLOOKUP($C175,'#Data'!$B$2:$J$344,4,FALSE)="중간"),TRUE,FALSE)</f>
        <v>0</v>
      </c>
      <c r="I175" s="13" t="b">
        <v>0</v>
      </c>
      <c r="J175" s="13">
        <v>10</v>
      </c>
      <c r="K175" s="13">
        <f>VLOOKUP($A175,쿼리1[[ID]:[열1]],3,FALSE)</f>
        <v>10</v>
      </c>
      <c r="L175" s="71" t="str">
        <f>$B175&amp;"."&amp;VLOOKUP($C175,'#Data'!$B$2:$J$344,2,FALSE)&amp;".attack0"&amp;RIGHT(L$1,1)</f>
        <v>Sector08.plants_bark_1.attack01</v>
      </c>
      <c r="M175" s="71"/>
      <c r="N175" s="71"/>
      <c r="O175" s="140" t="str">
        <f>$B175&amp;"."&amp;VLOOKUP($C175,'#Data'!$B$2:$J$344,2,FALSE)&amp;".skill0"&amp;RIGHT(O$1,1)</f>
        <v>Sector08.plants_bark_1.skill01</v>
      </c>
      <c r="P175" s="140" t="s">
        <v>2059</v>
      </c>
      <c r="Q175" s="140" t="s">
        <v>1959</v>
      </c>
      <c r="R175" s="72"/>
      <c r="S175" s="72"/>
      <c r="T175" s="72"/>
      <c r="U175" s="72"/>
      <c r="V175" s="13" t="b">
        <v>0</v>
      </c>
      <c r="W175" s="13" t="str">
        <f>"Character/Prefabs/"&amp;VLOOKUP($C175,'#Data'!$B$3:$I$344,8,FALSE)</f>
        <v>Character/Prefabs/m_m_attacker_plants_bark_1</v>
      </c>
      <c r="X175" s="13"/>
      <c r="Y175" s="13" t="str">
        <f>VLOOKUP($C175,'#Data'!$B$3:$I$344,8,FALSE)</f>
        <v>m_m_attacker_plants_bark_1</v>
      </c>
      <c r="Z175" s="13"/>
      <c r="AA175" s="13"/>
      <c r="AB175" s="13"/>
      <c r="AC175" s="92">
        <v>0.7</v>
      </c>
      <c r="AD175" s="13"/>
      <c r="AE175" s="13"/>
      <c r="AF175" s="13"/>
      <c r="AG175" s="13" t="s">
        <v>2104</v>
      </c>
      <c r="AH175" s="85"/>
    </row>
    <row r="176" spans="1:34" x14ac:dyDescent="0.3">
      <c r="A176" s="13">
        <v>1110208104</v>
      </c>
      <c r="B176" s="13" t="s">
        <v>210</v>
      </c>
      <c r="C176" s="13" t="s">
        <v>214</v>
      </c>
      <c r="D176" s="13" t="str">
        <f>"Monster.Name."&amp;VLOOKUP($C176,'#Data'!$B$2:$J$344,2,FALSE)</f>
        <v>Monster.Name.plants_branch_1</v>
      </c>
      <c r="E176" s="13" t="s">
        <v>43</v>
      </c>
      <c r="F176" s="44" t="s">
        <v>44</v>
      </c>
      <c r="G176" s="13" t="s">
        <v>45</v>
      </c>
      <c r="H176" s="13" t="b">
        <f>IF(OR(VLOOKUP($C176,'#Data'!$B$2:$J$344,4,FALSE)="보스",VLOOKUP($C176,'#Data'!$B$2:$J$344,4,FALSE)="중간"),TRUE,FALSE)</f>
        <v>0</v>
      </c>
      <c r="I176" s="13" t="b">
        <v>0</v>
      </c>
      <c r="J176" s="13">
        <v>10</v>
      </c>
      <c r="K176" s="13">
        <f>VLOOKUP($A176,쿼리1[[ID]:[열1]],3,FALSE)</f>
        <v>10</v>
      </c>
      <c r="L176" s="71" t="str">
        <f>$B176&amp;"."&amp;VLOOKUP($C176,'#Data'!$B$2:$J$344,2,FALSE)&amp;".attack0"&amp;RIGHT(L$1,1)</f>
        <v>Sector08.plants_branch_1.attack01</v>
      </c>
      <c r="M176" s="71"/>
      <c r="N176" s="71"/>
      <c r="O176" s="140" t="str">
        <f>$B176&amp;"."&amp;VLOOKUP($C176,'#Data'!$B$2:$J$344,2,FALSE)&amp;".skill0"&amp;RIGHT(O$1,1)</f>
        <v>Sector08.plants_branch_1.skill01</v>
      </c>
      <c r="P176" s="140" t="s">
        <v>2060</v>
      </c>
      <c r="Q176" s="140" t="s">
        <v>1959</v>
      </c>
      <c r="R176" s="72"/>
      <c r="S176" s="72"/>
      <c r="T176" s="72"/>
      <c r="U176" s="72"/>
      <c r="V176" s="13" t="b">
        <v>0</v>
      </c>
      <c r="W176" s="13" t="str">
        <f>"Character/Prefabs/"&amp;VLOOKUP($C176,'#Data'!$B$3:$I$344,8,FALSE)</f>
        <v>Character/Prefabs/m_m_attacker_plants_branch_1</v>
      </c>
      <c r="X176" s="13"/>
      <c r="Y176" s="13" t="str">
        <f>VLOOKUP($C176,'#Data'!$B$3:$I$344,8,FALSE)</f>
        <v>m_m_attacker_plants_branch_1</v>
      </c>
      <c r="Z176" s="13"/>
      <c r="AA176" s="13"/>
      <c r="AB176" s="13"/>
      <c r="AC176" s="92">
        <v>0.7</v>
      </c>
      <c r="AD176" s="13"/>
      <c r="AE176" s="13"/>
      <c r="AF176" s="13"/>
      <c r="AG176" s="13" t="s">
        <v>2104</v>
      </c>
      <c r="AH176" s="85"/>
    </row>
    <row r="177" spans="1:34" x14ac:dyDescent="0.3">
      <c r="A177" s="13">
        <v>1110208105</v>
      </c>
      <c r="B177" s="13" t="s">
        <v>210</v>
      </c>
      <c r="C177" s="13" t="s">
        <v>215</v>
      </c>
      <c r="D177" s="13" t="str">
        <f>"Monster.Name."&amp;VLOOKUP($C177,'#Data'!$B$2:$J$344,2,FALSE)</f>
        <v>Monster.Name.plants_shooter_1</v>
      </c>
      <c r="E177" s="13" t="s">
        <v>47</v>
      </c>
      <c r="F177" s="44" t="s">
        <v>44</v>
      </c>
      <c r="G177" s="13" t="s">
        <v>45</v>
      </c>
      <c r="H177" s="13" t="b">
        <f>IF(OR(VLOOKUP($C177,'#Data'!$B$2:$J$344,4,FALSE)="보스",VLOOKUP($C177,'#Data'!$B$2:$J$344,4,FALSE)="중간"),TRUE,FALSE)</f>
        <v>0</v>
      </c>
      <c r="I177" s="13" t="b">
        <v>0</v>
      </c>
      <c r="J177" s="13">
        <v>10</v>
      </c>
      <c r="K177" s="13">
        <f>VLOOKUP($A177,쿼리1[[ID]:[열1]],3,FALSE)</f>
        <v>10</v>
      </c>
      <c r="L177" s="71" t="str">
        <f>$B177&amp;"."&amp;VLOOKUP($C177,'#Data'!$B$2:$J$344,2,FALSE)&amp;".attack0"&amp;RIGHT(L$1,1)</f>
        <v>Sector08.plants_shooter_1.attack01</v>
      </c>
      <c r="M177" s="71"/>
      <c r="N177" s="71"/>
      <c r="O177" s="140" t="str">
        <f>$B177&amp;"."&amp;VLOOKUP($C177,'#Data'!$B$2:$J$344,2,FALSE)&amp;".skill0"&amp;RIGHT(O$1,1)</f>
        <v>Sector08.plants_shooter_1.skill01</v>
      </c>
      <c r="P177" s="140" t="s">
        <v>2061</v>
      </c>
      <c r="Q177" s="140" t="s">
        <v>1959</v>
      </c>
      <c r="R177" s="72"/>
      <c r="S177" s="72"/>
      <c r="T177" s="72"/>
      <c r="U177" s="72"/>
      <c r="V177" s="13" t="b">
        <v>0</v>
      </c>
      <c r="W177" s="13" t="str">
        <f>"Character/Prefabs/"&amp;VLOOKUP($C177,'#Data'!$B$3:$I$344,8,FALSE)</f>
        <v>Character/Prefabs/m_m_ranger_plants_shooter_1</v>
      </c>
      <c r="X177" s="13"/>
      <c r="Y177" s="13" t="str">
        <f>VLOOKUP($C177,'#Data'!$B$3:$I$344,8,FALSE)</f>
        <v>m_m_ranger_plants_shooter_1</v>
      </c>
      <c r="Z177" s="13"/>
      <c r="AA177" s="13"/>
      <c r="AB177" s="13"/>
      <c r="AC177" s="92">
        <v>0.9</v>
      </c>
      <c r="AD177" s="13"/>
      <c r="AE177" s="13"/>
      <c r="AF177" s="13"/>
      <c r="AG177" s="13" t="s">
        <v>2104</v>
      </c>
      <c r="AH177" s="85"/>
    </row>
    <row r="178" spans="1:34" x14ac:dyDescent="0.3">
      <c r="A178" s="13">
        <v>1110208106</v>
      </c>
      <c r="B178" s="13" t="s">
        <v>210</v>
      </c>
      <c r="C178" s="13" t="s">
        <v>216</v>
      </c>
      <c r="D178" s="13" t="str">
        <f>"Monster.Name."&amp;VLOOKUP($C178,'#Data'!$B$2:$J$344,2,FALSE)</f>
        <v>Monster.Name.plants_cannon_1</v>
      </c>
      <c r="E178" s="13" t="s">
        <v>47</v>
      </c>
      <c r="F178" s="44" t="s">
        <v>44</v>
      </c>
      <c r="G178" s="13" t="s">
        <v>45</v>
      </c>
      <c r="H178" s="13" t="b">
        <f>IF(OR(VLOOKUP($C178,'#Data'!$B$2:$J$344,4,FALSE)="보스",VLOOKUP($C178,'#Data'!$B$2:$J$344,4,FALSE)="중간"),TRUE,FALSE)</f>
        <v>0</v>
      </c>
      <c r="I178" s="13" t="b">
        <v>0</v>
      </c>
      <c r="J178" s="13">
        <v>10</v>
      </c>
      <c r="K178" s="13">
        <f>VLOOKUP($A178,쿼리1[[ID]:[열1]],3,FALSE)</f>
        <v>10</v>
      </c>
      <c r="L178" s="71" t="str">
        <f>$B178&amp;"."&amp;VLOOKUP($C178,'#Data'!$B$2:$J$344,2,FALSE)&amp;".attack0"&amp;RIGHT(L$1,1)</f>
        <v>Sector08.plants_cannon_1.attack01</v>
      </c>
      <c r="M178" s="71"/>
      <c r="N178" s="71"/>
      <c r="O178" s="140" t="str">
        <f>$B178&amp;"."&amp;VLOOKUP($C178,'#Data'!$B$2:$J$344,2,FALSE)&amp;".skill0"&amp;RIGHT(O$1,1)</f>
        <v>Sector08.plants_cannon_1.skill01</v>
      </c>
      <c r="P178" s="140" t="s">
        <v>2062</v>
      </c>
      <c r="Q178" s="140" t="s">
        <v>1959</v>
      </c>
      <c r="R178" s="72"/>
      <c r="S178" s="72"/>
      <c r="T178" s="72"/>
      <c r="U178" s="72"/>
      <c r="V178" s="13" t="b">
        <v>0</v>
      </c>
      <c r="W178" s="13" t="str">
        <f>"Character/Prefabs/"&amp;VLOOKUP($C178,'#Data'!$B$3:$I$344,8,FALSE)</f>
        <v>Character/Prefabs/m_m_ranger_plants_cannon_1</v>
      </c>
      <c r="X178" s="13"/>
      <c r="Y178" s="13" t="str">
        <f>VLOOKUP($C178,'#Data'!$B$3:$I$344,8,FALSE)</f>
        <v>m_m_ranger_plants_cannon_1</v>
      </c>
      <c r="Z178" s="13"/>
      <c r="AA178" s="13"/>
      <c r="AB178" s="13"/>
      <c r="AC178" s="92">
        <v>0.9</v>
      </c>
      <c r="AD178" s="13"/>
      <c r="AE178" s="13"/>
      <c r="AF178" s="13"/>
      <c r="AG178" s="13" t="s">
        <v>2104</v>
      </c>
      <c r="AH178" s="85"/>
    </row>
    <row r="179" spans="1:34" x14ac:dyDescent="0.3">
      <c r="A179" s="13">
        <v>1110208107</v>
      </c>
      <c r="B179" s="13" t="s">
        <v>210</v>
      </c>
      <c r="C179" s="13" t="s">
        <v>217</v>
      </c>
      <c r="D179" s="13" t="str">
        <f>"Monster.Name."&amp;VLOOKUP($C179,'#Data'!$B$2:$J$344,2,FALSE)</f>
        <v>Monster.Name.creeper_seed_1</v>
      </c>
      <c r="E179" s="13" t="s">
        <v>58</v>
      </c>
      <c r="F179" s="44" t="s">
        <v>44</v>
      </c>
      <c r="G179" s="13" t="s">
        <v>45</v>
      </c>
      <c r="H179" s="13" t="b">
        <f>IF(OR(VLOOKUP($C179,'#Data'!$B$2:$J$344,4,FALSE)="보스",VLOOKUP($C179,'#Data'!$B$2:$J$344,4,FALSE)="중간"),TRUE,FALSE)</f>
        <v>0</v>
      </c>
      <c r="I179" s="13" t="b">
        <v>0</v>
      </c>
      <c r="J179" s="13">
        <v>10</v>
      </c>
      <c r="K179" s="13">
        <f>VLOOKUP($A179,쿼리1[[ID]:[열1]],3,FALSE)</f>
        <v>10</v>
      </c>
      <c r="L179" s="71" t="str">
        <f>$B179&amp;"."&amp;VLOOKUP($C179,'#Data'!$B$2:$J$344,2,FALSE)&amp;".attack0"&amp;RIGHT(L$1,1)</f>
        <v>Sector08.creeper_seed_1.attack01</v>
      </c>
      <c r="M179" s="71"/>
      <c r="N179" s="71"/>
      <c r="O179" s="140" t="str">
        <f>$B179&amp;"."&amp;VLOOKUP($C179,'#Data'!$B$2:$J$344,2,FALSE)&amp;".skill0"&amp;RIGHT(O$1,1)</f>
        <v>Sector08.creeper_seed_1.skill01</v>
      </c>
      <c r="P179" s="140" t="s">
        <v>2063</v>
      </c>
      <c r="Q179" s="140" t="s">
        <v>1959</v>
      </c>
      <c r="R179" s="72"/>
      <c r="S179" s="72"/>
      <c r="T179" s="72"/>
      <c r="U179" s="72"/>
      <c r="V179" s="13" t="b">
        <v>0</v>
      </c>
      <c r="W179" s="13" t="str">
        <f>"Character/Prefabs/"&amp;VLOOKUP($C179,'#Data'!$B$3:$I$344,8,FALSE)</f>
        <v>Character/Prefabs/m_m_tanker_creeper_seed_1</v>
      </c>
      <c r="X179" s="13"/>
      <c r="Y179" s="13" t="str">
        <f>VLOOKUP($C179,'#Data'!$B$3:$I$344,8,FALSE)</f>
        <v>m_m_tanker_creeper_seed_1</v>
      </c>
      <c r="Z179" s="13"/>
      <c r="AA179" s="13"/>
      <c r="AB179" s="13"/>
      <c r="AC179" s="92">
        <v>0.6</v>
      </c>
      <c r="AD179" s="13"/>
      <c r="AE179" s="13"/>
      <c r="AF179" s="13"/>
      <c r="AG179" s="13" t="s">
        <v>2104</v>
      </c>
      <c r="AH179" s="85"/>
    </row>
    <row r="180" spans="1:34" x14ac:dyDescent="0.3">
      <c r="A180" s="13">
        <v>1110208108</v>
      </c>
      <c r="B180" s="13" t="s">
        <v>210</v>
      </c>
      <c r="C180" s="13" t="s">
        <v>218</v>
      </c>
      <c r="D180" s="13" t="str">
        <f>"Monster.Name."&amp;VLOOKUP($C180,'#Data'!$B$2:$J$344,2,FALSE)</f>
        <v>Monster.Name.plants_garden_1</v>
      </c>
      <c r="E180" s="13" t="s">
        <v>47</v>
      </c>
      <c r="F180" s="44" t="s">
        <v>44</v>
      </c>
      <c r="G180" s="13" t="s">
        <v>45</v>
      </c>
      <c r="H180" s="13" t="b">
        <f>IF(OR(VLOOKUP($C180,'#Data'!$B$2:$J$344,4,FALSE)="보스",VLOOKUP($C180,'#Data'!$B$2:$J$344,4,FALSE)="중간"),TRUE,FALSE)</f>
        <v>0</v>
      </c>
      <c r="I180" s="13" t="b">
        <v>0</v>
      </c>
      <c r="J180" s="13">
        <v>10</v>
      </c>
      <c r="K180" s="13">
        <f>VLOOKUP($A180,쿼리1[[ID]:[열1]],3,FALSE)</f>
        <v>10</v>
      </c>
      <c r="L180" s="71" t="str">
        <f>$B180&amp;"."&amp;VLOOKUP($C180,'#Data'!$B$2:$J$344,2,FALSE)&amp;".attack0"&amp;RIGHT(L$1,1)</f>
        <v>Sector08.plants_garden_1.attack01</v>
      </c>
      <c r="M180" s="71"/>
      <c r="N180" s="71"/>
      <c r="O180" s="140" t="str">
        <f>$B180&amp;"."&amp;VLOOKUP($C180,'#Data'!$B$2:$J$344,2,FALSE)&amp;".skill0"&amp;RIGHT(O$1,1)</f>
        <v>Sector08.plants_garden_1.skill01</v>
      </c>
      <c r="P180" s="140" t="s">
        <v>2064</v>
      </c>
      <c r="Q180" s="140" t="s">
        <v>1959</v>
      </c>
      <c r="R180" s="72"/>
      <c r="S180" s="72"/>
      <c r="T180" s="72"/>
      <c r="U180" s="72"/>
      <c r="V180" s="13" t="b">
        <v>0</v>
      </c>
      <c r="W180" s="13" t="str">
        <f>"Character/Prefabs/"&amp;VLOOKUP($C180,'#Data'!$B$3:$I$344,8,FALSE)</f>
        <v>Character/Prefabs/m_m_ranger_plants_garden_1</v>
      </c>
      <c r="X180" s="13"/>
      <c r="Y180" s="13" t="str">
        <f>VLOOKUP($C180,'#Data'!$B$3:$I$344,8,FALSE)</f>
        <v>m_m_ranger_plants_garden_1</v>
      </c>
      <c r="Z180" s="13"/>
      <c r="AA180" s="13"/>
      <c r="AB180" s="13"/>
      <c r="AC180" s="92">
        <v>0.5</v>
      </c>
      <c r="AD180" s="13"/>
      <c r="AE180" s="13"/>
      <c r="AF180" s="13"/>
      <c r="AG180" s="13" t="s">
        <v>2104</v>
      </c>
      <c r="AH180" s="85"/>
    </row>
    <row r="181" spans="1:34" x14ac:dyDescent="0.3">
      <c r="A181" s="45">
        <v>1110208109</v>
      </c>
      <c r="B181" s="45" t="s">
        <v>210</v>
      </c>
      <c r="C181" s="45" t="s">
        <v>1891</v>
      </c>
      <c r="D181" s="45" t="str">
        <f>"Monster.Name."&amp;VLOOKUP($C181,'#Data'!$B$2:$J$344,2,FALSE)</f>
        <v>Monster.Name.plants_sticky_2</v>
      </c>
      <c r="E181" s="45" t="s">
        <v>43</v>
      </c>
      <c r="F181" s="46" t="s">
        <v>44</v>
      </c>
      <c r="G181" s="45" t="s">
        <v>45</v>
      </c>
      <c r="H181" s="45" t="b">
        <f>IF(OR(VLOOKUP($C181,'#Data'!$B$2:$J$344,4,FALSE)="보스",VLOOKUP($C181,'#Data'!$B$2:$J$344,4,FALSE)="중간"),TRUE,FALSE)</f>
        <v>0</v>
      </c>
      <c r="I181" s="45" t="b">
        <v>0</v>
      </c>
      <c r="J181" s="45">
        <v>10</v>
      </c>
      <c r="K181" s="45">
        <f>VLOOKUP($A181,쿼리1[[ID]:[열1]],3,FALSE)</f>
        <v>10</v>
      </c>
      <c r="L181" s="73" t="s">
        <v>1906</v>
      </c>
      <c r="M181" s="73"/>
      <c r="N181" s="73"/>
      <c r="O181" s="141" t="s">
        <v>2057</v>
      </c>
      <c r="P181" s="141" t="s">
        <v>1959</v>
      </c>
      <c r="Q181" s="141"/>
      <c r="R181" s="74"/>
      <c r="S181" s="74"/>
      <c r="T181" s="74"/>
      <c r="U181" s="74"/>
      <c r="V181" s="45" t="b">
        <v>0</v>
      </c>
      <c r="W181" s="45" t="str">
        <f>"Character/Prefabs/"&amp;VLOOKUP($C181,'#Data'!$B$3:$I$344,8,FALSE)</f>
        <v>Character/Prefabs/m_s_attacker_plants_sticky_2</v>
      </c>
      <c r="X181" s="45"/>
      <c r="Y181" s="45" t="str">
        <f>VLOOKUP($C181,'#Data'!$B$3:$I$344,8,FALSE)</f>
        <v>m_s_attacker_plants_sticky_2</v>
      </c>
      <c r="Z181" s="45"/>
      <c r="AA181" s="45"/>
      <c r="AB181" s="45"/>
      <c r="AC181" s="93">
        <v>0.9</v>
      </c>
      <c r="AD181" s="45"/>
      <c r="AE181" s="45"/>
      <c r="AF181" s="45"/>
      <c r="AG181" s="45" t="s">
        <v>2104</v>
      </c>
      <c r="AH181" s="85"/>
    </row>
    <row r="182" spans="1:34" x14ac:dyDescent="0.3">
      <c r="A182" s="45">
        <v>1110208110</v>
      </c>
      <c r="B182" s="45" t="s">
        <v>210</v>
      </c>
      <c r="C182" s="45" t="s">
        <v>1892</v>
      </c>
      <c r="D182" s="45" t="str">
        <f>"Monster.Name."&amp;VLOOKUP($C182,'#Data'!$B$2:$J$344,2,FALSE)</f>
        <v>Monster.Name.plants_stinger_2</v>
      </c>
      <c r="E182" s="45" t="s">
        <v>43</v>
      </c>
      <c r="F182" s="46" t="s">
        <v>44</v>
      </c>
      <c r="G182" s="45" t="s">
        <v>45</v>
      </c>
      <c r="H182" s="45" t="b">
        <f>IF(OR(VLOOKUP($C182,'#Data'!$B$2:$J$344,4,FALSE)="보스",VLOOKUP($C182,'#Data'!$B$2:$J$344,4,FALSE)="중간"),TRUE,FALSE)</f>
        <v>0</v>
      </c>
      <c r="I182" s="45" t="b">
        <v>0</v>
      </c>
      <c r="J182" s="45">
        <v>10</v>
      </c>
      <c r="K182" s="45">
        <f>VLOOKUP($A182,쿼리1[[ID]:[열1]],3,FALSE)</f>
        <v>10</v>
      </c>
      <c r="L182" s="73" t="s">
        <v>1966</v>
      </c>
      <c r="M182" s="73"/>
      <c r="N182" s="73"/>
      <c r="O182" s="141" t="s">
        <v>2058</v>
      </c>
      <c r="P182" s="141" t="s">
        <v>1959</v>
      </c>
      <c r="Q182" s="141"/>
      <c r="R182" s="74"/>
      <c r="S182" s="74"/>
      <c r="T182" s="74"/>
      <c r="U182" s="74"/>
      <c r="V182" s="45" t="b">
        <v>0</v>
      </c>
      <c r="W182" s="45" t="str">
        <f>"Character/Prefabs/"&amp;VLOOKUP($C182,'#Data'!$B$3:$I$344,8,FALSE)</f>
        <v>Character/Prefabs/m_s_ranger_plants_stinger_2</v>
      </c>
      <c r="X182" s="45"/>
      <c r="Y182" s="45" t="str">
        <f>VLOOKUP($C182,'#Data'!$B$3:$I$344,8,FALSE)</f>
        <v>m_s_ranger_plants_stinger_2</v>
      </c>
      <c r="Z182" s="45"/>
      <c r="AA182" s="45"/>
      <c r="AB182" s="45"/>
      <c r="AC182" s="93">
        <v>0.5</v>
      </c>
      <c r="AD182" s="45"/>
      <c r="AE182" s="45"/>
      <c r="AF182" s="45"/>
      <c r="AG182" s="45" t="s">
        <v>2104</v>
      </c>
      <c r="AH182" s="85"/>
    </row>
    <row r="183" spans="1:34" x14ac:dyDescent="0.3">
      <c r="A183" s="45">
        <v>1110208111</v>
      </c>
      <c r="B183" s="45" t="s">
        <v>210</v>
      </c>
      <c r="C183" s="45" t="s">
        <v>1893</v>
      </c>
      <c r="D183" s="45" t="str">
        <f>"Monster.Name."&amp;VLOOKUP($C183,'#Data'!$B$2:$J$344,2,FALSE)</f>
        <v>Monster.Name.plants_bark_2</v>
      </c>
      <c r="E183" s="45" t="s">
        <v>43</v>
      </c>
      <c r="F183" s="46" t="s">
        <v>44</v>
      </c>
      <c r="G183" s="45" t="s">
        <v>45</v>
      </c>
      <c r="H183" s="45" t="b">
        <f>IF(OR(VLOOKUP($C183,'#Data'!$B$2:$J$344,4,FALSE)="보스",VLOOKUP($C183,'#Data'!$B$2:$J$344,4,FALSE)="중간"),TRUE,FALSE)</f>
        <v>0</v>
      </c>
      <c r="I183" s="45" t="b">
        <v>0</v>
      </c>
      <c r="J183" s="45">
        <v>10</v>
      </c>
      <c r="K183" s="45">
        <f>VLOOKUP($A183,쿼리1[[ID]:[열1]],3,FALSE)</f>
        <v>10</v>
      </c>
      <c r="L183" s="73" t="s">
        <v>1907</v>
      </c>
      <c r="M183" s="73"/>
      <c r="N183" s="73"/>
      <c r="O183" s="141" t="s">
        <v>1913</v>
      </c>
      <c r="P183" s="141" t="s">
        <v>2059</v>
      </c>
      <c r="Q183" s="141" t="s">
        <v>1959</v>
      </c>
      <c r="R183" s="74"/>
      <c r="S183" s="74"/>
      <c r="T183" s="74"/>
      <c r="U183" s="74"/>
      <c r="V183" s="45" t="b">
        <v>0</v>
      </c>
      <c r="W183" s="45" t="str">
        <f>"Character/Prefabs/"&amp;VLOOKUP($C183,'#Data'!$B$3:$I$344,8,FALSE)</f>
        <v>Character/Prefabs/m_m_attacker_plants_bark_2</v>
      </c>
      <c r="X183" s="45"/>
      <c r="Y183" s="45" t="str">
        <f>VLOOKUP($C183,'#Data'!$B$3:$I$344,8,FALSE)</f>
        <v>m_m_attacker_plants_bark_2</v>
      </c>
      <c r="Z183" s="45"/>
      <c r="AA183" s="45"/>
      <c r="AB183" s="45"/>
      <c r="AC183" s="93">
        <v>0.7</v>
      </c>
      <c r="AD183" s="45"/>
      <c r="AE183" s="45"/>
      <c r="AF183" s="45"/>
      <c r="AG183" s="45" t="s">
        <v>2104</v>
      </c>
      <c r="AH183" s="85"/>
    </row>
    <row r="184" spans="1:34" x14ac:dyDescent="0.3">
      <c r="A184" s="45">
        <v>1110208112</v>
      </c>
      <c r="B184" s="45" t="s">
        <v>210</v>
      </c>
      <c r="C184" s="45" t="s">
        <v>1894</v>
      </c>
      <c r="D184" s="45" t="str">
        <f>"Monster.Name."&amp;VLOOKUP($C184,'#Data'!$B$2:$J$344,2,FALSE)</f>
        <v>Monster.Name.plants_branch_2</v>
      </c>
      <c r="E184" s="45" t="s">
        <v>43</v>
      </c>
      <c r="F184" s="46" t="s">
        <v>44</v>
      </c>
      <c r="G184" s="45" t="s">
        <v>45</v>
      </c>
      <c r="H184" s="45" t="b">
        <f>IF(OR(VLOOKUP($C184,'#Data'!$B$2:$J$344,4,FALSE)="보스",VLOOKUP($C184,'#Data'!$B$2:$J$344,4,FALSE)="중간"),TRUE,FALSE)</f>
        <v>0</v>
      </c>
      <c r="I184" s="45" t="b">
        <v>0</v>
      </c>
      <c r="J184" s="45">
        <v>10</v>
      </c>
      <c r="K184" s="45">
        <f>VLOOKUP($A184,쿼리1[[ID]:[열1]],3,FALSE)</f>
        <v>10</v>
      </c>
      <c r="L184" s="73" t="s">
        <v>1908</v>
      </c>
      <c r="M184" s="73"/>
      <c r="N184" s="73"/>
      <c r="O184" s="141" t="s">
        <v>1914</v>
      </c>
      <c r="P184" s="141" t="s">
        <v>2060</v>
      </c>
      <c r="Q184" s="141" t="s">
        <v>1959</v>
      </c>
      <c r="R184" s="74"/>
      <c r="S184" s="74"/>
      <c r="T184" s="74"/>
      <c r="U184" s="74"/>
      <c r="V184" s="45" t="b">
        <v>0</v>
      </c>
      <c r="W184" s="45" t="str">
        <f>"Character/Prefabs/"&amp;VLOOKUP($C184,'#Data'!$B$3:$I$344,8,FALSE)</f>
        <v>Character/Prefabs/m_m_attacker_plants_branch_2</v>
      </c>
      <c r="X184" s="45"/>
      <c r="Y184" s="45" t="str">
        <f>VLOOKUP($C184,'#Data'!$B$3:$I$344,8,FALSE)</f>
        <v>m_m_attacker_plants_branch_2</v>
      </c>
      <c r="Z184" s="45"/>
      <c r="AA184" s="45"/>
      <c r="AB184" s="45"/>
      <c r="AC184" s="93">
        <v>0.7</v>
      </c>
      <c r="AD184" s="45"/>
      <c r="AE184" s="45"/>
      <c r="AF184" s="45"/>
      <c r="AG184" s="45" t="s">
        <v>2104</v>
      </c>
      <c r="AH184" s="85"/>
    </row>
    <row r="185" spans="1:34" x14ac:dyDescent="0.3">
      <c r="A185" s="45">
        <v>1110208113</v>
      </c>
      <c r="B185" s="45" t="s">
        <v>210</v>
      </c>
      <c r="C185" s="45" t="s">
        <v>1895</v>
      </c>
      <c r="D185" s="45" t="str">
        <f>"Monster.Name."&amp;VLOOKUP($C185,'#Data'!$B$2:$J$344,2,FALSE)</f>
        <v>Monster.Name.plants_shooter_2</v>
      </c>
      <c r="E185" s="45" t="s">
        <v>47</v>
      </c>
      <c r="F185" s="46" t="s">
        <v>44</v>
      </c>
      <c r="G185" s="45" t="s">
        <v>45</v>
      </c>
      <c r="H185" s="45" t="b">
        <f>IF(OR(VLOOKUP($C185,'#Data'!$B$2:$J$344,4,FALSE)="보스",VLOOKUP($C185,'#Data'!$B$2:$J$344,4,FALSE)="중간"),TRUE,FALSE)</f>
        <v>0</v>
      </c>
      <c r="I185" s="45" t="b">
        <v>0</v>
      </c>
      <c r="J185" s="45">
        <v>10</v>
      </c>
      <c r="K185" s="45">
        <f>VLOOKUP($A185,쿼리1[[ID]:[열1]],3,FALSE)</f>
        <v>10</v>
      </c>
      <c r="L185" s="73" t="s">
        <v>1909</v>
      </c>
      <c r="M185" s="73"/>
      <c r="N185" s="73"/>
      <c r="O185" s="141" t="s">
        <v>1915</v>
      </c>
      <c r="P185" s="141" t="s">
        <v>2061</v>
      </c>
      <c r="Q185" s="141" t="s">
        <v>1959</v>
      </c>
      <c r="R185" s="74"/>
      <c r="S185" s="74"/>
      <c r="T185" s="74"/>
      <c r="U185" s="74"/>
      <c r="V185" s="45" t="b">
        <v>0</v>
      </c>
      <c r="W185" s="45" t="str">
        <f>"Character/Prefabs/"&amp;VLOOKUP($C185,'#Data'!$B$3:$I$344,8,FALSE)</f>
        <v>Character/Prefabs/m_m_ranger_plants_shooter_2</v>
      </c>
      <c r="X185" s="45"/>
      <c r="Y185" s="45" t="str">
        <f>VLOOKUP($C185,'#Data'!$B$3:$I$344,8,FALSE)</f>
        <v>m_m_ranger_plants_shooter_2</v>
      </c>
      <c r="Z185" s="45"/>
      <c r="AA185" s="45"/>
      <c r="AB185" s="45"/>
      <c r="AC185" s="93">
        <v>0.9</v>
      </c>
      <c r="AD185" s="45"/>
      <c r="AE185" s="45"/>
      <c r="AF185" s="45"/>
      <c r="AG185" s="45" t="s">
        <v>2104</v>
      </c>
      <c r="AH185" s="85"/>
    </row>
    <row r="186" spans="1:34" x14ac:dyDescent="0.3">
      <c r="A186" s="45">
        <v>1110208114</v>
      </c>
      <c r="B186" s="45" t="s">
        <v>210</v>
      </c>
      <c r="C186" s="45" t="s">
        <v>1896</v>
      </c>
      <c r="D186" s="45" t="str">
        <f>"Monster.Name."&amp;VLOOKUP($C186,'#Data'!$B$2:$J$344,2,FALSE)</f>
        <v>Monster.Name.plants_cannon_2</v>
      </c>
      <c r="E186" s="45" t="s">
        <v>47</v>
      </c>
      <c r="F186" s="46" t="s">
        <v>44</v>
      </c>
      <c r="G186" s="45" t="s">
        <v>45</v>
      </c>
      <c r="H186" s="45" t="b">
        <f>IF(OR(VLOOKUP($C186,'#Data'!$B$2:$J$344,4,FALSE)="보스",VLOOKUP($C186,'#Data'!$B$2:$J$344,4,FALSE)="중간"),TRUE,FALSE)</f>
        <v>0</v>
      </c>
      <c r="I186" s="45" t="b">
        <v>0</v>
      </c>
      <c r="J186" s="45">
        <v>10</v>
      </c>
      <c r="K186" s="45">
        <f>VLOOKUP($A186,쿼리1[[ID]:[열1]],3,FALSE)</f>
        <v>10</v>
      </c>
      <c r="L186" s="73" t="s">
        <v>1910</v>
      </c>
      <c r="M186" s="73"/>
      <c r="N186" s="73"/>
      <c r="O186" s="141" t="s">
        <v>1917</v>
      </c>
      <c r="P186" s="141" t="s">
        <v>2062</v>
      </c>
      <c r="Q186" s="141" t="s">
        <v>1959</v>
      </c>
      <c r="R186" s="74"/>
      <c r="S186" s="74"/>
      <c r="T186" s="74"/>
      <c r="U186" s="74"/>
      <c r="V186" s="45" t="b">
        <v>0</v>
      </c>
      <c r="W186" s="45" t="str">
        <f>"Character/Prefabs/"&amp;VLOOKUP($C186,'#Data'!$B$3:$I$344,8,FALSE)</f>
        <v>Character/Prefabs/m_m_ranger_plants_cannon_2</v>
      </c>
      <c r="X186" s="45"/>
      <c r="Y186" s="45" t="str">
        <f>VLOOKUP($C186,'#Data'!$B$3:$I$344,8,FALSE)</f>
        <v>m_m_ranger_plants_cannon_2</v>
      </c>
      <c r="Z186" s="45"/>
      <c r="AA186" s="45"/>
      <c r="AB186" s="45"/>
      <c r="AC186" s="93">
        <v>0.9</v>
      </c>
      <c r="AD186" s="45"/>
      <c r="AE186" s="45"/>
      <c r="AF186" s="45"/>
      <c r="AG186" s="45" t="s">
        <v>2104</v>
      </c>
      <c r="AH186" s="85"/>
    </row>
    <row r="187" spans="1:34" x14ac:dyDescent="0.3">
      <c r="A187" s="45">
        <v>1110208115</v>
      </c>
      <c r="B187" s="45" t="s">
        <v>210</v>
      </c>
      <c r="C187" s="45" t="s">
        <v>1897</v>
      </c>
      <c r="D187" s="45" t="str">
        <f>"Monster.Name."&amp;VLOOKUP($C187,'#Data'!$B$2:$J$344,2,FALSE)</f>
        <v>Monster.Name.creeper_seed_2</v>
      </c>
      <c r="E187" s="45" t="s">
        <v>58</v>
      </c>
      <c r="F187" s="46" t="s">
        <v>44</v>
      </c>
      <c r="G187" s="45" t="s">
        <v>45</v>
      </c>
      <c r="H187" s="45" t="b">
        <f>IF(OR(VLOOKUP($C187,'#Data'!$B$2:$J$344,4,FALSE)="보스",VLOOKUP($C187,'#Data'!$B$2:$J$344,4,FALSE)="중간"),TRUE,FALSE)</f>
        <v>0</v>
      </c>
      <c r="I187" s="45" t="b">
        <v>0</v>
      </c>
      <c r="J187" s="45">
        <v>10</v>
      </c>
      <c r="K187" s="45">
        <f>VLOOKUP($A187,쿼리1[[ID]:[열1]],3,FALSE)</f>
        <v>10</v>
      </c>
      <c r="L187" s="73" t="s">
        <v>1911</v>
      </c>
      <c r="M187" s="73"/>
      <c r="N187" s="73"/>
      <c r="O187" s="141" t="s">
        <v>1918</v>
      </c>
      <c r="P187" s="141" t="s">
        <v>2063</v>
      </c>
      <c r="Q187" s="141" t="s">
        <v>1959</v>
      </c>
      <c r="R187" s="74"/>
      <c r="S187" s="74"/>
      <c r="T187" s="74"/>
      <c r="U187" s="74"/>
      <c r="V187" s="45" t="b">
        <v>0</v>
      </c>
      <c r="W187" s="45" t="str">
        <f>"Character/Prefabs/"&amp;VLOOKUP($C187,'#Data'!$B$3:$I$344,8,FALSE)</f>
        <v>Character/Prefabs/m_m_tanker_creeper_seed_2</v>
      </c>
      <c r="X187" s="45"/>
      <c r="Y187" s="45" t="str">
        <f>VLOOKUP($C187,'#Data'!$B$3:$I$344,8,FALSE)</f>
        <v>m_m_tanker_creeper_seed_2</v>
      </c>
      <c r="Z187" s="45"/>
      <c r="AA187" s="45"/>
      <c r="AB187" s="45"/>
      <c r="AC187" s="93">
        <v>0.6</v>
      </c>
      <c r="AD187" s="45"/>
      <c r="AE187" s="45"/>
      <c r="AF187" s="45"/>
      <c r="AG187" s="45" t="s">
        <v>2104</v>
      </c>
      <c r="AH187" s="85"/>
    </row>
    <row r="188" spans="1:34" x14ac:dyDescent="0.3">
      <c r="A188" s="45">
        <v>1110208116</v>
      </c>
      <c r="B188" s="45" t="s">
        <v>210</v>
      </c>
      <c r="C188" s="45" t="s">
        <v>1898</v>
      </c>
      <c r="D188" s="45" t="str">
        <f>"Monster.Name."&amp;VLOOKUP($C188,'#Data'!$B$2:$J$344,2,FALSE)</f>
        <v>Monster.Name.plants_garden_2</v>
      </c>
      <c r="E188" s="45" t="s">
        <v>47</v>
      </c>
      <c r="F188" s="46" t="s">
        <v>44</v>
      </c>
      <c r="G188" s="45" t="s">
        <v>45</v>
      </c>
      <c r="H188" s="45" t="b">
        <f>IF(OR(VLOOKUP($C188,'#Data'!$B$2:$J$344,4,FALSE)="보스",VLOOKUP($C188,'#Data'!$B$2:$J$344,4,FALSE)="중간"),TRUE,FALSE)</f>
        <v>0</v>
      </c>
      <c r="I188" s="45" t="b">
        <v>0</v>
      </c>
      <c r="J188" s="45">
        <v>10</v>
      </c>
      <c r="K188" s="45">
        <f>VLOOKUP($A188,쿼리1[[ID]:[열1]],3,FALSE)</f>
        <v>10</v>
      </c>
      <c r="L188" s="73" t="s">
        <v>1912</v>
      </c>
      <c r="M188" s="73"/>
      <c r="N188" s="73"/>
      <c r="O188" s="141" t="s">
        <v>1916</v>
      </c>
      <c r="P188" s="141" t="s">
        <v>2064</v>
      </c>
      <c r="Q188" s="141" t="s">
        <v>1959</v>
      </c>
      <c r="R188" s="74"/>
      <c r="S188" s="74"/>
      <c r="T188" s="74"/>
      <c r="U188" s="74"/>
      <c r="V188" s="45" t="b">
        <v>0</v>
      </c>
      <c r="W188" s="45" t="str">
        <f>"Character/Prefabs/"&amp;VLOOKUP($C188,'#Data'!$B$3:$I$344,8,FALSE)</f>
        <v>Character/Prefabs/m_m_ranger_plants_garden_2</v>
      </c>
      <c r="X188" s="45"/>
      <c r="Y188" s="45" t="str">
        <f>VLOOKUP($C188,'#Data'!$B$3:$I$344,8,FALSE)</f>
        <v>m_m_ranger_plants_garden_2</v>
      </c>
      <c r="Z188" s="45"/>
      <c r="AA188" s="45"/>
      <c r="AB188" s="45"/>
      <c r="AC188" s="93">
        <v>0.5</v>
      </c>
      <c r="AD188" s="45"/>
      <c r="AE188" s="45"/>
      <c r="AF188" s="45"/>
      <c r="AG188" s="45" t="s">
        <v>2104</v>
      </c>
      <c r="AH188" s="85"/>
    </row>
    <row r="189" spans="1:34" x14ac:dyDescent="0.3">
      <c r="A189" s="45">
        <v>1110208117</v>
      </c>
      <c r="B189" s="45" t="s">
        <v>210</v>
      </c>
      <c r="C189" s="45" t="s">
        <v>1925</v>
      </c>
      <c r="D189" s="13" t="s">
        <v>1919</v>
      </c>
      <c r="E189" s="13" t="s">
        <v>43</v>
      </c>
      <c r="F189" s="44" t="s">
        <v>44</v>
      </c>
      <c r="G189" s="13" t="s">
        <v>45</v>
      </c>
      <c r="H189" s="13" t="b">
        <v>0</v>
      </c>
      <c r="I189" s="13" t="b">
        <v>0</v>
      </c>
      <c r="J189" s="13">
        <v>10</v>
      </c>
      <c r="K189" s="13">
        <f>VLOOKUP($A189,쿼리1[[ID]:[열1]],3,FALSE)</f>
        <v>10</v>
      </c>
      <c r="L189" s="71" t="s">
        <v>1946</v>
      </c>
      <c r="M189" s="71"/>
      <c r="N189" s="71"/>
      <c r="O189" s="141" t="s">
        <v>1948</v>
      </c>
      <c r="P189" s="140"/>
      <c r="Q189" s="140"/>
      <c r="R189" s="72"/>
      <c r="S189" s="72"/>
      <c r="T189" s="72"/>
      <c r="U189" s="72"/>
      <c r="V189" s="13" t="b">
        <v>0</v>
      </c>
      <c r="W189" s="13" t="s">
        <v>1920</v>
      </c>
      <c r="X189" s="13"/>
      <c r="Y189" s="13" t="s">
        <v>1921</v>
      </c>
      <c r="Z189" s="13"/>
      <c r="AA189" s="13"/>
      <c r="AB189" s="13"/>
      <c r="AC189" s="92">
        <v>0.7</v>
      </c>
      <c r="AD189" s="13"/>
      <c r="AE189" s="13"/>
      <c r="AF189" s="13"/>
      <c r="AG189" s="13" t="s">
        <v>2104</v>
      </c>
      <c r="AH189" s="85"/>
    </row>
    <row r="190" spans="1:34" x14ac:dyDescent="0.3">
      <c r="A190" s="45">
        <v>1110208118</v>
      </c>
      <c r="B190" s="45" t="s">
        <v>210</v>
      </c>
      <c r="C190" s="45" t="s">
        <v>1926</v>
      </c>
      <c r="D190" s="13" t="s">
        <v>1922</v>
      </c>
      <c r="E190" s="13" t="s">
        <v>43</v>
      </c>
      <c r="F190" s="44" t="s">
        <v>44</v>
      </c>
      <c r="G190" s="13" t="s">
        <v>45</v>
      </c>
      <c r="H190" s="13" t="b">
        <v>0</v>
      </c>
      <c r="I190" s="13" t="b">
        <v>0</v>
      </c>
      <c r="J190" s="13">
        <v>10</v>
      </c>
      <c r="K190" s="13">
        <f>VLOOKUP($A190,쿼리1[[ID]:[열1]],3,FALSE)</f>
        <v>10</v>
      </c>
      <c r="L190" s="71" t="s">
        <v>1947</v>
      </c>
      <c r="M190" s="71"/>
      <c r="N190" s="71"/>
      <c r="O190" s="141" t="s">
        <v>1949</v>
      </c>
      <c r="P190" s="140"/>
      <c r="Q190" s="140"/>
      <c r="R190" s="72"/>
      <c r="S190" s="72"/>
      <c r="T190" s="72"/>
      <c r="U190" s="72"/>
      <c r="V190" s="13" t="b">
        <v>0</v>
      </c>
      <c r="W190" s="13" t="s">
        <v>1923</v>
      </c>
      <c r="X190" s="13"/>
      <c r="Y190" s="13" t="s">
        <v>1924</v>
      </c>
      <c r="Z190" s="13"/>
      <c r="AA190" s="13"/>
      <c r="AB190" s="13"/>
      <c r="AC190" s="92">
        <v>0.7</v>
      </c>
      <c r="AD190" s="13"/>
      <c r="AE190" s="13"/>
      <c r="AF190" s="13"/>
      <c r="AG190" s="13" t="s">
        <v>2104</v>
      </c>
      <c r="AH190" s="85"/>
    </row>
    <row r="191" spans="1:34" x14ac:dyDescent="0.3">
      <c r="A191" s="45">
        <v>1110208201</v>
      </c>
      <c r="B191" s="45" t="s">
        <v>210</v>
      </c>
      <c r="C191" s="45" t="s">
        <v>219</v>
      </c>
      <c r="D191" s="45" t="str">
        <f>"Monster.Name."&amp;VLOOKUP($C191,'#Data'!$B$2:$J$344,2,FALSE)</f>
        <v>Monster.Name.plants_mortor_1</v>
      </c>
      <c r="E191" s="45" t="s">
        <v>47</v>
      </c>
      <c r="F191" s="46" t="s">
        <v>44</v>
      </c>
      <c r="G191" s="45" t="s">
        <v>45</v>
      </c>
      <c r="H191" s="45" t="b">
        <f>IF(OR(VLOOKUP($C191,'#Data'!$B$2:$J$344,4,FALSE)="보스",VLOOKUP($C191,'#Data'!$B$2:$J$344,4,FALSE)="중간"),TRUE,FALSE)</f>
        <v>1</v>
      </c>
      <c r="I191" s="45" t="b">
        <v>1</v>
      </c>
      <c r="J191" s="45">
        <v>10</v>
      </c>
      <c r="K191" s="45">
        <f>VLOOKUP($A191,쿼리1[[ID]:[열1]],3,FALSE)</f>
        <v>10</v>
      </c>
      <c r="L191" s="73" t="str">
        <f>$B191&amp;"."&amp;VLOOKUP($C191,'#Data'!$B$2:$J$344,2,FALSE)&amp;".attack0"&amp;RIGHT(L$1,1)</f>
        <v>Sector08.plants_mortor_1.attack01</v>
      </c>
      <c r="M191" s="73"/>
      <c r="N191" s="73"/>
      <c r="O191" s="141" t="str">
        <f>$B191&amp;"."&amp;VLOOKUP($C191,'#Data'!$B$2:$J$344,2,FALSE)&amp;".skill0"&amp;RIGHT(O$1,1)</f>
        <v>Sector08.plants_mortor_1.skill01</v>
      </c>
      <c r="P191" s="141" t="str">
        <f>$B191&amp;"."&amp;VLOOKUP($C191,'#Data'!$B$2:$J$344,2,FALSE)&amp;".skill0"&amp;RIGHT(P$1,1)</f>
        <v>Sector08.plants_mortor_1.skill02</v>
      </c>
      <c r="Q191" s="141" t="str">
        <f>$B191&amp;"."&amp;VLOOKUP($C191,'#Data'!$B$2:$J$344,2,FALSE)&amp;".skill0"&amp;RIGHT(Q$1,1)</f>
        <v>Sector08.plants_mortor_1.skill03</v>
      </c>
      <c r="R191" s="74" t="s">
        <v>1959</v>
      </c>
      <c r="S191" s="74" t="s">
        <v>2078</v>
      </c>
      <c r="T191" s="74"/>
      <c r="U191" s="74"/>
      <c r="V191" s="45" t="b">
        <v>0</v>
      </c>
      <c r="W191" s="45" t="str">
        <f>"Character/Prefabs/"&amp;VLOOKUP($C191,'#Data'!$B$3:$I$344,8,FALSE)</f>
        <v>Character/Prefabs/m_l_ranger_plants_mortor_1</v>
      </c>
      <c r="X191" s="45"/>
      <c r="Y191" s="45" t="str">
        <f>VLOOKUP($C191,'#Data'!$B$3:$I$344,8,FALSE)</f>
        <v>m_l_ranger_plants_mortor_1</v>
      </c>
      <c r="Z191" s="45"/>
      <c r="AA191" s="45"/>
      <c r="AB191" s="45"/>
      <c r="AC191" s="93">
        <v>1.1000000000000001</v>
      </c>
      <c r="AD191" s="45"/>
      <c r="AE191" s="45"/>
      <c r="AF191" s="45"/>
      <c r="AG191" s="45" t="s">
        <v>2104</v>
      </c>
      <c r="AH191" s="85"/>
    </row>
    <row r="192" spans="1:34" x14ac:dyDescent="0.3">
      <c r="A192" s="45">
        <v>1110208202</v>
      </c>
      <c r="B192" s="45" t="s">
        <v>210</v>
      </c>
      <c r="C192" s="45" t="s">
        <v>220</v>
      </c>
      <c r="D192" s="45" t="str">
        <f>"Monster.Name."&amp;VLOOKUP($C192,'#Data'!$B$2:$J$344,2,FALSE)</f>
        <v>Monster.Name.plants_robust_1</v>
      </c>
      <c r="E192" s="45" t="s">
        <v>58</v>
      </c>
      <c r="F192" s="46" t="s">
        <v>44</v>
      </c>
      <c r="G192" s="45" t="s">
        <v>45</v>
      </c>
      <c r="H192" s="45" t="b">
        <f>IF(OR(VLOOKUP($C192,'#Data'!$B$2:$J$344,4,FALSE)="보스",VLOOKUP($C192,'#Data'!$B$2:$J$344,4,FALSE)="중간"),TRUE,FALSE)</f>
        <v>1</v>
      </c>
      <c r="I192" s="45" t="b">
        <v>1</v>
      </c>
      <c r="J192" s="45">
        <v>10</v>
      </c>
      <c r="K192" s="45">
        <f>VLOOKUP($A192,쿼리1[[ID]:[열1]],3,FALSE)</f>
        <v>10</v>
      </c>
      <c r="L192" s="73" t="str">
        <f>$B192&amp;"."&amp;VLOOKUP($C192,'#Data'!$B$2:$J$344,2,FALSE)&amp;".attack0"&amp;RIGHT(L$1,1)</f>
        <v>Sector08.plants_robust_1.attack01</v>
      </c>
      <c r="M192" s="73"/>
      <c r="N192" s="73"/>
      <c r="O192" s="141" t="str">
        <f>$B192&amp;"."&amp;VLOOKUP($C192,'#Data'!$B$2:$J$344,2,FALSE)&amp;".skill0"&amp;RIGHT(O$1,1)</f>
        <v>Sector08.plants_robust_1.skill01</v>
      </c>
      <c r="P192" s="141" t="str">
        <f>$B192&amp;"."&amp;VLOOKUP($C192,'#Data'!$B$2:$J$344,2,FALSE)&amp;".skill0"&amp;RIGHT(P$1,1)</f>
        <v>Sector08.plants_robust_1.skill02</v>
      </c>
      <c r="Q192" s="141" t="str">
        <f>$B192&amp;"."&amp;VLOOKUP($C192,'#Data'!$B$2:$J$344,2,FALSE)&amp;".skill0"&amp;RIGHT(Q$1,1)</f>
        <v>Sector08.plants_robust_1.skill03</v>
      </c>
      <c r="R192" s="74" t="s">
        <v>1959</v>
      </c>
      <c r="S192" s="74" t="s">
        <v>2078</v>
      </c>
      <c r="T192" s="74"/>
      <c r="U192" s="74"/>
      <c r="V192" s="45" t="b">
        <v>0</v>
      </c>
      <c r="W192" s="45" t="str">
        <f>"Character/Prefabs/"&amp;VLOOKUP($C192,'#Data'!$B$3:$I$344,8,FALSE)</f>
        <v>Character/Prefabs/m_l_tanker_plants_robust_1</v>
      </c>
      <c r="X192" s="45"/>
      <c r="Y192" s="45" t="str">
        <f>VLOOKUP($C192,'#Data'!$B$3:$I$344,8,FALSE)</f>
        <v>m_l_tanker_plants_robust_1</v>
      </c>
      <c r="Z192" s="45"/>
      <c r="AA192" s="45"/>
      <c r="AB192" s="45"/>
      <c r="AC192" s="93">
        <v>0.9</v>
      </c>
      <c r="AD192" s="45"/>
      <c r="AE192" s="45"/>
      <c r="AF192" s="45"/>
      <c r="AG192" s="45" t="s">
        <v>2104</v>
      </c>
      <c r="AH192" s="85"/>
    </row>
    <row r="193" spans="1:34" x14ac:dyDescent="0.3">
      <c r="A193" s="45">
        <v>1110208203</v>
      </c>
      <c r="B193" s="45" t="s">
        <v>210</v>
      </c>
      <c r="C193" s="45" t="s">
        <v>221</v>
      </c>
      <c r="D193" s="45" t="str">
        <f>"Monster.Name."&amp;VLOOKUP($C193,'#Data'!$B$2:$J$344,2,FALSE)</f>
        <v>Monster.Name.plants_decay_1</v>
      </c>
      <c r="E193" s="45" t="s">
        <v>43</v>
      </c>
      <c r="F193" s="46" t="s">
        <v>44</v>
      </c>
      <c r="G193" s="45" t="s">
        <v>45</v>
      </c>
      <c r="H193" s="45" t="b">
        <f>IF(OR(VLOOKUP($C193,'#Data'!$B$2:$J$344,4,FALSE)="보스",VLOOKUP($C193,'#Data'!$B$2:$J$344,4,FALSE)="중간"),TRUE,FALSE)</f>
        <v>1</v>
      </c>
      <c r="I193" s="45" t="b">
        <v>1</v>
      </c>
      <c r="J193" s="45">
        <v>20</v>
      </c>
      <c r="K193" s="45">
        <f>VLOOKUP($A193,쿼리1[[ID]:[열1]],3,FALSE)</f>
        <v>10</v>
      </c>
      <c r="L193" s="73" t="str">
        <f>$B193&amp;"."&amp;VLOOKUP($C193,'#Data'!$B$2:$J$344,2,FALSE)&amp;".attack0"&amp;RIGHT(L$1,1)</f>
        <v>Sector08.plants_decay_1.attack01</v>
      </c>
      <c r="M193" s="73"/>
      <c r="N193" s="73"/>
      <c r="O193" s="141" t="str">
        <f>$B193&amp;"."&amp;VLOOKUP($C193,'#Data'!$B$2:$J$344,2,FALSE)&amp;".skill0"&amp;RIGHT(O$1,1)</f>
        <v>Sector08.plants_decay_1.skill01</v>
      </c>
      <c r="P193" s="141" t="str">
        <f>$B193&amp;"."&amp;VLOOKUP($C193,'#Data'!$B$2:$J$344,2,FALSE)&amp;".skill0"&amp;RIGHT(P$1,1)</f>
        <v>Sector08.plants_decay_1.skill02</v>
      </c>
      <c r="Q193" s="141" t="str">
        <f>$B193&amp;"."&amp;VLOOKUP($C193,'#Data'!$B$2:$J$344,2,FALSE)&amp;".skill0"&amp;RIGHT(Q$1,1)</f>
        <v>Sector08.plants_decay_1.skill03</v>
      </c>
      <c r="R193" s="74" t="s">
        <v>1959</v>
      </c>
      <c r="S193" s="74" t="s">
        <v>2077</v>
      </c>
      <c r="T193" s="74"/>
      <c r="U193" s="74"/>
      <c r="V193" s="45" t="b">
        <v>0</v>
      </c>
      <c r="W193" s="45" t="str">
        <f>"Character/Prefabs/"&amp;VLOOKUP($C193,'#Data'!$B$3:$I$344,8,FALSE)</f>
        <v>Character/Prefabs/m_l_attacker_plants_decay_1</v>
      </c>
      <c r="X193" s="45"/>
      <c r="Y193" s="45" t="str">
        <f>VLOOKUP($C193,'#Data'!$B$3:$I$344,8,FALSE)</f>
        <v>m_l_attacker_plants_decay_1</v>
      </c>
      <c r="Z193" s="45"/>
      <c r="AA193" s="45"/>
      <c r="AB193" s="45"/>
      <c r="AC193" s="93">
        <v>1.1000000000000001</v>
      </c>
      <c r="AD193" s="45"/>
      <c r="AE193" s="45"/>
      <c r="AF193" s="45"/>
      <c r="AG193" s="45" t="s">
        <v>2104</v>
      </c>
      <c r="AH193" s="85"/>
    </row>
    <row r="194" spans="1:34" x14ac:dyDescent="0.3">
      <c r="A194" s="45">
        <v>1110208301</v>
      </c>
      <c r="B194" s="45" t="s">
        <v>210</v>
      </c>
      <c r="C194" s="45" t="s">
        <v>222</v>
      </c>
      <c r="D194" s="45" t="str">
        <f>"Monster.Name."&amp;VLOOKUP($C194,'#Data'!$B$2:$J$344,2,FALSE)</f>
        <v>Monster.Name.crawler_1</v>
      </c>
      <c r="E194" s="45" t="s">
        <v>43</v>
      </c>
      <c r="F194" s="46" t="s">
        <v>44</v>
      </c>
      <c r="G194" s="45" t="s">
        <v>45</v>
      </c>
      <c r="H194" s="45" t="b">
        <f>IF(OR(VLOOKUP($C194,'#Data'!$B$2:$J$344,4,FALSE)="보스",VLOOKUP($C194,'#Data'!$B$2:$J$344,4,FALSE)="중간"),TRUE,FALSE)</f>
        <v>1</v>
      </c>
      <c r="I194" s="45" t="b">
        <v>1</v>
      </c>
      <c r="J194" s="45">
        <v>20</v>
      </c>
      <c r="K194" s="45">
        <f>VLOOKUP($A194,쿼리1[[ID]:[열1]],3,FALSE)</f>
        <v>10</v>
      </c>
      <c r="L194" s="73" t="str">
        <f>$B194&amp;"."&amp;VLOOKUP($C194,'#Data'!$B$2:$J$344,2,FALSE)&amp;".attack0"&amp;RIGHT(L$1,1)</f>
        <v>Sector08.crawler_1.attack01</v>
      </c>
      <c r="M194" s="73" t="str">
        <f>$B194&amp;"."&amp;VLOOKUP($C194,'#Data'!$B$2:$J$344,2,FALSE)&amp;".attack0"&amp;RIGHT(M$1,1)</f>
        <v>Sector08.crawler_1.attack02</v>
      </c>
      <c r="N194" s="73"/>
      <c r="O194" s="141" t="str">
        <f>$B194&amp;"."&amp;VLOOKUP($C194,'#Data'!$B$2:$J$344,2,FALSE)&amp;".skill0"&amp;RIGHT(O$1,1)</f>
        <v>Sector08.crawler_1.skill01</v>
      </c>
      <c r="P194" s="141" t="str">
        <f>$B194&amp;"."&amp;VLOOKUP($C194,'#Data'!$B$2:$J$344,2,FALSE)&amp;".skill0"&amp;RIGHT(P$1,1)</f>
        <v>Sector08.crawler_1.skill02</v>
      </c>
      <c r="Q194" s="141" t="str">
        <f>$B194&amp;"."&amp;VLOOKUP($C194,'#Data'!$B$2:$J$344,2,FALSE)&amp;".skill0"&amp;RIGHT(Q$1,1)</f>
        <v>Sector08.crawler_1.skill03</v>
      </c>
      <c r="R194" s="74" t="s">
        <v>1927</v>
      </c>
      <c r="S194" s="74" t="s">
        <v>76</v>
      </c>
      <c r="T194" s="74"/>
      <c r="U194" s="74"/>
      <c r="V194" s="45" t="b">
        <v>0</v>
      </c>
      <c r="W194" s="45" t="str">
        <f>"Character/Prefabs/"&amp;VLOOKUP($C194,'#Data'!$B$3:$I$344,8,FALSE)</f>
        <v>Character/Prefabs/m_boss_attacker_crawler_1</v>
      </c>
      <c r="X194" s="45"/>
      <c r="Y194" s="45" t="str">
        <f>VLOOKUP($C194,'#Data'!$B$3:$I$344,8,FALSE)</f>
        <v>m_boss_attacker_crawler_1</v>
      </c>
      <c r="Z194" s="45"/>
      <c r="AA194" s="45"/>
      <c r="AB194" s="45"/>
      <c r="AC194" s="93">
        <v>1.2</v>
      </c>
      <c r="AD194" s="45"/>
      <c r="AE194" s="45" t="s">
        <v>1950</v>
      </c>
      <c r="AF194" s="45" t="s">
        <v>1952</v>
      </c>
      <c r="AG194" s="45" t="s">
        <v>2104</v>
      </c>
      <c r="AH194" s="85"/>
    </row>
    <row r="195" spans="1:34" x14ac:dyDescent="0.3">
      <c r="A195" s="117">
        <v>1110208302</v>
      </c>
      <c r="B195" s="117" t="s">
        <v>210</v>
      </c>
      <c r="C195" s="117" t="s">
        <v>2088</v>
      </c>
      <c r="D195" s="117" t="str">
        <f>"Monster.Name."&amp;VLOOKUP($C195,'#Data'!$B$2:$J$344,2,FALSE)</f>
        <v>Monster.Name.skull_crawler_1</v>
      </c>
      <c r="E195" s="117" t="s">
        <v>43</v>
      </c>
      <c r="F195" s="118" t="s">
        <v>44</v>
      </c>
      <c r="G195" s="117" t="s">
        <v>45</v>
      </c>
      <c r="H195" s="117" t="b">
        <f>IF(OR(VLOOKUP($C195,'#Data'!$B$2:$J$344,4,FALSE)="보스",VLOOKUP($C195,'#Data'!$B$2:$J$344,4,FALSE)="중간"),TRUE,FALSE)</f>
        <v>1</v>
      </c>
      <c r="I195" s="117" t="b">
        <v>1</v>
      </c>
      <c r="J195" s="117">
        <v>20</v>
      </c>
      <c r="K195" s="117">
        <f>VLOOKUP($A195,쿼리1[[ID]:[열1]],3,FALSE)</f>
        <v>10</v>
      </c>
      <c r="L195" s="119" t="str">
        <f>$B195&amp;"."&amp;VLOOKUP($C195,'#Data'!$B$2:$J$344,2,FALSE)&amp;".attack0"&amp;RIGHT(L$1,1)</f>
        <v>Sector08.skull_crawler_1.attack01</v>
      </c>
      <c r="M195" s="119" t="str">
        <f>$B195&amp;"."&amp;VLOOKUP($C195,'#Data'!$B$2:$J$344,2,FALSE)&amp;".attack0"&amp;RIGHT(M$1,1)</f>
        <v>Sector08.skull_crawler_1.attack02</v>
      </c>
      <c r="N195" s="119"/>
      <c r="O195" s="142" t="str">
        <f>$B195&amp;"."&amp;VLOOKUP($C195,'#Data'!$B$2:$J$344,2,FALSE)&amp;".skill0"&amp;RIGHT(O$1,1)</f>
        <v>Sector08.skull_crawler_1.skill01</v>
      </c>
      <c r="P195" s="142" t="str">
        <f>$B195&amp;"."&amp;VLOOKUP($C195,'#Data'!$B$2:$J$344,2,FALSE)&amp;".skill0"&amp;RIGHT(P$1,1)</f>
        <v>Sector08.skull_crawler_1.skill02</v>
      </c>
      <c r="Q195" s="142" t="str">
        <f>$B195&amp;"."&amp;VLOOKUP($C195,'#Data'!$B$2:$J$344,2,FALSE)&amp;".skill0"&amp;RIGHT(Q$1,1)</f>
        <v>Sector08.skull_crawler_1.skill03</v>
      </c>
      <c r="R195" s="120" t="s">
        <v>1927</v>
      </c>
      <c r="S195" s="120" t="s">
        <v>76</v>
      </c>
      <c r="T195" s="120"/>
      <c r="U195" s="120"/>
      <c r="V195" s="117" t="b">
        <v>0</v>
      </c>
      <c r="W195" s="117" t="str">
        <f>"Character/Prefabs/"&amp;VLOOKUP($C195,'#Data'!$B$3:$I$344,8,FALSE)</f>
        <v>Character/Prefabs/m_boss_attacker_skull_crawler_1</v>
      </c>
      <c r="X195" s="117"/>
      <c r="Y195" s="117" t="str">
        <f>VLOOKUP($C195,'#Data'!$B$3:$I$344,8,FALSE)</f>
        <v>m_boss_attacker_skull_crawler_1</v>
      </c>
      <c r="Z195" s="117"/>
      <c r="AA195" s="117"/>
      <c r="AB195" s="117"/>
      <c r="AC195" s="121">
        <v>1.2</v>
      </c>
      <c r="AD195" s="117"/>
      <c r="AE195" s="117" t="s">
        <v>2090</v>
      </c>
      <c r="AF195" s="117" t="s">
        <v>2103</v>
      </c>
      <c r="AG195" s="117" t="s">
        <v>2104</v>
      </c>
      <c r="AH195" s="85"/>
    </row>
    <row r="196" spans="1:34" x14ac:dyDescent="0.3">
      <c r="A196" s="51">
        <v>1110209301</v>
      </c>
      <c r="B196" s="51" t="s">
        <v>2743</v>
      </c>
      <c r="C196" s="51" t="s">
        <v>2741</v>
      </c>
      <c r="D196" s="51" t="str">
        <f>"Monster.Name."&amp;VLOOKUP($C196,'#Data'!$B$2:$J$344,2,FALSE)</f>
        <v>Monster.Name.barnacle_builder_1</v>
      </c>
      <c r="E196" s="51" t="s">
        <v>43</v>
      </c>
      <c r="F196" s="52" t="s">
        <v>44</v>
      </c>
      <c r="G196" s="51" t="s">
        <v>45</v>
      </c>
      <c r="H196" s="51" t="b">
        <f>IF(OR(VLOOKUP($C196,'#Data'!$B$2:$J$344,4,FALSE)="보스",VLOOKUP($C196,'#Data'!$B$2:$J$344,4,FALSE)="중간"),TRUE,FALSE)</f>
        <v>1</v>
      </c>
      <c r="I196" s="51" t="b">
        <v>1</v>
      </c>
      <c r="J196" s="51">
        <v>20</v>
      </c>
      <c r="K196" s="51">
        <v>10</v>
      </c>
      <c r="L196" s="61" t="str">
        <f>$B196&amp;"."&amp;VLOOKUP($C196,'#Data'!$B$2:$J$344,2,FALSE)&amp;".attack0"&amp;RIGHT(L$1,1)</f>
        <v>Sector09.barnacle_builder_1.attack01</v>
      </c>
      <c r="M196" s="61" t="str">
        <f>$B196&amp;"."&amp;VLOOKUP($C196,'#Data'!$B$2:$J$344,2,FALSE)&amp;".attack0"&amp;RIGHT(M$1,1)</f>
        <v>Sector09.barnacle_builder_1.attack02</v>
      </c>
      <c r="N196" s="61"/>
      <c r="O196" s="132" t="str">
        <f>$B196&amp;"."&amp;VLOOKUP($C196,'#Data'!$B$2:$J$344,2,FALSE)&amp;".skill0"&amp;RIGHT(O$1,1)</f>
        <v>Sector09.barnacle_builder_1.skill01</v>
      </c>
      <c r="P196" s="132" t="str">
        <f>$B196&amp;"."&amp;VLOOKUP($C196,'#Data'!$B$2:$J$344,2,FALSE)&amp;".skill0"&amp;RIGHT(P$1,1)</f>
        <v>Sector09.barnacle_builder_1.skill02</v>
      </c>
      <c r="Q196" s="132" t="str">
        <f>$B196&amp;"."&amp;VLOOKUP($C196,'#Data'!$B$2:$J$344,2,FALSE)&amp;".skill0"&amp;RIGHT(Q$1,1)</f>
        <v>Sector09.barnacle_builder_1.skill03</v>
      </c>
      <c r="R196" s="62" t="s">
        <v>2751</v>
      </c>
      <c r="S196" s="62" t="s">
        <v>76</v>
      </c>
      <c r="T196" s="62"/>
      <c r="U196" s="62"/>
      <c r="V196" s="51" t="b">
        <v>0</v>
      </c>
      <c r="W196" s="51" t="str">
        <f>"Character/Prefabs/"&amp;VLOOKUP($C196,'#Data'!$B$3:$I$344,8,FALSE)</f>
        <v>Character/Prefabs/m_boss_tanker_barnacle_builder_1</v>
      </c>
      <c r="X196" s="51"/>
      <c r="Y196" s="51" t="str">
        <f>VLOOKUP($C196,'#Data'!$B$3:$I$344,8,FALSE)</f>
        <v>m_boss_tanker_barnacle_builder_1</v>
      </c>
      <c r="Z196" s="51"/>
      <c r="AA196" s="51"/>
      <c r="AB196" s="51"/>
      <c r="AC196" s="86">
        <v>1</v>
      </c>
      <c r="AD196" s="51"/>
      <c r="AE196" s="51" t="s">
        <v>2747</v>
      </c>
      <c r="AF196" s="51" t="s">
        <v>2748</v>
      </c>
      <c r="AG196" s="51" t="s">
        <v>2104</v>
      </c>
      <c r="AH196" s="85"/>
    </row>
    <row r="197" spans="1:34" x14ac:dyDescent="0.3">
      <c r="A197" s="49">
        <v>1110210301</v>
      </c>
      <c r="B197" s="49" t="s">
        <v>2744</v>
      </c>
      <c r="C197" s="49" t="s">
        <v>2742</v>
      </c>
      <c r="D197" s="49" t="str">
        <f>"Monster.Name."&amp;VLOOKUP($C197,'#Data'!$B$2:$J$344,2,FALSE)</f>
        <v>Monster.Name.mindloader_1</v>
      </c>
      <c r="E197" s="49" t="s">
        <v>43</v>
      </c>
      <c r="F197" s="50" t="s">
        <v>44</v>
      </c>
      <c r="G197" s="49" t="s">
        <v>45</v>
      </c>
      <c r="H197" s="49" t="b">
        <f>IF(OR(VLOOKUP($C197,'#Data'!$B$2:$J$344,4,FALSE)="보스",VLOOKUP($C197,'#Data'!$B$2:$J$344,4,FALSE)="중간"),TRUE,FALSE)</f>
        <v>1</v>
      </c>
      <c r="I197" s="49" t="b">
        <v>1</v>
      </c>
      <c r="J197" s="49">
        <v>20</v>
      </c>
      <c r="K197" s="49">
        <v>10</v>
      </c>
      <c r="L197" s="65" t="str">
        <f>$B197&amp;"."&amp;VLOOKUP($C197,'#Data'!$B$2:$J$344,2,FALSE)&amp;".attack0"&amp;RIGHT(L$1,1)</f>
        <v>Sector10.mindloader_1.attack01</v>
      </c>
      <c r="M197" s="65" t="str">
        <f>$B197&amp;"."&amp;VLOOKUP($C197,'#Data'!$B$2:$J$344,2,FALSE)&amp;".attack0"&amp;RIGHT(M$1,1)</f>
        <v>Sector10.mindloader_1.attack02</v>
      </c>
      <c r="N197" s="65"/>
      <c r="O197" s="135" t="str">
        <f>$B197&amp;"."&amp;VLOOKUP($C197,'#Data'!$B$2:$J$344,2,FALSE)&amp;".skill0"&amp;RIGHT(O$1,1)</f>
        <v>Sector10.mindloader_1.skill01</v>
      </c>
      <c r="P197" s="135" t="str">
        <f>$B197&amp;"."&amp;VLOOKUP($C197,'#Data'!$B$2:$J$344,2,FALSE)&amp;".skill0"&amp;RIGHT(P$1,1)</f>
        <v>Sector10.mindloader_1.skill02</v>
      </c>
      <c r="Q197" s="135" t="str">
        <f>$B197&amp;"."&amp;VLOOKUP($C197,'#Data'!$B$2:$J$344,2,FALSE)&amp;".skill0"&amp;RIGHT(Q$1,1)</f>
        <v>Sector10.mindloader_1.skill03</v>
      </c>
      <c r="R197" s="66" t="s">
        <v>2749</v>
      </c>
      <c r="S197" s="66" t="s">
        <v>2750</v>
      </c>
      <c r="T197" s="66"/>
      <c r="U197" s="66"/>
      <c r="V197" s="49" t="b">
        <v>0</v>
      </c>
      <c r="W197" s="49" t="str">
        <f>"Character/Prefabs/"&amp;VLOOKUP($C197,'#Data'!$B$3:$I$344,8,FALSE)</f>
        <v>Character/Prefabs/m_boss_attacker_mindloader_1</v>
      </c>
      <c r="X197" s="49"/>
      <c r="Y197" s="49" t="str">
        <f>VLOOKUP($C197,'#Data'!$B$3:$I$344,8,FALSE)</f>
        <v>m_boss_attacker_mindloader_1</v>
      </c>
      <c r="Z197" s="49"/>
      <c r="AA197" s="49"/>
      <c r="AB197" s="49"/>
      <c r="AC197" s="89">
        <v>1</v>
      </c>
      <c r="AD197" s="49"/>
      <c r="AE197" s="49" t="s">
        <v>2745</v>
      </c>
      <c r="AF197" s="49" t="s">
        <v>2746</v>
      </c>
      <c r="AG197" s="49" t="s">
        <v>2104</v>
      </c>
      <c r="AH197" s="85"/>
    </row>
    <row r="198" spans="1:34" x14ac:dyDescent="0.3">
      <c r="A198" s="49"/>
      <c r="B198" s="49"/>
      <c r="C198" s="49"/>
      <c r="D198" s="49"/>
      <c r="E198" s="49"/>
      <c r="F198" s="50"/>
      <c r="G198" s="49"/>
      <c r="H198" s="49"/>
      <c r="I198" s="49"/>
      <c r="J198" s="49"/>
      <c r="K198" s="49"/>
      <c r="L198" s="65"/>
      <c r="M198" s="65"/>
      <c r="N198" s="65"/>
      <c r="O198" s="135"/>
      <c r="P198" s="135"/>
      <c r="Q198" s="135"/>
      <c r="R198" s="66"/>
      <c r="S198" s="66"/>
      <c r="T198" s="66"/>
      <c r="U198" s="66"/>
      <c r="V198" s="49"/>
      <c r="W198" s="49"/>
      <c r="X198" s="49"/>
      <c r="Y198" s="49"/>
      <c r="Z198" s="49"/>
      <c r="AA198" s="49"/>
      <c r="AB198" s="49"/>
      <c r="AC198" s="89"/>
      <c r="AD198" s="49"/>
      <c r="AE198" s="49"/>
      <c r="AF198" s="49"/>
      <c r="AG198" s="49"/>
      <c r="AH198" s="85"/>
    </row>
    <row r="199" spans="1:34" x14ac:dyDescent="0.3">
      <c r="A199" s="37">
        <f t="shared" ref="A199:A230" si="0">A4+100000000</f>
        <v>1210201101</v>
      </c>
      <c r="B199" s="37" t="s">
        <v>41</v>
      </c>
      <c r="C199" s="37" t="s">
        <v>42</v>
      </c>
      <c r="D199" s="37" t="str">
        <f>"Monster.Name."&amp;VLOOKUP($C199,'#Data'!$B$2:$J$344,2,FALSE)</f>
        <v>Monster.Name.solid_turretmk1_1</v>
      </c>
      <c r="E199" s="37" t="s">
        <v>43</v>
      </c>
      <c r="F199" s="38" t="s">
        <v>44</v>
      </c>
      <c r="G199" s="37" t="s">
        <v>45</v>
      </c>
      <c r="H199" s="37" t="b">
        <f>IF(OR(VLOOKUP($C199,'#Data'!$B$2:$J$344,4,FALSE)="보스",VLOOKUP($C199,'#Data'!$B$2:$J$344,4,FALSE)="중간"),TRUE,FALSE)</f>
        <v>0</v>
      </c>
      <c r="I199" s="37" t="b">
        <f>IF(OR(VLOOKUP($C199,'#Data'!$B$2:$J$344,4,FALSE)="보스",VLOOKUP($C199,'#Data'!$B$2:$J$344,4,FALSE)="중간"),TRUE,FALSE)</f>
        <v>0</v>
      </c>
      <c r="J199" s="37">
        <v>10</v>
      </c>
      <c r="K199" s="37">
        <f t="shared" ref="K199:K230" si="1">K4</f>
        <v>10</v>
      </c>
      <c r="L199" s="59" t="str">
        <f>$B199&amp;"."&amp;VLOOKUP($C199,'#Data'!$B$2:$J$344,2,FALSE)&amp;".attack0"&amp;RIGHT(L$1,1)</f>
        <v>Sector01.solid_turretmk1_1.attack01</v>
      </c>
      <c r="M199" s="59"/>
      <c r="N199" s="59"/>
      <c r="O199" s="131" t="s">
        <v>1990</v>
      </c>
      <c r="P199" s="131"/>
      <c r="Q199" s="131"/>
      <c r="R199" s="60"/>
      <c r="S199" s="60"/>
      <c r="T199" s="60"/>
      <c r="U199" s="60"/>
      <c r="V199" s="37" t="b">
        <v>0</v>
      </c>
      <c r="W199" s="37" t="str">
        <f>"Character/Prefabs/"&amp;VLOOKUP($C199,'#Data'!$B$3:$I$344,8,FALSE)</f>
        <v>Character/Prefabs/m_s_attacker_solid_turretmk1_1</v>
      </c>
      <c r="X199" s="37"/>
      <c r="Y199" s="37" t="str">
        <f>VLOOKUP($C199,'#Data'!$B$3:$I$344,8,FALSE)</f>
        <v>m_s_attacker_solid_turretmk1_1</v>
      </c>
      <c r="Z199" s="37"/>
      <c r="AA199" s="37"/>
      <c r="AB199" s="37"/>
      <c r="AC199" s="84">
        <v>0.7</v>
      </c>
      <c r="AD199" s="37"/>
      <c r="AE199" s="37"/>
      <c r="AF199" s="37"/>
      <c r="AG199" s="37" t="s">
        <v>2093</v>
      </c>
      <c r="AH199" s="85"/>
    </row>
    <row r="200" spans="1:34" x14ac:dyDescent="0.3">
      <c r="A200" s="37">
        <f t="shared" si="0"/>
        <v>1210201102</v>
      </c>
      <c r="B200" s="37" t="s">
        <v>41</v>
      </c>
      <c r="C200" s="37" t="s">
        <v>46</v>
      </c>
      <c r="D200" s="37" t="str">
        <f>"Monster.Name."&amp;VLOOKUP($C200,'#Data'!$B$2:$J$344,2,FALSE)</f>
        <v>Monster.Name.spider_turret_prototype_1</v>
      </c>
      <c r="E200" s="37" t="s">
        <v>47</v>
      </c>
      <c r="F200" s="38" t="s">
        <v>44</v>
      </c>
      <c r="G200" s="37" t="s">
        <v>45</v>
      </c>
      <c r="H200" s="37" t="b">
        <f>IF(OR(VLOOKUP($C200,'#Data'!$B$2:$J$344,4,FALSE)="보스",VLOOKUP($C200,'#Data'!$B$2:$J$344,4,FALSE)="중간"),TRUE,FALSE)</f>
        <v>0</v>
      </c>
      <c r="I200" s="37" t="b">
        <f>IF(OR(VLOOKUP($C200,'#Data'!$B$2:$J$344,4,FALSE)="보스",VLOOKUP($C200,'#Data'!$B$2:$J$344,4,FALSE)="중간"),TRUE,FALSE)</f>
        <v>0</v>
      </c>
      <c r="J200" s="37">
        <v>10</v>
      </c>
      <c r="K200" s="37">
        <f t="shared" si="1"/>
        <v>30</v>
      </c>
      <c r="L200" s="59" t="str">
        <f>$B200&amp;"."&amp;VLOOKUP($C200,'#Data'!$B$2:$J$344,2,FALSE)&amp;".attack0"&amp;RIGHT(L$1,1)</f>
        <v>Sector01.spider_turret_prototype_1.attack01</v>
      </c>
      <c r="M200" s="59"/>
      <c r="N200" s="59"/>
      <c r="O200" s="131" t="s">
        <v>1991</v>
      </c>
      <c r="P200" s="131"/>
      <c r="Q200" s="131"/>
      <c r="R200" s="60"/>
      <c r="S200" s="60"/>
      <c r="T200" s="60"/>
      <c r="U200" s="60"/>
      <c r="V200" s="37" t="b">
        <v>0</v>
      </c>
      <c r="W200" s="37" t="str">
        <f>"Character/Prefabs/"&amp;VLOOKUP($C200,'#Data'!$B$3:$I$344,8,FALSE)</f>
        <v>Character/Prefabs/m_s_ranger_spider_turret_prototype_1</v>
      </c>
      <c r="X200" s="37"/>
      <c r="Y200" s="37" t="str">
        <f>VLOOKUP($C200,'#Data'!$B$3:$I$344,8,FALSE)</f>
        <v>m_s_ranger_spider_turret_prototype_1</v>
      </c>
      <c r="Z200" s="37"/>
      <c r="AA200" s="37"/>
      <c r="AB200" s="37"/>
      <c r="AC200" s="84">
        <v>0.6</v>
      </c>
      <c r="AD200" s="37"/>
      <c r="AE200" s="37"/>
      <c r="AF200" s="37"/>
      <c r="AG200" s="37" t="s">
        <v>2093</v>
      </c>
      <c r="AH200" s="85"/>
    </row>
    <row r="201" spans="1:34" x14ac:dyDescent="0.3">
      <c r="A201" s="37">
        <f t="shared" si="0"/>
        <v>1210201103</v>
      </c>
      <c r="B201" s="37" t="s">
        <v>41</v>
      </c>
      <c r="C201" s="37" t="s">
        <v>48</v>
      </c>
      <c r="D201" s="37" t="str">
        <f>"Monster.Name."&amp;VLOOKUP($C201,'#Data'!$B$2:$J$344,2,FALSE)</f>
        <v>Monster.Name.electric_drone_1</v>
      </c>
      <c r="E201" s="37" t="s">
        <v>43</v>
      </c>
      <c r="F201" s="38" t="s">
        <v>44</v>
      </c>
      <c r="G201" s="37" t="s">
        <v>45</v>
      </c>
      <c r="H201" s="37" t="b">
        <f>IF(OR(VLOOKUP($C201,'#Data'!$B$2:$J$344,4,FALSE)="보스",VLOOKUP($C201,'#Data'!$B$2:$J$344,4,FALSE)="중간"),TRUE,FALSE)</f>
        <v>0</v>
      </c>
      <c r="I201" s="37" t="b">
        <f>IF(OR(VLOOKUP($C201,'#Data'!$B$2:$J$344,4,FALSE)="보스",VLOOKUP($C201,'#Data'!$B$2:$J$344,4,FALSE)="중간"),TRUE,FALSE)</f>
        <v>0</v>
      </c>
      <c r="J201" s="37">
        <v>10</v>
      </c>
      <c r="K201" s="37">
        <f t="shared" si="1"/>
        <v>10</v>
      </c>
      <c r="L201" s="59" t="str">
        <f>$B201&amp;"."&amp;VLOOKUP($C201,'#Data'!$B$2:$J$344,2,FALSE)&amp;".attack0"&amp;RIGHT(L$1,1)</f>
        <v>Sector01.electric_drone_1.attack01</v>
      </c>
      <c r="M201" s="59"/>
      <c r="N201" s="59"/>
      <c r="O201" s="131" t="s">
        <v>1992</v>
      </c>
      <c r="P201" s="131"/>
      <c r="Q201" s="131"/>
      <c r="R201" s="60"/>
      <c r="S201" s="60"/>
      <c r="T201" s="60"/>
      <c r="U201" s="60"/>
      <c r="V201" s="37" t="b">
        <v>0</v>
      </c>
      <c r="W201" s="37" t="str">
        <f>"Character/Prefabs/"&amp;VLOOKUP($C201,'#Data'!$B$3:$I$344,8,FALSE)</f>
        <v>Character/Prefabs/m_s_attacker_electric_drone_1</v>
      </c>
      <c r="X201" s="37"/>
      <c r="Y201" s="37" t="str">
        <f>VLOOKUP($C201,'#Data'!$B$3:$I$344,8,FALSE)</f>
        <v>m_s_attacker_electric_drone_1</v>
      </c>
      <c r="Z201" s="37"/>
      <c r="AA201" s="37"/>
      <c r="AB201" s="37"/>
      <c r="AC201" s="84">
        <v>0.7</v>
      </c>
      <c r="AD201" s="37"/>
      <c r="AE201" s="37"/>
      <c r="AF201" s="37"/>
      <c r="AG201" s="37" t="s">
        <v>2093</v>
      </c>
      <c r="AH201" s="85"/>
    </row>
    <row r="202" spans="1:34" x14ac:dyDescent="0.3">
      <c r="A202" s="37">
        <f t="shared" si="0"/>
        <v>1210201104</v>
      </c>
      <c r="B202" s="37" t="s">
        <v>41</v>
      </c>
      <c r="C202" s="37" t="s">
        <v>52</v>
      </c>
      <c r="D202" s="37" t="str">
        <f>"Monster.Name."&amp;VLOOKUP($C202,'#Data'!$B$2:$J$344,2,FALSE)</f>
        <v>Monster.Name.jamming_drone_1</v>
      </c>
      <c r="E202" s="37" t="s">
        <v>47</v>
      </c>
      <c r="F202" s="38" t="s">
        <v>44</v>
      </c>
      <c r="G202" s="37" t="s">
        <v>45</v>
      </c>
      <c r="H202" s="37" t="b">
        <f>IF(OR(VLOOKUP($C202,'#Data'!$B$2:$J$344,4,FALSE)="보스",VLOOKUP($C202,'#Data'!$B$2:$J$344,4,FALSE)="중간"),TRUE,FALSE)</f>
        <v>0</v>
      </c>
      <c r="I202" s="37" t="b">
        <f>IF(OR(VLOOKUP($C202,'#Data'!$B$2:$J$344,4,FALSE)="보스",VLOOKUP($C202,'#Data'!$B$2:$J$344,4,FALSE)="중간"),TRUE,FALSE)</f>
        <v>0</v>
      </c>
      <c r="J202" s="37">
        <v>10</v>
      </c>
      <c r="K202" s="37">
        <f t="shared" si="1"/>
        <v>10</v>
      </c>
      <c r="L202" s="59" t="str">
        <f>$B202&amp;"."&amp;VLOOKUP($C202,'#Data'!$B$2:$J$344,2,FALSE)&amp;".attack0"&amp;RIGHT(L$1,1)</f>
        <v>Sector01.jamming_drone_1.attack01</v>
      </c>
      <c r="M202" s="59"/>
      <c r="N202" s="59"/>
      <c r="O202" s="131" t="s">
        <v>1993</v>
      </c>
      <c r="P202" s="131"/>
      <c r="Q202" s="131"/>
      <c r="R202" s="60"/>
      <c r="S202" s="60"/>
      <c r="T202" s="60"/>
      <c r="U202" s="60"/>
      <c r="V202" s="37" t="b">
        <v>0</v>
      </c>
      <c r="W202" s="37" t="str">
        <f>"Character/Prefabs/"&amp;VLOOKUP($C202,'#Data'!$B$3:$I$344,8,FALSE)</f>
        <v>Character/Prefabs/m_s_ranger_jamming_drone_1</v>
      </c>
      <c r="X202" s="37"/>
      <c r="Y202" s="37" t="str">
        <f>VLOOKUP($C202,'#Data'!$B$3:$I$344,8,FALSE)</f>
        <v>m_s_ranger_jamming_drone_1</v>
      </c>
      <c r="Z202" s="37"/>
      <c r="AA202" s="37"/>
      <c r="AB202" s="37"/>
      <c r="AC202" s="84">
        <v>0.6</v>
      </c>
      <c r="AD202" s="37"/>
      <c r="AE202" s="37"/>
      <c r="AF202" s="37"/>
      <c r="AG202" s="37" t="s">
        <v>2093</v>
      </c>
      <c r="AH202" s="85"/>
    </row>
    <row r="203" spans="1:34" x14ac:dyDescent="0.3">
      <c r="A203" s="37">
        <f t="shared" si="0"/>
        <v>1210201105</v>
      </c>
      <c r="B203" s="37" t="s">
        <v>41</v>
      </c>
      <c r="C203" s="37" t="s">
        <v>56</v>
      </c>
      <c r="D203" s="37" t="str">
        <f>"Monster.Name."&amp;VLOOKUP($C203,'#Data'!$B$2:$J$344,2,FALSE)</f>
        <v>Monster.Name.trooper_sniper_1</v>
      </c>
      <c r="E203" s="37" t="s">
        <v>47</v>
      </c>
      <c r="F203" s="38" t="s">
        <v>44</v>
      </c>
      <c r="G203" s="37" t="s">
        <v>45</v>
      </c>
      <c r="H203" s="37" t="b">
        <f>IF(OR(VLOOKUP($C203,'#Data'!$B$2:$J$344,4,FALSE)="보스",VLOOKUP($C203,'#Data'!$B$2:$J$344,4,FALSE)="중간"),TRUE,FALSE)</f>
        <v>0</v>
      </c>
      <c r="I203" s="37" t="b">
        <f>IF(OR(VLOOKUP($C203,'#Data'!$B$2:$J$344,4,FALSE)="보스",VLOOKUP($C203,'#Data'!$B$2:$J$344,4,FALSE)="중간"),TRUE,FALSE)</f>
        <v>0</v>
      </c>
      <c r="J203" s="37">
        <v>10</v>
      </c>
      <c r="K203" s="37">
        <f t="shared" si="1"/>
        <v>10</v>
      </c>
      <c r="L203" s="59" t="str">
        <f>$B203&amp;"."&amp;VLOOKUP($C203,'#Data'!$B$2:$J$344,2,FALSE)&amp;".attack0"&amp;RIGHT(L$1,1)</f>
        <v>Sector01.trooper_sniper_1.attack01</v>
      </c>
      <c r="M203" s="59"/>
      <c r="N203" s="59"/>
      <c r="O203" s="131" t="str">
        <f>$B203&amp;"."&amp;VLOOKUP($C203,'#Data'!$B$2:$J$344,2,FALSE)&amp;".skill0"&amp;RIGHT(O$1,1)</f>
        <v>Sector01.trooper_sniper_1.skill01</v>
      </c>
      <c r="P203" s="131" t="s">
        <v>1994</v>
      </c>
      <c r="Q203" s="131"/>
      <c r="R203" s="60"/>
      <c r="S203" s="60"/>
      <c r="T203" s="60"/>
      <c r="U203" s="60"/>
      <c r="V203" s="37" t="b">
        <v>0</v>
      </c>
      <c r="W203" s="37" t="str">
        <f>"Character/Prefabs/"&amp;VLOOKUP($C203,'#Data'!$B$3:$I$344,8,FALSE)</f>
        <v>Character/Prefabs/m_m_ranger_trooper_sniper_1</v>
      </c>
      <c r="X203" s="37"/>
      <c r="Y203" s="37" t="str">
        <f>VLOOKUP($C203,'#Data'!$B$3:$I$344,8,FALSE)</f>
        <v>m_m_ranger_trooper_sniper_1</v>
      </c>
      <c r="Z203" s="37"/>
      <c r="AA203" s="37"/>
      <c r="AB203" s="37"/>
      <c r="AC203" s="84">
        <v>0.8</v>
      </c>
      <c r="AD203" s="37"/>
      <c r="AE203" s="37"/>
      <c r="AF203" s="37"/>
      <c r="AG203" s="37" t="s">
        <v>2093</v>
      </c>
      <c r="AH203" s="85"/>
    </row>
    <row r="204" spans="1:34" x14ac:dyDescent="0.3">
      <c r="A204" s="37">
        <f t="shared" si="0"/>
        <v>1210201106</v>
      </c>
      <c r="B204" s="37" t="s">
        <v>41</v>
      </c>
      <c r="C204" s="37" t="s">
        <v>57</v>
      </c>
      <c r="D204" s="37" t="str">
        <f>"Monster.Name."&amp;VLOOKUP($C204,'#Data'!$B$2:$J$344,2,FALSE)</f>
        <v>Monster.Name.trooper_guard_1</v>
      </c>
      <c r="E204" s="37" t="s">
        <v>58</v>
      </c>
      <c r="F204" s="38" t="s">
        <v>44</v>
      </c>
      <c r="G204" s="37" t="s">
        <v>45</v>
      </c>
      <c r="H204" s="37" t="b">
        <f>IF(OR(VLOOKUP($C204,'#Data'!$B$2:$J$344,4,FALSE)="보스",VLOOKUP($C204,'#Data'!$B$2:$J$344,4,FALSE)="중간"),TRUE,FALSE)</f>
        <v>0</v>
      </c>
      <c r="I204" s="37" t="b">
        <f>IF(OR(VLOOKUP($C204,'#Data'!$B$2:$J$344,4,FALSE)="보스",VLOOKUP($C204,'#Data'!$B$2:$J$344,4,FALSE)="중간"),TRUE,FALSE)</f>
        <v>0</v>
      </c>
      <c r="J204" s="37">
        <v>10</v>
      </c>
      <c r="K204" s="37">
        <f t="shared" si="1"/>
        <v>10</v>
      </c>
      <c r="L204" s="59" t="str">
        <f>$B204&amp;"."&amp;VLOOKUP($C204,'#Data'!$B$2:$J$344,2,FALSE)&amp;".attack0"&amp;RIGHT(L$1,1)</f>
        <v>Sector01.trooper_guard_1.attack01</v>
      </c>
      <c r="M204" s="59"/>
      <c r="N204" s="59"/>
      <c r="O204" s="131" t="str">
        <f>$B204&amp;"."&amp;VLOOKUP($C204,'#Data'!$B$2:$J$344,2,FALSE)&amp;".skill0"&amp;RIGHT(O$1,1)</f>
        <v>Sector01.trooper_guard_1.skill01</v>
      </c>
      <c r="P204" s="131" t="s">
        <v>1995</v>
      </c>
      <c r="Q204" s="131"/>
      <c r="R204" s="60"/>
      <c r="S204" s="60"/>
      <c r="T204" s="60"/>
      <c r="U204" s="60"/>
      <c r="V204" s="37" t="b">
        <v>0</v>
      </c>
      <c r="W204" s="37" t="str">
        <f>"Character/Prefabs/"&amp;VLOOKUP($C204,'#Data'!$B$3:$I$344,8,FALSE)</f>
        <v>Character/Prefabs/m_m_tanker_trooper_guard_1</v>
      </c>
      <c r="X204" s="37"/>
      <c r="Y204" s="37" t="str">
        <f>VLOOKUP($C204,'#Data'!$B$3:$I$344,8,FALSE)</f>
        <v>m_m_tanker_trooper_guard_1</v>
      </c>
      <c r="Z204" s="37"/>
      <c r="AA204" s="37"/>
      <c r="AB204" s="37"/>
      <c r="AC204" s="84">
        <v>0.8</v>
      </c>
      <c r="AD204" s="37"/>
      <c r="AE204" s="37"/>
      <c r="AF204" s="37"/>
      <c r="AG204" s="37" t="s">
        <v>2093</v>
      </c>
      <c r="AH204" s="85"/>
    </row>
    <row r="205" spans="1:34" x14ac:dyDescent="0.3">
      <c r="A205" s="37">
        <f t="shared" si="0"/>
        <v>1210201107</v>
      </c>
      <c r="B205" s="37" t="s">
        <v>41</v>
      </c>
      <c r="C205" s="37" t="s">
        <v>59</v>
      </c>
      <c r="D205" s="37" t="str">
        <f>"Monster.Name."&amp;VLOOKUP($C205,'#Data'!$B$2:$J$344,2,FALSE)</f>
        <v>Monster.Name.trooper_champion_1</v>
      </c>
      <c r="E205" s="37" t="s">
        <v>43</v>
      </c>
      <c r="F205" s="38" t="s">
        <v>44</v>
      </c>
      <c r="G205" s="37" t="s">
        <v>45</v>
      </c>
      <c r="H205" s="37" t="b">
        <f>IF(OR(VLOOKUP($C205,'#Data'!$B$2:$J$344,4,FALSE)="보스",VLOOKUP($C205,'#Data'!$B$2:$J$344,4,FALSE)="중간"),TRUE,FALSE)</f>
        <v>0</v>
      </c>
      <c r="I205" s="37" t="b">
        <f>IF(OR(VLOOKUP($C205,'#Data'!$B$2:$J$344,4,FALSE)="보스",VLOOKUP($C205,'#Data'!$B$2:$J$344,4,FALSE)="중간"),TRUE,FALSE)</f>
        <v>0</v>
      </c>
      <c r="J205" s="37">
        <v>10</v>
      </c>
      <c r="K205" s="37">
        <f t="shared" si="1"/>
        <v>10</v>
      </c>
      <c r="L205" s="59" t="str">
        <f>$B205&amp;"."&amp;VLOOKUP($C205,'#Data'!$B$2:$J$344,2,FALSE)&amp;".attack0"&amp;RIGHT(L$1,1)</f>
        <v>Sector01.trooper_champion_1.attack01</v>
      </c>
      <c r="M205" s="59"/>
      <c r="N205" s="59"/>
      <c r="O205" s="131" t="str">
        <f>$B205&amp;"."&amp;VLOOKUP($C205,'#Data'!$B$2:$J$344,2,FALSE)&amp;".skill0"&amp;RIGHT(O$1,1)</f>
        <v>Sector01.trooper_champion_1.skill01</v>
      </c>
      <c r="P205" s="131" t="s">
        <v>1996</v>
      </c>
      <c r="Q205" s="131"/>
      <c r="R205" s="60"/>
      <c r="S205" s="60"/>
      <c r="T205" s="60"/>
      <c r="U205" s="60"/>
      <c r="V205" s="37" t="b">
        <v>0</v>
      </c>
      <c r="W205" s="37" t="str">
        <f>"Character/Prefabs/"&amp;VLOOKUP($C205,'#Data'!$B$3:$I$344,8,FALSE)</f>
        <v>Character/Prefabs/m_m_attacker_trooper_champion_1</v>
      </c>
      <c r="X205" s="37"/>
      <c r="Y205" s="37" t="str">
        <f>VLOOKUP($C205,'#Data'!$B$3:$I$344,8,FALSE)</f>
        <v>m_m_attacker_trooper_champion_1</v>
      </c>
      <c r="Z205" s="37"/>
      <c r="AA205" s="37"/>
      <c r="AB205" s="37"/>
      <c r="AC205" s="84">
        <v>0.8</v>
      </c>
      <c r="AD205" s="37"/>
      <c r="AE205" s="37"/>
      <c r="AF205" s="37"/>
      <c r="AG205" s="37" t="s">
        <v>2093</v>
      </c>
      <c r="AH205" s="85"/>
    </row>
    <row r="206" spans="1:34" x14ac:dyDescent="0.3">
      <c r="A206" s="37">
        <f t="shared" si="0"/>
        <v>1210201108</v>
      </c>
      <c r="B206" s="37" t="s">
        <v>41</v>
      </c>
      <c r="C206" s="37" t="s">
        <v>60</v>
      </c>
      <c r="D206" s="37" t="str">
        <f>"Monster.Name."&amp;VLOOKUP($C206,'#Data'!$B$2:$J$344,2,FALSE)</f>
        <v>Monster.Name.trooper_demolisher_1</v>
      </c>
      <c r="E206" s="37" t="s">
        <v>47</v>
      </c>
      <c r="F206" s="38" t="s">
        <v>44</v>
      </c>
      <c r="G206" s="37" t="s">
        <v>45</v>
      </c>
      <c r="H206" s="37" t="b">
        <f>IF(OR(VLOOKUP($C206,'#Data'!$B$2:$J$344,4,FALSE)="보스",VLOOKUP($C206,'#Data'!$B$2:$J$344,4,FALSE)="중간"),TRUE,FALSE)</f>
        <v>0</v>
      </c>
      <c r="I206" s="37" t="b">
        <f>IF(OR(VLOOKUP($C206,'#Data'!$B$2:$J$344,4,FALSE)="보스",VLOOKUP($C206,'#Data'!$B$2:$J$344,4,FALSE)="중간"),TRUE,FALSE)</f>
        <v>0</v>
      </c>
      <c r="J206" s="37">
        <v>10</v>
      </c>
      <c r="K206" s="37">
        <f t="shared" si="1"/>
        <v>10</v>
      </c>
      <c r="L206" s="59" t="str">
        <f>$B206&amp;"."&amp;VLOOKUP($C206,'#Data'!$B$2:$J$344,2,FALSE)&amp;".attack0"&amp;RIGHT(L$1,1)</f>
        <v>Sector01.trooper_demolisher_1.attack01</v>
      </c>
      <c r="M206" s="59"/>
      <c r="N206" s="59"/>
      <c r="O206" s="131" t="str">
        <f>$B206&amp;"."&amp;VLOOKUP($C206,'#Data'!$B$2:$J$344,2,FALSE)&amp;".skill0"&amp;RIGHT(O$1,1)</f>
        <v>Sector01.trooper_demolisher_1.skill01</v>
      </c>
      <c r="P206" s="131" t="s">
        <v>2018</v>
      </c>
      <c r="Q206" s="131"/>
      <c r="R206" s="60"/>
      <c r="S206" s="60"/>
      <c r="T206" s="60"/>
      <c r="U206" s="60"/>
      <c r="V206" s="37" t="b">
        <v>0</v>
      </c>
      <c r="W206" s="37" t="str">
        <f>"Character/Prefabs/"&amp;VLOOKUP($C206,'#Data'!$B$3:$I$344,8,FALSE)</f>
        <v>Character/Prefabs/m_m_ranger_trooper_demolisher_1</v>
      </c>
      <c r="X206" s="37"/>
      <c r="Y206" s="37" t="str">
        <f>VLOOKUP($C206,'#Data'!$B$3:$I$344,8,FALSE)</f>
        <v>m_m_ranger_trooper_demolisher_1</v>
      </c>
      <c r="Z206" s="37"/>
      <c r="AA206" s="37"/>
      <c r="AB206" s="37"/>
      <c r="AC206" s="84">
        <v>0.8</v>
      </c>
      <c r="AD206" s="37"/>
      <c r="AE206" s="37"/>
      <c r="AF206" s="37"/>
      <c r="AG206" s="37" t="s">
        <v>2093</v>
      </c>
      <c r="AH206" s="85"/>
    </row>
    <row r="207" spans="1:34" x14ac:dyDescent="0.3">
      <c r="A207" s="37">
        <f t="shared" si="0"/>
        <v>1210201109</v>
      </c>
      <c r="B207" s="37" t="s">
        <v>41</v>
      </c>
      <c r="C207" s="37" t="s">
        <v>61</v>
      </c>
      <c r="D207" s="37" t="str">
        <f>"Monster.Name."&amp;VLOOKUP($C207,'#Data'!$B$2:$J$344,2,FALSE)</f>
        <v>Monster.Name.trooper_inferno_1</v>
      </c>
      <c r="E207" s="37" t="s">
        <v>43</v>
      </c>
      <c r="F207" s="38" t="s">
        <v>44</v>
      </c>
      <c r="G207" s="37" t="s">
        <v>45</v>
      </c>
      <c r="H207" s="37" t="b">
        <f>IF(OR(VLOOKUP($C207,'#Data'!$B$2:$J$344,4,FALSE)="보스",VLOOKUP($C207,'#Data'!$B$2:$J$344,4,FALSE)="중간"),TRUE,FALSE)</f>
        <v>0</v>
      </c>
      <c r="I207" s="37" t="b">
        <f>IF(OR(VLOOKUP($C207,'#Data'!$B$2:$J$344,4,FALSE)="보스",VLOOKUP($C207,'#Data'!$B$2:$J$344,4,FALSE)="중간"),TRUE,FALSE)</f>
        <v>0</v>
      </c>
      <c r="J207" s="37">
        <v>10</v>
      </c>
      <c r="K207" s="37">
        <f t="shared" si="1"/>
        <v>10</v>
      </c>
      <c r="L207" s="59" t="str">
        <f>$B207&amp;"."&amp;VLOOKUP($C207,'#Data'!$B$2:$J$344,2,FALSE)&amp;".attack0"&amp;RIGHT(L$1,1)</f>
        <v>Sector01.trooper_inferno_1.attack01</v>
      </c>
      <c r="M207" s="59"/>
      <c r="N207" s="59"/>
      <c r="O207" s="131" t="str">
        <f>$B207&amp;"."&amp;VLOOKUP($C207,'#Data'!$B$2:$J$344,2,FALSE)&amp;".skill0"&amp;RIGHT(O$1,1)</f>
        <v>Sector01.trooper_inferno_1.skill01</v>
      </c>
      <c r="P207" s="131" t="s">
        <v>1998</v>
      </c>
      <c r="Q207" s="131"/>
      <c r="R207" s="60"/>
      <c r="S207" s="60"/>
      <c r="T207" s="60"/>
      <c r="U207" s="60"/>
      <c r="V207" s="37" t="b">
        <v>0</v>
      </c>
      <c r="W207" s="37" t="str">
        <f>"Character/Prefabs/"&amp;VLOOKUP($C207,'#Data'!$B$3:$I$344,8,FALSE)</f>
        <v>Character/Prefabs/m_m_attacker_trooper_inferno_1</v>
      </c>
      <c r="X207" s="37"/>
      <c r="Y207" s="37" t="str">
        <f>VLOOKUP($C207,'#Data'!$B$3:$I$344,8,FALSE)</f>
        <v>m_m_attacker_trooper_inferno_1</v>
      </c>
      <c r="Z207" s="37"/>
      <c r="AA207" s="37"/>
      <c r="AB207" s="37"/>
      <c r="AC207" s="84">
        <v>0.8</v>
      </c>
      <c r="AD207" s="37"/>
      <c r="AE207" s="37"/>
      <c r="AF207" s="37"/>
      <c r="AG207" s="37" t="s">
        <v>2093</v>
      </c>
      <c r="AH207" s="85"/>
    </row>
    <row r="208" spans="1:34" x14ac:dyDescent="0.3">
      <c r="A208" s="51">
        <f t="shared" si="0"/>
        <v>1210201110</v>
      </c>
      <c r="B208" s="51" t="s">
        <v>41</v>
      </c>
      <c r="C208" s="51" t="s">
        <v>66</v>
      </c>
      <c r="D208" s="51" t="str">
        <f>"Monster.Name."&amp;VLOOKUP($C208,'#Data'!$B$2:$J$344,2,FALSE)</f>
        <v>Monster.Name.solid_turretmk1_2</v>
      </c>
      <c r="E208" s="51" t="s">
        <v>43</v>
      </c>
      <c r="F208" s="52" t="s">
        <v>44</v>
      </c>
      <c r="G208" s="51" t="s">
        <v>45</v>
      </c>
      <c r="H208" s="51" t="b">
        <f>IF(OR(VLOOKUP($C208,'#Data'!$B$2:$J$344,4,FALSE)="보스",VLOOKUP($C208,'#Data'!$B$2:$J$344,4,FALSE)="중간"),TRUE,FALSE)</f>
        <v>0</v>
      </c>
      <c r="I208" s="51" t="b">
        <f>IF(OR(VLOOKUP($C208,'#Data'!$B$2:$J$344,4,FALSE)="보스",VLOOKUP($C208,'#Data'!$B$2:$J$344,4,FALSE)="중간"),TRUE,FALSE)</f>
        <v>0</v>
      </c>
      <c r="J208" s="51">
        <v>10</v>
      </c>
      <c r="K208" s="51">
        <f t="shared" si="1"/>
        <v>10</v>
      </c>
      <c r="L208" s="61" t="s">
        <v>1181</v>
      </c>
      <c r="M208" s="61"/>
      <c r="N208" s="61"/>
      <c r="O208" s="132" t="s">
        <v>1990</v>
      </c>
      <c r="P208" s="132"/>
      <c r="Q208" s="132"/>
      <c r="R208" s="62"/>
      <c r="S208" s="62"/>
      <c r="T208" s="62"/>
      <c r="U208" s="62"/>
      <c r="V208" s="51" t="b">
        <v>0</v>
      </c>
      <c r="W208" s="51" t="str">
        <f>"Character/Prefabs/"&amp;VLOOKUP($C208,'#Data'!$B$3:$I$344,8,FALSE)</f>
        <v>Character/Prefabs/m_s_attacker_solid_turretmk1_2</v>
      </c>
      <c r="X208" s="51"/>
      <c r="Y208" s="51" t="str">
        <f>VLOOKUP($C208,'#Data'!$B$3:$I$344,8,FALSE)</f>
        <v>m_s_attacker_solid_turretmk1_2</v>
      </c>
      <c r="Z208" s="51"/>
      <c r="AA208" s="51"/>
      <c r="AB208" s="51"/>
      <c r="AC208" s="86">
        <v>0.7</v>
      </c>
      <c r="AD208" s="51"/>
      <c r="AE208" s="51"/>
      <c r="AF208" s="51"/>
      <c r="AG208" s="51" t="s">
        <v>2093</v>
      </c>
      <c r="AH208" s="85"/>
    </row>
    <row r="209" spans="1:34" x14ac:dyDescent="0.3">
      <c r="A209" s="51">
        <f t="shared" si="0"/>
        <v>1210201111</v>
      </c>
      <c r="B209" s="51" t="s">
        <v>41</v>
      </c>
      <c r="C209" s="51" t="s">
        <v>67</v>
      </c>
      <c r="D209" s="51" t="str">
        <f>"Monster.Name."&amp;VLOOKUP($C209,'#Data'!$B$2:$J$344,2,FALSE)</f>
        <v>Monster.Name.spider_turret_prototype_2</v>
      </c>
      <c r="E209" s="51" t="s">
        <v>47</v>
      </c>
      <c r="F209" s="52" t="s">
        <v>44</v>
      </c>
      <c r="G209" s="51" t="s">
        <v>45</v>
      </c>
      <c r="H209" s="51" t="b">
        <f>IF(OR(VLOOKUP($C209,'#Data'!$B$2:$J$344,4,FALSE)="보스",VLOOKUP($C209,'#Data'!$B$2:$J$344,4,FALSE)="중간"),TRUE,FALSE)</f>
        <v>0</v>
      </c>
      <c r="I209" s="51" t="b">
        <f>IF(OR(VLOOKUP($C209,'#Data'!$B$2:$J$344,4,FALSE)="보스",VLOOKUP($C209,'#Data'!$B$2:$J$344,4,FALSE)="중간"),TRUE,FALSE)</f>
        <v>0</v>
      </c>
      <c r="J209" s="51">
        <v>10</v>
      </c>
      <c r="K209" s="51">
        <f t="shared" si="1"/>
        <v>30</v>
      </c>
      <c r="L209" s="61" t="s">
        <v>1182</v>
      </c>
      <c r="M209" s="61"/>
      <c r="N209" s="61"/>
      <c r="O209" s="132" t="s">
        <v>1991</v>
      </c>
      <c r="P209" s="132"/>
      <c r="Q209" s="132"/>
      <c r="R209" s="62"/>
      <c r="S209" s="62"/>
      <c r="T209" s="62"/>
      <c r="U209" s="62"/>
      <c r="V209" s="51" t="b">
        <v>0</v>
      </c>
      <c r="W209" s="51" t="str">
        <f>"Character/Prefabs/"&amp;VLOOKUP($C209,'#Data'!$B$3:$I$344,8,FALSE)</f>
        <v>Character/Prefabs/m_s_ranger_spider_turret_prototype_2</v>
      </c>
      <c r="X209" s="51"/>
      <c r="Y209" s="51" t="str">
        <f>VLOOKUP($C209,'#Data'!$B$3:$I$344,8,FALSE)</f>
        <v>m_s_ranger_spider_turret_prototype_2</v>
      </c>
      <c r="Z209" s="51"/>
      <c r="AA209" s="51"/>
      <c r="AB209" s="51"/>
      <c r="AC209" s="86">
        <v>0.6</v>
      </c>
      <c r="AD209" s="51"/>
      <c r="AE209" s="51"/>
      <c r="AF209" s="51"/>
      <c r="AG209" s="51" t="s">
        <v>2093</v>
      </c>
      <c r="AH209" s="85"/>
    </row>
    <row r="210" spans="1:34" x14ac:dyDescent="0.3">
      <c r="A210" s="51">
        <f t="shared" si="0"/>
        <v>1210201112</v>
      </c>
      <c r="B210" s="51" t="s">
        <v>41</v>
      </c>
      <c r="C210" s="51" t="s">
        <v>68</v>
      </c>
      <c r="D210" s="51" t="str">
        <f>"Monster.Name."&amp;VLOOKUP($C210,'#Data'!$B$2:$J$344,2,FALSE)</f>
        <v>Monster.Name.electric_drone_2</v>
      </c>
      <c r="E210" s="51" t="s">
        <v>43</v>
      </c>
      <c r="F210" s="52" t="s">
        <v>44</v>
      </c>
      <c r="G210" s="51" t="s">
        <v>45</v>
      </c>
      <c r="H210" s="51" t="b">
        <f>IF(OR(VLOOKUP($C210,'#Data'!$B$2:$J$344,4,FALSE)="보스",VLOOKUP($C210,'#Data'!$B$2:$J$344,4,FALSE)="중간"),TRUE,FALSE)</f>
        <v>0</v>
      </c>
      <c r="I210" s="51" t="b">
        <f>IF(OR(VLOOKUP($C210,'#Data'!$B$2:$J$344,4,FALSE)="보스",VLOOKUP($C210,'#Data'!$B$2:$J$344,4,FALSE)="중간"),TRUE,FALSE)</f>
        <v>0</v>
      </c>
      <c r="J210" s="51">
        <v>10</v>
      </c>
      <c r="K210" s="51">
        <f t="shared" si="1"/>
        <v>10</v>
      </c>
      <c r="L210" s="61" t="s">
        <v>1183</v>
      </c>
      <c r="M210" s="61"/>
      <c r="N210" s="61"/>
      <c r="O210" s="132" t="s">
        <v>1992</v>
      </c>
      <c r="P210" s="132"/>
      <c r="Q210" s="132"/>
      <c r="R210" s="62"/>
      <c r="S210" s="62"/>
      <c r="T210" s="62"/>
      <c r="U210" s="62"/>
      <c r="V210" s="51" t="b">
        <v>0</v>
      </c>
      <c r="W210" s="103" t="s">
        <v>1197</v>
      </c>
      <c r="X210" s="51"/>
      <c r="Y210" s="104" t="s">
        <v>1199</v>
      </c>
      <c r="Z210" s="51"/>
      <c r="AA210" s="51"/>
      <c r="AB210" s="51"/>
      <c r="AC210" s="86">
        <v>0.7</v>
      </c>
      <c r="AD210" s="51"/>
      <c r="AE210" s="51"/>
      <c r="AF210" s="51"/>
      <c r="AG210" s="51" t="s">
        <v>2093</v>
      </c>
      <c r="AH210" s="85"/>
    </row>
    <row r="211" spans="1:34" x14ac:dyDescent="0.3">
      <c r="A211" s="51">
        <f t="shared" si="0"/>
        <v>1210201113</v>
      </c>
      <c r="B211" s="51" t="s">
        <v>41</v>
      </c>
      <c r="C211" s="51" t="s">
        <v>69</v>
      </c>
      <c r="D211" s="51" t="str">
        <f>"Monster.Name."&amp;VLOOKUP($C211,'#Data'!$B$2:$J$344,2,FALSE)</f>
        <v>Monster.Name.jamming_drone_2</v>
      </c>
      <c r="E211" s="51" t="s">
        <v>47</v>
      </c>
      <c r="F211" s="52" t="s">
        <v>44</v>
      </c>
      <c r="G211" s="51" t="s">
        <v>45</v>
      </c>
      <c r="H211" s="51" t="b">
        <f>IF(OR(VLOOKUP($C211,'#Data'!$B$2:$J$344,4,FALSE)="보스",VLOOKUP($C211,'#Data'!$B$2:$J$344,4,FALSE)="중간"),TRUE,FALSE)</f>
        <v>0</v>
      </c>
      <c r="I211" s="51" t="b">
        <f>IF(OR(VLOOKUP($C211,'#Data'!$B$2:$J$344,4,FALSE)="보스",VLOOKUP($C211,'#Data'!$B$2:$J$344,4,FALSE)="중간"),TRUE,FALSE)</f>
        <v>0</v>
      </c>
      <c r="J211" s="51">
        <v>10</v>
      </c>
      <c r="K211" s="51">
        <f t="shared" si="1"/>
        <v>10</v>
      </c>
      <c r="L211" s="61" t="s">
        <v>1184</v>
      </c>
      <c r="M211" s="61"/>
      <c r="N211" s="61"/>
      <c r="O211" s="132" t="s">
        <v>1993</v>
      </c>
      <c r="P211" s="132"/>
      <c r="Q211" s="132"/>
      <c r="R211" s="62"/>
      <c r="S211" s="62"/>
      <c r="T211" s="62"/>
      <c r="U211" s="62"/>
      <c r="V211" s="51" t="b">
        <v>0</v>
      </c>
      <c r="W211" s="104" t="s">
        <v>1198</v>
      </c>
      <c r="X211" s="51"/>
      <c r="Y211" s="104" t="s">
        <v>1200</v>
      </c>
      <c r="Z211" s="51"/>
      <c r="AA211" s="51"/>
      <c r="AB211" s="51"/>
      <c r="AC211" s="86">
        <v>0.6</v>
      </c>
      <c r="AD211" s="51"/>
      <c r="AE211" s="51"/>
      <c r="AF211" s="51"/>
      <c r="AG211" s="51" t="s">
        <v>2093</v>
      </c>
      <c r="AH211" s="85"/>
    </row>
    <row r="212" spans="1:34" x14ac:dyDescent="0.3">
      <c r="A212" s="51">
        <f t="shared" si="0"/>
        <v>1210201114</v>
      </c>
      <c r="B212" s="51" t="s">
        <v>41</v>
      </c>
      <c r="C212" s="51" t="s">
        <v>70</v>
      </c>
      <c r="D212" s="51" t="str">
        <f>"Monster.Name."&amp;VLOOKUP($C212,'#Data'!$B$2:$J$344,2,FALSE)</f>
        <v>Monster.Name.trooper_sniper_2</v>
      </c>
      <c r="E212" s="51" t="s">
        <v>47</v>
      </c>
      <c r="F212" s="52" t="s">
        <v>44</v>
      </c>
      <c r="G212" s="51" t="s">
        <v>45</v>
      </c>
      <c r="H212" s="51" t="b">
        <f>IF(OR(VLOOKUP($C212,'#Data'!$B$2:$J$344,4,FALSE)="보스",VLOOKUP($C212,'#Data'!$B$2:$J$344,4,FALSE)="중간"),TRUE,FALSE)</f>
        <v>0</v>
      </c>
      <c r="I212" s="51" t="b">
        <f>IF(OR(VLOOKUP($C212,'#Data'!$B$2:$J$344,4,FALSE)="보스",VLOOKUP($C212,'#Data'!$B$2:$J$344,4,FALSE)="중간"),TRUE,FALSE)</f>
        <v>0</v>
      </c>
      <c r="J212" s="51">
        <v>10</v>
      </c>
      <c r="K212" s="51">
        <f t="shared" si="1"/>
        <v>10</v>
      </c>
      <c r="L212" s="61" t="s">
        <v>1185</v>
      </c>
      <c r="M212" s="61"/>
      <c r="N212" s="61"/>
      <c r="O212" s="132" t="s">
        <v>1186</v>
      </c>
      <c r="P212" s="132" t="s">
        <v>1994</v>
      </c>
      <c r="Q212" s="132"/>
      <c r="R212" s="62"/>
      <c r="S212" s="62"/>
      <c r="T212" s="62"/>
      <c r="U212" s="62"/>
      <c r="V212" s="51" t="b">
        <v>0</v>
      </c>
      <c r="W212" s="51" t="str">
        <f>"Character/Prefabs/"&amp;VLOOKUP($C212,'#Data'!$B$3:$I$344,8,FALSE)</f>
        <v>Character/Prefabs/m_m_ranger_trooper_sniper_2</v>
      </c>
      <c r="X212" s="51"/>
      <c r="Y212" s="51" t="str">
        <f>VLOOKUP($C212,'#Data'!$B$3:$I$344,8,FALSE)</f>
        <v>m_m_ranger_trooper_sniper_2</v>
      </c>
      <c r="Z212" s="51"/>
      <c r="AA212" s="51"/>
      <c r="AB212" s="51"/>
      <c r="AC212" s="86">
        <v>0.8</v>
      </c>
      <c r="AD212" s="51"/>
      <c r="AE212" s="51"/>
      <c r="AF212" s="51"/>
      <c r="AG212" s="51" t="s">
        <v>2093</v>
      </c>
      <c r="AH212" s="85"/>
    </row>
    <row r="213" spans="1:34" x14ac:dyDescent="0.3">
      <c r="A213" s="51">
        <f t="shared" si="0"/>
        <v>1210201115</v>
      </c>
      <c r="B213" s="51" t="s">
        <v>41</v>
      </c>
      <c r="C213" s="51" t="s">
        <v>71</v>
      </c>
      <c r="D213" s="51" t="str">
        <f>"Monster.Name."&amp;VLOOKUP($C213,'#Data'!$B$2:$J$344,2,FALSE)</f>
        <v>Monster.Name.trooper_guard_2</v>
      </c>
      <c r="E213" s="51" t="s">
        <v>58</v>
      </c>
      <c r="F213" s="52" t="s">
        <v>44</v>
      </c>
      <c r="G213" s="51" t="s">
        <v>45</v>
      </c>
      <c r="H213" s="51" t="b">
        <f>IF(OR(VLOOKUP($C213,'#Data'!$B$2:$J$344,4,FALSE)="보스",VLOOKUP($C213,'#Data'!$B$2:$J$344,4,FALSE)="중간"),TRUE,FALSE)</f>
        <v>0</v>
      </c>
      <c r="I213" s="51" t="b">
        <f>IF(OR(VLOOKUP($C213,'#Data'!$B$2:$J$344,4,FALSE)="보스",VLOOKUP($C213,'#Data'!$B$2:$J$344,4,FALSE)="중간"),TRUE,FALSE)</f>
        <v>0</v>
      </c>
      <c r="J213" s="51">
        <v>10</v>
      </c>
      <c r="K213" s="51">
        <f t="shared" si="1"/>
        <v>10</v>
      </c>
      <c r="L213" s="61" t="s">
        <v>1187</v>
      </c>
      <c r="M213" s="61"/>
      <c r="N213" s="61"/>
      <c r="O213" s="132" t="s">
        <v>1188</v>
      </c>
      <c r="P213" s="132" t="s">
        <v>1995</v>
      </c>
      <c r="Q213" s="132"/>
      <c r="R213" s="62"/>
      <c r="S213" s="62"/>
      <c r="T213" s="62"/>
      <c r="U213" s="62"/>
      <c r="V213" s="51" t="b">
        <v>0</v>
      </c>
      <c r="W213" s="51" t="str">
        <f>"Character/Prefabs/"&amp;VLOOKUP($C213,'#Data'!$B$3:$I$344,8,FALSE)</f>
        <v>Character/Prefabs/m_m_tanker_trooper_guard_2</v>
      </c>
      <c r="X213" s="51"/>
      <c r="Y213" s="51" t="str">
        <f>VLOOKUP($C213,'#Data'!$B$3:$I$344,8,FALSE)</f>
        <v>m_m_tanker_trooper_guard_2</v>
      </c>
      <c r="Z213" s="51"/>
      <c r="AA213" s="51"/>
      <c r="AB213" s="51"/>
      <c r="AC213" s="86">
        <v>0.8</v>
      </c>
      <c r="AD213" s="51"/>
      <c r="AE213" s="51"/>
      <c r="AF213" s="51"/>
      <c r="AG213" s="51" t="s">
        <v>2093</v>
      </c>
      <c r="AH213" s="85"/>
    </row>
    <row r="214" spans="1:34" x14ac:dyDescent="0.3">
      <c r="A214" s="51">
        <f t="shared" si="0"/>
        <v>1210201116</v>
      </c>
      <c r="B214" s="51" t="s">
        <v>41</v>
      </c>
      <c r="C214" s="51" t="s">
        <v>72</v>
      </c>
      <c r="D214" s="51" t="str">
        <f>"Monster.Name."&amp;VLOOKUP($C214,'#Data'!$B$2:$J$344,2,FALSE)</f>
        <v>Monster.Name.trooper_champion_2</v>
      </c>
      <c r="E214" s="51" t="s">
        <v>43</v>
      </c>
      <c r="F214" s="52" t="s">
        <v>44</v>
      </c>
      <c r="G214" s="51" t="s">
        <v>45</v>
      </c>
      <c r="H214" s="51" t="b">
        <f>IF(OR(VLOOKUP($C214,'#Data'!$B$2:$J$344,4,FALSE)="보스",VLOOKUP($C214,'#Data'!$B$2:$J$344,4,FALSE)="중간"),TRUE,FALSE)</f>
        <v>0</v>
      </c>
      <c r="I214" s="51" t="b">
        <f>IF(OR(VLOOKUP($C214,'#Data'!$B$2:$J$344,4,FALSE)="보스",VLOOKUP($C214,'#Data'!$B$2:$J$344,4,FALSE)="중간"),TRUE,FALSE)</f>
        <v>0</v>
      </c>
      <c r="J214" s="51">
        <v>10</v>
      </c>
      <c r="K214" s="51">
        <f t="shared" si="1"/>
        <v>10</v>
      </c>
      <c r="L214" s="61" t="s">
        <v>1189</v>
      </c>
      <c r="M214" s="61"/>
      <c r="N214" s="61"/>
      <c r="O214" s="132" t="s">
        <v>1190</v>
      </c>
      <c r="P214" s="132" t="s">
        <v>1996</v>
      </c>
      <c r="Q214" s="132"/>
      <c r="R214" s="62"/>
      <c r="S214" s="62"/>
      <c r="T214" s="62"/>
      <c r="U214" s="62"/>
      <c r="V214" s="51" t="b">
        <v>0</v>
      </c>
      <c r="W214" s="51" t="str">
        <f>"Character/Prefabs/"&amp;VLOOKUP($C214,'#Data'!$B$3:$I$344,8,FALSE)</f>
        <v>Character/Prefabs/m_m_attacker_trooper_champion_2</v>
      </c>
      <c r="X214" s="51"/>
      <c r="Y214" s="51" t="str">
        <f>VLOOKUP($C214,'#Data'!$B$3:$I$344,8,FALSE)</f>
        <v>m_m_attacker_trooper_champion_2</v>
      </c>
      <c r="Z214" s="51"/>
      <c r="AA214" s="51"/>
      <c r="AB214" s="51"/>
      <c r="AC214" s="86">
        <v>0.8</v>
      </c>
      <c r="AD214" s="51"/>
      <c r="AE214" s="51"/>
      <c r="AF214" s="51"/>
      <c r="AG214" s="51" t="s">
        <v>2093</v>
      </c>
      <c r="AH214" s="85"/>
    </row>
    <row r="215" spans="1:34" x14ac:dyDescent="0.3">
      <c r="A215" s="51">
        <f t="shared" si="0"/>
        <v>1210201117</v>
      </c>
      <c r="B215" s="51" t="s">
        <v>41</v>
      </c>
      <c r="C215" s="51" t="s">
        <v>73</v>
      </c>
      <c r="D215" s="51" t="str">
        <f>"Monster.Name."&amp;VLOOKUP($C215,'#Data'!$B$2:$J$344,2,FALSE)</f>
        <v>Monster.Name.trooper_demolisher_2</v>
      </c>
      <c r="E215" s="51" t="s">
        <v>47</v>
      </c>
      <c r="F215" s="52" t="s">
        <v>44</v>
      </c>
      <c r="G215" s="51" t="s">
        <v>45</v>
      </c>
      <c r="H215" s="51" t="b">
        <f>IF(OR(VLOOKUP($C215,'#Data'!$B$2:$J$344,4,FALSE)="보스",VLOOKUP($C215,'#Data'!$B$2:$J$344,4,FALSE)="중간"),TRUE,FALSE)</f>
        <v>0</v>
      </c>
      <c r="I215" s="51" t="b">
        <f>IF(OR(VLOOKUP($C215,'#Data'!$B$2:$J$344,4,FALSE)="보스",VLOOKUP($C215,'#Data'!$B$2:$J$344,4,FALSE)="중간"),TRUE,FALSE)</f>
        <v>0</v>
      </c>
      <c r="J215" s="51">
        <v>10</v>
      </c>
      <c r="K215" s="51">
        <f t="shared" si="1"/>
        <v>10</v>
      </c>
      <c r="L215" s="61" t="s">
        <v>1191</v>
      </c>
      <c r="M215" s="61"/>
      <c r="N215" s="61"/>
      <c r="O215" s="132" t="s">
        <v>1192</v>
      </c>
      <c r="P215" s="132" t="s">
        <v>1997</v>
      </c>
      <c r="Q215" s="132"/>
      <c r="R215" s="62"/>
      <c r="S215" s="62"/>
      <c r="T215" s="62"/>
      <c r="U215" s="62"/>
      <c r="V215" s="51" t="b">
        <v>0</v>
      </c>
      <c r="W215" s="51" t="str">
        <f>"Character/Prefabs/"&amp;VLOOKUP($C215,'#Data'!$B$3:$I$344,8,FALSE)</f>
        <v>Character/Prefabs/m_m_ranger_trooper_demolisher_2</v>
      </c>
      <c r="X215" s="51"/>
      <c r="Y215" s="51" t="str">
        <f>VLOOKUP($C215,'#Data'!$B$3:$I$344,8,FALSE)</f>
        <v>m_m_ranger_trooper_demolisher_2</v>
      </c>
      <c r="Z215" s="51"/>
      <c r="AA215" s="51"/>
      <c r="AB215" s="51"/>
      <c r="AC215" s="86">
        <v>0.8</v>
      </c>
      <c r="AD215" s="51"/>
      <c r="AE215" s="51"/>
      <c r="AF215" s="51"/>
      <c r="AG215" s="51" t="s">
        <v>2093</v>
      </c>
      <c r="AH215" s="85"/>
    </row>
    <row r="216" spans="1:34" x14ac:dyDescent="0.3">
      <c r="A216" s="51">
        <f t="shared" si="0"/>
        <v>1210201118</v>
      </c>
      <c r="B216" s="51" t="s">
        <v>41</v>
      </c>
      <c r="C216" s="51" t="s">
        <v>74</v>
      </c>
      <c r="D216" s="51" t="str">
        <f>"Monster.Name."&amp;VLOOKUP($C216,'#Data'!$B$2:$J$344,2,FALSE)</f>
        <v>Monster.Name.trooper_inferno_2</v>
      </c>
      <c r="E216" s="51" t="s">
        <v>43</v>
      </c>
      <c r="F216" s="52" t="s">
        <v>44</v>
      </c>
      <c r="G216" s="51" t="s">
        <v>45</v>
      </c>
      <c r="H216" s="51" t="b">
        <f>IF(OR(VLOOKUP($C216,'#Data'!$B$2:$J$344,4,FALSE)="보스",VLOOKUP($C216,'#Data'!$B$2:$J$344,4,FALSE)="중간"),TRUE,FALSE)</f>
        <v>0</v>
      </c>
      <c r="I216" s="51" t="b">
        <f>IF(OR(VLOOKUP($C216,'#Data'!$B$2:$J$344,4,FALSE)="보스",VLOOKUP($C216,'#Data'!$B$2:$J$344,4,FALSE)="중간"),TRUE,FALSE)</f>
        <v>0</v>
      </c>
      <c r="J216" s="51">
        <v>10</v>
      </c>
      <c r="K216" s="51">
        <f t="shared" si="1"/>
        <v>10</v>
      </c>
      <c r="L216" s="61" t="s">
        <v>1193</v>
      </c>
      <c r="M216" s="61"/>
      <c r="N216" s="61"/>
      <c r="O216" s="132" t="s">
        <v>1194</v>
      </c>
      <c r="P216" s="132" t="s">
        <v>1998</v>
      </c>
      <c r="Q216" s="132"/>
      <c r="R216" s="62"/>
      <c r="S216" s="62"/>
      <c r="T216" s="62"/>
      <c r="U216" s="62"/>
      <c r="V216" s="51" t="b">
        <v>0</v>
      </c>
      <c r="W216" s="51" t="str">
        <f>"Character/Prefabs/"&amp;VLOOKUP($C216,'#Data'!$B$3:$I$344,8,FALSE)</f>
        <v>Character/Prefabs/m_m_attacker_trooper_inferno_2</v>
      </c>
      <c r="X216" s="51"/>
      <c r="Y216" s="51" t="str">
        <f>VLOOKUP($C216,'#Data'!$B$3:$I$344,8,FALSE)</f>
        <v>m_m_attacker_trooper_inferno_2</v>
      </c>
      <c r="Z216" s="51"/>
      <c r="AA216" s="51"/>
      <c r="AB216" s="51"/>
      <c r="AC216" s="86">
        <v>0.8</v>
      </c>
      <c r="AD216" s="51"/>
      <c r="AE216" s="51"/>
      <c r="AF216" s="51"/>
      <c r="AG216" s="51" t="s">
        <v>2093</v>
      </c>
      <c r="AH216" s="85"/>
    </row>
    <row r="217" spans="1:34" x14ac:dyDescent="0.3">
      <c r="A217" s="37">
        <f t="shared" si="0"/>
        <v>1210201201</v>
      </c>
      <c r="B217" s="37" t="s">
        <v>41</v>
      </c>
      <c r="C217" s="37" t="s">
        <v>62</v>
      </c>
      <c r="D217" s="37" t="str">
        <f>"Monster.Name."&amp;VLOOKUP($C217,'#Data'!$B$2:$J$344,2,FALSE)</f>
        <v>Monster.Name.labmecha_launcher_1</v>
      </c>
      <c r="E217" s="37" t="s">
        <v>47</v>
      </c>
      <c r="F217" s="38" t="s">
        <v>44</v>
      </c>
      <c r="G217" s="37" t="s">
        <v>45</v>
      </c>
      <c r="H217" s="37" t="b">
        <f>IF(OR(VLOOKUP($C217,'#Data'!$B$2:$J$344,4,FALSE)="보스",VLOOKUP($C217,'#Data'!$B$2:$J$344,4,FALSE)="중간"),TRUE,FALSE)</f>
        <v>1</v>
      </c>
      <c r="I217" s="37" t="b">
        <f>IF(OR(VLOOKUP($C217,'#Data'!$B$2:$J$344,4,FALSE)="보스",VLOOKUP($C217,'#Data'!$B$2:$J$344,4,FALSE)="중간"),TRUE,FALSE)</f>
        <v>1</v>
      </c>
      <c r="J217" s="37">
        <v>10</v>
      </c>
      <c r="K217" s="37">
        <f t="shared" si="1"/>
        <v>10</v>
      </c>
      <c r="L217" s="59" t="str">
        <f>$B217&amp;"."&amp;VLOOKUP($C217,'#Data'!$B$2:$J$344,2,FALSE)&amp;".attack0"&amp;RIGHT(L$1,1)</f>
        <v>Sector01.labmecha_launcher_1.attack01</v>
      </c>
      <c r="M217" s="59"/>
      <c r="N217" s="59"/>
      <c r="O217" s="131" t="str">
        <f>$B217&amp;"."&amp;VLOOKUP($C217,'#Data'!$B$2:$J$344,2,FALSE)&amp;".skill0"&amp;RIGHT(O$1,1)</f>
        <v>Sector01.labmecha_launcher_1.skill01</v>
      </c>
      <c r="P217" s="131" t="str">
        <f>$B217&amp;"."&amp;VLOOKUP($C217,'#Data'!$B$2:$J$344,2,FALSE)&amp;".skill0"&amp;RIGHT(P$1,1)</f>
        <v>Sector01.labmecha_launcher_1.skill02</v>
      </c>
      <c r="Q217" s="131"/>
      <c r="R217" s="60"/>
      <c r="S217" s="60" t="s">
        <v>2075</v>
      </c>
      <c r="T217" s="60"/>
      <c r="U217" s="60"/>
      <c r="V217" s="37" t="b">
        <v>0</v>
      </c>
      <c r="W217" s="37" t="str">
        <f>"Character/Prefabs/"&amp;VLOOKUP($C217,'#Data'!$B$3:$I$344,8,FALSE)</f>
        <v>Character/Prefabs/m_m_ranger_labmecha_launcher_1</v>
      </c>
      <c r="X217" s="37"/>
      <c r="Y217" s="37" t="str">
        <f>VLOOKUP($C217,'#Data'!$B$3:$I$344,8,FALSE)</f>
        <v>m_m_ranger_labmecha_launcher_1</v>
      </c>
      <c r="Z217" s="37"/>
      <c r="AA217" s="37"/>
      <c r="AB217" s="37"/>
      <c r="AC217" s="84">
        <v>0.7</v>
      </c>
      <c r="AD217" s="37"/>
      <c r="AE217" s="37"/>
      <c r="AF217" s="37"/>
      <c r="AG217" s="37" t="s">
        <v>2093</v>
      </c>
      <c r="AH217" s="85"/>
    </row>
    <row r="218" spans="1:34" x14ac:dyDescent="0.3">
      <c r="A218" s="37">
        <f t="shared" si="0"/>
        <v>1210201202</v>
      </c>
      <c r="B218" s="37" t="s">
        <v>41</v>
      </c>
      <c r="C218" s="37" t="s">
        <v>63</v>
      </c>
      <c r="D218" s="37" t="str">
        <f>"Monster.Name."&amp;VLOOKUP($C218,'#Data'!$B$2:$J$344,2,FALSE)</f>
        <v>Monster.Name.harbor_crab_1</v>
      </c>
      <c r="E218" s="37" t="s">
        <v>58</v>
      </c>
      <c r="F218" s="38" t="s">
        <v>44</v>
      </c>
      <c r="G218" s="37" t="s">
        <v>45</v>
      </c>
      <c r="H218" s="37" t="b">
        <f>IF(OR(VLOOKUP($C218,'#Data'!$B$2:$J$344,4,FALSE)="보스",VLOOKUP($C218,'#Data'!$B$2:$J$344,4,FALSE)="중간"),TRUE,FALSE)</f>
        <v>1</v>
      </c>
      <c r="I218" s="37" t="b">
        <f>IF(OR(VLOOKUP($C218,'#Data'!$B$2:$J$344,4,FALSE)="보스",VLOOKUP($C218,'#Data'!$B$2:$J$344,4,FALSE)="중간"),TRUE,FALSE)</f>
        <v>1</v>
      </c>
      <c r="J218" s="37">
        <v>20</v>
      </c>
      <c r="K218" s="37">
        <f t="shared" si="1"/>
        <v>10</v>
      </c>
      <c r="L218" s="59" t="str">
        <f>$B218&amp;"."&amp;VLOOKUP($C218,'#Data'!$B$2:$J$344,2,FALSE)&amp;".attack0"&amp;RIGHT(L$1,1)</f>
        <v>Sector01.harbor_crab_1.attack01</v>
      </c>
      <c r="M218" s="59"/>
      <c r="N218" s="59"/>
      <c r="O218" s="131" t="str">
        <f>$B218&amp;"."&amp;VLOOKUP($C218,'#Data'!$B$2:$J$344,2,FALSE)&amp;".skill0"&amp;RIGHT(O$1,1)</f>
        <v>Sector01.harbor_crab_1.skill01</v>
      </c>
      <c r="P218" s="131" t="str">
        <f>$B218&amp;"."&amp;VLOOKUP($C218,'#Data'!$B$2:$J$344,2,FALSE)&amp;".skill0"&amp;RIGHT(P$1,1)</f>
        <v>Sector01.harbor_crab_1.skill02</v>
      </c>
      <c r="Q218" s="131" t="s">
        <v>64</v>
      </c>
      <c r="R218" s="60"/>
      <c r="S218" s="60" t="s">
        <v>2075</v>
      </c>
      <c r="T218" s="60"/>
      <c r="U218" s="60"/>
      <c r="V218" s="37" t="b">
        <v>0</v>
      </c>
      <c r="W218" s="37" t="str">
        <f>"Character/Prefabs/"&amp;VLOOKUP($C218,'#Data'!$B$3:$I$344,8,FALSE)</f>
        <v>Character/Prefabs/m_l_attacker_harbor_crab_1</v>
      </c>
      <c r="X218" s="37"/>
      <c r="Y218" s="37" t="str">
        <f>VLOOKUP($C218,'#Data'!$B$3:$I$344,8,FALSE)</f>
        <v>m_l_attacker_harbor_crab_1</v>
      </c>
      <c r="Z218" s="37"/>
      <c r="AA218" s="37"/>
      <c r="AB218" s="37"/>
      <c r="AC218" s="84">
        <v>1</v>
      </c>
      <c r="AD218" s="37"/>
      <c r="AE218" s="37"/>
      <c r="AF218" s="37"/>
      <c r="AG218" s="37" t="s">
        <v>2093</v>
      </c>
      <c r="AH218" s="85"/>
    </row>
    <row r="219" spans="1:34" x14ac:dyDescent="0.3">
      <c r="A219" s="37">
        <f t="shared" si="0"/>
        <v>1210201203</v>
      </c>
      <c r="B219" s="37" t="s">
        <v>41</v>
      </c>
      <c r="C219" s="37" t="s">
        <v>65</v>
      </c>
      <c r="D219" s="37" t="str">
        <f>"Monster.Name."&amp;VLOOKUP($C219,'#Data'!$B$2:$J$344,2,FALSE)</f>
        <v>Monster.Name.harbor_punch_1</v>
      </c>
      <c r="E219" s="37" t="s">
        <v>58</v>
      </c>
      <c r="F219" s="38" t="s">
        <v>44</v>
      </c>
      <c r="G219" s="37" t="s">
        <v>45</v>
      </c>
      <c r="H219" s="37" t="b">
        <f>IF(OR(VLOOKUP($C219,'#Data'!$B$2:$J$344,4,FALSE)="보스",VLOOKUP($C219,'#Data'!$B$2:$J$344,4,FALSE)="중간"),TRUE,FALSE)</f>
        <v>1</v>
      </c>
      <c r="I219" s="37" t="b">
        <f>IF(OR(VLOOKUP($C219,'#Data'!$B$2:$J$344,4,FALSE)="보스",VLOOKUP($C219,'#Data'!$B$2:$J$344,4,FALSE)="중간"),TRUE,FALSE)</f>
        <v>1</v>
      </c>
      <c r="J219" s="37">
        <v>20</v>
      </c>
      <c r="K219" s="37">
        <f t="shared" si="1"/>
        <v>10</v>
      </c>
      <c r="L219" s="59" t="str">
        <f>$B219&amp;"."&amp;VLOOKUP($C219,'#Data'!$B$2:$J$344,2,FALSE)&amp;".attack0"&amp;RIGHT(L$1,1)</f>
        <v>Sector01.harbor_punch_1.attack01</v>
      </c>
      <c r="M219" s="59"/>
      <c r="N219" s="59"/>
      <c r="O219" s="131" t="str">
        <f>$B219&amp;"."&amp;VLOOKUP($C219,'#Data'!$B$2:$J$344,2,FALSE)&amp;".skill0"&amp;RIGHT(O$1,1)</f>
        <v>Sector01.harbor_punch_1.skill01</v>
      </c>
      <c r="P219" s="131" t="str">
        <f>$B219&amp;"."&amp;VLOOKUP($C219,'#Data'!$B$2:$J$344,2,FALSE)&amp;".skill0"&amp;RIGHT(P$1,1)</f>
        <v>Sector01.harbor_punch_1.skill02</v>
      </c>
      <c r="Q219" s="131"/>
      <c r="R219" s="60"/>
      <c r="S219" s="60" t="s">
        <v>2075</v>
      </c>
      <c r="T219" s="60"/>
      <c r="U219" s="60"/>
      <c r="V219" s="37" t="b">
        <v>0</v>
      </c>
      <c r="W219" s="37" t="str">
        <f>"Character/Prefabs/"&amp;VLOOKUP($C219,'#Data'!$B$3:$I$344,8,FALSE)</f>
        <v>Character/Prefabs/m_l_tanker_harbor_punch_1</v>
      </c>
      <c r="X219" s="37"/>
      <c r="Y219" s="37" t="str">
        <f>VLOOKUP($C219,'#Data'!$B$3:$I$344,8,FALSE)</f>
        <v>m_l_tanker_harbor_punch_1</v>
      </c>
      <c r="Z219" s="37"/>
      <c r="AA219" s="37"/>
      <c r="AB219" s="37"/>
      <c r="AC219" s="84">
        <v>1</v>
      </c>
      <c r="AD219" s="37"/>
      <c r="AE219" s="37"/>
      <c r="AF219" s="37"/>
      <c r="AG219" s="37" t="s">
        <v>2093</v>
      </c>
      <c r="AH219" s="85"/>
    </row>
    <row r="220" spans="1:34" x14ac:dyDescent="0.3">
      <c r="A220" s="108">
        <f t="shared" si="0"/>
        <v>1210201301</v>
      </c>
      <c r="B220" s="108" t="s">
        <v>82</v>
      </c>
      <c r="C220" s="108" t="s">
        <v>95</v>
      </c>
      <c r="D220" s="108" t="str">
        <f>"Monster.Name."&amp;VLOOKUP($C220,'#Data'!$B$2:$J$344,2,FALSE)</f>
        <v>Monster.Name.cassandra_1</v>
      </c>
      <c r="E220" s="108" t="s">
        <v>1833</v>
      </c>
      <c r="F220" s="109" t="s">
        <v>44</v>
      </c>
      <c r="G220" s="108" t="s">
        <v>45</v>
      </c>
      <c r="H220" s="108" t="b">
        <f>IF(OR(VLOOKUP($C220,'#Data'!$B$2:$J$344,4,FALSE)="보스",VLOOKUP($C220,'#Data'!$B$2:$J$344,4,FALSE)="중간"),TRUE,FALSE)</f>
        <v>1</v>
      </c>
      <c r="I220" s="108" t="b">
        <v>1</v>
      </c>
      <c r="J220" s="108">
        <v>30</v>
      </c>
      <c r="K220" s="108">
        <f t="shared" si="1"/>
        <v>10</v>
      </c>
      <c r="L220" s="113" t="str">
        <f>$B220&amp;"."&amp;VLOOKUP($C220,'#Data'!$B$2:$J$344,2,FALSE)&amp;".attack0"&amp;RIGHT(L$1,1)</f>
        <v>Sector02.cassandra_1.attack01</v>
      </c>
      <c r="M220" s="113"/>
      <c r="N220" s="113"/>
      <c r="O220" s="136" t="str">
        <f>$B220&amp;"."&amp;VLOOKUP($C220,'#Data'!$B$2:$J$344,2,FALSE)&amp;".skill0"&amp;RIGHT(O$1,1)</f>
        <v>Sector02.cassandra_1.skill01</v>
      </c>
      <c r="P220" s="136" t="str">
        <f>$B220&amp;"."&amp;VLOOKUP($C220,'#Data'!$B$2:$J$344,2,FALSE)&amp;".skill0"&amp;RIGHT(P$1,1)</f>
        <v>Sector02.cassandra_1.skill02</v>
      </c>
      <c r="Q220" s="136" t="s">
        <v>96</v>
      </c>
      <c r="R220" s="114"/>
      <c r="S220" s="114" t="s">
        <v>76</v>
      </c>
      <c r="T220" s="114"/>
      <c r="U220" s="114"/>
      <c r="V220" s="108" t="b">
        <v>0</v>
      </c>
      <c r="W220" s="108" t="str">
        <f>"Character/Prefabs/"&amp;VLOOKUP($C220,'#Data'!$B$3:$I$344,8,FALSE)</f>
        <v>Character/Prefabs/m_boss_ranger_cassandra_1</v>
      </c>
      <c r="X220" s="108"/>
      <c r="Y220" s="108" t="str">
        <f>VLOOKUP($C220,'#Data'!$B$3:$I$344,8,FALSE)</f>
        <v>m_boss_ranger_cassandra_1</v>
      </c>
      <c r="Z220" s="108"/>
      <c r="AA220" s="108"/>
      <c r="AB220" s="108"/>
      <c r="AC220" s="111">
        <v>0.9</v>
      </c>
      <c r="AD220" s="108"/>
      <c r="AE220" s="108" t="s">
        <v>99</v>
      </c>
      <c r="AF220" s="108" t="s">
        <v>100</v>
      </c>
      <c r="AG220" s="108" t="s">
        <v>2093</v>
      </c>
      <c r="AH220" s="85"/>
    </row>
    <row r="221" spans="1:34" x14ac:dyDescent="0.3">
      <c r="A221" s="108">
        <f t="shared" si="0"/>
        <v>1210201302</v>
      </c>
      <c r="B221" s="108" t="s">
        <v>82</v>
      </c>
      <c r="C221" s="108" t="s">
        <v>101</v>
      </c>
      <c r="D221" s="108" t="str">
        <f>"Monster.Name."&amp;VLOOKUP($C221,'#Data'!$B$2:$J$344,2,FALSE)</f>
        <v>Monster.Name.cassandra_2</v>
      </c>
      <c r="E221" s="108" t="s">
        <v>1833</v>
      </c>
      <c r="F221" s="109" t="s">
        <v>44</v>
      </c>
      <c r="G221" s="108" t="s">
        <v>45</v>
      </c>
      <c r="H221" s="108" t="b">
        <f>IF(OR(VLOOKUP($C221,'#Data'!$B$2:$J$344,4,FALSE)="보스",VLOOKUP($C221,'#Data'!$B$2:$J$344,4,FALSE)="중간"),TRUE,FALSE)</f>
        <v>1</v>
      </c>
      <c r="I221" s="108" t="b">
        <v>1</v>
      </c>
      <c r="J221" s="108">
        <v>30</v>
      </c>
      <c r="K221" s="108">
        <f t="shared" si="1"/>
        <v>10</v>
      </c>
      <c r="L221" s="113" t="str">
        <f>$B221&amp;"."&amp;VLOOKUP($C221,'#Data'!$B$2:$J$344,2,FALSE)&amp;".attack0"&amp;RIGHT(L$1,1)</f>
        <v>Sector02.cassandra_2.attack01</v>
      </c>
      <c r="M221" s="113"/>
      <c r="N221" s="113"/>
      <c r="O221" s="136" t="str">
        <f>$B221&amp;"."&amp;VLOOKUP($C221,'#Data'!$B$2:$J$344,2,FALSE)&amp;".skill0"&amp;RIGHT(O$1,1)</f>
        <v>Sector02.cassandra_2.skill01</v>
      </c>
      <c r="P221" s="136" t="str">
        <f>$B221&amp;"."&amp;VLOOKUP($C221,'#Data'!$B$2:$J$344,2,FALSE)&amp;".skill0"&amp;RIGHT(P$1,1)</f>
        <v>Sector02.cassandra_2.skill02</v>
      </c>
      <c r="Q221" s="136" t="str">
        <f>$B221&amp;"."&amp;VLOOKUP($C221,'#Data'!$B$2:$J$344,2,FALSE)&amp;".skill0"&amp;RIGHT(Q$1,1)</f>
        <v>Sector02.cassandra_2.skill03</v>
      </c>
      <c r="R221" s="114" t="s">
        <v>102</v>
      </c>
      <c r="S221" s="114" t="s">
        <v>76</v>
      </c>
      <c r="T221" s="114"/>
      <c r="U221" s="114"/>
      <c r="V221" s="108" t="b">
        <v>0</v>
      </c>
      <c r="W221" s="108" t="str">
        <f>"Character/Prefabs/"&amp;VLOOKUP($C221,'#Data'!$B$3:$I$344,8,FALSE)</f>
        <v>Character/Prefabs/m_boss_ranger_cassandra_2</v>
      </c>
      <c r="X221" s="108"/>
      <c r="Y221" s="108" t="str">
        <f>VLOOKUP($C221,'#Data'!$B$3:$I$344,8,FALSE)</f>
        <v>m_boss_ranger_cassandra_2</v>
      </c>
      <c r="Z221" s="108"/>
      <c r="AA221" s="108"/>
      <c r="AB221" s="108"/>
      <c r="AC221" s="111">
        <v>0.9</v>
      </c>
      <c r="AD221" s="108"/>
      <c r="AE221" s="108" t="s">
        <v>103</v>
      </c>
      <c r="AF221" s="108" t="s">
        <v>104</v>
      </c>
      <c r="AG221" s="108" t="s">
        <v>2093</v>
      </c>
      <c r="AH221" s="85"/>
    </row>
    <row r="222" spans="1:34" x14ac:dyDescent="0.3">
      <c r="A222" s="12">
        <f t="shared" si="0"/>
        <v>1210202101</v>
      </c>
      <c r="B222" s="12" t="s">
        <v>82</v>
      </c>
      <c r="C222" s="12" t="s">
        <v>83</v>
      </c>
      <c r="D222" s="12" t="str">
        <f>"Monster.Name."&amp;VLOOKUP($C222,'#Data'!$B$2:$J$344,2,FALSE)</f>
        <v>Monster.Name.turtle_mechamk3_3</v>
      </c>
      <c r="E222" s="12" t="s">
        <v>43</v>
      </c>
      <c r="F222" s="39" t="s">
        <v>44</v>
      </c>
      <c r="G222" s="12" t="s">
        <v>45</v>
      </c>
      <c r="H222" s="12" t="b">
        <f>IF(OR(VLOOKUP($C222,'#Data'!$B$2:$J$344,4,FALSE)="보스",VLOOKUP($C222,'#Data'!$B$2:$J$344,4,FALSE)="중간"),TRUE,FALSE)</f>
        <v>0</v>
      </c>
      <c r="I222" s="12" t="b">
        <f>IF(OR(VLOOKUP($C222,'#Data'!$B$2:$J$344,4,FALSE)="보스",VLOOKUP($C222,'#Data'!$B$2:$J$344,4,FALSE)="중간"),TRUE,FALSE)</f>
        <v>0</v>
      </c>
      <c r="J222" s="12">
        <v>10</v>
      </c>
      <c r="K222" s="12">
        <f t="shared" si="1"/>
        <v>10</v>
      </c>
      <c r="L222" s="63" t="str">
        <f>$B222&amp;"."&amp;VLOOKUP($C222,'#Data'!$B$2:$J$344,2,FALSE)&amp;".attack0"&amp;RIGHT(L$1,1)</f>
        <v>Sector02.turtle_mechamk3_3.attack01</v>
      </c>
      <c r="M222" s="63"/>
      <c r="N222" s="63"/>
      <c r="O222" s="134" t="s">
        <v>1999</v>
      </c>
      <c r="P222" s="134"/>
      <c r="Q222" s="134"/>
      <c r="R222" s="64"/>
      <c r="S222" s="64"/>
      <c r="T222" s="64"/>
      <c r="U222" s="64"/>
      <c r="V222" s="12" t="b">
        <v>0</v>
      </c>
      <c r="W222" s="12" t="str">
        <f>"Character/Prefabs/"&amp;VLOOKUP($C222,'#Data'!$B$3:$I$344,8,FALSE)</f>
        <v>Character/Prefabs/m_s_attacker_turtle_mechamk3_3</v>
      </c>
      <c r="X222" s="12"/>
      <c r="Y222" s="12" t="str">
        <f>VLOOKUP($C222,'#Data'!$B$3:$I$344,8,FALSE)</f>
        <v>m_s_attacker_turtle_mechamk3_3</v>
      </c>
      <c r="Z222" s="12"/>
      <c r="AA222" s="12"/>
      <c r="AB222" s="12"/>
      <c r="AC222" s="88">
        <v>0.7</v>
      </c>
      <c r="AD222" s="12"/>
      <c r="AE222" s="12"/>
      <c r="AF222" s="12"/>
      <c r="AG222" s="12" t="s">
        <v>2093</v>
      </c>
      <c r="AH222" s="85"/>
    </row>
    <row r="223" spans="1:34" x14ac:dyDescent="0.3">
      <c r="A223" s="12">
        <f t="shared" si="0"/>
        <v>1210202102</v>
      </c>
      <c r="B223" s="12" t="s">
        <v>82</v>
      </c>
      <c r="C223" s="12" t="s">
        <v>84</v>
      </c>
      <c r="D223" s="12" t="str">
        <f>"Monster.Name."&amp;VLOOKUP($C223,'#Data'!$B$2:$J$344,2,FALSE)</f>
        <v>Monster.Name.scorpion_turretmk2_3</v>
      </c>
      <c r="E223" s="12" t="s">
        <v>47</v>
      </c>
      <c r="F223" s="39" t="s">
        <v>44</v>
      </c>
      <c r="G223" s="12" t="s">
        <v>45</v>
      </c>
      <c r="H223" s="12" t="b">
        <f>IF(OR(VLOOKUP($C223,'#Data'!$B$2:$J$344,4,FALSE)="보스",VLOOKUP($C223,'#Data'!$B$2:$J$344,4,FALSE)="중간"),TRUE,FALSE)</f>
        <v>0</v>
      </c>
      <c r="I223" s="12" t="b">
        <f>IF(OR(VLOOKUP($C223,'#Data'!$B$2:$J$344,4,FALSE)="보스",VLOOKUP($C223,'#Data'!$B$2:$J$344,4,FALSE)="중간"),TRUE,FALSE)</f>
        <v>0</v>
      </c>
      <c r="J223" s="12">
        <v>10</v>
      </c>
      <c r="K223" s="12">
        <f t="shared" si="1"/>
        <v>10</v>
      </c>
      <c r="L223" s="63" t="str">
        <f>$B223&amp;"."&amp;VLOOKUP($C223,'#Data'!$B$2:$J$344,2,FALSE)&amp;".attack0"&amp;RIGHT(L$1,1)</f>
        <v>Sector02.scorpion_turretmk2_3.attack01</v>
      </c>
      <c r="M223" s="63"/>
      <c r="N223" s="63"/>
      <c r="O223" s="134" t="s">
        <v>2000</v>
      </c>
      <c r="P223" s="134"/>
      <c r="Q223" s="134"/>
      <c r="R223" s="64"/>
      <c r="S223" s="64"/>
      <c r="T223" s="64"/>
      <c r="U223" s="64"/>
      <c r="V223" s="12" t="b">
        <v>0</v>
      </c>
      <c r="W223" s="12" t="str">
        <f>"Character/Prefabs/"&amp;VLOOKUP($C223,'#Data'!$B$3:$I$344,8,FALSE)</f>
        <v>Character/Prefabs/m_s_ranger_scorpion_turretmk2_3</v>
      </c>
      <c r="X223" s="12"/>
      <c r="Y223" s="12" t="str">
        <f>VLOOKUP($C223,'#Data'!$B$3:$I$344,8,FALSE)</f>
        <v>m_s_ranger_scorpion_turretmk2_3</v>
      </c>
      <c r="Z223" s="12"/>
      <c r="AA223" s="12"/>
      <c r="AB223" s="12"/>
      <c r="AC223" s="88">
        <v>0.7</v>
      </c>
      <c r="AD223" s="12"/>
      <c r="AE223" s="12"/>
      <c r="AF223" s="12"/>
      <c r="AG223" s="12" t="s">
        <v>2093</v>
      </c>
      <c r="AH223" s="85"/>
    </row>
    <row r="224" spans="1:34" x14ac:dyDescent="0.3">
      <c r="A224" s="12">
        <f t="shared" si="0"/>
        <v>1210202103</v>
      </c>
      <c r="B224" s="12" t="s">
        <v>82</v>
      </c>
      <c r="C224" s="12" t="s">
        <v>85</v>
      </c>
      <c r="D224" s="12" t="str">
        <f>"Monster.Name."&amp;VLOOKUP($C224,'#Data'!$B$2:$J$344,2,FALSE)</f>
        <v>Monster.Name.rhino_mechamk3_3</v>
      </c>
      <c r="E224" s="12" t="s">
        <v>43</v>
      </c>
      <c r="F224" s="39" t="s">
        <v>44</v>
      </c>
      <c r="G224" s="12" t="s">
        <v>45</v>
      </c>
      <c r="H224" s="12" t="b">
        <f>IF(OR(VLOOKUP($C224,'#Data'!$B$2:$J$344,4,FALSE)="보스",VLOOKUP($C224,'#Data'!$B$2:$J$344,4,FALSE)="중간"),TRUE,FALSE)</f>
        <v>0</v>
      </c>
      <c r="I224" s="12" t="b">
        <f>IF(OR(VLOOKUP($C224,'#Data'!$B$2:$J$344,4,FALSE)="보스",VLOOKUP($C224,'#Data'!$B$2:$J$344,4,FALSE)="중간"),TRUE,FALSE)</f>
        <v>0</v>
      </c>
      <c r="J224" s="12">
        <v>10</v>
      </c>
      <c r="K224" s="12">
        <f t="shared" si="1"/>
        <v>10</v>
      </c>
      <c r="L224" s="63" t="str">
        <f>$B224&amp;"."&amp;VLOOKUP($C224,'#Data'!$B$2:$J$344,2,FALSE)&amp;".attack0"&amp;RIGHT(L$1,1)</f>
        <v>Sector02.rhino_mechamk3_3.attack01</v>
      </c>
      <c r="M224" s="63"/>
      <c r="N224" s="63"/>
      <c r="O224" s="134" t="s">
        <v>2001</v>
      </c>
      <c r="P224" s="134"/>
      <c r="Q224" s="134"/>
      <c r="R224" s="64"/>
      <c r="S224" s="64"/>
      <c r="T224" s="64"/>
      <c r="U224" s="64"/>
      <c r="V224" s="12" t="b">
        <v>0</v>
      </c>
      <c r="W224" s="12" t="str">
        <f>"Character/Prefabs/"&amp;VLOOKUP($C224,'#Data'!$B$3:$I$344,8,FALSE)</f>
        <v>Character/Prefabs/m_s_attacker_rhino_mechamk3_3</v>
      </c>
      <c r="X224" s="12"/>
      <c r="Y224" s="12" t="str">
        <f>VLOOKUP($C224,'#Data'!$B$3:$I$344,8,FALSE)</f>
        <v>m_s_attacker_rhino_mechamk3_3</v>
      </c>
      <c r="Z224" s="12"/>
      <c r="AA224" s="12"/>
      <c r="AB224" s="12"/>
      <c r="AC224" s="88">
        <v>0.7</v>
      </c>
      <c r="AD224" s="12"/>
      <c r="AE224" s="12"/>
      <c r="AF224" s="12"/>
      <c r="AG224" s="12" t="s">
        <v>2093</v>
      </c>
      <c r="AH224" s="85"/>
    </row>
    <row r="225" spans="1:34" x14ac:dyDescent="0.3">
      <c r="A225" s="12">
        <f t="shared" si="0"/>
        <v>1210202104</v>
      </c>
      <c r="B225" s="12" t="s">
        <v>82</v>
      </c>
      <c r="C225" s="12" t="s">
        <v>86</v>
      </c>
      <c r="D225" s="12" t="str">
        <f>"Monster.Name."&amp;VLOOKUP($C225,'#Data'!$B$2:$J$344,2,FALSE)</f>
        <v>Monster.Name.spider_turretmk2_3</v>
      </c>
      <c r="E225" s="12" t="s">
        <v>47</v>
      </c>
      <c r="F225" s="39" t="s">
        <v>44</v>
      </c>
      <c r="G225" s="12" t="s">
        <v>45</v>
      </c>
      <c r="H225" s="12" t="b">
        <f>IF(OR(VLOOKUP($C225,'#Data'!$B$2:$J$344,4,FALSE)="보스",VLOOKUP($C225,'#Data'!$B$2:$J$344,4,FALSE)="중간"),TRUE,FALSE)</f>
        <v>0</v>
      </c>
      <c r="I225" s="12" t="b">
        <f>IF(OR(VLOOKUP($C225,'#Data'!$B$2:$J$344,4,FALSE)="보스",VLOOKUP($C225,'#Data'!$B$2:$J$344,4,FALSE)="중간"),TRUE,FALSE)</f>
        <v>0</v>
      </c>
      <c r="J225" s="12">
        <v>10</v>
      </c>
      <c r="K225" s="12">
        <f t="shared" si="1"/>
        <v>10</v>
      </c>
      <c r="L225" s="63" t="str">
        <f>$B225&amp;"."&amp;VLOOKUP($C225,'#Data'!$B$2:$J$344,2,FALSE)&amp;".attack0"&amp;RIGHT(L$1,1)</f>
        <v>Sector02.spider_turretmk2_3.attack01</v>
      </c>
      <c r="M225" s="63"/>
      <c r="N225" s="63"/>
      <c r="O225" s="134" t="s">
        <v>2002</v>
      </c>
      <c r="P225" s="134"/>
      <c r="Q225" s="134"/>
      <c r="R225" s="64"/>
      <c r="S225" s="64"/>
      <c r="T225" s="64"/>
      <c r="U225" s="64"/>
      <c r="V225" s="12" t="b">
        <v>0</v>
      </c>
      <c r="W225" s="12" t="str">
        <f>"Character/Prefabs/"&amp;VLOOKUP($C225,'#Data'!$B$3:$I$344,8,FALSE)</f>
        <v>Character/Prefabs/m_s_ranger_spider_turretmk2_3</v>
      </c>
      <c r="X225" s="12"/>
      <c r="Y225" s="12" t="str">
        <f>VLOOKUP($C225,'#Data'!$B$3:$I$344,8,FALSE)</f>
        <v>m_s_ranger_spider_turretmk2_3</v>
      </c>
      <c r="Z225" s="12"/>
      <c r="AA225" s="12"/>
      <c r="AB225" s="12"/>
      <c r="AC225" s="88">
        <v>0.7</v>
      </c>
      <c r="AD225" s="12"/>
      <c r="AE225" s="12"/>
      <c r="AF225" s="12"/>
      <c r="AG225" s="12" t="s">
        <v>2093</v>
      </c>
      <c r="AH225" s="85"/>
    </row>
    <row r="226" spans="1:34" x14ac:dyDescent="0.3">
      <c r="A226" s="12">
        <f t="shared" si="0"/>
        <v>1210202105</v>
      </c>
      <c r="B226" s="12" t="s">
        <v>82</v>
      </c>
      <c r="C226" s="12" t="s">
        <v>87</v>
      </c>
      <c r="D226" s="12" t="str">
        <f>"Monster.Name."&amp;VLOOKUP($C226,'#Data'!$B$2:$J$344,2,FALSE)</f>
        <v>Monster.Name.hellfire_drone_3</v>
      </c>
      <c r="E226" s="12" t="s">
        <v>47</v>
      </c>
      <c r="F226" s="39" t="s">
        <v>44</v>
      </c>
      <c r="G226" s="12" t="s">
        <v>45</v>
      </c>
      <c r="H226" s="12" t="b">
        <f>IF(OR(VLOOKUP($C226,'#Data'!$B$2:$J$344,4,FALSE)="보스",VLOOKUP($C226,'#Data'!$B$2:$J$344,4,FALSE)="중간"),TRUE,FALSE)</f>
        <v>0</v>
      </c>
      <c r="I226" s="12" t="b">
        <f>IF(OR(VLOOKUP($C226,'#Data'!$B$2:$J$344,4,FALSE)="보스",VLOOKUP($C226,'#Data'!$B$2:$J$344,4,FALSE)="중간"),TRUE,FALSE)</f>
        <v>0</v>
      </c>
      <c r="J226" s="12">
        <v>10</v>
      </c>
      <c r="K226" s="12">
        <f t="shared" si="1"/>
        <v>10</v>
      </c>
      <c r="L226" s="63" t="str">
        <f>$B226&amp;"."&amp;VLOOKUP($C226,'#Data'!$B$2:$J$344,2,FALSE)&amp;".attack0"&amp;RIGHT(L$1,1)</f>
        <v>Sector02.hellfire_drone_3.attack01</v>
      </c>
      <c r="M226" s="63"/>
      <c r="N226" s="63"/>
      <c r="O226" s="134" t="str">
        <f>$B226&amp;"."&amp;VLOOKUP($C226,'#Data'!$B$2:$J$344,2,FALSE)&amp;".skill0"&amp;RIGHT(O$1,1)</f>
        <v>Sector02.hellfire_drone_3.skill01</v>
      </c>
      <c r="P226" s="134" t="s">
        <v>2003</v>
      </c>
      <c r="Q226" s="134"/>
      <c r="R226" s="64"/>
      <c r="S226" s="64"/>
      <c r="T226" s="64"/>
      <c r="U226" s="64"/>
      <c r="V226" s="12" t="b">
        <v>0</v>
      </c>
      <c r="W226" s="12" t="str">
        <f>"Character/Prefabs/"&amp;VLOOKUP($C226,'#Data'!$B$3:$I$344,8,FALSE)</f>
        <v>Character/Prefabs/m_s_ranger_hellfire_drone_3</v>
      </c>
      <c r="X226" s="12"/>
      <c r="Y226" s="12" t="str">
        <f>VLOOKUP($C226,'#Data'!$B$3:$I$344,8,FALSE)</f>
        <v>m_s_ranger_hellfire_drone_3</v>
      </c>
      <c r="Z226" s="12"/>
      <c r="AA226" s="12"/>
      <c r="AB226" s="12"/>
      <c r="AC226" s="88">
        <v>0.6</v>
      </c>
      <c r="AD226" s="12"/>
      <c r="AE226" s="12"/>
      <c r="AF226" s="12"/>
      <c r="AG226" s="12" t="s">
        <v>2093</v>
      </c>
      <c r="AH226" s="85"/>
    </row>
    <row r="227" spans="1:34" x14ac:dyDescent="0.3">
      <c r="A227" s="12">
        <f t="shared" si="0"/>
        <v>1210202106</v>
      </c>
      <c r="B227" s="12" t="s">
        <v>82</v>
      </c>
      <c r="C227" s="12" t="s">
        <v>88</v>
      </c>
      <c r="D227" s="12" t="str">
        <f>"Monster.Name."&amp;VLOOKUP($C227,'#Data'!$B$2:$J$344,2,FALSE)</f>
        <v>Monster.Name.silhouette_champion_3</v>
      </c>
      <c r="E227" s="12" t="s">
        <v>43</v>
      </c>
      <c r="F227" s="39" t="s">
        <v>44</v>
      </c>
      <c r="G227" s="12" t="s">
        <v>45</v>
      </c>
      <c r="H227" s="12" t="b">
        <f>IF(OR(VLOOKUP($C227,'#Data'!$B$2:$J$344,4,FALSE)="보스",VLOOKUP($C227,'#Data'!$B$2:$J$344,4,FALSE)="중간"),TRUE,FALSE)</f>
        <v>0</v>
      </c>
      <c r="I227" s="12" t="b">
        <f>IF(OR(VLOOKUP($C227,'#Data'!$B$2:$J$344,4,FALSE)="보스",VLOOKUP($C227,'#Data'!$B$2:$J$344,4,FALSE)="중간"),TRUE,FALSE)</f>
        <v>0</v>
      </c>
      <c r="J227" s="12">
        <v>10</v>
      </c>
      <c r="K227" s="12">
        <f t="shared" si="1"/>
        <v>10</v>
      </c>
      <c r="L227" s="63" t="str">
        <f>$B227&amp;"."&amp;VLOOKUP($C227,'#Data'!$B$2:$J$344,2,FALSE)&amp;".attack0"&amp;RIGHT(L$1,1)</f>
        <v>Sector02.silhouette_champion_3.attack01</v>
      </c>
      <c r="M227" s="63"/>
      <c r="N227" s="63"/>
      <c r="O227" s="134" t="str">
        <f>$B227&amp;"."&amp;VLOOKUP($C227,'#Data'!$B$2:$J$344,2,FALSE)&amp;".skill0"&amp;RIGHT(O$1,1)</f>
        <v>Sector02.silhouette_champion_3.skill01</v>
      </c>
      <c r="P227" s="134" t="s">
        <v>2004</v>
      </c>
      <c r="Q227" s="134"/>
      <c r="R227" s="64"/>
      <c r="S227" s="64"/>
      <c r="T227" s="64"/>
      <c r="U227" s="64"/>
      <c r="V227" s="12" t="b">
        <v>0</v>
      </c>
      <c r="W227" s="12" t="str">
        <f>"Character/Prefabs/"&amp;VLOOKUP($C227,'#Data'!$B$3:$I$344,8,FALSE)</f>
        <v>Character/Prefabs/m_m_attacker_silhouette_champion_3</v>
      </c>
      <c r="X227" s="12"/>
      <c r="Y227" s="12" t="str">
        <f>VLOOKUP($C227,'#Data'!$B$3:$I$344,8,FALSE)</f>
        <v>m_m_attacker_silhouette_champion_3</v>
      </c>
      <c r="Z227" s="12"/>
      <c r="AA227" s="12"/>
      <c r="AB227" s="12"/>
      <c r="AC227" s="88">
        <v>0.8</v>
      </c>
      <c r="AD227" s="12"/>
      <c r="AE227" s="12"/>
      <c r="AF227" s="12"/>
      <c r="AG227" s="12" t="s">
        <v>2093</v>
      </c>
      <c r="AH227" s="85"/>
    </row>
    <row r="228" spans="1:34" x14ac:dyDescent="0.3">
      <c r="A228" s="12">
        <f t="shared" si="0"/>
        <v>1210202107</v>
      </c>
      <c r="B228" s="12" t="s">
        <v>82</v>
      </c>
      <c r="C228" s="12" t="s">
        <v>89</v>
      </c>
      <c r="D228" s="12" t="str">
        <f>"Monster.Name."&amp;VLOOKUP($C228,'#Data'!$B$2:$J$344,2,FALSE)</f>
        <v>Monster.Name.silhouette_demolisher_3</v>
      </c>
      <c r="E228" s="12" t="s">
        <v>47</v>
      </c>
      <c r="F228" s="39" t="s">
        <v>44</v>
      </c>
      <c r="G228" s="12" t="s">
        <v>45</v>
      </c>
      <c r="H228" s="12" t="b">
        <f>IF(OR(VLOOKUP($C228,'#Data'!$B$2:$J$344,4,FALSE)="보스",VLOOKUP($C228,'#Data'!$B$2:$J$344,4,FALSE)="중간"),TRUE,FALSE)</f>
        <v>0</v>
      </c>
      <c r="I228" s="12" t="b">
        <f>IF(OR(VLOOKUP($C228,'#Data'!$B$2:$J$344,4,FALSE)="보스",VLOOKUP($C228,'#Data'!$B$2:$J$344,4,FALSE)="중간"),TRUE,FALSE)</f>
        <v>0</v>
      </c>
      <c r="J228" s="12">
        <v>10</v>
      </c>
      <c r="K228" s="12">
        <f t="shared" si="1"/>
        <v>10</v>
      </c>
      <c r="L228" s="63" t="str">
        <f>$B228&amp;"."&amp;VLOOKUP($C228,'#Data'!$B$2:$J$344,2,FALSE)&amp;".attack0"&amp;RIGHT(L$1,1)</f>
        <v>Sector02.silhouette_demolisher_3.attack01</v>
      </c>
      <c r="M228" s="63"/>
      <c r="N228" s="63"/>
      <c r="O228" s="134" t="str">
        <f>$B228&amp;"."&amp;VLOOKUP($C228,'#Data'!$B$2:$J$344,2,FALSE)&amp;".skill0"&amp;RIGHT(O$1,1)</f>
        <v>Sector02.silhouette_demolisher_3.skill01</v>
      </c>
      <c r="P228" s="134" t="s">
        <v>2005</v>
      </c>
      <c r="Q228" s="134"/>
      <c r="R228" s="64"/>
      <c r="S228" s="64"/>
      <c r="T228" s="64"/>
      <c r="U228" s="64"/>
      <c r="V228" s="12" t="b">
        <v>0</v>
      </c>
      <c r="W228" s="12" t="str">
        <f>"Character/Prefabs/"&amp;VLOOKUP($C228,'#Data'!$B$3:$I$344,8,FALSE)</f>
        <v>Character/Prefabs/m_m_ranger_silhouette_demolisher_3</v>
      </c>
      <c r="X228" s="12"/>
      <c r="Y228" s="12" t="str">
        <f>VLOOKUP($C228,'#Data'!$B$3:$I$344,8,FALSE)</f>
        <v>m_m_ranger_silhouette_demolisher_3</v>
      </c>
      <c r="Z228" s="12"/>
      <c r="AA228" s="12"/>
      <c r="AB228" s="12"/>
      <c r="AC228" s="88">
        <v>0.8</v>
      </c>
      <c r="AD228" s="12"/>
      <c r="AE228" s="12"/>
      <c r="AF228" s="12"/>
      <c r="AG228" s="12" t="s">
        <v>2093</v>
      </c>
      <c r="AH228" s="85"/>
    </row>
    <row r="229" spans="1:34" x14ac:dyDescent="0.3">
      <c r="A229" s="12">
        <f t="shared" si="0"/>
        <v>1210202108</v>
      </c>
      <c r="B229" s="12" t="s">
        <v>82</v>
      </c>
      <c r="C229" s="12" t="s">
        <v>90</v>
      </c>
      <c r="D229" s="12" t="str">
        <f>"Monster.Name."&amp;VLOOKUP($C229,'#Data'!$B$2:$J$344,2,FALSE)</f>
        <v>Monster.Name.silhouette_guard_3</v>
      </c>
      <c r="E229" s="12" t="s">
        <v>58</v>
      </c>
      <c r="F229" s="39" t="s">
        <v>44</v>
      </c>
      <c r="G229" s="12" t="s">
        <v>45</v>
      </c>
      <c r="H229" s="12" t="b">
        <f>IF(OR(VLOOKUP($C229,'#Data'!$B$2:$J$344,4,FALSE)="보스",VLOOKUP($C229,'#Data'!$B$2:$J$344,4,FALSE)="중간"),TRUE,FALSE)</f>
        <v>0</v>
      </c>
      <c r="I229" s="12" t="b">
        <f>IF(OR(VLOOKUP($C229,'#Data'!$B$2:$J$344,4,FALSE)="보스",VLOOKUP($C229,'#Data'!$B$2:$J$344,4,FALSE)="중간"),TRUE,FALSE)</f>
        <v>0</v>
      </c>
      <c r="J229" s="12">
        <v>10</v>
      </c>
      <c r="K229" s="12">
        <f t="shared" si="1"/>
        <v>10</v>
      </c>
      <c r="L229" s="63" t="str">
        <f>$B229&amp;"."&amp;VLOOKUP($C229,'#Data'!$B$2:$J$344,2,FALSE)&amp;".attack0"&amp;RIGHT(L$1,1)</f>
        <v>Sector02.silhouette_guard_3.attack01</v>
      </c>
      <c r="M229" s="63"/>
      <c r="N229" s="63"/>
      <c r="O229" s="134" t="str">
        <f>$B229&amp;"."&amp;VLOOKUP($C229,'#Data'!$B$2:$J$344,2,FALSE)&amp;".skill0"&amp;RIGHT(O$1,1)</f>
        <v>Sector02.silhouette_guard_3.skill01</v>
      </c>
      <c r="P229" s="134" t="s">
        <v>2006</v>
      </c>
      <c r="Q229" s="134"/>
      <c r="R229" s="64"/>
      <c r="S229" s="64"/>
      <c r="T229" s="64"/>
      <c r="U229" s="64"/>
      <c r="V229" s="12" t="b">
        <v>0</v>
      </c>
      <c r="W229" s="12" t="str">
        <f>"Character/Prefabs/"&amp;VLOOKUP($C229,'#Data'!$B$3:$I$344,8,FALSE)</f>
        <v>Character/Prefabs/m_m_tanker_silhouette_guard_3</v>
      </c>
      <c r="X229" s="12"/>
      <c r="Y229" s="12" t="str">
        <f>VLOOKUP($C229,'#Data'!$B$3:$I$344,8,FALSE)</f>
        <v>m_m_tanker_silhouette_guard_3</v>
      </c>
      <c r="Z229" s="12"/>
      <c r="AA229" s="12"/>
      <c r="AB229" s="12"/>
      <c r="AC229" s="88">
        <v>0.8</v>
      </c>
      <c r="AD229" s="12"/>
      <c r="AE229" s="12"/>
      <c r="AF229" s="12"/>
      <c r="AG229" s="12" t="s">
        <v>2093</v>
      </c>
      <c r="AH229" s="85"/>
    </row>
    <row r="230" spans="1:34" x14ac:dyDescent="0.3">
      <c r="A230" s="12">
        <f t="shared" si="0"/>
        <v>1210202109</v>
      </c>
      <c r="B230" s="12" t="s">
        <v>82</v>
      </c>
      <c r="C230" s="12" t="s">
        <v>91</v>
      </c>
      <c r="D230" s="12" t="str">
        <f>"Monster.Name."&amp;VLOOKUP($C230,'#Data'!$B$2:$J$344,2,FALSE)</f>
        <v>Monster.Name.silhouette_inferno_3</v>
      </c>
      <c r="E230" s="12" t="s">
        <v>43</v>
      </c>
      <c r="F230" s="39" t="s">
        <v>44</v>
      </c>
      <c r="G230" s="12" t="s">
        <v>45</v>
      </c>
      <c r="H230" s="12" t="b">
        <f>IF(OR(VLOOKUP($C230,'#Data'!$B$2:$J$344,4,FALSE)="보스",VLOOKUP($C230,'#Data'!$B$2:$J$344,4,FALSE)="중간"),TRUE,FALSE)</f>
        <v>0</v>
      </c>
      <c r="I230" s="12" t="b">
        <f>IF(OR(VLOOKUP($C230,'#Data'!$B$2:$J$344,4,FALSE)="보스",VLOOKUP($C230,'#Data'!$B$2:$J$344,4,FALSE)="중간"),TRUE,FALSE)</f>
        <v>0</v>
      </c>
      <c r="J230" s="12">
        <v>10</v>
      </c>
      <c r="K230" s="12">
        <f t="shared" si="1"/>
        <v>10</v>
      </c>
      <c r="L230" s="63" t="str">
        <f>$B230&amp;"."&amp;VLOOKUP($C230,'#Data'!$B$2:$J$344,2,FALSE)&amp;".attack0"&amp;RIGHT(L$1,1)</f>
        <v>Sector02.silhouette_inferno_3.attack01</v>
      </c>
      <c r="M230" s="63"/>
      <c r="N230" s="63"/>
      <c r="O230" s="134" t="str">
        <f>$B230&amp;"."&amp;VLOOKUP($C230,'#Data'!$B$2:$J$344,2,FALSE)&amp;".skill0"&amp;RIGHT(O$1,1)</f>
        <v>Sector02.silhouette_inferno_3.skill01</v>
      </c>
      <c r="P230" s="134" t="s">
        <v>2007</v>
      </c>
      <c r="Q230" s="134"/>
      <c r="R230" s="64"/>
      <c r="S230" s="64"/>
      <c r="T230" s="64"/>
      <c r="U230" s="64"/>
      <c r="V230" s="12" t="b">
        <v>0</v>
      </c>
      <c r="W230" s="12" t="str">
        <f>"Character/Prefabs/"&amp;VLOOKUP($C230,'#Data'!$B$3:$I$344,8,FALSE)</f>
        <v>Character/Prefabs/m_m_attacker_silhouette_inferno_3</v>
      </c>
      <c r="X230" s="12"/>
      <c r="Y230" s="12" t="str">
        <f>VLOOKUP($C230,'#Data'!$B$3:$I$344,8,FALSE)</f>
        <v>m_m_attacker_silhouette_inferno_3</v>
      </c>
      <c r="Z230" s="12"/>
      <c r="AA230" s="12"/>
      <c r="AB230" s="12"/>
      <c r="AC230" s="88">
        <v>0.8</v>
      </c>
      <c r="AD230" s="12"/>
      <c r="AE230" s="12"/>
      <c r="AF230" s="12"/>
      <c r="AG230" s="12" t="s">
        <v>2093</v>
      </c>
      <c r="AH230" s="85"/>
    </row>
    <row r="231" spans="1:34" x14ac:dyDescent="0.3">
      <c r="A231" s="49">
        <f t="shared" ref="A231:A262" si="2">A36+100000000</f>
        <v>1210202110</v>
      </c>
      <c r="B231" s="49" t="s">
        <v>82</v>
      </c>
      <c r="C231" s="49" t="s">
        <v>1218</v>
      </c>
      <c r="D231" s="49" t="str">
        <f>"Monster.Name."&amp;VLOOKUP($C231,'#Data'!$B$2:$J$344,2,FALSE)</f>
        <v>Monster.Name.turtle_mechamk3_4</v>
      </c>
      <c r="E231" s="49" t="s">
        <v>43</v>
      </c>
      <c r="F231" s="50" t="s">
        <v>44</v>
      </c>
      <c r="G231" s="49" t="s">
        <v>45</v>
      </c>
      <c r="H231" s="49" t="b">
        <f>IF(OR(VLOOKUP($C231,'#Data'!$B$2:$J$344,4,FALSE)="보스",VLOOKUP($C231,'#Data'!$B$2:$J$344,4,FALSE)="중간"),TRUE,FALSE)</f>
        <v>0</v>
      </c>
      <c r="I231" s="49" t="b">
        <f>IF(OR(VLOOKUP($C231,'#Data'!$B$2:$J$344,4,FALSE)="보스",VLOOKUP($C231,'#Data'!$B$2:$J$344,4,FALSE)="중간"),TRUE,FALSE)</f>
        <v>0</v>
      </c>
      <c r="J231" s="49">
        <v>10</v>
      </c>
      <c r="K231" s="49">
        <f t="shared" ref="K231:K262" si="3">K36</f>
        <v>10</v>
      </c>
      <c r="L231" s="65" t="s">
        <v>1318</v>
      </c>
      <c r="M231" s="65"/>
      <c r="N231" s="65"/>
      <c r="O231" s="135" t="s">
        <v>1999</v>
      </c>
      <c r="P231" s="135"/>
      <c r="Q231" s="135"/>
      <c r="R231" s="66"/>
      <c r="S231" s="66"/>
      <c r="T231" s="66"/>
      <c r="U231" s="66"/>
      <c r="V231" s="49" t="b">
        <v>0</v>
      </c>
      <c r="W231" s="49" t="str">
        <f>"Character/Prefabs/"&amp;VLOOKUP($C231,'#Data'!$B$3:$I$344,8,FALSE)</f>
        <v>Character/Prefabs/m_s_attacker_turtle_mechamk3_4</v>
      </c>
      <c r="X231" s="49"/>
      <c r="Y231" s="49" t="str">
        <f>VLOOKUP($C231,'#Data'!$B$3:$I$344,8,FALSE)</f>
        <v>m_s_attacker_turtle_mechamk3_4</v>
      </c>
      <c r="Z231" s="49"/>
      <c r="AA231" s="49"/>
      <c r="AB231" s="49"/>
      <c r="AC231" s="89">
        <v>0.7</v>
      </c>
      <c r="AD231" s="49"/>
      <c r="AE231" s="49"/>
      <c r="AF231" s="49"/>
      <c r="AG231" s="49" t="s">
        <v>2093</v>
      </c>
      <c r="AH231" s="85"/>
    </row>
    <row r="232" spans="1:34" x14ac:dyDescent="0.3">
      <c r="A232" s="49">
        <f t="shared" si="2"/>
        <v>1210202111</v>
      </c>
      <c r="B232" s="49" t="s">
        <v>82</v>
      </c>
      <c r="C232" s="49" t="s">
        <v>1219</v>
      </c>
      <c r="D232" s="49" t="str">
        <f>"Monster.Name."&amp;VLOOKUP($C232,'#Data'!$B$2:$J$344,2,FALSE)</f>
        <v>Monster.Name.scorpion_turretmk2_4</v>
      </c>
      <c r="E232" s="49" t="s">
        <v>47</v>
      </c>
      <c r="F232" s="50" t="s">
        <v>44</v>
      </c>
      <c r="G232" s="49" t="s">
        <v>45</v>
      </c>
      <c r="H232" s="49" t="b">
        <f>IF(OR(VLOOKUP($C232,'#Data'!$B$2:$J$344,4,FALSE)="보스",VLOOKUP($C232,'#Data'!$B$2:$J$344,4,FALSE)="중간"),TRUE,FALSE)</f>
        <v>0</v>
      </c>
      <c r="I232" s="49" t="b">
        <v>0</v>
      </c>
      <c r="J232" s="49">
        <v>10</v>
      </c>
      <c r="K232" s="49">
        <f t="shared" si="3"/>
        <v>10</v>
      </c>
      <c r="L232" s="65" t="s">
        <v>1319</v>
      </c>
      <c r="M232" s="65"/>
      <c r="N232" s="65"/>
      <c r="O232" s="135" t="s">
        <v>2000</v>
      </c>
      <c r="P232" s="135"/>
      <c r="Q232" s="135"/>
      <c r="R232" s="66"/>
      <c r="S232" s="66"/>
      <c r="T232" s="66"/>
      <c r="U232" s="66"/>
      <c r="V232" s="49" t="b">
        <v>0</v>
      </c>
      <c r="W232" s="49" t="str">
        <f>"Character/Prefabs/"&amp;VLOOKUP($C232,'#Data'!$B$3:$I$344,8,FALSE)</f>
        <v>Character/Prefabs/m_s_ranger_scorpion_turretmk2_4</v>
      </c>
      <c r="X232" s="49"/>
      <c r="Y232" s="49" t="str">
        <f>VLOOKUP($C232,'#Data'!$B$3:$I$344,8,FALSE)</f>
        <v>m_s_ranger_scorpion_turretmk2_4</v>
      </c>
      <c r="Z232" s="49"/>
      <c r="AA232" s="49"/>
      <c r="AB232" s="49"/>
      <c r="AC232" s="89">
        <v>0.7</v>
      </c>
      <c r="AD232" s="49"/>
      <c r="AE232" s="49"/>
      <c r="AF232" s="49"/>
      <c r="AG232" s="49" t="s">
        <v>2093</v>
      </c>
      <c r="AH232" s="85"/>
    </row>
    <row r="233" spans="1:34" x14ac:dyDescent="0.3">
      <c r="A233" s="49">
        <f t="shared" si="2"/>
        <v>1210202112</v>
      </c>
      <c r="B233" s="49" t="s">
        <v>82</v>
      </c>
      <c r="C233" s="49" t="s">
        <v>1220</v>
      </c>
      <c r="D233" s="49" t="str">
        <f>"Monster.Name."&amp;VLOOKUP($C233,'#Data'!$B$2:$J$344,2,FALSE)</f>
        <v>Monster.Name.rhino_mechamk3_4</v>
      </c>
      <c r="E233" s="49" t="s">
        <v>43</v>
      </c>
      <c r="F233" s="50" t="s">
        <v>44</v>
      </c>
      <c r="G233" s="49" t="s">
        <v>45</v>
      </c>
      <c r="H233" s="49" t="b">
        <f>IF(OR(VLOOKUP($C233,'#Data'!$B$2:$J$344,4,FALSE)="보스",VLOOKUP($C233,'#Data'!$B$2:$J$344,4,FALSE)="중간"),TRUE,FALSE)</f>
        <v>0</v>
      </c>
      <c r="I233" s="49" t="b">
        <v>0</v>
      </c>
      <c r="J233" s="49">
        <v>10</v>
      </c>
      <c r="K233" s="49">
        <f t="shared" si="3"/>
        <v>10</v>
      </c>
      <c r="L233" s="65" t="s">
        <v>1320</v>
      </c>
      <c r="M233" s="65"/>
      <c r="N233" s="65"/>
      <c r="O233" s="135" t="s">
        <v>2001</v>
      </c>
      <c r="P233" s="135"/>
      <c r="Q233" s="135"/>
      <c r="R233" s="66"/>
      <c r="S233" s="66"/>
      <c r="T233" s="66"/>
      <c r="U233" s="66"/>
      <c r="V233" s="49" t="b">
        <v>0</v>
      </c>
      <c r="W233" s="49" t="str">
        <f>"Character/Prefabs/"&amp;VLOOKUP($C233,'#Data'!$B$3:$I$344,8,FALSE)</f>
        <v>Character/Prefabs/m_s_attacker_rhino_mechamk3_4</v>
      </c>
      <c r="X233" s="49"/>
      <c r="Y233" s="49" t="str">
        <f>VLOOKUP($C233,'#Data'!$B$3:$I$344,8,FALSE)</f>
        <v>m_s_attacker_rhino_mechamk3_4</v>
      </c>
      <c r="Z233" s="49"/>
      <c r="AA233" s="49"/>
      <c r="AB233" s="49"/>
      <c r="AC233" s="89">
        <v>0.7</v>
      </c>
      <c r="AD233" s="49"/>
      <c r="AE233" s="49"/>
      <c r="AF233" s="49"/>
      <c r="AG233" s="49" t="s">
        <v>2093</v>
      </c>
      <c r="AH233" s="85"/>
    </row>
    <row r="234" spans="1:34" x14ac:dyDescent="0.3">
      <c r="A234" s="49">
        <f t="shared" si="2"/>
        <v>1210202113</v>
      </c>
      <c r="B234" s="49" t="s">
        <v>82</v>
      </c>
      <c r="C234" s="49" t="s">
        <v>1221</v>
      </c>
      <c r="D234" s="49" t="str">
        <f>"Monster.Name."&amp;VLOOKUP($C234,'#Data'!$B$2:$J$344,2,FALSE)</f>
        <v>Monster.Name.spider_turretmk2_4</v>
      </c>
      <c r="E234" s="49" t="s">
        <v>47</v>
      </c>
      <c r="F234" s="50" t="s">
        <v>44</v>
      </c>
      <c r="G234" s="49" t="s">
        <v>45</v>
      </c>
      <c r="H234" s="49" t="b">
        <f>IF(OR(VLOOKUP($C234,'#Data'!$B$2:$J$344,4,FALSE)="보스",VLOOKUP($C234,'#Data'!$B$2:$J$344,4,FALSE)="중간"),TRUE,FALSE)</f>
        <v>0</v>
      </c>
      <c r="I234" s="49" t="b">
        <v>0</v>
      </c>
      <c r="J234" s="49">
        <v>10</v>
      </c>
      <c r="K234" s="49">
        <f t="shared" si="3"/>
        <v>10</v>
      </c>
      <c r="L234" s="65" t="s">
        <v>1321</v>
      </c>
      <c r="M234" s="65"/>
      <c r="N234" s="65"/>
      <c r="O234" s="135" t="s">
        <v>2002</v>
      </c>
      <c r="P234" s="135"/>
      <c r="Q234" s="135"/>
      <c r="R234" s="66"/>
      <c r="S234" s="66"/>
      <c r="T234" s="66"/>
      <c r="U234" s="66"/>
      <c r="V234" s="49" t="b">
        <v>0</v>
      </c>
      <c r="W234" s="49" t="str">
        <f>"Character/Prefabs/"&amp;VLOOKUP($C234,'#Data'!$B$3:$I$344,8,FALSE)</f>
        <v>Character/Prefabs/m_s_ranger_spider_turretmk2_4</v>
      </c>
      <c r="X234" s="49"/>
      <c r="Y234" s="49" t="str">
        <f>VLOOKUP($C234,'#Data'!$B$3:$I$344,8,FALSE)</f>
        <v>m_s_ranger_spider_turretmk2_4</v>
      </c>
      <c r="Z234" s="49"/>
      <c r="AA234" s="49"/>
      <c r="AB234" s="49"/>
      <c r="AC234" s="89">
        <v>0.7</v>
      </c>
      <c r="AD234" s="49"/>
      <c r="AE234" s="49"/>
      <c r="AF234" s="49"/>
      <c r="AG234" s="49" t="s">
        <v>2093</v>
      </c>
      <c r="AH234" s="85"/>
    </row>
    <row r="235" spans="1:34" x14ac:dyDescent="0.3">
      <c r="A235" s="49">
        <f t="shared" si="2"/>
        <v>1210202114</v>
      </c>
      <c r="B235" s="49" t="s">
        <v>82</v>
      </c>
      <c r="C235" s="49" t="s">
        <v>1222</v>
      </c>
      <c r="D235" s="49" t="str">
        <f>"Monster.Name."&amp;VLOOKUP($C235,'#Data'!$B$2:$J$344,2,FALSE)</f>
        <v>Monster.Name.hellfire_drone_4</v>
      </c>
      <c r="E235" s="49" t="s">
        <v>47</v>
      </c>
      <c r="F235" s="50" t="s">
        <v>44</v>
      </c>
      <c r="G235" s="49" t="s">
        <v>45</v>
      </c>
      <c r="H235" s="49" t="b">
        <f>IF(OR(VLOOKUP($C235,'#Data'!$B$2:$J$344,4,FALSE)="보스",VLOOKUP($C235,'#Data'!$B$2:$J$344,4,FALSE)="중간"),TRUE,FALSE)</f>
        <v>0</v>
      </c>
      <c r="I235" s="49" t="b">
        <v>0</v>
      </c>
      <c r="J235" s="49">
        <v>10</v>
      </c>
      <c r="K235" s="49">
        <f t="shared" si="3"/>
        <v>10</v>
      </c>
      <c r="L235" s="65" t="s">
        <v>1322</v>
      </c>
      <c r="M235" s="65"/>
      <c r="N235" s="65"/>
      <c r="O235" s="135" t="s">
        <v>1327</v>
      </c>
      <c r="P235" s="135" t="s">
        <v>2003</v>
      </c>
      <c r="Q235" s="135"/>
      <c r="R235" s="66"/>
      <c r="S235" s="66"/>
      <c r="T235" s="66"/>
      <c r="U235" s="66"/>
      <c r="V235" s="49" t="b">
        <v>0</v>
      </c>
      <c r="W235" s="49" t="str">
        <f>"Character/Prefabs/"&amp;VLOOKUP($C235,'#Data'!$B$3:$I$344,8,FALSE)</f>
        <v>Character/Prefabs/m_s_ranger_hellfire_drone_4</v>
      </c>
      <c r="X235" s="49"/>
      <c r="Y235" s="49" t="str">
        <f>VLOOKUP($C235,'#Data'!$B$3:$I$344,8,FALSE)</f>
        <v>m_s_ranger_hellfire_drone_4</v>
      </c>
      <c r="Z235" s="49"/>
      <c r="AA235" s="49"/>
      <c r="AB235" s="49"/>
      <c r="AC235" s="89">
        <v>0.6</v>
      </c>
      <c r="AD235" s="49"/>
      <c r="AE235" s="49"/>
      <c r="AF235" s="49"/>
      <c r="AG235" s="49" t="s">
        <v>2093</v>
      </c>
      <c r="AH235" s="85"/>
    </row>
    <row r="236" spans="1:34" x14ac:dyDescent="0.3">
      <c r="A236" s="49">
        <f t="shared" si="2"/>
        <v>1210202115</v>
      </c>
      <c r="B236" s="49" t="s">
        <v>82</v>
      </c>
      <c r="C236" s="49" t="s">
        <v>1223</v>
      </c>
      <c r="D236" s="49" t="str">
        <f>"Monster.Name."&amp;VLOOKUP($C236,'#Data'!$B$2:$J$344,2,FALSE)</f>
        <v>Monster.Name.trooper_silhouette_champion_4</v>
      </c>
      <c r="E236" s="49" t="s">
        <v>43</v>
      </c>
      <c r="F236" s="50" t="s">
        <v>44</v>
      </c>
      <c r="G236" s="49" t="s">
        <v>45</v>
      </c>
      <c r="H236" s="49" t="b">
        <f>IF(OR(VLOOKUP($C236,'#Data'!$B$2:$J$344,4,FALSE)="보스",VLOOKUP($C236,'#Data'!$B$2:$J$344,4,FALSE)="중간"),TRUE,FALSE)</f>
        <v>0</v>
      </c>
      <c r="I236" s="49" t="b">
        <v>0</v>
      </c>
      <c r="J236" s="49">
        <v>10</v>
      </c>
      <c r="K236" s="49">
        <f t="shared" si="3"/>
        <v>10</v>
      </c>
      <c r="L236" s="65" t="s">
        <v>1323</v>
      </c>
      <c r="M236" s="65"/>
      <c r="N236" s="65"/>
      <c r="O236" s="135" t="s">
        <v>1328</v>
      </c>
      <c r="P236" s="135" t="s">
        <v>2008</v>
      </c>
      <c r="Q236" s="135"/>
      <c r="R236" s="66"/>
      <c r="S236" s="66"/>
      <c r="T236" s="66"/>
      <c r="U236" s="66"/>
      <c r="V236" s="49" t="b">
        <v>0</v>
      </c>
      <c r="W236" s="49" t="str">
        <f>"Character/Prefabs/"&amp;VLOOKUP($C236,'#Data'!$B$3:$I$344,8,FALSE)</f>
        <v>Character/Prefabs/m_m_attacker_trooper_silhouette_champion_4</v>
      </c>
      <c r="X236" s="49"/>
      <c r="Y236" s="49" t="str">
        <f>VLOOKUP($C236,'#Data'!$B$3:$I$344,8,FALSE)</f>
        <v>m_m_attacker_trooper_silhouette_champion_4</v>
      </c>
      <c r="Z236" s="49"/>
      <c r="AA236" s="49"/>
      <c r="AB236" s="49"/>
      <c r="AC236" s="89">
        <v>0.8</v>
      </c>
      <c r="AD236" s="49"/>
      <c r="AE236" s="49"/>
      <c r="AF236" s="49"/>
      <c r="AG236" s="49" t="s">
        <v>2093</v>
      </c>
      <c r="AH236" s="85"/>
    </row>
    <row r="237" spans="1:34" x14ac:dyDescent="0.3">
      <c r="A237" s="49">
        <f t="shared" si="2"/>
        <v>1210202116</v>
      </c>
      <c r="B237" s="49" t="s">
        <v>82</v>
      </c>
      <c r="C237" s="49" t="s">
        <v>1224</v>
      </c>
      <c r="D237" s="49" t="str">
        <f>"Monster.Name."&amp;VLOOKUP($C237,'#Data'!$B$2:$J$344,2,FALSE)</f>
        <v>Monster.Name.trooper_silhouette_demolisher_4</v>
      </c>
      <c r="E237" s="49" t="s">
        <v>47</v>
      </c>
      <c r="F237" s="50" t="s">
        <v>44</v>
      </c>
      <c r="G237" s="49" t="s">
        <v>45</v>
      </c>
      <c r="H237" s="49" t="b">
        <f>IF(OR(VLOOKUP($C237,'#Data'!$B$2:$J$344,4,FALSE)="보스",VLOOKUP($C237,'#Data'!$B$2:$J$344,4,FALSE)="중간"),TRUE,FALSE)</f>
        <v>0</v>
      </c>
      <c r="I237" s="49" t="b">
        <v>0</v>
      </c>
      <c r="J237" s="49">
        <v>10</v>
      </c>
      <c r="K237" s="49">
        <f t="shared" si="3"/>
        <v>10</v>
      </c>
      <c r="L237" s="65" t="s">
        <v>1324</v>
      </c>
      <c r="M237" s="65"/>
      <c r="N237" s="65"/>
      <c r="O237" s="135" t="s">
        <v>1329</v>
      </c>
      <c r="P237" s="135" t="s">
        <v>2005</v>
      </c>
      <c r="Q237" s="135"/>
      <c r="R237" s="66"/>
      <c r="S237" s="66"/>
      <c r="T237" s="66"/>
      <c r="U237" s="66"/>
      <c r="V237" s="49" t="b">
        <v>0</v>
      </c>
      <c r="W237" s="49" t="str">
        <f>"Character/Prefabs/"&amp;VLOOKUP($C237,'#Data'!$B$3:$I$344,8,FALSE)</f>
        <v>Character/Prefabs/m_m_ranger_trooper_silhouette_demolisher_4</v>
      </c>
      <c r="X237" s="49"/>
      <c r="Y237" s="49" t="str">
        <f>VLOOKUP($C237,'#Data'!$B$3:$I$344,8,FALSE)</f>
        <v>m_m_ranger_trooper_silhouette_demolisher_4</v>
      </c>
      <c r="Z237" s="49"/>
      <c r="AA237" s="49"/>
      <c r="AB237" s="49"/>
      <c r="AC237" s="89">
        <v>0.8</v>
      </c>
      <c r="AD237" s="49"/>
      <c r="AE237" s="49"/>
      <c r="AF237" s="49"/>
      <c r="AG237" s="49" t="s">
        <v>2093</v>
      </c>
      <c r="AH237" s="85"/>
    </row>
    <row r="238" spans="1:34" x14ac:dyDescent="0.3">
      <c r="A238" s="49">
        <f t="shared" si="2"/>
        <v>1210202117</v>
      </c>
      <c r="B238" s="49" t="s">
        <v>82</v>
      </c>
      <c r="C238" s="49" t="s">
        <v>1225</v>
      </c>
      <c r="D238" s="49" t="str">
        <f>"Monster.Name."&amp;VLOOKUP($C238,'#Data'!$B$2:$J$344,2,FALSE)</f>
        <v>Monster.Name.trooper_silhouette_guard_4</v>
      </c>
      <c r="E238" s="49" t="s">
        <v>58</v>
      </c>
      <c r="F238" s="50" t="s">
        <v>44</v>
      </c>
      <c r="G238" s="49" t="s">
        <v>45</v>
      </c>
      <c r="H238" s="49" t="b">
        <f>IF(OR(VLOOKUP($C238,'#Data'!$B$2:$J$344,4,FALSE)="보스",VLOOKUP($C238,'#Data'!$B$2:$J$344,4,FALSE)="중간"),TRUE,FALSE)</f>
        <v>0</v>
      </c>
      <c r="I238" s="49" t="b">
        <v>0</v>
      </c>
      <c r="J238" s="49">
        <v>10</v>
      </c>
      <c r="K238" s="49">
        <f t="shared" si="3"/>
        <v>10</v>
      </c>
      <c r="L238" s="65" t="s">
        <v>1325</v>
      </c>
      <c r="M238" s="65"/>
      <c r="N238" s="65"/>
      <c r="O238" s="135" t="s">
        <v>1330</v>
      </c>
      <c r="P238" s="135" t="s">
        <v>2006</v>
      </c>
      <c r="Q238" s="135"/>
      <c r="R238" s="66"/>
      <c r="S238" s="66"/>
      <c r="T238" s="66"/>
      <c r="U238" s="66"/>
      <c r="V238" s="49" t="b">
        <v>0</v>
      </c>
      <c r="W238" s="49" t="str">
        <f>"Character/Prefabs/"&amp;VLOOKUP($C238,'#Data'!$B$3:$I$344,8,FALSE)</f>
        <v>Character/Prefabs/m_m_tanker_trooper_silhouette_guard_4</v>
      </c>
      <c r="X238" s="49"/>
      <c r="Y238" s="49" t="str">
        <f>VLOOKUP($C238,'#Data'!$B$3:$I$344,8,FALSE)</f>
        <v>m_m_tanker_trooper_silhouette_guard_4</v>
      </c>
      <c r="Z238" s="49"/>
      <c r="AA238" s="49"/>
      <c r="AB238" s="49"/>
      <c r="AC238" s="89">
        <v>0.8</v>
      </c>
      <c r="AD238" s="49"/>
      <c r="AE238" s="49"/>
      <c r="AF238" s="49"/>
      <c r="AG238" s="49" t="s">
        <v>2093</v>
      </c>
      <c r="AH238" s="85"/>
    </row>
    <row r="239" spans="1:34" x14ac:dyDescent="0.3">
      <c r="A239" s="49">
        <f t="shared" si="2"/>
        <v>1210202118</v>
      </c>
      <c r="B239" s="49" t="s">
        <v>82</v>
      </c>
      <c r="C239" s="49" t="s">
        <v>1226</v>
      </c>
      <c r="D239" s="49" t="str">
        <f>"Monster.Name."&amp;VLOOKUP($C239,'#Data'!$B$2:$J$344,2,FALSE)</f>
        <v>Monster.Name.trooper_silhouette_inferno_4</v>
      </c>
      <c r="E239" s="49" t="s">
        <v>43</v>
      </c>
      <c r="F239" s="50" t="s">
        <v>44</v>
      </c>
      <c r="G239" s="49" t="s">
        <v>45</v>
      </c>
      <c r="H239" s="49" t="b">
        <f>IF(OR(VLOOKUP($C239,'#Data'!$B$2:$J$344,4,FALSE)="보스",VLOOKUP($C239,'#Data'!$B$2:$J$344,4,FALSE)="중간"),TRUE,FALSE)</f>
        <v>0</v>
      </c>
      <c r="I239" s="49" t="b">
        <v>0</v>
      </c>
      <c r="J239" s="49">
        <v>10</v>
      </c>
      <c r="K239" s="49">
        <f t="shared" si="3"/>
        <v>10</v>
      </c>
      <c r="L239" s="65" t="s">
        <v>1326</v>
      </c>
      <c r="M239" s="65"/>
      <c r="N239" s="65"/>
      <c r="O239" s="135" t="s">
        <v>1331</v>
      </c>
      <c r="P239" s="135" t="s">
        <v>2007</v>
      </c>
      <c r="Q239" s="135"/>
      <c r="R239" s="66"/>
      <c r="S239" s="66"/>
      <c r="T239" s="66"/>
      <c r="U239" s="66"/>
      <c r="V239" s="49" t="b">
        <v>0</v>
      </c>
      <c r="W239" s="49" t="str">
        <f>"Character/Prefabs/"&amp;VLOOKUP($C239,'#Data'!$B$3:$I$344,8,FALSE)</f>
        <v>Character/Prefabs/m_m_attacker_trooper_silhouette_inferno_4</v>
      </c>
      <c r="X239" s="49"/>
      <c r="Y239" s="49" t="str">
        <f>VLOOKUP($C239,'#Data'!$B$3:$I$344,8,FALSE)</f>
        <v>m_m_attacker_trooper_silhouette_inferno_4</v>
      </c>
      <c r="Z239" s="49"/>
      <c r="AA239" s="49"/>
      <c r="AB239" s="49"/>
      <c r="AC239" s="89">
        <v>0.8</v>
      </c>
      <c r="AD239" s="49"/>
      <c r="AE239" s="49"/>
      <c r="AF239" s="49"/>
      <c r="AG239" s="49" t="s">
        <v>2093</v>
      </c>
      <c r="AH239" s="85"/>
    </row>
    <row r="240" spans="1:34" x14ac:dyDescent="0.3">
      <c r="A240" s="12">
        <f t="shared" si="2"/>
        <v>1210202201</v>
      </c>
      <c r="B240" s="12" t="s">
        <v>82</v>
      </c>
      <c r="C240" s="12" t="s">
        <v>92</v>
      </c>
      <c r="D240" s="12" t="str">
        <f>"Monster.Name."&amp;VLOOKUP($C240,'#Data'!$B$2:$J$344,2,FALSE)</f>
        <v>Monster.Name.shelter_sweeper_r_1</v>
      </c>
      <c r="E240" s="12" t="s">
        <v>43</v>
      </c>
      <c r="F240" s="39" t="s">
        <v>44</v>
      </c>
      <c r="G240" s="12" t="s">
        <v>45</v>
      </c>
      <c r="H240" s="12" t="b">
        <f>IF(OR(VLOOKUP($C240,'#Data'!$B$2:$J$344,4,FALSE)="보스",VLOOKUP($C240,'#Data'!$B$2:$J$344,4,FALSE)="중간"),TRUE,FALSE)</f>
        <v>1</v>
      </c>
      <c r="I240" s="12" t="b">
        <v>1</v>
      </c>
      <c r="J240" s="12">
        <v>20</v>
      </c>
      <c r="K240" s="12">
        <f t="shared" si="3"/>
        <v>10</v>
      </c>
      <c r="L240" s="63" t="str">
        <f>$B240&amp;"."&amp;VLOOKUP($C240,'#Data'!$B$2:$J$344,2,FALSE)&amp;".attack0"&amp;RIGHT(L$1,1)</f>
        <v>Sector02.shelter_sweeper_r_1.attack01</v>
      </c>
      <c r="M240" s="63"/>
      <c r="N240" s="63"/>
      <c r="O240" s="134" t="str">
        <f>$B240&amp;"."&amp;VLOOKUP($C240,'#Data'!$B$2:$J$344,2,FALSE)&amp;".skill0"&amp;RIGHT(O$1,1)</f>
        <v>Sector02.shelter_sweeper_r_1.skill01</v>
      </c>
      <c r="P240" s="134" t="str">
        <f>$B240&amp;"."&amp;VLOOKUP($C240,'#Data'!$B$2:$J$344,2,FALSE)&amp;".skill0"&amp;RIGHT(P$1,1)</f>
        <v>Sector02.shelter_sweeper_r_1.skill02</v>
      </c>
      <c r="Q240" s="134"/>
      <c r="R240" s="64"/>
      <c r="S240" s="64" t="s">
        <v>2076</v>
      </c>
      <c r="T240" s="64"/>
      <c r="U240" s="64"/>
      <c r="V240" s="12" t="b">
        <v>0</v>
      </c>
      <c r="W240" s="12" t="str">
        <f>"Character/Prefabs/"&amp;VLOOKUP($C240,'#Data'!$B$3:$I$344,8,FALSE)</f>
        <v>Character/Prefabs/m_m_attacker_shelter_sweeper_r_1</v>
      </c>
      <c r="X240" s="12"/>
      <c r="Y240" s="12" t="str">
        <f>VLOOKUP($C240,'#Data'!$B$3:$I$344,8,FALSE)</f>
        <v>m_m_attacker_shelter_sweeper_r_1</v>
      </c>
      <c r="Z240" s="12"/>
      <c r="AA240" s="12"/>
      <c r="AB240" s="12"/>
      <c r="AC240" s="88">
        <v>0.9</v>
      </c>
      <c r="AD240" s="12"/>
      <c r="AE240" s="12"/>
      <c r="AF240" s="12"/>
      <c r="AG240" s="12" t="s">
        <v>2093</v>
      </c>
      <c r="AH240" s="85"/>
    </row>
    <row r="241" spans="1:34" x14ac:dyDescent="0.3">
      <c r="A241" s="12">
        <f t="shared" si="2"/>
        <v>1210202202</v>
      </c>
      <c r="B241" s="12" t="s">
        <v>82</v>
      </c>
      <c r="C241" s="12" t="s">
        <v>93</v>
      </c>
      <c r="D241" s="12" t="str">
        <f>"Monster.Name."&amp;VLOOKUP($C241,'#Data'!$B$2:$J$344,2,FALSE)</f>
        <v>Monster.Name.shelter_sweeper_v_1</v>
      </c>
      <c r="E241" s="12" t="s">
        <v>47</v>
      </c>
      <c r="F241" s="39" t="s">
        <v>44</v>
      </c>
      <c r="G241" s="12" t="s">
        <v>45</v>
      </c>
      <c r="H241" s="12" t="b">
        <f>IF(OR(VLOOKUP($C241,'#Data'!$B$2:$J$344,4,FALSE)="보스",VLOOKUP($C241,'#Data'!$B$2:$J$344,4,FALSE)="중간"),TRUE,FALSE)</f>
        <v>1</v>
      </c>
      <c r="I241" s="12" t="b">
        <v>1</v>
      </c>
      <c r="J241" s="12">
        <v>20</v>
      </c>
      <c r="K241" s="12">
        <f t="shared" si="3"/>
        <v>10</v>
      </c>
      <c r="L241" s="63" t="str">
        <f>$B241&amp;"."&amp;VLOOKUP($C241,'#Data'!$B$2:$J$344,2,FALSE)&amp;".attack0"&amp;RIGHT(L$1,1)</f>
        <v>Sector02.shelter_sweeper_v_1.attack01</v>
      </c>
      <c r="M241" s="63"/>
      <c r="N241" s="63"/>
      <c r="O241" s="134" t="str">
        <f>$B241&amp;"."&amp;VLOOKUP($C241,'#Data'!$B$2:$J$344,2,FALSE)&amp;".skill0"&amp;RIGHT(O$1,1)</f>
        <v>Sector02.shelter_sweeper_v_1.skill01</v>
      </c>
      <c r="P241" s="134" t="str">
        <f>$B241&amp;"."&amp;VLOOKUP($C241,'#Data'!$B$2:$J$344,2,FALSE)&amp;".skill0"&amp;RIGHT(P$1,1)</f>
        <v>Sector02.shelter_sweeper_v_1.skill02</v>
      </c>
      <c r="Q241" s="134"/>
      <c r="R241" s="64"/>
      <c r="S241" s="64" t="s">
        <v>2076</v>
      </c>
      <c r="T241" s="64"/>
      <c r="U241" s="64"/>
      <c r="V241" s="12" t="b">
        <v>0</v>
      </c>
      <c r="W241" s="12" t="str">
        <f>"Character/Prefabs/"&amp;VLOOKUP($C241,'#Data'!$B$3:$I$344,8,FALSE)</f>
        <v>Character/Prefabs/m_m_ranger_shelter_sweeper_v_1</v>
      </c>
      <c r="X241" s="12"/>
      <c r="Y241" s="12" t="str">
        <f>VLOOKUP($C241,'#Data'!$B$3:$I$344,8,FALSE)</f>
        <v>m_m_ranger_shelter_sweeper_v_1</v>
      </c>
      <c r="Z241" s="12"/>
      <c r="AA241" s="12"/>
      <c r="AB241" s="12"/>
      <c r="AC241" s="88">
        <v>0.9</v>
      </c>
      <c r="AD241" s="12"/>
      <c r="AE241" s="12"/>
      <c r="AF241" s="12"/>
      <c r="AG241" s="12" t="s">
        <v>2093</v>
      </c>
      <c r="AH241" s="85"/>
    </row>
    <row r="242" spans="1:34" x14ac:dyDescent="0.3">
      <c r="A242" s="12">
        <f t="shared" si="2"/>
        <v>1210202203</v>
      </c>
      <c r="B242" s="12" t="s">
        <v>82</v>
      </c>
      <c r="C242" s="12" t="s">
        <v>94</v>
      </c>
      <c r="D242" s="12" t="str">
        <f>"Monster.Name."&amp;VLOOKUP($C242,'#Data'!$B$2:$J$344,2,FALSE)</f>
        <v>Monster.Name.shelter_sweeper_g_1</v>
      </c>
      <c r="E242" s="12" t="s">
        <v>58</v>
      </c>
      <c r="F242" s="39" t="s">
        <v>44</v>
      </c>
      <c r="G242" s="12" t="s">
        <v>45</v>
      </c>
      <c r="H242" s="12" t="b">
        <f>IF(OR(VLOOKUP($C242,'#Data'!$B$2:$J$344,4,FALSE)="보스",VLOOKUP($C242,'#Data'!$B$2:$J$344,4,FALSE)="중간"),TRUE,FALSE)</f>
        <v>1</v>
      </c>
      <c r="I242" s="12" t="b">
        <v>1</v>
      </c>
      <c r="J242" s="12">
        <v>20</v>
      </c>
      <c r="K242" s="12">
        <f t="shared" si="3"/>
        <v>10</v>
      </c>
      <c r="L242" s="63" t="str">
        <f>$B242&amp;"."&amp;VLOOKUP($C242,'#Data'!$B$2:$J$344,2,FALSE)&amp;".attack0"&amp;RIGHT(L$1,1)</f>
        <v>Sector02.shelter_sweeper_g_1.attack01</v>
      </c>
      <c r="M242" s="63"/>
      <c r="N242" s="63"/>
      <c r="O242" s="134" t="str">
        <f>$B242&amp;"."&amp;VLOOKUP($C242,'#Data'!$B$2:$J$344,2,FALSE)&amp;".skill0"&amp;RIGHT(O$1,1)</f>
        <v>Sector02.shelter_sweeper_g_1.skill01</v>
      </c>
      <c r="P242" s="134" t="str">
        <f>$B242&amp;"."&amp;VLOOKUP($C242,'#Data'!$B$2:$J$344,2,FALSE)&amp;".skill0"&amp;RIGHT(P$1,1)</f>
        <v>Sector02.shelter_sweeper_g_1.skill02</v>
      </c>
      <c r="Q242" s="134"/>
      <c r="R242" s="64"/>
      <c r="S242" s="64" t="s">
        <v>2076</v>
      </c>
      <c r="T242" s="64"/>
      <c r="U242" s="64"/>
      <c r="V242" s="12" t="b">
        <v>0</v>
      </c>
      <c r="W242" s="12" t="str">
        <f>"Character/Prefabs/"&amp;VLOOKUP($C242,'#Data'!$B$3:$I$344,8,FALSE)</f>
        <v>Character/Prefabs/m_m_tanker_shelter_sweeper_g_1</v>
      </c>
      <c r="X242" s="12"/>
      <c r="Y242" s="12" t="str">
        <f>VLOOKUP($C242,'#Data'!$B$3:$I$344,8,FALSE)</f>
        <v>m_m_tanker_shelter_sweeper_g_1</v>
      </c>
      <c r="Z242" s="12"/>
      <c r="AA242" s="12"/>
      <c r="AB242" s="12"/>
      <c r="AC242" s="88">
        <v>0.9</v>
      </c>
      <c r="AD242" s="12"/>
      <c r="AE242" s="12"/>
      <c r="AF242" s="12"/>
      <c r="AG242" s="12" t="s">
        <v>2093</v>
      </c>
      <c r="AH242" s="85"/>
    </row>
    <row r="243" spans="1:34" x14ac:dyDescent="0.3">
      <c r="A243" s="77">
        <f t="shared" si="2"/>
        <v>1210202301</v>
      </c>
      <c r="B243" s="77" t="s">
        <v>41</v>
      </c>
      <c r="C243" s="77" t="s">
        <v>75</v>
      </c>
      <c r="D243" s="77" t="str">
        <f>"Monster.Name."&amp;VLOOKUP($C243,'#Data'!$B$2:$J$344,2,FALSE)</f>
        <v>Monster.Name.gallius_1</v>
      </c>
      <c r="E243" s="77" t="s">
        <v>58</v>
      </c>
      <c r="F243" s="78" t="s">
        <v>44</v>
      </c>
      <c r="G243" s="77" t="s">
        <v>45</v>
      </c>
      <c r="H243" s="77" t="b">
        <f>IF(OR(VLOOKUP($C243,'#Data'!$B$2:$J$344,4,FALSE)="보스",VLOOKUP($C243,'#Data'!$B$2:$J$344,4,FALSE)="중간"),TRUE,FALSE)</f>
        <v>1</v>
      </c>
      <c r="I243" s="77" t="b">
        <f>IF(OR(VLOOKUP($C243,'#Data'!$B$2:$J$344,4,FALSE)="보스",VLOOKUP($C243,'#Data'!$B$2:$J$344,4,FALSE)="중간"),TRUE,FALSE)</f>
        <v>1</v>
      </c>
      <c r="J243" s="77">
        <v>20</v>
      </c>
      <c r="K243" s="77">
        <f t="shared" si="3"/>
        <v>10</v>
      </c>
      <c r="L243" s="79" t="str">
        <f>$B243&amp;"."&amp;VLOOKUP($C243,'#Data'!$B$2:$J$344,2,FALSE)&amp;".attack0"&amp;RIGHT(L$1,1)</f>
        <v>Sector01.gallius_1.attack01</v>
      </c>
      <c r="M243" s="79"/>
      <c r="N243" s="79"/>
      <c r="O243" s="133" t="str">
        <f>$B243&amp;"."&amp;VLOOKUP($C243,'#Data'!$B$2:$J$344,2,FALSE)&amp;".skill0"&amp;RIGHT(O$1,1)</f>
        <v>Sector01.gallius_1.skill01</v>
      </c>
      <c r="P243" s="133" t="str">
        <f>$B243&amp;"."&amp;VLOOKUP($C243,'#Data'!$B$2:$J$344,2,FALSE)&amp;".skill0"&amp;RIGHT(P$1,1)</f>
        <v>Sector01.gallius_1.skill02</v>
      </c>
      <c r="Q243" s="133" t="s">
        <v>2070</v>
      </c>
      <c r="R243" s="80"/>
      <c r="S243" s="80" t="s">
        <v>76</v>
      </c>
      <c r="T243" s="80"/>
      <c r="U243" s="80"/>
      <c r="V243" s="77" t="b">
        <v>0</v>
      </c>
      <c r="W243" s="77" t="str">
        <f>"Character/Prefabs/"&amp;VLOOKUP($C243,'#Data'!$B$3:$I$344,8,FALSE)</f>
        <v>Character/Prefabs/m_boss_tanker_gallius_1</v>
      </c>
      <c r="X243" s="77"/>
      <c r="Y243" s="77" t="str">
        <f>VLOOKUP($C243,'#Data'!$B$3:$I$344,8,FALSE)</f>
        <v>m_boss_tanker_gallius_1</v>
      </c>
      <c r="Z243" s="77"/>
      <c r="AA243" s="77"/>
      <c r="AB243" s="77"/>
      <c r="AC243" s="87">
        <v>1.1000000000000001</v>
      </c>
      <c r="AD243" s="77"/>
      <c r="AE243" s="77" t="s">
        <v>77</v>
      </c>
      <c r="AF243" s="77" t="s">
        <v>78</v>
      </c>
      <c r="AG243" s="77" t="s">
        <v>2093</v>
      </c>
      <c r="AH243" s="85"/>
    </row>
    <row r="244" spans="1:34" x14ac:dyDescent="0.3">
      <c r="A244" s="77">
        <f t="shared" si="2"/>
        <v>1210202302</v>
      </c>
      <c r="B244" s="77" t="s">
        <v>41</v>
      </c>
      <c r="C244" s="77" t="s">
        <v>79</v>
      </c>
      <c r="D244" s="77" t="str">
        <f>"Monster.Name."&amp;VLOOKUP($C244,'#Data'!$B$2:$J$344,2,FALSE)</f>
        <v>Monster.Name.gallius_2</v>
      </c>
      <c r="E244" s="77" t="s">
        <v>58</v>
      </c>
      <c r="F244" s="78" t="s">
        <v>44</v>
      </c>
      <c r="G244" s="77" t="s">
        <v>45</v>
      </c>
      <c r="H244" s="77" t="b">
        <f>IF(OR(VLOOKUP($C244,'#Data'!$B$2:$J$344,4,FALSE)="보스",VLOOKUP($C244,'#Data'!$B$2:$J$344,4,FALSE)="중간"),TRUE,FALSE)</f>
        <v>1</v>
      </c>
      <c r="I244" s="77" t="b">
        <f>IF(OR(VLOOKUP($C244,'#Data'!$B$2:$J$344,4,FALSE)="보스",VLOOKUP($C244,'#Data'!$B$2:$J$344,4,FALSE)="중간"),TRUE,FALSE)</f>
        <v>1</v>
      </c>
      <c r="J244" s="77">
        <v>20</v>
      </c>
      <c r="K244" s="77">
        <f t="shared" si="3"/>
        <v>10</v>
      </c>
      <c r="L244" s="79" t="str">
        <f>$B244&amp;"."&amp;VLOOKUP($C244,'#Data'!$B$2:$J$344,2,FALSE)&amp;".attack0"&amp;RIGHT(L$1,1)</f>
        <v>Sector01.gallius_2.attack01</v>
      </c>
      <c r="M244" s="79"/>
      <c r="N244" s="79"/>
      <c r="O244" s="133" t="str">
        <f>$B244&amp;"."&amp;VLOOKUP($C244,'#Data'!$B$2:$J$344,2,FALSE)&amp;".skill0"&amp;RIGHT(O$1,1)</f>
        <v>Sector01.gallius_2.skill01</v>
      </c>
      <c r="P244" s="133" t="str">
        <f>$B244&amp;"."&amp;VLOOKUP($C244,'#Data'!$B$2:$J$344,2,FALSE)&amp;".skill0"&amp;RIGHT(P$1,1)</f>
        <v>Sector01.gallius_2.skill02</v>
      </c>
      <c r="Q244" s="133" t="str">
        <f>$B244&amp;"."&amp;VLOOKUP($C244,'#Data'!$B$2:$J$344,2,FALSE)&amp;".skill0"&amp;RIGHT(Q$1,1)</f>
        <v>Sector01.gallius_2.skill03</v>
      </c>
      <c r="R244" s="133" t="s">
        <v>2071</v>
      </c>
      <c r="S244" s="80" t="s">
        <v>76</v>
      </c>
      <c r="T244" s="80"/>
      <c r="U244" s="80"/>
      <c r="V244" s="77" t="b">
        <v>0</v>
      </c>
      <c r="W244" s="77" t="str">
        <f>"Character/Prefabs/"&amp;VLOOKUP($C244,'#Data'!$B$3:$I$344,8,FALSE)</f>
        <v>Character/Prefabs/m_boss_tanker_gallius_2</v>
      </c>
      <c r="X244" s="77"/>
      <c r="Y244" s="77" t="str">
        <f>VLOOKUP($C244,'#Data'!$B$3:$I$344,8,FALSE)</f>
        <v>m_boss_tanker_gallius_2</v>
      </c>
      <c r="Z244" s="77"/>
      <c r="AA244" s="77"/>
      <c r="AB244" s="77"/>
      <c r="AC244" s="87">
        <v>1.1000000000000001</v>
      </c>
      <c r="AD244" s="77"/>
      <c r="AE244" s="77" t="s">
        <v>80</v>
      </c>
      <c r="AF244" s="77" t="s">
        <v>81</v>
      </c>
      <c r="AG244" s="77" t="s">
        <v>2093</v>
      </c>
      <c r="AH244" s="85"/>
    </row>
    <row r="245" spans="1:34" x14ac:dyDescent="0.3">
      <c r="A245" s="41">
        <f t="shared" si="2"/>
        <v>1210203101</v>
      </c>
      <c r="B245" s="41" t="s">
        <v>105</v>
      </c>
      <c r="C245" s="41" t="s">
        <v>106</v>
      </c>
      <c r="D245" s="41" t="str">
        <f>"Monster.Name."&amp;VLOOKUP($C245,'#Data'!$B$2:$J$344,2,FALSE)</f>
        <v>Monster.Name.brain_hunter_1</v>
      </c>
      <c r="E245" s="41" t="s">
        <v>43</v>
      </c>
      <c r="F245" s="42" t="s">
        <v>44</v>
      </c>
      <c r="G245" s="41" t="s">
        <v>45</v>
      </c>
      <c r="H245" s="41" t="b">
        <f>IF(OR(VLOOKUP($C245,'#Data'!$B$2:$J$344,4,FALSE)="보스",VLOOKUP($C245,'#Data'!$B$2:$J$344,4,FALSE)="중간"),TRUE,FALSE)</f>
        <v>0</v>
      </c>
      <c r="I245" s="41" t="b">
        <v>0</v>
      </c>
      <c r="J245" s="41">
        <v>10</v>
      </c>
      <c r="K245" s="41">
        <f t="shared" si="3"/>
        <v>10</v>
      </c>
      <c r="L245" s="67" t="str">
        <f>$B245&amp;"."&amp;VLOOKUP($C245,'#Data'!$B$2:$J$344,2,FALSE)&amp;".attack0"&amp;RIGHT(L$1,1)</f>
        <v>Sector03.brain_hunter_1.attack01</v>
      </c>
      <c r="M245" s="67"/>
      <c r="N245" s="67"/>
      <c r="O245" s="137" t="str">
        <f>$B245&amp;"."&amp;VLOOKUP($C245,'#Data'!$B$2:$J$344,2,FALSE)&amp;".skill0"&amp;RIGHT(O$1,1)</f>
        <v>Sector03.brain_hunter_1.skill01</v>
      </c>
      <c r="P245" s="137"/>
      <c r="Q245" s="137"/>
      <c r="R245" s="68"/>
      <c r="S245" s="68"/>
      <c r="T245" s="68"/>
      <c r="U245" s="68"/>
      <c r="V245" s="41" t="b">
        <v>0</v>
      </c>
      <c r="W245" s="41" t="str">
        <f>"Character/Prefabs/"&amp;VLOOKUP($C245,'#Data'!$B$3:$I$344,8,FALSE)</f>
        <v>Character/Prefabs/m_s_attacker_brain_hunter_1</v>
      </c>
      <c r="X245" s="41"/>
      <c r="Y245" s="41" t="str">
        <f>VLOOKUP($C245,'#Data'!$B$3:$I$344,8,FALSE)</f>
        <v>m_s_attacker_brain_hunter_1</v>
      </c>
      <c r="Z245" s="41"/>
      <c r="AA245" s="41"/>
      <c r="AB245" s="41"/>
      <c r="AC245" s="90">
        <v>0.9</v>
      </c>
      <c r="AD245" s="41"/>
      <c r="AE245" s="41"/>
      <c r="AF245" s="41"/>
      <c r="AG245" s="41" t="s">
        <v>2093</v>
      </c>
      <c r="AH245" s="85"/>
    </row>
    <row r="246" spans="1:34" x14ac:dyDescent="0.3">
      <c r="A246" s="41">
        <f t="shared" si="2"/>
        <v>1210203102</v>
      </c>
      <c r="B246" s="41" t="s">
        <v>105</v>
      </c>
      <c r="C246" s="41" t="s">
        <v>107</v>
      </c>
      <c r="D246" s="41" t="str">
        <f>"Monster.Name."&amp;VLOOKUP($C246,'#Data'!$B$2:$J$344,2,FALSE)</f>
        <v>Monster.Name.infmecha_2</v>
      </c>
      <c r="E246" s="41" t="s">
        <v>43</v>
      </c>
      <c r="F246" s="42" t="s">
        <v>44</v>
      </c>
      <c r="G246" s="41" t="s">
        <v>45</v>
      </c>
      <c r="H246" s="41" t="b">
        <f>IF(OR(VLOOKUP($C246,'#Data'!$B$2:$J$344,4,FALSE)="보스",VLOOKUP($C246,'#Data'!$B$2:$J$344,4,FALSE)="중간"),TRUE,FALSE)</f>
        <v>0</v>
      </c>
      <c r="I246" s="41" t="b">
        <v>0</v>
      </c>
      <c r="J246" s="41">
        <v>10</v>
      </c>
      <c r="K246" s="41">
        <f t="shared" si="3"/>
        <v>10</v>
      </c>
      <c r="L246" s="67" t="str">
        <f>$B246&amp;"."&amp;VLOOKUP($C246,'#Data'!$B$2:$J$344,2,FALSE)&amp;".attack0"&amp;RIGHT(L$1,1)</f>
        <v>Sector03.infmecha_2.attack01</v>
      </c>
      <c r="M246" s="67"/>
      <c r="N246" s="67"/>
      <c r="O246" s="137" t="s">
        <v>2009</v>
      </c>
      <c r="P246" s="137"/>
      <c r="Q246" s="137"/>
      <c r="R246" s="68"/>
      <c r="S246" s="68"/>
      <c r="T246" s="68"/>
      <c r="U246" s="68"/>
      <c r="V246" s="41" t="b">
        <v>0</v>
      </c>
      <c r="W246" s="41" t="str">
        <f>"Character/Prefabs/"&amp;VLOOKUP($C246,'#Data'!$B$3:$I$344,8,FALSE)</f>
        <v>Character/Prefabs/m_s_attacker_infmecha_2</v>
      </c>
      <c r="X246" s="41"/>
      <c r="Y246" s="41" t="str">
        <f>VLOOKUP($C246,'#Data'!$B$3:$I$344,8,FALSE)</f>
        <v>m_s_attacker_infmecha_2</v>
      </c>
      <c r="Z246" s="41"/>
      <c r="AA246" s="41"/>
      <c r="AB246" s="41"/>
      <c r="AC246" s="90">
        <v>0.6</v>
      </c>
      <c r="AD246" s="41"/>
      <c r="AE246" s="41"/>
      <c r="AF246" s="41"/>
      <c r="AG246" s="41" t="s">
        <v>2093</v>
      </c>
      <c r="AH246" s="85"/>
    </row>
    <row r="247" spans="1:34" x14ac:dyDescent="0.3">
      <c r="A247" s="41">
        <f t="shared" si="2"/>
        <v>1210203103</v>
      </c>
      <c r="B247" s="41" t="s">
        <v>105</v>
      </c>
      <c r="C247" s="41" t="s">
        <v>108</v>
      </c>
      <c r="D247" s="41" t="str">
        <f>"Monster.Name."&amp;VLOOKUP($C247,'#Data'!$B$2:$J$344,2,FALSE)</f>
        <v>Monster.Name.core_hunter_1</v>
      </c>
      <c r="E247" s="41" t="s">
        <v>47</v>
      </c>
      <c r="F247" s="42" t="s">
        <v>44</v>
      </c>
      <c r="G247" s="41" t="s">
        <v>45</v>
      </c>
      <c r="H247" s="41" t="b">
        <f>IF(OR(VLOOKUP($C247,'#Data'!$B$2:$J$344,4,FALSE)="보스",VLOOKUP($C247,'#Data'!$B$2:$J$344,4,FALSE)="중간"),TRUE,FALSE)</f>
        <v>0</v>
      </c>
      <c r="I247" s="41" t="b">
        <v>0</v>
      </c>
      <c r="J247" s="41">
        <v>10</v>
      </c>
      <c r="K247" s="41">
        <f t="shared" si="3"/>
        <v>10</v>
      </c>
      <c r="L247" s="67" t="str">
        <f>$B247&amp;"."&amp;VLOOKUP($C247,'#Data'!$B$2:$J$344,2,FALSE)&amp;".attack0"&amp;RIGHT(L$1,1)</f>
        <v>Sector03.core_hunter_1.attack01</v>
      </c>
      <c r="M247" s="67"/>
      <c r="N247" s="67"/>
      <c r="O247" s="137" t="str">
        <f>$B247&amp;"."&amp;VLOOKUP($C247,'#Data'!$B$2:$J$344,2,FALSE)&amp;".skill0"&amp;RIGHT(O$1,1)</f>
        <v>Sector03.core_hunter_1.skill01</v>
      </c>
      <c r="P247" s="137" t="s">
        <v>2010</v>
      </c>
      <c r="Q247" s="137"/>
      <c r="R247" s="68"/>
      <c r="S247" s="68"/>
      <c r="T247" s="68"/>
      <c r="U247" s="68"/>
      <c r="V247" s="41" t="b">
        <v>0</v>
      </c>
      <c r="W247" s="41" t="str">
        <f>"Character/Prefabs/"&amp;VLOOKUP($C247,'#Data'!$B$3:$I$344,8,FALSE)</f>
        <v>Character/Prefabs/m_s_ranger_core_hunter_1</v>
      </c>
      <c r="X247" s="41"/>
      <c r="Y247" s="41" t="str">
        <f>VLOOKUP($C247,'#Data'!$B$3:$I$344,8,FALSE)</f>
        <v>m_s_ranger_core_hunter_1</v>
      </c>
      <c r="Z247" s="41"/>
      <c r="AA247" s="41"/>
      <c r="AB247" s="41"/>
      <c r="AC247" s="90">
        <v>0.9</v>
      </c>
      <c r="AD247" s="41"/>
      <c r="AE247" s="41"/>
      <c r="AF247" s="41"/>
      <c r="AG247" s="41" t="s">
        <v>2093</v>
      </c>
      <c r="AH247" s="85"/>
    </row>
    <row r="248" spans="1:34" x14ac:dyDescent="0.3">
      <c r="A248" s="41">
        <f t="shared" si="2"/>
        <v>1210203104</v>
      </c>
      <c r="B248" s="41" t="s">
        <v>105</v>
      </c>
      <c r="C248" s="41" t="s">
        <v>109</v>
      </c>
      <c r="D248" s="41" t="str">
        <f>"Monster.Name."&amp;VLOOKUP($C248,'#Data'!$B$2:$J$344,2,FALSE)</f>
        <v>Monster.Name.infturret_2</v>
      </c>
      <c r="E248" s="41" t="s">
        <v>47</v>
      </c>
      <c r="F248" s="42" t="s">
        <v>44</v>
      </c>
      <c r="G248" s="41" t="s">
        <v>45</v>
      </c>
      <c r="H248" s="41" t="b">
        <f>IF(OR(VLOOKUP($C248,'#Data'!$B$2:$J$344,4,FALSE)="보스",VLOOKUP($C248,'#Data'!$B$2:$J$344,4,FALSE)="중간"),TRUE,FALSE)</f>
        <v>0</v>
      </c>
      <c r="I248" s="41" t="b">
        <v>0</v>
      </c>
      <c r="J248" s="41">
        <v>10</v>
      </c>
      <c r="K248" s="41">
        <f t="shared" si="3"/>
        <v>10</v>
      </c>
      <c r="L248" s="67" t="str">
        <f>$B248&amp;"."&amp;VLOOKUP($C248,'#Data'!$B$2:$J$344,2,FALSE)&amp;".attack0"&amp;RIGHT(L$1,1)</f>
        <v>Sector03.infturret_2.attack01</v>
      </c>
      <c r="M248" s="67"/>
      <c r="N248" s="67"/>
      <c r="O248" s="137" t="s">
        <v>2011</v>
      </c>
      <c r="P248" s="137"/>
      <c r="Q248" s="137"/>
      <c r="R248" s="68"/>
      <c r="S248" s="68"/>
      <c r="T248" s="68"/>
      <c r="U248" s="68"/>
      <c r="V248" s="41" t="b">
        <v>0</v>
      </c>
      <c r="W248" s="41" t="str">
        <f>"Character/Prefabs/"&amp;VLOOKUP($C248,'#Data'!$B$3:$I$344,8,FALSE)</f>
        <v>Character/Prefabs/m_s_ranger_infturret_2</v>
      </c>
      <c r="X248" s="41"/>
      <c r="Y248" s="41" t="str">
        <f>VLOOKUP($C248,'#Data'!$B$3:$I$344,8,FALSE)</f>
        <v>m_s_ranger_infturret_2</v>
      </c>
      <c r="Z248" s="41"/>
      <c r="AA248" s="41"/>
      <c r="AB248" s="41"/>
      <c r="AC248" s="90">
        <v>0.6</v>
      </c>
      <c r="AD248" s="41"/>
      <c r="AE248" s="41"/>
      <c r="AF248" s="41"/>
      <c r="AG248" s="41" t="s">
        <v>2093</v>
      </c>
      <c r="AH248" s="85"/>
    </row>
    <row r="249" spans="1:34" x14ac:dyDescent="0.3">
      <c r="A249" s="41">
        <f t="shared" si="2"/>
        <v>1210203105</v>
      </c>
      <c r="B249" s="41" t="s">
        <v>105</v>
      </c>
      <c r="C249" s="41" t="s">
        <v>110</v>
      </c>
      <c r="D249" s="41" t="str">
        <f>"Monster.Name."&amp;VLOOKUP($C249,'#Data'!$B$2:$J$344,2,FALSE)</f>
        <v>Monster.Name.infdust_shield_2</v>
      </c>
      <c r="E249" s="41" t="s">
        <v>58</v>
      </c>
      <c r="F249" s="42" t="s">
        <v>44</v>
      </c>
      <c r="G249" s="41" t="s">
        <v>45</v>
      </c>
      <c r="H249" s="41" t="b">
        <f>IF(OR(VLOOKUP($C249,'#Data'!$B$2:$J$344,4,FALSE)="보스",VLOOKUP($C249,'#Data'!$B$2:$J$344,4,FALSE)="중간"),TRUE,FALSE)</f>
        <v>0</v>
      </c>
      <c r="I249" s="41" t="b">
        <v>0</v>
      </c>
      <c r="J249" s="41">
        <v>10</v>
      </c>
      <c r="K249" s="41">
        <f t="shared" si="3"/>
        <v>10</v>
      </c>
      <c r="L249" s="67" t="str">
        <f>$B249&amp;"."&amp;VLOOKUP($C249,'#Data'!$B$2:$J$344,2,FALSE)&amp;".attack0"&amp;RIGHT(L$1,1)</f>
        <v>Sector03.infdust_shield_2.attack01</v>
      </c>
      <c r="M249" s="67"/>
      <c r="N249" s="67"/>
      <c r="O249" s="137" t="str">
        <f>$B249&amp;"."&amp;VLOOKUP($C249,'#Data'!$B$2:$J$344,2,FALSE)&amp;".skill0"&amp;RIGHT(O$1,1)</f>
        <v>Sector03.infdust_shield_2.skill01</v>
      </c>
      <c r="P249" s="137" t="s">
        <v>2012</v>
      </c>
      <c r="Q249" s="137"/>
      <c r="R249" s="68"/>
      <c r="S249" s="68"/>
      <c r="T249" s="68"/>
      <c r="U249" s="68"/>
      <c r="V249" s="41" t="b">
        <v>0</v>
      </c>
      <c r="W249" s="41" t="str">
        <f>"Character/Prefabs/"&amp;VLOOKUP($C249,'#Data'!$B$3:$I$344,8,FALSE)</f>
        <v>Character/Prefabs/m_m_tanker_infdust_shield_2</v>
      </c>
      <c r="X249" s="41"/>
      <c r="Y249" s="41" t="str">
        <f>VLOOKUP($C249,'#Data'!$B$3:$I$344,8,FALSE)</f>
        <v>m_m_tanker_infdust_shield_2</v>
      </c>
      <c r="Z249" s="41"/>
      <c r="AA249" s="41"/>
      <c r="AB249" s="41"/>
      <c r="AC249" s="90">
        <v>0.7</v>
      </c>
      <c r="AD249" s="41"/>
      <c r="AE249" s="41"/>
      <c r="AF249" s="41"/>
      <c r="AG249" s="41" t="s">
        <v>2093</v>
      </c>
      <c r="AH249" s="85"/>
    </row>
    <row r="250" spans="1:34" x14ac:dyDescent="0.3">
      <c r="A250" s="41">
        <f t="shared" si="2"/>
        <v>1210203106</v>
      </c>
      <c r="B250" s="41" t="s">
        <v>105</v>
      </c>
      <c r="C250" s="41" t="s">
        <v>111</v>
      </c>
      <c r="D250" s="41" t="str">
        <f>"Monster.Name."&amp;VLOOKUP($C250,'#Data'!$B$2:$J$344,2,FALSE)</f>
        <v>Monster.Name.infdust_gauntlet_2</v>
      </c>
      <c r="E250" s="41" t="s">
        <v>43</v>
      </c>
      <c r="F250" s="42" t="s">
        <v>44</v>
      </c>
      <c r="G250" s="41" t="s">
        <v>45</v>
      </c>
      <c r="H250" s="41" t="b">
        <f>IF(OR(VLOOKUP($C250,'#Data'!$B$2:$J$344,4,FALSE)="보스",VLOOKUP($C250,'#Data'!$B$2:$J$344,4,FALSE)="중간"),TRUE,FALSE)</f>
        <v>0</v>
      </c>
      <c r="I250" s="41" t="b">
        <v>0</v>
      </c>
      <c r="J250" s="41">
        <v>10</v>
      </c>
      <c r="K250" s="41">
        <f t="shared" si="3"/>
        <v>10</v>
      </c>
      <c r="L250" s="67" t="str">
        <f>$B250&amp;"."&amp;VLOOKUP($C250,'#Data'!$B$2:$J$344,2,FALSE)&amp;".attack0"&amp;RIGHT(L$1,1)</f>
        <v>Sector03.infdust_gauntlet_2.attack01</v>
      </c>
      <c r="M250" s="67"/>
      <c r="N250" s="67"/>
      <c r="O250" s="137" t="str">
        <f>$B250&amp;"."&amp;VLOOKUP($C250,'#Data'!$B$2:$J$344,2,FALSE)&amp;".skill0"&amp;RIGHT(O$1,1)</f>
        <v>Sector03.infdust_gauntlet_2.skill01</v>
      </c>
      <c r="P250" s="137" t="s">
        <v>2013</v>
      </c>
      <c r="Q250" s="137"/>
      <c r="R250" s="68"/>
      <c r="S250" s="68"/>
      <c r="T250" s="68"/>
      <c r="U250" s="68"/>
      <c r="V250" s="41" t="b">
        <v>0</v>
      </c>
      <c r="W250" s="41" t="str">
        <f>"Character/Prefabs/"&amp;VLOOKUP($C250,'#Data'!$B$3:$I$344,8,FALSE)</f>
        <v>Character/Prefabs/m_m_attacker_infdust_gauntlet_2</v>
      </c>
      <c r="X250" s="41"/>
      <c r="Y250" s="41" t="str">
        <f>VLOOKUP($C250,'#Data'!$B$3:$I$344,8,FALSE)</f>
        <v>m_m_attacker_infdust_gauntlet_2</v>
      </c>
      <c r="Z250" s="41"/>
      <c r="AA250" s="41"/>
      <c r="AB250" s="41"/>
      <c r="AC250" s="90">
        <v>0.7</v>
      </c>
      <c r="AD250" s="41"/>
      <c r="AE250" s="41"/>
      <c r="AF250" s="41"/>
      <c r="AG250" s="41" t="s">
        <v>2093</v>
      </c>
      <c r="AH250" s="85"/>
    </row>
    <row r="251" spans="1:34" x14ac:dyDescent="0.3">
      <c r="A251" s="41">
        <f t="shared" si="2"/>
        <v>1210203107</v>
      </c>
      <c r="B251" s="41" t="s">
        <v>105</v>
      </c>
      <c r="C251" s="41" t="s">
        <v>112</v>
      </c>
      <c r="D251" s="41" t="str">
        <f>"Monster.Name."&amp;VLOOKUP($C251,'#Data'!$B$2:$J$344,2,FALSE)</f>
        <v>Monster.Name.infdust_rifle_2</v>
      </c>
      <c r="E251" s="41" t="s">
        <v>47</v>
      </c>
      <c r="F251" s="42" t="s">
        <v>44</v>
      </c>
      <c r="G251" s="41" t="s">
        <v>45</v>
      </c>
      <c r="H251" s="41" t="b">
        <f>IF(OR(VLOOKUP($C251,'#Data'!$B$2:$J$344,4,FALSE)="보스",VLOOKUP($C251,'#Data'!$B$2:$J$344,4,FALSE)="중간"),TRUE,FALSE)</f>
        <v>0</v>
      </c>
      <c r="I251" s="41" t="b">
        <v>0</v>
      </c>
      <c r="J251" s="41">
        <v>10</v>
      </c>
      <c r="K251" s="41">
        <f t="shared" si="3"/>
        <v>10</v>
      </c>
      <c r="L251" s="67" t="str">
        <f>$B251&amp;"."&amp;VLOOKUP($C251,'#Data'!$B$2:$J$344,2,FALSE)&amp;".attack0"&amp;RIGHT(L$1,1)</f>
        <v>Sector03.infdust_rifle_2.attack01</v>
      </c>
      <c r="M251" s="67"/>
      <c r="N251" s="67"/>
      <c r="O251" s="137" t="str">
        <f>$B251&amp;"."&amp;VLOOKUP($C251,'#Data'!$B$2:$J$344,2,FALSE)&amp;".skill0"&amp;RIGHT(O$1,1)</f>
        <v>Sector03.infdust_rifle_2.skill01</v>
      </c>
      <c r="P251" s="137" t="s">
        <v>2014</v>
      </c>
      <c r="Q251" s="137"/>
      <c r="R251" s="68"/>
      <c r="S251" s="68"/>
      <c r="T251" s="68"/>
      <c r="U251" s="68"/>
      <c r="V251" s="41" t="b">
        <v>0</v>
      </c>
      <c r="W251" s="41" t="str">
        <f>"Character/Prefabs/"&amp;VLOOKUP($C251,'#Data'!$B$3:$I$344,8,FALSE)</f>
        <v>Character/Prefabs/m_m_ranger_infdust_rifle_2</v>
      </c>
      <c r="X251" s="41"/>
      <c r="Y251" s="41" t="str">
        <f>VLOOKUP($C251,'#Data'!$B$3:$I$344,8,FALSE)</f>
        <v>m_m_ranger_infdust_rifle_2</v>
      </c>
      <c r="Z251" s="41"/>
      <c r="AA251" s="41"/>
      <c r="AB251" s="41"/>
      <c r="AC251" s="90">
        <v>0.7</v>
      </c>
      <c r="AD251" s="41"/>
      <c r="AE251" s="41"/>
      <c r="AF251" s="41"/>
      <c r="AG251" s="41" t="s">
        <v>2093</v>
      </c>
      <c r="AH251" s="85"/>
    </row>
    <row r="252" spans="1:34" x14ac:dyDescent="0.3">
      <c r="A252" s="41">
        <f t="shared" si="2"/>
        <v>1210203108</v>
      </c>
      <c r="B252" s="41" t="s">
        <v>105</v>
      </c>
      <c r="C252" s="41" t="s">
        <v>113</v>
      </c>
      <c r="D252" s="41" t="str">
        <f>"Monster.Name."&amp;VLOOKUP($C252,'#Data'!$B$2:$J$344,2,FALSE)</f>
        <v>Monster.Name.infdust_launcher_2</v>
      </c>
      <c r="E252" s="41" t="s">
        <v>47</v>
      </c>
      <c r="F252" s="42" t="s">
        <v>44</v>
      </c>
      <c r="G252" s="41" t="s">
        <v>45</v>
      </c>
      <c r="H252" s="41" t="b">
        <f>IF(OR(VLOOKUP($C252,'#Data'!$B$2:$J$344,4,FALSE)="보스",VLOOKUP($C252,'#Data'!$B$2:$J$344,4,FALSE)="중간"),TRUE,FALSE)</f>
        <v>0</v>
      </c>
      <c r="I252" s="41" t="b">
        <v>0</v>
      </c>
      <c r="J252" s="41">
        <v>10</v>
      </c>
      <c r="K252" s="41">
        <f t="shared" si="3"/>
        <v>10</v>
      </c>
      <c r="L252" s="67" t="str">
        <f>$B252&amp;"."&amp;VLOOKUP($C252,'#Data'!$B$2:$J$344,2,FALSE)&amp;".attack0"&amp;RIGHT(L$1,1)</f>
        <v>Sector03.infdust_launcher_2.attack01</v>
      </c>
      <c r="M252" s="67"/>
      <c r="N252" s="67"/>
      <c r="O252" s="137" t="str">
        <f>$B252&amp;"."&amp;VLOOKUP($C252,'#Data'!$B$2:$J$344,2,FALSE)&amp;".skill0"&amp;RIGHT(O$1,1)</f>
        <v>Sector03.infdust_launcher_2.skill01</v>
      </c>
      <c r="P252" s="137" t="s">
        <v>2015</v>
      </c>
      <c r="Q252" s="137"/>
      <c r="R252" s="68"/>
      <c r="S252" s="68"/>
      <c r="T252" s="68"/>
      <c r="U252" s="68"/>
      <c r="V252" s="41" t="b">
        <v>0</v>
      </c>
      <c r="W252" s="41" t="str">
        <f>"Character/Prefabs/"&amp;VLOOKUP($C252,'#Data'!$B$3:$I$344,8,FALSE)</f>
        <v>Character/Prefabs/m_m_ranger_infdust_launcher_2</v>
      </c>
      <c r="X252" s="41"/>
      <c r="Y252" s="41" t="str">
        <f>VLOOKUP($C252,'#Data'!$B$3:$I$344,8,FALSE)</f>
        <v>m_m_ranger_infdust_launcher_2</v>
      </c>
      <c r="Z252" s="41"/>
      <c r="AA252" s="41"/>
      <c r="AB252" s="41"/>
      <c r="AC252" s="90">
        <v>0.7</v>
      </c>
      <c r="AD252" s="41"/>
      <c r="AE252" s="41"/>
      <c r="AF252" s="41"/>
      <c r="AG252" s="41" t="s">
        <v>2093</v>
      </c>
      <c r="AH252" s="85"/>
    </row>
    <row r="253" spans="1:34" x14ac:dyDescent="0.3">
      <c r="A253" s="41">
        <f t="shared" si="2"/>
        <v>1210203109</v>
      </c>
      <c r="B253" s="41" t="s">
        <v>105</v>
      </c>
      <c r="C253" s="41" t="s">
        <v>114</v>
      </c>
      <c r="D253" s="41" t="str">
        <f>"Monster.Name."&amp;VLOOKUP($C253,'#Data'!$B$2:$J$344,2,FALSE)</f>
        <v>Monster.Name.head_snatcher_1</v>
      </c>
      <c r="E253" s="41" t="s">
        <v>43</v>
      </c>
      <c r="F253" s="42" t="s">
        <v>44</v>
      </c>
      <c r="G253" s="41" t="s">
        <v>45</v>
      </c>
      <c r="H253" s="41" t="b">
        <f>IF(OR(VLOOKUP($C253,'#Data'!$B$2:$J$344,4,FALSE)="보스",VLOOKUP($C253,'#Data'!$B$2:$J$344,4,FALSE)="중간"),TRUE,FALSE)</f>
        <v>0</v>
      </c>
      <c r="I253" s="41" t="b">
        <v>0</v>
      </c>
      <c r="J253" s="41">
        <v>10</v>
      </c>
      <c r="K253" s="41">
        <f t="shared" si="3"/>
        <v>10</v>
      </c>
      <c r="L253" s="67" t="str">
        <f>$B253&amp;"."&amp;VLOOKUP($C253,'#Data'!$B$2:$J$344,2,FALSE)&amp;".attack0"&amp;RIGHT(L$1,1)</f>
        <v>Sector03.head_snatcher_1.attack01</v>
      </c>
      <c r="M253" s="67"/>
      <c r="N253" s="67"/>
      <c r="O253" s="137" t="str">
        <f>$B253&amp;"."&amp;VLOOKUP($C253,'#Data'!$B$2:$J$344,2,FALSE)&amp;".skill0"&amp;RIGHT(O$1,1)</f>
        <v>Sector03.head_snatcher_1.skill01</v>
      </c>
      <c r="P253" s="137" t="s">
        <v>2016</v>
      </c>
      <c r="Q253" s="137"/>
      <c r="R253" s="68"/>
      <c r="S253" s="68"/>
      <c r="T253" s="68"/>
      <c r="U253" s="68"/>
      <c r="V253" s="41" t="b">
        <v>0</v>
      </c>
      <c r="W253" s="41" t="str">
        <f>"Character/Prefabs/"&amp;VLOOKUP($C253,'#Data'!$B$3:$I$344,8,FALSE)</f>
        <v>Character/Prefabs/m_m_attacker_head_snatcher_1</v>
      </c>
      <c r="X253" s="41"/>
      <c r="Y253" s="41" t="str">
        <f>VLOOKUP($C253,'#Data'!$B$3:$I$344,8,FALSE)</f>
        <v>m_m_attacker_head_snatcher_1</v>
      </c>
      <c r="Z253" s="41"/>
      <c r="AA253" s="41"/>
      <c r="AB253" s="41"/>
      <c r="AC253" s="90">
        <v>0.7</v>
      </c>
      <c r="AD253" s="41"/>
      <c r="AE253" s="41"/>
      <c r="AF253" s="41"/>
      <c r="AG253" s="41" t="s">
        <v>2093</v>
      </c>
      <c r="AH253" s="85"/>
    </row>
    <row r="254" spans="1:34" x14ac:dyDescent="0.3">
      <c r="A254" s="41">
        <f t="shared" si="2"/>
        <v>1210203110</v>
      </c>
      <c r="B254" s="41" t="s">
        <v>105</v>
      </c>
      <c r="C254" s="41" t="s">
        <v>115</v>
      </c>
      <c r="D254" s="41" t="str">
        <f>"Monster.Name."&amp;VLOOKUP($C254,'#Data'!$B$2:$J$344,2,FALSE)</f>
        <v>Monster.Name.core_snatcher_1</v>
      </c>
      <c r="E254" s="41" t="s">
        <v>47</v>
      </c>
      <c r="F254" s="42" t="s">
        <v>44</v>
      </c>
      <c r="G254" s="41" t="s">
        <v>45</v>
      </c>
      <c r="H254" s="41" t="b">
        <f>IF(OR(VLOOKUP($C254,'#Data'!$B$2:$J$344,4,FALSE)="보스",VLOOKUP($C254,'#Data'!$B$2:$J$344,4,FALSE)="중간"),TRUE,FALSE)</f>
        <v>0</v>
      </c>
      <c r="I254" s="41" t="b">
        <v>0</v>
      </c>
      <c r="J254" s="41">
        <v>10</v>
      </c>
      <c r="K254" s="41">
        <f t="shared" si="3"/>
        <v>10</v>
      </c>
      <c r="L254" s="67" t="str">
        <f>$B254&amp;"."&amp;VLOOKUP($C254,'#Data'!$B$2:$J$344,2,FALSE)&amp;".attack0"&amp;RIGHT(L$1,1)</f>
        <v>Sector03.core_snatcher_1.attack01</v>
      </c>
      <c r="M254" s="67"/>
      <c r="N254" s="67"/>
      <c r="O254" s="137" t="str">
        <f>$B254&amp;"."&amp;VLOOKUP($C254,'#Data'!$B$2:$J$344,2,FALSE)&amp;".skill0"&amp;RIGHT(O$1,1)</f>
        <v>Sector03.core_snatcher_1.skill01</v>
      </c>
      <c r="P254" s="137" t="s">
        <v>2017</v>
      </c>
      <c r="Q254" s="137"/>
      <c r="R254" s="68"/>
      <c r="S254" s="68"/>
      <c r="T254" s="68"/>
      <c r="U254" s="68"/>
      <c r="V254" s="41" t="b">
        <v>0</v>
      </c>
      <c r="W254" s="41" t="str">
        <f>"Character/Prefabs/"&amp;VLOOKUP($C254,'#Data'!$B$3:$I$344,8,FALSE)</f>
        <v>Character/Prefabs/m_m_ranger_core_snatcher_1</v>
      </c>
      <c r="X254" s="41"/>
      <c r="Y254" s="41" t="str">
        <f>VLOOKUP($C254,'#Data'!$B$3:$I$344,8,FALSE)</f>
        <v>m_m_ranger_core_snatcher_1</v>
      </c>
      <c r="Z254" s="41"/>
      <c r="AA254" s="41"/>
      <c r="AB254" s="41"/>
      <c r="AC254" s="90">
        <v>0.7</v>
      </c>
      <c r="AD254" s="41"/>
      <c r="AE254" s="41"/>
      <c r="AF254" s="41"/>
      <c r="AG254" s="41" t="s">
        <v>2093</v>
      </c>
      <c r="AH254" s="85"/>
    </row>
    <row r="255" spans="1:34" x14ac:dyDescent="0.3">
      <c r="A255" s="19">
        <f t="shared" si="2"/>
        <v>1210203111</v>
      </c>
      <c r="B255" s="19" t="s">
        <v>105</v>
      </c>
      <c r="C255" s="19" t="s">
        <v>1241</v>
      </c>
      <c r="D255" s="19" t="str">
        <f>"Monster.Name."&amp;VLOOKUP($C255,'#Data'!$B$2:$J$344,2,FALSE)</f>
        <v>Monster.Name.brain_hunter_2</v>
      </c>
      <c r="E255" s="19" t="s">
        <v>43</v>
      </c>
      <c r="F255" s="48" t="s">
        <v>44</v>
      </c>
      <c r="G255" s="19" t="s">
        <v>45</v>
      </c>
      <c r="H255" s="19" t="b">
        <f>IF(OR(VLOOKUP($C255,'#Data'!$B$2:$J$344,4,FALSE)="보스",VLOOKUP($C255,'#Data'!$B$2:$J$344,4,FALSE)="중간"),TRUE,FALSE)</f>
        <v>0</v>
      </c>
      <c r="I255" s="19" t="b">
        <v>0</v>
      </c>
      <c r="J255" s="19">
        <v>10</v>
      </c>
      <c r="K255" s="19">
        <f t="shared" si="3"/>
        <v>10</v>
      </c>
      <c r="L255" s="69" t="s">
        <v>1332</v>
      </c>
      <c r="M255" s="69"/>
      <c r="N255" s="69"/>
      <c r="O255" s="138"/>
      <c r="P255" s="138"/>
      <c r="Q255" s="138"/>
      <c r="R255" s="70"/>
      <c r="S255" s="70"/>
      <c r="T255" s="70"/>
      <c r="U255" s="70"/>
      <c r="V255" s="19" t="b">
        <v>0</v>
      </c>
      <c r="W255" s="19" t="str">
        <f>"Character/Prefabs/"&amp;VLOOKUP($C255,'#Data'!$B$3:$I$344,8,FALSE)</f>
        <v>Character/Prefabs/m_s_attacker_brain_hunter_2</v>
      </c>
      <c r="X255" s="19"/>
      <c r="Y255" s="19" t="str">
        <f>VLOOKUP($C255,'#Data'!$B$3:$I$344,8,FALSE)</f>
        <v>m_s_attacker_brain_hunter_2</v>
      </c>
      <c r="Z255" s="19"/>
      <c r="AA255" s="19"/>
      <c r="AB255" s="19"/>
      <c r="AC255" s="91">
        <v>0.9</v>
      </c>
      <c r="AD255" s="19"/>
      <c r="AE255" s="19"/>
      <c r="AF255" s="19"/>
      <c r="AG255" s="19" t="s">
        <v>2093</v>
      </c>
      <c r="AH255" s="85"/>
    </row>
    <row r="256" spans="1:34" x14ac:dyDescent="0.3">
      <c r="A256" s="19">
        <f t="shared" si="2"/>
        <v>1210203112</v>
      </c>
      <c r="B256" s="19" t="s">
        <v>105</v>
      </c>
      <c r="C256" s="19" t="s">
        <v>1243</v>
      </c>
      <c r="D256" s="19" t="str">
        <f>"Monster.Name."&amp;VLOOKUP($C256,'#Data'!$B$2:$J$344,2,FALSE)</f>
        <v>Monster.Name.infmecha_3</v>
      </c>
      <c r="E256" s="19" t="s">
        <v>43</v>
      </c>
      <c r="F256" s="48" t="s">
        <v>44</v>
      </c>
      <c r="G256" s="19" t="s">
        <v>45</v>
      </c>
      <c r="H256" s="19" t="b">
        <f>IF(OR(VLOOKUP($C256,'#Data'!$B$2:$J$344,4,FALSE)="보스",VLOOKUP($C256,'#Data'!$B$2:$J$344,4,FALSE)="중간"),TRUE,FALSE)</f>
        <v>0</v>
      </c>
      <c r="I256" s="19" t="b">
        <v>0</v>
      </c>
      <c r="J256" s="19">
        <v>10</v>
      </c>
      <c r="K256" s="19">
        <f t="shared" si="3"/>
        <v>10</v>
      </c>
      <c r="L256" s="69" t="s">
        <v>1333</v>
      </c>
      <c r="M256" s="69"/>
      <c r="N256" s="69"/>
      <c r="O256" s="138" t="s">
        <v>2009</v>
      </c>
      <c r="P256" s="138"/>
      <c r="Q256" s="138"/>
      <c r="R256" s="70"/>
      <c r="S256" s="70"/>
      <c r="T256" s="70"/>
      <c r="U256" s="70"/>
      <c r="V256" s="19" t="b">
        <v>0</v>
      </c>
      <c r="W256" s="19" t="str">
        <f>"Character/Prefabs/"&amp;VLOOKUP($C256,'#Data'!$B$3:$I$344,8,FALSE)</f>
        <v>Character/Prefabs/m_s_attacker_infmecha_3</v>
      </c>
      <c r="X256" s="19"/>
      <c r="Y256" s="19" t="str">
        <f>VLOOKUP($C256,'#Data'!$B$3:$I$344,8,FALSE)</f>
        <v>m_s_attacker_infmecha_3</v>
      </c>
      <c r="Z256" s="19"/>
      <c r="AA256" s="19"/>
      <c r="AB256" s="19"/>
      <c r="AC256" s="91">
        <v>0.6</v>
      </c>
      <c r="AD256" s="19"/>
      <c r="AE256" s="19"/>
      <c r="AF256" s="19"/>
      <c r="AG256" s="19" t="s">
        <v>2093</v>
      </c>
      <c r="AH256" s="85"/>
    </row>
    <row r="257" spans="1:36" x14ac:dyDescent="0.3">
      <c r="A257" s="19">
        <f t="shared" si="2"/>
        <v>1210203113</v>
      </c>
      <c r="B257" s="19" t="s">
        <v>105</v>
      </c>
      <c r="C257" s="19" t="s">
        <v>1245</v>
      </c>
      <c r="D257" s="19" t="str">
        <f>"Monster.Name."&amp;VLOOKUP($C257,'#Data'!$B$2:$J$344,2,FALSE)</f>
        <v>Monster.Name.core_hunter_2</v>
      </c>
      <c r="E257" s="19" t="s">
        <v>47</v>
      </c>
      <c r="F257" s="48" t="s">
        <v>44</v>
      </c>
      <c r="G257" s="19" t="s">
        <v>45</v>
      </c>
      <c r="H257" s="19" t="b">
        <f>IF(OR(VLOOKUP($C257,'#Data'!$B$2:$J$344,4,FALSE)="보스",VLOOKUP($C257,'#Data'!$B$2:$J$344,4,FALSE)="중간"),TRUE,FALSE)</f>
        <v>0</v>
      </c>
      <c r="I257" s="19" t="b">
        <v>0</v>
      </c>
      <c r="J257" s="19">
        <v>10</v>
      </c>
      <c r="K257" s="19">
        <f t="shared" si="3"/>
        <v>10</v>
      </c>
      <c r="L257" s="69" t="s">
        <v>1334</v>
      </c>
      <c r="M257" s="69"/>
      <c r="N257" s="69"/>
      <c r="O257" s="138" t="s">
        <v>2010</v>
      </c>
      <c r="P257" s="138"/>
      <c r="Q257" s="138"/>
      <c r="R257" s="70"/>
      <c r="S257" s="70"/>
      <c r="T257" s="70"/>
      <c r="U257" s="70"/>
      <c r="V257" s="19" t="b">
        <v>0</v>
      </c>
      <c r="W257" s="19" t="str">
        <f>"Character/Prefabs/"&amp;VLOOKUP($C257,'#Data'!$B$3:$I$344,8,FALSE)</f>
        <v>Character/Prefabs/m_s_ranger_core_hunter_2</v>
      </c>
      <c r="X257" s="19"/>
      <c r="Y257" s="19" t="str">
        <f>VLOOKUP($C257,'#Data'!$B$3:$I$344,8,FALSE)</f>
        <v>m_s_ranger_core_hunter_2</v>
      </c>
      <c r="Z257" s="19"/>
      <c r="AA257" s="19"/>
      <c r="AB257" s="19"/>
      <c r="AC257" s="91">
        <v>0.9</v>
      </c>
      <c r="AD257" s="19"/>
      <c r="AE257" s="19"/>
      <c r="AF257" s="19"/>
      <c r="AG257" s="19" t="s">
        <v>2093</v>
      </c>
      <c r="AH257" s="85"/>
    </row>
    <row r="258" spans="1:36" x14ac:dyDescent="0.3">
      <c r="A258" s="19">
        <f t="shared" si="2"/>
        <v>1210203114</v>
      </c>
      <c r="B258" s="19" t="s">
        <v>105</v>
      </c>
      <c r="C258" s="19" t="s">
        <v>1247</v>
      </c>
      <c r="D258" s="19" t="str">
        <f>"Monster.Name."&amp;VLOOKUP($C258,'#Data'!$B$2:$J$344,2,FALSE)</f>
        <v>Monster.Name.infturret_3</v>
      </c>
      <c r="E258" s="19" t="s">
        <v>47</v>
      </c>
      <c r="F258" s="48" t="s">
        <v>44</v>
      </c>
      <c r="G258" s="19" t="s">
        <v>45</v>
      </c>
      <c r="H258" s="19" t="b">
        <f>IF(OR(VLOOKUP($C258,'#Data'!$B$2:$J$344,4,FALSE)="보스",VLOOKUP($C258,'#Data'!$B$2:$J$344,4,FALSE)="중간"),TRUE,FALSE)</f>
        <v>0</v>
      </c>
      <c r="I258" s="19" t="b">
        <v>0</v>
      </c>
      <c r="J258" s="19">
        <v>10</v>
      </c>
      <c r="K258" s="19">
        <f t="shared" si="3"/>
        <v>10</v>
      </c>
      <c r="L258" s="69" t="s">
        <v>1335</v>
      </c>
      <c r="M258" s="69"/>
      <c r="N258" s="69"/>
      <c r="O258" s="138" t="s">
        <v>2011</v>
      </c>
      <c r="P258" s="138"/>
      <c r="Q258" s="138"/>
      <c r="R258" s="70"/>
      <c r="S258" s="70"/>
      <c r="T258" s="70"/>
      <c r="U258" s="70"/>
      <c r="V258" s="19" t="b">
        <v>0</v>
      </c>
      <c r="W258" s="19" t="str">
        <f>"Character/Prefabs/"&amp;VLOOKUP($C258,'#Data'!$B$3:$I$344,8,FALSE)</f>
        <v>Character/Prefabs/m_s_ranger_infturret_3</v>
      </c>
      <c r="X258" s="19"/>
      <c r="Y258" s="19" t="str">
        <f>VLOOKUP($C258,'#Data'!$B$3:$I$344,8,FALSE)</f>
        <v>m_s_ranger_infturret_3</v>
      </c>
      <c r="Z258" s="19"/>
      <c r="AA258" s="19"/>
      <c r="AB258" s="19"/>
      <c r="AC258" s="91">
        <v>0.6</v>
      </c>
      <c r="AD258" s="19"/>
      <c r="AE258" s="19"/>
      <c r="AF258" s="19"/>
      <c r="AG258" s="19" t="s">
        <v>2093</v>
      </c>
      <c r="AH258" s="85"/>
    </row>
    <row r="259" spans="1:36" x14ac:dyDescent="0.3">
      <c r="A259" s="19">
        <f t="shared" si="2"/>
        <v>1210203115</v>
      </c>
      <c r="B259" s="19" t="s">
        <v>105</v>
      </c>
      <c r="C259" s="19" t="s">
        <v>1249</v>
      </c>
      <c r="D259" s="19" t="str">
        <f>"Monster.Name."&amp;VLOOKUP($C259,'#Data'!$B$2:$J$344,2,FALSE)</f>
        <v>Monster.Name.infdust_shield_3</v>
      </c>
      <c r="E259" s="19" t="s">
        <v>58</v>
      </c>
      <c r="F259" s="48" t="s">
        <v>44</v>
      </c>
      <c r="G259" s="19" t="s">
        <v>45</v>
      </c>
      <c r="H259" s="19" t="b">
        <f>IF(OR(VLOOKUP($C259,'#Data'!$B$2:$J$344,4,FALSE)="보스",VLOOKUP($C259,'#Data'!$B$2:$J$344,4,FALSE)="중간"),TRUE,FALSE)</f>
        <v>0</v>
      </c>
      <c r="I259" s="19" t="b">
        <v>0</v>
      </c>
      <c r="J259" s="19">
        <v>10</v>
      </c>
      <c r="K259" s="19">
        <f t="shared" si="3"/>
        <v>10</v>
      </c>
      <c r="L259" s="69" t="s">
        <v>1336</v>
      </c>
      <c r="M259" s="69"/>
      <c r="N259" s="69"/>
      <c r="O259" s="138" t="s">
        <v>1342</v>
      </c>
      <c r="P259" s="138" t="s">
        <v>2012</v>
      </c>
      <c r="Q259" s="138"/>
      <c r="R259" s="70"/>
      <c r="S259" s="70"/>
      <c r="T259" s="70"/>
      <c r="U259" s="70"/>
      <c r="V259" s="19" t="b">
        <v>0</v>
      </c>
      <c r="W259" s="19" t="str">
        <f>"Character/Prefabs/"&amp;VLOOKUP($C259,'#Data'!$B$3:$I$344,8,FALSE)</f>
        <v>Character/Prefabs/m_m_tanker_infdust_shield_3</v>
      </c>
      <c r="X259" s="19"/>
      <c r="Y259" s="19" t="str">
        <f>VLOOKUP($C259,'#Data'!$B$3:$I$344,8,FALSE)</f>
        <v>m_m_tanker_infdust_shield_3</v>
      </c>
      <c r="Z259" s="19"/>
      <c r="AA259" s="19"/>
      <c r="AB259" s="19"/>
      <c r="AC259" s="91">
        <v>0.7</v>
      </c>
      <c r="AD259" s="19"/>
      <c r="AE259" s="19"/>
      <c r="AF259" s="19"/>
      <c r="AG259" s="19" t="s">
        <v>2093</v>
      </c>
      <c r="AH259" s="85"/>
    </row>
    <row r="260" spans="1:36" x14ac:dyDescent="0.3">
      <c r="A260" s="19">
        <f t="shared" si="2"/>
        <v>1210203116</v>
      </c>
      <c r="B260" s="19" t="s">
        <v>105</v>
      </c>
      <c r="C260" s="19" t="s">
        <v>1251</v>
      </c>
      <c r="D260" s="19" t="str">
        <f>"Monster.Name."&amp;VLOOKUP($C260,'#Data'!$B$2:$J$344,2,FALSE)</f>
        <v>Monster.Name.infdust_gauntlet_3</v>
      </c>
      <c r="E260" s="19" t="s">
        <v>43</v>
      </c>
      <c r="F260" s="48" t="s">
        <v>44</v>
      </c>
      <c r="G260" s="19" t="s">
        <v>45</v>
      </c>
      <c r="H260" s="19" t="b">
        <f>IF(OR(VLOOKUP($C260,'#Data'!$B$2:$J$344,4,FALSE)="보스",VLOOKUP($C260,'#Data'!$B$2:$J$344,4,FALSE)="중간"),TRUE,FALSE)</f>
        <v>0</v>
      </c>
      <c r="I260" s="19" t="b">
        <v>0</v>
      </c>
      <c r="J260" s="19">
        <v>10</v>
      </c>
      <c r="K260" s="19">
        <f t="shared" si="3"/>
        <v>10</v>
      </c>
      <c r="L260" s="69" t="s">
        <v>1337</v>
      </c>
      <c r="M260" s="69"/>
      <c r="N260" s="69"/>
      <c r="O260" s="138" t="s">
        <v>1343</v>
      </c>
      <c r="P260" s="138" t="s">
        <v>2013</v>
      </c>
      <c r="Q260" s="138"/>
      <c r="R260" s="70"/>
      <c r="S260" s="70"/>
      <c r="T260" s="70"/>
      <c r="U260" s="70"/>
      <c r="V260" s="19" t="b">
        <v>0</v>
      </c>
      <c r="W260" s="19" t="str">
        <f>"Character/Prefabs/"&amp;VLOOKUP($C260,'#Data'!$B$3:$I$344,8,FALSE)</f>
        <v>Character/Prefabs/m_m_attacker_infdust_gauntlet_3</v>
      </c>
      <c r="X260" s="19"/>
      <c r="Y260" s="19" t="str">
        <f>VLOOKUP($C260,'#Data'!$B$3:$I$344,8,FALSE)</f>
        <v>m_m_attacker_infdust_gauntlet_3</v>
      </c>
      <c r="Z260" s="19"/>
      <c r="AA260" s="19"/>
      <c r="AB260" s="19"/>
      <c r="AC260" s="91">
        <v>0.7</v>
      </c>
      <c r="AD260" s="19"/>
      <c r="AE260" s="19"/>
      <c r="AF260" s="19"/>
      <c r="AG260" s="19" t="s">
        <v>2093</v>
      </c>
      <c r="AH260" s="85"/>
    </row>
    <row r="261" spans="1:36" x14ac:dyDescent="0.3">
      <c r="A261" s="19">
        <f t="shared" si="2"/>
        <v>1210203117</v>
      </c>
      <c r="B261" s="19" t="s">
        <v>105</v>
      </c>
      <c r="C261" s="19" t="s">
        <v>1253</v>
      </c>
      <c r="D261" s="19" t="str">
        <f>"Monster.Name."&amp;VLOOKUP($C261,'#Data'!$B$2:$J$344,2,FALSE)</f>
        <v>Monster.Name.infdust_rifle_3</v>
      </c>
      <c r="E261" s="19" t="s">
        <v>47</v>
      </c>
      <c r="F261" s="48" t="s">
        <v>44</v>
      </c>
      <c r="G261" s="19" t="s">
        <v>45</v>
      </c>
      <c r="H261" s="19" t="b">
        <f>IF(OR(VLOOKUP($C261,'#Data'!$B$2:$J$344,4,FALSE)="보스",VLOOKUP($C261,'#Data'!$B$2:$J$344,4,FALSE)="중간"),TRUE,FALSE)</f>
        <v>0</v>
      </c>
      <c r="I261" s="19" t="b">
        <v>0</v>
      </c>
      <c r="J261" s="19">
        <v>10</v>
      </c>
      <c r="K261" s="19">
        <f t="shared" si="3"/>
        <v>10</v>
      </c>
      <c r="L261" s="69" t="s">
        <v>1338</v>
      </c>
      <c r="M261" s="69"/>
      <c r="N261" s="69"/>
      <c r="O261" s="138" t="s">
        <v>1344</v>
      </c>
      <c r="P261" s="138" t="s">
        <v>2014</v>
      </c>
      <c r="Q261" s="138"/>
      <c r="R261" s="70"/>
      <c r="S261" s="70"/>
      <c r="T261" s="70"/>
      <c r="U261" s="70"/>
      <c r="V261" s="19" t="b">
        <v>0</v>
      </c>
      <c r="W261" s="19" t="str">
        <f>"Character/Prefabs/"&amp;VLOOKUP($C261,'#Data'!$B$3:$I$344,8,FALSE)</f>
        <v>Character/Prefabs/m_m_ranger_infdust_rifle_3</v>
      </c>
      <c r="X261" s="19"/>
      <c r="Y261" s="19" t="str">
        <f>VLOOKUP($C261,'#Data'!$B$3:$I$344,8,FALSE)</f>
        <v>m_m_ranger_infdust_rifle_3</v>
      </c>
      <c r="Z261" s="19"/>
      <c r="AA261" s="19"/>
      <c r="AB261" s="19"/>
      <c r="AC261" s="91">
        <v>0.7</v>
      </c>
      <c r="AD261" s="19"/>
      <c r="AE261" s="19"/>
      <c r="AF261" s="19"/>
      <c r="AG261" s="19" t="s">
        <v>2093</v>
      </c>
      <c r="AH261" s="85"/>
    </row>
    <row r="262" spans="1:36" x14ac:dyDescent="0.3">
      <c r="A262" s="19">
        <f t="shared" si="2"/>
        <v>1210203118</v>
      </c>
      <c r="B262" s="19" t="s">
        <v>105</v>
      </c>
      <c r="C262" s="19" t="s">
        <v>1255</v>
      </c>
      <c r="D262" s="19" t="str">
        <f>"Monster.Name."&amp;VLOOKUP($C262,'#Data'!$B$2:$J$344,2,FALSE)</f>
        <v>Monster.Name.infdust_launcher_3</v>
      </c>
      <c r="E262" s="19" t="s">
        <v>47</v>
      </c>
      <c r="F262" s="48" t="s">
        <v>44</v>
      </c>
      <c r="G262" s="19" t="s">
        <v>45</v>
      </c>
      <c r="H262" s="19" t="b">
        <f>IF(OR(VLOOKUP($C262,'#Data'!$B$2:$J$344,4,FALSE)="보스",VLOOKUP($C262,'#Data'!$B$2:$J$344,4,FALSE)="중간"),TRUE,FALSE)</f>
        <v>0</v>
      </c>
      <c r="I262" s="19" t="b">
        <v>0</v>
      </c>
      <c r="J262" s="19">
        <v>10</v>
      </c>
      <c r="K262" s="19">
        <f t="shared" si="3"/>
        <v>10</v>
      </c>
      <c r="L262" s="69" t="s">
        <v>1339</v>
      </c>
      <c r="M262" s="69"/>
      <c r="N262" s="69"/>
      <c r="O262" s="138" t="s">
        <v>1345</v>
      </c>
      <c r="P262" s="138" t="s">
        <v>2015</v>
      </c>
      <c r="Q262" s="138"/>
      <c r="R262" s="70"/>
      <c r="S262" s="70"/>
      <c r="T262" s="70"/>
      <c r="U262" s="70"/>
      <c r="V262" s="19" t="b">
        <v>0</v>
      </c>
      <c r="W262" s="19" t="str">
        <f>"Character/Prefabs/"&amp;VLOOKUP($C262,'#Data'!$B$3:$I$344,8,FALSE)</f>
        <v>Character/Prefabs/m_m_ranger_infdust_launcher_3</v>
      </c>
      <c r="X262" s="19"/>
      <c r="Y262" s="19" t="str">
        <f>VLOOKUP($C262,'#Data'!$B$3:$I$344,8,FALSE)</f>
        <v>m_m_ranger_infdust_launcher_3</v>
      </c>
      <c r="Z262" s="19"/>
      <c r="AA262" s="19"/>
      <c r="AB262" s="19"/>
      <c r="AC262" s="91">
        <v>0.7</v>
      </c>
      <c r="AD262" s="19"/>
      <c r="AE262" s="19"/>
      <c r="AF262" s="19"/>
      <c r="AG262" s="19" t="s">
        <v>2093</v>
      </c>
      <c r="AH262" s="85"/>
    </row>
    <row r="263" spans="1:36" x14ac:dyDescent="0.3">
      <c r="A263" s="19">
        <f t="shared" ref="A263:A294" si="4">A68+100000000</f>
        <v>1210203119</v>
      </c>
      <c r="B263" s="19" t="s">
        <v>105</v>
      </c>
      <c r="C263" s="19" t="s">
        <v>1257</v>
      </c>
      <c r="D263" s="19" t="str">
        <f>"Monster.Name."&amp;VLOOKUP($C263,'#Data'!$B$2:$J$344,2,FALSE)</f>
        <v>Monster.Name.head_snatcher_2</v>
      </c>
      <c r="E263" s="19" t="s">
        <v>43</v>
      </c>
      <c r="F263" s="48" t="s">
        <v>44</v>
      </c>
      <c r="G263" s="19" t="s">
        <v>45</v>
      </c>
      <c r="H263" s="19" t="b">
        <f>IF(OR(VLOOKUP($C263,'#Data'!$B$2:$J$344,4,FALSE)="보스",VLOOKUP($C263,'#Data'!$B$2:$J$344,4,FALSE)="중간"),TRUE,FALSE)</f>
        <v>0</v>
      </c>
      <c r="I263" s="19" t="b">
        <v>0</v>
      </c>
      <c r="J263" s="19">
        <v>10</v>
      </c>
      <c r="K263" s="19">
        <f t="shared" ref="K263:K294" si="5">K68</f>
        <v>10</v>
      </c>
      <c r="L263" s="69" t="s">
        <v>1340</v>
      </c>
      <c r="M263" s="69"/>
      <c r="N263" s="69"/>
      <c r="O263" s="138" t="s">
        <v>1346</v>
      </c>
      <c r="P263" s="138" t="s">
        <v>2016</v>
      </c>
      <c r="Q263" s="138"/>
      <c r="R263" s="70"/>
      <c r="S263" s="70"/>
      <c r="T263" s="70"/>
      <c r="U263" s="70"/>
      <c r="V263" s="19" t="b">
        <v>0</v>
      </c>
      <c r="W263" s="19" t="str">
        <f>"Character/Prefabs/"&amp;VLOOKUP($C263,'#Data'!$B$3:$I$344,8,FALSE)</f>
        <v>Character/Prefabs/m_m_attacker_head_snatcher_2</v>
      </c>
      <c r="X263" s="19"/>
      <c r="Y263" s="19" t="str">
        <f>VLOOKUP($C263,'#Data'!$B$3:$I$344,8,FALSE)</f>
        <v>m_m_attacker_head_snatcher_2</v>
      </c>
      <c r="Z263" s="19"/>
      <c r="AA263" s="19"/>
      <c r="AB263" s="19"/>
      <c r="AC263" s="91">
        <v>0.7</v>
      </c>
      <c r="AD263" s="19"/>
      <c r="AE263" s="19"/>
      <c r="AF263" s="19"/>
      <c r="AG263" s="19" t="s">
        <v>2093</v>
      </c>
      <c r="AH263" s="85"/>
    </row>
    <row r="264" spans="1:36" x14ac:dyDescent="0.3">
      <c r="A264" s="19">
        <f t="shared" si="4"/>
        <v>1210203120</v>
      </c>
      <c r="B264" s="19" t="s">
        <v>105</v>
      </c>
      <c r="C264" s="19" t="s">
        <v>1259</v>
      </c>
      <c r="D264" s="19" t="str">
        <f>"Monster.Name."&amp;VLOOKUP($C264,'#Data'!$B$2:$J$344,2,FALSE)</f>
        <v>Monster.Name.core_snatcher_2</v>
      </c>
      <c r="E264" s="19" t="s">
        <v>47</v>
      </c>
      <c r="F264" s="48" t="s">
        <v>44</v>
      </c>
      <c r="G264" s="19" t="s">
        <v>45</v>
      </c>
      <c r="H264" s="19" t="b">
        <f>IF(OR(VLOOKUP($C264,'#Data'!$B$2:$J$344,4,FALSE)="보스",VLOOKUP($C264,'#Data'!$B$2:$J$344,4,FALSE)="중간"),TRUE,FALSE)</f>
        <v>0</v>
      </c>
      <c r="I264" s="19" t="b">
        <v>0</v>
      </c>
      <c r="J264" s="19">
        <v>10</v>
      </c>
      <c r="K264" s="19">
        <f t="shared" si="5"/>
        <v>10</v>
      </c>
      <c r="L264" s="69" t="s">
        <v>1341</v>
      </c>
      <c r="M264" s="69"/>
      <c r="N264" s="69"/>
      <c r="O264" s="138" t="s">
        <v>1347</v>
      </c>
      <c r="P264" s="138" t="s">
        <v>2017</v>
      </c>
      <c r="Q264" s="138"/>
      <c r="R264" s="70"/>
      <c r="S264" s="70"/>
      <c r="T264" s="70"/>
      <c r="U264" s="70"/>
      <c r="V264" s="19" t="b">
        <v>0</v>
      </c>
      <c r="W264" s="19" t="str">
        <f>"Character/Prefabs/"&amp;VLOOKUP($C264,'#Data'!$B$3:$I$344,8,FALSE)</f>
        <v>Character/Prefabs/m_m_ranger_core_snatcher_2</v>
      </c>
      <c r="X264" s="19"/>
      <c r="Y264" s="19" t="str">
        <f>VLOOKUP($C264,'#Data'!$B$3:$I$344,8,FALSE)</f>
        <v>m_m_ranger_core_snatcher_2</v>
      </c>
      <c r="Z264" s="19"/>
      <c r="AA264" s="19"/>
      <c r="AB264" s="19"/>
      <c r="AC264" s="91">
        <v>0.7</v>
      </c>
      <c r="AD264" s="19"/>
      <c r="AE264" s="19"/>
      <c r="AF264" s="19"/>
      <c r="AG264" s="19" t="s">
        <v>2093</v>
      </c>
      <c r="AH264" s="85"/>
    </row>
    <row r="265" spans="1:36" x14ac:dyDescent="0.3">
      <c r="A265" s="41">
        <f t="shared" si="4"/>
        <v>1210203201</v>
      </c>
      <c r="B265" s="41" t="s">
        <v>105</v>
      </c>
      <c r="C265" s="41" t="s">
        <v>116</v>
      </c>
      <c r="D265" s="41" t="str">
        <f>"Monster.Name."&amp;VLOOKUP($C265,'#Data'!$B$2:$J$344,2,FALSE)</f>
        <v>Monster.Name.grima_alpha_1</v>
      </c>
      <c r="E265" s="41" t="s">
        <v>43</v>
      </c>
      <c r="F265" s="42" t="s">
        <v>44</v>
      </c>
      <c r="G265" s="41" t="s">
        <v>45</v>
      </c>
      <c r="H265" s="41" t="b">
        <f>IF(OR(VLOOKUP($C265,'#Data'!$B$2:$J$344,4,FALSE)="보스",VLOOKUP($C265,'#Data'!$B$2:$J$344,4,FALSE)="중간"),TRUE,FALSE)</f>
        <v>1</v>
      </c>
      <c r="I265" s="41" t="b">
        <v>1</v>
      </c>
      <c r="J265" s="41">
        <v>20</v>
      </c>
      <c r="K265" s="41">
        <f t="shared" si="5"/>
        <v>10</v>
      </c>
      <c r="L265" s="67" t="str">
        <f>$B265&amp;"."&amp;VLOOKUP($C265,'#Data'!$B$2:$J$344,2,FALSE)&amp;".attack0"&amp;RIGHT(L$1,1)</f>
        <v>Sector03.grima_alpha_1.attack01</v>
      </c>
      <c r="M265" s="67"/>
      <c r="N265" s="67"/>
      <c r="O265" s="137" t="str">
        <f>$B265&amp;"."&amp;VLOOKUP($C265,'#Data'!$B$2:$J$344,2,FALSE)&amp;".skill0"&amp;RIGHT(O$1,1)</f>
        <v>Sector03.grima_alpha_1.skill01</v>
      </c>
      <c r="P265" s="137" t="str">
        <f>$B265&amp;"."&amp;VLOOKUP($C265,'#Data'!$B$2:$J$344,2,FALSE)&amp;".skill0"&amp;RIGHT(P$1,1)</f>
        <v>Sector03.grima_alpha_1.skill02</v>
      </c>
      <c r="Q265" s="137" t="str">
        <f>$B265&amp;"."&amp;VLOOKUP($C265,'#Data'!$B$2:$J$344,2,FALSE)&amp;".skill0"&amp;RIGHT(Q$1,1)</f>
        <v>Sector03.grima_alpha_1.skill03</v>
      </c>
      <c r="R265" s="68"/>
      <c r="S265" s="68" t="s">
        <v>2076</v>
      </c>
      <c r="T265" s="68"/>
      <c r="U265" s="68"/>
      <c r="V265" s="41" t="b">
        <v>0</v>
      </c>
      <c r="W265" s="41" t="str">
        <f>"Character/Prefabs/"&amp;VLOOKUP($C265,'#Data'!$B$3:$I$344,8,FALSE)</f>
        <v>Character/Prefabs/m_l_attacker_grima_alpha_1</v>
      </c>
      <c r="X265" s="41"/>
      <c r="Y265" s="41" t="str">
        <f>VLOOKUP($C265,'#Data'!$B$3:$I$344,8,FALSE)</f>
        <v>m_l_attacker_grima_alpha_1</v>
      </c>
      <c r="Z265" s="41"/>
      <c r="AA265" s="41"/>
      <c r="AB265" s="41"/>
      <c r="AC265" s="90">
        <v>0.9</v>
      </c>
      <c r="AD265" s="41"/>
      <c r="AE265" s="41"/>
      <c r="AF265" s="41"/>
      <c r="AG265" s="41" t="s">
        <v>2093</v>
      </c>
      <c r="AH265" s="85"/>
    </row>
    <row r="266" spans="1:36" x14ac:dyDescent="0.3">
      <c r="A266" s="41">
        <f t="shared" si="4"/>
        <v>1210203202</v>
      </c>
      <c r="B266" s="41" t="s">
        <v>105</v>
      </c>
      <c r="C266" s="41" t="s">
        <v>117</v>
      </c>
      <c r="D266" s="41" t="str">
        <f>"Monster.Name."&amp;VLOOKUP($C266,'#Data'!$B$2:$J$344,2,FALSE)</f>
        <v>Monster.Name.draindermis_1</v>
      </c>
      <c r="E266" s="41" t="s">
        <v>47</v>
      </c>
      <c r="F266" s="42" t="s">
        <v>44</v>
      </c>
      <c r="G266" s="41" t="s">
        <v>45</v>
      </c>
      <c r="H266" s="41" t="b">
        <f>IF(OR(VLOOKUP($C266,'#Data'!$B$2:$J$344,4,FALSE)="보스",VLOOKUP($C266,'#Data'!$B$2:$J$344,4,FALSE)="중간"),TRUE,FALSE)</f>
        <v>1</v>
      </c>
      <c r="I266" s="41" t="b">
        <v>1</v>
      </c>
      <c r="J266" s="41">
        <v>20</v>
      </c>
      <c r="K266" s="41">
        <f t="shared" si="5"/>
        <v>10</v>
      </c>
      <c r="L266" s="67" t="str">
        <f>$B266&amp;"."&amp;VLOOKUP($C266,'#Data'!$B$2:$J$344,2,FALSE)&amp;".attack0"&amp;RIGHT(L$1,1)</f>
        <v>Sector03.draindermis_1.attack01</v>
      </c>
      <c r="M266" s="67"/>
      <c r="N266" s="67"/>
      <c r="O266" s="137" t="str">
        <f>$B266&amp;"."&amp;VLOOKUP($C266,'#Data'!$B$2:$J$344,2,FALSE)&amp;".skill0"&amp;RIGHT(O$1,1)</f>
        <v>Sector03.draindermis_1.skill01</v>
      </c>
      <c r="P266" s="137" t="str">
        <f>$B266&amp;"."&amp;VLOOKUP($C266,'#Data'!$B$2:$J$344,2,FALSE)&amp;".skill0"&amp;RIGHT(P$1,1)</f>
        <v>Sector03.draindermis_1.skill02</v>
      </c>
      <c r="Q266" s="137" t="str">
        <f>$B266&amp;"."&amp;VLOOKUP($C266,'#Data'!$B$2:$J$344,2,FALSE)&amp;".skill0"&amp;RIGHT(Q$1,1)</f>
        <v>Sector03.draindermis_1.skill03</v>
      </c>
      <c r="R266" s="68"/>
      <c r="S266" s="68" t="s">
        <v>2076</v>
      </c>
      <c r="T266" s="68"/>
      <c r="U266" s="68"/>
      <c r="V266" s="41" t="b">
        <v>0</v>
      </c>
      <c r="W266" s="41" t="str">
        <f>"Character/Prefabs/"&amp;VLOOKUP($C266,'#Data'!$B$3:$I$344,8,FALSE)</f>
        <v>Character/Prefabs/m_l_ranger_draindermis_1</v>
      </c>
      <c r="X266" s="41"/>
      <c r="Y266" s="41" t="str">
        <f>VLOOKUP($C266,'#Data'!$B$3:$I$344,8,FALSE)</f>
        <v>m_l_ranger_draindermis_1</v>
      </c>
      <c r="Z266" s="41"/>
      <c r="AA266" s="41"/>
      <c r="AB266" s="41"/>
      <c r="AC266" s="90">
        <v>0.9</v>
      </c>
      <c r="AD266" s="41"/>
      <c r="AE266" s="41"/>
      <c r="AF266" s="41"/>
      <c r="AG266" s="41" t="s">
        <v>2093</v>
      </c>
      <c r="AH266" s="85"/>
    </row>
    <row r="267" spans="1:36" x14ac:dyDescent="0.3">
      <c r="A267" s="41">
        <f t="shared" si="4"/>
        <v>1210203203</v>
      </c>
      <c r="B267" s="41" t="s">
        <v>105</v>
      </c>
      <c r="C267" s="41" t="s">
        <v>118</v>
      </c>
      <c r="D267" s="41" t="str">
        <f>"Monster.Name."&amp;VLOOKUP($C267,'#Data'!$B$2:$J$344,2,FALSE)</f>
        <v>Monster.Name.grima_beta_1</v>
      </c>
      <c r="E267" s="41" t="s">
        <v>43</v>
      </c>
      <c r="F267" s="42" t="s">
        <v>44</v>
      </c>
      <c r="G267" s="41" t="s">
        <v>45</v>
      </c>
      <c r="H267" s="41" t="b">
        <f>IF(OR(VLOOKUP($C267,'#Data'!$B$2:$J$344,4,FALSE)="보스",VLOOKUP($C267,'#Data'!$B$2:$J$344,4,FALSE)="중간"),TRUE,FALSE)</f>
        <v>1</v>
      </c>
      <c r="I267" s="41" t="b">
        <v>1</v>
      </c>
      <c r="J267" s="41">
        <v>20</v>
      </c>
      <c r="K267" s="41">
        <f t="shared" si="5"/>
        <v>10</v>
      </c>
      <c r="L267" s="67" t="str">
        <f>$B267&amp;"."&amp;VLOOKUP($C267,'#Data'!$B$2:$J$344,2,FALSE)&amp;".attack0"&amp;RIGHT(L$1,1)</f>
        <v>Sector03.grima_beta_1.attack01</v>
      </c>
      <c r="M267" s="67"/>
      <c r="N267" s="67"/>
      <c r="O267" s="137" t="str">
        <f>$B267&amp;"."&amp;VLOOKUP($C267,'#Data'!$B$2:$J$344,2,FALSE)&amp;".skill0"&amp;RIGHT(O$1,1)</f>
        <v>Sector03.grima_beta_1.skill01</v>
      </c>
      <c r="P267" s="137" t="str">
        <f>$B267&amp;"."&amp;VLOOKUP($C267,'#Data'!$B$2:$J$344,2,FALSE)&amp;".skill0"&amp;RIGHT(P$1,1)</f>
        <v>Sector03.grima_beta_1.skill02</v>
      </c>
      <c r="Q267" s="137" t="str">
        <f>$B267&amp;"."&amp;VLOOKUP($C267,'#Data'!$B$2:$J$344,2,FALSE)&amp;".skill0"&amp;RIGHT(Q$1,1)</f>
        <v>Sector03.grima_beta_1.skill03</v>
      </c>
      <c r="R267" s="68"/>
      <c r="S267" s="68" t="s">
        <v>2076</v>
      </c>
      <c r="T267" s="68"/>
      <c r="U267" s="68"/>
      <c r="V267" s="41" t="b">
        <v>0</v>
      </c>
      <c r="W267" s="41" t="str">
        <f>"Character/Prefabs/"&amp;VLOOKUP($C267,'#Data'!$B$3:$I$344,8,FALSE)</f>
        <v>Character/Prefabs/m_l_attacker_grima_beta_1</v>
      </c>
      <c r="X267" s="41"/>
      <c r="Y267" s="41" t="str">
        <f>VLOOKUP($C267,'#Data'!$B$3:$I$344,8,FALSE)</f>
        <v>m_l_attacker_grima_beta_1</v>
      </c>
      <c r="Z267" s="41"/>
      <c r="AA267" s="41"/>
      <c r="AB267" s="41"/>
      <c r="AC267" s="90">
        <v>0.9</v>
      </c>
      <c r="AD267" s="41"/>
      <c r="AE267" s="41"/>
      <c r="AF267" s="41"/>
      <c r="AG267" s="41" t="s">
        <v>2093</v>
      </c>
      <c r="AH267" s="85"/>
    </row>
    <row r="268" spans="1:36" x14ac:dyDescent="0.3">
      <c r="A268" s="23">
        <f t="shared" si="4"/>
        <v>1210203301</v>
      </c>
      <c r="B268" s="23" t="s">
        <v>105</v>
      </c>
      <c r="C268" s="23" t="s">
        <v>119</v>
      </c>
      <c r="D268" s="23" t="str">
        <f>"Monster.Name."&amp;VLOOKUP($C268,'#Data'!$B$2:$J$344,2,FALSE)</f>
        <v>Monster.Name.theomega_1</v>
      </c>
      <c r="E268" s="23" t="s">
        <v>58</v>
      </c>
      <c r="F268" s="24" t="s">
        <v>44</v>
      </c>
      <c r="G268" s="23" t="s">
        <v>45</v>
      </c>
      <c r="H268" s="23" t="b">
        <f>IF(OR(VLOOKUP($C268,'#Data'!$B$2:$J$344,4,FALSE)="보스",VLOOKUP($C268,'#Data'!$B$2:$J$344,4,FALSE)="중간"),TRUE,FALSE)</f>
        <v>1</v>
      </c>
      <c r="I268" s="23" t="b">
        <v>1</v>
      </c>
      <c r="J268" s="23">
        <v>30</v>
      </c>
      <c r="K268" s="23">
        <f t="shared" si="5"/>
        <v>10</v>
      </c>
      <c r="L268" s="115" t="str">
        <f>$B268&amp;"."&amp;VLOOKUP($C268,'#Data'!$B$2:$J$344,2,FALSE)&amp;".attack0"&amp;RIGHT(L$1,1)</f>
        <v>Sector03.theomega_1.attack01</v>
      </c>
      <c r="M268" s="115"/>
      <c r="N268" s="115"/>
      <c r="O268" s="139" t="str">
        <f>$B268&amp;"."&amp;VLOOKUP($C268,'#Data'!$B$2:$J$344,2,FALSE)&amp;".skill0"&amp;RIGHT(O$1,1)</f>
        <v>Sector03.theomega_1.skill01</v>
      </c>
      <c r="P268" s="139" t="str">
        <f>$B268&amp;"."&amp;VLOOKUP($C268,'#Data'!$B$2:$J$344,2,FALSE)&amp;".skill0"&amp;RIGHT(P$1,1)</f>
        <v>Sector03.theomega_1.skill02</v>
      </c>
      <c r="Q268" s="139" t="str">
        <f>$B268&amp;"."&amp;VLOOKUP($C268,'#Data'!$B$2:$J$344,2,FALSE)&amp;".skill0"&amp;RIGHT(Q$1,1)</f>
        <v>Sector03.theomega_1.skill03</v>
      </c>
      <c r="R268" s="116" t="s">
        <v>120</v>
      </c>
      <c r="S268" s="116" t="s">
        <v>76</v>
      </c>
      <c r="T268" s="116"/>
      <c r="U268" s="116"/>
      <c r="V268" s="23" t="b">
        <v>0</v>
      </c>
      <c r="W268" s="23" t="str">
        <f>"Character/Prefabs/"&amp;VLOOKUP($C268,'#Data'!$B$3:$I$344,8,FALSE)</f>
        <v>Character/Prefabs/m_boss_attacker_theomega_1</v>
      </c>
      <c r="X268" s="23"/>
      <c r="Y268" s="23" t="str">
        <f>VLOOKUP($C268,'#Data'!$B$3:$I$344,8,FALSE)</f>
        <v>m_boss_attacker_theomega_1</v>
      </c>
      <c r="Z268" s="23"/>
      <c r="AA268" s="23"/>
      <c r="AB268" s="23"/>
      <c r="AC268" s="98">
        <v>0.9</v>
      </c>
      <c r="AD268" s="23"/>
      <c r="AE268" s="23" t="s">
        <v>121</v>
      </c>
      <c r="AF268" s="23" t="s">
        <v>122</v>
      </c>
      <c r="AG268" s="23" t="s">
        <v>2093</v>
      </c>
      <c r="AH268" s="85"/>
    </row>
    <row r="269" spans="1:36" x14ac:dyDescent="0.3">
      <c r="A269" s="23">
        <f t="shared" si="4"/>
        <v>1210203302</v>
      </c>
      <c r="B269" s="23" t="s">
        <v>105</v>
      </c>
      <c r="C269" s="23" t="s">
        <v>123</v>
      </c>
      <c r="D269" s="23" t="str">
        <f>"Monster.Name."&amp;VLOOKUP($C269,'#Data'!$B$2:$J$344,2,FALSE)</f>
        <v>Monster.Name.theomega_3</v>
      </c>
      <c r="E269" s="23" t="s">
        <v>58</v>
      </c>
      <c r="F269" s="24" t="s">
        <v>44</v>
      </c>
      <c r="G269" s="23" t="s">
        <v>45</v>
      </c>
      <c r="H269" s="23" t="b">
        <f>IF(OR(VLOOKUP($C269,'#Data'!$B$2:$J$344,4,FALSE)="보스",VLOOKUP($C269,'#Data'!$B$2:$J$344,4,FALSE)="중간"),TRUE,FALSE)</f>
        <v>1</v>
      </c>
      <c r="I269" s="23" t="b">
        <v>1</v>
      </c>
      <c r="J269" s="23">
        <v>30</v>
      </c>
      <c r="K269" s="23">
        <f t="shared" si="5"/>
        <v>10</v>
      </c>
      <c r="L269" s="115" t="str">
        <f>$B269&amp;"."&amp;VLOOKUP($C269,'#Data'!$B$2:$J$344,2,FALSE)&amp;".attack0"&amp;RIGHT(L$1,1)</f>
        <v>Sector03.theomega_3.attack01</v>
      </c>
      <c r="M269" s="115" t="str">
        <f>$B269&amp;"."&amp;VLOOKUP($C269,'#Data'!$B$2:$J$344,2,FALSE)&amp;".attack0"&amp;RIGHT(M$1,1)</f>
        <v>Sector03.theomega_3.attack02</v>
      </c>
      <c r="N269" s="115"/>
      <c r="O269" s="139" t="str">
        <f>$B269&amp;"."&amp;VLOOKUP($C269,'#Data'!$B$2:$J$344,2,FALSE)&amp;".skill0"&amp;RIGHT(O$1,1)</f>
        <v>Sector03.theomega_3.skill01</v>
      </c>
      <c r="P269" s="139" t="str">
        <f>$B269&amp;"."&amp;VLOOKUP($C269,'#Data'!$B$2:$J$344,2,FALSE)&amp;".skill0"&amp;RIGHT(P$1,1)</f>
        <v>Sector03.theomega_3.skill02</v>
      </c>
      <c r="Q269" s="139" t="str">
        <f>$B269&amp;"."&amp;VLOOKUP($C269,'#Data'!$B$2:$J$344,2,FALSE)&amp;".skill0"&amp;RIGHT(Q$1,1)</f>
        <v>Sector03.theomega_3.skill03</v>
      </c>
      <c r="R269" s="116" t="str">
        <f>$B269&amp;"."&amp;VLOOKUP($C269,'#Data'!$B$2:$J$344,2,FALSE)&amp;".skill0"&amp;RIGHT(R$1,1)</f>
        <v>Sector03.theomega_3.skill04</v>
      </c>
      <c r="S269" s="116" t="s">
        <v>124</v>
      </c>
      <c r="T269" s="116"/>
      <c r="U269" s="116"/>
      <c r="V269" s="23" t="b">
        <v>0</v>
      </c>
      <c r="W269" s="23" t="str">
        <f>"Character/Prefabs/"&amp;VLOOKUP($C269,'#Data'!$B$3:$I$344,8,FALSE)</f>
        <v>Character/Prefabs/m_boss_attacker_theomega_3</v>
      </c>
      <c r="X269" s="23"/>
      <c r="Y269" s="23" t="str">
        <f>VLOOKUP($C269,'#Data'!$B$3:$I$344,8,FALSE)</f>
        <v>m_boss_attacker_theomega_3</v>
      </c>
      <c r="Z269" s="23"/>
      <c r="AA269" s="23"/>
      <c r="AB269" s="23"/>
      <c r="AC269" s="98">
        <v>0.9</v>
      </c>
      <c r="AD269" s="23"/>
      <c r="AE269" s="23" t="s">
        <v>1211</v>
      </c>
      <c r="AF269" s="23" t="s">
        <v>1871</v>
      </c>
      <c r="AG269" s="23" t="s">
        <v>2093</v>
      </c>
      <c r="AH269" s="85"/>
    </row>
    <row r="270" spans="1:36" s="159" customFormat="1" x14ac:dyDescent="0.3">
      <c r="A270" s="154">
        <f t="shared" si="4"/>
        <v>1210204101</v>
      </c>
      <c r="B270" s="154" t="s">
        <v>125</v>
      </c>
      <c r="C270" s="154" t="s">
        <v>126</v>
      </c>
      <c r="D270" s="154" t="str">
        <f>"Monster.Name."&amp;VLOOKUP($C270,'#Data'!$B$2:$J$344,2,FALSE)</f>
        <v>Monster.Name.friendly_walking_eyeball_1</v>
      </c>
      <c r="E270" s="154" t="s">
        <v>47</v>
      </c>
      <c r="F270" s="44" t="s">
        <v>44</v>
      </c>
      <c r="G270" s="154" t="s">
        <v>45</v>
      </c>
      <c r="H270" s="154" t="b">
        <f>IF(OR(VLOOKUP($C270,'#Data'!$B$2:$J$344,4,FALSE)="보스",VLOOKUP($C270,'#Data'!$B$2:$J$344,4,FALSE)="중간"),TRUE,FALSE)</f>
        <v>0</v>
      </c>
      <c r="I270" s="154" t="b">
        <v>0</v>
      </c>
      <c r="J270" s="154">
        <v>10</v>
      </c>
      <c r="K270" s="154">
        <f t="shared" si="5"/>
        <v>10</v>
      </c>
      <c r="L270" s="155" t="str">
        <f>$B270&amp;"."&amp;VLOOKUP($C270,'#Data'!$B$2:$J$344,2,FALSE)&amp;".attack0"&amp;RIGHT(L$1,1)</f>
        <v>Sector04.friendly_walking_eyeball_1.attack01</v>
      </c>
      <c r="M270" s="155"/>
      <c r="N270" s="155"/>
      <c r="O270" s="140" t="s">
        <v>2019</v>
      </c>
      <c r="P270" s="140"/>
      <c r="Q270" s="140"/>
      <c r="R270" s="72"/>
      <c r="S270" s="72"/>
      <c r="T270" s="72"/>
      <c r="U270" s="72"/>
      <c r="V270" s="154" t="b">
        <v>0</v>
      </c>
      <c r="W270" s="154" t="str">
        <f>"Character/Prefabs/"&amp;VLOOKUP($C270,'#Data'!$B$3:$I$344,8,FALSE)</f>
        <v>Character/Prefabs/m_s_ranger_friendly_walking_eyeball_1</v>
      </c>
      <c r="X270" s="154"/>
      <c r="Y270" s="154" t="str">
        <f>VLOOKUP($C270,'#Data'!$B$3:$I$344,8,FALSE)</f>
        <v>m_s_ranger_friendly_walking_eyeball_1</v>
      </c>
      <c r="Z270" s="154"/>
      <c r="AA270" s="154"/>
      <c r="AB270" s="154"/>
      <c r="AC270" s="156">
        <v>1.2</v>
      </c>
      <c r="AD270" s="154"/>
      <c r="AE270" s="154"/>
      <c r="AF270" s="154"/>
      <c r="AG270" s="154" t="s">
        <v>2093</v>
      </c>
      <c r="AH270" s="158"/>
      <c r="AI270" s="157"/>
      <c r="AJ270" s="157"/>
    </row>
    <row r="271" spans="1:36" s="159" customFormat="1" x14ac:dyDescent="0.3">
      <c r="A271" s="154">
        <f t="shared" si="4"/>
        <v>1210204102</v>
      </c>
      <c r="B271" s="154" t="s">
        <v>125</v>
      </c>
      <c r="C271" s="154" t="s">
        <v>130</v>
      </c>
      <c r="D271" s="154" t="str">
        <f>"Monster.Name."&amp;VLOOKUP($C271,'#Data'!$B$2:$J$344,2,FALSE)</f>
        <v>Monster.Name.friendly_patrol_1</v>
      </c>
      <c r="E271" s="154" t="s">
        <v>43</v>
      </c>
      <c r="F271" s="44" t="s">
        <v>44</v>
      </c>
      <c r="G271" s="154" t="s">
        <v>45</v>
      </c>
      <c r="H271" s="154" t="b">
        <f>IF(OR(VLOOKUP($C271,'#Data'!$B$2:$J$344,4,FALSE)="보스",VLOOKUP($C271,'#Data'!$B$2:$J$344,4,FALSE)="중간"),TRUE,FALSE)</f>
        <v>0</v>
      </c>
      <c r="I271" s="154" t="b">
        <v>0</v>
      </c>
      <c r="J271" s="154">
        <v>10</v>
      </c>
      <c r="K271" s="154">
        <f t="shared" si="5"/>
        <v>10</v>
      </c>
      <c r="L271" s="155" t="str">
        <f>$B271&amp;"."&amp;VLOOKUP($C271,'#Data'!$B$2:$J$344,2,FALSE)&amp;".attack0"&amp;RIGHT(L$1,1)</f>
        <v>Sector04.friendly_patrol_1.attack01</v>
      </c>
      <c r="M271" s="155"/>
      <c r="N271" s="155"/>
      <c r="O271" s="140" t="s">
        <v>2020</v>
      </c>
      <c r="P271" s="140"/>
      <c r="Q271" s="140"/>
      <c r="R271" s="72"/>
      <c r="S271" s="72"/>
      <c r="T271" s="72"/>
      <c r="U271" s="72"/>
      <c r="V271" s="154" t="b">
        <v>0</v>
      </c>
      <c r="W271" s="154" t="str">
        <f>"Character/Prefabs/"&amp;VLOOKUP($C271,'#Data'!$B$3:$I$344,8,FALSE)</f>
        <v>Character/Prefabs/m_s_attacker_friendly_patrol_1</v>
      </c>
      <c r="X271" s="154"/>
      <c r="Y271" s="154" t="str">
        <f>VLOOKUP($C271,'#Data'!$B$3:$I$344,8,FALSE)</f>
        <v>m_s_attacker_friendly_patrol_1</v>
      </c>
      <c r="Z271" s="154"/>
      <c r="AA271" s="154"/>
      <c r="AB271" s="154"/>
      <c r="AC271" s="156">
        <v>1</v>
      </c>
      <c r="AD271" s="154"/>
      <c r="AE271" s="154"/>
      <c r="AF271" s="154"/>
      <c r="AG271" s="154" t="s">
        <v>2093</v>
      </c>
      <c r="AH271" s="158"/>
      <c r="AI271" s="157"/>
      <c r="AJ271" s="157"/>
    </row>
    <row r="272" spans="1:36" s="159" customFormat="1" x14ac:dyDescent="0.3">
      <c r="A272" s="154">
        <f t="shared" si="4"/>
        <v>1210204103</v>
      </c>
      <c r="B272" s="154" t="s">
        <v>125</v>
      </c>
      <c r="C272" s="154" t="s">
        <v>134</v>
      </c>
      <c r="D272" s="154" t="str">
        <f>"Monster.Name."&amp;VLOOKUP($C272,'#Data'!$B$2:$J$344,2,FALSE)</f>
        <v>Monster.Name.friendly_walking_eyeball_2</v>
      </c>
      <c r="E272" s="154" t="s">
        <v>47</v>
      </c>
      <c r="F272" s="44" t="s">
        <v>44</v>
      </c>
      <c r="G272" s="154" t="s">
        <v>45</v>
      </c>
      <c r="H272" s="154" t="b">
        <f>IF(OR(VLOOKUP($C272,'#Data'!$B$2:$J$344,4,FALSE)="보스",VLOOKUP($C272,'#Data'!$B$2:$J$344,4,FALSE)="중간"),TRUE,FALSE)</f>
        <v>0</v>
      </c>
      <c r="I272" s="154" t="b">
        <v>0</v>
      </c>
      <c r="J272" s="154">
        <v>10</v>
      </c>
      <c r="K272" s="154">
        <f t="shared" si="5"/>
        <v>10</v>
      </c>
      <c r="L272" s="155" t="str">
        <f>$B272&amp;"."&amp;VLOOKUP($C272,'#Data'!$B$2:$J$344,2,FALSE)&amp;".attack0"&amp;RIGHT(L$1,1)</f>
        <v>Sector04.friendly_walking_eyeball_2.attack01</v>
      </c>
      <c r="M272" s="155"/>
      <c r="N272" s="155"/>
      <c r="O272" s="140" t="s">
        <v>2021</v>
      </c>
      <c r="P272" s="140"/>
      <c r="Q272" s="140"/>
      <c r="R272" s="72"/>
      <c r="S272" s="72"/>
      <c r="T272" s="72"/>
      <c r="U272" s="72"/>
      <c r="V272" s="154" t="b">
        <v>0</v>
      </c>
      <c r="W272" s="154" t="str">
        <f>"Character/Prefabs/"&amp;VLOOKUP($C272,'#Data'!$B$3:$I$344,8,FALSE)</f>
        <v>Character/Prefabs/m_s_ranger_friendly_walking_eyeball_2</v>
      </c>
      <c r="X272" s="154"/>
      <c r="Y272" s="154" t="str">
        <f>VLOOKUP($C272,'#Data'!$B$3:$I$344,8,FALSE)</f>
        <v>m_s_ranger_friendly_walking_eyeball_2</v>
      </c>
      <c r="Z272" s="154"/>
      <c r="AA272" s="154"/>
      <c r="AB272" s="154"/>
      <c r="AC272" s="156">
        <v>1.2</v>
      </c>
      <c r="AD272" s="154"/>
      <c r="AE272" s="154"/>
      <c r="AF272" s="154"/>
      <c r="AG272" s="154" t="s">
        <v>2093</v>
      </c>
      <c r="AH272" s="158"/>
      <c r="AI272" s="157"/>
      <c r="AJ272" s="157"/>
    </row>
    <row r="273" spans="1:36" s="159" customFormat="1" x14ac:dyDescent="0.3">
      <c r="A273" s="154">
        <f t="shared" si="4"/>
        <v>1210204104</v>
      </c>
      <c r="B273" s="154" t="s">
        <v>125</v>
      </c>
      <c r="C273" s="154" t="s">
        <v>138</v>
      </c>
      <c r="D273" s="154" t="str">
        <f>"Monster.Name."&amp;VLOOKUP($C273,'#Data'!$B$2:$J$344,2,FALSE)</f>
        <v>Monster.Name.friendly_patrol_2</v>
      </c>
      <c r="E273" s="154" t="s">
        <v>43</v>
      </c>
      <c r="F273" s="44" t="s">
        <v>44</v>
      </c>
      <c r="G273" s="154" t="s">
        <v>45</v>
      </c>
      <c r="H273" s="154" t="b">
        <f>IF(OR(VLOOKUP($C273,'#Data'!$B$2:$J$344,4,FALSE)="보스",VLOOKUP($C273,'#Data'!$B$2:$J$344,4,FALSE)="중간"),TRUE,FALSE)</f>
        <v>0</v>
      </c>
      <c r="I273" s="154" t="b">
        <v>0</v>
      </c>
      <c r="J273" s="154">
        <v>10</v>
      </c>
      <c r="K273" s="154">
        <f t="shared" si="5"/>
        <v>10</v>
      </c>
      <c r="L273" s="155" t="str">
        <f>$B273&amp;"."&amp;VLOOKUP($C273,'#Data'!$B$2:$J$344,2,FALSE)&amp;".attack0"&amp;RIGHT(L$1,1)</f>
        <v>Sector04.friendly_patrol_2.attack01</v>
      </c>
      <c r="M273" s="155"/>
      <c r="N273" s="155"/>
      <c r="O273" s="140" t="s">
        <v>2022</v>
      </c>
      <c r="P273" s="140"/>
      <c r="Q273" s="140"/>
      <c r="R273" s="72"/>
      <c r="S273" s="72"/>
      <c r="T273" s="72"/>
      <c r="U273" s="72"/>
      <c r="V273" s="154" t="b">
        <v>0</v>
      </c>
      <c r="W273" s="154" t="str">
        <f>"Character/Prefabs/"&amp;VLOOKUP($C273,'#Data'!$B$3:$I$344,8,FALSE)</f>
        <v>Character/Prefabs/m_s_attacker_friendly_patrol_2</v>
      </c>
      <c r="X273" s="154"/>
      <c r="Y273" s="154" t="str">
        <f>VLOOKUP($C273,'#Data'!$B$3:$I$344,8,FALSE)</f>
        <v>m_s_attacker_friendly_patrol_2</v>
      </c>
      <c r="Z273" s="154"/>
      <c r="AA273" s="154"/>
      <c r="AB273" s="154"/>
      <c r="AC273" s="156">
        <v>1</v>
      </c>
      <c r="AD273" s="154"/>
      <c r="AE273" s="154"/>
      <c r="AF273" s="154"/>
      <c r="AG273" s="154" t="s">
        <v>2093</v>
      </c>
      <c r="AH273" s="158"/>
      <c r="AI273" s="157"/>
      <c r="AJ273" s="157"/>
    </row>
    <row r="274" spans="1:36" s="159" customFormat="1" x14ac:dyDescent="0.3">
      <c r="A274" s="154">
        <f t="shared" si="4"/>
        <v>1210204105</v>
      </c>
      <c r="B274" s="154" t="s">
        <v>125</v>
      </c>
      <c r="C274" s="154" t="s">
        <v>139</v>
      </c>
      <c r="D274" s="154" t="str">
        <f>"Monster.Name."&amp;VLOOKUP($C274,'#Data'!$B$2:$J$344,2,FALSE)</f>
        <v>Monster.Name.friendly_edge_eyeball_1</v>
      </c>
      <c r="E274" s="154" t="s">
        <v>43</v>
      </c>
      <c r="F274" s="44" t="s">
        <v>44</v>
      </c>
      <c r="G274" s="154" t="s">
        <v>45</v>
      </c>
      <c r="H274" s="154" t="b">
        <f>IF(OR(VLOOKUP($C274,'#Data'!$B$2:$J$344,4,FALSE)="보스",VLOOKUP($C274,'#Data'!$B$2:$J$344,4,FALSE)="중간"),TRUE,FALSE)</f>
        <v>0</v>
      </c>
      <c r="I274" s="154" t="b">
        <v>0</v>
      </c>
      <c r="J274" s="154">
        <v>10</v>
      </c>
      <c r="K274" s="154">
        <f t="shared" si="5"/>
        <v>10</v>
      </c>
      <c r="L274" s="155" t="str">
        <f>$B274&amp;"."&amp;VLOOKUP($C274,'#Data'!$B$2:$J$344,2,FALSE)&amp;".attack0"&amp;RIGHT(L$1,1)</f>
        <v>Sector04.friendly_edge_eyeball_1.attack01</v>
      </c>
      <c r="M274" s="155"/>
      <c r="N274" s="155"/>
      <c r="O274" s="140" t="str">
        <f>$B274&amp;"."&amp;VLOOKUP($C274,'#Data'!$B$2:$J$344,2,FALSE)&amp;".skill0"&amp;RIGHT(O$1,1)</f>
        <v>Sector04.friendly_edge_eyeball_1.skill01</v>
      </c>
      <c r="P274" s="140" t="s">
        <v>2023</v>
      </c>
      <c r="Q274" s="140"/>
      <c r="R274" s="72"/>
      <c r="S274" s="72"/>
      <c r="T274" s="72"/>
      <c r="U274" s="72"/>
      <c r="V274" s="154" t="b">
        <v>0</v>
      </c>
      <c r="W274" s="154" t="str">
        <f>"Character/Prefabs/"&amp;VLOOKUP($C274,'#Data'!$B$3:$I$344,8,FALSE)</f>
        <v>Character/Prefabs/m_m_attacker_friendly_edge_eyeball_1</v>
      </c>
      <c r="X274" s="154"/>
      <c r="Y274" s="154" t="str">
        <f>VLOOKUP($C274,'#Data'!$B$3:$I$344,8,FALSE)</f>
        <v>m_m_attacker_friendly_edge_eyeball_1</v>
      </c>
      <c r="Z274" s="154"/>
      <c r="AA274" s="154"/>
      <c r="AB274" s="154"/>
      <c r="AC274" s="156">
        <v>0.9</v>
      </c>
      <c r="AD274" s="154"/>
      <c r="AE274" s="154"/>
      <c r="AF274" s="154"/>
      <c r="AG274" s="154" t="s">
        <v>2093</v>
      </c>
      <c r="AH274" s="158"/>
      <c r="AI274" s="157"/>
      <c r="AJ274" s="157"/>
    </row>
    <row r="275" spans="1:36" s="159" customFormat="1" x14ac:dyDescent="0.3">
      <c r="A275" s="154">
        <f t="shared" si="4"/>
        <v>1210204106</v>
      </c>
      <c r="B275" s="154" t="s">
        <v>125</v>
      </c>
      <c r="C275" s="154" t="s">
        <v>140</v>
      </c>
      <c r="D275" s="154" t="str">
        <f>"Monster.Name."&amp;VLOOKUP($C275,'#Data'!$B$2:$J$344,2,FALSE)</f>
        <v>Monster.Name.friendly_electric_eyeball_1</v>
      </c>
      <c r="E275" s="154" t="s">
        <v>47</v>
      </c>
      <c r="F275" s="44" t="s">
        <v>44</v>
      </c>
      <c r="G275" s="154" t="s">
        <v>45</v>
      </c>
      <c r="H275" s="154" t="b">
        <f>IF(OR(VLOOKUP($C275,'#Data'!$B$2:$J$344,4,FALSE)="보스",VLOOKUP($C275,'#Data'!$B$2:$J$344,4,FALSE)="중간"),TRUE,FALSE)</f>
        <v>0</v>
      </c>
      <c r="I275" s="154" t="b">
        <v>0</v>
      </c>
      <c r="J275" s="154">
        <v>10</v>
      </c>
      <c r="K275" s="154">
        <f t="shared" si="5"/>
        <v>10</v>
      </c>
      <c r="L275" s="155" t="str">
        <f>$B275&amp;"."&amp;VLOOKUP($C275,'#Data'!$B$2:$J$344,2,FALSE)&amp;".attack0"&amp;RIGHT(L$1,1)</f>
        <v>Sector04.friendly_electric_eyeball_1.attack01</v>
      </c>
      <c r="M275" s="155"/>
      <c r="N275" s="155"/>
      <c r="O275" s="140" t="str">
        <f>$B275&amp;"."&amp;VLOOKUP($C275,'#Data'!$B$2:$J$344,2,FALSE)&amp;".skill0"&amp;RIGHT(O$1,1)</f>
        <v>Sector04.friendly_electric_eyeball_1.skill01</v>
      </c>
      <c r="P275" s="140" t="s">
        <v>2024</v>
      </c>
      <c r="Q275" s="140"/>
      <c r="R275" s="72"/>
      <c r="S275" s="72"/>
      <c r="T275" s="72"/>
      <c r="U275" s="72"/>
      <c r="V275" s="154" t="b">
        <v>0</v>
      </c>
      <c r="W275" s="154" t="str">
        <f>"Character/Prefabs/"&amp;VLOOKUP($C275,'#Data'!$B$3:$I$344,8,FALSE)</f>
        <v>Character/Prefabs/m_m_ranger_friendly_electric_eyeball_1</v>
      </c>
      <c r="X275" s="154"/>
      <c r="Y275" s="154" t="str">
        <f>VLOOKUP($C275,'#Data'!$B$3:$I$344,8,FALSE)</f>
        <v>m_m_ranger_friendly_electric_eyeball_1</v>
      </c>
      <c r="Z275" s="154"/>
      <c r="AA275" s="154"/>
      <c r="AB275" s="154"/>
      <c r="AC275" s="156">
        <v>0.9</v>
      </c>
      <c r="AD275" s="154"/>
      <c r="AE275" s="154"/>
      <c r="AF275" s="154"/>
      <c r="AG275" s="154" t="s">
        <v>2093</v>
      </c>
      <c r="AH275" s="158"/>
      <c r="AI275" s="157"/>
      <c r="AJ275" s="157"/>
    </row>
    <row r="276" spans="1:36" s="159" customFormat="1" x14ac:dyDescent="0.3">
      <c r="A276" s="154">
        <f t="shared" si="4"/>
        <v>1210204107</v>
      </c>
      <c r="B276" s="154" t="s">
        <v>125</v>
      </c>
      <c r="C276" s="154" t="s">
        <v>141</v>
      </c>
      <c r="D276" s="154" t="str">
        <f>"Monster.Name."&amp;VLOOKUP($C276,'#Data'!$B$2:$J$344,2,FALSE)</f>
        <v>Monster.Name.friendly_sawpatrol_1</v>
      </c>
      <c r="E276" s="154" t="s">
        <v>43</v>
      </c>
      <c r="F276" s="44" t="s">
        <v>44</v>
      </c>
      <c r="G276" s="154" t="s">
        <v>45</v>
      </c>
      <c r="H276" s="154" t="b">
        <f>IF(OR(VLOOKUP($C276,'#Data'!$B$2:$J$344,4,FALSE)="보스",VLOOKUP($C276,'#Data'!$B$2:$J$344,4,FALSE)="중간"),TRUE,FALSE)</f>
        <v>0</v>
      </c>
      <c r="I276" s="154" t="b">
        <v>0</v>
      </c>
      <c r="J276" s="154">
        <v>10</v>
      </c>
      <c r="K276" s="154">
        <f t="shared" si="5"/>
        <v>10</v>
      </c>
      <c r="L276" s="155" t="str">
        <f>$B276&amp;"."&amp;VLOOKUP($C276,'#Data'!$B$2:$J$344,2,FALSE)&amp;".attack0"&amp;RIGHT(L$1,1)</f>
        <v>Sector04.friendly_sawpatrol_1.attack01</v>
      </c>
      <c r="M276" s="155"/>
      <c r="N276" s="155"/>
      <c r="O276" s="140" t="str">
        <f>$B276&amp;"."&amp;VLOOKUP($C276,'#Data'!$B$2:$J$344,2,FALSE)&amp;".skill0"&amp;RIGHT(O$1,1)</f>
        <v>Sector04.friendly_sawpatrol_1.skill01</v>
      </c>
      <c r="P276" s="140" t="s">
        <v>2025</v>
      </c>
      <c r="Q276" s="140"/>
      <c r="R276" s="72"/>
      <c r="S276" s="72"/>
      <c r="T276" s="72"/>
      <c r="U276" s="72"/>
      <c r="V276" s="154" t="b">
        <v>0</v>
      </c>
      <c r="W276" s="154" t="str">
        <f>"Character/Prefabs/"&amp;VLOOKUP($C276,'#Data'!$B$3:$I$344,8,FALSE)</f>
        <v>Character/Prefabs/m_m_attacker_friendly_sawpatrol_1</v>
      </c>
      <c r="X276" s="154"/>
      <c r="Y276" s="154" t="str">
        <f>VLOOKUP($C276,'#Data'!$B$3:$I$344,8,FALSE)</f>
        <v>m_m_attacker_friendly_sawpatrol_1</v>
      </c>
      <c r="Z276" s="154"/>
      <c r="AA276" s="154"/>
      <c r="AB276" s="154"/>
      <c r="AC276" s="156">
        <v>1</v>
      </c>
      <c r="AD276" s="154"/>
      <c r="AE276" s="154"/>
      <c r="AF276" s="154"/>
      <c r="AG276" s="154" t="s">
        <v>2093</v>
      </c>
      <c r="AH276" s="158"/>
      <c r="AI276" s="157"/>
      <c r="AJ276" s="157"/>
    </row>
    <row r="277" spans="1:36" s="159" customFormat="1" x14ac:dyDescent="0.3">
      <c r="A277" s="154">
        <f t="shared" si="4"/>
        <v>1210204108</v>
      </c>
      <c r="B277" s="154" t="s">
        <v>125</v>
      </c>
      <c r="C277" s="154" t="s">
        <v>142</v>
      </c>
      <c r="D277" s="154" t="str">
        <f>"Monster.Name."&amp;VLOOKUP($C277,'#Data'!$B$2:$J$344,2,FALSE)</f>
        <v>Monster.Name.friendly_staffpatrol_1</v>
      </c>
      <c r="E277" s="154" t="s">
        <v>143</v>
      </c>
      <c r="F277" s="44" t="s">
        <v>44</v>
      </c>
      <c r="G277" s="154" t="s">
        <v>45</v>
      </c>
      <c r="H277" s="154" t="b">
        <f>IF(OR(VLOOKUP($C277,'#Data'!$B$2:$J$344,4,FALSE)="보스",VLOOKUP($C277,'#Data'!$B$2:$J$344,4,FALSE)="중간"),TRUE,FALSE)</f>
        <v>0</v>
      </c>
      <c r="I277" s="154" t="b">
        <v>0</v>
      </c>
      <c r="J277" s="154">
        <v>10</v>
      </c>
      <c r="K277" s="154">
        <f t="shared" si="5"/>
        <v>10</v>
      </c>
      <c r="L277" s="155" t="str">
        <f>$B277&amp;"."&amp;VLOOKUP($C277,'#Data'!$B$2:$J$344,2,FALSE)&amp;".attack0"&amp;RIGHT(L$1,1)</f>
        <v>Sector04.friendly_staffpatrol_1.attack01</v>
      </c>
      <c r="M277" s="155"/>
      <c r="N277" s="155"/>
      <c r="O277" s="140" t="str">
        <f>$B277&amp;"."&amp;VLOOKUP($C277,'#Data'!$B$2:$J$344,2,FALSE)&amp;".skill0"&amp;RIGHT(O$1,1)</f>
        <v>Sector04.friendly_staffpatrol_1.skill01</v>
      </c>
      <c r="P277" s="140" t="s">
        <v>2026</v>
      </c>
      <c r="Q277" s="140"/>
      <c r="R277" s="72"/>
      <c r="S277" s="72"/>
      <c r="T277" s="72"/>
      <c r="U277" s="72"/>
      <c r="V277" s="154" t="b">
        <v>0</v>
      </c>
      <c r="W277" s="154" t="str">
        <f>"Character/Prefabs/"&amp;VLOOKUP($C277,'#Data'!$B$3:$I$344,8,FALSE)</f>
        <v>Character/Prefabs/m_m_supporter_friendly_staffpatrol_1</v>
      </c>
      <c r="X277" s="154"/>
      <c r="Y277" s="154" t="str">
        <f>VLOOKUP($C277,'#Data'!$B$3:$I$344,8,FALSE)</f>
        <v>m_m_supporter_friendly_staffpatrol_1</v>
      </c>
      <c r="Z277" s="154"/>
      <c r="AA277" s="154"/>
      <c r="AB277" s="154"/>
      <c r="AC277" s="156">
        <v>1</v>
      </c>
      <c r="AD277" s="154"/>
      <c r="AE277" s="154"/>
      <c r="AF277" s="154"/>
      <c r="AG277" s="154" t="s">
        <v>2093</v>
      </c>
      <c r="AH277" s="158"/>
      <c r="AI277" s="157"/>
      <c r="AJ277" s="157"/>
    </row>
    <row r="278" spans="1:36" s="159" customFormat="1" x14ac:dyDescent="0.3">
      <c r="A278" s="154">
        <f t="shared" si="4"/>
        <v>1210204109</v>
      </c>
      <c r="B278" s="154" t="s">
        <v>125</v>
      </c>
      <c r="C278" s="154" t="s">
        <v>144</v>
      </c>
      <c r="D278" s="154" t="str">
        <f>"Monster.Name."&amp;VLOOKUP($C278,'#Data'!$B$2:$J$344,2,FALSE)</f>
        <v>Monster.Name.friendly_sicklepatrol_1</v>
      </c>
      <c r="E278" s="154" t="s">
        <v>43</v>
      </c>
      <c r="F278" s="44" t="s">
        <v>44</v>
      </c>
      <c r="G278" s="154" t="s">
        <v>45</v>
      </c>
      <c r="H278" s="154" t="b">
        <f>IF(OR(VLOOKUP($C278,'#Data'!$B$2:$J$344,4,FALSE)="보스",VLOOKUP($C278,'#Data'!$B$2:$J$344,4,FALSE)="중간"),TRUE,FALSE)</f>
        <v>0</v>
      </c>
      <c r="I278" s="154" t="b">
        <v>0</v>
      </c>
      <c r="J278" s="154">
        <v>10</v>
      </c>
      <c r="K278" s="154">
        <f t="shared" si="5"/>
        <v>10</v>
      </c>
      <c r="L278" s="155" t="str">
        <f>$B278&amp;"."&amp;VLOOKUP($C278,'#Data'!$B$2:$J$344,2,FALSE)&amp;".attack0"&amp;RIGHT(L$1,1)</f>
        <v>Sector04.friendly_sicklepatrol_1.attack01</v>
      </c>
      <c r="M278" s="155"/>
      <c r="N278" s="155"/>
      <c r="O278" s="140" t="str">
        <f>$B278&amp;"."&amp;VLOOKUP($C278,'#Data'!$B$2:$J$344,2,FALSE)&amp;".skill0"&amp;RIGHT(O$1,1)</f>
        <v>Sector04.friendly_sicklepatrol_1.skill01</v>
      </c>
      <c r="P278" s="140" t="s">
        <v>2027</v>
      </c>
      <c r="Q278" s="140"/>
      <c r="R278" s="72"/>
      <c r="S278" s="72"/>
      <c r="T278" s="72"/>
      <c r="U278" s="72"/>
      <c r="V278" s="154" t="b">
        <v>0</v>
      </c>
      <c r="W278" s="154" t="str">
        <f>"Character/Prefabs/"&amp;VLOOKUP($C278,'#Data'!$B$3:$I$344,8,FALSE)</f>
        <v>Character/Prefabs/m_m_attacker_friendly_sicklepatrol_1</v>
      </c>
      <c r="X278" s="154"/>
      <c r="Y278" s="154" t="str">
        <f>VLOOKUP($C278,'#Data'!$B$3:$I$344,8,FALSE)</f>
        <v>m_m_attacker_friendly_sicklepatrol_1</v>
      </c>
      <c r="Z278" s="154"/>
      <c r="AA278" s="154"/>
      <c r="AB278" s="154"/>
      <c r="AC278" s="156">
        <v>1</v>
      </c>
      <c r="AD278" s="154"/>
      <c r="AE278" s="154"/>
      <c r="AF278" s="154"/>
      <c r="AG278" s="154" t="s">
        <v>2093</v>
      </c>
      <c r="AH278" s="158"/>
      <c r="AI278" s="157"/>
      <c r="AJ278" s="157"/>
    </row>
    <row r="279" spans="1:36" s="159" customFormat="1" x14ac:dyDescent="0.3">
      <c r="A279" s="154">
        <f t="shared" si="4"/>
        <v>1210204110</v>
      </c>
      <c r="B279" s="154" t="s">
        <v>125</v>
      </c>
      <c r="C279" s="154" t="s">
        <v>145</v>
      </c>
      <c r="D279" s="154" t="str">
        <f>"Monster.Name."&amp;VLOOKUP($C279,'#Data'!$B$2:$J$344,2,FALSE)</f>
        <v>Monster.Name.friendly_security_1</v>
      </c>
      <c r="E279" s="154" t="s">
        <v>43</v>
      </c>
      <c r="F279" s="44" t="s">
        <v>44</v>
      </c>
      <c r="G279" s="154" t="s">
        <v>45</v>
      </c>
      <c r="H279" s="154" t="b">
        <f>IF(OR(VLOOKUP($C279,'#Data'!$B$2:$J$344,4,FALSE)="보스",VLOOKUP($C279,'#Data'!$B$2:$J$344,4,FALSE)="중간"),TRUE,FALSE)</f>
        <v>0</v>
      </c>
      <c r="I279" s="154" t="b">
        <v>0</v>
      </c>
      <c r="J279" s="154">
        <v>10</v>
      </c>
      <c r="K279" s="154">
        <f t="shared" si="5"/>
        <v>10</v>
      </c>
      <c r="L279" s="155" t="str">
        <f>$B279&amp;"."&amp;VLOOKUP($C279,'#Data'!$B$2:$J$344,2,FALSE)&amp;".attack0"&amp;RIGHT(L$1,1)</f>
        <v>Sector04.friendly_security_1.attack01</v>
      </c>
      <c r="M279" s="155"/>
      <c r="N279" s="155"/>
      <c r="O279" s="140" t="str">
        <f>$B279&amp;"."&amp;VLOOKUP($C279,'#Data'!$B$2:$J$344,2,FALSE)&amp;".skill0"&amp;RIGHT(O$1,1)</f>
        <v>Sector04.friendly_security_1.skill01</v>
      </c>
      <c r="P279" s="140" t="s">
        <v>2028</v>
      </c>
      <c r="Q279" s="140"/>
      <c r="R279" s="72"/>
      <c r="S279" s="72"/>
      <c r="T279" s="72"/>
      <c r="U279" s="72"/>
      <c r="V279" s="154" t="b">
        <v>0</v>
      </c>
      <c r="W279" s="154" t="str">
        <f>"Character/Prefabs/"&amp;VLOOKUP($C279,'#Data'!$B$3:$I$344,8,FALSE)</f>
        <v>Character/Prefabs/m_m_attacker_friendly_security_1</v>
      </c>
      <c r="X279" s="154"/>
      <c r="Y279" s="154" t="str">
        <f>VLOOKUP($C279,'#Data'!$B$3:$I$344,8,FALSE)</f>
        <v>m_m_attacker_friendly_security_1</v>
      </c>
      <c r="Z279" s="154"/>
      <c r="AA279" s="154"/>
      <c r="AB279" s="154"/>
      <c r="AC279" s="156">
        <v>0.9</v>
      </c>
      <c r="AD279" s="154"/>
      <c r="AE279" s="154"/>
      <c r="AF279" s="154"/>
      <c r="AG279" s="154" t="s">
        <v>2093</v>
      </c>
      <c r="AH279" s="158"/>
      <c r="AI279" s="157"/>
      <c r="AJ279" s="157"/>
    </row>
    <row r="280" spans="1:36" s="159" customFormat="1" x14ac:dyDescent="0.3">
      <c r="A280" s="154">
        <f t="shared" si="4"/>
        <v>1210204111</v>
      </c>
      <c r="B280" s="154" t="s">
        <v>125</v>
      </c>
      <c r="C280" s="154" t="s">
        <v>146</v>
      </c>
      <c r="D280" s="154" t="str">
        <f>"Monster.Name."&amp;VLOOKUP($C280,'#Data'!$B$2:$J$344,2,FALSE)</f>
        <v>Monster.Name.friendly_cannon_1</v>
      </c>
      <c r="E280" s="154" t="s">
        <v>47</v>
      </c>
      <c r="F280" s="44" t="s">
        <v>44</v>
      </c>
      <c r="G280" s="154" t="s">
        <v>45</v>
      </c>
      <c r="H280" s="154" t="b">
        <f>IF(OR(VLOOKUP($C280,'#Data'!$B$2:$J$344,4,FALSE)="보스",VLOOKUP($C280,'#Data'!$B$2:$J$344,4,FALSE)="중간"),TRUE,FALSE)</f>
        <v>0</v>
      </c>
      <c r="I280" s="154" t="b">
        <v>0</v>
      </c>
      <c r="J280" s="154">
        <v>10</v>
      </c>
      <c r="K280" s="154">
        <f t="shared" si="5"/>
        <v>10</v>
      </c>
      <c r="L280" s="155" t="str">
        <f>$B280&amp;"."&amp;VLOOKUP($C280,'#Data'!$B$2:$J$344,2,FALSE)&amp;".attack0"&amp;RIGHT(L$1,1)</f>
        <v>Sector04.friendly_cannon_1.attack01</v>
      </c>
      <c r="M280" s="155"/>
      <c r="N280" s="155"/>
      <c r="O280" s="140" t="str">
        <f>$B280&amp;"."&amp;VLOOKUP($C280,'#Data'!$B$2:$J$344,2,FALSE)&amp;".skill0"&amp;RIGHT(O$1,1)</f>
        <v>Sector04.friendly_cannon_1.skill01</v>
      </c>
      <c r="P280" s="140" t="s">
        <v>2029</v>
      </c>
      <c r="Q280" s="140"/>
      <c r="R280" s="72"/>
      <c r="S280" s="72"/>
      <c r="T280" s="72"/>
      <c r="U280" s="72"/>
      <c r="V280" s="154" t="b">
        <v>0</v>
      </c>
      <c r="W280" s="154" t="str">
        <f>"Character/Prefabs/"&amp;VLOOKUP($C280,'#Data'!$B$3:$I$344,8,FALSE)</f>
        <v>Character/Prefabs/m_m_ranger_friendly_cannon_1</v>
      </c>
      <c r="X280" s="154"/>
      <c r="Y280" s="154" t="str">
        <f>VLOOKUP($C280,'#Data'!$B$3:$I$344,8,FALSE)</f>
        <v>m_m_ranger_friendly_cannon_1</v>
      </c>
      <c r="Z280" s="154"/>
      <c r="AA280" s="154"/>
      <c r="AB280" s="154"/>
      <c r="AC280" s="156">
        <v>0.7</v>
      </c>
      <c r="AD280" s="154"/>
      <c r="AE280" s="154"/>
      <c r="AF280" s="154"/>
      <c r="AG280" s="154" t="s">
        <v>2093</v>
      </c>
      <c r="AH280" s="158"/>
      <c r="AI280" s="157"/>
      <c r="AJ280" s="157"/>
    </row>
    <row r="281" spans="1:36" s="159" customFormat="1" x14ac:dyDescent="0.3">
      <c r="A281" s="154">
        <f t="shared" si="4"/>
        <v>1210204112</v>
      </c>
      <c r="B281" s="154" t="s">
        <v>125</v>
      </c>
      <c r="C281" s="154" t="s">
        <v>147</v>
      </c>
      <c r="D281" s="154" t="str">
        <f>"Monster.Name."&amp;VLOOKUP($C281,'#Data'!$B$2:$J$344,2,FALSE)</f>
        <v>Monster.Name.friendly_gun_1</v>
      </c>
      <c r="E281" s="154" t="s">
        <v>47</v>
      </c>
      <c r="F281" s="44" t="s">
        <v>44</v>
      </c>
      <c r="G281" s="154" t="s">
        <v>45</v>
      </c>
      <c r="H281" s="154" t="b">
        <f>IF(OR(VLOOKUP($C281,'#Data'!$B$2:$J$344,4,FALSE)="보스",VLOOKUP($C281,'#Data'!$B$2:$J$344,4,FALSE)="중간"),TRUE,FALSE)</f>
        <v>0</v>
      </c>
      <c r="I281" s="154" t="b">
        <v>0</v>
      </c>
      <c r="J281" s="154">
        <v>10</v>
      </c>
      <c r="K281" s="154">
        <f t="shared" si="5"/>
        <v>10</v>
      </c>
      <c r="L281" s="155" t="str">
        <f>$B281&amp;"."&amp;VLOOKUP($C281,'#Data'!$B$2:$J$344,2,FALSE)&amp;".attack0"&amp;RIGHT(L$1,1)</f>
        <v>Sector04.friendly_gun_1.attack01</v>
      </c>
      <c r="M281" s="155"/>
      <c r="N281" s="155"/>
      <c r="O281" s="140" t="str">
        <f>$B281&amp;"."&amp;VLOOKUP($C281,'#Data'!$B$2:$J$344,2,FALSE)&amp;".skill0"&amp;RIGHT(O$1,1)</f>
        <v>Sector04.friendly_gun_1.skill01</v>
      </c>
      <c r="P281" s="140" t="s">
        <v>2030</v>
      </c>
      <c r="Q281" s="140"/>
      <c r="R281" s="72"/>
      <c r="S281" s="72"/>
      <c r="T281" s="72"/>
      <c r="U281" s="72"/>
      <c r="V281" s="154" t="b">
        <v>0</v>
      </c>
      <c r="W281" s="154" t="str">
        <f>"Character/Prefabs/"&amp;VLOOKUP($C281,'#Data'!$B$3:$I$344,8,FALSE)</f>
        <v>Character/Prefabs/m_m_ranger_friendly_gun_1</v>
      </c>
      <c r="X281" s="154"/>
      <c r="Y281" s="154" t="str">
        <f>VLOOKUP($C281,'#Data'!$B$3:$I$344,8,FALSE)</f>
        <v>m_m_ranger_friendly_gun_1</v>
      </c>
      <c r="Z281" s="154"/>
      <c r="AA281" s="154"/>
      <c r="AB281" s="154"/>
      <c r="AC281" s="156">
        <v>0.7</v>
      </c>
      <c r="AD281" s="154"/>
      <c r="AE281" s="154"/>
      <c r="AF281" s="154"/>
      <c r="AG281" s="154" t="s">
        <v>2093</v>
      </c>
      <c r="AH281" s="158"/>
      <c r="AI281" s="157"/>
      <c r="AJ281" s="157"/>
    </row>
    <row r="282" spans="1:36" s="159" customFormat="1" x14ac:dyDescent="0.3">
      <c r="A282" s="47">
        <f t="shared" si="4"/>
        <v>1210204113</v>
      </c>
      <c r="B282" s="47" t="s">
        <v>125</v>
      </c>
      <c r="C282" s="47" t="s">
        <v>1261</v>
      </c>
      <c r="D282" s="47" t="str">
        <f>"Monster.Name."&amp;VLOOKUP($C282,'#Data'!$B$2:$J$344,2,FALSE)</f>
        <v>Monster.Name.friendly_walking_eyeball_3</v>
      </c>
      <c r="E282" s="47" t="s">
        <v>47</v>
      </c>
      <c r="F282" s="46" t="s">
        <v>44</v>
      </c>
      <c r="G282" s="47" t="s">
        <v>45</v>
      </c>
      <c r="H282" s="47" t="b">
        <f>IF(OR(VLOOKUP($C282,'#Data'!$B$2:$J$344,4,FALSE)="보스",VLOOKUP($C282,'#Data'!$B$2:$J$344,4,FALSE)="중간"),TRUE,FALSE)</f>
        <v>0</v>
      </c>
      <c r="I282" s="47" t="b">
        <v>0</v>
      </c>
      <c r="J282" s="47">
        <v>10</v>
      </c>
      <c r="K282" s="47">
        <f t="shared" si="5"/>
        <v>10</v>
      </c>
      <c r="L282" s="160" t="s">
        <v>127</v>
      </c>
      <c r="M282" s="160"/>
      <c r="N282" s="160"/>
      <c r="O282" s="141" t="s">
        <v>2019</v>
      </c>
      <c r="P282" s="141"/>
      <c r="Q282" s="141"/>
      <c r="R282" s="74"/>
      <c r="S282" s="74"/>
      <c r="T282" s="74"/>
      <c r="U282" s="74"/>
      <c r="V282" s="47" t="b">
        <v>0</v>
      </c>
      <c r="W282" s="47" t="str">
        <f>"Character/Prefabs/"&amp;VLOOKUP($C282,'#Data'!$B$3:$I$344,8,FALSE)</f>
        <v>Character/Prefabs/m_s_ranger_friendly_walking_eyeball_3</v>
      </c>
      <c r="X282" s="47"/>
      <c r="Y282" s="47" t="str">
        <f>VLOOKUP($C282,'#Data'!$B$3:$I$344,8,FALSE)</f>
        <v>m_s_ranger_friendly_walking_eyeball_3</v>
      </c>
      <c r="Z282" s="47"/>
      <c r="AA282" s="47"/>
      <c r="AB282" s="47"/>
      <c r="AC282" s="161">
        <v>1.2</v>
      </c>
      <c r="AD282" s="47"/>
      <c r="AE282" s="47"/>
      <c r="AF282" s="47"/>
      <c r="AG282" s="47" t="s">
        <v>2093</v>
      </c>
      <c r="AH282" s="158"/>
      <c r="AI282" s="157"/>
      <c r="AJ282" s="157"/>
    </row>
    <row r="283" spans="1:36" s="159" customFormat="1" x14ac:dyDescent="0.3">
      <c r="A283" s="47">
        <f t="shared" si="4"/>
        <v>1210204114</v>
      </c>
      <c r="B283" s="47" t="s">
        <v>125</v>
      </c>
      <c r="C283" s="47" t="s">
        <v>1263</v>
      </c>
      <c r="D283" s="47" t="str">
        <f>"Monster.Name."&amp;VLOOKUP($C283,'#Data'!$B$2:$J$344,2,FALSE)</f>
        <v>Monster.Name.friendly_patrol_3</v>
      </c>
      <c r="E283" s="47" t="s">
        <v>43</v>
      </c>
      <c r="F283" s="46" t="s">
        <v>44</v>
      </c>
      <c r="G283" s="47" t="s">
        <v>45</v>
      </c>
      <c r="H283" s="47" t="b">
        <f>IF(OR(VLOOKUP($C283,'#Data'!$B$2:$J$344,4,FALSE)="보스",VLOOKUP($C283,'#Data'!$B$2:$J$344,4,FALSE)="중간"),TRUE,FALSE)</f>
        <v>0</v>
      </c>
      <c r="I283" s="47" t="b">
        <v>0</v>
      </c>
      <c r="J283" s="47">
        <v>10</v>
      </c>
      <c r="K283" s="47">
        <f t="shared" si="5"/>
        <v>10</v>
      </c>
      <c r="L283" s="160" t="s">
        <v>131</v>
      </c>
      <c r="M283" s="160"/>
      <c r="N283" s="160"/>
      <c r="O283" s="141" t="s">
        <v>2020</v>
      </c>
      <c r="P283" s="141"/>
      <c r="Q283" s="141"/>
      <c r="R283" s="74"/>
      <c r="S283" s="74"/>
      <c r="T283" s="74"/>
      <c r="U283" s="74"/>
      <c r="V283" s="47" t="b">
        <v>0</v>
      </c>
      <c r="W283" s="47" t="str">
        <f>"Character/Prefabs/"&amp;VLOOKUP($C283,'#Data'!$B$3:$I$344,8,FALSE)</f>
        <v>Character/Prefabs/m_s_attacker_friendly_patrol_3</v>
      </c>
      <c r="X283" s="47"/>
      <c r="Y283" s="47" t="str">
        <f>VLOOKUP($C283,'#Data'!$B$3:$I$344,8,FALSE)</f>
        <v>m_s_attacker_friendly_patrol_3</v>
      </c>
      <c r="Z283" s="47"/>
      <c r="AA283" s="47"/>
      <c r="AB283" s="47"/>
      <c r="AC283" s="161">
        <v>1</v>
      </c>
      <c r="AD283" s="47"/>
      <c r="AE283" s="47"/>
      <c r="AF283" s="47"/>
      <c r="AG283" s="47" t="s">
        <v>2093</v>
      </c>
      <c r="AH283" s="158"/>
      <c r="AI283" s="157"/>
      <c r="AJ283" s="157"/>
    </row>
    <row r="284" spans="1:36" s="159" customFormat="1" x14ac:dyDescent="0.3">
      <c r="A284" s="47">
        <f t="shared" si="4"/>
        <v>1210204115</v>
      </c>
      <c r="B284" s="47" t="s">
        <v>125</v>
      </c>
      <c r="C284" s="47" t="s">
        <v>1265</v>
      </c>
      <c r="D284" s="47" t="str">
        <f>"Monster.Name."&amp;VLOOKUP($C284,'#Data'!$B$2:$J$344,2,FALSE)</f>
        <v>Monster.Name.friendly_edge_eyeball_2</v>
      </c>
      <c r="E284" s="47" t="s">
        <v>43</v>
      </c>
      <c r="F284" s="46" t="s">
        <v>44</v>
      </c>
      <c r="G284" s="47" t="s">
        <v>45</v>
      </c>
      <c r="H284" s="47" t="b">
        <f>IF(OR(VLOOKUP($C284,'#Data'!$B$2:$J$344,4,FALSE)="보스",VLOOKUP($C284,'#Data'!$B$2:$J$344,4,FALSE)="중간"),TRUE,FALSE)</f>
        <v>0</v>
      </c>
      <c r="I284" s="47" t="b">
        <v>0</v>
      </c>
      <c r="J284" s="47">
        <v>10</v>
      </c>
      <c r="K284" s="47">
        <f t="shared" si="5"/>
        <v>10</v>
      </c>
      <c r="L284" s="160" t="s">
        <v>1348</v>
      </c>
      <c r="M284" s="160"/>
      <c r="N284" s="160"/>
      <c r="O284" s="141" t="s">
        <v>1355</v>
      </c>
      <c r="P284" s="141" t="s">
        <v>2023</v>
      </c>
      <c r="Q284" s="141"/>
      <c r="R284" s="74"/>
      <c r="S284" s="74"/>
      <c r="T284" s="74"/>
      <c r="U284" s="74"/>
      <c r="V284" s="47" t="b">
        <v>0</v>
      </c>
      <c r="W284" s="47" t="str">
        <f>"Character/Prefabs/"&amp;VLOOKUP($C284,'#Data'!$B$3:$I$344,8,FALSE)</f>
        <v>Character/Prefabs/m_m_attacker_friendly_edge_eyeball_2</v>
      </c>
      <c r="X284" s="47"/>
      <c r="Y284" s="47" t="str">
        <f>VLOOKUP($C284,'#Data'!$B$3:$I$344,8,FALSE)</f>
        <v>m_m_attacker_friendly_edge_eyeball_2</v>
      </c>
      <c r="Z284" s="47"/>
      <c r="AA284" s="47"/>
      <c r="AB284" s="47"/>
      <c r="AC284" s="161">
        <v>0.9</v>
      </c>
      <c r="AD284" s="47"/>
      <c r="AE284" s="47"/>
      <c r="AF284" s="47"/>
      <c r="AG284" s="47" t="s">
        <v>2093</v>
      </c>
      <c r="AH284" s="158"/>
      <c r="AI284" s="157"/>
      <c r="AJ284" s="157"/>
    </row>
    <row r="285" spans="1:36" s="159" customFormat="1" x14ac:dyDescent="0.3">
      <c r="A285" s="47">
        <f t="shared" si="4"/>
        <v>1210204116</v>
      </c>
      <c r="B285" s="47" t="s">
        <v>125</v>
      </c>
      <c r="C285" s="47" t="s">
        <v>1267</v>
      </c>
      <c r="D285" s="47" t="str">
        <f>"Monster.Name."&amp;VLOOKUP($C285,'#Data'!$B$2:$J$344,2,FALSE)</f>
        <v>Monster.Name.friendly_electric_eyeball_2</v>
      </c>
      <c r="E285" s="47" t="s">
        <v>47</v>
      </c>
      <c r="F285" s="46" t="s">
        <v>44</v>
      </c>
      <c r="G285" s="47" t="s">
        <v>45</v>
      </c>
      <c r="H285" s="47" t="b">
        <f>IF(OR(VLOOKUP($C285,'#Data'!$B$2:$J$344,4,FALSE)="보스",VLOOKUP($C285,'#Data'!$B$2:$J$344,4,FALSE)="중간"),TRUE,FALSE)</f>
        <v>0</v>
      </c>
      <c r="I285" s="47" t="b">
        <v>0</v>
      </c>
      <c r="J285" s="47">
        <v>10</v>
      </c>
      <c r="K285" s="47">
        <f t="shared" si="5"/>
        <v>10</v>
      </c>
      <c r="L285" s="160" t="s">
        <v>1349</v>
      </c>
      <c r="M285" s="160"/>
      <c r="N285" s="160"/>
      <c r="O285" s="141" t="s">
        <v>1356</v>
      </c>
      <c r="P285" s="141" t="s">
        <v>2024</v>
      </c>
      <c r="Q285" s="141"/>
      <c r="R285" s="74"/>
      <c r="S285" s="74"/>
      <c r="T285" s="74"/>
      <c r="U285" s="74"/>
      <c r="V285" s="47" t="b">
        <v>0</v>
      </c>
      <c r="W285" s="47" t="str">
        <f>"Character/Prefabs/"&amp;VLOOKUP($C285,'#Data'!$B$3:$I$344,8,FALSE)</f>
        <v>Character/Prefabs/m_m_ranger_friendly_electric_eyeball_2</v>
      </c>
      <c r="X285" s="47"/>
      <c r="Y285" s="47" t="str">
        <f>VLOOKUP($C285,'#Data'!$B$3:$I$344,8,FALSE)</f>
        <v>m_m_ranger_friendly_electric_eyeball_2</v>
      </c>
      <c r="Z285" s="47"/>
      <c r="AA285" s="47"/>
      <c r="AB285" s="47"/>
      <c r="AC285" s="161">
        <v>0.9</v>
      </c>
      <c r="AD285" s="47"/>
      <c r="AE285" s="47"/>
      <c r="AF285" s="47"/>
      <c r="AG285" s="47" t="s">
        <v>2093</v>
      </c>
      <c r="AH285" s="158"/>
      <c r="AI285" s="157"/>
      <c r="AJ285" s="157"/>
    </row>
    <row r="286" spans="1:36" s="159" customFormat="1" x14ac:dyDescent="0.3">
      <c r="A286" s="47">
        <f t="shared" si="4"/>
        <v>1210204117</v>
      </c>
      <c r="B286" s="47" t="s">
        <v>125</v>
      </c>
      <c r="C286" s="47" t="s">
        <v>1269</v>
      </c>
      <c r="D286" s="47" t="str">
        <f>"Monster.Name."&amp;VLOOKUP($C286,'#Data'!$B$2:$J$344,2,FALSE)</f>
        <v>Monster.Name.friendly_sawpatrol_2</v>
      </c>
      <c r="E286" s="47" t="s">
        <v>43</v>
      </c>
      <c r="F286" s="46" t="s">
        <v>44</v>
      </c>
      <c r="G286" s="47" t="s">
        <v>45</v>
      </c>
      <c r="H286" s="47" t="b">
        <f>IF(OR(VLOOKUP($C286,'#Data'!$B$2:$J$344,4,FALSE)="보스",VLOOKUP($C286,'#Data'!$B$2:$J$344,4,FALSE)="중간"),TRUE,FALSE)</f>
        <v>0</v>
      </c>
      <c r="I286" s="47" t="b">
        <v>0</v>
      </c>
      <c r="J286" s="47">
        <v>10</v>
      </c>
      <c r="K286" s="47">
        <f t="shared" si="5"/>
        <v>10</v>
      </c>
      <c r="L286" s="160" t="s">
        <v>1350</v>
      </c>
      <c r="M286" s="160"/>
      <c r="N286" s="160"/>
      <c r="O286" s="141" t="s">
        <v>1357</v>
      </c>
      <c r="P286" s="141" t="s">
        <v>2025</v>
      </c>
      <c r="Q286" s="141"/>
      <c r="R286" s="74"/>
      <c r="S286" s="74"/>
      <c r="T286" s="74"/>
      <c r="U286" s="74"/>
      <c r="V286" s="47" t="b">
        <v>0</v>
      </c>
      <c r="W286" s="47" t="str">
        <f>"Character/Prefabs/"&amp;VLOOKUP($C286,'#Data'!$B$3:$I$344,8,FALSE)</f>
        <v>Character/Prefabs/m_m_attacker_friendly_sawpatrol_2</v>
      </c>
      <c r="X286" s="47"/>
      <c r="Y286" s="47" t="str">
        <f>VLOOKUP($C286,'#Data'!$B$3:$I$344,8,FALSE)</f>
        <v>m_m_attacker_friendly_sawpatrol_2</v>
      </c>
      <c r="Z286" s="47"/>
      <c r="AA286" s="47"/>
      <c r="AB286" s="47"/>
      <c r="AC286" s="161">
        <v>1</v>
      </c>
      <c r="AD286" s="47"/>
      <c r="AE286" s="47"/>
      <c r="AF286" s="47"/>
      <c r="AG286" s="47" t="s">
        <v>2093</v>
      </c>
      <c r="AH286" s="158"/>
      <c r="AI286" s="157"/>
      <c r="AJ286" s="157"/>
    </row>
    <row r="287" spans="1:36" s="159" customFormat="1" x14ac:dyDescent="0.3">
      <c r="A287" s="47">
        <f t="shared" si="4"/>
        <v>1210204118</v>
      </c>
      <c r="B287" s="47" t="s">
        <v>125</v>
      </c>
      <c r="C287" s="47" t="s">
        <v>1271</v>
      </c>
      <c r="D287" s="47" t="str">
        <f>"Monster.Name."&amp;VLOOKUP($C287,'#Data'!$B$2:$J$344,2,FALSE)</f>
        <v>Monster.Name.friendly_staffpatrol_2</v>
      </c>
      <c r="E287" s="47" t="s">
        <v>143</v>
      </c>
      <c r="F287" s="46" t="s">
        <v>44</v>
      </c>
      <c r="G287" s="47" t="s">
        <v>45</v>
      </c>
      <c r="H287" s="47" t="b">
        <f>IF(OR(VLOOKUP($C287,'#Data'!$B$2:$J$344,4,FALSE)="보스",VLOOKUP($C287,'#Data'!$B$2:$J$344,4,FALSE)="중간"),TRUE,FALSE)</f>
        <v>0</v>
      </c>
      <c r="I287" s="47" t="b">
        <v>0</v>
      </c>
      <c r="J287" s="47">
        <v>10</v>
      </c>
      <c r="K287" s="47">
        <f t="shared" si="5"/>
        <v>10</v>
      </c>
      <c r="L287" s="160" t="s">
        <v>1351</v>
      </c>
      <c r="M287" s="160"/>
      <c r="N287" s="160"/>
      <c r="O287" s="141" t="s">
        <v>1358</v>
      </c>
      <c r="P287" s="141" t="s">
        <v>2026</v>
      </c>
      <c r="Q287" s="141"/>
      <c r="R287" s="74"/>
      <c r="S287" s="74"/>
      <c r="T287" s="74"/>
      <c r="U287" s="74"/>
      <c r="V287" s="47" t="b">
        <v>0</v>
      </c>
      <c r="W287" s="47" t="str">
        <f>"Character/Prefabs/"&amp;VLOOKUP($C287,'#Data'!$B$3:$I$344,8,FALSE)</f>
        <v>Character/Prefabs/m_m_supporter_friendly_staffpatrol_2</v>
      </c>
      <c r="X287" s="47"/>
      <c r="Y287" s="47" t="str">
        <f>VLOOKUP($C287,'#Data'!$B$3:$I$344,8,FALSE)</f>
        <v>m_m_supporter_friendly_staffpatrol_2</v>
      </c>
      <c r="Z287" s="47"/>
      <c r="AA287" s="47"/>
      <c r="AB287" s="47"/>
      <c r="AC287" s="161">
        <v>1</v>
      </c>
      <c r="AD287" s="47"/>
      <c r="AE287" s="47"/>
      <c r="AF287" s="47"/>
      <c r="AG287" s="47" t="s">
        <v>2093</v>
      </c>
      <c r="AH287" s="158"/>
      <c r="AI287" s="157"/>
      <c r="AJ287" s="157"/>
    </row>
    <row r="288" spans="1:36" s="159" customFormat="1" x14ac:dyDescent="0.3">
      <c r="A288" s="47">
        <f t="shared" si="4"/>
        <v>1210204119</v>
      </c>
      <c r="B288" s="47" t="s">
        <v>125</v>
      </c>
      <c r="C288" s="47" t="s">
        <v>1273</v>
      </c>
      <c r="D288" s="47" t="str">
        <f>"Monster.Name."&amp;VLOOKUP($C288,'#Data'!$B$2:$J$344,2,FALSE)</f>
        <v>Monster.Name.friendly_sicklepatrol_2</v>
      </c>
      <c r="E288" s="47" t="s">
        <v>43</v>
      </c>
      <c r="F288" s="46" t="s">
        <v>44</v>
      </c>
      <c r="G288" s="47" t="s">
        <v>45</v>
      </c>
      <c r="H288" s="47" t="b">
        <f>IF(OR(VLOOKUP($C288,'#Data'!$B$2:$J$344,4,FALSE)="보스",VLOOKUP($C288,'#Data'!$B$2:$J$344,4,FALSE)="중간"),TRUE,FALSE)</f>
        <v>0</v>
      </c>
      <c r="I288" s="47" t="b">
        <v>0</v>
      </c>
      <c r="J288" s="47">
        <v>10</v>
      </c>
      <c r="K288" s="47">
        <f t="shared" si="5"/>
        <v>10</v>
      </c>
      <c r="L288" s="160" t="s">
        <v>1352</v>
      </c>
      <c r="M288" s="160"/>
      <c r="N288" s="160"/>
      <c r="O288" s="141" t="s">
        <v>1359</v>
      </c>
      <c r="P288" s="141" t="s">
        <v>2027</v>
      </c>
      <c r="Q288" s="141"/>
      <c r="R288" s="74"/>
      <c r="S288" s="74"/>
      <c r="T288" s="74"/>
      <c r="U288" s="74"/>
      <c r="V288" s="47" t="b">
        <v>0</v>
      </c>
      <c r="W288" s="47" t="str">
        <f>"Character/Prefabs/"&amp;VLOOKUP($C288,'#Data'!$B$3:$I$344,8,FALSE)</f>
        <v>Character/Prefabs/m_m_attacker_friendly_sicklepatrol_2</v>
      </c>
      <c r="X288" s="47"/>
      <c r="Y288" s="47" t="str">
        <f>VLOOKUP($C288,'#Data'!$B$3:$I$344,8,FALSE)</f>
        <v>m_m_attacker_friendly_sicklepatrol_2</v>
      </c>
      <c r="Z288" s="47"/>
      <c r="AA288" s="47"/>
      <c r="AB288" s="47"/>
      <c r="AC288" s="161">
        <v>1</v>
      </c>
      <c r="AD288" s="47"/>
      <c r="AE288" s="47"/>
      <c r="AF288" s="47"/>
      <c r="AG288" s="47" t="s">
        <v>2093</v>
      </c>
      <c r="AH288" s="158"/>
      <c r="AI288" s="157"/>
      <c r="AJ288" s="157"/>
    </row>
    <row r="289" spans="1:36" s="159" customFormat="1" x14ac:dyDescent="0.3">
      <c r="A289" s="47">
        <f t="shared" si="4"/>
        <v>1210204120</v>
      </c>
      <c r="B289" s="47" t="s">
        <v>125</v>
      </c>
      <c r="C289" s="47" t="s">
        <v>1275</v>
      </c>
      <c r="D289" s="47" t="str">
        <f>"Monster.Name."&amp;VLOOKUP($C289,'#Data'!$B$2:$J$344,2,FALSE)</f>
        <v>Monster.Name.friendly_security_2</v>
      </c>
      <c r="E289" s="47" t="s">
        <v>43</v>
      </c>
      <c r="F289" s="46" t="s">
        <v>44</v>
      </c>
      <c r="G289" s="47" t="s">
        <v>45</v>
      </c>
      <c r="H289" s="47" t="b">
        <f>IF(OR(VLOOKUP($C289,'#Data'!$B$2:$J$344,4,FALSE)="보스",VLOOKUP($C289,'#Data'!$B$2:$J$344,4,FALSE)="중간"),TRUE,FALSE)</f>
        <v>0</v>
      </c>
      <c r="I289" s="47" t="b">
        <v>0</v>
      </c>
      <c r="J289" s="47">
        <v>10</v>
      </c>
      <c r="K289" s="47">
        <f t="shared" si="5"/>
        <v>10</v>
      </c>
      <c r="L289" s="160" t="s">
        <v>1968</v>
      </c>
      <c r="M289" s="160"/>
      <c r="N289" s="160"/>
      <c r="O289" s="141" t="s">
        <v>1969</v>
      </c>
      <c r="P289" s="141" t="s">
        <v>2028</v>
      </c>
      <c r="Q289" s="141"/>
      <c r="R289" s="74"/>
      <c r="S289" s="74"/>
      <c r="T289" s="74"/>
      <c r="U289" s="74"/>
      <c r="V289" s="47" t="b">
        <v>0</v>
      </c>
      <c r="W289" s="47" t="str">
        <f>"Character/Prefabs/"&amp;VLOOKUP($C289,'#Data'!$B$3:$I$344,8,FALSE)</f>
        <v>Character/Prefabs/m_m_attacker_friendly_security_2</v>
      </c>
      <c r="X289" s="47"/>
      <c r="Y289" s="47" t="str">
        <f>VLOOKUP($C289,'#Data'!$B$3:$I$344,8,FALSE)</f>
        <v>m_m_attacker_friendly_security_2</v>
      </c>
      <c r="Z289" s="47"/>
      <c r="AA289" s="47"/>
      <c r="AB289" s="47"/>
      <c r="AC289" s="161">
        <v>0.9</v>
      </c>
      <c r="AD289" s="47"/>
      <c r="AE289" s="47"/>
      <c r="AF289" s="47"/>
      <c r="AG289" s="47" t="s">
        <v>2093</v>
      </c>
      <c r="AH289" s="158"/>
      <c r="AI289" s="157"/>
      <c r="AJ289" s="157"/>
    </row>
    <row r="290" spans="1:36" s="159" customFormat="1" x14ac:dyDescent="0.3">
      <c r="A290" s="47">
        <f t="shared" si="4"/>
        <v>1210204121</v>
      </c>
      <c r="B290" s="47" t="s">
        <v>125</v>
      </c>
      <c r="C290" s="47" t="s">
        <v>1276</v>
      </c>
      <c r="D290" s="47" t="str">
        <f>"Monster.Name."&amp;VLOOKUP($C290,'#Data'!$B$2:$J$344,2,FALSE)</f>
        <v>Monster.Name.friendly_cannon_2</v>
      </c>
      <c r="E290" s="47" t="s">
        <v>47</v>
      </c>
      <c r="F290" s="46" t="s">
        <v>44</v>
      </c>
      <c r="G290" s="47" t="s">
        <v>45</v>
      </c>
      <c r="H290" s="47" t="b">
        <f>IF(OR(VLOOKUP($C290,'#Data'!$B$2:$J$344,4,FALSE)="보스",VLOOKUP($C290,'#Data'!$B$2:$J$344,4,FALSE)="중간"),TRUE,FALSE)</f>
        <v>0</v>
      </c>
      <c r="I290" s="47" t="b">
        <v>0</v>
      </c>
      <c r="J290" s="47">
        <v>10</v>
      </c>
      <c r="K290" s="47">
        <f t="shared" si="5"/>
        <v>10</v>
      </c>
      <c r="L290" s="160" t="s">
        <v>1353</v>
      </c>
      <c r="M290" s="160"/>
      <c r="N290" s="160"/>
      <c r="O290" s="141" t="s">
        <v>1360</v>
      </c>
      <c r="P290" s="141" t="s">
        <v>2029</v>
      </c>
      <c r="Q290" s="141"/>
      <c r="R290" s="74"/>
      <c r="S290" s="74"/>
      <c r="T290" s="74"/>
      <c r="U290" s="74"/>
      <c r="V290" s="47" t="b">
        <v>0</v>
      </c>
      <c r="W290" s="47" t="str">
        <f>"Character/Prefabs/"&amp;VLOOKUP($C290,'#Data'!$B$3:$I$344,8,FALSE)</f>
        <v>Character/Prefabs/m_m_ranger_friendly_cannon_2</v>
      </c>
      <c r="X290" s="47"/>
      <c r="Y290" s="47" t="str">
        <f>VLOOKUP($C290,'#Data'!$B$3:$I$344,8,FALSE)</f>
        <v>m_m_ranger_friendly_cannon_2</v>
      </c>
      <c r="Z290" s="47"/>
      <c r="AA290" s="47"/>
      <c r="AB290" s="47"/>
      <c r="AC290" s="161">
        <v>0.7</v>
      </c>
      <c r="AD290" s="47"/>
      <c r="AE290" s="47"/>
      <c r="AF290" s="47"/>
      <c r="AG290" s="47" t="s">
        <v>2093</v>
      </c>
      <c r="AH290" s="158"/>
      <c r="AI290" s="157"/>
      <c r="AJ290" s="157"/>
    </row>
    <row r="291" spans="1:36" s="159" customFormat="1" x14ac:dyDescent="0.3">
      <c r="A291" s="47">
        <f t="shared" si="4"/>
        <v>1210204122</v>
      </c>
      <c r="B291" s="47" t="s">
        <v>125</v>
      </c>
      <c r="C291" s="47" t="s">
        <v>1278</v>
      </c>
      <c r="D291" s="47" t="str">
        <f>"Monster.Name."&amp;VLOOKUP($C291,'#Data'!$B$2:$J$344,2,FALSE)</f>
        <v>Monster.Name.friendly_gun_2</v>
      </c>
      <c r="E291" s="47" t="s">
        <v>47</v>
      </c>
      <c r="F291" s="46" t="s">
        <v>44</v>
      </c>
      <c r="G291" s="47" t="s">
        <v>45</v>
      </c>
      <c r="H291" s="47" t="b">
        <f>IF(OR(VLOOKUP($C291,'#Data'!$B$2:$J$344,4,FALSE)="보스",VLOOKUP($C291,'#Data'!$B$2:$J$344,4,FALSE)="중간"),TRUE,FALSE)</f>
        <v>0</v>
      </c>
      <c r="I291" s="47" t="b">
        <v>0</v>
      </c>
      <c r="J291" s="47">
        <v>10</v>
      </c>
      <c r="K291" s="47">
        <f t="shared" si="5"/>
        <v>10</v>
      </c>
      <c r="L291" s="160" t="s">
        <v>1354</v>
      </c>
      <c r="M291" s="160"/>
      <c r="N291" s="160"/>
      <c r="O291" s="141" t="s">
        <v>1361</v>
      </c>
      <c r="P291" s="141" t="s">
        <v>2030</v>
      </c>
      <c r="Q291" s="141"/>
      <c r="R291" s="74"/>
      <c r="S291" s="74"/>
      <c r="T291" s="74"/>
      <c r="U291" s="74"/>
      <c r="V291" s="47" t="b">
        <v>0</v>
      </c>
      <c r="W291" s="47" t="str">
        <f>"Character/Prefabs/"&amp;VLOOKUP($C291,'#Data'!$B$3:$I$344,8,FALSE)</f>
        <v>Character/Prefabs/m_m_ranger_friendly_gun_2</v>
      </c>
      <c r="X291" s="47"/>
      <c r="Y291" s="47" t="str">
        <f>VLOOKUP($C291,'#Data'!$B$3:$I$344,8,FALSE)</f>
        <v>m_m_ranger_friendly_gun_2</v>
      </c>
      <c r="Z291" s="47"/>
      <c r="AA291" s="47"/>
      <c r="AB291" s="47"/>
      <c r="AC291" s="161">
        <v>0.7</v>
      </c>
      <c r="AD291" s="47"/>
      <c r="AE291" s="47"/>
      <c r="AF291" s="47"/>
      <c r="AG291" s="47" t="s">
        <v>2093</v>
      </c>
      <c r="AH291" s="158"/>
      <c r="AI291" s="157"/>
      <c r="AJ291" s="157"/>
    </row>
    <row r="292" spans="1:36" x14ac:dyDescent="0.3">
      <c r="A292" s="13">
        <f t="shared" si="4"/>
        <v>1210204201</v>
      </c>
      <c r="B292" s="13" t="s">
        <v>125</v>
      </c>
      <c r="C292" s="13" t="s">
        <v>148</v>
      </c>
      <c r="D292" s="13" t="str">
        <f>"Monster.Name."&amp;VLOOKUP($C292,'#Data'!$B$2:$J$344,2,FALSE)</f>
        <v>Monster.Name.friendly_railgun_1</v>
      </c>
      <c r="E292" s="13" t="s">
        <v>47</v>
      </c>
      <c r="F292" s="44" t="s">
        <v>44</v>
      </c>
      <c r="G292" s="13" t="s">
        <v>45</v>
      </c>
      <c r="H292" s="13" t="b">
        <f>IF(OR(VLOOKUP($C292,'#Data'!$B$2:$J$344,4,FALSE)="보스",VLOOKUP($C292,'#Data'!$B$2:$J$344,4,FALSE)="중간"),TRUE,FALSE)</f>
        <v>1</v>
      </c>
      <c r="I292" s="13" t="b">
        <v>1</v>
      </c>
      <c r="J292" s="13">
        <v>10</v>
      </c>
      <c r="K292" s="13">
        <f t="shared" si="5"/>
        <v>10</v>
      </c>
      <c r="L292" s="71" t="str">
        <f>$B292&amp;"."&amp;VLOOKUP($C292,'#Data'!$B$2:$J$344,2,FALSE)&amp;".attack0"&amp;RIGHT(L$1,1)</f>
        <v>Sector04.friendly_railgun_1.attack01</v>
      </c>
      <c r="M292" s="71"/>
      <c r="N292" s="71"/>
      <c r="O292" s="140" t="str">
        <f>$B292&amp;"."&amp;VLOOKUP($C292,'#Data'!$B$2:$J$344,2,FALSE)&amp;".skill0"&amp;RIGHT(O$1,1)</f>
        <v>Sector04.friendly_railgun_1.skill01</v>
      </c>
      <c r="P292" s="140" t="str">
        <f>$B292&amp;"."&amp;VLOOKUP($C292,'#Data'!$B$2:$J$344,2,FALSE)&amp;".skill0"&amp;RIGHT(P$1,1)</f>
        <v>Sector04.friendly_railgun_1.skill02</v>
      </c>
      <c r="Q292" s="140" t="str">
        <f>$B292&amp;"."&amp;VLOOKUP($C292,'#Data'!$B$2:$J$344,2,FALSE)&amp;".skill0"&amp;RIGHT(Q$1,1)</f>
        <v>Sector04.friendly_railgun_1.skill03</v>
      </c>
      <c r="R292" s="72"/>
      <c r="S292" s="72" t="s">
        <v>2076</v>
      </c>
      <c r="T292" s="72"/>
      <c r="U292" s="72"/>
      <c r="V292" s="13" t="b">
        <v>0</v>
      </c>
      <c r="W292" s="13" t="str">
        <f>"Character/Prefabs/"&amp;VLOOKUP($C292,'#Data'!$B$3:$I$344,8,FALSE)</f>
        <v>Character/Prefabs/m_l_ranger_friendly_railgun_1</v>
      </c>
      <c r="X292" s="13"/>
      <c r="Y292" s="13" t="str">
        <f>VLOOKUP($C292,'#Data'!$B$3:$I$344,8,FALSE)</f>
        <v>m_l_ranger_friendly_railgun_1</v>
      </c>
      <c r="Z292" s="13"/>
      <c r="AA292" s="13"/>
      <c r="AB292" s="13"/>
      <c r="AC292" s="92">
        <v>0.9</v>
      </c>
      <c r="AD292" s="13"/>
      <c r="AE292" s="13"/>
      <c r="AF292" s="13"/>
      <c r="AG292" s="13" t="s">
        <v>2093</v>
      </c>
      <c r="AH292" s="85"/>
    </row>
    <row r="293" spans="1:36" x14ac:dyDescent="0.3">
      <c r="A293" s="13">
        <f t="shared" si="4"/>
        <v>1210204202</v>
      </c>
      <c r="B293" s="13" t="s">
        <v>125</v>
      </c>
      <c r="C293" s="13" t="s">
        <v>149</v>
      </c>
      <c r="D293" s="13" t="str">
        <f>"Monster.Name."&amp;VLOOKUP($C293,'#Data'!$B$2:$J$344,2,FALSE)</f>
        <v>Monster.Name.friendly_punch_1</v>
      </c>
      <c r="E293" s="13" t="s">
        <v>58</v>
      </c>
      <c r="F293" s="44" t="s">
        <v>44</v>
      </c>
      <c r="G293" s="13" t="s">
        <v>45</v>
      </c>
      <c r="H293" s="13" t="b">
        <f>IF(OR(VLOOKUP($C293,'#Data'!$B$2:$J$344,4,FALSE)="보스",VLOOKUP($C293,'#Data'!$B$2:$J$344,4,FALSE)="중간"),TRUE,FALSE)</f>
        <v>1</v>
      </c>
      <c r="I293" s="13" t="b">
        <v>1</v>
      </c>
      <c r="J293" s="13">
        <v>10</v>
      </c>
      <c r="K293" s="13">
        <f t="shared" si="5"/>
        <v>10</v>
      </c>
      <c r="L293" s="71" t="str">
        <f>$B293&amp;"."&amp;VLOOKUP($C293,'#Data'!$B$2:$J$344,2,FALSE)&amp;".attack0"&amp;RIGHT(L$1,1)</f>
        <v>Sector04.friendly_punch_1.attack01</v>
      </c>
      <c r="M293" s="71"/>
      <c r="N293" s="71"/>
      <c r="O293" s="140" t="str">
        <f>$B293&amp;"."&amp;VLOOKUP($C293,'#Data'!$B$2:$J$344,2,FALSE)&amp;".skill0"&amp;RIGHT(O$1,1)</f>
        <v>Sector04.friendly_punch_1.skill01</v>
      </c>
      <c r="P293" s="140" t="str">
        <f>$B293&amp;"."&amp;VLOOKUP($C293,'#Data'!$B$2:$J$344,2,FALSE)&amp;".skill0"&amp;RIGHT(P$1,1)</f>
        <v>Sector04.friendly_punch_1.skill02</v>
      </c>
      <c r="Q293" s="140" t="str">
        <f>$B293&amp;"."&amp;VLOOKUP($C293,'#Data'!$B$2:$J$344,2,FALSE)&amp;".skill0"&amp;RIGHT(Q$1,1)</f>
        <v>Sector04.friendly_punch_1.skill03</v>
      </c>
      <c r="R293" s="72"/>
      <c r="S293" s="72" t="s">
        <v>2076</v>
      </c>
      <c r="T293" s="72"/>
      <c r="U293" s="72"/>
      <c r="V293" s="13" t="b">
        <v>0</v>
      </c>
      <c r="W293" s="13" t="str">
        <f>"Character/Prefabs/"&amp;VLOOKUP($C293,'#Data'!$B$3:$I$344,8,FALSE)</f>
        <v>Character/Prefabs/m_l_tanker_friendly_punch_1</v>
      </c>
      <c r="X293" s="13"/>
      <c r="Y293" s="13" t="str">
        <f>VLOOKUP($C293,'#Data'!$B$3:$I$344,8,FALSE)</f>
        <v>m_l_tanker_friendly_punch_1</v>
      </c>
      <c r="Z293" s="13"/>
      <c r="AA293" s="13"/>
      <c r="AB293" s="13"/>
      <c r="AC293" s="92">
        <v>0.9</v>
      </c>
      <c r="AD293" s="13"/>
      <c r="AE293" s="13"/>
      <c r="AF293" s="13"/>
      <c r="AG293" s="13" t="s">
        <v>2093</v>
      </c>
      <c r="AH293" s="85"/>
    </row>
    <row r="294" spans="1:36" x14ac:dyDescent="0.3">
      <c r="A294" s="13">
        <f t="shared" si="4"/>
        <v>1210204203</v>
      </c>
      <c r="B294" s="13" t="s">
        <v>125</v>
      </c>
      <c r="C294" s="13" t="s">
        <v>150</v>
      </c>
      <c r="D294" s="13" t="str">
        <f>"Monster.Name."&amp;VLOOKUP($C294,'#Data'!$B$2:$J$344,2,FALSE)</f>
        <v>Monster.Name.friendly_pincers_1</v>
      </c>
      <c r="E294" s="13" t="s">
        <v>43</v>
      </c>
      <c r="F294" s="44" t="s">
        <v>44</v>
      </c>
      <c r="G294" s="13" t="s">
        <v>45</v>
      </c>
      <c r="H294" s="13" t="b">
        <f>IF(OR(VLOOKUP($C294,'#Data'!$B$2:$J$344,4,FALSE)="보스",VLOOKUP($C294,'#Data'!$B$2:$J$344,4,FALSE)="중간"),TRUE,FALSE)</f>
        <v>1</v>
      </c>
      <c r="I294" s="13" t="b">
        <v>1</v>
      </c>
      <c r="J294" s="13">
        <v>10</v>
      </c>
      <c r="K294" s="13">
        <f t="shared" si="5"/>
        <v>10</v>
      </c>
      <c r="L294" s="71" t="str">
        <f>$B294&amp;"."&amp;VLOOKUP($C294,'#Data'!$B$2:$J$344,2,FALSE)&amp;".attack0"&amp;RIGHT(L$1,1)</f>
        <v>Sector04.friendly_pincers_1.attack01</v>
      </c>
      <c r="M294" s="71"/>
      <c r="N294" s="71"/>
      <c r="O294" s="140" t="str">
        <f>$B294&amp;"."&amp;VLOOKUP($C294,'#Data'!$B$2:$J$344,2,FALSE)&amp;".skill0"&amp;RIGHT(O$1,1)</f>
        <v>Sector04.friendly_pincers_1.skill01</v>
      </c>
      <c r="P294" s="140" t="str">
        <f>$B294&amp;"."&amp;VLOOKUP($C294,'#Data'!$B$2:$J$344,2,FALSE)&amp;".skill0"&amp;RIGHT(P$1,1)</f>
        <v>Sector04.friendly_pincers_1.skill02</v>
      </c>
      <c r="Q294" s="140"/>
      <c r="R294" s="72"/>
      <c r="S294" s="72" t="s">
        <v>2076</v>
      </c>
      <c r="T294" s="72"/>
      <c r="U294" s="72"/>
      <c r="V294" s="13" t="b">
        <v>0</v>
      </c>
      <c r="W294" s="13" t="str">
        <f>"Character/Prefabs/"&amp;VLOOKUP($C294,'#Data'!$B$3:$I$344,8,FALSE)</f>
        <v>Character/Prefabs/m_l_attacker_friendly_pincers_1</v>
      </c>
      <c r="X294" s="13"/>
      <c r="Y294" s="13" t="str">
        <f>VLOOKUP($C294,'#Data'!$B$3:$I$344,8,FALSE)</f>
        <v>m_l_attacker_friendly_pincers_1</v>
      </c>
      <c r="Z294" s="13"/>
      <c r="AA294" s="13"/>
      <c r="AB294" s="13"/>
      <c r="AC294" s="92">
        <v>0.9</v>
      </c>
      <c r="AD294" s="13"/>
      <c r="AE294" s="13"/>
      <c r="AF294" s="13"/>
      <c r="AG294" s="13" t="s">
        <v>2093</v>
      </c>
      <c r="AH294" s="85"/>
    </row>
    <row r="295" spans="1:36" x14ac:dyDescent="0.3">
      <c r="A295" s="117">
        <f t="shared" ref="A295:A326" si="6">A100+100000000</f>
        <v>1210204301</v>
      </c>
      <c r="B295" s="117" t="s">
        <v>125</v>
      </c>
      <c r="C295" s="117" t="s">
        <v>151</v>
      </c>
      <c r="D295" s="117" t="str">
        <f>"Monster.Name."&amp;VLOOKUP($C295,'#Data'!$B$2:$J$344,2,FALSE)</f>
        <v>Monster.Name.nullaxe_1</v>
      </c>
      <c r="E295" s="117" t="s">
        <v>43</v>
      </c>
      <c r="F295" s="118" t="s">
        <v>44</v>
      </c>
      <c r="G295" s="117" t="s">
        <v>45</v>
      </c>
      <c r="H295" s="117" t="b">
        <f>IF(OR(VLOOKUP($C295,'#Data'!$B$2:$J$344,4,FALSE)="보스",VLOOKUP($C295,'#Data'!$B$2:$J$344,4,FALSE)="중간"),TRUE,FALSE)</f>
        <v>1</v>
      </c>
      <c r="I295" s="117" t="b">
        <v>1</v>
      </c>
      <c r="J295" s="117">
        <v>20</v>
      </c>
      <c r="K295" s="117">
        <f t="shared" ref="K295:K326" si="7">K100</f>
        <v>10</v>
      </c>
      <c r="L295" s="119" t="str">
        <f>$B295&amp;"."&amp;VLOOKUP($C295,'#Data'!$B$2:$J$344,2,FALSE)&amp;".attack0"&amp;RIGHT(L$1,1)</f>
        <v>Sector04.nullaxe_1.attack01</v>
      </c>
      <c r="M295" s="119" t="str">
        <f>$B295&amp;"."&amp;VLOOKUP($C295,'#Data'!$B$2:$J$344,2,FALSE)&amp;".attack0"&amp;RIGHT(M$1,1)</f>
        <v>Sector04.nullaxe_1.attack02</v>
      </c>
      <c r="N295" s="119"/>
      <c r="O295" s="142" t="str">
        <f>$B295&amp;"."&amp;VLOOKUP($C295,'#Data'!$B$2:$J$344,2,FALSE)&amp;".skill0"&amp;RIGHT(O$1,1)</f>
        <v>Sector04.nullaxe_1.skill01</v>
      </c>
      <c r="P295" s="142" t="str">
        <f>$B295&amp;"."&amp;VLOOKUP($C295,'#Data'!$B$2:$J$344,2,FALSE)&amp;".skill0"&amp;RIGHT(P$1,1)</f>
        <v>Sector04.nullaxe_1.skill02</v>
      </c>
      <c r="Q295" s="142" t="str">
        <f>$B295&amp;"."&amp;VLOOKUP($C295,'#Data'!$B$2:$J$344,2,FALSE)&amp;".skill0"&amp;RIGHT(Q$1,1)</f>
        <v>Sector04.nullaxe_1.skill03</v>
      </c>
      <c r="R295" s="120" t="s">
        <v>152</v>
      </c>
      <c r="S295" s="120" t="s">
        <v>76</v>
      </c>
      <c r="T295" s="120"/>
      <c r="U295" s="120"/>
      <c r="V295" s="117" t="b">
        <v>0</v>
      </c>
      <c r="W295" s="117" t="str">
        <f>"Character/Prefabs/"&amp;VLOOKUP($C295,'#Data'!$B$3:$I$344,8,FALSE)</f>
        <v>Character/Prefabs/m_boss_attacker_nullaxe_1</v>
      </c>
      <c r="X295" s="117"/>
      <c r="Y295" s="117" t="str">
        <f>VLOOKUP($C295,'#Data'!$B$3:$I$344,8,FALSE)</f>
        <v>m_boss_attacker_nullaxe_1</v>
      </c>
      <c r="Z295" s="117"/>
      <c r="AA295" s="117"/>
      <c r="AB295" s="117"/>
      <c r="AC295" s="121">
        <v>1.6</v>
      </c>
      <c r="AD295" s="117"/>
      <c r="AE295" s="117" t="s">
        <v>1449</v>
      </c>
      <c r="AF295" s="117" t="s">
        <v>153</v>
      </c>
      <c r="AG295" s="117" t="s">
        <v>2093</v>
      </c>
      <c r="AH295" s="85"/>
    </row>
    <row r="296" spans="1:36" x14ac:dyDescent="0.3">
      <c r="A296" s="117">
        <f t="shared" si="6"/>
        <v>1210204302</v>
      </c>
      <c r="B296" s="117" t="s">
        <v>125</v>
      </c>
      <c r="C296" s="117" t="s">
        <v>154</v>
      </c>
      <c r="D296" s="117" t="str">
        <f>"Monster.Name."&amp;VLOOKUP($C296,'#Data'!$B$2:$J$344,2,FALSE)</f>
        <v>Monster.Name.nullaxe_2</v>
      </c>
      <c r="E296" s="117" t="s">
        <v>43</v>
      </c>
      <c r="F296" s="118" t="s">
        <v>44</v>
      </c>
      <c r="G296" s="117" t="s">
        <v>45</v>
      </c>
      <c r="H296" s="117" t="b">
        <f>IF(OR(VLOOKUP($C296,'#Data'!$B$2:$J$344,4,FALSE)="보스",VLOOKUP($C296,'#Data'!$B$2:$J$344,4,FALSE)="중간"),TRUE,FALSE)</f>
        <v>1</v>
      </c>
      <c r="I296" s="117" t="b">
        <v>1</v>
      </c>
      <c r="J296" s="117">
        <v>20</v>
      </c>
      <c r="K296" s="117">
        <f t="shared" si="7"/>
        <v>10</v>
      </c>
      <c r="L296" s="119" t="str">
        <f>$B296&amp;"."&amp;VLOOKUP($C296,'#Data'!$B$2:$J$344,2,FALSE)&amp;".attack0"&amp;RIGHT(L$1,1)</f>
        <v>Sector04.nullaxe_2.attack01</v>
      </c>
      <c r="M296" s="119" t="str">
        <f>$B296&amp;"."&amp;VLOOKUP($C296,'#Data'!$B$2:$J$344,2,FALSE)&amp;".attack0"&amp;RIGHT(M$1,1)</f>
        <v>Sector04.nullaxe_2.attack02</v>
      </c>
      <c r="N296" s="119"/>
      <c r="O296" s="142" t="str">
        <f>$B296&amp;"."&amp;VLOOKUP($C296,'#Data'!$B$2:$J$344,2,FALSE)&amp;".skill0"&amp;RIGHT(O$1,1)</f>
        <v>Sector04.nullaxe_2.skill01</v>
      </c>
      <c r="P296" s="142" t="str">
        <f>$B296&amp;"."&amp;VLOOKUP($C296,'#Data'!$B$2:$J$344,2,FALSE)&amp;".skill0"&amp;RIGHT(P$1,1)</f>
        <v>Sector04.nullaxe_2.skill02</v>
      </c>
      <c r="Q296" s="142" t="str">
        <f>$B296&amp;"."&amp;VLOOKUP($C296,'#Data'!$B$2:$J$344,2,FALSE)&amp;".skill0"&amp;RIGHT(Q$1,1)</f>
        <v>Sector04.nullaxe_2.skill03</v>
      </c>
      <c r="R296" s="120" t="s">
        <v>155</v>
      </c>
      <c r="S296" s="120" t="s">
        <v>2073</v>
      </c>
      <c r="T296" s="120"/>
      <c r="U296" s="120"/>
      <c r="V296" s="117" t="b">
        <v>0</v>
      </c>
      <c r="W296" s="122" t="str">
        <f>"Character/Prefabs/"&amp;VLOOKUP($C296,'#Data'!$B$3:$I$344,8,FALSE)</f>
        <v>Character/Prefabs/m_boss_attacker_nullaxe_2</v>
      </c>
      <c r="X296" s="117"/>
      <c r="Y296" s="122" t="str">
        <f>VLOOKUP($C296,'#Data'!$B$3:$I$344,8,FALSE)</f>
        <v>m_boss_attacker_nullaxe_2</v>
      </c>
      <c r="Z296" s="117"/>
      <c r="AA296" s="117"/>
      <c r="AB296" s="117"/>
      <c r="AC296" s="121">
        <v>1.6</v>
      </c>
      <c r="AD296" s="117"/>
      <c r="AE296" s="117" t="s">
        <v>1450</v>
      </c>
      <c r="AF296" s="117" t="s">
        <v>1874</v>
      </c>
      <c r="AG296" s="117" t="s">
        <v>2093</v>
      </c>
      <c r="AH296" s="85"/>
    </row>
    <row r="297" spans="1:36" x14ac:dyDescent="0.3">
      <c r="A297" s="37">
        <f t="shared" si="6"/>
        <v>1210205101</v>
      </c>
      <c r="B297" s="37" t="s">
        <v>156</v>
      </c>
      <c r="C297" s="37" t="s">
        <v>157</v>
      </c>
      <c r="D297" s="37" t="str">
        <f>"Monster.Name."&amp;VLOOKUP($C297,'#Data'!$B$2:$J$344,2,FALSE)</f>
        <v>Monster.Name.killer_drone_4</v>
      </c>
      <c r="E297" s="37" t="s">
        <v>43</v>
      </c>
      <c r="F297" s="38" t="s">
        <v>44</v>
      </c>
      <c r="G297" s="37" t="s">
        <v>45</v>
      </c>
      <c r="H297" s="37" t="b">
        <f>IF(OR(VLOOKUP($C297,'#Data'!$B$2:$J$344,4,FALSE)="보스",VLOOKUP($C297,'#Data'!$B$2:$J$344,4,FALSE)="중간"),TRUE,FALSE)</f>
        <v>0</v>
      </c>
      <c r="I297" s="37" t="b">
        <v>0</v>
      </c>
      <c r="J297" s="37">
        <v>10</v>
      </c>
      <c r="K297" s="37">
        <f t="shared" si="7"/>
        <v>10</v>
      </c>
      <c r="L297" s="59" t="str">
        <f>$B297&amp;"."&amp;VLOOKUP($C297,'#Data'!$B$2:$J$344,2,FALSE)&amp;".attack0"&amp;RIGHT(L$1,1)</f>
        <v>Sector05.killer_drone_4.attack01</v>
      </c>
      <c r="M297" s="59"/>
      <c r="N297" s="59"/>
      <c r="O297" s="131" t="s">
        <v>2031</v>
      </c>
      <c r="P297" s="131" t="s">
        <v>1958</v>
      </c>
      <c r="Q297" s="60"/>
      <c r="R297" s="60"/>
      <c r="S297" s="60"/>
      <c r="T297" s="60"/>
      <c r="U297" s="60"/>
      <c r="V297" s="37" t="b">
        <v>0</v>
      </c>
      <c r="W297" s="37" t="str">
        <f>"Character/Prefabs/"&amp;VLOOKUP($C297,'#Data'!$B$3:$I$344,8,FALSE)</f>
        <v>Character/Prefabs/m_s_attacker_killer_drone_4</v>
      </c>
      <c r="X297" s="37"/>
      <c r="Y297" s="37" t="str">
        <f>VLOOKUP($C297,'#Data'!$B$3:$I$344,8,FALSE)</f>
        <v>m_s_attacker_killer_drone_4</v>
      </c>
      <c r="Z297" s="37"/>
      <c r="AA297" s="37"/>
      <c r="AB297" s="37"/>
      <c r="AC297" s="84">
        <v>0.7</v>
      </c>
      <c r="AD297" s="37"/>
      <c r="AE297" s="37"/>
      <c r="AF297" s="37"/>
      <c r="AG297" s="37" t="s">
        <v>2093</v>
      </c>
      <c r="AH297" s="85"/>
    </row>
    <row r="298" spans="1:36" x14ac:dyDescent="0.3">
      <c r="A298" s="37">
        <f t="shared" si="6"/>
        <v>1210205102</v>
      </c>
      <c r="B298" s="37" t="s">
        <v>156</v>
      </c>
      <c r="C298" s="37" t="s">
        <v>158</v>
      </c>
      <c r="D298" s="37" t="str">
        <f>"Monster.Name."&amp;VLOOKUP($C298,'#Data'!$B$2:$J$344,2,FALSE)</f>
        <v>Monster.Name.killer_drone_2</v>
      </c>
      <c r="E298" s="37" t="s">
        <v>43</v>
      </c>
      <c r="F298" s="38" t="s">
        <v>44</v>
      </c>
      <c r="G298" s="37" t="s">
        <v>45</v>
      </c>
      <c r="H298" s="37" t="b">
        <f>IF(OR(VLOOKUP($C298,'#Data'!$B$2:$J$344,4,FALSE)="보스",VLOOKUP($C298,'#Data'!$B$2:$J$344,4,FALSE)="중간"),TRUE,FALSE)</f>
        <v>0</v>
      </c>
      <c r="I298" s="37" t="b">
        <v>0</v>
      </c>
      <c r="J298" s="37">
        <v>10</v>
      </c>
      <c r="K298" s="37">
        <f t="shared" si="7"/>
        <v>10</v>
      </c>
      <c r="L298" s="59" t="str">
        <f>$B298&amp;"."&amp;VLOOKUP($C298,'#Data'!$B$2:$J$344,2,FALSE)&amp;".attack0"&amp;RIGHT(L$1,1)</f>
        <v>Sector05.killer_drone_2.attack01</v>
      </c>
      <c r="M298" s="59"/>
      <c r="N298" s="59"/>
      <c r="O298" s="131" t="s">
        <v>2032</v>
      </c>
      <c r="P298" s="131" t="s">
        <v>1958</v>
      </c>
      <c r="Q298" s="60"/>
      <c r="R298" s="60"/>
      <c r="S298" s="60"/>
      <c r="T298" s="60"/>
      <c r="U298" s="60"/>
      <c r="V298" s="37" t="b">
        <v>0</v>
      </c>
      <c r="W298" s="37" t="str">
        <f>"Character/Prefabs/"&amp;VLOOKUP($C298,'#Data'!$B$3:$I$344,8,FALSE)</f>
        <v>Character/Prefabs/m_s_attacker_killer_drone_2</v>
      </c>
      <c r="X298" s="37"/>
      <c r="Y298" s="37" t="str">
        <f>VLOOKUP($C298,'#Data'!$B$3:$I$344,8,FALSE)</f>
        <v>m_s_attacker_killer_drone_2</v>
      </c>
      <c r="Z298" s="37"/>
      <c r="AA298" s="37"/>
      <c r="AB298" s="37"/>
      <c r="AC298" s="84">
        <v>0.7</v>
      </c>
      <c r="AD298" s="37"/>
      <c r="AE298" s="37"/>
      <c r="AF298" s="37"/>
      <c r="AG298" s="37" t="s">
        <v>2093</v>
      </c>
      <c r="AH298" s="85"/>
    </row>
    <row r="299" spans="1:36" x14ac:dyDescent="0.3">
      <c r="A299" s="37">
        <f t="shared" si="6"/>
        <v>1210205103</v>
      </c>
      <c r="B299" s="37" t="s">
        <v>156</v>
      </c>
      <c r="C299" s="37" t="s">
        <v>159</v>
      </c>
      <c r="D299" s="37" t="str">
        <f>"Monster.Name."&amp;VLOOKUP($C299,'#Data'!$B$2:$J$344,2,FALSE)</f>
        <v>Monster.Name.terminate_drone_3</v>
      </c>
      <c r="E299" s="37" t="s">
        <v>43</v>
      </c>
      <c r="F299" s="38" t="s">
        <v>44</v>
      </c>
      <c r="G299" s="37" t="s">
        <v>45</v>
      </c>
      <c r="H299" s="37" t="b">
        <f>IF(OR(VLOOKUP($C299,'#Data'!$B$2:$J$344,4,FALSE)="보스",VLOOKUP($C299,'#Data'!$B$2:$J$344,4,FALSE)="중간"),TRUE,FALSE)</f>
        <v>0</v>
      </c>
      <c r="I299" s="37" t="b">
        <v>0</v>
      </c>
      <c r="J299" s="37">
        <v>10</v>
      </c>
      <c r="K299" s="37">
        <f t="shared" si="7"/>
        <v>10</v>
      </c>
      <c r="L299" s="59" t="str">
        <f>$B299&amp;"."&amp;VLOOKUP($C299,'#Data'!$B$2:$J$344,2,FALSE)&amp;".attack0"&amp;RIGHT(L$1,1)</f>
        <v>Sector05.terminate_drone_3.attack01</v>
      </c>
      <c r="M299" s="59"/>
      <c r="N299" s="59"/>
      <c r="O299" s="131" t="s">
        <v>2033</v>
      </c>
      <c r="P299" s="131" t="s">
        <v>1958</v>
      </c>
      <c r="Q299" s="60"/>
      <c r="R299" s="60"/>
      <c r="S299" s="60"/>
      <c r="T299" s="60"/>
      <c r="U299" s="60"/>
      <c r="V299" s="37" t="b">
        <v>0</v>
      </c>
      <c r="W299" s="37" t="str">
        <f>"Character/Prefabs/"&amp;VLOOKUP($C299,'#Data'!$B$3:$I$344,8,FALSE)</f>
        <v>Character/Prefabs/m_s_attacker_terminate_drone_3</v>
      </c>
      <c r="X299" s="37"/>
      <c r="Y299" s="37" t="str">
        <f>VLOOKUP($C299,'#Data'!$B$3:$I$344,8,FALSE)</f>
        <v>m_s_attacker_terminate_drone_3</v>
      </c>
      <c r="Z299" s="37"/>
      <c r="AA299" s="37"/>
      <c r="AB299" s="37"/>
      <c r="AC299" s="84">
        <v>0.7</v>
      </c>
      <c r="AD299" s="37"/>
      <c r="AE299" s="37"/>
      <c r="AF299" s="37"/>
      <c r="AG299" s="37" t="s">
        <v>2093</v>
      </c>
      <c r="AH299" s="85"/>
    </row>
    <row r="300" spans="1:36" x14ac:dyDescent="0.3">
      <c r="A300" s="37">
        <f t="shared" si="6"/>
        <v>1210205104</v>
      </c>
      <c r="B300" s="37" t="s">
        <v>156</v>
      </c>
      <c r="C300" s="37" t="s">
        <v>160</v>
      </c>
      <c r="D300" s="37" t="str">
        <f>"Monster.Name."&amp;VLOOKUP($C300,'#Data'!$B$2:$J$344,2,FALSE)</f>
        <v>Monster.Name.clock_thunderdog_1</v>
      </c>
      <c r="E300" s="37" t="s">
        <v>43</v>
      </c>
      <c r="F300" s="38" t="s">
        <v>44</v>
      </c>
      <c r="G300" s="37" t="s">
        <v>45</v>
      </c>
      <c r="H300" s="37" t="b">
        <f>IF(OR(VLOOKUP($C300,'#Data'!$B$2:$J$344,4,FALSE)="보스",VLOOKUP($C300,'#Data'!$B$2:$J$344,4,FALSE)="중간"),TRUE,FALSE)</f>
        <v>0</v>
      </c>
      <c r="I300" s="37" t="b">
        <v>0</v>
      </c>
      <c r="J300" s="37">
        <v>10</v>
      </c>
      <c r="K300" s="37">
        <f t="shared" si="7"/>
        <v>10</v>
      </c>
      <c r="L300" s="59" t="str">
        <f>$B300&amp;"."&amp;VLOOKUP($C300,'#Data'!$B$2:$J$344,2,FALSE)&amp;".attack0"&amp;RIGHT(L$1,1)</f>
        <v>Sector05.clock_thunderdog_1.attack01</v>
      </c>
      <c r="M300" s="59"/>
      <c r="N300" s="59"/>
      <c r="O300" s="131" t="s">
        <v>2034</v>
      </c>
      <c r="P300" s="131" t="s">
        <v>1958</v>
      </c>
      <c r="Q300" s="60"/>
      <c r="R300" s="60"/>
      <c r="S300" s="60"/>
      <c r="T300" s="60"/>
      <c r="U300" s="60"/>
      <c r="V300" s="37" t="b">
        <v>0</v>
      </c>
      <c r="W300" s="37" t="str">
        <f>"Character/Prefabs/"&amp;VLOOKUP($C300,'#Data'!$B$3:$I$344,8,FALSE)</f>
        <v>Character/Prefabs/m_s_attacker_clock_thunderdog_1</v>
      </c>
      <c r="X300" s="37"/>
      <c r="Y300" s="37" t="str">
        <f>VLOOKUP($C300,'#Data'!$B$3:$I$344,8,FALSE)</f>
        <v>m_s_attacker_clock_thunderdog_1</v>
      </c>
      <c r="Z300" s="37"/>
      <c r="AA300" s="37"/>
      <c r="AB300" s="37"/>
      <c r="AC300" s="84">
        <v>0.9</v>
      </c>
      <c r="AD300" s="37"/>
      <c r="AE300" s="37"/>
      <c r="AF300" s="37"/>
      <c r="AG300" s="37" t="s">
        <v>2093</v>
      </c>
      <c r="AH300" s="85"/>
    </row>
    <row r="301" spans="1:36" x14ac:dyDescent="0.3">
      <c r="A301" s="37">
        <f t="shared" si="6"/>
        <v>1210205105</v>
      </c>
      <c r="B301" s="37" t="s">
        <v>156</v>
      </c>
      <c r="C301" s="37" t="s">
        <v>161</v>
      </c>
      <c r="D301" s="37" t="str">
        <f>"Monster.Name."&amp;VLOOKUP($C301,'#Data'!$B$2:$J$344,2,FALSE)</f>
        <v>Monster.Name.labtrooper_rifle_1</v>
      </c>
      <c r="E301" s="37" t="s">
        <v>47</v>
      </c>
      <c r="F301" s="38" t="s">
        <v>44</v>
      </c>
      <c r="G301" s="37" t="s">
        <v>45</v>
      </c>
      <c r="H301" s="37" t="b">
        <f>IF(OR(VLOOKUP($C301,'#Data'!$B$2:$J$344,4,FALSE)="보스",VLOOKUP($C301,'#Data'!$B$2:$J$344,4,FALSE)="중간"),TRUE,FALSE)</f>
        <v>0</v>
      </c>
      <c r="I301" s="37" t="b">
        <v>0</v>
      </c>
      <c r="J301" s="37">
        <v>10</v>
      </c>
      <c r="K301" s="37">
        <f t="shared" si="7"/>
        <v>10</v>
      </c>
      <c r="L301" s="59" t="str">
        <f>$B301&amp;"."&amp;VLOOKUP($C301,'#Data'!$B$2:$J$344,2,FALSE)&amp;".attack0"&amp;RIGHT(L$1,1)</f>
        <v>Sector05.labtrooper_rifle_1.attack01</v>
      </c>
      <c r="M301" s="59"/>
      <c r="N301" s="59"/>
      <c r="O301" s="131" t="str">
        <f>$B301&amp;"."&amp;VLOOKUP($C301,'#Data'!$B$2:$J$344,2,FALSE)&amp;".skill0"&amp;RIGHT(O$1,1)</f>
        <v>Sector05.labtrooper_rifle_1.skill01</v>
      </c>
      <c r="P301" s="131" t="s">
        <v>2035</v>
      </c>
      <c r="Q301" s="131" t="s">
        <v>1958</v>
      </c>
      <c r="R301" s="60"/>
      <c r="S301" s="60"/>
      <c r="T301" s="60"/>
      <c r="U301" s="60"/>
      <c r="V301" s="37" t="b">
        <v>0</v>
      </c>
      <c r="W301" s="37" t="str">
        <f>"Character/Prefabs/"&amp;VLOOKUP($C301,'#Data'!$B$3:$I$344,8,FALSE)</f>
        <v>Character/Prefabs/m_m_ranger_labtrooper_rifle_1</v>
      </c>
      <c r="X301" s="37"/>
      <c r="Y301" s="37" t="str">
        <f>VLOOKUP($C301,'#Data'!$B$3:$I$344,8,FALSE)</f>
        <v>m_m_ranger_labtrooper_rifle_1</v>
      </c>
      <c r="Z301" s="37"/>
      <c r="AA301" s="37"/>
      <c r="AB301" s="37"/>
      <c r="AC301" s="84">
        <v>0.6</v>
      </c>
      <c r="AD301" s="37"/>
      <c r="AE301" s="37"/>
      <c r="AF301" s="37"/>
      <c r="AG301" s="37" t="s">
        <v>2093</v>
      </c>
      <c r="AH301" s="85"/>
    </row>
    <row r="302" spans="1:36" x14ac:dyDescent="0.3">
      <c r="A302" s="37">
        <f t="shared" si="6"/>
        <v>1210205106</v>
      </c>
      <c r="B302" s="37" t="s">
        <v>156</v>
      </c>
      <c r="C302" s="37" t="s">
        <v>162</v>
      </c>
      <c r="D302" s="37" t="str">
        <f>"Monster.Name."&amp;VLOOKUP($C302,'#Data'!$B$2:$J$344,2,FALSE)</f>
        <v>Monster.Name.labtrooper_shield_1</v>
      </c>
      <c r="E302" s="37" t="s">
        <v>58</v>
      </c>
      <c r="F302" s="38" t="s">
        <v>44</v>
      </c>
      <c r="G302" s="37" t="s">
        <v>45</v>
      </c>
      <c r="H302" s="37" t="b">
        <f>IF(OR(VLOOKUP($C302,'#Data'!$B$2:$J$344,4,FALSE)="보스",VLOOKUP($C302,'#Data'!$B$2:$J$344,4,FALSE)="중간"),TRUE,FALSE)</f>
        <v>0</v>
      </c>
      <c r="I302" s="37" t="b">
        <v>0</v>
      </c>
      <c r="J302" s="37">
        <v>10</v>
      </c>
      <c r="K302" s="37">
        <f t="shared" si="7"/>
        <v>10</v>
      </c>
      <c r="L302" s="59" t="str">
        <f>$B302&amp;"."&amp;VLOOKUP($C302,'#Data'!$B$2:$J$344,2,FALSE)&amp;".attack0"&amp;RIGHT(L$1,1)</f>
        <v>Sector05.labtrooper_shield_1.attack01</v>
      </c>
      <c r="M302" s="59"/>
      <c r="N302" s="59"/>
      <c r="O302" s="131" t="str">
        <f>$B302&amp;"."&amp;VLOOKUP($C302,'#Data'!$B$2:$J$344,2,FALSE)&amp;".skill0"&amp;RIGHT(O$1,1)</f>
        <v>Sector05.labtrooper_shield_1.skill01</v>
      </c>
      <c r="P302" s="131" t="s">
        <v>2036</v>
      </c>
      <c r="Q302" s="131" t="s">
        <v>1958</v>
      </c>
      <c r="R302" s="60"/>
      <c r="S302" s="60"/>
      <c r="T302" s="60"/>
      <c r="U302" s="60"/>
      <c r="V302" s="37" t="b">
        <v>0</v>
      </c>
      <c r="W302" s="37" t="str">
        <f>"Character/Prefabs/"&amp;VLOOKUP($C302,'#Data'!$B$3:$I$344,8,FALSE)</f>
        <v>Character/Prefabs/m_m_tanker_labtrooper_shield_1</v>
      </c>
      <c r="X302" s="37"/>
      <c r="Y302" s="37" t="str">
        <f>VLOOKUP($C302,'#Data'!$B$3:$I$344,8,FALSE)</f>
        <v>m_m_tanker_labtrooper_shield_1</v>
      </c>
      <c r="Z302" s="37"/>
      <c r="AA302" s="37"/>
      <c r="AB302" s="37"/>
      <c r="AC302" s="84">
        <v>0.6</v>
      </c>
      <c r="AD302" s="37"/>
      <c r="AE302" s="37"/>
      <c r="AF302" s="37"/>
      <c r="AG302" s="37" t="s">
        <v>2093</v>
      </c>
      <c r="AH302" s="85"/>
    </row>
    <row r="303" spans="1:36" x14ac:dyDescent="0.3">
      <c r="A303" s="37">
        <f t="shared" si="6"/>
        <v>1210205107</v>
      </c>
      <c r="B303" s="37" t="s">
        <v>156</v>
      </c>
      <c r="C303" s="37" t="s">
        <v>163</v>
      </c>
      <c r="D303" s="37" t="str">
        <f>"Monster.Name."&amp;VLOOKUP($C303,'#Data'!$B$2:$J$344,2,FALSE)</f>
        <v>Monster.Name.labtrooper_flame_1</v>
      </c>
      <c r="E303" s="37" t="s">
        <v>43</v>
      </c>
      <c r="F303" s="38" t="s">
        <v>44</v>
      </c>
      <c r="G303" s="37" t="s">
        <v>45</v>
      </c>
      <c r="H303" s="37" t="b">
        <f>IF(OR(VLOOKUP($C303,'#Data'!$B$2:$J$344,4,FALSE)="보스",VLOOKUP($C303,'#Data'!$B$2:$J$344,4,FALSE)="중간"),TRUE,FALSE)</f>
        <v>0</v>
      </c>
      <c r="I303" s="37" t="b">
        <v>0</v>
      </c>
      <c r="J303" s="37">
        <v>10</v>
      </c>
      <c r="K303" s="37">
        <f t="shared" si="7"/>
        <v>10</v>
      </c>
      <c r="L303" s="59" t="str">
        <f>$B303&amp;"."&amp;VLOOKUP($C303,'#Data'!$B$2:$J$344,2,FALSE)&amp;".attack0"&amp;RIGHT(L$1,1)</f>
        <v>Sector05.labtrooper_flame_1.attack01</v>
      </c>
      <c r="M303" s="59"/>
      <c r="N303" s="59"/>
      <c r="O303" s="131" t="str">
        <f>$B303&amp;"."&amp;VLOOKUP($C303,'#Data'!$B$2:$J$344,2,FALSE)&amp;".skill0"&amp;RIGHT(O$1,1)</f>
        <v>Sector05.labtrooper_flame_1.skill01</v>
      </c>
      <c r="P303" s="131" t="s">
        <v>2037</v>
      </c>
      <c r="Q303" s="131" t="s">
        <v>1958</v>
      </c>
      <c r="R303" s="60"/>
      <c r="S303" s="60"/>
      <c r="T303" s="60"/>
      <c r="U303" s="60"/>
      <c r="V303" s="37" t="b">
        <v>0</v>
      </c>
      <c r="W303" s="37" t="str">
        <f>"Character/Prefabs/"&amp;VLOOKUP($C303,'#Data'!$B$3:$I$344,8,FALSE)</f>
        <v>Character/Prefabs/m_m_attacker_labtrooper_flame_1</v>
      </c>
      <c r="X303" s="37"/>
      <c r="Y303" s="37" t="str">
        <f>VLOOKUP($C303,'#Data'!$B$3:$I$344,8,FALSE)</f>
        <v>m_m_attacker_labtrooper_flame_1</v>
      </c>
      <c r="Z303" s="37"/>
      <c r="AA303" s="37"/>
      <c r="AB303" s="37"/>
      <c r="AC303" s="84">
        <v>0.6</v>
      </c>
      <c r="AD303" s="37"/>
      <c r="AE303" s="37"/>
      <c r="AF303" s="37"/>
      <c r="AG303" s="37" t="s">
        <v>2093</v>
      </c>
      <c r="AH303" s="85"/>
    </row>
    <row r="304" spans="1:36" x14ac:dyDescent="0.3">
      <c r="A304" s="37">
        <f t="shared" si="6"/>
        <v>1210205108</v>
      </c>
      <c r="B304" s="37" t="s">
        <v>156</v>
      </c>
      <c r="C304" s="37" t="s">
        <v>164</v>
      </c>
      <c r="D304" s="37" t="str">
        <f>"Monster.Name."&amp;VLOOKUP($C304,'#Data'!$B$2:$J$344,2,FALSE)</f>
        <v>Monster.Name.labtrooper_launcher_1</v>
      </c>
      <c r="E304" s="37" t="s">
        <v>47</v>
      </c>
      <c r="F304" s="38" t="s">
        <v>44</v>
      </c>
      <c r="G304" s="37" t="s">
        <v>45</v>
      </c>
      <c r="H304" s="37" t="b">
        <f>IF(OR(VLOOKUP($C304,'#Data'!$B$2:$J$344,4,FALSE)="보스",VLOOKUP($C304,'#Data'!$B$2:$J$344,4,FALSE)="중간"),TRUE,FALSE)</f>
        <v>0</v>
      </c>
      <c r="I304" s="37" t="b">
        <v>0</v>
      </c>
      <c r="J304" s="37">
        <v>10</v>
      </c>
      <c r="K304" s="37">
        <f t="shared" si="7"/>
        <v>10</v>
      </c>
      <c r="L304" s="59" t="str">
        <f>$B304&amp;"."&amp;VLOOKUP($C304,'#Data'!$B$2:$J$344,2,FALSE)&amp;".attack0"&amp;RIGHT(L$1,1)</f>
        <v>Sector05.labtrooper_launcher_1.attack01</v>
      </c>
      <c r="M304" s="59"/>
      <c r="N304" s="59"/>
      <c r="O304" s="131" t="str">
        <f>$B304&amp;"."&amp;VLOOKUP($C304,'#Data'!$B$2:$J$344,2,FALSE)&amp;".skill0"&amp;RIGHT(O$1,1)</f>
        <v>Sector05.labtrooper_launcher_1.skill01</v>
      </c>
      <c r="P304" s="131" t="s">
        <v>2038</v>
      </c>
      <c r="Q304" s="131" t="s">
        <v>1958</v>
      </c>
      <c r="R304" s="60"/>
      <c r="S304" s="60"/>
      <c r="T304" s="60"/>
      <c r="U304" s="60"/>
      <c r="V304" s="37" t="b">
        <v>0</v>
      </c>
      <c r="W304" s="37" t="str">
        <f>"Character/Prefabs/"&amp;VLOOKUP($C304,'#Data'!$B$3:$I$344,8,FALSE)</f>
        <v>Character/Prefabs/m_m_ranger_labtrooper_launcher_1</v>
      </c>
      <c r="X304" s="37"/>
      <c r="Y304" s="37" t="str">
        <f>VLOOKUP($C304,'#Data'!$B$3:$I$344,8,FALSE)</f>
        <v>m_m_ranger_labtrooper_launcher_1</v>
      </c>
      <c r="Z304" s="37"/>
      <c r="AA304" s="37"/>
      <c r="AB304" s="37"/>
      <c r="AC304" s="84">
        <v>0.6</v>
      </c>
      <c r="AD304" s="37"/>
      <c r="AE304" s="37"/>
      <c r="AF304" s="37"/>
      <c r="AG304" s="37" t="s">
        <v>2093</v>
      </c>
      <c r="AH304" s="85"/>
    </row>
    <row r="305" spans="1:34" x14ac:dyDescent="0.3">
      <c r="A305" s="37">
        <f t="shared" si="6"/>
        <v>1210205109</v>
      </c>
      <c r="B305" s="37" t="s">
        <v>156</v>
      </c>
      <c r="C305" s="37" t="s">
        <v>165</v>
      </c>
      <c r="D305" s="37" t="str">
        <f>"Monster.Name."&amp;VLOOKUP($C305,'#Data'!$B$2:$J$344,2,FALSE)</f>
        <v>Monster.Name.silhouette_flyer_3</v>
      </c>
      <c r="E305" s="37" t="s">
        <v>143</v>
      </c>
      <c r="F305" s="38" t="s">
        <v>44</v>
      </c>
      <c r="G305" s="37" t="s">
        <v>45</v>
      </c>
      <c r="H305" s="37" t="b">
        <f>IF(OR(VLOOKUP($C305,'#Data'!$B$2:$J$344,4,FALSE)="보스",VLOOKUP($C305,'#Data'!$B$2:$J$344,4,FALSE)="중간"),TRUE,FALSE)</f>
        <v>0</v>
      </c>
      <c r="I305" s="37" t="b">
        <v>0</v>
      </c>
      <c r="J305" s="37">
        <v>10</v>
      </c>
      <c r="K305" s="37">
        <f t="shared" si="7"/>
        <v>10</v>
      </c>
      <c r="L305" s="59" t="str">
        <f>$B305&amp;"."&amp;VLOOKUP($C305,'#Data'!$B$2:$J$344,2,FALSE)&amp;".attack0"&amp;RIGHT(L$1,1)</f>
        <v>Sector05.silhouette_flyer_3.attack01</v>
      </c>
      <c r="M305" s="59"/>
      <c r="N305" s="59"/>
      <c r="O305" s="131" t="str">
        <f>$B305&amp;"."&amp;VLOOKUP($C305,'#Data'!$B$2:$J$344,2,FALSE)&amp;".skill0"&amp;RIGHT(O$1,1)</f>
        <v>Sector05.silhouette_flyer_3.skill01</v>
      </c>
      <c r="P305" s="131" t="s">
        <v>2039</v>
      </c>
      <c r="Q305" s="131" t="s">
        <v>1958</v>
      </c>
      <c r="R305" s="60"/>
      <c r="S305" s="60"/>
      <c r="T305" s="60"/>
      <c r="U305" s="60"/>
      <c r="V305" s="37" t="b">
        <v>0</v>
      </c>
      <c r="W305" s="37" t="str">
        <f>"Character/Prefabs/"&amp;VLOOKUP($C305,'#Data'!$B$3:$I$344,8,FALSE)</f>
        <v>Character/Prefabs/m_m_supporter_silhouette_flyer_3</v>
      </c>
      <c r="X305" s="37"/>
      <c r="Y305" s="37" t="str">
        <f>VLOOKUP($C305,'#Data'!$B$3:$I$344,8,FALSE)</f>
        <v>m_m_supporter_silhouette_flyer_3</v>
      </c>
      <c r="Z305" s="37"/>
      <c r="AA305" s="37"/>
      <c r="AB305" s="37"/>
      <c r="AC305" s="84">
        <v>0.8</v>
      </c>
      <c r="AD305" s="37"/>
      <c r="AE305" s="37"/>
      <c r="AF305" s="37"/>
      <c r="AG305" s="37" t="s">
        <v>2093</v>
      </c>
      <c r="AH305" s="85"/>
    </row>
    <row r="306" spans="1:34" x14ac:dyDescent="0.3">
      <c r="A306" s="37">
        <f t="shared" si="6"/>
        <v>1210205110</v>
      </c>
      <c r="B306" s="37" t="s">
        <v>156</v>
      </c>
      <c r="C306" s="37" t="s">
        <v>166</v>
      </c>
      <c r="D306" s="37" t="str">
        <f>"Monster.Name."&amp;VLOOKUP($C306,'#Data'!$B$2:$J$344,2,FALSE)</f>
        <v>Monster.Name.harbor_cannon_1</v>
      </c>
      <c r="E306" s="37" t="s">
        <v>47</v>
      </c>
      <c r="F306" s="38" t="s">
        <v>44</v>
      </c>
      <c r="G306" s="37" t="s">
        <v>45</v>
      </c>
      <c r="H306" s="37" t="b">
        <f>IF(OR(VLOOKUP($C306,'#Data'!$B$2:$J$344,4,FALSE)="보스",VLOOKUP($C306,'#Data'!$B$2:$J$344,4,FALSE)="중간"),TRUE,FALSE)</f>
        <v>0</v>
      </c>
      <c r="I306" s="37" t="b">
        <v>0</v>
      </c>
      <c r="J306" s="37">
        <v>10</v>
      </c>
      <c r="K306" s="37">
        <f t="shared" si="7"/>
        <v>20</v>
      </c>
      <c r="L306" s="59" t="str">
        <f>$B306&amp;"."&amp;VLOOKUP($C306,'#Data'!$B$2:$J$344,2,FALSE)&amp;".attack0"&amp;RIGHT(L$1,1)</f>
        <v>Sector05.harbor_cannon_1.attack01</v>
      </c>
      <c r="M306" s="59"/>
      <c r="N306" s="59"/>
      <c r="O306" s="131" t="str">
        <f>$B306&amp;"."&amp;VLOOKUP($C306,'#Data'!$B$2:$J$344,2,FALSE)&amp;".skill0"&amp;RIGHT(O$1,1)</f>
        <v>Sector05.harbor_cannon_1.skill01</v>
      </c>
      <c r="P306" s="131" t="s">
        <v>2040</v>
      </c>
      <c r="Q306" s="131" t="s">
        <v>1958</v>
      </c>
      <c r="R306" s="60"/>
      <c r="S306" s="60"/>
      <c r="T306" s="60"/>
      <c r="U306" s="60"/>
      <c r="V306" s="37" t="b">
        <v>0</v>
      </c>
      <c r="W306" s="37" t="str">
        <f>"Character/Prefabs/"&amp;VLOOKUP($C306,'#Data'!$B$3:$I$344,8,FALSE)</f>
        <v>Character/Prefabs/m_m_ranger_harbor_cannon_1</v>
      </c>
      <c r="X306" s="37"/>
      <c r="Y306" s="37" t="str">
        <f>VLOOKUP($C306,'#Data'!$B$3:$I$344,8,FALSE)</f>
        <v>m_m_ranger_harbor_cannon_1</v>
      </c>
      <c r="Z306" s="37"/>
      <c r="AA306" s="37"/>
      <c r="AB306" s="37"/>
      <c r="AC306" s="84">
        <v>0.7</v>
      </c>
      <c r="AD306" s="37"/>
      <c r="AE306" s="37"/>
      <c r="AF306" s="37"/>
      <c r="AG306" s="37" t="s">
        <v>2093</v>
      </c>
      <c r="AH306" s="85"/>
    </row>
    <row r="307" spans="1:34" x14ac:dyDescent="0.3">
      <c r="A307" s="51">
        <f t="shared" si="6"/>
        <v>1210205111</v>
      </c>
      <c r="B307" s="51" t="s">
        <v>156</v>
      </c>
      <c r="C307" s="51" t="s">
        <v>1280</v>
      </c>
      <c r="D307" s="51" t="str">
        <f>"Monster.Name."&amp;VLOOKUP($C307,'#Data'!$B$2:$J$344,2,FALSE)</f>
        <v>Monster.Name.killer_drone_6</v>
      </c>
      <c r="E307" s="51" t="s">
        <v>43</v>
      </c>
      <c r="F307" s="52" t="s">
        <v>44</v>
      </c>
      <c r="G307" s="51" t="s">
        <v>45</v>
      </c>
      <c r="H307" s="51" t="b">
        <f>IF(OR(VLOOKUP($C307,'#Data'!$B$2:$J$344,4,FALSE)="보스",VLOOKUP($C307,'#Data'!$B$2:$J$344,4,FALSE)="중간"),TRUE,FALSE)</f>
        <v>0</v>
      </c>
      <c r="I307" s="51" t="b">
        <v>0</v>
      </c>
      <c r="J307" s="51">
        <v>10</v>
      </c>
      <c r="K307" s="51">
        <f t="shared" si="7"/>
        <v>10</v>
      </c>
      <c r="L307" s="61" t="s">
        <v>1362</v>
      </c>
      <c r="M307" s="61"/>
      <c r="N307" s="61"/>
      <c r="O307" s="131" t="s">
        <v>2031</v>
      </c>
      <c r="P307" s="132" t="s">
        <v>1958</v>
      </c>
      <c r="Q307" s="132"/>
      <c r="R307" s="62"/>
      <c r="S307" s="62"/>
      <c r="T307" s="62"/>
      <c r="U307" s="62"/>
      <c r="V307" s="51" t="b">
        <v>0</v>
      </c>
      <c r="W307" s="51" t="str">
        <f>"Character/Prefabs/"&amp;VLOOKUP($C307,'#Data'!$B$3:$I$344,8,FALSE)</f>
        <v>Character/Prefabs/m_s_attacker_killer_drone_6</v>
      </c>
      <c r="X307" s="51"/>
      <c r="Y307" s="103" t="s">
        <v>1402</v>
      </c>
      <c r="Z307" s="51"/>
      <c r="AA307" s="51"/>
      <c r="AB307" s="51"/>
      <c r="AC307" s="86">
        <v>0.7</v>
      </c>
      <c r="AD307" s="51"/>
      <c r="AE307" s="51"/>
      <c r="AF307" s="51"/>
      <c r="AG307" s="51" t="s">
        <v>2093</v>
      </c>
      <c r="AH307" s="85"/>
    </row>
    <row r="308" spans="1:34" x14ac:dyDescent="0.3">
      <c r="A308" s="51">
        <f t="shared" si="6"/>
        <v>1210205112</v>
      </c>
      <c r="B308" s="51" t="s">
        <v>156</v>
      </c>
      <c r="C308" s="51" t="s">
        <v>1282</v>
      </c>
      <c r="D308" s="51" t="str">
        <f>"Monster.Name."&amp;VLOOKUP($C308,'#Data'!$B$2:$J$344,2,FALSE)</f>
        <v>Monster.Name.killer_drone_5</v>
      </c>
      <c r="E308" s="51" t="s">
        <v>43</v>
      </c>
      <c r="F308" s="52" t="s">
        <v>44</v>
      </c>
      <c r="G308" s="51" t="s">
        <v>45</v>
      </c>
      <c r="H308" s="51" t="b">
        <f>IF(OR(VLOOKUP($C308,'#Data'!$B$2:$J$344,4,FALSE)="보스",VLOOKUP($C308,'#Data'!$B$2:$J$344,4,FALSE)="중간"),TRUE,FALSE)</f>
        <v>0</v>
      </c>
      <c r="I308" s="51" t="b">
        <v>0</v>
      </c>
      <c r="J308" s="51">
        <v>10</v>
      </c>
      <c r="K308" s="51">
        <f t="shared" si="7"/>
        <v>10</v>
      </c>
      <c r="L308" s="61" t="s">
        <v>1363</v>
      </c>
      <c r="M308" s="61"/>
      <c r="N308" s="61"/>
      <c r="O308" s="131" t="s">
        <v>2032</v>
      </c>
      <c r="P308" s="132" t="s">
        <v>1958</v>
      </c>
      <c r="Q308" s="132"/>
      <c r="R308" s="62"/>
      <c r="S308" s="62"/>
      <c r="T308" s="62"/>
      <c r="U308" s="62"/>
      <c r="V308" s="51" t="b">
        <v>0</v>
      </c>
      <c r="W308" s="51" t="str">
        <f>"Character/Prefabs/"&amp;VLOOKUP($C308,'#Data'!$B$3:$I$344,8,FALSE)</f>
        <v>Character/Prefabs/m_s_attacker_killer_drone_5</v>
      </c>
      <c r="X308" s="51"/>
      <c r="Y308" s="104" t="s">
        <v>1403</v>
      </c>
      <c r="Z308" s="51"/>
      <c r="AA308" s="51"/>
      <c r="AB308" s="51"/>
      <c r="AC308" s="86">
        <v>0.7</v>
      </c>
      <c r="AD308" s="51"/>
      <c r="AE308" s="51"/>
      <c r="AF308" s="51"/>
      <c r="AG308" s="51" t="s">
        <v>2093</v>
      </c>
      <c r="AH308" s="85"/>
    </row>
    <row r="309" spans="1:34" x14ac:dyDescent="0.3">
      <c r="A309" s="51">
        <f t="shared" si="6"/>
        <v>1210205113</v>
      </c>
      <c r="B309" s="51" t="s">
        <v>156</v>
      </c>
      <c r="C309" s="51" t="s">
        <v>1284</v>
      </c>
      <c r="D309" s="51" t="str">
        <f>"Monster.Name."&amp;VLOOKUP($C309,'#Data'!$B$2:$J$344,2,FALSE)</f>
        <v>Monster.Name.terminate_drone_4</v>
      </c>
      <c r="E309" s="51" t="s">
        <v>43</v>
      </c>
      <c r="F309" s="52" t="s">
        <v>44</v>
      </c>
      <c r="G309" s="51" t="s">
        <v>45</v>
      </c>
      <c r="H309" s="51" t="b">
        <f>IF(OR(VLOOKUP($C309,'#Data'!$B$2:$J$344,4,FALSE)="보스",VLOOKUP($C309,'#Data'!$B$2:$J$344,4,FALSE)="중간"),TRUE,FALSE)</f>
        <v>0</v>
      </c>
      <c r="I309" s="51" t="b">
        <v>0</v>
      </c>
      <c r="J309" s="51">
        <v>10</v>
      </c>
      <c r="K309" s="51">
        <f t="shared" si="7"/>
        <v>10</v>
      </c>
      <c r="L309" s="61" t="s">
        <v>1364</v>
      </c>
      <c r="M309" s="61"/>
      <c r="N309" s="61"/>
      <c r="O309" s="131" t="s">
        <v>2033</v>
      </c>
      <c r="P309" s="132" t="s">
        <v>1958</v>
      </c>
      <c r="Q309" s="132"/>
      <c r="R309" s="62"/>
      <c r="S309" s="62"/>
      <c r="T309" s="62"/>
      <c r="U309" s="62"/>
      <c r="V309" s="51" t="b">
        <v>0</v>
      </c>
      <c r="W309" s="51" t="str">
        <f>"Character/Prefabs/"&amp;VLOOKUP($C309,'#Data'!$B$3:$I$344,8,FALSE)</f>
        <v>Character/Prefabs/m_s_attacker_terminate_drone_4</v>
      </c>
      <c r="X309" s="51"/>
      <c r="Y309" s="104" t="s">
        <v>1404</v>
      </c>
      <c r="Z309" s="51"/>
      <c r="AA309" s="51"/>
      <c r="AB309" s="51"/>
      <c r="AC309" s="86">
        <v>0.7</v>
      </c>
      <c r="AD309" s="51"/>
      <c r="AE309" s="51"/>
      <c r="AF309" s="51"/>
      <c r="AG309" s="51" t="s">
        <v>2093</v>
      </c>
      <c r="AH309" s="85"/>
    </row>
    <row r="310" spans="1:34" x14ac:dyDescent="0.3">
      <c r="A310" s="51">
        <f t="shared" si="6"/>
        <v>1210205114</v>
      </c>
      <c r="B310" s="51" t="s">
        <v>156</v>
      </c>
      <c r="C310" s="51" t="s">
        <v>1286</v>
      </c>
      <c r="D310" s="51" t="str">
        <f>"Monster.Name."&amp;VLOOKUP($C310,'#Data'!$B$2:$J$344,2,FALSE)</f>
        <v>Monster.Name.clock_thunderdog_2</v>
      </c>
      <c r="E310" s="51" t="s">
        <v>43</v>
      </c>
      <c r="F310" s="52" t="s">
        <v>44</v>
      </c>
      <c r="G310" s="51" t="s">
        <v>45</v>
      </c>
      <c r="H310" s="51" t="b">
        <f>IF(OR(VLOOKUP($C310,'#Data'!$B$2:$J$344,4,FALSE)="보스",VLOOKUP($C310,'#Data'!$B$2:$J$344,4,FALSE)="중간"),TRUE,FALSE)</f>
        <v>0</v>
      </c>
      <c r="I310" s="51" t="b">
        <v>0</v>
      </c>
      <c r="J310" s="51">
        <v>10</v>
      </c>
      <c r="K310" s="51">
        <f t="shared" si="7"/>
        <v>10</v>
      </c>
      <c r="L310" s="61" t="s">
        <v>1365</v>
      </c>
      <c r="M310" s="61"/>
      <c r="N310" s="61"/>
      <c r="O310" s="131" t="s">
        <v>2034</v>
      </c>
      <c r="P310" s="132" t="s">
        <v>1958</v>
      </c>
      <c r="Q310" s="132"/>
      <c r="R310" s="62"/>
      <c r="S310" s="62"/>
      <c r="T310" s="62"/>
      <c r="U310" s="62"/>
      <c r="V310" s="51" t="b">
        <v>0</v>
      </c>
      <c r="W310" s="51" t="str">
        <f>"Character/Prefabs/"&amp;VLOOKUP($C310,'#Data'!$B$3:$I$344,8,FALSE)</f>
        <v>Character/Prefabs/m_s_attacker_clock_thunderdog_2</v>
      </c>
      <c r="X310" s="51"/>
      <c r="Y310" s="104" t="s">
        <v>1405</v>
      </c>
      <c r="Z310" s="51"/>
      <c r="AA310" s="51"/>
      <c r="AB310" s="51"/>
      <c r="AC310" s="86">
        <v>0.9</v>
      </c>
      <c r="AD310" s="51"/>
      <c r="AE310" s="51"/>
      <c r="AF310" s="51"/>
      <c r="AG310" s="51" t="s">
        <v>2093</v>
      </c>
      <c r="AH310" s="85"/>
    </row>
    <row r="311" spans="1:34" x14ac:dyDescent="0.3">
      <c r="A311" s="51">
        <f t="shared" si="6"/>
        <v>1210205115</v>
      </c>
      <c r="B311" s="51" t="s">
        <v>156</v>
      </c>
      <c r="C311" s="51" t="s">
        <v>1288</v>
      </c>
      <c r="D311" s="51" t="str">
        <f>"Monster.Name."&amp;VLOOKUP($C311,'#Data'!$B$2:$J$344,2,FALSE)</f>
        <v>Monster.Name.labtrooper_rifle_2</v>
      </c>
      <c r="E311" s="51" t="s">
        <v>47</v>
      </c>
      <c r="F311" s="52" t="s">
        <v>44</v>
      </c>
      <c r="G311" s="51" t="s">
        <v>45</v>
      </c>
      <c r="H311" s="51" t="b">
        <f>IF(OR(VLOOKUP($C311,'#Data'!$B$2:$J$344,4,FALSE)="보스",VLOOKUP($C311,'#Data'!$B$2:$J$344,4,FALSE)="중간"),TRUE,FALSE)</f>
        <v>0</v>
      </c>
      <c r="I311" s="51" t="b">
        <v>0</v>
      </c>
      <c r="J311" s="51">
        <v>10</v>
      </c>
      <c r="K311" s="51">
        <f t="shared" si="7"/>
        <v>10</v>
      </c>
      <c r="L311" s="61" t="s">
        <v>1366</v>
      </c>
      <c r="M311" s="61"/>
      <c r="N311" s="61"/>
      <c r="O311" s="132" t="s">
        <v>1372</v>
      </c>
      <c r="P311" s="131" t="s">
        <v>2035</v>
      </c>
      <c r="Q311" s="132" t="s">
        <v>1958</v>
      </c>
      <c r="R311" s="62"/>
      <c r="S311" s="62"/>
      <c r="T311" s="62"/>
      <c r="U311" s="62"/>
      <c r="V311" s="51" t="b">
        <v>0</v>
      </c>
      <c r="W311" s="51" t="str">
        <f>"Character/Prefabs/"&amp;VLOOKUP($C311,'#Data'!$B$3:$I$344,8,FALSE)</f>
        <v>Character/Prefabs/m_m_ranger_labtrooper_rifle_2</v>
      </c>
      <c r="X311" s="51"/>
      <c r="Y311" s="104" t="s">
        <v>1406</v>
      </c>
      <c r="Z311" s="51"/>
      <c r="AA311" s="51"/>
      <c r="AB311" s="51"/>
      <c r="AC311" s="86">
        <v>0.6</v>
      </c>
      <c r="AD311" s="51"/>
      <c r="AE311" s="51"/>
      <c r="AF311" s="51"/>
      <c r="AG311" s="51" t="s">
        <v>2093</v>
      </c>
      <c r="AH311" s="85"/>
    </row>
    <row r="312" spans="1:34" x14ac:dyDescent="0.3">
      <c r="A312" s="51">
        <f t="shared" si="6"/>
        <v>1210205116</v>
      </c>
      <c r="B312" s="51" t="s">
        <v>156</v>
      </c>
      <c r="C312" s="51" t="s">
        <v>1290</v>
      </c>
      <c r="D312" s="51" t="str">
        <f>"Monster.Name."&amp;VLOOKUP($C312,'#Data'!$B$2:$J$344,2,FALSE)</f>
        <v>Monster.Name.labtrooper_shield_2</v>
      </c>
      <c r="E312" s="51" t="s">
        <v>58</v>
      </c>
      <c r="F312" s="52" t="s">
        <v>44</v>
      </c>
      <c r="G312" s="51" t="s">
        <v>45</v>
      </c>
      <c r="H312" s="51" t="b">
        <f>IF(OR(VLOOKUP($C312,'#Data'!$B$2:$J$344,4,FALSE)="보스",VLOOKUP($C312,'#Data'!$B$2:$J$344,4,FALSE)="중간"),TRUE,FALSE)</f>
        <v>0</v>
      </c>
      <c r="I312" s="51" t="b">
        <v>0</v>
      </c>
      <c r="J312" s="51">
        <v>10</v>
      </c>
      <c r="K312" s="51">
        <f t="shared" si="7"/>
        <v>10</v>
      </c>
      <c r="L312" s="61" t="s">
        <v>1367</v>
      </c>
      <c r="M312" s="61"/>
      <c r="N312" s="61"/>
      <c r="O312" s="132" t="s">
        <v>1373</v>
      </c>
      <c r="P312" s="131" t="s">
        <v>2036</v>
      </c>
      <c r="Q312" s="132" t="s">
        <v>1958</v>
      </c>
      <c r="R312" s="62"/>
      <c r="S312" s="62"/>
      <c r="T312" s="62"/>
      <c r="U312" s="62"/>
      <c r="V312" s="51" t="b">
        <v>0</v>
      </c>
      <c r="W312" s="51" t="str">
        <f>"Character/Prefabs/"&amp;VLOOKUP($C312,'#Data'!$B$3:$I$344,8,FALSE)</f>
        <v>Character/Prefabs/m_m_tanker_labtrooper_shield_2</v>
      </c>
      <c r="X312" s="51"/>
      <c r="Y312" s="104" t="s">
        <v>1407</v>
      </c>
      <c r="Z312" s="51"/>
      <c r="AA312" s="51"/>
      <c r="AB312" s="51"/>
      <c r="AC312" s="86">
        <v>0.6</v>
      </c>
      <c r="AD312" s="51"/>
      <c r="AE312" s="51"/>
      <c r="AF312" s="51"/>
      <c r="AG312" s="51" t="s">
        <v>2093</v>
      </c>
      <c r="AH312" s="85"/>
    </row>
    <row r="313" spans="1:34" x14ac:dyDescent="0.3">
      <c r="A313" s="51">
        <f t="shared" si="6"/>
        <v>1210205117</v>
      </c>
      <c r="B313" s="51" t="s">
        <v>156</v>
      </c>
      <c r="C313" s="51" t="s">
        <v>1292</v>
      </c>
      <c r="D313" s="51" t="str">
        <f>"Monster.Name."&amp;VLOOKUP($C313,'#Data'!$B$2:$J$344,2,FALSE)</f>
        <v>Monster.Name.labtrooper_flame_2</v>
      </c>
      <c r="E313" s="51" t="s">
        <v>43</v>
      </c>
      <c r="F313" s="52" t="s">
        <v>44</v>
      </c>
      <c r="G313" s="51" t="s">
        <v>45</v>
      </c>
      <c r="H313" s="51" t="b">
        <f>IF(OR(VLOOKUP($C313,'#Data'!$B$2:$J$344,4,FALSE)="보스",VLOOKUP($C313,'#Data'!$B$2:$J$344,4,FALSE)="중간"),TRUE,FALSE)</f>
        <v>0</v>
      </c>
      <c r="I313" s="51" t="b">
        <v>0</v>
      </c>
      <c r="J313" s="51">
        <v>10</v>
      </c>
      <c r="K313" s="51">
        <f t="shared" si="7"/>
        <v>10</v>
      </c>
      <c r="L313" s="61" t="s">
        <v>1368</v>
      </c>
      <c r="M313" s="61"/>
      <c r="N313" s="61"/>
      <c r="O313" s="132" t="s">
        <v>1374</v>
      </c>
      <c r="P313" s="131" t="s">
        <v>2037</v>
      </c>
      <c r="Q313" s="132" t="s">
        <v>1958</v>
      </c>
      <c r="R313" s="62"/>
      <c r="S313" s="62"/>
      <c r="T313" s="62"/>
      <c r="U313" s="62"/>
      <c r="V313" s="51" t="b">
        <v>0</v>
      </c>
      <c r="W313" s="51" t="str">
        <f>"Character/Prefabs/"&amp;VLOOKUP($C313,'#Data'!$B$3:$I$344,8,FALSE)</f>
        <v>Character/Prefabs/m_m_attacker_labtrooper_flame_2</v>
      </c>
      <c r="X313" s="51"/>
      <c r="Y313" s="104" t="s">
        <v>1408</v>
      </c>
      <c r="Z313" s="51"/>
      <c r="AA313" s="51"/>
      <c r="AB313" s="51"/>
      <c r="AC313" s="86">
        <v>0.6</v>
      </c>
      <c r="AD313" s="51"/>
      <c r="AE313" s="51"/>
      <c r="AF313" s="51"/>
      <c r="AG313" s="51" t="s">
        <v>2093</v>
      </c>
      <c r="AH313" s="85"/>
    </row>
    <row r="314" spans="1:34" x14ac:dyDescent="0.3">
      <c r="A314" s="51">
        <f t="shared" si="6"/>
        <v>1210205118</v>
      </c>
      <c r="B314" s="51" t="s">
        <v>156</v>
      </c>
      <c r="C314" s="51" t="s">
        <v>1294</v>
      </c>
      <c r="D314" s="51" t="str">
        <f>"Monster.Name."&amp;VLOOKUP($C314,'#Data'!$B$2:$J$344,2,FALSE)</f>
        <v>Monster.Name.labtrooper_launcher_2</v>
      </c>
      <c r="E314" s="51" t="s">
        <v>47</v>
      </c>
      <c r="F314" s="52" t="s">
        <v>44</v>
      </c>
      <c r="G314" s="51" t="s">
        <v>45</v>
      </c>
      <c r="H314" s="51" t="b">
        <f>IF(OR(VLOOKUP($C314,'#Data'!$B$2:$J$344,4,FALSE)="보스",VLOOKUP($C314,'#Data'!$B$2:$J$344,4,FALSE)="중간"),TRUE,FALSE)</f>
        <v>0</v>
      </c>
      <c r="I314" s="51" t="b">
        <v>0</v>
      </c>
      <c r="J314" s="51">
        <v>10</v>
      </c>
      <c r="K314" s="51">
        <f t="shared" si="7"/>
        <v>10</v>
      </c>
      <c r="L314" s="61" t="s">
        <v>1369</v>
      </c>
      <c r="M314" s="61"/>
      <c r="N314" s="61"/>
      <c r="O314" s="132" t="s">
        <v>1375</v>
      </c>
      <c r="P314" s="131" t="s">
        <v>2038</v>
      </c>
      <c r="Q314" s="132" t="s">
        <v>1958</v>
      </c>
      <c r="R314" s="62"/>
      <c r="S314" s="62"/>
      <c r="T314" s="62"/>
      <c r="U314" s="62"/>
      <c r="V314" s="51" t="b">
        <v>0</v>
      </c>
      <c r="W314" s="51" t="str">
        <f>"Character/Prefabs/"&amp;VLOOKUP($C314,'#Data'!$B$3:$I$344,8,FALSE)</f>
        <v>Character/Prefabs/m_m_ranger_labtrooper_launcher_2</v>
      </c>
      <c r="X314" s="51"/>
      <c r="Y314" s="104" t="s">
        <v>1409</v>
      </c>
      <c r="Z314" s="51"/>
      <c r="AA314" s="51"/>
      <c r="AB314" s="51"/>
      <c r="AC314" s="86">
        <v>0.6</v>
      </c>
      <c r="AD314" s="51"/>
      <c r="AE314" s="51"/>
      <c r="AF314" s="51"/>
      <c r="AG314" s="51" t="s">
        <v>2093</v>
      </c>
      <c r="AH314" s="85"/>
    </row>
    <row r="315" spans="1:34" x14ac:dyDescent="0.3">
      <c r="A315" s="51">
        <f t="shared" si="6"/>
        <v>1210205119</v>
      </c>
      <c r="B315" s="51" t="s">
        <v>156</v>
      </c>
      <c r="C315" s="51" t="s">
        <v>1296</v>
      </c>
      <c r="D315" s="51" t="str">
        <f>"Monster.Name."&amp;VLOOKUP($C315,'#Data'!$B$2:$J$344,2,FALSE)</f>
        <v>Monster.Name.silhouette_flyer_4</v>
      </c>
      <c r="E315" s="51" t="s">
        <v>143</v>
      </c>
      <c r="F315" s="52" t="s">
        <v>44</v>
      </c>
      <c r="G315" s="51" t="s">
        <v>45</v>
      </c>
      <c r="H315" s="51" t="b">
        <f>IF(OR(VLOOKUP($C315,'#Data'!$B$2:$J$344,4,FALSE)="보스",VLOOKUP($C315,'#Data'!$B$2:$J$344,4,FALSE)="중간"),TRUE,FALSE)</f>
        <v>0</v>
      </c>
      <c r="I315" s="51" t="b">
        <v>0</v>
      </c>
      <c r="J315" s="51">
        <v>10</v>
      </c>
      <c r="K315" s="51">
        <f t="shared" si="7"/>
        <v>10</v>
      </c>
      <c r="L315" s="61" t="s">
        <v>1370</v>
      </c>
      <c r="M315" s="61"/>
      <c r="N315" s="61"/>
      <c r="O315" s="132" t="s">
        <v>1376</v>
      </c>
      <c r="P315" s="131" t="s">
        <v>2039</v>
      </c>
      <c r="Q315" s="132" t="s">
        <v>1958</v>
      </c>
      <c r="R315" s="62"/>
      <c r="S315" s="62"/>
      <c r="T315" s="62"/>
      <c r="U315" s="62"/>
      <c r="V315" s="51" t="b">
        <v>0</v>
      </c>
      <c r="W315" s="51" t="str">
        <f>"Character/Prefabs/"&amp;VLOOKUP($C315,'#Data'!$B$3:$I$344,8,FALSE)</f>
        <v>Character/Prefabs/m_m_supporter_silhouette_flyer_4</v>
      </c>
      <c r="X315" s="51"/>
      <c r="Y315" s="104" t="s">
        <v>1410</v>
      </c>
      <c r="Z315" s="51"/>
      <c r="AA315" s="51"/>
      <c r="AB315" s="51"/>
      <c r="AC315" s="86">
        <v>0.8</v>
      </c>
      <c r="AD315" s="51"/>
      <c r="AE315" s="51"/>
      <c r="AF315" s="51"/>
      <c r="AG315" s="51" t="s">
        <v>2093</v>
      </c>
      <c r="AH315" s="85"/>
    </row>
    <row r="316" spans="1:34" x14ac:dyDescent="0.3">
      <c r="A316" s="51">
        <f t="shared" si="6"/>
        <v>1210205120</v>
      </c>
      <c r="B316" s="51" t="s">
        <v>156</v>
      </c>
      <c r="C316" s="51" t="s">
        <v>1298</v>
      </c>
      <c r="D316" s="51" t="str">
        <f>"Monster.Name."&amp;VLOOKUP($C316,'#Data'!$B$2:$J$344,2,FALSE)</f>
        <v>Monster.Name.harbor_cannon_2</v>
      </c>
      <c r="E316" s="51" t="s">
        <v>47</v>
      </c>
      <c r="F316" s="52" t="s">
        <v>44</v>
      </c>
      <c r="G316" s="51" t="s">
        <v>45</v>
      </c>
      <c r="H316" s="51" t="b">
        <f>IF(OR(VLOOKUP($C316,'#Data'!$B$2:$J$344,4,FALSE)="보스",VLOOKUP($C316,'#Data'!$B$2:$J$344,4,FALSE)="중간"),TRUE,FALSE)</f>
        <v>0</v>
      </c>
      <c r="I316" s="51" t="b">
        <v>0</v>
      </c>
      <c r="J316" s="51">
        <v>10</v>
      </c>
      <c r="K316" s="51">
        <f t="shared" si="7"/>
        <v>20</v>
      </c>
      <c r="L316" s="61" t="s">
        <v>1371</v>
      </c>
      <c r="M316" s="61"/>
      <c r="N316" s="61"/>
      <c r="O316" s="132" t="s">
        <v>1377</v>
      </c>
      <c r="P316" s="131" t="s">
        <v>2040</v>
      </c>
      <c r="Q316" s="132" t="s">
        <v>1958</v>
      </c>
      <c r="R316" s="62"/>
      <c r="S316" s="62"/>
      <c r="T316" s="62"/>
      <c r="U316" s="62"/>
      <c r="V316" s="51" t="b">
        <v>0</v>
      </c>
      <c r="W316" s="51" t="str">
        <f>"Character/Prefabs/"&amp;VLOOKUP($C316,'#Data'!$B$3:$I$344,8,FALSE)</f>
        <v>Character/Prefabs/m_m_ranger_harbor_cannon_2</v>
      </c>
      <c r="X316" s="51"/>
      <c r="Y316" s="104" t="s">
        <v>1411</v>
      </c>
      <c r="Z316" s="51"/>
      <c r="AA316" s="51"/>
      <c r="AB316" s="51"/>
      <c r="AC316" s="86">
        <v>0.7</v>
      </c>
      <c r="AD316" s="51"/>
      <c r="AE316" s="51"/>
      <c r="AF316" s="51"/>
      <c r="AG316" s="51" t="s">
        <v>2093</v>
      </c>
      <c r="AH316" s="85"/>
    </row>
    <row r="317" spans="1:34" x14ac:dyDescent="0.3">
      <c r="A317" s="37">
        <f t="shared" si="6"/>
        <v>1210205201</v>
      </c>
      <c r="B317" s="37" t="s">
        <v>156</v>
      </c>
      <c r="C317" s="37" t="s">
        <v>167</v>
      </c>
      <c r="D317" s="37" t="str">
        <f>"Monster.Name."&amp;VLOOKUP($C317,'#Data'!$B$2:$J$344,2,FALSE)</f>
        <v>Monster.Name.labsuit_gun_1</v>
      </c>
      <c r="E317" s="37" t="s">
        <v>47</v>
      </c>
      <c r="F317" s="38" t="s">
        <v>44</v>
      </c>
      <c r="G317" s="37" t="s">
        <v>45</v>
      </c>
      <c r="H317" s="37" t="b">
        <f>IF(OR(VLOOKUP($C317,'#Data'!$B$2:$J$344,4,FALSE)="보스",VLOOKUP($C317,'#Data'!$B$2:$J$344,4,FALSE)="중간"),TRUE,FALSE)</f>
        <v>1</v>
      </c>
      <c r="I317" s="37" t="b">
        <v>1</v>
      </c>
      <c r="J317" s="37">
        <v>10</v>
      </c>
      <c r="K317" s="37">
        <f t="shared" si="7"/>
        <v>10</v>
      </c>
      <c r="L317" s="59" t="str">
        <f>$B317&amp;"."&amp;VLOOKUP($C317,'#Data'!$B$2:$J$344,2,FALSE)&amp;".attack0"&amp;RIGHT(L$1,1)</f>
        <v>Sector05.labsuit_gun_1.attack01</v>
      </c>
      <c r="M317" s="59"/>
      <c r="N317" s="59"/>
      <c r="O317" s="131" t="str">
        <f>$B317&amp;"."&amp;VLOOKUP($C317,'#Data'!$B$2:$J$344,2,FALSE)&amp;".skill0"&amp;RIGHT(O$1,1)</f>
        <v>Sector05.labsuit_gun_1.skill01</v>
      </c>
      <c r="P317" s="131" t="str">
        <f>$B317&amp;"."&amp;VLOOKUP($C317,'#Data'!$B$2:$J$344,2,FALSE)&amp;".skill0"&amp;RIGHT(P$1,1)</f>
        <v>Sector05.labsuit_gun_1.skill02</v>
      </c>
      <c r="Q317" s="131" t="str">
        <f>$B317&amp;"."&amp;VLOOKUP($C317,'#Data'!$B$2:$J$344,2,FALSE)&amp;".skill0"&amp;RIGHT(Q$1,1)</f>
        <v>Sector05.labsuit_gun_1.skill03</v>
      </c>
      <c r="R317" s="60" t="s">
        <v>1958</v>
      </c>
      <c r="S317" s="60" t="s">
        <v>2078</v>
      </c>
      <c r="T317" s="60"/>
      <c r="U317" s="60"/>
      <c r="V317" s="37" t="b">
        <v>0</v>
      </c>
      <c r="W317" s="37" t="str">
        <f>"Character/Prefabs/"&amp;VLOOKUP($C317,'#Data'!$B$3:$I$344,8,FALSE)</f>
        <v>Character/Prefabs/m_l_ranger_labsuit_gun_1</v>
      </c>
      <c r="X317" s="37"/>
      <c r="Y317" s="37" t="str">
        <f>VLOOKUP($C317,'#Data'!$B$3:$I$344,8,FALSE)</f>
        <v>m_l_ranger_labsuit_gun_1</v>
      </c>
      <c r="Z317" s="37"/>
      <c r="AA317" s="37"/>
      <c r="AB317" s="37"/>
      <c r="AC317" s="84">
        <v>1.2</v>
      </c>
      <c r="AD317" s="37"/>
      <c r="AE317" s="37"/>
      <c r="AF317" s="37"/>
      <c r="AG317" s="37" t="s">
        <v>2093</v>
      </c>
      <c r="AH317" s="85"/>
    </row>
    <row r="318" spans="1:34" x14ac:dyDescent="0.3">
      <c r="A318" s="37">
        <f t="shared" si="6"/>
        <v>1210205202</v>
      </c>
      <c r="B318" s="37" t="s">
        <v>156</v>
      </c>
      <c r="C318" s="37" t="s">
        <v>168</v>
      </c>
      <c r="D318" s="37" t="str">
        <f>"Monster.Name."&amp;VLOOKUP($C318,'#Data'!$B$2:$J$344,2,FALSE)</f>
        <v>Monster.Name.labmecha_punch_1</v>
      </c>
      <c r="E318" s="37" t="s">
        <v>58</v>
      </c>
      <c r="F318" s="38" t="s">
        <v>44</v>
      </c>
      <c r="G318" s="37" t="s">
        <v>45</v>
      </c>
      <c r="H318" s="37" t="b">
        <f>IF(OR(VLOOKUP($C318,'#Data'!$B$2:$J$344,4,FALSE)="보스",VLOOKUP($C318,'#Data'!$B$2:$J$344,4,FALSE)="중간"),TRUE,FALSE)</f>
        <v>1</v>
      </c>
      <c r="I318" s="37" t="b">
        <v>1</v>
      </c>
      <c r="J318" s="37">
        <v>20</v>
      </c>
      <c r="K318" s="37">
        <f t="shared" si="7"/>
        <v>10</v>
      </c>
      <c r="L318" s="59" t="str">
        <f>$B318&amp;"."&amp;VLOOKUP($C318,'#Data'!$B$2:$J$344,2,FALSE)&amp;".attack0"&amp;RIGHT(L$1,1)</f>
        <v>Sector05.labmecha_punch_1.attack01</v>
      </c>
      <c r="M318" s="59"/>
      <c r="N318" s="59"/>
      <c r="O318" s="131" t="str">
        <f>$B318&amp;"."&amp;VLOOKUP($C318,'#Data'!$B$2:$J$344,2,FALSE)&amp;".skill0"&amp;RIGHT(O$1,1)</f>
        <v>Sector05.labmecha_punch_1.skill01</v>
      </c>
      <c r="P318" s="131" t="str">
        <f>$B318&amp;"."&amp;VLOOKUP($C318,'#Data'!$B$2:$J$344,2,FALSE)&amp;".skill0"&amp;RIGHT(P$1,1)</f>
        <v>Sector05.labmecha_punch_1.skill02</v>
      </c>
      <c r="Q318" s="131" t="str">
        <f>$B318&amp;"."&amp;VLOOKUP($C318,'#Data'!$B$2:$J$344,2,FALSE)&amp;".skill0"&amp;RIGHT(Q$1,1)</f>
        <v>Sector05.labmecha_punch_1.skill03</v>
      </c>
      <c r="R318" s="60" t="s">
        <v>1958</v>
      </c>
      <c r="S318" s="60" t="s">
        <v>2078</v>
      </c>
      <c r="T318" s="60"/>
      <c r="U318" s="60"/>
      <c r="V318" s="37" t="b">
        <v>0</v>
      </c>
      <c r="W318" s="37" t="str">
        <f>"Character/Prefabs/"&amp;VLOOKUP($C318,'#Data'!$B$3:$I$344,8,FALSE)</f>
        <v>Character/Prefabs/m_l_tanker_labmecha_punch_1</v>
      </c>
      <c r="X318" s="37"/>
      <c r="Y318" s="37" t="str">
        <f>VLOOKUP($C318,'#Data'!$B$3:$I$344,8,FALSE)</f>
        <v>m_l_tanker_labmecha_punch_1</v>
      </c>
      <c r="Z318" s="37"/>
      <c r="AA318" s="37"/>
      <c r="AB318" s="37"/>
      <c r="AC318" s="84">
        <v>0.9</v>
      </c>
      <c r="AD318" s="37"/>
      <c r="AE318" s="37"/>
      <c r="AF318" s="37"/>
      <c r="AG318" s="37" t="s">
        <v>2093</v>
      </c>
      <c r="AH318" s="85"/>
    </row>
    <row r="319" spans="1:34" x14ac:dyDescent="0.3">
      <c r="A319" s="37">
        <f t="shared" si="6"/>
        <v>1210205203</v>
      </c>
      <c r="B319" s="37" t="s">
        <v>156</v>
      </c>
      <c r="C319" s="37" t="s">
        <v>169</v>
      </c>
      <c r="D319" s="37" t="str">
        <f>"Monster.Name."&amp;VLOOKUP($C319,'#Data'!$B$2:$J$344,2,FALSE)</f>
        <v>Monster.Name.labsuit_cannon_1</v>
      </c>
      <c r="E319" s="37" t="s">
        <v>47</v>
      </c>
      <c r="F319" s="38" t="s">
        <v>44</v>
      </c>
      <c r="G319" s="37" t="s">
        <v>45</v>
      </c>
      <c r="H319" s="37" t="b">
        <f>IF(OR(VLOOKUP($C319,'#Data'!$B$2:$J$344,4,FALSE)="보스",VLOOKUP($C319,'#Data'!$B$2:$J$344,4,FALSE)="중간"),TRUE,FALSE)</f>
        <v>1</v>
      </c>
      <c r="I319" s="37" t="b">
        <v>1</v>
      </c>
      <c r="J319" s="37">
        <v>10</v>
      </c>
      <c r="K319" s="37">
        <f t="shared" si="7"/>
        <v>10</v>
      </c>
      <c r="L319" s="59" t="str">
        <f>$B319&amp;"."&amp;VLOOKUP($C319,'#Data'!$B$2:$J$344,2,FALSE)&amp;".attack0"&amp;RIGHT(L$1,1)</f>
        <v>Sector05.labsuit_cannon_1.attack01</v>
      </c>
      <c r="M319" s="59"/>
      <c r="N319" s="59"/>
      <c r="O319" s="131" t="str">
        <f>$B319&amp;"."&amp;VLOOKUP($C319,'#Data'!$B$2:$J$344,2,FALSE)&amp;".skill0"&amp;RIGHT(O$1,1)</f>
        <v>Sector05.labsuit_cannon_1.skill01</v>
      </c>
      <c r="P319" s="131" t="str">
        <f>$B319&amp;"."&amp;VLOOKUP($C319,'#Data'!$B$2:$J$344,2,FALSE)&amp;".skill0"&amp;RIGHT(P$1,1)</f>
        <v>Sector05.labsuit_cannon_1.skill02</v>
      </c>
      <c r="Q319" s="131" t="str">
        <f>$B319&amp;"."&amp;VLOOKUP($C319,'#Data'!$B$2:$J$344,2,FALSE)&amp;".skill0"&amp;RIGHT(Q$1,1)</f>
        <v>Sector05.labsuit_cannon_1.skill03</v>
      </c>
      <c r="R319" s="60" t="s">
        <v>1958</v>
      </c>
      <c r="S319" s="60" t="s">
        <v>2078</v>
      </c>
      <c r="T319" s="60"/>
      <c r="U319" s="60"/>
      <c r="V319" s="37" t="b">
        <v>0</v>
      </c>
      <c r="W319" s="37" t="str">
        <f>"Character/Prefabs/"&amp;VLOOKUP($C319,'#Data'!$B$3:$I$344,8,FALSE)</f>
        <v>Character/Prefabs/m_l_ranger_labsuit_cannon_1</v>
      </c>
      <c r="X319" s="37"/>
      <c r="Y319" s="37" t="str">
        <f>VLOOKUP($C319,'#Data'!$B$3:$I$344,8,FALSE)</f>
        <v>m_l_ranger_labsuit_cannon_1</v>
      </c>
      <c r="Z319" s="37"/>
      <c r="AA319" s="37"/>
      <c r="AB319" s="37"/>
      <c r="AC319" s="84">
        <v>0.9</v>
      </c>
      <c r="AD319" s="37"/>
      <c r="AE319" s="37"/>
      <c r="AF319" s="37"/>
      <c r="AG319" s="37" t="s">
        <v>2093</v>
      </c>
      <c r="AH319" s="85"/>
    </row>
    <row r="320" spans="1:34" x14ac:dyDescent="0.3">
      <c r="A320" s="77">
        <f t="shared" si="6"/>
        <v>1210205301</v>
      </c>
      <c r="B320" s="77" t="s">
        <v>156</v>
      </c>
      <c r="C320" s="77" t="s">
        <v>170</v>
      </c>
      <c r="D320" s="77" t="str">
        <f>"Monster.Name."&amp;VLOOKUP($C320,'#Data'!$B$2:$J$344,2,FALSE)</f>
        <v>Monster.Name.goliath_1</v>
      </c>
      <c r="E320" s="77" t="s">
        <v>43</v>
      </c>
      <c r="F320" s="78" t="s">
        <v>44</v>
      </c>
      <c r="G320" s="77" t="s">
        <v>45</v>
      </c>
      <c r="H320" s="77" t="b">
        <f>IF(OR(VLOOKUP($C320,'#Data'!$B$2:$J$344,4,FALSE)="보스",VLOOKUP($C320,'#Data'!$B$2:$J$344,4,FALSE)="중간"),TRUE,FALSE)</f>
        <v>1</v>
      </c>
      <c r="I320" s="77" t="b">
        <v>1</v>
      </c>
      <c r="J320" s="77">
        <v>20</v>
      </c>
      <c r="K320" s="77">
        <f t="shared" si="7"/>
        <v>10</v>
      </c>
      <c r="L320" s="79" t="str">
        <f>$B320&amp;"."&amp;VLOOKUP($C320,'#Data'!$B$2:$J$344,2,FALSE)&amp;".attack0"&amp;RIGHT(L$1,1)</f>
        <v>Sector05.goliath_1.attack01</v>
      </c>
      <c r="M320" s="79" t="str">
        <f>$B320&amp;"."&amp;VLOOKUP($C320,'#Data'!$B$2:$J$344,2,FALSE)&amp;".attack0"&amp;RIGHT(M$1,1)</f>
        <v>Sector05.goliath_1.attack02</v>
      </c>
      <c r="N320" s="79"/>
      <c r="O320" s="133" t="str">
        <f>$B320&amp;"."&amp;VLOOKUP($C320,'#Data'!$B$2:$J$344,2,FALSE)&amp;".skill0"&amp;RIGHT(O$1,1)</f>
        <v>Sector05.goliath_1.skill01</v>
      </c>
      <c r="P320" s="133" t="str">
        <f>$B320&amp;"."&amp;VLOOKUP($C320,'#Data'!$B$2:$J$344,2,FALSE)&amp;".skill0"&amp;RIGHT(P$1,1)</f>
        <v>Sector05.goliath_1.skill02</v>
      </c>
      <c r="Q320" s="133" t="str">
        <f>$B320&amp;"."&amp;VLOOKUP($C320,'#Data'!$B$2:$J$344,2,FALSE)&amp;".skill0"&amp;RIGHT(Q$1,1)</f>
        <v>Sector05.goliath_1.skill03</v>
      </c>
      <c r="R320" s="80" t="s">
        <v>171</v>
      </c>
      <c r="S320" s="80" t="s">
        <v>1973</v>
      </c>
      <c r="T320" s="80"/>
      <c r="U320" s="80"/>
      <c r="V320" s="77" t="b">
        <v>0</v>
      </c>
      <c r="W320" s="164" t="str">
        <f>"Character/Prefabs/"&amp;VLOOKUP($C320,'#Data'!$B$3:$I$344,8,FALSE)</f>
        <v>Character/Prefabs/m_boss_attacker_goliath_1</v>
      </c>
      <c r="X320" s="164"/>
      <c r="Y320" s="164" t="str">
        <f>VLOOKUP($C320,'#Data'!$B$3:$I$344,8,FALSE)</f>
        <v>m_boss_attacker_goliath_1</v>
      </c>
      <c r="Z320" s="77"/>
      <c r="AA320" s="77"/>
      <c r="AB320" s="77"/>
      <c r="AC320" s="87">
        <v>1.4</v>
      </c>
      <c r="AD320" s="77"/>
      <c r="AE320" s="77" t="s">
        <v>172</v>
      </c>
      <c r="AF320" s="77" t="s">
        <v>173</v>
      </c>
      <c r="AG320" s="77" t="s">
        <v>2093</v>
      </c>
      <c r="AH320" s="85"/>
    </row>
    <row r="321" spans="1:34" x14ac:dyDescent="0.3">
      <c r="A321" s="77">
        <f t="shared" si="6"/>
        <v>1210205302</v>
      </c>
      <c r="B321" s="77" t="s">
        <v>156</v>
      </c>
      <c r="C321" s="77" t="s">
        <v>1971</v>
      </c>
      <c r="D321" s="77" t="str">
        <f>"Monster.Name."&amp;VLOOKUP($C321,'#Data'!$B$2:$J$344,2,FALSE)</f>
        <v>Monster.Name.goliath_4</v>
      </c>
      <c r="E321" s="77" t="s">
        <v>43</v>
      </c>
      <c r="F321" s="78" t="s">
        <v>44</v>
      </c>
      <c r="G321" s="77" t="s">
        <v>45</v>
      </c>
      <c r="H321" s="77" t="b">
        <f>IF(OR(VLOOKUP($C321,'#Data'!$B$2:$J$344,4,FALSE)="보스",VLOOKUP($C321,'#Data'!$B$2:$J$344,4,FALSE)="중간"),TRUE,FALSE)</f>
        <v>1</v>
      </c>
      <c r="I321" s="77" t="b">
        <v>1</v>
      </c>
      <c r="J321" s="77">
        <v>20</v>
      </c>
      <c r="K321" s="77">
        <f t="shared" si="7"/>
        <v>10</v>
      </c>
      <c r="L321" s="79" t="str">
        <f>$B321&amp;"."&amp;VLOOKUP($C321,'#Data'!$B$2:$J$344,2,FALSE)&amp;".attack0"&amp;RIGHT(L$1,1)</f>
        <v>Sector05.goliath_4.attack01</v>
      </c>
      <c r="M321" s="79" t="str">
        <f>$B321&amp;"."&amp;VLOOKUP($C321,'#Data'!$B$2:$J$344,2,FALSE)&amp;".attack0"&amp;RIGHT(M$1,1)</f>
        <v>Sector05.goliath_4.attack02</v>
      </c>
      <c r="N321" s="79"/>
      <c r="O321" s="133" t="str">
        <f>$B321&amp;"."&amp;VLOOKUP($C321,'#Data'!$B$2:$J$344,2,FALSE)&amp;".skill0"&amp;RIGHT(O$1,1)</f>
        <v>Sector05.goliath_4.skill01</v>
      </c>
      <c r="P321" s="133" t="str">
        <f>$B321&amp;"."&amp;VLOOKUP($C321,'#Data'!$B$2:$J$344,2,FALSE)&amp;".skill0"&amp;RIGHT(P$1,1)</f>
        <v>Sector05.goliath_4.skill02</v>
      </c>
      <c r="Q321" s="133" t="str">
        <f>$B321&amp;"."&amp;VLOOKUP($C321,'#Data'!$B$2:$J$344,2,FALSE)&amp;".skill0"&amp;RIGHT(Q$1,1)</f>
        <v>Sector05.goliath_4.skill03</v>
      </c>
      <c r="R321" s="80" t="s">
        <v>2084</v>
      </c>
      <c r="S321" s="80" t="s">
        <v>2085</v>
      </c>
      <c r="T321" s="80"/>
      <c r="U321" s="80"/>
      <c r="V321" s="77" t="b">
        <v>0</v>
      </c>
      <c r="W321" s="164" t="str">
        <f>"Character/Prefabs/"&amp;VLOOKUP($C321,'#Data'!$B$3:$I$344,8,FALSE)</f>
        <v>Character/Prefabs/m_boss_attacker_goliath_4</v>
      </c>
      <c r="X321" s="164"/>
      <c r="Y321" s="164" t="str">
        <f>VLOOKUP($C321,'#Data'!$B$3:$I$344,8,FALSE)</f>
        <v>m_boss_attacker_goliath_4</v>
      </c>
      <c r="Z321" s="77"/>
      <c r="AA321" s="77"/>
      <c r="AB321" s="77"/>
      <c r="AC321" s="87">
        <v>1.4</v>
      </c>
      <c r="AD321" s="77"/>
      <c r="AE321" s="77" t="s">
        <v>2081</v>
      </c>
      <c r="AF321" s="77" t="s">
        <v>2097</v>
      </c>
      <c r="AG321" s="77" t="s">
        <v>2093</v>
      </c>
      <c r="AH321" s="85"/>
    </row>
    <row r="322" spans="1:34" x14ac:dyDescent="0.3">
      <c r="A322" s="12">
        <f t="shared" si="6"/>
        <v>1210206101</v>
      </c>
      <c r="B322" s="12" t="s">
        <v>174</v>
      </c>
      <c r="C322" s="12" t="s">
        <v>175</v>
      </c>
      <c r="D322" s="12" t="str">
        <f>"Monster.Name."&amp;VLOOKUP($C322,'#Data'!$B$2:$J$344,2,FALSE)</f>
        <v>Monster.Name.polluter_patrol_1</v>
      </c>
      <c r="E322" s="12" t="s">
        <v>43</v>
      </c>
      <c r="F322" s="39" t="s">
        <v>44</v>
      </c>
      <c r="G322" s="12" t="s">
        <v>45</v>
      </c>
      <c r="H322" s="12" t="b">
        <f>IF(OR(VLOOKUP($C322,'#Data'!$B$2:$J$344,4,FALSE)="보스",VLOOKUP($C322,'#Data'!$B$2:$J$344,4,FALSE)="중간"),TRUE,FALSE)</f>
        <v>0</v>
      </c>
      <c r="I322" s="12" t="b">
        <v>0</v>
      </c>
      <c r="J322" s="12">
        <v>10</v>
      </c>
      <c r="K322" s="12">
        <f t="shared" si="7"/>
        <v>10</v>
      </c>
      <c r="L322" s="63" t="str">
        <f>$B322&amp;"."&amp;VLOOKUP($C322,'#Data'!$B$2:$J$344,2,FALSE)&amp;".attack0"&amp;RIGHT(L$1,1)</f>
        <v>Sector06.polluter_patrol_1.attack01</v>
      </c>
      <c r="M322" s="63"/>
      <c r="N322" s="63"/>
      <c r="O322" s="134" t="s">
        <v>2041</v>
      </c>
      <c r="P322" s="134"/>
      <c r="Q322" s="134"/>
      <c r="R322" s="64"/>
      <c r="S322" s="64"/>
      <c r="T322" s="64"/>
      <c r="U322" s="64"/>
      <c r="V322" s="12" t="b">
        <v>0</v>
      </c>
      <c r="W322" s="12" t="str">
        <f>"Character/Prefabs/"&amp;VLOOKUP($C322,'#Data'!$B$3:$I$344,8,FALSE)</f>
        <v>Character/Prefabs/m_s_attacker_polluter_patrol_1</v>
      </c>
      <c r="X322" s="12"/>
      <c r="Y322" s="12" t="str">
        <f>VLOOKUP($C322,'#Data'!$B$3:$I$344,8,FALSE)</f>
        <v>m_s_attacker_polluter_patrol_1</v>
      </c>
      <c r="Z322" s="12"/>
      <c r="AA322" s="12"/>
      <c r="AB322" s="12"/>
      <c r="AC322" s="88">
        <v>0.9</v>
      </c>
      <c r="AD322" s="12"/>
      <c r="AE322" s="12"/>
      <c r="AF322" s="12"/>
      <c r="AG322" s="12" t="s">
        <v>2093</v>
      </c>
      <c r="AH322" s="85"/>
    </row>
    <row r="323" spans="1:34" x14ac:dyDescent="0.3">
      <c r="A323" s="12">
        <f t="shared" si="6"/>
        <v>1210206102</v>
      </c>
      <c r="B323" s="12" t="s">
        <v>174</v>
      </c>
      <c r="C323" s="12" t="s">
        <v>176</v>
      </c>
      <c r="D323" s="12" t="str">
        <f>"Monster.Name."&amp;VLOOKUP($C323,'#Data'!$B$2:$J$344,2,FALSE)</f>
        <v>Monster.Name.polluter_eyeball_1</v>
      </c>
      <c r="E323" s="12" t="s">
        <v>47</v>
      </c>
      <c r="F323" s="39" t="s">
        <v>44</v>
      </c>
      <c r="G323" s="12" t="s">
        <v>45</v>
      </c>
      <c r="H323" s="12" t="b">
        <f>IF(OR(VLOOKUP($C323,'#Data'!$B$2:$J$344,4,FALSE)="보스",VLOOKUP($C323,'#Data'!$B$2:$J$344,4,FALSE)="중간"),TRUE,FALSE)</f>
        <v>0</v>
      </c>
      <c r="I323" s="12" t="b">
        <v>0</v>
      </c>
      <c r="J323" s="12">
        <v>10</v>
      </c>
      <c r="K323" s="12">
        <f t="shared" si="7"/>
        <v>10</v>
      </c>
      <c r="L323" s="63" t="str">
        <f>$B323&amp;"."&amp;VLOOKUP($C323,'#Data'!$B$2:$J$344,2,FALSE)&amp;".attack0"&amp;RIGHT(L$1,1)</f>
        <v>Sector06.polluter_eyeball_1.attack01</v>
      </c>
      <c r="M323" s="63"/>
      <c r="N323" s="63"/>
      <c r="O323" s="134" t="s">
        <v>2042</v>
      </c>
      <c r="P323" s="134"/>
      <c r="Q323" s="134"/>
      <c r="R323" s="64"/>
      <c r="S323" s="64"/>
      <c r="T323" s="64"/>
      <c r="U323" s="64"/>
      <c r="V323" s="12" t="b">
        <v>0</v>
      </c>
      <c r="W323" s="12" t="str">
        <f>"Character/Prefabs/"&amp;VLOOKUP($C323,'#Data'!$B$3:$I$344,8,FALSE)</f>
        <v>Character/Prefabs/m_s_ranger_polluter_eyeball_1</v>
      </c>
      <c r="X323" s="12"/>
      <c r="Y323" s="12" t="str">
        <f>VLOOKUP($C323,'#Data'!$B$3:$I$344,8,FALSE)</f>
        <v>m_s_ranger_polluter_eyeball_1</v>
      </c>
      <c r="Z323" s="12"/>
      <c r="AA323" s="12"/>
      <c r="AB323" s="12"/>
      <c r="AC323" s="88">
        <v>0.9</v>
      </c>
      <c r="AD323" s="12"/>
      <c r="AE323" s="12"/>
      <c r="AF323" s="12"/>
      <c r="AG323" s="12" t="s">
        <v>2093</v>
      </c>
      <c r="AH323" s="85"/>
    </row>
    <row r="324" spans="1:34" x14ac:dyDescent="0.3">
      <c r="A324" s="12">
        <f t="shared" si="6"/>
        <v>1210206103</v>
      </c>
      <c r="B324" s="12" t="s">
        <v>174</v>
      </c>
      <c r="C324" s="12" t="s">
        <v>177</v>
      </c>
      <c r="D324" s="12" t="str">
        <f>"Monster.Name."&amp;VLOOKUP($C324,'#Data'!$B$2:$J$344,2,FALSE)</f>
        <v>Monster.Name.polluter_exploder_1</v>
      </c>
      <c r="E324" s="12" t="s">
        <v>43</v>
      </c>
      <c r="F324" s="39" t="s">
        <v>44</v>
      </c>
      <c r="G324" s="12" t="s">
        <v>45</v>
      </c>
      <c r="H324" s="12" t="b">
        <f>IF(OR(VLOOKUP($C324,'#Data'!$B$2:$J$344,4,FALSE)="보스",VLOOKUP($C324,'#Data'!$B$2:$J$344,4,FALSE)="중간"),TRUE,FALSE)</f>
        <v>0</v>
      </c>
      <c r="I324" s="12" t="b">
        <v>0</v>
      </c>
      <c r="J324" s="12">
        <v>10</v>
      </c>
      <c r="K324" s="12">
        <f t="shared" si="7"/>
        <v>10</v>
      </c>
      <c r="L324" s="63" t="str">
        <f>$B324&amp;"."&amp;VLOOKUP($C324,'#Data'!$B$2:$J$344,2,FALSE)&amp;".attack0"&amp;RIGHT(L$1,1)</f>
        <v>Sector06.polluter_exploder_1.attack01</v>
      </c>
      <c r="M324" s="63"/>
      <c r="N324" s="63"/>
      <c r="O324" s="134" t="str">
        <f>$B324&amp;"."&amp;VLOOKUP($C324,'#Data'!$B$2:$J$344,2,FALSE)&amp;".skill0"&amp;RIGHT(O$1,1)</f>
        <v>Sector06.polluter_exploder_1.skill01</v>
      </c>
      <c r="P324" s="134" t="s">
        <v>2043</v>
      </c>
      <c r="Q324" s="134"/>
      <c r="R324" s="64"/>
      <c r="S324" s="64"/>
      <c r="T324" s="64"/>
      <c r="U324" s="64"/>
      <c r="V324" s="12" t="b">
        <v>0</v>
      </c>
      <c r="W324" s="12" t="str">
        <f>"Character/Prefabs/"&amp;VLOOKUP($C324,'#Data'!$B$3:$I$344,8,FALSE)</f>
        <v>Character/Prefabs/m_s_attacker_polluter_exploder_1</v>
      </c>
      <c r="X324" s="12"/>
      <c r="Y324" s="12" t="str">
        <f>VLOOKUP($C324,'#Data'!$B$3:$I$344,8,FALSE)</f>
        <v>m_s_attacker_polluter_exploder_1</v>
      </c>
      <c r="Z324" s="12"/>
      <c r="AA324" s="12"/>
      <c r="AB324" s="12"/>
      <c r="AC324" s="88">
        <v>0.9</v>
      </c>
      <c r="AD324" s="12"/>
      <c r="AE324" s="12"/>
      <c r="AF324" s="12"/>
      <c r="AG324" s="12" t="s">
        <v>2093</v>
      </c>
      <c r="AH324" s="85"/>
    </row>
    <row r="325" spans="1:34" x14ac:dyDescent="0.3">
      <c r="A325" s="12">
        <f t="shared" si="6"/>
        <v>1210206104</v>
      </c>
      <c r="B325" s="12" t="s">
        <v>174</v>
      </c>
      <c r="C325" s="12" t="s">
        <v>178</v>
      </c>
      <c r="D325" s="12" t="str">
        <f>"Monster.Name."&amp;VLOOKUP($C325,'#Data'!$B$2:$J$344,2,FALSE)</f>
        <v>Monster.Name.polluter_1</v>
      </c>
      <c r="E325" s="12" t="s">
        <v>43</v>
      </c>
      <c r="F325" s="39" t="s">
        <v>44</v>
      </c>
      <c r="G325" s="12" t="s">
        <v>45</v>
      </c>
      <c r="H325" s="12" t="b">
        <f>IF(OR(VLOOKUP($C325,'#Data'!$B$2:$J$344,4,FALSE)="보스",VLOOKUP($C325,'#Data'!$B$2:$J$344,4,FALSE)="중간"),TRUE,FALSE)</f>
        <v>0</v>
      </c>
      <c r="I325" s="12" t="b">
        <v>0</v>
      </c>
      <c r="J325" s="12">
        <v>10</v>
      </c>
      <c r="K325" s="12">
        <f t="shared" si="7"/>
        <v>10</v>
      </c>
      <c r="L325" s="63" t="str">
        <f>$B325&amp;"."&amp;VLOOKUP($C325,'#Data'!$B$2:$J$344,2,FALSE)&amp;".attack0"&amp;RIGHT(L$1,1)</f>
        <v>Sector06.polluter_1.attack01</v>
      </c>
      <c r="M325" s="63"/>
      <c r="N325" s="63"/>
      <c r="O325" s="134" t="str">
        <f>$B325&amp;"."&amp;VLOOKUP($C325,'#Data'!$B$2:$J$344,2,FALSE)&amp;".skill0"&amp;RIGHT(O$1,1)</f>
        <v>Sector06.polluter_1.skill01</v>
      </c>
      <c r="P325" s="134" t="s">
        <v>2044</v>
      </c>
      <c r="Q325" s="134"/>
      <c r="R325" s="64"/>
      <c r="S325" s="64"/>
      <c r="T325" s="64"/>
      <c r="U325" s="64"/>
      <c r="V325" s="12" t="b">
        <v>0</v>
      </c>
      <c r="W325" s="12" t="str">
        <f>"Character/Prefabs/"&amp;VLOOKUP($C325,'#Data'!$B$3:$I$344,8,FALSE)</f>
        <v>Character/Prefabs/m_m_attacker_polluter_1</v>
      </c>
      <c r="X325" s="12"/>
      <c r="Y325" s="12" t="str">
        <f>VLOOKUP($C325,'#Data'!$B$3:$I$344,8,FALSE)</f>
        <v>m_m_attacker_polluter_1</v>
      </c>
      <c r="Z325" s="12"/>
      <c r="AA325" s="12"/>
      <c r="AB325" s="12"/>
      <c r="AC325" s="88">
        <v>0.6</v>
      </c>
      <c r="AD325" s="12"/>
      <c r="AE325" s="12"/>
      <c r="AF325" s="12"/>
      <c r="AG325" s="12" t="s">
        <v>2093</v>
      </c>
      <c r="AH325" s="85"/>
    </row>
    <row r="326" spans="1:34" x14ac:dyDescent="0.3">
      <c r="A326" s="12">
        <f t="shared" si="6"/>
        <v>1210206105</v>
      </c>
      <c r="B326" s="12" t="s">
        <v>174</v>
      </c>
      <c r="C326" s="12" t="s">
        <v>179</v>
      </c>
      <c r="D326" s="12" t="str">
        <f>"Monster.Name."&amp;VLOOKUP($C326,'#Data'!$B$2:$J$344,2,FALSE)</f>
        <v>Monster.Name.polluter_edge_1</v>
      </c>
      <c r="E326" s="12" t="s">
        <v>43</v>
      </c>
      <c r="F326" s="39" t="s">
        <v>44</v>
      </c>
      <c r="G326" s="12" t="s">
        <v>45</v>
      </c>
      <c r="H326" s="12" t="b">
        <f>IF(OR(VLOOKUP($C326,'#Data'!$B$2:$J$344,4,FALSE)="보스",VLOOKUP($C326,'#Data'!$B$2:$J$344,4,FALSE)="중간"),TRUE,FALSE)</f>
        <v>0</v>
      </c>
      <c r="I326" s="12" t="b">
        <v>0</v>
      </c>
      <c r="J326" s="12">
        <v>10</v>
      </c>
      <c r="K326" s="12">
        <f t="shared" si="7"/>
        <v>10</v>
      </c>
      <c r="L326" s="63" t="str">
        <f>$B326&amp;"."&amp;VLOOKUP($C326,'#Data'!$B$2:$J$344,2,FALSE)&amp;".attack0"&amp;RIGHT(L$1,1)</f>
        <v>Sector06.polluter_edge_1.attack01</v>
      </c>
      <c r="M326" s="63"/>
      <c r="N326" s="63"/>
      <c r="O326" s="134" t="str">
        <f>$B326&amp;"."&amp;VLOOKUP($C326,'#Data'!$B$2:$J$344,2,FALSE)&amp;".skill0"&amp;RIGHT(O$1,1)</f>
        <v>Sector06.polluter_edge_1.skill01</v>
      </c>
      <c r="P326" s="134" t="s">
        <v>2045</v>
      </c>
      <c r="Q326" s="134"/>
      <c r="R326" s="64"/>
      <c r="S326" s="64"/>
      <c r="T326" s="64"/>
      <c r="U326" s="64"/>
      <c r="V326" s="12" t="b">
        <v>0</v>
      </c>
      <c r="W326" s="12" t="str">
        <f>"Character/Prefabs/"&amp;VLOOKUP($C326,'#Data'!$B$3:$I$344,8,FALSE)</f>
        <v>Character/Prefabs/m_m_attacker_polluter_edge_1</v>
      </c>
      <c r="X326" s="12"/>
      <c r="Y326" s="12" t="str">
        <f>VLOOKUP($C326,'#Data'!$B$3:$I$344,8,FALSE)</f>
        <v>m_m_attacker_polluter_edge_1</v>
      </c>
      <c r="Z326" s="12"/>
      <c r="AA326" s="12"/>
      <c r="AB326" s="12"/>
      <c r="AC326" s="88">
        <v>0.6</v>
      </c>
      <c r="AD326" s="12"/>
      <c r="AE326" s="12"/>
      <c r="AF326" s="12"/>
      <c r="AG326" s="12" t="s">
        <v>2093</v>
      </c>
      <c r="AH326" s="85"/>
    </row>
    <row r="327" spans="1:34" x14ac:dyDescent="0.3">
      <c r="A327" s="12">
        <f t="shared" ref="A327:A358" si="8">A132+100000000</f>
        <v>1210206106</v>
      </c>
      <c r="B327" s="12" t="s">
        <v>174</v>
      </c>
      <c r="C327" s="12" t="s">
        <v>180</v>
      </c>
      <c r="D327" s="12" t="str">
        <f>"Monster.Name."&amp;VLOOKUP($C327,'#Data'!$B$2:$J$344,2,FALSE)</f>
        <v>Monster.Name.polluter_fluid_1</v>
      </c>
      <c r="E327" s="12" t="s">
        <v>47</v>
      </c>
      <c r="F327" s="39" t="s">
        <v>44</v>
      </c>
      <c r="G327" s="12" t="s">
        <v>45</v>
      </c>
      <c r="H327" s="12" t="b">
        <f>IF(OR(VLOOKUP($C327,'#Data'!$B$2:$J$344,4,FALSE)="보스",VLOOKUP($C327,'#Data'!$B$2:$J$344,4,FALSE)="중간"),TRUE,FALSE)</f>
        <v>0</v>
      </c>
      <c r="I327" s="12" t="b">
        <v>0</v>
      </c>
      <c r="J327" s="12">
        <v>10</v>
      </c>
      <c r="K327" s="12">
        <f t="shared" ref="K327:K358" si="9">K132</f>
        <v>10</v>
      </c>
      <c r="L327" s="63" t="str">
        <f>$B327&amp;"."&amp;VLOOKUP($C327,'#Data'!$B$2:$J$344,2,FALSE)&amp;".attack0"&amp;RIGHT(L$1,1)</f>
        <v>Sector06.polluter_fluid_1.attack01</v>
      </c>
      <c r="M327" s="63"/>
      <c r="N327" s="63"/>
      <c r="O327" s="134" t="str">
        <f>$B327&amp;"."&amp;VLOOKUP($C327,'#Data'!$B$2:$J$344,2,FALSE)&amp;".skill0"&amp;RIGHT(O$1,1)</f>
        <v>Sector06.polluter_fluid_1.skill01</v>
      </c>
      <c r="P327" s="134" t="s">
        <v>2046</v>
      </c>
      <c r="Q327" s="134"/>
      <c r="R327" s="64"/>
      <c r="S327" s="64"/>
      <c r="T327" s="64"/>
      <c r="U327" s="64"/>
      <c r="V327" s="12" t="b">
        <v>0</v>
      </c>
      <c r="W327" s="12" t="str">
        <f>"Character/Prefabs/"&amp;VLOOKUP($C327,'#Data'!$B$3:$I$344,8,FALSE)</f>
        <v>Character/Prefabs/m_m_ranger_polluter_fluid_1</v>
      </c>
      <c r="X327" s="12"/>
      <c r="Y327" s="12" t="str">
        <f>VLOOKUP($C327,'#Data'!$B$3:$I$344,8,FALSE)</f>
        <v>m_m_ranger_polluter_fluid_1</v>
      </c>
      <c r="Z327" s="12"/>
      <c r="AA327" s="12"/>
      <c r="AB327" s="12"/>
      <c r="AC327" s="88">
        <v>0.6</v>
      </c>
      <c r="AD327" s="12"/>
      <c r="AE327" s="12"/>
      <c r="AF327" s="12"/>
      <c r="AG327" s="12" t="s">
        <v>2093</v>
      </c>
      <c r="AH327" s="85"/>
    </row>
    <row r="328" spans="1:34" x14ac:dyDescent="0.3">
      <c r="A328" s="12">
        <f t="shared" si="8"/>
        <v>1210206107</v>
      </c>
      <c r="B328" s="12" t="s">
        <v>174</v>
      </c>
      <c r="C328" s="12" t="s">
        <v>181</v>
      </c>
      <c r="D328" s="12" t="str">
        <f>"Monster.Name."&amp;VLOOKUP($C328,'#Data'!$B$2:$J$344,2,FALSE)</f>
        <v>Monster.Name.polluter_liquid_1</v>
      </c>
      <c r="E328" s="12" t="s">
        <v>47</v>
      </c>
      <c r="F328" s="39" t="s">
        <v>44</v>
      </c>
      <c r="G328" s="12" t="s">
        <v>45</v>
      </c>
      <c r="H328" s="12" t="b">
        <f>IF(OR(VLOOKUP($C328,'#Data'!$B$2:$J$344,4,FALSE)="보스",VLOOKUP($C328,'#Data'!$B$2:$J$344,4,FALSE)="중간"),TRUE,FALSE)</f>
        <v>0</v>
      </c>
      <c r="I328" s="12" t="b">
        <v>0</v>
      </c>
      <c r="J328" s="12">
        <v>10</v>
      </c>
      <c r="K328" s="12">
        <f t="shared" si="9"/>
        <v>10</v>
      </c>
      <c r="L328" s="63" t="str">
        <f>$B328&amp;"."&amp;VLOOKUP($C328,'#Data'!$B$2:$J$344,2,FALSE)&amp;".attack0"&amp;RIGHT(L$1,1)</f>
        <v>Sector06.polluter_liquid_1.attack01</v>
      </c>
      <c r="M328" s="63"/>
      <c r="N328" s="63"/>
      <c r="O328" s="134" t="str">
        <f>$B328&amp;"."&amp;VLOOKUP($C328,'#Data'!$B$2:$J$344,2,FALSE)&amp;".skill0"&amp;RIGHT(O$1,1)</f>
        <v>Sector06.polluter_liquid_1.skill01</v>
      </c>
      <c r="P328" s="134" t="s">
        <v>2047</v>
      </c>
      <c r="Q328" s="134"/>
      <c r="R328" s="64"/>
      <c r="S328" s="64"/>
      <c r="T328" s="64"/>
      <c r="U328" s="64"/>
      <c r="V328" s="12" t="b">
        <v>0</v>
      </c>
      <c r="W328" s="12" t="str">
        <f>"Character/Prefabs/"&amp;VLOOKUP($C328,'#Data'!$B$3:$I$344,8,FALSE)</f>
        <v>Character/Prefabs/m_m_ranger_polluter_liquid_1</v>
      </c>
      <c r="X328" s="12"/>
      <c r="Y328" s="12" t="str">
        <f>VLOOKUP($C328,'#Data'!$B$3:$I$344,8,FALSE)</f>
        <v>m_m_ranger_polluter_liquid_1</v>
      </c>
      <c r="Z328" s="12"/>
      <c r="AA328" s="12"/>
      <c r="AB328" s="12"/>
      <c r="AC328" s="88">
        <v>0.6</v>
      </c>
      <c r="AD328" s="12"/>
      <c r="AE328" s="12"/>
      <c r="AF328" s="12"/>
      <c r="AG328" s="12" t="s">
        <v>2093</v>
      </c>
      <c r="AH328" s="85"/>
    </row>
    <row r="329" spans="1:34" x14ac:dyDescent="0.3">
      <c r="A329" s="12">
        <f t="shared" si="8"/>
        <v>1210206108</v>
      </c>
      <c r="B329" s="12" t="s">
        <v>174</v>
      </c>
      <c r="C329" s="12" t="s">
        <v>182</v>
      </c>
      <c r="D329" s="12" t="str">
        <f>"Monster.Name."&amp;VLOOKUP($C329,'#Data'!$B$2:$J$344,2,FALSE)</f>
        <v>Monster.Name.polluter_fog_1</v>
      </c>
      <c r="E329" s="12" t="s">
        <v>143</v>
      </c>
      <c r="F329" s="39" t="s">
        <v>44</v>
      </c>
      <c r="G329" s="12" t="s">
        <v>45</v>
      </c>
      <c r="H329" s="12" t="b">
        <f>IF(OR(VLOOKUP($C329,'#Data'!$B$2:$J$344,4,FALSE)="보스",VLOOKUP($C329,'#Data'!$B$2:$J$344,4,FALSE)="중간"),TRUE,FALSE)</f>
        <v>0</v>
      </c>
      <c r="I329" s="12" t="b">
        <v>0</v>
      </c>
      <c r="J329" s="12">
        <v>10</v>
      </c>
      <c r="K329" s="12">
        <f t="shared" si="9"/>
        <v>10</v>
      </c>
      <c r="L329" s="63" t="str">
        <f>$B329&amp;"."&amp;VLOOKUP($C329,'#Data'!$B$2:$J$344,2,FALSE)&amp;".attack0"&amp;RIGHT(L$1,1)</f>
        <v>Sector06.polluter_fog_1.attack01</v>
      </c>
      <c r="M329" s="63"/>
      <c r="N329" s="63"/>
      <c r="O329" s="134" t="str">
        <f>$B329&amp;"."&amp;VLOOKUP($C329,'#Data'!$B$2:$J$344,2,FALSE)&amp;".skill0"&amp;RIGHT(O$1,1)</f>
        <v>Sector06.polluter_fog_1.skill01</v>
      </c>
      <c r="P329" s="134" t="s">
        <v>2048</v>
      </c>
      <c r="Q329" s="134"/>
      <c r="R329" s="64"/>
      <c r="S329" s="64"/>
      <c r="T329" s="64"/>
      <c r="U329" s="64"/>
      <c r="V329" s="12" t="b">
        <v>0</v>
      </c>
      <c r="W329" s="12" t="str">
        <f>"Character/Prefabs/"&amp;VLOOKUP($C329,'#Data'!$B$3:$I$344,8,FALSE)</f>
        <v>Character/Prefabs/m_m_supporter_polluter_fog_1</v>
      </c>
      <c r="X329" s="12"/>
      <c r="Y329" s="12" t="str">
        <f>VLOOKUP($C329,'#Data'!$B$3:$I$344,8,FALSE)</f>
        <v>m_m_supporter_polluter_fog_1</v>
      </c>
      <c r="Z329" s="12"/>
      <c r="AA329" s="12"/>
      <c r="AB329" s="12"/>
      <c r="AC329" s="88">
        <v>0.6</v>
      </c>
      <c r="AD329" s="12"/>
      <c r="AE329" s="12"/>
      <c r="AF329" s="12"/>
      <c r="AG329" s="12" t="s">
        <v>2093</v>
      </c>
      <c r="AH329" s="85"/>
    </row>
    <row r="330" spans="1:34" x14ac:dyDescent="0.3">
      <c r="A330" s="12">
        <f t="shared" si="8"/>
        <v>1210206109</v>
      </c>
      <c r="B330" s="12" t="s">
        <v>174</v>
      </c>
      <c r="C330" s="12" t="s">
        <v>183</v>
      </c>
      <c r="D330" s="12" t="str">
        <f>"Monster.Name."&amp;VLOOKUP($C330,'#Data'!$B$2:$J$344,2,FALSE)</f>
        <v>Monster.Name.polluter_haze_1</v>
      </c>
      <c r="E330" s="12" t="s">
        <v>143</v>
      </c>
      <c r="F330" s="39" t="s">
        <v>44</v>
      </c>
      <c r="G330" s="12" t="s">
        <v>45</v>
      </c>
      <c r="H330" s="12" t="b">
        <f>IF(OR(VLOOKUP($C330,'#Data'!$B$2:$J$344,4,FALSE)="보스",VLOOKUP($C330,'#Data'!$B$2:$J$344,4,FALSE)="중간"),TRUE,FALSE)</f>
        <v>0</v>
      </c>
      <c r="I330" s="12" t="b">
        <v>0</v>
      </c>
      <c r="J330" s="12">
        <v>10</v>
      </c>
      <c r="K330" s="12">
        <f t="shared" si="9"/>
        <v>10</v>
      </c>
      <c r="L330" s="63" t="str">
        <f>$B330&amp;"."&amp;VLOOKUP($C330,'#Data'!$B$2:$J$344,2,FALSE)&amp;".attack0"&amp;RIGHT(L$1,1)</f>
        <v>Sector06.polluter_haze_1.attack01</v>
      </c>
      <c r="M330" s="63"/>
      <c r="N330" s="63"/>
      <c r="O330" s="134" t="str">
        <f>$B330&amp;"."&amp;VLOOKUP($C330,'#Data'!$B$2:$J$344,2,FALSE)&amp;".skill0"&amp;RIGHT(O$1,1)</f>
        <v>Sector06.polluter_haze_1.skill01</v>
      </c>
      <c r="P330" s="134" t="s">
        <v>2049</v>
      </c>
      <c r="Q330" s="134"/>
      <c r="R330" s="64"/>
      <c r="S330" s="64"/>
      <c r="T330" s="64"/>
      <c r="U330" s="64"/>
      <c r="V330" s="12" t="b">
        <v>0</v>
      </c>
      <c r="W330" s="12" t="str">
        <f>"Character/Prefabs/"&amp;VLOOKUP($C330,'#Data'!$B$3:$I$344,8,FALSE)</f>
        <v>Character/Prefabs/m_m_supporter_polluter_haze_1</v>
      </c>
      <c r="X330" s="12"/>
      <c r="Y330" s="12" t="str">
        <f>VLOOKUP($C330,'#Data'!$B$3:$I$344,8,FALSE)</f>
        <v>m_m_supporter_polluter_haze_1</v>
      </c>
      <c r="Z330" s="12"/>
      <c r="AA330" s="12"/>
      <c r="AB330" s="12"/>
      <c r="AC330" s="88">
        <v>0.6</v>
      </c>
      <c r="AD330" s="12"/>
      <c r="AE330" s="12"/>
      <c r="AF330" s="12"/>
      <c r="AG330" s="12" t="s">
        <v>2093</v>
      </c>
      <c r="AH330" s="85"/>
    </row>
    <row r="331" spans="1:34" x14ac:dyDescent="0.3">
      <c r="A331" s="49">
        <f t="shared" si="8"/>
        <v>1210206110</v>
      </c>
      <c r="B331" s="49" t="s">
        <v>174</v>
      </c>
      <c r="C331" s="49" t="s">
        <v>1300</v>
      </c>
      <c r="D331" s="49" t="str">
        <f>"Monster.Name."&amp;VLOOKUP($C331,'#Data'!$B$2:$J$344,2,FALSE)</f>
        <v>Monster.Name.polluter_patrol_2</v>
      </c>
      <c r="E331" s="49" t="s">
        <v>43</v>
      </c>
      <c r="F331" s="50" t="s">
        <v>44</v>
      </c>
      <c r="G331" s="49" t="s">
        <v>45</v>
      </c>
      <c r="H331" s="49" t="b">
        <f>IF(OR(VLOOKUP($C331,'#Data'!$B$2:$J$344,4,FALSE)="보스",VLOOKUP($C331,'#Data'!$B$2:$J$344,4,FALSE)="중간"),TRUE,FALSE)</f>
        <v>0</v>
      </c>
      <c r="I331" s="49" t="b">
        <v>0</v>
      </c>
      <c r="J331" s="49">
        <v>10</v>
      </c>
      <c r="K331" s="49">
        <f t="shared" si="9"/>
        <v>10</v>
      </c>
      <c r="L331" s="65" t="s">
        <v>1378</v>
      </c>
      <c r="M331" s="65"/>
      <c r="N331" s="65"/>
      <c r="O331" s="134" t="s">
        <v>2041</v>
      </c>
      <c r="P331" s="135"/>
      <c r="Q331" s="135"/>
      <c r="R331" s="66"/>
      <c r="S331" s="66"/>
      <c r="T331" s="66"/>
      <c r="U331" s="66"/>
      <c r="V331" s="49" t="b">
        <v>0</v>
      </c>
      <c r="W331" s="49" t="str">
        <f>"Character/Prefabs/"&amp;VLOOKUP($C331,'#Data'!$B$3:$I$344,8,FALSE)</f>
        <v>Character/Prefabs/m_s_attacker_polluter_patrol_2</v>
      </c>
      <c r="X331" s="49"/>
      <c r="Y331" s="49" t="str">
        <f>VLOOKUP($C331,'#Data'!$B$3:$I$344,8,FALSE)</f>
        <v>m_s_attacker_polluter_patrol_2</v>
      </c>
      <c r="Z331" s="49"/>
      <c r="AA331" s="49"/>
      <c r="AB331" s="49"/>
      <c r="AC331" s="89">
        <v>0.9</v>
      </c>
      <c r="AD331" s="49"/>
      <c r="AE331" s="49"/>
      <c r="AF331" s="49"/>
      <c r="AG331" s="49" t="s">
        <v>2093</v>
      </c>
      <c r="AH331" s="85"/>
    </row>
    <row r="332" spans="1:34" x14ac:dyDescent="0.3">
      <c r="A332" s="49">
        <f t="shared" si="8"/>
        <v>1210206111</v>
      </c>
      <c r="B332" s="49" t="s">
        <v>174</v>
      </c>
      <c r="C332" s="49" t="s">
        <v>1302</v>
      </c>
      <c r="D332" s="49" t="str">
        <f>"Monster.Name."&amp;VLOOKUP($C332,'#Data'!$B$2:$J$344,2,FALSE)</f>
        <v>Monster.Name.polluter_eyeball_2</v>
      </c>
      <c r="E332" s="49" t="s">
        <v>47</v>
      </c>
      <c r="F332" s="50" t="s">
        <v>44</v>
      </c>
      <c r="G332" s="49" t="s">
        <v>45</v>
      </c>
      <c r="H332" s="49" t="b">
        <f>IF(OR(VLOOKUP($C332,'#Data'!$B$2:$J$344,4,FALSE)="보스",VLOOKUP($C332,'#Data'!$B$2:$J$344,4,FALSE)="중간"),TRUE,FALSE)</f>
        <v>0</v>
      </c>
      <c r="I332" s="49" t="b">
        <v>0</v>
      </c>
      <c r="J332" s="49">
        <v>10</v>
      </c>
      <c r="K332" s="49">
        <f t="shared" si="9"/>
        <v>10</v>
      </c>
      <c r="L332" s="65" t="s">
        <v>1379</v>
      </c>
      <c r="M332" s="65"/>
      <c r="N332" s="65"/>
      <c r="O332" s="134" t="s">
        <v>2042</v>
      </c>
      <c r="P332" s="135"/>
      <c r="Q332" s="135"/>
      <c r="R332" s="66"/>
      <c r="S332" s="66"/>
      <c r="T332" s="66"/>
      <c r="U332" s="66"/>
      <c r="V332" s="49" t="b">
        <v>0</v>
      </c>
      <c r="W332" s="49" t="str">
        <f>"Character/Prefabs/"&amp;VLOOKUP($C332,'#Data'!$B$3:$I$344,8,FALSE)</f>
        <v>Character/Prefabs/m_s_ranger_polluter_eyeball_2</v>
      </c>
      <c r="X332" s="49"/>
      <c r="Y332" s="49" t="str">
        <f>VLOOKUP($C332,'#Data'!$B$3:$I$344,8,FALSE)</f>
        <v>m_s_ranger_polluter_eyeball_2</v>
      </c>
      <c r="Z332" s="49"/>
      <c r="AA332" s="49"/>
      <c r="AB332" s="49"/>
      <c r="AC332" s="89">
        <v>0.9</v>
      </c>
      <c r="AD332" s="49"/>
      <c r="AE332" s="49"/>
      <c r="AF332" s="49"/>
      <c r="AG332" s="49" t="s">
        <v>2093</v>
      </c>
      <c r="AH332" s="85"/>
    </row>
    <row r="333" spans="1:34" x14ac:dyDescent="0.3">
      <c r="A333" s="49">
        <f t="shared" si="8"/>
        <v>1210206112</v>
      </c>
      <c r="B333" s="49" t="s">
        <v>174</v>
      </c>
      <c r="C333" s="49" t="s">
        <v>1304</v>
      </c>
      <c r="D333" s="49" t="str">
        <f>"Monster.Name."&amp;VLOOKUP($C333,'#Data'!$B$2:$J$344,2,FALSE)</f>
        <v>Monster.Name.polluter_exploder_2</v>
      </c>
      <c r="E333" s="49" t="s">
        <v>43</v>
      </c>
      <c r="F333" s="50" t="s">
        <v>44</v>
      </c>
      <c r="G333" s="49" t="s">
        <v>45</v>
      </c>
      <c r="H333" s="49" t="b">
        <f>IF(OR(VLOOKUP($C333,'#Data'!$B$2:$J$344,4,FALSE)="보스",VLOOKUP($C333,'#Data'!$B$2:$J$344,4,FALSE)="중간"),TRUE,FALSE)</f>
        <v>0</v>
      </c>
      <c r="I333" s="49" t="b">
        <v>0</v>
      </c>
      <c r="J333" s="49">
        <v>10</v>
      </c>
      <c r="K333" s="49">
        <f t="shared" si="9"/>
        <v>10</v>
      </c>
      <c r="L333" s="65" t="s">
        <v>1380</v>
      </c>
      <c r="M333" s="65"/>
      <c r="N333" s="65"/>
      <c r="O333" s="135" t="s">
        <v>1387</v>
      </c>
      <c r="P333" s="134" t="s">
        <v>2043</v>
      </c>
      <c r="Q333" s="135"/>
      <c r="R333" s="66"/>
      <c r="S333" s="66"/>
      <c r="T333" s="66"/>
      <c r="U333" s="66"/>
      <c r="V333" s="49" t="b">
        <v>0</v>
      </c>
      <c r="W333" s="49" t="str">
        <f>"Character/Prefabs/"&amp;VLOOKUP($C333,'#Data'!$B$3:$I$344,8,FALSE)</f>
        <v>Character/Prefabs/m_s_attacker_polluter_exploder_2</v>
      </c>
      <c r="X333" s="49"/>
      <c r="Y333" s="49" t="str">
        <f>VLOOKUP($C333,'#Data'!$B$3:$I$344,8,FALSE)</f>
        <v>m_s_attacker_polluter_exploder_2</v>
      </c>
      <c r="Z333" s="49"/>
      <c r="AA333" s="49"/>
      <c r="AB333" s="49"/>
      <c r="AC333" s="89">
        <v>0.9</v>
      </c>
      <c r="AD333" s="49"/>
      <c r="AE333" s="49"/>
      <c r="AF333" s="49"/>
      <c r="AG333" s="49" t="s">
        <v>2093</v>
      </c>
      <c r="AH333" s="85"/>
    </row>
    <row r="334" spans="1:34" x14ac:dyDescent="0.3">
      <c r="A334" s="49">
        <f t="shared" si="8"/>
        <v>1210206113</v>
      </c>
      <c r="B334" s="49" t="s">
        <v>174</v>
      </c>
      <c r="C334" s="49" t="s">
        <v>1306</v>
      </c>
      <c r="D334" s="49" t="str">
        <f>"Monster.Name."&amp;VLOOKUP($C334,'#Data'!$B$2:$J$344,2,FALSE)</f>
        <v>Monster.Name.polluter_2</v>
      </c>
      <c r="E334" s="49" t="s">
        <v>43</v>
      </c>
      <c r="F334" s="50" t="s">
        <v>44</v>
      </c>
      <c r="G334" s="49" t="s">
        <v>45</v>
      </c>
      <c r="H334" s="49" t="b">
        <f>IF(OR(VLOOKUP($C334,'#Data'!$B$2:$J$344,4,FALSE)="보스",VLOOKUP($C334,'#Data'!$B$2:$J$344,4,FALSE)="중간"),TRUE,FALSE)</f>
        <v>0</v>
      </c>
      <c r="I334" s="49" t="b">
        <v>0</v>
      </c>
      <c r="J334" s="49">
        <v>10</v>
      </c>
      <c r="K334" s="49">
        <f t="shared" si="9"/>
        <v>10</v>
      </c>
      <c r="L334" s="65" t="s">
        <v>1381</v>
      </c>
      <c r="M334" s="65"/>
      <c r="N334" s="65"/>
      <c r="O334" s="135" t="s">
        <v>1388</v>
      </c>
      <c r="P334" s="134" t="s">
        <v>2044</v>
      </c>
      <c r="Q334" s="135"/>
      <c r="R334" s="66"/>
      <c r="S334" s="66"/>
      <c r="T334" s="66"/>
      <c r="U334" s="66"/>
      <c r="V334" s="49" t="b">
        <v>0</v>
      </c>
      <c r="W334" s="49" t="str">
        <f>"Character/Prefabs/"&amp;VLOOKUP($C334,'#Data'!$B$3:$I$344,8,FALSE)</f>
        <v>Character/Prefabs/m_m_attacker_polluter_2</v>
      </c>
      <c r="X334" s="49"/>
      <c r="Y334" s="49" t="str">
        <f>VLOOKUP($C334,'#Data'!$B$3:$I$344,8,FALSE)</f>
        <v>m_m_attacker_polluter_2</v>
      </c>
      <c r="Z334" s="49"/>
      <c r="AA334" s="49"/>
      <c r="AB334" s="49"/>
      <c r="AC334" s="89">
        <v>0.6</v>
      </c>
      <c r="AD334" s="49"/>
      <c r="AE334" s="49"/>
      <c r="AF334" s="49"/>
      <c r="AG334" s="49" t="s">
        <v>2093</v>
      </c>
      <c r="AH334" s="85"/>
    </row>
    <row r="335" spans="1:34" x14ac:dyDescent="0.3">
      <c r="A335" s="49">
        <f t="shared" si="8"/>
        <v>1210206114</v>
      </c>
      <c r="B335" s="49" t="s">
        <v>174</v>
      </c>
      <c r="C335" s="49" t="s">
        <v>1308</v>
      </c>
      <c r="D335" s="49" t="str">
        <f>"Monster.Name."&amp;VLOOKUP($C335,'#Data'!$B$2:$J$344,2,FALSE)</f>
        <v>Monster.Name.polluter_edge_2</v>
      </c>
      <c r="E335" s="49" t="s">
        <v>43</v>
      </c>
      <c r="F335" s="50" t="s">
        <v>44</v>
      </c>
      <c r="G335" s="49" t="s">
        <v>45</v>
      </c>
      <c r="H335" s="49" t="b">
        <f>IF(OR(VLOOKUP($C335,'#Data'!$B$2:$J$344,4,FALSE)="보스",VLOOKUP($C335,'#Data'!$B$2:$J$344,4,FALSE)="중간"),TRUE,FALSE)</f>
        <v>0</v>
      </c>
      <c r="I335" s="49" t="b">
        <v>0</v>
      </c>
      <c r="J335" s="49">
        <v>10</v>
      </c>
      <c r="K335" s="49">
        <f t="shared" si="9"/>
        <v>10</v>
      </c>
      <c r="L335" s="65" t="s">
        <v>1382</v>
      </c>
      <c r="M335" s="65"/>
      <c r="N335" s="65"/>
      <c r="O335" s="135" t="s">
        <v>1389</v>
      </c>
      <c r="P335" s="134" t="s">
        <v>2045</v>
      </c>
      <c r="Q335" s="135"/>
      <c r="R335" s="66"/>
      <c r="S335" s="66"/>
      <c r="T335" s="66"/>
      <c r="U335" s="66"/>
      <c r="V335" s="49" t="b">
        <v>0</v>
      </c>
      <c r="W335" s="49" t="str">
        <f>"Character/Prefabs/"&amp;VLOOKUP($C335,'#Data'!$B$3:$I$344,8,FALSE)</f>
        <v>Character/Prefabs/m_m_attacker_polluter_edge_2</v>
      </c>
      <c r="X335" s="49"/>
      <c r="Y335" s="49" t="str">
        <f>VLOOKUP($C335,'#Data'!$B$3:$I$344,8,FALSE)</f>
        <v>m_m_attacker_polluter_edge_2</v>
      </c>
      <c r="Z335" s="49"/>
      <c r="AA335" s="49"/>
      <c r="AB335" s="49"/>
      <c r="AC335" s="89">
        <v>0.6</v>
      </c>
      <c r="AD335" s="49"/>
      <c r="AE335" s="49"/>
      <c r="AF335" s="49"/>
      <c r="AG335" s="49" t="s">
        <v>2093</v>
      </c>
      <c r="AH335" s="85"/>
    </row>
    <row r="336" spans="1:34" x14ac:dyDescent="0.3">
      <c r="A336" s="49">
        <f t="shared" si="8"/>
        <v>1210206115</v>
      </c>
      <c r="B336" s="49" t="s">
        <v>174</v>
      </c>
      <c r="C336" s="49" t="s">
        <v>1310</v>
      </c>
      <c r="D336" s="49" t="str">
        <f>"Monster.Name."&amp;VLOOKUP($C336,'#Data'!$B$2:$J$344,2,FALSE)</f>
        <v>Monster.Name.polluter_fluid_2</v>
      </c>
      <c r="E336" s="49" t="s">
        <v>47</v>
      </c>
      <c r="F336" s="50" t="s">
        <v>44</v>
      </c>
      <c r="G336" s="49" t="s">
        <v>45</v>
      </c>
      <c r="H336" s="49" t="b">
        <f>IF(OR(VLOOKUP($C336,'#Data'!$B$2:$J$344,4,FALSE)="보스",VLOOKUP($C336,'#Data'!$B$2:$J$344,4,FALSE)="중간"),TRUE,FALSE)</f>
        <v>0</v>
      </c>
      <c r="I336" s="49" t="b">
        <v>0</v>
      </c>
      <c r="J336" s="49">
        <v>10</v>
      </c>
      <c r="K336" s="49">
        <f t="shared" si="9"/>
        <v>10</v>
      </c>
      <c r="L336" s="65" t="s">
        <v>1383</v>
      </c>
      <c r="M336" s="65"/>
      <c r="N336" s="65"/>
      <c r="O336" s="135" t="s">
        <v>1390</v>
      </c>
      <c r="P336" s="134" t="s">
        <v>2046</v>
      </c>
      <c r="Q336" s="135"/>
      <c r="R336" s="66"/>
      <c r="S336" s="66"/>
      <c r="T336" s="66"/>
      <c r="U336" s="66"/>
      <c r="V336" s="49" t="b">
        <v>0</v>
      </c>
      <c r="W336" s="49" t="str">
        <f>"Character/Prefabs/"&amp;VLOOKUP($C336,'#Data'!$B$3:$I$344,8,FALSE)</f>
        <v>Character/Prefabs/m_m_ranger_polluter_fluid_2</v>
      </c>
      <c r="X336" s="49"/>
      <c r="Y336" s="49" t="str">
        <f>VLOOKUP($C336,'#Data'!$B$3:$I$344,8,FALSE)</f>
        <v>m_m_ranger_polluter_fluid_2</v>
      </c>
      <c r="Z336" s="49"/>
      <c r="AA336" s="49"/>
      <c r="AB336" s="49"/>
      <c r="AC336" s="89">
        <v>0.6</v>
      </c>
      <c r="AD336" s="49"/>
      <c r="AE336" s="49"/>
      <c r="AF336" s="49"/>
      <c r="AG336" s="49" t="s">
        <v>2093</v>
      </c>
      <c r="AH336" s="85"/>
    </row>
    <row r="337" spans="1:34" x14ac:dyDescent="0.3">
      <c r="A337" s="49">
        <f t="shared" si="8"/>
        <v>1210206116</v>
      </c>
      <c r="B337" s="49" t="s">
        <v>174</v>
      </c>
      <c r="C337" s="49" t="s">
        <v>1312</v>
      </c>
      <c r="D337" s="49" t="str">
        <f>"Monster.Name."&amp;VLOOKUP($C337,'#Data'!$B$2:$J$344,2,FALSE)</f>
        <v>Monster.Name.polluter_liquid_2</v>
      </c>
      <c r="E337" s="49" t="s">
        <v>47</v>
      </c>
      <c r="F337" s="50" t="s">
        <v>44</v>
      </c>
      <c r="G337" s="49" t="s">
        <v>45</v>
      </c>
      <c r="H337" s="49" t="b">
        <f>IF(OR(VLOOKUP($C337,'#Data'!$B$2:$J$344,4,FALSE)="보스",VLOOKUP($C337,'#Data'!$B$2:$J$344,4,FALSE)="중간"),TRUE,FALSE)</f>
        <v>0</v>
      </c>
      <c r="I337" s="49" t="b">
        <v>0</v>
      </c>
      <c r="J337" s="49">
        <v>10</v>
      </c>
      <c r="K337" s="49">
        <f t="shared" si="9"/>
        <v>10</v>
      </c>
      <c r="L337" s="65" t="s">
        <v>1384</v>
      </c>
      <c r="M337" s="65"/>
      <c r="N337" s="65"/>
      <c r="O337" s="135" t="s">
        <v>1391</v>
      </c>
      <c r="P337" s="134" t="s">
        <v>2047</v>
      </c>
      <c r="Q337" s="135"/>
      <c r="R337" s="66"/>
      <c r="S337" s="66"/>
      <c r="T337" s="66"/>
      <c r="U337" s="66"/>
      <c r="V337" s="49" t="b">
        <v>0</v>
      </c>
      <c r="W337" s="49" t="str">
        <f>"Character/Prefabs/"&amp;VLOOKUP($C337,'#Data'!$B$3:$I$344,8,FALSE)</f>
        <v>Character/Prefabs/m_m_ranger_polluter_liquid_2</v>
      </c>
      <c r="X337" s="49"/>
      <c r="Y337" s="49" t="str">
        <f>VLOOKUP($C337,'#Data'!$B$3:$I$344,8,FALSE)</f>
        <v>m_m_ranger_polluter_liquid_2</v>
      </c>
      <c r="Z337" s="49"/>
      <c r="AA337" s="49"/>
      <c r="AB337" s="49"/>
      <c r="AC337" s="89">
        <v>0.6</v>
      </c>
      <c r="AD337" s="49"/>
      <c r="AE337" s="49"/>
      <c r="AF337" s="49"/>
      <c r="AG337" s="49" t="s">
        <v>2093</v>
      </c>
      <c r="AH337" s="85"/>
    </row>
    <row r="338" spans="1:34" x14ac:dyDescent="0.3">
      <c r="A338" s="49">
        <f t="shared" si="8"/>
        <v>1210206117</v>
      </c>
      <c r="B338" s="49" t="s">
        <v>174</v>
      </c>
      <c r="C338" s="49" t="s">
        <v>1314</v>
      </c>
      <c r="D338" s="49" t="str">
        <f>"Monster.Name."&amp;VLOOKUP($C338,'#Data'!$B$2:$J$344,2,FALSE)</f>
        <v>Monster.Name.polluter_fog_2</v>
      </c>
      <c r="E338" s="49" t="s">
        <v>143</v>
      </c>
      <c r="F338" s="50" t="s">
        <v>44</v>
      </c>
      <c r="G338" s="49" t="s">
        <v>45</v>
      </c>
      <c r="H338" s="49" t="b">
        <f>IF(OR(VLOOKUP($C338,'#Data'!$B$2:$J$344,4,FALSE)="보스",VLOOKUP($C338,'#Data'!$B$2:$J$344,4,FALSE)="중간"),TRUE,FALSE)</f>
        <v>0</v>
      </c>
      <c r="I338" s="49" t="b">
        <v>0</v>
      </c>
      <c r="J338" s="49">
        <v>10</v>
      </c>
      <c r="K338" s="49">
        <f t="shared" si="9"/>
        <v>10</v>
      </c>
      <c r="L338" s="65" t="s">
        <v>1385</v>
      </c>
      <c r="M338" s="65"/>
      <c r="N338" s="65"/>
      <c r="O338" s="135" t="s">
        <v>1392</v>
      </c>
      <c r="P338" s="134" t="s">
        <v>2048</v>
      </c>
      <c r="Q338" s="135"/>
      <c r="R338" s="66"/>
      <c r="S338" s="66"/>
      <c r="T338" s="66"/>
      <c r="U338" s="66"/>
      <c r="V338" s="49" t="b">
        <v>0</v>
      </c>
      <c r="W338" s="49" t="str">
        <f>"Character/Prefabs/"&amp;VLOOKUP($C338,'#Data'!$B$3:$I$344,8,FALSE)</f>
        <v>Character/Prefabs/m_m_supporter_polluter_fog_2</v>
      </c>
      <c r="X338" s="49"/>
      <c r="Y338" s="49" t="str">
        <f>VLOOKUP($C338,'#Data'!$B$3:$I$344,8,FALSE)</f>
        <v>m_m_supporter_polluter_fog_2</v>
      </c>
      <c r="Z338" s="49"/>
      <c r="AA338" s="49"/>
      <c r="AB338" s="49"/>
      <c r="AC338" s="89">
        <v>0.6</v>
      </c>
      <c r="AD338" s="49"/>
      <c r="AE338" s="49"/>
      <c r="AF338" s="49"/>
      <c r="AG338" s="49" t="s">
        <v>2093</v>
      </c>
      <c r="AH338" s="85"/>
    </row>
    <row r="339" spans="1:34" x14ac:dyDescent="0.3">
      <c r="A339" s="49">
        <f t="shared" si="8"/>
        <v>1210206118</v>
      </c>
      <c r="B339" s="49" t="s">
        <v>174</v>
      </c>
      <c r="C339" s="49" t="s">
        <v>1316</v>
      </c>
      <c r="D339" s="49" t="str">
        <f>"Monster.Name."&amp;VLOOKUP($C339,'#Data'!$B$2:$J$344,2,FALSE)</f>
        <v>Monster.Name.polluter_haze_2</v>
      </c>
      <c r="E339" s="49" t="s">
        <v>143</v>
      </c>
      <c r="F339" s="50" t="s">
        <v>44</v>
      </c>
      <c r="G339" s="49" t="s">
        <v>45</v>
      </c>
      <c r="H339" s="49" t="b">
        <f>IF(OR(VLOOKUP($C339,'#Data'!$B$2:$J$344,4,FALSE)="보스",VLOOKUP($C339,'#Data'!$B$2:$J$344,4,FALSE)="중간"),TRUE,FALSE)</f>
        <v>0</v>
      </c>
      <c r="I339" s="49" t="b">
        <v>0</v>
      </c>
      <c r="J339" s="49">
        <v>10</v>
      </c>
      <c r="K339" s="49">
        <f t="shared" si="9"/>
        <v>10</v>
      </c>
      <c r="L339" s="65" t="s">
        <v>1386</v>
      </c>
      <c r="M339" s="65"/>
      <c r="N339" s="65"/>
      <c r="O339" s="135" t="s">
        <v>1393</v>
      </c>
      <c r="P339" s="134" t="s">
        <v>2049</v>
      </c>
      <c r="Q339" s="135"/>
      <c r="R339" s="66"/>
      <c r="S339" s="66"/>
      <c r="T339" s="66"/>
      <c r="U339" s="66"/>
      <c r="V339" s="49" t="b">
        <v>0</v>
      </c>
      <c r="W339" s="49" t="str">
        <f>"Character/Prefabs/"&amp;VLOOKUP($C339,'#Data'!$B$3:$I$344,8,FALSE)</f>
        <v>Character/Prefabs/m_m_supporter_polluter_haze_2</v>
      </c>
      <c r="X339" s="49"/>
      <c r="Y339" s="49" t="str">
        <f>VLOOKUP($C339,'#Data'!$B$3:$I$344,8,FALSE)</f>
        <v>m_m_supporter_polluter_haze_2</v>
      </c>
      <c r="Z339" s="49"/>
      <c r="AA339" s="49"/>
      <c r="AB339" s="49"/>
      <c r="AC339" s="89">
        <v>0.6</v>
      </c>
      <c r="AD339" s="49"/>
      <c r="AE339" s="49"/>
      <c r="AF339" s="49"/>
      <c r="AG339" s="49" t="s">
        <v>2093</v>
      </c>
      <c r="AH339" s="85"/>
    </row>
    <row r="340" spans="1:34" x14ac:dyDescent="0.3">
      <c r="A340" s="12">
        <f t="shared" si="8"/>
        <v>1210206201</v>
      </c>
      <c r="B340" s="12" t="s">
        <v>174</v>
      </c>
      <c r="C340" s="12" t="s">
        <v>184</v>
      </c>
      <c r="D340" s="12" t="str">
        <f>"Monster.Name."&amp;VLOOKUP($C340,'#Data'!$B$2:$J$344,2,FALSE)</f>
        <v>Monster.Name.polluter_chunk_1</v>
      </c>
      <c r="E340" s="12" t="s">
        <v>43</v>
      </c>
      <c r="F340" s="39" t="s">
        <v>44</v>
      </c>
      <c r="G340" s="12" t="s">
        <v>45</v>
      </c>
      <c r="H340" s="12" t="b">
        <f>IF(OR(VLOOKUP($C340,'#Data'!$B$2:$J$344,4,FALSE)="보스",VLOOKUP($C340,'#Data'!$B$2:$J$344,4,FALSE)="중간"),TRUE,FALSE)</f>
        <v>1</v>
      </c>
      <c r="I340" s="12" t="b">
        <v>1</v>
      </c>
      <c r="J340" s="12">
        <v>10</v>
      </c>
      <c r="K340" s="12">
        <f t="shared" si="9"/>
        <v>10</v>
      </c>
      <c r="L340" s="63" t="str">
        <f>$B340&amp;"."&amp;VLOOKUP($C340,'#Data'!$B$2:$J$344,2,FALSE)&amp;".attack0"&amp;RIGHT(L$1,1)</f>
        <v>Sector06.polluter_chunk_1.attack01</v>
      </c>
      <c r="M340" s="63"/>
      <c r="N340" s="63"/>
      <c r="O340" s="134" t="str">
        <f>$B340&amp;"."&amp;VLOOKUP($C340,'#Data'!$B$2:$J$344,2,FALSE)&amp;".skill0"&amp;RIGHT(O$1,1)</f>
        <v>Sector06.polluter_chunk_1.skill01</v>
      </c>
      <c r="P340" s="134" t="str">
        <f>$B340&amp;"."&amp;VLOOKUP($C340,'#Data'!$B$2:$J$344,2,FALSE)&amp;".skill0"&amp;RIGHT(P$1,1)</f>
        <v>Sector06.polluter_chunk_1.skill02</v>
      </c>
      <c r="Q340" s="134" t="str">
        <f>$B340&amp;"."&amp;VLOOKUP($C340,'#Data'!$B$2:$J$344,2,FALSE)&amp;".skill0"&amp;RIGHT(Q$1,1)</f>
        <v>Sector06.polluter_chunk_1.skill03</v>
      </c>
      <c r="R340" s="64"/>
      <c r="S340" s="64" t="s">
        <v>2078</v>
      </c>
      <c r="T340" s="64"/>
      <c r="U340" s="64"/>
      <c r="V340" s="12" t="b">
        <v>0</v>
      </c>
      <c r="W340" s="12" t="str">
        <f>"Character/Prefabs/"&amp;VLOOKUP($C340,'#Data'!$B$3:$I$344,8,FALSE)</f>
        <v>Character/Prefabs/m_l_attacker_polluter_chunk_1</v>
      </c>
      <c r="X340" s="12"/>
      <c r="Y340" s="12" t="str">
        <f>VLOOKUP($C340,'#Data'!$B$3:$I$344,8,FALSE)</f>
        <v>m_l_attacker_polluter_chunk_1</v>
      </c>
      <c r="Z340" s="12"/>
      <c r="AA340" s="12"/>
      <c r="AB340" s="12"/>
      <c r="AC340" s="88">
        <v>1</v>
      </c>
      <c r="AD340" s="12"/>
      <c r="AE340" s="12"/>
      <c r="AF340" s="12"/>
      <c r="AG340" s="12" t="s">
        <v>2093</v>
      </c>
      <c r="AH340" s="85"/>
    </row>
    <row r="341" spans="1:34" x14ac:dyDescent="0.3">
      <c r="A341" s="12">
        <f t="shared" si="8"/>
        <v>1210206202</v>
      </c>
      <c r="B341" s="12" t="s">
        <v>174</v>
      </c>
      <c r="C341" s="12" t="s">
        <v>185</v>
      </c>
      <c r="D341" s="12" t="str">
        <f>"Monster.Name."&amp;VLOOKUP($C341,'#Data'!$B$2:$J$344,2,FALSE)</f>
        <v>Monster.Name.polluter_spike_1</v>
      </c>
      <c r="E341" s="12" t="s">
        <v>43</v>
      </c>
      <c r="F341" s="39" t="s">
        <v>44</v>
      </c>
      <c r="G341" s="12" t="s">
        <v>45</v>
      </c>
      <c r="H341" s="12" t="b">
        <f>IF(OR(VLOOKUP($C341,'#Data'!$B$2:$J$344,4,FALSE)="보스",VLOOKUP($C341,'#Data'!$B$2:$J$344,4,FALSE)="중간"),TRUE,FALSE)</f>
        <v>1</v>
      </c>
      <c r="I341" s="12" t="b">
        <v>1</v>
      </c>
      <c r="J341" s="12">
        <v>10</v>
      </c>
      <c r="K341" s="12">
        <f t="shared" si="9"/>
        <v>10</v>
      </c>
      <c r="L341" s="63" t="str">
        <f>$B341&amp;"."&amp;VLOOKUP($C341,'#Data'!$B$2:$J$344,2,FALSE)&amp;".attack0"&amp;RIGHT(L$1,1)</f>
        <v>Sector06.polluter_spike_1.attack01</v>
      </c>
      <c r="M341" s="63"/>
      <c r="N341" s="63"/>
      <c r="O341" s="134" t="str">
        <f>$B341&amp;"."&amp;VLOOKUP($C341,'#Data'!$B$2:$J$344,2,FALSE)&amp;".skill0"&amp;RIGHT(O$1,1)</f>
        <v>Sector06.polluter_spike_1.skill01</v>
      </c>
      <c r="P341" s="134" t="str">
        <f>$B341&amp;"."&amp;VLOOKUP($C341,'#Data'!$B$2:$J$344,2,FALSE)&amp;".skill0"&amp;RIGHT(P$1,1)</f>
        <v>Sector06.polluter_spike_1.skill02</v>
      </c>
      <c r="Q341" s="134" t="str">
        <f>$B341&amp;"."&amp;VLOOKUP($C341,'#Data'!$B$2:$J$344,2,FALSE)&amp;".skill0"&amp;RIGHT(Q$1,1)</f>
        <v>Sector06.polluter_spike_1.skill03</v>
      </c>
      <c r="R341" s="64"/>
      <c r="S341" s="64" t="s">
        <v>2078</v>
      </c>
      <c r="T341" s="64"/>
      <c r="U341" s="64"/>
      <c r="V341" s="12" t="b">
        <v>0</v>
      </c>
      <c r="W341" s="12" t="str">
        <f>"Character/Prefabs/"&amp;VLOOKUP($C341,'#Data'!$B$3:$I$344,8,FALSE)</f>
        <v>Character/Prefabs/m_l_attacker_polluter_spike_1</v>
      </c>
      <c r="X341" s="12"/>
      <c r="Y341" s="12" t="str">
        <f>VLOOKUP($C341,'#Data'!$B$3:$I$344,8,FALSE)</f>
        <v>m_l_attacker_polluter_spike_1</v>
      </c>
      <c r="Z341" s="12"/>
      <c r="AA341" s="12"/>
      <c r="AB341" s="12"/>
      <c r="AC341" s="88">
        <v>0.7</v>
      </c>
      <c r="AD341" s="12"/>
      <c r="AE341" s="12"/>
      <c r="AF341" s="12"/>
      <c r="AG341" s="12" t="s">
        <v>2093</v>
      </c>
      <c r="AH341" s="85"/>
    </row>
    <row r="342" spans="1:34" x14ac:dyDescent="0.3">
      <c r="A342" s="12">
        <f t="shared" si="8"/>
        <v>1210206203</v>
      </c>
      <c r="B342" s="12" t="s">
        <v>174</v>
      </c>
      <c r="C342" s="12" t="s">
        <v>186</v>
      </c>
      <c r="D342" s="12" t="str">
        <f>"Monster.Name."&amp;VLOOKUP($C342,'#Data'!$B$2:$J$344,2,FALSE)</f>
        <v>Monster.Name.polluter_bloblauncher_1</v>
      </c>
      <c r="E342" s="12" t="s">
        <v>47</v>
      </c>
      <c r="F342" s="39" t="s">
        <v>44</v>
      </c>
      <c r="G342" s="12" t="s">
        <v>45</v>
      </c>
      <c r="H342" s="12" t="b">
        <f>IF(OR(VLOOKUP($C342,'#Data'!$B$2:$J$344,4,FALSE)="보스",VLOOKUP($C342,'#Data'!$B$2:$J$344,4,FALSE)="중간"),TRUE,FALSE)</f>
        <v>1</v>
      </c>
      <c r="I342" s="12" t="b">
        <v>1</v>
      </c>
      <c r="J342" s="12">
        <v>10</v>
      </c>
      <c r="K342" s="12">
        <f t="shared" si="9"/>
        <v>10</v>
      </c>
      <c r="L342" s="63" t="str">
        <f>$B342&amp;"."&amp;VLOOKUP($C342,'#Data'!$B$2:$J$344,2,FALSE)&amp;".attack0"&amp;RIGHT(L$1,1)</f>
        <v>Sector06.polluter_bloblauncher_1.attack01</v>
      </c>
      <c r="M342" s="63"/>
      <c r="N342" s="63"/>
      <c r="O342" s="134" t="str">
        <f>$B342&amp;"."&amp;VLOOKUP($C342,'#Data'!$B$2:$J$344,2,FALSE)&amp;".skill0"&amp;RIGHT(O$1,1)</f>
        <v>Sector06.polluter_bloblauncher_1.skill01</v>
      </c>
      <c r="P342" s="134" t="str">
        <f>$B342&amp;"."&amp;VLOOKUP($C342,'#Data'!$B$2:$J$344,2,FALSE)&amp;".skill0"&amp;RIGHT(P$1,1)</f>
        <v>Sector06.polluter_bloblauncher_1.skill02</v>
      </c>
      <c r="Q342" s="134" t="str">
        <f>$B342&amp;"."&amp;VLOOKUP($C342,'#Data'!$B$2:$J$344,2,FALSE)&amp;".skill0"&amp;RIGHT(Q$1,1)</f>
        <v>Sector06.polluter_bloblauncher_1.skill03</v>
      </c>
      <c r="R342" s="64"/>
      <c r="S342" s="64" t="s">
        <v>2078</v>
      </c>
      <c r="T342" s="64"/>
      <c r="U342" s="64"/>
      <c r="V342" s="12" t="b">
        <v>0</v>
      </c>
      <c r="W342" s="12" t="str">
        <f>"Character/Prefabs/"&amp;VLOOKUP($C342,'#Data'!$B$3:$I$344,8,FALSE)</f>
        <v>Character/Prefabs/m_l_ranger_polluter_bloblauncher_1</v>
      </c>
      <c r="X342" s="12"/>
      <c r="Y342" s="12" t="str">
        <f>VLOOKUP($C342,'#Data'!$B$3:$I$344,8,FALSE)</f>
        <v>m_l_ranger_polluter_bloblauncher_1</v>
      </c>
      <c r="Z342" s="12"/>
      <c r="AA342" s="12"/>
      <c r="AB342" s="12"/>
      <c r="AC342" s="88">
        <v>0.9</v>
      </c>
      <c r="AD342" s="12"/>
      <c r="AE342" s="12"/>
      <c r="AF342" s="12"/>
      <c r="AG342" s="12" t="s">
        <v>2093</v>
      </c>
      <c r="AH342" s="85"/>
    </row>
    <row r="343" spans="1:34" x14ac:dyDescent="0.3">
      <c r="A343" s="108">
        <f t="shared" si="8"/>
        <v>1210206301</v>
      </c>
      <c r="B343" s="108" t="s">
        <v>174</v>
      </c>
      <c r="C343" s="108" t="s">
        <v>187</v>
      </c>
      <c r="D343" s="108" t="str">
        <f>"Monster.Name."&amp;VLOOKUP($C343,'#Data'!$B$2:$J$344,2,FALSE)</f>
        <v>Monster.Name.toxic_1</v>
      </c>
      <c r="E343" s="108" t="s">
        <v>43</v>
      </c>
      <c r="F343" s="109" t="s">
        <v>44</v>
      </c>
      <c r="G343" s="108" t="s">
        <v>45</v>
      </c>
      <c r="H343" s="108" t="b">
        <f>IF(OR(VLOOKUP($C343,'#Data'!$B$2:$J$344,4,FALSE)="보스",VLOOKUP($C343,'#Data'!$B$2:$J$344,4,FALSE)="중간"),TRUE,FALSE)</f>
        <v>1</v>
      </c>
      <c r="I343" s="108" t="b">
        <v>1</v>
      </c>
      <c r="J343" s="108">
        <v>30</v>
      </c>
      <c r="K343" s="108">
        <f t="shared" si="9"/>
        <v>10</v>
      </c>
      <c r="L343" s="113" t="str">
        <f>$B343&amp;"."&amp;VLOOKUP($C343,'#Data'!$B$2:$J$344,2,FALSE)&amp;".attack0"&amp;RIGHT(L$1,1)</f>
        <v>Sector06.toxic_1.attack01</v>
      </c>
      <c r="M343" s="113" t="str">
        <f>$B343&amp;"."&amp;VLOOKUP($C343,'#Data'!$B$2:$J$344,2,FALSE)&amp;".attack0"&amp;RIGHT(M$1,1)</f>
        <v>Sector06.toxic_1.attack02</v>
      </c>
      <c r="N343" s="113"/>
      <c r="O343" s="136" t="str">
        <f>$B343&amp;"."&amp;VLOOKUP($C343,'#Data'!$B$2:$J$344,2,FALSE)&amp;".skill0"&amp;RIGHT(O$1,1)</f>
        <v>Sector06.toxic_1.skill01</v>
      </c>
      <c r="P343" s="136" t="str">
        <f>$B343&amp;"."&amp;VLOOKUP($C343,'#Data'!$B$2:$J$344,2,FALSE)&amp;".skill0"&amp;RIGHT(P$1,1)</f>
        <v>Sector06.toxic_1.skill02</v>
      </c>
      <c r="Q343" s="136" t="str">
        <f>$B343&amp;"."&amp;VLOOKUP($C343,'#Data'!$B$2:$J$344,2,FALSE)&amp;".skill0"&amp;RIGHT(Q$1,1)</f>
        <v>Sector06.toxic_1.skill03</v>
      </c>
      <c r="R343" s="114" t="s">
        <v>1400</v>
      </c>
      <c r="S343" s="114" t="s">
        <v>1401</v>
      </c>
      <c r="T343" s="114"/>
      <c r="U343" s="114"/>
      <c r="V343" s="108" t="b">
        <v>0</v>
      </c>
      <c r="W343" s="108" t="str">
        <f>"Character/Prefabs/"&amp;VLOOKUP($C343,'#Data'!$B$3:$I$344,8,FALSE)</f>
        <v>Character/Prefabs/m_boss_attacker_toxic_1</v>
      </c>
      <c r="X343" s="108"/>
      <c r="Y343" s="108" t="str">
        <f>VLOOKUP($C343,'#Data'!$B$3:$I$344,8,FALSE)</f>
        <v>m_boss_attacker_toxic_1</v>
      </c>
      <c r="Z343" s="108"/>
      <c r="AA343" s="108"/>
      <c r="AB343" s="108"/>
      <c r="AC343" s="111">
        <v>0.9</v>
      </c>
      <c r="AD343" s="108"/>
      <c r="AE343" s="108" t="s">
        <v>188</v>
      </c>
      <c r="AF343" s="108" t="s">
        <v>189</v>
      </c>
      <c r="AG343" s="108" t="s">
        <v>2093</v>
      </c>
      <c r="AH343" s="85"/>
    </row>
    <row r="344" spans="1:34" x14ac:dyDescent="0.3">
      <c r="A344" s="108">
        <f t="shared" si="8"/>
        <v>1210206302</v>
      </c>
      <c r="B344" s="108" t="s">
        <v>174</v>
      </c>
      <c r="C344" s="108" t="s">
        <v>1399</v>
      </c>
      <c r="D344" s="108" t="str">
        <f>"Monster.Name."&amp;VLOOKUP($C344,'#Data'!$B$2:$J$344,2,FALSE)</f>
        <v>Monster.Name.toxic_3</v>
      </c>
      <c r="E344" s="108" t="s">
        <v>43</v>
      </c>
      <c r="F344" s="109" t="s">
        <v>44</v>
      </c>
      <c r="G344" s="108" t="s">
        <v>45</v>
      </c>
      <c r="H344" s="108" t="b">
        <f>IF(OR(VLOOKUP($C344,'#Data'!$B$2:$J$344,4,FALSE)="보스",VLOOKUP($C344,'#Data'!$B$2:$J$344,4,FALSE)="중간"),TRUE,FALSE)</f>
        <v>1</v>
      </c>
      <c r="I344" s="108" t="b">
        <v>1</v>
      </c>
      <c r="J344" s="108">
        <v>30</v>
      </c>
      <c r="K344" s="108">
        <f t="shared" si="9"/>
        <v>10</v>
      </c>
      <c r="L344" s="113" t="str">
        <f>$B344&amp;"."&amp;VLOOKUP($C344,'#Data'!$B$2:$J$344,2,FALSE)&amp;".attack0"&amp;RIGHT(L$1,1)</f>
        <v>Sector06.toxic_3.attack01</v>
      </c>
      <c r="M344" s="113" t="str">
        <f>$B344&amp;"."&amp;VLOOKUP($C344,'#Data'!$B$2:$J$344,2,FALSE)&amp;".attack0"&amp;RIGHT(M$1,1)</f>
        <v>Sector06.toxic_3.attack02</v>
      </c>
      <c r="N344" s="113"/>
      <c r="O344" s="136" t="str">
        <f>$B344&amp;"."&amp;VLOOKUP($C344,'#Data'!$B$2:$J$344,2,FALSE)&amp;".skill0"&amp;RIGHT(O$1,1)</f>
        <v>Sector06.toxic_3.skill01</v>
      </c>
      <c r="P344" s="136" t="str">
        <f>$B344&amp;"."&amp;VLOOKUP($C344,'#Data'!$B$2:$J$344,2,FALSE)&amp;".skill0"&amp;RIGHT(P$1,1)</f>
        <v>Sector06.toxic_3.skill02</v>
      </c>
      <c r="Q344" s="136" t="str">
        <f>$B344&amp;"."&amp;VLOOKUP($C344,'#Data'!$B$2:$J$344,2,FALSE)&amp;".skill0"&amp;RIGHT(Q$1,1)</f>
        <v>Sector06.toxic_3.skill03</v>
      </c>
      <c r="R344" s="114" t="s">
        <v>1413</v>
      </c>
      <c r="S344" s="114" t="s">
        <v>1414</v>
      </c>
      <c r="T344" s="114"/>
      <c r="U344" s="114"/>
      <c r="V344" s="108" t="b">
        <v>0</v>
      </c>
      <c r="W344" s="165" t="str">
        <f>"Character/Prefabs/"&amp;VLOOKUP($C344,'#Data'!$B$3:$I$344,8,FALSE)</f>
        <v>Character/Prefabs/m_boss_attacker_toxic_3</v>
      </c>
      <c r="X344" s="165"/>
      <c r="Y344" s="165" t="str">
        <f>VLOOKUP($C344,'#Data'!$B$3:$I$344,8,FALSE)</f>
        <v>m_boss_attacker_toxic_3</v>
      </c>
      <c r="Z344" s="108"/>
      <c r="AA344" s="108"/>
      <c r="AB344" s="108"/>
      <c r="AC344" s="111">
        <v>1.1000000000000001</v>
      </c>
      <c r="AD344" s="108"/>
      <c r="AE344" s="108" t="s">
        <v>2082</v>
      </c>
      <c r="AF344" s="108" t="s">
        <v>2099</v>
      </c>
      <c r="AG344" s="108" t="s">
        <v>2093</v>
      </c>
      <c r="AH344" s="85"/>
    </row>
    <row r="345" spans="1:34" x14ac:dyDescent="0.3">
      <c r="A345" s="41">
        <f t="shared" si="8"/>
        <v>1210207101</v>
      </c>
      <c r="B345" s="41" t="s">
        <v>190</v>
      </c>
      <c r="C345" s="41" t="s">
        <v>191</v>
      </c>
      <c r="D345" s="41" t="str">
        <f>"Monster.Name."&amp;VLOOKUP($C345,'#Data'!$B$2:$J$344,2,FALSE)</f>
        <v>Monster.Name.clock_clawdog_1</v>
      </c>
      <c r="E345" s="41" t="s">
        <v>43</v>
      </c>
      <c r="F345" s="42" t="s">
        <v>44</v>
      </c>
      <c r="G345" s="41" t="s">
        <v>45</v>
      </c>
      <c r="H345" s="41" t="b">
        <f>IF(OR(VLOOKUP($C345,'#Data'!$B$2:$J$344,4,FALSE)="보스",VLOOKUP($C345,'#Data'!$B$2:$J$344,4,FALSE)="중간"),TRUE,FALSE)</f>
        <v>0</v>
      </c>
      <c r="I345" s="41" t="b">
        <v>0</v>
      </c>
      <c r="J345" s="41">
        <v>10</v>
      </c>
      <c r="K345" s="41">
        <f t="shared" si="9"/>
        <v>10</v>
      </c>
      <c r="L345" s="67" t="str">
        <f>$B345&amp;"."&amp;VLOOKUP($C345,'#Data'!$B$2:$J$344,2,FALSE)&amp;".attack0"&amp;RIGHT(L$1,1)</f>
        <v>Sector07.clock_clawdog_1.attack01</v>
      </c>
      <c r="M345" s="67"/>
      <c r="N345" s="67"/>
      <c r="O345" s="137" t="s">
        <v>2050</v>
      </c>
      <c r="P345" s="137"/>
      <c r="Q345" s="137"/>
      <c r="R345" s="68"/>
      <c r="S345" s="68"/>
      <c r="T345" s="68"/>
      <c r="U345" s="68"/>
      <c r="V345" s="41" t="b">
        <v>0</v>
      </c>
      <c r="W345" s="41" t="str">
        <f>"Character/Prefabs/"&amp;VLOOKUP($C345,'#Data'!$B$3:$I$344,8,FALSE)</f>
        <v>Character/Prefabs/m_s_attacker_clock_clawdog_1</v>
      </c>
      <c r="X345" s="41"/>
      <c r="Y345" s="41" t="str">
        <f>VLOOKUP($C345,'#Data'!$B$3:$I$344,8,FALSE)</f>
        <v>m_s_attacker_clock_clawdog_1</v>
      </c>
      <c r="Z345" s="41"/>
      <c r="AA345" s="41"/>
      <c r="AB345" s="41"/>
      <c r="AC345" s="90">
        <v>0.9</v>
      </c>
      <c r="AD345" s="41"/>
      <c r="AE345" s="41"/>
      <c r="AF345" s="41"/>
      <c r="AG345" s="41" t="s">
        <v>2093</v>
      </c>
      <c r="AH345" s="85"/>
    </row>
    <row r="346" spans="1:34" x14ac:dyDescent="0.3">
      <c r="A346" s="41">
        <f t="shared" si="8"/>
        <v>1210207102</v>
      </c>
      <c r="B346" s="41" t="s">
        <v>190</v>
      </c>
      <c r="C346" s="41" t="s">
        <v>192</v>
      </c>
      <c r="D346" s="41" t="str">
        <f>"Monster.Name."&amp;VLOOKUP($C346,'#Data'!$B$2:$J$344,2,FALSE)</f>
        <v>Monster.Name.clock_flamedog_1</v>
      </c>
      <c r="E346" s="41" t="s">
        <v>47</v>
      </c>
      <c r="F346" s="42" t="s">
        <v>44</v>
      </c>
      <c r="G346" s="41" t="s">
        <v>45</v>
      </c>
      <c r="H346" s="41" t="b">
        <f>IF(OR(VLOOKUP($C346,'#Data'!$B$2:$J$344,4,FALSE)="보스",VLOOKUP($C346,'#Data'!$B$2:$J$344,4,FALSE)="중간"),TRUE,FALSE)</f>
        <v>0</v>
      </c>
      <c r="I346" s="41" t="b">
        <v>0</v>
      </c>
      <c r="J346" s="41">
        <v>10</v>
      </c>
      <c r="K346" s="41">
        <f t="shared" si="9"/>
        <v>10</v>
      </c>
      <c r="L346" s="67" t="str">
        <f>$B346&amp;"."&amp;VLOOKUP($C346,'#Data'!$B$2:$J$344,2,FALSE)&amp;".attack0"&amp;RIGHT(L$1,1)</f>
        <v>Sector07.clock_flamedog_1.attack01</v>
      </c>
      <c r="M346" s="67"/>
      <c r="N346" s="67"/>
      <c r="O346" s="137" t="s">
        <v>2051</v>
      </c>
      <c r="P346" s="137"/>
      <c r="Q346" s="137"/>
      <c r="R346" s="68"/>
      <c r="S346" s="68"/>
      <c r="T346" s="68"/>
      <c r="U346" s="68"/>
      <c r="V346" s="41" t="b">
        <v>0</v>
      </c>
      <c r="W346" s="41" t="str">
        <f>"Character/Prefabs/"&amp;VLOOKUP($C346,'#Data'!$B$3:$I$344,8,FALSE)</f>
        <v>Character/Prefabs/m_s_ranger_clock_flamedog_1</v>
      </c>
      <c r="X346" s="41"/>
      <c r="Y346" s="41" t="str">
        <f>VLOOKUP($C346,'#Data'!$B$3:$I$344,8,FALSE)</f>
        <v>m_s_ranger_clock_flamedog_1</v>
      </c>
      <c r="Z346" s="41"/>
      <c r="AA346" s="41"/>
      <c r="AB346" s="41"/>
      <c r="AC346" s="90">
        <v>0.9</v>
      </c>
      <c r="AD346" s="41"/>
      <c r="AE346" s="41"/>
      <c r="AF346" s="41"/>
      <c r="AG346" s="41" t="s">
        <v>2093</v>
      </c>
      <c r="AH346" s="85"/>
    </row>
    <row r="347" spans="1:34" x14ac:dyDescent="0.3">
      <c r="A347" s="41">
        <f t="shared" si="8"/>
        <v>1210207103</v>
      </c>
      <c r="B347" s="41" t="s">
        <v>190</v>
      </c>
      <c r="C347" s="41" t="s">
        <v>193</v>
      </c>
      <c r="D347" s="41" t="str">
        <f>"Monster.Name."&amp;VLOOKUP($C347,'#Data'!$B$2:$J$344,2,FALSE)</f>
        <v>Monster.Name.clock_spear_1</v>
      </c>
      <c r="E347" s="41" t="s">
        <v>43</v>
      </c>
      <c r="F347" s="42" t="s">
        <v>44</v>
      </c>
      <c r="G347" s="41" t="s">
        <v>45</v>
      </c>
      <c r="H347" s="41" t="b">
        <f>IF(OR(VLOOKUP($C347,'#Data'!$B$2:$J$344,4,FALSE)="보스",VLOOKUP($C347,'#Data'!$B$2:$J$344,4,FALSE)="중간"),TRUE,FALSE)</f>
        <v>0</v>
      </c>
      <c r="I347" s="41" t="b">
        <v>0</v>
      </c>
      <c r="J347" s="41">
        <v>10</v>
      </c>
      <c r="K347" s="41">
        <f t="shared" si="9"/>
        <v>10</v>
      </c>
      <c r="L347" s="67" t="str">
        <f>$B347&amp;"."&amp;VLOOKUP($C347,'#Data'!$B$2:$J$344,2,FALSE)&amp;".attack0"&amp;RIGHT(L$1,1)</f>
        <v>Sector07.clock_spear_1.attack01</v>
      </c>
      <c r="M347" s="67"/>
      <c r="N347" s="67"/>
      <c r="O347" s="137" t="str">
        <f>$B347&amp;"."&amp;VLOOKUP($C347,'#Data'!$B$2:$J$344,2,FALSE)&amp;".skill0"&amp;RIGHT(O$1,1)</f>
        <v>Sector07.clock_spear_1.skill01</v>
      </c>
      <c r="P347" s="137" t="s">
        <v>2052</v>
      </c>
      <c r="Q347" s="137"/>
      <c r="R347" s="68"/>
      <c r="S347" s="68"/>
      <c r="T347" s="68"/>
      <c r="U347" s="68"/>
      <c r="V347" s="41" t="b">
        <v>0</v>
      </c>
      <c r="W347" s="41" t="str">
        <f>"Character/Prefabs/"&amp;VLOOKUP($C347,'#Data'!$B$3:$I$344,8,FALSE)</f>
        <v>Character/Prefabs/m_m_attacker_clock_spear_1</v>
      </c>
      <c r="X347" s="41"/>
      <c r="Y347" s="41" t="str">
        <f>VLOOKUP($C347,'#Data'!$B$3:$I$344,8,FALSE)</f>
        <v>m_m_attacker_clock_spear_1</v>
      </c>
      <c r="Z347" s="41"/>
      <c r="AA347" s="41"/>
      <c r="AB347" s="41"/>
      <c r="AC347" s="90">
        <v>0.9</v>
      </c>
      <c r="AD347" s="41"/>
      <c r="AE347" s="41"/>
      <c r="AF347" s="41"/>
      <c r="AG347" s="41" t="s">
        <v>2093</v>
      </c>
      <c r="AH347" s="85"/>
    </row>
    <row r="348" spans="1:34" x14ac:dyDescent="0.3">
      <c r="A348" s="41">
        <f t="shared" si="8"/>
        <v>1210207104</v>
      </c>
      <c r="B348" s="41" t="s">
        <v>190</v>
      </c>
      <c r="C348" s="41" t="s">
        <v>194</v>
      </c>
      <c r="D348" s="41" t="str">
        <f>"Monster.Name."&amp;VLOOKUP($C348,'#Data'!$B$2:$J$344,2,FALSE)</f>
        <v>Monster.Name.clock_squire_1</v>
      </c>
      <c r="E348" s="41" t="s">
        <v>47</v>
      </c>
      <c r="F348" s="42" t="s">
        <v>44</v>
      </c>
      <c r="G348" s="41" t="s">
        <v>45</v>
      </c>
      <c r="H348" s="41" t="b">
        <f>IF(OR(VLOOKUP($C348,'#Data'!$B$2:$J$344,4,FALSE)="보스",VLOOKUP($C348,'#Data'!$B$2:$J$344,4,FALSE)="중간"),TRUE,FALSE)</f>
        <v>0</v>
      </c>
      <c r="I348" s="41" t="b">
        <v>0</v>
      </c>
      <c r="J348" s="41">
        <v>10</v>
      </c>
      <c r="K348" s="41">
        <f t="shared" si="9"/>
        <v>10</v>
      </c>
      <c r="L348" s="67" t="str">
        <f>$B348&amp;"."&amp;VLOOKUP($C348,'#Data'!$B$2:$J$344,2,FALSE)&amp;".attack0"&amp;RIGHT(L$1,1)</f>
        <v>Sector07.clock_squire_1.attack01</v>
      </c>
      <c r="M348" s="67"/>
      <c r="N348" s="67"/>
      <c r="O348" s="137" t="str">
        <f>$B348&amp;"."&amp;VLOOKUP($C348,'#Data'!$B$2:$J$344,2,FALSE)&amp;".skill0"&amp;RIGHT(O$1,1)</f>
        <v>Sector07.clock_squire_1.skill01</v>
      </c>
      <c r="P348" s="137" t="s">
        <v>2053</v>
      </c>
      <c r="Q348" s="137"/>
      <c r="R348" s="68"/>
      <c r="S348" s="68"/>
      <c r="T348" s="68"/>
      <c r="U348" s="68"/>
      <c r="V348" s="41" t="b">
        <v>0</v>
      </c>
      <c r="W348" s="41" t="str">
        <f>"Character/Prefabs/"&amp;VLOOKUP($C348,'#Data'!$B$3:$I$344,8,FALSE)</f>
        <v>Character/Prefabs/m_m_ranger_clock_squire_1</v>
      </c>
      <c r="X348" s="41"/>
      <c r="Y348" s="41" t="str">
        <f>VLOOKUP($C348,'#Data'!$B$3:$I$344,8,FALSE)</f>
        <v>m_m_ranger_clock_squire_1</v>
      </c>
      <c r="Z348" s="41"/>
      <c r="AA348" s="41"/>
      <c r="AB348" s="41"/>
      <c r="AC348" s="90">
        <v>0.9</v>
      </c>
      <c r="AD348" s="41"/>
      <c r="AE348" s="41"/>
      <c r="AF348" s="41"/>
      <c r="AG348" s="41" t="s">
        <v>2093</v>
      </c>
      <c r="AH348" s="85"/>
    </row>
    <row r="349" spans="1:34" x14ac:dyDescent="0.3">
      <c r="A349" s="41">
        <f t="shared" si="8"/>
        <v>1210207105</v>
      </c>
      <c r="B349" s="41" t="s">
        <v>190</v>
      </c>
      <c r="C349" s="41" t="s">
        <v>195</v>
      </c>
      <c r="D349" s="41" t="str">
        <f>"Monster.Name."&amp;VLOOKUP($C349,'#Data'!$B$2:$J$344,2,FALSE)</f>
        <v>Monster.Name.clock_crossbow_1</v>
      </c>
      <c r="E349" s="41" t="s">
        <v>47</v>
      </c>
      <c r="F349" s="42" t="s">
        <v>44</v>
      </c>
      <c r="G349" s="41" t="s">
        <v>45</v>
      </c>
      <c r="H349" s="41" t="b">
        <f>IF(OR(VLOOKUP($C349,'#Data'!$B$2:$J$344,4,FALSE)="보스",VLOOKUP($C349,'#Data'!$B$2:$J$344,4,FALSE)="중간"),TRUE,FALSE)</f>
        <v>0</v>
      </c>
      <c r="I349" s="41" t="b">
        <v>0</v>
      </c>
      <c r="J349" s="41">
        <v>10</v>
      </c>
      <c r="K349" s="41">
        <f t="shared" si="9"/>
        <v>10</v>
      </c>
      <c r="L349" s="67" t="str">
        <f>$B349&amp;"."&amp;VLOOKUP($C349,'#Data'!$B$2:$J$344,2,FALSE)&amp;".attack0"&amp;RIGHT(L$1,1)</f>
        <v>Sector07.clock_crossbow_1.attack01</v>
      </c>
      <c r="M349" s="67"/>
      <c r="N349" s="67"/>
      <c r="O349" s="137" t="str">
        <f>$B349&amp;"."&amp;VLOOKUP($C349,'#Data'!$B$2:$J$344,2,FALSE)&amp;".skill0"&amp;RIGHT(O$1,1)</f>
        <v>Sector07.clock_crossbow_1.skill01</v>
      </c>
      <c r="P349" s="137" t="s">
        <v>2054</v>
      </c>
      <c r="Q349" s="137"/>
      <c r="R349" s="68"/>
      <c r="S349" s="68"/>
      <c r="T349" s="68"/>
      <c r="U349" s="68"/>
      <c r="V349" s="41" t="b">
        <v>0</v>
      </c>
      <c r="W349" s="41" t="str">
        <f>"Character/Prefabs/"&amp;VLOOKUP($C349,'#Data'!$B$3:$I$344,8,FALSE)</f>
        <v>Character/Prefabs/m_m_ranger_clock_crossbow_1</v>
      </c>
      <c r="X349" s="41"/>
      <c r="Y349" s="41" t="str">
        <f>VLOOKUP($C349,'#Data'!$B$3:$I$344,8,FALSE)</f>
        <v>m_m_ranger_clock_crossbow_1</v>
      </c>
      <c r="Z349" s="41"/>
      <c r="AA349" s="41"/>
      <c r="AB349" s="41"/>
      <c r="AC349" s="90">
        <v>0.9</v>
      </c>
      <c r="AD349" s="41"/>
      <c r="AE349" s="41"/>
      <c r="AF349" s="41"/>
      <c r="AG349" s="41" t="s">
        <v>2093</v>
      </c>
      <c r="AH349" s="85"/>
    </row>
    <row r="350" spans="1:34" x14ac:dyDescent="0.3">
      <c r="A350" s="41">
        <f t="shared" si="8"/>
        <v>1210207106</v>
      </c>
      <c r="B350" s="41" t="s">
        <v>190</v>
      </c>
      <c r="C350" s="41" t="s">
        <v>196</v>
      </c>
      <c r="D350" s="41" t="str">
        <f>"Monster.Name."&amp;VLOOKUP($C350,'#Data'!$B$2:$J$344,2,FALSE)</f>
        <v>Monster.Name.clock_shield_1</v>
      </c>
      <c r="E350" s="41" t="s">
        <v>43</v>
      </c>
      <c r="F350" s="42" t="s">
        <v>44</v>
      </c>
      <c r="G350" s="41" t="s">
        <v>45</v>
      </c>
      <c r="H350" s="41" t="b">
        <f>IF(OR(VLOOKUP($C350,'#Data'!$B$2:$J$344,4,FALSE)="보스",VLOOKUP($C350,'#Data'!$B$2:$J$344,4,FALSE)="중간"),TRUE,FALSE)</f>
        <v>0</v>
      </c>
      <c r="I350" s="41" t="b">
        <v>0</v>
      </c>
      <c r="J350" s="41">
        <v>10</v>
      </c>
      <c r="K350" s="41">
        <f t="shared" si="9"/>
        <v>10</v>
      </c>
      <c r="L350" s="67" t="str">
        <f>$B350&amp;"."&amp;VLOOKUP($C350,'#Data'!$B$2:$J$344,2,FALSE)&amp;".attack0"&amp;RIGHT(L$1,1)</f>
        <v>Sector07.clock_shield_1.attack01</v>
      </c>
      <c r="M350" s="67"/>
      <c r="N350" s="67"/>
      <c r="O350" s="137" t="str">
        <f>$B350&amp;"."&amp;VLOOKUP($C350,'#Data'!$B$2:$J$344,2,FALSE)&amp;".skill0"&amp;RIGHT(O$1,1)</f>
        <v>Sector07.clock_shield_1.skill01</v>
      </c>
      <c r="P350" s="137" t="s">
        <v>2055</v>
      </c>
      <c r="Q350" s="137"/>
      <c r="R350" s="68"/>
      <c r="S350" s="68"/>
      <c r="T350" s="68"/>
      <c r="U350" s="68"/>
      <c r="V350" s="41" t="b">
        <v>0</v>
      </c>
      <c r="W350" s="41" t="str">
        <f>"Character/Prefabs/"&amp;VLOOKUP($C350,'#Data'!$B$3:$I$344,8,FALSE)</f>
        <v>Character/Prefabs/m_m_attacker_clock_shield_1</v>
      </c>
      <c r="X350" s="41"/>
      <c r="Y350" s="41" t="str">
        <f>VLOOKUP($C350,'#Data'!$B$3:$I$344,8,FALSE)</f>
        <v>m_m_attacker_clock_shield_1</v>
      </c>
      <c r="Z350" s="41"/>
      <c r="AA350" s="41"/>
      <c r="AB350" s="41"/>
      <c r="AC350" s="90">
        <v>0.9</v>
      </c>
      <c r="AD350" s="41"/>
      <c r="AE350" s="41"/>
      <c r="AF350" s="41"/>
      <c r="AG350" s="41" t="s">
        <v>2093</v>
      </c>
      <c r="AH350" s="85"/>
    </row>
    <row r="351" spans="1:34" x14ac:dyDescent="0.3">
      <c r="A351" s="41">
        <f t="shared" si="8"/>
        <v>1210207107</v>
      </c>
      <c r="B351" s="41" t="s">
        <v>190</v>
      </c>
      <c r="C351" s="41" t="s">
        <v>197</v>
      </c>
      <c r="D351" s="41" t="str">
        <f>"Monster.Name."&amp;VLOOKUP($C351,'#Data'!$B$2:$J$344,2,FALSE)</f>
        <v>Monster.Name.clock_clown_1</v>
      </c>
      <c r="E351" s="41" t="s">
        <v>47</v>
      </c>
      <c r="F351" s="42" t="s">
        <v>44</v>
      </c>
      <c r="G351" s="41" t="s">
        <v>45</v>
      </c>
      <c r="H351" s="41" t="b">
        <f>IF(OR(VLOOKUP($C351,'#Data'!$B$2:$J$344,4,FALSE)="보스",VLOOKUP($C351,'#Data'!$B$2:$J$344,4,FALSE)="중간"),TRUE,FALSE)</f>
        <v>0</v>
      </c>
      <c r="I351" s="41" t="b">
        <v>0</v>
      </c>
      <c r="J351" s="41">
        <v>10</v>
      </c>
      <c r="K351" s="41">
        <f t="shared" si="9"/>
        <v>10</v>
      </c>
      <c r="L351" s="67" t="str">
        <f>$B351&amp;"."&amp;VLOOKUP($C351,'#Data'!$B$2:$J$344,2,FALSE)&amp;".attack0"&amp;RIGHT(L$1,1)</f>
        <v>Sector07.clock_clown_1.attack01</v>
      </c>
      <c r="M351" s="67"/>
      <c r="N351" s="67"/>
      <c r="O351" s="137" t="str">
        <f>$B351&amp;"."&amp;VLOOKUP($C351,'#Data'!$B$2:$J$344,2,FALSE)&amp;".skill0"&amp;RIGHT(O$1,1)</f>
        <v>Sector07.clock_clown_1.skill01</v>
      </c>
      <c r="P351" s="137" t="s">
        <v>2056</v>
      </c>
      <c r="Q351" s="137"/>
      <c r="R351" s="68"/>
      <c r="S351" s="68"/>
      <c r="T351" s="68"/>
      <c r="U351" s="68"/>
      <c r="V351" s="41" t="b">
        <v>0</v>
      </c>
      <c r="W351" s="41" t="str">
        <f>"Character/Prefabs/"&amp;VLOOKUP($C351,'#Data'!$B$3:$I$344,8,FALSE)</f>
        <v>Character/Prefabs/m_m_ranger_clock_clown_1</v>
      </c>
      <c r="X351" s="41"/>
      <c r="Y351" s="41" t="str">
        <f>VLOOKUP($C351,'#Data'!$B$3:$I$344,8,FALSE)</f>
        <v>m_m_ranger_clock_clown_1</v>
      </c>
      <c r="Z351" s="41"/>
      <c r="AA351" s="41"/>
      <c r="AB351" s="41"/>
      <c r="AC351" s="90">
        <v>0.9</v>
      </c>
      <c r="AD351" s="41"/>
      <c r="AE351" s="41"/>
      <c r="AF351" s="41"/>
      <c r="AG351" s="41" t="s">
        <v>2093</v>
      </c>
      <c r="AH351" s="85"/>
    </row>
    <row r="352" spans="1:34" x14ac:dyDescent="0.3">
      <c r="A352" s="41">
        <f t="shared" si="8"/>
        <v>1210207108</v>
      </c>
      <c r="B352" s="41" t="s">
        <v>190</v>
      </c>
      <c r="C352" s="41" t="s">
        <v>198</v>
      </c>
      <c r="D352" s="41" t="str">
        <f>"Monster.Name."&amp;VLOOKUP($C352,'#Data'!$B$2:$J$344,2,FALSE)</f>
        <v>Monster.Name.clock_draftee_1</v>
      </c>
      <c r="E352" s="41" t="s">
        <v>43</v>
      </c>
      <c r="F352" s="42" t="s">
        <v>44</v>
      </c>
      <c r="G352" s="41" t="s">
        <v>45</v>
      </c>
      <c r="H352" s="41" t="b">
        <f>IF(OR(VLOOKUP($C352,'#Data'!$B$2:$J$344,4,FALSE)="보스",VLOOKUP($C352,'#Data'!$B$2:$J$344,4,FALSE)="중간"),TRUE,FALSE)</f>
        <v>0</v>
      </c>
      <c r="I352" s="41" t="b">
        <v>0</v>
      </c>
      <c r="J352" s="41">
        <v>10</v>
      </c>
      <c r="K352" s="41">
        <f t="shared" si="9"/>
        <v>10</v>
      </c>
      <c r="L352" s="67"/>
      <c r="M352" s="67"/>
      <c r="N352" s="67"/>
      <c r="O352" s="137" t="str">
        <f>$B352&amp;"."&amp;VLOOKUP($C352,'#Data'!$B$2:$J$344,2,FALSE)&amp;".skill0"&amp;RIGHT(O$1,1)</f>
        <v>Sector07.clock_draftee_1.skill01</v>
      </c>
      <c r="P352" s="137"/>
      <c r="Q352" s="137"/>
      <c r="R352" s="68"/>
      <c r="S352" s="68" t="s">
        <v>199</v>
      </c>
      <c r="T352" s="68"/>
      <c r="U352" s="68"/>
      <c r="V352" s="41" t="b">
        <v>0</v>
      </c>
      <c r="W352" s="41" t="str">
        <f>"Character/Prefabs/"&amp;VLOOKUP($C352,'#Data'!$B$3:$I$344,8,FALSE)</f>
        <v>Character/Prefabs/m_m_attacker_clock_draftee_1</v>
      </c>
      <c r="X352" s="41"/>
      <c r="Y352" s="41" t="str">
        <f>VLOOKUP($C352,'#Data'!$B$3:$I$344,8,FALSE)</f>
        <v>m_m_attacker_clock_draftee_1</v>
      </c>
      <c r="Z352" s="41"/>
      <c r="AA352" s="41"/>
      <c r="AB352" s="41"/>
      <c r="AC352" s="90">
        <v>0.9</v>
      </c>
      <c r="AD352" s="41"/>
      <c r="AE352" s="41"/>
      <c r="AF352" s="41"/>
      <c r="AG352" s="41" t="s">
        <v>2093</v>
      </c>
      <c r="AH352" s="85"/>
    </row>
    <row r="353" spans="1:34" x14ac:dyDescent="0.3">
      <c r="A353" s="41">
        <f t="shared" si="8"/>
        <v>1210207109</v>
      </c>
      <c r="B353" s="41" t="s">
        <v>190</v>
      </c>
      <c r="C353" s="41" t="s">
        <v>200</v>
      </c>
      <c r="D353" s="41" t="str">
        <f>"Monster.Name."&amp;VLOOKUP($C353,'#Data'!$B$2:$J$344,2,FALSE)</f>
        <v>Monster.Name.clock_honor_knight_1</v>
      </c>
      <c r="E353" s="41" t="s">
        <v>43</v>
      </c>
      <c r="F353" s="42" t="s">
        <v>44</v>
      </c>
      <c r="G353" s="41" t="s">
        <v>45</v>
      </c>
      <c r="H353" s="41" t="b">
        <f>IF(OR(VLOOKUP($C353,'#Data'!$B$2:$J$344,4,FALSE)="보스",VLOOKUP($C353,'#Data'!$B$2:$J$344,4,FALSE)="중간"),TRUE,FALSE)</f>
        <v>0</v>
      </c>
      <c r="I353" s="41" t="b">
        <v>0</v>
      </c>
      <c r="J353" s="41">
        <v>10</v>
      </c>
      <c r="K353" s="41">
        <f t="shared" si="9"/>
        <v>10</v>
      </c>
      <c r="L353" s="67" t="str">
        <f>$B353&amp;"."&amp;VLOOKUP($C353,'#Data'!$B$2:$J$344,2,FALSE)&amp;".attack0"&amp;RIGHT(L$1,1)</f>
        <v>Sector07.clock_honor_knight_1.attack01</v>
      </c>
      <c r="M353" s="67" t="str">
        <f>$B353&amp;"."&amp;VLOOKUP($C353,'#Data'!$B$2:$J$344,2,FALSE)&amp;".attack0"&amp;RIGHT(M$1,1)</f>
        <v>Sector07.clock_honor_knight_1.attack02</v>
      </c>
      <c r="N353" s="67"/>
      <c r="O353" s="137" t="str">
        <f>$B353&amp;"."&amp;VLOOKUP($C353,'#Data'!$B$2:$J$344,2,FALSE)&amp;".skill0"&amp;RIGHT(O$1,1)</f>
        <v>Sector07.clock_honor_knight_1.skill01</v>
      </c>
      <c r="P353" s="137"/>
      <c r="Q353" s="137"/>
      <c r="R353" s="68"/>
      <c r="S353" s="68" t="s">
        <v>1970</v>
      </c>
      <c r="T353" s="68"/>
      <c r="U353" s="68"/>
      <c r="V353" s="41" t="b">
        <v>0</v>
      </c>
      <c r="W353" s="41" t="str">
        <f>"Character/Prefabs/"&amp;VLOOKUP($C353,'#Data'!$B$3:$I$344,8,FALSE)</f>
        <v>Character/Prefabs/m_l_attacker_clock_honor_knight_1</v>
      </c>
      <c r="X353" s="41"/>
      <c r="Y353" s="41" t="str">
        <f>VLOOKUP($C353,'#Data'!$B$3:$I$344,8,FALSE)</f>
        <v>m_l_attacker_clock_honor_knight_1</v>
      </c>
      <c r="Z353" s="41"/>
      <c r="AA353" s="41"/>
      <c r="AB353" s="41"/>
      <c r="AC353" s="90">
        <v>0.9</v>
      </c>
      <c r="AD353" s="41"/>
      <c r="AE353" s="41"/>
      <c r="AF353" s="41"/>
      <c r="AG353" s="41" t="s">
        <v>2093</v>
      </c>
      <c r="AH353" s="85"/>
    </row>
    <row r="354" spans="1:34" x14ac:dyDescent="0.3">
      <c r="A354" s="19">
        <f t="shared" si="8"/>
        <v>1210207110</v>
      </c>
      <c r="B354" s="19" t="s">
        <v>190</v>
      </c>
      <c r="C354" s="19" t="s">
        <v>1418</v>
      </c>
      <c r="D354" s="19" t="str">
        <f>"Monster.Name."&amp;VLOOKUP($C354,'#Data'!$B$2:$J$344,2,FALSE)</f>
        <v>Monster.Name.clock_clawdog_2</v>
      </c>
      <c r="E354" s="19" t="s">
        <v>43</v>
      </c>
      <c r="F354" s="48" t="s">
        <v>44</v>
      </c>
      <c r="G354" s="19" t="s">
        <v>45</v>
      </c>
      <c r="H354" s="41" t="b">
        <f>IF(OR(VLOOKUP($C354,'#Data'!$B$2:$J$344,4,FALSE)="보스",VLOOKUP($C354,'#Data'!$B$2:$J$344,4,FALSE)="중간"),TRUE,FALSE)</f>
        <v>0</v>
      </c>
      <c r="I354" s="41" t="b">
        <v>0</v>
      </c>
      <c r="J354" s="19">
        <v>10</v>
      </c>
      <c r="K354" s="19">
        <f t="shared" si="9"/>
        <v>10</v>
      </c>
      <c r="L354" s="69" t="s">
        <v>1434</v>
      </c>
      <c r="M354" s="69"/>
      <c r="N354" s="69"/>
      <c r="O354" s="138" t="s">
        <v>2050</v>
      </c>
      <c r="P354" s="138"/>
      <c r="Q354" s="138"/>
      <c r="R354" s="70"/>
      <c r="S354" s="70"/>
      <c r="T354" s="70"/>
      <c r="U354" s="70"/>
      <c r="V354" s="19" t="b">
        <v>0</v>
      </c>
      <c r="W354" s="19" t="str">
        <f>"Character/Prefabs/"&amp;VLOOKUP($C354,'#Data'!$B$3:$I$344,8,FALSE)</f>
        <v>Character/Prefabs/m_s_attacker_clock_clawdog_2</v>
      </c>
      <c r="X354" s="19"/>
      <c r="Y354" s="19" t="str">
        <f>VLOOKUP($C354,'#Data'!$B$3:$I$344,8,FALSE)</f>
        <v>m_s_attacker_clock_clawdog_2</v>
      </c>
      <c r="Z354" s="19"/>
      <c r="AA354" s="19"/>
      <c r="AB354" s="19"/>
      <c r="AC354" s="91">
        <v>0.9</v>
      </c>
      <c r="AD354" s="19"/>
      <c r="AE354" s="19"/>
      <c r="AF354" s="19"/>
      <c r="AG354" s="19" t="s">
        <v>2093</v>
      </c>
      <c r="AH354" s="85"/>
    </row>
    <row r="355" spans="1:34" x14ac:dyDescent="0.3">
      <c r="A355" s="19">
        <f t="shared" si="8"/>
        <v>1210207111</v>
      </c>
      <c r="B355" s="19" t="s">
        <v>190</v>
      </c>
      <c r="C355" s="19" t="s">
        <v>1419</v>
      </c>
      <c r="D355" s="19" t="str">
        <f>"Monster.Name."&amp;VLOOKUP($C355,'#Data'!$B$2:$J$344,2,FALSE)</f>
        <v>Monster.Name.clock_flamedog_2</v>
      </c>
      <c r="E355" s="19" t="s">
        <v>47</v>
      </c>
      <c r="F355" s="48" t="s">
        <v>44</v>
      </c>
      <c r="G355" s="19" t="s">
        <v>45</v>
      </c>
      <c r="H355" s="41" t="b">
        <f>IF(OR(VLOOKUP($C355,'#Data'!$B$2:$J$344,4,FALSE)="보스",VLOOKUP($C355,'#Data'!$B$2:$J$344,4,FALSE)="중간"),TRUE,FALSE)</f>
        <v>0</v>
      </c>
      <c r="I355" s="41" t="b">
        <v>0</v>
      </c>
      <c r="J355" s="19">
        <v>10</v>
      </c>
      <c r="K355" s="19">
        <f t="shared" si="9"/>
        <v>10</v>
      </c>
      <c r="L355" s="69" t="s">
        <v>1435</v>
      </c>
      <c r="M355" s="69"/>
      <c r="N355" s="69"/>
      <c r="O355" s="138" t="s">
        <v>2051</v>
      </c>
      <c r="P355" s="138"/>
      <c r="Q355" s="138"/>
      <c r="R355" s="70"/>
      <c r="S355" s="70"/>
      <c r="T355" s="70"/>
      <c r="U355" s="70"/>
      <c r="V355" s="19" t="b">
        <v>0</v>
      </c>
      <c r="W355" s="19" t="str">
        <f>"Character/Prefabs/"&amp;VLOOKUP($C355,'#Data'!$B$3:$I$344,8,FALSE)</f>
        <v>Character/Prefabs/m_s_ranger_clock_flamedog_2</v>
      </c>
      <c r="X355" s="19"/>
      <c r="Y355" s="19" t="str">
        <f>VLOOKUP($C355,'#Data'!$B$3:$I$344,8,FALSE)</f>
        <v>m_s_ranger_clock_flamedog_2</v>
      </c>
      <c r="Z355" s="19"/>
      <c r="AA355" s="19"/>
      <c r="AB355" s="19"/>
      <c r="AC355" s="91">
        <v>0.9</v>
      </c>
      <c r="AD355" s="19"/>
      <c r="AE355" s="19"/>
      <c r="AF355" s="19"/>
      <c r="AG355" s="19" t="s">
        <v>2093</v>
      </c>
      <c r="AH355" s="85"/>
    </row>
    <row r="356" spans="1:34" x14ac:dyDescent="0.3">
      <c r="A356" s="19">
        <f t="shared" si="8"/>
        <v>1210207112</v>
      </c>
      <c r="B356" s="19" t="s">
        <v>190</v>
      </c>
      <c r="C356" s="19" t="s">
        <v>1420</v>
      </c>
      <c r="D356" s="19" t="str">
        <f>"Monster.Name."&amp;VLOOKUP($C356,'#Data'!$B$2:$J$344,2,FALSE)</f>
        <v>Monster.Name.clock_spear_2</v>
      </c>
      <c r="E356" s="19" t="s">
        <v>43</v>
      </c>
      <c r="F356" s="48" t="s">
        <v>44</v>
      </c>
      <c r="G356" s="19" t="s">
        <v>45</v>
      </c>
      <c r="H356" s="41" t="b">
        <f>IF(OR(VLOOKUP($C356,'#Data'!$B$2:$J$344,4,FALSE)="보스",VLOOKUP($C356,'#Data'!$B$2:$J$344,4,FALSE)="중간"),TRUE,FALSE)</f>
        <v>0</v>
      </c>
      <c r="I356" s="41" t="b">
        <v>0</v>
      </c>
      <c r="J356" s="19">
        <v>10</v>
      </c>
      <c r="K356" s="19">
        <f t="shared" si="9"/>
        <v>10</v>
      </c>
      <c r="L356" s="69" t="s">
        <v>1436</v>
      </c>
      <c r="M356" s="69"/>
      <c r="N356" s="69"/>
      <c r="O356" s="138" t="s">
        <v>1441</v>
      </c>
      <c r="P356" s="138" t="s">
        <v>2052</v>
      </c>
      <c r="Q356" s="138"/>
      <c r="R356" s="70"/>
      <c r="S356" s="70"/>
      <c r="T356" s="70"/>
      <c r="U356" s="70"/>
      <c r="V356" s="19" t="b">
        <v>0</v>
      </c>
      <c r="W356" s="19" t="str">
        <f>"Character/Prefabs/"&amp;VLOOKUP($C356,'#Data'!$B$3:$I$344,8,FALSE)</f>
        <v>Character/Prefabs/m_m_attacker_clock_spear_2</v>
      </c>
      <c r="X356" s="19"/>
      <c r="Y356" s="19" t="str">
        <f>VLOOKUP($C356,'#Data'!$B$3:$I$344,8,FALSE)</f>
        <v>m_m_attacker_clock_spear_2</v>
      </c>
      <c r="Z356" s="19"/>
      <c r="AA356" s="19"/>
      <c r="AB356" s="19"/>
      <c r="AC356" s="91">
        <v>0.9</v>
      </c>
      <c r="AD356" s="19"/>
      <c r="AE356" s="19"/>
      <c r="AF356" s="19"/>
      <c r="AG356" s="19" t="s">
        <v>2093</v>
      </c>
      <c r="AH356" s="85"/>
    </row>
    <row r="357" spans="1:34" x14ac:dyDescent="0.3">
      <c r="A357" s="19">
        <f t="shared" si="8"/>
        <v>1210207113</v>
      </c>
      <c r="B357" s="19" t="s">
        <v>190</v>
      </c>
      <c r="C357" s="19" t="s">
        <v>1421</v>
      </c>
      <c r="D357" s="19" t="str">
        <f>"Monster.Name."&amp;VLOOKUP($C357,'#Data'!$B$2:$J$344,2,FALSE)</f>
        <v>Monster.Name.clock_squire_2</v>
      </c>
      <c r="E357" s="19" t="s">
        <v>47</v>
      </c>
      <c r="F357" s="48" t="s">
        <v>44</v>
      </c>
      <c r="G357" s="19" t="s">
        <v>45</v>
      </c>
      <c r="H357" s="41" t="b">
        <f>IF(OR(VLOOKUP($C357,'#Data'!$B$2:$J$344,4,FALSE)="보스",VLOOKUP($C357,'#Data'!$B$2:$J$344,4,FALSE)="중간"),TRUE,FALSE)</f>
        <v>0</v>
      </c>
      <c r="I357" s="41" t="b">
        <v>0</v>
      </c>
      <c r="J357" s="19">
        <v>10</v>
      </c>
      <c r="K357" s="19">
        <f t="shared" si="9"/>
        <v>10</v>
      </c>
      <c r="L357" s="69" t="s">
        <v>1437</v>
      </c>
      <c r="M357" s="69"/>
      <c r="N357" s="69"/>
      <c r="O357" s="138" t="s">
        <v>1442</v>
      </c>
      <c r="P357" s="138" t="s">
        <v>2053</v>
      </c>
      <c r="Q357" s="138"/>
      <c r="R357" s="70"/>
      <c r="S357" s="70"/>
      <c r="T357" s="70"/>
      <c r="U357" s="70"/>
      <c r="V357" s="19" t="b">
        <v>0</v>
      </c>
      <c r="W357" s="19" t="str">
        <f>"Character/Prefabs/"&amp;VLOOKUP($C357,'#Data'!$B$3:$I$344,8,FALSE)</f>
        <v>Character/Prefabs/m_m_ranger_clock_squire_2</v>
      </c>
      <c r="X357" s="19"/>
      <c r="Y357" s="19" t="str">
        <f>VLOOKUP($C357,'#Data'!$B$3:$I$344,8,FALSE)</f>
        <v>m_m_ranger_clock_squire_2</v>
      </c>
      <c r="Z357" s="19"/>
      <c r="AA357" s="19"/>
      <c r="AB357" s="19"/>
      <c r="AC357" s="91">
        <v>0.9</v>
      </c>
      <c r="AD357" s="19"/>
      <c r="AE357" s="19"/>
      <c r="AF357" s="19"/>
      <c r="AG357" s="19" t="s">
        <v>2093</v>
      </c>
      <c r="AH357" s="85"/>
    </row>
    <row r="358" spans="1:34" x14ac:dyDescent="0.3">
      <c r="A358" s="19">
        <f t="shared" si="8"/>
        <v>1210207114</v>
      </c>
      <c r="B358" s="19" t="s">
        <v>190</v>
      </c>
      <c r="C358" s="19" t="s">
        <v>1422</v>
      </c>
      <c r="D358" s="19" t="str">
        <f>"Monster.Name."&amp;VLOOKUP($C358,'#Data'!$B$2:$J$344,2,FALSE)</f>
        <v>Monster.Name.clock_crossbow_2</v>
      </c>
      <c r="E358" s="19" t="s">
        <v>47</v>
      </c>
      <c r="F358" s="48" t="s">
        <v>44</v>
      </c>
      <c r="G358" s="19" t="s">
        <v>45</v>
      </c>
      <c r="H358" s="41" t="b">
        <f>IF(OR(VLOOKUP($C358,'#Data'!$B$2:$J$344,4,FALSE)="보스",VLOOKUP($C358,'#Data'!$B$2:$J$344,4,FALSE)="중간"),TRUE,FALSE)</f>
        <v>0</v>
      </c>
      <c r="I358" s="41" t="b">
        <v>0</v>
      </c>
      <c r="J358" s="19">
        <v>10</v>
      </c>
      <c r="K358" s="19">
        <f t="shared" si="9"/>
        <v>10</v>
      </c>
      <c r="L358" s="69" t="s">
        <v>1438</v>
      </c>
      <c r="M358" s="69"/>
      <c r="N358" s="69"/>
      <c r="O358" s="138" t="s">
        <v>1443</v>
      </c>
      <c r="P358" s="138" t="s">
        <v>2054</v>
      </c>
      <c r="Q358" s="138"/>
      <c r="R358" s="70"/>
      <c r="S358" s="70"/>
      <c r="T358" s="70"/>
      <c r="U358" s="70"/>
      <c r="V358" s="19" t="b">
        <v>0</v>
      </c>
      <c r="W358" s="19" t="str">
        <f>"Character/Prefabs/"&amp;VLOOKUP($C358,'#Data'!$B$3:$I$344,8,FALSE)</f>
        <v>Character/Prefabs/m_m_ranger_clock_crossbow_2</v>
      </c>
      <c r="X358" s="19"/>
      <c r="Y358" s="19" t="str">
        <f>VLOOKUP($C358,'#Data'!$B$3:$I$344,8,FALSE)</f>
        <v>m_m_ranger_clock_crossbow_2</v>
      </c>
      <c r="Z358" s="19"/>
      <c r="AA358" s="19"/>
      <c r="AB358" s="19"/>
      <c r="AC358" s="91">
        <v>0.9</v>
      </c>
      <c r="AD358" s="19"/>
      <c r="AE358" s="19"/>
      <c r="AF358" s="19"/>
      <c r="AG358" s="19" t="s">
        <v>2093</v>
      </c>
      <c r="AH358" s="85"/>
    </row>
    <row r="359" spans="1:34" x14ac:dyDescent="0.3">
      <c r="A359" s="19">
        <f t="shared" ref="A359:A390" si="10">A164+100000000</f>
        <v>1210207115</v>
      </c>
      <c r="B359" s="19" t="s">
        <v>190</v>
      </c>
      <c r="C359" s="19" t="s">
        <v>1423</v>
      </c>
      <c r="D359" s="19" t="str">
        <f>"Monster.Name."&amp;VLOOKUP($C359,'#Data'!$B$2:$J$344,2,FALSE)</f>
        <v>Monster.Name.clock_shield_2</v>
      </c>
      <c r="E359" s="19" t="s">
        <v>43</v>
      </c>
      <c r="F359" s="48" t="s">
        <v>44</v>
      </c>
      <c r="G359" s="19" t="s">
        <v>45</v>
      </c>
      <c r="H359" s="41" t="b">
        <f>IF(OR(VLOOKUP($C359,'#Data'!$B$2:$J$344,4,FALSE)="보스",VLOOKUP($C359,'#Data'!$B$2:$J$344,4,FALSE)="중간"),TRUE,FALSE)</f>
        <v>0</v>
      </c>
      <c r="I359" s="41" t="b">
        <v>0</v>
      </c>
      <c r="J359" s="19">
        <v>10</v>
      </c>
      <c r="K359" s="19">
        <f t="shared" ref="K359:K390" si="11">K164</f>
        <v>10</v>
      </c>
      <c r="L359" s="69" t="s">
        <v>1439</v>
      </c>
      <c r="M359" s="69"/>
      <c r="N359" s="69"/>
      <c r="O359" s="138" t="s">
        <v>1444</v>
      </c>
      <c r="P359" s="138" t="s">
        <v>2055</v>
      </c>
      <c r="Q359" s="138"/>
      <c r="R359" s="70"/>
      <c r="S359" s="70"/>
      <c r="T359" s="70"/>
      <c r="U359" s="70"/>
      <c r="V359" s="19" t="b">
        <v>0</v>
      </c>
      <c r="W359" s="19" t="str">
        <f>"Character/Prefabs/"&amp;VLOOKUP($C359,'#Data'!$B$3:$I$344,8,FALSE)</f>
        <v>Character/Prefabs/m_m_attacker_clock_shield_2</v>
      </c>
      <c r="X359" s="19"/>
      <c r="Y359" s="19" t="str">
        <f>VLOOKUP($C359,'#Data'!$B$3:$I$344,8,FALSE)</f>
        <v>m_m_attacker_clock_shield_2</v>
      </c>
      <c r="Z359" s="19"/>
      <c r="AA359" s="19"/>
      <c r="AB359" s="19"/>
      <c r="AC359" s="91">
        <v>0.9</v>
      </c>
      <c r="AD359" s="19"/>
      <c r="AE359" s="19"/>
      <c r="AF359" s="19"/>
      <c r="AG359" s="19" t="s">
        <v>2093</v>
      </c>
      <c r="AH359" s="85"/>
    </row>
    <row r="360" spans="1:34" x14ac:dyDescent="0.3">
      <c r="A360" s="19">
        <f t="shared" si="10"/>
        <v>1210207116</v>
      </c>
      <c r="B360" s="19" t="s">
        <v>190</v>
      </c>
      <c r="C360" s="19" t="s">
        <v>1424</v>
      </c>
      <c r="D360" s="19" t="str">
        <f>"Monster.Name."&amp;VLOOKUP($C360,'#Data'!$B$2:$J$344,2,FALSE)</f>
        <v>Monster.Name.clock_clown_2</v>
      </c>
      <c r="E360" s="19" t="s">
        <v>47</v>
      </c>
      <c r="F360" s="48" t="s">
        <v>44</v>
      </c>
      <c r="G360" s="19" t="s">
        <v>45</v>
      </c>
      <c r="H360" s="41" t="b">
        <f>IF(OR(VLOOKUP($C360,'#Data'!$B$2:$J$344,4,FALSE)="보스",VLOOKUP($C360,'#Data'!$B$2:$J$344,4,FALSE)="중간"),TRUE,FALSE)</f>
        <v>0</v>
      </c>
      <c r="I360" s="41" t="b">
        <v>0</v>
      </c>
      <c r="J360" s="19">
        <v>10</v>
      </c>
      <c r="K360" s="19">
        <f t="shared" si="11"/>
        <v>10</v>
      </c>
      <c r="L360" s="69" t="s">
        <v>1440</v>
      </c>
      <c r="M360" s="69"/>
      <c r="N360" s="69"/>
      <c r="O360" s="138" t="s">
        <v>1445</v>
      </c>
      <c r="P360" s="138" t="s">
        <v>2056</v>
      </c>
      <c r="Q360" s="138"/>
      <c r="R360" s="70"/>
      <c r="S360" s="70"/>
      <c r="T360" s="70"/>
      <c r="U360" s="70"/>
      <c r="V360" s="19" t="b">
        <v>0</v>
      </c>
      <c r="W360" s="19" t="str">
        <f>"Character/Prefabs/"&amp;VLOOKUP($C360,'#Data'!$B$3:$I$344,8,FALSE)</f>
        <v>Character/Prefabs/m_m_ranger_clock_clown_2</v>
      </c>
      <c r="X360" s="19"/>
      <c r="Y360" s="19" t="str">
        <f>VLOOKUP($C360,'#Data'!$B$3:$I$344,8,FALSE)</f>
        <v>m_m_ranger_clock_clown_2</v>
      </c>
      <c r="Z360" s="19"/>
      <c r="AA360" s="19"/>
      <c r="AB360" s="19"/>
      <c r="AC360" s="91">
        <v>0.9</v>
      </c>
      <c r="AD360" s="19"/>
      <c r="AE360" s="19"/>
      <c r="AF360" s="19"/>
      <c r="AG360" s="19" t="s">
        <v>2093</v>
      </c>
      <c r="AH360" s="85"/>
    </row>
    <row r="361" spans="1:34" x14ac:dyDescent="0.3">
      <c r="A361" s="19">
        <f t="shared" si="10"/>
        <v>1210207117</v>
      </c>
      <c r="B361" s="19" t="s">
        <v>190</v>
      </c>
      <c r="C361" s="19" t="s">
        <v>1425</v>
      </c>
      <c r="D361" s="19" t="str">
        <f>"Monster.Name."&amp;VLOOKUP($C361,'#Data'!$B$2:$J$344,2,FALSE)</f>
        <v>Monster.Name.clock_draftee_2</v>
      </c>
      <c r="E361" s="19" t="s">
        <v>43</v>
      </c>
      <c r="F361" s="48" t="s">
        <v>44</v>
      </c>
      <c r="G361" s="19" t="s">
        <v>45</v>
      </c>
      <c r="H361" s="41" t="b">
        <f>IF(OR(VLOOKUP($C361,'#Data'!$B$2:$J$344,4,FALSE)="보스",VLOOKUP($C361,'#Data'!$B$2:$J$344,4,FALSE)="중간"),TRUE,FALSE)</f>
        <v>0</v>
      </c>
      <c r="I361" s="41" t="b">
        <v>0</v>
      </c>
      <c r="J361" s="19">
        <v>10</v>
      </c>
      <c r="K361" s="19">
        <f t="shared" si="11"/>
        <v>10</v>
      </c>
      <c r="L361" s="69"/>
      <c r="M361" s="69"/>
      <c r="N361" s="69"/>
      <c r="O361" s="138" t="s">
        <v>1446</v>
      </c>
      <c r="P361" s="138"/>
      <c r="Q361" s="138"/>
      <c r="R361" s="70"/>
      <c r="S361" s="70" t="s">
        <v>199</v>
      </c>
      <c r="T361" s="70"/>
      <c r="U361" s="70"/>
      <c r="V361" s="19" t="b">
        <v>0</v>
      </c>
      <c r="W361" s="19" t="str">
        <f>"Character/Prefabs/"&amp;VLOOKUP($C361,'#Data'!$B$3:$I$344,8,FALSE)</f>
        <v>Character/Prefabs/m_m_attacker_clock_draftee_2</v>
      </c>
      <c r="X361" s="19"/>
      <c r="Y361" s="19" t="str">
        <f>VLOOKUP($C361,'#Data'!$B$3:$I$344,8,FALSE)</f>
        <v>m_m_attacker_clock_draftee_2</v>
      </c>
      <c r="Z361" s="19"/>
      <c r="AA361" s="19"/>
      <c r="AB361" s="19"/>
      <c r="AC361" s="91">
        <v>0.9</v>
      </c>
      <c r="AD361" s="19"/>
      <c r="AE361" s="19"/>
      <c r="AF361" s="19"/>
      <c r="AG361" s="19" t="s">
        <v>2093</v>
      </c>
      <c r="AH361" s="85"/>
    </row>
    <row r="362" spans="1:34" x14ac:dyDescent="0.3">
      <c r="A362" s="19">
        <f t="shared" si="10"/>
        <v>1210207118</v>
      </c>
      <c r="B362" s="19" t="s">
        <v>190</v>
      </c>
      <c r="C362" s="19" t="s">
        <v>2065</v>
      </c>
      <c r="D362" s="19" t="str">
        <f>"Monster.Name."&amp;VLOOKUP($C362,'#Data'!$B$2:$J$344,2,FALSE)</f>
        <v>Monster.Name.clock_honor_knight_2</v>
      </c>
      <c r="E362" s="19" t="s">
        <v>43</v>
      </c>
      <c r="F362" s="48" t="s">
        <v>44</v>
      </c>
      <c r="G362" s="19" t="s">
        <v>45</v>
      </c>
      <c r="H362" s="41" t="b">
        <f>IF(OR(VLOOKUP($C362,'#Data'!$B$2:$J$344,4,FALSE)="보스",VLOOKUP($C362,'#Data'!$B$2:$J$344,4,FALSE)="중간"),TRUE,FALSE)</f>
        <v>0</v>
      </c>
      <c r="I362" s="41" t="b">
        <v>0</v>
      </c>
      <c r="J362" s="19">
        <v>10</v>
      </c>
      <c r="K362" s="19">
        <f t="shared" si="11"/>
        <v>10</v>
      </c>
      <c r="L362" s="69" t="str">
        <f>$B362&amp;"."&amp;VLOOKUP($C362,'#Data'!$B$2:$J$344,2,FALSE)&amp;".attack0"&amp;RIGHT(L$1,1)</f>
        <v>Sector07.clock_honor_knight_2.attack01</v>
      </c>
      <c r="M362" s="69" t="str">
        <f>$B362&amp;"."&amp;VLOOKUP($C362,'#Data'!$B$2:$J$344,2,FALSE)&amp;".attack0"&amp;RIGHT(M$1,1)</f>
        <v>Sector07.clock_honor_knight_2.attack02</v>
      </c>
      <c r="N362" s="69"/>
      <c r="O362" s="138" t="str">
        <f>$B362&amp;"."&amp;VLOOKUP($C362,'#Data'!$B$2:$J$344,2,FALSE)&amp;".skill0"&amp;RIGHT(O$1,1)</f>
        <v>Sector07.clock_honor_knight_2.skill01</v>
      </c>
      <c r="P362" s="138"/>
      <c r="Q362" s="138"/>
      <c r="R362" s="70"/>
      <c r="S362" s="70" t="s">
        <v>2069</v>
      </c>
      <c r="T362" s="70"/>
      <c r="U362" s="70"/>
      <c r="V362" s="19" t="b">
        <v>0</v>
      </c>
      <c r="W362" s="168" t="s">
        <v>2086</v>
      </c>
      <c r="X362" s="167"/>
      <c r="Y362" s="168" t="s">
        <v>2087</v>
      </c>
      <c r="Z362" s="19"/>
      <c r="AA362" s="19"/>
      <c r="AB362" s="19"/>
      <c r="AC362" s="91">
        <v>0.9</v>
      </c>
      <c r="AD362" s="19"/>
      <c r="AE362" s="19"/>
      <c r="AF362" s="19"/>
      <c r="AG362" s="19" t="s">
        <v>2093</v>
      </c>
      <c r="AH362" s="85"/>
    </row>
    <row r="363" spans="1:34" x14ac:dyDescent="0.3">
      <c r="A363" s="41">
        <f t="shared" si="10"/>
        <v>1210207201</v>
      </c>
      <c r="B363" s="41" t="s">
        <v>190</v>
      </c>
      <c r="C363" s="41" t="s">
        <v>201</v>
      </c>
      <c r="D363" s="41" t="str">
        <f>"Monster.Name."&amp;VLOOKUP($C363,'#Data'!$B$2:$J$344,2,FALSE)</f>
        <v>Monster.Name.clock_noble_knight_1</v>
      </c>
      <c r="E363" s="41" t="s">
        <v>43</v>
      </c>
      <c r="F363" s="42" t="s">
        <v>44</v>
      </c>
      <c r="G363" s="41" t="s">
        <v>45</v>
      </c>
      <c r="H363" s="41" t="b">
        <f>IF(OR(VLOOKUP($C363,'#Data'!$B$2:$J$344,4,FALSE)="보스",VLOOKUP($C363,'#Data'!$B$2:$J$344,4,FALSE)="중간"),TRUE,FALSE)</f>
        <v>1</v>
      </c>
      <c r="I363" s="41" t="b">
        <v>1</v>
      </c>
      <c r="J363" s="41">
        <v>10</v>
      </c>
      <c r="K363" s="41">
        <f t="shared" si="11"/>
        <v>10</v>
      </c>
      <c r="L363" s="67" t="str">
        <f>$B363&amp;"."&amp;VLOOKUP($C363,'#Data'!$B$2:$J$344,2,FALSE)&amp;".attack0"&amp;RIGHT(L$1,1)</f>
        <v>Sector07.clock_noble_knight_1.attack01</v>
      </c>
      <c r="M363" s="67" t="str">
        <f>$B363&amp;"."&amp;VLOOKUP($C363,'#Data'!$B$2:$J$344,2,FALSE)&amp;".attack0"&amp;RIGHT(M$1,1)</f>
        <v>Sector07.clock_noble_knight_1.attack02</v>
      </c>
      <c r="N363" s="67"/>
      <c r="O363" s="137" t="str">
        <f>$B363&amp;"."&amp;VLOOKUP($C363,'#Data'!$B$2:$J$344,2,FALSE)&amp;".skill0"&amp;RIGHT(O$1,1)</f>
        <v>Sector07.clock_noble_knight_1.skill01</v>
      </c>
      <c r="P363" s="137" t="str">
        <f>$B363&amp;"."&amp;VLOOKUP($C363,'#Data'!$B$2:$J$344,2,FALSE)&amp;".skill0"&amp;RIGHT(P$1,1)</f>
        <v>Sector07.clock_noble_knight_1.skill02</v>
      </c>
      <c r="Q363" s="137" t="str">
        <f>$B363&amp;"."&amp;VLOOKUP($C363,'#Data'!$B$2:$J$344,2,FALSE)&amp;".skill0"&amp;RIGHT(Q$1,1)</f>
        <v>Sector07.clock_noble_knight_1.skill03</v>
      </c>
      <c r="R363" s="68" t="s">
        <v>202</v>
      </c>
      <c r="S363" s="68" t="s">
        <v>2077</v>
      </c>
      <c r="T363" s="68"/>
      <c r="U363" s="68"/>
      <c r="V363" s="41" t="b">
        <v>0</v>
      </c>
      <c r="W363" s="41" t="str">
        <f>"Character/Prefabs/"&amp;VLOOKUP($C363,'#Data'!$B$3:$I$344,8,FALSE)</f>
        <v>Character/Prefabs/m_l_attacker_clock_noble_knight_1</v>
      </c>
      <c r="X363" s="41"/>
      <c r="Y363" s="41" t="str">
        <f>VLOOKUP($C363,'#Data'!$B$3:$I$344,8,FALSE)</f>
        <v>m_l_attacker_clock_noble_knight_1</v>
      </c>
      <c r="Z363" s="41"/>
      <c r="AA363" s="41"/>
      <c r="AB363" s="41"/>
      <c r="AC363" s="90">
        <v>0.9</v>
      </c>
      <c r="AD363" s="41"/>
      <c r="AE363" s="41"/>
      <c r="AF363" s="41"/>
      <c r="AG363" s="41" t="s">
        <v>2093</v>
      </c>
      <c r="AH363" s="85"/>
    </row>
    <row r="364" spans="1:34" x14ac:dyDescent="0.3">
      <c r="A364" s="41">
        <f t="shared" si="10"/>
        <v>1210207202</v>
      </c>
      <c r="B364" s="41" t="s">
        <v>190</v>
      </c>
      <c r="C364" s="41" t="s">
        <v>203</v>
      </c>
      <c r="D364" s="41" t="str">
        <f>"Monster.Name."&amp;VLOOKUP($C364,'#Data'!$B$2:$J$344,2,FALSE)</f>
        <v>Monster.Name.clock_noble_bishop_1</v>
      </c>
      <c r="E364" s="41" t="s">
        <v>47</v>
      </c>
      <c r="F364" s="42" t="s">
        <v>44</v>
      </c>
      <c r="G364" s="41" t="s">
        <v>45</v>
      </c>
      <c r="H364" s="41" t="b">
        <f>IF(OR(VLOOKUP($C364,'#Data'!$B$2:$J$344,4,FALSE)="보스",VLOOKUP($C364,'#Data'!$B$2:$J$344,4,FALSE)="중간"),TRUE,FALSE)</f>
        <v>1</v>
      </c>
      <c r="I364" s="41" t="b">
        <v>1</v>
      </c>
      <c r="J364" s="41">
        <v>10</v>
      </c>
      <c r="K364" s="41">
        <f t="shared" si="11"/>
        <v>10</v>
      </c>
      <c r="L364" s="67" t="str">
        <f>$B364&amp;"."&amp;VLOOKUP($C364,'#Data'!$B$2:$J$344,2,FALSE)&amp;".attack0"&amp;RIGHT(L$1,1)</f>
        <v>Sector07.clock_noble_bishop_1.attack01</v>
      </c>
      <c r="M364" s="67"/>
      <c r="N364" s="67"/>
      <c r="O364" s="137" t="str">
        <f>$B364&amp;"."&amp;VLOOKUP($C364,'#Data'!$B$2:$J$344,2,FALSE)&amp;".skill0"&amp;RIGHT(O$1,1)</f>
        <v>Sector07.clock_noble_bishop_1.skill01</v>
      </c>
      <c r="P364" s="137" t="str">
        <f>$B364&amp;"."&amp;VLOOKUP($C364,'#Data'!$B$2:$J$344,2,FALSE)&amp;".skill0"&amp;RIGHT(P$1,1)</f>
        <v>Sector07.clock_noble_bishop_1.skill02</v>
      </c>
      <c r="Q364" s="137" t="str">
        <f>$B364&amp;"."&amp;VLOOKUP($C364,'#Data'!$B$2:$J$344,2,FALSE)&amp;".skill0"&amp;RIGHT(Q$1,1)</f>
        <v>Sector07.clock_noble_bishop_1.skill03</v>
      </c>
      <c r="R364" s="68"/>
      <c r="S364" s="68" t="s">
        <v>2076</v>
      </c>
      <c r="T364" s="68"/>
      <c r="U364" s="68"/>
      <c r="V364" s="41" t="b">
        <v>0</v>
      </c>
      <c r="W364" s="41" t="str">
        <f>"Character/Prefabs/"&amp;VLOOKUP($C364,'#Data'!$B$3:$I$344,8,FALSE)</f>
        <v>Character/Prefabs/m_l_ranger_clock_noble_bishop_1</v>
      </c>
      <c r="X364" s="41"/>
      <c r="Y364" s="41" t="str">
        <f>VLOOKUP($C364,'#Data'!$B$3:$I$344,8,FALSE)</f>
        <v>m_l_ranger_clock_noble_bishop_1</v>
      </c>
      <c r="Z364" s="41"/>
      <c r="AA364" s="41"/>
      <c r="AB364" s="41"/>
      <c r="AC364" s="90">
        <v>0.9</v>
      </c>
      <c r="AD364" s="41"/>
      <c r="AE364" s="41"/>
      <c r="AF364" s="41"/>
      <c r="AG364" s="41" t="s">
        <v>2093</v>
      </c>
      <c r="AH364" s="85"/>
    </row>
    <row r="365" spans="1:34" x14ac:dyDescent="0.3">
      <c r="A365" s="41">
        <f t="shared" si="10"/>
        <v>1210207203</v>
      </c>
      <c r="B365" s="41" t="s">
        <v>190</v>
      </c>
      <c r="C365" s="41" t="s">
        <v>204</v>
      </c>
      <c r="D365" s="41" t="str">
        <f>"Monster.Name."&amp;VLOOKUP($C365,'#Data'!$B$2:$J$344,2,FALSE)</f>
        <v>Monster.Name.clock_noble_keeper_1</v>
      </c>
      <c r="E365" s="41" t="s">
        <v>43</v>
      </c>
      <c r="F365" s="42" t="s">
        <v>44</v>
      </c>
      <c r="G365" s="41" t="s">
        <v>45</v>
      </c>
      <c r="H365" s="41" t="b">
        <f>IF(OR(VLOOKUP($C365,'#Data'!$B$2:$J$344,4,FALSE)="보스",VLOOKUP($C365,'#Data'!$B$2:$J$344,4,FALSE)="중간"),TRUE,FALSE)</f>
        <v>1</v>
      </c>
      <c r="I365" s="41" t="b">
        <v>1</v>
      </c>
      <c r="J365" s="41">
        <v>10</v>
      </c>
      <c r="K365" s="41">
        <f t="shared" si="11"/>
        <v>10</v>
      </c>
      <c r="L365" s="67" t="str">
        <f>$B365&amp;"."&amp;VLOOKUP($C365,'#Data'!$B$2:$J$344,2,FALSE)&amp;".attack0"&amp;RIGHT(L$1,1)</f>
        <v>Sector07.clock_noble_keeper_1.attack01</v>
      </c>
      <c r="M365" s="67"/>
      <c r="N365" s="67"/>
      <c r="O365" s="137" t="str">
        <f>$B365&amp;"."&amp;VLOOKUP($C365,'#Data'!$B$2:$J$344,2,FALSE)&amp;".skill0"&amp;RIGHT(O$1,1)</f>
        <v>Sector07.clock_noble_keeper_1.skill01</v>
      </c>
      <c r="P365" s="137" t="str">
        <f>$B365&amp;"."&amp;VLOOKUP($C365,'#Data'!$B$2:$J$344,2,FALSE)&amp;".skill0"&amp;RIGHT(P$1,1)</f>
        <v>Sector07.clock_noble_keeper_1.skill02</v>
      </c>
      <c r="Q365" s="137" t="str">
        <f>$B365&amp;"."&amp;VLOOKUP($C365,'#Data'!$B$2:$J$344,2,FALSE)&amp;".skill0"&amp;RIGHT(Q$1,1)</f>
        <v>Sector07.clock_noble_keeper_1.skill03</v>
      </c>
      <c r="R365" s="68"/>
      <c r="S365" s="68" t="s">
        <v>2076</v>
      </c>
      <c r="T365" s="68"/>
      <c r="U365" s="68"/>
      <c r="V365" s="41" t="b">
        <v>0</v>
      </c>
      <c r="W365" s="41" t="str">
        <f>"Character/Prefabs/"&amp;VLOOKUP($C365,'#Data'!$B$3:$I$344,8,FALSE)</f>
        <v>Character/Prefabs/m_l_attacker_clock_noble_keeper_1</v>
      </c>
      <c r="X365" s="41"/>
      <c r="Y365" s="41" t="str">
        <f>VLOOKUP($C365,'#Data'!$B$3:$I$344,8,FALSE)</f>
        <v>m_l_attacker_clock_noble_keeper_1</v>
      </c>
      <c r="Z365" s="41"/>
      <c r="AA365" s="41"/>
      <c r="AB365" s="41"/>
      <c r="AC365" s="90">
        <v>0.9</v>
      </c>
      <c r="AD365" s="41"/>
      <c r="AE365" s="41"/>
      <c r="AF365" s="41"/>
      <c r="AG365" s="41" t="s">
        <v>2093</v>
      </c>
      <c r="AH365" s="85"/>
    </row>
    <row r="366" spans="1:34" x14ac:dyDescent="0.3">
      <c r="A366" s="23">
        <f t="shared" si="10"/>
        <v>1210207301</v>
      </c>
      <c r="B366" s="23" t="s">
        <v>190</v>
      </c>
      <c r="C366" s="23" t="s">
        <v>205</v>
      </c>
      <c r="D366" s="23" t="str">
        <f>"Monster.Name."&amp;VLOOKUP($C366,'#Data'!$B$2:$J$344,2,FALSE)</f>
        <v>Monster.Name.clock_royal_queen_1</v>
      </c>
      <c r="E366" s="23" t="s">
        <v>1833</v>
      </c>
      <c r="F366" s="24" t="s">
        <v>44</v>
      </c>
      <c r="G366" s="23" t="s">
        <v>45</v>
      </c>
      <c r="H366" s="23" t="b">
        <f>IF(OR(VLOOKUP($C366,'#Data'!$B$2:$J$344,4,FALSE)="보스",VLOOKUP($C366,'#Data'!$B$2:$J$344,4,FALSE)="중간"),TRUE,FALSE)</f>
        <v>1</v>
      </c>
      <c r="I366" s="23" t="b">
        <v>1</v>
      </c>
      <c r="J366" s="23">
        <v>20</v>
      </c>
      <c r="K366" s="23">
        <f t="shared" si="11"/>
        <v>10</v>
      </c>
      <c r="L366" s="115" t="str">
        <f>$B366&amp;"."&amp;VLOOKUP($C366,'#Data'!$B$2:$J$344,2,FALSE)&amp;".attack0"&amp;RIGHT(L$1,1)</f>
        <v>Sector07.clock_royal_queen_1.attack01</v>
      </c>
      <c r="M366" s="115" t="str">
        <f>$B366&amp;"."&amp;VLOOKUP($C366,'#Data'!$B$2:$J$344,2,FALSE)&amp;".attack0"&amp;RIGHT(M$1,1)</f>
        <v>Sector07.clock_royal_queen_1.attack02</v>
      </c>
      <c r="N366" s="115"/>
      <c r="O366" s="139" t="str">
        <f>$B366&amp;"."&amp;VLOOKUP($C366,'#Data'!$B$2:$J$344,2,FALSE)&amp;".skill0"&amp;RIGHT(O$1,1)</f>
        <v>Sector07.clock_royal_queen_1.skill01</v>
      </c>
      <c r="P366" s="139" t="str">
        <f>$B366&amp;"."&amp;VLOOKUP($C366,'#Data'!$B$2:$J$344,2,FALSE)&amp;".skill0"&amp;RIGHT(P$1,1)</f>
        <v>Sector07.clock_royal_queen_1.skill02</v>
      </c>
      <c r="Q366" s="139" t="str">
        <f>$B366&amp;"."&amp;VLOOKUP($C366,'#Data'!$B$2:$J$344,2,FALSE)&amp;".skill0"&amp;RIGHT(Q$1,1)</f>
        <v>Sector07.clock_royal_queen_1.skill03</v>
      </c>
      <c r="R366" s="116" t="s">
        <v>206</v>
      </c>
      <c r="S366" s="116" t="s">
        <v>76</v>
      </c>
      <c r="T366" s="116"/>
      <c r="U366" s="116"/>
      <c r="V366" s="23" t="b">
        <v>0</v>
      </c>
      <c r="W366" s="23" t="str">
        <f>"Character/Prefabs/"&amp;VLOOKUP($C366,'#Data'!$B$3:$I$344,8,FALSE)</f>
        <v>Character/Prefabs/m_boss_attacker_clock_royal_queen_1</v>
      </c>
      <c r="X366" s="23"/>
      <c r="Y366" s="23" t="str">
        <f>VLOOKUP($C366,'#Data'!$B$3:$I$344,8,FALSE)</f>
        <v>m_boss_attacker_clock_royal_queen_1</v>
      </c>
      <c r="Z366" s="23"/>
      <c r="AA366" s="23"/>
      <c r="AB366" s="23"/>
      <c r="AC366" s="98">
        <v>0.9</v>
      </c>
      <c r="AD366" s="23"/>
      <c r="AE366" s="23" t="s">
        <v>207</v>
      </c>
      <c r="AF366" s="23" t="s">
        <v>208</v>
      </c>
      <c r="AG366" s="23" t="s">
        <v>2093</v>
      </c>
      <c r="AH366" s="85"/>
    </row>
    <row r="367" spans="1:34" x14ac:dyDescent="0.3">
      <c r="A367" s="23">
        <f t="shared" si="10"/>
        <v>1210207302</v>
      </c>
      <c r="B367" s="23" t="s">
        <v>190</v>
      </c>
      <c r="C367" s="23" t="s">
        <v>209</v>
      </c>
      <c r="D367" s="23" t="str">
        <f>"Monster.Name."&amp;VLOOKUP($C367,'#Data'!$B$2:$J$344,2,FALSE)</f>
        <v>Monster.Name.clock_royal_queen_2</v>
      </c>
      <c r="E367" s="23" t="s">
        <v>1833</v>
      </c>
      <c r="F367" s="24" t="s">
        <v>44</v>
      </c>
      <c r="G367" s="23" t="s">
        <v>45</v>
      </c>
      <c r="H367" s="23" t="b">
        <f>IF(OR(VLOOKUP($C367,'#Data'!$B$2:$J$344,4,FALSE)="보스",VLOOKUP($C367,'#Data'!$B$2:$J$344,4,FALSE)="중간"),TRUE,FALSE)</f>
        <v>1</v>
      </c>
      <c r="I367" s="23" t="b">
        <v>1</v>
      </c>
      <c r="J367" s="23">
        <v>20</v>
      </c>
      <c r="K367" s="23">
        <f t="shared" si="11"/>
        <v>10</v>
      </c>
      <c r="L367" s="115" t="str">
        <f>$B367&amp;"."&amp;VLOOKUP($C367,'#Data'!$B$2:$J$344,2,FALSE)&amp;".attack0"&amp;RIGHT(L$1,1)</f>
        <v>Sector07.clock_royal_queen_2.attack01</v>
      </c>
      <c r="M367" s="115" t="str">
        <f>$B367&amp;"."&amp;VLOOKUP($C367,'#Data'!$B$2:$J$344,2,FALSE)&amp;".attack0"&amp;RIGHT(M$1,1)</f>
        <v>Sector07.clock_royal_queen_2.attack02</v>
      </c>
      <c r="N367" s="115"/>
      <c r="O367" s="139" t="str">
        <f>$B367&amp;"."&amp;VLOOKUP($C367,'#Data'!$B$2:$J$344,2,FALSE)&amp;".skill0"&amp;RIGHT(O$1,1)</f>
        <v>Sector07.clock_royal_queen_2.skill01</v>
      </c>
      <c r="P367" s="139" t="str">
        <f>$B367&amp;"."&amp;VLOOKUP($C367,'#Data'!$B$2:$J$344,2,FALSE)&amp;".skill0"&amp;RIGHT(P$1,1)</f>
        <v>Sector07.clock_royal_queen_2.skill02</v>
      </c>
      <c r="Q367" s="139" t="str">
        <f>$B367&amp;"."&amp;VLOOKUP($C367,'#Data'!$B$2:$J$344,2,FALSE)&amp;".skill0"&amp;RIGHT(Q$1,1)</f>
        <v>Sector07.clock_royal_queen_2.skill03</v>
      </c>
      <c r="R367" s="116" t="s">
        <v>206</v>
      </c>
      <c r="S367" s="116" t="s">
        <v>76</v>
      </c>
      <c r="T367" s="116"/>
      <c r="U367" s="116"/>
      <c r="V367" s="23" t="b">
        <v>0</v>
      </c>
      <c r="W367" s="166" t="str">
        <f>"Character/Prefabs/"&amp;VLOOKUP($C367,'#Data'!$B$3:$I$344,8,FALSE)</f>
        <v>Character/Prefabs/m_boss_attacker_clock_royal_queen_2</v>
      </c>
      <c r="X367" s="166"/>
      <c r="Y367" s="166" t="str">
        <f>VLOOKUP($C367,'#Data'!$B$3:$I$344,8,FALSE)</f>
        <v>m_boss_attacker_clock_royal_queen_2</v>
      </c>
      <c r="Z367" s="23"/>
      <c r="AA367" s="23"/>
      <c r="AB367" s="23"/>
      <c r="AC367" s="98">
        <v>1.1000000000000001</v>
      </c>
      <c r="AD367" s="23"/>
      <c r="AE367" s="23" t="s">
        <v>2083</v>
      </c>
      <c r="AF367" s="23" t="s">
        <v>2101</v>
      </c>
      <c r="AG367" s="23" t="s">
        <v>2093</v>
      </c>
      <c r="AH367" s="85"/>
    </row>
    <row r="368" spans="1:34" x14ac:dyDescent="0.3">
      <c r="A368" s="13">
        <f t="shared" si="10"/>
        <v>1210208101</v>
      </c>
      <c r="B368" s="13" t="s">
        <v>210</v>
      </c>
      <c r="C368" s="13" t="s">
        <v>211</v>
      </c>
      <c r="D368" s="13" t="str">
        <f>"Monster.Name."&amp;VLOOKUP($C368,'#Data'!$B$2:$J$344,2,FALSE)</f>
        <v>Monster.Name.plants_sticky_1</v>
      </c>
      <c r="E368" s="13" t="s">
        <v>43</v>
      </c>
      <c r="F368" s="44" t="s">
        <v>44</v>
      </c>
      <c r="G368" s="13" t="s">
        <v>45</v>
      </c>
      <c r="H368" s="13" t="b">
        <f>IF(OR(VLOOKUP($C368,'#Data'!$B$2:$J$344,4,FALSE)="보스",VLOOKUP($C368,'#Data'!$B$2:$J$344,4,FALSE)="중간"),TRUE,FALSE)</f>
        <v>0</v>
      </c>
      <c r="I368" s="13" t="b">
        <v>0</v>
      </c>
      <c r="J368" s="13">
        <v>10</v>
      </c>
      <c r="K368" s="13">
        <f t="shared" si="11"/>
        <v>10</v>
      </c>
      <c r="L368" s="71" t="str">
        <f>$B368&amp;"."&amp;VLOOKUP($C368,'#Data'!$B$2:$J$344,2,FALSE)&amp;".attack0"&amp;RIGHT(L$1,1)</f>
        <v>Sector08.plants_sticky_1.attack01</v>
      </c>
      <c r="M368" s="71"/>
      <c r="N368" s="71"/>
      <c r="O368" s="140" t="s">
        <v>2057</v>
      </c>
      <c r="P368" s="140" t="s">
        <v>1959</v>
      </c>
      <c r="Q368" s="140"/>
      <c r="R368" s="72"/>
      <c r="S368" s="72"/>
      <c r="T368" s="72"/>
      <c r="U368" s="72"/>
      <c r="V368" s="13" t="b">
        <v>0</v>
      </c>
      <c r="W368" s="13" t="str">
        <f>"Character/Prefabs/"&amp;VLOOKUP($C368,'#Data'!$B$3:$I$344,8,FALSE)</f>
        <v>Character/Prefabs/m_s_attacker_plants_sticky_1</v>
      </c>
      <c r="X368" s="13"/>
      <c r="Y368" s="13" t="str">
        <f>VLOOKUP($C368,'#Data'!$B$3:$I$344,8,FALSE)</f>
        <v>m_s_attacker_plants_sticky_1</v>
      </c>
      <c r="Z368" s="13"/>
      <c r="AA368" s="13"/>
      <c r="AB368" s="13"/>
      <c r="AC368" s="92">
        <v>0.9</v>
      </c>
      <c r="AD368" s="13"/>
      <c r="AE368" s="13"/>
      <c r="AF368" s="13"/>
      <c r="AG368" s="13" t="s">
        <v>2093</v>
      </c>
      <c r="AH368" s="85"/>
    </row>
    <row r="369" spans="1:34" x14ac:dyDescent="0.3">
      <c r="A369" s="13">
        <f t="shared" si="10"/>
        <v>1210208102</v>
      </c>
      <c r="B369" s="13" t="s">
        <v>210</v>
      </c>
      <c r="C369" s="13" t="s">
        <v>212</v>
      </c>
      <c r="D369" s="13" t="str">
        <f>"Monster.Name."&amp;VLOOKUP($C369,'#Data'!$B$2:$J$344,2,FALSE)</f>
        <v>Monster.Name.plants_stinger_1</v>
      </c>
      <c r="E369" s="13" t="s">
        <v>1962</v>
      </c>
      <c r="F369" s="44" t="s">
        <v>44</v>
      </c>
      <c r="G369" s="13" t="s">
        <v>45</v>
      </c>
      <c r="H369" s="13" t="b">
        <f>IF(OR(VLOOKUP($C369,'#Data'!$B$2:$J$344,4,FALSE)="보스",VLOOKUP($C369,'#Data'!$B$2:$J$344,4,FALSE)="중간"),TRUE,FALSE)</f>
        <v>0</v>
      </c>
      <c r="I369" s="13" t="b">
        <v>0</v>
      </c>
      <c r="J369" s="13">
        <v>10</v>
      </c>
      <c r="K369" s="13">
        <f t="shared" si="11"/>
        <v>10</v>
      </c>
      <c r="L369" s="71" t="str">
        <f>$B369&amp;"."&amp;VLOOKUP($C369,'#Data'!$B$2:$J$344,2,FALSE)&amp;".attack0"&amp;RIGHT(L$1,1)</f>
        <v>Sector08.plants_stinger_1.attack01</v>
      </c>
      <c r="M369" s="71"/>
      <c r="N369" s="71"/>
      <c r="O369" s="140" t="s">
        <v>2058</v>
      </c>
      <c r="P369" s="140" t="s">
        <v>1959</v>
      </c>
      <c r="Q369" s="140"/>
      <c r="R369" s="72"/>
      <c r="S369" s="72"/>
      <c r="T369" s="72"/>
      <c r="U369" s="72"/>
      <c r="V369" s="13" t="b">
        <v>0</v>
      </c>
      <c r="W369" s="13" t="str">
        <f>"Character/Prefabs/"&amp;VLOOKUP($C369,'#Data'!$B$3:$I$344,8,FALSE)</f>
        <v>Character/Prefabs/m_s_ranger_plants_stinger_1</v>
      </c>
      <c r="X369" s="13"/>
      <c r="Y369" s="13" t="str">
        <f>VLOOKUP($C369,'#Data'!$B$3:$I$344,8,FALSE)</f>
        <v>m_s_ranger_plants_stinger_1</v>
      </c>
      <c r="Z369" s="13"/>
      <c r="AA369" s="13"/>
      <c r="AB369" s="13"/>
      <c r="AC369" s="92">
        <v>0.5</v>
      </c>
      <c r="AD369" s="13"/>
      <c r="AE369" s="13"/>
      <c r="AF369" s="13"/>
      <c r="AG369" s="13" t="s">
        <v>2093</v>
      </c>
      <c r="AH369" s="85"/>
    </row>
    <row r="370" spans="1:34" x14ac:dyDescent="0.3">
      <c r="A370" s="13">
        <f t="shared" si="10"/>
        <v>1210208103</v>
      </c>
      <c r="B370" s="13" t="s">
        <v>210</v>
      </c>
      <c r="C370" s="13" t="s">
        <v>213</v>
      </c>
      <c r="D370" s="13" t="str">
        <f>"Monster.Name."&amp;VLOOKUP($C370,'#Data'!$B$2:$J$344,2,FALSE)</f>
        <v>Monster.Name.plants_bark_1</v>
      </c>
      <c r="E370" s="13" t="s">
        <v>43</v>
      </c>
      <c r="F370" s="44" t="s">
        <v>44</v>
      </c>
      <c r="G370" s="13" t="s">
        <v>45</v>
      </c>
      <c r="H370" s="13" t="b">
        <f>IF(OR(VLOOKUP($C370,'#Data'!$B$2:$J$344,4,FALSE)="보스",VLOOKUP($C370,'#Data'!$B$2:$J$344,4,FALSE)="중간"),TRUE,FALSE)</f>
        <v>0</v>
      </c>
      <c r="I370" s="13" t="b">
        <v>0</v>
      </c>
      <c r="J370" s="13">
        <v>10</v>
      </c>
      <c r="K370" s="13">
        <f t="shared" si="11"/>
        <v>10</v>
      </c>
      <c r="L370" s="71" t="str">
        <f>$B370&amp;"."&amp;VLOOKUP($C370,'#Data'!$B$2:$J$344,2,FALSE)&amp;".attack0"&amp;RIGHT(L$1,1)</f>
        <v>Sector08.plants_bark_1.attack01</v>
      </c>
      <c r="M370" s="71"/>
      <c r="N370" s="71"/>
      <c r="O370" s="140" t="str">
        <f>$B370&amp;"."&amp;VLOOKUP($C370,'#Data'!$B$2:$J$344,2,FALSE)&amp;".skill0"&amp;RIGHT(O$1,1)</f>
        <v>Sector08.plants_bark_1.skill01</v>
      </c>
      <c r="P370" s="140" t="s">
        <v>2059</v>
      </c>
      <c r="Q370" s="140" t="s">
        <v>1959</v>
      </c>
      <c r="R370" s="72"/>
      <c r="S370" s="72"/>
      <c r="T370" s="72"/>
      <c r="U370" s="72"/>
      <c r="V370" s="13" t="b">
        <v>0</v>
      </c>
      <c r="W370" s="13" t="str">
        <f>"Character/Prefabs/"&amp;VLOOKUP($C370,'#Data'!$B$3:$I$344,8,FALSE)</f>
        <v>Character/Prefabs/m_m_attacker_plants_bark_1</v>
      </c>
      <c r="X370" s="13"/>
      <c r="Y370" s="13" t="str">
        <f>VLOOKUP($C370,'#Data'!$B$3:$I$344,8,FALSE)</f>
        <v>m_m_attacker_plants_bark_1</v>
      </c>
      <c r="Z370" s="13"/>
      <c r="AA370" s="13"/>
      <c r="AB370" s="13"/>
      <c r="AC370" s="92">
        <v>0.7</v>
      </c>
      <c r="AD370" s="13"/>
      <c r="AE370" s="13"/>
      <c r="AF370" s="13"/>
      <c r="AG370" s="13" t="s">
        <v>2093</v>
      </c>
      <c r="AH370" s="85"/>
    </row>
    <row r="371" spans="1:34" x14ac:dyDescent="0.3">
      <c r="A371" s="13">
        <f t="shared" si="10"/>
        <v>1210208104</v>
      </c>
      <c r="B371" s="13" t="s">
        <v>210</v>
      </c>
      <c r="C371" s="13" t="s">
        <v>214</v>
      </c>
      <c r="D371" s="13" t="str">
        <f>"Monster.Name."&amp;VLOOKUP($C371,'#Data'!$B$2:$J$344,2,FALSE)</f>
        <v>Monster.Name.plants_branch_1</v>
      </c>
      <c r="E371" s="13" t="s">
        <v>43</v>
      </c>
      <c r="F371" s="44" t="s">
        <v>44</v>
      </c>
      <c r="G371" s="13" t="s">
        <v>45</v>
      </c>
      <c r="H371" s="13" t="b">
        <f>IF(OR(VLOOKUP($C371,'#Data'!$B$2:$J$344,4,FALSE)="보스",VLOOKUP($C371,'#Data'!$B$2:$J$344,4,FALSE)="중간"),TRUE,FALSE)</f>
        <v>0</v>
      </c>
      <c r="I371" s="13" t="b">
        <v>0</v>
      </c>
      <c r="J371" s="13">
        <v>10</v>
      </c>
      <c r="K371" s="13">
        <f t="shared" si="11"/>
        <v>10</v>
      </c>
      <c r="L371" s="71" t="str">
        <f>$B371&amp;"."&amp;VLOOKUP($C371,'#Data'!$B$2:$J$344,2,FALSE)&amp;".attack0"&amp;RIGHT(L$1,1)</f>
        <v>Sector08.plants_branch_1.attack01</v>
      </c>
      <c r="M371" s="71"/>
      <c r="N371" s="71"/>
      <c r="O371" s="140" t="str">
        <f>$B371&amp;"."&amp;VLOOKUP($C371,'#Data'!$B$2:$J$344,2,FALSE)&amp;".skill0"&amp;RIGHT(O$1,1)</f>
        <v>Sector08.plants_branch_1.skill01</v>
      </c>
      <c r="P371" s="140" t="s">
        <v>2060</v>
      </c>
      <c r="Q371" s="140" t="s">
        <v>1959</v>
      </c>
      <c r="R371" s="72"/>
      <c r="S371" s="72"/>
      <c r="T371" s="72"/>
      <c r="U371" s="72"/>
      <c r="V371" s="13" t="b">
        <v>0</v>
      </c>
      <c r="W371" s="13" t="str">
        <f>"Character/Prefabs/"&amp;VLOOKUP($C371,'#Data'!$B$3:$I$344,8,FALSE)</f>
        <v>Character/Prefabs/m_m_attacker_plants_branch_1</v>
      </c>
      <c r="X371" s="13"/>
      <c r="Y371" s="13" t="str">
        <f>VLOOKUP($C371,'#Data'!$B$3:$I$344,8,FALSE)</f>
        <v>m_m_attacker_plants_branch_1</v>
      </c>
      <c r="Z371" s="13"/>
      <c r="AA371" s="13"/>
      <c r="AB371" s="13"/>
      <c r="AC371" s="92">
        <v>0.7</v>
      </c>
      <c r="AD371" s="13"/>
      <c r="AE371" s="13"/>
      <c r="AF371" s="13"/>
      <c r="AG371" s="13" t="s">
        <v>2093</v>
      </c>
      <c r="AH371" s="85"/>
    </row>
    <row r="372" spans="1:34" x14ac:dyDescent="0.3">
      <c r="A372" s="13">
        <f t="shared" si="10"/>
        <v>1210208105</v>
      </c>
      <c r="B372" s="13" t="s">
        <v>210</v>
      </c>
      <c r="C372" s="13" t="s">
        <v>215</v>
      </c>
      <c r="D372" s="13" t="str">
        <f>"Monster.Name."&amp;VLOOKUP($C372,'#Data'!$B$2:$J$344,2,FALSE)</f>
        <v>Monster.Name.plants_shooter_1</v>
      </c>
      <c r="E372" s="13" t="s">
        <v>47</v>
      </c>
      <c r="F372" s="44" t="s">
        <v>44</v>
      </c>
      <c r="G372" s="13" t="s">
        <v>45</v>
      </c>
      <c r="H372" s="13" t="b">
        <f>IF(OR(VLOOKUP($C372,'#Data'!$B$2:$J$344,4,FALSE)="보스",VLOOKUP($C372,'#Data'!$B$2:$J$344,4,FALSE)="중간"),TRUE,FALSE)</f>
        <v>0</v>
      </c>
      <c r="I372" s="13" t="b">
        <v>0</v>
      </c>
      <c r="J372" s="13">
        <v>10</v>
      </c>
      <c r="K372" s="13">
        <f t="shared" si="11"/>
        <v>10</v>
      </c>
      <c r="L372" s="71" t="str">
        <f>$B372&amp;"."&amp;VLOOKUP($C372,'#Data'!$B$2:$J$344,2,FALSE)&amp;".attack0"&amp;RIGHT(L$1,1)</f>
        <v>Sector08.plants_shooter_1.attack01</v>
      </c>
      <c r="M372" s="71"/>
      <c r="N372" s="71"/>
      <c r="O372" s="140" t="str">
        <f>$B372&amp;"."&amp;VLOOKUP($C372,'#Data'!$B$2:$J$344,2,FALSE)&amp;".skill0"&amp;RIGHT(O$1,1)</f>
        <v>Sector08.plants_shooter_1.skill01</v>
      </c>
      <c r="P372" s="140" t="s">
        <v>2061</v>
      </c>
      <c r="Q372" s="140" t="s">
        <v>1959</v>
      </c>
      <c r="R372" s="72"/>
      <c r="S372" s="72"/>
      <c r="T372" s="72"/>
      <c r="U372" s="72"/>
      <c r="V372" s="13" t="b">
        <v>0</v>
      </c>
      <c r="W372" s="13" t="str">
        <f>"Character/Prefabs/"&amp;VLOOKUP($C372,'#Data'!$B$3:$I$344,8,FALSE)</f>
        <v>Character/Prefabs/m_m_ranger_plants_shooter_1</v>
      </c>
      <c r="X372" s="13"/>
      <c r="Y372" s="13" t="str">
        <f>VLOOKUP($C372,'#Data'!$B$3:$I$344,8,FALSE)</f>
        <v>m_m_ranger_plants_shooter_1</v>
      </c>
      <c r="Z372" s="13"/>
      <c r="AA372" s="13"/>
      <c r="AB372" s="13"/>
      <c r="AC372" s="92">
        <v>0.9</v>
      </c>
      <c r="AD372" s="13"/>
      <c r="AE372" s="13"/>
      <c r="AF372" s="13"/>
      <c r="AG372" s="13" t="s">
        <v>2093</v>
      </c>
      <c r="AH372" s="85"/>
    </row>
    <row r="373" spans="1:34" x14ac:dyDescent="0.3">
      <c r="A373" s="13">
        <f t="shared" si="10"/>
        <v>1210208106</v>
      </c>
      <c r="B373" s="13" t="s">
        <v>210</v>
      </c>
      <c r="C373" s="13" t="s">
        <v>216</v>
      </c>
      <c r="D373" s="13" t="str">
        <f>"Monster.Name."&amp;VLOOKUP($C373,'#Data'!$B$2:$J$344,2,FALSE)</f>
        <v>Monster.Name.plants_cannon_1</v>
      </c>
      <c r="E373" s="13" t="s">
        <v>47</v>
      </c>
      <c r="F373" s="44" t="s">
        <v>44</v>
      </c>
      <c r="G373" s="13" t="s">
        <v>45</v>
      </c>
      <c r="H373" s="13" t="b">
        <f>IF(OR(VLOOKUP($C373,'#Data'!$B$2:$J$344,4,FALSE)="보스",VLOOKUP($C373,'#Data'!$B$2:$J$344,4,FALSE)="중간"),TRUE,FALSE)</f>
        <v>0</v>
      </c>
      <c r="I373" s="13" t="b">
        <v>0</v>
      </c>
      <c r="J373" s="13">
        <v>10</v>
      </c>
      <c r="K373" s="13">
        <f t="shared" si="11"/>
        <v>10</v>
      </c>
      <c r="L373" s="71" t="str">
        <f>$B373&amp;"."&amp;VLOOKUP($C373,'#Data'!$B$2:$J$344,2,FALSE)&amp;".attack0"&amp;RIGHT(L$1,1)</f>
        <v>Sector08.plants_cannon_1.attack01</v>
      </c>
      <c r="M373" s="71"/>
      <c r="N373" s="71"/>
      <c r="O373" s="140" t="str">
        <f>$B373&amp;"."&amp;VLOOKUP($C373,'#Data'!$B$2:$J$344,2,FALSE)&amp;".skill0"&amp;RIGHT(O$1,1)</f>
        <v>Sector08.plants_cannon_1.skill01</v>
      </c>
      <c r="P373" s="140" t="s">
        <v>2062</v>
      </c>
      <c r="Q373" s="140" t="s">
        <v>1959</v>
      </c>
      <c r="R373" s="72"/>
      <c r="S373" s="72"/>
      <c r="T373" s="72"/>
      <c r="U373" s="72"/>
      <c r="V373" s="13" t="b">
        <v>0</v>
      </c>
      <c r="W373" s="13" t="str">
        <f>"Character/Prefabs/"&amp;VLOOKUP($C373,'#Data'!$B$3:$I$344,8,FALSE)</f>
        <v>Character/Prefabs/m_m_ranger_plants_cannon_1</v>
      </c>
      <c r="X373" s="13"/>
      <c r="Y373" s="13" t="str">
        <f>VLOOKUP($C373,'#Data'!$B$3:$I$344,8,FALSE)</f>
        <v>m_m_ranger_plants_cannon_1</v>
      </c>
      <c r="Z373" s="13"/>
      <c r="AA373" s="13"/>
      <c r="AB373" s="13"/>
      <c r="AC373" s="92">
        <v>0.9</v>
      </c>
      <c r="AD373" s="13"/>
      <c r="AE373" s="13"/>
      <c r="AF373" s="13"/>
      <c r="AG373" s="13" t="s">
        <v>2093</v>
      </c>
      <c r="AH373" s="85"/>
    </row>
    <row r="374" spans="1:34" x14ac:dyDescent="0.3">
      <c r="A374" s="13">
        <f t="shared" si="10"/>
        <v>1210208107</v>
      </c>
      <c r="B374" s="13" t="s">
        <v>210</v>
      </c>
      <c r="C374" s="13" t="s">
        <v>217</v>
      </c>
      <c r="D374" s="13" t="str">
        <f>"Monster.Name."&amp;VLOOKUP($C374,'#Data'!$B$2:$J$344,2,FALSE)</f>
        <v>Monster.Name.creeper_seed_1</v>
      </c>
      <c r="E374" s="13" t="s">
        <v>58</v>
      </c>
      <c r="F374" s="44" t="s">
        <v>44</v>
      </c>
      <c r="G374" s="13" t="s">
        <v>45</v>
      </c>
      <c r="H374" s="13" t="b">
        <f>IF(OR(VLOOKUP($C374,'#Data'!$B$2:$J$344,4,FALSE)="보스",VLOOKUP($C374,'#Data'!$B$2:$J$344,4,FALSE)="중간"),TRUE,FALSE)</f>
        <v>0</v>
      </c>
      <c r="I374" s="13" t="b">
        <v>0</v>
      </c>
      <c r="J374" s="13">
        <v>20</v>
      </c>
      <c r="K374" s="13">
        <f t="shared" si="11"/>
        <v>10</v>
      </c>
      <c r="L374" s="71" t="str">
        <f>$B374&amp;"."&amp;VLOOKUP($C374,'#Data'!$B$2:$J$344,2,FALSE)&amp;".attack0"&amp;RIGHT(L$1,1)</f>
        <v>Sector08.creeper_seed_1.attack01</v>
      </c>
      <c r="M374" s="71"/>
      <c r="N374" s="71"/>
      <c r="O374" s="140" t="str">
        <f>$B374&amp;"."&amp;VLOOKUP($C374,'#Data'!$B$2:$J$344,2,FALSE)&amp;".skill0"&amp;RIGHT(O$1,1)</f>
        <v>Sector08.creeper_seed_1.skill01</v>
      </c>
      <c r="P374" s="140" t="s">
        <v>2063</v>
      </c>
      <c r="Q374" s="140" t="s">
        <v>1959</v>
      </c>
      <c r="R374" s="72"/>
      <c r="S374" s="72"/>
      <c r="T374" s="72"/>
      <c r="U374" s="72"/>
      <c r="V374" s="13" t="b">
        <v>0</v>
      </c>
      <c r="W374" s="13" t="str">
        <f>"Character/Prefabs/"&amp;VLOOKUP($C374,'#Data'!$B$3:$I$344,8,FALSE)</f>
        <v>Character/Prefabs/m_m_tanker_creeper_seed_1</v>
      </c>
      <c r="X374" s="13"/>
      <c r="Y374" s="13" t="str">
        <f>VLOOKUP($C374,'#Data'!$B$3:$I$344,8,FALSE)</f>
        <v>m_m_tanker_creeper_seed_1</v>
      </c>
      <c r="Z374" s="13"/>
      <c r="AA374" s="13"/>
      <c r="AB374" s="13"/>
      <c r="AC374" s="92">
        <v>0.6</v>
      </c>
      <c r="AD374" s="13"/>
      <c r="AE374" s="13"/>
      <c r="AF374" s="13"/>
      <c r="AG374" s="13" t="s">
        <v>2093</v>
      </c>
      <c r="AH374" s="85"/>
    </row>
    <row r="375" spans="1:34" x14ac:dyDescent="0.3">
      <c r="A375" s="13">
        <f t="shared" si="10"/>
        <v>1210208108</v>
      </c>
      <c r="B375" s="13" t="s">
        <v>210</v>
      </c>
      <c r="C375" s="13" t="s">
        <v>218</v>
      </c>
      <c r="D375" s="13" t="str">
        <f>"Monster.Name."&amp;VLOOKUP($C375,'#Data'!$B$2:$J$344,2,FALSE)</f>
        <v>Monster.Name.plants_garden_1</v>
      </c>
      <c r="E375" s="13" t="s">
        <v>47</v>
      </c>
      <c r="F375" s="44" t="s">
        <v>44</v>
      </c>
      <c r="G375" s="13" t="s">
        <v>45</v>
      </c>
      <c r="H375" s="13" t="b">
        <f>IF(OR(VLOOKUP($C375,'#Data'!$B$2:$J$344,4,FALSE)="보스",VLOOKUP($C375,'#Data'!$B$2:$J$344,4,FALSE)="중간"),TRUE,FALSE)</f>
        <v>0</v>
      </c>
      <c r="I375" s="13" t="b">
        <v>0</v>
      </c>
      <c r="J375" s="13">
        <v>10</v>
      </c>
      <c r="K375" s="13">
        <f t="shared" si="11"/>
        <v>10</v>
      </c>
      <c r="L375" s="71" t="str">
        <f>$B375&amp;"."&amp;VLOOKUP($C375,'#Data'!$B$2:$J$344,2,FALSE)&amp;".attack0"&amp;RIGHT(L$1,1)</f>
        <v>Sector08.plants_garden_1.attack01</v>
      </c>
      <c r="M375" s="71"/>
      <c r="N375" s="71"/>
      <c r="O375" s="140" t="str">
        <f>$B375&amp;"."&amp;VLOOKUP($C375,'#Data'!$B$2:$J$344,2,FALSE)&amp;".skill0"&amp;RIGHT(O$1,1)</f>
        <v>Sector08.plants_garden_1.skill01</v>
      </c>
      <c r="P375" s="140" t="s">
        <v>2064</v>
      </c>
      <c r="Q375" s="140" t="s">
        <v>1959</v>
      </c>
      <c r="R375" s="72"/>
      <c r="S375" s="72"/>
      <c r="T375" s="72"/>
      <c r="U375" s="72"/>
      <c r="V375" s="13" t="b">
        <v>0</v>
      </c>
      <c r="W375" s="13" t="str">
        <f>"Character/Prefabs/"&amp;VLOOKUP($C375,'#Data'!$B$3:$I$344,8,FALSE)</f>
        <v>Character/Prefabs/m_m_ranger_plants_garden_1</v>
      </c>
      <c r="X375" s="13"/>
      <c r="Y375" s="13" t="str">
        <f>VLOOKUP($C375,'#Data'!$B$3:$I$344,8,FALSE)</f>
        <v>m_m_ranger_plants_garden_1</v>
      </c>
      <c r="Z375" s="13"/>
      <c r="AA375" s="13"/>
      <c r="AB375" s="13"/>
      <c r="AC375" s="92">
        <v>0.5</v>
      </c>
      <c r="AD375" s="13"/>
      <c r="AE375" s="13"/>
      <c r="AF375" s="13"/>
      <c r="AG375" s="13" t="s">
        <v>2093</v>
      </c>
      <c r="AH375" s="85"/>
    </row>
    <row r="376" spans="1:34" x14ac:dyDescent="0.3">
      <c r="A376" s="45">
        <f t="shared" si="10"/>
        <v>1210208109</v>
      </c>
      <c r="B376" s="45" t="s">
        <v>210</v>
      </c>
      <c r="C376" s="45" t="s">
        <v>1891</v>
      </c>
      <c r="D376" s="45" t="str">
        <f>"Monster.Name."&amp;VLOOKUP($C376,'#Data'!$B$2:$J$344,2,FALSE)</f>
        <v>Monster.Name.plants_sticky_2</v>
      </c>
      <c r="E376" s="45" t="s">
        <v>43</v>
      </c>
      <c r="F376" s="46" t="s">
        <v>44</v>
      </c>
      <c r="G376" s="45" t="s">
        <v>45</v>
      </c>
      <c r="H376" s="45" t="b">
        <f>IF(OR(VLOOKUP($C376,'#Data'!$B$2:$J$344,4,FALSE)="보스",VLOOKUP($C376,'#Data'!$B$2:$J$344,4,FALSE)="중간"),TRUE,FALSE)</f>
        <v>0</v>
      </c>
      <c r="I376" s="45" t="b">
        <v>0</v>
      </c>
      <c r="J376" s="45">
        <v>10</v>
      </c>
      <c r="K376" s="45">
        <f t="shared" si="11"/>
        <v>10</v>
      </c>
      <c r="L376" s="73" t="s">
        <v>1906</v>
      </c>
      <c r="M376" s="73"/>
      <c r="N376" s="73"/>
      <c r="O376" s="141" t="s">
        <v>2057</v>
      </c>
      <c r="P376" s="141" t="s">
        <v>1959</v>
      </c>
      <c r="Q376" s="141"/>
      <c r="R376" s="74"/>
      <c r="S376" s="74"/>
      <c r="T376" s="74"/>
      <c r="U376" s="74"/>
      <c r="V376" s="45" t="b">
        <v>0</v>
      </c>
      <c r="W376" s="45" t="str">
        <f>"Character/Prefabs/"&amp;VLOOKUP($C376,'#Data'!$B$3:$I$344,8,FALSE)</f>
        <v>Character/Prefabs/m_s_attacker_plants_sticky_2</v>
      </c>
      <c r="X376" s="45"/>
      <c r="Y376" s="45" t="str">
        <f>VLOOKUP($C376,'#Data'!$B$3:$I$344,8,FALSE)</f>
        <v>m_s_attacker_plants_sticky_2</v>
      </c>
      <c r="Z376" s="45"/>
      <c r="AA376" s="45"/>
      <c r="AB376" s="45"/>
      <c r="AC376" s="93">
        <v>0.9</v>
      </c>
      <c r="AD376" s="45"/>
      <c r="AE376" s="45"/>
      <c r="AF376" s="45"/>
      <c r="AG376" s="45" t="s">
        <v>2093</v>
      </c>
      <c r="AH376" s="85"/>
    </row>
    <row r="377" spans="1:34" x14ac:dyDescent="0.3">
      <c r="A377" s="45">
        <f t="shared" si="10"/>
        <v>1210208110</v>
      </c>
      <c r="B377" s="45" t="s">
        <v>210</v>
      </c>
      <c r="C377" s="45" t="s">
        <v>1892</v>
      </c>
      <c r="D377" s="45" t="str">
        <f>"Monster.Name."&amp;VLOOKUP($C377,'#Data'!$B$2:$J$344,2,FALSE)</f>
        <v>Monster.Name.plants_stinger_2</v>
      </c>
      <c r="E377" s="45" t="s">
        <v>43</v>
      </c>
      <c r="F377" s="46" t="s">
        <v>44</v>
      </c>
      <c r="G377" s="45" t="s">
        <v>45</v>
      </c>
      <c r="H377" s="45" t="b">
        <f>IF(OR(VLOOKUP($C377,'#Data'!$B$2:$J$344,4,FALSE)="보스",VLOOKUP($C377,'#Data'!$B$2:$J$344,4,FALSE)="중간"),TRUE,FALSE)</f>
        <v>0</v>
      </c>
      <c r="I377" s="45" t="b">
        <v>0</v>
      </c>
      <c r="J377" s="45">
        <v>10</v>
      </c>
      <c r="K377" s="45">
        <f t="shared" si="11"/>
        <v>10</v>
      </c>
      <c r="L377" s="73" t="s">
        <v>1966</v>
      </c>
      <c r="M377" s="73"/>
      <c r="N377" s="73"/>
      <c r="O377" s="141" t="s">
        <v>2058</v>
      </c>
      <c r="P377" s="141" t="s">
        <v>1959</v>
      </c>
      <c r="Q377" s="141"/>
      <c r="R377" s="74"/>
      <c r="S377" s="74"/>
      <c r="T377" s="74"/>
      <c r="U377" s="74"/>
      <c r="V377" s="45" t="b">
        <v>0</v>
      </c>
      <c r="W377" s="45" t="str">
        <f>"Character/Prefabs/"&amp;VLOOKUP($C377,'#Data'!$B$3:$I$344,8,FALSE)</f>
        <v>Character/Prefabs/m_s_ranger_plants_stinger_2</v>
      </c>
      <c r="X377" s="45"/>
      <c r="Y377" s="45" t="str">
        <f>VLOOKUP($C377,'#Data'!$B$3:$I$344,8,FALSE)</f>
        <v>m_s_ranger_plants_stinger_2</v>
      </c>
      <c r="Z377" s="45"/>
      <c r="AA377" s="45"/>
      <c r="AB377" s="45"/>
      <c r="AC377" s="93">
        <v>0.5</v>
      </c>
      <c r="AD377" s="45"/>
      <c r="AE377" s="45"/>
      <c r="AF377" s="45"/>
      <c r="AG377" s="45" t="s">
        <v>2093</v>
      </c>
      <c r="AH377" s="85"/>
    </row>
    <row r="378" spans="1:34" x14ac:dyDescent="0.3">
      <c r="A378" s="45">
        <f t="shared" si="10"/>
        <v>1210208111</v>
      </c>
      <c r="B378" s="45" t="s">
        <v>210</v>
      </c>
      <c r="C378" s="45" t="s">
        <v>1893</v>
      </c>
      <c r="D378" s="45" t="str">
        <f>"Monster.Name."&amp;VLOOKUP($C378,'#Data'!$B$2:$J$344,2,FALSE)</f>
        <v>Monster.Name.plants_bark_2</v>
      </c>
      <c r="E378" s="45" t="s">
        <v>43</v>
      </c>
      <c r="F378" s="46" t="s">
        <v>44</v>
      </c>
      <c r="G378" s="45" t="s">
        <v>45</v>
      </c>
      <c r="H378" s="45" t="b">
        <f>IF(OR(VLOOKUP($C378,'#Data'!$B$2:$J$344,4,FALSE)="보스",VLOOKUP($C378,'#Data'!$B$2:$J$344,4,FALSE)="중간"),TRUE,FALSE)</f>
        <v>0</v>
      </c>
      <c r="I378" s="45" t="b">
        <v>0</v>
      </c>
      <c r="J378" s="45">
        <v>10</v>
      </c>
      <c r="K378" s="45">
        <f t="shared" si="11"/>
        <v>10</v>
      </c>
      <c r="L378" s="73" t="s">
        <v>1907</v>
      </c>
      <c r="M378" s="73"/>
      <c r="N378" s="73"/>
      <c r="O378" s="141" t="s">
        <v>1913</v>
      </c>
      <c r="P378" s="141" t="s">
        <v>2059</v>
      </c>
      <c r="Q378" s="141" t="s">
        <v>1959</v>
      </c>
      <c r="R378" s="74"/>
      <c r="S378" s="74"/>
      <c r="T378" s="74"/>
      <c r="U378" s="74"/>
      <c r="V378" s="45" t="b">
        <v>0</v>
      </c>
      <c r="W378" s="45" t="str">
        <f>"Character/Prefabs/"&amp;VLOOKUP($C378,'#Data'!$B$3:$I$344,8,FALSE)</f>
        <v>Character/Prefabs/m_m_attacker_plants_bark_2</v>
      </c>
      <c r="X378" s="45"/>
      <c r="Y378" s="45" t="str">
        <f>VLOOKUP($C378,'#Data'!$B$3:$I$344,8,FALSE)</f>
        <v>m_m_attacker_plants_bark_2</v>
      </c>
      <c r="Z378" s="45"/>
      <c r="AA378" s="45"/>
      <c r="AB378" s="45"/>
      <c r="AC378" s="93">
        <v>0.7</v>
      </c>
      <c r="AD378" s="45"/>
      <c r="AE378" s="45"/>
      <c r="AF378" s="45"/>
      <c r="AG378" s="45" t="s">
        <v>2093</v>
      </c>
      <c r="AH378" s="85"/>
    </row>
    <row r="379" spans="1:34" x14ac:dyDescent="0.3">
      <c r="A379" s="45">
        <f t="shared" si="10"/>
        <v>1210208112</v>
      </c>
      <c r="B379" s="45" t="s">
        <v>210</v>
      </c>
      <c r="C379" s="45" t="s">
        <v>1894</v>
      </c>
      <c r="D379" s="45" t="str">
        <f>"Monster.Name."&amp;VLOOKUP($C379,'#Data'!$B$2:$J$344,2,FALSE)</f>
        <v>Monster.Name.plants_branch_2</v>
      </c>
      <c r="E379" s="45" t="s">
        <v>43</v>
      </c>
      <c r="F379" s="46" t="s">
        <v>44</v>
      </c>
      <c r="G379" s="45" t="s">
        <v>45</v>
      </c>
      <c r="H379" s="45" t="b">
        <f>IF(OR(VLOOKUP($C379,'#Data'!$B$2:$J$344,4,FALSE)="보스",VLOOKUP($C379,'#Data'!$B$2:$J$344,4,FALSE)="중간"),TRUE,FALSE)</f>
        <v>0</v>
      </c>
      <c r="I379" s="45" t="b">
        <v>0</v>
      </c>
      <c r="J379" s="45">
        <v>10</v>
      </c>
      <c r="K379" s="45">
        <f t="shared" si="11"/>
        <v>10</v>
      </c>
      <c r="L379" s="73" t="s">
        <v>1908</v>
      </c>
      <c r="M379" s="73"/>
      <c r="N379" s="73"/>
      <c r="O379" s="141" t="s">
        <v>1914</v>
      </c>
      <c r="P379" s="141" t="s">
        <v>2060</v>
      </c>
      <c r="Q379" s="141" t="s">
        <v>1959</v>
      </c>
      <c r="R379" s="74"/>
      <c r="S379" s="74"/>
      <c r="T379" s="74"/>
      <c r="U379" s="74"/>
      <c r="V379" s="45" t="b">
        <v>0</v>
      </c>
      <c r="W379" s="45" t="str">
        <f>"Character/Prefabs/"&amp;VLOOKUP($C379,'#Data'!$B$3:$I$344,8,FALSE)</f>
        <v>Character/Prefabs/m_m_attacker_plants_branch_2</v>
      </c>
      <c r="X379" s="45"/>
      <c r="Y379" s="45" t="str">
        <f>VLOOKUP($C379,'#Data'!$B$3:$I$344,8,FALSE)</f>
        <v>m_m_attacker_plants_branch_2</v>
      </c>
      <c r="Z379" s="45"/>
      <c r="AA379" s="45"/>
      <c r="AB379" s="45"/>
      <c r="AC379" s="93">
        <v>0.7</v>
      </c>
      <c r="AD379" s="45"/>
      <c r="AE379" s="45"/>
      <c r="AF379" s="45"/>
      <c r="AG379" s="45" t="s">
        <v>2093</v>
      </c>
      <c r="AH379" s="85"/>
    </row>
    <row r="380" spans="1:34" x14ac:dyDescent="0.3">
      <c r="A380" s="45">
        <f t="shared" si="10"/>
        <v>1210208113</v>
      </c>
      <c r="B380" s="45" t="s">
        <v>210</v>
      </c>
      <c r="C380" s="45" t="s">
        <v>1895</v>
      </c>
      <c r="D380" s="45" t="str">
        <f>"Monster.Name."&amp;VLOOKUP($C380,'#Data'!$B$2:$J$344,2,FALSE)</f>
        <v>Monster.Name.plants_shooter_2</v>
      </c>
      <c r="E380" s="45" t="s">
        <v>47</v>
      </c>
      <c r="F380" s="46" t="s">
        <v>44</v>
      </c>
      <c r="G380" s="45" t="s">
        <v>45</v>
      </c>
      <c r="H380" s="45" t="b">
        <f>IF(OR(VLOOKUP($C380,'#Data'!$B$2:$J$344,4,FALSE)="보스",VLOOKUP($C380,'#Data'!$B$2:$J$344,4,FALSE)="중간"),TRUE,FALSE)</f>
        <v>0</v>
      </c>
      <c r="I380" s="45" t="b">
        <v>0</v>
      </c>
      <c r="J380" s="45">
        <v>10</v>
      </c>
      <c r="K380" s="45">
        <f t="shared" si="11"/>
        <v>10</v>
      </c>
      <c r="L380" s="73" t="s">
        <v>1909</v>
      </c>
      <c r="M380" s="73"/>
      <c r="N380" s="73"/>
      <c r="O380" s="141" t="s">
        <v>1915</v>
      </c>
      <c r="P380" s="141" t="s">
        <v>2061</v>
      </c>
      <c r="Q380" s="141" t="s">
        <v>1959</v>
      </c>
      <c r="R380" s="74"/>
      <c r="S380" s="74"/>
      <c r="T380" s="74"/>
      <c r="U380" s="74"/>
      <c r="V380" s="45" t="b">
        <v>0</v>
      </c>
      <c r="W380" s="45" t="str">
        <f>"Character/Prefabs/"&amp;VLOOKUP($C380,'#Data'!$B$3:$I$344,8,FALSE)</f>
        <v>Character/Prefabs/m_m_ranger_plants_shooter_2</v>
      </c>
      <c r="X380" s="45"/>
      <c r="Y380" s="45" t="str">
        <f>VLOOKUP($C380,'#Data'!$B$3:$I$344,8,FALSE)</f>
        <v>m_m_ranger_plants_shooter_2</v>
      </c>
      <c r="Z380" s="45"/>
      <c r="AA380" s="45"/>
      <c r="AB380" s="45"/>
      <c r="AC380" s="93">
        <v>0.9</v>
      </c>
      <c r="AD380" s="45"/>
      <c r="AE380" s="45"/>
      <c r="AF380" s="45"/>
      <c r="AG380" s="45" t="s">
        <v>2093</v>
      </c>
      <c r="AH380" s="85"/>
    </row>
    <row r="381" spans="1:34" x14ac:dyDescent="0.3">
      <c r="A381" s="45">
        <f t="shared" si="10"/>
        <v>1210208114</v>
      </c>
      <c r="B381" s="45" t="s">
        <v>210</v>
      </c>
      <c r="C381" s="45" t="s">
        <v>1896</v>
      </c>
      <c r="D381" s="45" t="str">
        <f>"Monster.Name."&amp;VLOOKUP($C381,'#Data'!$B$2:$J$344,2,FALSE)</f>
        <v>Monster.Name.plants_cannon_2</v>
      </c>
      <c r="E381" s="45" t="s">
        <v>47</v>
      </c>
      <c r="F381" s="46" t="s">
        <v>44</v>
      </c>
      <c r="G381" s="45" t="s">
        <v>45</v>
      </c>
      <c r="H381" s="45" t="b">
        <f>IF(OR(VLOOKUP($C381,'#Data'!$B$2:$J$344,4,FALSE)="보스",VLOOKUP($C381,'#Data'!$B$2:$J$344,4,FALSE)="중간"),TRUE,FALSE)</f>
        <v>0</v>
      </c>
      <c r="I381" s="45" t="b">
        <v>0</v>
      </c>
      <c r="J381" s="45">
        <v>10</v>
      </c>
      <c r="K381" s="45">
        <f t="shared" si="11"/>
        <v>10</v>
      </c>
      <c r="L381" s="73" t="s">
        <v>1910</v>
      </c>
      <c r="M381" s="73"/>
      <c r="N381" s="73"/>
      <c r="O381" s="141" t="s">
        <v>1917</v>
      </c>
      <c r="P381" s="141" t="s">
        <v>2062</v>
      </c>
      <c r="Q381" s="141" t="s">
        <v>1959</v>
      </c>
      <c r="R381" s="74"/>
      <c r="S381" s="74"/>
      <c r="T381" s="74"/>
      <c r="U381" s="74"/>
      <c r="V381" s="45" t="b">
        <v>0</v>
      </c>
      <c r="W381" s="45" t="str">
        <f>"Character/Prefabs/"&amp;VLOOKUP($C381,'#Data'!$B$3:$I$344,8,FALSE)</f>
        <v>Character/Prefabs/m_m_ranger_plants_cannon_2</v>
      </c>
      <c r="X381" s="45"/>
      <c r="Y381" s="45" t="str">
        <f>VLOOKUP($C381,'#Data'!$B$3:$I$344,8,FALSE)</f>
        <v>m_m_ranger_plants_cannon_2</v>
      </c>
      <c r="Z381" s="45"/>
      <c r="AA381" s="45"/>
      <c r="AB381" s="45"/>
      <c r="AC381" s="93">
        <v>0.9</v>
      </c>
      <c r="AD381" s="45"/>
      <c r="AE381" s="45"/>
      <c r="AF381" s="45"/>
      <c r="AG381" s="45" t="s">
        <v>2093</v>
      </c>
      <c r="AH381" s="85"/>
    </row>
    <row r="382" spans="1:34" x14ac:dyDescent="0.3">
      <c r="A382" s="45">
        <f t="shared" si="10"/>
        <v>1210208115</v>
      </c>
      <c r="B382" s="45" t="s">
        <v>210</v>
      </c>
      <c r="C382" s="45" t="s">
        <v>1897</v>
      </c>
      <c r="D382" s="45" t="str">
        <f>"Monster.Name."&amp;VLOOKUP($C382,'#Data'!$B$2:$J$344,2,FALSE)</f>
        <v>Monster.Name.creeper_seed_2</v>
      </c>
      <c r="E382" s="45" t="s">
        <v>58</v>
      </c>
      <c r="F382" s="46" t="s">
        <v>44</v>
      </c>
      <c r="G382" s="45" t="s">
        <v>45</v>
      </c>
      <c r="H382" s="45" t="b">
        <f>IF(OR(VLOOKUP($C382,'#Data'!$B$2:$J$344,4,FALSE)="보스",VLOOKUP($C382,'#Data'!$B$2:$J$344,4,FALSE)="중간"),TRUE,FALSE)</f>
        <v>0</v>
      </c>
      <c r="I382" s="45" t="b">
        <v>0</v>
      </c>
      <c r="J382" s="45">
        <v>10</v>
      </c>
      <c r="K382" s="45">
        <f t="shared" si="11"/>
        <v>10</v>
      </c>
      <c r="L382" s="73" t="s">
        <v>1911</v>
      </c>
      <c r="M382" s="73"/>
      <c r="N382" s="73"/>
      <c r="O382" s="141" t="s">
        <v>1918</v>
      </c>
      <c r="P382" s="141" t="s">
        <v>2063</v>
      </c>
      <c r="Q382" s="141" t="s">
        <v>1959</v>
      </c>
      <c r="R382" s="74"/>
      <c r="S382" s="74"/>
      <c r="T382" s="74"/>
      <c r="U382" s="74"/>
      <c r="V382" s="45" t="b">
        <v>0</v>
      </c>
      <c r="W382" s="45" t="str">
        <f>"Character/Prefabs/"&amp;VLOOKUP($C382,'#Data'!$B$3:$I$344,8,FALSE)</f>
        <v>Character/Prefabs/m_m_tanker_creeper_seed_2</v>
      </c>
      <c r="X382" s="45"/>
      <c r="Y382" s="45" t="str">
        <f>VLOOKUP($C382,'#Data'!$B$3:$I$344,8,FALSE)</f>
        <v>m_m_tanker_creeper_seed_2</v>
      </c>
      <c r="Z382" s="45"/>
      <c r="AA382" s="45"/>
      <c r="AB382" s="45"/>
      <c r="AC382" s="93">
        <v>0.6</v>
      </c>
      <c r="AD382" s="45"/>
      <c r="AE382" s="45"/>
      <c r="AF382" s="45"/>
      <c r="AG382" s="45" t="s">
        <v>2093</v>
      </c>
      <c r="AH382" s="85"/>
    </row>
    <row r="383" spans="1:34" x14ac:dyDescent="0.3">
      <c r="A383" s="45">
        <f t="shared" si="10"/>
        <v>1210208116</v>
      </c>
      <c r="B383" s="45" t="s">
        <v>210</v>
      </c>
      <c r="C383" s="45" t="s">
        <v>1898</v>
      </c>
      <c r="D383" s="45" t="str">
        <f>"Monster.Name."&amp;VLOOKUP($C383,'#Data'!$B$2:$J$344,2,FALSE)</f>
        <v>Monster.Name.plants_garden_2</v>
      </c>
      <c r="E383" s="45" t="s">
        <v>47</v>
      </c>
      <c r="F383" s="46" t="s">
        <v>44</v>
      </c>
      <c r="G383" s="45" t="s">
        <v>45</v>
      </c>
      <c r="H383" s="45" t="b">
        <f>IF(OR(VLOOKUP($C383,'#Data'!$B$2:$J$344,4,FALSE)="보스",VLOOKUP($C383,'#Data'!$B$2:$J$344,4,FALSE)="중간"),TRUE,FALSE)</f>
        <v>0</v>
      </c>
      <c r="I383" s="45" t="b">
        <v>0</v>
      </c>
      <c r="J383" s="45">
        <v>10</v>
      </c>
      <c r="K383" s="45">
        <f t="shared" si="11"/>
        <v>10</v>
      </c>
      <c r="L383" s="73" t="s">
        <v>1912</v>
      </c>
      <c r="M383" s="73"/>
      <c r="N383" s="73"/>
      <c r="O383" s="141" t="s">
        <v>1916</v>
      </c>
      <c r="P383" s="141" t="s">
        <v>2064</v>
      </c>
      <c r="Q383" s="141" t="s">
        <v>1959</v>
      </c>
      <c r="R383" s="74"/>
      <c r="S383" s="74"/>
      <c r="T383" s="74"/>
      <c r="U383" s="74"/>
      <c r="V383" s="45" t="b">
        <v>0</v>
      </c>
      <c r="W383" s="45" t="str">
        <f>"Character/Prefabs/"&amp;VLOOKUP($C383,'#Data'!$B$3:$I$344,8,FALSE)</f>
        <v>Character/Prefabs/m_m_ranger_plants_garden_2</v>
      </c>
      <c r="X383" s="45"/>
      <c r="Y383" s="45" t="str">
        <f>VLOOKUP($C383,'#Data'!$B$3:$I$344,8,FALSE)</f>
        <v>m_m_ranger_plants_garden_2</v>
      </c>
      <c r="Z383" s="45"/>
      <c r="AA383" s="45"/>
      <c r="AB383" s="45"/>
      <c r="AC383" s="93">
        <v>0.5</v>
      </c>
      <c r="AD383" s="45"/>
      <c r="AE383" s="45"/>
      <c r="AF383" s="45"/>
      <c r="AG383" s="45" t="s">
        <v>2093</v>
      </c>
      <c r="AH383" s="85"/>
    </row>
    <row r="384" spans="1:34" x14ac:dyDescent="0.3">
      <c r="A384" s="45">
        <f t="shared" si="10"/>
        <v>1210208117</v>
      </c>
      <c r="B384" s="45" t="s">
        <v>210</v>
      </c>
      <c r="C384" s="45" t="s">
        <v>1925</v>
      </c>
      <c r="D384" s="13" t="s">
        <v>1919</v>
      </c>
      <c r="E384" s="13" t="s">
        <v>43</v>
      </c>
      <c r="F384" s="44" t="s">
        <v>44</v>
      </c>
      <c r="G384" s="13" t="s">
        <v>45</v>
      </c>
      <c r="H384" s="13" t="b">
        <v>0</v>
      </c>
      <c r="I384" s="13" t="b">
        <v>0</v>
      </c>
      <c r="J384" s="13">
        <v>10</v>
      </c>
      <c r="K384" s="13">
        <f t="shared" si="11"/>
        <v>10</v>
      </c>
      <c r="L384" s="71" t="s">
        <v>1946</v>
      </c>
      <c r="M384" s="71"/>
      <c r="N384" s="71"/>
      <c r="O384" s="141" t="s">
        <v>1948</v>
      </c>
      <c r="P384" s="140"/>
      <c r="Q384" s="140"/>
      <c r="R384" s="72"/>
      <c r="S384" s="72"/>
      <c r="T384" s="72"/>
      <c r="U384" s="72"/>
      <c r="V384" s="13" t="b">
        <v>0</v>
      </c>
      <c r="W384" s="13" t="s">
        <v>1920</v>
      </c>
      <c r="X384" s="13"/>
      <c r="Y384" s="13" t="s">
        <v>1921</v>
      </c>
      <c r="Z384" s="13"/>
      <c r="AA384" s="13"/>
      <c r="AB384" s="13"/>
      <c r="AC384" s="92">
        <v>0.7</v>
      </c>
      <c r="AD384" s="13"/>
      <c r="AE384" s="13"/>
      <c r="AF384" s="13"/>
      <c r="AG384" s="13" t="s">
        <v>2093</v>
      </c>
      <c r="AH384" s="85"/>
    </row>
    <row r="385" spans="1:34" x14ac:dyDescent="0.3">
      <c r="A385" s="45">
        <f t="shared" si="10"/>
        <v>1210208118</v>
      </c>
      <c r="B385" s="45" t="s">
        <v>210</v>
      </c>
      <c r="C385" s="45" t="s">
        <v>1926</v>
      </c>
      <c r="D385" s="13" t="s">
        <v>1922</v>
      </c>
      <c r="E385" s="13" t="s">
        <v>43</v>
      </c>
      <c r="F385" s="44" t="s">
        <v>44</v>
      </c>
      <c r="G385" s="13" t="s">
        <v>45</v>
      </c>
      <c r="H385" s="13" t="b">
        <v>0</v>
      </c>
      <c r="I385" s="13" t="b">
        <v>0</v>
      </c>
      <c r="J385" s="13">
        <v>10</v>
      </c>
      <c r="K385" s="13">
        <f t="shared" si="11"/>
        <v>10</v>
      </c>
      <c r="L385" s="71" t="s">
        <v>1947</v>
      </c>
      <c r="M385" s="71"/>
      <c r="N385" s="71"/>
      <c r="O385" s="141" t="s">
        <v>1949</v>
      </c>
      <c r="P385" s="140"/>
      <c r="Q385" s="140"/>
      <c r="R385" s="72"/>
      <c r="S385" s="72"/>
      <c r="T385" s="72"/>
      <c r="U385" s="72"/>
      <c r="V385" s="13" t="b">
        <v>0</v>
      </c>
      <c r="W385" s="13" t="s">
        <v>1923</v>
      </c>
      <c r="X385" s="13"/>
      <c r="Y385" s="13" t="s">
        <v>1924</v>
      </c>
      <c r="Z385" s="13"/>
      <c r="AA385" s="13"/>
      <c r="AB385" s="13"/>
      <c r="AC385" s="92">
        <v>0.7</v>
      </c>
      <c r="AD385" s="13"/>
      <c r="AE385" s="13"/>
      <c r="AF385" s="13"/>
      <c r="AG385" s="13" t="s">
        <v>2093</v>
      </c>
      <c r="AH385" s="85"/>
    </row>
    <row r="386" spans="1:34" x14ac:dyDescent="0.3">
      <c r="A386" s="45">
        <f t="shared" si="10"/>
        <v>1210208201</v>
      </c>
      <c r="B386" s="45" t="s">
        <v>210</v>
      </c>
      <c r="C386" s="45" t="s">
        <v>219</v>
      </c>
      <c r="D386" s="45" t="str">
        <f>"Monster.Name."&amp;VLOOKUP($C386,'#Data'!$B$2:$J$344,2,FALSE)</f>
        <v>Monster.Name.plants_mortor_1</v>
      </c>
      <c r="E386" s="45" t="s">
        <v>47</v>
      </c>
      <c r="F386" s="46" t="s">
        <v>44</v>
      </c>
      <c r="G386" s="45" t="s">
        <v>45</v>
      </c>
      <c r="H386" s="45" t="b">
        <f>IF(OR(VLOOKUP($C386,'#Data'!$B$2:$J$344,4,FALSE)="보스",VLOOKUP($C386,'#Data'!$B$2:$J$344,4,FALSE)="중간"),TRUE,FALSE)</f>
        <v>1</v>
      </c>
      <c r="I386" s="45" t="b">
        <v>1</v>
      </c>
      <c r="J386" s="45">
        <v>10</v>
      </c>
      <c r="K386" s="45">
        <f t="shared" si="11"/>
        <v>10</v>
      </c>
      <c r="L386" s="73" t="str">
        <f>$B386&amp;"."&amp;VLOOKUP($C386,'#Data'!$B$2:$J$344,2,FALSE)&amp;".attack0"&amp;RIGHT(L$1,1)</f>
        <v>Sector08.plants_mortor_1.attack01</v>
      </c>
      <c r="M386" s="73"/>
      <c r="N386" s="73"/>
      <c r="O386" s="141" t="str">
        <f>$B386&amp;"."&amp;VLOOKUP($C386,'#Data'!$B$2:$J$344,2,FALSE)&amp;".skill0"&amp;RIGHT(O$1,1)</f>
        <v>Sector08.plants_mortor_1.skill01</v>
      </c>
      <c r="P386" s="141" t="str">
        <f>$B386&amp;"."&amp;VLOOKUP($C386,'#Data'!$B$2:$J$344,2,FALSE)&amp;".skill0"&amp;RIGHT(P$1,1)</f>
        <v>Sector08.plants_mortor_1.skill02</v>
      </c>
      <c r="Q386" s="141" t="str">
        <f>$B386&amp;"."&amp;VLOOKUP($C386,'#Data'!$B$2:$J$344,2,FALSE)&amp;".skill0"&amp;RIGHT(Q$1,1)</f>
        <v>Sector08.plants_mortor_1.skill03</v>
      </c>
      <c r="R386" s="74" t="s">
        <v>1959</v>
      </c>
      <c r="S386" s="74" t="s">
        <v>2078</v>
      </c>
      <c r="T386" s="74"/>
      <c r="U386" s="74"/>
      <c r="V386" s="45" t="b">
        <v>0</v>
      </c>
      <c r="W386" s="45" t="str">
        <f>"Character/Prefabs/"&amp;VLOOKUP($C386,'#Data'!$B$3:$I$344,8,FALSE)</f>
        <v>Character/Prefabs/m_l_ranger_plants_mortor_1</v>
      </c>
      <c r="X386" s="45"/>
      <c r="Y386" s="45" t="str">
        <f>VLOOKUP($C386,'#Data'!$B$3:$I$344,8,FALSE)</f>
        <v>m_l_ranger_plants_mortor_1</v>
      </c>
      <c r="Z386" s="45"/>
      <c r="AA386" s="45"/>
      <c r="AB386" s="45"/>
      <c r="AC386" s="93">
        <v>1.1000000000000001</v>
      </c>
      <c r="AD386" s="45"/>
      <c r="AE386" s="45"/>
      <c r="AF386" s="45"/>
      <c r="AG386" s="45" t="s">
        <v>2093</v>
      </c>
      <c r="AH386" s="85"/>
    </row>
    <row r="387" spans="1:34" x14ac:dyDescent="0.3">
      <c r="A387" s="45">
        <f t="shared" si="10"/>
        <v>1210208202</v>
      </c>
      <c r="B387" s="45" t="s">
        <v>210</v>
      </c>
      <c r="C387" s="45" t="s">
        <v>220</v>
      </c>
      <c r="D387" s="45" t="str">
        <f>"Monster.Name."&amp;VLOOKUP($C387,'#Data'!$B$2:$J$344,2,FALSE)</f>
        <v>Monster.Name.plants_robust_1</v>
      </c>
      <c r="E387" s="45" t="s">
        <v>58</v>
      </c>
      <c r="F387" s="46" t="s">
        <v>44</v>
      </c>
      <c r="G387" s="45" t="s">
        <v>45</v>
      </c>
      <c r="H387" s="45" t="b">
        <f>IF(OR(VLOOKUP($C387,'#Data'!$B$2:$J$344,4,FALSE)="보스",VLOOKUP($C387,'#Data'!$B$2:$J$344,4,FALSE)="중간"),TRUE,FALSE)</f>
        <v>1</v>
      </c>
      <c r="I387" s="45" t="b">
        <v>1</v>
      </c>
      <c r="J387" s="45">
        <v>10</v>
      </c>
      <c r="K387" s="45">
        <f t="shared" si="11"/>
        <v>10</v>
      </c>
      <c r="L387" s="73" t="str">
        <f>$B387&amp;"."&amp;VLOOKUP($C387,'#Data'!$B$2:$J$344,2,FALSE)&amp;".attack0"&amp;RIGHT(L$1,1)</f>
        <v>Sector08.plants_robust_1.attack01</v>
      </c>
      <c r="M387" s="73"/>
      <c r="N387" s="73"/>
      <c r="O387" s="141" t="str">
        <f>$B387&amp;"."&amp;VLOOKUP($C387,'#Data'!$B$2:$J$344,2,FALSE)&amp;".skill0"&amp;RIGHT(O$1,1)</f>
        <v>Sector08.plants_robust_1.skill01</v>
      </c>
      <c r="P387" s="141" t="str">
        <f>$B387&amp;"."&amp;VLOOKUP($C387,'#Data'!$B$2:$J$344,2,FALSE)&amp;".skill0"&amp;RIGHT(P$1,1)</f>
        <v>Sector08.plants_robust_1.skill02</v>
      </c>
      <c r="Q387" s="141" t="str">
        <f>$B387&amp;"."&amp;VLOOKUP($C387,'#Data'!$B$2:$J$344,2,FALSE)&amp;".skill0"&amp;RIGHT(Q$1,1)</f>
        <v>Sector08.plants_robust_1.skill03</v>
      </c>
      <c r="R387" s="74" t="s">
        <v>1959</v>
      </c>
      <c r="S387" s="74" t="s">
        <v>2078</v>
      </c>
      <c r="T387" s="74"/>
      <c r="U387" s="74"/>
      <c r="V387" s="45" t="b">
        <v>0</v>
      </c>
      <c r="W387" s="45" t="str">
        <f>"Character/Prefabs/"&amp;VLOOKUP($C387,'#Data'!$B$3:$I$344,8,FALSE)</f>
        <v>Character/Prefabs/m_l_tanker_plants_robust_1</v>
      </c>
      <c r="X387" s="45"/>
      <c r="Y387" s="45" t="str">
        <f>VLOOKUP($C387,'#Data'!$B$3:$I$344,8,FALSE)</f>
        <v>m_l_tanker_plants_robust_1</v>
      </c>
      <c r="Z387" s="45"/>
      <c r="AA387" s="45"/>
      <c r="AB387" s="45"/>
      <c r="AC387" s="93">
        <v>0.9</v>
      </c>
      <c r="AD387" s="45"/>
      <c r="AE387" s="45"/>
      <c r="AF387" s="45"/>
      <c r="AG387" s="45" t="s">
        <v>2093</v>
      </c>
      <c r="AH387" s="85"/>
    </row>
    <row r="388" spans="1:34" x14ac:dyDescent="0.3">
      <c r="A388" s="45">
        <f t="shared" si="10"/>
        <v>1210208203</v>
      </c>
      <c r="B388" s="45" t="s">
        <v>210</v>
      </c>
      <c r="C388" s="45" t="s">
        <v>221</v>
      </c>
      <c r="D388" s="45" t="str">
        <f>"Monster.Name."&amp;VLOOKUP($C388,'#Data'!$B$2:$J$344,2,FALSE)</f>
        <v>Monster.Name.plants_decay_1</v>
      </c>
      <c r="E388" s="45" t="s">
        <v>43</v>
      </c>
      <c r="F388" s="46" t="s">
        <v>44</v>
      </c>
      <c r="G388" s="45" t="s">
        <v>45</v>
      </c>
      <c r="H388" s="45" t="b">
        <f>IF(OR(VLOOKUP($C388,'#Data'!$B$2:$J$344,4,FALSE)="보스",VLOOKUP($C388,'#Data'!$B$2:$J$344,4,FALSE)="중간"),TRUE,FALSE)</f>
        <v>1</v>
      </c>
      <c r="I388" s="45" t="b">
        <v>1</v>
      </c>
      <c r="J388" s="45">
        <v>20</v>
      </c>
      <c r="K388" s="45">
        <f t="shared" si="11"/>
        <v>10</v>
      </c>
      <c r="L388" s="73" t="str">
        <f>$B388&amp;"."&amp;VLOOKUP($C388,'#Data'!$B$2:$J$344,2,FALSE)&amp;".attack0"&amp;RIGHT(L$1,1)</f>
        <v>Sector08.plants_decay_1.attack01</v>
      </c>
      <c r="M388" s="73"/>
      <c r="N388" s="73"/>
      <c r="O388" s="141" t="str">
        <f>$B388&amp;"."&amp;VLOOKUP($C388,'#Data'!$B$2:$J$344,2,FALSE)&amp;".skill0"&amp;RIGHT(O$1,1)</f>
        <v>Sector08.plants_decay_1.skill01</v>
      </c>
      <c r="P388" s="141" t="str">
        <f>$B388&amp;"."&amp;VLOOKUP($C388,'#Data'!$B$2:$J$344,2,FALSE)&amp;".skill0"&amp;RIGHT(P$1,1)</f>
        <v>Sector08.plants_decay_1.skill02</v>
      </c>
      <c r="Q388" s="141" t="str">
        <f>$B388&amp;"."&amp;VLOOKUP($C388,'#Data'!$B$2:$J$344,2,FALSE)&amp;".skill0"&amp;RIGHT(Q$1,1)</f>
        <v>Sector08.plants_decay_1.skill03</v>
      </c>
      <c r="R388" s="74" t="s">
        <v>1959</v>
      </c>
      <c r="S388" s="74" t="s">
        <v>2077</v>
      </c>
      <c r="T388" s="74"/>
      <c r="U388" s="74"/>
      <c r="V388" s="45" t="b">
        <v>0</v>
      </c>
      <c r="W388" s="45" t="str">
        <f>"Character/Prefabs/"&amp;VLOOKUP($C388,'#Data'!$B$3:$I$344,8,FALSE)</f>
        <v>Character/Prefabs/m_l_attacker_plants_decay_1</v>
      </c>
      <c r="X388" s="45"/>
      <c r="Y388" s="45" t="str">
        <f>VLOOKUP($C388,'#Data'!$B$3:$I$344,8,FALSE)</f>
        <v>m_l_attacker_plants_decay_1</v>
      </c>
      <c r="Z388" s="45"/>
      <c r="AA388" s="45"/>
      <c r="AB388" s="45"/>
      <c r="AC388" s="93">
        <v>1.1000000000000001</v>
      </c>
      <c r="AD388" s="45"/>
      <c r="AE388" s="45"/>
      <c r="AF388" s="45"/>
      <c r="AG388" s="45" t="s">
        <v>2093</v>
      </c>
      <c r="AH388" s="85"/>
    </row>
    <row r="389" spans="1:34" x14ac:dyDescent="0.3">
      <c r="A389" s="45">
        <f t="shared" si="10"/>
        <v>1210208301</v>
      </c>
      <c r="B389" s="45" t="s">
        <v>210</v>
      </c>
      <c r="C389" s="45" t="s">
        <v>222</v>
      </c>
      <c r="D389" s="45" t="str">
        <f>"Monster.Name."&amp;VLOOKUP($C389,'#Data'!$B$2:$J$344,2,FALSE)</f>
        <v>Monster.Name.crawler_1</v>
      </c>
      <c r="E389" s="45" t="s">
        <v>43</v>
      </c>
      <c r="F389" s="46" t="s">
        <v>44</v>
      </c>
      <c r="G389" s="45" t="s">
        <v>45</v>
      </c>
      <c r="H389" s="45" t="b">
        <f>IF(OR(VLOOKUP($C389,'#Data'!$B$2:$J$344,4,FALSE)="보스",VLOOKUP($C389,'#Data'!$B$2:$J$344,4,FALSE)="중간"),TRUE,FALSE)</f>
        <v>1</v>
      </c>
      <c r="I389" s="45" t="b">
        <v>1</v>
      </c>
      <c r="J389" s="45">
        <v>20</v>
      </c>
      <c r="K389" s="45">
        <f t="shared" si="11"/>
        <v>10</v>
      </c>
      <c r="L389" s="73" t="str">
        <f>$B389&amp;"."&amp;VLOOKUP($C389,'#Data'!$B$2:$J$344,2,FALSE)&amp;".attack0"&amp;RIGHT(L$1,1)</f>
        <v>Sector08.crawler_1.attack01</v>
      </c>
      <c r="M389" s="73" t="str">
        <f>$B389&amp;"."&amp;VLOOKUP($C389,'#Data'!$B$2:$J$344,2,FALSE)&amp;".attack0"&amp;RIGHT(M$1,1)</f>
        <v>Sector08.crawler_1.attack02</v>
      </c>
      <c r="N389" s="73"/>
      <c r="O389" s="141" t="str">
        <f>$B389&amp;"."&amp;VLOOKUP($C389,'#Data'!$B$2:$J$344,2,FALSE)&amp;".skill0"&amp;RIGHT(O$1,1)</f>
        <v>Sector08.crawler_1.skill01</v>
      </c>
      <c r="P389" s="141" t="str">
        <f>$B389&amp;"."&amp;VLOOKUP($C389,'#Data'!$B$2:$J$344,2,FALSE)&amp;".skill0"&amp;RIGHT(P$1,1)</f>
        <v>Sector08.crawler_1.skill02</v>
      </c>
      <c r="Q389" s="141" t="str">
        <f>$B389&amp;"."&amp;VLOOKUP($C389,'#Data'!$B$2:$J$344,2,FALSE)&amp;".skill0"&amp;RIGHT(Q$1,1)</f>
        <v>Sector08.crawler_1.skill03</v>
      </c>
      <c r="R389" s="74" t="s">
        <v>1927</v>
      </c>
      <c r="S389" s="74" t="s">
        <v>76</v>
      </c>
      <c r="T389" s="74"/>
      <c r="U389" s="74"/>
      <c r="V389" s="45" t="b">
        <v>0</v>
      </c>
      <c r="W389" s="45" t="str">
        <f>"Character/Prefabs/"&amp;VLOOKUP($C389,'#Data'!$B$3:$I$344,8,FALSE)</f>
        <v>Character/Prefabs/m_boss_attacker_crawler_1</v>
      </c>
      <c r="X389" s="45"/>
      <c r="Y389" s="45" t="str">
        <f>VLOOKUP($C389,'#Data'!$B$3:$I$344,8,FALSE)</f>
        <v>m_boss_attacker_crawler_1</v>
      </c>
      <c r="Z389" s="45"/>
      <c r="AA389" s="45"/>
      <c r="AB389" s="45"/>
      <c r="AC389" s="93">
        <v>1.2</v>
      </c>
      <c r="AD389" s="45"/>
      <c r="AE389" s="45" t="s">
        <v>1950</v>
      </c>
      <c r="AF389" s="45" t="s">
        <v>1952</v>
      </c>
      <c r="AG389" s="45" t="s">
        <v>2093</v>
      </c>
      <c r="AH389" s="85"/>
    </row>
    <row r="390" spans="1:34" x14ac:dyDescent="0.3">
      <c r="A390" s="117">
        <f t="shared" si="10"/>
        <v>1210208302</v>
      </c>
      <c r="B390" s="117" t="s">
        <v>210</v>
      </c>
      <c r="C390" s="117" t="s">
        <v>2088</v>
      </c>
      <c r="D390" s="117" t="str">
        <f>"Monster.Name."&amp;VLOOKUP($C390,'#Data'!$B$2:$J$344,2,FALSE)</f>
        <v>Monster.Name.skull_crawler_1</v>
      </c>
      <c r="E390" s="117" t="s">
        <v>43</v>
      </c>
      <c r="F390" s="118" t="s">
        <v>44</v>
      </c>
      <c r="G390" s="117" t="s">
        <v>45</v>
      </c>
      <c r="H390" s="117" t="b">
        <f>IF(OR(VLOOKUP($C390,'#Data'!$B$2:$J$344,4,FALSE)="보스",VLOOKUP($C390,'#Data'!$B$2:$J$344,4,FALSE)="중간"),TRUE,FALSE)</f>
        <v>1</v>
      </c>
      <c r="I390" s="117" t="b">
        <v>1</v>
      </c>
      <c r="J390" s="117">
        <v>20</v>
      </c>
      <c r="K390" s="117">
        <f t="shared" si="11"/>
        <v>10</v>
      </c>
      <c r="L390" s="119" t="str">
        <f>$B390&amp;"."&amp;VLOOKUP($C390,'#Data'!$B$2:$J$344,2,FALSE)&amp;".attack0"&amp;RIGHT(L$1,1)</f>
        <v>Sector08.skull_crawler_1.attack01</v>
      </c>
      <c r="M390" s="119" t="str">
        <f>$B390&amp;"."&amp;VLOOKUP($C390,'#Data'!$B$2:$J$344,2,FALSE)&amp;".attack0"&amp;RIGHT(M$1,1)</f>
        <v>Sector08.skull_crawler_1.attack02</v>
      </c>
      <c r="N390" s="119"/>
      <c r="O390" s="142" t="str">
        <f>$B390&amp;"."&amp;VLOOKUP($C390,'#Data'!$B$2:$J$344,2,FALSE)&amp;".skill0"&amp;RIGHT(O$1,1)</f>
        <v>Sector08.skull_crawler_1.skill01</v>
      </c>
      <c r="P390" s="142" t="str">
        <f>$B390&amp;"."&amp;VLOOKUP($C390,'#Data'!$B$2:$J$344,2,FALSE)&amp;".skill0"&amp;RIGHT(P$1,1)</f>
        <v>Sector08.skull_crawler_1.skill02</v>
      </c>
      <c r="Q390" s="142" t="str">
        <f>$B390&amp;"."&amp;VLOOKUP($C390,'#Data'!$B$2:$J$344,2,FALSE)&amp;".skill0"&amp;RIGHT(Q$1,1)</f>
        <v>Sector08.skull_crawler_1.skill03</v>
      </c>
      <c r="R390" s="120" t="s">
        <v>1927</v>
      </c>
      <c r="S390" s="120" t="s">
        <v>76</v>
      </c>
      <c r="T390" s="120"/>
      <c r="U390" s="120"/>
      <c r="V390" s="117" t="b">
        <v>0</v>
      </c>
      <c r="W390" s="117" t="str">
        <f>"Character/Prefabs/"&amp;VLOOKUP($C390,'#Data'!$B$3:$I$344,8,FALSE)</f>
        <v>Character/Prefabs/m_boss_attacker_skull_crawler_1</v>
      </c>
      <c r="X390" s="117"/>
      <c r="Y390" s="117" t="str">
        <f>VLOOKUP($C390,'#Data'!$B$3:$I$344,8,FALSE)</f>
        <v>m_boss_attacker_skull_crawler_1</v>
      </c>
      <c r="Z390" s="117"/>
      <c r="AA390" s="117"/>
      <c r="AB390" s="117"/>
      <c r="AC390" s="121">
        <v>1.2</v>
      </c>
      <c r="AD390" s="117"/>
      <c r="AE390" s="117" t="s">
        <v>2090</v>
      </c>
      <c r="AF390" s="117" t="s">
        <v>2103</v>
      </c>
      <c r="AG390" s="117" t="s">
        <v>2093</v>
      </c>
      <c r="AH390" s="85"/>
    </row>
    <row r="391" spans="1:34" x14ac:dyDescent="0.3">
      <c r="K391" s="37"/>
    </row>
    <row r="392" spans="1:34" x14ac:dyDescent="0.3">
      <c r="A392" s="37">
        <f>A199+100000000</f>
        <v>1310201101</v>
      </c>
      <c r="B392" s="37" t="s">
        <v>41</v>
      </c>
      <c r="C392" s="37" t="s">
        <v>42</v>
      </c>
      <c r="D392" s="37" t="str">
        <f>"Monster.Name."&amp;VLOOKUP($C392,'#Data'!$B$2:$J$344,2,FALSE)</f>
        <v>Monster.Name.solid_turretmk1_1</v>
      </c>
      <c r="E392" s="37" t="s">
        <v>43</v>
      </c>
      <c r="F392" s="38" t="s">
        <v>44</v>
      </c>
      <c r="G392" s="37" t="s">
        <v>45</v>
      </c>
      <c r="H392" s="37" t="b">
        <f>IF(OR(VLOOKUP($C392,'#Data'!$B$2:$J$344,4,FALSE)="보스",VLOOKUP($C392,'#Data'!$B$2:$J$344,4,FALSE)="중간"),TRUE,FALSE)</f>
        <v>0</v>
      </c>
      <c r="I392" s="37" t="b">
        <f>IF(OR(VLOOKUP($C392,'#Data'!$B$2:$J$344,4,FALSE)="보스",VLOOKUP($C392,'#Data'!$B$2:$J$344,4,FALSE)="중간"),TRUE,FALSE)</f>
        <v>0</v>
      </c>
      <c r="J392" s="37">
        <v>10</v>
      </c>
      <c r="K392" s="37">
        <f>K199</f>
        <v>10</v>
      </c>
      <c r="L392" s="59" t="str">
        <f>$B392&amp;"."&amp;VLOOKUP($C392,'#Data'!$B$2:$J$344,2,FALSE)&amp;".attack0"&amp;RIGHT(L$1,1)</f>
        <v>Sector01.solid_turretmk1_1.attack01</v>
      </c>
      <c r="M392" s="59"/>
      <c r="N392" s="59"/>
      <c r="O392" s="131" t="s">
        <v>1990</v>
      </c>
      <c r="P392" s="131"/>
      <c r="Q392" s="131"/>
      <c r="R392" s="60"/>
      <c r="S392" s="60"/>
      <c r="T392" s="60"/>
      <c r="U392" s="60"/>
      <c r="V392" s="37" t="b">
        <v>0</v>
      </c>
      <c r="W392" s="37" t="str">
        <f>"Character/Prefabs/"&amp;VLOOKUP($C392,'#Data'!$B$3:$I$344,8,FALSE)</f>
        <v>Character/Prefabs/m_s_attacker_solid_turretmk1_1</v>
      </c>
      <c r="X392" s="37"/>
      <c r="Y392" s="37" t="str">
        <f>VLOOKUP($C392,'#Data'!$B$3:$I$344,8,FALSE)</f>
        <v>m_s_attacker_solid_turretmk1_1</v>
      </c>
      <c r="Z392" s="37"/>
      <c r="AA392" s="37"/>
      <c r="AB392" s="37"/>
      <c r="AC392" s="84">
        <v>0.7</v>
      </c>
      <c r="AD392" s="37"/>
      <c r="AE392" s="37"/>
      <c r="AF392" s="37"/>
      <c r="AG392" s="37" t="s">
        <v>2105</v>
      </c>
      <c r="AH392" s="85"/>
    </row>
    <row r="393" spans="1:34" x14ac:dyDescent="0.3">
      <c r="A393" s="37">
        <f t="shared" ref="A393:A456" si="12">A200+100000000</f>
        <v>1310201102</v>
      </c>
      <c r="B393" s="37" t="s">
        <v>41</v>
      </c>
      <c r="C393" s="37" t="s">
        <v>46</v>
      </c>
      <c r="D393" s="37" t="str">
        <f>"Monster.Name."&amp;VLOOKUP($C393,'#Data'!$B$2:$J$344,2,FALSE)</f>
        <v>Monster.Name.spider_turret_prototype_1</v>
      </c>
      <c r="E393" s="37" t="s">
        <v>47</v>
      </c>
      <c r="F393" s="38" t="s">
        <v>44</v>
      </c>
      <c r="G393" s="37" t="s">
        <v>45</v>
      </c>
      <c r="H393" s="37" t="b">
        <f>IF(OR(VLOOKUP($C393,'#Data'!$B$2:$J$344,4,FALSE)="보스",VLOOKUP($C393,'#Data'!$B$2:$J$344,4,FALSE)="중간"),TRUE,FALSE)</f>
        <v>0</v>
      </c>
      <c r="I393" s="37" t="b">
        <f>IF(OR(VLOOKUP($C393,'#Data'!$B$2:$J$344,4,FALSE)="보스",VLOOKUP($C393,'#Data'!$B$2:$J$344,4,FALSE)="중간"),TRUE,FALSE)</f>
        <v>0</v>
      </c>
      <c r="J393" s="37">
        <v>10</v>
      </c>
      <c r="K393" s="37">
        <f t="shared" ref="K393:K456" si="13">K200</f>
        <v>30</v>
      </c>
      <c r="L393" s="59" t="str">
        <f>$B393&amp;"."&amp;VLOOKUP($C393,'#Data'!$B$2:$J$344,2,FALSE)&amp;".attack0"&amp;RIGHT(L$1,1)</f>
        <v>Sector01.spider_turret_prototype_1.attack01</v>
      </c>
      <c r="M393" s="59"/>
      <c r="N393" s="59"/>
      <c r="O393" s="131" t="s">
        <v>1991</v>
      </c>
      <c r="P393" s="131"/>
      <c r="Q393" s="131"/>
      <c r="R393" s="60"/>
      <c r="S393" s="60"/>
      <c r="T393" s="60"/>
      <c r="U393" s="60"/>
      <c r="V393" s="37" t="b">
        <v>0</v>
      </c>
      <c r="W393" s="37" t="str">
        <f>"Character/Prefabs/"&amp;VLOOKUP($C393,'#Data'!$B$3:$I$344,8,FALSE)</f>
        <v>Character/Prefabs/m_s_ranger_spider_turret_prototype_1</v>
      </c>
      <c r="X393" s="37"/>
      <c r="Y393" s="37" t="str">
        <f>VLOOKUP($C393,'#Data'!$B$3:$I$344,8,FALSE)</f>
        <v>m_s_ranger_spider_turret_prototype_1</v>
      </c>
      <c r="Z393" s="37"/>
      <c r="AA393" s="37"/>
      <c r="AB393" s="37"/>
      <c r="AC393" s="84">
        <v>0.6</v>
      </c>
      <c r="AD393" s="37"/>
      <c r="AE393" s="37"/>
      <c r="AF393" s="37"/>
      <c r="AG393" s="37" t="s">
        <v>2105</v>
      </c>
      <c r="AH393" s="85"/>
    </row>
    <row r="394" spans="1:34" x14ac:dyDescent="0.3">
      <c r="A394" s="37">
        <f t="shared" si="12"/>
        <v>1310201103</v>
      </c>
      <c r="B394" s="37" t="s">
        <v>41</v>
      </c>
      <c r="C394" s="37" t="s">
        <v>48</v>
      </c>
      <c r="D394" s="37" t="str">
        <f>"Monster.Name."&amp;VLOOKUP($C394,'#Data'!$B$2:$J$344,2,FALSE)</f>
        <v>Monster.Name.electric_drone_1</v>
      </c>
      <c r="E394" s="37" t="s">
        <v>43</v>
      </c>
      <c r="F394" s="38" t="s">
        <v>44</v>
      </c>
      <c r="G394" s="37" t="s">
        <v>45</v>
      </c>
      <c r="H394" s="37" t="b">
        <f>IF(OR(VLOOKUP($C394,'#Data'!$B$2:$J$344,4,FALSE)="보스",VLOOKUP($C394,'#Data'!$B$2:$J$344,4,FALSE)="중간"),TRUE,FALSE)</f>
        <v>0</v>
      </c>
      <c r="I394" s="37" t="b">
        <f>IF(OR(VLOOKUP($C394,'#Data'!$B$2:$J$344,4,FALSE)="보스",VLOOKUP($C394,'#Data'!$B$2:$J$344,4,FALSE)="중간"),TRUE,FALSE)</f>
        <v>0</v>
      </c>
      <c r="J394" s="37">
        <v>10</v>
      </c>
      <c r="K394" s="37">
        <f t="shared" si="13"/>
        <v>10</v>
      </c>
      <c r="L394" s="59" t="str">
        <f>$B394&amp;"."&amp;VLOOKUP($C394,'#Data'!$B$2:$J$344,2,FALSE)&amp;".attack0"&amp;RIGHT(L$1,1)</f>
        <v>Sector01.electric_drone_1.attack01</v>
      </c>
      <c r="M394" s="59"/>
      <c r="N394" s="59"/>
      <c r="O394" s="131" t="s">
        <v>1992</v>
      </c>
      <c r="P394" s="131"/>
      <c r="Q394" s="131"/>
      <c r="R394" s="60"/>
      <c r="S394" s="60"/>
      <c r="T394" s="60"/>
      <c r="U394" s="60"/>
      <c r="V394" s="37" t="b">
        <v>0</v>
      </c>
      <c r="W394" s="37" t="str">
        <f>"Character/Prefabs/"&amp;VLOOKUP($C394,'#Data'!$B$3:$I$344,8,FALSE)</f>
        <v>Character/Prefabs/m_s_attacker_electric_drone_1</v>
      </c>
      <c r="X394" s="37"/>
      <c r="Y394" s="37" t="str">
        <f>VLOOKUP($C394,'#Data'!$B$3:$I$344,8,FALSE)</f>
        <v>m_s_attacker_electric_drone_1</v>
      </c>
      <c r="Z394" s="37"/>
      <c r="AA394" s="37"/>
      <c r="AB394" s="37"/>
      <c r="AC394" s="84">
        <v>0.7</v>
      </c>
      <c r="AD394" s="37"/>
      <c r="AE394" s="37"/>
      <c r="AF394" s="37"/>
      <c r="AG394" s="37" t="s">
        <v>2105</v>
      </c>
      <c r="AH394" s="85"/>
    </row>
    <row r="395" spans="1:34" x14ac:dyDescent="0.3">
      <c r="A395" s="37">
        <f t="shared" si="12"/>
        <v>1310201104</v>
      </c>
      <c r="B395" s="37" t="s">
        <v>41</v>
      </c>
      <c r="C395" s="37" t="s">
        <v>52</v>
      </c>
      <c r="D395" s="37" t="str">
        <f>"Monster.Name."&amp;VLOOKUP($C395,'#Data'!$B$2:$J$344,2,FALSE)</f>
        <v>Monster.Name.jamming_drone_1</v>
      </c>
      <c r="E395" s="37" t="s">
        <v>47</v>
      </c>
      <c r="F395" s="38" t="s">
        <v>44</v>
      </c>
      <c r="G395" s="37" t="s">
        <v>45</v>
      </c>
      <c r="H395" s="37" t="b">
        <f>IF(OR(VLOOKUP($C395,'#Data'!$B$2:$J$344,4,FALSE)="보스",VLOOKUP($C395,'#Data'!$B$2:$J$344,4,FALSE)="중간"),TRUE,FALSE)</f>
        <v>0</v>
      </c>
      <c r="I395" s="37" t="b">
        <f>IF(OR(VLOOKUP($C395,'#Data'!$B$2:$J$344,4,FALSE)="보스",VLOOKUP($C395,'#Data'!$B$2:$J$344,4,FALSE)="중간"),TRUE,FALSE)</f>
        <v>0</v>
      </c>
      <c r="J395" s="37">
        <v>10</v>
      </c>
      <c r="K395" s="37">
        <f t="shared" si="13"/>
        <v>10</v>
      </c>
      <c r="L395" s="59" t="str">
        <f>$B395&amp;"."&amp;VLOOKUP($C395,'#Data'!$B$2:$J$344,2,FALSE)&amp;".attack0"&amp;RIGHT(L$1,1)</f>
        <v>Sector01.jamming_drone_1.attack01</v>
      </c>
      <c r="M395" s="59"/>
      <c r="N395" s="59"/>
      <c r="O395" s="131" t="s">
        <v>1993</v>
      </c>
      <c r="P395" s="131"/>
      <c r="Q395" s="131"/>
      <c r="R395" s="60"/>
      <c r="S395" s="60"/>
      <c r="T395" s="60"/>
      <c r="U395" s="60"/>
      <c r="V395" s="37" t="b">
        <v>0</v>
      </c>
      <c r="W395" s="37" t="str">
        <f>"Character/Prefabs/"&amp;VLOOKUP($C395,'#Data'!$B$3:$I$344,8,FALSE)</f>
        <v>Character/Prefabs/m_s_ranger_jamming_drone_1</v>
      </c>
      <c r="X395" s="37"/>
      <c r="Y395" s="37" t="str">
        <f>VLOOKUP($C395,'#Data'!$B$3:$I$344,8,FALSE)</f>
        <v>m_s_ranger_jamming_drone_1</v>
      </c>
      <c r="Z395" s="37"/>
      <c r="AA395" s="37"/>
      <c r="AB395" s="37"/>
      <c r="AC395" s="84">
        <v>0.6</v>
      </c>
      <c r="AD395" s="37"/>
      <c r="AE395" s="37"/>
      <c r="AF395" s="37"/>
      <c r="AG395" s="37" t="s">
        <v>2105</v>
      </c>
      <c r="AH395" s="85"/>
    </row>
    <row r="396" spans="1:34" x14ac:dyDescent="0.3">
      <c r="A396" s="37">
        <f t="shared" si="12"/>
        <v>1310201105</v>
      </c>
      <c r="B396" s="37" t="s">
        <v>41</v>
      </c>
      <c r="C396" s="37" t="s">
        <v>56</v>
      </c>
      <c r="D396" s="37" t="str">
        <f>"Monster.Name."&amp;VLOOKUP($C396,'#Data'!$B$2:$J$344,2,FALSE)</f>
        <v>Monster.Name.trooper_sniper_1</v>
      </c>
      <c r="E396" s="37" t="s">
        <v>47</v>
      </c>
      <c r="F396" s="38" t="s">
        <v>44</v>
      </c>
      <c r="G396" s="37" t="s">
        <v>45</v>
      </c>
      <c r="H396" s="37" t="b">
        <f>IF(OR(VLOOKUP($C396,'#Data'!$B$2:$J$344,4,FALSE)="보스",VLOOKUP($C396,'#Data'!$B$2:$J$344,4,FALSE)="중간"),TRUE,FALSE)</f>
        <v>0</v>
      </c>
      <c r="I396" s="37" t="b">
        <f>IF(OR(VLOOKUP($C396,'#Data'!$B$2:$J$344,4,FALSE)="보스",VLOOKUP($C396,'#Data'!$B$2:$J$344,4,FALSE)="중간"),TRUE,FALSE)</f>
        <v>0</v>
      </c>
      <c r="J396" s="37">
        <v>10</v>
      </c>
      <c r="K396" s="37">
        <f t="shared" si="13"/>
        <v>10</v>
      </c>
      <c r="L396" s="59" t="str">
        <f>$B396&amp;"."&amp;VLOOKUP($C396,'#Data'!$B$2:$J$344,2,FALSE)&amp;".attack0"&amp;RIGHT(L$1,1)</f>
        <v>Sector01.trooper_sniper_1.attack01</v>
      </c>
      <c r="M396" s="59"/>
      <c r="N396" s="59"/>
      <c r="O396" s="131" t="str">
        <f>$B396&amp;"."&amp;VLOOKUP($C396,'#Data'!$B$2:$J$344,2,FALSE)&amp;".skill0"&amp;RIGHT(O$1,1)</f>
        <v>Sector01.trooper_sniper_1.skill01</v>
      </c>
      <c r="P396" s="131" t="s">
        <v>1994</v>
      </c>
      <c r="Q396" s="131"/>
      <c r="R396" s="60"/>
      <c r="S396" s="60"/>
      <c r="T396" s="60"/>
      <c r="U396" s="60"/>
      <c r="V396" s="37" t="b">
        <v>0</v>
      </c>
      <c r="W396" s="37" t="str">
        <f>"Character/Prefabs/"&amp;VLOOKUP($C396,'#Data'!$B$3:$I$344,8,FALSE)</f>
        <v>Character/Prefabs/m_m_ranger_trooper_sniper_1</v>
      </c>
      <c r="X396" s="37"/>
      <c r="Y396" s="37" t="str">
        <f>VLOOKUP($C396,'#Data'!$B$3:$I$344,8,FALSE)</f>
        <v>m_m_ranger_trooper_sniper_1</v>
      </c>
      <c r="Z396" s="37"/>
      <c r="AA396" s="37"/>
      <c r="AB396" s="37"/>
      <c r="AC396" s="84">
        <v>0.8</v>
      </c>
      <c r="AD396" s="37"/>
      <c r="AE396" s="37"/>
      <c r="AF396" s="37"/>
      <c r="AG396" s="37" t="s">
        <v>2105</v>
      </c>
      <c r="AH396" s="85"/>
    </row>
    <row r="397" spans="1:34" x14ac:dyDescent="0.3">
      <c r="A397" s="37">
        <f t="shared" si="12"/>
        <v>1310201106</v>
      </c>
      <c r="B397" s="37" t="s">
        <v>41</v>
      </c>
      <c r="C397" s="37" t="s">
        <v>57</v>
      </c>
      <c r="D397" s="37" t="str">
        <f>"Monster.Name."&amp;VLOOKUP($C397,'#Data'!$B$2:$J$344,2,FALSE)</f>
        <v>Monster.Name.trooper_guard_1</v>
      </c>
      <c r="E397" s="37" t="s">
        <v>58</v>
      </c>
      <c r="F397" s="38" t="s">
        <v>44</v>
      </c>
      <c r="G397" s="37" t="s">
        <v>45</v>
      </c>
      <c r="H397" s="37" t="b">
        <f>IF(OR(VLOOKUP($C397,'#Data'!$B$2:$J$344,4,FALSE)="보스",VLOOKUP($C397,'#Data'!$B$2:$J$344,4,FALSE)="중간"),TRUE,FALSE)</f>
        <v>0</v>
      </c>
      <c r="I397" s="37" t="b">
        <f>IF(OR(VLOOKUP($C397,'#Data'!$B$2:$J$344,4,FALSE)="보스",VLOOKUP($C397,'#Data'!$B$2:$J$344,4,FALSE)="중간"),TRUE,FALSE)</f>
        <v>0</v>
      </c>
      <c r="J397" s="37">
        <v>10</v>
      </c>
      <c r="K397" s="37">
        <f t="shared" si="13"/>
        <v>10</v>
      </c>
      <c r="L397" s="59" t="str">
        <f>$B397&amp;"."&amp;VLOOKUP($C397,'#Data'!$B$2:$J$344,2,FALSE)&amp;".attack0"&amp;RIGHT(L$1,1)</f>
        <v>Sector01.trooper_guard_1.attack01</v>
      </c>
      <c r="M397" s="59"/>
      <c r="N397" s="59"/>
      <c r="O397" s="131" t="str">
        <f>$B397&amp;"."&amp;VLOOKUP($C397,'#Data'!$B$2:$J$344,2,FALSE)&amp;".skill0"&amp;RIGHT(O$1,1)</f>
        <v>Sector01.trooper_guard_1.skill01</v>
      </c>
      <c r="P397" s="131" t="s">
        <v>1995</v>
      </c>
      <c r="Q397" s="131"/>
      <c r="R397" s="60"/>
      <c r="S397" s="60"/>
      <c r="T397" s="60"/>
      <c r="U397" s="60"/>
      <c r="V397" s="37" t="b">
        <v>0</v>
      </c>
      <c r="W397" s="37" t="str">
        <f>"Character/Prefabs/"&amp;VLOOKUP($C397,'#Data'!$B$3:$I$344,8,FALSE)</f>
        <v>Character/Prefabs/m_m_tanker_trooper_guard_1</v>
      </c>
      <c r="X397" s="37"/>
      <c r="Y397" s="37" t="str">
        <f>VLOOKUP($C397,'#Data'!$B$3:$I$344,8,FALSE)</f>
        <v>m_m_tanker_trooper_guard_1</v>
      </c>
      <c r="Z397" s="37"/>
      <c r="AA397" s="37"/>
      <c r="AB397" s="37"/>
      <c r="AC397" s="84">
        <v>0.8</v>
      </c>
      <c r="AD397" s="37"/>
      <c r="AE397" s="37"/>
      <c r="AF397" s="37"/>
      <c r="AG397" s="37" t="s">
        <v>2105</v>
      </c>
      <c r="AH397" s="85"/>
    </row>
    <row r="398" spans="1:34" x14ac:dyDescent="0.3">
      <c r="A398" s="37">
        <f t="shared" si="12"/>
        <v>1310201107</v>
      </c>
      <c r="B398" s="37" t="s">
        <v>41</v>
      </c>
      <c r="C398" s="37" t="s">
        <v>59</v>
      </c>
      <c r="D398" s="37" t="str">
        <f>"Monster.Name."&amp;VLOOKUP($C398,'#Data'!$B$2:$J$344,2,FALSE)</f>
        <v>Monster.Name.trooper_champion_1</v>
      </c>
      <c r="E398" s="37" t="s">
        <v>43</v>
      </c>
      <c r="F398" s="38" t="s">
        <v>44</v>
      </c>
      <c r="G398" s="37" t="s">
        <v>45</v>
      </c>
      <c r="H398" s="37" t="b">
        <f>IF(OR(VLOOKUP($C398,'#Data'!$B$2:$J$344,4,FALSE)="보스",VLOOKUP($C398,'#Data'!$B$2:$J$344,4,FALSE)="중간"),TRUE,FALSE)</f>
        <v>0</v>
      </c>
      <c r="I398" s="37" t="b">
        <f>IF(OR(VLOOKUP($C398,'#Data'!$B$2:$J$344,4,FALSE)="보스",VLOOKUP($C398,'#Data'!$B$2:$J$344,4,FALSE)="중간"),TRUE,FALSE)</f>
        <v>0</v>
      </c>
      <c r="J398" s="37">
        <v>10</v>
      </c>
      <c r="K398" s="37">
        <f t="shared" si="13"/>
        <v>10</v>
      </c>
      <c r="L398" s="59" t="str">
        <f>$B398&amp;"."&amp;VLOOKUP($C398,'#Data'!$B$2:$J$344,2,FALSE)&amp;".attack0"&amp;RIGHT(L$1,1)</f>
        <v>Sector01.trooper_champion_1.attack01</v>
      </c>
      <c r="M398" s="59"/>
      <c r="N398" s="59"/>
      <c r="O398" s="131" t="str">
        <f>$B398&amp;"."&amp;VLOOKUP($C398,'#Data'!$B$2:$J$344,2,FALSE)&amp;".skill0"&amp;RIGHT(O$1,1)</f>
        <v>Sector01.trooper_champion_1.skill01</v>
      </c>
      <c r="P398" s="131" t="s">
        <v>1996</v>
      </c>
      <c r="Q398" s="131"/>
      <c r="R398" s="60"/>
      <c r="S398" s="60"/>
      <c r="T398" s="60"/>
      <c r="U398" s="60"/>
      <c r="V398" s="37" t="b">
        <v>0</v>
      </c>
      <c r="W398" s="37" t="str">
        <f>"Character/Prefabs/"&amp;VLOOKUP($C398,'#Data'!$B$3:$I$344,8,FALSE)</f>
        <v>Character/Prefabs/m_m_attacker_trooper_champion_1</v>
      </c>
      <c r="X398" s="37"/>
      <c r="Y398" s="37" t="str">
        <f>VLOOKUP($C398,'#Data'!$B$3:$I$344,8,FALSE)</f>
        <v>m_m_attacker_trooper_champion_1</v>
      </c>
      <c r="Z398" s="37"/>
      <c r="AA398" s="37"/>
      <c r="AB398" s="37"/>
      <c r="AC398" s="84">
        <v>0.8</v>
      </c>
      <c r="AD398" s="37"/>
      <c r="AE398" s="37"/>
      <c r="AF398" s="37"/>
      <c r="AG398" s="37" t="s">
        <v>2105</v>
      </c>
      <c r="AH398" s="85"/>
    </row>
    <row r="399" spans="1:34" x14ac:dyDescent="0.3">
      <c r="A399" s="37">
        <f t="shared" si="12"/>
        <v>1310201108</v>
      </c>
      <c r="B399" s="37" t="s">
        <v>41</v>
      </c>
      <c r="C399" s="37" t="s">
        <v>60</v>
      </c>
      <c r="D399" s="37" t="str">
        <f>"Monster.Name."&amp;VLOOKUP($C399,'#Data'!$B$2:$J$344,2,FALSE)</f>
        <v>Monster.Name.trooper_demolisher_1</v>
      </c>
      <c r="E399" s="37" t="s">
        <v>47</v>
      </c>
      <c r="F399" s="38" t="s">
        <v>44</v>
      </c>
      <c r="G399" s="37" t="s">
        <v>45</v>
      </c>
      <c r="H399" s="37" t="b">
        <f>IF(OR(VLOOKUP($C399,'#Data'!$B$2:$J$344,4,FALSE)="보스",VLOOKUP($C399,'#Data'!$B$2:$J$344,4,FALSE)="중간"),TRUE,FALSE)</f>
        <v>0</v>
      </c>
      <c r="I399" s="37" t="b">
        <f>IF(OR(VLOOKUP($C399,'#Data'!$B$2:$J$344,4,FALSE)="보스",VLOOKUP($C399,'#Data'!$B$2:$J$344,4,FALSE)="중간"),TRUE,FALSE)</f>
        <v>0</v>
      </c>
      <c r="J399" s="37">
        <v>10</v>
      </c>
      <c r="K399" s="37">
        <f t="shared" si="13"/>
        <v>10</v>
      </c>
      <c r="L399" s="59" t="str">
        <f>$B399&amp;"."&amp;VLOOKUP($C399,'#Data'!$B$2:$J$344,2,FALSE)&amp;".attack0"&amp;RIGHT(L$1,1)</f>
        <v>Sector01.trooper_demolisher_1.attack01</v>
      </c>
      <c r="M399" s="59"/>
      <c r="N399" s="59"/>
      <c r="O399" s="131" t="str">
        <f>$B399&amp;"."&amp;VLOOKUP($C399,'#Data'!$B$2:$J$344,2,FALSE)&amp;".skill0"&amp;RIGHT(O$1,1)</f>
        <v>Sector01.trooper_demolisher_1.skill01</v>
      </c>
      <c r="P399" s="131" t="s">
        <v>2018</v>
      </c>
      <c r="Q399" s="131"/>
      <c r="R399" s="60"/>
      <c r="S399" s="60"/>
      <c r="T399" s="60"/>
      <c r="U399" s="60"/>
      <c r="V399" s="37" t="b">
        <v>0</v>
      </c>
      <c r="W399" s="37" t="str">
        <f>"Character/Prefabs/"&amp;VLOOKUP($C399,'#Data'!$B$3:$I$344,8,FALSE)</f>
        <v>Character/Prefabs/m_m_ranger_trooper_demolisher_1</v>
      </c>
      <c r="X399" s="37"/>
      <c r="Y399" s="37" t="str">
        <f>VLOOKUP($C399,'#Data'!$B$3:$I$344,8,FALSE)</f>
        <v>m_m_ranger_trooper_demolisher_1</v>
      </c>
      <c r="Z399" s="37"/>
      <c r="AA399" s="37"/>
      <c r="AB399" s="37"/>
      <c r="AC399" s="84">
        <v>0.8</v>
      </c>
      <c r="AD399" s="37"/>
      <c r="AE399" s="37"/>
      <c r="AF399" s="37"/>
      <c r="AG399" s="37" t="s">
        <v>2105</v>
      </c>
      <c r="AH399" s="85"/>
    </row>
    <row r="400" spans="1:34" x14ac:dyDescent="0.3">
      <c r="A400" s="37">
        <f t="shared" si="12"/>
        <v>1310201109</v>
      </c>
      <c r="B400" s="37" t="s">
        <v>41</v>
      </c>
      <c r="C400" s="37" t="s">
        <v>61</v>
      </c>
      <c r="D400" s="37" t="str">
        <f>"Monster.Name."&amp;VLOOKUP($C400,'#Data'!$B$2:$J$344,2,FALSE)</f>
        <v>Monster.Name.trooper_inferno_1</v>
      </c>
      <c r="E400" s="37" t="s">
        <v>43</v>
      </c>
      <c r="F400" s="38" t="s">
        <v>44</v>
      </c>
      <c r="G400" s="37" t="s">
        <v>45</v>
      </c>
      <c r="H400" s="37" t="b">
        <f>IF(OR(VLOOKUP($C400,'#Data'!$B$2:$J$344,4,FALSE)="보스",VLOOKUP($C400,'#Data'!$B$2:$J$344,4,FALSE)="중간"),TRUE,FALSE)</f>
        <v>0</v>
      </c>
      <c r="I400" s="37" t="b">
        <f>IF(OR(VLOOKUP($C400,'#Data'!$B$2:$J$344,4,FALSE)="보스",VLOOKUP($C400,'#Data'!$B$2:$J$344,4,FALSE)="중간"),TRUE,FALSE)</f>
        <v>0</v>
      </c>
      <c r="J400" s="37">
        <v>10</v>
      </c>
      <c r="K400" s="37">
        <f t="shared" si="13"/>
        <v>10</v>
      </c>
      <c r="L400" s="59" t="str">
        <f>$B400&amp;"."&amp;VLOOKUP($C400,'#Data'!$B$2:$J$344,2,FALSE)&amp;".attack0"&amp;RIGHT(L$1,1)</f>
        <v>Sector01.trooper_inferno_1.attack01</v>
      </c>
      <c r="M400" s="59"/>
      <c r="N400" s="59"/>
      <c r="O400" s="131" t="str">
        <f>$B400&amp;"."&amp;VLOOKUP($C400,'#Data'!$B$2:$J$344,2,FALSE)&amp;".skill0"&amp;RIGHT(O$1,1)</f>
        <v>Sector01.trooper_inferno_1.skill01</v>
      </c>
      <c r="P400" s="131" t="s">
        <v>1998</v>
      </c>
      <c r="Q400" s="131"/>
      <c r="R400" s="60"/>
      <c r="S400" s="60"/>
      <c r="T400" s="60"/>
      <c r="U400" s="60"/>
      <c r="V400" s="37" t="b">
        <v>0</v>
      </c>
      <c r="W400" s="37" t="str">
        <f>"Character/Prefabs/"&amp;VLOOKUP($C400,'#Data'!$B$3:$I$344,8,FALSE)</f>
        <v>Character/Prefabs/m_m_attacker_trooper_inferno_1</v>
      </c>
      <c r="X400" s="37"/>
      <c r="Y400" s="37" t="str">
        <f>VLOOKUP($C400,'#Data'!$B$3:$I$344,8,FALSE)</f>
        <v>m_m_attacker_trooper_inferno_1</v>
      </c>
      <c r="Z400" s="37"/>
      <c r="AA400" s="37"/>
      <c r="AB400" s="37"/>
      <c r="AC400" s="84">
        <v>0.8</v>
      </c>
      <c r="AD400" s="37"/>
      <c r="AE400" s="37"/>
      <c r="AF400" s="37"/>
      <c r="AG400" s="37" t="s">
        <v>2105</v>
      </c>
      <c r="AH400" s="85"/>
    </row>
    <row r="401" spans="1:34" x14ac:dyDescent="0.3">
      <c r="A401" s="51">
        <f t="shared" si="12"/>
        <v>1310201110</v>
      </c>
      <c r="B401" s="51" t="s">
        <v>41</v>
      </c>
      <c r="C401" s="51" t="s">
        <v>66</v>
      </c>
      <c r="D401" s="51" t="str">
        <f>"Monster.Name."&amp;VLOOKUP($C401,'#Data'!$B$2:$J$344,2,FALSE)</f>
        <v>Monster.Name.solid_turretmk1_2</v>
      </c>
      <c r="E401" s="51" t="s">
        <v>43</v>
      </c>
      <c r="F401" s="52" t="s">
        <v>44</v>
      </c>
      <c r="G401" s="51" t="s">
        <v>45</v>
      </c>
      <c r="H401" s="51" t="b">
        <f>IF(OR(VLOOKUP($C401,'#Data'!$B$2:$J$344,4,FALSE)="보스",VLOOKUP($C401,'#Data'!$B$2:$J$344,4,FALSE)="중간"),TRUE,FALSE)</f>
        <v>0</v>
      </c>
      <c r="I401" s="51" t="b">
        <f>IF(OR(VLOOKUP($C401,'#Data'!$B$2:$J$344,4,FALSE)="보스",VLOOKUP($C401,'#Data'!$B$2:$J$344,4,FALSE)="중간"),TRUE,FALSE)</f>
        <v>0</v>
      </c>
      <c r="J401" s="51">
        <v>10</v>
      </c>
      <c r="K401" s="51">
        <f t="shared" si="13"/>
        <v>10</v>
      </c>
      <c r="L401" s="61" t="s">
        <v>1181</v>
      </c>
      <c r="M401" s="61"/>
      <c r="N401" s="61"/>
      <c r="O401" s="132" t="s">
        <v>1990</v>
      </c>
      <c r="P401" s="132"/>
      <c r="Q401" s="132"/>
      <c r="R401" s="62"/>
      <c r="S401" s="62"/>
      <c r="T401" s="62"/>
      <c r="U401" s="62"/>
      <c r="V401" s="51" t="b">
        <v>0</v>
      </c>
      <c r="W401" s="51" t="str">
        <f>"Character/Prefabs/"&amp;VLOOKUP($C401,'#Data'!$B$3:$I$344,8,FALSE)</f>
        <v>Character/Prefabs/m_s_attacker_solid_turretmk1_2</v>
      </c>
      <c r="X401" s="51"/>
      <c r="Y401" s="51" t="str">
        <f>VLOOKUP($C401,'#Data'!$B$3:$I$344,8,FALSE)</f>
        <v>m_s_attacker_solid_turretmk1_2</v>
      </c>
      <c r="Z401" s="51"/>
      <c r="AA401" s="51"/>
      <c r="AB401" s="51"/>
      <c r="AC401" s="86">
        <v>0.7</v>
      </c>
      <c r="AD401" s="51"/>
      <c r="AE401" s="51"/>
      <c r="AF401" s="51"/>
      <c r="AG401" s="51" t="s">
        <v>2105</v>
      </c>
      <c r="AH401" s="85"/>
    </row>
    <row r="402" spans="1:34" x14ac:dyDescent="0.3">
      <c r="A402" s="51">
        <f t="shared" si="12"/>
        <v>1310201111</v>
      </c>
      <c r="B402" s="51" t="s">
        <v>41</v>
      </c>
      <c r="C402" s="51" t="s">
        <v>67</v>
      </c>
      <c r="D402" s="51" t="str">
        <f>"Monster.Name."&amp;VLOOKUP($C402,'#Data'!$B$2:$J$344,2,FALSE)</f>
        <v>Monster.Name.spider_turret_prototype_2</v>
      </c>
      <c r="E402" s="51" t="s">
        <v>47</v>
      </c>
      <c r="F402" s="52" t="s">
        <v>44</v>
      </c>
      <c r="G402" s="51" t="s">
        <v>45</v>
      </c>
      <c r="H402" s="51" t="b">
        <f>IF(OR(VLOOKUP($C402,'#Data'!$B$2:$J$344,4,FALSE)="보스",VLOOKUP($C402,'#Data'!$B$2:$J$344,4,FALSE)="중간"),TRUE,FALSE)</f>
        <v>0</v>
      </c>
      <c r="I402" s="51" t="b">
        <f>IF(OR(VLOOKUP($C402,'#Data'!$B$2:$J$344,4,FALSE)="보스",VLOOKUP($C402,'#Data'!$B$2:$J$344,4,FALSE)="중간"),TRUE,FALSE)</f>
        <v>0</v>
      </c>
      <c r="J402" s="51">
        <v>10</v>
      </c>
      <c r="K402" s="51">
        <f t="shared" si="13"/>
        <v>30</v>
      </c>
      <c r="L402" s="61" t="s">
        <v>1182</v>
      </c>
      <c r="M402" s="61"/>
      <c r="N402" s="61"/>
      <c r="O402" s="132" t="s">
        <v>1991</v>
      </c>
      <c r="P402" s="132"/>
      <c r="Q402" s="132"/>
      <c r="R402" s="62"/>
      <c r="S402" s="62"/>
      <c r="T402" s="62"/>
      <c r="U402" s="62"/>
      <c r="V402" s="51" t="b">
        <v>0</v>
      </c>
      <c r="W402" s="51" t="str">
        <f>"Character/Prefabs/"&amp;VLOOKUP($C402,'#Data'!$B$3:$I$344,8,FALSE)</f>
        <v>Character/Prefabs/m_s_ranger_spider_turret_prototype_2</v>
      </c>
      <c r="X402" s="51"/>
      <c r="Y402" s="51" t="str">
        <f>VLOOKUP($C402,'#Data'!$B$3:$I$344,8,FALSE)</f>
        <v>m_s_ranger_spider_turret_prototype_2</v>
      </c>
      <c r="Z402" s="51"/>
      <c r="AA402" s="51"/>
      <c r="AB402" s="51"/>
      <c r="AC402" s="86">
        <v>0.6</v>
      </c>
      <c r="AD402" s="51"/>
      <c r="AE402" s="51"/>
      <c r="AF402" s="51"/>
      <c r="AG402" s="51" t="s">
        <v>2105</v>
      </c>
      <c r="AH402" s="85"/>
    </row>
    <row r="403" spans="1:34" x14ac:dyDescent="0.3">
      <c r="A403" s="51">
        <f t="shared" si="12"/>
        <v>1310201112</v>
      </c>
      <c r="B403" s="51" t="s">
        <v>41</v>
      </c>
      <c r="C403" s="51" t="s">
        <v>68</v>
      </c>
      <c r="D403" s="51" t="str">
        <f>"Monster.Name."&amp;VLOOKUP($C403,'#Data'!$B$2:$J$344,2,FALSE)</f>
        <v>Monster.Name.electric_drone_2</v>
      </c>
      <c r="E403" s="51" t="s">
        <v>43</v>
      </c>
      <c r="F403" s="52" t="s">
        <v>44</v>
      </c>
      <c r="G403" s="51" t="s">
        <v>45</v>
      </c>
      <c r="H403" s="51" t="b">
        <f>IF(OR(VLOOKUP($C403,'#Data'!$B$2:$J$344,4,FALSE)="보스",VLOOKUP($C403,'#Data'!$B$2:$J$344,4,FALSE)="중간"),TRUE,FALSE)</f>
        <v>0</v>
      </c>
      <c r="I403" s="51" t="b">
        <f>IF(OR(VLOOKUP($C403,'#Data'!$B$2:$J$344,4,FALSE)="보스",VLOOKUP($C403,'#Data'!$B$2:$J$344,4,FALSE)="중간"),TRUE,FALSE)</f>
        <v>0</v>
      </c>
      <c r="J403" s="51">
        <v>10</v>
      </c>
      <c r="K403" s="51">
        <f t="shared" si="13"/>
        <v>10</v>
      </c>
      <c r="L403" s="61" t="s">
        <v>1183</v>
      </c>
      <c r="M403" s="61"/>
      <c r="N403" s="61"/>
      <c r="O403" s="132" t="s">
        <v>1992</v>
      </c>
      <c r="P403" s="132"/>
      <c r="Q403" s="132"/>
      <c r="R403" s="62"/>
      <c r="S403" s="62"/>
      <c r="T403" s="62"/>
      <c r="U403" s="62"/>
      <c r="V403" s="51" t="b">
        <v>0</v>
      </c>
      <c r="W403" s="103" t="s">
        <v>1197</v>
      </c>
      <c r="X403" s="51"/>
      <c r="Y403" s="104" t="s">
        <v>1199</v>
      </c>
      <c r="Z403" s="51"/>
      <c r="AA403" s="51"/>
      <c r="AB403" s="51"/>
      <c r="AC403" s="86">
        <v>0.7</v>
      </c>
      <c r="AD403" s="51"/>
      <c r="AE403" s="51"/>
      <c r="AF403" s="51"/>
      <c r="AG403" s="51" t="s">
        <v>2105</v>
      </c>
      <c r="AH403" s="85"/>
    </row>
    <row r="404" spans="1:34" x14ac:dyDescent="0.3">
      <c r="A404" s="51">
        <f t="shared" si="12"/>
        <v>1310201113</v>
      </c>
      <c r="B404" s="51" t="s">
        <v>41</v>
      </c>
      <c r="C404" s="51" t="s">
        <v>69</v>
      </c>
      <c r="D404" s="51" t="str">
        <f>"Monster.Name."&amp;VLOOKUP($C404,'#Data'!$B$2:$J$344,2,FALSE)</f>
        <v>Monster.Name.jamming_drone_2</v>
      </c>
      <c r="E404" s="51" t="s">
        <v>47</v>
      </c>
      <c r="F404" s="52" t="s">
        <v>44</v>
      </c>
      <c r="G404" s="51" t="s">
        <v>45</v>
      </c>
      <c r="H404" s="51" t="b">
        <f>IF(OR(VLOOKUP($C404,'#Data'!$B$2:$J$344,4,FALSE)="보스",VLOOKUP($C404,'#Data'!$B$2:$J$344,4,FALSE)="중간"),TRUE,FALSE)</f>
        <v>0</v>
      </c>
      <c r="I404" s="51" t="b">
        <f>IF(OR(VLOOKUP($C404,'#Data'!$B$2:$J$344,4,FALSE)="보스",VLOOKUP($C404,'#Data'!$B$2:$J$344,4,FALSE)="중간"),TRUE,FALSE)</f>
        <v>0</v>
      </c>
      <c r="J404" s="51">
        <v>10</v>
      </c>
      <c r="K404" s="51">
        <f t="shared" si="13"/>
        <v>10</v>
      </c>
      <c r="L404" s="61" t="s">
        <v>1184</v>
      </c>
      <c r="M404" s="61"/>
      <c r="N404" s="61"/>
      <c r="O404" s="132" t="s">
        <v>1993</v>
      </c>
      <c r="P404" s="132"/>
      <c r="Q404" s="132"/>
      <c r="R404" s="62"/>
      <c r="S404" s="62"/>
      <c r="T404" s="62"/>
      <c r="U404" s="62"/>
      <c r="V404" s="51" t="b">
        <v>0</v>
      </c>
      <c r="W404" s="104" t="s">
        <v>1198</v>
      </c>
      <c r="X404" s="51"/>
      <c r="Y404" s="104" t="s">
        <v>1200</v>
      </c>
      <c r="Z404" s="51"/>
      <c r="AA404" s="51"/>
      <c r="AB404" s="51"/>
      <c r="AC404" s="86">
        <v>0.6</v>
      </c>
      <c r="AD404" s="51"/>
      <c r="AE404" s="51"/>
      <c r="AF404" s="51"/>
      <c r="AG404" s="51" t="s">
        <v>2105</v>
      </c>
      <c r="AH404" s="85"/>
    </row>
    <row r="405" spans="1:34" x14ac:dyDescent="0.3">
      <c r="A405" s="51">
        <f t="shared" si="12"/>
        <v>1310201114</v>
      </c>
      <c r="B405" s="51" t="s">
        <v>41</v>
      </c>
      <c r="C405" s="51" t="s">
        <v>70</v>
      </c>
      <c r="D405" s="51" t="str">
        <f>"Monster.Name."&amp;VLOOKUP($C405,'#Data'!$B$2:$J$344,2,FALSE)</f>
        <v>Monster.Name.trooper_sniper_2</v>
      </c>
      <c r="E405" s="51" t="s">
        <v>47</v>
      </c>
      <c r="F405" s="52" t="s">
        <v>44</v>
      </c>
      <c r="G405" s="51" t="s">
        <v>45</v>
      </c>
      <c r="H405" s="51" t="b">
        <f>IF(OR(VLOOKUP($C405,'#Data'!$B$2:$J$344,4,FALSE)="보스",VLOOKUP($C405,'#Data'!$B$2:$J$344,4,FALSE)="중간"),TRUE,FALSE)</f>
        <v>0</v>
      </c>
      <c r="I405" s="51" t="b">
        <f>IF(OR(VLOOKUP($C405,'#Data'!$B$2:$J$344,4,FALSE)="보스",VLOOKUP($C405,'#Data'!$B$2:$J$344,4,FALSE)="중간"),TRUE,FALSE)</f>
        <v>0</v>
      </c>
      <c r="J405" s="51">
        <v>10</v>
      </c>
      <c r="K405" s="51">
        <f t="shared" si="13"/>
        <v>10</v>
      </c>
      <c r="L405" s="61" t="s">
        <v>1185</v>
      </c>
      <c r="M405" s="61"/>
      <c r="N405" s="61"/>
      <c r="O405" s="132" t="s">
        <v>1186</v>
      </c>
      <c r="P405" s="132" t="s">
        <v>1994</v>
      </c>
      <c r="Q405" s="132"/>
      <c r="R405" s="62"/>
      <c r="S405" s="62"/>
      <c r="T405" s="62"/>
      <c r="U405" s="62"/>
      <c r="V405" s="51" t="b">
        <v>0</v>
      </c>
      <c r="W405" s="51" t="str">
        <f>"Character/Prefabs/"&amp;VLOOKUP($C405,'#Data'!$B$3:$I$344,8,FALSE)</f>
        <v>Character/Prefabs/m_m_ranger_trooper_sniper_2</v>
      </c>
      <c r="X405" s="51"/>
      <c r="Y405" s="51" t="str">
        <f>VLOOKUP($C405,'#Data'!$B$3:$I$344,8,FALSE)</f>
        <v>m_m_ranger_trooper_sniper_2</v>
      </c>
      <c r="Z405" s="51"/>
      <c r="AA405" s="51"/>
      <c r="AB405" s="51"/>
      <c r="AC405" s="86">
        <v>0.8</v>
      </c>
      <c r="AD405" s="51"/>
      <c r="AE405" s="51"/>
      <c r="AF405" s="51"/>
      <c r="AG405" s="51" t="s">
        <v>2105</v>
      </c>
      <c r="AH405" s="85"/>
    </row>
    <row r="406" spans="1:34" x14ac:dyDescent="0.3">
      <c r="A406" s="51">
        <f t="shared" si="12"/>
        <v>1310201115</v>
      </c>
      <c r="B406" s="51" t="s">
        <v>41</v>
      </c>
      <c r="C406" s="51" t="s">
        <v>71</v>
      </c>
      <c r="D406" s="51" t="str">
        <f>"Monster.Name."&amp;VLOOKUP($C406,'#Data'!$B$2:$J$344,2,FALSE)</f>
        <v>Monster.Name.trooper_guard_2</v>
      </c>
      <c r="E406" s="51" t="s">
        <v>58</v>
      </c>
      <c r="F406" s="52" t="s">
        <v>44</v>
      </c>
      <c r="G406" s="51" t="s">
        <v>45</v>
      </c>
      <c r="H406" s="51" t="b">
        <f>IF(OR(VLOOKUP($C406,'#Data'!$B$2:$J$344,4,FALSE)="보스",VLOOKUP($C406,'#Data'!$B$2:$J$344,4,FALSE)="중간"),TRUE,FALSE)</f>
        <v>0</v>
      </c>
      <c r="I406" s="51" t="b">
        <f>IF(OR(VLOOKUP($C406,'#Data'!$B$2:$J$344,4,FALSE)="보스",VLOOKUP($C406,'#Data'!$B$2:$J$344,4,FALSE)="중간"),TRUE,FALSE)</f>
        <v>0</v>
      </c>
      <c r="J406" s="51">
        <v>10</v>
      </c>
      <c r="K406" s="51">
        <f t="shared" si="13"/>
        <v>10</v>
      </c>
      <c r="L406" s="61" t="s">
        <v>1187</v>
      </c>
      <c r="M406" s="61"/>
      <c r="N406" s="61"/>
      <c r="O406" s="132" t="s">
        <v>1188</v>
      </c>
      <c r="P406" s="132" t="s">
        <v>1995</v>
      </c>
      <c r="Q406" s="132"/>
      <c r="R406" s="62"/>
      <c r="S406" s="62"/>
      <c r="T406" s="62"/>
      <c r="U406" s="62"/>
      <c r="V406" s="51" t="b">
        <v>0</v>
      </c>
      <c r="W406" s="51" t="str">
        <f>"Character/Prefabs/"&amp;VLOOKUP($C406,'#Data'!$B$3:$I$344,8,FALSE)</f>
        <v>Character/Prefabs/m_m_tanker_trooper_guard_2</v>
      </c>
      <c r="X406" s="51"/>
      <c r="Y406" s="51" t="str">
        <f>VLOOKUP($C406,'#Data'!$B$3:$I$344,8,FALSE)</f>
        <v>m_m_tanker_trooper_guard_2</v>
      </c>
      <c r="Z406" s="51"/>
      <c r="AA406" s="51"/>
      <c r="AB406" s="51"/>
      <c r="AC406" s="86">
        <v>0.8</v>
      </c>
      <c r="AD406" s="51"/>
      <c r="AE406" s="51"/>
      <c r="AF406" s="51"/>
      <c r="AG406" s="51" t="s">
        <v>2105</v>
      </c>
      <c r="AH406" s="85"/>
    </row>
    <row r="407" spans="1:34" x14ac:dyDescent="0.3">
      <c r="A407" s="51">
        <f t="shared" si="12"/>
        <v>1310201116</v>
      </c>
      <c r="B407" s="51" t="s">
        <v>41</v>
      </c>
      <c r="C407" s="51" t="s">
        <v>72</v>
      </c>
      <c r="D407" s="51" t="str">
        <f>"Monster.Name."&amp;VLOOKUP($C407,'#Data'!$B$2:$J$344,2,FALSE)</f>
        <v>Monster.Name.trooper_champion_2</v>
      </c>
      <c r="E407" s="51" t="s">
        <v>43</v>
      </c>
      <c r="F407" s="52" t="s">
        <v>44</v>
      </c>
      <c r="G407" s="51" t="s">
        <v>45</v>
      </c>
      <c r="H407" s="51" t="b">
        <f>IF(OR(VLOOKUP($C407,'#Data'!$B$2:$J$344,4,FALSE)="보스",VLOOKUP($C407,'#Data'!$B$2:$J$344,4,FALSE)="중간"),TRUE,FALSE)</f>
        <v>0</v>
      </c>
      <c r="I407" s="51" t="b">
        <f>IF(OR(VLOOKUP($C407,'#Data'!$B$2:$J$344,4,FALSE)="보스",VLOOKUP($C407,'#Data'!$B$2:$J$344,4,FALSE)="중간"),TRUE,FALSE)</f>
        <v>0</v>
      </c>
      <c r="J407" s="51">
        <v>10</v>
      </c>
      <c r="K407" s="51">
        <f t="shared" si="13"/>
        <v>10</v>
      </c>
      <c r="L407" s="61" t="s">
        <v>1189</v>
      </c>
      <c r="M407" s="61"/>
      <c r="N407" s="61"/>
      <c r="O407" s="132" t="s">
        <v>1190</v>
      </c>
      <c r="P407" s="132" t="s">
        <v>1996</v>
      </c>
      <c r="Q407" s="132"/>
      <c r="R407" s="62"/>
      <c r="S407" s="62"/>
      <c r="T407" s="62"/>
      <c r="U407" s="62"/>
      <c r="V407" s="51" t="b">
        <v>0</v>
      </c>
      <c r="W407" s="51" t="str">
        <f>"Character/Prefabs/"&amp;VLOOKUP($C407,'#Data'!$B$3:$I$344,8,FALSE)</f>
        <v>Character/Prefabs/m_m_attacker_trooper_champion_2</v>
      </c>
      <c r="X407" s="51"/>
      <c r="Y407" s="51" t="str">
        <f>VLOOKUP($C407,'#Data'!$B$3:$I$344,8,FALSE)</f>
        <v>m_m_attacker_trooper_champion_2</v>
      </c>
      <c r="Z407" s="51"/>
      <c r="AA407" s="51"/>
      <c r="AB407" s="51"/>
      <c r="AC407" s="86">
        <v>0.8</v>
      </c>
      <c r="AD407" s="51"/>
      <c r="AE407" s="51"/>
      <c r="AF407" s="51"/>
      <c r="AG407" s="51" t="s">
        <v>2105</v>
      </c>
      <c r="AH407" s="85"/>
    </row>
    <row r="408" spans="1:34" x14ac:dyDescent="0.3">
      <c r="A408" s="51">
        <f t="shared" si="12"/>
        <v>1310201117</v>
      </c>
      <c r="B408" s="51" t="s">
        <v>41</v>
      </c>
      <c r="C408" s="51" t="s">
        <v>73</v>
      </c>
      <c r="D408" s="51" t="str">
        <f>"Monster.Name."&amp;VLOOKUP($C408,'#Data'!$B$2:$J$344,2,FALSE)</f>
        <v>Monster.Name.trooper_demolisher_2</v>
      </c>
      <c r="E408" s="51" t="s">
        <v>47</v>
      </c>
      <c r="F408" s="52" t="s">
        <v>44</v>
      </c>
      <c r="G408" s="51" t="s">
        <v>45</v>
      </c>
      <c r="H408" s="51" t="b">
        <f>IF(OR(VLOOKUP($C408,'#Data'!$B$2:$J$344,4,FALSE)="보스",VLOOKUP($C408,'#Data'!$B$2:$J$344,4,FALSE)="중간"),TRUE,FALSE)</f>
        <v>0</v>
      </c>
      <c r="I408" s="51" t="b">
        <f>IF(OR(VLOOKUP($C408,'#Data'!$B$2:$J$344,4,FALSE)="보스",VLOOKUP($C408,'#Data'!$B$2:$J$344,4,FALSE)="중간"),TRUE,FALSE)</f>
        <v>0</v>
      </c>
      <c r="J408" s="51">
        <v>10</v>
      </c>
      <c r="K408" s="51">
        <f t="shared" si="13"/>
        <v>10</v>
      </c>
      <c r="L408" s="61" t="s">
        <v>1191</v>
      </c>
      <c r="M408" s="61"/>
      <c r="N408" s="61"/>
      <c r="O408" s="132" t="s">
        <v>1192</v>
      </c>
      <c r="P408" s="132" t="s">
        <v>1997</v>
      </c>
      <c r="Q408" s="132"/>
      <c r="R408" s="62"/>
      <c r="S408" s="62"/>
      <c r="T408" s="62"/>
      <c r="U408" s="62"/>
      <c r="V408" s="51" t="b">
        <v>0</v>
      </c>
      <c r="W408" s="51" t="str">
        <f>"Character/Prefabs/"&amp;VLOOKUP($C408,'#Data'!$B$3:$I$344,8,FALSE)</f>
        <v>Character/Prefabs/m_m_ranger_trooper_demolisher_2</v>
      </c>
      <c r="X408" s="51"/>
      <c r="Y408" s="51" t="str">
        <f>VLOOKUP($C408,'#Data'!$B$3:$I$344,8,FALSE)</f>
        <v>m_m_ranger_trooper_demolisher_2</v>
      </c>
      <c r="Z408" s="51"/>
      <c r="AA408" s="51"/>
      <c r="AB408" s="51"/>
      <c r="AC408" s="86">
        <v>0.8</v>
      </c>
      <c r="AD408" s="51"/>
      <c r="AE408" s="51"/>
      <c r="AF408" s="51"/>
      <c r="AG408" s="51" t="s">
        <v>2105</v>
      </c>
      <c r="AH408" s="85"/>
    </row>
    <row r="409" spans="1:34" x14ac:dyDescent="0.3">
      <c r="A409" s="51">
        <f t="shared" si="12"/>
        <v>1310201118</v>
      </c>
      <c r="B409" s="51" t="s">
        <v>41</v>
      </c>
      <c r="C409" s="51" t="s">
        <v>74</v>
      </c>
      <c r="D409" s="51" t="str">
        <f>"Monster.Name."&amp;VLOOKUP($C409,'#Data'!$B$2:$J$344,2,FALSE)</f>
        <v>Monster.Name.trooper_inferno_2</v>
      </c>
      <c r="E409" s="51" t="s">
        <v>43</v>
      </c>
      <c r="F409" s="52" t="s">
        <v>44</v>
      </c>
      <c r="G409" s="51" t="s">
        <v>45</v>
      </c>
      <c r="H409" s="51" t="b">
        <f>IF(OR(VLOOKUP($C409,'#Data'!$B$2:$J$344,4,FALSE)="보스",VLOOKUP($C409,'#Data'!$B$2:$J$344,4,FALSE)="중간"),TRUE,FALSE)</f>
        <v>0</v>
      </c>
      <c r="I409" s="51" t="b">
        <f>IF(OR(VLOOKUP($C409,'#Data'!$B$2:$J$344,4,FALSE)="보스",VLOOKUP($C409,'#Data'!$B$2:$J$344,4,FALSE)="중간"),TRUE,FALSE)</f>
        <v>0</v>
      </c>
      <c r="J409" s="51">
        <v>10</v>
      </c>
      <c r="K409" s="51">
        <f t="shared" si="13"/>
        <v>10</v>
      </c>
      <c r="L409" s="61" t="s">
        <v>1193</v>
      </c>
      <c r="M409" s="61"/>
      <c r="N409" s="61"/>
      <c r="O409" s="132" t="s">
        <v>1194</v>
      </c>
      <c r="P409" s="132" t="s">
        <v>1998</v>
      </c>
      <c r="Q409" s="132"/>
      <c r="R409" s="62"/>
      <c r="S409" s="62"/>
      <c r="T409" s="62"/>
      <c r="U409" s="62"/>
      <c r="V409" s="51" t="b">
        <v>0</v>
      </c>
      <c r="W409" s="51" t="str">
        <f>"Character/Prefabs/"&amp;VLOOKUP($C409,'#Data'!$B$3:$I$344,8,FALSE)</f>
        <v>Character/Prefabs/m_m_attacker_trooper_inferno_2</v>
      </c>
      <c r="X409" s="51"/>
      <c r="Y409" s="51" t="str">
        <f>VLOOKUP($C409,'#Data'!$B$3:$I$344,8,FALSE)</f>
        <v>m_m_attacker_trooper_inferno_2</v>
      </c>
      <c r="Z409" s="51"/>
      <c r="AA409" s="51"/>
      <c r="AB409" s="51"/>
      <c r="AC409" s="86">
        <v>0.8</v>
      </c>
      <c r="AD409" s="51"/>
      <c r="AE409" s="51"/>
      <c r="AF409" s="51"/>
      <c r="AG409" s="51" t="s">
        <v>2105</v>
      </c>
      <c r="AH409" s="85"/>
    </row>
    <row r="410" spans="1:34" x14ac:dyDescent="0.3">
      <c r="A410" s="37">
        <f t="shared" si="12"/>
        <v>1310201201</v>
      </c>
      <c r="B410" s="37" t="s">
        <v>41</v>
      </c>
      <c r="C410" s="37" t="s">
        <v>62</v>
      </c>
      <c r="D410" s="37" t="str">
        <f>"Monster.Name."&amp;VLOOKUP($C410,'#Data'!$B$2:$J$344,2,FALSE)</f>
        <v>Monster.Name.labmecha_launcher_1</v>
      </c>
      <c r="E410" s="37" t="s">
        <v>47</v>
      </c>
      <c r="F410" s="38" t="s">
        <v>44</v>
      </c>
      <c r="G410" s="37" t="s">
        <v>45</v>
      </c>
      <c r="H410" s="37" t="b">
        <f>IF(OR(VLOOKUP($C410,'#Data'!$B$2:$J$344,4,FALSE)="보스",VLOOKUP($C410,'#Data'!$B$2:$J$344,4,FALSE)="중간"),TRUE,FALSE)</f>
        <v>1</v>
      </c>
      <c r="I410" s="37" t="b">
        <f>IF(OR(VLOOKUP($C410,'#Data'!$B$2:$J$344,4,FALSE)="보스",VLOOKUP($C410,'#Data'!$B$2:$J$344,4,FALSE)="중간"),TRUE,FALSE)</f>
        <v>1</v>
      </c>
      <c r="J410" s="37">
        <v>10</v>
      </c>
      <c r="K410" s="37">
        <f t="shared" si="13"/>
        <v>10</v>
      </c>
      <c r="L410" s="59" t="str">
        <f>$B410&amp;"."&amp;VLOOKUP($C410,'#Data'!$B$2:$J$344,2,FALSE)&amp;".attack0"&amp;RIGHT(L$1,1)</f>
        <v>Sector01.labmecha_launcher_1.attack01</v>
      </c>
      <c r="M410" s="59"/>
      <c r="N410" s="59"/>
      <c r="O410" s="131" t="str">
        <f>$B410&amp;"."&amp;VLOOKUP($C410,'#Data'!$B$2:$J$344,2,FALSE)&amp;".skill0"&amp;RIGHT(O$1,1)</f>
        <v>Sector01.labmecha_launcher_1.skill01</v>
      </c>
      <c r="P410" s="131" t="str">
        <f>$B410&amp;"."&amp;VLOOKUP($C410,'#Data'!$B$2:$J$344,2,FALSE)&amp;".skill0"&amp;RIGHT(P$1,1)</f>
        <v>Sector01.labmecha_launcher_1.skill02</v>
      </c>
      <c r="Q410" s="131"/>
      <c r="R410" s="60"/>
      <c r="S410" s="60" t="s">
        <v>2075</v>
      </c>
      <c r="T410" s="60"/>
      <c r="U410" s="60"/>
      <c r="V410" s="37" t="b">
        <v>0</v>
      </c>
      <c r="W410" s="37" t="str">
        <f>"Character/Prefabs/"&amp;VLOOKUP($C410,'#Data'!$B$3:$I$344,8,FALSE)</f>
        <v>Character/Prefabs/m_m_ranger_labmecha_launcher_1</v>
      </c>
      <c r="X410" s="37"/>
      <c r="Y410" s="37" t="str">
        <f>VLOOKUP($C410,'#Data'!$B$3:$I$344,8,FALSE)</f>
        <v>m_m_ranger_labmecha_launcher_1</v>
      </c>
      <c r="Z410" s="37"/>
      <c r="AA410" s="37"/>
      <c r="AB410" s="37"/>
      <c r="AC410" s="84">
        <v>0.7</v>
      </c>
      <c r="AD410" s="37"/>
      <c r="AE410" s="37"/>
      <c r="AF410" s="37"/>
      <c r="AG410" s="37" t="s">
        <v>2105</v>
      </c>
      <c r="AH410" s="85"/>
    </row>
    <row r="411" spans="1:34" x14ac:dyDescent="0.3">
      <c r="A411" s="37">
        <f t="shared" si="12"/>
        <v>1310201202</v>
      </c>
      <c r="B411" s="37" t="s">
        <v>41</v>
      </c>
      <c r="C411" s="37" t="s">
        <v>63</v>
      </c>
      <c r="D411" s="37" t="str">
        <f>"Monster.Name."&amp;VLOOKUP($C411,'#Data'!$B$2:$J$344,2,FALSE)</f>
        <v>Monster.Name.harbor_crab_1</v>
      </c>
      <c r="E411" s="37" t="s">
        <v>58</v>
      </c>
      <c r="F411" s="38" t="s">
        <v>44</v>
      </c>
      <c r="G411" s="37" t="s">
        <v>45</v>
      </c>
      <c r="H411" s="37" t="b">
        <f>IF(OR(VLOOKUP($C411,'#Data'!$B$2:$J$344,4,FALSE)="보스",VLOOKUP($C411,'#Data'!$B$2:$J$344,4,FALSE)="중간"),TRUE,FALSE)</f>
        <v>1</v>
      </c>
      <c r="I411" s="37" t="b">
        <f>IF(OR(VLOOKUP($C411,'#Data'!$B$2:$J$344,4,FALSE)="보스",VLOOKUP($C411,'#Data'!$B$2:$J$344,4,FALSE)="중간"),TRUE,FALSE)</f>
        <v>1</v>
      </c>
      <c r="J411" s="37">
        <v>20</v>
      </c>
      <c r="K411" s="37">
        <f t="shared" si="13"/>
        <v>10</v>
      </c>
      <c r="L411" s="59" t="str">
        <f>$B411&amp;"."&amp;VLOOKUP($C411,'#Data'!$B$2:$J$344,2,FALSE)&amp;".attack0"&amp;RIGHT(L$1,1)</f>
        <v>Sector01.harbor_crab_1.attack01</v>
      </c>
      <c r="M411" s="59"/>
      <c r="N411" s="59"/>
      <c r="O411" s="131" t="str">
        <f>$B411&amp;"."&amp;VLOOKUP($C411,'#Data'!$B$2:$J$344,2,FALSE)&amp;".skill0"&amp;RIGHT(O$1,1)</f>
        <v>Sector01.harbor_crab_1.skill01</v>
      </c>
      <c r="P411" s="131" t="str">
        <f>$B411&amp;"."&amp;VLOOKUP($C411,'#Data'!$B$2:$J$344,2,FALSE)&amp;".skill0"&amp;RIGHT(P$1,1)</f>
        <v>Sector01.harbor_crab_1.skill02</v>
      </c>
      <c r="Q411" s="131" t="s">
        <v>64</v>
      </c>
      <c r="R411" s="60"/>
      <c r="S411" s="60" t="s">
        <v>2075</v>
      </c>
      <c r="T411" s="60"/>
      <c r="U411" s="60"/>
      <c r="V411" s="37" t="b">
        <v>0</v>
      </c>
      <c r="W411" s="37" t="str">
        <f>"Character/Prefabs/"&amp;VLOOKUP($C411,'#Data'!$B$3:$I$344,8,FALSE)</f>
        <v>Character/Prefabs/m_l_attacker_harbor_crab_1</v>
      </c>
      <c r="X411" s="37"/>
      <c r="Y411" s="37" t="str">
        <f>VLOOKUP($C411,'#Data'!$B$3:$I$344,8,FALSE)</f>
        <v>m_l_attacker_harbor_crab_1</v>
      </c>
      <c r="Z411" s="37"/>
      <c r="AA411" s="37"/>
      <c r="AB411" s="37"/>
      <c r="AC411" s="84">
        <v>1</v>
      </c>
      <c r="AD411" s="37"/>
      <c r="AE411" s="37"/>
      <c r="AF411" s="37"/>
      <c r="AG411" s="37" t="s">
        <v>2105</v>
      </c>
      <c r="AH411" s="85"/>
    </row>
    <row r="412" spans="1:34" x14ac:dyDescent="0.3">
      <c r="A412" s="37">
        <f t="shared" si="12"/>
        <v>1310201203</v>
      </c>
      <c r="B412" s="37" t="s">
        <v>41</v>
      </c>
      <c r="C412" s="37" t="s">
        <v>65</v>
      </c>
      <c r="D412" s="37" t="str">
        <f>"Monster.Name."&amp;VLOOKUP($C412,'#Data'!$B$2:$J$344,2,FALSE)</f>
        <v>Monster.Name.harbor_punch_1</v>
      </c>
      <c r="E412" s="37" t="s">
        <v>58</v>
      </c>
      <c r="F412" s="38" t="s">
        <v>44</v>
      </c>
      <c r="G412" s="37" t="s">
        <v>45</v>
      </c>
      <c r="H412" s="37" t="b">
        <f>IF(OR(VLOOKUP($C412,'#Data'!$B$2:$J$344,4,FALSE)="보스",VLOOKUP($C412,'#Data'!$B$2:$J$344,4,FALSE)="중간"),TRUE,FALSE)</f>
        <v>1</v>
      </c>
      <c r="I412" s="37" t="b">
        <f>IF(OR(VLOOKUP($C412,'#Data'!$B$2:$J$344,4,FALSE)="보스",VLOOKUP($C412,'#Data'!$B$2:$J$344,4,FALSE)="중간"),TRUE,FALSE)</f>
        <v>1</v>
      </c>
      <c r="J412" s="37">
        <v>20</v>
      </c>
      <c r="K412" s="37">
        <f t="shared" si="13"/>
        <v>10</v>
      </c>
      <c r="L412" s="59" t="str">
        <f>$B412&amp;"."&amp;VLOOKUP($C412,'#Data'!$B$2:$J$344,2,FALSE)&amp;".attack0"&amp;RIGHT(L$1,1)</f>
        <v>Sector01.harbor_punch_1.attack01</v>
      </c>
      <c r="M412" s="59"/>
      <c r="N412" s="59"/>
      <c r="O412" s="131" t="str">
        <f>$B412&amp;"."&amp;VLOOKUP($C412,'#Data'!$B$2:$J$344,2,FALSE)&amp;".skill0"&amp;RIGHT(O$1,1)</f>
        <v>Sector01.harbor_punch_1.skill01</v>
      </c>
      <c r="P412" s="131" t="str">
        <f>$B412&amp;"."&amp;VLOOKUP($C412,'#Data'!$B$2:$J$344,2,FALSE)&amp;".skill0"&amp;RIGHT(P$1,1)</f>
        <v>Sector01.harbor_punch_1.skill02</v>
      </c>
      <c r="Q412" s="131"/>
      <c r="R412" s="60"/>
      <c r="S412" s="60" t="s">
        <v>2075</v>
      </c>
      <c r="T412" s="60"/>
      <c r="U412" s="60"/>
      <c r="V412" s="37" t="b">
        <v>0</v>
      </c>
      <c r="W412" s="37" t="str">
        <f>"Character/Prefabs/"&amp;VLOOKUP($C412,'#Data'!$B$3:$I$344,8,FALSE)</f>
        <v>Character/Prefabs/m_l_tanker_harbor_punch_1</v>
      </c>
      <c r="X412" s="37"/>
      <c r="Y412" s="37" t="str">
        <f>VLOOKUP($C412,'#Data'!$B$3:$I$344,8,FALSE)</f>
        <v>m_l_tanker_harbor_punch_1</v>
      </c>
      <c r="Z412" s="37"/>
      <c r="AA412" s="37"/>
      <c r="AB412" s="37"/>
      <c r="AC412" s="84">
        <v>1</v>
      </c>
      <c r="AD412" s="37"/>
      <c r="AE412" s="37"/>
      <c r="AF412" s="37"/>
      <c r="AG412" s="37" t="s">
        <v>2105</v>
      </c>
      <c r="AH412" s="85"/>
    </row>
    <row r="413" spans="1:34" x14ac:dyDescent="0.3">
      <c r="A413" s="108">
        <f t="shared" si="12"/>
        <v>1310201301</v>
      </c>
      <c r="B413" s="108" t="s">
        <v>82</v>
      </c>
      <c r="C413" s="108" t="s">
        <v>95</v>
      </c>
      <c r="D413" s="108" t="str">
        <f>"Monster.Name."&amp;VLOOKUP($C413,'#Data'!$B$2:$J$344,2,FALSE)</f>
        <v>Monster.Name.cassandra_1</v>
      </c>
      <c r="E413" s="108" t="s">
        <v>1833</v>
      </c>
      <c r="F413" s="109" t="s">
        <v>44</v>
      </c>
      <c r="G413" s="108" t="s">
        <v>45</v>
      </c>
      <c r="H413" s="108" t="b">
        <f>IF(OR(VLOOKUP($C413,'#Data'!$B$2:$J$344,4,FALSE)="보스",VLOOKUP($C413,'#Data'!$B$2:$J$344,4,FALSE)="중간"),TRUE,FALSE)</f>
        <v>1</v>
      </c>
      <c r="I413" s="108" t="b">
        <v>1</v>
      </c>
      <c r="J413" s="108">
        <v>30</v>
      </c>
      <c r="K413" s="108">
        <f t="shared" si="13"/>
        <v>10</v>
      </c>
      <c r="L413" s="113" t="str">
        <f>$B413&amp;"."&amp;VLOOKUP($C413,'#Data'!$B$2:$J$344,2,FALSE)&amp;".attack0"&amp;RIGHT(L$1,1)</f>
        <v>Sector02.cassandra_1.attack01</v>
      </c>
      <c r="M413" s="113"/>
      <c r="N413" s="113"/>
      <c r="O413" s="136" t="str">
        <f>$B413&amp;"."&amp;VLOOKUP($C413,'#Data'!$B$2:$J$344,2,FALSE)&amp;".skill0"&amp;RIGHT(O$1,1)</f>
        <v>Sector02.cassandra_1.skill01</v>
      </c>
      <c r="P413" s="136" t="str">
        <f>$B413&amp;"."&amp;VLOOKUP($C413,'#Data'!$B$2:$J$344,2,FALSE)&amp;".skill0"&amp;RIGHT(P$1,1)</f>
        <v>Sector02.cassandra_1.skill02</v>
      </c>
      <c r="Q413" s="136" t="s">
        <v>96</v>
      </c>
      <c r="R413" s="114"/>
      <c r="S413" s="114" t="s">
        <v>76</v>
      </c>
      <c r="T413" s="114"/>
      <c r="U413" s="114"/>
      <c r="V413" s="108" t="b">
        <v>0</v>
      </c>
      <c r="W413" s="108" t="str">
        <f>"Character/Prefabs/"&amp;VLOOKUP($C413,'#Data'!$B$3:$I$344,8,FALSE)</f>
        <v>Character/Prefabs/m_boss_ranger_cassandra_1</v>
      </c>
      <c r="X413" s="108"/>
      <c r="Y413" s="108" t="str">
        <f>VLOOKUP($C413,'#Data'!$B$3:$I$344,8,FALSE)</f>
        <v>m_boss_ranger_cassandra_1</v>
      </c>
      <c r="Z413" s="108"/>
      <c r="AA413" s="108"/>
      <c r="AB413" s="108"/>
      <c r="AC413" s="111">
        <v>0.9</v>
      </c>
      <c r="AD413" s="108"/>
      <c r="AE413" s="108" t="s">
        <v>99</v>
      </c>
      <c r="AF413" s="108" t="s">
        <v>100</v>
      </c>
      <c r="AG413" s="108" t="s">
        <v>2105</v>
      </c>
      <c r="AH413" s="85"/>
    </row>
    <row r="414" spans="1:34" x14ac:dyDescent="0.3">
      <c r="A414" s="108">
        <f t="shared" si="12"/>
        <v>1310201302</v>
      </c>
      <c r="B414" s="108" t="s">
        <v>82</v>
      </c>
      <c r="C414" s="108" t="s">
        <v>101</v>
      </c>
      <c r="D414" s="108" t="str">
        <f>"Monster.Name."&amp;VLOOKUP($C414,'#Data'!$B$2:$J$344,2,FALSE)</f>
        <v>Monster.Name.cassandra_2</v>
      </c>
      <c r="E414" s="108" t="s">
        <v>1833</v>
      </c>
      <c r="F414" s="109" t="s">
        <v>44</v>
      </c>
      <c r="G414" s="108" t="s">
        <v>45</v>
      </c>
      <c r="H414" s="108" t="b">
        <f>IF(OR(VLOOKUP($C414,'#Data'!$B$2:$J$344,4,FALSE)="보스",VLOOKUP($C414,'#Data'!$B$2:$J$344,4,FALSE)="중간"),TRUE,FALSE)</f>
        <v>1</v>
      </c>
      <c r="I414" s="108" t="b">
        <v>1</v>
      </c>
      <c r="J414" s="108">
        <v>30</v>
      </c>
      <c r="K414" s="108">
        <f t="shared" si="13"/>
        <v>10</v>
      </c>
      <c r="L414" s="113" t="str">
        <f>$B414&amp;"."&amp;VLOOKUP($C414,'#Data'!$B$2:$J$344,2,FALSE)&amp;".attack0"&amp;RIGHT(L$1,1)</f>
        <v>Sector02.cassandra_2.attack01</v>
      </c>
      <c r="M414" s="113"/>
      <c r="N414" s="113"/>
      <c r="O414" s="136" t="str">
        <f>$B414&amp;"."&amp;VLOOKUP($C414,'#Data'!$B$2:$J$344,2,FALSE)&amp;".skill0"&amp;RIGHT(O$1,1)</f>
        <v>Sector02.cassandra_2.skill01</v>
      </c>
      <c r="P414" s="136" t="str">
        <f>$B414&amp;"."&amp;VLOOKUP($C414,'#Data'!$B$2:$J$344,2,FALSE)&amp;".skill0"&amp;RIGHT(P$1,1)</f>
        <v>Sector02.cassandra_2.skill02</v>
      </c>
      <c r="Q414" s="136" t="str">
        <f>$B414&amp;"."&amp;VLOOKUP($C414,'#Data'!$B$2:$J$344,2,FALSE)&amp;".skill0"&amp;RIGHT(Q$1,1)</f>
        <v>Sector02.cassandra_2.skill03</v>
      </c>
      <c r="R414" s="114" t="s">
        <v>102</v>
      </c>
      <c r="S414" s="114" t="s">
        <v>76</v>
      </c>
      <c r="T414" s="114"/>
      <c r="U414" s="114"/>
      <c r="V414" s="108" t="b">
        <v>0</v>
      </c>
      <c r="W414" s="108" t="str">
        <f>"Character/Prefabs/"&amp;VLOOKUP($C414,'#Data'!$B$3:$I$344,8,FALSE)</f>
        <v>Character/Prefabs/m_boss_ranger_cassandra_2</v>
      </c>
      <c r="X414" s="108"/>
      <c r="Y414" s="108" t="str">
        <f>VLOOKUP($C414,'#Data'!$B$3:$I$344,8,FALSE)</f>
        <v>m_boss_ranger_cassandra_2</v>
      </c>
      <c r="Z414" s="108"/>
      <c r="AA414" s="108"/>
      <c r="AB414" s="108"/>
      <c r="AC414" s="111">
        <v>0.9</v>
      </c>
      <c r="AD414" s="108"/>
      <c r="AE414" s="108" t="s">
        <v>103</v>
      </c>
      <c r="AF414" s="108" t="s">
        <v>104</v>
      </c>
      <c r="AG414" s="108" t="s">
        <v>2105</v>
      </c>
      <c r="AH414" s="85"/>
    </row>
    <row r="415" spans="1:34" x14ac:dyDescent="0.3">
      <c r="A415" s="12">
        <f t="shared" si="12"/>
        <v>1310202101</v>
      </c>
      <c r="B415" s="12" t="s">
        <v>82</v>
      </c>
      <c r="C415" s="12" t="s">
        <v>83</v>
      </c>
      <c r="D415" s="12" t="str">
        <f>"Monster.Name."&amp;VLOOKUP($C415,'#Data'!$B$2:$J$344,2,FALSE)</f>
        <v>Monster.Name.turtle_mechamk3_3</v>
      </c>
      <c r="E415" s="12" t="s">
        <v>43</v>
      </c>
      <c r="F415" s="39" t="s">
        <v>44</v>
      </c>
      <c r="G415" s="12" t="s">
        <v>45</v>
      </c>
      <c r="H415" s="12" t="b">
        <f>IF(OR(VLOOKUP($C415,'#Data'!$B$2:$J$344,4,FALSE)="보스",VLOOKUP($C415,'#Data'!$B$2:$J$344,4,FALSE)="중간"),TRUE,FALSE)</f>
        <v>0</v>
      </c>
      <c r="I415" s="12" t="b">
        <f>IF(OR(VLOOKUP($C415,'#Data'!$B$2:$J$344,4,FALSE)="보스",VLOOKUP($C415,'#Data'!$B$2:$J$344,4,FALSE)="중간"),TRUE,FALSE)</f>
        <v>0</v>
      </c>
      <c r="J415" s="12">
        <v>10</v>
      </c>
      <c r="K415" s="12">
        <f t="shared" si="13"/>
        <v>10</v>
      </c>
      <c r="L415" s="63" t="str">
        <f>$B415&amp;"."&amp;VLOOKUP($C415,'#Data'!$B$2:$J$344,2,FALSE)&amp;".attack0"&amp;RIGHT(L$1,1)</f>
        <v>Sector02.turtle_mechamk3_3.attack01</v>
      </c>
      <c r="M415" s="63"/>
      <c r="N415" s="63"/>
      <c r="O415" s="134" t="s">
        <v>1999</v>
      </c>
      <c r="P415" s="134"/>
      <c r="Q415" s="134"/>
      <c r="R415" s="64"/>
      <c r="S415" s="64"/>
      <c r="T415" s="64"/>
      <c r="U415" s="64"/>
      <c r="V415" s="12" t="b">
        <v>0</v>
      </c>
      <c r="W415" s="12" t="str">
        <f>"Character/Prefabs/"&amp;VLOOKUP($C415,'#Data'!$B$3:$I$344,8,FALSE)</f>
        <v>Character/Prefabs/m_s_attacker_turtle_mechamk3_3</v>
      </c>
      <c r="X415" s="12"/>
      <c r="Y415" s="12" t="str">
        <f>VLOOKUP($C415,'#Data'!$B$3:$I$344,8,FALSE)</f>
        <v>m_s_attacker_turtle_mechamk3_3</v>
      </c>
      <c r="Z415" s="12"/>
      <c r="AA415" s="12"/>
      <c r="AB415" s="12"/>
      <c r="AC415" s="88">
        <v>0.7</v>
      </c>
      <c r="AD415" s="12"/>
      <c r="AE415" s="12"/>
      <c r="AF415" s="12"/>
      <c r="AG415" s="12" t="s">
        <v>2105</v>
      </c>
      <c r="AH415" s="85"/>
    </row>
    <row r="416" spans="1:34" x14ac:dyDescent="0.3">
      <c r="A416" s="12">
        <f t="shared" si="12"/>
        <v>1310202102</v>
      </c>
      <c r="B416" s="12" t="s">
        <v>82</v>
      </c>
      <c r="C416" s="12" t="s">
        <v>84</v>
      </c>
      <c r="D416" s="12" t="str">
        <f>"Monster.Name."&amp;VLOOKUP($C416,'#Data'!$B$2:$J$344,2,FALSE)</f>
        <v>Monster.Name.scorpion_turretmk2_3</v>
      </c>
      <c r="E416" s="12" t="s">
        <v>47</v>
      </c>
      <c r="F416" s="39" t="s">
        <v>44</v>
      </c>
      <c r="G416" s="12" t="s">
        <v>45</v>
      </c>
      <c r="H416" s="12" t="b">
        <f>IF(OR(VLOOKUP($C416,'#Data'!$B$2:$J$344,4,FALSE)="보스",VLOOKUP($C416,'#Data'!$B$2:$J$344,4,FALSE)="중간"),TRUE,FALSE)</f>
        <v>0</v>
      </c>
      <c r="I416" s="12" t="b">
        <f>IF(OR(VLOOKUP($C416,'#Data'!$B$2:$J$344,4,FALSE)="보스",VLOOKUP($C416,'#Data'!$B$2:$J$344,4,FALSE)="중간"),TRUE,FALSE)</f>
        <v>0</v>
      </c>
      <c r="J416" s="12">
        <v>10</v>
      </c>
      <c r="K416" s="12">
        <f t="shared" si="13"/>
        <v>10</v>
      </c>
      <c r="L416" s="63" t="str">
        <f>$B416&amp;"."&amp;VLOOKUP($C416,'#Data'!$B$2:$J$344,2,FALSE)&amp;".attack0"&amp;RIGHT(L$1,1)</f>
        <v>Sector02.scorpion_turretmk2_3.attack01</v>
      </c>
      <c r="M416" s="63"/>
      <c r="N416" s="63"/>
      <c r="O416" s="134" t="s">
        <v>2000</v>
      </c>
      <c r="P416" s="134"/>
      <c r="Q416" s="134"/>
      <c r="R416" s="64"/>
      <c r="S416" s="64"/>
      <c r="T416" s="64"/>
      <c r="U416" s="64"/>
      <c r="V416" s="12" t="b">
        <v>0</v>
      </c>
      <c r="W416" s="12" t="str">
        <f>"Character/Prefabs/"&amp;VLOOKUP($C416,'#Data'!$B$3:$I$344,8,FALSE)</f>
        <v>Character/Prefabs/m_s_ranger_scorpion_turretmk2_3</v>
      </c>
      <c r="X416" s="12"/>
      <c r="Y416" s="12" t="str">
        <f>VLOOKUP($C416,'#Data'!$B$3:$I$344,8,FALSE)</f>
        <v>m_s_ranger_scorpion_turretmk2_3</v>
      </c>
      <c r="Z416" s="12"/>
      <c r="AA416" s="12"/>
      <c r="AB416" s="12"/>
      <c r="AC416" s="88">
        <v>0.7</v>
      </c>
      <c r="AD416" s="12"/>
      <c r="AE416" s="12"/>
      <c r="AF416" s="12"/>
      <c r="AG416" s="12" t="s">
        <v>2105</v>
      </c>
      <c r="AH416" s="85"/>
    </row>
    <row r="417" spans="1:34" x14ac:dyDescent="0.3">
      <c r="A417" s="12">
        <f t="shared" si="12"/>
        <v>1310202103</v>
      </c>
      <c r="B417" s="12" t="s">
        <v>82</v>
      </c>
      <c r="C417" s="12" t="s">
        <v>85</v>
      </c>
      <c r="D417" s="12" t="str">
        <f>"Monster.Name."&amp;VLOOKUP($C417,'#Data'!$B$2:$J$344,2,FALSE)</f>
        <v>Monster.Name.rhino_mechamk3_3</v>
      </c>
      <c r="E417" s="12" t="s">
        <v>43</v>
      </c>
      <c r="F417" s="39" t="s">
        <v>44</v>
      </c>
      <c r="G417" s="12" t="s">
        <v>45</v>
      </c>
      <c r="H417" s="12" t="b">
        <f>IF(OR(VLOOKUP($C417,'#Data'!$B$2:$J$344,4,FALSE)="보스",VLOOKUP($C417,'#Data'!$B$2:$J$344,4,FALSE)="중간"),TRUE,FALSE)</f>
        <v>0</v>
      </c>
      <c r="I417" s="12" t="b">
        <f>IF(OR(VLOOKUP($C417,'#Data'!$B$2:$J$344,4,FALSE)="보스",VLOOKUP($C417,'#Data'!$B$2:$J$344,4,FALSE)="중간"),TRUE,FALSE)</f>
        <v>0</v>
      </c>
      <c r="J417" s="12">
        <v>10</v>
      </c>
      <c r="K417" s="12">
        <f t="shared" si="13"/>
        <v>10</v>
      </c>
      <c r="L417" s="63" t="str">
        <f>$B417&amp;"."&amp;VLOOKUP($C417,'#Data'!$B$2:$J$344,2,FALSE)&amp;".attack0"&amp;RIGHT(L$1,1)</f>
        <v>Sector02.rhino_mechamk3_3.attack01</v>
      </c>
      <c r="M417" s="63"/>
      <c r="N417" s="63"/>
      <c r="O417" s="134" t="s">
        <v>2001</v>
      </c>
      <c r="P417" s="134"/>
      <c r="Q417" s="134"/>
      <c r="R417" s="64"/>
      <c r="S417" s="64"/>
      <c r="T417" s="64"/>
      <c r="U417" s="64"/>
      <c r="V417" s="12" t="b">
        <v>0</v>
      </c>
      <c r="W417" s="12" t="str">
        <f>"Character/Prefabs/"&amp;VLOOKUP($C417,'#Data'!$B$3:$I$344,8,FALSE)</f>
        <v>Character/Prefabs/m_s_attacker_rhino_mechamk3_3</v>
      </c>
      <c r="X417" s="12"/>
      <c r="Y417" s="12" t="str">
        <f>VLOOKUP($C417,'#Data'!$B$3:$I$344,8,FALSE)</f>
        <v>m_s_attacker_rhino_mechamk3_3</v>
      </c>
      <c r="Z417" s="12"/>
      <c r="AA417" s="12"/>
      <c r="AB417" s="12"/>
      <c r="AC417" s="88">
        <v>0.7</v>
      </c>
      <c r="AD417" s="12"/>
      <c r="AE417" s="12"/>
      <c r="AF417" s="12"/>
      <c r="AG417" s="12" t="s">
        <v>2105</v>
      </c>
      <c r="AH417" s="85"/>
    </row>
    <row r="418" spans="1:34" x14ac:dyDescent="0.3">
      <c r="A418" s="12">
        <f t="shared" si="12"/>
        <v>1310202104</v>
      </c>
      <c r="B418" s="12" t="s">
        <v>82</v>
      </c>
      <c r="C418" s="12" t="s">
        <v>86</v>
      </c>
      <c r="D418" s="12" t="str">
        <f>"Monster.Name."&amp;VLOOKUP($C418,'#Data'!$B$2:$J$344,2,FALSE)</f>
        <v>Monster.Name.spider_turretmk2_3</v>
      </c>
      <c r="E418" s="12" t="s">
        <v>47</v>
      </c>
      <c r="F418" s="39" t="s">
        <v>44</v>
      </c>
      <c r="G418" s="12" t="s">
        <v>45</v>
      </c>
      <c r="H418" s="12" t="b">
        <f>IF(OR(VLOOKUP($C418,'#Data'!$B$2:$J$344,4,FALSE)="보스",VLOOKUP($C418,'#Data'!$B$2:$J$344,4,FALSE)="중간"),TRUE,FALSE)</f>
        <v>0</v>
      </c>
      <c r="I418" s="12" t="b">
        <f>IF(OR(VLOOKUP($C418,'#Data'!$B$2:$J$344,4,FALSE)="보스",VLOOKUP($C418,'#Data'!$B$2:$J$344,4,FALSE)="중간"),TRUE,FALSE)</f>
        <v>0</v>
      </c>
      <c r="J418" s="12">
        <v>10</v>
      </c>
      <c r="K418" s="12">
        <f t="shared" si="13"/>
        <v>10</v>
      </c>
      <c r="L418" s="63" t="str">
        <f>$B418&amp;"."&amp;VLOOKUP($C418,'#Data'!$B$2:$J$344,2,FALSE)&amp;".attack0"&amp;RIGHT(L$1,1)</f>
        <v>Sector02.spider_turretmk2_3.attack01</v>
      </c>
      <c r="M418" s="63"/>
      <c r="N418" s="63"/>
      <c r="O418" s="134" t="s">
        <v>2002</v>
      </c>
      <c r="P418" s="134"/>
      <c r="Q418" s="134"/>
      <c r="R418" s="64"/>
      <c r="S418" s="64"/>
      <c r="T418" s="64"/>
      <c r="U418" s="64"/>
      <c r="V418" s="12" t="b">
        <v>0</v>
      </c>
      <c r="W418" s="12" t="str">
        <f>"Character/Prefabs/"&amp;VLOOKUP($C418,'#Data'!$B$3:$I$344,8,FALSE)</f>
        <v>Character/Prefabs/m_s_ranger_spider_turretmk2_3</v>
      </c>
      <c r="X418" s="12"/>
      <c r="Y418" s="12" t="str">
        <f>VLOOKUP($C418,'#Data'!$B$3:$I$344,8,FALSE)</f>
        <v>m_s_ranger_spider_turretmk2_3</v>
      </c>
      <c r="Z418" s="12"/>
      <c r="AA418" s="12"/>
      <c r="AB418" s="12"/>
      <c r="AC418" s="88">
        <v>0.7</v>
      </c>
      <c r="AD418" s="12"/>
      <c r="AE418" s="12"/>
      <c r="AF418" s="12"/>
      <c r="AG418" s="12" t="s">
        <v>2105</v>
      </c>
      <c r="AH418" s="85"/>
    </row>
    <row r="419" spans="1:34" x14ac:dyDescent="0.3">
      <c r="A419" s="12">
        <f t="shared" si="12"/>
        <v>1310202105</v>
      </c>
      <c r="B419" s="12" t="s">
        <v>82</v>
      </c>
      <c r="C419" s="12" t="s">
        <v>87</v>
      </c>
      <c r="D419" s="12" t="str">
        <f>"Monster.Name."&amp;VLOOKUP($C419,'#Data'!$B$2:$J$344,2,FALSE)</f>
        <v>Monster.Name.hellfire_drone_3</v>
      </c>
      <c r="E419" s="12" t="s">
        <v>47</v>
      </c>
      <c r="F419" s="39" t="s">
        <v>44</v>
      </c>
      <c r="G419" s="12" t="s">
        <v>45</v>
      </c>
      <c r="H419" s="12" t="b">
        <f>IF(OR(VLOOKUP($C419,'#Data'!$B$2:$J$344,4,FALSE)="보스",VLOOKUP($C419,'#Data'!$B$2:$J$344,4,FALSE)="중간"),TRUE,FALSE)</f>
        <v>0</v>
      </c>
      <c r="I419" s="12" t="b">
        <f>IF(OR(VLOOKUP($C419,'#Data'!$B$2:$J$344,4,FALSE)="보스",VLOOKUP($C419,'#Data'!$B$2:$J$344,4,FALSE)="중간"),TRUE,FALSE)</f>
        <v>0</v>
      </c>
      <c r="J419" s="12">
        <v>10</v>
      </c>
      <c r="K419" s="12">
        <f t="shared" si="13"/>
        <v>10</v>
      </c>
      <c r="L419" s="63" t="str">
        <f>$B419&amp;"."&amp;VLOOKUP($C419,'#Data'!$B$2:$J$344,2,FALSE)&amp;".attack0"&amp;RIGHT(L$1,1)</f>
        <v>Sector02.hellfire_drone_3.attack01</v>
      </c>
      <c r="M419" s="63"/>
      <c r="N419" s="63"/>
      <c r="O419" s="134" t="str">
        <f>$B419&amp;"."&amp;VLOOKUP($C419,'#Data'!$B$2:$J$344,2,FALSE)&amp;".skill0"&amp;RIGHT(O$1,1)</f>
        <v>Sector02.hellfire_drone_3.skill01</v>
      </c>
      <c r="P419" s="134" t="s">
        <v>2003</v>
      </c>
      <c r="Q419" s="134"/>
      <c r="R419" s="64"/>
      <c r="S419" s="64"/>
      <c r="T419" s="64"/>
      <c r="U419" s="64"/>
      <c r="V419" s="12" t="b">
        <v>0</v>
      </c>
      <c r="W419" s="12" t="str">
        <f>"Character/Prefabs/"&amp;VLOOKUP($C419,'#Data'!$B$3:$I$344,8,FALSE)</f>
        <v>Character/Prefabs/m_s_ranger_hellfire_drone_3</v>
      </c>
      <c r="X419" s="12"/>
      <c r="Y419" s="12" t="str">
        <f>VLOOKUP($C419,'#Data'!$B$3:$I$344,8,FALSE)</f>
        <v>m_s_ranger_hellfire_drone_3</v>
      </c>
      <c r="Z419" s="12"/>
      <c r="AA419" s="12"/>
      <c r="AB419" s="12"/>
      <c r="AC419" s="88">
        <v>0.6</v>
      </c>
      <c r="AD419" s="12"/>
      <c r="AE419" s="12"/>
      <c r="AF419" s="12"/>
      <c r="AG419" s="12" t="s">
        <v>2105</v>
      </c>
      <c r="AH419" s="85"/>
    </row>
    <row r="420" spans="1:34" x14ac:dyDescent="0.3">
      <c r="A420" s="12">
        <f t="shared" si="12"/>
        <v>1310202106</v>
      </c>
      <c r="B420" s="12" t="s">
        <v>82</v>
      </c>
      <c r="C420" s="12" t="s">
        <v>88</v>
      </c>
      <c r="D420" s="12" t="str">
        <f>"Monster.Name."&amp;VLOOKUP($C420,'#Data'!$B$2:$J$344,2,FALSE)</f>
        <v>Monster.Name.silhouette_champion_3</v>
      </c>
      <c r="E420" s="12" t="s">
        <v>43</v>
      </c>
      <c r="F420" s="39" t="s">
        <v>44</v>
      </c>
      <c r="G420" s="12" t="s">
        <v>45</v>
      </c>
      <c r="H420" s="12" t="b">
        <f>IF(OR(VLOOKUP($C420,'#Data'!$B$2:$J$344,4,FALSE)="보스",VLOOKUP($C420,'#Data'!$B$2:$J$344,4,FALSE)="중간"),TRUE,FALSE)</f>
        <v>0</v>
      </c>
      <c r="I420" s="12" t="b">
        <f>IF(OR(VLOOKUP($C420,'#Data'!$B$2:$J$344,4,FALSE)="보스",VLOOKUP($C420,'#Data'!$B$2:$J$344,4,FALSE)="중간"),TRUE,FALSE)</f>
        <v>0</v>
      </c>
      <c r="J420" s="12">
        <v>10</v>
      </c>
      <c r="K420" s="12">
        <f t="shared" si="13"/>
        <v>10</v>
      </c>
      <c r="L420" s="63" t="str">
        <f>$B420&amp;"."&amp;VLOOKUP($C420,'#Data'!$B$2:$J$344,2,FALSE)&amp;".attack0"&amp;RIGHT(L$1,1)</f>
        <v>Sector02.silhouette_champion_3.attack01</v>
      </c>
      <c r="M420" s="63"/>
      <c r="N420" s="63"/>
      <c r="O420" s="134" t="str">
        <f>$B420&amp;"."&amp;VLOOKUP($C420,'#Data'!$B$2:$J$344,2,FALSE)&amp;".skill0"&amp;RIGHT(O$1,1)</f>
        <v>Sector02.silhouette_champion_3.skill01</v>
      </c>
      <c r="P420" s="134" t="s">
        <v>2004</v>
      </c>
      <c r="Q420" s="134"/>
      <c r="R420" s="64"/>
      <c r="S420" s="64"/>
      <c r="T420" s="64"/>
      <c r="U420" s="64"/>
      <c r="V420" s="12" t="b">
        <v>0</v>
      </c>
      <c r="W420" s="12" t="str">
        <f>"Character/Prefabs/"&amp;VLOOKUP($C420,'#Data'!$B$3:$I$344,8,FALSE)</f>
        <v>Character/Prefabs/m_m_attacker_silhouette_champion_3</v>
      </c>
      <c r="X420" s="12"/>
      <c r="Y420" s="12" t="str">
        <f>VLOOKUP($C420,'#Data'!$B$3:$I$344,8,FALSE)</f>
        <v>m_m_attacker_silhouette_champion_3</v>
      </c>
      <c r="Z420" s="12"/>
      <c r="AA420" s="12"/>
      <c r="AB420" s="12"/>
      <c r="AC420" s="88">
        <v>0.8</v>
      </c>
      <c r="AD420" s="12"/>
      <c r="AE420" s="12"/>
      <c r="AF420" s="12"/>
      <c r="AG420" s="12" t="s">
        <v>2105</v>
      </c>
      <c r="AH420" s="85"/>
    </row>
    <row r="421" spans="1:34" x14ac:dyDescent="0.3">
      <c r="A421" s="12">
        <f t="shared" si="12"/>
        <v>1310202107</v>
      </c>
      <c r="B421" s="12" t="s">
        <v>82</v>
      </c>
      <c r="C421" s="12" t="s">
        <v>89</v>
      </c>
      <c r="D421" s="12" t="str">
        <f>"Monster.Name."&amp;VLOOKUP($C421,'#Data'!$B$2:$J$344,2,FALSE)</f>
        <v>Monster.Name.silhouette_demolisher_3</v>
      </c>
      <c r="E421" s="12" t="s">
        <v>47</v>
      </c>
      <c r="F421" s="39" t="s">
        <v>44</v>
      </c>
      <c r="G421" s="12" t="s">
        <v>45</v>
      </c>
      <c r="H421" s="12" t="b">
        <f>IF(OR(VLOOKUP($C421,'#Data'!$B$2:$J$344,4,FALSE)="보스",VLOOKUP($C421,'#Data'!$B$2:$J$344,4,FALSE)="중간"),TRUE,FALSE)</f>
        <v>0</v>
      </c>
      <c r="I421" s="12" t="b">
        <f>IF(OR(VLOOKUP($C421,'#Data'!$B$2:$J$344,4,FALSE)="보스",VLOOKUP($C421,'#Data'!$B$2:$J$344,4,FALSE)="중간"),TRUE,FALSE)</f>
        <v>0</v>
      </c>
      <c r="J421" s="12">
        <v>10</v>
      </c>
      <c r="K421" s="12">
        <f t="shared" si="13"/>
        <v>10</v>
      </c>
      <c r="L421" s="63" t="str">
        <f>$B421&amp;"."&amp;VLOOKUP($C421,'#Data'!$B$2:$J$344,2,FALSE)&amp;".attack0"&amp;RIGHT(L$1,1)</f>
        <v>Sector02.silhouette_demolisher_3.attack01</v>
      </c>
      <c r="M421" s="63"/>
      <c r="N421" s="63"/>
      <c r="O421" s="134" t="str">
        <f>$B421&amp;"."&amp;VLOOKUP($C421,'#Data'!$B$2:$J$344,2,FALSE)&amp;".skill0"&amp;RIGHT(O$1,1)</f>
        <v>Sector02.silhouette_demolisher_3.skill01</v>
      </c>
      <c r="P421" s="134" t="s">
        <v>2005</v>
      </c>
      <c r="Q421" s="134"/>
      <c r="R421" s="64"/>
      <c r="S421" s="64"/>
      <c r="T421" s="64"/>
      <c r="U421" s="64"/>
      <c r="V421" s="12" t="b">
        <v>0</v>
      </c>
      <c r="W421" s="12" t="str">
        <f>"Character/Prefabs/"&amp;VLOOKUP($C421,'#Data'!$B$3:$I$344,8,FALSE)</f>
        <v>Character/Prefabs/m_m_ranger_silhouette_demolisher_3</v>
      </c>
      <c r="X421" s="12"/>
      <c r="Y421" s="12" t="str">
        <f>VLOOKUP($C421,'#Data'!$B$3:$I$344,8,FALSE)</f>
        <v>m_m_ranger_silhouette_demolisher_3</v>
      </c>
      <c r="Z421" s="12"/>
      <c r="AA421" s="12"/>
      <c r="AB421" s="12"/>
      <c r="AC421" s="88">
        <v>0.8</v>
      </c>
      <c r="AD421" s="12"/>
      <c r="AE421" s="12"/>
      <c r="AF421" s="12"/>
      <c r="AG421" s="12" t="s">
        <v>2105</v>
      </c>
      <c r="AH421" s="85"/>
    </row>
    <row r="422" spans="1:34" x14ac:dyDescent="0.3">
      <c r="A422" s="12">
        <f t="shared" si="12"/>
        <v>1310202108</v>
      </c>
      <c r="B422" s="12" t="s">
        <v>82</v>
      </c>
      <c r="C422" s="12" t="s">
        <v>90</v>
      </c>
      <c r="D422" s="12" t="str">
        <f>"Monster.Name."&amp;VLOOKUP($C422,'#Data'!$B$2:$J$344,2,FALSE)</f>
        <v>Monster.Name.silhouette_guard_3</v>
      </c>
      <c r="E422" s="12" t="s">
        <v>58</v>
      </c>
      <c r="F422" s="39" t="s">
        <v>44</v>
      </c>
      <c r="G422" s="12" t="s">
        <v>45</v>
      </c>
      <c r="H422" s="12" t="b">
        <f>IF(OR(VLOOKUP($C422,'#Data'!$B$2:$J$344,4,FALSE)="보스",VLOOKUP($C422,'#Data'!$B$2:$J$344,4,FALSE)="중간"),TRUE,FALSE)</f>
        <v>0</v>
      </c>
      <c r="I422" s="12" t="b">
        <f>IF(OR(VLOOKUP($C422,'#Data'!$B$2:$J$344,4,FALSE)="보스",VLOOKUP($C422,'#Data'!$B$2:$J$344,4,FALSE)="중간"),TRUE,FALSE)</f>
        <v>0</v>
      </c>
      <c r="J422" s="12">
        <v>10</v>
      </c>
      <c r="K422" s="12">
        <f t="shared" si="13"/>
        <v>10</v>
      </c>
      <c r="L422" s="63" t="str">
        <f>$B422&amp;"."&amp;VLOOKUP($C422,'#Data'!$B$2:$J$344,2,FALSE)&amp;".attack0"&amp;RIGHT(L$1,1)</f>
        <v>Sector02.silhouette_guard_3.attack01</v>
      </c>
      <c r="M422" s="63"/>
      <c r="N422" s="63"/>
      <c r="O422" s="134" t="str">
        <f>$B422&amp;"."&amp;VLOOKUP($C422,'#Data'!$B$2:$J$344,2,FALSE)&amp;".skill0"&amp;RIGHT(O$1,1)</f>
        <v>Sector02.silhouette_guard_3.skill01</v>
      </c>
      <c r="P422" s="134" t="s">
        <v>2006</v>
      </c>
      <c r="Q422" s="134"/>
      <c r="R422" s="64"/>
      <c r="S422" s="64"/>
      <c r="T422" s="64"/>
      <c r="U422" s="64"/>
      <c r="V422" s="12" t="b">
        <v>0</v>
      </c>
      <c r="W422" s="12" t="str">
        <f>"Character/Prefabs/"&amp;VLOOKUP($C422,'#Data'!$B$3:$I$344,8,FALSE)</f>
        <v>Character/Prefabs/m_m_tanker_silhouette_guard_3</v>
      </c>
      <c r="X422" s="12"/>
      <c r="Y422" s="12" t="str">
        <f>VLOOKUP($C422,'#Data'!$B$3:$I$344,8,FALSE)</f>
        <v>m_m_tanker_silhouette_guard_3</v>
      </c>
      <c r="Z422" s="12"/>
      <c r="AA422" s="12"/>
      <c r="AB422" s="12"/>
      <c r="AC422" s="88">
        <v>0.8</v>
      </c>
      <c r="AD422" s="12"/>
      <c r="AE422" s="12"/>
      <c r="AF422" s="12"/>
      <c r="AG422" s="12" t="s">
        <v>2105</v>
      </c>
      <c r="AH422" s="85"/>
    </row>
    <row r="423" spans="1:34" x14ac:dyDescent="0.3">
      <c r="A423" s="12">
        <f t="shared" si="12"/>
        <v>1310202109</v>
      </c>
      <c r="B423" s="12" t="s">
        <v>82</v>
      </c>
      <c r="C423" s="12" t="s">
        <v>91</v>
      </c>
      <c r="D423" s="12" t="str">
        <f>"Monster.Name."&amp;VLOOKUP($C423,'#Data'!$B$2:$J$344,2,FALSE)</f>
        <v>Monster.Name.silhouette_inferno_3</v>
      </c>
      <c r="E423" s="12" t="s">
        <v>43</v>
      </c>
      <c r="F423" s="39" t="s">
        <v>44</v>
      </c>
      <c r="G423" s="12" t="s">
        <v>45</v>
      </c>
      <c r="H423" s="12" t="b">
        <f>IF(OR(VLOOKUP($C423,'#Data'!$B$2:$J$344,4,FALSE)="보스",VLOOKUP($C423,'#Data'!$B$2:$J$344,4,FALSE)="중간"),TRUE,FALSE)</f>
        <v>0</v>
      </c>
      <c r="I423" s="12" t="b">
        <f>IF(OR(VLOOKUP($C423,'#Data'!$B$2:$J$344,4,FALSE)="보스",VLOOKUP($C423,'#Data'!$B$2:$J$344,4,FALSE)="중간"),TRUE,FALSE)</f>
        <v>0</v>
      </c>
      <c r="J423" s="12">
        <v>10</v>
      </c>
      <c r="K423" s="12">
        <f t="shared" si="13"/>
        <v>10</v>
      </c>
      <c r="L423" s="63" t="str">
        <f>$B423&amp;"."&amp;VLOOKUP($C423,'#Data'!$B$2:$J$344,2,FALSE)&amp;".attack0"&amp;RIGHT(L$1,1)</f>
        <v>Sector02.silhouette_inferno_3.attack01</v>
      </c>
      <c r="M423" s="63"/>
      <c r="N423" s="63"/>
      <c r="O423" s="134" t="str">
        <f>$B423&amp;"."&amp;VLOOKUP($C423,'#Data'!$B$2:$J$344,2,FALSE)&amp;".skill0"&amp;RIGHT(O$1,1)</f>
        <v>Sector02.silhouette_inferno_3.skill01</v>
      </c>
      <c r="P423" s="134" t="s">
        <v>2007</v>
      </c>
      <c r="Q423" s="134"/>
      <c r="R423" s="64"/>
      <c r="S423" s="64"/>
      <c r="T423" s="64"/>
      <c r="U423" s="64"/>
      <c r="V423" s="12" t="b">
        <v>0</v>
      </c>
      <c r="W423" s="12" t="str">
        <f>"Character/Prefabs/"&amp;VLOOKUP($C423,'#Data'!$B$3:$I$344,8,FALSE)</f>
        <v>Character/Prefabs/m_m_attacker_silhouette_inferno_3</v>
      </c>
      <c r="X423" s="12"/>
      <c r="Y423" s="12" t="str">
        <f>VLOOKUP($C423,'#Data'!$B$3:$I$344,8,FALSE)</f>
        <v>m_m_attacker_silhouette_inferno_3</v>
      </c>
      <c r="Z423" s="12"/>
      <c r="AA423" s="12"/>
      <c r="AB423" s="12"/>
      <c r="AC423" s="88">
        <v>0.8</v>
      </c>
      <c r="AD423" s="12"/>
      <c r="AE423" s="12"/>
      <c r="AF423" s="12"/>
      <c r="AG423" s="12" t="s">
        <v>2105</v>
      </c>
      <c r="AH423" s="85"/>
    </row>
    <row r="424" spans="1:34" x14ac:dyDescent="0.3">
      <c r="A424" s="49">
        <f t="shared" si="12"/>
        <v>1310202110</v>
      </c>
      <c r="B424" s="49" t="s">
        <v>82</v>
      </c>
      <c r="C424" s="49" t="s">
        <v>1218</v>
      </c>
      <c r="D424" s="49" t="str">
        <f>"Monster.Name."&amp;VLOOKUP($C424,'#Data'!$B$2:$J$344,2,FALSE)</f>
        <v>Monster.Name.turtle_mechamk3_4</v>
      </c>
      <c r="E424" s="49" t="s">
        <v>43</v>
      </c>
      <c r="F424" s="50" t="s">
        <v>44</v>
      </c>
      <c r="G424" s="49" t="s">
        <v>45</v>
      </c>
      <c r="H424" s="49" t="b">
        <f>IF(OR(VLOOKUP($C424,'#Data'!$B$2:$J$344,4,FALSE)="보스",VLOOKUP($C424,'#Data'!$B$2:$J$344,4,FALSE)="중간"),TRUE,FALSE)</f>
        <v>0</v>
      </c>
      <c r="I424" s="49" t="b">
        <f>IF(OR(VLOOKUP($C424,'#Data'!$B$2:$J$344,4,FALSE)="보스",VLOOKUP($C424,'#Data'!$B$2:$J$344,4,FALSE)="중간"),TRUE,FALSE)</f>
        <v>0</v>
      </c>
      <c r="J424" s="49">
        <v>10</v>
      </c>
      <c r="K424" s="49">
        <f t="shared" si="13"/>
        <v>10</v>
      </c>
      <c r="L424" s="65" t="s">
        <v>1318</v>
      </c>
      <c r="M424" s="65"/>
      <c r="N424" s="65"/>
      <c r="O424" s="135" t="s">
        <v>1999</v>
      </c>
      <c r="P424" s="135"/>
      <c r="Q424" s="135"/>
      <c r="R424" s="66"/>
      <c r="S424" s="66"/>
      <c r="T424" s="66"/>
      <c r="U424" s="66"/>
      <c r="V424" s="49" t="b">
        <v>0</v>
      </c>
      <c r="W424" s="49" t="str">
        <f>"Character/Prefabs/"&amp;VLOOKUP($C424,'#Data'!$B$3:$I$344,8,FALSE)</f>
        <v>Character/Prefabs/m_s_attacker_turtle_mechamk3_4</v>
      </c>
      <c r="X424" s="49"/>
      <c r="Y424" s="49" t="str">
        <f>VLOOKUP($C424,'#Data'!$B$3:$I$344,8,FALSE)</f>
        <v>m_s_attacker_turtle_mechamk3_4</v>
      </c>
      <c r="Z424" s="49"/>
      <c r="AA424" s="49"/>
      <c r="AB424" s="49"/>
      <c r="AC424" s="89">
        <v>0.7</v>
      </c>
      <c r="AD424" s="49"/>
      <c r="AE424" s="49"/>
      <c r="AF424" s="49"/>
      <c r="AG424" s="49" t="s">
        <v>2105</v>
      </c>
      <c r="AH424" s="85"/>
    </row>
    <row r="425" spans="1:34" x14ac:dyDescent="0.3">
      <c r="A425" s="49">
        <f t="shared" si="12"/>
        <v>1310202111</v>
      </c>
      <c r="B425" s="49" t="s">
        <v>82</v>
      </c>
      <c r="C425" s="49" t="s">
        <v>1219</v>
      </c>
      <c r="D425" s="49" t="str">
        <f>"Monster.Name."&amp;VLOOKUP($C425,'#Data'!$B$2:$J$344,2,FALSE)</f>
        <v>Monster.Name.scorpion_turretmk2_4</v>
      </c>
      <c r="E425" s="49" t="s">
        <v>47</v>
      </c>
      <c r="F425" s="50" t="s">
        <v>44</v>
      </c>
      <c r="G425" s="49" t="s">
        <v>45</v>
      </c>
      <c r="H425" s="49" t="b">
        <f>IF(OR(VLOOKUP($C425,'#Data'!$B$2:$J$344,4,FALSE)="보스",VLOOKUP($C425,'#Data'!$B$2:$J$344,4,FALSE)="중간"),TRUE,FALSE)</f>
        <v>0</v>
      </c>
      <c r="I425" s="49" t="b">
        <v>0</v>
      </c>
      <c r="J425" s="49">
        <v>10</v>
      </c>
      <c r="K425" s="49">
        <f t="shared" si="13"/>
        <v>10</v>
      </c>
      <c r="L425" s="65" t="s">
        <v>1319</v>
      </c>
      <c r="M425" s="65"/>
      <c r="N425" s="65"/>
      <c r="O425" s="135" t="s">
        <v>2000</v>
      </c>
      <c r="P425" s="135"/>
      <c r="Q425" s="135"/>
      <c r="R425" s="66"/>
      <c r="S425" s="66"/>
      <c r="T425" s="66"/>
      <c r="U425" s="66"/>
      <c r="V425" s="49" t="b">
        <v>0</v>
      </c>
      <c r="W425" s="49" t="str">
        <f>"Character/Prefabs/"&amp;VLOOKUP($C425,'#Data'!$B$3:$I$344,8,FALSE)</f>
        <v>Character/Prefabs/m_s_ranger_scorpion_turretmk2_4</v>
      </c>
      <c r="X425" s="49"/>
      <c r="Y425" s="49" t="str">
        <f>VLOOKUP($C425,'#Data'!$B$3:$I$344,8,FALSE)</f>
        <v>m_s_ranger_scorpion_turretmk2_4</v>
      </c>
      <c r="Z425" s="49"/>
      <c r="AA425" s="49"/>
      <c r="AB425" s="49"/>
      <c r="AC425" s="89">
        <v>0.7</v>
      </c>
      <c r="AD425" s="49"/>
      <c r="AE425" s="49"/>
      <c r="AF425" s="49"/>
      <c r="AG425" s="49" t="s">
        <v>2105</v>
      </c>
      <c r="AH425" s="85"/>
    </row>
    <row r="426" spans="1:34" x14ac:dyDescent="0.3">
      <c r="A426" s="49">
        <f t="shared" si="12"/>
        <v>1310202112</v>
      </c>
      <c r="B426" s="49" t="s">
        <v>82</v>
      </c>
      <c r="C426" s="49" t="s">
        <v>1220</v>
      </c>
      <c r="D426" s="49" t="str">
        <f>"Monster.Name."&amp;VLOOKUP($C426,'#Data'!$B$2:$J$344,2,FALSE)</f>
        <v>Monster.Name.rhino_mechamk3_4</v>
      </c>
      <c r="E426" s="49" t="s">
        <v>43</v>
      </c>
      <c r="F426" s="50" t="s">
        <v>44</v>
      </c>
      <c r="G426" s="49" t="s">
        <v>45</v>
      </c>
      <c r="H426" s="49" t="b">
        <f>IF(OR(VLOOKUP($C426,'#Data'!$B$2:$J$344,4,FALSE)="보스",VLOOKUP($C426,'#Data'!$B$2:$J$344,4,FALSE)="중간"),TRUE,FALSE)</f>
        <v>0</v>
      </c>
      <c r="I426" s="49" t="b">
        <v>0</v>
      </c>
      <c r="J426" s="49">
        <v>10</v>
      </c>
      <c r="K426" s="49">
        <f t="shared" si="13"/>
        <v>10</v>
      </c>
      <c r="L426" s="65" t="s">
        <v>1320</v>
      </c>
      <c r="M426" s="65"/>
      <c r="N426" s="65"/>
      <c r="O426" s="135" t="s">
        <v>2001</v>
      </c>
      <c r="P426" s="135"/>
      <c r="Q426" s="135"/>
      <c r="R426" s="66"/>
      <c r="S426" s="66"/>
      <c r="T426" s="66"/>
      <c r="U426" s="66"/>
      <c r="V426" s="49" t="b">
        <v>0</v>
      </c>
      <c r="W426" s="49" t="str">
        <f>"Character/Prefabs/"&amp;VLOOKUP($C426,'#Data'!$B$3:$I$344,8,FALSE)</f>
        <v>Character/Prefabs/m_s_attacker_rhino_mechamk3_4</v>
      </c>
      <c r="X426" s="49"/>
      <c r="Y426" s="49" t="str">
        <f>VLOOKUP($C426,'#Data'!$B$3:$I$344,8,FALSE)</f>
        <v>m_s_attacker_rhino_mechamk3_4</v>
      </c>
      <c r="Z426" s="49"/>
      <c r="AA426" s="49"/>
      <c r="AB426" s="49"/>
      <c r="AC426" s="89">
        <v>0.7</v>
      </c>
      <c r="AD426" s="49"/>
      <c r="AE426" s="49"/>
      <c r="AF426" s="49"/>
      <c r="AG426" s="49" t="s">
        <v>2105</v>
      </c>
      <c r="AH426" s="85"/>
    </row>
    <row r="427" spans="1:34" x14ac:dyDescent="0.3">
      <c r="A427" s="49">
        <f t="shared" si="12"/>
        <v>1310202113</v>
      </c>
      <c r="B427" s="49" t="s">
        <v>82</v>
      </c>
      <c r="C427" s="49" t="s">
        <v>1221</v>
      </c>
      <c r="D427" s="49" t="str">
        <f>"Monster.Name."&amp;VLOOKUP($C427,'#Data'!$B$2:$J$344,2,FALSE)</f>
        <v>Monster.Name.spider_turretmk2_4</v>
      </c>
      <c r="E427" s="49" t="s">
        <v>47</v>
      </c>
      <c r="F427" s="50" t="s">
        <v>44</v>
      </c>
      <c r="G427" s="49" t="s">
        <v>45</v>
      </c>
      <c r="H427" s="49" t="b">
        <f>IF(OR(VLOOKUP($C427,'#Data'!$B$2:$J$344,4,FALSE)="보스",VLOOKUP($C427,'#Data'!$B$2:$J$344,4,FALSE)="중간"),TRUE,FALSE)</f>
        <v>0</v>
      </c>
      <c r="I427" s="49" t="b">
        <v>0</v>
      </c>
      <c r="J427" s="49">
        <v>10</v>
      </c>
      <c r="K427" s="49">
        <f t="shared" si="13"/>
        <v>10</v>
      </c>
      <c r="L427" s="65" t="s">
        <v>1321</v>
      </c>
      <c r="M427" s="65"/>
      <c r="N427" s="65"/>
      <c r="O427" s="135" t="s">
        <v>2002</v>
      </c>
      <c r="P427" s="135"/>
      <c r="Q427" s="135"/>
      <c r="R427" s="66"/>
      <c r="S427" s="66"/>
      <c r="T427" s="66"/>
      <c r="U427" s="66"/>
      <c r="V427" s="49" t="b">
        <v>0</v>
      </c>
      <c r="W427" s="49" t="str">
        <f>"Character/Prefabs/"&amp;VLOOKUP($C427,'#Data'!$B$3:$I$344,8,FALSE)</f>
        <v>Character/Prefabs/m_s_ranger_spider_turretmk2_4</v>
      </c>
      <c r="X427" s="49"/>
      <c r="Y427" s="49" t="str">
        <f>VLOOKUP($C427,'#Data'!$B$3:$I$344,8,FALSE)</f>
        <v>m_s_ranger_spider_turretmk2_4</v>
      </c>
      <c r="Z427" s="49"/>
      <c r="AA427" s="49"/>
      <c r="AB427" s="49"/>
      <c r="AC427" s="89">
        <v>0.7</v>
      </c>
      <c r="AD427" s="49"/>
      <c r="AE427" s="49"/>
      <c r="AF427" s="49"/>
      <c r="AG427" s="49" t="s">
        <v>2105</v>
      </c>
      <c r="AH427" s="85"/>
    </row>
    <row r="428" spans="1:34" x14ac:dyDescent="0.3">
      <c r="A428" s="49">
        <f t="shared" si="12"/>
        <v>1310202114</v>
      </c>
      <c r="B428" s="49" t="s">
        <v>82</v>
      </c>
      <c r="C428" s="49" t="s">
        <v>1222</v>
      </c>
      <c r="D428" s="49" t="str">
        <f>"Monster.Name."&amp;VLOOKUP($C428,'#Data'!$B$2:$J$344,2,FALSE)</f>
        <v>Monster.Name.hellfire_drone_4</v>
      </c>
      <c r="E428" s="49" t="s">
        <v>47</v>
      </c>
      <c r="F428" s="50" t="s">
        <v>44</v>
      </c>
      <c r="G428" s="49" t="s">
        <v>45</v>
      </c>
      <c r="H428" s="49" t="b">
        <f>IF(OR(VLOOKUP($C428,'#Data'!$B$2:$J$344,4,FALSE)="보스",VLOOKUP($C428,'#Data'!$B$2:$J$344,4,FALSE)="중간"),TRUE,FALSE)</f>
        <v>0</v>
      </c>
      <c r="I428" s="49" t="b">
        <v>0</v>
      </c>
      <c r="J428" s="49">
        <v>10</v>
      </c>
      <c r="K428" s="49">
        <f t="shared" si="13"/>
        <v>10</v>
      </c>
      <c r="L428" s="65" t="s">
        <v>1322</v>
      </c>
      <c r="M428" s="65"/>
      <c r="N428" s="65"/>
      <c r="O428" s="135" t="s">
        <v>1327</v>
      </c>
      <c r="P428" s="135" t="s">
        <v>2003</v>
      </c>
      <c r="Q428" s="135"/>
      <c r="R428" s="66"/>
      <c r="S428" s="66"/>
      <c r="T428" s="66"/>
      <c r="U428" s="66"/>
      <c r="V428" s="49" t="b">
        <v>0</v>
      </c>
      <c r="W428" s="49" t="str">
        <f>"Character/Prefabs/"&amp;VLOOKUP($C428,'#Data'!$B$3:$I$344,8,FALSE)</f>
        <v>Character/Prefabs/m_s_ranger_hellfire_drone_4</v>
      </c>
      <c r="X428" s="49"/>
      <c r="Y428" s="49" t="str">
        <f>VLOOKUP($C428,'#Data'!$B$3:$I$344,8,FALSE)</f>
        <v>m_s_ranger_hellfire_drone_4</v>
      </c>
      <c r="Z428" s="49"/>
      <c r="AA428" s="49"/>
      <c r="AB428" s="49"/>
      <c r="AC428" s="89">
        <v>0.6</v>
      </c>
      <c r="AD428" s="49"/>
      <c r="AE428" s="49"/>
      <c r="AF428" s="49"/>
      <c r="AG428" s="49" t="s">
        <v>2105</v>
      </c>
      <c r="AH428" s="85"/>
    </row>
    <row r="429" spans="1:34" x14ac:dyDescent="0.3">
      <c r="A429" s="49">
        <f t="shared" si="12"/>
        <v>1310202115</v>
      </c>
      <c r="B429" s="49" t="s">
        <v>82</v>
      </c>
      <c r="C429" s="49" t="s">
        <v>1223</v>
      </c>
      <c r="D429" s="49" t="str">
        <f>"Monster.Name."&amp;VLOOKUP($C429,'#Data'!$B$2:$J$344,2,FALSE)</f>
        <v>Monster.Name.trooper_silhouette_champion_4</v>
      </c>
      <c r="E429" s="49" t="s">
        <v>43</v>
      </c>
      <c r="F429" s="50" t="s">
        <v>44</v>
      </c>
      <c r="G429" s="49" t="s">
        <v>45</v>
      </c>
      <c r="H429" s="49" t="b">
        <f>IF(OR(VLOOKUP($C429,'#Data'!$B$2:$J$344,4,FALSE)="보스",VLOOKUP($C429,'#Data'!$B$2:$J$344,4,FALSE)="중간"),TRUE,FALSE)</f>
        <v>0</v>
      </c>
      <c r="I429" s="49" t="b">
        <v>0</v>
      </c>
      <c r="J429" s="49">
        <v>10</v>
      </c>
      <c r="K429" s="49">
        <f t="shared" si="13"/>
        <v>10</v>
      </c>
      <c r="L429" s="65" t="s">
        <v>1323</v>
      </c>
      <c r="M429" s="65"/>
      <c r="N429" s="65"/>
      <c r="O429" s="135" t="s">
        <v>1328</v>
      </c>
      <c r="P429" s="135" t="s">
        <v>2008</v>
      </c>
      <c r="Q429" s="135"/>
      <c r="R429" s="66"/>
      <c r="S429" s="66"/>
      <c r="T429" s="66"/>
      <c r="U429" s="66"/>
      <c r="V429" s="49" t="b">
        <v>0</v>
      </c>
      <c r="W429" s="49" t="str">
        <f>"Character/Prefabs/"&amp;VLOOKUP($C429,'#Data'!$B$3:$I$344,8,FALSE)</f>
        <v>Character/Prefabs/m_m_attacker_trooper_silhouette_champion_4</v>
      </c>
      <c r="X429" s="49"/>
      <c r="Y429" s="49" t="str">
        <f>VLOOKUP($C429,'#Data'!$B$3:$I$344,8,FALSE)</f>
        <v>m_m_attacker_trooper_silhouette_champion_4</v>
      </c>
      <c r="Z429" s="49"/>
      <c r="AA429" s="49"/>
      <c r="AB429" s="49"/>
      <c r="AC429" s="89">
        <v>0.8</v>
      </c>
      <c r="AD429" s="49"/>
      <c r="AE429" s="49"/>
      <c r="AF429" s="49"/>
      <c r="AG429" s="49" t="s">
        <v>2105</v>
      </c>
      <c r="AH429" s="85"/>
    </row>
    <row r="430" spans="1:34" x14ac:dyDescent="0.3">
      <c r="A430" s="49">
        <f t="shared" si="12"/>
        <v>1310202116</v>
      </c>
      <c r="B430" s="49" t="s">
        <v>82</v>
      </c>
      <c r="C430" s="49" t="s">
        <v>1224</v>
      </c>
      <c r="D430" s="49" t="str">
        <f>"Monster.Name."&amp;VLOOKUP($C430,'#Data'!$B$2:$J$344,2,FALSE)</f>
        <v>Monster.Name.trooper_silhouette_demolisher_4</v>
      </c>
      <c r="E430" s="49" t="s">
        <v>47</v>
      </c>
      <c r="F430" s="50" t="s">
        <v>44</v>
      </c>
      <c r="G430" s="49" t="s">
        <v>45</v>
      </c>
      <c r="H430" s="49" t="b">
        <f>IF(OR(VLOOKUP($C430,'#Data'!$B$2:$J$344,4,FALSE)="보스",VLOOKUP($C430,'#Data'!$B$2:$J$344,4,FALSE)="중간"),TRUE,FALSE)</f>
        <v>0</v>
      </c>
      <c r="I430" s="49" t="b">
        <v>0</v>
      </c>
      <c r="J430" s="49">
        <v>10</v>
      </c>
      <c r="K430" s="49">
        <f t="shared" si="13"/>
        <v>10</v>
      </c>
      <c r="L430" s="65" t="s">
        <v>1324</v>
      </c>
      <c r="M430" s="65"/>
      <c r="N430" s="65"/>
      <c r="O430" s="135" t="s">
        <v>1329</v>
      </c>
      <c r="P430" s="135" t="s">
        <v>2005</v>
      </c>
      <c r="Q430" s="135"/>
      <c r="R430" s="66"/>
      <c r="S430" s="66"/>
      <c r="T430" s="66"/>
      <c r="U430" s="66"/>
      <c r="V430" s="49" t="b">
        <v>0</v>
      </c>
      <c r="W430" s="49" t="str">
        <f>"Character/Prefabs/"&amp;VLOOKUP($C430,'#Data'!$B$3:$I$344,8,FALSE)</f>
        <v>Character/Prefabs/m_m_ranger_trooper_silhouette_demolisher_4</v>
      </c>
      <c r="X430" s="49"/>
      <c r="Y430" s="49" t="str">
        <f>VLOOKUP($C430,'#Data'!$B$3:$I$344,8,FALSE)</f>
        <v>m_m_ranger_trooper_silhouette_demolisher_4</v>
      </c>
      <c r="Z430" s="49"/>
      <c r="AA430" s="49"/>
      <c r="AB430" s="49"/>
      <c r="AC430" s="89">
        <v>0.8</v>
      </c>
      <c r="AD430" s="49"/>
      <c r="AE430" s="49"/>
      <c r="AF430" s="49"/>
      <c r="AG430" s="49" t="s">
        <v>2105</v>
      </c>
      <c r="AH430" s="85"/>
    </row>
    <row r="431" spans="1:34" x14ac:dyDescent="0.3">
      <c r="A431" s="49">
        <f t="shared" si="12"/>
        <v>1310202117</v>
      </c>
      <c r="B431" s="49" t="s">
        <v>82</v>
      </c>
      <c r="C431" s="49" t="s">
        <v>1225</v>
      </c>
      <c r="D431" s="49" t="str">
        <f>"Monster.Name."&amp;VLOOKUP($C431,'#Data'!$B$2:$J$344,2,FALSE)</f>
        <v>Monster.Name.trooper_silhouette_guard_4</v>
      </c>
      <c r="E431" s="49" t="s">
        <v>58</v>
      </c>
      <c r="F431" s="50" t="s">
        <v>44</v>
      </c>
      <c r="G431" s="49" t="s">
        <v>45</v>
      </c>
      <c r="H431" s="49" t="b">
        <f>IF(OR(VLOOKUP($C431,'#Data'!$B$2:$J$344,4,FALSE)="보스",VLOOKUP($C431,'#Data'!$B$2:$J$344,4,FALSE)="중간"),TRUE,FALSE)</f>
        <v>0</v>
      </c>
      <c r="I431" s="49" t="b">
        <v>0</v>
      </c>
      <c r="J431" s="49">
        <v>10</v>
      </c>
      <c r="K431" s="49">
        <f t="shared" si="13"/>
        <v>10</v>
      </c>
      <c r="L431" s="65" t="s">
        <v>1325</v>
      </c>
      <c r="M431" s="65"/>
      <c r="N431" s="65"/>
      <c r="O431" s="135" t="s">
        <v>1330</v>
      </c>
      <c r="P431" s="135" t="s">
        <v>2006</v>
      </c>
      <c r="Q431" s="135"/>
      <c r="R431" s="66"/>
      <c r="S431" s="66"/>
      <c r="T431" s="66"/>
      <c r="U431" s="66"/>
      <c r="V431" s="49" t="b">
        <v>0</v>
      </c>
      <c r="W431" s="49" t="str">
        <f>"Character/Prefabs/"&amp;VLOOKUP($C431,'#Data'!$B$3:$I$344,8,FALSE)</f>
        <v>Character/Prefabs/m_m_tanker_trooper_silhouette_guard_4</v>
      </c>
      <c r="X431" s="49"/>
      <c r="Y431" s="49" t="str">
        <f>VLOOKUP($C431,'#Data'!$B$3:$I$344,8,FALSE)</f>
        <v>m_m_tanker_trooper_silhouette_guard_4</v>
      </c>
      <c r="Z431" s="49"/>
      <c r="AA431" s="49"/>
      <c r="AB431" s="49"/>
      <c r="AC431" s="89">
        <v>0.8</v>
      </c>
      <c r="AD431" s="49"/>
      <c r="AE431" s="49"/>
      <c r="AF431" s="49"/>
      <c r="AG431" s="49" t="s">
        <v>2105</v>
      </c>
      <c r="AH431" s="85"/>
    </row>
    <row r="432" spans="1:34" x14ac:dyDescent="0.3">
      <c r="A432" s="49">
        <f t="shared" si="12"/>
        <v>1310202118</v>
      </c>
      <c r="B432" s="49" t="s">
        <v>82</v>
      </c>
      <c r="C432" s="49" t="s">
        <v>1226</v>
      </c>
      <c r="D432" s="49" t="str">
        <f>"Monster.Name."&amp;VLOOKUP($C432,'#Data'!$B$2:$J$344,2,FALSE)</f>
        <v>Monster.Name.trooper_silhouette_inferno_4</v>
      </c>
      <c r="E432" s="49" t="s">
        <v>43</v>
      </c>
      <c r="F432" s="50" t="s">
        <v>44</v>
      </c>
      <c r="G432" s="49" t="s">
        <v>45</v>
      </c>
      <c r="H432" s="49" t="b">
        <f>IF(OR(VLOOKUP($C432,'#Data'!$B$2:$J$344,4,FALSE)="보스",VLOOKUP($C432,'#Data'!$B$2:$J$344,4,FALSE)="중간"),TRUE,FALSE)</f>
        <v>0</v>
      </c>
      <c r="I432" s="49" t="b">
        <v>0</v>
      </c>
      <c r="J432" s="49">
        <v>10</v>
      </c>
      <c r="K432" s="49">
        <f t="shared" si="13"/>
        <v>10</v>
      </c>
      <c r="L432" s="65" t="s">
        <v>1326</v>
      </c>
      <c r="M432" s="65"/>
      <c r="N432" s="65"/>
      <c r="O432" s="135" t="s">
        <v>1331</v>
      </c>
      <c r="P432" s="135" t="s">
        <v>2007</v>
      </c>
      <c r="Q432" s="135"/>
      <c r="R432" s="66"/>
      <c r="S432" s="66"/>
      <c r="T432" s="66"/>
      <c r="U432" s="66"/>
      <c r="V432" s="49" t="b">
        <v>0</v>
      </c>
      <c r="W432" s="49" t="str">
        <f>"Character/Prefabs/"&amp;VLOOKUP($C432,'#Data'!$B$3:$I$344,8,FALSE)</f>
        <v>Character/Prefabs/m_m_attacker_trooper_silhouette_inferno_4</v>
      </c>
      <c r="X432" s="49"/>
      <c r="Y432" s="49" t="str">
        <f>VLOOKUP($C432,'#Data'!$B$3:$I$344,8,FALSE)</f>
        <v>m_m_attacker_trooper_silhouette_inferno_4</v>
      </c>
      <c r="Z432" s="49"/>
      <c r="AA432" s="49"/>
      <c r="AB432" s="49"/>
      <c r="AC432" s="89">
        <v>0.8</v>
      </c>
      <c r="AD432" s="49"/>
      <c r="AE432" s="49"/>
      <c r="AF432" s="49"/>
      <c r="AG432" s="49" t="s">
        <v>2105</v>
      </c>
      <c r="AH432" s="85"/>
    </row>
    <row r="433" spans="1:34" x14ac:dyDescent="0.3">
      <c r="A433" s="12">
        <f t="shared" si="12"/>
        <v>1310202201</v>
      </c>
      <c r="B433" s="12" t="s">
        <v>82</v>
      </c>
      <c r="C433" s="12" t="s">
        <v>92</v>
      </c>
      <c r="D433" s="12" t="str">
        <f>"Monster.Name."&amp;VLOOKUP($C433,'#Data'!$B$2:$J$344,2,FALSE)</f>
        <v>Monster.Name.shelter_sweeper_r_1</v>
      </c>
      <c r="E433" s="12" t="s">
        <v>43</v>
      </c>
      <c r="F433" s="39" t="s">
        <v>44</v>
      </c>
      <c r="G433" s="12" t="s">
        <v>45</v>
      </c>
      <c r="H433" s="12" t="b">
        <f>IF(OR(VLOOKUP($C433,'#Data'!$B$2:$J$344,4,FALSE)="보스",VLOOKUP($C433,'#Data'!$B$2:$J$344,4,FALSE)="중간"),TRUE,FALSE)</f>
        <v>1</v>
      </c>
      <c r="I433" s="12" t="b">
        <v>1</v>
      </c>
      <c r="J433" s="12">
        <v>20</v>
      </c>
      <c r="K433" s="12">
        <f t="shared" si="13"/>
        <v>10</v>
      </c>
      <c r="L433" s="63" t="str">
        <f>$B433&amp;"."&amp;VLOOKUP($C433,'#Data'!$B$2:$J$344,2,FALSE)&amp;".attack0"&amp;RIGHT(L$1,1)</f>
        <v>Sector02.shelter_sweeper_r_1.attack01</v>
      </c>
      <c r="M433" s="63"/>
      <c r="N433" s="63"/>
      <c r="O433" s="134" t="str">
        <f>$B433&amp;"."&amp;VLOOKUP($C433,'#Data'!$B$2:$J$344,2,FALSE)&amp;".skill0"&amp;RIGHT(O$1,1)</f>
        <v>Sector02.shelter_sweeper_r_1.skill01</v>
      </c>
      <c r="P433" s="134" t="str">
        <f>$B433&amp;"."&amp;VLOOKUP($C433,'#Data'!$B$2:$J$344,2,FALSE)&amp;".skill0"&amp;RIGHT(P$1,1)</f>
        <v>Sector02.shelter_sweeper_r_1.skill02</v>
      </c>
      <c r="Q433" s="134"/>
      <c r="R433" s="64"/>
      <c r="S433" s="64" t="s">
        <v>2076</v>
      </c>
      <c r="T433" s="64"/>
      <c r="U433" s="64"/>
      <c r="V433" s="12" t="b">
        <v>0</v>
      </c>
      <c r="W433" s="12" t="str">
        <f>"Character/Prefabs/"&amp;VLOOKUP($C433,'#Data'!$B$3:$I$344,8,FALSE)</f>
        <v>Character/Prefabs/m_m_attacker_shelter_sweeper_r_1</v>
      </c>
      <c r="X433" s="12"/>
      <c r="Y433" s="12" t="str">
        <f>VLOOKUP($C433,'#Data'!$B$3:$I$344,8,FALSE)</f>
        <v>m_m_attacker_shelter_sweeper_r_1</v>
      </c>
      <c r="Z433" s="12"/>
      <c r="AA433" s="12"/>
      <c r="AB433" s="12"/>
      <c r="AC433" s="88">
        <v>0.9</v>
      </c>
      <c r="AD433" s="12"/>
      <c r="AE433" s="12"/>
      <c r="AF433" s="12"/>
      <c r="AG433" s="12" t="s">
        <v>2105</v>
      </c>
      <c r="AH433" s="85"/>
    </row>
    <row r="434" spans="1:34" x14ac:dyDescent="0.3">
      <c r="A434" s="12">
        <f t="shared" si="12"/>
        <v>1310202202</v>
      </c>
      <c r="B434" s="12" t="s">
        <v>82</v>
      </c>
      <c r="C434" s="12" t="s">
        <v>93</v>
      </c>
      <c r="D434" s="12" t="str">
        <f>"Monster.Name."&amp;VLOOKUP($C434,'#Data'!$B$2:$J$344,2,FALSE)</f>
        <v>Monster.Name.shelter_sweeper_v_1</v>
      </c>
      <c r="E434" s="12" t="s">
        <v>47</v>
      </c>
      <c r="F434" s="39" t="s">
        <v>44</v>
      </c>
      <c r="G434" s="12" t="s">
        <v>45</v>
      </c>
      <c r="H434" s="12" t="b">
        <f>IF(OR(VLOOKUP($C434,'#Data'!$B$2:$J$344,4,FALSE)="보스",VLOOKUP($C434,'#Data'!$B$2:$J$344,4,FALSE)="중간"),TRUE,FALSE)</f>
        <v>1</v>
      </c>
      <c r="I434" s="12" t="b">
        <v>1</v>
      </c>
      <c r="J434" s="12">
        <v>20</v>
      </c>
      <c r="K434" s="12">
        <f t="shared" si="13"/>
        <v>10</v>
      </c>
      <c r="L434" s="63" t="str">
        <f>$B434&amp;"."&amp;VLOOKUP($C434,'#Data'!$B$2:$J$344,2,FALSE)&amp;".attack0"&amp;RIGHT(L$1,1)</f>
        <v>Sector02.shelter_sweeper_v_1.attack01</v>
      </c>
      <c r="M434" s="63"/>
      <c r="N434" s="63"/>
      <c r="O434" s="134" t="str">
        <f>$B434&amp;"."&amp;VLOOKUP($C434,'#Data'!$B$2:$J$344,2,FALSE)&amp;".skill0"&amp;RIGHT(O$1,1)</f>
        <v>Sector02.shelter_sweeper_v_1.skill01</v>
      </c>
      <c r="P434" s="134" t="str">
        <f>$B434&amp;"."&amp;VLOOKUP($C434,'#Data'!$B$2:$J$344,2,FALSE)&amp;".skill0"&amp;RIGHT(P$1,1)</f>
        <v>Sector02.shelter_sweeper_v_1.skill02</v>
      </c>
      <c r="Q434" s="134"/>
      <c r="R434" s="64"/>
      <c r="S434" s="64" t="s">
        <v>2076</v>
      </c>
      <c r="T434" s="64"/>
      <c r="U434" s="64"/>
      <c r="V434" s="12" t="b">
        <v>0</v>
      </c>
      <c r="W434" s="12" t="str">
        <f>"Character/Prefabs/"&amp;VLOOKUP($C434,'#Data'!$B$3:$I$344,8,FALSE)</f>
        <v>Character/Prefabs/m_m_ranger_shelter_sweeper_v_1</v>
      </c>
      <c r="X434" s="12"/>
      <c r="Y434" s="12" t="str">
        <f>VLOOKUP($C434,'#Data'!$B$3:$I$344,8,FALSE)</f>
        <v>m_m_ranger_shelter_sweeper_v_1</v>
      </c>
      <c r="Z434" s="12"/>
      <c r="AA434" s="12"/>
      <c r="AB434" s="12"/>
      <c r="AC434" s="88">
        <v>0.9</v>
      </c>
      <c r="AD434" s="12"/>
      <c r="AE434" s="12"/>
      <c r="AF434" s="12"/>
      <c r="AG434" s="12" t="s">
        <v>2105</v>
      </c>
      <c r="AH434" s="85"/>
    </row>
    <row r="435" spans="1:34" x14ac:dyDescent="0.3">
      <c r="A435" s="12">
        <f t="shared" si="12"/>
        <v>1310202203</v>
      </c>
      <c r="B435" s="12" t="s">
        <v>82</v>
      </c>
      <c r="C435" s="12" t="s">
        <v>94</v>
      </c>
      <c r="D435" s="12" t="str">
        <f>"Monster.Name."&amp;VLOOKUP($C435,'#Data'!$B$2:$J$344,2,FALSE)</f>
        <v>Monster.Name.shelter_sweeper_g_1</v>
      </c>
      <c r="E435" s="12" t="s">
        <v>58</v>
      </c>
      <c r="F435" s="39" t="s">
        <v>44</v>
      </c>
      <c r="G435" s="12" t="s">
        <v>45</v>
      </c>
      <c r="H435" s="12" t="b">
        <f>IF(OR(VLOOKUP($C435,'#Data'!$B$2:$J$344,4,FALSE)="보스",VLOOKUP($C435,'#Data'!$B$2:$J$344,4,FALSE)="중간"),TRUE,FALSE)</f>
        <v>1</v>
      </c>
      <c r="I435" s="12" t="b">
        <v>1</v>
      </c>
      <c r="J435" s="12">
        <v>20</v>
      </c>
      <c r="K435" s="12">
        <f t="shared" si="13"/>
        <v>10</v>
      </c>
      <c r="L435" s="63" t="str">
        <f>$B435&amp;"."&amp;VLOOKUP($C435,'#Data'!$B$2:$J$344,2,FALSE)&amp;".attack0"&amp;RIGHT(L$1,1)</f>
        <v>Sector02.shelter_sweeper_g_1.attack01</v>
      </c>
      <c r="M435" s="63"/>
      <c r="N435" s="63"/>
      <c r="O435" s="134" t="str">
        <f>$B435&amp;"."&amp;VLOOKUP($C435,'#Data'!$B$2:$J$344,2,FALSE)&amp;".skill0"&amp;RIGHT(O$1,1)</f>
        <v>Sector02.shelter_sweeper_g_1.skill01</v>
      </c>
      <c r="P435" s="134" t="str">
        <f>$B435&amp;"."&amp;VLOOKUP($C435,'#Data'!$B$2:$J$344,2,FALSE)&amp;".skill0"&amp;RIGHT(P$1,1)</f>
        <v>Sector02.shelter_sweeper_g_1.skill02</v>
      </c>
      <c r="Q435" s="134"/>
      <c r="R435" s="64"/>
      <c r="S435" s="64" t="s">
        <v>2076</v>
      </c>
      <c r="T435" s="64"/>
      <c r="U435" s="64"/>
      <c r="V435" s="12" t="b">
        <v>0</v>
      </c>
      <c r="W435" s="12" t="str">
        <f>"Character/Prefabs/"&amp;VLOOKUP($C435,'#Data'!$B$3:$I$344,8,FALSE)</f>
        <v>Character/Prefabs/m_m_tanker_shelter_sweeper_g_1</v>
      </c>
      <c r="X435" s="12"/>
      <c r="Y435" s="12" t="str">
        <f>VLOOKUP($C435,'#Data'!$B$3:$I$344,8,FALSE)</f>
        <v>m_m_tanker_shelter_sweeper_g_1</v>
      </c>
      <c r="Z435" s="12"/>
      <c r="AA435" s="12"/>
      <c r="AB435" s="12"/>
      <c r="AC435" s="88">
        <v>0.9</v>
      </c>
      <c r="AD435" s="12"/>
      <c r="AE435" s="12"/>
      <c r="AF435" s="12"/>
      <c r="AG435" s="12" t="s">
        <v>2105</v>
      </c>
      <c r="AH435" s="85"/>
    </row>
    <row r="436" spans="1:34" x14ac:dyDescent="0.3">
      <c r="A436" s="77">
        <f t="shared" si="12"/>
        <v>1310202301</v>
      </c>
      <c r="B436" s="77" t="s">
        <v>41</v>
      </c>
      <c r="C436" s="77" t="s">
        <v>75</v>
      </c>
      <c r="D436" s="77" t="str">
        <f>"Monster.Name."&amp;VLOOKUP($C436,'#Data'!$B$2:$J$344,2,FALSE)</f>
        <v>Monster.Name.gallius_1</v>
      </c>
      <c r="E436" s="77" t="s">
        <v>58</v>
      </c>
      <c r="F436" s="78" t="s">
        <v>44</v>
      </c>
      <c r="G436" s="77" t="s">
        <v>45</v>
      </c>
      <c r="H436" s="77" t="b">
        <f>IF(OR(VLOOKUP($C436,'#Data'!$B$2:$J$344,4,FALSE)="보스",VLOOKUP($C436,'#Data'!$B$2:$J$344,4,FALSE)="중간"),TRUE,FALSE)</f>
        <v>1</v>
      </c>
      <c r="I436" s="77" t="b">
        <f>IF(OR(VLOOKUP($C436,'#Data'!$B$2:$J$344,4,FALSE)="보스",VLOOKUP($C436,'#Data'!$B$2:$J$344,4,FALSE)="중간"),TRUE,FALSE)</f>
        <v>1</v>
      </c>
      <c r="J436" s="77">
        <v>20</v>
      </c>
      <c r="K436" s="77">
        <f t="shared" si="13"/>
        <v>10</v>
      </c>
      <c r="L436" s="79" t="str">
        <f>$B436&amp;"."&amp;VLOOKUP($C436,'#Data'!$B$2:$J$344,2,FALSE)&amp;".attack0"&amp;RIGHT(L$1,1)</f>
        <v>Sector01.gallius_1.attack01</v>
      </c>
      <c r="M436" s="79"/>
      <c r="N436" s="79"/>
      <c r="O436" s="133" t="str">
        <f>$B436&amp;"."&amp;VLOOKUP($C436,'#Data'!$B$2:$J$344,2,FALSE)&amp;".skill0"&amp;RIGHT(O$1,1)</f>
        <v>Sector01.gallius_1.skill01</v>
      </c>
      <c r="P436" s="133" t="str">
        <f>$B436&amp;"."&amp;VLOOKUP($C436,'#Data'!$B$2:$J$344,2,FALSE)&amp;".skill0"&amp;RIGHT(P$1,1)</f>
        <v>Sector01.gallius_1.skill02</v>
      </c>
      <c r="Q436" s="133" t="s">
        <v>2070</v>
      </c>
      <c r="R436" s="80"/>
      <c r="S436" s="80" t="s">
        <v>76</v>
      </c>
      <c r="T436" s="80"/>
      <c r="U436" s="80"/>
      <c r="V436" s="77" t="b">
        <v>0</v>
      </c>
      <c r="W436" s="77" t="str">
        <f>"Character/Prefabs/"&amp;VLOOKUP($C436,'#Data'!$B$3:$I$344,8,FALSE)</f>
        <v>Character/Prefabs/m_boss_tanker_gallius_1</v>
      </c>
      <c r="X436" s="77"/>
      <c r="Y436" s="77" t="str">
        <f>VLOOKUP($C436,'#Data'!$B$3:$I$344,8,FALSE)</f>
        <v>m_boss_tanker_gallius_1</v>
      </c>
      <c r="Z436" s="77"/>
      <c r="AA436" s="77"/>
      <c r="AB436" s="77"/>
      <c r="AC436" s="87">
        <v>1.1000000000000001</v>
      </c>
      <c r="AD436" s="77"/>
      <c r="AE436" s="77" t="s">
        <v>77</v>
      </c>
      <c r="AF436" s="77" t="s">
        <v>78</v>
      </c>
      <c r="AG436" s="77" t="s">
        <v>2105</v>
      </c>
      <c r="AH436" s="85"/>
    </row>
    <row r="437" spans="1:34" x14ac:dyDescent="0.3">
      <c r="A437" s="77">
        <f t="shared" si="12"/>
        <v>1310202302</v>
      </c>
      <c r="B437" s="77" t="s">
        <v>41</v>
      </c>
      <c r="C437" s="77" t="s">
        <v>79</v>
      </c>
      <c r="D437" s="77" t="str">
        <f>"Monster.Name."&amp;VLOOKUP($C437,'#Data'!$B$2:$J$344,2,FALSE)</f>
        <v>Monster.Name.gallius_2</v>
      </c>
      <c r="E437" s="77" t="s">
        <v>58</v>
      </c>
      <c r="F437" s="78" t="s">
        <v>44</v>
      </c>
      <c r="G437" s="77" t="s">
        <v>45</v>
      </c>
      <c r="H437" s="77" t="b">
        <f>IF(OR(VLOOKUP($C437,'#Data'!$B$2:$J$344,4,FALSE)="보스",VLOOKUP($C437,'#Data'!$B$2:$J$344,4,FALSE)="중간"),TRUE,FALSE)</f>
        <v>1</v>
      </c>
      <c r="I437" s="77" t="b">
        <f>IF(OR(VLOOKUP($C437,'#Data'!$B$2:$J$344,4,FALSE)="보스",VLOOKUP($C437,'#Data'!$B$2:$J$344,4,FALSE)="중간"),TRUE,FALSE)</f>
        <v>1</v>
      </c>
      <c r="J437" s="77">
        <v>20</v>
      </c>
      <c r="K437" s="77">
        <f t="shared" si="13"/>
        <v>10</v>
      </c>
      <c r="L437" s="79" t="str">
        <f>$B437&amp;"."&amp;VLOOKUP($C437,'#Data'!$B$2:$J$344,2,FALSE)&amp;".attack0"&amp;RIGHT(L$1,1)</f>
        <v>Sector01.gallius_2.attack01</v>
      </c>
      <c r="M437" s="79"/>
      <c r="N437" s="79"/>
      <c r="O437" s="133" t="str">
        <f>$B437&amp;"."&amp;VLOOKUP($C437,'#Data'!$B$2:$J$344,2,FALSE)&amp;".skill0"&amp;RIGHT(O$1,1)</f>
        <v>Sector01.gallius_2.skill01</v>
      </c>
      <c r="P437" s="133" t="str">
        <f>$B437&amp;"."&amp;VLOOKUP($C437,'#Data'!$B$2:$J$344,2,FALSE)&amp;".skill0"&amp;RIGHT(P$1,1)</f>
        <v>Sector01.gallius_2.skill02</v>
      </c>
      <c r="Q437" s="133" t="str">
        <f>$B437&amp;"."&amp;VLOOKUP($C437,'#Data'!$B$2:$J$344,2,FALSE)&amp;".skill0"&amp;RIGHT(Q$1,1)</f>
        <v>Sector01.gallius_2.skill03</v>
      </c>
      <c r="R437" s="133" t="s">
        <v>2071</v>
      </c>
      <c r="S437" s="80" t="s">
        <v>76</v>
      </c>
      <c r="T437" s="80"/>
      <c r="U437" s="80"/>
      <c r="V437" s="77" t="b">
        <v>0</v>
      </c>
      <c r="W437" s="77" t="str">
        <f>"Character/Prefabs/"&amp;VLOOKUP($C437,'#Data'!$B$3:$I$344,8,FALSE)</f>
        <v>Character/Prefabs/m_boss_tanker_gallius_2</v>
      </c>
      <c r="X437" s="77"/>
      <c r="Y437" s="77" t="str">
        <f>VLOOKUP($C437,'#Data'!$B$3:$I$344,8,FALSE)</f>
        <v>m_boss_tanker_gallius_2</v>
      </c>
      <c r="Z437" s="77"/>
      <c r="AA437" s="77"/>
      <c r="AB437" s="77"/>
      <c r="AC437" s="87">
        <v>1.1000000000000001</v>
      </c>
      <c r="AD437" s="77"/>
      <c r="AE437" s="77" t="s">
        <v>80</v>
      </c>
      <c r="AF437" s="77" t="s">
        <v>81</v>
      </c>
      <c r="AG437" s="77" t="s">
        <v>2105</v>
      </c>
      <c r="AH437" s="85"/>
    </row>
    <row r="438" spans="1:34" x14ac:dyDescent="0.3">
      <c r="A438" s="41">
        <f t="shared" si="12"/>
        <v>1310203101</v>
      </c>
      <c r="B438" s="41" t="s">
        <v>105</v>
      </c>
      <c r="C438" s="41" t="s">
        <v>106</v>
      </c>
      <c r="D438" s="41" t="str">
        <f>"Monster.Name."&amp;VLOOKUP($C438,'#Data'!$B$2:$J$344,2,FALSE)</f>
        <v>Monster.Name.brain_hunter_1</v>
      </c>
      <c r="E438" s="41" t="s">
        <v>43</v>
      </c>
      <c r="F438" s="42" t="s">
        <v>44</v>
      </c>
      <c r="G438" s="41" t="s">
        <v>45</v>
      </c>
      <c r="H438" s="41" t="b">
        <f>IF(OR(VLOOKUP($C438,'#Data'!$B$2:$J$344,4,FALSE)="보스",VLOOKUP($C438,'#Data'!$B$2:$J$344,4,FALSE)="중간"),TRUE,FALSE)</f>
        <v>0</v>
      </c>
      <c r="I438" s="41" t="b">
        <v>0</v>
      </c>
      <c r="J438" s="41">
        <v>10</v>
      </c>
      <c r="K438" s="41">
        <f t="shared" si="13"/>
        <v>10</v>
      </c>
      <c r="L438" s="67" t="str">
        <f>$B438&amp;"."&amp;VLOOKUP($C438,'#Data'!$B$2:$J$344,2,FALSE)&amp;".attack0"&amp;RIGHT(L$1,1)</f>
        <v>Sector03.brain_hunter_1.attack01</v>
      </c>
      <c r="M438" s="67"/>
      <c r="N438" s="67"/>
      <c r="O438" s="137" t="str">
        <f>$B438&amp;"."&amp;VLOOKUP($C438,'#Data'!$B$2:$J$344,2,FALSE)&amp;".skill0"&amp;RIGHT(O$1,1)</f>
        <v>Sector03.brain_hunter_1.skill01</v>
      </c>
      <c r="P438" s="137"/>
      <c r="Q438" s="137"/>
      <c r="R438" s="68"/>
      <c r="S438" s="68"/>
      <c r="T438" s="68"/>
      <c r="U438" s="68"/>
      <c r="V438" s="41" t="b">
        <v>0</v>
      </c>
      <c r="W438" s="41" t="str">
        <f>"Character/Prefabs/"&amp;VLOOKUP($C438,'#Data'!$B$3:$I$344,8,FALSE)</f>
        <v>Character/Prefabs/m_s_attacker_brain_hunter_1</v>
      </c>
      <c r="X438" s="41"/>
      <c r="Y438" s="41" t="str">
        <f>VLOOKUP($C438,'#Data'!$B$3:$I$344,8,FALSE)</f>
        <v>m_s_attacker_brain_hunter_1</v>
      </c>
      <c r="Z438" s="41"/>
      <c r="AA438" s="41"/>
      <c r="AB438" s="41"/>
      <c r="AC438" s="90">
        <v>0.9</v>
      </c>
      <c r="AD438" s="41"/>
      <c r="AE438" s="41"/>
      <c r="AF438" s="41"/>
      <c r="AG438" s="41" t="s">
        <v>2105</v>
      </c>
      <c r="AH438" s="85"/>
    </row>
    <row r="439" spans="1:34" x14ac:dyDescent="0.3">
      <c r="A439" s="41">
        <f t="shared" si="12"/>
        <v>1310203102</v>
      </c>
      <c r="B439" s="41" t="s">
        <v>105</v>
      </c>
      <c r="C439" s="41" t="s">
        <v>107</v>
      </c>
      <c r="D439" s="41" t="str">
        <f>"Monster.Name."&amp;VLOOKUP($C439,'#Data'!$B$2:$J$344,2,FALSE)</f>
        <v>Monster.Name.infmecha_2</v>
      </c>
      <c r="E439" s="41" t="s">
        <v>43</v>
      </c>
      <c r="F439" s="42" t="s">
        <v>44</v>
      </c>
      <c r="G439" s="41" t="s">
        <v>45</v>
      </c>
      <c r="H439" s="41" t="b">
        <f>IF(OR(VLOOKUP($C439,'#Data'!$B$2:$J$344,4,FALSE)="보스",VLOOKUP($C439,'#Data'!$B$2:$J$344,4,FALSE)="중간"),TRUE,FALSE)</f>
        <v>0</v>
      </c>
      <c r="I439" s="41" t="b">
        <v>0</v>
      </c>
      <c r="J439" s="41">
        <v>10</v>
      </c>
      <c r="K439" s="41">
        <f t="shared" si="13"/>
        <v>10</v>
      </c>
      <c r="L439" s="67" t="str">
        <f>$B439&amp;"."&amp;VLOOKUP($C439,'#Data'!$B$2:$J$344,2,FALSE)&amp;".attack0"&amp;RIGHT(L$1,1)</f>
        <v>Sector03.infmecha_2.attack01</v>
      </c>
      <c r="M439" s="67"/>
      <c r="N439" s="67"/>
      <c r="O439" s="137" t="s">
        <v>2009</v>
      </c>
      <c r="P439" s="137"/>
      <c r="Q439" s="137"/>
      <c r="R439" s="68"/>
      <c r="S439" s="68"/>
      <c r="T439" s="68"/>
      <c r="U439" s="68"/>
      <c r="V439" s="41" t="b">
        <v>0</v>
      </c>
      <c r="W439" s="41" t="str">
        <f>"Character/Prefabs/"&amp;VLOOKUP($C439,'#Data'!$B$3:$I$344,8,FALSE)</f>
        <v>Character/Prefabs/m_s_attacker_infmecha_2</v>
      </c>
      <c r="X439" s="41"/>
      <c r="Y439" s="41" t="str">
        <f>VLOOKUP($C439,'#Data'!$B$3:$I$344,8,FALSE)</f>
        <v>m_s_attacker_infmecha_2</v>
      </c>
      <c r="Z439" s="41"/>
      <c r="AA439" s="41"/>
      <c r="AB439" s="41"/>
      <c r="AC439" s="90">
        <v>0.6</v>
      </c>
      <c r="AD439" s="41"/>
      <c r="AE439" s="41"/>
      <c r="AF439" s="41"/>
      <c r="AG439" s="41" t="s">
        <v>2105</v>
      </c>
      <c r="AH439" s="85"/>
    </row>
    <row r="440" spans="1:34" x14ac:dyDescent="0.3">
      <c r="A440" s="41">
        <f t="shared" si="12"/>
        <v>1310203103</v>
      </c>
      <c r="B440" s="41" t="s">
        <v>105</v>
      </c>
      <c r="C440" s="41" t="s">
        <v>108</v>
      </c>
      <c r="D440" s="41" t="str">
        <f>"Monster.Name."&amp;VLOOKUP($C440,'#Data'!$B$2:$J$344,2,FALSE)</f>
        <v>Monster.Name.core_hunter_1</v>
      </c>
      <c r="E440" s="41" t="s">
        <v>47</v>
      </c>
      <c r="F440" s="42" t="s">
        <v>44</v>
      </c>
      <c r="G440" s="41" t="s">
        <v>45</v>
      </c>
      <c r="H440" s="41" t="b">
        <f>IF(OR(VLOOKUP($C440,'#Data'!$B$2:$J$344,4,FALSE)="보스",VLOOKUP($C440,'#Data'!$B$2:$J$344,4,FALSE)="중간"),TRUE,FALSE)</f>
        <v>0</v>
      </c>
      <c r="I440" s="41" t="b">
        <v>0</v>
      </c>
      <c r="J440" s="41">
        <v>10</v>
      </c>
      <c r="K440" s="41">
        <f t="shared" si="13"/>
        <v>10</v>
      </c>
      <c r="L440" s="67" t="str">
        <f>$B440&amp;"."&amp;VLOOKUP($C440,'#Data'!$B$2:$J$344,2,FALSE)&amp;".attack0"&amp;RIGHT(L$1,1)</f>
        <v>Sector03.core_hunter_1.attack01</v>
      </c>
      <c r="M440" s="67"/>
      <c r="N440" s="67"/>
      <c r="O440" s="137" t="str">
        <f>$B440&amp;"."&amp;VLOOKUP($C440,'#Data'!$B$2:$J$344,2,FALSE)&amp;".skill0"&amp;RIGHT(O$1,1)</f>
        <v>Sector03.core_hunter_1.skill01</v>
      </c>
      <c r="P440" s="137" t="s">
        <v>2010</v>
      </c>
      <c r="Q440" s="137"/>
      <c r="R440" s="68"/>
      <c r="S440" s="68"/>
      <c r="T440" s="68"/>
      <c r="U440" s="68"/>
      <c r="V440" s="41" t="b">
        <v>0</v>
      </c>
      <c r="W440" s="41" t="str">
        <f>"Character/Prefabs/"&amp;VLOOKUP($C440,'#Data'!$B$3:$I$344,8,FALSE)</f>
        <v>Character/Prefabs/m_s_ranger_core_hunter_1</v>
      </c>
      <c r="X440" s="41"/>
      <c r="Y440" s="41" t="str">
        <f>VLOOKUP($C440,'#Data'!$B$3:$I$344,8,FALSE)</f>
        <v>m_s_ranger_core_hunter_1</v>
      </c>
      <c r="Z440" s="41"/>
      <c r="AA440" s="41"/>
      <c r="AB440" s="41"/>
      <c r="AC440" s="90">
        <v>0.9</v>
      </c>
      <c r="AD440" s="41"/>
      <c r="AE440" s="41"/>
      <c r="AF440" s="41"/>
      <c r="AG440" s="41" t="s">
        <v>2105</v>
      </c>
      <c r="AH440" s="85"/>
    </row>
    <row r="441" spans="1:34" x14ac:dyDescent="0.3">
      <c r="A441" s="41">
        <f t="shared" si="12"/>
        <v>1310203104</v>
      </c>
      <c r="B441" s="41" t="s">
        <v>105</v>
      </c>
      <c r="C441" s="41" t="s">
        <v>109</v>
      </c>
      <c r="D441" s="41" t="str">
        <f>"Monster.Name."&amp;VLOOKUP($C441,'#Data'!$B$2:$J$344,2,FALSE)</f>
        <v>Monster.Name.infturret_2</v>
      </c>
      <c r="E441" s="41" t="s">
        <v>47</v>
      </c>
      <c r="F441" s="42" t="s">
        <v>44</v>
      </c>
      <c r="G441" s="41" t="s">
        <v>45</v>
      </c>
      <c r="H441" s="41" t="b">
        <f>IF(OR(VLOOKUP($C441,'#Data'!$B$2:$J$344,4,FALSE)="보스",VLOOKUP($C441,'#Data'!$B$2:$J$344,4,FALSE)="중간"),TRUE,FALSE)</f>
        <v>0</v>
      </c>
      <c r="I441" s="41" t="b">
        <v>0</v>
      </c>
      <c r="J441" s="41">
        <v>10</v>
      </c>
      <c r="K441" s="41">
        <f t="shared" si="13"/>
        <v>10</v>
      </c>
      <c r="L441" s="67" t="str">
        <f>$B441&amp;"."&amp;VLOOKUP($C441,'#Data'!$B$2:$J$344,2,FALSE)&amp;".attack0"&amp;RIGHT(L$1,1)</f>
        <v>Sector03.infturret_2.attack01</v>
      </c>
      <c r="M441" s="67"/>
      <c r="N441" s="67"/>
      <c r="O441" s="137" t="s">
        <v>2011</v>
      </c>
      <c r="P441" s="137"/>
      <c r="Q441" s="137"/>
      <c r="R441" s="68"/>
      <c r="S441" s="68"/>
      <c r="T441" s="68"/>
      <c r="U441" s="68"/>
      <c r="V441" s="41" t="b">
        <v>0</v>
      </c>
      <c r="W441" s="41" t="str">
        <f>"Character/Prefabs/"&amp;VLOOKUP($C441,'#Data'!$B$3:$I$344,8,FALSE)</f>
        <v>Character/Prefabs/m_s_ranger_infturret_2</v>
      </c>
      <c r="X441" s="41"/>
      <c r="Y441" s="41" t="str">
        <f>VLOOKUP($C441,'#Data'!$B$3:$I$344,8,FALSE)</f>
        <v>m_s_ranger_infturret_2</v>
      </c>
      <c r="Z441" s="41"/>
      <c r="AA441" s="41"/>
      <c r="AB441" s="41"/>
      <c r="AC441" s="90">
        <v>0.6</v>
      </c>
      <c r="AD441" s="41"/>
      <c r="AE441" s="41"/>
      <c r="AF441" s="41"/>
      <c r="AG441" s="41" t="s">
        <v>2105</v>
      </c>
      <c r="AH441" s="85"/>
    </row>
    <row r="442" spans="1:34" x14ac:dyDescent="0.3">
      <c r="A442" s="41">
        <f t="shared" si="12"/>
        <v>1310203105</v>
      </c>
      <c r="B442" s="41" t="s">
        <v>105</v>
      </c>
      <c r="C442" s="41" t="s">
        <v>110</v>
      </c>
      <c r="D442" s="41" t="str">
        <f>"Monster.Name."&amp;VLOOKUP($C442,'#Data'!$B$2:$J$344,2,FALSE)</f>
        <v>Monster.Name.infdust_shield_2</v>
      </c>
      <c r="E442" s="41" t="s">
        <v>58</v>
      </c>
      <c r="F442" s="42" t="s">
        <v>44</v>
      </c>
      <c r="G442" s="41" t="s">
        <v>45</v>
      </c>
      <c r="H442" s="41" t="b">
        <f>IF(OR(VLOOKUP($C442,'#Data'!$B$2:$J$344,4,FALSE)="보스",VLOOKUP($C442,'#Data'!$B$2:$J$344,4,FALSE)="중간"),TRUE,FALSE)</f>
        <v>0</v>
      </c>
      <c r="I442" s="41" t="b">
        <v>0</v>
      </c>
      <c r="J442" s="41">
        <v>10</v>
      </c>
      <c r="K442" s="41">
        <f t="shared" si="13"/>
        <v>10</v>
      </c>
      <c r="L442" s="67" t="str">
        <f>$B442&amp;"."&amp;VLOOKUP($C442,'#Data'!$B$2:$J$344,2,FALSE)&amp;".attack0"&amp;RIGHT(L$1,1)</f>
        <v>Sector03.infdust_shield_2.attack01</v>
      </c>
      <c r="M442" s="67"/>
      <c r="N442" s="67"/>
      <c r="O442" s="137" t="str">
        <f>$B442&amp;"."&amp;VLOOKUP($C442,'#Data'!$B$2:$J$344,2,FALSE)&amp;".skill0"&amp;RIGHT(O$1,1)</f>
        <v>Sector03.infdust_shield_2.skill01</v>
      </c>
      <c r="P442" s="137" t="s">
        <v>2012</v>
      </c>
      <c r="Q442" s="137"/>
      <c r="R442" s="68"/>
      <c r="S442" s="68"/>
      <c r="T442" s="68"/>
      <c r="U442" s="68"/>
      <c r="V442" s="41" t="b">
        <v>0</v>
      </c>
      <c r="W442" s="41" t="str">
        <f>"Character/Prefabs/"&amp;VLOOKUP($C442,'#Data'!$B$3:$I$344,8,FALSE)</f>
        <v>Character/Prefabs/m_m_tanker_infdust_shield_2</v>
      </c>
      <c r="X442" s="41"/>
      <c r="Y442" s="41" t="str">
        <f>VLOOKUP($C442,'#Data'!$B$3:$I$344,8,FALSE)</f>
        <v>m_m_tanker_infdust_shield_2</v>
      </c>
      <c r="Z442" s="41"/>
      <c r="AA442" s="41"/>
      <c r="AB442" s="41"/>
      <c r="AC442" s="90">
        <v>0.7</v>
      </c>
      <c r="AD442" s="41"/>
      <c r="AE442" s="41"/>
      <c r="AF442" s="41"/>
      <c r="AG442" s="41" t="s">
        <v>2105</v>
      </c>
      <c r="AH442" s="85"/>
    </row>
    <row r="443" spans="1:34" x14ac:dyDescent="0.3">
      <c r="A443" s="41">
        <f t="shared" si="12"/>
        <v>1310203106</v>
      </c>
      <c r="B443" s="41" t="s">
        <v>105</v>
      </c>
      <c r="C443" s="41" t="s">
        <v>111</v>
      </c>
      <c r="D443" s="41" t="str">
        <f>"Monster.Name."&amp;VLOOKUP($C443,'#Data'!$B$2:$J$344,2,FALSE)</f>
        <v>Monster.Name.infdust_gauntlet_2</v>
      </c>
      <c r="E443" s="41" t="s">
        <v>43</v>
      </c>
      <c r="F443" s="42" t="s">
        <v>44</v>
      </c>
      <c r="G443" s="41" t="s">
        <v>45</v>
      </c>
      <c r="H443" s="41" t="b">
        <f>IF(OR(VLOOKUP($C443,'#Data'!$B$2:$J$344,4,FALSE)="보스",VLOOKUP($C443,'#Data'!$B$2:$J$344,4,FALSE)="중간"),TRUE,FALSE)</f>
        <v>0</v>
      </c>
      <c r="I443" s="41" t="b">
        <v>0</v>
      </c>
      <c r="J443" s="41">
        <v>10</v>
      </c>
      <c r="K443" s="41">
        <f t="shared" si="13"/>
        <v>10</v>
      </c>
      <c r="L443" s="67" t="str">
        <f>$B443&amp;"."&amp;VLOOKUP($C443,'#Data'!$B$2:$J$344,2,FALSE)&amp;".attack0"&amp;RIGHT(L$1,1)</f>
        <v>Sector03.infdust_gauntlet_2.attack01</v>
      </c>
      <c r="M443" s="67"/>
      <c r="N443" s="67"/>
      <c r="O443" s="137" t="str">
        <f>$B443&amp;"."&amp;VLOOKUP($C443,'#Data'!$B$2:$J$344,2,FALSE)&amp;".skill0"&amp;RIGHT(O$1,1)</f>
        <v>Sector03.infdust_gauntlet_2.skill01</v>
      </c>
      <c r="P443" s="137" t="s">
        <v>2013</v>
      </c>
      <c r="Q443" s="137"/>
      <c r="R443" s="68"/>
      <c r="S443" s="68"/>
      <c r="T443" s="68"/>
      <c r="U443" s="68"/>
      <c r="V443" s="41" t="b">
        <v>0</v>
      </c>
      <c r="W443" s="41" t="str">
        <f>"Character/Prefabs/"&amp;VLOOKUP($C443,'#Data'!$B$3:$I$344,8,FALSE)</f>
        <v>Character/Prefabs/m_m_attacker_infdust_gauntlet_2</v>
      </c>
      <c r="X443" s="41"/>
      <c r="Y443" s="41" t="str">
        <f>VLOOKUP($C443,'#Data'!$B$3:$I$344,8,FALSE)</f>
        <v>m_m_attacker_infdust_gauntlet_2</v>
      </c>
      <c r="Z443" s="41"/>
      <c r="AA443" s="41"/>
      <c r="AB443" s="41"/>
      <c r="AC443" s="90">
        <v>0.7</v>
      </c>
      <c r="AD443" s="41"/>
      <c r="AE443" s="41"/>
      <c r="AF443" s="41"/>
      <c r="AG443" s="41" t="s">
        <v>2105</v>
      </c>
      <c r="AH443" s="85"/>
    </row>
    <row r="444" spans="1:34" x14ac:dyDescent="0.3">
      <c r="A444" s="41">
        <f t="shared" si="12"/>
        <v>1310203107</v>
      </c>
      <c r="B444" s="41" t="s">
        <v>105</v>
      </c>
      <c r="C444" s="41" t="s">
        <v>112</v>
      </c>
      <c r="D444" s="41" t="str">
        <f>"Monster.Name."&amp;VLOOKUP($C444,'#Data'!$B$2:$J$344,2,FALSE)</f>
        <v>Monster.Name.infdust_rifle_2</v>
      </c>
      <c r="E444" s="41" t="s">
        <v>47</v>
      </c>
      <c r="F444" s="42" t="s">
        <v>44</v>
      </c>
      <c r="G444" s="41" t="s">
        <v>45</v>
      </c>
      <c r="H444" s="41" t="b">
        <f>IF(OR(VLOOKUP($C444,'#Data'!$B$2:$J$344,4,FALSE)="보스",VLOOKUP($C444,'#Data'!$B$2:$J$344,4,FALSE)="중간"),TRUE,FALSE)</f>
        <v>0</v>
      </c>
      <c r="I444" s="41" t="b">
        <v>0</v>
      </c>
      <c r="J444" s="41">
        <v>10</v>
      </c>
      <c r="K444" s="41">
        <f t="shared" si="13"/>
        <v>10</v>
      </c>
      <c r="L444" s="67" t="str">
        <f>$B444&amp;"."&amp;VLOOKUP($C444,'#Data'!$B$2:$J$344,2,FALSE)&amp;".attack0"&amp;RIGHT(L$1,1)</f>
        <v>Sector03.infdust_rifle_2.attack01</v>
      </c>
      <c r="M444" s="67"/>
      <c r="N444" s="67"/>
      <c r="O444" s="137" t="str">
        <f>$B444&amp;"."&amp;VLOOKUP($C444,'#Data'!$B$2:$J$344,2,FALSE)&amp;".skill0"&amp;RIGHT(O$1,1)</f>
        <v>Sector03.infdust_rifle_2.skill01</v>
      </c>
      <c r="P444" s="137" t="s">
        <v>2014</v>
      </c>
      <c r="Q444" s="137"/>
      <c r="R444" s="68"/>
      <c r="S444" s="68"/>
      <c r="T444" s="68"/>
      <c r="U444" s="68"/>
      <c r="V444" s="41" t="b">
        <v>0</v>
      </c>
      <c r="W444" s="41" t="str">
        <f>"Character/Prefabs/"&amp;VLOOKUP($C444,'#Data'!$B$3:$I$344,8,FALSE)</f>
        <v>Character/Prefabs/m_m_ranger_infdust_rifle_2</v>
      </c>
      <c r="X444" s="41"/>
      <c r="Y444" s="41" t="str">
        <f>VLOOKUP($C444,'#Data'!$B$3:$I$344,8,FALSE)</f>
        <v>m_m_ranger_infdust_rifle_2</v>
      </c>
      <c r="Z444" s="41"/>
      <c r="AA444" s="41"/>
      <c r="AB444" s="41"/>
      <c r="AC444" s="90">
        <v>0.7</v>
      </c>
      <c r="AD444" s="41"/>
      <c r="AE444" s="41"/>
      <c r="AF444" s="41"/>
      <c r="AG444" s="41" t="s">
        <v>2105</v>
      </c>
      <c r="AH444" s="85"/>
    </row>
    <row r="445" spans="1:34" x14ac:dyDescent="0.3">
      <c r="A445" s="41">
        <f t="shared" si="12"/>
        <v>1310203108</v>
      </c>
      <c r="B445" s="41" t="s">
        <v>105</v>
      </c>
      <c r="C445" s="41" t="s">
        <v>113</v>
      </c>
      <c r="D445" s="41" t="str">
        <f>"Monster.Name."&amp;VLOOKUP($C445,'#Data'!$B$2:$J$344,2,FALSE)</f>
        <v>Monster.Name.infdust_launcher_2</v>
      </c>
      <c r="E445" s="41" t="s">
        <v>47</v>
      </c>
      <c r="F445" s="42" t="s">
        <v>44</v>
      </c>
      <c r="G445" s="41" t="s">
        <v>45</v>
      </c>
      <c r="H445" s="41" t="b">
        <f>IF(OR(VLOOKUP($C445,'#Data'!$B$2:$J$344,4,FALSE)="보스",VLOOKUP($C445,'#Data'!$B$2:$J$344,4,FALSE)="중간"),TRUE,FALSE)</f>
        <v>0</v>
      </c>
      <c r="I445" s="41" t="b">
        <v>0</v>
      </c>
      <c r="J445" s="41">
        <v>10</v>
      </c>
      <c r="K445" s="41">
        <f t="shared" si="13"/>
        <v>10</v>
      </c>
      <c r="L445" s="67" t="str">
        <f>$B445&amp;"."&amp;VLOOKUP($C445,'#Data'!$B$2:$J$344,2,FALSE)&amp;".attack0"&amp;RIGHT(L$1,1)</f>
        <v>Sector03.infdust_launcher_2.attack01</v>
      </c>
      <c r="M445" s="67"/>
      <c r="N445" s="67"/>
      <c r="O445" s="137" t="str">
        <f>$B445&amp;"."&amp;VLOOKUP($C445,'#Data'!$B$2:$J$344,2,FALSE)&amp;".skill0"&amp;RIGHT(O$1,1)</f>
        <v>Sector03.infdust_launcher_2.skill01</v>
      </c>
      <c r="P445" s="137" t="s">
        <v>2015</v>
      </c>
      <c r="Q445" s="137"/>
      <c r="R445" s="68"/>
      <c r="S445" s="68"/>
      <c r="T445" s="68"/>
      <c r="U445" s="68"/>
      <c r="V445" s="41" t="b">
        <v>0</v>
      </c>
      <c r="W445" s="41" t="str">
        <f>"Character/Prefabs/"&amp;VLOOKUP($C445,'#Data'!$B$3:$I$344,8,FALSE)</f>
        <v>Character/Prefabs/m_m_ranger_infdust_launcher_2</v>
      </c>
      <c r="X445" s="41"/>
      <c r="Y445" s="41" t="str">
        <f>VLOOKUP($C445,'#Data'!$B$3:$I$344,8,FALSE)</f>
        <v>m_m_ranger_infdust_launcher_2</v>
      </c>
      <c r="Z445" s="41"/>
      <c r="AA445" s="41"/>
      <c r="AB445" s="41"/>
      <c r="AC445" s="90">
        <v>0.7</v>
      </c>
      <c r="AD445" s="41"/>
      <c r="AE445" s="41"/>
      <c r="AF445" s="41"/>
      <c r="AG445" s="41" t="s">
        <v>2105</v>
      </c>
      <c r="AH445" s="85"/>
    </row>
    <row r="446" spans="1:34" x14ac:dyDescent="0.3">
      <c r="A446" s="41">
        <f t="shared" si="12"/>
        <v>1310203109</v>
      </c>
      <c r="B446" s="41" t="s">
        <v>105</v>
      </c>
      <c r="C446" s="41" t="s">
        <v>114</v>
      </c>
      <c r="D446" s="41" t="str">
        <f>"Monster.Name."&amp;VLOOKUP($C446,'#Data'!$B$2:$J$344,2,FALSE)</f>
        <v>Monster.Name.head_snatcher_1</v>
      </c>
      <c r="E446" s="41" t="s">
        <v>43</v>
      </c>
      <c r="F446" s="42" t="s">
        <v>44</v>
      </c>
      <c r="G446" s="41" t="s">
        <v>45</v>
      </c>
      <c r="H446" s="41" t="b">
        <f>IF(OR(VLOOKUP($C446,'#Data'!$B$2:$J$344,4,FALSE)="보스",VLOOKUP($C446,'#Data'!$B$2:$J$344,4,FALSE)="중간"),TRUE,FALSE)</f>
        <v>0</v>
      </c>
      <c r="I446" s="41" t="b">
        <v>0</v>
      </c>
      <c r="J446" s="41">
        <v>10</v>
      </c>
      <c r="K446" s="41">
        <f t="shared" si="13"/>
        <v>10</v>
      </c>
      <c r="L446" s="67" t="str">
        <f>$B446&amp;"."&amp;VLOOKUP($C446,'#Data'!$B$2:$J$344,2,FALSE)&amp;".attack0"&amp;RIGHT(L$1,1)</f>
        <v>Sector03.head_snatcher_1.attack01</v>
      </c>
      <c r="M446" s="67"/>
      <c r="N446" s="67"/>
      <c r="O446" s="137" t="str">
        <f>$B446&amp;"."&amp;VLOOKUP($C446,'#Data'!$B$2:$J$344,2,FALSE)&amp;".skill0"&amp;RIGHT(O$1,1)</f>
        <v>Sector03.head_snatcher_1.skill01</v>
      </c>
      <c r="P446" s="137" t="s">
        <v>2016</v>
      </c>
      <c r="Q446" s="137"/>
      <c r="R446" s="68"/>
      <c r="S446" s="68"/>
      <c r="T446" s="68"/>
      <c r="U446" s="68"/>
      <c r="V446" s="41" t="b">
        <v>0</v>
      </c>
      <c r="W446" s="41" t="str">
        <f>"Character/Prefabs/"&amp;VLOOKUP($C446,'#Data'!$B$3:$I$344,8,FALSE)</f>
        <v>Character/Prefabs/m_m_attacker_head_snatcher_1</v>
      </c>
      <c r="X446" s="41"/>
      <c r="Y446" s="41" t="str">
        <f>VLOOKUP($C446,'#Data'!$B$3:$I$344,8,FALSE)</f>
        <v>m_m_attacker_head_snatcher_1</v>
      </c>
      <c r="Z446" s="41"/>
      <c r="AA446" s="41"/>
      <c r="AB446" s="41"/>
      <c r="AC446" s="90">
        <v>0.7</v>
      </c>
      <c r="AD446" s="41"/>
      <c r="AE446" s="41"/>
      <c r="AF446" s="41"/>
      <c r="AG446" s="41" t="s">
        <v>2105</v>
      </c>
      <c r="AH446" s="85"/>
    </row>
    <row r="447" spans="1:34" x14ac:dyDescent="0.3">
      <c r="A447" s="41">
        <f t="shared" si="12"/>
        <v>1310203110</v>
      </c>
      <c r="B447" s="41" t="s">
        <v>105</v>
      </c>
      <c r="C447" s="41" t="s">
        <v>115</v>
      </c>
      <c r="D447" s="41" t="str">
        <f>"Monster.Name."&amp;VLOOKUP($C447,'#Data'!$B$2:$J$344,2,FALSE)</f>
        <v>Monster.Name.core_snatcher_1</v>
      </c>
      <c r="E447" s="41" t="s">
        <v>47</v>
      </c>
      <c r="F447" s="42" t="s">
        <v>44</v>
      </c>
      <c r="G447" s="41" t="s">
        <v>45</v>
      </c>
      <c r="H447" s="41" t="b">
        <f>IF(OR(VLOOKUP($C447,'#Data'!$B$2:$J$344,4,FALSE)="보스",VLOOKUP($C447,'#Data'!$B$2:$J$344,4,FALSE)="중간"),TRUE,FALSE)</f>
        <v>0</v>
      </c>
      <c r="I447" s="41" t="b">
        <v>0</v>
      </c>
      <c r="J447" s="41">
        <v>10</v>
      </c>
      <c r="K447" s="41">
        <f t="shared" si="13"/>
        <v>10</v>
      </c>
      <c r="L447" s="67" t="str">
        <f>$B447&amp;"."&amp;VLOOKUP($C447,'#Data'!$B$2:$J$344,2,FALSE)&amp;".attack0"&amp;RIGHT(L$1,1)</f>
        <v>Sector03.core_snatcher_1.attack01</v>
      </c>
      <c r="M447" s="67"/>
      <c r="N447" s="67"/>
      <c r="O447" s="137" t="str">
        <f>$B447&amp;"."&amp;VLOOKUP($C447,'#Data'!$B$2:$J$344,2,FALSE)&amp;".skill0"&amp;RIGHT(O$1,1)</f>
        <v>Sector03.core_snatcher_1.skill01</v>
      </c>
      <c r="P447" s="137" t="s">
        <v>2017</v>
      </c>
      <c r="Q447" s="137"/>
      <c r="R447" s="68"/>
      <c r="S447" s="68"/>
      <c r="T447" s="68"/>
      <c r="U447" s="68"/>
      <c r="V447" s="41" t="b">
        <v>0</v>
      </c>
      <c r="W447" s="41" t="str">
        <f>"Character/Prefabs/"&amp;VLOOKUP($C447,'#Data'!$B$3:$I$344,8,FALSE)</f>
        <v>Character/Prefabs/m_m_ranger_core_snatcher_1</v>
      </c>
      <c r="X447" s="41"/>
      <c r="Y447" s="41" t="str">
        <f>VLOOKUP($C447,'#Data'!$B$3:$I$344,8,FALSE)</f>
        <v>m_m_ranger_core_snatcher_1</v>
      </c>
      <c r="Z447" s="41"/>
      <c r="AA447" s="41"/>
      <c r="AB447" s="41"/>
      <c r="AC447" s="90">
        <v>0.7</v>
      </c>
      <c r="AD447" s="41"/>
      <c r="AE447" s="41"/>
      <c r="AF447" s="41"/>
      <c r="AG447" s="41" t="s">
        <v>2105</v>
      </c>
      <c r="AH447" s="85"/>
    </row>
    <row r="448" spans="1:34" x14ac:dyDescent="0.3">
      <c r="A448" s="19">
        <f t="shared" si="12"/>
        <v>1310203111</v>
      </c>
      <c r="B448" s="19" t="s">
        <v>105</v>
      </c>
      <c r="C448" s="19" t="s">
        <v>1241</v>
      </c>
      <c r="D448" s="19" t="str">
        <f>"Monster.Name."&amp;VLOOKUP($C448,'#Data'!$B$2:$J$344,2,FALSE)</f>
        <v>Monster.Name.brain_hunter_2</v>
      </c>
      <c r="E448" s="19" t="s">
        <v>43</v>
      </c>
      <c r="F448" s="48" t="s">
        <v>44</v>
      </c>
      <c r="G448" s="19" t="s">
        <v>45</v>
      </c>
      <c r="H448" s="19" t="b">
        <f>IF(OR(VLOOKUP($C448,'#Data'!$B$2:$J$344,4,FALSE)="보스",VLOOKUP($C448,'#Data'!$B$2:$J$344,4,FALSE)="중간"),TRUE,FALSE)</f>
        <v>0</v>
      </c>
      <c r="I448" s="19" t="b">
        <v>0</v>
      </c>
      <c r="J448" s="19">
        <v>10</v>
      </c>
      <c r="K448" s="19">
        <f t="shared" si="13"/>
        <v>10</v>
      </c>
      <c r="L448" s="69" t="s">
        <v>1332</v>
      </c>
      <c r="M448" s="69"/>
      <c r="N448" s="69"/>
      <c r="O448" s="138"/>
      <c r="P448" s="138"/>
      <c r="Q448" s="138"/>
      <c r="R448" s="70"/>
      <c r="S448" s="70"/>
      <c r="T448" s="70"/>
      <c r="U448" s="70"/>
      <c r="V448" s="19" t="b">
        <v>0</v>
      </c>
      <c r="W448" s="19" t="str">
        <f>"Character/Prefabs/"&amp;VLOOKUP($C448,'#Data'!$B$3:$I$344,8,FALSE)</f>
        <v>Character/Prefabs/m_s_attacker_brain_hunter_2</v>
      </c>
      <c r="X448" s="19"/>
      <c r="Y448" s="19" t="str">
        <f>VLOOKUP($C448,'#Data'!$B$3:$I$344,8,FALSE)</f>
        <v>m_s_attacker_brain_hunter_2</v>
      </c>
      <c r="Z448" s="19"/>
      <c r="AA448" s="19"/>
      <c r="AB448" s="19"/>
      <c r="AC448" s="91">
        <v>0.9</v>
      </c>
      <c r="AD448" s="19"/>
      <c r="AE448" s="19"/>
      <c r="AF448" s="19"/>
      <c r="AG448" s="19" t="s">
        <v>2105</v>
      </c>
      <c r="AH448" s="85"/>
    </row>
    <row r="449" spans="1:36" x14ac:dyDescent="0.3">
      <c r="A449" s="19">
        <f t="shared" si="12"/>
        <v>1310203112</v>
      </c>
      <c r="B449" s="19" t="s">
        <v>105</v>
      </c>
      <c r="C449" s="19" t="s">
        <v>1243</v>
      </c>
      <c r="D449" s="19" t="str">
        <f>"Monster.Name."&amp;VLOOKUP($C449,'#Data'!$B$2:$J$344,2,FALSE)</f>
        <v>Monster.Name.infmecha_3</v>
      </c>
      <c r="E449" s="19" t="s">
        <v>43</v>
      </c>
      <c r="F449" s="48" t="s">
        <v>44</v>
      </c>
      <c r="G449" s="19" t="s">
        <v>45</v>
      </c>
      <c r="H449" s="19" t="b">
        <f>IF(OR(VLOOKUP($C449,'#Data'!$B$2:$J$344,4,FALSE)="보스",VLOOKUP($C449,'#Data'!$B$2:$J$344,4,FALSE)="중간"),TRUE,FALSE)</f>
        <v>0</v>
      </c>
      <c r="I449" s="19" t="b">
        <v>0</v>
      </c>
      <c r="J449" s="19">
        <v>10</v>
      </c>
      <c r="K449" s="19">
        <f t="shared" si="13"/>
        <v>10</v>
      </c>
      <c r="L449" s="69" t="s">
        <v>1333</v>
      </c>
      <c r="M449" s="69"/>
      <c r="N449" s="69"/>
      <c r="O449" s="138" t="s">
        <v>2009</v>
      </c>
      <c r="P449" s="138"/>
      <c r="Q449" s="138"/>
      <c r="R449" s="70"/>
      <c r="S449" s="70"/>
      <c r="T449" s="70"/>
      <c r="U449" s="70"/>
      <c r="V449" s="19" t="b">
        <v>0</v>
      </c>
      <c r="W449" s="19" t="str">
        <f>"Character/Prefabs/"&amp;VLOOKUP($C449,'#Data'!$B$3:$I$344,8,FALSE)</f>
        <v>Character/Prefabs/m_s_attacker_infmecha_3</v>
      </c>
      <c r="X449" s="19"/>
      <c r="Y449" s="19" t="str">
        <f>VLOOKUP($C449,'#Data'!$B$3:$I$344,8,FALSE)</f>
        <v>m_s_attacker_infmecha_3</v>
      </c>
      <c r="Z449" s="19"/>
      <c r="AA449" s="19"/>
      <c r="AB449" s="19"/>
      <c r="AC449" s="91">
        <v>0.6</v>
      </c>
      <c r="AD449" s="19"/>
      <c r="AE449" s="19"/>
      <c r="AF449" s="19"/>
      <c r="AG449" s="19" t="s">
        <v>2105</v>
      </c>
      <c r="AH449" s="85"/>
    </row>
    <row r="450" spans="1:36" x14ac:dyDescent="0.3">
      <c r="A450" s="19">
        <f t="shared" si="12"/>
        <v>1310203113</v>
      </c>
      <c r="B450" s="19" t="s">
        <v>105</v>
      </c>
      <c r="C450" s="19" t="s">
        <v>1245</v>
      </c>
      <c r="D450" s="19" t="str">
        <f>"Monster.Name."&amp;VLOOKUP($C450,'#Data'!$B$2:$J$344,2,FALSE)</f>
        <v>Monster.Name.core_hunter_2</v>
      </c>
      <c r="E450" s="19" t="s">
        <v>47</v>
      </c>
      <c r="F450" s="48" t="s">
        <v>44</v>
      </c>
      <c r="G450" s="19" t="s">
        <v>45</v>
      </c>
      <c r="H450" s="19" t="b">
        <f>IF(OR(VLOOKUP($C450,'#Data'!$B$2:$J$344,4,FALSE)="보스",VLOOKUP($C450,'#Data'!$B$2:$J$344,4,FALSE)="중간"),TRUE,FALSE)</f>
        <v>0</v>
      </c>
      <c r="I450" s="19" t="b">
        <v>0</v>
      </c>
      <c r="J450" s="19">
        <v>10</v>
      </c>
      <c r="K450" s="19">
        <f t="shared" si="13"/>
        <v>10</v>
      </c>
      <c r="L450" s="69" t="s">
        <v>1334</v>
      </c>
      <c r="M450" s="69"/>
      <c r="N450" s="69"/>
      <c r="O450" s="138" t="s">
        <v>2010</v>
      </c>
      <c r="P450" s="138"/>
      <c r="Q450" s="138"/>
      <c r="R450" s="70"/>
      <c r="S450" s="70"/>
      <c r="T450" s="70"/>
      <c r="U450" s="70"/>
      <c r="V450" s="19" t="b">
        <v>0</v>
      </c>
      <c r="W450" s="19" t="str">
        <f>"Character/Prefabs/"&amp;VLOOKUP($C450,'#Data'!$B$3:$I$344,8,FALSE)</f>
        <v>Character/Prefabs/m_s_ranger_core_hunter_2</v>
      </c>
      <c r="X450" s="19"/>
      <c r="Y450" s="19" t="str">
        <f>VLOOKUP($C450,'#Data'!$B$3:$I$344,8,FALSE)</f>
        <v>m_s_ranger_core_hunter_2</v>
      </c>
      <c r="Z450" s="19"/>
      <c r="AA450" s="19"/>
      <c r="AB450" s="19"/>
      <c r="AC450" s="91">
        <v>0.9</v>
      </c>
      <c r="AD450" s="19"/>
      <c r="AE450" s="19"/>
      <c r="AF450" s="19"/>
      <c r="AG450" s="19" t="s">
        <v>2105</v>
      </c>
      <c r="AH450" s="85"/>
    </row>
    <row r="451" spans="1:36" x14ac:dyDescent="0.3">
      <c r="A451" s="19">
        <f t="shared" si="12"/>
        <v>1310203114</v>
      </c>
      <c r="B451" s="19" t="s">
        <v>105</v>
      </c>
      <c r="C451" s="19" t="s">
        <v>1247</v>
      </c>
      <c r="D451" s="19" t="str">
        <f>"Monster.Name."&amp;VLOOKUP($C451,'#Data'!$B$2:$J$344,2,FALSE)</f>
        <v>Monster.Name.infturret_3</v>
      </c>
      <c r="E451" s="19" t="s">
        <v>47</v>
      </c>
      <c r="F451" s="48" t="s">
        <v>44</v>
      </c>
      <c r="G451" s="19" t="s">
        <v>45</v>
      </c>
      <c r="H451" s="19" t="b">
        <f>IF(OR(VLOOKUP($C451,'#Data'!$B$2:$J$344,4,FALSE)="보스",VLOOKUP($C451,'#Data'!$B$2:$J$344,4,FALSE)="중간"),TRUE,FALSE)</f>
        <v>0</v>
      </c>
      <c r="I451" s="19" t="b">
        <v>0</v>
      </c>
      <c r="J451" s="19">
        <v>10</v>
      </c>
      <c r="K451" s="19">
        <f t="shared" si="13"/>
        <v>10</v>
      </c>
      <c r="L451" s="69" t="s">
        <v>1335</v>
      </c>
      <c r="M451" s="69"/>
      <c r="N451" s="69"/>
      <c r="O451" s="138" t="s">
        <v>2011</v>
      </c>
      <c r="P451" s="138"/>
      <c r="Q451" s="138"/>
      <c r="R451" s="70"/>
      <c r="S451" s="70"/>
      <c r="T451" s="70"/>
      <c r="U451" s="70"/>
      <c r="V451" s="19" t="b">
        <v>0</v>
      </c>
      <c r="W451" s="19" t="str">
        <f>"Character/Prefabs/"&amp;VLOOKUP($C451,'#Data'!$B$3:$I$344,8,FALSE)</f>
        <v>Character/Prefabs/m_s_ranger_infturret_3</v>
      </c>
      <c r="X451" s="19"/>
      <c r="Y451" s="19" t="str">
        <f>VLOOKUP($C451,'#Data'!$B$3:$I$344,8,FALSE)</f>
        <v>m_s_ranger_infturret_3</v>
      </c>
      <c r="Z451" s="19"/>
      <c r="AA451" s="19"/>
      <c r="AB451" s="19"/>
      <c r="AC451" s="91">
        <v>0.6</v>
      </c>
      <c r="AD451" s="19"/>
      <c r="AE451" s="19"/>
      <c r="AF451" s="19"/>
      <c r="AG451" s="19" t="s">
        <v>2105</v>
      </c>
      <c r="AH451" s="85"/>
    </row>
    <row r="452" spans="1:36" x14ac:dyDescent="0.3">
      <c r="A452" s="19">
        <f t="shared" si="12"/>
        <v>1310203115</v>
      </c>
      <c r="B452" s="19" t="s">
        <v>105</v>
      </c>
      <c r="C452" s="19" t="s">
        <v>1249</v>
      </c>
      <c r="D452" s="19" t="str">
        <f>"Monster.Name."&amp;VLOOKUP($C452,'#Data'!$B$2:$J$344,2,FALSE)</f>
        <v>Monster.Name.infdust_shield_3</v>
      </c>
      <c r="E452" s="19" t="s">
        <v>58</v>
      </c>
      <c r="F452" s="48" t="s">
        <v>44</v>
      </c>
      <c r="G452" s="19" t="s">
        <v>45</v>
      </c>
      <c r="H452" s="19" t="b">
        <f>IF(OR(VLOOKUP($C452,'#Data'!$B$2:$J$344,4,FALSE)="보스",VLOOKUP($C452,'#Data'!$B$2:$J$344,4,FALSE)="중간"),TRUE,FALSE)</f>
        <v>0</v>
      </c>
      <c r="I452" s="19" t="b">
        <v>0</v>
      </c>
      <c r="J452" s="19">
        <v>10</v>
      </c>
      <c r="K452" s="19">
        <f t="shared" si="13"/>
        <v>10</v>
      </c>
      <c r="L452" s="69" t="s">
        <v>1336</v>
      </c>
      <c r="M452" s="69"/>
      <c r="N452" s="69"/>
      <c r="O452" s="138" t="s">
        <v>1342</v>
      </c>
      <c r="P452" s="138" t="s">
        <v>2012</v>
      </c>
      <c r="Q452" s="138"/>
      <c r="R452" s="70"/>
      <c r="S452" s="70"/>
      <c r="T452" s="70"/>
      <c r="U452" s="70"/>
      <c r="V452" s="19" t="b">
        <v>0</v>
      </c>
      <c r="W452" s="19" t="str">
        <f>"Character/Prefabs/"&amp;VLOOKUP($C452,'#Data'!$B$3:$I$344,8,FALSE)</f>
        <v>Character/Prefabs/m_m_tanker_infdust_shield_3</v>
      </c>
      <c r="X452" s="19"/>
      <c r="Y452" s="19" t="str">
        <f>VLOOKUP($C452,'#Data'!$B$3:$I$344,8,FALSE)</f>
        <v>m_m_tanker_infdust_shield_3</v>
      </c>
      <c r="Z452" s="19"/>
      <c r="AA452" s="19"/>
      <c r="AB452" s="19"/>
      <c r="AC452" s="91">
        <v>0.7</v>
      </c>
      <c r="AD452" s="19"/>
      <c r="AE452" s="19"/>
      <c r="AF452" s="19"/>
      <c r="AG452" s="19" t="s">
        <v>2105</v>
      </c>
      <c r="AH452" s="85"/>
    </row>
    <row r="453" spans="1:36" x14ac:dyDescent="0.3">
      <c r="A453" s="19">
        <f t="shared" si="12"/>
        <v>1310203116</v>
      </c>
      <c r="B453" s="19" t="s">
        <v>105</v>
      </c>
      <c r="C453" s="19" t="s">
        <v>1251</v>
      </c>
      <c r="D453" s="19" t="str">
        <f>"Monster.Name."&amp;VLOOKUP($C453,'#Data'!$B$2:$J$344,2,FALSE)</f>
        <v>Monster.Name.infdust_gauntlet_3</v>
      </c>
      <c r="E453" s="19" t="s">
        <v>43</v>
      </c>
      <c r="F453" s="48" t="s">
        <v>44</v>
      </c>
      <c r="G453" s="19" t="s">
        <v>45</v>
      </c>
      <c r="H453" s="19" t="b">
        <f>IF(OR(VLOOKUP($C453,'#Data'!$B$2:$J$344,4,FALSE)="보스",VLOOKUP($C453,'#Data'!$B$2:$J$344,4,FALSE)="중간"),TRUE,FALSE)</f>
        <v>0</v>
      </c>
      <c r="I453" s="19" t="b">
        <v>0</v>
      </c>
      <c r="J453" s="19">
        <v>10</v>
      </c>
      <c r="K453" s="19">
        <f t="shared" si="13"/>
        <v>10</v>
      </c>
      <c r="L453" s="69" t="s">
        <v>1337</v>
      </c>
      <c r="M453" s="69"/>
      <c r="N453" s="69"/>
      <c r="O453" s="138" t="s">
        <v>1343</v>
      </c>
      <c r="P453" s="138" t="s">
        <v>2013</v>
      </c>
      <c r="Q453" s="138"/>
      <c r="R453" s="70"/>
      <c r="S453" s="70"/>
      <c r="T453" s="70"/>
      <c r="U453" s="70"/>
      <c r="V453" s="19" t="b">
        <v>0</v>
      </c>
      <c r="W453" s="19" t="str">
        <f>"Character/Prefabs/"&amp;VLOOKUP($C453,'#Data'!$B$3:$I$344,8,FALSE)</f>
        <v>Character/Prefabs/m_m_attacker_infdust_gauntlet_3</v>
      </c>
      <c r="X453" s="19"/>
      <c r="Y453" s="19" t="str">
        <f>VLOOKUP($C453,'#Data'!$B$3:$I$344,8,FALSE)</f>
        <v>m_m_attacker_infdust_gauntlet_3</v>
      </c>
      <c r="Z453" s="19"/>
      <c r="AA453" s="19"/>
      <c r="AB453" s="19"/>
      <c r="AC453" s="91">
        <v>0.7</v>
      </c>
      <c r="AD453" s="19"/>
      <c r="AE453" s="19"/>
      <c r="AF453" s="19"/>
      <c r="AG453" s="19" t="s">
        <v>2105</v>
      </c>
      <c r="AH453" s="85"/>
    </row>
    <row r="454" spans="1:36" x14ac:dyDescent="0.3">
      <c r="A454" s="19">
        <f t="shared" si="12"/>
        <v>1310203117</v>
      </c>
      <c r="B454" s="19" t="s">
        <v>105</v>
      </c>
      <c r="C454" s="19" t="s">
        <v>1253</v>
      </c>
      <c r="D454" s="19" t="str">
        <f>"Monster.Name."&amp;VLOOKUP($C454,'#Data'!$B$2:$J$344,2,FALSE)</f>
        <v>Monster.Name.infdust_rifle_3</v>
      </c>
      <c r="E454" s="19" t="s">
        <v>47</v>
      </c>
      <c r="F454" s="48" t="s">
        <v>44</v>
      </c>
      <c r="G454" s="19" t="s">
        <v>45</v>
      </c>
      <c r="H454" s="19" t="b">
        <f>IF(OR(VLOOKUP($C454,'#Data'!$B$2:$J$344,4,FALSE)="보스",VLOOKUP($C454,'#Data'!$B$2:$J$344,4,FALSE)="중간"),TRUE,FALSE)</f>
        <v>0</v>
      </c>
      <c r="I454" s="19" t="b">
        <v>0</v>
      </c>
      <c r="J454" s="19">
        <v>10</v>
      </c>
      <c r="K454" s="19">
        <f t="shared" si="13"/>
        <v>10</v>
      </c>
      <c r="L454" s="69" t="s">
        <v>1338</v>
      </c>
      <c r="M454" s="69"/>
      <c r="N454" s="69"/>
      <c r="O454" s="138" t="s">
        <v>1344</v>
      </c>
      <c r="P454" s="138" t="s">
        <v>2014</v>
      </c>
      <c r="Q454" s="138"/>
      <c r="R454" s="70"/>
      <c r="S454" s="70"/>
      <c r="T454" s="70"/>
      <c r="U454" s="70"/>
      <c r="V454" s="19" t="b">
        <v>0</v>
      </c>
      <c r="W454" s="19" t="str">
        <f>"Character/Prefabs/"&amp;VLOOKUP($C454,'#Data'!$B$3:$I$344,8,FALSE)</f>
        <v>Character/Prefabs/m_m_ranger_infdust_rifle_3</v>
      </c>
      <c r="X454" s="19"/>
      <c r="Y454" s="19" t="str">
        <f>VLOOKUP($C454,'#Data'!$B$3:$I$344,8,FALSE)</f>
        <v>m_m_ranger_infdust_rifle_3</v>
      </c>
      <c r="Z454" s="19"/>
      <c r="AA454" s="19"/>
      <c r="AB454" s="19"/>
      <c r="AC454" s="91">
        <v>0.7</v>
      </c>
      <c r="AD454" s="19"/>
      <c r="AE454" s="19"/>
      <c r="AF454" s="19"/>
      <c r="AG454" s="19" t="s">
        <v>2105</v>
      </c>
      <c r="AH454" s="85"/>
    </row>
    <row r="455" spans="1:36" x14ac:dyDescent="0.3">
      <c r="A455" s="19">
        <f t="shared" si="12"/>
        <v>1310203118</v>
      </c>
      <c r="B455" s="19" t="s">
        <v>105</v>
      </c>
      <c r="C455" s="19" t="s">
        <v>1255</v>
      </c>
      <c r="D455" s="19" t="str">
        <f>"Monster.Name."&amp;VLOOKUP($C455,'#Data'!$B$2:$J$344,2,FALSE)</f>
        <v>Monster.Name.infdust_launcher_3</v>
      </c>
      <c r="E455" s="19" t="s">
        <v>47</v>
      </c>
      <c r="F455" s="48" t="s">
        <v>44</v>
      </c>
      <c r="G455" s="19" t="s">
        <v>45</v>
      </c>
      <c r="H455" s="19" t="b">
        <f>IF(OR(VLOOKUP($C455,'#Data'!$B$2:$J$344,4,FALSE)="보스",VLOOKUP($C455,'#Data'!$B$2:$J$344,4,FALSE)="중간"),TRUE,FALSE)</f>
        <v>0</v>
      </c>
      <c r="I455" s="19" t="b">
        <v>0</v>
      </c>
      <c r="J455" s="19">
        <v>10</v>
      </c>
      <c r="K455" s="19">
        <f t="shared" si="13"/>
        <v>10</v>
      </c>
      <c r="L455" s="69" t="s">
        <v>1339</v>
      </c>
      <c r="M455" s="69"/>
      <c r="N455" s="69"/>
      <c r="O455" s="138" t="s">
        <v>1345</v>
      </c>
      <c r="P455" s="138" t="s">
        <v>2015</v>
      </c>
      <c r="Q455" s="138"/>
      <c r="R455" s="70"/>
      <c r="S455" s="70"/>
      <c r="T455" s="70"/>
      <c r="U455" s="70"/>
      <c r="V455" s="19" t="b">
        <v>0</v>
      </c>
      <c r="W455" s="19" t="str">
        <f>"Character/Prefabs/"&amp;VLOOKUP($C455,'#Data'!$B$3:$I$344,8,FALSE)</f>
        <v>Character/Prefabs/m_m_ranger_infdust_launcher_3</v>
      </c>
      <c r="X455" s="19"/>
      <c r="Y455" s="19" t="str">
        <f>VLOOKUP($C455,'#Data'!$B$3:$I$344,8,FALSE)</f>
        <v>m_m_ranger_infdust_launcher_3</v>
      </c>
      <c r="Z455" s="19"/>
      <c r="AA455" s="19"/>
      <c r="AB455" s="19"/>
      <c r="AC455" s="91">
        <v>0.7</v>
      </c>
      <c r="AD455" s="19"/>
      <c r="AE455" s="19"/>
      <c r="AF455" s="19"/>
      <c r="AG455" s="19" t="s">
        <v>2105</v>
      </c>
      <c r="AH455" s="85"/>
    </row>
    <row r="456" spans="1:36" x14ac:dyDescent="0.3">
      <c r="A456" s="19">
        <f t="shared" si="12"/>
        <v>1310203119</v>
      </c>
      <c r="B456" s="19" t="s">
        <v>105</v>
      </c>
      <c r="C456" s="19" t="s">
        <v>1257</v>
      </c>
      <c r="D456" s="19" t="str">
        <f>"Monster.Name."&amp;VLOOKUP($C456,'#Data'!$B$2:$J$344,2,FALSE)</f>
        <v>Monster.Name.head_snatcher_2</v>
      </c>
      <c r="E456" s="19" t="s">
        <v>43</v>
      </c>
      <c r="F456" s="48" t="s">
        <v>44</v>
      </c>
      <c r="G456" s="19" t="s">
        <v>45</v>
      </c>
      <c r="H456" s="19" t="b">
        <f>IF(OR(VLOOKUP($C456,'#Data'!$B$2:$J$344,4,FALSE)="보스",VLOOKUP($C456,'#Data'!$B$2:$J$344,4,FALSE)="중간"),TRUE,FALSE)</f>
        <v>0</v>
      </c>
      <c r="I456" s="19" t="b">
        <v>0</v>
      </c>
      <c r="J456" s="19">
        <v>10</v>
      </c>
      <c r="K456" s="19">
        <f t="shared" si="13"/>
        <v>10</v>
      </c>
      <c r="L456" s="69" t="s">
        <v>1340</v>
      </c>
      <c r="M456" s="69"/>
      <c r="N456" s="69"/>
      <c r="O456" s="138" t="s">
        <v>1346</v>
      </c>
      <c r="P456" s="138" t="s">
        <v>2016</v>
      </c>
      <c r="Q456" s="138"/>
      <c r="R456" s="70"/>
      <c r="S456" s="70"/>
      <c r="T456" s="70"/>
      <c r="U456" s="70"/>
      <c r="V456" s="19" t="b">
        <v>0</v>
      </c>
      <c r="W456" s="19" t="str">
        <f>"Character/Prefabs/"&amp;VLOOKUP($C456,'#Data'!$B$3:$I$344,8,FALSE)</f>
        <v>Character/Prefabs/m_m_attacker_head_snatcher_2</v>
      </c>
      <c r="X456" s="19"/>
      <c r="Y456" s="19" t="str">
        <f>VLOOKUP($C456,'#Data'!$B$3:$I$344,8,FALSE)</f>
        <v>m_m_attacker_head_snatcher_2</v>
      </c>
      <c r="Z456" s="19"/>
      <c r="AA456" s="19"/>
      <c r="AB456" s="19"/>
      <c r="AC456" s="91">
        <v>0.7</v>
      </c>
      <c r="AD456" s="19"/>
      <c r="AE456" s="19"/>
      <c r="AF456" s="19"/>
      <c r="AG456" s="19" t="s">
        <v>2105</v>
      </c>
      <c r="AH456" s="85"/>
    </row>
    <row r="457" spans="1:36" x14ac:dyDescent="0.3">
      <c r="A457" s="19">
        <f t="shared" ref="A457:A520" si="14">A264+100000000</f>
        <v>1310203120</v>
      </c>
      <c r="B457" s="19" t="s">
        <v>105</v>
      </c>
      <c r="C457" s="19" t="s">
        <v>1259</v>
      </c>
      <c r="D457" s="19" t="str">
        <f>"Monster.Name."&amp;VLOOKUP($C457,'#Data'!$B$2:$J$344,2,FALSE)</f>
        <v>Monster.Name.core_snatcher_2</v>
      </c>
      <c r="E457" s="19" t="s">
        <v>47</v>
      </c>
      <c r="F457" s="48" t="s">
        <v>44</v>
      </c>
      <c r="G457" s="19" t="s">
        <v>45</v>
      </c>
      <c r="H457" s="19" t="b">
        <f>IF(OR(VLOOKUP($C457,'#Data'!$B$2:$J$344,4,FALSE)="보스",VLOOKUP($C457,'#Data'!$B$2:$J$344,4,FALSE)="중간"),TRUE,FALSE)</f>
        <v>0</v>
      </c>
      <c r="I457" s="19" t="b">
        <v>0</v>
      </c>
      <c r="J457" s="19">
        <v>10</v>
      </c>
      <c r="K457" s="19">
        <f t="shared" ref="K457:K520" si="15">K264</f>
        <v>10</v>
      </c>
      <c r="L457" s="69" t="s">
        <v>1341</v>
      </c>
      <c r="M457" s="69"/>
      <c r="N457" s="69"/>
      <c r="O457" s="138" t="s">
        <v>1347</v>
      </c>
      <c r="P457" s="138" t="s">
        <v>2017</v>
      </c>
      <c r="Q457" s="138"/>
      <c r="R457" s="70"/>
      <c r="S457" s="70"/>
      <c r="T457" s="70"/>
      <c r="U457" s="70"/>
      <c r="V457" s="19" t="b">
        <v>0</v>
      </c>
      <c r="W457" s="19" t="str">
        <f>"Character/Prefabs/"&amp;VLOOKUP($C457,'#Data'!$B$3:$I$344,8,FALSE)</f>
        <v>Character/Prefabs/m_m_ranger_core_snatcher_2</v>
      </c>
      <c r="X457" s="19"/>
      <c r="Y457" s="19" t="str">
        <f>VLOOKUP($C457,'#Data'!$B$3:$I$344,8,FALSE)</f>
        <v>m_m_ranger_core_snatcher_2</v>
      </c>
      <c r="Z457" s="19"/>
      <c r="AA457" s="19"/>
      <c r="AB457" s="19"/>
      <c r="AC457" s="91">
        <v>0.7</v>
      </c>
      <c r="AD457" s="19"/>
      <c r="AE457" s="19"/>
      <c r="AF457" s="19"/>
      <c r="AG457" s="19" t="s">
        <v>2105</v>
      </c>
      <c r="AH457" s="85"/>
    </row>
    <row r="458" spans="1:36" x14ac:dyDescent="0.3">
      <c r="A458" s="41">
        <f t="shared" si="14"/>
        <v>1310203201</v>
      </c>
      <c r="B458" s="41" t="s">
        <v>105</v>
      </c>
      <c r="C458" s="41" t="s">
        <v>116</v>
      </c>
      <c r="D458" s="41" t="str">
        <f>"Monster.Name."&amp;VLOOKUP($C458,'#Data'!$B$2:$J$344,2,FALSE)</f>
        <v>Monster.Name.grima_alpha_1</v>
      </c>
      <c r="E458" s="41" t="s">
        <v>43</v>
      </c>
      <c r="F458" s="42" t="s">
        <v>44</v>
      </c>
      <c r="G458" s="41" t="s">
        <v>45</v>
      </c>
      <c r="H458" s="41" t="b">
        <f>IF(OR(VLOOKUP($C458,'#Data'!$B$2:$J$344,4,FALSE)="보스",VLOOKUP($C458,'#Data'!$B$2:$J$344,4,FALSE)="중간"),TRUE,FALSE)</f>
        <v>1</v>
      </c>
      <c r="I458" s="41" t="b">
        <v>1</v>
      </c>
      <c r="J458" s="41">
        <v>20</v>
      </c>
      <c r="K458" s="41">
        <f t="shared" si="15"/>
        <v>10</v>
      </c>
      <c r="L458" s="67" t="str">
        <f>$B458&amp;"."&amp;VLOOKUP($C458,'#Data'!$B$2:$J$344,2,FALSE)&amp;".attack0"&amp;RIGHT(L$1,1)</f>
        <v>Sector03.grima_alpha_1.attack01</v>
      </c>
      <c r="M458" s="67"/>
      <c r="N458" s="67"/>
      <c r="O458" s="137" t="str">
        <f>$B458&amp;"."&amp;VLOOKUP($C458,'#Data'!$B$2:$J$344,2,FALSE)&amp;".skill0"&amp;RIGHT(O$1,1)</f>
        <v>Sector03.grima_alpha_1.skill01</v>
      </c>
      <c r="P458" s="137" t="str">
        <f>$B458&amp;"."&amp;VLOOKUP($C458,'#Data'!$B$2:$J$344,2,FALSE)&amp;".skill0"&amp;RIGHT(P$1,1)</f>
        <v>Sector03.grima_alpha_1.skill02</v>
      </c>
      <c r="Q458" s="137" t="str">
        <f>$B458&amp;"."&amp;VLOOKUP($C458,'#Data'!$B$2:$J$344,2,FALSE)&amp;".skill0"&amp;RIGHT(Q$1,1)</f>
        <v>Sector03.grima_alpha_1.skill03</v>
      </c>
      <c r="R458" s="68"/>
      <c r="S458" s="68" t="s">
        <v>2076</v>
      </c>
      <c r="T458" s="68"/>
      <c r="U458" s="68"/>
      <c r="V458" s="41" t="b">
        <v>0</v>
      </c>
      <c r="W458" s="41" t="str">
        <f>"Character/Prefabs/"&amp;VLOOKUP($C458,'#Data'!$B$3:$I$344,8,FALSE)</f>
        <v>Character/Prefabs/m_l_attacker_grima_alpha_1</v>
      </c>
      <c r="X458" s="41"/>
      <c r="Y458" s="41" t="str">
        <f>VLOOKUP($C458,'#Data'!$B$3:$I$344,8,FALSE)</f>
        <v>m_l_attacker_grima_alpha_1</v>
      </c>
      <c r="Z458" s="41"/>
      <c r="AA458" s="41"/>
      <c r="AB458" s="41"/>
      <c r="AC458" s="90">
        <v>0.9</v>
      </c>
      <c r="AD458" s="41"/>
      <c r="AE458" s="41"/>
      <c r="AF458" s="41"/>
      <c r="AG458" s="41" t="s">
        <v>2105</v>
      </c>
      <c r="AH458" s="85"/>
    </row>
    <row r="459" spans="1:36" x14ac:dyDescent="0.3">
      <c r="A459" s="41">
        <f t="shared" si="14"/>
        <v>1310203202</v>
      </c>
      <c r="B459" s="41" t="s">
        <v>105</v>
      </c>
      <c r="C459" s="41" t="s">
        <v>117</v>
      </c>
      <c r="D459" s="41" t="str">
        <f>"Monster.Name."&amp;VLOOKUP($C459,'#Data'!$B$2:$J$344,2,FALSE)</f>
        <v>Monster.Name.draindermis_1</v>
      </c>
      <c r="E459" s="41" t="s">
        <v>47</v>
      </c>
      <c r="F459" s="42" t="s">
        <v>44</v>
      </c>
      <c r="G459" s="41" t="s">
        <v>45</v>
      </c>
      <c r="H459" s="41" t="b">
        <f>IF(OR(VLOOKUP($C459,'#Data'!$B$2:$J$344,4,FALSE)="보스",VLOOKUP($C459,'#Data'!$B$2:$J$344,4,FALSE)="중간"),TRUE,FALSE)</f>
        <v>1</v>
      </c>
      <c r="I459" s="41" t="b">
        <v>1</v>
      </c>
      <c r="J459" s="41">
        <v>20</v>
      </c>
      <c r="K459" s="41">
        <f t="shared" si="15"/>
        <v>10</v>
      </c>
      <c r="L459" s="67" t="str">
        <f>$B459&amp;"."&amp;VLOOKUP($C459,'#Data'!$B$2:$J$344,2,FALSE)&amp;".attack0"&amp;RIGHT(L$1,1)</f>
        <v>Sector03.draindermis_1.attack01</v>
      </c>
      <c r="M459" s="67"/>
      <c r="N459" s="67"/>
      <c r="O459" s="137" t="str">
        <f>$B459&amp;"."&amp;VLOOKUP($C459,'#Data'!$B$2:$J$344,2,FALSE)&amp;".skill0"&amp;RIGHT(O$1,1)</f>
        <v>Sector03.draindermis_1.skill01</v>
      </c>
      <c r="P459" s="137" t="str">
        <f>$B459&amp;"."&amp;VLOOKUP($C459,'#Data'!$B$2:$J$344,2,FALSE)&amp;".skill0"&amp;RIGHT(P$1,1)</f>
        <v>Sector03.draindermis_1.skill02</v>
      </c>
      <c r="Q459" s="137" t="str">
        <f>$B459&amp;"."&amp;VLOOKUP($C459,'#Data'!$B$2:$J$344,2,FALSE)&amp;".skill0"&amp;RIGHT(Q$1,1)</f>
        <v>Sector03.draindermis_1.skill03</v>
      </c>
      <c r="R459" s="68"/>
      <c r="S459" s="68" t="s">
        <v>2076</v>
      </c>
      <c r="T459" s="68"/>
      <c r="U459" s="68"/>
      <c r="V459" s="41" t="b">
        <v>0</v>
      </c>
      <c r="W459" s="41" t="str">
        <f>"Character/Prefabs/"&amp;VLOOKUP($C459,'#Data'!$B$3:$I$344,8,FALSE)</f>
        <v>Character/Prefabs/m_l_ranger_draindermis_1</v>
      </c>
      <c r="X459" s="41"/>
      <c r="Y459" s="41" t="str">
        <f>VLOOKUP($C459,'#Data'!$B$3:$I$344,8,FALSE)</f>
        <v>m_l_ranger_draindermis_1</v>
      </c>
      <c r="Z459" s="41"/>
      <c r="AA459" s="41"/>
      <c r="AB459" s="41"/>
      <c r="AC459" s="90">
        <v>0.9</v>
      </c>
      <c r="AD459" s="41"/>
      <c r="AE459" s="41"/>
      <c r="AF459" s="41"/>
      <c r="AG459" s="41" t="s">
        <v>2105</v>
      </c>
      <c r="AH459" s="85"/>
    </row>
    <row r="460" spans="1:36" x14ac:dyDescent="0.3">
      <c r="A460" s="41">
        <f t="shared" si="14"/>
        <v>1310203203</v>
      </c>
      <c r="B460" s="41" t="s">
        <v>105</v>
      </c>
      <c r="C460" s="41" t="s">
        <v>118</v>
      </c>
      <c r="D460" s="41" t="str">
        <f>"Monster.Name."&amp;VLOOKUP($C460,'#Data'!$B$2:$J$344,2,FALSE)</f>
        <v>Monster.Name.grima_beta_1</v>
      </c>
      <c r="E460" s="41" t="s">
        <v>43</v>
      </c>
      <c r="F460" s="42" t="s">
        <v>44</v>
      </c>
      <c r="G460" s="41" t="s">
        <v>45</v>
      </c>
      <c r="H460" s="41" t="b">
        <f>IF(OR(VLOOKUP($C460,'#Data'!$B$2:$J$344,4,FALSE)="보스",VLOOKUP($C460,'#Data'!$B$2:$J$344,4,FALSE)="중간"),TRUE,FALSE)</f>
        <v>1</v>
      </c>
      <c r="I460" s="41" t="b">
        <v>1</v>
      </c>
      <c r="J460" s="41">
        <v>20</v>
      </c>
      <c r="K460" s="41">
        <f t="shared" si="15"/>
        <v>10</v>
      </c>
      <c r="L460" s="67" t="str">
        <f>$B460&amp;"."&amp;VLOOKUP($C460,'#Data'!$B$2:$J$344,2,FALSE)&amp;".attack0"&amp;RIGHT(L$1,1)</f>
        <v>Sector03.grima_beta_1.attack01</v>
      </c>
      <c r="M460" s="67"/>
      <c r="N460" s="67"/>
      <c r="O460" s="137" t="str">
        <f>$B460&amp;"."&amp;VLOOKUP($C460,'#Data'!$B$2:$J$344,2,FALSE)&amp;".skill0"&amp;RIGHT(O$1,1)</f>
        <v>Sector03.grima_beta_1.skill01</v>
      </c>
      <c r="P460" s="137" t="str">
        <f>$B460&amp;"."&amp;VLOOKUP($C460,'#Data'!$B$2:$J$344,2,FALSE)&amp;".skill0"&amp;RIGHT(P$1,1)</f>
        <v>Sector03.grima_beta_1.skill02</v>
      </c>
      <c r="Q460" s="137" t="str">
        <f>$B460&amp;"."&amp;VLOOKUP($C460,'#Data'!$B$2:$J$344,2,FALSE)&amp;".skill0"&amp;RIGHT(Q$1,1)</f>
        <v>Sector03.grima_beta_1.skill03</v>
      </c>
      <c r="R460" s="68"/>
      <c r="S460" s="68" t="s">
        <v>2076</v>
      </c>
      <c r="T460" s="68"/>
      <c r="U460" s="68"/>
      <c r="V460" s="41" t="b">
        <v>0</v>
      </c>
      <c r="W460" s="41" t="str">
        <f>"Character/Prefabs/"&amp;VLOOKUP($C460,'#Data'!$B$3:$I$344,8,FALSE)</f>
        <v>Character/Prefabs/m_l_attacker_grima_beta_1</v>
      </c>
      <c r="X460" s="41"/>
      <c r="Y460" s="41" t="str">
        <f>VLOOKUP($C460,'#Data'!$B$3:$I$344,8,FALSE)</f>
        <v>m_l_attacker_grima_beta_1</v>
      </c>
      <c r="Z460" s="41"/>
      <c r="AA460" s="41"/>
      <c r="AB460" s="41"/>
      <c r="AC460" s="90">
        <v>0.9</v>
      </c>
      <c r="AD460" s="41"/>
      <c r="AE460" s="41"/>
      <c r="AF460" s="41"/>
      <c r="AG460" s="41" t="s">
        <v>2105</v>
      </c>
      <c r="AH460" s="85"/>
    </row>
    <row r="461" spans="1:36" x14ac:dyDescent="0.3">
      <c r="A461" s="23">
        <f t="shared" si="14"/>
        <v>1310203301</v>
      </c>
      <c r="B461" s="23" t="s">
        <v>105</v>
      </c>
      <c r="C461" s="23" t="s">
        <v>119</v>
      </c>
      <c r="D461" s="23" t="str">
        <f>"Monster.Name."&amp;VLOOKUP($C461,'#Data'!$B$2:$J$344,2,FALSE)</f>
        <v>Monster.Name.theomega_1</v>
      </c>
      <c r="E461" s="23" t="s">
        <v>58</v>
      </c>
      <c r="F461" s="24" t="s">
        <v>44</v>
      </c>
      <c r="G461" s="23" t="s">
        <v>45</v>
      </c>
      <c r="H461" s="23" t="b">
        <f>IF(OR(VLOOKUP($C461,'#Data'!$B$2:$J$344,4,FALSE)="보스",VLOOKUP($C461,'#Data'!$B$2:$J$344,4,FALSE)="중간"),TRUE,FALSE)</f>
        <v>1</v>
      </c>
      <c r="I461" s="23" t="b">
        <v>1</v>
      </c>
      <c r="J461" s="23">
        <v>30</v>
      </c>
      <c r="K461" s="23">
        <f t="shared" si="15"/>
        <v>10</v>
      </c>
      <c r="L461" s="115" t="str">
        <f>$B461&amp;"."&amp;VLOOKUP($C461,'#Data'!$B$2:$J$344,2,FALSE)&amp;".attack0"&amp;RIGHT(L$1,1)</f>
        <v>Sector03.theomega_1.attack01</v>
      </c>
      <c r="M461" s="115"/>
      <c r="N461" s="115"/>
      <c r="O461" s="139" t="str">
        <f>$B461&amp;"."&amp;VLOOKUP($C461,'#Data'!$B$2:$J$344,2,FALSE)&amp;".skill0"&amp;RIGHT(O$1,1)</f>
        <v>Sector03.theomega_1.skill01</v>
      </c>
      <c r="P461" s="139" t="str">
        <f>$B461&amp;"."&amp;VLOOKUP($C461,'#Data'!$B$2:$J$344,2,FALSE)&amp;".skill0"&amp;RIGHT(P$1,1)</f>
        <v>Sector03.theomega_1.skill02</v>
      </c>
      <c r="Q461" s="139" t="str">
        <f>$B461&amp;"."&amp;VLOOKUP($C461,'#Data'!$B$2:$J$344,2,FALSE)&amp;".skill0"&amp;RIGHT(Q$1,1)</f>
        <v>Sector03.theomega_1.skill03</v>
      </c>
      <c r="R461" s="116" t="s">
        <v>120</v>
      </c>
      <c r="S461" s="116" t="s">
        <v>76</v>
      </c>
      <c r="T461" s="116"/>
      <c r="U461" s="116"/>
      <c r="V461" s="23" t="b">
        <v>0</v>
      </c>
      <c r="W461" s="23" t="str">
        <f>"Character/Prefabs/"&amp;VLOOKUP($C461,'#Data'!$B$3:$I$344,8,FALSE)</f>
        <v>Character/Prefabs/m_boss_attacker_theomega_1</v>
      </c>
      <c r="X461" s="23"/>
      <c r="Y461" s="23" t="str">
        <f>VLOOKUP($C461,'#Data'!$B$3:$I$344,8,FALSE)</f>
        <v>m_boss_attacker_theomega_1</v>
      </c>
      <c r="Z461" s="23"/>
      <c r="AA461" s="23"/>
      <c r="AB461" s="23"/>
      <c r="AC461" s="98">
        <v>0.9</v>
      </c>
      <c r="AD461" s="23"/>
      <c r="AE461" s="23" t="s">
        <v>121</v>
      </c>
      <c r="AF461" s="23" t="s">
        <v>122</v>
      </c>
      <c r="AG461" s="23" t="s">
        <v>2105</v>
      </c>
      <c r="AH461" s="85"/>
    </row>
    <row r="462" spans="1:36" x14ac:dyDescent="0.3">
      <c r="A462" s="23">
        <f t="shared" si="14"/>
        <v>1310203302</v>
      </c>
      <c r="B462" s="23" t="s">
        <v>105</v>
      </c>
      <c r="C462" s="23" t="s">
        <v>123</v>
      </c>
      <c r="D462" s="23" t="str">
        <f>"Monster.Name."&amp;VLOOKUP($C462,'#Data'!$B$2:$J$344,2,FALSE)</f>
        <v>Monster.Name.theomega_3</v>
      </c>
      <c r="E462" s="23" t="s">
        <v>58</v>
      </c>
      <c r="F462" s="24" t="s">
        <v>44</v>
      </c>
      <c r="G462" s="23" t="s">
        <v>45</v>
      </c>
      <c r="H462" s="23" t="b">
        <f>IF(OR(VLOOKUP($C462,'#Data'!$B$2:$J$344,4,FALSE)="보스",VLOOKUP($C462,'#Data'!$B$2:$J$344,4,FALSE)="중간"),TRUE,FALSE)</f>
        <v>1</v>
      </c>
      <c r="I462" s="23" t="b">
        <v>1</v>
      </c>
      <c r="J462" s="23">
        <v>30</v>
      </c>
      <c r="K462" s="23">
        <f t="shared" si="15"/>
        <v>10</v>
      </c>
      <c r="L462" s="115" t="str">
        <f>$B462&amp;"."&amp;VLOOKUP($C462,'#Data'!$B$2:$J$344,2,FALSE)&amp;".attack0"&amp;RIGHT(L$1,1)</f>
        <v>Sector03.theomega_3.attack01</v>
      </c>
      <c r="M462" s="115" t="str">
        <f>$B462&amp;"."&amp;VLOOKUP($C462,'#Data'!$B$2:$J$344,2,FALSE)&amp;".attack0"&amp;RIGHT(M$1,1)</f>
        <v>Sector03.theomega_3.attack02</v>
      </c>
      <c r="N462" s="115"/>
      <c r="O462" s="139" t="str">
        <f>$B462&amp;"."&amp;VLOOKUP($C462,'#Data'!$B$2:$J$344,2,FALSE)&amp;".skill0"&amp;RIGHT(O$1,1)</f>
        <v>Sector03.theomega_3.skill01</v>
      </c>
      <c r="P462" s="139" t="str">
        <f>$B462&amp;"."&amp;VLOOKUP($C462,'#Data'!$B$2:$J$344,2,FALSE)&amp;".skill0"&amp;RIGHT(P$1,1)</f>
        <v>Sector03.theomega_3.skill02</v>
      </c>
      <c r="Q462" s="139" t="str">
        <f>$B462&amp;"."&amp;VLOOKUP($C462,'#Data'!$B$2:$J$344,2,FALSE)&amp;".skill0"&amp;RIGHT(Q$1,1)</f>
        <v>Sector03.theomega_3.skill03</v>
      </c>
      <c r="R462" s="116" t="str">
        <f>$B462&amp;"."&amp;VLOOKUP($C462,'#Data'!$B$2:$J$344,2,FALSE)&amp;".skill0"&amp;RIGHT(R$1,1)</f>
        <v>Sector03.theomega_3.skill04</v>
      </c>
      <c r="S462" s="116" t="s">
        <v>124</v>
      </c>
      <c r="T462" s="116"/>
      <c r="U462" s="116"/>
      <c r="V462" s="23" t="b">
        <v>0</v>
      </c>
      <c r="W462" s="23" t="str">
        <f>"Character/Prefabs/"&amp;VLOOKUP($C462,'#Data'!$B$3:$I$344,8,FALSE)</f>
        <v>Character/Prefabs/m_boss_attacker_theomega_3</v>
      </c>
      <c r="X462" s="23"/>
      <c r="Y462" s="23" t="str">
        <f>VLOOKUP($C462,'#Data'!$B$3:$I$344,8,FALSE)</f>
        <v>m_boss_attacker_theomega_3</v>
      </c>
      <c r="Z462" s="23"/>
      <c r="AA462" s="23"/>
      <c r="AB462" s="23"/>
      <c r="AC462" s="98">
        <v>0.9</v>
      </c>
      <c r="AD462" s="23"/>
      <c r="AE462" s="23" t="s">
        <v>1211</v>
      </c>
      <c r="AF462" s="23" t="s">
        <v>1871</v>
      </c>
      <c r="AG462" s="23" t="s">
        <v>2105</v>
      </c>
      <c r="AH462" s="85"/>
    </row>
    <row r="463" spans="1:36" s="159" customFormat="1" x14ac:dyDescent="0.3">
      <c r="A463" s="154">
        <f t="shared" si="14"/>
        <v>1310204101</v>
      </c>
      <c r="B463" s="154" t="s">
        <v>125</v>
      </c>
      <c r="C463" s="154" t="s">
        <v>126</v>
      </c>
      <c r="D463" s="154" t="str">
        <f>"Monster.Name."&amp;VLOOKUP($C463,'#Data'!$B$2:$J$344,2,FALSE)</f>
        <v>Monster.Name.friendly_walking_eyeball_1</v>
      </c>
      <c r="E463" s="154" t="s">
        <v>47</v>
      </c>
      <c r="F463" s="44" t="s">
        <v>44</v>
      </c>
      <c r="G463" s="154" t="s">
        <v>45</v>
      </c>
      <c r="H463" s="154" t="b">
        <f>IF(OR(VLOOKUP($C463,'#Data'!$B$2:$J$344,4,FALSE)="보스",VLOOKUP($C463,'#Data'!$B$2:$J$344,4,FALSE)="중간"),TRUE,FALSE)</f>
        <v>0</v>
      </c>
      <c r="I463" s="154" t="b">
        <v>0</v>
      </c>
      <c r="J463" s="154">
        <v>10</v>
      </c>
      <c r="K463" s="154">
        <f t="shared" si="15"/>
        <v>10</v>
      </c>
      <c r="L463" s="155" t="str">
        <f>$B463&amp;"."&amp;VLOOKUP($C463,'#Data'!$B$2:$J$344,2,FALSE)&amp;".attack0"&amp;RIGHT(L$1,1)</f>
        <v>Sector04.friendly_walking_eyeball_1.attack01</v>
      </c>
      <c r="M463" s="155"/>
      <c r="N463" s="155"/>
      <c r="O463" s="140" t="s">
        <v>2019</v>
      </c>
      <c r="P463" s="140"/>
      <c r="Q463" s="140"/>
      <c r="R463" s="72"/>
      <c r="S463" s="72"/>
      <c r="T463" s="72"/>
      <c r="U463" s="72"/>
      <c r="V463" s="154" t="b">
        <v>0</v>
      </c>
      <c r="W463" s="154" t="str">
        <f>"Character/Prefabs/"&amp;VLOOKUP($C463,'#Data'!$B$3:$I$344,8,FALSE)</f>
        <v>Character/Prefabs/m_s_ranger_friendly_walking_eyeball_1</v>
      </c>
      <c r="X463" s="154"/>
      <c r="Y463" s="154" t="str">
        <f>VLOOKUP($C463,'#Data'!$B$3:$I$344,8,FALSE)</f>
        <v>m_s_ranger_friendly_walking_eyeball_1</v>
      </c>
      <c r="Z463" s="154"/>
      <c r="AA463" s="154"/>
      <c r="AB463" s="154"/>
      <c r="AC463" s="156">
        <v>1.2</v>
      </c>
      <c r="AD463" s="154"/>
      <c r="AE463" s="154"/>
      <c r="AF463" s="154"/>
      <c r="AG463" s="154" t="s">
        <v>2105</v>
      </c>
      <c r="AH463" s="158"/>
      <c r="AI463" s="157"/>
      <c r="AJ463" s="157"/>
    </row>
    <row r="464" spans="1:36" s="159" customFormat="1" x14ac:dyDescent="0.3">
      <c r="A464" s="154">
        <f t="shared" si="14"/>
        <v>1310204102</v>
      </c>
      <c r="B464" s="154" t="s">
        <v>125</v>
      </c>
      <c r="C464" s="154" t="s">
        <v>130</v>
      </c>
      <c r="D464" s="154" t="str">
        <f>"Monster.Name."&amp;VLOOKUP($C464,'#Data'!$B$2:$J$344,2,FALSE)</f>
        <v>Monster.Name.friendly_patrol_1</v>
      </c>
      <c r="E464" s="154" t="s">
        <v>43</v>
      </c>
      <c r="F464" s="44" t="s">
        <v>44</v>
      </c>
      <c r="G464" s="154" t="s">
        <v>45</v>
      </c>
      <c r="H464" s="154" t="b">
        <f>IF(OR(VLOOKUP($C464,'#Data'!$B$2:$J$344,4,FALSE)="보스",VLOOKUP($C464,'#Data'!$B$2:$J$344,4,FALSE)="중간"),TRUE,FALSE)</f>
        <v>0</v>
      </c>
      <c r="I464" s="154" t="b">
        <v>0</v>
      </c>
      <c r="J464" s="154">
        <v>10</v>
      </c>
      <c r="K464" s="154">
        <f t="shared" si="15"/>
        <v>10</v>
      </c>
      <c r="L464" s="155" t="str">
        <f>$B464&amp;"."&amp;VLOOKUP($C464,'#Data'!$B$2:$J$344,2,FALSE)&amp;".attack0"&amp;RIGHT(L$1,1)</f>
        <v>Sector04.friendly_patrol_1.attack01</v>
      </c>
      <c r="M464" s="155"/>
      <c r="N464" s="155"/>
      <c r="O464" s="140" t="s">
        <v>2020</v>
      </c>
      <c r="P464" s="140"/>
      <c r="Q464" s="140"/>
      <c r="R464" s="72"/>
      <c r="S464" s="72"/>
      <c r="T464" s="72"/>
      <c r="U464" s="72"/>
      <c r="V464" s="154" t="b">
        <v>0</v>
      </c>
      <c r="W464" s="154" t="str">
        <f>"Character/Prefabs/"&amp;VLOOKUP($C464,'#Data'!$B$3:$I$344,8,FALSE)</f>
        <v>Character/Prefabs/m_s_attacker_friendly_patrol_1</v>
      </c>
      <c r="X464" s="154"/>
      <c r="Y464" s="154" t="str">
        <f>VLOOKUP($C464,'#Data'!$B$3:$I$344,8,FALSE)</f>
        <v>m_s_attacker_friendly_patrol_1</v>
      </c>
      <c r="Z464" s="154"/>
      <c r="AA464" s="154"/>
      <c r="AB464" s="154"/>
      <c r="AC464" s="156">
        <v>1</v>
      </c>
      <c r="AD464" s="154"/>
      <c r="AE464" s="154"/>
      <c r="AF464" s="154"/>
      <c r="AG464" s="154" t="s">
        <v>2105</v>
      </c>
      <c r="AH464" s="158"/>
      <c r="AI464" s="157"/>
      <c r="AJ464" s="157"/>
    </row>
    <row r="465" spans="1:36" s="159" customFormat="1" x14ac:dyDescent="0.3">
      <c r="A465" s="154">
        <f t="shared" si="14"/>
        <v>1310204103</v>
      </c>
      <c r="B465" s="154" t="s">
        <v>125</v>
      </c>
      <c r="C465" s="154" t="s">
        <v>134</v>
      </c>
      <c r="D465" s="154" t="str">
        <f>"Monster.Name."&amp;VLOOKUP($C465,'#Data'!$B$2:$J$344,2,FALSE)</f>
        <v>Monster.Name.friendly_walking_eyeball_2</v>
      </c>
      <c r="E465" s="154" t="s">
        <v>47</v>
      </c>
      <c r="F465" s="44" t="s">
        <v>44</v>
      </c>
      <c r="G465" s="154" t="s">
        <v>45</v>
      </c>
      <c r="H465" s="154" t="b">
        <f>IF(OR(VLOOKUP($C465,'#Data'!$B$2:$J$344,4,FALSE)="보스",VLOOKUP($C465,'#Data'!$B$2:$J$344,4,FALSE)="중간"),TRUE,FALSE)</f>
        <v>0</v>
      </c>
      <c r="I465" s="154" t="b">
        <v>0</v>
      </c>
      <c r="J465" s="154">
        <v>10</v>
      </c>
      <c r="K465" s="154">
        <f t="shared" si="15"/>
        <v>10</v>
      </c>
      <c r="L465" s="155" t="str">
        <f>$B465&amp;"."&amp;VLOOKUP($C465,'#Data'!$B$2:$J$344,2,FALSE)&amp;".attack0"&amp;RIGHT(L$1,1)</f>
        <v>Sector04.friendly_walking_eyeball_2.attack01</v>
      </c>
      <c r="M465" s="155"/>
      <c r="N465" s="155"/>
      <c r="O465" s="140" t="s">
        <v>2021</v>
      </c>
      <c r="P465" s="140"/>
      <c r="Q465" s="140"/>
      <c r="R465" s="72"/>
      <c r="S465" s="72"/>
      <c r="T465" s="72"/>
      <c r="U465" s="72"/>
      <c r="V465" s="154" t="b">
        <v>0</v>
      </c>
      <c r="W465" s="154" t="str">
        <f>"Character/Prefabs/"&amp;VLOOKUP($C465,'#Data'!$B$3:$I$344,8,FALSE)</f>
        <v>Character/Prefabs/m_s_ranger_friendly_walking_eyeball_2</v>
      </c>
      <c r="X465" s="154"/>
      <c r="Y465" s="154" t="str">
        <f>VLOOKUP($C465,'#Data'!$B$3:$I$344,8,FALSE)</f>
        <v>m_s_ranger_friendly_walking_eyeball_2</v>
      </c>
      <c r="Z465" s="154"/>
      <c r="AA465" s="154"/>
      <c r="AB465" s="154"/>
      <c r="AC465" s="156">
        <v>1.2</v>
      </c>
      <c r="AD465" s="154"/>
      <c r="AE465" s="154"/>
      <c r="AF465" s="154"/>
      <c r="AG465" s="154" t="s">
        <v>2105</v>
      </c>
      <c r="AH465" s="158"/>
      <c r="AI465" s="157"/>
      <c r="AJ465" s="157"/>
    </row>
    <row r="466" spans="1:36" s="159" customFormat="1" x14ac:dyDescent="0.3">
      <c r="A466" s="154">
        <f t="shared" si="14"/>
        <v>1310204104</v>
      </c>
      <c r="B466" s="154" t="s">
        <v>125</v>
      </c>
      <c r="C466" s="154" t="s">
        <v>138</v>
      </c>
      <c r="D466" s="154" t="str">
        <f>"Monster.Name."&amp;VLOOKUP($C466,'#Data'!$B$2:$J$344,2,FALSE)</f>
        <v>Monster.Name.friendly_patrol_2</v>
      </c>
      <c r="E466" s="154" t="s">
        <v>43</v>
      </c>
      <c r="F466" s="44" t="s">
        <v>44</v>
      </c>
      <c r="G466" s="154" t="s">
        <v>45</v>
      </c>
      <c r="H466" s="154" t="b">
        <f>IF(OR(VLOOKUP($C466,'#Data'!$B$2:$J$344,4,FALSE)="보스",VLOOKUP($C466,'#Data'!$B$2:$J$344,4,FALSE)="중간"),TRUE,FALSE)</f>
        <v>0</v>
      </c>
      <c r="I466" s="154" t="b">
        <v>0</v>
      </c>
      <c r="J466" s="154">
        <v>10</v>
      </c>
      <c r="K466" s="154">
        <f t="shared" si="15"/>
        <v>10</v>
      </c>
      <c r="L466" s="155" t="str">
        <f>$B466&amp;"."&amp;VLOOKUP($C466,'#Data'!$B$2:$J$344,2,FALSE)&amp;".attack0"&amp;RIGHT(L$1,1)</f>
        <v>Sector04.friendly_patrol_2.attack01</v>
      </c>
      <c r="M466" s="155"/>
      <c r="N466" s="155"/>
      <c r="O466" s="140" t="s">
        <v>2022</v>
      </c>
      <c r="P466" s="140"/>
      <c r="Q466" s="140"/>
      <c r="R466" s="72"/>
      <c r="S466" s="72"/>
      <c r="T466" s="72"/>
      <c r="U466" s="72"/>
      <c r="V466" s="154" t="b">
        <v>0</v>
      </c>
      <c r="W466" s="154" t="str">
        <f>"Character/Prefabs/"&amp;VLOOKUP($C466,'#Data'!$B$3:$I$344,8,FALSE)</f>
        <v>Character/Prefabs/m_s_attacker_friendly_patrol_2</v>
      </c>
      <c r="X466" s="154"/>
      <c r="Y466" s="154" t="str">
        <f>VLOOKUP($C466,'#Data'!$B$3:$I$344,8,FALSE)</f>
        <v>m_s_attacker_friendly_patrol_2</v>
      </c>
      <c r="Z466" s="154"/>
      <c r="AA466" s="154"/>
      <c r="AB466" s="154"/>
      <c r="AC466" s="156">
        <v>1</v>
      </c>
      <c r="AD466" s="154"/>
      <c r="AE466" s="154"/>
      <c r="AF466" s="154"/>
      <c r="AG466" s="154" t="s">
        <v>2105</v>
      </c>
      <c r="AH466" s="158"/>
      <c r="AI466" s="157"/>
      <c r="AJ466" s="157"/>
    </row>
    <row r="467" spans="1:36" s="159" customFormat="1" x14ac:dyDescent="0.3">
      <c r="A467" s="154">
        <f t="shared" si="14"/>
        <v>1310204105</v>
      </c>
      <c r="B467" s="154" t="s">
        <v>125</v>
      </c>
      <c r="C467" s="154" t="s">
        <v>139</v>
      </c>
      <c r="D467" s="154" t="str">
        <f>"Monster.Name."&amp;VLOOKUP($C467,'#Data'!$B$2:$J$344,2,FALSE)</f>
        <v>Monster.Name.friendly_edge_eyeball_1</v>
      </c>
      <c r="E467" s="154" t="s">
        <v>43</v>
      </c>
      <c r="F467" s="44" t="s">
        <v>44</v>
      </c>
      <c r="G467" s="154" t="s">
        <v>45</v>
      </c>
      <c r="H467" s="154" t="b">
        <f>IF(OR(VLOOKUP($C467,'#Data'!$B$2:$J$344,4,FALSE)="보스",VLOOKUP($C467,'#Data'!$B$2:$J$344,4,FALSE)="중간"),TRUE,FALSE)</f>
        <v>0</v>
      </c>
      <c r="I467" s="154" t="b">
        <v>0</v>
      </c>
      <c r="J467" s="154">
        <v>10</v>
      </c>
      <c r="K467" s="154">
        <f t="shared" si="15"/>
        <v>10</v>
      </c>
      <c r="L467" s="155" t="str">
        <f>$B467&amp;"."&amp;VLOOKUP($C467,'#Data'!$B$2:$J$344,2,FALSE)&amp;".attack0"&amp;RIGHT(L$1,1)</f>
        <v>Sector04.friendly_edge_eyeball_1.attack01</v>
      </c>
      <c r="M467" s="155"/>
      <c r="N467" s="155"/>
      <c r="O467" s="140" t="str">
        <f>$B467&amp;"."&amp;VLOOKUP($C467,'#Data'!$B$2:$J$344,2,FALSE)&amp;".skill0"&amp;RIGHT(O$1,1)</f>
        <v>Sector04.friendly_edge_eyeball_1.skill01</v>
      </c>
      <c r="P467" s="140" t="s">
        <v>2023</v>
      </c>
      <c r="Q467" s="140"/>
      <c r="R467" s="72"/>
      <c r="S467" s="72"/>
      <c r="T467" s="72"/>
      <c r="U467" s="72"/>
      <c r="V467" s="154" t="b">
        <v>0</v>
      </c>
      <c r="W467" s="154" t="str">
        <f>"Character/Prefabs/"&amp;VLOOKUP($C467,'#Data'!$B$3:$I$344,8,FALSE)</f>
        <v>Character/Prefabs/m_m_attacker_friendly_edge_eyeball_1</v>
      </c>
      <c r="X467" s="154"/>
      <c r="Y467" s="154" t="str">
        <f>VLOOKUP($C467,'#Data'!$B$3:$I$344,8,FALSE)</f>
        <v>m_m_attacker_friendly_edge_eyeball_1</v>
      </c>
      <c r="Z467" s="154"/>
      <c r="AA467" s="154"/>
      <c r="AB467" s="154"/>
      <c r="AC467" s="156">
        <v>0.9</v>
      </c>
      <c r="AD467" s="154"/>
      <c r="AE467" s="154"/>
      <c r="AF467" s="154"/>
      <c r="AG467" s="154" t="s">
        <v>2105</v>
      </c>
      <c r="AH467" s="158"/>
      <c r="AI467" s="157"/>
      <c r="AJ467" s="157"/>
    </row>
    <row r="468" spans="1:36" s="159" customFormat="1" x14ac:dyDescent="0.3">
      <c r="A468" s="154">
        <f t="shared" si="14"/>
        <v>1310204106</v>
      </c>
      <c r="B468" s="154" t="s">
        <v>125</v>
      </c>
      <c r="C468" s="154" t="s">
        <v>140</v>
      </c>
      <c r="D468" s="154" t="str">
        <f>"Monster.Name."&amp;VLOOKUP($C468,'#Data'!$B$2:$J$344,2,FALSE)</f>
        <v>Monster.Name.friendly_electric_eyeball_1</v>
      </c>
      <c r="E468" s="154" t="s">
        <v>47</v>
      </c>
      <c r="F468" s="44" t="s">
        <v>44</v>
      </c>
      <c r="G468" s="154" t="s">
        <v>45</v>
      </c>
      <c r="H468" s="154" t="b">
        <f>IF(OR(VLOOKUP($C468,'#Data'!$B$2:$J$344,4,FALSE)="보스",VLOOKUP($C468,'#Data'!$B$2:$J$344,4,FALSE)="중간"),TRUE,FALSE)</f>
        <v>0</v>
      </c>
      <c r="I468" s="154" t="b">
        <v>0</v>
      </c>
      <c r="J468" s="154">
        <v>10</v>
      </c>
      <c r="K468" s="154">
        <f t="shared" si="15"/>
        <v>10</v>
      </c>
      <c r="L468" s="155" t="str">
        <f>$B468&amp;"."&amp;VLOOKUP($C468,'#Data'!$B$2:$J$344,2,FALSE)&amp;".attack0"&amp;RIGHT(L$1,1)</f>
        <v>Sector04.friendly_electric_eyeball_1.attack01</v>
      </c>
      <c r="M468" s="155"/>
      <c r="N468" s="155"/>
      <c r="O468" s="140" t="str">
        <f>$B468&amp;"."&amp;VLOOKUP($C468,'#Data'!$B$2:$J$344,2,FALSE)&amp;".skill0"&amp;RIGHT(O$1,1)</f>
        <v>Sector04.friendly_electric_eyeball_1.skill01</v>
      </c>
      <c r="P468" s="140" t="s">
        <v>2024</v>
      </c>
      <c r="Q468" s="140"/>
      <c r="R468" s="72"/>
      <c r="S468" s="72"/>
      <c r="T468" s="72"/>
      <c r="U468" s="72"/>
      <c r="V468" s="154" t="b">
        <v>0</v>
      </c>
      <c r="W468" s="154" t="str">
        <f>"Character/Prefabs/"&amp;VLOOKUP($C468,'#Data'!$B$3:$I$344,8,FALSE)</f>
        <v>Character/Prefabs/m_m_ranger_friendly_electric_eyeball_1</v>
      </c>
      <c r="X468" s="154"/>
      <c r="Y468" s="154" t="str">
        <f>VLOOKUP($C468,'#Data'!$B$3:$I$344,8,FALSE)</f>
        <v>m_m_ranger_friendly_electric_eyeball_1</v>
      </c>
      <c r="Z468" s="154"/>
      <c r="AA468" s="154"/>
      <c r="AB468" s="154"/>
      <c r="AC468" s="156">
        <v>0.9</v>
      </c>
      <c r="AD468" s="154"/>
      <c r="AE468" s="154"/>
      <c r="AF468" s="154"/>
      <c r="AG468" s="154" t="s">
        <v>2105</v>
      </c>
      <c r="AH468" s="158"/>
      <c r="AI468" s="157"/>
      <c r="AJ468" s="157"/>
    </row>
    <row r="469" spans="1:36" s="159" customFormat="1" x14ac:dyDescent="0.3">
      <c r="A469" s="154">
        <f t="shared" si="14"/>
        <v>1310204107</v>
      </c>
      <c r="B469" s="154" t="s">
        <v>125</v>
      </c>
      <c r="C469" s="154" t="s">
        <v>141</v>
      </c>
      <c r="D469" s="154" t="str">
        <f>"Monster.Name."&amp;VLOOKUP($C469,'#Data'!$B$2:$J$344,2,FALSE)</f>
        <v>Monster.Name.friendly_sawpatrol_1</v>
      </c>
      <c r="E469" s="154" t="s">
        <v>43</v>
      </c>
      <c r="F469" s="44" t="s">
        <v>44</v>
      </c>
      <c r="G469" s="154" t="s">
        <v>45</v>
      </c>
      <c r="H469" s="154" t="b">
        <f>IF(OR(VLOOKUP($C469,'#Data'!$B$2:$J$344,4,FALSE)="보스",VLOOKUP($C469,'#Data'!$B$2:$J$344,4,FALSE)="중간"),TRUE,FALSE)</f>
        <v>0</v>
      </c>
      <c r="I469" s="154" t="b">
        <v>0</v>
      </c>
      <c r="J469" s="154">
        <v>10</v>
      </c>
      <c r="K469" s="154">
        <f t="shared" si="15"/>
        <v>10</v>
      </c>
      <c r="L469" s="155" t="str">
        <f>$B469&amp;"."&amp;VLOOKUP($C469,'#Data'!$B$2:$J$344,2,FALSE)&amp;".attack0"&amp;RIGHT(L$1,1)</f>
        <v>Sector04.friendly_sawpatrol_1.attack01</v>
      </c>
      <c r="M469" s="155"/>
      <c r="N469" s="155"/>
      <c r="O469" s="140" t="str">
        <f>$B469&amp;"."&amp;VLOOKUP($C469,'#Data'!$B$2:$J$344,2,FALSE)&amp;".skill0"&amp;RIGHT(O$1,1)</f>
        <v>Sector04.friendly_sawpatrol_1.skill01</v>
      </c>
      <c r="P469" s="140" t="s">
        <v>2025</v>
      </c>
      <c r="Q469" s="140"/>
      <c r="R469" s="72"/>
      <c r="S469" s="72"/>
      <c r="T469" s="72"/>
      <c r="U469" s="72"/>
      <c r="V469" s="154" t="b">
        <v>0</v>
      </c>
      <c r="W469" s="154" t="str">
        <f>"Character/Prefabs/"&amp;VLOOKUP($C469,'#Data'!$B$3:$I$344,8,FALSE)</f>
        <v>Character/Prefabs/m_m_attacker_friendly_sawpatrol_1</v>
      </c>
      <c r="X469" s="154"/>
      <c r="Y469" s="154" t="str">
        <f>VLOOKUP($C469,'#Data'!$B$3:$I$344,8,FALSE)</f>
        <v>m_m_attacker_friendly_sawpatrol_1</v>
      </c>
      <c r="Z469" s="154"/>
      <c r="AA469" s="154"/>
      <c r="AB469" s="154"/>
      <c r="AC469" s="156">
        <v>1</v>
      </c>
      <c r="AD469" s="154"/>
      <c r="AE469" s="154"/>
      <c r="AF469" s="154"/>
      <c r="AG469" s="154" t="s">
        <v>2105</v>
      </c>
      <c r="AH469" s="158"/>
      <c r="AI469" s="157"/>
      <c r="AJ469" s="157"/>
    </row>
    <row r="470" spans="1:36" s="159" customFormat="1" x14ac:dyDescent="0.3">
      <c r="A470" s="154">
        <f t="shared" si="14"/>
        <v>1310204108</v>
      </c>
      <c r="B470" s="154" t="s">
        <v>125</v>
      </c>
      <c r="C470" s="154" t="s">
        <v>142</v>
      </c>
      <c r="D470" s="154" t="str">
        <f>"Monster.Name."&amp;VLOOKUP($C470,'#Data'!$B$2:$J$344,2,FALSE)</f>
        <v>Monster.Name.friendly_staffpatrol_1</v>
      </c>
      <c r="E470" s="154" t="s">
        <v>143</v>
      </c>
      <c r="F470" s="44" t="s">
        <v>44</v>
      </c>
      <c r="G470" s="154" t="s">
        <v>45</v>
      </c>
      <c r="H470" s="154" t="b">
        <f>IF(OR(VLOOKUP($C470,'#Data'!$B$2:$J$344,4,FALSE)="보스",VLOOKUP($C470,'#Data'!$B$2:$J$344,4,FALSE)="중간"),TRUE,FALSE)</f>
        <v>0</v>
      </c>
      <c r="I470" s="154" t="b">
        <v>0</v>
      </c>
      <c r="J470" s="154">
        <v>10</v>
      </c>
      <c r="K470" s="154">
        <f t="shared" si="15"/>
        <v>10</v>
      </c>
      <c r="L470" s="155" t="str">
        <f>$B470&amp;"."&amp;VLOOKUP($C470,'#Data'!$B$2:$J$344,2,FALSE)&amp;".attack0"&amp;RIGHT(L$1,1)</f>
        <v>Sector04.friendly_staffpatrol_1.attack01</v>
      </c>
      <c r="M470" s="155"/>
      <c r="N470" s="155"/>
      <c r="O470" s="140" t="str">
        <f>$B470&amp;"."&amp;VLOOKUP($C470,'#Data'!$B$2:$J$344,2,FALSE)&amp;".skill0"&amp;RIGHT(O$1,1)</f>
        <v>Sector04.friendly_staffpatrol_1.skill01</v>
      </c>
      <c r="P470" s="140" t="s">
        <v>2026</v>
      </c>
      <c r="Q470" s="140"/>
      <c r="R470" s="72"/>
      <c r="S470" s="72"/>
      <c r="T470" s="72"/>
      <c r="U470" s="72"/>
      <c r="V470" s="154" t="b">
        <v>0</v>
      </c>
      <c r="W470" s="154" t="str">
        <f>"Character/Prefabs/"&amp;VLOOKUP($C470,'#Data'!$B$3:$I$344,8,FALSE)</f>
        <v>Character/Prefabs/m_m_supporter_friendly_staffpatrol_1</v>
      </c>
      <c r="X470" s="154"/>
      <c r="Y470" s="154" t="str">
        <f>VLOOKUP($C470,'#Data'!$B$3:$I$344,8,FALSE)</f>
        <v>m_m_supporter_friendly_staffpatrol_1</v>
      </c>
      <c r="Z470" s="154"/>
      <c r="AA470" s="154"/>
      <c r="AB470" s="154"/>
      <c r="AC470" s="156">
        <v>1</v>
      </c>
      <c r="AD470" s="154"/>
      <c r="AE470" s="154"/>
      <c r="AF470" s="154"/>
      <c r="AG470" s="154" t="s">
        <v>2105</v>
      </c>
      <c r="AH470" s="158"/>
      <c r="AI470" s="157"/>
      <c r="AJ470" s="157"/>
    </row>
    <row r="471" spans="1:36" s="159" customFormat="1" x14ac:dyDescent="0.3">
      <c r="A471" s="154">
        <f t="shared" si="14"/>
        <v>1310204109</v>
      </c>
      <c r="B471" s="154" t="s">
        <v>125</v>
      </c>
      <c r="C471" s="154" t="s">
        <v>144</v>
      </c>
      <c r="D471" s="154" t="str">
        <f>"Monster.Name."&amp;VLOOKUP($C471,'#Data'!$B$2:$J$344,2,FALSE)</f>
        <v>Monster.Name.friendly_sicklepatrol_1</v>
      </c>
      <c r="E471" s="154" t="s">
        <v>43</v>
      </c>
      <c r="F471" s="44" t="s">
        <v>44</v>
      </c>
      <c r="G471" s="154" t="s">
        <v>45</v>
      </c>
      <c r="H471" s="154" t="b">
        <f>IF(OR(VLOOKUP($C471,'#Data'!$B$2:$J$344,4,FALSE)="보스",VLOOKUP($C471,'#Data'!$B$2:$J$344,4,FALSE)="중간"),TRUE,FALSE)</f>
        <v>0</v>
      </c>
      <c r="I471" s="154" t="b">
        <v>0</v>
      </c>
      <c r="J471" s="154">
        <v>10</v>
      </c>
      <c r="K471" s="154">
        <f t="shared" si="15"/>
        <v>10</v>
      </c>
      <c r="L471" s="155" t="str">
        <f>$B471&amp;"."&amp;VLOOKUP($C471,'#Data'!$B$2:$J$344,2,FALSE)&amp;".attack0"&amp;RIGHT(L$1,1)</f>
        <v>Sector04.friendly_sicklepatrol_1.attack01</v>
      </c>
      <c r="M471" s="155"/>
      <c r="N471" s="155"/>
      <c r="O471" s="140" t="str">
        <f>$B471&amp;"."&amp;VLOOKUP($C471,'#Data'!$B$2:$J$344,2,FALSE)&amp;".skill0"&amp;RIGHT(O$1,1)</f>
        <v>Sector04.friendly_sicklepatrol_1.skill01</v>
      </c>
      <c r="P471" s="140" t="s">
        <v>2027</v>
      </c>
      <c r="Q471" s="140"/>
      <c r="R471" s="72"/>
      <c r="S471" s="72"/>
      <c r="T471" s="72"/>
      <c r="U471" s="72"/>
      <c r="V471" s="154" t="b">
        <v>0</v>
      </c>
      <c r="W471" s="154" t="str">
        <f>"Character/Prefabs/"&amp;VLOOKUP($C471,'#Data'!$B$3:$I$344,8,FALSE)</f>
        <v>Character/Prefabs/m_m_attacker_friendly_sicklepatrol_1</v>
      </c>
      <c r="X471" s="154"/>
      <c r="Y471" s="154" t="str">
        <f>VLOOKUP($C471,'#Data'!$B$3:$I$344,8,FALSE)</f>
        <v>m_m_attacker_friendly_sicklepatrol_1</v>
      </c>
      <c r="Z471" s="154"/>
      <c r="AA471" s="154"/>
      <c r="AB471" s="154"/>
      <c r="AC471" s="156">
        <v>1</v>
      </c>
      <c r="AD471" s="154"/>
      <c r="AE471" s="154"/>
      <c r="AF471" s="154"/>
      <c r="AG471" s="154" t="s">
        <v>2105</v>
      </c>
      <c r="AH471" s="158"/>
      <c r="AI471" s="157"/>
      <c r="AJ471" s="157"/>
    </row>
    <row r="472" spans="1:36" s="159" customFormat="1" x14ac:dyDescent="0.3">
      <c r="A472" s="154">
        <f t="shared" si="14"/>
        <v>1310204110</v>
      </c>
      <c r="B472" s="154" t="s">
        <v>125</v>
      </c>
      <c r="C472" s="154" t="s">
        <v>145</v>
      </c>
      <c r="D472" s="154" t="str">
        <f>"Monster.Name."&amp;VLOOKUP($C472,'#Data'!$B$2:$J$344,2,FALSE)</f>
        <v>Monster.Name.friendly_security_1</v>
      </c>
      <c r="E472" s="154" t="s">
        <v>43</v>
      </c>
      <c r="F472" s="44" t="s">
        <v>44</v>
      </c>
      <c r="G472" s="154" t="s">
        <v>45</v>
      </c>
      <c r="H472" s="154" t="b">
        <f>IF(OR(VLOOKUP($C472,'#Data'!$B$2:$J$344,4,FALSE)="보스",VLOOKUP($C472,'#Data'!$B$2:$J$344,4,FALSE)="중간"),TRUE,FALSE)</f>
        <v>0</v>
      </c>
      <c r="I472" s="154" t="b">
        <v>0</v>
      </c>
      <c r="J472" s="154">
        <v>10</v>
      </c>
      <c r="K472" s="154">
        <f t="shared" si="15"/>
        <v>10</v>
      </c>
      <c r="L472" s="155" t="str">
        <f>$B472&amp;"."&amp;VLOOKUP($C472,'#Data'!$B$2:$J$344,2,FALSE)&amp;".attack0"&amp;RIGHT(L$1,1)</f>
        <v>Sector04.friendly_security_1.attack01</v>
      </c>
      <c r="M472" s="155"/>
      <c r="N472" s="155"/>
      <c r="O472" s="140" t="str">
        <f>$B472&amp;"."&amp;VLOOKUP($C472,'#Data'!$B$2:$J$344,2,FALSE)&amp;".skill0"&amp;RIGHT(O$1,1)</f>
        <v>Sector04.friendly_security_1.skill01</v>
      </c>
      <c r="P472" s="140" t="s">
        <v>2028</v>
      </c>
      <c r="Q472" s="140"/>
      <c r="R472" s="72"/>
      <c r="S472" s="72"/>
      <c r="T472" s="72"/>
      <c r="U472" s="72"/>
      <c r="V472" s="154" t="b">
        <v>0</v>
      </c>
      <c r="W472" s="154" t="str">
        <f>"Character/Prefabs/"&amp;VLOOKUP($C472,'#Data'!$B$3:$I$344,8,FALSE)</f>
        <v>Character/Prefabs/m_m_attacker_friendly_security_1</v>
      </c>
      <c r="X472" s="154"/>
      <c r="Y472" s="154" t="str">
        <f>VLOOKUP($C472,'#Data'!$B$3:$I$344,8,FALSE)</f>
        <v>m_m_attacker_friendly_security_1</v>
      </c>
      <c r="Z472" s="154"/>
      <c r="AA472" s="154"/>
      <c r="AB472" s="154"/>
      <c r="AC472" s="156">
        <v>0.9</v>
      </c>
      <c r="AD472" s="154"/>
      <c r="AE472" s="154"/>
      <c r="AF472" s="154"/>
      <c r="AG472" s="154" t="s">
        <v>2105</v>
      </c>
      <c r="AH472" s="158"/>
      <c r="AI472" s="157"/>
      <c r="AJ472" s="157"/>
    </row>
    <row r="473" spans="1:36" s="159" customFormat="1" x14ac:dyDescent="0.3">
      <c r="A473" s="154">
        <f t="shared" si="14"/>
        <v>1310204111</v>
      </c>
      <c r="B473" s="154" t="s">
        <v>125</v>
      </c>
      <c r="C473" s="154" t="s">
        <v>146</v>
      </c>
      <c r="D473" s="154" t="str">
        <f>"Monster.Name."&amp;VLOOKUP($C473,'#Data'!$B$2:$J$344,2,FALSE)</f>
        <v>Monster.Name.friendly_cannon_1</v>
      </c>
      <c r="E473" s="154" t="s">
        <v>47</v>
      </c>
      <c r="F473" s="44" t="s">
        <v>44</v>
      </c>
      <c r="G473" s="154" t="s">
        <v>45</v>
      </c>
      <c r="H473" s="154" t="b">
        <f>IF(OR(VLOOKUP($C473,'#Data'!$B$2:$J$344,4,FALSE)="보스",VLOOKUP($C473,'#Data'!$B$2:$J$344,4,FALSE)="중간"),TRUE,FALSE)</f>
        <v>0</v>
      </c>
      <c r="I473" s="154" t="b">
        <v>0</v>
      </c>
      <c r="J473" s="154">
        <v>10</v>
      </c>
      <c r="K473" s="154">
        <f t="shared" si="15"/>
        <v>10</v>
      </c>
      <c r="L473" s="155" t="str">
        <f>$B473&amp;"."&amp;VLOOKUP($C473,'#Data'!$B$2:$J$344,2,FALSE)&amp;".attack0"&amp;RIGHT(L$1,1)</f>
        <v>Sector04.friendly_cannon_1.attack01</v>
      </c>
      <c r="M473" s="155"/>
      <c r="N473" s="155"/>
      <c r="O473" s="140" t="str">
        <f>$B473&amp;"."&amp;VLOOKUP($C473,'#Data'!$B$2:$J$344,2,FALSE)&amp;".skill0"&amp;RIGHT(O$1,1)</f>
        <v>Sector04.friendly_cannon_1.skill01</v>
      </c>
      <c r="P473" s="140" t="s">
        <v>2029</v>
      </c>
      <c r="Q473" s="140"/>
      <c r="R473" s="72"/>
      <c r="S473" s="72"/>
      <c r="T473" s="72"/>
      <c r="U473" s="72"/>
      <c r="V473" s="154" t="b">
        <v>0</v>
      </c>
      <c r="W473" s="154" t="str">
        <f>"Character/Prefabs/"&amp;VLOOKUP($C473,'#Data'!$B$3:$I$344,8,FALSE)</f>
        <v>Character/Prefabs/m_m_ranger_friendly_cannon_1</v>
      </c>
      <c r="X473" s="154"/>
      <c r="Y473" s="154" t="str">
        <f>VLOOKUP($C473,'#Data'!$B$3:$I$344,8,FALSE)</f>
        <v>m_m_ranger_friendly_cannon_1</v>
      </c>
      <c r="Z473" s="154"/>
      <c r="AA473" s="154"/>
      <c r="AB473" s="154"/>
      <c r="AC473" s="156">
        <v>0.7</v>
      </c>
      <c r="AD473" s="154"/>
      <c r="AE473" s="154"/>
      <c r="AF473" s="154"/>
      <c r="AG473" s="154" t="s">
        <v>2105</v>
      </c>
      <c r="AH473" s="158"/>
      <c r="AI473" s="157"/>
      <c r="AJ473" s="157"/>
    </row>
    <row r="474" spans="1:36" s="159" customFormat="1" x14ac:dyDescent="0.3">
      <c r="A474" s="154">
        <f t="shared" si="14"/>
        <v>1310204112</v>
      </c>
      <c r="B474" s="154" t="s">
        <v>125</v>
      </c>
      <c r="C474" s="154" t="s">
        <v>147</v>
      </c>
      <c r="D474" s="154" t="str">
        <f>"Monster.Name."&amp;VLOOKUP($C474,'#Data'!$B$2:$J$344,2,FALSE)</f>
        <v>Monster.Name.friendly_gun_1</v>
      </c>
      <c r="E474" s="154" t="s">
        <v>47</v>
      </c>
      <c r="F474" s="44" t="s">
        <v>44</v>
      </c>
      <c r="G474" s="154" t="s">
        <v>45</v>
      </c>
      <c r="H474" s="154" t="b">
        <f>IF(OR(VLOOKUP($C474,'#Data'!$B$2:$J$344,4,FALSE)="보스",VLOOKUP($C474,'#Data'!$B$2:$J$344,4,FALSE)="중간"),TRUE,FALSE)</f>
        <v>0</v>
      </c>
      <c r="I474" s="154" t="b">
        <v>0</v>
      </c>
      <c r="J474" s="154">
        <v>10</v>
      </c>
      <c r="K474" s="154">
        <f t="shared" si="15"/>
        <v>10</v>
      </c>
      <c r="L474" s="155" t="str">
        <f>$B474&amp;"."&amp;VLOOKUP($C474,'#Data'!$B$2:$J$344,2,FALSE)&amp;".attack0"&amp;RIGHT(L$1,1)</f>
        <v>Sector04.friendly_gun_1.attack01</v>
      </c>
      <c r="M474" s="155"/>
      <c r="N474" s="155"/>
      <c r="O474" s="140" t="str">
        <f>$B474&amp;"."&amp;VLOOKUP($C474,'#Data'!$B$2:$J$344,2,FALSE)&amp;".skill0"&amp;RIGHT(O$1,1)</f>
        <v>Sector04.friendly_gun_1.skill01</v>
      </c>
      <c r="P474" s="140" t="s">
        <v>2030</v>
      </c>
      <c r="Q474" s="140"/>
      <c r="R474" s="72"/>
      <c r="S474" s="72"/>
      <c r="T474" s="72"/>
      <c r="U474" s="72"/>
      <c r="V474" s="154" t="b">
        <v>0</v>
      </c>
      <c r="W474" s="154" t="str">
        <f>"Character/Prefabs/"&amp;VLOOKUP($C474,'#Data'!$B$3:$I$344,8,FALSE)</f>
        <v>Character/Prefabs/m_m_ranger_friendly_gun_1</v>
      </c>
      <c r="X474" s="154"/>
      <c r="Y474" s="154" t="str">
        <f>VLOOKUP($C474,'#Data'!$B$3:$I$344,8,FALSE)</f>
        <v>m_m_ranger_friendly_gun_1</v>
      </c>
      <c r="Z474" s="154"/>
      <c r="AA474" s="154"/>
      <c r="AB474" s="154"/>
      <c r="AC474" s="156">
        <v>0.7</v>
      </c>
      <c r="AD474" s="154"/>
      <c r="AE474" s="154"/>
      <c r="AF474" s="154"/>
      <c r="AG474" s="154" t="s">
        <v>2105</v>
      </c>
      <c r="AH474" s="158"/>
      <c r="AI474" s="157"/>
      <c r="AJ474" s="157"/>
    </row>
    <row r="475" spans="1:36" s="159" customFormat="1" x14ac:dyDescent="0.3">
      <c r="A475" s="47">
        <f t="shared" si="14"/>
        <v>1310204113</v>
      </c>
      <c r="B475" s="47" t="s">
        <v>125</v>
      </c>
      <c r="C475" s="47" t="s">
        <v>1261</v>
      </c>
      <c r="D475" s="47" t="str">
        <f>"Monster.Name."&amp;VLOOKUP($C475,'#Data'!$B$2:$J$344,2,FALSE)</f>
        <v>Monster.Name.friendly_walking_eyeball_3</v>
      </c>
      <c r="E475" s="47" t="s">
        <v>47</v>
      </c>
      <c r="F475" s="46" t="s">
        <v>44</v>
      </c>
      <c r="G475" s="47" t="s">
        <v>45</v>
      </c>
      <c r="H475" s="47" t="b">
        <f>IF(OR(VLOOKUP($C475,'#Data'!$B$2:$J$344,4,FALSE)="보스",VLOOKUP($C475,'#Data'!$B$2:$J$344,4,FALSE)="중간"),TRUE,FALSE)</f>
        <v>0</v>
      </c>
      <c r="I475" s="47" t="b">
        <v>0</v>
      </c>
      <c r="J475" s="47">
        <v>10</v>
      </c>
      <c r="K475" s="47">
        <f t="shared" si="15"/>
        <v>10</v>
      </c>
      <c r="L475" s="160" t="s">
        <v>127</v>
      </c>
      <c r="M475" s="160"/>
      <c r="N475" s="160"/>
      <c r="O475" s="141" t="s">
        <v>2019</v>
      </c>
      <c r="P475" s="141"/>
      <c r="Q475" s="141"/>
      <c r="R475" s="74"/>
      <c r="S475" s="74"/>
      <c r="T475" s="74"/>
      <c r="U475" s="74"/>
      <c r="V475" s="47" t="b">
        <v>0</v>
      </c>
      <c r="W475" s="47" t="str">
        <f>"Character/Prefabs/"&amp;VLOOKUP($C475,'#Data'!$B$3:$I$344,8,FALSE)</f>
        <v>Character/Prefabs/m_s_ranger_friendly_walking_eyeball_3</v>
      </c>
      <c r="X475" s="47"/>
      <c r="Y475" s="47" t="str">
        <f>VLOOKUP($C475,'#Data'!$B$3:$I$344,8,FALSE)</f>
        <v>m_s_ranger_friendly_walking_eyeball_3</v>
      </c>
      <c r="Z475" s="47"/>
      <c r="AA475" s="47"/>
      <c r="AB475" s="47"/>
      <c r="AC475" s="161">
        <v>1.2</v>
      </c>
      <c r="AD475" s="47"/>
      <c r="AE475" s="47"/>
      <c r="AF475" s="47"/>
      <c r="AG475" s="47" t="s">
        <v>2105</v>
      </c>
      <c r="AH475" s="158"/>
      <c r="AI475" s="157"/>
      <c r="AJ475" s="157"/>
    </row>
    <row r="476" spans="1:36" s="159" customFormat="1" x14ac:dyDescent="0.3">
      <c r="A476" s="47">
        <f t="shared" si="14"/>
        <v>1310204114</v>
      </c>
      <c r="B476" s="47" t="s">
        <v>125</v>
      </c>
      <c r="C476" s="47" t="s">
        <v>1263</v>
      </c>
      <c r="D476" s="47" t="str">
        <f>"Monster.Name."&amp;VLOOKUP($C476,'#Data'!$B$2:$J$344,2,FALSE)</f>
        <v>Monster.Name.friendly_patrol_3</v>
      </c>
      <c r="E476" s="47" t="s">
        <v>43</v>
      </c>
      <c r="F476" s="46" t="s">
        <v>44</v>
      </c>
      <c r="G476" s="47" t="s">
        <v>45</v>
      </c>
      <c r="H476" s="47" t="b">
        <f>IF(OR(VLOOKUP($C476,'#Data'!$B$2:$J$344,4,FALSE)="보스",VLOOKUP($C476,'#Data'!$B$2:$J$344,4,FALSE)="중간"),TRUE,FALSE)</f>
        <v>0</v>
      </c>
      <c r="I476" s="47" t="b">
        <v>0</v>
      </c>
      <c r="J476" s="47">
        <v>10</v>
      </c>
      <c r="K476" s="47">
        <f t="shared" si="15"/>
        <v>10</v>
      </c>
      <c r="L476" s="160" t="s">
        <v>131</v>
      </c>
      <c r="M476" s="160"/>
      <c r="N476" s="160"/>
      <c r="O476" s="141" t="s">
        <v>2020</v>
      </c>
      <c r="P476" s="141"/>
      <c r="Q476" s="141"/>
      <c r="R476" s="74"/>
      <c r="S476" s="74"/>
      <c r="T476" s="74"/>
      <c r="U476" s="74"/>
      <c r="V476" s="47" t="b">
        <v>0</v>
      </c>
      <c r="W476" s="47" t="str">
        <f>"Character/Prefabs/"&amp;VLOOKUP($C476,'#Data'!$B$3:$I$344,8,FALSE)</f>
        <v>Character/Prefabs/m_s_attacker_friendly_patrol_3</v>
      </c>
      <c r="X476" s="47"/>
      <c r="Y476" s="47" t="str">
        <f>VLOOKUP($C476,'#Data'!$B$3:$I$344,8,FALSE)</f>
        <v>m_s_attacker_friendly_patrol_3</v>
      </c>
      <c r="Z476" s="47"/>
      <c r="AA476" s="47"/>
      <c r="AB476" s="47"/>
      <c r="AC476" s="161">
        <v>1</v>
      </c>
      <c r="AD476" s="47"/>
      <c r="AE476" s="47"/>
      <c r="AF476" s="47"/>
      <c r="AG476" s="47" t="s">
        <v>2105</v>
      </c>
      <c r="AH476" s="158"/>
      <c r="AI476" s="157"/>
      <c r="AJ476" s="157"/>
    </row>
    <row r="477" spans="1:36" s="159" customFormat="1" x14ac:dyDescent="0.3">
      <c r="A477" s="47">
        <f t="shared" si="14"/>
        <v>1310204115</v>
      </c>
      <c r="B477" s="47" t="s">
        <v>125</v>
      </c>
      <c r="C477" s="47" t="s">
        <v>1265</v>
      </c>
      <c r="D477" s="47" t="str">
        <f>"Monster.Name."&amp;VLOOKUP($C477,'#Data'!$B$2:$J$344,2,FALSE)</f>
        <v>Monster.Name.friendly_edge_eyeball_2</v>
      </c>
      <c r="E477" s="47" t="s">
        <v>43</v>
      </c>
      <c r="F477" s="46" t="s">
        <v>44</v>
      </c>
      <c r="G477" s="47" t="s">
        <v>45</v>
      </c>
      <c r="H477" s="47" t="b">
        <f>IF(OR(VLOOKUP($C477,'#Data'!$B$2:$J$344,4,FALSE)="보스",VLOOKUP($C477,'#Data'!$B$2:$J$344,4,FALSE)="중간"),TRUE,FALSE)</f>
        <v>0</v>
      </c>
      <c r="I477" s="47" t="b">
        <v>0</v>
      </c>
      <c r="J477" s="47">
        <v>10</v>
      </c>
      <c r="K477" s="47">
        <f t="shared" si="15"/>
        <v>10</v>
      </c>
      <c r="L477" s="160" t="s">
        <v>1348</v>
      </c>
      <c r="M477" s="160"/>
      <c r="N477" s="160"/>
      <c r="O477" s="141" t="s">
        <v>1355</v>
      </c>
      <c r="P477" s="141" t="s">
        <v>2023</v>
      </c>
      <c r="Q477" s="141"/>
      <c r="R477" s="74"/>
      <c r="S477" s="74"/>
      <c r="T477" s="74"/>
      <c r="U477" s="74"/>
      <c r="V477" s="47" t="b">
        <v>0</v>
      </c>
      <c r="W477" s="47" t="str">
        <f>"Character/Prefabs/"&amp;VLOOKUP($C477,'#Data'!$B$3:$I$344,8,FALSE)</f>
        <v>Character/Prefabs/m_m_attacker_friendly_edge_eyeball_2</v>
      </c>
      <c r="X477" s="47"/>
      <c r="Y477" s="47" t="str">
        <f>VLOOKUP($C477,'#Data'!$B$3:$I$344,8,FALSE)</f>
        <v>m_m_attacker_friendly_edge_eyeball_2</v>
      </c>
      <c r="Z477" s="47"/>
      <c r="AA477" s="47"/>
      <c r="AB477" s="47"/>
      <c r="AC477" s="161">
        <v>0.9</v>
      </c>
      <c r="AD477" s="47"/>
      <c r="AE477" s="47"/>
      <c r="AF477" s="47"/>
      <c r="AG477" s="47" t="s">
        <v>2105</v>
      </c>
      <c r="AH477" s="158"/>
      <c r="AI477" s="157"/>
      <c r="AJ477" s="157"/>
    </row>
    <row r="478" spans="1:36" s="159" customFormat="1" x14ac:dyDescent="0.3">
      <c r="A478" s="47">
        <f t="shared" si="14"/>
        <v>1310204116</v>
      </c>
      <c r="B478" s="47" t="s">
        <v>125</v>
      </c>
      <c r="C478" s="47" t="s">
        <v>1267</v>
      </c>
      <c r="D478" s="47" t="str">
        <f>"Monster.Name."&amp;VLOOKUP($C478,'#Data'!$B$2:$J$344,2,FALSE)</f>
        <v>Monster.Name.friendly_electric_eyeball_2</v>
      </c>
      <c r="E478" s="47" t="s">
        <v>47</v>
      </c>
      <c r="F478" s="46" t="s">
        <v>44</v>
      </c>
      <c r="G478" s="47" t="s">
        <v>45</v>
      </c>
      <c r="H478" s="47" t="b">
        <f>IF(OR(VLOOKUP($C478,'#Data'!$B$2:$J$344,4,FALSE)="보스",VLOOKUP($C478,'#Data'!$B$2:$J$344,4,FALSE)="중간"),TRUE,FALSE)</f>
        <v>0</v>
      </c>
      <c r="I478" s="47" t="b">
        <v>0</v>
      </c>
      <c r="J478" s="47">
        <v>10</v>
      </c>
      <c r="K478" s="47">
        <f t="shared" si="15"/>
        <v>10</v>
      </c>
      <c r="L478" s="160" t="s">
        <v>1349</v>
      </c>
      <c r="M478" s="160"/>
      <c r="N478" s="160"/>
      <c r="O478" s="141" t="s">
        <v>1356</v>
      </c>
      <c r="P478" s="141" t="s">
        <v>2024</v>
      </c>
      <c r="Q478" s="141"/>
      <c r="R478" s="74"/>
      <c r="S478" s="74"/>
      <c r="T478" s="74"/>
      <c r="U478" s="74"/>
      <c r="V478" s="47" t="b">
        <v>0</v>
      </c>
      <c r="W478" s="47" t="str">
        <f>"Character/Prefabs/"&amp;VLOOKUP($C478,'#Data'!$B$3:$I$344,8,FALSE)</f>
        <v>Character/Prefabs/m_m_ranger_friendly_electric_eyeball_2</v>
      </c>
      <c r="X478" s="47"/>
      <c r="Y478" s="47" t="str">
        <f>VLOOKUP($C478,'#Data'!$B$3:$I$344,8,FALSE)</f>
        <v>m_m_ranger_friendly_electric_eyeball_2</v>
      </c>
      <c r="Z478" s="47"/>
      <c r="AA478" s="47"/>
      <c r="AB478" s="47"/>
      <c r="AC478" s="161">
        <v>0.9</v>
      </c>
      <c r="AD478" s="47"/>
      <c r="AE478" s="47"/>
      <c r="AF478" s="47"/>
      <c r="AG478" s="47" t="s">
        <v>2105</v>
      </c>
      <c r="AH478" s="158"/>
      <c r="AI478" s="157"/>
      <c r="AJ478" s="157"/>
    </row>
    <row r="479" spans="1:36" s="159" customFormat="1" x14ac:dyDescent="0.3">
      <c r="A479" s="47">
        <f t="shared" si="14"/>
        <v>1310204117</v>
      </c>
      <c r="B479" s="47" t="s">
        <v>125</v>
      </c>
      <c r="C479" s="47" t="s">
        <v>1269</v>
      </c>
      <c r="D479" s="47" t="str">
        <f>"Monster.Name."&amp;VLOOKUP($C479,'#Data'!$B$2:$J$344,2,FALSE)</f>
        <v>Monster.Name.friendly_sawpatrol_2</v>
      </c>
      <c r="E479" s="47" t="s">
        <v>43</v>
      </c>
      <c r="F479" s="46" t="s">
        <v>44</v>
      </c>
      <c r="G479" s="47" t="s">
        <v>45</v>
      </c>
      <c r="H479" s="47" t="b">
        <f>IF(OR(VLOOKUP($C479,'#Data'!$B$2:$J$344,4,FALSE)="보스",VLOOKUP($C479,'#Data'!$B$2:$J$344,4,FALSE)="중간"),TRUE,FALSE)</f>
        <v>0</v>
      </c>
      <c r="I479" s="47" t="b">
        <v>0</v>
      </c>
      <c r="J479" s="47">
        <v>10</v>
      </c>
      <c r="K479" s="47">
        <f t="shared" si="15"/>
        <v>10</v>
      </c>
      <c r="L479" s="160" t="s">
        <v>1350</v>
      </c>
      <c r="M479" s="160"/>
      <c r="N479" s="160"/>
      <c r="O479" s="141" t="s">
        <v>1357</v>
      </c>
      <c r="P479" s="141" t="s">
        <v>2025</v>
      </c>
      <c r="Q479" s="141"/>
      <c r="R479" s="74"/>
      <c r="S479" s="74"/>
      <c r="T479" s="74"/>
      <c r="U479" s="74"/>
      <c r="V479" s="47" t="b">
        <v>0</v>
      </c>
      <c r="W479" s="47" t="str">
        <f>"Character/Prefabs/"&amp;VLOOKUP($C479,'#Data'!$B$3:$I$344,8,FALSE)</f>
        <v>Character/Prefabs/m_m_attacker_friendly_sawpatrol_2</v>
      </c>
      <c r="X479" s="47"/>
      <c r="Y479" s="47" t="str">
        <f>VLOOKUP($C479,'#Data'!$B$3:$I$344,8,FALSE)</f>
        <v>m_m_attacker_friendly_sawpatrol_2</v>
      </c>
      <c r="Z479" s="47"/>
      <c r="AA479" s="47"/>
      <c r="AB479" s="47"/>
      <c r="AC479" s="161">
        <v>1</v>
      </c>
      <c r="AD479" s="47"/>
      <c r="AE479" s="47"/>
      <c r="AF479" s="47"/>
      <c r="AG479" s="47" t="s">
        <v>2105</v>
      </c>
      <c r="AH479" s="158"/>
      <c r="AI479" s="157"/>
      <c r="AJ479" s="157"/>
    </row>
    <row r="480" spans="1:36" s="159" customFormat="1" x14ac:dyDescent="0.3">
      <c r="A480" s="47">
        <f t="shared" si="14"/>
        <v>1310204118</v>
      </c>
      <c r="B480" s="47" t="s">
        <v>125</v>
      </c>
      <c r="C480" s="47" t="s">
        <v>1271</v>
      </c>
      <c r="D480" s="47" t="str">
        <f>"Monster.Name."&amp;VLOOKUP($C480,'#Data'!$B$2:$J$344,2,FALSE)</f>
        <v>Monster.Name.friendly_staffpatrol_2</v>
      </c>
      <c r="E480" s="47" t="s">
        <v>143</v>
      </c>
      <c r="F480" s="46" t="s">
        <v>44</v>
      </c>
      <c r="G480" s="47" t="s">
        <v>45</v>
      </c>
      <c r="H480" s="47" t="b">
        <f>IF(OR(VLOOKUP($C480,'#Data'!$B$2:$J$344,4,FALSE)="보스",VLOOKUP($C480,'#Data'!$B$2:$J$344,4,FALSE)="중간"),TRUE,FALSE)</f>
        <v>0</v>
      </c>
      <c r="I480" s="47" t="b">
        <v>0</v>
      </c>
      <c r="J480" s="47">
        <v>10</v>
      </c>
      <c r="K480" s="47">
        <f t="shared" si="15"/>
        <v>10</v>
      </c>
      <c r="L480" s="160" t="s">
        <v>1351</v>
      </c>
      <c r="M480" s="160"/>
      <c r="N480" s="160"/>
      <c r="O480" s="141" t="s">
        <v>1358</v>
      </c>
      <c r="P480" s="141" t="s">
        <v>2026</v>
      </c>
      <c r="Q480" s="141"/>
      <c r="R480" s="74"/>
      <c r="S480" s="74"/>
      <c r="T480" s="74"/>
      <c r="U480" s="74"/>
      <c r="V480" s="47" t="b">
        <v>0</v>
      </c>
      <c r="W480" s="47" t="str">
        <f>"Character/Prefabs/"&amp;VLOOKUP($C480,'#Data'!$B$3:$I$344,8,FALSE)</f>
        <v>Character/Prefabs/m_m_supporter_friendly_staffpatrol_2</v>
      </c>
      <c r="X480" s="47"/>
      <c r="Y480" s="47" t="str">
        <f>VLOOKUP($C480,'#Data'!$B$3:$I$344,8,FALSE)</f>
        <v>m_m_supporter_friendly_staffpatrol_2</v>
      </c>
      <c r="Z480" s="47"/>
      <c r="AA480" s="47"/>
      <c r="AB480" s="47"/>
      <c r="AC480" s="161">
        <v>1</v>
      </c>
      <c r="AD480" s="47"/>
      <c r="AE480" s="47"/>
      <c r="AF480" s="47"/>
      <c r="AG480" s="47" t="s">
        <v>2105</v>
      </c>
      <c r="AH480" s="158"/>
      <c r="AI480" s="157"/>
      <c r="AJ480" s="157"/>
    </row>
    <row r="481" spans="1:36" s="159" customFormat="1" x14ac:dyDescent="0.3">
      <c r="A481" s="47">
        <f t="shared" si="14"/>
        <v>1310204119</v>
      </c>
      <c r="B481" s="47" t="s">
        <v>125</v>
      </c>
      <c r="C481" s="47" t="s">
        <v>1273</v>
      </c>
      <c r="D481" s="47" t="str">
        <f>"Monster.Name."&amp;VLOOKUP($C481,'#Data'!$B$2:$J$344,2,FALSE)</f>
        <v>Monster.Name.friendly_sicklepatrol_2</v>
      </c>
      <c r="E481" s="47" t="s">
        <v>43</v>
      </c>
      <c r="F481" s="46" t="s">
        <v>44</v>
      </c>
      <c r="G481" s="47" t="s">
        <v>45</v>
      </c>
      <c r="H481" s="47" t="b">
        <f>IF(OR(VLOOKUP($C481,'#Data'!$B$2:$J$344,4,FALSE)="보스",VLOOKUP($C481,'#Data'!$B$2:$J$344,4,FALSE)="중간"),TRUE,FALSE)</f>
        <v>0</v>
      </c>
      <c r="I481" s="47" t="b">
        <v>0</v>
      </c>
      <c r="J481" s="47">
        <v>10</v>
      </c>
      <c r="K481" s="47">
        <f t="shared" si="15"/>
        <v>10</v>
      </c>
      <c r="L481" s="160" t="s">
        <v>1352</v>
      </c>
      <c r="M481" s="160"/>
      <c r="N481" s="160"/>
      <c r="O481" s="141" t="s">
        <v>1359</v>
      </c>
      <c r="P481" s="141" t="s">
        <v>2027</v>
      </c>
      <c r="Q481" s="141"/>
      <c r="R481" s="74"/>
      <c r="S481" s="74"/>
      <c r="T481" s="74"/>
      <c r="U481" s="74"/>
      <c r="V481" s="47" t="b">
        <v>0</v>
      </c>
      <c r="W481" s="47" t="str">
        <f>"Character/Prefabs/"&amp;VLOOKUP($C481,'#Data'!$B$3:$I$344,8,FALSE)</f>
        <v>Character/Prefabs/m_m_attacker_friendly_sicklepatrol_2</v>
      </c>
      <c r="X481" s="47"/>
      <c r="Y481" s="47" t="str">
        <f>VLOOKUP($C481,'#Data'!$B$3:$I$344,8,FALSE)</f>
        <v>m_m_attacker_friendly_sicklepatrol_2</v>
      </c>
      <c r="Z481" s="47"/>
      <c r="AA481" s="47"/>
      <c r="AB481" s="47"/>
      <c r="AC481" s="161">
        <v>1</v>
      </c>
      <c r="AD481" s="47"/>
      <c r="AE481" s="47"/>
      <c r="AF481" s="47"/>
      <c r="AG481" s="47" t="s">
        <v>2105</v>
      </c>
      <c r="AH481" s="158"/>
      <c r="AI481" s="157"/>
      <c r="AJ481" s="157"/>
    </row>
    <row r="482" spans="1:36" s="159" customFormat="1" x14ac:dyDescent="0.3">
      <c r="A482" s="47">
        <f t="shared" si="14"/>
        <v>1310204120</v>
      </c>
      <c r="B482" s="47" t="s">
        <v>125</v>
      </c>
      <c r="C482" s="47" t="s">
        <v>1275</v>
      </c>
      <c r="D482" s="47" t="str">
        <f>"Monster.Name."&amp;VLOOKUP($C482,'#Data'!$B$2:$J$344,2,FALSE)</f>
        <v>Monster.Name.friendly_security_2</v>
      </c>
      <c r="E482" s="47" t="s">
        <v>43</v>
      </c>
      <c r="F482" s="46" t="s">
        <v>44</v>
      </c>
      <c r="G482" s="47" t="s">
        <v>45</v>
      </c>
      <c r="H482" s="47" t="b">
        <f>IF(OR(VLOOKUP($C482,'#Data'!$B$2:$J$344,4,FALSE)="보스",VLOOKUP($C482,'#Data'!$B$2:$J$344,4,FALSE)="중간"),TRUE,FALSE)</f>
        <v>0</v>
      </c>
      <c r="I482" s="47" t="b">
        <v>0</v>
      </c>
      <c r="J482" s="47">
        <v>10</v>
      </c>
      <c r="K482" s="47">
        <f t="shared" si="15"/>
        <v>10</v>
      </c>
      <c r="L482" s="160" t="s">
        <v>1968</v>
      </c>
      <c r="M482" s="160"/>
      <c r="N482" s="160"/>
      <c r="O482" s="141" t="s">
        <v>1969</v>
      </c>
      <c r="P482" s="141" t="s">
        <v>2028</v>
      </c>
      <c r="Q482" s="141"/>
      <c r="R482" s="74"/>
      <c r="S482" s="74"/>
      <c r="T482" s="74"/>
      <c r="U482" s="74"/>
      <c r="V482" s="47" t="b">
        <v>0</v>
      </c>
      <c r="W482" s="47" t="str">
        <f>"Character/Prefabs/"&amp;VLOOKUP($C482,'#Data'!$B$3:$I$344,8,FALSE)</f>
        <v>Character/Prefabs/m_m_attacker_friendly_security_2</v>
      </c>
      <c r="X482" s="47"/>
      <c r="Y482" s="47" t="str">
        <f>VLOOKUP($C482,'#Data'!$B$3:$I$344,8,FALSE)</f>
        <v>m_m_attacker_friendly_security_2</v>
      </c>
      <c r="Z482" s="47"/>
      <c r="AA482" s="47"/>
      <c r="AB482" s="47"/>
      <c r="AC482" s="161">
        <v>0.9</v>
      </c>
      <c r="AD482" s="47"/>
      <c r="AE482" s="47"/>
      <c r="AF482" s="47"/>
      <c r="AG482" s="47" t="s">
        <v>2105</v>
      </c>
      <c r="AH482" s="158"/>
      <c r="AI482" s="157"/>
      <c r="AJ482" s="157"/>
    </row>
    <row r="483" spans="1:36" s="159" customFormat="1" x14ac:dyDescent="0.3">
      <c r="A483" s="47">
        <f t="shared" si="14"/>
        <v>1310204121</v>
      </c>
      <c r="B483" s="47" t="s">
        <v>125</v>
      </c>
      <c r="C483" s="47" t="s">
        <v>1276</v>
      </c>
      <c r="D483" s="47" t="str">
        <f>"Monster.Name."&amp;VLOOKUP($C483,'#Data'!$B$2:$J$344,2,FALSE)</f>
        <v>Monster.Name.friendly_cannon_2</v>
      </c>
      <c r="E483" s="47" t="s">
        <v>47</v>
      </c>
      <c r="F483" s="46" t="s">
        <v>44</v>
      </c>
      <c r="G483" s="47" t="s">
        <v>45</v>
      </c>
      <c r="H483" s="47" t="b">
        <f>IF(OR(VLOOKUP($C483,'#Data'!$B$2:$J$344,4,FALSE)="보스",VLOOKUP($C483,'#Data'!$B$2:$J$344,4,FALSE)="중간"),TRUE,FALSE)</f>
        <v>0</v>
      </c>
      <c r="I483" s="47" t="b">
        <v>0</v>
      </c>
      <c r="J483" s="47">
        <v>10</v>
      </c>
      <c r="K483" s="47">
        <f t="shared" si="15"/>
        <v>10</v>
      </c>
      <c r="L483" s="160" t="s">
        <v>1353</v>
      </c>
      <c r="M483" s="160"/>
      <c r="N483" s="160"/>
      <c r="O483" s="141" t="s">
        <v>1360</v>
      </c>
      <c r="P483" s="141" t="s">
        <v>2029</v>
      </c>
      <c r="Q483" s="141"/>
      <c r="R483" s="74"/>
      <c r="S483" s="74"/>
      <c r="T483" s="74"/>
      <c r="U483" s="74"/>
      <c r="V483" s="47" t="b">
        <v>0</v>
      </c>
      <c r="W483" s="47" t="str">
        <f>"Character/Prefabs/"&amp;VLOOKUP($C483,'#Data'!$B$3:$I$344,8,FALSE)</f>
        <v>Character/Prefabs/m_m_ranger_friendly_cannon_2</v>
      </c>
      <c r="X483" s="47"/>
      <c r="Y483" s="47" t="str">
        <f>VLOOKUP($C483,'#Data'!$B$3:$I$344,8,FALSE)</f>
        <v>m_m_ranger_friendly_cannon_2</v>
      </c>
      <c r="Z483" s="47"/>
      <c r="AA483" s="47"/>
      <c r="AB483" s="47"/>
      <c r="AC483" s="161">
        <v>0.7</v>
      </c>
      <c r="AD483" s="47"/>
      <c r="AE483" s="47"/>
      <c r="AF483" s="47"/>
      <c r="AG483" s="47" t="s">
        <v>2105</v>
      </c>
      <c r="AH483" s="158"/>
      <c r="AI483" s="157"/>
      <c r="AJ483" s="157"/>
    </row>
    <row r="484" spans="1:36" s="159" customFormat="1" x14ac:dyDescent="0.3">
      <c r="A484" s="47">
        <f t="shared" si="14"/>
        <v>1310204122</v>
      </c>
      <c r="B484" s="47" t="s">
        <v>125</v>
      </c>
      <c r="C484" s="47" t="s">
        <v>1278</v>
      </c>
      <c r="D484" s="47" t="str">
        <f>"Monster.Name."&amp;VLOOKUP($C484,'#Data'!$B$2:$J$344,2,FALSE)</f>
        <v>Monster.Name.friendly_gun_2</v>
      </c>
      <c r="E484" s="47" t="s">
        <v>47</v>
      </c>
      <c r="F484" s="46" t="s">
        <v>44</v>
      </c>
      <c r="G484" s="47" t="s">
        <v>45</v>
      </c>
      <c r="H484" s="47" t="b">
        <f>IF(OR(VLOOKUP($C484,'#Data'!$B$2:$J$344,4,FALSE)="보스",VLOOKUP($C484,'#Data'!$B$2:$J$344,4,FALSE)="중간"),TRUE,FALSE)</f>
        <v>0</v>
      </c>
      <c r="I484" s="47" t="b">
        <v>0</v>
      </c>
      <c r="J484" s="47">
        <v>10</v>
      </c>
      <c r="K484" s="47">
        <f t="shared" si="15"/>
        <v>10</v>
      </c>
      <c r="L484" s="160" t="s">
        <v>1354</v>
      </c>
      <c r="M484" s="160"/>
      <c r="N484" s="160"/>
      <c r="O484" s="141" t="s">
        <v>1361</v>
      </c>
      <c r="P484" s="141" t="s">
        <v>2030</v>
      </c>
      <c r="Q484" s="141"/>
      <c r="R484" s="74"/>
      <c r="S484" s="74"/>
      <c r="T484" s="74"/>
      <c r="U484" s="74"/>
      <c r="V484" s="47" t="b">
        <v>0</v>
      </c>
      <c r="W484" s="47" t="str">
        <f>"Character/Prefabs/"&amp;VLOOKUP($C484,'#Data'!$B$3:$I$344,8,FALSE)</f>
        <v>Character/Prefabs/m_m_ranger_friendly_gun_2</v>
      </c>
      <c r="X484" s="47"/>
      <c r="Y484" s="47" t="str">
        <f>VLOOKUP($C484,'#Data'!$B$3:$I$344,8,FALSE)</f>
        <v>m_m_ranger_friendly_gun_2</v>
      </c>
      <c r="Z484" s="47"/>
      <c r="AA484" s="47"/>
      <c r="AB484" s="47"/>
      <c r="AC484" s="161">
        <v>0.7</v>
      </c>
      <c r="AD484" s="47"/>
      <c r="AE484" s="47"/>
      <c r="AF484" s="47"/>
      <c r="AG484" s="47" t="s">
        <v>2105</v>
      </c>
      <c r="AH484" s="158"/>
      <c r="AI484" s="157"/>
      <c r="AJ484" s="157"/>
    </row>
    <row r="485" spans="1:36" x14ac:dyDescent="0.3">
      <c r="A485" s="13">
        <f t="shared" si="14"/>
        <v>1310204201</v>
      </c>
      <c r="B485" s="13" t="s">
        <v>125</v>
      </c>
      <c r="C485" s="13" t="s">
        <v>148</v>
      </c>
      <c r="D485" s="13" t="str">
        <f>"Monster.Name."&amp;VLOOKUP($C485,'#Data'!$B$2:$J$344,2,FALSE)</f>
        <v>Monster.Name.friendly_railgun_1</v>
      </c>
      <c r="E485" s="13" t="s">
        <v>47</v>
      </c>
      <c r="F485" s="44" t="s">
        <v>44</v>
      </c>
      <c r="G485" s="13" t="s">
        <v>45</v>
      </c>
      <c r="H485" s="13" t="b">
        <f>IF(OR(VLOOKUP($C485,'#Data'!$B$2:$J$344,4,FALSE)="보스",VLOOKUP($C485,'#Data'!$B$2:$J$344,4,FALSE)="중간"),TRUE,FALSE)</f>
        <v>1</v>
      </c>
      <c r="I485" s="13" t="b">
        <v>1</v>
      </c>
      <c r="J485" s="13">
        <v>10</v>
      </c>
      <c r="K485" s="13">
        <f t="shared" si="15"/>
        <v>10</v>
      </c>
      <c r="L485" s="71" t="str">
        <f>$B485&amp;"."&amp;VLOOKUP($C485,'#Data'!$B$2:$J$344,2,FALSE)&amp;".attack0"&amp;RIGHT(L$1,1)</f>
        <v>Sector04.friendly_railgun_1.attack01</v>
      </c>
      <c r="M485" s="71"/>
      <c r="N485" s="71"/>
      <c r="O485" s="140" t="str">
        <f>$B485&amp;"."&amp;VLOOKUP($C485,'#Data'!$B$2:$J$344,2,FALSE)&amp;".skill0"&amp;RIGHT(O$1,1)</f>
        <v>Sector04.friendly_railgun_1.skill01</v>
      </c>
      <c r="P485" s="140" t="str">
        <f>$B485&amp;"."&amp;VLOOKUP($C485,'#Data'!$B$2:$J$344,2,FALSE)&amp;".skill0"&amp;RIGHT(P$1,1)</f>
        <v>Sector04.friendly_railgun_1.skill02</v>
      </c>
      <c r="Q485" s="140" t="str">
        <f>$B485&amp;"."&amp;VLOOKUP($C485,'#Data'!$B$2:$J$344,2,FALSE)&amp;".skill0"&amp;RIGHT(Q$1,1)</f>
        <v>Sector04.friendly_railgun_1.skill03</v>
      </c>
      <c r="R485" s="72"/>
      <c r="S485" s="72" t="s">
        <v>2076</v>
      </c>
      <c r="T485" s="72"/>
      <c r="U485" s="72"/>
      <c r="V485" s="13" t="b">
        <v>0</v>
      </c>
      <c r="W485" s="13" t="str">
        <f>"Character/Prefabs/"&amp;VLOOKUP($C485,'#Data'!$B$3:$I$344,8,FALSE)</f>
        <v>Character/Prefabs/m_l_ranger_friendly_railgun_1</v>
      </c>
      <c r="X485" s="13"/>
      <c r="Y485" s="13" t="str">
        <f>VLOOKUP($C485,'#Data'!$B$3:$I$344,8,FALSE)</f>
        <v>m_l_ranger_friendly_railgun_1</v>
      </c>
      <c r="Z485" s="13"/>
      <c r="AA485" s="13"/>
      <c r="AB485" s="13"/>
      <c r="AC485" s="92">
        <v>0.9</v>
      </c>
      <c r="AD485" s="13"/>
      <c r="AE485" s="13"/>
      <c r="AF485" s="13"/>
      <c r="AG485" s="13" t="s">
        <v>2105</v>
      </c>
      <c r="AH485" s="85"/>
    </row>
    <row r="486" spans="1:36" x14ac:dyDescent="0.3">
      <c r="A486" s="13">
        <f t="shared" si="14"/>
        <v>1310204202</v>
      </c>
      <c r="B486" s="13" t="s">
        <v>125</v>
      </c>
      <c r="C486" s="13" t="s">
        <v>149</v>
      </c>
      <c r="D486" s="13" t="str">
        <f>"Monster.Name."&amp;VLOOKUP($C486,'#Data'!$B$2:$J$344,2,FALSE)</f>
        <v>Monster.Name.friendly_punch_1</v>
      </c>
      <c r="E486" s="13" t="s">
        <v>58</v>
      </c>
      <c r="F486" s="44" t="s">
        <v>44</v>
      </c>
      <c r="G486" s="13" t="s">
        <v>45</v>
      </c>
      <c r="H486" s="13" t="b">
        <f>IF(OR(VLOOKUP($C486,'#Data'!$B$2:$J$344,4,FALSE)="보스",VLOOKUP($C486,'#Data'!$B$2:$J$344,4,FALSE)="중간"),TRUE,FALSE)</f>
        <v>1</v>
      </c>
      <c r="I486" s="13" t="b">
        <v>1</v>
      </c>
      <c r="J486" s="13">
        <v>10</v>
      </c>
      <c r="K486" s="13">
        <f t="shared" si="15"/>
        <v>10</v>
      </c>
      <c r="L486" s="71" t="str">
        <f>$B486&amp;"."&amp;VLOOKUP($C486,'#Data'!$B$2:$J$344,2,FALSE)&amp;".attack0"&amp;RIGHT(L$1,1)</f>
        <v>Sector04.friendly_punch_1.attack01</v>
      </c>
      <c r="M486" s="71"/>
      <c r="N486" s="71"/>
      <c r="O486" s="140" t="str">
        <f>$B486&amp;"."&amp;VLOOKUP($C486,'#Data'!$B$2:$J$344,2,FALSE)&amp;".skill0"&amp;RIGHT(O$1,1)</f>
        <v>Sector04.friendly_punch_1.skill01</v>
      </c>
      <c r="P486" s="140" t="str">
        <f>$B486&amp;"."&amp;VLOOKUP($C486,'#Data'!$B$2:$J$344,2,FALSE)&amp;".skill0"&amp;RIGHT(P$1,1)</f>
        <v>Sector04.friendly_punch_1.skill02</v>
      </c>
      <c r="Q486" s="140" t="str">
        <f>$B486&amp;"."&amp;VLOOKUP($C486,'#Data'!$B$2:$J$344,2,FALSE)&amp;".skill0"&amp;RIGHT(Q$1,1)</f>
        <v>Sector04.friendly_punch_1.skill03</v>
      </c>
      <c r="R486" s="72"/>
      <c r="S486" s="72" t="s">
        <v>2076</v>
      </c>
      <c r="T486" s="72"/>
      <c r="U486" s="72"/>
      <c r="V486" s="13" t="b">
        <v>0</v>
      </c>
      <c r="W486" s="13" t="str">
        <f>"Character/Prefabs/"&amp;VLOOKUP($C486,'#Data'!$B$3:$I$344,8,FALSE)</f>
        <v>Character/Prefabs/m_l_tanker_friendly_punch_1</v>
      </c>
      <c r="X486" s="13"/>
      <c r="Y486" s="13" t="str">
        <f>VLOOKUP($C486,'#Data'!$B$3:$I$344,8,FALSE)</f>
        <v>m_l_tanker_friendly_punch_1</v>
      </c>
      <c r="Z486" s="13"/>
      <c r="AA486" s="13"/>
      <c r="AB486" s="13"/>
      <c r="AC486" s="92">
        <v>0.9</v>
      </c>
      <c r="AD486" s="13"/>
      <c r="AE486" s="13"/>
      <c r="AF486" s="13"/>
      <c r="AG486" s="13" t="s">
        <v>2105</v>
      </c>
      <c r="AH486" s="85"/>
    </row>
    <row r="487" spans="1:36" x14ac:dyDescent="0.3">
      <c r="A487" s="13">
        <f t="shared" si="14"/>
        <v>1310204203</v>
      </c>
      <c r="B487" s="13" t="s">
        <v>125</v>
      </c>
      <c r="C487" s="13" t="s">
        <v>150</v>
      </c>
      <c r="D487" s="13" t="str">
        <f>"Monster.Name."&amp;VLOOKUP($C487,'#Data'!$B$2:$J$344,2,FALSE)</f>
        <v>Monster.Name.friendly_pincers_1</v>
      </c>
      <c r="E487" s="13" t="s">
        <v>43</v>
      </c>
      <c r="F487" s="44" t="s">
        <v>44</v>
      </c>
      <c r="G487" s="13" t="s">
        <v>45</v>
      </c>
      <c r="H487" s="13" t="b">
        <f>IF(OR(VLOOKUP($C487,'#Data'!$B$2:$J$344,4,FALSE)="보스",VLOOKUP($C487,'#Data'!$B$2:$J$344,4,FALSE)="중간"),TRUE,FALSE)</f>
        <v>1</v>
      </c>
      <c r="I487" s="13" t="b">
        <v>1</v>
      </c>
      <c r="J487" s="13">
        <v>10</v>
      </c>
      <c r="K487" s="13">
        <f t="shared" si="15"/>
        <v>10</v>
      </c>
      <c r="L487" s="71" t="str">
        <f>$B487&amp;"."&amp;VLOOKUP($C487,'#Data'!$B$2:$J$344,2,FALSE)&amp;".attack0"&amp;RIGHT(L$1,1)</f>
        <v>Sector04.friendly_pincers_1.attack01</v>
      </c>
      <c r="M487" s="71"/>
      <c r="N487" s="71"/>
      <c r="O487" s="140" t="str">
        <f>$B487&amp;"."&amp;VLOOKUP($C487,'#Data'!$B$2:$J$344,2,FALSE)&amp;".skill0"&amp;RIGHT(O$1,1)</f>
        <v>Sector04.friendly_pincers_1.skill01</v>
      </c>
      <c r="P487" s="140" t="str">
        <f>$B487&amp;"."&amp;VLOOKUP($C487,'#Data'!$B$2:$J$344,2,FALSE)&amp;".skill0"&amp;RIGHT(P$1,1)</f>
        <v>Sector04.friendly_pincers_1.skill02</v>
      </c>
      <c r="Q487" s="140"/>
      <c r="R487" s="72"/>
      <c r="S487" s="72" t="s">
        <v>2076</v>
      </c>
      <c r="T487" s="72"/>
      <c r="U487" s="72"/>
      <c r="V487" s="13" t="b">
        <v>0</v>
      </c>
      <c r="W487" s="13" t="str">
        <f>"Character/Prefabs/"&amp;VLOOKUP($C487,'#Data'!$B$3:$I$344,8,FALSE)</f>
        <v>Character/Prefabs/m_l_attacker_friendly_pincers_1</v>
      </c>
      <c r="X487" s="13"/>
      <c r="Y487" s="13" t="str">
        <f>VLOOKUP($C487,'#Data'!$B$3:$I$344,8,FALSE)</f>
        <v>m_l_attacker_friendly_pincers_1</v>
      </c>
      <c r="Z487" s="13"/>
      <c r="AA487" s="13"/>
      <c r="AB487" s="13"/>
      <c r="AC487" s="92">
        <v>0.9</v>
      </c>
      <c r="AD487" s="13"/>
      <c r="AE487" s="13"/>
      <c r="AF487" s="13"/>
      <c r="AG487" s="13" t="s">
        <v>2105</v>
      </c>
      <c r="AH487" s="85"/>
    </row>
    <row r="488" spans="1:36" x14ac:dyDescent="0.3">
      <c r="A488" s="117">
        <f t="shared" si="14"/>
        <v>1310204301</v>
      </c>
      <c r="B488" s="117" t="s">
        <v>125</v>
      </c>
      <c r="C488" s="117" t="s">
        <v>151</v>
      </c>
      <c r="D488" s="117" t="str">
        <f>"Monster.Name."&amp;VLOOKUP($C488,'#Data'!$B$2:$J$344,2,FALSE)</f>
        <v>Monster.Name.nullaxe_1</v>
      </c>
      <c r="E488" s="117" t="s">
        <v>43</v>
      </c>
      <c r="F488" s="118" t="s">
        <v>44</v>
      </c>
      <c r="G488" s="117" t="s">
        <v>45</v>
      </c>
      <c r="H488" s="117" t="b">
        <f>IF(OR(VLOOKUP($C488,'#Data'!$B$2:$J$344,4,FALSE)="보스",VLOOKUP($C488,'#Data'!$B$2:$J$344,4,FALSE)="중간"),TRUE,FALSE)</f>
        <v>1</v>
      </c>
      <c r="I488" s="117" t="b">
        <v>1</v>
      </c>
      <c r="J488" s="117">
        <v>20</v>
      </c>
      <c r="K488" s="117">
        <f t="shared" si="15"/>
        <v>10</v>
      </c>
      <c r="L488" s="119" t="str">
        <f>$B488&amp;"."&amp;VLOOKUP($C488,'#Data'!$B$2:$J$344,2,FALSE)&amp;".attack0"&amp;RIGHT(L$1,1)</f>
        <v>Sector04.nullaxe_1.attack01</v>
      </c>
      <c r="M488" s="119" t="str">
        <f>$B488&amp;"."&amp;VLOOKUP($C488,'#Data'!$B$2:$J$344,2,FALSE)&amp;".attack0"&amp;RIGHT(M$1,1)</f>
        <v>Sector04.nullaxe_1.attack02</v>
      </c>
      <c r="N488" s="119"/>
      <c r="O488" s="142" t="str">
        <f>$B488&amp;"."&amp;VLOOKUP($C488,'#Data'!$B$2:$J$344,2,FALSE)&amp;".skill0"&amp;RIGHT(O$1,1)</f>
        <v>Sector04.nullaxe_1.skill01</v>
      </c>
      <c r="P488" s="142" t="str">
        <f>$B488&amp;"."&amp;VLOOKUP($C488,'#Data'!$B$2:$J$344,2,FALSE)&amp;".skill0"&amp;RIGHT(P$1,1)</f>
        <v>Sector04.nullaxe_1.skill02</v>
      </c>
      <c r="Q488" s="142" t="str">
        <f>$B488&amp;"."&amp;VLOOKUP($C488,'#Data'!$B$2:$J$344,2,FALSE)&amp;".skill0"&amp;RIGHT(Q$1,1)</f>
        <v>Sector04.nullaxe_1.skill03</v>
      </c>
      <c r="R488" s="120" t="s">
        <v>152</v>
      </c>
      <c r="S488" s="120" t="s">
        <v>76</v>
      </c>
      <c r="T488" s="120"/>
      <c r="U488" s="120"/>
      <c r="V488" s="117" t="b">
        <v>0</v>
      </c>
      <c r="W488" s="117" t="str">
        <f>"Character/Prefabs/"&amp;VLOOKUP($C488,'#Data'!$B$3:$I$344,8,FALSE)</f>
        <v>Character/Prefabs/m_boss_attacker_nullaxe_1</v>
      </c>
      <c r="X488" s="117"/>
      <c r="Y488" s="117" t="str">
        <f>VLOOKUP($C488,'#Data'!$B$3:$I$344,8,FALSE)</f>
        <v>m_boss_attacker_nullaxe_1</v>
      </c>
      <c r="Z488" s="117"/>
      <c r="AA488" s="117"/>
      <c r="AB488" s="117"/>
      <c r="AC488" s="121">
        <v>1.6</v>
      </c>
      <c r="AD488" s="117"/>
      <c r="AE488" s="117" t="s">
        <v>1449</v>
      </c>
      <c r="AF488" s="117" t="s">
        <v>153</v>
      </c>
      <c r="AG488" s="117" t="s">
        <v>2105</v>
      </c>
      <c r="AH488" s="85"/>
    </row>
    <row r="489" spans="1:36" x14ac:dyDescent="0.3">
      <c r="A489" s="117">
        <f t="shared" si="14"/>
        <v>1310204302</v>
      </c>
      <c r="B489" s="117" t="s">
        <v>125</v>
      </c>
      <c r="C489" s="117" t="s">
        <v>154</v>
      </c>
      <c r="D489" s="117" t="str">
        <f>"Monster.Name."&amp;VLOOKUP($C489,'#Data'!$B$2:$J$344,2,FALSE)</f>
        <v>Monster.Name.nullaxe_2</v>
      </c>
      <c r="E489" s="117" t="s">
        <v>43</v>
      </c>
      <c r="F489" s="118" t="s">
        <v>44</v>
      </c>
      <c r="G489" s="117" t="s">
        <v>45</v>
      </c>
      <c r="H489" s="117" t="b">
        <f>IF(OR(VLOOKUP($C489,'#Data'!$B$2:$J$344,4,FALSE)="보스",VLOOKUP($C489,'#Data'!$B$2:$J$344,4,FALSE)="중간"),TRUE,FALSE)</f>
        <v>1</v>
      </c>
      <c r="I489" s="117" t="b">
        <v>1</v>
      </c>
      <c r="J489" s="117">
        <v>20</v>
      </c>
      <c r="K489" s="117">
        <f t="shared" si="15"/>
        <v>10</v>
      </c>
      <c r="L489" s="119" t="str">
        <f>$B489&amp;"."&amp;VLOOKUP($C489,'#Data'!$B$2:$J$344,2,FALSE)&amp;".attack0"&amp;RIGHT(L$1,1)</f>
        <v>Sector04.nullaxe_2.attack01</v>
      </c>
      <c r="M489" s="119" t="str">
        <f>$B489&amp;"."&amp;VLOOKUP($C489,'#Data'!$B$2:$J$344,2,FALSE)&amp;".attack0"&amp;RIGHT(M$1,1)</f>
        <v>Sector04.nullaxe_2.attack02</v>
      </c>
      <c r="N489" s="119"/>
      <c r="O489" s="142" t="str">
        <f>$B489&amp;"."&amp;VLOOKUP($C489,'#Data'!$B$2:$J$344,2,FALSE)&amp;".skill0"&amp;RIGHT(O$1,1)</f>
        <v>Sector04.nullaxe_2.skill01</v>
      </c>
      <c r="P489" s="142" t="str">
        <f>$B489&amp;"."&amp;VLOOKUP($C489,'#Data'!$B$2:$J$344,2,FALSE)&amp;".skill0"&amp;RIGHT(P$1,1)</f>
        <v>Sector04.nullaxe_2.skill02</v>
      </c>
      <c r="Q489" s="142" t="str">
        <f>$B489&amp;"."&amp;VLOOKUP($C489,'#Data'!$B$2:$J$344,2,FALSE)&amp;".skill0"&amp;RIGHT(Q$1,1)</f>
        <v>Sector04.nullaxe_2.skill03</v>
      </c>
      <c r="R489" s="120" t="s">
        <v>155</v>
      </c>
      <c r="S489" s="120" t="s">
        <v>2073</v>
      </c>
      <c r="T489" s="120"/>
      <c r="U489" s="120"/>
      <c r="V489" s="117" t="b">
        <v>0</v>
      </c>
      <c r="W489" s="122" t="str">
        <f>"Character/Prefabs/"&amp;VLOOKUP($C489,'#Data'!$B$3:$I$344,8,FALSE)</f>
        <v>Character/Prefabs/m_boss_attacker_nullaxe_2</v>
      </c>
      <c r="X489" s="117"/>
      <c r="Y489" s="122" t="str">
        <f>VLOOKUP($C489,'#Data'!$B$3:$I$344,8,FALSE)</f>
        <v>m_boss_attacker_nullaxe_2</v>
      </c>
      <c r="Z489" s="117"/>
      <c r="AA489" s="117"/>
      <c r="AB489" s="117"/>
      <c r="AC489" s="121">
        <v>1.6</v>
      </c>
      <c r="AD489" s="117"/>
      <c r="AE489" s="117" t="s">
        <v>1450</v>
      </c>
      <c r="AF489" s="117" t="s">
        <v>1874</v>
      </c>
      <c r="AG489" s="117" t="s">
        <v>2105</v>
      </c>
      <c r="AH489" s="85"/>
    </row>
    <row r="490" spans="1:36" x14ac:dyDescent="0.3">
      <c r="A490" s="37">
        <f t="shared" si="14"/>
        <v>1310205101</v>
      </c>
      <c r="B490" s="37" t="s">
        <v>156</v>
      </c>
      <c r="C490" s="37" t="s">
        <v>157</v>
      </c>
      <c r="D490" s="37" t="str">
        <f>"Monster.Name."&amp;VLOOKUP($C490,'#Data'!$B$2:$J$344,2,FALSE)</f>
        <v>Monster.Name.killer_drone_4</v>
      </c>
      <c r="E490" s="37" t="s">
        <v>43</v>
      </c>
      <c r="F490" s="38" t="s">
        <v>44</v>
      </c>
      <c r="G490" s="37" t="s">
        <v>45</v>
      </c>
      <c r="H490" s="37" t="b">
        <f>IF(OR(VLOOKUP($C490,'#Data'!$B$2:$J$344,4,FALSE)="보스",VLOOKUP($C490,'#Data'!$B$2:$J$344,4,FALSE)="중간"),TRUE,FALSE)</f>
        <v>0</v>
      </c>
      <c r="I490" s="37" t="b">
        <v>0</v>
      </c>
      <c r="J490" s="37">
        <v>10</v>
      </c>
      <c r="K490" s="37">
        <f t="shared" si="15"/>
        <v>10</v>
      </c>
      <c r="L490" s="59" t="str">
        <f>$B490&amp;"."&amp;VLOOKUP($C490,'#Data'!$B$2:$J$344,2,FALSE)&amp;".attack0"&amp;RIGHT(L$1,1)</f>
        <v>Sector05.killer_drone_4.attack01</v>
      </c>
      <c r="M490" s="59"/>
      <c r="N490" s="59"/>
      <c r="O490" s="131" t="s">
        <v>2031</v>
      </c>
      <c r="P490" s="131" t="s">
        <v>1958</v>
      </c>
      <c r="Q490" s="60"/>
      <c r="R490" s="60"/>
      <c r="S490" s="60"/>
      <c r="T490" s="60"/>
      <c r="U490" s="60"/>
      <c r="V490" s="37" t="b">
        <v>0</v>
      </c>
      <c r="W490" s="37" t="str">
        <f>"Character/Prefabs/"&amp;VLOOKUP($C490,'#Data'!$B$3:$I$344,8,FALSE)</f>
        <v>Character/Prefabs/m_s_attacker_killer_drone_4</v>
      </c>
      <c r="X490" s="37"/>
      <c r="Y490" s="37" t="str">
        <f>VLOOKUP($C490,'#Data'!$B$3:$I$344,8,FALSE)</f>
        <v>m_s_attacker_killer_drone_4</v>
      </c>
      <c r="Z490" s="37"/>
      <c r="AA490" s="37"/>
      <c r="AB490" s="37"/>
      <c r="AC490" s="84">
        <v>0.7</v>
      </c>
      <c r="AD490" s="37"/>
      <c r="AE490" s="37"/>
      <c r="AF490" s="37"/>
      <c r="AG490" s="37" t="s">
        <v>2105</v>
      </c>
      <c r="AH490" s="85"/>
    </row>
    <row r="491" spans="1:36" x14ac:dyDescent="0.3">
      <c r="A491" s="37">
        <f t="shared" si="14"/>
        <v>1310205102</v>
      </c>
      <c r="B491" s="37" t="s">
        <v>156</v>
      </c>
      <c r="C491" s="37" t="s">
        <v>158</v>
      </c>
      <c r="D491" s="37" t="str">
        <f>"Monster.Name."&amp;VLOOKUP($C491,'#Data'!$B$2:$J$344,2,FALSE)</f>
        <v>Monster.Name.killer_drone_2</v>
      </c>
      <c r="E491" s="37" t="s">
        <v>43</v>
      </c>
      <c r="F491" s="38" t="s">
        <v>44</v>
      </c>
      <c r="G491" s="37" t="s">
        <v>45</v>
      </c>
      <c r="H491" s="37" t="b">
        <f>IF(OR(VLOOKUP($C491,'#Data'!$B$2:$J$344,4,FALSE)="보스",VLOOKUP($C491,'#Data'!$B$2:$J$344,4,FALSE)="중간"),TRUE,FALSE)</f>
        <v>0</v>
      </c>
      <c r="I491" s="37" t="b">
        <v>0</v>
      </c>
      <c r="J491" s="37">
        <v>10</v>
      </c>
      <c r="K491" s="37">
        <f t="shared" si="15"/>
        <v>10</v>
      </c>
      <c r="L491" s="59" t="str">
        <f>$B491&amp;"."&amp;VLOOKUP($C491,'#Data'!$B$2:$J$344,2,FALSE)&amp;".attack0"&amp;RIGHT(L$1,1)</f>
        <v>Sector05.killer_drone_2.attack01</v>
      </c>
      <c r="M491" s="59"/>
      <c r="N491" s="59"/>
      <c r="O491" s="131" t="s">
        <v>2032</v>
      </c>
      <c r="P491" s="131" t="s">
        <v>1958</v>
      </c>
      <c r="Q491" s="60"/>
      <c r="R491" s="60"/>
      <c r="S491" s="60"/>
      <c r="T491" s="60"/>
      <c r="U491" s="60"/>
      <c r="V491" s="37" t="b">
        <v>0</v>
      </c>
      <c r="W491" s="37" t="str">
        <f>"Character/Prefabs/"&amp;VLOOKUP($C491,'#Data'!$B$3:$I$344,8,FALSE)</f>
        <v>Character/Prefabs/m_s_attacker_killer_drone_2</v>
      </c>
      <c r="X491" s="37"/>
      <c r="Y491" s="37" t="str">
        <f>VLOOKUP($C491,'#Data'!$B$3:$I$344,8,FALSE)</f>
        <v>m_s_attacker_killer_drone_2</v>
      </c>
      <c r="Z491" s="37"/>
      <c r="AA491" s="37"/>
      <c r="AB491" s="37"/>
      <c r="AC491" s="84">
        <v>0.7</v>
      </c>
      <c r="AD491" s="37"/>
      <c r="AE491" s="37"/>
      <c r="AF491" s="37"/>
      <c r="AG491" s="37" t="s">
        <v>2105</v>
      </c>
      <c r="AH491" s="85"/>
    </row>
    <row r="492" spans="1:36" x14ac:dyDescent="0.3">
      <c r="A492" s="37">
        <f t="shared" si="14"/>
        <v>1310205103</v>
      </c>
      <c r="B492" s="37" t="s">
        <v>156</v>
      </c>
      <c r="C492" s="37" t="s">
        <v>159</v>
      </c>
      <c r="D492" s="37" t="str">
        <f>"Monster.Name."&amp;VLOOKUP($C492,'#Data'!$B$2:$J$344,2,FALSE)</f>
        <v>Monster.Name.terminate_drone_3</v>
      </c>
      <c r="E492" s="37" t="s">
        <v>43</v>
      </c>
      <c r="F492" s="38" t="s">
        <v>44</v>
      </c>
      <c r="G492" s="37" t="s">
        <v>45</v>
      </c>
      <c r="H492" s="37" t="b">
        <f>IF(OR(VLOOKUP($C492,'#Data'!$B$2:$J$344,4,FALSE)="보스",VLOOKUP($C492,'#Data'!$B$2:$J$344,4,FALSE)="중간"),TRUE,FALSE)</f>
        <v>0</v>
      </c>
      <c r="I492" s="37" t="b">
        <v>0</v>
      </c>
      <c r="J492" s="37">
        <v>10</v>
      </c>
      <c r="K492" s="37">
        <f t="shared" si="15"/>
        <v>10</v>
      </c>
      <c r="L492" s="59" t="str">
        <f>$B492&amp;"."&amp;VLOOKUP($C492,'#Data'!$B$2:$J$344,2,FALSE)&amp;".attack0"&amp;RIGHT(L$1,1)</f>
        <v>Sector05.terminate_drone_3.attack01</v>
      </c>
      <c r="M492" s="59"/>
      <c r="N492" s="59"/>
      <c r="O492" s="131" t="s">
        <v>2033</v>
      </c>
      <c r="P492" s="131" t="s">
        <v>1958</v>
      </c>
      <c r="Q492" s="60"/>
      <c r="R492" s="60"/>
      <c r="S492" s="60"/>
      <c r="T492" s="60"/>
      <c r="U492" s="60"/>
      <c r="V492" s="37" t="b">
        <v>0</v>
      </c>
      <c r="W492" s="37" t="str">
        <f>"Character/Prefabs/"&amp;VLOOKUP($C492,'#Data'!$B$3:$I$344,8,FALSE)</f>
        <v>Character/Prefabs/m_s_attacker_terminate_drone_3</v>
      </c>
      <c r="X492" s="37"/>
      <c r="Y492" s="37" t="str">
        <f>VLOOKUP($C492,'#Data'!$B$3:$I$344,8,FALSE)</f>
        <v>m_s_attacker_terminate_drone_3</v>
      </c>
      <c r="Z492" s="37"/>
      <c r="AA492" s="37"/>
      <c r="AB492" s="37"/>
      <c r="AC492" s="84">
        <v>0.7</v>
      </c>
      <c r="AD492" s="37"/>
      <c r="AE492" s="37"/>
      <c r="AF492" s="37"/>
      <c r="AG492" s="37" t="s">
        <v>2105</v>
      </c>
      <c r="AH492" s="85"/>
    </row>
    <row r="493" spans="1:36" x14ac:dyDescent="0.3">
      <c r="A493" s="37">
        <f t="shared" si="14"/>
        <v>1310205104</v>
      </c>
      <c r="B493" s="37" t="s">
        <v>156</v>
      </c>
      <c r="C493" s="37" t="s">
        <v>160</v>
      </c>
      <c r="D493" s="37" t="str">
        <f>"Monster.Name."&amp;VLOOKUP($C493,'#Data'!$B$2:$J$344,2,FALSE)</f>
        <v>Monster.Name.clock_thunderdog_1</v>
      </c>
      <c r="E493" s="37" t="s">
        <v>43</v>
      </c>
      <c r="F493" s="38" t="s">
        <v>44</v>
      </c>
      <c r="G493" s="37" t="s">
        <v>45</v>
      </c>
      <c r="H493" s="37" t="b">
        <f>IF(OR(VLOOKUP($C493,'#Data'!$B$2:$J$344,4,FALSE)="보스",VLOOKUP($C493,'#Data'!$B$2:$J$344,4,FALSE)="중간"),TRUE,FALSE)</f>
        <v>0</v>
      </c>
      <c r="I493" s="37" t="b">
        <v>0</v>
      </c>
      <c r="J493" s="37">
        <v>10</v>
      </c>
      <c r="K493" s="37">
        <f t="shared" si="15"/>
        <v>10</v>
      </c>
      <c r="L493" s="59" t="str">
        <f>$B493&amp;"."&amp;VLOOKUP($C493,'#Data'!$B$2:$J$344,2,FALSE)&amp;".attack0"&amp;RIGHT(L$1,1)</f>
        <v>Sector05.clock_thunderdog_1.attack01</v>
      </c>
      <c r="M493" s="59"/>
      <c r="N493" s="59"/>
      <c r="O493" s="131" t="s">
        <v>2034</v>
      </c>
      <c r="P493" s="131" t="s">
        <v>1958</v>
      </c>
      <c r="Q493" s="60"/>
      <c r="R493" s="60"/>
      <c r="S493" s="60"/>
      <c r="T493" s="60"/>
      <c r="U493" s="60"/>
      <c r="V493" s="37" t="b">
        <v>0</v>
      </c>
      <c r="W493" s="37" t="str">
        <f>"Character/Prefabs/"&amp;VLOOKUP($C493,'#Data'!$B$3:$I$344,8,FALSE)</f>
        <v>Character/Prefabs/m_s_attacker_clock_thunderdog_1</v>
      </c>
      <c r="X493" s="37"/>
      <c r="Y493" s="37" t="str">
        <f>VLOOKUP($C493,'#Data'!$B$3:$I$344,8,FALSE)</f>
        <v>m_s_attacker_clock_thunderdog_1</v>
      </c>
      <c r="Z493" s="37"/>
      <c r="AA493" s="37"/>
      <c r="AB493" s="37"/>
      <c r="AC493" s="84">
        <v>0.9</v>
      </c>
      <c r="AD493" s="37"/>
      <c r="AE493" s="37"/>
      <c r="AF493" s="37"/>
      <c r="AG493" s="37" t="s">
        <v>2105</v>
      </c>
      <c r="AH493" s="85"/>
    </row>
    <row r="494" spans="1:36" x14ac:dyDescent="0.3">
      <c r="A494" s="37">
        <f t="shared" si="14"/>
        <v>1310205105</v>
      </c>
      <c r="B494" s="37" t="s">
        <v>156</v>
      </c>
      <c r="C494" s="37" t="s">
        <v>161</v>
      </c>
      <c r="D494" s="37" t="str">
        <f>"Monster.Name."&amp;VLOOKUP($C494,'#Data'!$B$2:$J$344,2,FALSE)</f>
        <v>Monster.Name.labtrooper_rifle_1</v>
      </c>
      <c r="E494" s="37" t="s">
        <v>47</v>
      </c>
      <c r="F494" s="38" t="s">
        <v>44</v>
      </c>
      <c r="G494" s="37" t="s">
        <v>45</v>
      </c>
      <c r="H494" s="37" t="b">
        <f>IF(OR(VLOOKUP($C494,'#Data'!$B$2:$J$344,4,FALSE)="보스",VLOOKUP($C494,'#Data'!$B$2:$J$344,4,FALSE)="중간"),TRUE,FALSE)</f>
        <v>0</v>
      </c>
      <c r="I494" s="37" t="b">
        <v>0</v>
      </c>
      <c r="J494" s="37">
        <v>10</v>
      </c>
      <c r="K494" s="37">
        <f t="shared" si="15"/>
        <v>10</v>
      </c>
      <c r="L494" s="59" t="str">
        <f>$B494&amp;"."&amp;VLOOKUP($C494,'#Data'!$B$2:$J$344,2,FALSE)&amp;".attack0"&amp;RIGHT(L$1,1)</f>
        <v>Sector05.labtrooper_rifle_1.attack01</v>
      </c>
      <c r="M494" s="59"/>
      <c r="N494" s="59"/>
      <c r="O494" s="131" t="str">
        <f>$B494&amp;"."&amp;VLOOKUP($C494,'#Data'!$B$2:$J$344,2,FALSE)&amp;".skill0"&amp;RIGHT(O$1,1)</f>
        <v>Sector05.labtrooper_rifle_1.skill01</v>
      </c>
      <c r="P494" s="131" t="s">
        <v>2035</v>
      </c>
      <c r="Q494" s="131" t="s">
        <v>1958</v>
      </c>
      <c r="R494" s="60"/>
      <c r="S494" s="60"/>
      <c r="T494" s="60"/>
      <c r="U494" s="60"/>
      <c r="V494" s="37" t="b">
        <v>0</v>
      </c>
      <c r="W494" s="37" t="str">
        <f>"Character/Prefabs/"&amp;VLOOKUP($C494,'#Data'!$B$3:$I$344,8,FALSE)</f>
        <v>Character/Prefabs/m_m_ranger_labtrooper_rifle_1</v>
      </c>
      <c r="X494" s="37"/>
      <c r="Y494" s="37" t="str">
        <f>VLOOKUP($C494,'#Data'!$B$3:$I$344,8,FALSE)</f>
        <v>m_m_ranger_labtrooper_rifle_1</v>
      </c>
      <c r="Z494" s="37"/>
      <c r="AA494" s="37"/>
      <c r="AB494" s="37"/>
      <c r="AC494" s="84">
        <v>0.6</v>
      </c>
      <c r="AD494" s="37"/>
      <c r="AE494" s="37"/>
      <c r="AF494" s="37"/>
      <c r="AG494" s="37" t="s">
        <v>2105</v>
      </c>
      <c r="AH494" s="85"/>
    </row>
    <row r="495" spans="1:36" x14ac:dyDescent="0.3">
      <c r="A495" s="37">
        <f t="shared" si="14"/>
        <v>1310205106</v>
      </c>
      <c r="B495" s="37" t="s">
        <v>156</v>
      </c>
      <c r="C495" s="37" t="s">
        <v>162</v>
      </c>
      <c r="D495" s="37" t="str">
        <f>"Monster.Name."&amp;VLOOKUP($C495,'#Data'!$B$2:$J$344,2,FALSE)</f>
        <v>Monster.Name.labtrooper_shield_1</v>
      </c>
      <c r="E495" s="37" t="s">
        <v>58</v>
      </c>
      <c r="F495" s="38" t="s">
        <v>44</v>
      </c>
      <c r="G495" s="37" t="s">
        <v>45</v>
      </c>
      <c r="H495" s="37" t="b">
        <f>IF(OR(VLOOKUP($C495,'#Data'!$B$2:$J$344,4,FALSE)="보스",VLOOKUP($C495,'#Data'!$B$2:$J$344,4,FALSE)="중간"),TRUE,FALSE)</f>
        <v>0</v>
      </c>
      <c r="I495" s="37" t="b">
        <v>0</v>
      </c>
      <c r="J495" s="37">
        <v>10</v>
      </c>
      <c r="K495" s="37">
        <f t="shared" si="15"/>
        <v>10</v>
      </c>
      <c r="L495" s="59" t="str">
        <f>$B495&amp;"."&amp;VLOOKUP($C495,'#Data'!$B$2:$J$344,2,FALSE)&amp;".attack0"&amp;RIGHT(L$1,1)</f>
        <v>Sector05.labtrooper_shield_1.attack01</v>
      </c>
      <c r="M495" s="59"/>
      <c r="N495" s="59"/>
      <c r="O495" s="131" t="str">
        <f>$B495&amp;"."&amp;VLOOKUP($C495,'#Data'!$B$2:$J$344,2,FALSE)&amp;".skill0"&amp;RIGHT(O$1,1)</f>
        <v>Sector05.labtrooper_shield_1.skill01</v>
      </c>
      <c r="P495" s="131" t="s">
        <v>2036</v>
      </c>
      <c r="Q495" s="131" t="s">
        <v>1958</v>
      </c>
      <c r="R495" s="60"/>
      <c r="S495" s="60"/>
      <c r="T495" s="60"/>
      <c r="U495" s="60"/>
      <c r="V495" s="37" t="b">
        <v>0</v>
      </c>
      <c r="W495" s="37" t="str">
        <f>"Character/Prefabs/"&amp;VLOOKUP($C495,'#Data'!$B$3:$I$344,8,FALSE)</f>
        <v>Character/Prefabs/m_m_tanker_labtrooper_shield_1</v>
      </c>
      <c r="X495" s="37"/>
      <c r="Y495" s="37" t="str">
        <f>VLOOKUP($C495,'#Data'!$B$3:$I$344,8,FALSE)</f>
        <v>m_m_tanker_labtrooper_shield_1</v>
      </c>
      <c r="Z495" s="37"/>
      <c r="AA495" s="37"/>
      <c r="AB495" s="37"/>
      <c r="AC495" s="84">
        <v>0.6</v>
      </c>
      <c r="AD495" s="37"/>
      <c r="AE495" s="37"/>
      <c r="AF495" s="37"/>
      <c r="AG495" s="37" t="s">
        <v>2105</v>
      </c>
      <c r="AH495" s="85"/>
    </row>
    <row r="496" spans="1:36" x14ac:dyDescent="0.3">
      <c r="A496" s="37">
        <f t="shared" si="14"/>
        <v>1310205107</v>
      </c>
      <c r="B496" s="37" t="s">
        <v>156</v>
      </c>
      <c r="C496" s="37" t="s">
        <v>163</v>
      </c>
      <c r="D496" s="37" t="str">
        <f>"Monster.Name."&amp;VLOOKUP($C496,'#Data'!$B$2:$J$344,2,FALSE)</f>
        <v>Monster.Name.labtrooper_flame_1</v>
      </c>
      <c r="E496" s="37" t="s">
        <v>43</v>
      </c>
      <c r="F496" s="38" t="s">
        <v>44</v>
      </c>
      <c r="G496" s="37" t="s">
        <v>45</v>
      </c>
      <c r="H496" s="37" t="b">
        <f>IF(OR(VLOOKUP($C496,'#Data'!$B$2:$J$344,4,FALSE)="보스",VLOOKUP($C496,'#Data'!$B$2:$J$344,4,FALSE)="중간"),TRUE,FALSE)</f>
        <v>0</v>
      </c>
      <c r="I496" s="37" t="b">
        <v>0</v>
      </c>
      <c r="J496" s="37">
        <v>10</v>
      </c>
      <c r="K496" s="37">
        <f t="shared" si="15"/>
        <v>10</v>
      </c>
      <c r="L496" s="59" t="str">
        <f>$B496&amp;"."&amp;VLOOKUP($C496,'#Data'!$B$2:$J$344,2,FALSE)&amp;".attack0"&amp;RIGHT(L$1,1)</f>
        <v>Sector05.labtrooper_flame_1.attack01</v>
      </c>
      <c r="M496" s="59"/>
      <c r="N496" s="59"/>
      <c r="O496" s="131" t="str">
        <f>$B496&amp;"."&amp;VLOOKUP($C496,'#Data'!$B$2:$J$344,2,FALSE)&amp;".skill0"&amp;RIGHT(O$1,1)</f>
        <v>Sector05.labtrooper_flame_1.skill01</v>
      </c>
      <c r="P496" s="131" t="s">
        <v>2037</v>
      </c>
      <c r="Q496" s="131" t="s">
        <v>1958</v>
      </c>
      <c r="R496" s="60"/>
      <c r="S496" s="60"/>
      <c r="T496" s="60"/>
      <c r="U496" s="60"/>
      <c r="V496" s="37" t="b">
        <v>0</v>
      </c>
      <c r="W496" s="37" t="str">
        <f>"Character/Prefabs/"&amp;VLOOKUP($C496,'#Data'!$B$3:$I$344,8,FALSE)</f>
        <v>Character/Prefabs/m_m_attacker_labtrooper_flame_1</v>
      </c>
      <c r="X496" s="37"/>
      <c r="Y496" s="37" t="str">
        <f>VLOOKUP($C496,'#Data'!$B$3:$I$344,8,FALSE)</f>
        <v>m_m_attacker_labtrooper_flame_1</v>
      </c>
      <c r="Z496" s="37"/>
      <c r="AA496" s="37"/>
      <c r="AB496" s="37"/>
      <c r="AC496" s="84">
        <v>0.6</v>
      </c>
      <c r="AD496" s="37"/>
      <c r="AE496" s="37"/>
      <c r="AF496" s="37"/>
      <c r="AG496" s="37" t="s">
        <v>2105</v>
      </c>
      <c r="AH496" s="85"/>
    </row>
    <row r="497" spans="1:34" x14ac:dyDescent="0.3">
      <c r="A497" s="37">
        <f t="shared" si="14"/>
        <v>1310205108</v>
      </c>
      <c r="B497" s="37" t="s">
        <v>156</v>
      </c>
      <c r="C497" s="37" t="s">
        <v>164</v>
      </c>
      <c r="D497" s="37" t="str">
        <f>"Monster.Name."&amp;VLOOKUP($C497,'#Data'!$B$2:$J$344,2,FALSE)</f>
        <v>Monster.Name.labtrooper_launcher_1</v>
      </c>
      <c r="E497" s="37" t="s">
        <v>47</v>
      </c>
      <c r="F497" s="38" t="s">
        <v>44</v>
      </c>
      <c r="G497" s="37" t="s">
        <v>45</v>
      </c>
      <c r="H497" s="37" t="b">
        <f>IF(OR(VLOOKUP($C497,'#Data'!$B$2:$J$344,4,FALSE)="보스",VLOOKUP($C497,'#Data'!$B$2:$J$344,4,FALSE)="중간"),TRUE,FALSE)</f>
        <v>0</v>
      </c>
      <c r="I497" s="37" t="b">
        <v>0</v>
      </c>
      <c r="J497" s="37">
        <v>10</v>
      </c>
      <c r="K497" s="37">
        <f t="shared" si="15"/>
        <v>10</v>
      </c>
      <c r="L497" s="59" t="str">
        <f>$B497&amp;"."&amp;VLOOKUP($C497,'#Data'!$B$2:$J$344,2,FALSE)&amp;".attack0"&amp;RIGHT(L$1,1)</f>
        <v>Sector05.labtrooper_launcher_1.attack01</v>
      </c>
      <c r="M497" s="59"/>
      <c r="N497" s="59"/>
      <c r="O497" s="131" t="str">
        <f>$B497&amp;"."&amp;VLOOKUP($C497,'#Data'!$B$2:$J$344,2,FALSE)&amp;".skill0"&amp;RIGHT(O$1,1)</f>
        <v>Sector05.labtrooper_launcher_1.skill01</v>
      </c>
      <c r="P497" s="131" t="s">
        <v>2038</v>
      </c>
      <c r="Q497" s="131" t="s">
        <v>1958</v>
      </c>
      <c r="R497" s="60"/>
      <c r="S497" s="60"/>
      <c r="T497" s="60"/>
      <c r="U497" s="60"/>
      <c r="V497" s="37" t="b">
        <v>0</v>
      </c>
      <c r="W497" s="37" t="str">
        <f>"Character/Prefabs/"&amp;VLOOKUP($C497,'#Data'!$B$3:$I$344,8,FALSE)</f>
        <v>Character/Prefabs/m_m_ranger_labtrooper_launcher_1</v>
      </c>
      <c r="X497" s="37"/>
      <c r="Y497" s="37" t="str">
        <f>VLOOKUP($C497,'#Data'!$B$3:$I$344,8,FALSE)</f>
        <v>m_m_ranger_labtrooper_launcher_1</v>
      </c>
      <c r="Z497" s="37"/>
      <c r="AA497" s="37"/>
      <c r="AB497" s="37"/>
      <c r="AC497" s="84">
        <v>0.6</v>
      </c>
      <c r="AD497" s="37"/>
      <c r="AE497" s="37"/>
      <c r="AF497" s="37"/>
      <c r="AG497" s="37" t="s">
        <v>2105</v>
      </c>
      <c r="AH497" s="85"/>
    </row>
    <row r="498" spans="1:34" x14ac:dyDescent="0.3">
      <c r="A498" s="37">
        <f t="shared" si="14"/>
        <v>1310205109</v>
      </c>
      <c r="B498" s="37" t="s">
        <v>156</v>
      </c>
      <c r="C498" s="37" t="s">
        <v>165</v>
      </c>
      <c r="D498" s="37" t="str">
        <f>"Monster.Name."&amp;VLOOKUP($C498,'#Data'!$B$2:$J$344,2,FALSE)</f>
        <v>Monster.Name.silhouette_flyer_3</v>
      </c>
      <c r="E498" s="37" t="s">
        <v>143</v>
      </c>
      <c r="F498" s="38" t="s">
        <v>44</v>
      </c>
      <c r="G498" s="37" t="s">
        <v>45</v>
      </c>
      <c r="H498" s="37" t="b">
        <f>IF(OR(VLOOKUP($C498,'#Data'!$B$2:$J$344,4,FALSE)="보스",VLOOKUP($C498,'#Data'!$B$2:$J$344,4,FALSE)="중간"),TRUE,FALSE)</f>
        <v>0</v>
      </c>
      <c r="I498" s="37" t="b">
        <v>0</v>
      </c>
      <c r="J498" s="37">
        <v>10</v>
      </c>
      <c r="K498" s="37">
        <f t="shared" si="15"/>
        <v>10</v>
      </c>
      <c r="L498" s="59" t="str">
        <f>$B498&amp;"."&amp;VLOOKUP($C498,'#Data'!$B$2:$J$344,2,FALSE)&amp;".attack0"&amp;RIGHT(L$1,1)</f>
        <v>Sector05.silhouette_flyer_3.attack01</v>
      </c>
      <c r="M498" s="59"/>
      <c r="N498" s="59"/>
      <c r="O498" s="131" t="str">
        <f>$B498&amp;"."&amp;VLOOKUP($C498,'#Data'!$B$2:$J$344,2,FALSE)&amp;".skill0"&amp;RIGHT(O$1,1)</f>
        <v>Sector05.silhouette_flyer_3.skill01</v>
      </c>
      <c r="P498" s="131" t="s">
        <v>2039</v>
      </c>
      <c r="Q498" s="131" t="s">
        <v>1958</v>
      </c>
      <c r="R498" s="60"/>
      <c r="S498" s="60"/>
      <c r="T498" s="60"/>
      <c r="U498" s="60"/>
      <c r="V498" s="37" t="b">
        <v>0</v>
      </c>
      <c r="W498" s="37" t="str">
        <f>"Character/Prefabs/"&amp;VLOOKUP($C498,'#Data'!$B$3:$I$344,8,FALSE)</f>
        <v>Character/Prefabs/m_m_supporter_silhouette_flyer_3</v>
      </c>
      <c r="X498" s="37"/>
      <c r="Y498" s="37" t="str">
        <f>VLOOKUP($C498,'#Data'!$B$3:$I$344,8,FALSE)</f>
        <v>m_m_supporter_silhouette_flyer_3</v>
      </c>
      <c r="Z498" s="37"/>
      <c r="AA498" s="37"/>
      <c r="AB498" s="37"/>
      <c r="AC498" s="84">
        <v>0.8</v>
      </c>
      <c r="AD498" s="37"/>
      <c r="AE498" s="37"/>
      <c r="AF498" s="37"/>
      <c r="AG498" s="37" t="s">
        <v>2105</v>
      </c>
      <c r="AH498" s="85"/>
    </row>
    <row r="499" spans="1:34" x14ac:dyDescent="0.3">
      <c r="A499" s="37">
        <f t="shared" si="14"/>
        <v>1310205110</v>
      </c>
      <c r="B499" s="37" t="s">
        <v>156</v>
      </c>
      <c r="C499" s="37" t="s">
        <v>166</v>
      </c>
      <c r="D499" s="37" t="str">
        <f>"Monster.Name."&amp;VLOOKUP($C499,'#Data'!$B$2:$J$344,2,FALSE)</f>
        <v>Monster.Name.harbor_cannon_1</v>
      </c>
      <c r="E499" s="37" t="s">
        <v>47</v>
      </c>
      <c r="F499" s="38" t="s">
        <v>44</v>
      </c>
      <c r="G499" s="37" t="s">
        <v>45</v>
      </c>
      <c r="H499" s="37" t="b">
        <f>IF(OR(VLOOKUP($C499,'#Data'!$B$2:$J$344,4,FALSE)="보스",VLOOKUP($C499,'#Data'!$B$2:$J$344,4,FALSE)="중간"),TRUE,FALSE)</f>
        <v>0</v>
      </c>
      <c r="I499" s="37" t="b">
        <v>0</v>
      </c>
      <c r="J499" s="37">
        <v>10</v>
      </c>
      <c r="K499" s="37">
        <f t="shared" si="15"/>
        <v>20</v>
      </c>
      <c r="L499" s="59" t="str">
        <f>$B499&amp;"."&amp;VLOOKUP($C499,'#Data'!$B$2:$J$344,2,FALSE)&amp;".attack0"&amp;RIGHT(L$1,1)</f>
        <v>Sector05.harbor_cannon_1.attack01</v>
      </c>
      <c r="M499" s="59"/>
      <c r="N499" s="59"/>
      <c r="O499" s="131" t="str">
        <f>$B499&amp;"."&amp;VLOOKUP($C499,'#Data'!$B$2:$J$344,2,FALSE)&amp;".skill0"&amp;RIGHT(O$1,1)</f>
        <v>Sector05.harbor_cannon_1.skill01</v>
      </c>
      <c r="P499" s="131" t="s">
        <v>2040</v>
      </c>
      <c r="Q499" s="131" t="s">
        <v>1958</v>
      </c>
      <c r="R499" s="60"/>
      <c r="S499" s="60"/>
      <c r="T499" s="60"/>
      <c r="U499" s="60"/>
      <c r="V499" s="37" t="b">
        <v>0</v>
      </c>
      <c r="W499" s="37" t="str">
        <f>"Character/Prefabs/"&amp;VLOOKUP($C499,'#Data'!$B$3:$I$344,8,FALSE)</f>
        <v>Character/Prefabs/m_m_ranger_harbor_cannon_1</v>
      </c>
      <c r="X499" s="37"/>
      <c r="Y499" s="37" t="str">
        <f>VLOOKUP($C499,'#Data'!$B$3:$I$344,8,FALSE)</f>
        <v>m_m_ranger_harbor_cannon_1</v>
      </c>
      <c r="Z499" s="37"/>
      <c r="AA499" s="37"/>
      <c r="AB499" s="37"/>
      <c r="AC499" s="84">
        <v>0.7</v>
      </c>
      <c r="AD499" s="37"/>
      <c r="AE499" s="37"/>
      <c r="AF499" s="37"/>
      <c r="AG499" s="37" t="s">
        <v>2105</v>
      </c>
      <c r="AH499" s="85"/>
    </row>
    <row r="500" spans="1:34" x14ac:dyDescent="0.3">
      <c r="A500" s="51">
        <f t="shared" si="14"/>
        <v>1310205111</v>
      </c>
      <c r="B500" s="51" t="s">
        <v>156</v>
      </c>
      <c r="C500" s="51" t="s">
        <v>1280</v>
      </c>
      <c r="D500" s="51" t="str">
        <f>"Monster.Name."&amp;VLOOKUP($C500,'#Data'!$B$2:$J$344,2,FALSE)</f>
        <v>Monster.Name.killer_drone_6</v>
      </c>
      <c r="E500" s="51" t="s">
        <v>43</v>
      </c>
      <c r="F500" s="52" t="s">
        <v>44</v>
      </c>
      <c r="G500" s="51" t="s">
        <v>45</v>
      </c>
      <c r="H500" s="51" t="b">
        <f>IF(OR(VLOOKUP($C500,'#Data'!$B$2:$J$344,4,FALSE)="보스",VLOOKUP($C500,'#Data'!$B$2:$J$344,4,FALSE)="중간"),TRUE,FALSE)</f>
        <v>0</v>
      </c>
      <c r="I500" s="51" t="b">
        <v>0</v>
      </c>
      <c r="J500" s="51">
        <v>10</v>
      </c>
      <c r="K500" s="51">
        <f t="shared" si="15"/>
        <v>10</v>
      </c>
      <c r="L500" s="61" t="s">
        <v>1362</v>
      </c>
      <c r="M500" s="61"/>
      <c r="N500" s="61"/>
      <c r="O500" s="131" t="s">
        <v>2031</v>
      </c>
      <c r="P500" s="132" t="s">
        <v>1958</v>
      </c>
      <c r="Q500" s="132"/>
      <c r="R500" s="62"/>
      <c r="S500" s="62"/>
      <c r="T500" s="62"/>
      <c r="U500" s="62"/>
      <c r="V500" s="51" t="b">
        <v>0</v>
      </c>
      <c r="W500" s="51" t="str">
        <f>"Character/Prefabs/"&amp;VLOOKUP($C500,'#Data'!$B$3:$I$344,8,FALSE)</f>
        <v>Character/Prefabs/m_s_attacker_killer_drone_6</v>
      </c>
      <c r="X500" s="51"/>
      <c r="Y500" s="103" t="s">
        <v>1402</v>
      </c>
      <c r="Z500" s="51"/>
      <c r="AA500" s="51"/>
      <c r="AB500" s="51"/>
      <c r="AC500" s="86">
        <v>0.7</v>
      </c>
      <c r="AD500" s="51"/>
      <c r="AE500" s="51"/>
      <c r="AF500" s="51"/>
      <c r="AG500" s="51" t="s">
        <v>2105</v>
      </c>
      <c r="AH500" s="85"/>
    </row>
    <row r="501" spans="1:34" x14ac:dyDescent="0.3">
      <c r="A501" s="51">
        <f t="shared" si="14"/>
        <v>1310205112</v>
      </c>
      <c r="B501" s="51" t="s">
        <v>156</v>
      </c>
      <c r="C501" s="51" t="s">
        <v>1282</v>
      </c>
      <c r="D501" s="51" t="str">
        <f>"Monster.Name."&amp;VLOOKUP($C501,'#Data'!$B$2:$J$344,2,FALSE)</f>
        <v>Monster.Name.killer_drone_5</v>
      </c>
      <c r="E501" s="51" t="s">
        <v>43</v>
      </c>
      <c r="F501" s="52" t="s">
        <v>44</v>
      </c>
      <c r="G501" s="51" t="s">
        <v>45</v>
      </c>
      <c r="H501" s="51" t="b">
        <f>IF(OR(VLOOKUP($C501,'#Data'!$B$2:$J$344,4,FALSE)="보스",VLOOKUP($C501,'#Data'!$B$2:$J$344,4,FALSE)="중간"),TRUE,FALSE)</f>
        <v>0</v>
      </c>
      <c r="I501" s="51" t="b">
        <v>0</v>
      </c>
      <c r="J501" s="51">
        <v>10</v>
      </c>
      <c r="K501" s="51">
        <f t="shared" si="15"/>
        <v>10</v>
      </c>
      <c r="L501" s="61" t="s">
        <v>1363</v>
      </c>
      <c r="M501" s="61"/>
      <c r="N501" s="61"/>
      <c r="O501" s="131" t="s">
        <v>2032</v>
      </c>
      <c r="P501" s="132" t="s">
        <v>1958</v>
      </c>
      <c r="Q501" s="132"/>
      <c r="R501" s="62"/>
      <c r="S501" s="62"/>
      <c r="T501" s="62"/>
      <c r="U501" s="62"/>
      <c r="V501" s="51" t="b">
        <v>0</v>
      </c>
      <c r="W501" s="51" t="str">
        <f>"Character/Prefabs/"&amp;VLOOKUP($C501,'#Data'!$B$3:$I$344,8,FALSE)</f>
        <v>Character/Prefabs/m_s_attacker_killer_drone_5</v>
      </c>
      <c r="X501" s="51"/>
      <c r="Y501" s="104" t="s">
        <v>1403</v>
      </c>
      <c r="Z501" s="51"/>
      <c r="AA501" s="51"/>
      <c r="AB501" s="51"/>
      <c r="AC501" s="86">
        <v>0.7</v>
      </c>
      <c r="AD501" s="51"/>
      <c r="AE501" s="51"/>
      <c r="AF501" s="51"/>
      <c r="AG501" s="51" t="s">
        <v>2105</v>
      </c>
      <c r="AH501" s="85"/>
    </row>
    <row r="502" spans="1:34" x14ac:dyDescent="0.3">
      <c r="A502" s="51">
        <f t="shared" si="14"/>
        <v>1310205113</v>
      </c>
      <c r="B502" s="51" t="s">
        <v>156</v>
      </c>
      <c r="C502" s="51" t="s">
        <v>1284</v>
      </c>
      <c r="D502" s="51" t="str">
        <f>"Monster.Name."&amp;VLOOKUP($C502,'#Data'!$B$2:$J$344,2,FALSE)</f>
        <v>Monster.Name.terminate_drone_4</v>
      </c>
      <c r="E502" s="51" t="s">
        <v>43</v>
      </c>
      <c r="F502" s="52" t="s">
        <v>44</v>
      </c>
      <c r="G502" s="51" t="s">
        <v>45</v>
      </c>
      <c r="H502" s="51" t="b">
        <f>IF(OR(VLOOKUP($C502,'#Data'!$B$2:$J$344,4,FALSE)="보스",VLOOKUP($C502,'#Data'!$B$2:$J$344,4,FALSE)="중간"),TRUE,FALSE)</f>
        <v>0</v>
      </c>
      <c r="I502" s="51" t="b">
        <v>0</v>
      </c>
      <c r="J502" s="51">
        <v>10</v>
      </c>
      <c r="K502" s="51">
        <f t="shared" si="15"/>
        <v>10</v>
      </c>
      <c r="L502" s="61" t="s">
        <v>1364</v>
      </c>
      <c r="M502" s="61"/>
      <c r="N502" s="61"/>
      <c r="O502" s="131" t="s">
        <v>2033</v>
      </c>
      <c r="P502" s="132" t="s">
        <v>1958</v>
      </c>
      <c r="Q502" s="132"/>
      <c r="R502" s="62"/>
      <c r="S502" s="62"/>
      <c r="T502" s="62"/>
      <c r="U502" s="62"/>
      <c r="V502" s="51" t="b">
        <v>0</v>
      </c>
      <c r="W502" s="51" t="str">
        <f>"Character/Prefabs/"&amp;VLOOKUP($C502,'#Data'!$B$3:$I$344,8,FALSE)</f>
        <v>Character/Prefabs/m_s_attacker_terminate_drone_4</v>
      </c>
      <c r="X502" s="51"/>
      <c r="Y502" s="104" t="s">
        <v>1404</v>
      </c>
      <c r="Z502" s="51"/>
      <c r="AA502" s="51"/>
      <c r="AB502" s="51"/>
      <c r="AC502" s="86">
        <v>0.7</v>
      </c>
      <c r="AD502" s="51"/>
      <c r="AE502" s="51"/>
      <c r="AF502" s="51"/>
      <c r="AG502" s="51" t="s">
        <v>2105</v>
      </c>
      <c r="AH502" s="85"/>
    </row>
    <row r="503" spans="1:34" x14ac:dyDescent="0.3">
      <c r="A503" s="51">
        <f t="shared" si="14"/>
        <v>1310205114</v>
      </c>
      <c r="B503" s="51" t="s">
        <v>156</v>
      </c>
      <c r="C503" s="51" t="s">
        <v>1286</v>
      </c>
      <c r="D503" s="51" t="str">
        <f>"Monster.Name."&amp;VLOOKUP($C503,'#Data'!$B$2:$J$344,2,FALSE)</f>
        <v>Monster.Name.clock_thunderdog_2</v>
      </c>
      <c r="E503" s="51" t="s">
        <v>43</v>
      </c>
      <c r="F503" s="52" t="s">
        <v>44</v>
      </c>
      <c r="G503" s="51" t="s">
        <v>45</v>
      </c>
      <c r="H503" s="51" t="b">
        <f>IF(OR(VLOOKUP($C503,'#Data'!$B$2:$J$344,4,FALSE)="보스",VLOOKUP($C503,'#Data'!$B$2:$J$344,4,FALSE)="중간"),TRUE,FALSE)</f>
        <v>0</v>
      </c>
      <c r="I503" s="51" t="b">
        <v>0</v>
      </c>
      <c r="J503" s="51">
        <v>10</v>
      </c>
      <c r="K503" s="51">
        <f t="shared" si="15"/>
        <v>10</v>
      </c>
      <c r="L503" s="61" t="s">
        <v>1365</v>
      </c>
      <c r="M503" s="61"/>
      <c r="N503" s="61"/>
      <c r="O503" s="131" t="s">
        <v>2034</v>
      </c>
      <c r="P503" s="132" t="s">
        <v>1958</v>
      </c>
      <c r="Q503" s="132"/>
      <c r="R503" s="62"/>
      <c r="S503" s="62"/>
      <c r="T503" s="62"/>
      <c r="U503" s="62"/>
      <c r="V503" s="51" t="b">
        <v>0</v>
      </c>
      <c r="W503" s="51" t="str">
        <f>"Character/Prefabs/"&amp;VLOOKUP($C503,'#Data'!$B$3:$I$344,8,FALSE)</f>
        <v>Character/Prefabs/m_s_attacker_clock_thunderdog_2</v>
      </c>
      <c r="X503" s="51"/>
      <c r="Y503" s="104" t="s">
        <v>1405</v>
      </c>
      <c r="Z503" s="51"/>
      <c r="AA503" s="51"/>
      <c r="AB503" s="51"/>
      <c r="AC503" s="86">
        <v>0.9</v>
      </c>
      <c r="AD503" s="51"/>
      <c r="AE503" s="51"/>
      <c r="AF503" s="51"/>
      <c r="AG503" s="51" t="s">
        <v>2105</v>
      </c>
      <c r="AH503" s="85"/>
    </row>
    <row r="504" spans="1:34" x14ac:dyDescent="0.3">
      <c r="A504" s="51">
        <f t="shared" si="14"/>
        <v>1310205115</v>
      </c>
      <c r="B504" s="51" t="s">
        <v>156</v>
      </c>
      <c r="C504" s="51" t="s">
        <v>1288</v>
      </c>
      <c r="D504" s="51" t="str">
        <f>"Monster.Name."&amp;VLOOKUP($C504,'#Data'!$B$2:$J$344,2,FALSE)</f>
        <v>Monster.Name.labtrooper_rifle_2</v>
      </c>
      <c r="E504" s="51" t="s">
        <v>47</v>
      </c>
      <c r="F504" s="52" t="s">
        <v>44</v>
      </c>
      <c r="G504" s="51" t="s">
        <v>45</v>
      </c>
      <c r="H504" s="51" t="b">
        <f>IF(OR(VLOOKUP($C504,'#Data'!$B$2:$J$344,4,FALSE)="보스",VLOOKUP($C504,'#Data'!$B$2:$J$344,4,FALSE)="중간"),TRUE,FALSE)</f>
        <v>0</v>
      </c>
      <c r="I504" s="51" t="b">
        <v>0</v>
      </c>
      <c r="J504" s="51">
        <v>10</v>
      </c>
      <c r="K504" s="51">
        <f t="shared" si="15"/>
        <v>10</v>
      </c>
      <c r="L504" s="61" t="s">
        <v>1366</v>
      </c>
      <c r="M504" s="61"/>
      <c r="N504" s="61"/>
      <c r="O504" s="132" t="s">
        <v>1372</v>
      </c>
      <c r="P504" s="131" t="s">
        <v>2035</v>
      </c>
      <c r="Q504" s="132" t="s">
        <v>1958</v>
      </c>
      <c r="R504" s="62"/>
      <c r="S504" s="62"/>
      <c r="T504" s="62"/>
      <c r="U504" s="62"/>
      <c r="V504" s="51" t="b">
        <v>0</v>
      </c>
      <c r="W504" s="51" t="str">
        <f>"Character/Prefabs/"&amp;VLOOKUP($C504,'#Data'!$B$3:$I$344,8,FALSE)</f>
        <v>Character/Prefabs/m_m_ranger_labtrooper_rifle_2</v>
      </c>
      <c r="X504" s="51"/>
      <c r="Y504" s="104" t="s">
        <v>1406</v>
      </c>
      <c r="Z504" s="51"/>
      <c r="AA504" s="51"/>
      <c r="AB504" s="51"/>
      <c r="AC504" s="86">
        <v>0.6</v>
      </c>
      <c r="AD504" s="51"/>
      <c r="AE504" s="51"/>
      <c r="AF504" s="51"/>
      <c r="AG504" s="51" t="s">
        <v>2105</v>
      </c>
      <c r="AH504" s="85"/>
    </row>
    <row r="505" spans="1:34" x14ac:dyDescent="0.3">
      <c r="A505" s="51">
        <f t="shared" si="14"/>
        <v>1310205116</v>
      </c>
      <c r="B505" s="51" t="s">
        <v>156</v>
      </c>
      <c r="C505" s="51" t="s">
        <v>1290</v>
      </c>
      <c r="D505" s="51" t="str">
        <f>"Monster.Name."&amp;VLOOKUP($C505,'#Data'!$B$2:$J$344,2,FALSE)</f>
        <v>Monster.Name.labtrooper_shield_2</v>
      </c>
      <c r="E505" s="51" t="s">
        <v>58</v>
      </c>
      <c r="F505" s="52" t="s">
        <v>44</v>
      </c>
      <c r="G505" s="51" t="s">
        <v>45</v>
      </c>
      <c r="H505" s="51" t="b">
        <f>IF(OR(VLOOKUP($C505,'#Data'!$B$2:$J$344,4,FALSE)="보스",VLOOKUP($C505,'#Data'!$B$2:$J$344,4,FALSE)="중간"),TRUE,FALSE)</f>
        <v>0</v>
      </c>
      <c r="I505" s="51" t="b">
        <v>0</v>
      </c>
      <c r="J505" s="51">
        <v>10</v>
      </c>
      <c r="K505" s="51">
        <f t="shared" si="15"/>
        <v>10</v>
      </c>
      <c r="L505" s="61" t="s">
        <v>1367</v>
      </c>
      <c r="M505" s="61"/>
      <c r="N505" s="61"/>
      <c r="O505" s="132" t="s">
        <v>1373</v>
      </c>
      <c r="P505" s="131" t="s">
        <v>2036</v>
      </c>
      <c r="Q505" s="132" t="s">
        <v>1958</v>
      </c>
      <c r="R505" s="62"/>
      <c r="S505" s="62"/>
      <c r="T505" s="62"/>
      <c r="U505" s="62"/>
      <c r="V505" s="51" t="b">
        <v>0</v>
      </c>
      <c r="W505" s="51" t="str">
        <f>"Character/Prefabs/"&amp;VLOOKUP($C505,'#Data'!$B$3:$I$344,8,FALSE)</f>
        <v>Character/Prefabs/m_m_tanker_labtrooper_shield_2</v>
      </c>
      <c r="X505" s="51"/>
      <c r="Y505" s="104" t="s">
        <v>1407</v>
      </c>
      <c r="Z505" s="51"/>
      <c r="AA505" s="51"/>
      <c r="AB505" s="51"/>
      <c r="AC505" s="86">
        <v>0.6</v>
      </c>
      <c r="AD505" s="51"/>
      <c r="AE505" s="51"/>
      <c r="AF505" s="51"/>
      <c r="AG505" s="51" t="s">
        <v>2105</v>
      </c>
      <c r="AH505" s="85"/>
    </row>
    <row r="506" spans="1:34" x14ac:dyDescent="0.3">
      <c r="A506" s="51">
        <f t="shared" si="14"/>
        <v>1310205117</v>
      </c>
      <c r="B506" s="51" t="s">
        <v>156</v>
      </c>
      <c r="C506" s="51" t="s">
        <v>1292</v>
      </c>
      <c r="D506" s="51" t="str">
        <f>"Monster.Name."&amp;VLOOKUP($C506,'#Data'!$B$2:$J$344,2,FALSE)</f>
        <v>Monster.Name.labtrooper_flame_2</v>
      </c>
      <c r="E506" s="51" t="s">
        <v>43</v>
      </c>
      <c r="F506" s="52" t="s">
        <v>44</v>
      </c>
      <c r="G506" s="51" t="s">
        <v>45</v>
      </c>
      <c r="H506" s="51" t="b">
        <f>IF(OR(VLOOKUP($C506,'#Data'!$B$2:$J$344,4,FALSE)="보스",VLOOKUP($C506,'#Data'!$B$2:$J$344,4,FALSE)="중간"),TRUE,FALSE)</f>
        <v>0</v>
      </c>
      <c r="I506" s="51" t="b">
        <v>0</v>
      </c>
      <c r="J506" s="51">
        <v>10</v>
      </c>
      <c r="K506" s="51">
        <f t="shared" si="15"/>
        <v>10</v>
      </c>
      <c r="L506" s="61" t="s">
        <v>1368</v>
      </c>
      <c r="M506" s="61"/>
      <c r="N506" s="61"/>
      <c r="O506" s="132" t="s">
        <v>1374</v>
      </c>
      <c r="P506" s="131" t="s">
        <v>2037</v>
      </c>
      <c r="Q506" s="132" t="s">
        <v>1958</v>
      </c>
      <c r="R506" s="62"/>
      <c r="S506" s="62"/>
      <c r="T506" s="62"/>
      <c r="U506" s="62"/>
      <c r="V506" s="51" t="b">
        <v>0</v>
      </c>
      <c r="W506" s="51" t="str">
        <f>"Character/Prefabs/"&amp;VLOOKUP($C506,'#Data'!$B$3:$I$344,8,FALSE)</f>
        <v>Character/Prefabs/m_m_attacker_labtrooper_flame_2</v>
      </c>
      <c r="X506" s="51"/>
      <c r="Y506" s="104" t="s">
        <v>1408</v>
      </c>
      <c r="Z506" s="51"/>
      <c r="AA506" s="51"/>
      <c r="AB506" s="51"/>
      <c r="AC506" s="86">
        <v>0.6</v>
      </c>
      <c r="AD506" s="51"/>
      <c r="AE506" s="51"/>
      <c r="AF506" s="51"/>
      <c r="AG506" s="51" t="s">
        <v>2105</v>
      </c>
      <c r="AH506" s="85"/>
    </row>
    <row r="507" spans="1:34" x14ac:dyDescent="0.3">
      <c r="A507" s="51">
        <f t="shared" si="14"/>
        <v>1310205118</v>
      </c>
      <c r="B507" s="51" t="s">
        <v>156</v>
      </c>
      <c r="C507" s="51" t="s">
        <v>1294</v>
      </c>
      <c r="D507" s="51" t="str">
        <f>"Monster.Name."&amp;VLOOKUP($C507,'#Data'!$B$2:$J$344,2,FALSE)</f>
        <v>Monster.Name.labtrooper_launcher_2</v>
      </c>
      <c r="E507" s="51" t="s">
        <v>47</v>
      </c>
      <c r="F507" s="52" t="s">
        <v>44</v>
      </c>
      <c r="G507" s="51" t="s">
        <v>45</v>
      </c>
      <c r="H507" s="51" t="b">
        <f>IF(OR(VLOOKUP($C507,'#Data'!$B$2:$J$344,4,FALSE)="보스",VLOOKUP($C507,'#Data'!$B$2:$J$344,4,FALSE)="중간"),TRUE,FALSE)</f>
        <v>0</v>
      </c>
      <c r="I507" s="51" t="b">
        <v>0</v>
      </c>
      <c r="J507" s="51">
        <v>10</v>
      </c>
      <c r="K507" s="51">
        <f t="shared" si="15"/>
        <v>10</v>
      </c>
      <c r="L507" s="61" t="s">
        <v>1369</v>
      </c>
      <c r="M507" s="61"/>
      <c r="N507" s="61"/>
      <c r="O507" s="132" t="s">
        <v>1375</v>
      </c>
      <c r="P507" s="131" t="s">
        <v>2038</v>
      </c>
      <c r="Q507" s="132" t="s">
        <v>1958</v>
      </c>
      <c r="R507" s="62"/>
      <c r="S507" s="62"/>
      <c r="T507" s="62"/>
      <c r="U507" s="62"/>
      <c r="V507" s="51" t="b">
        <v>0</v>
      </c>
      <c r="W507" s="51" t="str">
        <f>"Character/Prefabs/"&amp;VLOOKUP($C507,'#Data'!$B$3:$I$344,8,FALSE)</f>
        <v>Character/Prefabs/m_m_ranger_labtrooper_launcher_2</v>
      </c>
      <c r="X507" s="51"/>
      <c r="Y507" s="104" t="s">
        <v>1409</v>
      </c>
      <c r="Z507" s="51"/>
      <c r="AA507" s="51"/>
      <c r="AB507" s="51"/>
      <c r="AC507" s="86">
        <v>0.6</v>
      </c>
      <c r="AD507" s="51"/>
      <c r="AE507" s="51"/>
      <c r="AF507" s="51"/>
      <c r="AG507" s="51" t="s">
        <v>2105</v>
      </c>
      <c r="AH507" s="85"/>
    </row>
    <row r="508" spans="1:34" x14ac:dyDescent="0.3">
      <c r="A508" s="51">
        <f t="shared" si="14"/>
        <v>1310205119</v>
      </c>
      <c r="B508" s="51" t="s">
        <v>156</v>
      </c>
      <c r="C508" s="51" t="s">
        <v>1296</v>
      </c>
      <c r="D508" s="51" t="str">
        <f>"Monster.Name."&amp;VLOOKUP($C508,'#Data'!$B$2:$J$344,2,FALSE)</f>
        <v>Monster.Name.silhouette_flyer_4</v>
      </c>
      <c r="E508" s="51" t="s">
        <v>143</v>
      </c>
      <c r="F508" s="52" t="s">
        <v>44</v>
      </c>
      <c r="G508" s="51" t="s">
        <v>45</v>
      </c>
      <c r="H508" s="51" t="b">
        <f>IF(OR(VLOOKUP($C508,'#Data'!$B$2:$J$344,4,FALSE)="보스",VLOOKUP($C508,'#Data'!$B$2:$J$344,4,FALSE)="중간"),TRUE,FALSE)</f>
        <v>0</v>
      </c>
      <c r="I508" s="51" t="b">
        <v>0</v>
      </c>
      <c r="J508" s="51">
        <v>10</v>
      </c>
      <c r="K508" s="51">
        <f t="shared" si="15"/>
        <v>10</v>
      </c>
      <c r="L508" s="61" t="s">
        <v>1370</v>
      </c>
      <c r="M508" s="61"/>
      <c r="N508" s="61"/>
      <c r="O508" s="132" t="s">
        <v>1376</v>
      </c>
      <c r="P508" s="131" t="s">
        <v>2039</v>
      </c>
      <c r="Q508" s="132" t="s">
        <v>1958</v>
      </c>
      <c r="R508" s="62"/>
      <c r="S508" s="62"/>
      <c r="T508" s="62"/>
      <c r="U508" s="62"/>
      <c r="V508" s="51" t="b">
        <v>0</v>
      </c>
      <c r="W508" s="51" t="str">
        <f>"Character/Prefabs/"&amp;VLOOKUP($C508,'#Data'!$B$3:$I$344,8,FALSE)</f>
        <v>Character/Prefabs/m_m_supporter_silhouette_flyer_4</v>
      </c>
      <c r="X508" s="51"/>
      <c r="Y508" s="104" t="s">
        <v>1410</v>
      </c>
      <c r="Z508" s="51"/>
      <c r="AA508" s="51"/>
      <c r="AB508" s="51"/>
      <c r="AC508" s="86">
        <v>0.8</v>
      </c>
      <c r="AD508" s="51"/>
      <c r="AE508" s="51"/>
      <c r="AF508" s="51"/>
      <c r="AG508" s="51" t="s">
        <v>2105</v>
      </c>
      <c r="AH508" s="85"/>
    </row>
    <row r="509" spans="1:34" x14ac:dyDescent="0.3">
      <c r="A509" s="51">
        <f t="shared" si="14"/>
        <v>1310205120</v>
      </c>
      <c r="B509" s="51" t="s">
        <v>156</v>
      </c>
      <c r="C509" s="51" t="s">
        <v>1298</v>
      </c>
      <c r="D509" s="51" t="str">
        <f>"Monster.Name."&amp;VLOOKUP($C509,'#Data'!$B$2:$J$344,2,FALSE)</f>
        <v>Monster.Name.harbor_cannon_2</v>
      </c>
      <c r="E509" s="51" t="s">
        <v>47</v>
      </c>
      <c r="F509" s="52" t="s">
        <v>44</v>
      </c>
      <c r="G509" s="51" t="s">
        <v>45</v>
      </c>
      <c r="H509" s="51" t="b">
        <f>IF(OR(VLOOKUP($C509,'#Data'!$B$2:$J$344,4,FALSE)="보스",VLOOKUP($C509,'#Data'!$B$2:$J$344,4,FALSE)="중간"),TRUE,FALSE)</f>
        <v>0</v>
      </c>
      <c r="I509" s="51" t="b">
        <v>0</v>
      </c>
      <c r="J509" s="51">
        <v>10</v>
      </c>
      <c r="K509" s="51">
        <f t="shared" si="15"/>
        <v>20</v>
      </c>
      <c r="L509" s="61" t="s">
        <v>1371</v>
      </c>
      <c r="M509" s="61"/>
      <c r="N509" s="61"/>
      <c r="O509" s="132" t="s">
        <v>1377</v>
      </c>
      <c r="P509" s="131" t="s">
        <v>2040</v>
      </c>
      <c r="Q509" s="132" t="s">
        <v>1958</v>
      </c>
      <c r="R509" s="62"/>
      <c r="S509" s="62"/>
      <c r="T509" s="62"/>
      <c r="U509" s="62"/>
      <c r="V509" s="51" t="b">
        <v>0</v>
      </c>
      <c r="W509" s="51" t="str">
        <f>"Character/Prefabs/"&amp;VLOOKUP($C509,'#Data'!$B$3:$I$344,8,FALSE)</f>
        <v>Character/Prefabs/m_m_ranger_harbor_cannon_2</v>
      </c>
      <c r="X509" s="51"/>
      <c r="Y509" s="104" t="s">
        <v>1411</v>
      </c>
      <c r="Z509" s="51"/>
      <c r="AA509" s="51"/>
      <c r="AB509" s="51"/>
      <c r="AC509" s="86">
        <v>0.7</v>
      </c>
      <c r="AD509" s="51"/>
      <c r="AE509" s="51"/>
      <c r="AF509" s="51"/>
      <c r="AG509" s="51" t="s">
        <v>2105</v>
      </c>
      <c r="AH509" s="85"/>
    </row>
    <row r="510" spans="1:34" x14ac:dyDescent="0.3">
      <c r="A510" s="37">
        <f t="shared" si="14"/>
        <v>1310205201</v>
      </c>
      <c r="B510" s="37" t="s">
        <v>156</v>
      </c>
      <c r="C510" s="37" t="s">
        <v>167</v>
      </c>
      <c r="D510" s="37" t="str">
        <f>"Monster.Name."&amp;VLOOKUP($C510,'#Data'!$B$2:$J$344,2,FALSE)</f>
        <v>Monster.Name.labsuit_gun_1</v>
      </c>
      <c r="E510" s="37" t="s">
        <v>47</v>
      </c>
      <c r="F510" s="38" t="s">
        <v>44</v>
      </c>
      <c r="G510" s="37" t="s">
        <v>45</v>
      </c>
      <c r="H510" s="37" t="b">
        <f>IF(OR(VLOOKUP($C510,'#Data'!$B$2:$J$344,4,FALSE)="보스",VLOOKUP($C510,'#Data'!$B$2:$J$344,4,FALSE)="중간"),TRUE,FALSE)</f>
        <v>1</v>
      </c>
      <c r="I510" s="37" t="b">
        <v>1</v>
      </c>
      <c r="J510" s="37">
        <v>10</v>
      </c>
      <c r="K510" s="37">
        <f t="shared" si="15"/>
        <v>10</v>
      </c>
      <c r="L510" s="59" t="str">
        <f>$B510&amp;"."&amp;VLOOKUP($C510,'#Data'!$B$2:$J$344,2,FALSE)&amp;".attack0"&amp;RIGHT(L$1,1)</f>
        <v>Sector05.labsuit_gun_1.attack01</v>
      </c>
      <c r="M510" s="59"/>
      <c r="N510" s="59"/>
      <c r="O510" s="131" t="str">
        <f>$B510&amp;"."&amp;VLOOKUP($C510,'#Data'!$B$2:$J$344,2,FALSE)&amp;".skill0"&amp;RIGHT(O$1,1)</f>
        <v>Sector05.labsuit_gun_1.skill01</v>
      </c>
      <c r="P510" s="131" t="str">
        <f>$B510&amp;"."&amp;VLOOKUP($C510,'#Data'!$B$2:$J$344,2,FALSE)&amp;".skill0"&amp;RIGHT(P$1,1)</f>
        <v>Sector05.labsuit_gun_1.skill02</v>
      </c>
      <c r="Q510" s="131" t="str">
        <f>$B510&amp;"."&amp;VLOOKUP($C510,'#Data'!$B$2:$J$344,2,FALSE)&amp;".skill0"&amp;RIGHT(Q$1,1)</f>
        <v>Sector05.labsuit_gun_1.skill03</v>
      </c>
      <c r="R510" s="60" t="s">
        <v>1958</v>
      </c>
      <c r="S510" s="60" t="s">
        <v>2078</v>
      </c>
      <c r="T510" s="60"/>
      <c r="U510" s="60"/>
      <c r="V510" s="37" t="b">
        <v>0</v>
      </c>
      <c r="W510" s="37" t="str">
        <f>"Character/Prefabs/"&amp;VLOOKUP($C510,'#Data'!$B$3:$I$344,8,FALSE)</f>
        <v>Character/Prefabs/m_l_ranger_labsuit_gun_1</v>
      </c>
      <c r="X510" s="37"/>
      <c r="Y510" s="37" t="str">
        <f>VLOOKUP($C510,'#Data'!$B$3:$I$344,8,FALSE)</f>
        <v>m_l_ranger_labsuit_gun_1</v>
      </c>
      <c r="Z510" s="37"/>
      <c r="AA510" s="37"/>
      <c r="AB510" s="37"/>
      <c r="AC510" s="84">
        <v>1.2</v>
      </c>
      <c r="AD510" s="37"/>
      <c r="AE510" s="37"/>
      <c r="AF510" s="37"/>
      <c r="AG510" s="37" t="s">
        <v>2105</v>
      </c>
      <c r="AH510" s="85"/>
    </row>
    <row r="511" spans="1:34" x14ac:dyDescent="0.3">
      <c r="A511" s="37">
        <f t="shared" si="14"/>
        <v>1310205202</v>
      </c>
      <c r="B511" s="37" t="s">
        <v>156</v>
      </c>
      <c r="C511" s="37" t="s">
        <v>168</v>
      </c>
      <c r="D511" s="37" t="str">
        <f>"Monster.Name."&amp;VLOOKUP($C511,'#Data'!$B$2:$J$344,2,FALSE)</f>
        <v>Monster.Name.labmecha_punch_1</v>
      </c>
      <c r="E511" s="37" t="s">
        <v>58</v>
      </c>
      <c r="F511" s="38" t="s">
        <v>44</v>
      </c>
      <c r="G511" s="37" t="s">
        <v>45</v>
      </c>
      <c r="H511" s="37" t="b">
        <f>IF(OR(VLOOKUP($C511,'#Data'!$B$2:$J$344,4,FALSE)="보스",VLOOKUP($C511,'#Data'!$B$2:$J$344,4,FALSE)="중간"),TRUE,FALSE)</f>
        <v>1</v>
      </c>
      <c r="I511" s="37" t="b">
        <v>1</v>
      </c>
      <c r="J511" s="37">
        <v>20</v>
      </c>
      <c r="K511" s="37">
        <f t="shared" si="15"/>
        <v>10</v>
      </c>
      <c r="L511" s="59" t="str">
        <f>$B511&amp;"."&amp;VLOOKUP($C511,'#Data'!$B$2:$J$344,2,FALSE)&amp;".attack0"&amp;RIGHT(L$1,1)</f>
        <v>Sector05.labmecha_punch_1.attack01</v>
      </c>
      <c r="M511" s="59"/>
      <c r="N511" s="59"/>
      <c r="O511" s="131" t="str">
        <f>$B511&amp;"."&amp;VLOOKUP($C511,'#Data'!$B$2:$J$344,2,FALSE)&amp;".skill0"&amp;RIGHT(O$1,1)</f>
        <v>Sector05.labmecha_punch_1.skill01</v>
      </c>
      <c r="P511" s="131" t="str">
        <f>$B511&amp;"."&amp;VLOOKUP($C511,'#Data'!$B$2:$J$344,2,FALSE)&amp;".skill0"&amp;RIGHT(P$1,1)</f>
        <v>Sector05.labmecha_punch_1.skill02</v>
      </c>
      <c r="Q511" s="131" t="str">
        <f>$B511&amp;"."&amp;VLOOKUP($C511,'#Data'!$B$2:$J$344,2,FALSE)&amp;".skill0"&amp;RIGHT(Q$1,1)</f>
        <v>Sector05.labmecha_punch_1.skill03</v>
      </c>
      <c r="R511" s="60" t="s">
        <v>1958</v>
      </c>
      <c r="S511" s="60" t="s">
        <v>2078</v>
      </c>
      <c r="T511" s="60"/>
      <c r="U511" s="60"/>
      <c r="V511" s="37" t="b">
        <v>0</v>
      </c>
      <c r="W511" s="37" t="str">
        <f>"Character/Prefabs/"&amp;VLOOKUP($C511,'#Data'!$B$3:$I$344,8,FALSE)</f>
        <v>Character/Prefabs/m_l_tanker_labmecha_punch_1</v>
      </c>
      <c r="X511" s="37"/>
      <c r="Y511" s="37" t="str">
        <f>VLOOKUP($C511,'#Data'!$B$3:$I$344,8,FALSE)</f>
        <v>m_l_tanker_labmecha_punch_1</v>
      </c>
      <c r="Z511" s="37"/>
      <c r="AA511" s="37"/>
      <c r="AB511" s="37"/>
      <c r="AC511" s="84">
        <v>0.9</v>
      </c>
      <c r="AD511" s="37"/>
      <c r="AE511" s="37"/>
      <c r="AF511" s="37"/>
      <c r="AG511" s="37" t="s">
        <v>2105</v>
      </c>
      <c r="AH511" s="85"/>
    </row>
    <row r="512" spans="1:34" x14ac:dyDescent="0.3">
      <c r="A512" s="37">
        <f t="shared" si="14"/>
        <v>1310205203</v>
      </c>
      <c r="B512" s="37" t="s">
        <v>156</v>
      </c>
      <c r="C512" s="37" t="s">
        <v>169</v>
      </c>
      <c r="D512" s="37" t="str">
        <f>"Monster.Name."&amp;VLOOKUP($C512,'#Data'!$B$2:$J$344,2,FALSE)</f>
        <v>Monster.Name.labsuit_cannon_1</v>
      </c>
      <c r="E512" s="37" t="s">
        <v>47</v>
      </c>
      <c r="F512" s="38" t="s">
        <v>44</v>
      </c>
      <c r="G512" s="37" t="s">
        <v>45</v>
      </c>
      <c r="H512" s="37" t="b">
        <f>IF(OR(VLOOKUP($C512,'#Data'!$B$2:$J$344,4,FALSE)="보스",VLOOKUP($C512,'#Data'!$B$2:$J$344,4,FALSE)="중간"),TRUE,FALSE)</f>
        <v>1</v>
      </c>
      <c r="I512" s="37" t="b">
        <v>1</v>
      </c>
      <c r="J512" s="37">
        <v>10</v>
      </c>
      <c r="K512" s="37">
        <f t="shared" si="15"/>
        <v>10</v>
      </c>
      <c r="L512" s="59" t="str">
        <f>$B512&amp;"."&amp;VLOOKUP($C512,'#Data'!$B$2:$J$344,2,FALSE)&amp;".attack0"&amp;RIGHT(L$1,1)</f>
        <v>Sector05.labsuit_cannon_1.attack01</v>
      </c>
      <c r="M512" s="59"/>
      <c r="N512" s="59"/>
      <c r="O512" s="131" t="str">
        <f>$B512&amp;"."&amp;VLOOKUP($C512,'#Data'!$B$2:$J$344,2,FALSE)&amp;".skill0"&amp;RIGHT(O$1,1)</f>
        <v>Sector05.labsuit_cannon_1.skill01</v>
      </c>
      <c r="P512" s="131" t="str">
        <f>$B512&amp;"."&amp;VLOOKUP($C512,'#Data'!$B$2:$J$344,2,FALSE)&amp;".skill0"&amp;RIGHT(P$1,1)</f>
        <v>Sector05.labsuit_cannon_1.skill02</v>
      </c>
      <c r="Q512" s="131" t="str">
        <f>$B512&amp;"."&amp;VLOOKUP($C512,'#Data'!$B$2:$J$344,2,FALSE)&amp;".skill0"&amp;RIGHT(Q$1,1)</f>
        <v>Sector05.labsuit_cannon_1.skill03</v>
      </c>
      <c r="R512" s="60" t="s">
        <v>1958</v>
      </c>
      <c r="S512" s="60" t="s">
        <v>2078</v>
      </c>
      <c r="T512" s="60"/>
      <c r="U512" s="60"/>
      <c r="V512" s="37" t="b">
        <v>0</v>
      </c>
      <c r="W512" s="37" t="str">
        <f>"Character/Prefabs/"&amp;VLOOKUP($C512,'#Data'!$B$3:$I$344,8,FALSE)</f>
        <v>Character/Prefabs/m_l_ranger_labsuit_cannon_1</v>
      </c>
      <c r="X512" s="37"/>
      <c r="Y512" s="37" t="str">
        <f>VLOOKUP($C512,'#Data'!$B$3:$I$344,8,FALSE)</f>
        <v>m_l_ranger_labsuit_cannon_1</v>
      </c>
      <c r="Z512" s="37"/>
      <c r="AA512" s="37"/>
      <c r="AB512" s="37"/>
      <c r="AC512" s="84">
        <v>0.9</v>
      </c>
      <c r="AD512" s="37"/>
      <c r="AE512" s="37"/>
      <c r="AF512" s="37"/>
      <c r="AG512" s="37" t="s">
        <v>2105</v>
      </c>
      <c r="AH512" s="85"/>
    </row>
    <row r="513" spans="1:34" x14ac:dyDescent="0.3">
      <c r="A513" s="77">
        <f t="shared" si="14"/>
        <v>1310205301</v>
      </c>
      <c r="B513" s="77" t="s">
        <v>156</v>
      </c>
      <c r="C513" s="77" t="s">
        <v>170</v>
      </c>
      <c r="D513" s="77" t="str">
        <f>"Monster.Name."&amp;VLOOKUP($C513,'#Data'!$B$2:$J$344,2,FALSE)</f>
        <v>Monster.Name.goliath_1</v>
      </c>
      <c r="E513" s="77" t="s">
        <v>43</v>
      </c>
      <c r="F513" s="78" t="s">
        <v>44</v>
      </c>
      <c r="G513" s="77" t="s">
        <v>45</v>
      </c>
      <c r="H513" s="77" t="b">
        <f>IF(OR(VLOOKUP($C513,'#Data'!$B$2:$J$344,4,FALSE)="보스",VLOOKUP($C513,'#Data'!$B$2:$J$344,4,FALSE)="중간"),TRUE,FALSE)</f>
        <v>1</v>
      </c>
      <c r="I513" s="77" t="b">
        <v>1</v>
      </c>
      <c r="J513" s="77">
        <v>20</v>
      </c>
      <c r="K513" s="77">
        <f t="shared" si="15"/>
        <v>10</v>
      </c>
      <c r="L513" s="79" t="str">
        <f>$B513&amp;"."&amp;VLOOKUP($C513,'#Data'!$B$2:$J$344,2,FALSE)&amp;".attack0"&amp;RIGHT(L$1,1)</f>
        <v>Sector05.goliath_1.attack01</v>
      </c>
      <c r="M513" s="79" t="str">
        <f>$B513&amp;"."&amp;VLOOKUP($C513,'#Data'!$B$2:$J$344,2,FALSE)&amp;".attack0"&amp;RIGHT(M$1,1)</f>
        <v>Sector05.goliath_1.attack02</v>
      </c>
      <c r="N513" s="79"/>
      <c r="O513" s="133" t="str">
        <f>$B513&amp;"."&amp;VLOOKUP($C513,'#Data'!$B$2:$J$344,2,FALSE)&amp;".skill0"&amp;RIGHT(O$1,1)</f>
        <v>Sector05.goliath_1.skill01</v>
      </c>
      <c r="P513" s="133" t="str">
        <f>$B513&amp;"."&amp;VLOOKUP($C513,'#Data'!$B$2:$J$344,2,FALSE)&amp;".skill0"&amp;RIGHT(P$1,1)</f>
        <v>Sector05.goliath_1.skill02</v>
      </c>
      <c r="Q513" s="133" t="str">
        <f>$B513&amp;"."&amp;VLOOKUP($C513,'#Data'!$B$2:$J$344,2,FALSE)&amp;".skill0"&amp;RIGHT(Q$1,1)</f>
        <v>Sector05.goliath_1.skill03</v>
      </c>
      <c r="R513" s="80" t="s">
        <v>171</v>
      </c>
      <c r="S513" s="80" t="s">
        <v>1973</v>
      </c>
      <c r="T513" s="80"/>
      <c r="U513" s="80"/>
      <c r="V513" s="77" t="b">
        <v>0</v>
      </c>
      <c r="W513" s="164" t="str">
        <f>"Character/Prefabs/"&amp;VLOOKUP($C513,'#Data'!$B$3:$I$344,8,FALSE)</f>
        <v>Character/Prefabs/m_boss_attacker_goliath_1</v>
      </c>
      <c r="X513" s="164"/>
      <c r="Y513" s="164" t="str">
        <f>VLOOKUP($C513,'#Data'!$B$3:$I$344,8,FALSE)</f>
        <v>m_boss_attacker_goliath_1</v>
      </c>
      <c r="Z513" s="77"/>
      <c r="AA513" s="77"/>
      <c r="AB513" s="77"/>
      <c r="AC513" s="87">
        <v>1.4</v>
      </c>
      <c r="AD513" s="77"/>
      <c r="AE513" s="77" t="s">
        <v>172</v>
      </c>
      <c r="AF513" s="77" t="s">
        <v>173</v>
      </c>
      <c r="AG513" s="77" t="s">
        <v>2105</v>
      </c>
      <c r="AH513" s="85"/>
    </row>
    <row r="514" spans="1:34" x14ac:dyDescent="0.3">
      <c r="A514" s="77">
        <f t="shared" si="14"/>
        <v>1310205302</v>
      </c>
      <c r="B514" s="77" t="s">
        <v>156</v>
      </c>
      <c r="C514" s="77" t="s">
        <v>1971</v>
      </c>
      <c r="D514" s="77" t="str">
        <f>"Monster.Name."&amp;VLOOKUP($C514,'#Data'!$B$2:$J$344,2,FALSE)</f>
        <v>Monster.Name.goliath_4</v>
      </c>
      <c r="E514" s="77" t="s">
        <v>43</v>
      </c>
      <c r="F514" s="78" t="s">
        <v>44</v>
      </c>
      <c r="G514" s="77" t="s">
        <v>45</v>
      </c>
      <c r="H514" s="77" t="b">
        <f>IF(OR(VLOOKUP($C514,'#Data'!$B$2:$J$344,4,FALSE)="보스",VLOOKUP($C514,'#Data'!$B$2:$J$344,4,FALSE)="중간"),TRUE,FALSE)</f>
        <v>1</v>
      </c>
      <c r="I514" s="77" t="b">
        <v>1</v>
      </c>
      <c r="J514" s="77">
        <v>20</v>
      </c>
      <c r="K514" s="77">
        <f t="shared" si="15"/>
        <v>10</v>
      </c>
      <c r="L514" s="79" t="str">
        <f>$B514&amp;"."&amp;VLOOKUP($C514,'#Data'!$B$2:$J$344,2,FALSE)&amp;".attack0"&amp;RIGHT(L$1,1)</f>
        <v>Sector05.goliath_4.attack01</v>
      </c>
      <c r="M514" s="79" t="str">
        <f>$B514&amp;"."&amp;VLOOKUP($C514,'#Data'!$B$2:$J$344,2,FALSE)&amp;".attack0"&amp;RIGHT(M$1,1)</f>
        <v>Sector05.goliath_4.attack02</v>
      </c>
      <c r="N514" s="79"/>
      <c r="O514" s="133" t="str">
        <f>$B514&amp;"."&amp;VLOOKUP($C514,'#Data'!$B$2:$J$344,2,FALSE)&amp;".skill0"&amp;RIGHT(O$1,1)</f>
        <v>Sector05.goliath_4.skill01</v>
      </c>
      <c r="P514" s="133" t="str">
        <f>$B514&amp;"."&amp;VLOOKUP($C514,'#Data'!$B$2:$J$344,2,FALSE)&amp;".skill0"&amp;RIGHT(P$1,1)</f>
        <v>Sector05.goliath_4.skill02</v>
      </c>
      <c r="Q514" s="133" t="str">
        <f>$B514&amp;"."&amp;VLOOKUP($C514,'#Data'!$B$2:$J$344,2,FALSE)&amp;".skill0"&amp;RIGHT(Q$1,1)</f>
        <v>Sector05.goliath_4.skill03</v>
      </c>
      <c r="R514" s="80" t="s">
        <v>2084</v>
      </c>
      <c r="S514" s="80" t="s">
        <v>2085</v>
      </c>
      <c r="T514" s="80"/>
      <c r="U514" s="80"/>
      <c r="V514" s="77" t="b">
        <v>0</v>
      </c>
      <c r="W514" s="164" t="str">
        <f>"Character/Prefabs/"&amp;VLOOKUP($C514,'#Data'!$B$3:$I$344,8,FALSE)</f>
        <v>Character/Prefabs/m_boss_attacker_goliath_4</v>
      </c>
      <c r="X514" s="164"/>
      <c r="Y514" s="164" t="str">
        <f>VLOOKUP($C514,'#Data'!$B$3:$I$344,8,FALSE)</f>
        <v>m_boss_attacker_goliath_4</v>
      </c>
      <c r="Z514" s="77"/>
      <c r="AA514" s="77"/>
      <c r="AB514" s="77"/>
      <c r="AC514" s="87">
        <v>1.4</v>
      </c>
      <c r="AD514" s="77"/>
      <c r="AE514" s="77" t="s">
        <v>2081</v>
      </c>
      <c r="AF514" s="77" t="s">
        <v>2097</v>
      </c>
      <c r="AG514" s="77" t="s">
        <v>2105</v>
      </c>
      <c r="AH514" s="85"/>
    </row>
    <row r="515" spans="1:34" x14ac:dyDescent="0.3">
      <c r="A515" s="12">
        <f t="shared" si="14"/>
        <v>1310206101</v>
      </c>
      <c r="B515" s="12" t="s">
        <v>174</v>
      </c>
      <c r="C515" s="12" t="s">
        <v>175</v>
      </c>
      <c r="D515" s="12" t="str">
        <f>"Monster.Name."&amp;VLOOKUP($C515,'#Data'!$B$2:$J$344,2,FALSE)</f>
        <v>Monster.Name.polluter_patrol_1</v>
      </c>
      <c r="E515" s="12" t="s">
        <v>43</v>
      </c>
      <c r="F515" s="39" t="s">
        <v>44</v>
      </c>
      <c r="G515" s="12" t="s">
        <v>45</v>
      </c>
      <c r="H515" s="12" t="b">
        <f>IF(OR(VLOOKUP($C515,'#Data'!$B$2:$J$344,4,FALSE)="보스",VLOOKUP($C515,'#Data'!$B$2:$J$344,4,FALSE)="중간"),TRUE,FALSE)</f>
        <v>0</v>
      </c>
      <c r="I515" s="12" t="b">
        <v>0</v>
      </c>
      <c r="J515" s="12">
        <v>10</v>
      </c>
      <c r="K515" s="12">
        <f t="shared" si="15"/>
        <v>10</v>
      </c>
      <c r="L515" s="63" t="str">
        <f>$B515&amp;"."&amp;VLOOKUP($C515,'#Data'!$B$2:$J$344,2,FALSE)&amp;".attack0"&amp;RIGHT(L$1,1)</f>
        <v>Sector06.polluter_patrol_1.attack01</v>
      </c>
      <c r="M515" s="63"/>
      <c r="N515" s="63"/>
      <c r="O515" s="134" t="s">
        <v>2041</v>
      </c>
      <c r="P515" s="134"/>
      <c r="Q515" s="134"/>
      <c r="R515" s="64"/>
      <c r="S515" s="64"/>
      <c r="T515" s="64"/>
      <c r="U515" s="64"/>
      <c r="V515" s="12" t="b">
        <v>0</v>
      </c>
      <c r="W515" s="12" t="str">
        <f>"Character/Prefabs/"&amp;VLOOKUP($C515,'#Data'!$B$3:$I$344,8,FALSE)</f>
        <v>Character/Prefabs/m_s_attacker_polluter_patrol_1</v>
      </c>
      <c r="X515" s="12"/>
      <c r="Y515" s="12" t="str">
        <f>VLOOKUP($C515,'#Data'!$B$3:$I$344,8,FALSE)</f>
        <v>m_s_attacker_polluter_patrol_1</v>
      </c>
      <c r="Z515" s="12"/>
      <c r="AA515" s="12"/>
      <c r="AB515" s="12"/>
      <c r="AC515" s="88">
        <v>0.9</v>
      </c>
      <c r="AD515" s="12"/>
      <c r="AE515" s="12"/>
      <c r="AF515" s="12"/>
      <c r="AG515" s="12" t="s">
        <v>2105</v>
      </c>
      <c r="AH515" s="85"/>
    </row>
    <row r="516" spans="1:34" x14ac:dyDescent="0.3">
      <c r="A516" s="12">
        <f t="shared" si="14"/>
        <v>1310206102</v>
      </c>
      <c r="B516" s="12" t="s">
        <v>174</v>
      </c>
      <c r="C516" s="12" t="s">
        <v>176</v>
      </c>
      <c r="D516" s="12" t="str">
        <f>"Monster.Name."&amp;VLOOKUP($C516,'#Data'!$B$2:$J$344,2,FALSE)</f>
        <v>Monster.Name.polluter_eyeball_1</v>
      </c>
      <c r="E516" s="12" t="s">
        <v>47</v>
      </c>
      <c r="F516" s="39" t="s">
        <v>44</v>
      </c>
      <c r="G516" s="12" t="s">
        <v>45</v>
      </c>
      <c r="H516" s="12" t="b">
        <f>IF(OR(VLOOKUP($C516,'#Data'!$B$2:$J$344,4,FALSE)="보스",VLOOKUP($C516,'#Data'!$B$2:$J$344,4,FALSE)="중간"),TRUE,FALSE)</f>
        <v>0</v>
      </c>
      <c r="I516" s="12" t="b">
        <v>0</v>
      </c>
      <c r="J516" s="12">
        <v>10</v>
      </c>
      <c r="K516" s="12">
        <f t="shared" si="15"/>
        <v>10</v>
      </c>
      <c r="L516" s="63" t="str">
        <f>$B516&amp;"."&amp;VLOOKUP($C516,'#Data'!$B$2:$J$344,2,FALSE)&amp;".attack0"&amp;RIGHT(L$1,1)</f>
        <v>Sector06.polluter_eyeball_1.attack01</v>
      </c>
      <c r="M516" s="63"/>
      <c r="N516" s="63"/>
      <c r="O516" s="134" t="s">
        <v>2042</v>
      </c>
      <c r="P516" s="134"/>
      <c r="Q516" s="134"/>
      <c r="R516" s="64"/>
      <c r="S516" s="64"/>
      <c r="T516" s="64"/>
      <c r="U516" s="64"/>
      <c r="V516" s="12" t="b">
        <v>0</v>
      </c>
      <c r="W516" s="12" t="str">
        <f>"Character/Prefabs/"&amp;VLOOKUP($C516,'#Data'!$B$3:$I$344,8,FALSE)</f>
        <v>Character/Prefabs/m_s_ranger_polluter_eyeball_1</v>
      </c>
      <c r="X516" s="12"/>
      <c r="Y516" s="12" t="str">
        <f>VLOOKUP($C516,'#Data'!$B$3:$I$344,8,FALSE)</f>
        <v>m_s_ranger_polluter_eyeball_1</v>
      </c>
      <c r="Z516" s="12"/>
      <c r="AA516" s="12"/>
      <c r="AB516" s="12"/>
      <c r="AC516" s="88">
        <v>0.9</v>
      </c>
      <c r="AD516" s="12"/>
      <c r="AE516" s="12"/>
      <c r="AF516" s="12"/>
      <c r="AG516" s="12" t="s">
        <v>2105</v>
      </c>
      <c r="AH516" s="85"/>
    </row>
    <row r="517" spans="1:34" x14ac:dyDescent="0.3">
      <c r="A517" s="12">
        <f t="shared" si="14"/>
        <v>1310206103</v>
      </c>
      <c r="B517" s="12" t="s">
        <v>174</v>
      </c>
      <c r="C517" s="12" t="s">
        <v>177</v>
      </c>
      <c r="D517" s="12" t="str">
        <f>"Monster.Name."&amp;VLOOKUP($C517,'#Data'!$B$2:$J$344,2,FALSE)</f>
        <v>Monster.Name.polluter_exploder_1</v>
      </c>
      <c r="E517" s="12" t="s">
        <v>43</v>
      </c>
      <c r="F517" s="39" t="s">
        <v>44</v>
      </c>
      <c r="G517" s="12" t="s">
        <v>45</v>
      </c>
      <c r="H517" s="12" t="b">
        <f>IF(OR(VLOOKUP($C517,'#Data'!$B$2:$J$344,4,FALSE)="보스",VLOOKUP($C517,'#Data'!$B$2:$J$344,4,FALSE)="중간"),TRUE,FALSE)</f>
        <v>0</v>
      </c>
      <c r="I517" s="12" t="b">
        <v>0</v>
      </c>
      <c r="J517" s="12">
        <v>10</v>
      </c>
      <c r="K517" s="12">
        <f t="shared" si="15"/>
        <v>10</v>
      </c>
      <c r="L517" s="63" t="str">
        <f>$B517&amp;"."&amp;VLOOKUP($C517,'#Data'!$B$2:$J$344,2,FALSE)&amp;".attack0"&amp;RIGHT(L$1,1)</f>
        <v>Sector06.polluter_exploder_1.attack01</v>
      </c>
      <c r="M517" s="63"/>
      <c r="N517" s="63"/>
      <c r="O517" s="134" t="str">
        <f>$B517&amp;"."&amp;VLOOKUP($C517,'#Data'!$B$2:$J$344,2,FALSE)&amp;".skill0"&amp;RIGHT(O$1,1)</f>
        <v>Sector06.polluter_exploder_1.skill01</v>
      </c>
      <c r="P517" s="134" t="s">
        <v>2043</v>
      </c>
      <c r="Q517" s="134"/>
      <c r="R517" s="64"/>
      <c r="S517" s="64"/>
      <c r="T517" s="64"/>
      <c r="U517" s="64"/>
      <c r="V517" s="12" t="b">
        <v>0</v>
      </c>
      <c r="W517" s="12" t="str">
        <f>"Character/Prefabs/"&amp;VLOOKUP($C517,'#Data'!$B$3:$I$344,8,FALSE)</f>
        <v>Character/Prefabs/m_s_attacker_polluter_exploder_1</v>
      </c>
      <c r="X517" s="12"/>
      <c r="Y517" s="12" t="str">
        <f>VLOOKUP($C517,'#Data'!$B$3:$I$344,8,FALSE)</f>
        <v>m_s_attacker_polluter_exploder_1</v>
      </c>
      <c r="Z517" s="12"/>
      <c r="AA517" s="12"/>
      <c r="AB517" s="12"/>
      <c r="AC517" s="88">
        <v>0.9</v>
      </c>
      <c r="AD517" s="12"/>
      <c r="AE517" s="12"/>
      <c r="AF517" s="12"/>
      <c r="AG517" s="12" t="s">
        <v>2105</v>
      </c>
      <c r="AH517" s="85"/>
    </row>
    <row r="518" spans="1:34" x14ac:dyDescent="0.3">
      <c r="A518" s="12">
        <f t="shared" si="14"/>
        <v>1310206104</v>
      </c>
      <c r="B518" s="12" t="s">
        <v>174</v>
      </c>
      <c r="C518" s="12" t="s">
        <v>178</v>
      </c>
      <c r="D518" s="12" t="str">
        <f>"Monster.Name."&amp;VLOOKUP($C518,'#Data'!$B$2:$J$344,2,FALSE)</f>
        <v>Monster.Name.polluter_1</v>
      </c>
      <c r="E518" s="12" t="s">
        <v>43</v>
      </c>
      <c r="F518" s="39" t="s">
        <v>44</v>
      </c>
      <c r="G518" s="12" t="s">
        <v>45</v>
      </c>
      <c r="H518" s="12" t="b">
        <f>IF(OR(VLOOKUP($C518,'#Data'!$B$2:$J$344,4,FALSE)="보스",VLOOKUP($C518,'#Data'!$B$2:$J$344,4,FALSE)="중간"),TRUE,FALSE)</f>
        <v>0</v>
      </c>
      <c r="I518" s="12" t="b">
        <v>0</v>
      </c>
      <c r="J518" s="12">
        <v>10</v>
      </c>
      <c r="K518" s="12">
        <f t="shared" si="15"/>
        <v>10</v>
      </c>
      <c r="L518" s="63" t="str">
        <f>$B518&amp;"."&amp;VLOOKUP($C518,'#Data'!$B$2:$J$344,2,FALSE)&amp;".attack0"&amp;RIGHT(L$1,1)</f>
        <v>Sector06.polluter_1.attack01</v>
      </c>
      <c r="M518" s="63"/>
      <c r="N518" s="63"/>
      <c r="O518" s="134" t="str">
        <f>$B518&amp;"."&amp;VLOOKUP($C518,'#Data'!$B$2:$J$344,2,FALSE)&amp;".skill0"&amp;RIGHT(O$1,1)</f>
        <v>Sector06.polluter_1.skill01</v>
      </c>
      <c r="P518" s="134" t="s">
        <v>2044</v>
      </c>
      <c r="Q518" s="134"/>
      <c r="R518" s="64"/>
      <c r="S518" s="64"/>
      <c r="T518" s="64"/>
      <c r="U518" s="64"/>
      <c r="V518" s="12" t="b">
        <v>0</v>
      </c>
      <c r="W518" s="12" t="str">
        <f>"Character/Prefabs/"&amp;VLOOKUP($C518,'#Data'!$B$3:$I$344,8,FALSE)</f>
        <v>Character/Prefabs/m_m_attacker_polluter_1</v>
      </c>
      <c r="X518" s="12"/>
      <c r="Y518" s="12" t="str">
        <f>VLOOKUP($C518,'#Data'!$B$3:$I$344,8,FALSE)</f>
        <v>m_m_attacker_polluter_1</v>
      </c>
      <c r="Z518" s="12"/>
      <c r="AA518" s="12"/>
      <c r="AB518" s="12"/>
      <c r="AC518" s="88">
        <v>0.6</v>
      </c>
      <c r="AD518" s="12"/>
      <c r="AE518" s="12"/>
      <c r="AF518" s="12"/>
      <c r="AG518" s="12" t="s">
        <v>2105</v>
      </c>
      <c r="AH518" s="85"/>
    </row>
    <row r="519" spans="1:34" x14ac:dyDescent="0.3">
      <c r="A519" s="12">
        <f t="shared" si="14"/>
        <v>1310206105</v>
      </c>
      <c r="B519" s="12" t="s">
        <v>174</v>
      </c>
      <c r="C519" s="12" t="s">
        <v>179</v>
      </c>
      <c r="D519" s="12" t="str">
        <f>"Monster.Name."&amp;VLOOKUP($C519,'#Data'!$B$2:$J$344,2,FALSE)</f>
        <v>Monster.Name.polluter_edge_1</v>
      </c>
      <c r="E519" s="12" t="s">
        <v>43</v>
      </c>
      <c r="F519" s="39" t="s">
        <v>44</v>
      </c>
      <c r="G519" s="12" t="s">
        <v>45</v>
      </c>
      <c r="H519" s="12" t="b">
        <f>IF(OR(VLOOKUP($C519,'#Data'!$B$2:$J$344,4,FALSE)="보스",VLOOKUP($C519,'#Data'!$B$2:$J$344,4,FALSE)="중간"),TRUE,FALSE)</f>
        <v>0</v>
      </c>
      <c r="I519" s="12" t="b">
        <v>0</v>
      </c>
      <c r="J519" s="12">
        <v>10</v>
      </c>
      <c r="K519" s="12">
        <f t="shared" si="15"/>
        <v>10</v>
      </c>
      <c r="L519" s="63" t="str">
        <f>$B519&amp;"."&amp;VLOOKUP($C519,'#Data'!$B$2:$J$344,2,FALSE)&amp;".attack0"&amp;RIGHT(L$1,1)</f>
        <v>Sector06.polluter_edge_1.attack01</v>
      </c>
      <c r="M519" s="63"/>
      <c r="N519" s="63"/>
      <c r="O519" s="134" t="str">
        <f>$B519&amp;"."&amp;VLOOKUP($C519,'#Data'!$B$2:$J$344,2,FALSE)&amp;".skill0"&amp;RIGHT(O$1,1)</f>
        <v>Sector06.polluter_edge_1.skill01</v>
      </c>
      <c r="P519" s="134" t="s">
        <v>2045</v>
      </c>
      <c r="Q519" s="134"/>
      <c r="R519" s="64"/>
      <c r="S519" s="64"/>
      <c r="T519" s="64"/>
      <c r="U519" s="64"/>
      <c r="V519" s="12" t="b">
        <v>0</v>
      </c>
      <c r="W519" s="12" t="str">
        <f>"Character/Prefabs/"&amp;VLOOKUP($C519,'#Data'!$B$3:$I$344,8,FALSE)</f>
        <v>Character/Prefabs/m_m_attacker_polluter_edge_1</v>
      </c>
      <c r="X519" s="12"/>
      <c r="Y519" s="12" t="str">
        <f>VLOOKUP($C519,'#Data'!$B$3:$I$344,8,FALSE)</f>
        <v>m_m_attacker_polluter_edge_1</v>
      </c>
      <c r="Z519" s="12"/>
      <c r="AA519" s="12"/>
      <c r="AB519" s="12"/>
      <c r="AC519" s="88">
        <v>0.6</v>
      </c>
      <c r="AD519" s="12"/>
      <c r="AE519" s="12"/>
      <c r="AF519" s="12"/>
      <c r="AG519" s="12" t="s">
        <v>2105</v>
      </c>
      <c r="AH519" s="85"/>
    </row>
    <row r="520" spans="1:34" x14ac:dyDescent="0.3">
      <c r="A520" s="12">
        <f t="shared" si="14"/>
        <v>1310206106</v>
      </c>
      <c r="B520" s="12" t="s">
        <v>174</v>
      </c>
      <c r="C520" s="12" t="s">
        <v>180</v>
      </c>
      <c r="D520" s="12" t="str">
        <f>"Monster.Name."&amp;VLOOKUP($C520,'#Data'!$B$2:$J$344,2,FALSE)</f>
        <v>Monster.Name.polluter_fluid_1</v>
      </c>
      <c r="E520" s="12" t="s">
        <v>47</v>
      </c>
      <c r="F520" s="39" t="s">
        <v>44</v>
      </c>
      <c r="G520" s="12" t="s">
        <v>45</v>
      </c>
      <c r="H520" s="12" t="b">
        <f>IF(OR(VLOOKUP($C520,'#Data'!$B$2:$J$344,4,FALSE)="보스",VLOOKUP($C520,'#Data'!$B$2:$J$344,4,FALSE)="중간"),TRUE,FALSE)</f>
        <v>0</v>
      </c>
      <c r="I520" s="12" t="b">
        <v>0</v>
      </c>
      <c r="J520" s="12">
        <v>10</v>
      </c>
      <c r="K520" s="12">
        <f t="shared" si="15"/>
        <v>10</v>
      </c>
      <c r="L520" s="63" t="str">
        <f>$B520&amp;"."&amp;VLOOKUP($C520,'#Data'!$B$2:$J$344,2,FALSE)&amp;".attack0"&amp;RIGHT(L$1,1)</f>
        <v>Sector06.polluter_fluid_1.attack01</v>
      </c>
      <c r="M520" s="63"/>
      <c r="N520" s="63"/>
      <c r="O520" s="134" t="str">
        <f>$B520&amp;"."&amp;VLOOKUP($C520,'#Data'!$B$2:$J$344,2,FALSE)&amp;".skill0"&amp;RIGHT(O$1,1)</f>
        <v>Sector06.polluter_fluid_1.skill01</v>
      </c>
      <c r="P520" s="134" t="s">
        <v>2046</v>
      </c>
      <c r="Q520" s="134"/>
      <c r="R520" s="64"/>
      <c r="S520" s="64"/>
      <c r="T520" s="64"/>
      <c r="U520" s="64"/>
      <c r="V520" s="12" t="b">
        <v>0</v>
      </c>
      <c r="W520" s="12" t="str">
        <f>"Character/Prefabs/"&amp;VLOOKUP($C520,'#Data'!$B$3:$I$344,8,FALSE)</f>
        <v>Character/Prefabs/m_m_ranger_polluter_fluid_1</v>
      </c>
      <c r="X520" s="12"/>
      <c r="Y520" s="12" t="str">
        <f>VLOOKUP($C520,'#Data'!$B$3:$I$344,8,FALSE)</f>
        <v>m_m_ranger_polluter_fluid_1</v>
      </c>
      <c r="Z520" s="12"/>
      <c r="AA520" s="12"/>
      <c r="AB520" s="12"/>
      <c r="AC520" s="88">
        <v>0.6</v>
      </c>
      <c r="AD520" s="12"/>
      <c r="AE520" s="12"/>
      <c r="AF520" s="12"/>
      <c r="AG520" s="12" t="s">
        <v>2105</v>
      </c>
      <c r="AH520" s="85"/>
    </row>
    <row r="521" spans="1:34" x14ac:dyDescent="0.3">
      <c r="A521" s="12">
        <f t="shared" ref="A521:A583" si="16">A328+100000000</f>
        <v>1310206107</v>
      </c>
      <c r="B521" s="12" t="s">
        <v>174</v>
      </c>
      <c r="C521" s="12" t="s">
        <v>181</v>
      </c>
      <c r="D521" s="12" t="str">
        <f>"Monster.Name."&amp;VLOOKUP($C521,'#Data'!$B$2:$J$344,2,FALSE)</f>
        <v>Monster.Name.polluter_liquid_1</v>
      </c>
      <c r="E521" s="12" t="s">
        <v>47</v>
      </c>
      <c r="F521" s="39" t="s">
        <v>44</v>
      </c>
      <c r="G521" s="12" t="s">
        <v>45</v>
      </c>
      <c r="H521" s="12" t="b">
        <f>IF(OR(VLOOKUP($C521,'#Data'!$B$2:$J$344,4,FALSE)="보스",VLOOKUP($C521,'#Data'!$B$2:$J$344,4,FALSE)="중간"),TRUE,FALSE)</f>
        <v>0</v>
      </c>
      <c r="I521" s="12" t="b">
        <v>0</v>
      </c>
      <c r="J521" s="12">
        <v>10</v>
      </c>
      <c r="K521" s="12">
        <f t="shared" ref="K521:K583" si="17">K328</f>
        <v>10</v>
      </c>
      <c r="L521" s="63" t="str">
        <f>$B521&amp;"."&amp;VLOOKUP($C521,'#Data'!$B$2:$J$344,2,FALSE)&amp;".attack0"&amp;RIGHT(L$1,1)</f>
        <v>Sector06.polluter_liquid_1.attack01</v>
      </c>
      <c r="M521" s="63"/>
      <c r="N521" s="63"/>
      <c r="O521" s="134" t="str">
        <f>$B521&amp;"."&amp;VLOOKUP($C521,'#Data'!$B$2:$J$344,2,FALSE)&amp;".skill0"&amp;RIGHT(O$1,1)</f>
        <v>Sector06.polluter_liquid_1.skill01</v>
      </c>
      <c r="P521" s="134" t="s">
        <v>2047</v>
      </c>
      <c r="Q521" s="134"/>
      <c r="R521" s="64"/>
      <c r="S521" s="64"/>
      <c r="T521" s="64"/>
      <c r="U521" s="64"/>
      <c r="V521" s="12" t="b">
        <v>0</v>
      </c>
      <c r="W521" s="12" t="str">
        <f>"Character/Prefabs/"&amp;VLOOKUP($C521,'#Data'!$B$3:$I$344,8,FALSE)</f>
        <v>Character/Prefabs/m_m_ranger_polluter_liquid_1</v>
      </c>
      <c r="X521" s="12"/>
      <c r="Y521" s="12" t="str">
        <f>VLOOKUP($C521,'#Data'!$B$3:$I$344,8,FALSE)</f>
        <v>m_m_ranger_polluter_liquid_1</v>
      </c>
      <c r="Z521" s="12"/>
      <c r="AA521" s="12"/>
      <c r="AB521" s="12"/>
      <c r="AC521" s="88">
        <v>0.6</v>
      </c>
      <c r="AD521" s="12"/>
      <c r="AE521" s="12"/>
      <c r="AF521" s="12"/>
      <c r="AG521" s="12" t="s">
        <v>2105</v>
      </c>
      <c r="AH521" s="85"/>
    </row>
    <row r="522" spans="1:34" x14ac:dyDescent="0.3">
      <c r="A522" s="12">
        <f t="shared" si="16"/>
        <v>1310206108</v>
      </c>
      <c r="B522" s="12" t="s">
        <v>174</v>
      </c>
      <c r="C522" s="12" t="s">
        <v>182</v>
      </c>
      <c r="D522" s="12" t="str">
        <f>"Monster.Name."&amp;VLOOKUP($C522,'#Data'!$B$2:$J$344,2,FALSE)</f>
        <v>Monster.Name.polluter_fog_1</v>
      </c>
      <c r="E522" s="12" t="s">
        <v>143</v>
      </c>
      <c r="F522" s="39" t="s">
        <v>44</v>
      </c>
      <c r="G522" s="12" t="s">
        <v>45</v>
      </c>
      <c r="H522" s="12" t="b">
        <f>IF(OR(VLOOKUP($C522,'#Data'!$B$2:$J$344,4,FALSE)="보스",VLOOKUP($C522,'#Data'!$B$2:$J$344,4,FALSE)="중간"),TRUE,FALSE)</f>
        <v>0</v>
      </c>
      <c r="I522" s="12" t="b">
        <v>0</v>
      </c>
      <c r="J522" s="12">
        <v>10</v>
      </c>
      <c r="K522" s="12">
        <f t="shared" si="17"/>
        <v>10</v>
      </c>
      <c r="L522" s="63" t="str">
        <f>$B522&amp;"."&amp;VLOOKUP($C522,'#Data'!$B$2:$J$344,2,FALSE)&amp;".attack0"&amp;RIGHT(L$1,1)</f>
        <v>Sector06.polluter_fog_1.attack01</v>
      </c>
      <c r="M522" s="63"/>
      <c r="N522" s="63"/>
      <c r="O522" s="134" t="str">
        <f>$B522&amp;"."&amp;VLOOKUP($C522,'#Data'!$B$2:$J$344,2,FALSE)&amp;".skill0"&amp;RIGHT(O$1,1)</f>
        <v>Sector06.polluter_fog_1.skill01</v>
      </c>
      <c r="P522" s="134" t="s">
        <v>2048</v>
      </c>
      <c r="Q522" s="134"/>
      <c r="R522" s="64"/>
      <c r="S522" s="64"/>
      <c r="T522" s="64"/>
      <c r="U522" s="64"/>
      <c r="V522" s="12" t="b">
        <v>0</v>
      </c>
      <c r="W522" s="12" t="str">
        <f>"Character/Prefabs/"&amp;VLOOKUP($C522,'#Data'!$B$3:$I$344,8,FALSE)</f>
        <v>Character/Prefabs/m_m_supporter_polluter_fog_1</v>
      </c>
      <c r="X522" s="12"/>
      <c r="Y522" s="12" t="str">
        <f>VLOOKUP($C522,'#Data'!$B$3:$I$344,8,FALSE)</f>
        <v>m_m_supporter_polluter_fog_1</v>
      </c>
      <c r="Z522" s="12"/>
      <c r="AA522" s="12"/>
      <c r="AB522" s="12"/>
      <c r="AC522" s="88">
        <v>0.6</v>
      </c>
      <c r="AD522" s="12"/>
      <c r="AE522" s="12"/>
      <c r="AF522" s="12"/>
      <c r="AG522" s="12" t="s">
        <v>2105</v>
      </c>
      <c r="AH522" s="85"/>
    </row>
    <row r="523" spans="1:34" x14ac:dyDescent="0.3">
      <c r="A523" s="12">
        <f t="shared" si="16"/>
        <v>1310206109</v>
      </c>
      <c r="B523" s="12" t="s">
        <v>174</v>
      </c>
      <c r="C523" s="12" t="s">
        <v>183</v>
      </c>
      <c r="D523" s="12" t="str">
        <f>"Monster.Name."&amp;VLOOKUP($C523,'#Data'!$B$2:$J$344,2,FALSE)</f>
        <v>Monster.Name.polluter_haze_1</v>
      </c>
      <c r="E523" s="12" t="s">
        <v>143</v>
      </c>
      <c r="F523" s="39" t="s">
        <v>44</v>
      </c>
      <c r="G523" s="12" t="s">
        <v>45</v>
      </c>
      <c r="H523" s="12" t="b">
        <f>IF(OR(VLOOKUP($C523,'#Data'!$B$2:$J$344,4,FALSE)="보스",VLOOKUP($C523,'#Data'!$B$2:$J$344,4,FALSE)="중간"),TRUE,FALSE)</f>
        <v>0</v>
      </c>
      <c r="I523" s="12" t="b">
        <v>0</v>
      </c>
      <c r="J523" s="12">
        <v>10</v>
      </c>
      <c r="K523" s="12">
        <f t="shared" si="17"/>
        <v>10</v>
      </c>
      <c r="L523" s="63" t="str">
        <f>$B523&amp;"."&amp;VLOOKUP($C523,'#Data'!$B$2:$J$344,2,FALSE)&amp;".attack0"&amp;RIGHT(L$1,1)</f>
        <v>Sector06.polluter_haze_1.attack01</v>
      </c>
      <c r="M523" s="63"/>
      <c r="N523" s="63"/>
      <c r="O523" s="134" t="str">
        <f>$B523&amp;"."&amp;VLOOKUP($C523,'#Data'!$B$2:$J$344,2,FALSE)&amp;".skill0"&amp;RIGHT(O$1,1)</f>
        <v>Sector06.polluter_haze_1.skill01</v>
      </c>
      <c r="P523" s="134" t="s">
        <v>2049</v>
      </c>
      <c r="Q523" s="134"/>
      <c r="R523" s="64"/>
      <c r="S523" s="64"/>
      <c r="T523" s="64"/>
      <c r="U523" s="64"/>
      <c r="V523" s="12" t="b">
        <v>0</v>
      </c>
      <c r="W523" s="12" t="str">
        <f>"Character/Prefabs/"&amp;VLOOKUP($C523,'#Data'!$B$3:$I$344,8,FALSE)</f>
        <v>Character/Prefabs/m_m_supporter_polluter_haze_1</v>
      </c>
      <c r="X523" s="12"/>
      <c r="Y523" s="12" t="str">
        <f>VLOOKUP($C523,'#Data'!$B$3:$I$344,8,FALSE)</f>
        <v>m_m_supporter_polluter_haze_1</v>
      </c>
      <c r="Z523" s="12"/>
      <c r="AA523" s="12"/>
      <c r="AB523" s="12"/>
      <c r="AC523" s="88">
        <v>0.6</v>
      </c>
      <c r="AD523" s="12"/>
      <c r="AE523" s="12"/>
      <c r="AF523" s="12"/>
      <c r="AG523" s="12" t="s">
        <v>2105</v>
      </c>
      <c r="AH523" s="85"/>
    </row>
    <row r="524" spans="1:34" x14ac:dyDescent="0.3">
      <c r="A524" s="49">
        <f t="shared" si="16"/>
        <v>1310206110</v>
      </c>
      <c r="B524" s="49" t="s">
        <v>174</v>
      </c>
      <c r="C524" s="49" t="s">
        <v>1300</v>
      </c>
      <c r="D524" s="49" t="str">
        <f>"Monster.Name."&amp;VLOOKUP($C524,'#Data'!$B$2:$J$344,2,FALSE)</f>
        <v>Monster.Name.polluter_patrol_2</v>
      </c>
      <c r="E524" s="49" t="s">
        <v>43</v>
      </c>
      <c r="F524" s="50" t="s">
        <v>44</v>
      </c>
      <c r="G524" s="49" t="s">
        <v>45</v>
      </c>
      <c r="H524" s="49" t="b">
        <f>IF(OR(VLOOKUP($C524,'#Data'!$B$2:$J$344,4,FALSE)="보스",VLOOKUP($C524,'#Data'!$B$2:$J$344,4,FALSE)="중간"),TRUE,FALSE)</f>
        <v>0</v>
      </c>
      <c r="I524" s="49" t="b">
        <v>0</v>
      </c>
      <c r="J524" s="49">
        <v>10</v>
      </c>
      <c r="K524" s="49">
        <f t="shared" si="17"/>
        <v>10</v>
      </c>
      <c r="L524" s="65" t="s">
        <v>1378</v>
      </c>
      <c r="M524" s="65"/>
      <c r="N524" s="65"/>
      <c r="O524" s="134" t="s">
        <v>2041</v>
      </c>
      <c r="P524" s="135"/>
      <c r="Q524" s="135"/>
      <c r="R524" s="66"/>
      <c r="S524" s="66"/>
      <c r="T524" s="66"/>
      <c r="U524" s="66"/>
      <c r="V524" s="49" t="b">
        <v>0</v>
      </c>
      <c r="W524" s="49" t="str">
        <f>"Character/Prefabs/"&amp;VLOOKUP($C524,'#Data'!$B$3:$I$344,8,FALSE)</f>
        <v>Character/Prefabs/m_s_attacker_polluter_patrol_2</v>
      </c>
      <c r="X524" s="49"/>
      <c r="Y524" s="49" t="str">
        <f>VLOOKUP($C524,'#Data'!$B$3:$I$344,8,FALSE)</f>
        <v>m_s_attacker_polluter_patrol_2</v>
      </c>
      <c r="Z524" s="49"/>
      <c r="AA524" s="49"/>
      <c r="AB524" s="49"/>
      <c r="AC524" s="89">
        <v>0.9</v>
      </c>
      <c r="AD524" s="49"/>
      <c r="AE524" s="49"/>
      <c r="AF524" s="49"/>
      <c r="AG524" s="49" t="s">
        <v>2105</v>
      </c>
      <c r="AH524" s="85"/>
    </row>
    <row r="525" spans="1:34" x14ac:dyDescent="0.3">
      <c r="A525" s="49">
        <f t="shared" si="16"/>
        <v>1310206111</v>
      </c>
      <c r="B525" s="49" t="s">
        <v>174</v>
      </c>
      <c r="C525" s="49" t="s">
        <v>1302</v>
      </c>
      <c r="D525" s="49" t="str">
        <f>"Monster.Name."&amp;VLOOKUP($C525,'#Data'!$B$2:$J$344,2,FALSE)</f>
        <v>Monster.Name.polluter_eyeball_2</v>
      </c>
      <c r="E525" s="49" t="s">
        <v>47</v>
      </c>
      <c r="F525" s="50" t="s">
        <v>44</v>
      </c>
      <c r="G525" s="49" t="s">
        <v>45</v>
      </c>
      <c r="H525" s="49" t="b">
        <f>IF(OR(VLOOKUP($C525,'#Data'!$B$2:$J$344,4,FALSE)="보스",VLOOKUP($C525,'#Data'!$B$2:$J$344,4,FALSE)="중간"),TRUE,FALSE)</f>
        <v>0</v>
      </c>
      <c r="I525" s="49" t="b">
        <v>0</v>
      </c>
      <c r="J525" s="49">
        <v>10</v>
      </c>
      <c r="K525" s="49">
        <f t="shared" si="17"/>
        <v>10</v>
      </c>
      <c r="L525" s="65" t="s">
        <v>1379</v>
      </c>
      <c r="M525" s="65"/>
      <c r="N525" s="65"/>
      <c r="O525" s="134" t="s">
        <v>2042</v>
      </c>
      <c r="P525" s="135"/>
      <c r="Q525" s="135"/>
      <c r="R525" s="66"/>
      <c r="S525" s="66"/>
      <c r="T525" s="66"/>
      <c r="U525" s="66"/>
      <c r="V525" s="49" t="b">
        <v>0</v>
      </c>
      <c r="W525" s="49" t="str">
        <f>"Character/Prefabs/"&amp;VLOOKUP($C525,'#Data'!$B$3:$I$344,8,FALSE)</f>
        <v>Character/Prefabs/m_s_ranger_polluter_eyeball_2</v>
      </c>
      <c r="X525" s="49"/>
      <c r="Y525" s="49" t="str">
        <f>VLOOKUP($C525,'#Data'!$B$3:$I$344,8,FALSE)</f>
        <v>m_s_ranger_polluter_eyeball_2</v>
      </c>
      <c r="Z525" s="49"/>
      <c r="AA525" s="49"/>
      <c r="AB525" s="49"/>
      <c r="AC525" s="89">
        <v>0.9</v>
      </c>
      <c r="AD525" s="49"/>
      <c r="AE525" s="49"/>
      <c r="AF525" s="49"/>
      <c r="AG525" s="49" t="s">
        <v>2105</v>
      </c>
      <c r="AH525" s="85"/>
    </row>
    <row r="526" spans="1:34" x14ac:dyDescent="0.3">
      <c r="A526" s="49">
        <f t="shared" si="16"/>
        <v>1310206112</v>
      </c>
      <c r="B526" s="49" t="s">
        <v>174</v>
      </c>
      <c r="C526" s="49" t="s">
        <v>1304</v>
      </c>
      <c r="D526" s="49" t="str">
        <f>"Monster.Name."&amp;VLOOKUP($C526,'#Data'!$B$2:$J$344,2,FALSE)</f>
        <v>Monster.Name.polluter_exploder_2</v>
      </c>
      <c r="E526" s="49" t="s">
        <v>43</v>
      </c>
      <c r="F526" s="50" t="s">
        <v>44</v>
      </c>
      <c r="G526" s="49" t="s">
        <v>45</v>
      </c>
      <c r="H526" s="49" t="b">
        <f>IF(OR(VLOOKUP($C526,'#Data'!$B$2:$J$344,4,FALSE)="보스",VLOOKUP($C526,'#Data'!$B$2:$J$344,4,FALSE)="중간"),TRUE,FALSE)</f>
        <v>0</v>
      </c>
      <c r="I526" s="49" t="b">
        <v>0</v>
      </c>
      <c r="J526" s="49">
        <v>10</v>
      </c>
      <c r="K526" s="49">
        <f t="shared" si="17"/>
        <v>10</v>
      </c>
      <c r="L526" s="65" t="s">
        <v>1380</v>
      </c>
      <c r="M526" s="65"/>
      <c r="N526" s="65"/>
      <c r="O526" s="135" t="s">
        <v>1387</v>
      </c>
      <c r="P526" s="134" t="s">
        <v>2043</v>
      </c>
      <c r="Q526" s="135"/>
      <c r="R526" s="66"/>
      <c r="S526" s="66"/>
      <c r="T526" s="66"/>
      <c r="U526" s="66"/>
      <c r="V526" s="49" t="b">
        <v>0</v>
      </c>
      <c r="W526" s="49" t="str">
        <f>"Character/Prefabs/"&amp;VLOOKUP($C526,'#Data'!$B$3:$I$344,8,FALSE)</f>
        <v>Character/Prefabs/m_s_attacker_polluter_exploder_2</v>
      </c>
      <c r="X526" s="49"/>
      <c r="Y526" s="49" t="str">
        <f>VLOOKUP($C526,'#Data'!$B$3:$I$344,8,FALSE)</f>
        <v>m_s_attacker_polluter_exploder_2</v>
      </c>
      <c r="Z526" s="49"/>
      <c r="AA526" s="49"/>
      <c r="AB526" s="49"/>
      <c r="AC526" s="89">
        <v>0.9</v>
      </c>
      <c r="AD526" s="49"/>
      <c r="AE526" s="49"/>
      <c r="AF526" s="49"/>
      <c r="AG526" s="49" t="s">
        <v>2105</v>
      </c>
      <c r="AH526" s="85"/>
    </row>
    <row r="527" spans="1:34" x14ac:dyDescent="0.3">
      <c r="A527" s="49">
        <f t="shared" si="16"/>
        <v>1310206113</v>
      </c>
      <c r="B527" s="49" t="s">
        <v>174</v>
      </c>
      <c r="C527" s="49" t="s">
        <v>1306</v>
      </c>
      <c r="D527" s="49" t="str">
        <f>"Monster.Name."&amp;VLOOKUP($C527,'#Data'!$B$2:$J$344,2,FALSE)</f>
        <v>Monster.Name.polluter_2</v>
      </c>
      <c r="E527" s="49" t="s">
        <v>43</v>
      </c>
      <c r="F527" s="50" t="s">
        <v>44</v>
      </c>
      <c r="G527" s="49" t="s">
        <v>45</v>
      </c>
      <c r="H527" s="49" t="b">
        <f>IF(OR(VLOOKUP($C527,'#Data'!$B$2:$J$344,4,FALSE)="보스",VLOOKUP($C527,'#Data'!$B$2:$J$344,4,FALSE)="중간"),TRUE,FALSE)</f>
        <v>0</v>
      </c>
      <c r="I527" s="49" t="b">
        <v>0</v>
      </c>
      <c r="J527" s="49">
        <v>10</v>
      </c>
      <c r="K527" s="49">
        <f t="shared" si="17"/>
        <v>10</v>
      </c>
      <c r="L527" s="65" t="s">
        <v>1381</v>
      </c>
      <c r="M527" s="65"/>
      <c r="N527" s="65"/>
      <c r="O527" s="135" t="s">
        <v>1388</v>
      </c>
      <c r="P527" s="134" t="s">
        <v>2044</v>
      </c>
      <c r="Q527" s="135"/>
      <c r="R527" s="66"/>
      <c r="S527" s="66"/>
      <c r="T527" s="66"/>
      <c r="U527" s="66"/>
      <c r="V527" s="49" t="b">
        <v>0</v>
      </c>
      <c r="W527" s="49" t="str">
        <f>"Character/Prefabs/"&amp;VLOOKUP($C527,'#Data'!$B$3:$I$344,8,FALSE)</f>
        <v>Character/Prefabs/m_m_attacker_polluter_2</v>
      </c>
      <c r="X527" s="49"/>
      <c r="Y527" s="49" t="str">
        <f>VLOOKUP($C527,'#Data'!$B$3:$I$344,8,FALSE)</f>
        <v>m_m_attacker_polluter_2</v>
      </c>
      <c r="Z527" s="49"/>
      <c r="AA527" s="49"/>
      <c r="AB527" s="49"/>
      <c r="AC527" s="89">
        <v>0.6</v>
      </c>
      <c r="AD527" s="49"/>
      <c r="AE527" s="49"/>
      <c r="AF527" s="49"/>
      <c r="AG527" s="49" t="s">
        <v>2105</v>
      </c>
      <c r="AH527" s="85"/>
    </row>
    <row r="528" spans="1:34" x14ac:dyDescent="0.3">
      <c r="A528" s="49">
        <f t="shared" si="16"/>
        <v>1310206114</v>
      </c>
      <c r="B528" s="49" t="s">
        <v>174</v>
      </c>
      <c r="C528" s="49" t="s">
        <v>1308</v>
      </c>
      <c r="D528" s="49" t="str">
        <f>"Monster.Name."&amp;VLOOKUP($C528,'#Data'!$B$2:$J$344,2,FALSE)</f>
        <v>Monster.Name.polluter_edge_2</v>
      </c>
      <c r="E528" s="49" t="s">
        <v>43</v>
      </c>
      <c r="F528" s="50" t="s">
        <v>44</v>
      </c>
      <c r="G528" s="49" t="s">
        <v>45</v>
      </c>
      <c r="H528" s="49" t="b">
        <f>IF(OR(VLOOKUP($C528,'#Data'!$B$2:$J$344,4,FALSE)="보스",VLOOKUP($C528,'#Data'!$B$2:$J$344,4,FALSE)="중간"),TRUE,FALSE)</f>
        <v>0</v>
      </c>
      <c r="I528" s="49" t="b">
        <v>0</v>
      </c>
      <c r="J528" s="49">
        <v>10</v>
      </c>
      <c r="K528" s="49">
        <f t="shared" si="17"/>
        <v>10</v>
      </c>
      <c r="L528" s="65" t="s">
        <v>1382</v>
      </c>
      <c r="M528" s="65"/>
      <c r="N528" s="65"/>
      <c r="O528" s="135" t="s">
        <v>1389</v>
      </c>
      <c r="P528" s="134" t="s">
        <v>2045</v>
      </c>
      <c r="Q528" s="135"/>
      <c r="R528" s="66"/>
      <c r="S528" s="66"/>
      <c r="T528" s="66"/>
      <c r="U528" s="66"/>
      <c r="V528" s="49" t="b">
        <v>0</v>
      </c>
      <c r="W528" s="49" t="str">
        <f>"Character/Prefabs/"&amp;VLOOKUP($C528,'#Data'!$B$3:$I$344,8,FALSE)</f>
        <v>Character/Prefabs/m_m_attacker_polluter_edge_2</v>
      </c>
      <c r="X528" s="49"/>
      <c r="Y528" s="49" t="str">
        <f>VLOOKUP($C528,'#Data'!$B$3:$I$344,8,FALSE)</f>
        <v>m_m_attacker_polluter_edge_2</v>
      </c>
      <c r="Z528" s="49"/>
      <c r="AA528" s="49"/>
      <c r="AB528" s="49"/>
      <c r="AC528" s="89">
        <v>0.6</v>
      </c>
      <c r="AD528" s="49"/>
      <c r="AE528" s="49"/>
      <c r="AF528" s="49"/>
      <c r="AG528" s="49" t="s">
        <v>2105</v>
      </c>
      <c r="AH528" s="85"/>
    </row>
    <row r="529" spans="1:34" x14ac:dyDescent="0.3">
      <c r="A529" s="49">
        <f t="shared" si="16"/>
        <v>1310206115</v>
      </c>
      <c r="B529" s="49" t="s">
        <v>174</v>
      </c>
      <c r="C529" s="49" t="s">
        <v>1310</v>
      </c>
      <c r="D529" s="49" t="str">
        <f>"Monster.Name."&amp;VLOOKUP($C529,'#Data'!$B$2:$J$344,2,FALSE)</f>
        <v>Monster.Name.polluter_fluid_2</v>
      </c>
      <c r="E529" s="49" t="s">
        <v>47</v>
      </c>
      <c r="F529" s="50" t="s">
        <v>44</v>
      </c>
      <c r="G529" s="49" t="s">
        <v>45</v>
      </c>
      <c r="H529" s="49" t="b">
        <f>IF(OR(VLOOKUP($C529,'#Data'!$B$2:$J$344,4,FALSE)="보스",VLOOKUP($C529,'#Data'!$B$2:$J$344,4,FALSE)="중간"),TRUE,FALSE)</f>
        <v>0</v>
      </c>
      <c r="I529" s="49" t="b">
        <v>0</v>
      </c>
      <c r="J529" s="49">
        <v>10</v>
      </c>
      <c r="K529" s="49">
        <f t="shared" si="17"/>
        <v>10</v>
      </c>
      <c r="L529" s="65" t="s">
        <v>1383</v>
      </c>
      <c r="M529" s="65"/>
      <c r="N529" s="65"/>
      <c r="O529" s="135" t="s">
        <v>1390</v>
      </c>
      <c r="P529" s="134" t="s">
        <v>2046</v>
      </c>
      <c r="Q529" s="135"/>
      <c r="R529" s="66"/>
      <c r="S529" s="66"/>
      <c r="T529" s="66"/>
      <c r="U529" s="66"/>
      <c r="V529" s="49" t="b">
        <v>0</v>
      </c>
      <c r="W529" s="49" t="str">
        <f>"Character/Prefabs/"&amp;VLOOKUP($C529,'#Data'!$B$3:$I$344,8,FALSE)</f>
        <v>Character/Prefabs/m_m_ranger_polluter_fluid_2</v>
      </c>
      <c r="X529" s="49"/>
      <c r="Y529" s="49" t="str">
        <f>VLOOKUP($C529,'#Data'!$B$3:$I$344,8,FALSE)</f>
        <v>m_m_ranger_polluter_fluid_2</v>
      </c>
      <c r="Z529" s="49"/>
      <c r="AA529" s="49"/>
      <c r="AB529" s="49"/>
      <c r="AC529" s="89">
        <v>0.6</v>
      </c>
      <c r="AD529" s="49"/>
      <c r="AE529" s="49"/>
      <c r="AF529" s="49"/>
      <c r="AG529" s="49" t="s">
        <v>2105</v>
      </c>
      <c r="AH529" s="85"/>
    </row>
    <row r="530" spans="1:34" x14ac:dyDescent="0.3">
      <c r="A530" s="49">
        <f t="shared" si="16"/>
        <v>1310206116</v>
      </c>
      <c r="B530" s="49" t="s">
        <v>174</v>
      </c>
      <c r="C530" s="49" t="s">
        <v>1312</v>
      </c>
      <c r="D530" s="49" t="str">
        <f>"Monster.Name."&amp;VLOOKUP($C530,'#Data'!$B$2:$J$344,2,FALSE)</f>
        <v>Monster.Name.polluter_liquid_2</v>
      </c>
      <c r="E530" s="49" t="s">
        <v>47</v>
      </c>
      <c r="F530" s="50" t="s">
        <v>44</v>
      </c>
      <c r="G530" s="49" t="s">
        <v>45</v>
      </c>
      <c r="H530" s="49" t="b">
        <f>IF(OR(VLOOKUP($C530,'#Data'!$B$2:$J$344,4,FALSE)="보스",VLOOKUP($C530,'#Data'!$B$2:$J$344,4,FALSE)="중간"),TRUE,FALSE)</f>
        <v>0</v>
      </c>
      <c r="I530" s="49" t="b">
        <v>0</v>
      </c>
      <c r="J530" s="49">
        <v>10</v>
      </c>
      <c r="K530" s="49">
        <f t="shared" si="17"/>
        <v>10</v>
      </c>
      <c r="L530" s="65" t="s">
        <v>1384</v>
      </c>
      <c r="M530" s="65"/>
      <c r="N530" s="65"/>
      <c r="O530" s="135" t="s">
        <v>1391</v>
      </c>
      <c r="P530" s="134" t="s">
        <v>2047</v>
      </c>
      <c r="Q530" s="135"/>
      <c r="R530" s="66"/>
      <c r="S530" s="66"/>
      <c r="T530" s="66"/>
      <c r="U530" s="66"/>
      <c r="V530" s="49" t="b">
        <v>0</v>
      </c>
      <c r="W530" s="49" t="str">
        <f>"Character/Prefabs/"&amp;VLOOKUP($C530,'#Data'!$B$3:$I$344,8,FALSE)</f>
        <v>Character/Prefabs/m_m_ranger_polluter_liquid_2</v>
      </c>
      <c r="X530" s="49"/>
      <c r="Y530" s="49" t="str">
        <f>VLOOKUP($C530,'#Data'!$B$3:$I$344,8,FALSE)</f>
        <v>m_m_ranger_polluter_liquid_2</v>
      </c>
      <c r="Z530" s="49"/>
      <c r="AA530" s="49"/>
      <c r="AB530" s="49"/>
      <c r="AC530" s="89">
        <v>0.6</v>
      </c>
      <c r="AD530" s="49"/>
      <c r="AE530" s="49"/>
      <c r="AF530" s="49"/>
      <c r="AG530" s="49" t="s">
        <v>2105</v>
      </c>
      <c r="AH530" s="85"/>
    </row>
    <row r="531" spans="1:34" x14ac:dyDescent="0.3">
      <c r="A531" s="49">
        <f t="shared" si="16"/>
        <v>1310206117</v>
      </c>
      <c r="B531" s="49" t="s">
        <v>174</v>
      </c>
      <c r="C531" s="49" t="s">
        <v>1314</v>
      </c>
      <c r="D531" s="49" t="str">
        <f>"Monster.Name."&amp;VLOOKUP($C531,'#Data'!$B$2:$J$344,2,FALSE)</f>
        <v>Monster.Name.polluter_fog_2</v>
      </c>
      <c r="E531" s="49" t="s">
        <v>143</v>
      </c>
      <c r="F531" s="50" t="s">
        <v>44</v>
      </c>
      <c r="G531" s="49" t="s">
        <v>45</v>
      </c>
      <c r="H531" s="49" t="b">
        <f>IF(OR(VLOOKUP($C531,'#Data'!$B$2:$J$344,4,FALSE)="보스",VLOOKUP($C531,'#Data'!$B$2:$J$344,4,FALSE)="중간"),TRUE,FALSE)</f>
        <v>0</v>
      </c>
      <c r="I531" s="49" t="b">
        <v>0</v>
      </c>
      <c r="J531" s="49">
        <v>10</v>
      </c>
      <c r="K531" s="49">
        <f t="shared" si="17"/>
        <v>10</v>
      </c>
      <c r="L531" s="65" t="s">
        <v>1385</v>
      </c>
      <c r="M531" s="65"/>
      <c r="N531" s="65"/>
      <c r="O531" s="135" t="s">
        <v>1392</v>
      </c>
      <c r="P531" s="134" t="s">
        <v>2048</v>
      </c>
      <c r="Q531" s="135"/>
      <c r="R531" s="66"/>
      <c r="S531" s="66"/>
      <c r="T531" s="66"/>
      <c r="U531" s="66"/>
      <c r="V531" s="49" t="b">
        <v>0</v>
      </c>
      <c r="W531" s="49" t="str">
        <f>"Character/Prefabs/"&amp;VLOOKUP($C531,'#Data'!$B$3:$I$344,8,FALSE)</f>
        <v>Character/Prefabs/m_m_supporter_polluter_fog_2</v>
      </c>
      <c r="X531" s="49"/>
      <c r="Y531" s="49" t="str">
        <f>VLOOKUP($C531,'#Data'!$B$3:$I$344,8,FALSE)</f>
        <v>m_m_supporter_polluter_fog_2</v>
      </c>
      <c r="Z531" s="49"/>
      <c r="AA531" s="49"/>
      <c r="AB531" s="49"/>
      <c r="AC531" s="89">
        <v>0.6</v>
      </c>
      <c r="AD531" s="49"/>
      <c r="AE531" s="49"/>
      <c r="AF531" s="49"/>
      <c r="AG531" s="49" t="s">
        <v>2105</v>
      </c>
      <c r="AH531" s="85"/>
    </row>
    <row r="532" spans="1:34" x14ac:dyDescent="0.3">
      <c r="A532" s="49">
        <f t="shared" si="16"/>
        <v>1310206118</v>
      </c>
      <c r="B532" s="49" t="s">
        <v>174</v>
      </c>
      <c r="C532" s="49" t="s">
        <v>1316</v>
      </c>
      <c r="D532" s="49" t="str">
        <f>"Monster.Name."&amp;VLOOKUP($C532,'#Data'!$B$2:$J$344,2,FALSE)</f>
        <v>Monster.Name.polluter_haze_2</v>
      </c>
      <c r="E532" s="49" t="s">
        <v>143</v>
      </c>
      <c r="F532" s="50" t="s">
        <v>44</v>
      </c>
      <c r="G532" s="49" t="s">
        <v>45</v>
      </c>
      <c r="H532" s="49" t="b">
        <f>IF(OR(VLOOKUP($C532,'#Data'!$B$2:$J$344,4,FALSE)="보스",VLOOKUP($C532,'#Data'!$B$2:$J$344,4,FALSE)="중간"),TRUE,FALSE)</f>
        <v>0</v>
      </c>
      <c r="I532" s="49" t="b">
        <v>0</v>
      </c>
      <c r="J532" s="49">
        <v>10</v>
      </c>
      <c r="K532" s="49">
        <f t="shared" si="17"/>
        <v>10</v>
      </c>
      <c r="L532" s="65" t="s">
        <v>1386</v>
      </c>
      <c r="M532" s="65"/>
      <c r="N532" s="65"/>
      <c r="O532" s="135" t="s">
        <v>1393</v>
      </c>
      <c r="P532" s="134" t="s">
        <v>2049</v>
      </c>
      <c r="Q532" s="135"/>
      <c r="R532" s="66"/>
      <c r="S532" s="66"/>
      <c r="T532" s="66"/>
      <c r="U532" s="66"/>
      <c r="V532" s="49" t="b">
        <v>0</v>
      </c>
      <c r="W532" s="49" t="str">
        <f>"Character/Prefabs/"&amp;VLOOKUP($C532,'#Data'!$B$3:$I$344,8,FALSE)</f>
        <v>Character/Prefabs/m_m_supporter_polluter_haze_2</v>
      </c>
      <c r="X532" s="49"/>
      <c r="Y532" s="49" t="str">
        <f>VLOOKUP($C532,'#Data'!$B$3:$I$344,8,FALSE)</f>
        <v>m_m_supporter_polluter_haze_2</v>
      </c>
      <c r="Z532" s="49"/>
      <c r="AA532" s="49"/>
      <c r="AB532" s="49"/>
      <c r="AC532" s="89">
        <v>0.6</v>
      </c>
      <c r="AD532" s="49"/>
      <c r="AE532" s="49"/>
      <c r="AF532" s="49"/>
      <c r="AG532" s="49" t="s">
        <v>2105</v>
      </c>
      <c r="AH532" s="85"/>
    </row>
    <row r="533" spans="1:34" x14ac:dyDescent="0.3">
      <c r="A533" s="12">
        <f t="shared" si="16"/>
        <v>1310206201</v>
      </c>
      <c r="B533" s="12" t="s">
        <v>174</v>
      </c>
      <c r="C533" s="12" t="s">
        <v>184</v>
      </c>
      <c r="D533" s="12" t="str">
        <f>"Monster.Name."&amp;VLOOKUP($C533,'#Data'!$B$2:$J$344,2,FALSE)</f>
        <v>Monster.Name.polluter_chunk_1</v>
      </c>
      <c r="E533" s="12" t="s">
        <v>43</v>
      </c>
      <c r="F533" s="39" t="s">
        <v>44</v>
      </c>
      <c r="G533" s="12" t="s">
        <v>45</v>
      </c>
      <c r="H533" s="12" t="b">
        <f>IF(OR(VLOOKUP($C533,'#Data'!$B$2:$J$344,4,FALSE)="보스",VLOOKUP($C533,'#Data'!$B$2:$J$344,4,FALSE)="중간"),TRUE,FALSE)</f>
        <v>1</v>
      </c>
      <c r="I533" s="12" t="b">
        <v>1</v>
      </c>
      <c r="J533" s="12">
        <v>10</v>
      </c>
      <c r="K533" s="12">
        <f t="shared" si="17"/>
        <v>10</v>
      </c>
      <c r="L533" s="63" t="str">
        <f>$B533&amp;"."&amp;VLOOKUP($C533,'#Data'!$B$2:$J$344,2,FALSE)&amp;".attack0"&amp;RIGHT(L$1,1)</f>
        <v>Sector06.polluter_chunk_1.attack01</v>
      </c>
      <c r="M533" s="63"/>
      <c r="N533" s="63"/>
      <c r="O533" s="134" t="str">
        <f>$B533&amp;"."&amp;VLOOKUP($C533,'#Data'!$B$2:$J$344,2,FALSE)&amp;".skill0"&amp;RIGHT(O$1,1)</f>
        <v>Sector06.polluter_chunk_1.skill01</v>
      </c>
      <c r="P533" s="134" t="str">
        <f>$B533&amp;"."&amp;VLOOKUP($C533,'#Data'!$B$2:$J$344,2,FALSE)&amp;".skill0"&amp;RIGHT(P$1,1)</f>
        <v>Sector06.polluter_chunk_1.skill02</v>
      </c>
      <c r="Q533" s="134" t="str">
        <f>$B533&amp;"."&amp;VLOOKUP($C533,'#Data'!$B$2:$J$344,2,FALSE)&amp;".skill0"&amp;RIGHT(Q$1,1)</f>
        <v>Sector06.polluter_chunk_1.skill03</v>
      </c>
      <c r="R533" s="64"/>
      <c r="S533" s="64" t="s">
        <v>2078</v>
      </c>
      <c r="T533" s="64"/>
      <c r="U533" s="64"/>
      <c r="V533" s="12" t="b">
        <v>0</v>
      </c>
      <c r="W533" s="12" t="str">
        <f>"Character/Prefabs/"&amp;VLOOKUP($C533,'#Data'!$B$3:$I$344,8,FALSE)</f>
        <v>Character/Prefabs/m_l_attacker_polluter_chunk_1</v>
      </c>
      <c r="X533" s="12"/>
      <c r="Y533" s="12" t="str">
        <f>VLOOKUP($C533,'#Data'!$B$3:$I$344,8,FALSE)</f>
        <v>m_l_attacker_polluter_chunk_1</v>
      </c>
      <c r="Z533" s="12"/>
      <c r="AA533" s="12"/>
      <c r="AB533" s="12"/>
      <c r="AC533" s="88">
        <v>1</v>
      </c>
      <c r="AD533" s="12"/>
      <c r="AE533" s="12"/>
      <c r="AF533" s="12"/>
      <c r="AG533" s="12" t="s">
        <v>2105</v>
      </c>
      <c r="AH533" s="85"/>
    </row>
    <row r="534" spans="1:34" x14ac:dyDescent="0.3">
      <c r="A534" s="12">
        <f t="shared" si="16"/>
        <v>1310206202</v>
      </c>
      <c r="B534" s="12" t="s">
        <v>174</v>
      </c>
      <c r="C534" s="12" t="s">
        <v>185</v>
      </c>
      <c r="D534" s="12" t="str">
        <f>"Monster.Name."&amp;VLOOKUP($C534,'#Data'!$B$2:$J$344,2,FALSE)</f>
        <v>Monster.Name.polluter_spike_1</v>
      </c>
      <c r="E534" s="12" t="s">
        <v>43</v>
      </c>
      <c r="F534" s="39" t="s">
        <v>44</v>
      </c>
      <c r="G534" s="12" t="s">
        <v>45</v>
      </c>
      <c r="H534" s="12" t="b">
        <f>IF(OR(VLOOKUP($C534,'#Data'!$B$2:$J$344,4,FALSE)="보스",VLOOKUP($C534,'#Data'!$B$2:$J$344,4,FALSE)="중간"),TRUE,FALSE)</f>
        <v>1</v>
      </c>
      <c r="I534" s="12" t="b">
        <v>1</v>
      </c>
      <c r="J534" s="12">
        <v>10</v>
      </c>
      <c r="K534" s="12">
        <f t="shared" si="17"/>
        <v>10</v>
      </c>
      <c r="L534" s="63" t="str">
        <f>$B534&amp;"."&amp;VLOOKUP($C534,'#Data'!$B$2:$J$344,2,FALSE)&amp;".attack0"&amp;RIGHT(L$1,1)</f>
        <v>Sector06.polluter_spike_1.attack01</v>
      </c>
      <c r="M534" s="63"/>
      <c r="N534" s="63"/>
      <c r="O534" s="134" t="str">
        <f>$B534&amp;"."&amp;VLOOKUP($C534,'#Data'!$B$2:$J$344,2,FALSE)&amp;".skill0"&amp;RIGHT(O$1,1)</f>
        <v>Sector06.polluter_spike_1.skill01</v>
      </c>
      <c r="P534" s="134" t="str">
        <f>$B534&amp;"."&amp;VLOOKUP($C534,'#Data'!$B$2:$J$344,2,FALSE)&amp;".skill0"&amp;RIGHT(P$1,1)</f>
        <v>Sector06.polluter_spike_1.skill02</v>
      </c>
      <c r="Q534" s="134" t="str">
        <f>$B534&amp;"."&amp;VLOOKUP($C534,'#Data'!$B$2:$J$344,2,FALSE)&amp;".skill0"&amp;RIGHT(Q$1,1)</f>
        <v>Sector06.polluter_spike_1.skill03</v>
      </c>
      <c r="R534" s="64"/>
      <c r="S534" s="64" t="s">
        <v>2078</v>
      </c>
      <c r="T534" s="64"/>
      <c r="U534" s="64"/>
      <c r="V534" s="12" t="b">
        <v>0</v>
      </c>
      <c r="W534" s="12" t="str">
        <f>"Character/Prefabs/"&amp;VLOOKUP($C534,'#Data'!$B$3:$I$344,8,FALSE)</f>
        <v>Character/Prefabs/m_l_attacker_polluter_spike_1</v>
      </c>
      <c r="X534" s="12"/>
      <c r="Y534" s="12" t="str">
        <f>VLOOKUP($C534,'#Data'!$B$3:$I$344,8,FALSE)</f>
        <v>m_l_attacker_polluter_spike_1</v>
      </c>
      <c r="Z534" s="12"/>
      <c r="AA534" s="12"/>
      <c r="AB534" s="12"/>
      <c r="AC534" s="88">
        <v>0.7</v>
      </c>
      <c r="AD534" s="12"/>
      <c r="AE534" s="12"/>
      <c r="AF534" s="12"/>
      <c r="AG534" s="12" t="s">
        <v>2105</v>
      </c>
      <c r="AH534" s="85"/>
    </row>
    <row r="535" spans="1:34" x14ac:dyDescent="0.3">
      <c r="A535" s="12">
        <f t="shared" si="16"/>
        <v>1310206203</v>
      </c>
      <c r="B535" s="12" t="s">
        <v>174</v>
      </c>
      <c r="C535" s="12" t="s">
        <v>186</v>
      </c>
      <c r="D535" s="12" t="str">
        <f>"Monster.Name."&amp;VLOOKUP($C535,'#Data'!$B$2:$J$344,2,FALSE)</f>
        <v>Monster.Name.polluter_bloblauncher_1</v>
      </c>
      <c r="E535" s="12" t="s">
        <v>47</v>
      </c>
      <c r="F535" s="39" t="s">
        <v>44</v>
      </c>
      <c r="G535" s="12" t="s">
        <v>45</v>
      </c>
      <c r="H535" s="12" t="b">
        <f>IF(OR(VLOOKUP($C535,'#Data'!$B$2:$J$344,4,FALSE)="보스",VLOOKUP($C535,'#Data'!$B$2:$J$344,4,FALSE)="중간"),TRUE,FALSE)</f>
        <v>1</v>
      </c>
      <c r="I535" s="12" t="b">
        <v>1</v>
      </c>
      <c r="J535" s="12">
        <v>10</v>
      </c>
      <c r="K535" s="12">
        <f t="shared" si="17"/>
        <v>10</v>
      </c>
      <c r="L535" s="63" t="str">
        <f>$B535&amp;"."&amp;VLOOKUP($C535,'#Data'!$B$2:$J$344,2,FALSE)&amp;".attack0"&amp;RIGHT(L$1,1)</f>
        <v>Sector06.polluter_bloblauncher_1.attack01</v>
      </c>
      <c r="M535" s="63"/>
      <c r="N535" s="63"/>
      <c r="O535" s="134" t="str">
        <f>$B535&amp;"."&amp;VLOOKUP($C535,'#Data'!$B$2:$J$344,2,FALSE)&amp;".skill0"&amp;RIGHT(O$1,1)</f>
        <v>Sector06.polluter_bloblauncher_1.skill01</v>
      </c>
      <c r="P535" s="134" t="str">
        <f>$B535&amp;"."&amp;VLOOKUP($C535,'#Data'!$B$2:$J$344,2,FALSE)&amp;".skill0"&amp;RIGHT(P$1,1)</f>
        <v>Sector06.polluter_bloblauncher_1.skill02</v>
      </c>
      <c r="Q535" s="134" t="str">
        <f>$B535&amp;"."&amp;VLOOKUP($C535,'#Data'!$B$2:$J$344,2,FALSE)&amp;".skill0"&amp;RIGHT(Q$1,1)</f>
        <v>Sector06.polluter_bloblauncher_1.skill03</v>
      </c>
      <c r="R535" s="64"/>
      <c r="S535" s="64" t="s">
        <v>2078</v>
      </c>
      <c r="T535" s="64"/>
      <c r="U535" s="64"/>
      <c r="V535" s="12" t="b">
        <v>0</v>
      </c>
      <c r="W535" s="12" t="str">
        <f>"Character/Prefabs/"&amp;VLOOKUP($C535,'#Data'!$B$3:$I$344,8,FALSE)</f>
        <v>Character/Prefabs/m_l_ranger_polluter_bloblauncher_1</v>
      </c>
      <c r="X535" s="12"/>
      <c r="Y535" s="12" t="str">
        <f>VLOOKUP($C535,'#Data'!$B$3:$I$344,8,FALSE)</f>
        <v>m_l_ranger_polluter_bloblauncher_1</v>
      </c>
      <c r="Z535" s="12"/>
      <c r="AA535" s="12"/>
      <c r="AB535" s="12"/>
      <c r="AC535" s="88">
        <v>0.9</v>
      </c>
      <c r="AD535" s="12"/>
      <c r="AE535" s="12"/>
      <c r="AF535" s="12"/>
      <c r="AG535" s="12" t="s">
        <v>2105</v>
      </c>
      <c r="AH535" s="85"/>
    </row>
    <row r="536" spans="1:34" x14ac:dyDescent="0.3">
      <c r="A536" s="108">
        <f t="shared" si="16"/>
        <v>1310206301</v>
      </c>
      <c r="B536" s="108" t="s">
        <v>174</v>
      </c>
      <c r="C536" s="108" t="s">
        <v>187</v>
      </c>
      <c r="D536" s="108" t="str">
        <f>"Monster.Name."&amp;VLOOKUP($C536,'#Data'!$B$2:$J$344,2,FALSE)</f>
        <v>Monster.Name.toxic_1</v>
      </c>
      <c r="E536" s="108" t="s">
        <v>43</v>
      </c>
      <c r="F536" s="109" t="s">
        <v>44</v>
      </c>
      <c r="G536" s="108" t="s">
        <v>45</v>
      </c>
      <c r="H536" s="108" t="b">
        <f>IF(OR(VLOOKUP($C536,'#Data'!$B$2:$J$344,4,FALSE)="보스",VLOOKUP($C536,'#Data'!$B$2:$J$344,4,FALSE)="중간"),TRUE,FALSE)</f>
        <v>1</v>
      </c>
      <c r="I536" s="108" t="b">
        <v>1</v>
      </c>
      <c r="J536" s="108">
        <v>30</v>
      </c>
      <c r="K536" s="108">
        <f t="shared" si="17"/>
        <v>10</v>
      </c>
      <c r="L536" s="113" t="str">
        <f>$B536&amp;"."&amp;VLOOKUP($C536,'#Data'!$B$2:$J$344,2,FALSE)&amp;".attack0"&amp;RIGHT(L$1,1)</f>
        <v>Sector06.toxic_1.attack01</v>
      </c>
      <c r="M536" s="113" t="str">
        <f>$B536&amp;"."&amp;VLOOKUP($C536,'#Data'!$B$2:$J$344,2,FALSE)&amp;".attack0"&amp;RIGHT(M$1,1)</f>
        <v>Sector06.toxic_1.attack02</v>
      </c>
      <c r="N536" s="113"/>
      <c r="O536" s="136" t="str">
        <f>$B536&amp;"."&amp;VLOOKUP($C536,'#Data'!$B$2:$J$344,2,FALSE)&amp;".skill0"&amp;RIGHT(O$1,1)</f>
        <v>Sector06.toxic_1.skill01</v>
      </c>
      <c r="P536" s="136" t="str">
        <f>$B536&amp;"."&amp;VLOOKUP($C536,'#Data'!$B$2:$J$344,2,FALSE)&amp;".skill0"&amp;RIGHT(P$1,1)</f>
        <v>Sector06.toxic_1.skill02</v>
      </c>
      <c r="Q536" s="136" t="str">
        <f>$B536&amp;"."&amp;VLOOKUP($C536,'#Data'!$B$2:$J$344,2,FALSE)&amp;".skill0"&amp;RIGHT(Q$1,1)</f>
        <v>Sector06.toxic_1.skill03</v>
      </c>
      <c r="R536" s="114" t="s">
        <v>1400</v>
      </c>
      <c r="S536" s="114" t="s">
        <v>1401</v>
      </c>
      <c r="T536" s="114"/>
      <c r="U536" s="114"/>
      <c r="V536" s="108" t="b">
        <v>0</v>
      </c>
      <c r="W536" s="108" t="str">
        <f>"Character/Prefabs/"&amp;VLOOKUP($C536,'#Data'!$B$3:$I$344,8,FALSE)</f>
        <v>Character/Prefabs/m_boss_attacker_toxic_1</v>
      </c>
      <c r="X536" s="108"/>
      <c r="Y536" s="108" t="str">
        <f>VLOOKUP($C536,'#Data'!$B$3:$I$344,8,FALSE)</f>
        <v>m_boss_attacker_toxic_1</v>
      </c>
      <c r="Z536" s="108"/>
      <c r="AA536" s="108"/>
      <c r="AB536" s="108"/>
      <c r="AC536" s="111">
        <v>0.9</v>
      </c>
      <c r="AD536" s="108"/>
      <c r="AE536" s="108" t="s">
        <v>188</v>
      </c>
      <c r="AF536" s="108" t="s">
        <v>189</v>
      </c>
      <c r="AG536" s="108" t="s">
        <v>2105</v>
      </c>
      <c r="AH536" s="85"/>
    </row>
    <row r="537" spans="1:34" x14ac:dyDescent="0.3">
      <c r="A537" s="108">
        <f t="shared" si="16"/>
        <v>1310206302</v>
      </c>
      <c r="B537" s="108" t="s">
        <v>174</v>
      </c>
      <c r="C537" s="108" t="s">
        <v>1399</v>
      </c>
      <c r="D537" s="108" t="str">
        <f>"Monster.Name."&amp;VLOOKUP($C537,'#Data'!$B$2:$J$344,2,FALSE)</f>
        <v>Monster.Name.toxic_3</v>
      </c>
      <c r="E537" s="108" t="s">
        <v>43</v>
      </c>
      <c r="F537" s="109" t="s">
        <v>44</v>
      </c>
      <c r="G537" s="108" t="s">
        <v>45</v>
      </c>
      <c r="H537" s="108" t="b">
        <f>IF(OR(VLOOKUP($C537,'#Data'!$B$2:$J$344,4,FALSE)="보스",VLOOKUP($C537,'#Data'!$B$2:$J$344,4,FALSE)="중간"),TRUE,FALSE)</f>
        <v>1</v>
      </c>
      <c r="I537" s="108" t="b">
        <v>1</v>
      </c>
      <c r="J537" s="108">
        <v>30</v>
      </c>
      <c r="K537" s="108">
        <f t="shared" si="17"/>
        <v>10</v>
      </c>
      <c r="L537" s="113" t="str">
        <f>$B537&amp;"."&amp;VLOOKUP($C537,'#Data'!$B$2:$J$344,2,FALSE)&amp;".attack0"&amp;RIGHT(L$1,1)</f>
        <v>Sector06.toxic_3.attack01</v>
      </c>
      <c r="M537" s="113" t="str">
        <f>$B537&amp;"."&amp;VLOOKUP($C537,'#Data'!$B$2:$J$344,2,FALSE)&amp;".attack0"&amp;RIGHT(M$1,1)</f>
        <v>Sector06.toxic_3.attack02</v>
      </c>
      <c r="N537" s="113"/>
      <c r="O537" s="136" t="str">
        <f>$B537&amp;"."&amp;VLOOKUP($C537,'#Data'!$B$2:$J$344,2,FALSE)&amp;".skill0"&amp;RIGHT(O$1,1)</f>
        <v>Sector06.toxic_3.skill01</v>
      </c>
      <c r="P537" s="136" t="str">
        <f>$B537&amp;"."&amp;VLOOKUP($C537,'#Data'!$B$2:$J$344,2,FALSE)&amp;".skill0"&amp;RIGHT(P$1,1)</f>
        <v>Sector06.toxic_3.skill02</v>
      </c>
      <c r="Q537" s="136" t="str">
        <f>$B537&amp;"."&amp;VLOOKUP($C537,'#Data'!$B$2:$J$344,2,FALSE)&amp;".skill0"&amp;RIGHT(Q$1,1)</f>
        <v>Sector06.toxic_3.skill03</v>
      </c>
      <c r="R537" s="114" t="s">
        <v>1413</v>
      </c>
      <c r="S537" s="114" t="s">
        <v>1414</v>
      </c>
      <c r="T537" s="114"/>
      <c r="U537" s="114"/>
      <c r="V537" s="108" t="b">
        <v>0</v>
      </c>
      <c r="W537" s="165" t="str">
        <f>"Character/Prefabs/"&amp;VLOOKUP($C537,'#Data'!$B$3:$I$344,8,FALSE)</f>
        <v>Character/Prefabs/m_boss_attacker_toxic_3</v>
      </c>
      <c r="X537" s="165"/>
      <c r="Y537" s="165" t="str">
        <f>VLOOKUP($C537,'#Data'!$B$3:$I$344,8,FALSE)</f>
        <v>m_boss_attacker_toxic_3</v>
      </c>
      <c r="Z537" s="108"/>
      <c r="AA537" s="108"/>
      <c r="AB537" s="108"/>
      <c r="AC537" s="111">
        <v>1.1000000000000001</v>
      </c>
      <c r="AD537" s="108"/>
      <c r="AE537" s="108" t="s">
        <v>2082</v>
      </c>
      <c r="AF537" s="108" t="s">
        <v>2099</v>
      </c>
      <c r="AG537" s="108" t="s">
        <v>2105</v>
      </c>
      <c r="AH537" s="85"/>
    </row>
    <row r="538" spans="1:34" x14ac:dyDescent="0.3">
      <c r="A538" s="41">
        <f t="shared" si="16"/>
        <v>1310207101</v>
      </c>
      <c r="B538" s="41" t="s">
        <v>190</v>
      </c>
      <c r="C538" s="41" t="s">
        <v>191</v>
      </c>
      <c r="D538" s="41" t="str">
        <f>"Monster.Name."&amp;VLOOKUP($C538,'#Data'!$B$2:$J$344,2,FALSE)</f>
        <v>Monster.Name.clock_clawdog_1</v>
      </c>
      <c r="E538" s="41" t="s">
        <v>43</v>
      </c>
      <c r="F538" s="42" t="s">
        <v>44</v>
      </c>
      <c r="G538" s="41" t="s">
        <v>45</v>
      </c>
      <c r="H538" s="41" t="b">
        <f>IF(OR(VLOOKUP($C538,'#Data'!$B$2:$J$344,4,FALSE)="보스",VLOOKUP($C538,'#Data'!$B$2:$J$344,4,FALSE)="중간"),TRUE,FALSE)</f>
        <v>0</v>
      </c>
      <c r="I538" s="41" t="b">
        <v>0</v>
      </c>
      <c r="J538" s="41">
        <v>10</v>
      </c>
      <c r="K538" s="41">
        <f t="shared" si="17"/>
        <v>10</v>
      </c>
      <c r="L538" s="67" t="str">
        <f>$B538&amp;"."&amp;VLOOKUP($C538,'#Data'!$B$2:$J$344,2,FALSE)&amp;".attack0"&amp;RIGHT(L$1,1)</f>
        <v>Sector07.clock_clawdog_1.attack01</v>
      </c>
      <c r="M538" s="67"/>
      <c r="N538" s="67"/>
      <c r="O538" s="137" t="s">
        <v>2050</v>
      </c>
      <c r="P538" s="137"/>
      <c r="Q538" s="137"/>
      <c r="R538" s="68"/>
      <c r="S538" s="68"/>
      <c r="T538" s="68"/>
      <c r="U538" s="68"/>
      <c r="V538" s="41" t="b">
        <v>0</v>
      </c>
      <c r="W538" s="41" t="str">
        <f>"Character/Prefabs/"&amp;VLOOKUP($C538,'#Data'!$B$3:$I$344,8,FALSE)</f>
        <v>Character/Prefabs/m_s_attacker_clock_clawdog_1</v>
      </c>
      <c r="X538" s="41"/>
      <c r="Y538" s="41" t="str">
        <f>VLOOKUP($C538,'#Data'!$B$3:$I$344,8,FALSE)</f>
        <v>m_s_attacker_clock_clawdog_1</v>
      </c>
      <c r="Z538" s="41"/>
      <c r="AA538" s="41"/>
      <c r="AB538" s="41"/>
      <c r="AC538" s="90">
        <v>0.9</v>
      </c>
      <c r="AD538" s="41"/>
      <c r="AE538" s="41"/>
      <c r="AF538" s="41"/>
      <c r="AG538" s="41" t="s">
        <v>2105</v>
      </c>
      <c r="AH538" s="85"/>
    </row>
    <row r="539" spans="1:34" x14ac:dyDescent="0.3">
      <c r="A539" s="41">
        <f t="shared" si="16"/>
        <v>1310207102</v>
      </c>
      <c r="B539" s="41" t="s">
        <v>190</v>
      </c>
      <c r="C539" s="41" t="s">
        <v>192</v>
      </c>
      <c r="D539" s="41" t="str">
        <f>"Monster.Name."&amp;VLOOKUP($C539,'#Data'!$B$2:$J$344,2,FALSE)</f>
        <v>Monster.Name.clock_flamedog_1</v>
      </c>
      <c r="E539" s="41" t="s">
        <v>47</v>
      </c>
      <c r="F539" s="42" t="s">
        <v>44</v>
      </c>
      <c r="G539" s="41" t="s">
        <v>45</v>
      </c>
      <c r="H539" s="41" t="b">
        <f>IF(OR(VLOOKUP($C539,'#Data'!$B$2:$J$344,4,FALSE)="보스",VLOOKUP($C539,'#Data'!$B$2:$J$344,4,FALSE)="중간"),TRUE,FALSE)</f>
        <v>0</v>
      </c>
      <c r="I539" s="41" t="b">
        <v>0</v>
      </c>
      <c r="J539" s="41">
        <v>10</v>
      </c>
      <c r="K539" s="41">
        <f t="shared" si="17"/>
        <v>10</v>
      </c>
      <c r="L539" s="67" t="str">
        <f>$B539&amp;"."&amp;VLOOKUP($C539,'#Data'!$B$2:$J$344,2,FALSE)&amp;".attack0"&amp;RIGHT(L$1,1)</f>
        <v>Sector07.clock_flamedog_1.attack01</v>
      </c>
      <c r="M539" s="67"/>
      <c r="N539" s="67"/>
      <c r="O539" s="137" t="s">
        <v>2051</v>
      </c>
      <c r="P539" s="137"/>
      <c r="Q539" s="137"/>
      <c r="R539" s="68"/>
      <c r="S539" s="68"/>
      <c r="T539" s="68"/>
      <c r="U539" s="68"/>
      <c r="V539" s="41" t="b">
        <v>0</v>
      </c>
      <c r="W539" s="41" t="str">
        <f>"Character/Prefabs/"&amp;VLOOKUP($C539,'#Data'!$B$3:$I$344,8,FALSE)</f>
        <v>Character/Prefabs/m_s_ranger_clock_flamedog_1</v>
      </c>
      <c r="X539" s="41"/>
      <c r="Y539" s="41" t="str">
        <f>VLOOKUP($C539,'#Data'!$B$3:$I$344,8,FALSE)</f>
        <v>m_s_ranger_clock_flamedog_1</v>
      </c>
      <c r="Z539" s="41"/>
      <c r="AA539" s="41"/>
      <c r="AB539" s="41"/>
      <c r="AC539" s="90">
        <v>0.9</v>
      </c>
      <c r="AD539" s="41"/>
      <c r="AE539" s="41"/>
      <c r="AF539" s="41"/>
      <c r="AG539" s="41" t="s">
        <v>2105</v>
      </c>
      <c r="AH539" s="85"/>
    </row>
    <row r="540" spans="1:34" x14ac:dyDescent="0.3">
      <c r="A540" s="41">
        <f t="shared" si="16"/>
        <v>1310207103</v>
      </c>
      <c r="B540" s="41" t="s">
        <v>190</v>
      </c>
      <c r="C540" s="41" t="s">
        <v>193</v>
      </c>
      <c r="D540" s="41" t="str">
        <f>"Monster.Name."&amp;VLOOKUP($C540,'#Data'!$B$2:$J$344,2,FALSE)</f>
        <v>Monster.Name.clock_spear_1</v>
      </c>
      <c r="E540" s="41" t="s">
        <v>43</v>
      </c>
      <c r="F540" s="42" t="s">
        <v>44</v>
      </c>
      <c r="G540" s="41" t="s">
        <v>45</v>
      </c>
      <c r="H540" s="41" t="b">
        <f>IF(OR(VLOOKUP($C540,'#Data'!$B$2:$J$344,4,FALSE)="보스",VLOOKUP($C540,'#Data'!$B$2:$J$344,4,FALSE)="중간"),TRUE,FALSE)</f>
        <v>0</v>
      </c>
      <c r="I540" s="41" t="b">
        <v>0</v>
      </c>
      <c r="J540" s="41">
        <v>10</v>
      </c>
      <c r="K540" s="41">
        <f t="shared" si="17"/>
        <v>10</v>
      </c>
      <c r="L540" s="67" t="str">
        <f>$B540&amp;"."&amp;VLOOKUP($C540,'#Data'!$B$2:$J$344,2,FALSE)&amp;".attack0"&amp;RIGHT(L$1,1)</f>
        <v>Sector07.clock_spear_1.attack01</v>
      </c>
      <c r="M540" s="67"/>
      <c r="N540" s="67"/>
      <c r="O540" s="137" t="str">
        <f>$B540&amp;"."&amp;VLOOKUP($C540,'#Data'!$B$2:$J$344,2,FALSE)&amp;".skill0"&amp;RIGHT(O$1,1)</f>
        <v>Sector07.clock_spear_1.skill01</v>
      </c>
      <c r="P540" s="137" t="s">
        <v>2052</v>
      </c>
      <c r="Q540" s="137"/>
      <c r="R540" s="68"/>
      <c r="S540" s="68"/>
      <c r="T540" s="68"/>
      <c r="U540" s="68"/>
      <c r="V540" s="41" t="b">
        <v>0</v>
      </c>
      <c r="W540" s="41" t="str">
        <f>"Character/Prefabs/"&amp;VLOOKUP($C540,'#Data'!$B$3:$I$344,8,FALSE)</f>
        <v>Character/Prefabs/m_m_attacker_clock_spear_1</v>
      </c>
      <c r="X540" s="41"/>
      <c r="Y540" s="41" t="str">
        <f>VLOOKUP($C540,'#Data'!$B$3:$I$344,8,FALSE)</f>
        <v>m_m_attacker_clock_spear_1</v>
      </c>
      <c r="Z540" s="41"/>
      <c r="AA540" s="41"/>
      <c r="AB540" s="41"/>
      <c r="AC540" s="90">
        <v>0.9</v>
      </c>
      <c r="AD540" s="41"/>
      <c r="AE540" s="41"/>
      <c r="AF540" s="41"/>
      <c r="AG540" s="41" t="s">
        <v>2105</v>
      </c>
      <c r="AH540" s="85"/>
    </row>
    <row r="541" spans="1:34" x14ac:dyDescent="0.3">
      <c r="A541" s="41">
        <f t="shared" si="16"/>
        <v>1310207104</v>
      </c>
      <c r="B541" s="41" t="s">
        <v>190</v>
      </c>
      <c r="C541" s="41" t="s">
        <v>194</v>
      </c>
      <c r="D541" s="41" t="str">
        <f>"Monster.Name."&amp;VLOOKUP($C541,'#Data'!$B$2:$J$344,2,FALSE)</f>
        <v>Monster.Name.clock_squire_1</v>
      </c>
      <c r="E541" s="41" t="s">
        <v>47</v>
      </c>
      <c r="F541" s="42" t="s">
        <v>44</v>
      </c>
      <c r="G541" s="41" t="s">
        <v>45</v>
      </c>
      <c r="H541" s="41" t="b">
        <f>IF(OR(VLOOKUP($C541,'#Data'!$B$2:$J$344,4,FALSE)="보스",VLOOKUP($C541,'#Data'!$B$2:$J$344,4,FALSE)="중간"),TRUE,FALSE)</f>
        <v>0</v>
      </c>
      <c r="I541" s="41" t="b">
        <v>0</v>
      </c>
      <c r="J541" s="41">
        <v>10</v>
      </c>
      <c r="K541" s="41">
        <f t="shared" si="17"/>
        <v>10</v>
      </c>
      <c r="L541" s="67" t="str">
        <f>$B541&amp;"."&amp;VLOOKUP($C541,'#Data'!$B$2:$J$344,2,FALSE)&amp;".attack0"&amp;RIGHT(L$1,1)</f>
        <v>Sector07.clock_squire_1.attack01</v>
      </c>
      <c r="M541" s="67"/>
      <c r="N541" s="67"/>
      <c r="O541" s="137" t="str">
        <f>$B541&amp;"."&amp;VLOOKUP($C541,'#Data'!$B$2:$J$344,2,FALSE)&amp;".skill0"&amp;RIGHT(O$1,1)</f>
        <v>Sector07.clock_squire_1.skill01</v>
      </c>
      <c r="P541" s="137" t="s">
        <v>2053</v>
      </c>
      <c r="Q541" s="137"/>
      <c r="R541" s="68"/>
      <c r="S541" s="68"/>
      <c r="T541" s="68"/>
      <c r="U541" s="68"/>
      <c r="V541" s="41" t="b">
        <v>0</v>
      </c>
      <c r="W541" s="41" t="str">
        <f>"Character/Prefabs/"&amp;VLOOKUP($C541,'#Data'!$B$3:$I$344,8,FALSE)</f>
        <v>Character/Prefabs/m_m_ranger_clock_squire_1</v>
      </c>
      <c r="X541" s="41"/>
      <c r="Y541" s="41" t="str">
        <f>VLOOKUP($C541,'#Data'!$B$3:$I$344,8,FALSE)</f>
        <v>m_m_ranger_clock_squire_1</v>
      </c>
      <c r="Z541" s="41"/>
      <c r="AA541" s="41"/>
      <c r="AB541" s="41"/>
      <c r="AC541" s="90">
        <v>0.9</v>
      </c>
      <c r="AD541" s="41"/>
      <c r="AE541" s="41"/>
      <c r="AF541" s="41"/>
      <c r="AG541" s="41" t="s">
        <v>2105</v>
      </c>
      <c r="AH541" s="85"/>
    </row>
    <row r="542" spans="1:34" x14ac:dyDescent="0.3">
      <c r="A542" s="41">
        <f t="shared" si="16"/>
        <v>1310207105</v>
      </c>
      <c r="B542" s="41" t="s">
        <v>190</v>
      </c>
      <c r="C542" s="41" t="s">
        <v>195</v>
      </c>
      <c r="D542" s="41" t="str">
        <f>"Monster.Name."&amp;VLOOKUP($C542,'#Data'!$B$2:$J$344,2,FALSE)</f>
        <v>Monster.Name.clock_crossbow_1</v>
      </c>
      <c r="E542" s="41" t="s">
        <v>47</v>
      </c>
      <c r="F542" s="42" t="s">
        <v>44</v>
      </c>
      <c r="G542" s="41" t="s">
        <v>45</v>
      </c>
      <c r="H542" s="41" t="b">
        <f>IF(OR(VLOOKUP($C542,'#Data'!$B$2:$J$344,4,FALSE)="보스",VLOOKUP($C542,'#Data'!$B$2:$J$344,4,FALSE)="중간"),TRUE,FALSE)</f>
        <v>0</v>
      </c>
      <c r="I542" s="41" t="b">
        <v>0</v>
      </c>
      <c r="J542" s="41">
        <v>10</v>
      </c>
      <c r="K542" s="41">
        <f t="shared" si="17"/>
        <v>10</v>
      </c>
      <c r="L542" s="67" t="str">
        <f>$B542&amp;"."&amp;VLOOKUP($C542,'#Data'!$B$2:$J$344,2,FALSE)&amp;".attack0"&amp;RIGHT(L$1,1)</f>
        <v>Sector07.clock_crossbow_1.attack01</v>
      </c>
      <c r="M542" s="67"/>
      <c r="N542" s="67"/>
      <c r="O542" s="137" t="str">
        <f>$B542&amp;"."&amp;VLOOKUP($C542,'#Data'!$B$2:$J$344,2,FALSE)&amp;".skill0"&amp;RIGHT(O$1,1)</f>
        <v>Sector07.clock_crossbow_1.skill01</v>
      </c>
      <c r="P542" s="137" t="s">
        <v>2054</v>
      </c>
      <c r="Q542" s="137"/>
      <c r="R542" s="68"/>
      <c r="S542" s="68"/>
      <c r="T542" s="68"/>
      <c r="U542" s="68"/>
      <c r="V542" s="41" t="b">
        <v>0</v>
      </c>
      <c r="W542" s="41" t="str">
        <f>"Character/Prefabs/"&amp;VLOOKUP($C542,'#Data'!$B$3:$I$344,8,FALSE)</f>
        <v>Character/Prefabs/m_m_ranger_clock_crossbow_1</v>
      </c>
      <c r="X542" s="41"/>
      <c r="Y542" s="41" t="str">
        <f>VLOOKUP($C542,'#Data'!$B$3:$I$344,8,FALSE)</f>
        <v>m_m_ranger_clock_crossbow_1</v>
      </c>
      <c r="Z542" s="41"/>
      <c r="AA542" s="41"/>
      <c r="AB542" s="41"/>
      <c r="AC542" s="90">
        <v>0.9</v>
      </c>
      <c r="AD542" s="41"/>
      <c r="AE542" s="41"/>
      <c r="AF542" s="41"/>
      <c r="AG542" s="41" t="s">
        <v>2105</v>
      </c>
      <c r="AH542" s="85"/>
    </row>
    <row r="543" spans="1:34" x14ac:dyDescent="0.3">
      <c r="A543" s="41">
        <f t="shared" si="16"/>
        <v>1310207106</v>
      </c>
      <c r="B543" s="41" t="s">
        <v>190</v>
      </c>
      <c r="C543" s="41" t="s">
        <v>196</v>
      </c>
      <c r="D543" s="41" t="str">
        <f>"Monster.Name."&amp;VLOOKUP($C543,'#Data'!$B$2:$J$344,2,FALSE)</f>
        <v>Monster.Name.clock_shield_1</v>
      </c>
      <c r="E543" s="41" t="s">
        <v>43</v>
      </c>
      <c r="F543" s="42" t="s">
        <v>44</v>
      </c>
      <c r="G543" s="41" t="s">
        <v>45</v>
      </c>
      <c r="H543" s="41" t="b">
        <f>IF(OR(VLOOKUP($C543,'#Data'!$B$2:$J$344,4,FALSE)="보스",VLOOKUP($C543,'#Data'!$B$2:$J$344,4,FALSE)="중간"),TRUE,FALSE)</f>
        <v>0</v>
      </c>
      <c r="I543" s="41" t="b">
        <v>0</v>
      </c>
      <c r="J543" s="41">
        <v>10</v>
      </c>
      <c r="K543" s="41">
        <f t="shared" si="17"/>
        <v>10</v>
      </c>
      <c r="L543" s="67" t="str">
        <f>$B543&amp;"."&amp;VLOOKUP($C543,'#Data'!$B$2:$J$344,2,FALSE)&amp;".attack0"&amp;RIGHT(L$1,1)</f>
        <v>Sector07.clock_shield_1.attack01</v>
      </c>
      <c r="M543" s="67"/>
      <c r="N543" s="67"/>
      <c r="O543" s="137" t="str">
        <f>$B543&amp;"."&amp;VLOOKUP($C543,'#Data'!$B$2:$J$344,2,FALSE)&amp;".skill0"&amp;RIGHT(O$1,1)</f>
        <v>Sector07.clock_shield_1.skill01</v>
      </c>
      <c r="P543" s="137" t="s">
        <v>2055</v>
      </c>
      <c r="Q543" s="137"/>
      <c r="R543" s="68"/>
      <c r="S543" s="68"/>
      <c r="T543" s="68"/>
      <c r="U543" s="68"/>
      <c r="V543" s="41" t="b">
        <v>0</v>
      </c>
      <c r="W543" s="41" t="str">
        <f>"Character/Prefabs/"&amp;VLOOKUP($C543,'#Data'!$B$3:$I$344,8,FALSE)</f>
        <v>Character/Prefabs/m_m_attacker_clock_shield_1</v>
      </c>
      <c r="X543" s="41"/>
      <c r="Y543" s="41" t="str">
        <f>VLOOKUP($C543,'#Data'!$B$3:$I$344,8,FALSE)</f>
        <v>m_m_attacker_clock_shield_1</v>
      </c>
      <c r="Z543" s="41"/>
      <c r="AA543" s="41"/>
      <c r="AB543" s="41"/>
      <c r="AC543" s="90">
        <v>0.9</v>
      </c>
      <c r="AD543" s="41"/>
      <c r="AE543" s="41"/>
      <c r="AF543" s="41"/>
      <c r="AG543" s="41" t="s">
        <v>2105</v>
      </c>
      <c r="AH543" s="85"/>
    </row>
    <row r="544" spans="1:34" x14ac:dyDescent="0.3">
      <c r="A544" s="41">
        <f t="shared" si="16"/>
        <v>1310207107</v>
      </c>
      <c r="B544" s="41" t="s">
        <v>190</v>
      </c>
      <c r="C544" s="41" t="s">
        <v>197</v>
      </c>
      <c r="D544" s="41" t="str">
        <f>"Monster.Name."&amp;VLOOKUP($C544,'#Data'!$B$2:$J$344,2,FALSE)</f>
        <v>Monster.Name.clock_clown_1</v>
      </c>
      <c r="E544" s="41" t="s">
        <v>47</v>
      </c>
      <c r="F544" s="42" t="s">
        <v>44</v>
      </c>
      <c r="G544" s="41" t="s">
        <v>45</v>
      </c>
      <c r="H544" s="41" t="b">
        <f>IF(OR(VLOOKUP($C544,'#Data'!$B$2:$J$344,4,FALSE)="보스",VLOOKUP($C544,'#Data'!$B$2:$J$344,4,FALSE)="중간"),TRUE,FALSE)</f>
        <v>0</v>
      </c>
      <c r="I544" s="41" t="b">
        <v>0</v>
      </c>
      <c r="J544" s="41">
        <v>10</v>
      </c>
      <c r="K544" s="41">
        <f t="shared" si="17"/>
        <v>10</v>
      </c>
      <c r="L544" s="67" t="str">
        <f>$B544&amp;"."&amp;VLOOKUP($C544,'#Data'!$B$2:$J$344,2,FALSE)&amp;".attack0"&amp;RIGHT(L$1,1)</f>
        <v>Sector07.clock_clown_1.attack01</v>
      </c>
      <c r="M544" s="67"/>
      <c r="N544" s="67"/>
      <c r="O544" s="137" t="str">
        <f>$B544&amp;"."&amp;VLOOKUP($C544,'#Data'!$B$2:$J$344,2,FALSE)&amp;".skill0"&amp;RIGHT(O$1,1)</f>
        <v>Sector07.clock_clown_1.skill01</v>
      </c>
      <c r="P544" s="137" t="s">
        <v>2056</v>
      </c>
      <c r="Q544" s="137"/>
      <c r="R544" s="68"/>
      <c r="S544" s="68"/>
      <c r="T544" s="68"/>
      <c r="U544" s="68"/>
      <c r="V544" s="41" t="b">
        <v>0</v>
      </c>
      <c r="W544" s="41" t="str">
        <f>"Character/Prefabs/"&amp;VLOOKUP($C544,'#Data'!$B$3:$I$344,8,FALSE)</f>
        <v>Character/Prefabs/m_m_ranger_clock_clown_1</v>
      </c>
      <c r="X544" s="41"/>
      <c r="Y544" s="41" t="str">
        <f>VLOOKUP($C544,'#Data'!$B$3:$I$344,8,FALSE)</f>
        <v>m_m_ranger_clock_clown_1</v>
      </c>
      <c r="Z544" s="41"/>
      <c r="AA544" s="41"/>
      <c r="AB544" s="41"/>
      <c r="AC544" s="90">
        <v>0.9</v>
      </c>
      <c r="AD544" s="41"/>
      <c r="AE544" s="41"/>
      <c r="AF544" s="41"/>
      <c r="AG544" s="41" t="s">
        <v>2105</v>
      </c>
      <c r="AH544" s="85"/>
    </row>
    <row r="545" spans="1:34" x14ac:dyDescent="0.3">
      <c r="A545" s="41">
        <f t="shared" si="16"/>
        <v>1310207108</v>
      </c>
      <c r="B545" s="41" t="s">
        <v>190</v>
      </c>
      <c r="C545" s="41" t="s">
        <v>198</v>
      </c>
      <c r="D545" s="41" t="str">
        <f>"Monster.Name."&amp;VLOOKUP($C545,'#Data'!$B$2:$J$344,2,FALSE)</f>
        <v>Monster.Name.clock_draftee_1</v>
      </c>
      <c r="E545" s="41" t="s">
        <v>43</v>
      </c>
      <c r="F545" s="42" t="s">
        <v>44</v>
      </c>
      <c r="G545" s="41" t="s">
        <v>45</v>
      </c>
      <c r="H545" s="41" t="b">
        <f>IF(OR(VLOOKUP($C545,'#Data'!$B$2:$J$344,4,FALSE)="보스",VLOOKUP($C545,'#Data'!$B$2:$J$344,4,FALSE)="중간"),TRUE,FALSE)</f>
        <v>0</v>
      </c>
      <c r="I545" s="41" t="b">
        <v>0</v>
      </c>
      <c r="J545" s="41">
        <v>10</v>
      </c>
      <c r="K545" s="41">
        <f t="shared" si="17"/>
        <v>10</v>
      </c>
      <c r="L545" s="67"/>
      <c r="M545" s="67"/>
      <c r="N545" s="67"/>
      <c r="O545" s="137" t="str">
        <f>$B545&amp;"."&amp;VLOOKUP($C545,'#Data'!$B$2:$J$344,2,FALSE)&amp;".skill0"&amp;RIGHT(O$1,1)</f>
        <v>Sector07.clock_draftee_1.skill01</v>
      </c>
      <c r="P545" s="137"/>
      <c r="Q545" s="137"/>
      <c r="R545" s="68"/>
      <c r="S545" s="68" t="s">
        <v>199</v>
      </c>
      <c r="T545" s="68"/>
      <c r="U545" s="68"/>
      <c r="V545" s="41" t="b">
        <v>0</v>
      </c>
      <c r="W545" s="41" t="str">
        <f>"Character/Prefabs/"&amp;VLOOKUP($C545,'#Data'!$B$3:$I$344,8,FALSE)</f>
        <v>Character/Prefabs/m_m_attacker_clock_draftee_1</v>
      </c>
      <c r="X545" s="41"/>
      <c r="Y545" s="41" t="str">
        <f>VLOOKUP($C545,'#Data'!$B$3:$I$344,8,FALSE)</f>
        <v>m_m_attacker_clock_draftee_1</v>
      </c>
      <c r="Z545" s="41"/>
      <c r="AA545" s="41"/>
      <c r="AB545" s="41"/>
      <c r="AC545" s="90">
        <v>0.9</v>
      </c>
      <c r="AD545" s="41"/>
      <c r="AE545" s="41"/>
      <c r="AF545" s="41"/>
      <c r="AG545" s="41" t="s">
        <v>2105</v>
      </c>
      <c r="AH545" s="85"/>
    </row>
    <row r="546" spans="1:34" x14ac:dyDescent="0.3">
      <c r="A546" s="41">
        <f t="shared" si="16"/>
        <v>1310207109</v>
      </c>
      <c r="B546" s="41" t="s">
        <v>190</v>
      </c>
      <c r="C546" s="41" t="s">
        <v>200</v>
      </c>
      <c r="D546" s="41" t="str">
        <f>"Monster.Name."&amp;VLOOKUP($C546,'#Data'!$B$2:$J$344,2,FALSE)</f>
        <v>Monster.Name.clock_honor_knight_1</v>
      </c>
      <c r="E546" s="41" t="s">
        <v>43</v>
      </c>
      <c r="F546" s="42" t="s">
        <v>44</v>
      </c>
      <c r="G546" s="41" t="s">
        <v>45</v>
      </c>
      <c r="H546" s="41" t="b">
        <f>IF(OR(VLOOKUP($C546,'#Data'!$B$2:$J$344,4,FALSE)="보스",VLOOKUP($C546,'#Data'!$B$2:$J$344,4,FALSE)="중간"),TRUE,FALSE)</f>
        <v>0</v>
      </c>
      <c r="I546" s="41" t="b">
        <v>0</v>
      </c>
      <c r="J546" s="41">
        <v>10</v>
      </c>
      <c r="K546" s="41">
        <f t="shared" si="17"/>
        <v>10</v>
      </c>
      <c r="L546" s="67" t="str">
        <f>$B546&amp;"."&amp;VLOOKUP($C546,'#Data'!$B$2:$J$344,2,FALSE)&amp;".attack0"&amp;RIGHT(L$1,1)</f>
        <v>Sector07.clock_honor_knight_1.attack01</v>
      </c>
      <c r="M546" s="67" t="str">
        <f>$B546&amp;"."&amp;VLOOKUP($C546,'#Data'!$B$2:$J$344,2,FALSE)&amp;".attack0"&amp;RIGHT(M$1,1)</f>
        <v>Sector07.clock_honor_knight_1.attack02</v>
      </c>
      <c r="N546" s="67"/>
      <c r="O546" s="137" t="str">
        <f>$B546&amp;"."&amp;VLOOKUP($C546,'#Data'!$B$2:$J$344,2,FALSE)&amp;".skill0"&amp;RIGHT(O$1,1)</f>
        <v>Sector07.clock_honor_knight_1.skill01</v>
      </c>
      <c r="P546" s="137"/>
      <c r="Q546" s="137"/>
      <c r="R546" s="68"/>
      <c r="S546" s="68" t="s">
        <v>1970</v>
      </c>
      <c r="T546" s="68"/>
      <c r="U546" s="68"/>
      <c r="V546" s="41" t="b">
        <v>0</v>
      </c>
      <c r="W546" s="41" t="str">
        <f>"Character/Prefabs/"&amp;VLOOKUP($C546,'#Data'!$B$3:$I$344,8,FALSE)</f>
        <v>Character/Prefabs/m_l_attacker_clock_honor_knight_1</v>
      </c>
      <c r="X546" s="41"/>
      <c r="Y546" s="41" t="str">
        <f>VLOOKUP($C546,'#Data'!$B$3:$I$344,8,FALSE)</f>
        <v>m_l_attacker_clock_honor_knight_1</v>
      </c>
      <c r="Z546" s="41"/>
      <c r="AA546" s="41"/>
      <c r="AB546" s="41"/>
      <c r="AC546" s="90">
        <v>0.9</v>
      </c>
      <c r="AD546" s="41"/>
      <c r="AE546" s="41"/>
      <c r="AF546" s="41"/>
      <c r="AG546" s="41" t="s">
        <v>2105</v>
      </c>
      <c r="AH546" s="85"/>
    </row>
    <row r="547" spans="1:34" x14ac:dyDescent="0.3">
      <c r="A547" s="19">
        <f t="shared" si="16"/>
        <v>1310207110</v>
      </c>
      <c r="B547" s="19" t="s">
        <v>190</v>
      </c>
      <c r="C547" s="19" t="s">
        <v>1418</v>
      </c>
      <c r="D547" s="19" t="str">
        <f>"Monster.Name."&amp;VLOOKUP($C547,'#Data'!$B$2:$J$344,2,FALSE)</f>
        <v>Monster.Name.clock_clawdog_2</v>
      </c>
      <c r="E547" s="19" t="s">
        <v>43</v>
      </c>
      <c r="F547" s="48" t="s">
        <v>44</v>
      </c>
      <c r="G547" s="19" t="s">
        <v>45</v>
      </c>
      <c r="H547" s="41" t="b">
        <f>IF(OR(VLOOKUP($C547,'#Data'!$B$2:$J$344,4,FALSE)="보스",VLOOKUP($C547,'#Data'!$B$2:$J$344,4,FALSE)="중간"),TRUE,FALSE)</f>
        <v>0</v>
      </c>
      <c r="I547" s="41" t="b">
        <v>0</v>
      </c>
      <c r="J547" s="19">
        <v>10</v>
      </c>
      <c r="K547" s="19">
        <f t="shared" si="17"/>
        <v>10</v>
      </c>
      <c r="L547" s="69" t="s">
        <v>1434</v>
      </c>
      <c r="M547" s="69"/>
      <c r="N547" s="69"/>
      <c r="O547" s="138" t="s">
        <v>2050</v>
      </c>
      <c r="P547" s="138"/>
      <c r="Q547" s="138"/>
      <c r="R547" s="70"/>
      <c r="S547" s="70"/>
      <c r="T547" s="70"/>
      <c r="U547" s="70"/>
      <c r="V547" s="19" t="b">
        <v>0</v>
      </c>
      <c r="W547" s="19" t="str">
        <f>"Character/Prefabs/"&amp;VLOOKUP($C547,'#Data'!$B$3:$I$344,8,FALSE)</f>
        <v>Character/Prefabs/m_s_attacker_clock_clawdog_2</v>
      </c>
      <c r="X547" s="19"/>
      <c r="Y547" s="19" t="str">
        <f>VLOOKUP($C547,'#Data'!$B$3:$I$344,8,FALSE)</f>
        <v>m_s_attacker_clock_clawdog_2</v>
      </c>
      <c r="Z547" s="19"/>
      <c r="AA547" s="19"/>
      <c r="AB547" s="19"/>
      <c r="AC547" s="91">
        <v>0.9</v>
      </c>
      <c r="AD547" s="19"/>
      <c r="AE547" s="19"/>
      <c r="AF547" s="19"/>
      <c r="AG547" s="19" t="s">
        <v>2105</v>
      </c>
      <c r="AH547" s="85"/>
    </row>
    <row r="548" spans="1:34" x14ac:dyDescent="0.3">
      <c r="A548" s="19">
        <f t="shared" si="16"/>
        <v>1310207111</v>
      </c>
      <c r="B548" s="19" t="s">
        <v>190</v>
      </c>
      <c r="C548" s="19" t="s">
        <v>1419</v>
      </c>
      <c r="D548" s="19" t="str">
        <f>"Monster.Name."&amp;VLOOKUP($C548,'#Data'!$B$2:$J$344,2,FALSE)</f>
        <v>Monster.Name.clock_flamedog_2</v>
      </c>
      <c r="E548" s="19" t="s">
        <v>47</v>
      </c>
      <c r="F548" s="48" t="s">
        <v>44</v>
      </c>
      <c r="G548" s="19" t="s">
        <v>45</v>
      </c>
      <c r="H548" s="41" t="b">
        <f>IF(OR(VLOOKUP($C548,'#Data'!$B$2:$J$344,4,FALSE)="보스",VLOOKUP($C548,'#Data'!$B$2:$J$344,4,FALSE)="중간"),TRUE,FALSE)</f>
        <v>0</v>
      </c>
      <c r="I548" s="41" t="b">
        <v>0</v>
      </c>
      <c r="J548" s="19">
        <v>10</v>
      </c>
      <c r="K548" s="19">
        <f t="shared" si="17"/>
        <v>10</v>
      </c>
      <c r="L548" s="69" t="s">
        <v>1435</v>
      </c>
      <c r="M548" s="69"/>
      <c r="N548" s="69"/>
      <c r="O548" s="138" t="s">
        <v>2051</v>
      </c>
      <c r="P548" s="138"/>
      <c r="Q548" s="138"/>
      <c r="R548" s="70"/>
      <c r="S548" s="70"/>
      <c r="T548" s="70"/>
      <c r="U548" s="70"/>
      <c r="V548" s="19" t="b">
        <v>0</v>
      </c>
      <c r="W548" s="19" t="str">
        <f>"Character/Prefabs/"&amp;VLOOKUP($C548,'#Data'!$B$3:$I$344,8,FALSE)</f>
        <v>Character/Prefabs/m_s_ranger_clock_flamedog_2</v>
      </c>
      <c r="X548" s="19"/>
      <c r="Y548" s="19" t="str">
        <f>VLOOKUP($C548,'#Data'!$B$3:$I$344,8,FALSE)</f>
        <v>m_s_ranger_clock_flamedog_2</v>
      </c>
      <c r="Z548" s="19"/>
      <c r="AA548" s="19"/>
      <c r="AB548" s="19"/>
      <c r="AC548" s="91">
        <v>0.9</v>
      </c>
      <c r="AD548" s="19"/>
      <c r="AE548" s="19"/>
      <c r="AF548" s="19"/>
      <c r="AG548" s="19" t="s">
        <v>2105</v>
      </c>
      <c r="AH548" s="85"/>
    </row>
    <row r="549" spans="1:34" x14ac:dyDescent="0.3">
      <c r="A549" s="19">
        <f t="shared" si="16"/>
        <v>1310207112</v>
      </c>
      <c r="B549" s="19" t="s">
        <v>190</v>
      </c>
      <c r="C549" s="19" t="s">
        <v>1420</v>
      </c>
      <c r="D549" s="19" t="str">
        <f>"Monster.Name."&amp;VLOOKUP($C549,'#Data'!$B$2:$J$344,2,FALSE)</f>
        <v>Monster.Name.clock_spear_2</v>
      </c>
      <c r="E549" s="19" t="s">
        <v>43</v>
      </c>
      <c r="F549" s="48" t="s">
        <v>44</v>
      </c>
      <c r="G549" s="19" t="s">
        <v>45</v>
      </c>
      <c r="H549" s="41" t="b">
        <f>IF(OR(VLOOKUP($C549,'#Data'!$B$2:$J$344,4,FALSE)="보스",VLOOKUP($C549,'#Data'!$B$2:$J$344,4,FALSE)="중간"),TRUE,FALSE)</f>
        <v>0</v>
      </c>
      <c r="I549" s="41" t="b">
        <v>0</v>
      </c>
      <c r="J549" s="19">
        <v>10</v>
      </c>
      <c r="K549" s="19">
        <f t="shared" si="17"/>
        <v>10</v>
      </c>
      <c r="L549" s="69" t="s">
        <v>1436</v>
      </c>
      <c r="M549" s="69"/>
      <c r="N549" s="69"/>
      <c r="O549" s="138" t="s">
        <v>1441</v>
      </c>
      <c r="P549" s="138" t="s">
        <v>2052</v>
      </c>
      <c r="Q549" s="138"/>
      <c r="R549" s="70"/>
      <c r="S549" s="70"/>
      <c r="T549" s="70"/>
      <c r="U549" s="70"/>
      <c r="V549" s="19" t="b">
        <v>0</v>
      </c>
      <c r="W549" s="19" t="str">
        <f>"Character/Prefabs/"&amp;VLOOKUP($C549,'#Data'!$B$3:$I$344,8,FALSE)</f>
        <v>Character/Prefabs/m_m_attacker_clock_spear_2</v>
      </c>
      <c r="X549" s="19"/>
      <c r="Y549" s="19" t="str">
        <f>VLOOKUP($C549,'#Data'!$B$3:$I$344,8,FALSE)</f>
        <v>m_m_attacker_clock_spear_2</v>
      </c>
      <c r="Z549" s="19"/>
      <c r="AA549" s="19"/>
      <c r="AB549" s="19"/>
      <c r="AC549" s="91">
        <v>0.9</v>
      </c>
      <c r="AD549" s="19"/>
      <c r="AE549" s="19"/>
      <c r="AF549" s="19"/>
      <c r="AG549" s="19" t="s">
        <v>2105</v>
      </c>
      <c r="AH549" s="85"/>
    </row>
    <row r="550" spans="1:34" x14ac:dyDescent="0.3">
      <c r="A550" s="19">
        <f t="shared" si="16"/>
        <v>1310207113</v>
      </c>
      <c r="B550" s="19" t="s">
        <v>190</v>
      </c>
      <c r="C550" s="19" t="s">
        <v>1421</v>
      </c>
      <c r="D550" s="19" t="str">
        <f>"Monster.Name."&amp;VLOOKUP($C550,'#Data'!$B$2:$J$344,2,FALSE)</f>
        <v>Monster.Name.clock_squire_2</v>
      </c>
      <c r="E550" s="19" t="s">
        <v>47</v>
      </c>
      <c r="F550" s="48" t="s">
        <v>44</v>
      </c>
      <c r="G550" s="19" t="s">
        <v>45</v>
      </c>
      <c r="H550" s="41" t="b">
        <f>IF(OR(VLOOKUP($C550,'#Data'!$B$2:$J$344,4,FALSE)="보스",VLOOKUP($C550,'#Data'!$B$2:$J$344,4,FALSE)="중간"),TRUE,FALSE)</f>
        <v>0</v>
      </c>
      <c r="I550" s="41" t="b">
        <v>0</v>
      </c>
      <c r="J550" s="19">
        <v>10</v>
      </c>
      <c r="K550" s="19">
        <f t="shared" si="17"/>
        <v>10</v>
      </c>
      <c r="L550" s="69" t="s">
        <v>1437</v>
      </c>
      <c r="M550" s="69"/>
      <c r="N550" s="69"/>
      <c r="O550" s="138" t="s">
        <v>1442</v>
      </c>
      <c r="P550" s="138" t="s">
        <v>2053</v>
      </c>
      <c r="Q550" s="138"/>
      <c r="R550" s="70"/>
      <c r="S550" s="70"/>
      <c r="T550" s="70"/>
      <c r="U550" s="70"/>
      <c r="V550" s="19" t="b">
        <v>0</v>
      </c>
      <c r="W550" s="19" t="str">
        <f>"Character/Prefabs/"&amp;VLOOKUP($C550,'#Data'!$B$3:$I$344,8,FALSE)</f>
        <v>Character/Prefabs/m_m_ranger_clock_squire_2</v>
      </c>
      <c r="X550" s="19"/>
      <c r="Y550" s="19" t="str">
        <f>VLOOKUP($C550,'#Data'!$B$3:$I$344,8,FALSE)</f>
        <v>m_m_ranger_clock_squire_2</v>
      </c>
      <c r="Z550" s="19"/>
      <c r="AA550" s="19"/>
      <c r="AB550" s="19"/>
      <c r="AC550" s="91">
        <v>0.9</v>
      </c>
      <c r="AD550" s="19"/>
      <c r="AE550" s="19"/>
      <c r="AF550" s="19"/>
      <c r="AG550" s="19" t="s">
        <v>2105</v>
      </c>
      <c r="AH550" s="85"/>
    </row>
    <row r="551" spans="1:34" x14ac:dyDescent="0.3">
      <c r="A551" s="19">
        <f t="shared" si="16"/>
        <v>1310207114</v>
      </c>
      <c r="B551" s="19" t="s">
        <v>190</v>
      </c>
      <c r="C551" s="19" t="s">
        <v>1422</v>
      </c>
      <c r="D551" s="19" t="str">
        <f>"Monster.Name."&amp;VLOOKUP($C551,'#Data'!$B$2:$J$344,2,FALSE)</f>
        <v>Monster.Name.clock_crossbow_2</v>
      </c>
      <c r="E551" s="19" t="s">
        <v>47</v>
      </c>
      <c r="F551" s="48" t="s">
        <v>44</v>
      </c>
      <c r="G551" s="19" t="s">
        <v>45</v>
      </c>
      <c r="H551" s="41" t="b">
        <f>IF(OR(VLOOKUP($C551,'#Data'!$B$2:$J$344,4,FALSE)="보스",VLOOKUP($C551,'#Data'!$B$2:$J$344,4,FALSE)="중간"),TRUE,FALSE)</f>
        <v>0</v>
      </c>
      <c r="I551" s="41" t="b">
        <v>0</v>
      </c>
      <c r="J551" s="19">
        <v>10</v>
      </c>
      <c r="K551" s="19">
        <f t="shared" si="17"/>
        <v>10</v>
      </c>
      <c r="L551" s="69" t="s">
        <v>1438</v>
      </c>
      <c r="M551" s="69"/>
      <c r="N551" s="69"/>
      <c r="O551" s="138" t="s">
        <v>1443</v>
      </c>
      <c r="P551" s="138" t="s">
        <v>2054</v>
      </c>
      <c r="Q551" s="138"/>
      <c r="R551" s="70"/>
      <c r="S551" s="70"/>
      <c r="T551" s="70"/>
      <c r="U551" s="70"/>
      <c r="V551" s="19" t="b">
        <v>0</v>
      </c>
      <c r="W551" s="19" t="str">
        <f>"Character/Prefabs/"&amp;VLOOKUP($C551,'#Data'!$B$3:$I$344,8,FALSE)</f>
        <v>Character/Prefabs/m_m_ranger_clock_crossbow_2</v>
      </c>
      <c r="X551" s="19"/>
      <c r="Y551" s="19" t="str">
        <f>VLOOKUP($C551,'#Data'!$B$3:$I$344,8,FALSE)</f>
        <v>m_m_ranger_clock_crossbow_2</v>
      </c>
      <c r="Z551" s="19"/>
      <c r="AA551" s="19"/>
      <c r="AB551" s="19"/>
      <c r="AC551" s="91">
        <v>0.9</v>
      </c>
      <c r="AD551" s="19"/>
      <c r="AE551" s="19"/>
      <c r="AF551" s="19"/>
      <c r="AG551" s="19" t="s">
        <v>2105</v>
      </c>
      <c r="AH551" s="85"/>
    </row>
    <row r="552" spans="1:34" x14ac:dyDescent="0.3">
      <c r="A552" s="19">
        <f t="shared" si="16"/>
        <v>1310207115</v>
      </c>
      <c r="B552" s="19" t="s">
        <v>190</v>
      </c>
      <c r="C552" s="19" t="s">
        <v>1423</v>
      </c>
      <c r="D552" s="19" t="str">
        <f>"Monster.Name."&amp;VLOOKUP($C552,'#Data'!$B$2:$J$344,2,FALSE)</f>
        <v>Monster.Name.clock_shield_2</v>
      </c>
      <c r="E552" s="19" t="s">
        <v>43</v>
      </c>
      <c r="F552" s="48" t="s">
        <v>44</v>
      </c>
      <c r="G552" s="19" t="s">
        <v>45</v>
      </c>
      <c r="H552" s="41" t="b">
        <f>IF(OR(VLOOKUP($C552,'#Data'!$B$2:$J$344,4,FALSE)="보스",VLOOKUP($C552,'#Data'!$B$2:$J$344,4,FALSE)="중간"),TRUE,FALSE)</f>
        <v>0</v>
      </c>
      <c r="I552" s="41" t="b">
        <v>0</v>
      </c>
      <c r="J552" s="19">
        <v>10</v>
      </c>
      <c r="K552" s="19">
        <f t="shared" si="17"/>
        <v>10</v>
      </c>
      <c r="L552" s="69" t="s">
        <v>1439</v>
      </c>
      <c r="M552" s="69"/>
      <c r="N552" s="69"/>
      <c r="O552" s="138" t="s">
        <v>1444</v>
      </c>
      <c r="P552" s="138" t="s">
        <v>2055</v>
      </c>
      <c r="Q552" s="138"/>
      <c r="R552" s="70"/>
      <c r="S552" s="70"/>
      <c r="T552" s="70"/>
      <c r="U552" s="70"/>
      <c r="V552" s="19" t="b">
        <v>0</v>
      </c>
      <c r="W552" s="19" t="str">
        <f>"Character/Prefabs/"&amp;VLOOKUP($C552,'#Data'!$B$3:$I$344,8,FALSE)</f>
        <v>Character/Prefabs/m_m_attacker_clock_shield_2</v>
      </c>
      <c r="X552" s="19"/>
      <c r="Y552" s="19" t="str">
        <f>VLOOKUP($C552,'#Data'!$B$3:$I$344,8,FALSE)</f>
        <v>m_m_attacker_clock_shield_2</v>
      </c>
      <c r="Z552" s="19"/>
      <c r="AA552" s="19"/>
      <c r="AB552" s="19"/>
      <c r="AC552" s="91">
        <v>0.9</v>
      </c>
      <c r="AD552" s="19"/>
      <c r="AE552" s="19"/>
      <c r="AF552" s="19"/>
      <c r="AG552" s="19" t="s">
        <v>2105</v>
      </c>
      <c r="AH552" s="85"/>
    </row>
    <row r="553" spans="1:34" x14ac:dyDescent="0.3">
      <c r="A553" s="19">
        <f t="shared" si="16"/>
        <v>1310207116</v>
      </c>
      <c r="B553" s="19" t="s">
        <v>190</v>
      </c>
      <c r="C553" s="19" t="s">
        <v>1424</v>
      </c>
      <c r="D553" s="19" t="str">
        <f>"Monster.Name."&amp;VLOOKUP($C553,'#Data'!$B$2:$J$344,2,FALSE)</f>
        <v>Monster.Name.clock_clown_2</v>
      </c>
      <c r="E553" s="19" t="s">
        <v>47</v>
      </c>
      <c r="F553" s="48" t="s">
        <v>44</v>
      </c>
      <c r="G553" s="19" t="s">
        <v>45</v>
      </c>
      <c r="H553" s="41" t="b">
        <f>IF(OR(VLOOKUP($C553,'#Data'!$B$2:$J$344,4,FALSE)="보스",VLOOKUP($C553,'#Data'!$B$2:$J$344,4,FALSE)="중간"),TRUE,FALSE)</f>
        <v>0</v>
      </c>
      <c r="I553" s="41" t="b">
        <v>0</v>
      </c>
      <c r="J553" s="19">
        <v>10</v>
      </c>
      <c r="K553" s="19">
        <f t="shared" si="17"/>
        <v>10</v>
      </c>
      <c r="L553" s="69" t="s">
        <v>1440</v>
      </c>
      <c r="M553" s="69"/>
      <c r="N553" s="69"/>
      <c r="O553" s="138" t="s">
        <v>1445</v>
      </c>
      <c r="P553" s="138" t="s">
        <v>2056</v>
      </c>
      <c r="Q553" s="138"/>
      <c r="R553" s="70"/>
      <c r="S553" s="70"/>
      <c r="T553" s="70"/>
      <c r="U553" s="70"/>
      <c r="V553" s="19" t="b">
        <v>0</v>
      </c>
      <c r="W553" s="19" t="str">
        <f>"Character/Prefabs/"&amp;VLOOKUP($C553,'#Data'!$B$3:$I$344,8,FALSE)</f>
        <v>Character/Prefabs/m_m_ranger_clock_clown_2</v>
      </c>
      <c r="X553" s="19"/>
      <c r="Y553" s="19" t="str">
        <f>VLOOKUP($C553,'#Data'!$B$3:$I$344,8,FALSE)</f>
        <v>m_m_ranger_clock_clown_2</v>
      </c>
      <c r="Z553" s="19"/>
      <c r="AA553" s="19"/>
      <c r="AB553" s="19"/>
      <c r="AC553" s="91">
        <v>0.9</v>
      </c>
      <c r="AD553" s="19"/>
      <c r="AE553" s="19"/>
      <c r="AF553" s="19"/>
      <c r="AG553" s="19" t="s">
        <v>2105</v>
      </c>
      <c r="AH553" s="85"/>
    </row>
    <row r="554" spans="1:34" x14ac:dyDescent="0.3">
      <c r="A554" s="19">
        <f t="shared" si="16"/>
        <v>1310207117</v>
      </c>
      <c r="B554" s="19" t="s">
        <v>190</v>
      </c>
      <c r="C554" s="19" t="s">
        <v>1425</v>
      </c>
      <c r="D554" s="19" t="str">
        <f>"Monster.Name."&amp;VLOOKUP($C554,'#Data'!$B$2:$J$344,2,FALSE)</f>
        <v>Monster.Name.clock_draftee_2</v>
      </c>
      <c r="E554" s="19" t="s">
        <v>43</v>
      </c>
      <c r="F554" s="48" t="s">
        <v>44</v>
      </c>
      <c r="G554" s="19" t="s">
        <v>45</v>
      </c>
      <c r="H554" s="41" t="b">
        <f>IF(OR(VLOOKUP($C554,'#Data'!$B$2:$J$344,4,FALSE)="보스",VLOOKUP($C554,'#Data'!$B$2:$J$344,4,FALSE)="중간"),TRUE,FALSE)</f>
        <v>0</v>
      </c>
      <c r="I554" s="41" t="b">
        <v>0</v>
      </c>
      <c r="J554" s="19">
        <v>10</v>
      </c>
      <c r="K554" s="19">
        <f t="shared" si="17"/>
        <v>10</v>
      </c>
      <c r="L554" s="69"/>
      <c r="M554" s="69"/>
      <c r="N554" s="69"/>
      <c r="O554" s="138" t="s">
        <v>1446</v>
      </c>
      <c r="P554" s="138"/>
      <c r="Q554" s="138"/>
      <c r="R554" s="70"/>
      <c r="S554" s="70" t="s">
        <v>199</v>
      </c>
      <c r="T554" s="70"/>
      <c r="U554" s="70"/>
      <c r="V554" s="19" t="b">
        <v>0</v>
      </c>
      <c r="W554" s="19" t="str">
        <f>"Character/Prefabs/"&amp;VLOOKUP($C554,'#Data'!$B$3:$I$344,8,FALSE)</f>
        <v>Character/Prefabs/m_m_attacker_clock_draftee_2</v>
      </c>
      <c r="X554" s="19"/>
      <c r="Y554" s="19" t="str">
        <f>VLOOKUP($C554,'#Data'!$B$3:$I$344,8,FALSE)</f>
        <v>m_m_attacker_clock_draftee_2</v>
      </c>
      <c r="Z554" s="19"/>
      <c r="AA554" s="19"/>
      <c r="AB554" s="19"/>
      <c r="AC554" s="91">
        <v>0.9</v>
      </c>
      <c r="AD554" s="19"/>
      <c r="AE554" s="19"/>
      <c r="AF554" s="19"/>
      <c r="AG554" s="19" t="s">
        <v>2105</v>
      </c>
      <c r="AH554" s="85"/>
    </row>
    <row r="555" spans="1:34" x14ac:dyDescent="0.3">
      <c r="A555" s="19">
        <f t="shared" si="16"/>
        <v>1310207118</v>
      </c>
      <c r="B555" s="19" t="s">
        <v>190</v>
      </c>
      <c r="C555" s="19" t="s">
        <v>2065</v>
      </c>
      <c r="D555" s="19" t="str">
        <f>"Monster.Name."&amp;VLOOKUP($C555,'#Data'!$B$2:$J$344,2,FALSE)</f>
        <v>Monster.Name.clock_honor_knight_2</v>
      </c>
      <c r="E555" s="19" t="s">
        <v>43</v>
      </c>
      <c r="F555" s="48" t="s">
        <v>44</v>
      </c>
      <c r="G555" s="19" t="s">
        <v>45</v>
      </c>
      <c r="H555" s="41" t="b">
        <f>IF(OR(VLOOKUP($C555,'#Data'!$B$2:$J$344,4,FALSE)="보스",VLOOKUP($C555,'#Data'!$B$2:$J$344,4,FALSE)="중간"),TRUE,FALSE)</f>
        <v>0</v>
      </c>
      <c r="I555" s="41" t="b">
        <v>0</v>
      </c>
      <c r="J555" s="19">
        <v>10</v>
      </c>
      <c r="K555" s="19">
        <f t="shared" si="17"/>
        <v>10</v>
      </c>
      <c r="L555" s="69" t="str">
        <f>$B555&amp;"."&amp;VLOOKUP($C555,'#Data'!$B$2:$J$344,2,FALSE)&amp;".attack0"&amp;RIGHT(L$1,1)</f>
        <v>Sector07.clock_honor_knight_2.attack01</v>
      </c>
      <c r="M555" s="69" t="str">
        <f>$B555&amp;"."&amp;VLOOKUP($C555,'#Data'!$B$2:$J$344,2,FALSE)&amp;".attack0"&amp;RIGHT(M$1,1)</f>
        <v>Sector07.clock_honor_knight_2.attack02</v>
      </c>
      <c r="N555" s="69"/>
      <c r="O555" s="138" t="str">
        <f>$B555&amp;"."&amp;VLOOKUP($C555,'#Data'!$B$2:$J$344,2,FALSE)&amp;".skill0"&amp;RIGHT(O$1,1)</f>
        <v>Sector07.clock_honor_knight_2.skill01</v>
      </c>
      <c r="P555" s="138"/>
      <c r="Q555" s="138"/>
      <c r="R555" s="70"/>
      <c r="S555" s="70" t="s">
        <v>2069</v>
      </c>
      <c r="T555" s="70"/>
      <c r="U555" s="70"/>
      <c r="V555" s="19" t="b">
        <v>0</v>
      </c>
      <c r="W555" s="168" t="s">
        <v>2086</v>
      </c>
      <c r="X555" s="167"/>
      <c r="Y555" s="168" t="s">
        <v>2087</v>
      </c>
      <c r="Z555" s="19"/>
      <c r="AA555" s="19"/>
      <c r="AB555" s="19"/>
      <c r="AC555" s="91">
        <v>0.9</v>
      </c>
      <c r="AD555" s="19"/>
      <c r="AE555" s="19"/>
      <c r="AF555" s="19"/>
      <c r="AG555" s="19" t="s">
        <v>2105</v>
      </c>
      <c r="AH555" s="85"/>
    </row>
    <row r="556" spans="1:34" x14ac:dyDescent="0.3">
      <c r="A556" s="41">
        <f t="shared" si="16"/>
        <v>1310207201</v>
      </c>
      <c r="B556" s="41" t="s">
        <v>190</v>
      </c>
      <c r="C556" s="41" t="s">
        <v>201</v>
      </c>
      <c r="D556" s="41" t="str">
        <f>"Monster.Name."&amp;VLOOKUP($C556,'#Data'!$B$2:$J$344,2,FALSE)</f>
        <v>Monster.Name.clock_noble_knight_1</v>
      </c>
      <c r="E556" s="41" t="s">
        <v>43</v>
      </c>
      <c r="F556" s="42" t="s">
        <v>44</v>
      </c>
      <c r="G556" s="41" t="s">
        <v>45</v>
      </c>
      <c r="H556" s="41" t="b">
        <f>IF(OR(VLOOKUP($C556,'#Data'!$B$2:$J$344,4,FALSE)="보스",VLOOKUP($C556,'#Data'!$B$2:$J$344,4,FALSE)="중간"),TRUE,FALSE)</f>
        <v>1</v>
      </c>
      <c r="I556" s="41" t="b">
        <v>1</v>
      </c>
      <c r="J556" s="41">
        <v>10</v>
      </c>
      <c r="K556" s="41">
        <f t="shared" si="17"/>
        <v>10</v>
      </c>
      <c r="L556" s="67" t="str">
        <f>$B556&amp;"."&amp;VLOOKUP($C556,'#Data'!$B$2:$J$344,2,FALSE)&amp;".attack0"&amp;RIGHT(L$1,1)</f>
        <v>Sector07.clock_noble_knight_1.attack01</v>
      </c>
      <c r="M556" s="67" t="str">
        <f>$B556&amp;"."&amp;VLOOKUP($C556,'#Data'!$B$2:$J$344,2,FALSE)&amp;".attack0"&amp;RIGHT(M$1,1)</f>
        <v>Sector07.clock_noble_knight_1.attack02</v>
      </c>
      <c r="N556" s="67"/>
      <c r="O556" s="137" t="str">
        <f>$B556&amp;"."&amp;VLOOKUP($C556,'#Data'!$B$2:$J$344,2,FALSE)&amp;".skill0"&amp;RIGHT(O$1,1)</f>
        <v>Sector07.clock_noble_knight_1.skill01</v>
      </c>
      <c r="P556" s="137" t="str">
        <f>$B556&amp;"."&amp;VLOOKUP($C556,'#Data'!$B$2:$J$344,2,FALSE)&amp;".skill0"&amp;RIGHT(P$1,1)</f>
        <v>Sector07.clock_noble_knight_1.skill02</v>
      </c>
      <c r="Q556" s="137" t="str">
        <f>$B556&amp;"."&amp;VLOOKUP($C556,'#Data'!$B$2:$J$344,2,FALSE)&amp;".skill0"&amp;RIGHT(Q$1,1)</f>
        <v>Sector07.clock_noble_knight_1.skill03</v>
      </c>
      <c r="R556" s="68" t="s">
        <v>202</v>
      </c>
      <c r="S556" s="68" t="s">
        <v>2077</v>
      </c>
      <c r="T556" s="68"/>
      <c r="U556" s="68"/>
      <c r="V556" s="41" t="b">
        <v>0</v>
      </c>
      <c r="W556" s="41" t="str">
        <f>"Character/Prefabs/"&amp;VLOOKUP($C556,'#Data'!$B$3:$I$344,8,FALSE)</f>
        <v>Character/Prefabs/m_l_attacker_clock_noble_knight_1</v>
      </c>
      <c r="X556" s="41"/>
      <c r="Y556" s="41" t="str">
        <f>VLOOKUP($C556,'#Data'!$B$3:$I$344,8,FALSE)</f>
        <v>m_l_attacker_clock_noble_knight_1</v>
      </c>
      <c r="Z556" s="41"/>
      <c r="AA556" s="41"/>
      <c r="AB556" s="41"/>
      <c r="AC556" s="90">
        <v>0.9</v>
      </c>
      <c r="AD556" s="41"/>
      <c r="AE556" s="41"/>
      <c r="AF556" s="41"/>
      <c r="AG556" s="41" t="s">
        <v>2105</v>
      </c>
      <c r="AH556" s="85"/>
    </row>
    <row r="557" spans="1:34" x14ac:dyDescent="0.3">
      <c r="A557" s="41">
        <f t="shared" si="16"/>
        <v>1310207202</v>
      </c>
      <c r="B557" s="41" t="s">
        <v>190</v>
      </c>
      <c r="C557" s="41" t="s">
        <v>203</v>
      </c>
      <c r="D557" s="41" t="str">
        <f>"Monster.Name."&amp;VLOOKUP($C557,'#Data'!$B$2:$J$344,2,FALSE)</f>
        <v>Monster.Name.clock_noble_bishop_1</v>
      </c>
      <c r="E557" s="41" t="s">
        <v>47</v>
      </c>
      <c r="F557" s="42" t="s">
        <v>44</v>
      </c>
      <c r="G557" s="41" t="s">
        <v>45</v>
      </c>
      <c r="H557" s="41" t="b">
        <f>IF(OR(VLOOKUP($C557,'#Data'!$B$2:$J$344,4,FALSE)="보스",VLOOKUP($C557,'#Data'!$B$2:$J$344,4,FALSE)="중간"),TRUE,FALSE)</f>
        <v>1</v>
      </c>
      <c r="I557" s="41" t="b">
        <v>1</v>
      </c>
      <c r="J557" s="41">
        <v>10</v>
      </c>
      <c r="K557" s="41">
        <f t="shared" si="17"/>
        <v>10</v>
      </c>
      <c r="L557" s="67" t="str">
        <f>$B557&amp;"."&amp;VLOOKUP($C557,'#Data'!$B$2:$J$344,2,FALSE)&amp;".attack0"&amp;RIGHT(L$1,1)</f>
        <v>Sector07.clock_noble_bishop_1.attack01</v>
      </c>
      <c r="M557" s="67"/>
      <c r="N557" s="67"/>
      <c r="O557" s="137" t="str">
        <f>$B557&amp;"."&amp;VLOOKUP($C557,'#Data'!$B$2:$J$344,2,FALSE)&amp;".skill0"&amp;RIGHT(O$1,1)</f>
        <v>Sector07.clock_noble_bishop_1.skill01</v>
      </c>
      <c r="P557" s="137" t="str">
        <f>$B557&amp;"."&amp;VLOOKUP($C557,'#Data'!$B$2:$J$344,2,FALSE)&amp;".skill0"&amp;RIGHT(P$1,1)</f>
        <v>Sector07.clock_noble_bishop_1.skill02</v>
      </c>
      <c r="Q557" s="137" t="str">
        <f>$B557&amp;"."&amp;VLOOKUP($C557,'#Data'!$B$2:$J$344,2,FALSE)&amp;".skill0"&amp;RIGHT(Q$1,1)</f>
        <v>Sector07.clock_noble_bishop_1.skill03</v>
      </c>
      <c r="R557" s="68"/>
      <c r="S557" s="68" t="s">
        <v>2076</v>
      </c>
      <c r="T557" s="68"/>
      <c r="U557" s="68"/>
      <c r="V557" s="41" t="b">
        <v>0</v>
      </c>
      <c r="W557" s="41" t="str">
        <f>"Character/Prefabs/"&amp;VLOOKUP($C557,'#Data'!$B$3:$I$344,8,FALSE)</f>
        <v>Character/Prefabs/m_l_ranger_clock_noble_bishop_1</v>
      </c>
      <c r="X557" s="41"/>
      <c r="Y557" s="41" t="str">
        <f>VLOOKUP($C557,'#Data'!$B$3:$I$344,8,FALSE)</f>
        <v>m_l_ranger_clock_noble_bishop_1</v>
      </c>
      <c r="Z557" s="41"/>
      <c r="AA557" s="41"/>
      <c r="AB557" s="41"/>
      <c r="AC557" s="90">
        <v>0.9</v>
      </c>
      <c r="AD557" s="41"/>
      <c r="AE557" s="41"/>
      <c r="AF557" s="41"/>
      <c r="AG557" s="41" t="s">
        <v>2105</v>
      </c>
      <c r="AH557" s="85"/>
    </row>
    <row r="558" spans="1:34" x14ac:dyDescent="0.3">
      <c r="A558" s="41">
        <f t="shared" si="16"/>
        <v>1310207203</v>
      </c>
      <c r="B558" s="41" t="s">
        <v>190</v>
      </c>
      <c r="C558" s="41" t="s">
        <v>204</v>
      </c>
      <c r="D558" s="41" t="str">
        <f>"Monster.Name."&amp;VLOOKUP($C558,'#Data'!$B$2:$J$344,2,FALSE)</f>
        <v>Monster.Name.clock_noble_keeper_1</v>
      </c>
      <c r="E558" s="41" t="s">
        <v>43</v>
      </c>
      <c r="F558" s="42" t="s">
        <v>44</v>
      </c>
      <c r="G558" s="41" t="s">
        <v>45</v>
      </c>
      <c r="H558" s="41" t="b">
        <f>IF(OR(VLOOKUP($C558,'#Data'!$B$2:$J$344,4,FALSE)="보스",VLOOKUP($C558,'#Data'!$B$2:$J$344,4,FALSE)="중간"),TRUE,FALSE)</f>
        <v>1</v>
      </c>
      <c r="I558" s="41" t="b">
        <v>1</v>
      </c>
      <c r="J558" s="41">
        <v>10</v>
      </c>
      <c r="K558" s="41">
        <f t="shared" si="17"/>
        <v>10</v>
      </c>
      <c r="L558" s="67" t="str">
        <f>$B558&amp;"."&amp;VLOOKUP($C558,'#Data'!$B$2:$J$344,2,FALSE)&amp;".attack0"&amp;RIGHT(L$1,1)</f>
        <v>Sector07.clock_noble_keeper_1.attack01</v>
      </c>
      <c r="M558" s="67"/>
      <c r="N558" s="67"/>
      <c r="O558" s="137" t="str">
        <f>$B558&amp;"."&amp;VLOOKUP($C558,'#Data'!$B$2:$J$344,2,FALSE)&amp;".skill0"&amp;RIGHT(O$1,1)</f>
        <v>Sector07.clock_noble_keeper_1.skill01</v>
      </c>
      <c r="P558" s="137" t="str">
        <f>$B558&amp;"."&amp;VLOOKUP($C558,'#Data'!$B$2:$J$344,2,FALSE)&amp;".skill0"&amp;RIGHT(P$1,1)</f>
        <v>Sector07.clock_noble_keeper_1.skill02</v>
      </c>
      <c r="Q558" s="137" t="str">
        <f>$B558&amp;"."&amp;VLOOKUP($C558,'#Data'!$B$2:$J$344,2,FALSE)&amp;".skill0"&amp;RIGHT(Q$1,1)</f>
        <v>Sector07.clock_noble_keeper_1.skill03</v>
      </c>
      <c r="R558" s="68"/>
      <c r="S558" s="68" t="s">
        <v>2076</v>
      </c>
      <c r="T558" s="68"/>
      <c r="U558" s="68"/>
      <c r="V558" s="41" t="b">
        <v>0</v>
      </c>
      <c r="W558" s="41" t="str">
        <f>"Character/Prefabs/"&amp;VLOOKUP($C558,'#Data'!$B$3:$I$344,8,FALSE)</f>
        <v>Character/Prefabs/m_l_attacker_clock_noble_keeper_1</v>
      </c>
      <c r="X558" s="41"/>
      <c r="Y558" s="41" t="str">
        <f>VLOOKUP($C558,'#Data'!$B$3:$I$344,8,FALSE)</f>
        <v>m_l_attacker_clock_noble_keeper_1</v>
      </c>
      <c r="Z558" s="41"/>
      <c r="AA558" s="41"/>
      <c r="AB558" s="41"/>
      <c r="AC558" s="90">
        <v>0.9</v>
      </c>
      <c r="AD558" s="41"/>
      <c r="AE558" s="41"/>
      <c r="AF558" s="41"/>
      <c r="AG558" s="41" t="s">
        <v>2105</v>
      </c>
      <c r="AH558" s="85"/>
    </row>
    <row r="559" spans="1:34" x14ac:dyDescent="0.3">
      <c r="A559" s="23">
        <f t="shared" si="16"/>
        <v>1310207301</v>
      </c>
      <c r="B559" s="23" t="s">
        <v>190</v>
      </c>
      <c r="C559" s="23" t="s">
        <v>205</v>
      </c>
      <c r="D559" s="23" t="str">
        <f>"Monster.Name."&amp;VLOOKUP($C559,'#Data'!$B$2:$J$344,2,FALSE)</f>
        <v>Monster.Name.clock_royal_queen_1</v>
      </c>
      <c r="E559" s="23" t="s">
        <v>1833</v>
      </c>
      <c r="F559" s="24" t="s">
        <v>44</v>
      </c>
      <c r="G559" s="23" t="s">
        <v>45</v>
      </c>
      <c r="H559" s="23" t="b">
        <f>IF(OR(VLOOKUP($C559,'#Data'!$B$2:$J$344,4,FALSE)="보스",VLOOKUP($C559,'#Data'!$B$2:$J$344,4,FALSE)="중간"),TRUE,FALSE)</f>
        <v>1</v>
      </c>
      <c r="I559" s="23" t="b">
        <v>1</v>
      </c>
      <c r="J559" s="23">
        <v>20</v>
      </c>
      <c r="K559" s="23">
        <f t="shared" si="17"/>
        <v>10</v>
      </c>
      <c r="L559" s="115" t="str">
        <f>$B559&amp;"."&amp;VLOOKUP($C559,'#Data'!$B$2:$J$344,2,FALSE)&amp;".attack0"&amp;RIGHT(L$1,1)</f>
        <v>Sector07.clock_royal_queen_1.attack01</v>
      </c>
      <c r="M559" s="115" t="str">
        <f>$B559&amp;"."&amp;VLOOKUP($C559,'#Data'!$B$2:$J$344,2,FALSE)&amp;".attack0"&amp;RIGHT(M$1,1)</f>
        <v>Sector07.clock_royal_queen_1.attack02</v>
      </c>
      <c r="N559" s="115"/>
      <c r="O559" s="139" t="str">
        <f>$B559&amp;"."&amp;VLOOKUP($C559,'#Data'!$B$2:$J$344,2,FALSE)&amp;".skill0"&amp;RIGHT(O$1,1)</f>
        <v>Sector07.clock_royal_queen_1.skill01</v>
      </c>
      <c r="P559" s="139" t="str">
        <f>$B559&amp;"."&amp;VLOOKUP($C559,'#Data'!$B$2:$J$344,2,FALSE)&amp;".skill0"&amp;RIGHT(P$1,1)</f>
        <v>Sector07.clock_royal_queen_1.skill02</v>
      </c>
      <c r="Q559" s="139" t="str">
        <f>$B559&amp;"."&amp;VLOOKUP($C559,'#Data'!$B$2:$J$344,2,FALSE)&amp;".skill0"&amp;RIGHT(Q$1,1)</f>
        <v>Sector07.clock_royal_queen_1.skill03</v>
      </c>
      <c r="R559" s="116" t="s">
        <v>206</v>
      </c>
      <c r="S559" s="116" t="s">
        <v>76</v>
      </c>
      <c r="T559" s="116"/>
      <c r="U559" s="116"/>
      <c r="V559" s="23" t="b">
        <v>0</v>
      </c>
      <c r="W559" s="23" t="str">
        <f>"Character/Prefabs/"&amp;VLOOKUP($C559,'#Data'!$B$3:$I$344,8,FALSE)</f>
        <v>Character/Prefabs/m_boss_attacker_clock_royal_queen_1</v>
      </c>
      <c r="X559" s="23"/>
      <c r="Y559" s="23" t="str">
        <f>VLOOKUP($C559,'#Data'!$B$3:$I$344,8,FALSE)</f>
        <v>m_boss_attacker_clock_royal_queen_1</v>
      </c>
      <c r="Z559" s="23"/>
      <c r="AA559" s="23"/>
      <c r="AB559" s="23"/>
      <c r="AC559" s="98">
        <v>0.9</v>
      </c>
      <c r="AD559" s="23"/>
      <c r="AE559" s="23" t="s">
        <v>207</v>
      </c>
      <c r="AF559" s="23" t="s">
        <v>208</v>
      </c>
      <c r="AG559" s="23" t="s">
        <v>2105</v>
      </c>
      <c r="AH559" s="85"/>
    </row>
    <row r="560" spans="1:34" x14ac:dyDescent="0.3">
      <c r="A560" s="23">
        <f t="shared" si="16"/>
        <v>1310207302</v>
      </c>
      <c r="B560" s="23" t="s">
        <v>190</v>
      </c>
      <c r="C560" s="23" t="s">
        <v>209</v>
      </c>
      <c r="D560" s="23" t="str">
        <f>"Monster.Name."&amp;VLOOKUP($C560,'#Data'!$B$2:$J$344,2,FALSE)</f>
        <v>Monster.Name.clock_royal_queen_2</v>
      </c>
      <c r="E560" s="23" t="s">
        <v>1833</v>
      </c>
      <c r="F560" s="24" t="s">
        <v>44</v>
      </c>
      <c r="G560" s="23" t="s">
        <v>45</v>
      </c>
      <c r="H560" s="23" t="b">
        <f>IF(OR(VLOOKUP($C560,'#Data'!$B$2:$J$344,4,FALSE)="보스",VLOOKUP($C560,'#Data'!$B$2:$J$344,4,FALSE)="중간"),TRUE,FALSE)</f>
        <v>1</v>
      </c>
      <c r="I560" s="23" t="b">
        <v>1</v>
      </c>
      <c r="J560" s="23">
        <v>20</v>
      </c>
      <c r="K560" s="23">
        <f t="shared" si="17"/>
        <v>10</v>
      </c>
      <c r="L560" s="115" t="str">
        <f>$B560&amp;"."&amp;VLOOKUP($C560,'#Data'!$B$2:$J$344,2,FALSE)&amp;".attack0"&amp;RIGHT(L$1,1)</f>
        <v>Sector07.clock_royal_queen_2.attack01</v>
      </c>
      <c r="M560" s="115" t="str">
        <f>$B560&amp;"."&amp;VLOOKUP($C560,'#Data'!$B$2:$J$344,2,FALSE)&amp;".attack0"&amp;RIGHT(M$1,1)</f>
        <v>Sector07.clock_royal_queen_2.attack02</v>
      </c>
      <c r="N560" s="115"/>
      <c r="O560" s="139" t="str">
        <f>$B560&amp;"."&amp;VLOOKUP($C560,'#Data'!$B$2:$J$344,2,FALSE)&amp;".skill0"&amp;RIGHT(O$1,1)</f>
        <v>Sector07.clock_royal_queen_2.skill01</v>
      </c>
      <c r="P560" s="139" t="str">
        <f>$B560&amp;"."&amp;VLOOKUP($C560,'#Data'!$B$2:$J$344,2,FALSE)&amp;".skill0"&amp;RIGHT(P$1,1)</f>
        <v>Sector07.clock_royal_queen_2.skill02</v>
      </c>
      <c r="Q560" s="139" t="str">
        <f>$B560&amp;"."&amp;VLOOKUP($C560,'#Data'!$B$2:$J$344,2,FALSE)&amp;".skill0"&amp;RIGHT(Q$1,1)</f>
        <v>Sector07.clock_royal_queen_2.skill03</v>
      </c>
      <c r="R560" s="116" t="s">
        <v>206</v>
      </c>
      <c r="S560" s="116" t="s">
        <v>76</v>
      </c>
      <c r="T560" s="116"/>
      <c r="U560" s="116"/>
      <c r="V560" s="23" t="b">
        <v>0</v>
      </c>
      <c r="W560" s="166" t="str">
        <f>"Character/Prefabs/"&amp;VLOOKUP($C560,'#Data'!$B$3:$I$344,8,FALSE)</f>
        <v>Character/Prefabs/m_boss_attacker_clock_royal_queen_2</v>
      </c>
      <c r="X560" s="166"/>
      <c r="Y560" s="166" t="str">
        <f>VLOOKUP($C560,'#Data'!$B$3:$I$344,8,FALSE)</f>
        <v>m_boss_attacker_clock_royal_queen_2</v>
      </c>
      <c r="Z560" s="23"/>
      <c r="AA560" s="23"/>
      <c r="AB560" s="23"/>
      <c r="AC560" s="98">
        <v>1.1000000000000001</v>
      </c>
      <c r="AD560" s="23"/>
      <c r="AE560" s="23" t="s">
        <v>2083</v>
      </c>
      <c r="AF560" s="23" t="s">
        <v>2101</v>
      </c>
      <c r="AG560" s="23" t="s">
        <v>2105</v>
      </c>
      <c r="AH560" s="85"/>
    </row>
    <row r="561" spans="1:34" x14ac:dyDescent="0.3">
      <c r="A561" s="13">
        <f t="shared" si="16"/>
        <v>1310208101</v>
      </c>
      <c r="B561" s="13" t="s">
        <v>210</v>
      </c>
      <c r="C561" s="13" t="s">
        <v>211</v>
      </c>
      <c r="D561" s="13" t="str">
        <f>"Monster.Name."&amp;VLOOKUP($C561,'#Data'!$B$2:$J$344,2,FALSE)</f>
        <v>Monster.Name.plants_sticky_1</v>
      </c>
      <c r="E561" s="13" t="s">
        <v>43</v>
      </c>
      <c r="F561" s="44" t="s">
        <v>44</v>
      </c>
      <c r="G561" s="13" t="s">
        <v>45</v>
      </c>
      <c r="H561" s="13" t="b">
        <f>IF(OR(VLOOKUP($C561,'#Data'!$B$2:$J$344,4,FALSE)="보스",VLOOKUP($C561,'#Data'!$B$2:$J$344,4,FALSE)="중간"),TRUE,FALSE)</f>
        <v>0</v>
      </c>
      <c r="I561" s="13" t="b">
        <v>0</v>
      </c>
      <c r="J561" s="13">
        <v>10</v>
      </c>
      <c r="K561" s="13">
        <f t="shared" si="17"/>
        <v>10</v>
      </c>
      <c r="L561" s="71" t="str">
        <f>$B561&amp;"."&amp;VLOOKUP($C561,'#Data'!$B$2:$J$344,2,FALSE)&amp;".attack0"&amp;RIGHT(L$1,1)</f>
        <v>Sector08.plants_sticky_1.attack01</v>
      </c>
      <c r="M561" s="71"/>
      <c r="N561" s="71"/>
      <c r="O561" s="140" t="s">
        <v>2057</v>
      </c>
      <c r="P561" s="140" t="s">
        <v>1959</v>
      </c>
      <c r="Q561" s="140"/>
      <c r="R561" s="72"/>
      <c r="S561" s="72"/>
      <c r="T561" s="72"/>
      <c r="U561" s="72"/>
      <c r="V561" s="13" t="b">
        <v>0</v>
      </c>
      <c r="W561" s="13" t="str">
        <f>"Character/Prefabs/"&amp;VLOOKUP($C561,'#Data'!$B$3:$I$344,8,FALSE)</f>
        <v>Character/Prefabs/m_s_attacker_plants_sticky_1</v>
      </c>
      <c r="X561" s="13"/>
      <c r="Y561" s="13" t="str">
        <f>VLOOKUP($C561,'#Data'!$B$3:$I$344,8,FALSE)</f>
        <v>m_s_attacker_plants_sticky_1</v>
      </c>
      <c r="Z561" s="13"/>
      <c r="AA561" s="13"/>
      <c r="AB561" s="13"/>
      <c r="AC561" s="92">
        <v>0.9</v>
      </c>
      <c r="AD561" s="13"/>
      <c r="AE561" s="13"/>
      <c r="AF561" s="13"/>
      <c r="AG561" s="13" t="s">
        <v>2105</v>
      </c>
      <c r="AH561" s="85"/>
    </row>
    <row r="562" spans="1:34" x14ac:dyDescent="0.3">
      <c r="A562" s="13">
        <f t="shared" si="16"/>
        <v>1310208102</v>
      </c>
      <c r="B562" s="13" t="s">
        <v>210</v>
      </c>
      <c r="C562" s="13" t="s">
        <v>212</v>
      </c>
      <c r="D562" s="13" t="str">
        <f>"Monster.Name."&amp;VLOOKUP($C562,'#Data'!$B$2:$J$344,2,FALSE)</f>
        <v>Monster.Name.plants_stinger_1</v>
      </c>
      <c r="E562" s="13" t="s">
        <v>1962</v>
      </c>
      <c r="F562" s="44" t="s">
        <v>44</v>
      </c>
      <c r="G562" s="13" t="s">
        <v>45</v>
      </c>
      <c r="H562" s="13" t="b">
        <f>IF(OR(VLOOKUP($C562,'#Data'!$B$2:$J$344,4,FALSE)="보스",VLOOKUP($C562,'#Data'!$B$2:$J$344,4,FALSE)="중간"),TRUE,FALSE)</f>
        <v>0</v>
      </c>
      <c r="I562" s="13" t="b">
        <v>0</v>
      </c>
      <c r="J562" s="13">
        <v>10</v>
      </c>
      <c r="K562" s="13">
        <f t="shared" si="17"/>
        <v>10</v>
      </c>
      <c r="L562" s="71" t="str">
        <f>$B562&amp;"."&amp;VLOOKUP($C562,'#Data'!$B$2:$J$344,2,FALSE)&amp;".attack0"&amp;RIGHT(L$1,1)</f>
        <v>Sector08.plants_stinger_1.attack01</v>
      </c>
      <c r="M562" s="71"/>
      <c r="N562" s="71"/>
      <c r="O562" s="140" t="s">
        <v>2058</v>
      </c>
      <c r="P562" s="140" t="s">
        <v>1959</v>
      </c>
      <c r="Q562" s="140"/>
      <c r="R562" s="72"/>
      <c r="S562" s="72"/>
      <c r="T562" s="72"/>
      <c r="U562" s="72"/>
      <c r="V562" s="13" t="b">
        <v>0</v>
      </c>
      <c r="W562" s="13" t="str">
        <f>"Character/Prefabs/"&amp;VLOOKUP($C562,'#Data'!$B$3:$I$344,8,FALSE)</f>
        <v>Character/Prefabs/m_s_ranger_plants_stinger_1</v>
      </c>
      <c r="X562" s="13"/>
      <c r="Y562" s="13" t="str">
        <f>VLOOKUP($C562,'#Data'!$B$3:$I$344,8,FALSE)</f>
        <v>m_s_ranger_plants_stinger_1</v>
      </c>
      <c r="Z562" s="13"/>
      <c r="AA562" s="13"/>
      <c r="AB562" s="13"/>
      <c r="AC562" s="92">
        <v>0.5</v>
      </c>
      <c r="AD562" s="13"/>
      <c r="AE562" s="13"/>
      <c r="AF562" s="13"/>
      <c r="AG562" s="13" t="s">
        <v>2105</v>
      </c>
      <c r="AH562" s="85"/>
    </row>
    <row r="563" spans="1:34" x14ac:dyDescent="0.3">
      <c r="A563" s="13">
        <f t="shared" si="16"/>
        <v>1310208103</v>
      </c>
      <c r="B563" s="13" t="s">
        <v>210</v>
      </c>
      <c r="C563" s="13" t="s">
        <v>213</v>
      </c>
      <c r="D563" s="13" t="str">
        <f>"Monster.Name."&amp;VLOOKUP($C563,'#Data'!$B$2:$J$344,2,FALSE)</f>
        <v>Monster.Name.plants_bark_1</v>
      </c>
      <c r="E563" s="13" t="s">
        <v>43</v>
      </c>
      <c r="F563" s="44" t="s">
        <v>44</v>
      </c>
      <c r="G563" s="13" t="s">
        <v>45</v>
      </c>
      <c r="H563" s="13" t="b">
        <f>IF(OR(VLOOKUP($C563,'#Data'!$B$2:$J$344,4,FALSE)="보스",VLOOKUP($C563,'#Data'!$B$2:$J$344,4,FALSE)="중간"),TRUE,FALSE)</f>
        <v>0</v>
      </c>
      <c r="I563" s="13" t="b">
        <v>0</v>
      </c>
      <c r="J563" s="13">
        <v>10</v>
      </c>
      <c r="K563" s="13">
        <f t="shared" si="17"/>
        <v>10</v>
      </c>
      <c r="L563" s="71" t="str">
        <f>$B563&amp;"."&amp;VLOOKUP($C563,'#Data'!$B$2:$J$344,2,FALSE)&amp;".attack0"&amp;RIGHT(L$1,1)</f>
        <v>Sector08.plants_bark_1.attack01</v>
      </c>
      <c r="M563" s="71"/>
      <c r="N563" s="71"/>
      <c r="O563" s="140" t="str">
        <f>$B563&amp;"."&amp;VLOOKUP($C563,'#Data'!$B$2:$J$344,2,FALSE)&amp;".skill0"&amp;RIGHT(O$1,1)</f>
        <v>Sector08.plants_bark_1.skill01</v>
      </c>
      <c r="P563" s="140" t="s">
        <v>2059</v>
      </c>
      <c r="Q563" s="140" t="s">
        <v>1959</v>
      </c>
      <c r="R563" s="72"/>
      <c r="S563" s="72"/>
      <c r="T563" s="72"/>
      <c r="U563" s="72"/>
      <c r="V563" s="13" t="b">
        <v>0</v>
      </c>
      <c r="W563" s="13" t="str">
        <f>"Character/Prefabs/"&amp;VLOOKUP($C563,'#Data'!$B$3:$I$344,8,FALSE)</f>
        <v>Character/Prefabs/m_m_attacker_plants_bark_1</v>
      </c>
      <c r="X563" s="13"/>
      <c r="Y563" s="13" t="str">
        <f>VLOOKUP($C563,'#Data'!$B$3:$I$344,8,FALSE)</f>
        <v>m_m_attacker_plants_bark_1</v>
      </c>
      <c r="Z563" s="13"/>
      <c r="AA563" s="13"/>
      <c r="AB563" s="13"/>
      <c r="AC563" s="92">
        <v>0.7</v>
      </c>
      <c r="AD563" s="13"/>
      <c r="AE563" s="13"/>
      <c r="AF563" s="13"/>
      <c r="AG563" s="13" t="s">
        <v>2105</v>
      </c>
      <c r="AH563" s="85"/>
    </row>
    <row r="564" spans="1:34" x14ac:dyDescent="0.3">
      <c r="A564" s="13">
        <f t="shared" si="16"/>
        <v>1310208104</v>
      </c>
      <c r="B564" s="13" t="s">
        <v>210</v>
      </c>
      <c r="C564" s="13" t="s">
        <v>214</v>
      </c>
      <c r="D564" s="13" t="str">
        <f>"Monster.Name."&amp;VLOOKUP($C564,'#Data'!$B$2:$J$344,2,FALSE)</f>
        <v>Monster.Name.plants_branch_1</v>
      </c>
      <c r="E564" s="13" t="s">
        <v>43</v>
      </c>
      <c r="F564" s="44" t="s">
        <v>44</v>
      </c>
      <c r="G564" s="13" t="s">
        <v>45</v>
      </c>
      <c r="H564" s="13" t="b">
        <f>IF(OR(VLOOKUP($C564,'#Data'!$B$2:$J$344,4,FALSE)="보스",VLOOKUP($C564,'#Data'!$B$2:$J$344,4,FALSE)="중간"),TRUE,FALSE)</f>
        <v>0</v>
      </c>
      <c r="I564" s="13" t="b">
        <v>0</v>
      </c>
      <c r="J564" s="13">
        <v>10</v>
      </c>
      <c r="K564" s="13">
        <f t="shared" si="17"/>
        <v>10</v>
      </c>
      <c r="L564" s="71" t="str">
        <f>$B564&amp;"."&amp;VLOOKUP($C564,'#Data'!$B$2:$J$344,2,FALSE)&amp;".attack0"&amp;RIGHT(L$1,1)</f>
        <v>Sector08.plants_branch_1.attack01</v>
      </c>
      <c r="M564" s="71"/>
      <c r="N564" s="71"/>
      <c r="O564" s="140" t="str">
        <f>$B564&amp;"."&amp;VLOOKUP($C564,'#Data'!$B$2:$J$344,2,FALSE)&amp;".skill0"&amp;RIGHT(O$1,1)</f>
        <v>Sector08.plants_branch_1.skill01</v>
      </c>
      <c r="P564" s="140" t="s">
        <v>2060</v>
      </c>
      <c r="Q564" s="140" t="s">
        <v>1959</v>
      </c>
      <c r="R564" s="72"/>
      <c r="S564" s="72"/>
      <c r="T564" s="72"/>
      <c r="U564" s="72"/>
      <c r="V564" s="13" t="b">
        <v>0</v>
      </c>
      <c r="W564" s="13" t="str">
        <f>"Character/Prefabs/"&amp;VLOOKUP($C564,'#Data'!$B$3:$I$344,8,FALSE)</f>
        <v>Character/Prefabs/m_m_attacker_plants_branch_1</v>
      </c>
      <c r="X564" s="13"/>
      <c r="Y564" s="13" t="str">
        <f>VLOOKUP($C564,'#Data'!$B$3:$I$344,8,FALSE)</f>
        <v>m_m_attacker_plants_branch_1</v>
      </c>
      <c r="Z564" s="13"/>
      <c r="AA564" s="13"/>
      <c r="AB564" s="13"/>
      <c r="AC564" s="92">
        <v>0.7</v>
      </c>
      <c r="AD564" s="13"/>
      <c r="AE564" s="13"/>
      <c r="AF564" s="13"/>
      <c r="AG564" s="13" t="s">
        <v>2105</v>
      </c>
      <c r="AH564" s="85"/>
    </row>
    <row r="565" spans="1:34" x14ac:dyDescent="0.3">
      <c r="A565" s="13">
        <f t="shared" si="16"/>
        <v>1310208105</v>
      </c>
      <c r="B565" s="13" t="s">
        <v>210</v>
      </c>
      <c r="C565" s="13" t="s">
        <v>215</v>
      </c>
      <c r="D565" s="13" t="str">
        <f>"Monster.Name."&amp;VLOOKUP($C565,'#Data'!$B$2:$J$344,2,FALSE)</f>
        <v>Monster.Name.plants_shooter_1</v>
      </c>
      <c r="E565" s="13" t="s">
        <v>47</v>
      </c>
      <c r="F565" s="44" t="s">
        <v>44</v>
      </c>
      <c r="G565" s="13" t="s">
        <v>45</v>
      </c>
      <c r="H565" s="13" t="b">
        <f>IF(OR(VLOOKUP($C565,'#Data'!$B$2:$J$344,4,FALSE)="보스",VLOOKUP($C565,'#Data'!$B$2:$J$344,4,FALSE)="중간"),TRUE,FALSE)</f>
        <v>0</v>
      </c>
      <c r="I565" s="13" t="b">
        <v>0</v>
      </c>
      <c r="J565" s="13">
        <v>10</v>
      </c>
      <c r="K565" s="13">
        <f t="shared" si="17"/>
        <v>10</v>
      </c>
      <c r="L565" s="71" t="str">
        <f>$B565&amp;"."&amp;VLOOKUP($C565,'#Data'!$B$2:$J$344,2,FALSE)&amp;".attack0"&amp;RIGHT(L$1,1)</f>
        <v>Sector08.plants_shooter_1.attack01</v>
      </c>
      <c r="M565" s="71"/>
      <c r="N565" s="71"/>
      <c r="O565" s="140" t="str">
        <f>$B565&amp;"."&amp;VLOOKUP($C565,'#Data'!$B$2:$J$344,2,FALSE)&amp;".skill0"&amp;RIGHT(O$1,1)</f>
        <v>Sector08.plants_shooter_1.skill01</v>
      </c>
      <c r="P565" s="140" t="s">
        <v>2061</v>
      </c>
      <c r="Q565" s="140" t="s">
        <v>1959</v>
      </c>
      <c r="R565" s="72"/>
      <c r="S565" s="72"/>
      <c r="T565" s="72"/>
      <c r="U565" s="72"/>
      <c r="V565" s="13" t="b">
        <v>0</v>
      </c>
      <c r="W565" s="13" t="str">
        <f>"Character/Prefabs/"&amp;VLOOKUP($C565,'#Data'!$B$3:$I$344,8,FALSE)</f>
        <v>Character/Prefabs/m_m_ranger_plants_shooter_1</v>
      </c>
      <c r="X565" s="13"/>
      <c r="Y565" s="13" t="str">
        <f>VLOOKUP($C565,'#Data'!$B$3:$I$344,8,FALSE)</f>
        <v>m_m_ranger_plants_shooter_1</v>
      </c>
      <c r="Z565" s="13"/>
      <c r="AA565" s="13"/>
      <c r="AB565" s="13"/>
      <c r="AC565" s="92">
        <v>0.9</v>
      </c>
      <c r="AD565" s="13"/>
      <c r="AE565" s="13"/>
      <c r="AF565" s="13"/>
      <c r="AG565" s="13" t="s">
        <v>2105</v>
      </c>
      <c r="AH565" s="85"/>
    </row>
    <row r="566" spans="1:34" x14ac:dyDescent="0.3">
      <c r="A566" s="13">
        <f t="shared" si="16"/>
        <v>1310208106</v>
      </c>
      <c r="B566" s="13" t="s">
        <v>210</v>
      </c>
      <c r="C566" s="13" t="s">
        <v>216</v>
      </c>
      <c r="D566" s="13" t="str">
        <f>"Monster.Name."&amp;VLOOKUP($C566,'#Data'!$B$2:$J$344,2,FALSE)</f>
        <v>Monster.Name.plants_cannon_1</v>
      </c>
      <c r="E566" s="13" t="s">
        <v>47</v>
      </c>
      <c r="F566" s="44" t="s">
        <v>44</v>
      </c>
      <c r="G566" s="13" t="s">
        <v>45</v>
      </c>
      <c r="H566" s="13" t="b">
        <f>IF(OR(VLOOKUP($C566,'#Data'!$B$2:$J$344,4,FALSE)="보스",VLOOKUP($C566,'#Data'!$B$2:$J$344,4,FALSE)="중간"),TRUE,FALSE)</f>
        <v>0</v>
      </c>
      <c r="I566" s="13" t="b">
        <v>0</v>
      </c>
      <c r="J566" s="13">
        <v>10</v>
      </c>
      <c r="K566" s="13">
        <f t="shared" si="17"/>
        <v>10</v>
      </c>
      <c r="L566" s="71" t="str">
        <f>$B566&amp;"."&amp;VLOOKUP($C566,'#Data'!$B$2:$J$344,2,FALSE)&amp;".attack0"&amp;RIGHT(L$1,1)</f>
        <v>Sector08.plants_cannon_1.attack01</v>
      </c>
      <c r="M566" s="71"/>
      <c r="N566" s="71"/>
      <c r="O566" s="140" t="str">
        <f>$B566&amp;"."&amp;VLOOKUP($C566,'#Data'!$B$2:$J$344,2,FALSE)&amp;".skill0"&amp;RIGHT(O$1,1)</f>
        <v>Sector08.plants_cannon_1.skill01</v>
      </c>
      <c r="P566" s="140" t="s">
        <v>2062</v>
      </c>
      <c r="Q566" s="140" t="s">
        <v>1959</v>
      </c>
      <c r="R566" s="72"/>
      <c r="S566" s="72"/>
      <c r="T566" s="72"/>
      <c r="U566" s="72"/>
      <c r="V566" s="13" t="b">
        <v>0</v>
      </c>
      <c r="W566" s="13" t="str">
        <f>"Character/Prefabs/"&amp;VLOOKUP($C566,'#Data'!$B$3:$I$344,8,FALSE)</f>
        <v>Character/Prefabs/m_m_ranger_plants_cannon_1</v>
      </c>
      <c r="X566" s="13"/>
      <c r="Y566" s="13" t="str">
        <f>VLOOKUP($C566,'#Data'!$B$3:$I$344,8,FALSE)</f>
        <v>m_m_ranger_plants_cannon_1</v>
      </c>
      <c r="Z566" s="13"/>
      <c r="AA566" s="13"/>
      <c r="AB566" s="13"/>
      <c r="AC566" s="92">
        <v>0.9</v>
      </c>
      <c r="AD566" s="13"/>
      <c r="AE566" s="13"/>
      <c r="AF566" s="13"/>
      <c r="AG566" s="13" t="s">
        <v>2105</v>
      </c>
      <c r="AH566" s="85"/>
    </row>
    <row r="567" spans="1:34" x14ac:dyDescent="0.3">
      <c r="A567" s="13">
        <f t="shared" si="16"/>
        <v>1310208107</v>
      </c>
      <c r="B567" s="13" t="s">
        <v>210</v>
      </c>
      <c r="C567" s="13" t="s">
        <v>217</v>
      </c>
      <c r="D567" s="13" t="str">
        <f>"Monster.Name."&amp;VLOOKUP($C567,'#Data'!$B$2:$J$344,2,FALSE)</f>
        <v>Monster.Name.creeper_seed_1</v>
      </c>
      <c r="E567" s="13" t="s">
        <v>58</v>
      </c>
      <c r="F567" s="44" t="s">
        <v>44</v>
      </c>
      <c r="G567" s="13" t="s">
        <v>45</v>
      </c>
      <c r="H567" s="13" t="b">
        <f>IF(OR(VLOOKUP($C567,'#Data'!$B$2:$J$344,4,FALSE)="보스",VLOOKUP($C567,'#Data'!$B$2:$J$344,4,FALSE)="중간"),TRUE,FALSE)</f>
        <v>0</v>
      </c>
      <c r="I567" s="13" t="b">
        <v>0</v>
      </c>
      <c r="J567" s="13">
        <v>20</v>
      </c>
      <c r="K567" s="13">
        <f t="shared" si="17"/>
        <v>10</v>
      </c>
      <c r="L567" s="71" t="str">
        <f>$B567&amp;"."&amp;VLOOKUP($C567,'#Data'!$B$2:$J$344,2,FALSE)&amp;".attack0"&amp;RIGHT(L$1,1)</f>
        <v>Sector08.creeper_seed_1.attack01</v>
      </c>
      <c r="M567" s="71"/>
      <c r="N567" s="71"/>
      <c r="O567" s="140" t="str">
        <f>$B567&amp;"."&amp;VLOOKUP($C567,'#Data'!$B$2:$J$344,2,FALSE)&amp;".skill0"&amp;RIGHT(O$1,1)</f>
        <v>Sector08.creeper_seed_1.skill01</v>
      </c>
      <c r="P567" s="140" t="s">
        <v>2063</v>
      </c>
      <c r="Q567" s="140" t="s">
        <v>1959</v>
      </c>
      <c r="R567" s="72"/>
      <c r="S567" s="72"/>
      <c r="T567" s="72"/>
      <c r="U567" s="72"/>
      <c r="V567" s="13" t="b">
        <v>0</v>
      </c>
      <c r="W567" s="13" t="str">
        <f>"Character/Prefabs/"&amp;VLOOKUP($C567,'#Data'!$B$3:$I$344,8,FALSE)</f>
        <v>Character/Prefabs/m_m_tanker_creeper_seed_1</v>
      </c>
      <c r="X567" s="13"/>
      <c r="Y567" s="13" t="str">
        <f>VLOOKUP($C567,'#Data'!$B$3:$I$344,8,FALSE)</f>
        <v>m_m_tanker_creeper_seed_1</v>
      </c>
      <c r="Z567" s="13"/>
      <c r="AA567" s="13"/>
      <c r="AB567" s="13"/>
      <c r="AC567" s="92">
        <v>0.6</v>
      </c>
      <c r="AD567" s="13"/>
      <c r="AE567" s="13"/>
      <c r="AF567" s="13"/>
      <c r="AG567" s="13" t="s">
        <v>2105</v>
      </c>
      <c r="AH567" s="85"/>
    </row>
    <row r="568" spans="1:34" x14ac:dyDescent="0.3">
      <c r="A568" s="13">
        <f t="shared" si="16"/>
        <v>1310208108</v>
      </c>
      <c r="B568" s="13" t="s">
        <v>210</v>
      </c>
      <c r="C568" s="13" t="s">
        <v>218</v>
      </c>
      <c r="D568" s="13" t="str">
        <f>"Monster.Name."&amp;VLOOKUP($C568,'#Data'!$B$2:$J$344,2,FALSE)</f>
        <v>Monster.Name.plants_garden_1</v>
      </c>
      <c r="E568" s="13" t="s">
        <v>47</v>
      </c>
      <c r="F568" s="44" t="s">
        <v>44</v>
      </c>
      <c r="G568" s="13" t="s">
        <v>45</v>
      </c>
      <c r="H568" s="13" t="b">
        <f>IF(OR(VLOOKUP($C568,'#Data'!$B$2:$J$344,4,FALSE)="보스",VLOOKUP($C568,'#Data'!$B$2:$J$344,4,FALSE)="중간"),TRUE,FALSE)</f>
        <v>0</v>
      </c>
      <c r="I568" s="13" t="b">
        <v>0</v>
      </c>
      <c r="J568" s="13">
        <v>10</v>
      </c>
      <c r="K568" s="13">
        <f t="shared" si="17"/>
        <v>10</v>
      </c>
      <c r="L568" s="71" t="str">
        <f>$B568&amp;"."&amp;VLOOKUP($C568,'#Data'!$B$2:$J$344,2,FALSE)&amp;".attack0"&amp;RIGHT(L$1,1)</f>
        <v>Sector08.plants_garden_1.attack01</v>
      </c>
      <c r="M568" s="71"/>
      <c r="N568" s="71"/>
      <c r="O568" s="140" t="str">
        <f>$B568&amp;"."&amp;VLOOKUP($C568,'#Data'!$B$2:$J$344,2,FALSE)&amp;".skill0"&amp;RIGHT(O$1,1)</f>
        <v>Sector08.plants_garden_1.skill01</v>
      </c>
      <c r="P568" s="140" t="s">
        <v>2064</v>
      </c>
      <c r="Q568" s="140" t="s">
        <v>1959</v>
      </c>
      <c r="R568" s="72"/>
      <c r="S568" s="72"/>
      <c r="T568" s="72"/>
      <c r="U568" s="72"/>
      <c r="V568" s="13" t="b">
        <v>0</v>
      </c>
      <c r="W568" s="13" t="str">
        <f>"Character/Prefabs/"&amp;VLOOKUP($C568,'#Data'!$B$3:$I$344,8,FALSE)</f>
        <v>Character/Prefabs/m_m_ranger_plants_garden_1</v>
      </c>
      <c r="X568" s="13"/>
      <c r="Y568" s="13" t="str">
        <f>VLOOKUP($C568,'#Data'!$B$3:$I$344,8,FALSE)</f>
        <v>m_m_ranger_plants_garden_1</v>
      </c>
      <c r="Z568" s="13"/>
      <c r="AA568" s="13"/>
      <c r="AB568" s="13"/>
      <c r="AC568" s="92">
        <v>0.5</v>
      </c>
      <c r="AD568" s="13"/>
      <c r="AE568" s="13"/>
      <c r="AF568" s="13"/>
      <c r="AG568" s="13" t="s">
        <v>2105</v>
      </c>
      <c r="AH568" s="85"/>
    </row>
    <row r="569" spans="1:34" x14ac:dyDescent="0.3">
      <c r="A569" s="45">
        <f t="shared" si="16"/>
        <v>1310208109</v>
      </c>
      <c r="B569" s="45" t="s">
        <v>210</v>
      </c>
      <c r="C569" s="45" t="s">
        <v>1891</v>
      </c>
      <c r="D569" s="45" t="str">
        <f>"Monster.Name."&amp;VLOOKUP($C569,'#Data'!$B$2:$J$344,2,FALSE)</f>
        <v>Monster.Name.plants_sticky_2</v>
      </c>
      <c r="E569" s="45" t="s">
        <v>43</v>
      </c>
      <c r="F569" s="46" t="s">
        <v>44</v>
      </c>
      <c r="G569" s="45" t="s">
        <v>45</v>
      </c>
      <c r="H569" s="45" t="b">
        <f>IF(OR(VLOOKUP($C569,'#Data'!$B$2:$J$344,4,FALSE)="보스",VLOOKUP($C569,'#Data'!$B$2:$J$344,4,FALSE)="중간"),TRUE,FALSE)</f>
        <v>0</v>
      </c>
      <c r="I569" s="45" t="b">
        <v>0</v>
      </c>
      <c r="J569" s="45">
        <v>10</v>
      </c>
      <c r="K569" s="45">
        <f t="shared" si="17"/>
        <v>10</v>
      </c>
      <c r="L569" s="73" t="s">
        <v>1906</v>
      </c>
      <c r="M569" s="73"/>
      <c r="N569" s="73"/>
      <c r="O569" s="141" t="s">
        <v>2057</v>
      </c>
      <c r="P569" s="141" t="s">
        <v>1959</v>
      </c>
      <c r="Q569" s="141"/>
      <c r="R569" s="74"/>
      <c r="S569" s="74"/>
      <c r="T569" s="74"/>
      <c r="U569" s="74"/>
      <c r="V569" s="45" t="b">
        <v>0</v>
      </c>
      <c r="W569" s="45" t="str">
        <f>"Character/Prefabs/"&amp;VLOOKUP($C569,'#Data'!$B$3:$I$344,8,FALSE)</f>
        <v>Character/Prefabs/m_s_attacker_plants_sticky_2</v>
      </c>
      <c r="X569" s="45"/>
      <c r="Y569" s="45" t="str">
        <f>VLOOKUP($C569,'#Data'!$B$3:$I$344,8,FALSE)</f>
        <v>m_s_attacker_plants_sticky_2</v>
      </c>
      <c r="Z569" s="45"/>
      <c r="AA569" s="45"/>
      <c r="AB569" s="45"/>
      <c r="AC569" s="93">
        <v>0.9</v>
      </c>
      <c r="AD569" s="45"/>
      <c r="AE569" s="45"/>
      <c r="AF569" s="45"/>
      <c r="AG569" s="45" t="s">
        <v>2105</v>
      </c>
      <c r="AH569" s="85"/>
    </row>
    <row r="570" spans="1:34" x14ac:dyDescent="0.3">
      <c r="A570" s="45">
        <f t="shared" si="16"/>
        <v>1310208110</v>
      </c>
      <c r="B570" s="45" t="s">
        <v>210</v>
      </c>
      <c r="C570" s="45" t="s">
        <v>1892</v>
      </c>
      <c r="D570" s="45" t="str">
        <f>"Monster.Name."&amp;VLOOKUP($C570,'#Data'!$B$2:$J$344,2,FALSE)</f>
        <v>Monster.Name.plants_stinger_2</v>
      </c>
      <c r="E570" s="45" t="s">
        <v>43</v>
      </c>
      <c r="F570" s="46" t="s">
        <v>44</v>
      </c>
      <c r="G570" s="45" t="s">
        <v>45</v>
      </c>
      <c r="H570" s="45" t="b">
        <f>IF(OR(VLOOKUP($C570,'#Data'!$B$2:$J$344,4,FALSE)="보스",VLOOKUP($C570,'#Data'!$B$2:$J$344,4,FALSE)="중간"),TRUE,FALSE)</f>
        <v>0</v>
      </c>
      <c r="I570" s="45" t="b">
        <v>0</v>
      </c>
      <c r="J570" s="45">
        <v>10</v>
      </c>
      <c r="K570" s="45">
        <f t="shared" si="17"/>
        <v>10</v>
      </c>
      <c r="L570" s="73" t="s">
        <v>1966</v>
      </c>
      <c r="M570" s="73"/>
      <c r="N570" s="73"/>
      <c r="O570" s="141" t="s">
        <v>2058</v>
      </c>
      <c r="P570" s="141" t="s">
        <v>1959</v>
      </c>
      <c r="Q570" s="141"/>
      <c r="R570" s="74"/>
      <c r="S570" s="74"/>
      <c r="T570" s="74"/>
      <c r="U570" s="74"/>
      <c r="V570" s="45" t="b">
        <v>0</v>
      </c>
      <c r="W570" s="45" t="str">
        <f>"Character/Prefabs/"&amp;VLOOKUP($C570,'#Data'!$B$3:$I$344,8,FALSE)</f>
        <v>Character/Prefabs/m_s_ranger_plants_stinger_2</v>
      </c>
      <c r="X570" s="45"/>
      <c r="Y570" s="45" t="str">
        <f>VLOOKUP($C570,'#Data'!$B$3:$I$344,8,FALSE)</f>
        <v>m_s_ranger_plants_stinger_2</v>
      </c>
      <c r="Z570" s="45"/>
      <c r="AA570" s="45"/>
      <c r="AB570" s="45"/>
      <c r="AC570" s="93">
        <v>0.5</v>
      </c>
      <c r="AD570" s="45"/>
      <c r="AE570" s="45"/>
      <c r="AF570" s="45"/>
      <c r="AG570" s="45" t="s">
        <v>2105</v>
      </c>
      <c r="AH570" s="85"/>
    </row>
    <row r="571" spans="1:34" x14ac:dyDescent="0.3">
      <c r="A571" s="45">
        <f t="shared" si="16"/>
        <v>1310208111</v>
      </c>
      <c r="B571" s="45" t="s">
        <v>210</v>
      </c>
      <c r="C571" s="45" t="s">
        <v>1893</v>
      </c>
      <c r="D571" s="45" t="str">
        <f>"Monster.Name."&amp;VLOOKUP($C571,'#Data'!$B$2:$J$344,2,FALSE)</f>
        <v>Monster.Name.plants_bark_2</v>
      </c>
      <c r="E571" s="45" t="s">
        <v>43</v>
      </c>
      <c r="F571" s="46" t="s">
        <v>44</v>
      </c>
      <c r="G571" s="45" t="s">
        <v>45</v>
      </c>
      <c r="H571" s="45" t="b">
        <f>IF(OR(VLOOKUP($C571,'#Data'!$B$2:$J$344,4,FALSE)="보스",VLOOKUP($C571,'#Data'!$B$2:$J$344,4,FALSE)="중간"),TRUE,FALSE)</f>
        <v>0</v>
      </c>
      <c r="I571" s="45" t="b">
        <v>0</v>
      </c>
      <c r="J571" s="45">
        <v>10</v>
      </c>
      <c r="K571" s="45">
        <f t="shared" si="17"/>
        <v>10</v>
      </c>
      <c r="L571" s="73" t="s">
        <v>1907</v>
      </c>
      <c r="M571" s="73"/>
      <c r="N571" s="73"/>
      <c r="O571" s="141" t="s">
        <v>1913</v>
      </c>
      <c r="P571" s="141" t="s">
        <v>2059</v>
      </c>
      <c r="Q571" s="141" t="s">
        <v>1959</v>
      </c>
      <c r="R571" s="74"/>
      <c r="S571" s="74"/>
      <c r="T571" s="74"/>
      <c r="U571" s="74"/>
      <c r="V571" s="45" t="b">
        <v>0</v>
      </c>
      <c r="W571" s="45" t="str">
        <f>"Character/Prefabs/"&amp;VLOOKUP($C571,'#Data'!$B$3:$I$344,8,FALSE)</f>
        <v>Character/Prefabs/m_m_attacker_plants_bark_2</v>
      </c>
      <c r="X571" s="45"/>
      <c r="Y571" s="45" t="str">
        <f>VLOOKUP($C571,'#Data'!$B$3:$I$344,8,FALSE)</f>
        <v>m_m_attacker_plants_bark_2</v>
      </c>
      <c r="Z571" s="45"/>
      <c r="AA571" s="45"/>
      <c r="AB571" s="45"/>
      <c r="AC571" s="93">
        <v>0.7</v>
      </c>
      <c r="AD571" s="45"/>
      <c r="AE571" s="45"/>
      <c r="AF571" s="45"/>
      <c r="AG571" s="45" t="s">
        <v>2105</v>
      </c>
      <c r="AH571" s="85"/>
    </row>
    <row r="572" spans="1:34" x14ac:dyDescent="0.3">
      <c r="A572" s="45">
        <f t="shared" si="16"/>
        <v>1310208112</v>
      </c>
      <c r="B572" s="45" t="s">
        <v>210</v>
      </c>
      <c r="C572" s="45" t="s">
        <v>1894</v>
      </c>
      <c r="D572" s="45" t="str">
        <f>"Monster.Name."&amp;VLOOKUP($C572,'#Data'!$B$2:$J$344,2,FALSE)</f>
        <v>Monster.Name.plants_branch_2</v>
      </c>
      <c r="E572" s="45" t="s">
        <v>43</v>
      </c>
      <c r="F572" s="46" t="s">
        <v>44</v>
      </c>
      <c r="G572" s="45" t="s">
        <v>45</v>
      </c>
      <c r="H572" s="45" t="b">
        <f>IF(OR(VLOOKUP($C572,'#Data'!$B$2:$J$344,4,FALSE)="보스",VLOOKUP($C572,'#Data'!$B$2:$J$344,4,FALSE)="중간"),TRUE,FALSE)</f>
        <v>0</v>
      </c>
      <c r="I572" s="45" t="b">
        <v>0</v>
      </c>
      <c r="J572" s="45">
        <v>10</v>
      </c>
      <c r="K572" s="45">
        <f t="shared" si="17"/>
        <v>10</v>
      </c>
      <c r="L572" s="73" t="s">
        <v>1908</v>
      </c>
      <c r="M572" s="73"/>
      <c r="N572" s="73"/>
      <c r="O572" s="141" t="s">
        <v>1914</v>
      </c>
      <c r="P572" s="141" t="s">
        <v>2060</v>
      </c>
      <c r="Q572" s="141" t="s">
        <v>1959</v>
      </c>
      <c r="R572" s="74"/>
      <c r="S572" s="74"/>
      <c r="T572" s="74"/>
      <c r="U572" s="74"/>
      <c r="V572" s="45" t="b">
        <v>0</v>
      </c>
      <c r="W572" s="45" t="str">
        <f>"Character/Prefabs/"&amp;VLOOKUP($C572,'#Data'!$B$3:$I$344,8,FALSE)</f>
        <v>Character/Prefabs/m_m_attacker_plants_branch_2</v>
      </c>
      <c r="X572" s="45"/>
      <c r="Y572" s="45" t="str">
        <f>VLOOKUP($C572,'#Data'!$B$3:$I$344,8,FALSE)</f>
        <v>m_m_attacker_plants_branch_2</v>
      </c>
      <c r="Z572" s="45"/>
      <c r="AA572" s="45"/>
      <c r="AB572" s="45"/>
      <c r="AC572" s="93">
        <v>0.7</v>
      </c>
      <c r="AD572" s="45"/>
      <c r="AE572" s="45"/>
      <c r="AF572" s="45"/>
      <c r="AG572" s="45" t="s">
        <v>2105</v>
      </c>
      <c r="AH572" s="85"/>
    </row>
    <row r="573" spans="1:34" x14ac:dyDescent="0.3">
      <c r="A573" s="45">
        <f t="shared" si="16"/>
        <v>1310208113</v>
      </c>
      <c r="B573" s="45" t="s">
        <v>210</v>
      </c>
      <c r="C573" s="45" t="s">
        <v>1895</v>
      </c>
      <c r="D573" s="45" t="str">
        <f>"Monster.Name."&amp;VLOOKUP($C573,'#Data'!$B$2:$J$344,2,FALSE)</f>
        <v>Monster.Name.plants_shooter_2</v>
      </c>
      <c r="E573" s="45" t="s">
        <v>47</v>
      </c>
      <c r="F573" s="46" t="s">
        <v>44</v>
      </c>
      <c r="G573" s="45" t="s">
        <v>45</v>
      </c>
      <c r="H573" s="45" t="b">
        <f>IF(OR(VLOOKUP($C573,'#Data'!$B$2:$J$344,4,FALSE)="보스",VLOOKUP($C573,'#Data'!$B$2:$J$344,4,FALSE)="중간"),TRUE,FALSE)</f>
        <v>0</v>
      </c>
      <c r="I573" s="45" t="b">
        <v>0</v>
      </c>
      <c r="J573" s="45">
        <v>10</v>
      </c>
      <c r="K573" s="45">
        <f t="shared" si="17"/>
        <v>10</v>
      </c>
      <c r="L573" s="73" t="s">
        <v>1909</v>
      </c>
      <c r="M573" s="73"/>
      <c r="N573" s="73"/>
      <c r="O573" s="141" t="s">
        <v>1915</v>
      </c>
      <c r="P573" s="141" t="s">
        <v>2061</v>
      </c>
      <c r="Q573" s="141" t="s">
        <v>1959</v>
      </c>
      <c r="R573" s="74"/>
      <c r="S573" s="74"/>
      <c r="T573" s="74"/>
      <c r="U573" s="74"/>
      <c r="V573" s="45" t="b">
        <v>0</v>
      </c>
      <c r="W573" s="45" t="str">
        <f>"Character/Prefabs/"&amp;VLOOKUP($C573,'#Data'!$B$3:$I$344,8,FALSE)</f>
        <v>Character/Prefabs/m_m_ranger_plants_shooter_2</v>
      </c>
      <c r="X573" s="45"/>
      <c r="Y573" s="45" t="str">
        <f>VLOOKUP($C573,'#Data'!$B$3:$I$344,8,FALSE)</f>
        <v>m_m_ranger_plants_shooter_2</v>
      </c>
      <c r="Z573" s="45"/>
      <c r="AA573" s="45"/>
      <c r="AB573" s="45"/>
      <c r="AC573" s="93">
        <v>0.9</v>
      </c>
      <c r="AD573" s="45"/>
      <c r="AE573" s="45"/>
      <c r="AF573" s="45"/>
      <c r="AG573" s="45" t="s">
        <v>2105</v>
      </c>
      <c r="AH573" s="85"/>
    </row>
    <row r="574" spans="1:34" x14ac:dyDescent="0.3">
      <c r="A574" s="45">
        <f t="shared" si="16"/>
        <v>1310208114</v>
      </c>
      <c r="B574" s="45" t="s">
        <v>210</v>
      </c>
      <c r="C574" s="45" t="s">
        <v>1896</v>
      </c>
      <c r="D574" s="45" t="str">
        <f>"Monster.Name."&amp;VLOOKUP($C574,'#Data'!$B$2:$J$344,2,FALSE)</f>
        <v>Monster.Name.plants_cannon_2</v>
      </c>
      <c r="E574" s="45" t="s">
        <v>47</v>
      </c>
      <c r="F574" s="46" t="s">
        <v>44</v>
      </c>
      <c r="G574" s="45" t="s">
        <v>45</v>
      </c>
      <c r="H574" s="45" t="b">
        <f>IF(OR(VLOOKUP($C574,'#Data'!$B$2:$J$344,4,FALSE)="보스",VLOOKUP($C574,'#Data'!$B$2:$J$344,4,FALSE)="중간"),TRUE,FALSE)</f>
        <v>0</v>
      </c>
      <c r="I574" s="45" t="b">
        <v>0</v>
      </c>
      <c r="J574" s="45">
        <v>10</v>
      </c>
      <c r="K574" s="45">
        <f t="shared" si="17"/>
        <v>10</v>
      </c>
      <c r="L574" s="73" t="s">
        <v>1910</v>
      </c>
      <c r="M574" s="73"/>
      <c r="N574" s="73"/>
      <c r="O574" s="141" t="s">
        <v>1917</v>
      </c>
      <c r="P574" s="141" t="s">
        <v>2062</v>
      </c>
      <c r="Q574" s="141" t="s">
        <v>1959</v>
      </c>
      <c r="R574" s="74"/>
      <c r="S574" s="74"/>
      <c r="T574" s="74"/>
      <c r="U574" s="74"/>
      <c r="V574" s="45" t="b">
        <v>0</v>
      </c>
      <c r="W574" s="45" t="str">
        <f>"Character/Prefabs/"&amp;VLOOKUP($C574,'#Data'!$B$3:$I$344,8,FALSE)</f>
        <v>Character/Prefabs/m_m_ranger_plants_cannon_2</v>
      </c>
      <c r="X574" s="45"/>
      <c r="Y574" s="45" t="str">
        <f>VLOOKUP($C574,'#Data'!$B$3:$I$344,8,FALSE)</f>
        <v>m_m_ranger_plants_cannon_2</v>
      </c>
      <c r="Z574" s="45"/>
      <c r="AA574" s="45"/>
      <c r="AB574" s="45"/>
      <c r="AC574" s="93">
        <v>0.9</v>
      </c>
      <c r="AD574" s="45"/>
      <c r="AE574" s="45"/>
      <c r="AF574" s="45"/>
      <c r="AG574" s="45" t="s">
        <v>2105</v>
      </c>
      <c r="AH574" s="85"/>
    </row>
    <row r="575" spans="1:34" x14ac:dyDescent="0.3">
      <c r="A575" s="45">
        <f t="shared" si="16"/>
        <v>1310208115</v>
      </c>
      <c r="B575" s="45" t="s">
        <v>210</v>
      </c>
      <c r="C575" s="45" t="s">
        <v>1897</v>
      </c>
      <c r="D575" s="45" t="str">
        <f>"Monster.Name."&amp;VLOOKUP($C575,'#Data'!$B$2:$J$344,2,FALSE)</f>
        <v>Monster.Name.creeper_seed_2</v>
      </c>
      <c r="E575" s="45" t="s">
        <v>58</v>
      </c>
      <c r="F575" s="46" t="s">
        <v>44</v>
      </c>
      <c r="G575" s="45" t="s">
        <v>45</v>
      </c>
      <c r="H575" s="45" t="b">
        <f>IF(OR(VLOOKUP($C575,'#Data'!$B$2:$J$344,4,FALSE)="보스",VLOOKUP($C575,'#Data'!$B$2:$J$344,4,FALSE)="중간"),TRUE,FALSE)</f>
        <v>0</v>
      </c>
      <c r="I575" s="45" t="b">
        <v>0</v>
      </c>
      <c r="J575" s="45">
        <v>10</v>
      </c>
      <c r="K575" s="45">
        <f t="shared" si="17"/>
        <v>10</v>
      </c>
      <c r="L575" s="73" t="s">
        <v>1911</v>
      </c>
      <c r="M575" s="73"/>
      <c r="N575" s="73"/>
      <c r="O575" s="141" t="s">
        <v>1918</v>
      </c>
      <c r="P575" s="141" t="s">
        <v>2063</v>
      </c>
      <c r="Q575" s="141" t="s">
        <v>1959</v>
      </c>
      <c r="R575" s="74"/>
      <c r="S575" s="74"/>
      <c r="T575" s="74"/>
      <c r="U575" s="74"/>
      <c r="V575" s="45" t="b">
        <v>0</v>
      </c>
      <c r="W575" s="45" t="str">
        <f>"Character/Prefabs/"&amp;VLOOKUP($C575,'#Data'!$B$3:$I$344,8,FALSE)</f>
        <v>Character/Prefabs/m_m_tanker_creeper_seed_2</v>
      </c>
      <c r="X575" s="45"/>
      <c r="Y575" s="45" t="str">
        <f>VLOOKUP($C575,'#Data'!$B$3:$I$344,8,FALSE)</f>
        <v>m_m_tanker_creeper_seed_2</v>
      </c>
      <c r="Z575" s="45"/>
      <c r="AA575" s="45"/>
      <c r="AB575" s="45"/>
      <c r="AC575" s="93">
        <v>0.6</v>
      </c>
      <c r="AD575" s="45"/>
      <c r="AE575" s="45"/>
      <c r="AF575" s="45"/>
      <c r="AG575" s="45" t="s">
        <v>2105</v>
      </c>
      <c r="AH575" s="85"/>
    </row>
    <row r="576" spans="1:34" x14ac:dyDescent="0.3">
      <c r="A576" s="45">
        <f t="shared" si="16"/>
        <v>1310208116</v>
      </c>
      <c r="B576" s="45" t="s">
        <v>210</v>
      </c>
      <c r="C576" s="45" t="s">
        <v>1898</v>
      </c>
      <c r="D576" s="45" t="str">
        <f>"Monster.Name."&amp;VLOOKUP($C576,'#Data'!$B$2:$J$344,2,FALSE)</f>
        <v>Monster.Name.plants_garden_2</v>
      </c>
      <c r="E576" s="45" t="s">
        <v>47</v>
      </c>
      <c r="F576" s="46" t="s">
        <v>44</v>
      </c>
      <c r="G576" s="45" t="s">
        <v>45</v>
      </c>
      <c r="H576" s="45" t="b">
        <f>IF(OR(VLOOKUP($C576,'#Data'!$B$2:$J$344,4,FALSE)="보스",VLOOKUP($C576,'#Data'!$B$2:$J$344,4,FALSE)="중간"),TRUE,FALSE)</f>
        <v>0</v>
      </c>
      <c r="I576" s="45" t="b">
        <v>0</v>
      </c>
      <c r="J576" s="45">
        <v>10</v>
      </c>
      <c r="K576" s="45">
        <f t="shared" si="17"/>
        <v>10</v>
      </c>
      <c r="L576" s="73" t="s">
        <v>1912</v>
      </c>
      <c r="M576" s="73"/>
      <c r="N576" s="73"/>
      <c r="O576" s="141" t="s">
        <v>1916</v>
      </c>
      <c r="P576" s="141" t="s">
        <v>2064</v>
      </c>
      <c r="Q576" s="141" t="s">
        <v>1959</v>
      </c>
      <c r="R576" s="74"/>
      <c r="S576" s="74"/>
      <c r="T576" s="74"/>
      <c r="U576" s="74"/>
      <c r="V576" s="45" t="b">
        <v>0</v>
      </c>
      <c r="W576" s="45" t="str">
        <f>"Character/Prefabs/"&amp;VLOOKUP($C576,'#Data'!$B$3:$I$344,8,FALSE)</f>
        <v>Character/Prefabs/m_m_ranger_plants_garden_2</v>
      </c>
      <c r="X576" s="45"/>
      <c r="Y576" s="45" t="str">
        <f>VLOOKUP($C576,'#Data'!$B$3:$I$344,8,FALSE)</f>
        <v>m_m_ranger_plants_garden_2</v>
      </c>
      <c r="Z576" s="45"/>
      <c r="AA576" s="45"/>
      <c r="AB576" s="45"/>
      <c r="AC576" s="93">
        <v>0.5</v>
      </c>
      <c r="AD576" s="45"/>
      <c r="AE576" s="45"/>
      <c r="AF576" s="45"/>
      <c r="AG576" s="45" t="s">
        <v>2105</v>
      </c>
      <c r="AH576" s="85"/>
    </row>
    <row r="577" spans="1:34" x14ac:dyDescent="0.3">
      <c r="A577" s="45">
        <f t="shared" si="16"/>
        <v>1310208117</v>
      </c>
      <c r="B577" s="45" t="s">
        <v>210</v>
      </c>
      <c r="C577" s="45" t="s">
        <v>1925</v>
      </c>
      <c r="D577" s="13" t="s">
        <v>1919</v>
      </c>
      <c r="E577" s="13" t="s">
        <v>43</v>
      </c>
      <c r="F577" s="44" t="s">
        <v>44</v>
      </c>
      <c r="G577" s="13" t="s">
        <v>45</v>
      </c>
      <c r="H577" s="13" t="b">
        <v>0</v>
      </c>
      <c r="I577" s="13" t="b">
        <v>0</v>
      </c>
      <c r="J577" s="13">
        <v>10</v>
      </c>
      <c r="K577" s="13">
        <f t="shared" si="17"/>
        <v>10</v>
      </c>
      <c r="L577" s="71" t="s">
        <v>1946</v>
      </c>
      <c r="M577" s="71"/>
      <c r="N577" s="71"/>
      <c r="O577" s="141" t="s">
        <v>1948</v>
      </c>
      <c r="P577" s="140"/>
      <c r="Q577" s="140"/>
      <c r="R577" s="72"/>
      <c r="S577" s="72"/>
      <c r="T577" s="72"/>
      <c r="U577" s="72"/>
      <c r="V577" s="13" t="b">
        <v>0</v>
      </c>
      <c r="W577" s="13" t="s">
        <v>1920</v>
      </c>
      <c r="X577" s="13"/>
      <c r="Y577" s="13" t="s">
        <v>1921</v>
      </c>
      <c r="Z577" s="13"/>
      <c r="AA577" s="13"/>
      <c r="AB577" s="13"/>
      <c r="AC577" s="92">
        <v>0.7</v>
      </c>
      <c r="AD577" s="13"/>
      <c r="AE577" s="13"/>
      <c r="AF577" s="13"/>
      <c r="AG577" s="13" t="s">
        <v>2105</v>
      </c>
      <c r="AH577" s="85"/>
    </row>
    <row r="578" spans="1:34" x14ac:dyDescent="0.3">
      <c r="A578" s="45">
        <f t="shared" si="16"/>
        <v>1310208118</v>
      </c>
      <c r="B578" s="45" t="s">
        <v>210</v>
      </c>
      <c r="C578" s="45" t="s">
        <v>1926</v>
      </c>
      <c r="D578" s="13" t="s">
        <v>1922</v>
      </c>
      <c r="E578" s="13" t="s">
        <v>43</v>
      </c>
      <c r="F578" s="44" t="s">
        <v>44</v>
      </c>
      <c r="G578" s="13" t="s">
        <v>45</v>
      </c>
      <c r="H578" s="13" t="b">
        <v>0</v>
      </c>
      <c r="I578" s="13" t="b">
        <v>0</v>
      </c>
      <c r="J578" s="13">
        <v>10</v>
      </c>
      <c r="K578" s="13">
        <f t="shared" si="17"/>
        <v>10</v>
      </c>
      <c r="L578" s="71" t="s">
        <v>1947</v>
      </c>
      <c r="M578" s="71"/>
      <c r="N578" s="71"/>
      <c r="O578" s="141" t="s">
        <v>1949</v>
      </c>
      <c r="P578" s="140"/>
      <c r="Q578" s="140"/>
      <c r="R578" s="72"/>
      <c r="S578" s="72"/>
      <c r="T578" s="72"/>
      <c r="U578" s="72"/>
      <c r="V578" s="13" t="b">
        <v>0</v>
      </c>
      <c r="W578" s="13" t="s">
        <v>1923</v>
      </c>
      <c r="X578" s="13"/>
      <c r="Y578" s="13" t="s">
        <v>1924</v>
      </c>
      <c r="Z578" s="13"/>
      <c r="AA578" s="13"/>
      <c r="AB578" s="13"/>
      <c r="AC578" s="92">
        <v>0.7</v>
      </c>
      <c r="AD578" s="13"/>
      <c r="AE578" s="13"/>
      <c r="AF578" s="13"/>
      <c r="AG578" s="13" t="s">
        <v>2105</v>
      </c>
      <c r="AH578" s="85"/>
    </row>
    <row r="579" spans="1:34" x14ac:dyDescent="0.3">
      <c r="A579" s="45">
        <f t="shared" si="16"/>
        <v>1310208201</v>
      </c>
      <c r="B579" s="45" t="s">
        <v>210</v>
      </c>
      <c r="C579" s="45" t="s">
        <v>219</v>
      </c>
      <c r="D579" s="45" t="str">
        <f>"Monster.Name."&amp;VLOOKUP($C579,'#Data'!$B$2:$J$344,2,FALSE)</f>
        <v>Monster.Name.plants_mortor_1</v>
      </c>
      <c r="E579" s="45" t="s">
        <v>47</v>
      </c>
      <c r="F579" s="46" t="s">
        <v>44</v>
      </c>
      <c r="G579" s="45" t="s">
        <v>45</v>
      </c>
      <c r="H579" s="45" t="b">
        <f>IF(OR(VLOOKUP($C579,'#Data'!$B$2:$J$344,4,FALSE)="보스",VLOOKUP($C579,'#Data'!$B$2:$J$344,4,FALSE)="중간"),TRUE,FALSE)</f>
        <v>1</v>
      </c>
      <c r="I579" s="45" t="b">
        <v>1</v>
      </c>
      <c r="J579" s="45">
        <v>10</v>
      </c>
      <c r="K579" s="45">
        <f t="shared" si="17"/>
        <v>10</v>
      </c>
      <c r="L579" s="73" t="str">
        <f>$B579&amp;"."&amp;VLOOKUP($C579,'#Data'!$B$2:$J$344,2,FALSE)&amp;".attack0"&amp;RIGHT(L$1,1)</f>
        <v>Sector08.plants_mortor_1.attack01</v>
      </c>
      <c r="M579" s="73"/>
      <c r="N579" s="73"/>
      <c r="O579" s="141" t="str">
        <f>$B579&amp;"."&amp;VLOOKUP($C579,'#Data'!$B$2:$J$344,2,FALSE)&amp;".skill0"&amp;RIGHT(O$1,1)</f>
        <v>Sector08.plants_mortor_1.skill01</v>
      </c>
      <c r="P579" s="141" t="str">
        <f>$B579&amp;"."&amp;VLOOKUP($C579,'#Data'!$B$2:$J$344,2,FALSE)&amp;".skill0"&amp;RIGHT(P$1,1)</f>
        <v>Sector08.plants_mortor_1.skill02</v>
      </c>
      <c r="Q579" s="141" t="str">
        <f>$B579&amp;"."&amp;VLOOKUP($C579,'#Data'!$B$2:$J$344,2,FALSE)&amp;".skill0"&amp;RIGHT(Q$1,1)</f>
        <v>Sector08.plants_mortor_1.skill03</v>
      </c>
      <c r="R579" s="74" t="s">
        <v>1959</v>
      </c>
      <c r="S579" s="74" t="s">
        <v>2078</v>
      </c>
      <c r="T579" s="74"/>
      <c r="U579" s="74"/>
      <c r="V579" s="45" t="b">
        <v>0</v>
      </c>
      <c r="W579" s="45" t="str">
        <f>"Character/Prefabs/"&amp;VLOOKUP($C579,'#Data'!$B$3:$I$344,8,FALSE)</f>
        <v>Character/Prefabs/m_l_ranger_plants_mortor_1</v>
      </c>
      <c r="X579" s="45"/>
      <c r="Y579" s="45" t="str">
        <f>VLOOKUP($C579,'#Data'!$B$3:$I$344,8,FALSE)</f>
        <v>m_l_ranger_plants_mortor_1</v>
      </c>
      <c r="Z579" s="45"/>
      <c r="AA579" s="45"/>
      <c r="AB579" s="45"/>
      <c r="AC579" s="93">
        <v>1.1000000000000001</v>
      </c>
      <c r="AD579" s="45"/>
      <c r="AE579" s="45"/>
      <c r="AF579" s="45"/>
      <c r="AG579" s="45" t="s">
        <v>2105</v>
      </c>
      <c r="AH579" s="85"/>
    </row>
    <row r="580" spans="1:34" x14ac:dyDescent="0.3">
      <c r="A580" s="45">
        <f t="shared" si="16"/>
        <v>1310208202</v>
      </c>
      <c r="B580" s="45" t="s">
        <v>210</v>
      </c>
      <c r="C580" s="45" t="s">
        <v>220</v>
      </c>
      <c r="D580" s="45" t="str">
        <f>"Monster.Name."&amp;VLOOKUP($C580,'#Data'!$B$2:$J$344,2,FALSE)</f>
        <v>Monster.Name.plants_robust_1</v>
      </c>
      <c r="E580" s="45" t="s">
        <v>58</v>
      </c>
      <c r="F580" s="46" t="s">
        <v>44</v>
      </c>
      <c r="G580" s="45" t="s">
        <v>45</v>
      </c>
      <c r="H580" s="45" t="b">
        <f>IF(OR(VLOOKUP($C580,'#Data'!$B$2:$J$344,4,FALSE)="보스",VLOOKUP($C580,'#Data'!$B$2:$J$344,4,FALSE)="중간"),TRUE,FALSE)</f>
        <v>1</v>
      </c>
      <c r="I580" s="45" t="b">
        <v>1</v>
      </c>
      <c r="J580" s="45">
        <v>10</v>
      </c>
      <c r="K580" s="45">
        <f t="shared" si="17"/>
        <v>10</v>
      </c>
      <c r="L580" s="73" t="str">
        <f>$B580&amp;"."&amp;VLOOKUP($C580,'#Data'!$B$2:$J$344,2,FALSE)&amp;".attack0"&amp;RIGHT(L$1,1)</f>
        <v>Sector08.plants_robust_1.attack01</v>
      </c>
      <c r="M580" s="73"/>
      <c r="N580" s="73"/>
      <c r="O580" s="141" t="str">
        <f>$B580&amp;"."&amp;VLOOKUP($C580,'#Data'!$B$2:$J$344,2,FALSE)&amp;".skill0"&amp;RIGHT(O$1,1)</f>
        <v>Sector08.plants_robust_1.skill01</v>
      </c>
      <c r="P580" s="141" t="str">
        <f>$B580&amp;"."&amp;VLOOKUP($C580,'#Data'!$B$2:$J$344,2,FALSE)&amp;".skill0"&amp;RIGHT(P$1,1)</f>
        <v>Sector08.plants_robust_1.skill02</v>
      </c>
      <c r="Q580" s="141" t="str">
        <f>$B580&amp;"."&amp;VLOOKUP($C580,'#Data'!$B$2:$J$344,2,FALSE)&amp;".skill0"&amp;RIGHT(Q$1,1)</f>
        <v>Sector08.plants_robust_1.skill03</v>
      </c>
      <c r="R580" s="74" t="s">
        <v>1959</v>
      </c>
      <c r="S580" s="74" t="s">
        <v>2078</v>
      </c>
      <c r="T580" s="74"/>
      <c r="U580" s="74"/>
      <c r="V580" s="45" t="b">
        <v>0</v>
      </c>
      <c r="W580" s="45" t="str">
        <f>"Character/Prefabs/"&amp;VLOOKUP($C580,'#Data'!$B$3:$I$344,8,FALSE)</f>
        <v>Character/Prefabs/m_l_tanker_plants_robust_1</v>
      </c>
      <c r="X580" s="45"/>
      <c r="Y580" s="45" t="str">
        <f>VLOOKUP($C580,'#Data'!$B$3:$I$344,8,FALSE)</f>
        <v>m_l_tanker_plants_robust_1</v>
      </c>
      <c r="Z580" s="45"/>
      <c r="AA580" s="45"/>
      <c r="AB580" s="45"/>
      <c r="AC580" s="93">
        <v>0.9</v>
      </c>
      <c r="AD580" s="45"/>
      <c r="AE580" s="45"/>
      <c r="AF580" s="45"/>
      <c r="AG580" s="45" t="s">
        <v>2105</v>
      </c>
      <c r="AH580" s="85"/>
    </row>
    <row r="581" spans="1:34" x14ac:dyDescent="0.3">
      <c r="A581" s="45">
        <f t="shared" si="16"/>
        <v>1310208203</v>
      </c>
      <c r="B581" s="45" t="s">
        <v>210</v>
      </c>
      <c r="C581" s="45" t="s">
        <v>221</v>
      </c>
      <c r="D581" s="45" t="str">
        <f>"Monster.Name."&amp;VLOOKUP($C581,'#Data'!$B$2:$J$344,2,FALSE)</f>
        <v>Monster.Name.plants_decay_1</v>
      </c>
      <c r="E581" s="45" t="s">
        <v>43</v>
      </c>
      <c r="F581" s="46" t="s">
        <v>44</v>
      </c>
      <c r="G581" s="45" t="s">
        <v>45</v>
      </c>
      <c r="H581" s="45" t="b">
        <f>IF(OR(VLOOKUP($C581,'#Data'!$B$2:$J$344,4,FALSE)="보스",VLOOKUP($C581,'#Data'!$B$2:$J$344,4,FALSE)="중간"),TRUE,FALSE)</f>
        <v>1</v>
      </c>
      <c r="I581" s="45" t="b">
        <v>1</v>
      </c>
      <c r="J581" s="45">
        <v>20</v>
      </c>
      <c r="K581" s="45">
        <f t="shared" si="17"/>
        <v>10</v>
      </c>
      <c r="L581" s="73" t="str">
        <f>$B581&amp;"."&amp;VLOOKUP($C581,'#Data'!$B$2:$J$344,2,FALSE)&amp;".attack0"&amp;RIGHT(L$1,1)</f>
        <v>Sector08.plants_decay_1.attack01</v>
      </c>
      <c r="M581" s="73"/>
      <c r="N581" s="73"/>
      <c r="O581" s="141" t="str">
        <f>$B581&amp;"."&amp;VLOOKUP($C581,'#Data'!$B$2:$J$344,2,FALSE)&amp;".skill0"&amp;RIGHT(O$1,1)</f>
        <v>Sector08.plants_decay_1.skill01</v>
      </c>
      <c r="P581" s="141" t="str">
        <f>$B581&amp;"."&amp;VLOOKUP($C581,'#Data'!$B$2:$J$344,2,FALSE)&amp;".skill0"&amp;RIGHT(P$1,1)</f>
        <v>Sector08.plants_decay_1.skill02</v>
      </c>
      <c r="Q581" s="141" t="str">
        <f>$B581&amp;"."&amp;VLOOKUP($C581,'#Data'!$B$2:$J$344,2,FALSE)&amp;".skill0"&amp;RIGHT(Q$1,1)</f>
        <v>Sector08.plants_decay_1.skill03</v>
      </c>
      <c r="R581" s="74" t="s">
        <v>1959</v>
      </c>
      <c r="S581" s="74" t="s">
        <v>2077</v>
      </c>
      <c r="T581" s="74"/>
      <c r="U581" s="74"/>
      <c r="V581" s="45" t="b">
        <v>0</v>
      </c>
      <c r="W581" s="45" t="str">
        <f>"Character/Prefabs/"&amp;VLOOKUP($C581,'#Data'!$B$3:$I$344,8,FALSE)</f>
        <v>Character/Prefabs/m_l_attacker_plants_decay_1</v>
      </c>
      <c r="X581" s="45"/>
      <c r="Y581" s="45" t="str">
        <f>VLOOKUP($C581,'#Data'!$B$3:$I$344,8,FALSE)</f>
        <v>m_l_attacker_plants_decay_1</v>
      </c>
      <c r="Z581" s="45"/>
      <c r="AA581" s="45"/>
      <c r="AB581" s="45"/>
      <c r="AC581" s="93">
        <v>1.1000000000000001</v>
      </c>
      <c r="AD581" s="45"/>
      <c r="AE581" s="45"/>
      <c r="AF581" s="45"/>
      <c r="AG581" s="45" t="s">
        <v>2105</v>
      </c>
      <c r="AH581" s="85"/>
    </row>
    <row r="582" spans="1:34" x14ac:dyDescent="0.3">
      <c r="A582" s="45">
        <f t="shared" si="16"/>
        <v>1310208301</v>
      </c>
      <c r="B582" s="45" t="s">
        <v>210</v>
      </c>
      <c r="C582" s="45" t="s">
        <v>222</v>
      </c>
      <c r="D582" s="45" t="str">
        <f>"Monster.Name."&amp;VLOOKUP($C582,'#Data'!$B$2:$J$344,2,FALSE)</f>
        <v>Monster.Name.crawler_1</v>
      </c>
      <c r="E582" s="45" t="s">
        <v>43</v>
      </c>
      <c r="F582" s="46" t="s">
        <v>44</v>
      </c>
      <c r="G582" s="45" t="s">
        <v>45</v>
      </c>
      <c r="H582" s="45" t="b">
        <f>IF(OR(VLOOKUP($C582,'#Data'!$B$2:$J$344,4,FALSE)="보스",VLOOKUP($C582,'#Data'!$B$2:$J$344,4,FALSE)="중간"),TRUE,FALSE)</f>
        <v>1</v>
      </c>
      <c r="I582" s="45" t="b">
        <v>1</v>
      </c>
      <c r="J582" s="45">
        <v>20</v>
      </c>
      <c r="K582" s="45">
        <f t="shared" si="17"/>
        <v>10</v>
      </c>
      <c r="L582" s="73" t="str">
        <f>$B582&amp;"."&amp;VLOOKUP($C582,'#Data'!$B$2:$J$344,2,FALSE)&amp;".attack0"&amp;RIGHT(L$1,1)</f>
        <v>Sector08.crawler_1.attack01</v>
      </c>
      <c r="M582" s="73" t="str">
        <f>$B582&amp;"."&amp;VLOOKUP($C582,'#Data'!$B$2:$J$344,2,FALSE)&amp;".attack0"&amp;RIGHT(M$1,1)</f>
        <v>Sector08.crawler_1.attack02</v>
      </c>
      <c r="N582" s="73"/>
      <c r="O582" s="141" t="str">
        <f>$B582&amp;"."&amp;VLOOKUP($C582,'#Data'!$B$2:$J$344,2,FALSE)&amp;".skill0"&amp;RIGHT(O$1,1)</f>
        <v>Sector08.crawler_1.skill01</v>
      </c>
      <c r="P582" s="141" t="str">
        <f>$B582&amp;"."&amp;VLOOKUP($C582,'#Data'!$B$2:$J$344,2,FALSE)&amp;".skill0"&amp;RIGHT(P$1,1)</f>
        <v>Sector08.crawler_1.skill02</v>
      </c>
      <c r="Q582" s="141" t="str">
        <f>$B582&amp;"."&amp;VLOOKUP($C582,'#Data'!$B$2:$J$344,2,FALSE)&amp;".skill0"&amp;RIGHT(Q$1,1)</f>
        <v>Sector08.crawler_1.skill03</v>
      </c>
      <c r="R582" s="74" t="s">
        <v>1927</v>
      </c>
      <c r="S582" s="74" t="s">
        <v>76</v>
      </c>
      <c r="T582" s="74"/>
      <c r="U582" s="74"/>
      <c r="V582" s="45" t="b">
        <v>0</v>
      </c>
      <c r="W582" s="45" t="str">
        <f>"Character/Prefabs/"&amp;VLOOKUP($C582,'#Data'!$B$3:$I$344,8,FALSE)</f>
        <v>Character/Prefabs/m_boss_attacker_crawler_1</v>
      </c>
      <c r="X582" s="45"/>
      <c r="Y582" s="45" t="str">
        <f>VLOOKUP($C582,'#Data'!$B$3:$I$344,8,FALSE)</f>
        <v>m_boss_attacker_crawler_1</v>
      </c>
      <c r="Z582" s="45"/>
      <c r="AA582" s="45"/>
      <c r="AB582" s="45"/>
      <c r="AC582" s="93">
        <v>1.2</v>
      </c>
      <c r="AD582" s="45"/>
      <c r="AE582" s="45" t="s">
        <v>1950</v>
      </c>
      <c r="AF582" s="45" t="s">
        <v>1952</v>
      </c>
      <c r="AG582" s="45" t="s">
        <v>2105</v>
      </c>
      <c r="AH582" s="85"/>
    </row>
    <row r="583" spans="1:34" x14ac:dyDescent="0.3">
      <c r="A583" s="117">
        <f t="shared" si="16"/>
        <v>1310208302</v>
      </c>
      <c r="B583" s="117" t="s">
        <v>210</v>
      </c>
      <c r="C583" s="117" t="s">
        <v>2088</v>
      </c>
      <c r="D583" s="117" t="str">
        <f>"Monster.Name."&amp;VLOOKUP($C583,'#Data'!$B$2:$J$344,2,FALSE)</f>
        <v>Monster.Name.skull_crawler_1</v>
      </c>
      <c r="E583" s="117" t="s">
        <v>43</v>
      </c>
      <c r="F583" s="118" t="s">
        <v>44</v>
      </c>
      <c r="G583" s="117" t="s">
        <v>45</v>
      </c>
      <c r="H583" s="117" t="b">
        <f>IF(OR(VLOOKUP($C583,'#Data'!$B$2:$J$344,4,FALSE)="보스",VLOOKUP($C583,'#Data'!$B$2:$J$344,4,FALSE)="중간"),TRUE,FALSE)</f>
        <v>1</v>
      </c>
      <c r="I583" s="117" t="b">
        <v>1</v>
      </c>
      <c r="J583" s="117">
        <v>20</v>
      </c>
      <c r="K583" s="117">
        <f t="shared" si="17"/>
        <v>10</v>
      </c>
      <c r="L583" s="119" t="str">
        <f>$B583&amp;"."&amp;VLOOKUP($C583,'#Data'!$B$2:$J$344,2,FALSE)&amp;".attack0"&amp;RIGHT(L$1,1)</f>
        <v>Sector08.skull_crawler_1.attack01</v>
      </c>
      <c r="M583" s="119" t="str">
        <f>$B583&amp;"."&amp;VLOOKUP($C583,'#Data'!$B$2:$J$344,2,FALSE)&amp;".attack0"&amp;RIGHT(M$1,1)</f>
        <v>Sector08.skull_crawler_1.attack02</v>
      </c>
      <c r="N583" s="119"/>
      <c r="O583" s="142" t="str">
        <f>$B583&amp;"."&amp;VLOOKUP($C583,'#Data'!$B$2:$J$344,2,FALSE)&amp;".skill0"&amp;RIGHT(O$1,1)</f>
        <v>Sector08.skull_crawler_1.skill01</v>
      </c>
      <c r="P583" s="142" t="str">
        <f>$B583&amp;"."&amp;VLOOKUP($C583,'#Data'!$B$2:$J$344,2,FALSE)&amp;".skill0"&amp;RIGHT(P$1,1)</f>
        <v>Sector08.skull_crawler_1.skill02</v>
      </c>
      <c r="Q583" s="142" t="str">
        <f>$B583&amp;"."&amp;VLOOKUP($C583,'#Data'!$B$2:$J$344,2,FALSE)&amp;".skill0"&amp;RIGHT(Q$1,1)</f>
        <v>Sector08.skull_crawler_1.skill03</v>
      </c>
      <c r="R583" s="120" t="s">
        <v>1927</v>
      </c>
      <c r="S583" s="120" t="s">
        <v>76</v>
      </c>
      <c r="T583" s="120"/>
      <c r="U583" s="120"/>
      <c r="V583" s="117" t="b">
        <v>0</v>
      </c>
      <c r="W583" s="117" t="str">
        <f>"Character/Prefabs/"&amp;VLOOKUP($C583,'#Data'!$B$3:$I$344,8,FALSE)</f>
        <v>Character/Prefabs/m_boss_attacker_skull_crawler_1</v>
      </c>
      <c r="X583" s="117"/>
      <c r="Y583" s="117" t="str">
        <f>VLOOKUP($C583,'#Data'!$B$3:$I$344,8,FALSE)</f>
        <v>m_boss_attacker_skull_crawler_1</v>
      </c>
      <c r="Z583" s="117"/>
      <c r="AA583" s="117"/>
      <c r="AB583" s="117"/>
      <c r="AC583" s="121">
        <v>1.2</v>
      </c>
      <c r="AD583" s="117"/>
      <c r="AE583" s="117" t="s">
        <v>2090</v>
      </c>
      <c r="AF583" s="117" t="s">
        <v>2103</v>
      </c>
      <c r="AG583" s="117" t="s">
        <v>2105</v>
      </c>
      <c r="AH583" s="85"/>
    </row>
    <row r="585" spans="1:34" x14ac:dyDescent="0.3">
      <c r="A585" s="37">
        <f>A392+100000000</f>
        <v>1410201101</v>
      </c>
      <c r="B585" s="37" t="s">
        <v>41</v>
      </c>
      <c r="C585" s="37" t="s">
        <v>42</v>
      </c>
      <c r="D585" s="37" t="str">
        <f>"Monster.Name."&amp;VLOOKUP($C585,'#Data'!$B$2:$J$344,2,FALSE)</f>
        <v>Monster.Name.solid_turretmk1_1</v>
      </c>
      <c r="E585" s="37" t="s">
        <v>43</v>
      </c>
      <c r="F585" s="38" t="s">
        <v>44</v>
      </c>
      <c r="G585" s="37" t="s">
        <v>45</v>
      </c>
      <c r="H585" s="37" t="b">
        <f>IF(OR(VLOOKUP($C585,'#Data'!$B$2:$J$344,4,FALSE)="보스",VLOOKUP($C585,'#Data'!$B$2:$J$344,4,FALSE)="중간"),TRUE,FALSE)</f>
        <v>0</v>
      </c>
      <c r="I585" s="37" t="b">
        <f>IF(OR(VLOOKUP($C585,'#Data'!$B$2:$J$344,4,FALSE)="보스",VLOOKUP($C585,'#Data'!$B$2:$J$344,4,FALSE)="중간"),TRUE,FALSE)</f>
        <v>0</v>
      </c>
      <c r="J585" s="37">
        <v>10</v>
      </c>
      <c r="K585" s="37">
        <f>K392</f>
        <v>10</v>
      </c>
      <c r="L585" s="59" t="str">
        <f>$B585&amp;"."&amp;VLOOKUP($C585,'#Data'!$B$2:$J$344,2,FALSE)&amp;".attack0"&amp;RIGHT(L$1,1)</f>
        <v>Sector01.solid_turretmk1_1.attack01</v>
      </c>
      <c r="M585" s="59"/>
      <c r="N585" s="59"/>
      <c r="O585" s="131" t="s">
        <v>1990</v>
      </c>
      <c r="P585" s="131"/>
      <c r="Q585" s="131"/>
      <c r="R585" s="60"/>
      <c r="S585" s="60"/>
      <c r="T585" s="60"/>
      <c r="U585" s="60"/>
      <c r="V585" s="37" t="b">
        <v>0</v>
      </c>
      <c r="W585" s="37" t="str">
        <f>"Character/Prefabs/"&amp;VLOOKUP($C585,'#Data'!$B$3:$I$344,8,FALSE)</f>
        <v>Character/Prefabs/m_s_attacker_solid_turretmk1_1</v>
      </c>
      <c r="X585" s="37"/>
      <c r="Y585" s="37" t="str">
        <f>VLOOKUP($C585,'#Data'!$B$3:$I$344,8,FALSE)</f>
        <v>m_s_attacker_solid_turretmk1_1</v>
      </c>
      <c r="Z585" s="37"/>
      <c r="AA585" s="37"/>
      <c r="AB585" s="37"/>
      <c r="AC585" s="84">
        <v>0.7</v>
      </c>
      <c r="AD585" s="37"/>
      <c r="AE585" s="37"/>
      <c r="AF585" s="37"/>
      <c r="AG585" s="37" t="s">
        <v>2106</v>
      </c>
      <c r="AH585" s="85"/>
    </row>
    <row r="586" spans="1:34" x14ac:dyDescent="0.3">
      <c r="A586" s="37">
        <f t="shared" ref="A586:A649" si="18">A393+100000000</f>
        <v>1410201102</v>
      </c>
      <c r="B586" s="37" t="s">
        <v>41</v>
      </c>
      <c r="C586" s="37" t="s">
        <v>46</v>
      </c>
      <c r="D586" s="37" t="str">
        <f>"Monster.Name."&amp;VLOOKUP($C586,'#Data'!$B$2:$J$344,2,FALSE)</f>
        <v>Monster.Name.spider_turret_prototype_1</v>
      </c>
      <c r="E586" s="37" t="s">
        <v>47</v>
      </c>
      <c r="F586" s="38" t="s">
        <v>44</v>
      </c>
      <c r="G586" s="37" t="s">
        <v>45</v>
      </c>
      <c r="H586" s="37" t="b">
        <f>IF(OR(VLOOKUP($C586,'#Data'!$B$2:$J$344,4,FALSE)="보스",VLOOKUP($C586,'#Data'!$B$2:$J$344,4,FALSE)="중간"),TRUE,FALSE)</f>
        <v>0</v>
      </c>
      <c r="I586" s="37" t="b">
        <f>IF(OR(VLOOKUP($C586,'#Data'!$B$2:$J$344,4,FALSE)="보스",VLOOKUP($C586,'#Data'!$B$2:$J$344,4,FALSE)="중간"),TRUE,FALSE)</f>
        <v>0</v>
      </c>
      <c r="J586" s="37">
        <v>10</v>
      </c>
      <c r="K586" s="37">
        <f t="shared" ref="K586:K649" si="19">K393</f>
        <v>30</v>
      </c>
      <c r="L586" s="59" t="str">
        <f>$B586&amp;"."&amp;VLOOKUP($C586,'#Data'!$B$2:$J$344,2,FALSE)&amp;".attack0"&amp;RIGHT(L$1,1)</f>
        <v>Sector01.spider_turret_prototype_1.attack01</v>
      </c>
      <c r="M586" s="59"/>
      <c r="N586" s="59"/>
      <c r="O586" s="131" t="s">
        <v>1991</v>
      </c>
      <c r="P586" s="131"/>
      <c r="Q586" s="131"/>
      <c r="R586" s="60"/>
      <c r="S586" s="60"/>
      <c r="T586" s="60"/>
      <c r="U586" s="60"/>
      <c r="V586" s="37" t="b">
        <v>0</v>
      </c>
      <c r="W586" s="37" t="str">
        <f>"Character/Prefabs/"&amp;VLOOKUP($C586,'#Data'!$B$3:$I$344,8,FALSE)</f>
        <v>Character/Prefabs/m_s_ranger_spider_turret_prototype_1</v>
      </c>
      <c r="X586" s="37"/>
      <c r="Y586" s="37" t="str">
        <f>VLOOKUP($C586,'#Data'!$B$3:$I$344,8,FALSE)</f>
        <v>m_s_ranger_spider_turret_prototype_1</v>
      </c>
      <c r="Z586" s="37"/>
      <c r="AA586" s="37"/>
      <c r="AB586" s="37"/>
      <c r="AC586" s="84">
        <v>0.6</v>
      </c>
      <c r="AD586" s="37"/>
      <c r="AE586" s="37"/>
      <c r="AF586" s="37"/>
      <c r="AG586" s="37" t="s">
        <v>2106</v>
      </c>
      <c r="AH586" s="85"/>
    </row>
    <row r="587" spans="1:34" x14ac:dyDescent="0.3">
      <c r="A587" s="37">
        <f t="shared" si="18"/>
        <v>1410201103</v>
      </c>
      <c r="B587" s="37" t="s">
        <v>41</v>
      </c>
      <c r="C587" s="37" t="s">
        <v>48</v>
      </c>
      <c r="D587" s="37" t="str">
        <f>"Monster.Name."&amp;VLOOKUP($C587,'#Data'!$B$2:$J$344,2,FALSE)</f>
        <v>Monster.Name.electric_drone_1</v>
      </c>
      <c r="E587" s="37" t="s">
        <v>43</v>
      </c>
      <c r="F587" s="38" t="s">
        <v>44</v>
      </c>
      <c r="G587" s="37" t="s">
        <v>45</v>
      </c>
      <c r="H587" s="37" t="b">
        <f>IF(OR(VLOOKUP($C587,'#Data'!$B$2:$J$344,4,FALSE)="보스",VLOOKUP($C587,'#Data'!$B$2:$J$344,4,FALSE)="중간"),TRUE,FALSE)</f>
        <v>0</v>
      </c>
      <c r="I587" s="37" t="b">
        <f>IF(OR(VLOOKUP($C587,'#Data'!$B$2:$J$344,4,FALSE)="보스",VLOOKUP($C587,'#Data'!$B$2:$J$344,4,FALSE)="중간"),TRUE,FALSE)</f>
        <v>0</v>
      </c>
      <c r="J587" s="37">
        <v>10</v>
      </c>
      <c r="K587" s="37">
        <f t="shared" si="19"/>
        <v>10</v>
      </c>
      <c r="L587" s="59" t="str">
        <f>$B587&amp;"."&amp;VLOOKUP($C587,'#Data'!$B$2:$J$344,2,FALSE)&amp;".attack0"&amp;RIGHT(L$1,1)</f>
        <v>Sector01.electric_drone_1.attack01</v>
      </c>
      <c r="M587" s="59"/>
      <c r="N587" s="59"/>
      <c r="O587" s="131" t="s">
        <v>1992</v>
      </c>
      <c r="P587" s="131"/>
      <c r="Q587" s="131"/>
      <c r="R587" s="60"/>
      <c r="S587" s="60"/>
      <c r="T587" s="60"/>
      <c r="U587" s="60"/>
      <c r="V587" s="37" t="b">
        <v>0</v>
      </c>
      <c r="W587" s="37" t="str">
        <f>"Character/Prefabs/"&amp;VLOOKUP($C587,'#Data'!$B$3:$I$344,8,FALSE)</f>
        <v>Character/Prefabs/m_s_attacker_electric_drone_1</v>
      </c>
      <c r="X587" s="37"/>
      <c r="Y587" s="37" t="str">
        <f>VLOOKUP($C587,'#Data'!$B$3:$I$344,8,FALSE)</f>
        <v>m_s_attacker_electric_drone_1</v>
      </c>
      <c r="Z587" s="37"/>
      <c r="AA587" s="37"/>
      <c r="AB587" s="37"/>
      <c r="AC587" s="84">
        <v>0.7</v>
      </c>
      <c r="AD587" s="37"/>
      <c r="AE587" s="37"/>
      <c r="AF587" s="37"/>
      <c r="AG587" s="37" t="s">
        <v>2106</v>
      </c>
      <c r="AH587" s="85"/>
    </row>
    <row r="588" spans="1:34" x14ac:dyDescent="0.3">
      <c r="A588" s="37">
        <f t="shared" si="18"/>
        <v>1410201104</v>
      </c>
      <c r="B588" s="37" t="s">
        <v>41</v>
      </c>
      <c r="C588" s="37" t="s">
        <v>52</v>
      </c>
      <c r="D588" s="37" t="str">
        <f>"Monster.Name."&amp;VLOOKUP($C588,'#Data'!$B$2:$J$344,2,FALSE)</f>
        <v>Monster.Name.jamming_drone_1</v>
      </c>
      <c r="E588" s="37" t="s">
        <v>47</v>
      </c>
      <c r="F588" s="38" t="s">
        <v>44</v>
      </c>
      <c r="G588" s="37" t="s">
        <v>45</v>
      </c>
      <c r="H588" s="37" t="b">
        <f>IF(OR(VLOOKUP($C588,'#Data'!$B$2:$J$344,4,FALSE)="보스",VLOOKUP($C588,'#Data'!$B$2:$J$344,4,FALSE)="중간"),TRUE,FALSE)</f>
        <v>0</v>
      </c>
      <c r="I588" s="37" t="b">
        <f>IF(OR(VLOOKUP($C588,'#Data'!$B$2:$J$344,4,FALSE)="보스",VLOOKUP($C588,'#Data'!$B$2:$J$344,4,FALSE)="중간"),TRUE,FALSE)</f>
        <v>0</v>
      </c>
      <c r="J588" s="37">
        <v>10</v>
      </c>
      <c r="K588" s="37">
        <f t="shared" si="19"/>
        <v>10</v>
      </c>
      <c r="L588" s="59" t="str">
        <f>$B588&amp;"."&amp;VLOOKUP($C588,'#Data'!$B$2:$J$344,2,FALSE)&amp;".attack0"&amp;RIGHT(L$1,1)</f>
        <v>Sector01.jamming_drone_1.attack01</v>
      </c>
      <c r="M588" s="59"/>
      <c r="N588" s="59"/>
      <c r="O588" s="131" t="s">
        <v>1993</v>
      </c>
      <c r="P588" s="131"/>
      <c r="Q588" s="131"/>
      <c r="R588" s="60"/>
      <c r="S588" s="60"/>
      <c r="T588" s="60"/>
      <c r="U588" s="60"/>
      <c r="V588" s="37" t="b">
        <v>0</v>
      </c>
      <c r="W588" s="37" t="str">
        <f>"Character/Prefabs/"&amp;VLOOKUP($C588,'#Data'!$B$3:$I$344,8,FALSE)</f>
        <v>Character/Prefabs/m_s_ranger_jamming_drone_1</v>
      </c>
      <c r="X588" s="37"/>
      <c r="Y588" s="37" t="str">
        <f>VLOOKUP($C588,'#Data'!$B$3:$I$344,8,FALSE)</f>
        <v>m_s_ranger_jamming_drone_1</v>
      </c>
      <c r="Z588" s="37"/>
      <c r="AA588" s="37"/>
      <c r="AB588" s="37"/>
      <c r="AC588" s="84">
        <v>0.6</v>
      </c>
      <c r="AD588" s="37"/>
      <c r="AE588" s="37"/>
      <c r="AF588" s="37"/>
      <c r="AG588" s="37" t="s">
        <v>2106</v>
      </c>
      <c r="AH588" s="85"/>
    </row>
    <row r="589" spans="1:34" x14ac:dyDescent="0.3">
      <c r="A589" s="37">
        <f t="shared" si="18"/>
        <v>1410201105</v>
      </c>
      <c r="B589" s="37" t="s">
        <v>41</v>
      </c>
      <c r="C589" s="37" t="s">
        <v>56</v>
      </c>
      <c r="D589" s="37" t="str">
        <f>"Monster.Name."&amp;VLOOKUP($C589,'#Data'!$B$2:$J$344,2,FALSE)</f>
        <v>Monster.Name.trooper_sniper_1</v>
      </c>
      <c r="E589" s="37" t="s">
        <v>47</v>
      </c>
      <c r="F589" s="38" t="s">
        <v>44</v>
      </c>
      <c r="G589" s="37" t="s">
        <v>45</v>
      </c>
      <c r="H589" s="37" t="b">
        <f>IF(OR(VLOOKUP($C589,'#Data'!$B$2:$J$344,4,FALSE)="보스",VLOOKUP($C589,'#Data'!$B$2:$J$344,4,FALSE)="중간"),TRUE,FALSE)</f>
        <v>0</v>
      </c>
      <c r="I589" s="37" t="b">
        <f>IF(OR(VLOOKUP($C589,'#Data'!$B$2:$J$344,4,FALSE)="보스",VLOOKUP($C589,'#Data'!$B$2:$J$344,4,FALSE)="중간"),TRUE,FALSE)</f>
        <v>0</v>
      </c>
      <c r="J589" s="37">
        <v>10</v>
      </c>
      <c r="K589" s="37">
        <f t="shared" si="19"/>
        <v>10</v>
      </c>
      <c r="L589" s="59" t="str">
        <f>$B589&amp;"."&amp;VLOOKUP($C589,'#Data'!$B$2:$J$344,2,FALSE)&amp;".attack0"&amp;RIGHT(L$1,1)</f>
        <v>Sector01.trooper_sniper_1.attack01</v>
      </c>
      <c r="M589" s="59"/>
      <c r="N589" s="59"/>
      <c r="O589" s="131" t="str">
        <f>$B589&amp;"."&amp;VLOOKUP($C589,'#Data'!$B$2:$J$344,2,FALSE)&amp;".skill0"&amp;RIGHT(O$1,1)</f>
        <v>Sector01.trooper_sniper_1.skill01</v>
      </c>
      <c r="P589" s="131" t="s">
        <v>1994</v>
      </c>
      <c r="Q589" s="131"/>
      <c r="R589" s="60"/>
      <c r="S589" s="60"/>
      <c r="T589" s="60"/>
      <c r="U589" s="60"/>
      <c r="V589" s="37" t="b">
        <v>0</v>
      </c>
      <c r="W589" s="37" t="str">
        <f>"Character/Prefabs/"&amp;VLOOKUP($C589,'#Data'!$B$3:$I$344,8,FALSE)</f>
        <v>Character/Prefabs/m_m_ranger_trooper_sniper_1</v>
      </c>
      <c r="X589" s="37"/>
      <c r="Y589" s="37" t="str">
        <f>VLOOKUP($C589,'#Data'!$B$3:$I$344,8,FALSE)</f>
        <v>m_m_ranger_trooper_sniper_1</v>
      </c>
      <c r="Z589" s="37"/>
      <c r="AA589" s="37"/>
      <c r="AB589" s="37"/>
      <c r="AC589" s="84">
        <v>0.8</v>
      </c>
      <c r="AD589" s="37"/>
      <c r="AE589" s="37"/>
      <c r="AF589" s="37"/>
      <c r="AG589" s="37" t="s">
        <v>2106</v>
      </c>
      <c r="AH589" s="85"/>
    </row>
    <row r="590" spans="1:34" x14ac:dyDescent="0.3">
      <c r="A590" s="37">
        <f t="shared" si="18"/>
        <v>1410201106</v>
      </c>
      <c r="B590" s="37" t="s">
        <v>41</v>
      </c>
      <c r="C590" s="37" t="s">
        <v>57</v>
      </c>
      <c r="D590" s="37" t="str">
        <f>"Monster.Name."&amp;VLOOKUP($C590,'#Data'!$B$2:$J$344,2,FALSE)</f>
        <v>Monster.Name.trooper_guard_1</v>
      </c>
      <c r="E590" s="37" t="s">
        <v>58</v>
      </c>
      <c r="F590" s="38" t="s">
        <v>44</v>
      </c>
      <c r="G590" s="37" t="s">
        <v>45</v>
      </c>
      <c r="H590" s="37" t="b">
        <f>IF(OR(VLOOKUP($C590,'#Data'!$B$2:$J$344,4,FALSE)="보스",VLOOKUP($C590,'#Data'!$B$2:$J$344,4,FALSE)="중간"),TRUE,FALSE)</f>
        <v>0</v>
      </c>
      <c r="I590" s="37" t="b">
        <f>IF(OR(VLOOKUP($C590,'#Data'!$B$2:$J$344,4,FALSE)="보스",VLOOKUP($C590,'#Data'!$B$2:$J$344,4,FALSE)="중간"),TRUE,FALSE)</f>
        <v>0</v>
      </c>
      <c r="J590" s="37">
        <v>10</v>
      </c>
      <c r="K590" s="37">
        <f t="shared" si="19"/>
        <v>10</v>
      </c>
      <c r="L590" s="59" t="str">
        <f>$B590&amp;"."&amp;VLOOKUP($C590,'#Data'!$B$2:$J$344,2,FALSE)&amp;".attack0"&amp;RIGHT(L$1,1)</f>
        <v>Sector01.trooper_guard_1.attack01</v>
      </c>
      <c r="M590" s="59"/>
      <c r="N590" s="59"/>
      <c r="O590" s="131" t="str">
        <f>$B590&amp;"."&amp;VLOOKUP($C590,'#Data'!$B$2:$J$344,2,FALSE)&amp;".skill0"&amp;RIGHT(O$1,1)</f>
        <v>Sector01.trooper_guard_1.skill01</v>
      </c>
      <c r="P590" s="131" t="s">
        <v>1995</v>
      </c>
      <c r="Q590" s="131"/>
      <c r="R590" s="60"/>
      <c r="S590" s="60"/>
      <c r="T590" s="60"/>
      <c r="U590" s="60"/>
      <c r="V590" s="37" t="b">
        <v>0</v>
      </c>
      <c r="W590" s="37" t="str">
        <f>"Character/Prefabs/"&amp;VLOOKUP($C590,'#Data'!$B$3:$I$344,8,FALSE)</f>
        <v>Character/Prefabs/m_m_tanker_trooper_guard_1</v>
      </c>
      <c r="X590" s="37"/>
      <c r="Y590" s="37" t="str">
        <f>VLOOKUP($C590,'#Data'!$B$3:$I$344,8,FALSE)</f>
        <v>m_m_tanker_trooper_guard_1</v>
      </c>
      <c r="Z590" s="37"/>
      <c r="AA590" s="37"/>
      <c r="AB590" s="37"/>
      <c r="AC590" s="84">
        <v>0.8</v>
      </c>
      <c r="AD590" s="37"/>
      <c r="AE590" s="37"/>
      <c r="AF590" s="37"/>
      <c r="AG590" s="37" t="s">
        <v>2106</v>
      </c>
      <c r="AH590" s="85"/>
    </row>
    <row r="591" spans="1:34" x14ac:dyDescent="0.3">
      <c r="A591" s="37">
        <f t="shared" si="18"/>
        <v>1410201107</v>
      </c>
      <c r="B591" s="37" t="s">
        <v>41</v>
      </c>
      <c r="C591" s="37" t="s">
        <v>59</v>
      </c>
      <c r="D591" s="37" t="str">
        <f>"Monster.Name."&amp;VLOOKUP($C591,'#Data'!$B$2:$J$344,2,FALSE)</f>
        <v>Monster.Name.trooper_champion_1</v>
      </c>
      <c r="E591" s="37" t="s">
        <v>43</v>
      </c>
      <c r="F591" s="38" t="s">
        <v>44</v>
      </c>
      <c r="G591" s="37" t="s">
        <v>45</v>
      </c>
      <c r="H591" s="37" t="b">
        <f>IF(OR(VLOOKUP($C591,'#Data'!$B$2:$J$344,4,FALSE)="보스",VLOOKUP($C591,'#Data'!$B$2:$J$344,4,FALSE)="중간"),TRUE,FALSE)</f>
        <v>0</v>
      </c>
      <c r="I591" s="37" t="b">
        <f>IF(OR(VLOOKUP($C591,'#Data'!$B$2:$J$344,4,FALSE)="보스",VLOOKUP($C591,'#Data'!$B$2:$J$344,4,FALSE)="중간"),TRUE,FALSE)</f>
        <v>0</v>
      </c>
      <c r="J591" s="37">
        <v>10</v>
      </c>
      <c r="K591" s="37">
        <f t="shared" si="19"/>
        <v>10</v>
      </c>
      <c r="L591" s="59" t="str">
        <f>$B591&amp;"."&amp;VLOOKUP($C591,'#Data'!$B$2:$J$344,2,FALSE)&amp;".attack0"&amp;RIGHT(L$1,1)</f>
        <v>Sector01.trooper_champion_1.attack01</v>
      </c>
      <c r="M591" s="59"/>
      <c r="N591" s="59"/>
      <c r="O591" s="131" t="str">
        <f>$B591&amp;"."&amp;VLOOKUP($C591,'#Data'!$B$2:$J$344,2,FALSE)&amp;".skill0"&amp;RIGHT(O$1,1)</f>
        <v>Sector01.trooper_champion_1.skill01</v>
      </c>
      <c r="P591" s="131" t="s">
        <v>1996</v>
      </c>
      <c r="Q591" s="131"/>
      <c r="R591" s="60"/>
      <c r="S591" s="60"/>
      <c r="T591" s="60"/>
      <c r="U591" s="60"/>
      <c r="V591" s="37" t="b">
        <v>0</v>
      </c>
      <c r="W591" s="37" t="str">
        <f>"Character/Prefabs/"&amp;VLOOKUP($C591,'#Data'!$B$3:$I$344,8,FALSE)</f>
        <v>Character/Prefabs/m_m_attacker_trooper_champion_1</v>
      </c>
      <c r="X591" s="37"/>
      <c r="Y591" s="37" t="str">
        <f>VLOOKUP($C591,'#Data'!$B$3:$I$344,8,FALSE)</f>
        <v>m_m_attacker_trooper_champion_1</v>
      </c>
      <c r="Z591" s="37"/>
      <c r="AA591" s="37"/>
      <c r="AB591" s="37"/>
      <c r="AC591" s="84">
        <v>0.8</v>
      </c>
      <c r="AD591" s="37"/>
      <c r="AE591" s="37"/>
      <c r="AF591" s="37"/>
      <c r="AG591" s="37" t="s">
        <v>2106</v>
      </c>
      <c r="AH591" s="85"/>
    </row>
    <row r="592" spans="1:34" x14ac:dyDescent="0.3">
      <c r="A592" s="37">
        <f t="shared" si="18"/>
        <v>1410201108</v>
      </c>
      <c r="B592" s="37" t="s">
        <v>41</v>
      </c>
      <c r="C592" s="37" t="s">
        <v>60</v>
      </c>
      <c r="D592" s="37" t="str">
        <f>"Monster.Name."&amp;VLOOKUP($C592,'#Data'!$B$2:$J$344,2,FALSE)</f>
        <v>Monster.Name.trooper_demolisher_1</v>
      </c>
      <c r="E592" s="37" t="s">
        <v>47</v>
      </c>
      <c r="F592" s="38" t="s">
        <v>44</v>
      </c>
      <c r="G592" s="37" t="s">
        <v>45</v>
      </c>
      <c r="H592" s="37" t="b">
        <f>IF(OR(VLOOKUP($C592,'#Data'!$B$2:$J$344,4,FALSE)="보스",VLOOKUP($C592,'#Data'!$B$2:$J$344,4,FALSE)="중간"),TRUE,FALSE)</f>
        <v>0</v>
      </c>
      <c r="I592" s="37" t="b">
        <f>IF(OR(VLOOKUP($C592,'#Data'!$B$2:$J$344,4,FALSE)="보스",VLOOKUP($C592,'#Data'!$B$2:$J$344,4,FALSE)="중간"),TRUE,FALSE)</f>
        <v>0</v>
      </c>
      <c r="J592" s="37">
        <v>10</v>
      </c>
      <c r="K592" s="37">
        <f t="shared" si="19"/>
        <v>10</v>
      </c>
      <c r="L592" s="59" t="str">
        <f>$B592&amp;"."&amp;VLOOKUP($C592,'#Data'!$B$2:$J$344,2,FALSE)&amp;".attack0"&amp;RIGHT(L$1,1)</f>
        <v>Sector01.trooper_demolisher_1.attack01</v>
      </c>
      <c r="M592" s="59"/>
      <c r="N592" s="59"/>
      <c r="O592" s="131" t="str">
        <f>$B592&amp;"."&amp;VLOOKUP($C592,'#Data'!$B$2:$J$344,2,FALSE)&amp;".skill0"&amp;RIGHT(O$1,1)</f>
        <v>Sector01.trooper_demolisher_1.skill01</v>
      </c>
      <c r="P592" s="131" t="s">
        <v>2018</v>
      </c>
      <c r="Q592" s="131"/>
      <c r="R592" s="60"/>
      <c r="S592" s="60"/>
      <c r="T592" s="60"/>
      <c r="U592" s="60"/>
      <c r="V592" s="37" t="b">
        <v>0</v>
      </c>
      <c r="W592" s="37" t="str">
        <f>"Character/Prefabs/"&amp;VLOOKUP($C592,'#Data'!$B$3:$I$344,8,FALSE)</f>
        <v>Character/Prefabs/m_m_ranger_trooper_demolisher_1</v>
      </c>
      <c r="X592" s="37"/>
      <c r="Y592" s="37" t="str">
        <f>VLOOKUP($C592,'#Data'!$B$3:$I$344,8,FALSE)</f>
        <v>m_m_ranger_trooper_demolisher_1</v>
      </c>
      <c r="Z592" s="37"/>
      <c r="AA592" s="37"/>
      <c r="AB592" s="37"/>
      <c r="AC592" s="84">
        <v>0.8</v>
      </c>
      <c r="AD592" s="37"/>
      <c r="AE592" s="37"/>
      <c r="AF592" s="37"/>
      <c r="AG592" s="37" t="s">
        <v>2106</v>
      </c>
      <c r="AH592" s="85"/>
    </row>
    <row r="593" spans="1:34" x14ac:dyDescent="0.3">
      <c r="A593" s="37">
        <f t="shared" si="18"/>
        <v>1410201109</v>
      </c>
      <c r="B593" s="37" t="s">
        <v>41</v>
      </c>
      <c r="C593" s="37" t="s">
        <v>61</v>
      </c>
      <c r="D593" s="37" t="str">
        <f>"Monster.Name."&amp;VLOOKUP($C593,'#Data'!$B$2:$J$344,2,FALSE)</f>
        <v>Monster.Name.trooper_inferno_1</v>
      </c>
      <c r="E593" s="37" t="s">
        <v>43</v>
      </c>
      <c r="F593" s="38" t="s">
        <v>44</v>
      </c>
      <c r="G593" s="37" t="s">
        <v>45</v>
      </c>
      <c r="H593" s="37" t="b">
        <f>IF(OR(VLOOKUP($C593,'#Data'!$B$2:$J$344,4,FALSE)="보스",VLOOKUP($C593,'#Data'!$B$2:$J$344,4,FALSE)="중간"),TRUE,FALSE)</f>
        <v>0</v>
      </c>
      <c r="I593" s="37" t="b">
        <f>IF(OR(VLOOKUP($C593,'#Data'!$B$2:$J$344,4,FALSE)="보스",VLOOKUP($C593,'#Data'!$B$2:$J$344,4,FALSE)="중간"),TRUE,FALSE)</f>
        <v>0</v>
      </c>
      <c r="J593" s="37">
        <v>10</v>
      </c>
      <c r="K593" s="37">
        <f t="shared" si="19"/>
        <v>10</v>
      </c>
      <c r="L593" s="59" t="str">
        <f>$B593&amp;"."&amp;VLOOKUP($C593,'#Data'!$B$2:$J$344,2,FALSE)&amp;".attack0"&amp;RIGHT(L$1,1)</f>
        <v>Sector01.trooper_inferno_1.attack01</v>
      </c>
      <c r="M593" s="59"/>
      <c r="N593" s="59"/>
      <c r="O593" s="131" t="str">
        <f>$B593&amp;"."&amp;VLOOKUP($C593,'#Data'!$B$2:$J$344,2,FALSE)&amp;".skill0"&amp;RIGHT(O$1,1)</f>
        <v>Sector01.trooper_inferno_1.skill01</v>
      </c>
      <c r="P593" s="131" t="s">
        <v>1998</v>
      </c>
      <c r="Q593" s="131"/>
      <c r="R593" s="60"/>
      <c r="S593" s="60"/>
      <c r="T593" s="60"/>
      <c r="U593" s="60"/>
      <c r="V593" s="37" t="b">
        <v>0</v>
      </c>
      <c r="W593" s="37" t="str">
        <f>"Character/Prefabs/"&amp;VLOOKUP($C593,'#Data'!$B$3:$I$344,8,FALSE)</f>
        <v>Character/Prefabs/m_m_attacker_trooper_inferno_1</v>
      </c>
      <c r="X593" s="37"/>
      <c r="Y593" s="37" t="str">
        <f>VLOOKUP($C593,'#Data'!$B$3:$I$344,8,FALSE)</f>
        <v>m_m_attacker_trooper_inferno_1</v>
      </c>
      <c r="Z593" s="37"/>
      <c r="AA593" s="37"/>
      <c r="AB593" s="37"/>
      <c r="AC593" s="84">
        <v>0.8</v>
      </c>
      <c r="AD593" s="37"/>
      <c r="AE593" s="37"/>
      <c r="AF593" s="37"/>
      <c r="AG593" s="37" t="s">
        <v>2106</v>
      </c>
      <c r="AH593" s="85"/>
    </row>
    <row r="594" spans="1:34" x14ac:dyDescent="0.3">
      <c r="A594" s="51">
        <f t="shared" si="18"/>
        <v>1410201110</v>
      </c>
      <c r="B594" s="51" t="s">
        <v>41</v>
      </c>
      <c r="C594" s="51" t="s">
        <v>66</v>
      </c>
      <c r="D594" s="51" t="str">
        <f>"Monster.Name."&amp;VLOOKUP($C594,'#Data'!$B$2:$J$344,2,FALSE)</f>
        <v>Monster.Name.solid_turretmk1_2</v>
      </c>
      <c r="E594" s="51" t="s">
        <v>43</v>
      </c>
      <c r="F594" s="52" t="s">
        <v>44</v>
      </c>
      <c r="G594" s="51" t="s">
        <v>45</v>
      </c>
      <c r="H594" s="51" t="b">
        <f>IF(OR(VLOOKUP($C594,'#Data'!$B$2:$J$344,4,FALSE)="보스",VLOOKUP($C594,'#Data'!$B$2:$J$344,4,FALSE)="중간"),TRUE,FALSE)</f>
        <v>0</v>
      </c>
      <c r="I594" s="51" t="b">
        <f>IF(OR(VLOOKUP($C594,'#Data'!$B$2:$J$344,4,FALSE)="보스",VLOOKUP($C594,'#Data'!$B$2:$J$344,4,FALSE)="중간"),TRUE,FALSE)</f>
        <v>0</v>
      </c>
      <c r="J594" s="51">
        <v>10</v>
      </c>
      <c r="K594" s="51">
        <f t="shared" si="19"/>
        <v>10</v>
      </c>
      <c r="L594" s="61" t="s">
        <v>1181</v>
      </c>
      <c r="M594" s="61"/>
      <c r="N594" s="61"/>
      <c r="O594" s="132" t="s">
        <v>1990</v>
      </c>
      <c r="P594" s="132"/>
      <c r="Q594" s="132"/>
      <c r="R594" s="62"/>
      <c r="S594" s="62"/>
      <c r="T594" s="62"/>
      <c r="U594" s="62"/>
      <c r="V594" s="51" t="b">
        <v>0</v>
      </c>
      <c r="W594" s="51" t="str">
        <f>"Character/Prefabs/"&amp;VLOOKUP($C594,'#Data'!$B$3:$I$344,8,FALSE)</f>
        <v>Character/Prefabs/m_s_attacker_solid_turretmk1_2</v>
      </c>
      <c r="X594" s="51"/>
      <c r="Y594" s="51" t="str">
        <f>VLOOKUP($C594,'#Data'!$B$3:$I$344,8,FALSE)</f>
        <v>m_s_attacker_solid_turretmk1_2</v>
      </c>
      <c r="Z594" s="51"/>
      <c r="AA594" s="51"/>
      <c r="AB594" s="51"/>
      <c r="AC594" s="86">
        <v>0.7</v>
      </c>
      <c r="AD594" s="51"/>
      <c r="AE594" s="51"/>
      <c r="AF594" s="51"/>
      <c r="AG594" s="51" t="s">
        <v>2106</v>
      </c>
      <c r="AH594" s="85"/>
    </row>
    <row r="595" spans="1:34" x14ac:dyDescent="0.3">
      <c r="A595" s="51">
        <f t="shared" si="18"/>
        <v>1410201111</v>
      </c>
      <c r="B595" s="51" t="s">
        <v>41</v>
      </c>
      <c r="C595" s="51" t="s">
        <v>67</v>
      </c>
      <c r="D595" s="51" t="str">
        <f>"Monster.Name."&amp;VLOOKUP($C595,'#Data'!$B$2:$J$344,2,FALSE)</f>
        <v>Monster.Name.spider_turret_prototype_2</v>
      </c>
      <c r="E595" s="51" t="s">
        <v>47</v>
      </c>
      <c r="F595" s="52" t="s">
        <v>44</v>
      </c>
      <c r="G595" s="51" t="s">
        <v>45</v>
      </c>
      <c r="H595" s="51" t="b">
        <f>IF(OR(VLOOKUP($C595,'#Data'!$B$2:$J$344,4,FALSE)="보스",VLOOKUP($C595,'#Data'!$B$2:$J$344,4,FALSE)="중간"),TRUE,FALSE)</f>
        <v>0</v>
      </c>
      <c r="I595" s="51" t="b">
        <f>IF(OR(VLOOKUP($C595,'#Data'!$B$2:$J$344,4,FALSE)="보스",VLOOKUP($C595,'#Data'!$B$2:$J$344,4,FALSE)="중간"),TRUE,FALSE)</f>
        <v>0</v>
      </c>
      <c r="J595" s="51">
        <v>10</v>
      </c>
      <c r="K595" s="51">
        <f t="shared" si="19"/>
        <v>30</v>
      </c>
      <c r="L595" s="61" t="s">
        <v>1182</v>
      </c>
      <c r="M595" s="61"/>
      <c r="N595" s="61"/>
      <c r="O595" s="132" t="s">
        <v>1991</v>
      </c>
      <c r="P595" s="132"/>
      <c r="Q595" s="132"/>
      <c r="R595" s="62"/>
      <c r="S595" s="62"/>
      <c r="T595" s="62"/>
      <c r="U595" s="62"/>
      <c r="V595" s="51" t="b">
        <v>0</v>
      </c>
      <c r="W595" s="51" t="str">
        <f>"Character/Prefabs/"&amp;VLOOKUP($C595,'#Data'!$B$3:$I$344,8,FALSE)</f>
        <v>Character/Prefabs/m_s_ranger_spider_turret_prototype_2</v>
      </c>
      <c r="X595" s="51"/>
      <c r="Y595" s="51" t="str">
        <f>VLOOKUP($C595,'#Data'!$B$3:$I$344,8,FALSE)</f>
        <v>m_s_ranger_spider_turret_prototype_2</v>
      </c>
      <c r="Z595" s="51"/>
      <c r="AA595" s="51"/>
      <c r="AB595" s="51"/>
      <c r="AC595" s="86">
        <v>0.6</v>
      </c>
      <c r="AD595" s="51"/>
      <c r="AE595" s="51"/>
      <c r="AF595" s="51"/>
      <c r="AG595" s="51" t="s">
        <v>2106</v>
      </c>
      <c r="AH595" s="85"/>
    </row>
    <row r="596" spans="1:34" x14ac:dyDescent="0.3">
      <c r="A596" s="51">
        <f t="shared" si="18"/>
        <v>1410201112</v>
      </c>
      <c r="B596" s="51" t="s">
        <v>41</v>
      </c>
      <c r="C596" s="51" t="s">
        <v>68</v>
      </c>
      <c r="D596" s="51" t="str">
        <f>"Monster.Name."&amp;VLOOKUP($C596,'#Data'!$B$2:$J$344,2,FALSE)</f>
        <v>Monster.Name.electric_drone_2</v>
      </c>
      <c r="E596" s="51" t="s">
        <v>43</v>
      </c>
      <c r="F596" s="52" t="s">
        <v>44</v>
      </c>
      <c r="G596" s="51" t="s">
        <v>45</v>
      </c>
      <c r="H596" s="51" t="b">
        <f>IF(OR(VLOOKUP($C596,'#Data'!$B$2:$J$344,4,FALSE)="보스",VLOOKUP($C596,'#Data'!$B$2:$J$344,4,FALSE)="중간"),TRUE,FALSE)</f>
        <v>0</v>
      </c>
      <c r="I596" s="51" t="b">
        <f>IF(OR(VLOOKUP($C596,'#Data'!$B$2:$J$344,4,FALSE)="보스",VLOOKUP($C596,'#Data'!$B$2:$J$344,4,FALSE)="중간"),TRUE,FALSE)</f>
        <v>0</v>
      </c>
      <c r="J596" s="51">
        <v>10</v>
      </c>
      <c r="K596" s="51">
        <f t="shared" si="19"/>
        <v>10</v>
      </c>
      <c r="L596" s="61" t="s">
        <v>1183</v>
      </c>
      <c r="M596" s="61"/>
      <c r="N596" s="61"/>
      <c r="O596" s="132" t="s">
        <v>1992</v>
      </c>
      <c r="P596" s="132"/>
      <c r="Q596" s="132"/>
      <c r="R596" s="62"/>
      <c r="S596" s="62"/>
      <c r="T596" s="62"/>
      <c r="U596" s="62"/>
      <c r="V596" s="51" t="b">
        <v>0</v>
      </c>
      <c r="W596" s="103" t="s">
        <v>1197</v>
      </c>
      <c r="X596" s="51"/>
      <c r="Y596" s="104" t="s">
        <v>1199</v>
      </c>
      <c r="Z596" s="51"/>
      <c r="AA596" s="51"/>
      <c r="AB596" s="51"/>
      <c r="AC596" s="86">
        <v>0.7</v>
      </c>
      <c r="AD596" s="51"/>
      <c r="AE596" s="51"/>
      <c r="AF596" s="51"/>
      <c r="AG596" s="51" t="s">
        <v>2106</v>
      </c>
      <c r="AH596" s="85"/>
    </row>
    <row r="597" spans="1:34" x14ac:dyDescent="0.3">
      <c r="A597" s="51">
        <f t="shared" si="18"/>
        <v>1410201113</v>
      </c>
      <c r="B597" s="51" t="s">
        <v>41</v>
      </c>
      <c r="C597" s="51" t="s">
        <v>69</v>
      </c>
      <c r="D597" s="51" t="str">
        <f>"Monster.Name."&amp;VLOOKUP($C597,'#Data'!$B$2:$J$344,2,FALSE)</f>
        <v>Monster.Name.jamming_drone_2</v>
      </c>
      <c r="E597" s="51" t="s">
        <v>47</v>
      </c>
      <c r="F597" s="52" t="s">
        <v>44</v>
      </c>
      <c r="G597" s="51" t="s">
        <v>45</v>
      </c>
      <c r="H597" s="51" t="b">
        <f>IF(OR(VLOOKUP($C597,'#Data'!$B$2:$J$344,4,FALSE)="보스",VLOOKUP($C597,'#Data'!$B$2:$J$344,4,FALSE)="중간"),TRUE,FALSE)</f>
        <v>0</v>
      </c>
      <c r="I597" s="51" t="b">
        <f>IF(OR(VLOOKUP($C597,'#Data'!$B$2:$J$344,4,FALSE)="보스",VLOOKUP($C597,'#Data'!$B$2:$J$344,4,FALSE)="중간"),TRUE,FALSE)</f>
        <v>0</v>
      </c>
      <c r="J597" s="51">
        <v>10</v>
      </c>
      <c r="K597" s="51">
        <f t="shared" si="19"/>
        <v>10</v>
      </c>
      <c r="L597" s="61" t="s">
        <v>1184</v>
      </c>
      <c r="M597" s="61"/>
      <c r="N597" s="61"/>
      <c r="O597" s="132" t="s">
        <v>1993</v>
      </c>
      <c r="P597" s="132"/>
      <c r="Q597" s="132"/>
      <c r="R597" s="62"/>
      <c r="S597" s="62"/>
      <c r="T597" s="62"/>
      <c r="U597" s="62"/>
      <c r="V597" s="51" t="b">
        <v>0</v>
      </c>
      <c r="W597" s="104" t="s">
        <v>1198</v>
      </c>
      <c r="X597" s="51"/>
      <c r="Y597" s="104" t="s">
        <v>1200</v>
      </c>
      <c r="Z597" s="51"/>
      <c r="AA597" s="51"/>
      <c r="AB597" s="51"/>
      <c r="AC597" s="86">
        <v>0.6</v>
      </c>
      <c r="AD597" s="51"/>
      <c r="AE597" s="51"/>
      <c r="AF597" s="51"/>
      <c r="AG597" s="51" t="s">
        <v>2106</v>
      </c>
      <c r="AH597" s="85"/>
    </row>
    <row r="598" spans="1:34" x14ac:dyDescent="0.3">
      <c r="A598" s="51">
        <f t="shared" si="18"/>
        <v>1410201114</v>
      </c>
      <c r="B598" s="51" t="s">
        <v>41</v>
      </c>
      <c r="C598" s="51" t="s">
        <v>70</v>
      </c>
      <c r="D598" s="51" t="str">
        <f>"Monster.Name."&amp;VLOOKUP($C598,'#Data'!$B$2:$J$344,2,FALSE)</f>
        <v>Monster.Name.trooper_sniper_2</v>
      </c>
      <c r="E598" s="51" t="s">
        <v>47</v>
      </c>
      <c r="F598" s="52" t="s">
        <v>44</v>
      </c>
      <c r="G598" s="51" t="s">
        <v>45</v>
      </c>
      <c r="H598" s="51" t="b">
        <f>IF(OR(VLOOKUP($C598,'#Data'!$B$2:$J$344,4,FALSE)="보스",VLOOKUP($C598,'#Data'!$B$2:$J$344,4,FALSE)="중간"),TRUE,FALSE)</f>
        <v>0</v>
      </c>
      <c r="I598" s="51" t="b">
        <f>IF(OR(VLOOKUP($C598,'#Data'!$B$2:$J$344,4,FALSE)="보스",VLOOKUP($C598,'#Data'!$B$2:$J$344,4,FALSE)="중간"),TRUE,FALSE)</f>
        <v>0</v>
      </c>
      <c r="J598" s="51">
        <v>10</v>
      </c>
      <c r="K598" s="51">
        <f t="shared" si="19"/>
        <v>10</v>
      </c>
      <c r="L598" s="61" t="s">
        <v>1185</v>
      </c>
      <c r="M598" s="61"/>
      <c r="N598" s="61"/>
      <c r="O598" s="132" t="s">
        <v>1186</v>
      </c>
      <c r="P598" s="132" t="s">
        <v>1994</v>
      </c>
      <c r="Q598" s="132"/>
      <c r="R598" s="62"/>
      <c r="S598" s="62"/>
      <c r="T598" s="62"/>
      <c r="U598" s="62"/>
      <c r="V598" s="51" t="b">
        <v>0</v>
      </c>
      <c r="W598" s="51" t="str">
        <f>"Character/Prefabs/"&amp;VLOOKUP($C598,'#Data'!$B$3:$I$344,8,FALSE)</f>
        <v>Character/Prefabs/m_m_ranger_trooper_sniper_2</v>
      </c>
      <c r="X598" s="51"/>
      <c r="Y598" s="51" t="str">
        <f>VLOOKUP($C598,'#Data'!$B$3:$I$344,8,FALSE)</f>
        <v>m_m_ranger_trooper_sniper_2</v>
      </c>
      <c r="Z598" s="51"/>
      <c r="AA598" s="51"/>
      <c r="AB598" s="51"/>
      <c r="AC598" s="86">
        <v>0.8</v>
      </c>
      <c r="AD598" s="51"/>
      <c r="AE598" s="51"/>
      <c r="AF598" s="51"/>
      <c r="AG598" s="51" t="s">
        <v>2106</v>
      </c>
      <c r="AH598" s="85"/>
    </row>
    <row r="599" spans="1:34" x14ac:dyDescent="0.3">
      <c r="A599" s="51">
        <f t="shared" si="18"/>
        <v>1410201115</v>
      </c>
      <c r="B599" s="51" t="s">
        <v>41</v>
      </c>
      <c r="C599" s="51" t="s">
        <v>71</v>
      </c>
      <c r="D599" s="51" t="str">
        <f>"Monster.Name."&amp;VLOOKUP($C599,'#Data'!$B$2:$J$344,2,FALSE)</f>
        <v>Monster.Name.trooper_guard_2</v>
      </c>
      <c r="E599" s="51" t="s">
        <v>58</v>
      </c>
      <c r="F599" s="52" t="s">
        <v>44</v>
      </c>
      <c r="G599" s="51" t="s">
        <v>45</v>
      </c>
      <c r="H599" s="51" t="b">
        <f>IF(OR(VLOOKUP($C599,'#Data'!$B$2:$J$344,4,FALSE)="보스",VLOOKUP($C599,'#Data'!$B$2:$J$344,4,FALSE)="중간"),TRUE,FALSE)</f>
        <v>0</v>
      </c>
      <c r="I599" s="51" t="b">
        <f>IF(OR(VLOOKUP($C599,'#Data'!$B$2:$J$344,4,FALSE)="보스",VLOOKUP($C599,'#Data'!$B$2:$J$344,4,FALSE)="중간"),TRUE,FALSE)</f>
        <v>0</v>
      </c>
      <c r="J599" s="51">
        <v>10</v>
      </c>
      <c r="K599" s="51">
        <f t="shared" si="19"/>
        <v>10</v>
      </c>
      <c r="L599" s="61" t="s">
        <v>1187</v>
      </c>
      <c r="M599" s="61"/>
      <c r="N599" s="61"/>
      <c r="O599" s="132" t="s">
        <v>1188</v>
      </c>
      <c r="P599" s="132" t="s">
        <v>1995</v>
      </c>
      <c r="Q599" s="132"/>
      <c r="R599" s="62"/>
      <c r="S599" s="62"/>
      <c r="T599" s="62"/>
      <c r="U599" s="62"/>
      <c r="V599" s="51" t="b">
        <v>0</v>
      </c>
      <c r="W599" s="51" t="str">
        <f>"Character/Prefabs/"&amp;VLOOKUP($C599,'#Data'!$B$3:$I$344,8,FALSE)</f>
        <v>Character/Prefabs/m_m_tanker_trooper_guard_2</v>
      </c>
      <c r="X599" s="51"/>
      <c r="Y599" s="51" t="str">
        <f>VLOOKUP($C599,'#Data'!$B$3:$I$344,8,FALSE)</f>
        <v>m_m_tanker_trooper_guard_2</v>
      </c>
      <c r="Z599" s="51"/>
      <c r="AA599" s="51"/>
      <c r="AB599" s="51"/>
      <c r="AC599" s="86">
        <v>0.8</v>
      </c>
      <c r="AD599" s="51"/>
      <c r="AE599" s="51"/>
      <c r="AF599" s="51"/>
      <c r="AG599" s="51" t="s">
        <v>2106</v>
      </c>
      <c r="AH599" s="85"/>
    </row>
    <row r="600" spans="1:34" x14ac:dyDescent="0.3">
      <c r="A600" s="51">
        <f t="shared" si="18"/>
        <v>1410201116</v>
      </c>
      <c r="B600" s="51" t="s">
        <v>41</v>
      </c>
      <c r="C600" s="51" t="s">
        <v>72</v>
      </c>
      <c r="D600" s="51" t="str">
        <f>"Monster.Name."&amp;VLOOKUP($C600,'#Data'!$B$2:$J$344,2,FALSE)</f>
        <v>Monster.Name.trooper_champion_2</v>
      </c>
      <c r="E600" s="51" t="s">
        <v>43</v>
      </c>
      <c r="F600" s="52" t="s">
        <v>44</v>
      </c>
      <c r="G600" s="51" t="s">
        <v>45</v>
      </c>
      <c r="H600" s="51" t="b">
        <f>IF(OR(VLOOKUP($C600,'#Data'!$B$2:$J$344,4,FALSE)="보스",VLOOKUP($C600,'#Data'!$B$2:$J$344,4,FALSE)="중간"),TRUE,FALSE)</f>
        <v>0</v>
      </c>
      <c r="I600" s="51" t="b">
        <f>IF(OR(VLOOKUP($C600,'#Data'!$B$2:$J$344,4,FALSE)="보스",VLOOKUP($C600,'#Data'!$B$2:$J$344,4,FALSE)="중간"),TRUE,FALSE)</f>
        <v>0</v>
      </c>
      <c r="J600" s="51">
        <v>10</v>
      </c>
      <c r="K600" s="51">
        <f t="shared" si="19"/>
        <v>10</v>
      </c>
      <c r="L600" s="61" t="s">
        <v>1189</v>
      </c>
      <c r="M600" s="61"/>
      <c r="N600" s="61"/>
      <c r="O600" s="132" t="s">
        <v>1190</v>
      </c>
      <c r="P600" s="132" t="s">
        <v>1996</v>
      </c>
      <c r="Q600" s="132"/>
      <c r="R600" s="62"/>
      <c r="S600" s="62"/>
      <c r="T600" s="62"/>
      <c r="U600" s="62"/>
      <c r="V600" s="51" t="b">
        <v>0</v>
      </c>
      <c r="W600" s="51" t="str">
        <f>"Character/Prefabs/"&amp;VLOOKUP($C600,'#Data'!$B$3:$I$344,8,FALSE)</f>
        <v>Character/Prefabs/m_m_attacker_trooper_champion_2</v>
      </c>
      <c r="X600" s="51"/>
      <c r="Y600" s="51" t="str">
        <f>VLOOKUP($C600,'#Data'!$B$3:$I$344,8,FALSE)</f>
        <v>m_m_attacker_trooper_champion_2</v>
      </c>
      <c r="Z600" s="51"/>
      <c r="AA600" s="51"/>
      <c r="AB600" s="51"/>
      <c r="AC600" s="86">
        <v>0.8</v>
      </c>
      <c r="AD600" s="51"/>
      <c r="AE600" s="51"/>
      <c r="AF600" s="51"/>
      <c r="AG600" s="51" t="s">
        <v>2106</v>
      </c>
      <c r="AH600" s="85"/>
    </row>
    <row r="601" spans="1:34" x14ac:dyDescent="0.3">
      <c r="A601" s="51">
        <f t="shared" si="18"/>
        <v>1410201117</v>
      </c>
      <c r="B601" s="51" t="s">
        <v>41</v>
      </c>
      <c r="C601" s="51" t="s">
        <v>73</v>
      </c>
      <c r="D601" s="51" t="str">
        <f>"Monster.Name."&amp;VLOOKUP($C601,'#Data'!$B$2:$J$344,2,FALSE)</f>
        <v>Monster.Name.trooper_demolisher_2</v>
      </c>
      <c r="E601" s="51" t="s">
        <v>47</v>
      </c>
      <c r="F601" s="52" t="s">
        <v>44</v>
      </c>
      <c r="G601" s="51" t="s">
        <v>45</v>
      </c>
      <c r="H601" s="51" t="b">
        <f>IF(OR(VLOOKUP($C601,'#Data'!$B$2:$J$344,4,FALSE)="보스",VLOOKUP($C601,'#Data'!$B$2:$J$344,4,FALSE)="중간"),TRUE,FALSE)</f>
        <v>0</v>
      </c>
      <c r="I601" s="51" t="b">
        <f>IF(OR(VLOOKUP($C601,'#Data'!$B$2:$J$344,4,FALSE)="보스",VLOOKUP($C601,'#Data'!$B$2:$J$344,4,FALSE)="중간"),TRUE,FALSE)</f>
        <v>0</v>
      </c>
      <c r="J601" s="51">
        <v>10</v>
      </c>
      <c r="K601" s="51">
        <f t="shared" si="19"/>
        <v>10</v>
      </c>
      <c r="L601" s="61" t="s">
        <v>1191</v>
      </c>
      <c r="M601" s="61"/>
      <c r="N601" s="61"/>
      <c r="O601" s="132" t="s">
        <v>1192</v>
      </c>
      <c r="P601" s="132" t="s">
        <v>1997</v>
      </c>
      <c r="Q601" s="132"/>
      <c r="R601" s="62"/>
      <c r="S601" s="62"/>
      <c r="T601" s="62"/>
      <c r="U601" s="62"/>
      <c r="V601" s="51" t="b">
        <v>0</v>
      </c>
      <c r="W601" s="51" t="str">
        <f>"Character/Prefabs/"&amp;VLOOKUP($C601,'#Data'!$B$3:$I$344,8,FALSE)</f>
        <v>Character/Prefabs/m_m_ranger_trooper_demolisher_2</v>
      </c>
      <c r="X601" s="51"/>
      <c r="Y601" s="51" t="str">
        <f>VLOOKUP($C601,'#Data'!$B$3:$I$344,8,FALSE)</f>
        <v>m_m_ranger_trooper_demolisher_2</v>
      </c>
      <c r="Z601" s="51"/>
      <c r="AA601" s="51"/>
      <c r="AB601" s="51"/>
      <c r="AC601" s="86">
        <v>0.8</v>
      </c>
      <c r="AD601" s="51"/>
      <c r="AE601" s="51"/>
      <c r="AF601" s="51"/>
      <c r="AG601" s="51" t="s">
        <v>2106</v>
      </c>
      <c r="AH601" s="85"/>
    </row>
    <row r="602" spans="1:34" x14ac:dyDescent="0.3">
      <c r="A602" s="51">
        <f t="shared" si="18"/>
        <v>1410201118</v>
      </c>
      <c r="B602" s="51" t="s">
        <v>41</v>
      </c>
      <c r="C602" s="51" t="s">
        <v>74</v>
      </c>
      <c r="D602" s="51" t="str">
        <f>"Monster.Name."&amp;VLOOKUP($C602,'#Data'!$B$2:$J$344,2,FALSE)</f>
        <v>Monster.Name.trooper_inferno_2</v>
      </c>
      <c r="E602" s="51" t="s">
        <v>43</v>
      </c>
      <c r="F602" s="52" t="s">
        <v>44</v>
      </c>
      <c r="G602" s="51" t="s">
        <v>45</v>
      </c>
      <c r="H602" s="51" t="b">
        <f>IF(OR(VLOOKUP($C602,'#Data'!$B$2:$J$344,4,FALSE)="보스",VLOOKUP($C602,'#Data'!$B$2:$J$344,4,FALSE)="중간"),TRUE,FALSE)</f>
        <v>0</v>
      </c>
      <c r="I602" s="51" t="b">
        <f>IF(OR(VLOOKUP($C602,'#Data'!$B$2:$J$344,4,FALSE)="보스",VLOOKUP($C602,'#Data'!$B$2:$J$344,4,FALSE)="중간"),TRUE,FALSE)</f>
        <v>0</v>
      </c>
      <c r="J602" s="51">
        <v>10</v>
      </c>
      <c r="K602" s="51">
        <f t="shared" si="19"/>
        <v>10</v>
      </c>
      <c r="L602" s="61" t="s">
        <v>1193</v>
      </c>
      <c r="M602" s="61"/>
      <c r="N602" s="61"/>
      <c r="O602" s="132" t="s">
        <v>1194</v>
      </c>
      <c r="P602" s="132" t="s">
        <v>1998</v>
      </c>
      <c r="Q602" s="132"/>
      <c r="R602" s="62"/>
      <c r="S602" s="62"/>
      <c r="T602" s="62"/>
      <c r="U602" s="62"/>
      <c r="V602" s="51" t="b">
        <v>0</v>
      </c>
      <c r="W602" s="51" t="str">
        <f>"Character/Prefabs/"&amp;VLOOKUP($C602,'#Data'!$B$3:$I$344,8,FALSE)</f>
        <v>Character/Prefabs/m_m_attacker_trooper_inferno_2</v>
      </c>
      <c r="X602" s="51"/>
      <c r="Y602" s="51" t="str">
        <f>VLOOKUP($C602,'#Data'!$B$3:$I$344,8,FALSE)</f>
        <v>m_m_attacker_trooper_inferno_2</v>
      </c>
      <c r="Z602" s="51"/>
      <c r="AA602" s="51"/>
      <c r="AB602" s="51"/>
      <c r="AC602" s="86">
        <v>0.8</v>
      </c>
      <c r="AD602" s="51"/>
      <c r="AE602" s="51"/>
      <c r="AF602" s="51"/>
      <c r="AG602" s="51" t="s">
        <v>2106</v>
      </c>
      <c r="AH602" s="85"/>
    </row>
    <row r="603" spans="1:34" x14ac:dyDescent="0.3">
      <c r="A603" s="37">
        <f t="shared" si="18"/>
        <v>1410201201</v>
      </c>
      <c r="B603" s="37" t="s">
        <v>41</v>
      </c>
      <c r="C603" s="37" t="s">
        <v>62</v>
      </c>
      <c r="D603" s="37" t="str">
        <f>"Monster.Name."&amp;VLOOKUP($C603,'#Data'!$B$2:$J$344,2,FALSE)</f>
        <v>Monster.Name.labmecha_launcher_1</v>
      </c>
      <c r="E603" s="37" t="s">
        <v>47</v>
      </c>
      <c r="F603" s="38" t="s">
        <v>44</v>
      </c>
      <c r="G603" s="37" t="s">
        <v>45</v>
      </c>
      <c r="H603" s="37" t="b">
        <f>IF(OR(VLOOKUP($C603,'#Data'!$B$2:$J$344,4,FALSE)="보스",VLOOKUP($C603,'#Data'!$B$2:$J$344,4,FALSE)="중간"),TRUE,FALSE)</f>
        <v>1</v>
      </c>
      <c r="I603" s="37" t="b">
        <f>IF(OR(VLOOKUP($C603,'#Data'!$B$2:$J$344,4,FALSE)="보스",VLOOKUP($C603,'#Data'!$B$2:$J$344,4,FALSE)="중간"),TRUE,FALSE)</f>
        <v>1</v>
      </c>
      <c r="J603" s="37">
        <v>10</v>
      </c>
      <c r="K603" s="37">
        <f t="shared" si="19"/>
        <v>10</v>
      </c>
      <c r="L603" s="59" t="str">
        <f>$B603&amp;"."&amp;VLOOKUP($C603,'#Data'!$B$2:$J$344,2,FALSE)&amp;".attack0"&amp;RIGHT(L$1,1)</f>
        <v>Sector01.labmecha_launcher_1.attack01</v>
      </c>
      <c r="M603" s="59"/>
      <c r="N603" s="59"/>
      <c r="O603" s="131" t="str">
        <f>$B603&amp;"."&amp;VLOOKUP($C603,'#Data'!$B$2:$J$344,2,FALSE)&amp;".skill0"&amp;RIGHT(O$1,1)</f>
        <v>Sector01.labmecha_launcher_1.skill01</v>
      </c>
      <c r="P603" s="131" t="str">
        <f>$B603&amp;"."&amp;VLOOKUP($C603,'#Data'!$B$2:$J$344,2,FALSE)&amp;".skill0"&amp;RIGHT(P$1,1)</f>
        <v>Sector01.labmecha_launcher_1.skill02</v>
      </c>
      <c r="Q603" s="131"/>
      <c r="R603" s="60"/>
      <c r="S603" s="60" t="s">
        <v>2075</v>
      </c>
      <c r="T603" s="60"/>
      <c r="U603" s="60"/>
      <c r="V603" s="37" t="b">
        <v>0</v>
      </c>
      <c r="W603" s="37" t="str">
        <f>"Character/Prefabs/"&amp;VLOOKUP($C603,'#Data'!$B$3:$I$344,8,FALSE)</f>
        <v>Character/Prefabs/m_m_ranger_labmecha_launcher_1</v>
      </c>
      <c r="X603" s="37"/>
      <c r="Y603" s="37" t="str">
        <f>VLOOKUP($C603,'#Data'!$B$3:$I$344,8,FALSE)</f>
        <v>m_m_ranger_labmecha_launcher_1</v>
      </c>
      <c r="Z603" s="37"/>
      <c r="AA603" s="37"/>
      <c r="AB603" s="37"/>
      <c r="AC603" s="84">
        <v>0.7</v>
      </c>
      <c r="AD603" s="37"/>
      <c r="AE603" s="37"/>
      <c r="AF603" s="37"/>
      <c r="AG603" s="37" t="s">
        <v>2106</v>
      </c>
      <c r="AH603" s="85"/>
    </row>
    <row r="604" spans="1:34" x14ac:dyDescent="0.3">
      <c r="A604" s="37">
        <f t="shared" si="18"/>
        <v>1410201202</v>
      </c>
      <c r="B604" s="37" t="s">
        <v>41</v>
      </c>
      <c r="C604" s="37" t="s">
        <v>63</v>
      </c>
      <c r="D604" s="37" t="str">
        <f>"Monster.Name."&amp;VLOOKUP($C604,'#Data'!$B$2:$J$344,2,FALSE)</f>
        <v>Monster.Name.harbor_crab_1</v>
      </c>
      <c r="E604" s="37" t="s">
        <v>58</v>
      </c>
      <c r="F604" s="38" t="s">
        <v>44</v>
      </c>
      <c r="G604" s="37" t="s">
        <v>45</v>
      </c>
      <c r="H604" s="37" t="b">
        <f>IF(OR(VLOOKUP($C604,'#Data'!$B$2:$J$344,4,FALSE)="보스",VLOOKUP($C604,'#Data'!$B$2:$J$344,4,FALSE)="중간"),TRUE,FALSE)</f>
        <v>1</v>
      </c>
      <c r="I604" s="37" t="b">
        <f>IF(OR(VLOOKUP($C604,'#Data'!$B$2:$J$344,4,FALSE)="보스",VLOOKUP($C604,'#Data'!$B$2:$J$344,4,FALSE)="중간"),TRUE,FALSE)</f>
        <v>1</v>
      </c>
      <c r="J604" s="37">
        <v>20</v>
      </c>
      <c r="K604" s="37">
        <f t="shared" si="19"/>
        <v>10</v>
      </c>
      <c r="L604" s="59" t="str">
        <f>$B604&amp;"."&amp;VLOOKUP($C604,'#Data'!$B$2:$J$344,2,FALSE)&amp;".attack0"&amp;RIGHT(L$1,1)</f>
        <v>Sector01.harbor_crab_1.attack01</v>
      </c>
      <c r="M604" s="59"/>
      <c r="N604" s="59"/>
      <c r="O604" s="131" t="str">
        <f>$B604&amp;"."&amp;VLOOKUP($C604,'#Data'!$B$2:$J$344,2,FALSE)&amp;".skill0"&amp;RIGHT(O$1,1)</f>
        <v>Sector01.harbor_crab_1.skill01</v>
      </c>
      <c r="P604" s="131" t="str">
        <f>$B604&amp;"."&amp;VLOOKUP($C604,'#Data'!$B$2:$J$344,2,FALSE)&amp;".skill0"&amp;RIGHT(P$1,1)</f>
        <v>Sector01.harbor_crab_1.skill02</v>
      </c>
      <c r="Q604" s="131" t="s">
        <v>64</v>
      </c>
      <c r="R604" s="60"/>
      <c r="S604" s="60" t="s">
        <v>2075</v>
      </c>
      <c r="T604" s="60"/>
      <c r="U604" s="60"/>
      <c r="V604" s="37" t="b">
        <v>0</v>
      </c>
      <c r="W604" s="37" t="str">
        <f>"Character/Prefabs/"&amp;VLOOKUP($C604,'#Data'!$B$3:$I$344,8,FALSE)</f>
        <v>Character/Prefabs/m_l_attacker_harbor_crab_1</v>
      </c>
      <c r="X604" s="37"/>
      <c r="Y604" s="37" t="str">
        <f>VLOOKUP($C604,'#Data'!$B$3:$I$344,8,FALSE)</f>
        <v>m_l_attacker_harbor_crab_1</v>
      </c>
      <c r="Z604" s="37"/>
      <c r="AA604" s="37"/>
      <c r="AB604" s="37"/>
      <c r="AC604" s="84">
        <v>1</v>
      </c>
      <c r="AD604" s="37"/>
      <c r="AE604" s="37"/>
      <c r="AF604" s="37"/>
      <c r="AG604" s="37" t="s">
        <v>2106</v>
      </c>
      <c r="AH604" s="85"/>
    </row>
    <row r="605" spans="1:34" x14ac:dyDescent="0.3">
      <c r="A605" s="37">
        <f t="shared" si="18"/>
        <v>1410201203</v>
      </c>
      <c r="B605" s="37" t="s">
        <v>41</v>
      </c>
      <c r="C605" s="37" t="s">
        <v>65</v>
      </c>
      <c r="D605" s="37" t="str">
        <f>"Monster.Name."&amp;VLOOKUP($C605,'#Data'!$B$2:$J$344,2,FALSE)</f>
        <v>Monster.Name.harbor_punch_1</v>
      </c>
      <c r="E605" s="37" t="s">
        <v>58</v>
      </c>
      <c r="F605" s="38" t="s">
        <v>44</v>
      </c>
      <c r="G605" s="37" t="s">
        <v>45</v>
      </c>
      <c r="H605" s="37" t="b">
        <f>IF(OR(VLOOKUP($C605,'#Data'!$B$2:$J$344,4,FALSE)="보스",VLOOKUP($C605,'#Data'!$B$2:$J$344,4,FALSE)="중간"),TRUE,FALSE)</f>
        <v>1</v>
      </c>
      <c r="I605" s="37" t="b">
        <f>IF(OR(VLOOKUP($C605,'#Data'!$B$2:$J$344,4,FALSE)="보스",VLOOKUP($C605,'#Data'!$B$2:$J$344,4,FALSE)="중간"),TRUE,FALSE)</f>
        <v>1</v>
      </c>
      <c r="J605" s="37">
        <v>20</v>
      </c>
      <c r="K605" s="37">
        <f t="shared" si="19"/>
        <v>10</v>
      </c>
      <c r="L605" s="59" t="str">
        <f>$B605&amp;"."&amp;VLOOKUP($C605,'#Data'!$B$2:$J$344,2,FALSE)&amp;".attack0"&amp;RIGHT(L$1,1)</f>
        <v>Sector01.harbor_punch_1.attack01</v>
      </c>
      <c r="M605" s="59"/>
      <c r="N605" s="59"/>
      <c r="O605" s="131" t="str">
        <f>$B605&amp;"."&amp;VLOOKUP($C605,'#Data'!$B$2:$J$344,2,FALSE)&amp;".skill0"&amp;RIGHT(O$1,1)</f>
        <v>Sector01.harbor_punch_1.skill01</v>
      </c>
      <c r="P605" s="131" t="str">
        <f>$B605&amp;"."&amp;VLOOKUP($C605,'#Data'!$B$2:$J$344,2,FALSE)&amp;".skill0"&amp;RIGHT(P$1,1)</f>
        <v>Sector01.harbor_punch_1.skill02</v>
      </c>
      <c r="Q605" s="131"/>
      <c r="R605" s="60"/>
      <c r="S605" s="60" t="s">
        <v>2075</v>
      </c>
      <c r="T605" s="60"/>
      <c r="U605" s="60"/>
      <c r="V605" s="37" t="b">
        <v>0</v>
      </c>
      <c r="W605" s="37" t="str">
        <f>"Character/Prefabs/"&amp;VLOOKUP($C605,'#Data'!$B$3:$I$344,8,FALSE)</f>
        <v>Character/Prefabs/m_l_tanker_harbor_punch_1</v>
      </c>
      <c r="X605" s="37"/>
      <c r="Y605" s="37" t="str">
        <f>VLOOKUP($C605,'#Data'!$B$3:$I$344,8,FALSE)</f>
        <v>m_l_tanker_harbor_punch_1</v>
      </c>
      <c r="Z605" s="37"/>
      <c r="AA605" s="37"/>
      <c r="AB605" s="37"/>
      <c r="AC605" s="84">
        <v>1</v>
      </c>
      <c r="AD605" s="37"/>
      <c r="AE605" s="37"/>
      <c r="AF605" s="37"/>
      <c r="AG605" s="37" t="s">
        <v>2106</v>
      </c>
      <c r="AH605" s="85"/>
    </row>
    <row r="606" spans="1:34" x14ac:dyDescent="0.3">
      <c r="A606" s="108">
        <f t="shared" si="18"/>
        <v>1410201301</v>
      </c>
      <c r="B606" s="108" t="s">
        <v>82</v>
      </c>
      <c r="C606" s="108" t="s">
        <v>95</v>
      </c>
      <c r="D606" s="108" t="str">
        <f>"Monster.Name."&amp;VLOOKUP($C606,'#Data'!$B$2:$J$344,2,FALSE)</f>
        <v>Monster.Name.cassandra_1</v>
      </c>
      <c r="E606" s="108" t="s">
        <v>1833</v>
      </c>
      <c r="F606" s="109" t="s">
        <v>44</v>
      </c>
      <c r="G606" s="108" t="s">
        <v>45</v>
      </c>
      <c r="H606" s="108" t="b">
        <f>IF(OR(VLOOKUP($C606,'#Data'!$B$2:$J$344,4,FALSE)="보스",VLOOKUP($C606,'#Data'!$B$2:$J$344,4,FALSE)="중간"),TRUE,FALSE)</f>
        <v>1</v>
      </c>
      <c r="I606" s="108" t="b">
        <v>1</v>
      </c>
      <c r="J606" s="108">
        <v>30</v>
      </c>
      <c r="K606" s="108">
        <f t="shared" si="19"/>
        <v>10</v>
      </c>
      <c r="L606" s="113" t="str">
        <f>$B606&amp;"."&amp;VLOOKUP($C606,'#Data'!$B$2:$J$344,2,FALSE)&amp;".attack0"&amp;RIGHT(L$1,1)</f>
        <v>Sector02.cassandra_1.attack01</v>
      </c>
      <c r="M606" s="113"/>
      <c r="N606" s="113"/>
      <c r="O606" s="136" t="str">
        <f>$B606&amp;"."&amp;VLOOKUP($C606,'#Data'!$B$2:$J$344,2,FALSE)&amp;".skill0"&amp;RIGHT(O$1,1)</f>
        <v>Sector02.cassandra_1.skill01</v>
      </c>
      <c r="P606" s="136" t="str">
        <f>$B606&amp;"."&amp;VLOOKUP($C606,'#Data'!$B$2:$J$344,2,FALSE)&amp;".skill0"&amp;RIGHT(P$1,1)</f>
        <v>Sector02.cassandra_1.skill02</v>
      </c>
      <c r="Q606" s="136" t="s">
        <v>96</v>
      </c>
      <c r="R606" s="114"/>
      <c r="S606" s="114" t="s">
        <v>76</v>
      </c>
      <c r="T606" s="114"/>
      <c r="U606" s="114"/>
      <c r="V606" s="108" t="b">
        <v>0</v>
      </c>
      <c r="W606" s="108" t="str">
        <f>"Character/Prefabs/"&amp;VLOOKUP($C606,'#Data'!$B$3:$I$344,8,FALSE)</f>
        <v>Character/Prefabs/m_boss_ranger_cassandra_1</v>
      </c>
      <c r="X606" s="108"/>
      <c r="Y606" s="108" t="str">
        <f>VLOOKUP($C606,'#Data'!$B$3:$I$344,8,FALSE)</f>
        <v>m_boss_ranger_cassandra_1</v>
      </c>
      <c r="Z606" s="108"/>
      <c r="AA606" s="108"/>
      <c r="AB606" s="108"/>
      <c r="AC606" s="111">
        <v>0.9</v>
      </c>
      <c r="AD606" s="108"/>
      <c r="AE606" s="108" t="s">
        <v>99</v>
      </c>
      <c r="AF606" s="108" t="s">
        <v>100</v>
      </c>
      <c r="AG606" s="108" t="s">
        <v>2106</v>
      </c>
      <c r="AH606" s="85"/>
    </row>
    <row r="607" spans="1:34" x14ac:dyDescent="0.3">
      <c r="A607" s="108">
        <f t="shared" si="18"/>
        <v>1410201302</v>
      </c>
      <c r="B607" s="108" t="s">
        <v>82</v>
      </c>
      <c r="C607" s="108" t="s">
        <v>101</v>
      </c>
      <c r="D607" s="108" t="str">
        <f>"Monster.Name."&amp;VLOOKUP($C607,'#Data'!$B$2:$J$344,2,FALSE)</f>
        <v>Monster.Name.cassandra_2</v>
      </c>
      <c r="E607" s="108" t="s">
        <v>1833</v>
      </c>
      <c r="F607" s="109" t="s">
        <v>44</v>
      </c>
      <c r="G607" s="108" t="s">
        <v>45</v>
      </c>
      <c r="H607" s="108" t="b">
        <f>IF(OR(VLOOKUP($C607,'#Data'!$B$2:$J$344,4,FALSE)="보스",VLOOKUP($C607,'#Data'!$B$2:$J$344,4,FALSE)="중간"),TRUE,FALSE)</f>
        <v>1</v>
      </c>
      <c r="I607" s="108" t="b">
        <v>1</v>
      </c>
      <c r="J607" s="108">
        <v>30</v>
      </c>
      <c r="K607" s="108">
        <f t="shared" si="19"/>
        <v>10</v>
      </c>
      <c r="L607" s="113" t="str">
        <f>$B607&amp;"."&amp;VLOOKUP($C607,'#Data'!$B$2:$J$344,2,FALSE)&amp;".attack0"&amp;RIGHT(L$1,1)</f>
        <v>Sector02.cassandra_2.attack01</v>
      </c>
      <c r="M607" s="113"/>
      <c r="N607" s="113"/>
      <c r="O607" s="136" t="str">
        <f>$B607&amp;"."&amp;VLOOKUP($C607,'#Data'!$B$2:$J$344,2,FALSE)&amp;".skill0"&amp;RIGHT(O$1,1)</f>
        <v>Sector02.cassandra_2.skill01</v>
      </c>
      <c r="P607" s="136" t="str">
        <f>$B607&amp;"."&amp;VLOOKUP($C607,'#Data'!$B$2:$J$344,2,FALSE)&amp;".skill0"&amp;RIGHT(P$1,1)</f>
        <v>Sector02.cassandra_2.skill02</v>
      </c>
      <c r="Q607" s="136" t="str">
        <f>$B607&amp;"."&amp;VLOOKUP($C607,'#Data'!$B$2:$J$344,2,FALSE)&amp;".skill0"&amp;RIGHT(Q$1,1)</f>
        <v>Sector02.cassandra_2.skill03</v>
      </c>
      <c r="R607" s="114" t="s">
        <v>102</v>
      </c>
      <c r="S607" s="114" t="s">
        <v>76</v>
      </c>
      <c r="T607" s="114"/>
      <c r="U607" s="114"/>
      <c r="V607" s="108" t="b">
        <v>0</v>
      </c>
      <c r="W607" s="108" t="str">
        <f>"Character/Prefabs/"&amp;VLOOKUP($C607,'#Data'!$B$3:$I$344,8,FALSE)</f>
        <v>Character/Prefabs/m_boss_ranger_cassandra_2</v>
      </c>
      <c r="X607" s="108"/>
      <c r="Y607" s="108" t="str">
        <f>VLOOKUP($C607,'#Data'!$B$3:$I$344,8,FALSE)</f>
        <v>m_boss_ranger_cassandra_2</v>
      </c>
      <c r="Z607" s="108"/>
      <c r="AA607" s="108"/>
      <c r="AB607" s="108"/>
      <c r="AC607" s="111">
        <v>0.9</v>
      </c>
      <c r="AD607" s="108"/>
      <c r="AE607" s="108" t="s">
        <v>103</v>
      </c>
      <c r="AF607" s="108" t="s">
        <v>104</v>
      </c>
      <c r="AG607" s="108" t="s">
        <v>2106</v>
      </c>
      <c r="AH607" s="85"/>
    </row>
    <row r="608" spans="1:34" x14ac:dyDescent="0.3">
      <c r="A608" s="12">
        <f t="shared" si="18"/>
        <v>1410202101</v>
      </c>
      <c r="B608" s="12" t="s">
        <v>82</v>
      </c>
      <c r="C608" s="12" t="s">
        <v>83</v>
      </c>
      <c r="D608" s="12" t="str">
        <f>"Monster.Name."&amp;VLOOKUP($C608,'#Data'!$B$2:$J$344,2,FALSE)</f>
        <v>Monster.Name.turtle_mechamk3_3</v>
      </c>
      <c r="E608" s="12" t="s">
        <v>43</v>
      </c>
      <c r="F608" s="39" t="s">
        <v>44</v>
      </c>
      <c r="G608" s="12" t="s">
        <v>45</v>
      </c>
      <c r="H608" s="12" t="b">
        <f>IF(OR(VLOOKUP($C608,'#Data'!$B$2:$J$344,4,FALSE)="보스",VLOOKUP($C608,'#Data'!$B$2:$J$344,4,FALSE)="중간"),TRUE,FALSE)</f>
        <v>0</v>
      </c>
      <c r="I608" s="12" t="b">
        <f>IF(OR(VLOOKUP($C608,'#Data'!$B$2:$J$344,4,FALSE)="보스",VLOOKUP($C608,'#Data'!$B$2:$J$344,4,FALSE)="중간"),TRUE,FALSE)</f>
        <v>0</v>
      </c>
      <c r="J608" s="12">
        <v>10</v>
      </c>
      <c r="K608" s="12">
        <f t="shared" si="19"/>
        <v>10</v>
      </c>
      <c r="L608" s="63" t="str">
        <f>$B608&amp;"."&amp;VLOOKUP($C608,'#Data'!$B$2:$J$344,2,FALSE)&amp;".attack0"&amp;RIGHT(L$1,1)</f>
        <v>Sector02.turtle_mechamk3_3.attack01</v>
      </c>
      <c r="M608" s="63"/>
      <c r="N608" s="63"/>
      <c r="O608" s="134" t="s">
        <v>1999</v>
      </c>
      <c r="P608" s="134"/>
      <c r="Q608" s="134"/>
      <c r="R608" s="64"/>
      <c r="S608" s="64"/>
      <c r="T608" s="64"/>
      <c r="U608" s="64"/>
      <c r="V608" s="12" t="b">
        <v>0</v>
      </c>
      <c r="W608" s="12" t="str">
        <f>"Character/Prefabs/"&amp;VLOOKUP($C608,'#Data'!$B$3:$I$344,8,FALSE)</f>
        <v>Character/Prefabs/m_s_attacker_turtle_mechamk3_3</v>
      </c>
      <c r="X608" s="12"/>
      <c r="Y608" s="12" t="str">
        <f>VLOOKUP($C608,'#Data'!$B$3:$I$344,8,FALSE)</f>
        <v>m_s_attacker_turtle_mechamk3_3</v>
      </c>
      <c r="Z608" s="12"/>
      <c r="AA608" s="12"/>
      <c r="AB608" s="12"/>
      <c r="AC608" s="88">
        <v>0.7</v>
      </c>
      <c r="AD608" s="12"/>
      <c r="AE608" s="12"/>
      <c r="AF608" s="12"/>
      <c r="AG608" s="12" t="s">
        <v>2106</v>
      </c>
      <c r="AH608" s="85"/>
    </row>
    <row r="609" spans="1:34" x14ac:dyDescent="0.3">
      <c r="A609" s="12">
        <f t="shared" si="18"/>
        <v>1410202102</v>
      </c>
      <c r="B609" s="12" t="s">
        <v>82</v>
      </c>
      <c r="C609" s="12" t="s">
        <v>84</v>
      </c>
      <c r="D609" s="12" t="str">
        <f>"Monster.Name."&amp;VLOOKUP($C609,'#Data'!$B$2:$J$344,2,FALSE)</f>
        <v>Monster.Name.scorpion_turretmk2_3</v>
      </c>
      <c r="E609" s="12" t="s">
        <v>47</v>
      </c>
      <c r="F609" s="39" t="s">
        <v>44</v>
      </c>
      <c r="G609" s="12" t="s">
        <v>45</v>
      </c>
      <c r="H609" s="12" t="b">
        <f>IF(OR(VLOOKUP($C609,'#Data'!$B$2:$J$344,4,FALSE)="보스",VLOOKUP($C609,'#Data'!$B$2:$J$344,4,FALSE)="중간"),TRUE,FALSE)</f>
        <v>0</v>
      </c>
      <c r="I609" s="12" t="b">
        <f>IF(OR(VLOOKUP($C609,'#Data'!$B$2:$J$344,4,FALSE)="보스",VLOOKUP($C609,'#Data'!$B$2:$J$344,4,FALSE)="중간"),TRUE,FALSE)</f>
        <v>0</v>
      </c>
      <c r="J609" s="12">
        <v>10</v>
      </c>
      <c r="K609" s="12">
        <f t="shared" si="19"/>
        <v>10</v>
      </c>
      <c r="L609" s="63" t="str">
        <f>$B609&amp;"."&amp;VLOOKUP($C609,'#Data'!$B$2:$J$344,2,FALSE)&amp;".attack0"&amp;RIGHT(L$1,1)</f>
        <v>Sector02.scorpion_turretmk2_3.attack01</v>
      </c>
      <c r="M609" s="63"/>
      <c r="N609" s="63"/>
      <c r="O609" s="134" t="s">
        <v>2000</v>
      </c>
      <c r="P609" s="134"/>
      <c r="Q609" s="134"/>
      <c r="R609" s="64"/>
      <c r="S609" s="64"/>
      <c r="T609" s="64"/>
      <c r="U609" s="64"/>
      <c r="V609" s="12" t="b">
        <v>0</v>
      </c>
      <c r="W609" s="12" t="str">
        <f>"Character/Prefabs/"&amp;VLOOKUP($C609,'#Data'!$B$3:$I$344,8,FALSE)</f>
        <v>Character/Prefabs/m_s_ranger_scorpion_turretmk2_3</v>
      </c>
      <c r="X609" s="12"/>
      <c r="Y609" s="12" t="str">
        <f>VLOOKUP($C609,'#Data'!$B$3:$I$344,8,FALSE)</f>
        <v>m_s_ranger_scorpion_turretmk2_3</v>
      </c>
      <c r="Z609" s="12"/>
      <c r="AA609" s="12"/>
      <c r="AB609" s="12"/>
      <c r="AC609" s="88">
        <v>0.7</v>
      </c>
      <c r="AD609" s="12"/>
      <c r="AE609" s="12"/>
      <c r="AF609" s="12"/>
      <c r="AG609" s="12" t="s">
        <v>2106</v>
      </c>
      <c r="AH609" s="85"/>
    </row>
    <row r="610" spans="1:34" x14ac:dyDescent="0.3">
      <c r="A610" s="12">
        <f t="shared" si="18"/>
        <v>1410202103</v>
      </c>
      <c r="B610" s="12" t="s">
        <v>82</v>
      </c>
      <c r="C610" s="12" t="s">
        <v>85</v>
      </c>
      <c r="D610" s="12" t="str">
        <f>"Monster.Name."&amp;VLOOKUP($C610,'#Data'!$B$2:$J$344,2,FALSE)</f>
        <v>Monster.Name.rhino_mechamk3_3</v>
      </c>
      <c r="E610" s="12" t="s">
        <v>43</v>
      </c>
      <c r="F610" s="39" t="s">
        <v>44</v>
      </c>
      <c r="G610" s="12" t="s">
        <v>45</v>
      </c>
      <c r="H610" s="12" t="b">
        <f>IF(OR(VLOOKUP($C610,'#Data'!$B$2:$J$344,4,FALSE)="보스",VLOOKUP($C610,'#Data'!$B$2:$J$344,4,FALSE)="중간"),TRUE,FALSE)</f>
        <v>0</v>
      </c>
      <c r="I610" s="12" t="b">
        <f>IF(OR(VLOOKUP($C610,'#Data'!$B$2:$J$344,4,FALSE)="보스",VLOOKUP($C610,'#Data'!$B$2:$J$344,4,FALSE)="중간"),TRUE,FALSE)</f>
        <v>0</v>
      </c>
      <c r="J610" s="12">
        <v>10</v>
      </c>
      <c r="K610" s="12">
        <f t="shared" si="19"/>
        <v>10</v>
      </c>
      <c r="L610" s="63" t="str">
        <f>$B610&amp;"."&amp;VLOOKUP($C610,'#Data'!$B$2:$J$344,2,FALSE)&amp;".attack0"&amp;RIGHT(L$1,1)</f>
        <v>Sector02.rhino_mechamk3_3.attack01</v>
      </c>
      <c r="M610" s="63"/>
      <c r="N610" s="63"/>
      <c r="O610" s="134" t="s">
        <v>2001</v>
      </c>
      <c r="P610" s="134"/>
      <c r="Q610" s="134"/>
      <c r="R610" s="64"/>
      <c r="S610" s="64"/>
      <c r="T610" s="64"/>
      <c r="U610" s="64"/>
      <c r="V610" s="12" t="b">
        <v>0</v>
      </c>
      <c r="W610" s="12" t="str">
        <f>"Character/Prefabs/"&amp;VLOOKUP($C610,'#Data'!$B$3:$I$344,8,FALSE)</f>
        <v>Character/Prefabs/m_s_attacker_rhino_mechamk3_3</v>
      </c>
      <c r="X610" s="12"/>
      <c r="Y610" s="12" t="str">
        <f>VLOOKUP($C610,'#Data'!$B$3:$I$344,8,FALSE)</f>
        <v>m_s_attacker_rhino_mechamk3_3</v>
      </c>
      <c r="Z610" s="12"/>
      <c r="AA610" s="12"/>
      <c r="AB610" s="12"/>
      <c r="AC610" s="88">
        <v>0.7</v>
      </c>
      <c r="AD610" s="12"/>
      <c r="AE610" s="12"/>
      <c r="AF610" s="12"/>
      <c r="AG610" s="12" t="s">
        <v>2106</v>
      </c>
      <c r="AH610" s="85"/>
    </row>
    <row r="611" spans="1:34" x14ac:dyDescent="0.3">
      <c r="A611" s="12">
        <f t="shared" si="18"/>
        <v>1410202104</v>
      </c>
      <c r="B611" s="12" t="s">
        <v>82</v>
      </c>
      <c r="C611" s="12" t="s">
        <v>86</v>
      </c>
      <c r="D611" s="12" t="str">
        <f>"Monster.Name."&amp;VLOOKUP($C611,'#Data'!$B$2:$J$344,2,FALSE)</f>
        <v>Monster.Name.spider_turretmk2_3</v>
      </c>
      <c r="E611" s="12" t="s">
        <v>47</v>
      </c>
      <c r="F611" s="39" t="s">
        <v>44</v>
      </c>
      <c r="G611" s="12" t="s">
        <v>45</v>
      </c>
      <c r="H611" s="12" t="b">
        <f>IF(OR(VLOOKUP($C611,'#Data'!$B$2:$J$344,4,FALSE)="보스",VLOOKUP($C611,'#Data'!$B$2:$J$344,4,FALSE)="중간"),TRUE,FALSE)</f>
        <v>0</v>
      </c>
      <c r="I611" s="12" t="b">
        <f>IF(OR(VLOOKUP($C611,'#Data'!$B$2:$J$344,4,FALSE)="보스",VLOOKUP($C611,'#Data'!$B$2:$J$344,4,FALSE)="중간"),TRUE,FALSE)</f>
        <v>0</v>
      </c>
      <c r="J611" s="12">
        <v>10</v>
      </c>
      <c r="K611" s="12">
        <f t="shared" si="19"/>
        <v>10</v>
      </c>
      <c r="L611" s="63" t="str">
        <f>$B611&amp;"."&amp;VLOOKUP($C611,'#Data'!$B$2:$J$344,2,FALSE)&amp;".attack0"&amp;RIGHT(L$1,1)</f>
        <v>Sector02.spider_turretmk2_3.attack01</v>
      </c>
      <c r="M611" s="63"/>
      <c r="N611" s="63"/>
      <c r="O611" s="134" t="s">
        <v>2002</v>
      </c>
      <c r="P611" s="134"/>
      <c r="Q611" s="134"/>
      <c r="R611" s="64"/>
      <c r="S611" s="64"/>
      <c r="T611" s="64"/>
      <c r="U611" s="64"/>
      <c r="V611" s="12" t="b">
        <v>0</v>
      </c>
      <c r="W611" s="12" t="str">
        <f>"Character/Prefabs/"&amp;VLOOKUP($C611,'#Data'!$B$3:$I$344,8,FALSE)</f>
        <v>Character/Prefabs/m_s_ranger_spider_turretmk2_3</v>
      </c>
      <c r="X611" s="12"/>
      <c r="Y611" s="12" t="str">
        <f>VLOOKUP($C611,'#Data'!$B$3:$I$344,8,FALSE)</f>
        <v>m_s_ranger_spider_turretmk2_3</v>
      </c>
      <c r="Z611" s="12"/>
      <c r="AA611" s="12"/>
      <c r="AB611" s="12"/>
      <c r="AC611" s="88">
        <v>0.7</v>
      </c>
      <c r="AD611" s="12"/>
      <c r="AE611" s="12"/>
      <c r="AF611" s="12"/>
      <c r="AG611" s="12" t="s">
        <v>2106</v>
      </c>
      <c r="AH611" s="85"/>
    </row>
    <row r="612" spans="1:34" x14ac:dyDescent="0.3">
      <c r="A612" s="12">
        <f t="shared" si="18"/>
        <v>1410202105</v>
      </c>
      <c r="B612" s="12" t="s">
        <v>82</v>
      </c>
      <c r="C612" s="12" t="s">
        <v>87</v>
      </c>
      <c r="D612" s="12" t="str">
        <f>"Monster.Name."&amp;VLOOKUP($C612,'#Data'!$B$2:$J$344,2,FALSE)</f>
        <v>Monster.Name.hellfire_drone_3</v>
      </c>
      <c r="E612" s="12" t="s">
        <v>47</v>
      </c>
      <c r="F612" s="39" t="s">
        <v>44</v>
      </c>
      <c r="G612" s="12" t="s">
        <v>45</v>
      </c>
      <c r="H612" s="12" t="b">
        <f>IF(OR(VLOOKUP($C612,'#Data'!$B$2:$J$344,4,FALSE)="보스",VLOOKUP($C612,'#Data'!$B$2:$J$344,4,FALSE)="중간"),TRUE,FALSE)</f>
        <v>0</v>
      </c>
      <c r="I612" s="12" t="b">
        <f>IF(OR(VLOOKUP($C612,'#Data'!$B$2:$J$344,4,FALSE)="보스",VLOOKUP($C612,'#Data'!$B$2:$J$344,4,FALSE)="중간"),TRUE,FALSE)</f>
        <v>0</v>
      </c>
      <c r="J612" s="12">
        <v>10</v>
      </c>
      <c r="K612" s="12">
        <f t="shared" si="19"/>
        <v>10</v>
      </c>
      <c r="L612" s="63" t="str">
        <f>$B612&amp;"."&amp;VLOOKUP($C612,'#Data'!$B$2:$J$344,2,FALSE)&amp;".attack0"&amp;RIGHT(L$1,1)</f>
        <v>Sector02.hellfire_drone_3.attack01</v>
      </c>
      <c r="M612" s="63"/>
      <c r="N612" s="63"/>
      <c r="O612" s="134" t="str">
        <f>$B612&amp;"."&amp;VLOOKUP($C612,'#Data'!$B$2:$J$344,2,FALSE)&amp;".skill0"&amp;RIGHT(O$1,1)</f>
        <v>Sector02.hellfire_drone_3.skill01</v>
      </c>
      <c r="P612" s="134" t="s">
        <v>2003</v>
      </c>
      <c r="Q612" s="134"/>
      <c r="R612" s="64"/>
      <c r="S612" s="64"/>
      <c r="T612" s="64"/>
      <c r="U612" s="64"/>
      <c r="V612" s="12" t="b">
        <v>0</v>
      </c>
      <c r="W612" s="12" t="str">
        <f>"Character/Prefabs/"&amp;VLOOKUP($C612,'#Data'!$B$3:$I$344,8,FALSE)</f>
        <v>Character/Prefabs/m_s_ranger_hellfire_drone_3</v>
      </c>
      <c r="X612" s="12"/>
      <c r="Y612" s="12" t="str">
        <f>VLOOKUP($C612,'#Data'!$B$3:$I$344,8,FALSE)</f>
        <v>m_s_ranger_hellfire_drone_3</v>
      </c>
      <c r="Z612" s="12"/>
      <c r="AA612" s="12"/>
      <c r="AB612" s="12"/>
      <c r="AC612" s="88">
        <v>0.6</v>
      </c>
      <c r="AD612" s="12"/>
      <c r="AE612" s="12"/>
      <c r="AF612" s="12"/>
      <c r="AG612" s="12" t="s">
        <v>2106</v>
      </c>
      <c r="AH612" s="85"/>
    </row>
    <row r="613" spans="1:34" x14ac:dyDescent="0.3">
      <c r="A613" s="12">
        <f t="shared" si="18"/>
        <v>1410202106</v>
      </c>
      <c r="B613" s="12" t="s">
        <v>82</v>
      </c>
      <c r="C613" s="12" t="s">
        <v>88</v>
      </c>
      <c r="D613" s="12" t="str">
        <f>"Monster.Name."&amp;VLOOKUP($C613,'#Data'!$B$2:$J$344,2,FALSE)</f>
        <v>Monster.Name.silhouette_champion_3</v>
      </c>
      <c r="E613" s="12" t="s">
        <v>43</v>
      </c>
      <c r="F613" s="39" t="s">
        <v>44</v>
      </c>
      <c r="G613" s="12" t="s">
        <v>45</v>
      </c>
      <c r="H613" s="12" t="b">
        <f>IF(OR(VLOOKUP($C613,'#Data'!$B$2:$J$344,4,FALSE)="보스",VLOOKUP($C613,'#Data'!$B$2:$J$344,4,FALSE)="중간"),TRUE,FALSE)</f>
        <v>0</v>
      </c>
      <c r="I613" s="12" t="b">
        <f>IF(OR(VLOOKUP($C613,'#Data'!$B$2:$J$344,4,FALSE)="보스",VLOOKUP($C613,'#Data'!$B$2:$J$344,4,FALSE)="중간"),TRUE,FALSE)</f>
        <v>0</v>
      </c>
      <c r="J613" s="12">
        <v>10</v>
      </c>
      <c r="K613" s="12">
        <f t="shared" si="19"/>
        <v>10</v>
      </c>
      <c r="L613" s="63" t="str">
        <f>$B613&amp;"."&amp;VLOOKUP($C613,'#Data'!$B$2:$J$344,2,FALSE)&amp;".attack0"&amp;RIGHT(L$1,1)</f>
        <v>Sector02.silhouette_champion_3.attack01</v>
      </c>
      <c r="M613" s="63"/>
      <c r="N613" s="63"/>
      <c r="O613" s="134" t="str">
        <f>$B613&amp;"."&amp;VLOOKUP($C613,'#Data'!$B$2:$J$344,2,FALSE)&amp;".skill0"&amp;RIGHT(O$1,1)</f>
        <v>Sector02.silhouette_champion_3.skill01</v>
      </c>
      <c r="P613" s="134" t="s">
        <v>2004</v>
      </c>
      <c r="Q613" s="134"/>
      <c r="R613" s="64"/>
      <c r="S613" s="64"/>
      <c r="T613" s="64"/>
      <c r="U613" s="64"/>
      <c r="V613" s="12" t="b">
        <v>0</v>
      </c>
      <c r="W613" s="12" t="str">
        <f>"Character/Prefabs/"&amp;VLOOKUP($C613,'#Data'!$B$3:$I$344,8,FALSE)</f>
        <v>Character/Prefabs/m_m_attacker_silhouette_champion_3</v>
      </c>
      <c r="X613" s="12"/>
      <c r="Y613" s="12" t="str">
        <f>VLOOKUP($C613,'#Data'!$B$3:$I$344,8,FALSE)</f>
        <v>m_m_attacker_silhouette_champion_3</v>
      </c>
      <c r="Z613" s="12"/>
      <c r="AA613" s="12"/>
      <c r="AB613" s="12"/>
      <c r="AC613" s="88">
        <v>0.8</v>
      </c>
      <c r="AD613" s="12"/>
      <c r="AE613" s="12"/>
      <c r="AF613" s="12"/>
      <c r="AG613" s="12" t="s">
        <v>2106</v>
      </c>
      <c r="AH613" s="85"/>
    </row>
    <row r="614" spans="1:34" x14ac:dyDescent="0.3">
      <c r="A614" s="12">
        <f t="shared" si="18"/>
        <v>1410202107</v>
      </c>
      <c r="B614" s="12" t="s">
        <v>82</v>
      </c>
      <c r="C614" s="12" t="s">
        <v>89</v>
      </c>
      <c r="D614" s="12" t="str">
        <f>"Monster.Name."&amp;VLOOKUP($C614,'#Data'!$B$2:$J$344,2,FALSE)</f>
        <v>Monster.Name.silhouette_demolisher_3</v>
      </c>
      <c r="E614" s="12" t="s">
        <v>47</v>
      </c>
      <c r="F614" s="39" t="s">
        <v>44</v>
      </c>
      <c r="G614" s="12" t="s">
        <v>45</v>
      </c>
      <c r="H614" s="12" t="b">
        <f>IF(OR(VLOOKUP($C614,'#Data'!$B$2:$J$344,4,FALSE)="보스",VLOOKUP($C614,'#Data'!$B$2:$J$344,4,FALSE)="중간"),TRUE,FALSE)</f>
        <v>0</v>
      </c>
      <c r="I614" s="12" t="b">
        <f>IF(OR(VLOOKUP($C614,'#Data'!$B$2:$J$344,4,FALSE)="보스",VLOOKUP($C614,'#Data'!$B$2:$J$344,4,FALSE)="중간"),TRUE,FALSE)</f>
        <v>0</v>
      </c>
      <c r="J614" s="12">
        <v>10</v>
      </c>
      <c r="K614" s="12">
        <f t="shared" si="19"/>
        <v>10</v>
      </c>
      <c r="L614" s="63" t="str">
        <f>$B614&amp;"."&amp;VLOOKUP($C614,'#Data'!$B$2:$J$344,2,FALSE)&amp;".attack0"&amp;RIGHT(L$1,1)</f>
        <v>Sector02.silhouette_demolisher_3.attack01</v>
      </c>
      <c r="M614" s="63"/>
      <c r="N614" s="63"/>
      <c r="O614" s="134" t="str">
        <f>$B614&amp;"."&amp;VLOOKUP($C614,'#Data'!$B$2:$J$344,2,FALSE)&amp;".skill0"&amp;RIGHT(O$1,1)</f>
        <v>Sector02.silhouette_demolisher_3.skill01</v>
      </c>
      <c r="P614" s="134" t="s">
        <v>2005</v>
      </c>
      <c r="Q614" s="134"/>
      <c r="R614" s="64"/>
      <c r="S614" s="64"/>
      <c r="T614" s="64"/>
      <c r="U614" s="64"/>
      <c r="V614" s="12" t="b">
        <v>0</v>
      </c>
      <c r="W614" s="12" t="str">
        <f>"Character/Prefabs/"&amp;VLOOKUP($C614,'#Data'!$B$3:$I$344,8,FALSE)</f>
        <v>Character/Prefabs/m_m_ranger_silhouette_demolisher_3</v>
      </c>
      <c r="X614" s="12"/>
      <c r="Y614" s="12" t="str">
        <f>VLOOKUP($C614,'#Data'!$B$3:$I$344,8,FALSE)</f>
        <v>m_m_ranger_silhouette_demolisher_3</v>
      </c>
      <c r="Z614" s="12"/>
      <c r="AA614" s="12"/>
      <c r="AB614" s="12"/>
      <c r="AC614" s="88">
        <v>0.8</v>
      </c>
      <c r="AD614" s="12"/>
      <c r="AE614" s="12"/>
      <c r="AF614" s="12"/>
      <c r="AG614" s="12" t="s">
        <v>2106</v>
      </c>
      <c r="AH614" s="85"/>
    </row>
    <row r="615" spans="1:34" x14ac:dyDescent="0.3">
      <c r="A615" s="12">
        <f t="shared" si="18"/>
        <v>1410202108</v>
      </c>
      <c r="B615" s="12" t="s">
        <v>82</v>
      </c>
      <c r="C615" s="12" t="s">
        <v>90</v>
      </c>
      <c r="D615" s="12" t="str">
        <f>"Monster.Name."&amp;VLOOKUP($C615,'#Data'!$B$2:$J$344,2,FALSE)</f>
        <v>Monster.Name.silhouette_guard_3</v>
      </c>
      <c r="E615" s="12" t="s">
        <v>58</v>
      </c>
      <c r="F615" s="39" t="s">
        <v>44</v>
      </c>
      <c r="G615" s="12" t="s">
        <v>45</v>
      </c>
      <c r="H615" s="12" t="b">
        <f>IF(OR(VLOOKUP($C615,'#Data'!$B$2:$J$344,4,FALSE)="보스",VLOOKUP($C615,'#Data'!$B$2:$J$344,4,FALSE)="중간"),TRUE,FALSE)</f>
        <v>0</v>
      </c>
      <c r="I615" s="12" t="b">
        <f>IF(OR(VLOOKUP($C615,'#Data'!$B$2:$J$344,4,FALSE)="보스",VLOOKUP($C615,'#Data'!$B$2:$J$344,4,FALSE)="중간"),TRUE,FALSE)</f>
        <v>0</v>
      </c>
      <c r="J615" s="12">
        <v>10</v>
      </c>
      <c r="K615" s="12">
        <f t="shared" si="19"/>
        <v>10</v>
      </c>
      <c r="L615" s="63" t="str">
        <f>$B615&amp;"."&amp;VLOOKUP($C615,'#Data'!$B$2:$J$344,2,FALSE)&amp;".attack0"&amp;RIGHT(L$1,1)</f>
        <v>Sector02.silhouette_guard_3.attack01</v>
      </c>
      <c r="M615" s="63"/>
      <c r="N615" s="63"/>
      <c r="O615" s="134" t="str">
        <f>$B615&amp;"."&amp;VLOOKUP($C615,'#Data'!$B$2:$J$344,2,FALSE)&amp;".skill0"&amp;RIGHT(O$1,1)</f>
        <v>Sector02.silhouette_guard_3.skill01</v>
      </c>
      <c r="P615" s="134" t="s">
        <v>2006</v>
      </c>
      <c r="Q615" s="134"/>
      <c r="R615" s="64"/>
      <c r="S615" s="64"/>
      <c r="T615" s="64"/>
      <c r="U615" s="64"/>
      <c r="V615" s="12" t="b">
        <v>0</v>
      </c>
      <c r="W615" s="12" t="str">
        <f>"Character/Prefabs/"&amp;VLOOKUP($C615,'#Data'!$B$3:$I$344,8,FALSE)</f>
        <v>Character/Prefabs/m_m_tanker_silhouette_guard_3</v>
      </c>
      <c r="X615" s="12"/>
      <c r="Y615" s="12" t="str">
        <f>VLOOKUP($C615,'#Data'!$B$3:$I$344,8,FALSE)</f>
        <v>m_m_tanker_silhouette_guard_3</v>
      </c>
      <c r="Z615" s="12"/>
      <c r="AA615" s="12"/>
      <c r="AB615" s="12"/>
      <c r="AC615" s="88">
        <v>0.8</v>
      </c>
      <c r="AD615" s="12"/>
      <c r="AE615" s="12"/>
      <c r="AF615" s="12"/>
      <c r="AG615" s="12" t="s">
        <v>2106</v>
      </c>
      <c r="AH615" s="85"/>
    </row>
    <row r="616" spans="1:34" x14ac:dyDescent="0.3">
      <c r="A616" s="12">
        <f t="shared" si="18"/>
        <v>1410202109</v>
      </c>
      <c r="B616" s="12" t="s">
        <v>82</v>
      </c>
      <c r="C616" s="12" t="s">
        <v>91</v>
      </c>
      <c r="D616" s="12" t="str">
        <f>"Monster.Name."&amp;VLOOKUP($C616,'#Data'!$B$2:$J$344,2,FALSE)</f>
        <v>Monster.Name.silhouette_inferno_3</v>
      </c>
      <c r="E616" s="12" t="s">
        <v>43</v>
      </c>
      <c r="F616" s="39" t="s">
        <v>44</v>
      </c>
      <c r="G616" s="12" t="s">
        <v>45</v>
      </c>
      <c r="H616" s="12" t="b">
        <f>IF(OR(VLOOKUP($C616,'#Data'!$B$2:$J$344,4,FALSE)="보스",VLOOKUP($C616,'#Data'!$B$2:$J$344,4,FALSE)="중간"),TRUE,FALSE)</f>
        <v>0</v>
      </c>
      <c r="I616" s="12" t="b">
        <f>IF(OR(VLOOKUP($C616,'#Data'!$B$2:$J$344,4,FALSE)="보스",VLOOKUP($C616,'#Data'!$B$2:$J$344,4,FALSE)="중간"),TRUE,FALSE)</f>
        <v>0</v>
      </c>
      <c r="J616" s="12">
        <v>10</v>
      </c>
      <c r="K616" s="12">
        <f t="shared" si="19"/>
        <v>10</v>
      </c>
      <c r="L616" s="63" t="str">
        <f>$B616&amp;"."&amp;VLOOKUP($C616,'#Data'!$B$2:$J$344,2,FALSE)&amp;".attack0"&amp;RIGHT(L$1,1)</f>
        <v>Sector02.silhouette_inferno_3.attack01</v>
      </c>
      <c r="M616" s="63"/>
      <c r="N616" s="63"/>
      <c r="O616" s="134" t="str">
        <f>$B616&amp;"."&amp;VLOOKUP($C616,'#Data'!$B$2:$J$344,2,FALSE)&amp;".skill0"&amp;RIGHT(O$1,1)</f>
        <v>Sector02.silhouette_inferno_3.skill01</v>
      </c>
      <c r="P616" s="134" t="s">
        <v>2007</v>
      </c>
      <c r="Q616" s="134"/>
      <c r="R616" s="64"/>
      <c r="S616" s="64"/>
      <c r="T616" s="64"/>
      <c r="U616" s="64"/>
      <c r="V616" s="12" t="b">
        <v>0</v>
      </c>
      <c r="W616" s="12" t="str">
        <f>"Character/Prefabs/"&amp;VLOOKUP($C616,'#Data'!$B$3:$I$344,8,FALSE)</f>
        <v>Character/Prefabs/m_m_attacker_silhouette_inferno_3</v>
      </c>
      <c r="X616" s="12"/>
      <c r="Y616" s="12" t="str">
        <f>VLOOKUP($C616,'#Data'!$B$3:$I$344,8,FALSE)</f>
        <v>m_m_attacker_silhouette_inferno_3</v>
      </c>
      <c r="Z616" s="12"/>
      <c r="AA616" s="12"/>
      <c r="AB616" s="12"/>
      <c r="AC616" s="88">
        <v>0.8</v>
      </c>
      <c r="AD616" s="12"/>
      <c r="AE616" s="12"/>
      <c r="AF616" s="12"/>
      <c r="AG616" s="12" t="s">
        <v>2106</v>
      </c>
      <c r="AH616" s="85"/>
    </row>
    <row r="617" spans="1:34" x14ac:dyDescent="0.3">
      <c r="A617" s="49">
        <f t="shared" si="18"/>
        <v>1410202110</v>
      </c>
      <c r="B617" s="49" t="s">
        <v>82</v>
      </c>
      <c r="C617" s="49" t="s">
        <v>1218</v>
      </c>
      <c r="D617" s="49" t="str">
        <f>"Monster.Name."&amp;VLOOKUP($C617,'#Data'!$B$2:$J$344,2,FALSE)</f>
        <v>Monster.Name.turtle_mechamk3_4</v>
      </c>
      <c r="E617" s="49" t="s">
        <v>43</v>
      </c>
      <c r="F617" s="50" t="s">
        <v>44</v>
      </c>
      <c r="G617" s="49" t="s">
        <v>45</v>
      </c>
      <c r="H617" s="49" t="b">
        <f>IF(OR(VLOOKUP($C617,'#Data'!$B$2:$J$344,4,FALSE)="보스",VLOOKUP($C617,'#Data'!$B$2:$J$344,4,FALSE)="중간"),TRUE,FALSE)</f>
        <v>0</v>
      </c>
      <c r="I617" s="49" t="b">
        <f>IF(OR(VLOOKUP($C617,'#Data'!$B$2:$J$344,4,FALSE)="보스",VLOOKUP($C617,'#Data'!$B$2:$J$344,4,FALSE)="중간"),TRUE,FALSE)</f>
        <v>0</v>
      </c>
      <c r="J617" s="49">
        <v>10</v>
      </c>
      <c r="K617" s="49">
        <f t="shared" si="19"/>
        <v>10</v>
      </c>
      <c r="L617" s="65" t="s">
        <v>1318</v>
      </c>
      <c r="M617" s="65"/>
      <c r="N617" s="65"/>
      <c r="O617" s="135" t="s">
        <v>1999</v>
      </c>
      <c r="P617" s="135"/>
      <c r="Q617" s="135"/>
      <c r="R617" s="66"/>
      <c r="S617" s="66"/>
      <c r="T617" s="66"/>
      <c r="U617" s="66"/>
      <c r="V617" s="49" t="b">
        <v>0</v>
      </c>
      <c r="W617" s="49" t="str">
        <f>"Character/Prefabs/"&amp;VLOOKUP($C617,'#Data'!$B$3:$I$344,8,FALSE)</f>
        <v>Character/Prefabs/m_s_attacker_turtle_mechamk3_4</v>
      </c>
      <c r="X617" s="49"/>
      <c r="Y617" s="49" t="str">
        <f>VLOOKUP($C617,'#Data'!$B$3:$I$344,8,FALSE)</f>
        <v>m_s_attacker_turtle_mechamk3_4</v>
      </c>
      <c r="Z617" s="49"/>
      <c r="AA617" s="49"/>
      <c r="AB617" s="49"/>
      <c r="AC617" s="89">
        <v>0.7</v>
      </c>
      <c r="AD617" s="49"/>
      <c r="AE617" s="49"/>
      <c r="AF617" s="49"/>
      <c r="AG617" s="49" t="s">
        <v>2106</v>
      </c>
      <c r="AH617" s="85"/>
    </row>
    <row r="618" spans="1:34" x14ac:dyDescent="0.3">
      <c r="A618" s="49">
        <f t="shared" si="18"/>
        <v>1410202111</v>
      </c>
      <c r="B618" s="49" t="s">
        <v>82</v>
      </c>
      <c r="C618" s="49" t="s">
        <v>1219</v>
      </c>
      <c r="D618" s="49" t="str">
        <f>"Monster.Name."&amp;VLOOKUP($C618,'#Data'!$B$2:$J$344,2,FALSE)</f>
        <v>Monster.Name.scorpion_turretmk2_4</v>
      </c>
      <c r="E618" s="49" t="s">
        <v>47</v>
      </c>
      <c r="F618" s="50" t="s">
        <v>44</v>
      </c>
      <c r="G618" s="49" t="s">
        <v>45</v>
      </c>
      <c r="H618" s="49" t="b">
        <f>IF(OR(VLOOKUP($C618,'#Data'!$B$2:$J$344,4,FALSE)="보스",VLOOKUP($C618,'#Data'!$B$2:$J$344,4,FALSE)="중간"),TRUE,FALSE)</f>
        <v>0</v>
      </c>
      <c r="I618" s="49" t="b">
        <v>0</v>
      </c>
      <c r="J618" s="49">
        <v>10</v>
      </c>
      <c r="K618" s="49">
        <f t="shared" si="19"/>
        <v>10</v>
      </c>
      <c r="L618" s="65" t="s">
        <v>1319</v>
      </c>
      <c r="M618" s="65"/>
      <c r="N618" s="65"/>
      <c r="O618" s="135" t="s">
        <v>2000</v>
      </c>
      <c r="P618" s="135"/>
      <c r="Q618" s="135"/>
      <c r="R618" s="66"/>
      <c r="S618" s="66"/>
      <c r="T618" s="66"/>
      <c r="U618" s="66"/>
      <c r="V618" s="49" t="b">
        <v>0</v>
      </c>
      <c r="W618" s="49" t="str">
        <f>"Character/Prefabs/"&amp;VLOOKUP($C618,'#Data'!$B$3:$I$344,8,FALSE)</f>
        <v>Character/Prefabs/m_s_ranger_scorpion_turretmk2_4</v>
      </c>
      <c r="X618" s="49"/>
      <c r="Y618" s="49" t="str">
        <f>VLOOKUP($C618,'#Data'!$B$3:$I$344,8,FALSE)</f>
        <v>m_s_ranger_scorpion_turretmk2_4</v>
      </c>
      <c r="Z618" s="49"/>
      <c r="AA618" s="49"/>
      <c r="AB618" s="49"/>
      <c r="AC618" s="89">
        <v>0.7</v>
      </c>
      <c r="AD618" s="49"/>
      <c r="AE618" s="49"/>
      <c r="AF618" s="49"/>
      <c r="AG618" s="49" t="s">
        <v>2106</v>
      </c>
      <c r="AH618" s="85"/>
    </row>
    <row r="619" spans="1:34" x14ac:dyDescent="0.3">
      <c r="A619" s="49">
        <f t="shared" si="18"/>
        <v>1410202112</v>
      </c>
      <c r="B619" s="49" t="s">
        <v>82</v>
      </c>
      <c r="C619" s="49" t="s">
        <v>1220</v>
      </c>
      <c r="D619" s="49" t="str">
        <f>"Monster.Name."&amp;VLOOKUP($C619,'#Data'!$B$2:$J$344,2,FALSE)</f>
        <v>Monster.Name.rhino_mechamk3_4</v>
      </c>
      <c r="E619" s="49" t="s">
        <v>43</v>
      </c>
      <c r="F619" s="50" t="s">
        <v>44</v>
      </c>
      <c r="G619" s="49" t="s">
        <v>45</v>
      </c>
      <c r="H619" s="49" t="b">
        <f>IF(OR(VLOOKUP($C619,'#Data'!$B$2:$J$344,4,FALSE)="보스",VLOOKUP($C619,'#Data'!$B$2:$J$344,4,FALSE)="중간"),TRUE,FALSE)</f>
        <v>0</v>
      </c>
      <c r="I619" s="49" t="b">
        <v>0</v>
      </c>
      <c r="J619" s="49">
        <v>10</v>
      </c>
      <c r="K619" s="49">
        <f t="shared" si="19"/>
        <v>10</v>
      </c>
      <c r="L619" s="65" t="s">
        <v>1320</v>
      </c>
      <c r="M619" s="65"/>
      <c r="N619" s="65"/>
      <c r="O619" s="135" t="s">
        <v>2001</v>
      </c>
      <c r="P619" s="135"/>
      <c r="Q619" s="135"/>
      <c r="R619" s="66"/>
      <c r="S619" s="66"/>
      <c r="T619" s="66"/>
      <c r="U619" s="66"/>
      <c r="V619" s="49" t="b">
        <v>0</v>
      </c>
      <c r="W619" s="49" t="str">
        <f>"Character/Prefabs/"&amp;VLOOKUP($C619,'#Data'!$B$3:$I$344,8,FALSE)</f>
        <v>Character/Prefabs/m_s_attacker_rhino_mechamk3_4</v>
      </c>
      <c r="X619" s="49"/>
      <c r="Y619" s="49" t="str">
        <f>VLOOKUP($C619,'#Data'!$B$3:$I$344,8,FALSE)</f>
        <v>m_s_attacker_rhino_mechamk3_4</v>
      </c>
      <c r="Z619" s="49"/>
      <c r="AA619" s="49"/>
      <c r="AB619" s="49"/>
      <c r="AC619" s="89">
        <v>0.7</v>
      </c>
      <c r="AD619" s="49"/>
      <c r="AE619" s="49"/>
      <c r="AF619" s="49"/>
      <c r="AG619" s="49" t="s">
        <v>2106</v>
      </c>
      <c r="AH619" s="85"/>
    </row>
    <row r="620" spans="1:34" x14ac:dyDescent="0.3">
      <c r="A620" s="49">
        <f t="shared" si="18"/>
        <v>1410202113</v>
      </c>
      <c r="B620" s="49" t="s">
        <v>82</v>
      </c>
      <c r="C620" s="49" t="s">
        <v>1221</v>
      </c>
      <c r="D620" s="49" t="str">
        <f>"Monster.Name."&amp;VLOOKUP($C620,'#Data'!$B$2:$J$344,2,FALSE)</f>
        <v>Monster.Name.spider_turretmk2_4</v>
      </c>
      <c r="E620" s="49" t="s">
        <v>47</v>
      </c>
      <c r="F620" s="50" t="s">
        <v>44</v>
      </c>
      <c r="G620" s="49" t="s">
        <v>45</v>
      </c>
      <c r="H620" s="49" t="b">
        <f>IF(OR(VLOOKUP($C620,'#Data'!$B$2:$J$344,4,FALSE)="보스",VLOOKUP($C620,'#Data'!$B$2:$J$344,4,FALSE)="중간"),TRUE,FALSE)</f>
        <v>0</v>
      </c>
      <c r="I620" s="49" t="b">
        <v>0</v>
      </c>
      <c r="J620" s="49">
        <v>10</v>
      </c>
      <c r="K620" s="49">
        <f t="shared" si="19"/>
        <v>10</v>
      </c>
      <c r="L620" s="65" t="s">
        <v>1321</v>
      </c>
      <c r="M620" s="65"/>
      <c r="N620" s="65"/>
      <c r="O620" s="135" t="s">
        <v>2002</v>
      </c>
      <c r="P620" s="135"/>
      <c r="Q620" s="135"/>
      <c r="R620" s="66"/>
      <c r="S620" s="66"/>
      <c r="T620" s="66"/>
      <c r="U620" s="66"/>
      <c r="V620" s="49" t="b">
        <v>0</v>
      </c>
      <c r="W620" s="49" t="str">
        <f>"Character/Prefabs/"&amp;VLOOKUP($C620,'#Data'!$B$3:$I$344,8,FALSE)</f>
        <v>Character/Prefabs/m_s_ranger_spider_turretmk2_4</v>
      </c>
      <c r="X620" s="49"/>
      <c r="Y620" s="49" t="str">
        <f>VLOOKUP($C620,'#Data'!$B$3:$I$344,8,FALSE)</f>
        <v>m_s_ranger_spider_turretmk2_4</v>
      </c>
      <c r="Z620" s="49"/>
      <c r="AA620" s="49"/>
      <c r="AB620" s="49"/>
      <c r="AC620" s="89">
        <v>0.7</v>
      </c>
      <c r="AD620" s="49"/>
      <c r="AE620" s="49"/>
      <c r="AF620" s="49"/>
      <c r="AG620" s="49" t="s">
        <v>2106</v>
      </c>
      <c r="AH620" s="85"/>
    </row>
    <row r="621" spans="1:34" x14ac:dyDescent="0.3">
      <c r="A621" s="49">
        <f t="shared" si="18"/>
        <v>1410202114</v>
      </c>
      <c r="B621" s="49" t="s">
        <v>82</v>
      </c>
      <c r="C621" s="49" t="s">
        <v>1222</v>
      </c>
      <c r="D621" s="49" t="str">
        <f>"Monster.Name."&amp;VLOOKUP($C621,'#Data'!$B$2:$J$344,2,FALSE)</f>
        <v>Monster.Name.hellfire_drone_4</v>
      </c>
      <c r="E621" s="49" t="s">
        <v>47</v>
      </c>
      <c r="F621" s="50" t="s">
        <v>44</v>
      </c>
      <c r="G621" s="49" t="s">
        <v>45</v>
      </c>
      <c r="H621" s="49" t="b">
        <f>IF(OR(VLOOKUP($C621,'#Data'!$B$2:$J$344,4,FALSE)="보스",VLOOKUP($C621,'#Data'!$B$2:$J$344,4,FALSE)="중간"),TRUE,FALSE)</f>
        <v>0</v>
      </c>
      <c r="I621" s="49" t="b">
        <v>0</v>
      </c>
      <c r="J621" s="49">
        <v>10</v>
      </c>
      <c r="K621" s="49">
        <f t="shared" si="19"/>
        <v>10</v>
      </c>
      <c r="L621" s="65" t="s">
        <v>1322</v>
      </c>
      <c r="M621" s="65"/>
      <c r="N621" s="65"/>
      <c r="O621" s="135" t="s">
        <v>1327</v>
      </c>
      <c r="P621" s="135" t="s">
        <v>2003</v>
      </c>
      <c r="Q621" s="135"/>
      <c r="R621" s="66"/>
      <c r="S621" s="66"/>
      <c r="T621" s="66"/>
      <c r="U621" s="66"/>
      <c r="V621" s="49" t="b">
        <v>0</v>
      </c>
      <c r="W621" s="49" t="str">
        <f>"Character/Prefabs/"&amp;VLOOKUP($C621,'#Data'!$B$3:$I$344,8,FALSE)</f>
        <v>Character/Prefabs/m_s_ranger_hellfire_drone_4</v>
      </c>
      <c r="X621" s="49"/>
      <c r="Y621" s="49" t="str">
        <f>VLOOKUP($C621,'#Data'!$B$3:$I$344,8,FALSE)</f>
        <v>m_s_ranger_hellfire_drone_4</v>
      </c>
      <c r="Z621" s="49"/>
      <c r="AA621" s="49"/>
      <c r="AB621" s="49"/>
      <c r="AC621" s="89">
        <v>0.6</v>
      </c>
      <c r="AD621" s="49"/>
      <c r="AE621" s="49"/>
      <c r="AF621" s="49"/>
      <c r="AG621" s="49" t="s">
        <v>2106</v>
      </c>
      <c r="AH621" s="85"/>
    </row>
    <row r="622" spans="1:34" x14ac:dyDescent="0.3">
      <c r="A622" s="49">
        <f t="shared" si="18"/>
        <v>1410202115</v>
      </c>
      <c r="B622" s="49" t="s">
        <v>82</v>
      </c>
      <c r="C622" s="49" t="s">
        <v>1223</v>
      </c>
      <c r="D622" s="49" t="str">
        <f>"Monster.Name."&amp;VLOOKUP($C622,'#Data'!$B$2:$J$344,2,FALSE)</f>
        <v>Monster.Name.trooper_silhouette_champion_4</v>
      </c>
      <c r="E622" s="49" t="s">
        <v>43</v>
      </c>
      <c r="F622" s="50" t="s">
        <v>44</v>
      </c>
      <c r="G622" s="49" t="s">
        <v>45</v>
      </c>
      <c r="H622" s="49" t="b">
        <f>IF(OR(VLOOKUP($C622,'#Data'!$B$2:$J$344,4,FALSE)="보스",VLOOKUP($C622,'#Data'!$B$2:$J$344,4,FALSE)="중간"),TRUE,FALSE)</f>
        <v>0</v>
      </c>
      <c r="I622" s="49" t="b">
        <v>0</v>
      </c>
      <c r="J622" s="49">
        <v>10</v>
      </c>
      <c r="K622" s="49">
        <f t="shared" si="19"/>
        <v>10</v>
      </c>
      <c r="L622" s="65" t="s">
        <v>1323</v>
      </c>
      <c r="M622" s="65"/>
      <c r="N622" s="65"/>
      <c r="O622" s="135" t="s">
        <v>1328</v>
      </c>
      <c r="P622" s="135" t="s">
        <v>2008</v>
      </c>
      <c r="Q622" s="135"/>
      <c r="R622" s="66"/>
      <c r="S622" s="66"/>
      <c r="T622" s="66"/>
      <c r="U622" s="66"/>
      <c r="V622" s="49" t="b">
        <v>0</v>
      </c>
      <c r="W622" s="49" t="str">
        <f>"Character/Prefabs/"&amp;VLOOKUP($C622,'#Data'!$B$3:$I$344,8,FALSE)</f>
        <v>Character/Prefabs/m_m_attacker_trooper_silhouette_champion_4</v>
      </c>
      <c r="X622" s="49"/>
      <c r="Y622" s="49" t="str">
        <f>VLOOKUP($C622,'#Data'!$B$3:$I$344,8,FALSE)</f>
        <v>m_m_attacker_trooper_silhouette_champion_4</v>
      </c>
      <c r="Z622" s="49"/>
      <c r="AA622" s="49"/>
      <c r="AB622" s="49"/>
      <c r="AC622" s="89">
        <v>0.8</v>
      </c>
      <c r="AD622" s="49"/>
      <c r="AE622" s="49"/>
      <c r="AF622" s="49"/>
      <c r="AG622" s="49" t="s">
        <v>2106</v>
      </c>
      <c r="AH622" s="85"/>
    </row>
    <row r="623" spans="1:34" x14ac:dyDescent="0.3">
      <c r="A623" s="49">
        <f t="shared" si="18"/>
        <v>1410202116</v>
      </c>
      <c r="B623" s="49" t="s">
        <v>82</v>
      </c>
      <c r="C623" s="49" t="s">
        <v>1224</v>
      </c>
      <c r="D623" s="49" t="str">
        <f>"Monster.Name."&amp;VLOOKUP($C623,'#Data'!$B$2:$J$344,2,FALSE)</f>
        <v>Monster.Name.trooper_silhouette_demolisher_4</v>
      </c>
      <c r="E623" s="49" t="s">
        <v>47</v>
      </c>
      <c r="F623" s="50" t="s">
        <v>44</v>
      </c>
      <c r="G623" s="49" t="s">
        <v>45</v>
      </c>
      <c r="H623" s="49" t="b">
        <f>IF(OR(VLOOKUP($C623,'#Data'!$B$2:$J$344,4,FALSE)="보스",VLOOKUP($C623,'#Data'!$B$2:$J$344,4,FALSE)="중간"),TRUE,FALSE)</f>
        <v>0</v>
      </c>
      <c r="I623" s="49" t="b">
        <v>0</v>
      </c>
      <c r="J623" s="49">
        <v>10</v>
      </c>
      <c r="K623" s="49">
        <f t="shared" si="19"/>
        <v>10</v>
      </c>
      <c r="L623" s="65" t="s">
        <v>1324</v>
      </c>
      <c r="M623" s="65"/>
      <c r="N623" s="65"/>
      <c r="O623" s="135" t="s">
        <v>1329</v>
      </c>
      <c r="P623" s="135" t="s">
        <v>2005</v>
      </c>
      <c r="Q623" s="135"/>
      <c r="R623" s="66"/>
      <c r="S623" s="66"/>
      <c r="T623" s="66"/>
      <c r="U623" s="66"/>
      <c r="V623" s="49" t="b">
        <v>0</v>
      </c>
      <c r="W623" s="49" t="str">
        <f>"Character/Prefabs/"&amp;VLOOKUP($C623,'#Data'!$B$3:$I$344,8,FALSE)</f>
        <v>Character/Prefabs/m_m_ranger_trooper_silhouette_demolisher_4</v>
      </c>
      <c r="X623" s="49"/>
      <c r="Y623" s="49" t="str">
        <f>VLOOKUP($C623,'#Data'!$B$3:$I$344,8,FALSE)</f>
        <v>m_m_ranger_trooper_silhouette_demolisher_4</v>
      </c>
      <c r="Z623" s="49"/>
      <c r="AA623" s="49"/>
      <c r="AB623" s="49"/>
      <c r="AC623" s="89">
        <v>0.8</v>
      </c>
      <c r="AD623" s="49"/>
      <c r="AE623" s="49"/>
      <c r="AF623" s="49"/>
      <c r="AG623" s="49" t="s">
        <v>2106</v>
      </c>
      <c r="AH623" s="85"/>
    </row>
    <row r="624" spans="1:34" x14ac:dyDescent="0.3">
      <c r="A624" s="49">
        <f t="shared" si="18"/>
        <v>1410202117</v>
      </c>
      <c r="B624" s="49" t="s">
        <v>82</v>
      </c>
      <c r="C624" s="49" t="s">
        <v>1225</v>
      </c>
      <c r="D624" s="49" t="str">
        <f>"Monster.Name."&amp;VLOOKUP($C624,'#Data'!$B$2:$J$344,2,FALSE)</f>
        <v>Monster.Name.trooper_silhouette_guard_4</v>
      </c>
      <c r="E624" s="49" t="s">
        <v>58</v>
      </c>
      <c r="F624" s="50" t="s">
        <v>44</v>
      </c>
      <c r="G624" s="49" t="s">
        <v>45</v>
      </c>
      <c r="H624" s="49" t="b">
        <f>IF(OR(VLOOKUP($C624,'#Data'!$B$2:$J$344,4,FALSE)="보스",VLOOKUP($C624,'#Data'!$B$2:$J$344,4,FALSE)="중간"),TRUE,FALSE)</f>
        <v>0</v>
      </c>
      <c r="I624" s="49" t="b">
        <v>0</v>
      </c>
      <c r="J624" s="49">
        <v>10</v>
      </c>
      <c r="K624" s="49">
        <f t="shared" si="19"/>
        <v>10</v>
      </c>
      <c r="L624" s="65" t="s">
        <v>1325</v>
      </c>
      <c r="M624" s="65"/>
      <c r="N624" s="65"/>
      <c r="O624" s="135" t="s">
        <v>1330</v>
      </c>
      <c r="P624" s="135" t="s">
        <v>2006</v>
      </c>
      <c r="Q624" s="135"/>
      <c r="R624" s="66"/>
      <c r="S624" s="66"/>
      <c r="T624" s="66"/>
      <c r="U624" s="66"/>
      <c r="V624" s="49" t="b">
        <v>0</v>
      </c>
      <c r="W624" s="49" t="str">
        <f>"Character/Prefabs/"&amp;VLOOKUP($C624,'#Data'!$B$3:$I$344,8,FALSE)</f>
        <v>Character/Prefabs/m_m_tanker_trooper_silhouette_guard_4</v>
      </c>
      <c r="X624" s="49"/>
      <c r="Y624" s="49" t="str">
        <f>VLOOKUP($C624,'#Data'!$B$3:$I$344,8,FALSE)</f>
        <v>m_m_tanker_trooper_silhouette_guard_4</v>
      </c>
      <c r="Z624" s="49"/>
      <c r="AA624" s="49"/>
      <c r="AB624" s="49"/>
      <c r="AC624" s="89">
        <v>0.8</v>
      </c>
      <c r="AD624" s="49"/>
      <c r="AE624" s="49"/>
      <c r="AF624" s="49"/>
      <c r="AG624" s="49" t="s">
        <v>2106</v>
      </c>
      <c r="AH624" s="85"/>
    </row>
    <row r="625" spans="1:34" x14ac:dyDescent="0.3">
      <c r="A625" s="49">
        <f t="shared" si="18"/>
        <v>1410202118</v>
      </c>
      <c r="B625" s="49" t="s">
        <v>82</v>
      </c>
      <c r="C625" s="49" t="s">
        <v>1226</v>
      </c>
      <c r="D625" s="49" t="str">
        <f>"Monster.Name."&amp;VLOOKUP($C625,'#Data'!$B$2:$J$344,2,FALSE)</f>
        <v>Monster.Name.trooper_silhouette_inferno_4</v>
      </c>
      <c r="E625" s="49" t="s">
        <v>43</v>
      </c>
      <c r="F625" s="50" t="s">
        <v>44</v>
      </c>
      <c r="G625" s="49" t="s">
        <v>45</v>
      </c>
      <c r="H625" s="49" t="b">
        <f>IF(OR(VLOOKUP($C625,'#Data'!$B$2:$J$344,4,FALSE)="보스",VLOOKUP($C625,'#Data'!$B$2:$J$344,4,FALSE)="중간"),TRUE,FALSE)</f>
        <v>0</v>
      </c>
      <c r="I625" s="49" t="b">
        <v>0</v>
      </c>
      <c r="J625" s="49">
        <v>10</v>
      </c>
      <c r="K625" s="49">
        <f t="shared" si="19"/>
        <v>10</v>
      </c>
      <c r="L625" s="65" t="s">
        <v>1326</v>
      </c>
      <c r="M625" s="65"/>
      <c r="N625" s="65"/>
      <c r="O625" s="135" t="s">
        <v>1331</v>
      </c>
      <c r="P625" s="135" t="s">
        <v>2007</v>
      </c>
      <c r="Q625" s="135"/>
      <c r="R625" s="66"/>
      <c r="S625" s="66"/>
      <c r="T625" s="66"/>
      <c r="U625" s="66"/>
      <c r="V625" s="49" t="b">
        <v>0</v>
      </c>
      <c r="W625" s="49" t="str">
        <f>"Character/Prefabs/"&amp;VLOOKUP($C625,'#Data'!$B$3:$I$344,8,FALSE)</f>
        <v>Character/Prefabs/m_m_attacker_trooper_silhouette_inferno_4</v>
      </c>
      <c r="X625" s="49"/>
      <c r="Y625" s="49" t="str">
        <f>VLOOKUP($C625,'#Data'!$B$3:$I$344,8,FALSE)</f>
        <v>m_m_attacker_trooper_silhouette_inferno_4</v>
      </c>
      <c r="Z625" s="49"/>
      <c r="AA625" s="49"/>
      <c r="AB625" s="49"/>
      <c r="AC625" s="89">
        <v>0.8</v>
      </c>
      <c r="AD625" s="49"/>
      <c r="AE625" s="49"/>
      <c r="AF625" s="49"/>
      <c r="AG625" s="49" t="s">
        <v>2106</v>
      </c>
      <c r="AH625" s="85"/>
    </row>
    <row r="626" spans="1:34" x14ac:dyDescent="0.3">
      <c r="A626" s="12">
        <f t="shared" si="18"/>
        <v>1410202201</v>
      </c>
      <c r="B626" s="12" t="s">
        <v>82</v>
      </c>
      <c r="C626" s="12" t="s">
        <v>92</v>
      </c>
      <c r="D626" s="12" t="str">
        <f>"Monster.Name."&amp;VLOOKUP($C626,'#Data'!$B$2:$J$344,2,FALSE)</f>
        <v>Monster.Name.shelter_sweeper_r_1</v>
      </c>
      <c r="E626" s="12" t="s">
        <v>43</v>
      </c>
      <c r="F626" s="39" t="s">
        <v>44</v>
      </c>
      <c r="G626" s="12" t="s">
        <v>45</v>
      </c>
      <c r="H626" s="12" t="b">
        <f>IF(OR(VLOOKUP($C626,'#Data'!$B$2:$J$344,4,FALSE)="보스",VLOOKUP($C626,'#Data'!$B$2:$J$344,4,FALSE)="중간"),TRUE,FALSE)</f>
        <v>1</v>
      </c>
      <c r="I626" s="12" t="b">
        <v>1</v>
      </c>
      <c r="J626" s="12">
        <v>20</v>
      </c>
      <c r="K626" s="12">
        <f t="shared" si="19"/>
        <v>10</v>
      </c>
      <c r="L626" s="63" t="str">
        <f>$B626&amp;"."&amp;VLOOKUP($C626,'#Data'!$B$2:$J$344,2,FALSE)&amp;".attack0"&amp;RIGHT(L$1,1)</f>
        <v>Sector02.shelter_sweeper_r_1.attack01</v>
      </c>
      <c r="M626" s="63"/>
      <c r="N626" s="63"/>
      <c r="O626" s="134" t="str">
        <f>$B626&amp;"."&amp;VLOOKUP($C626,'#Data'!$B$2:$J$344,2,FALSE)&amp;".skill0"&amp;RIGHT(O$1,1)</f>
        <v>Sector02.shelter_sweeper_r_1.skill01</v>
      </c>
      <c r="P626" s="134" t="str">
        <f>$B626&amp;"."&amp;VLOOKUP($C626,'#Data'!$B$2:$J$344,2,FALSE)&amp;".skill0"&amp;RIGHT(P$1,1)</f>
        <v>Sector02.shelter_sweeper_r_1.skill02</v>
      </c>
      <c r="Q626" s="134"/>
      <c r="R626" s="64"/>
      <c r="S626" s="64" t="s">
        <v>2076</v>
      </c>
      <c r="T626" s="64"/>
      <c r="U626" s="64"/>
      <c r="V626" s="12" t="b">
        <v>0</v>
      </c>
      <c r="W626" s="12" t="str">
        <f>"Character/Prefabs/"&amp;VLOOKUP($C626,'#Data'!$B$3:$I$344,8,FALSE)</f>
        <v>Character/Prefabs/m_m_attacker_shelter_sweeper_r_1</v>
      </c>
      <c r="X626" s="12"/>
      <c r="Y626" s="12" t="str">
        <f>VLOOKUP($C626,'#Data'!$B$3:$I$344,8,FALSE)</f>
        <v>m_m_attacker_shelter_sweeper_r_1</v>
      </c>
      <c r="Z626" s="12"/>
      <c r="AA626" s="12"/>
      <c r="AB626" s="12"/>
      <c r="AC626" s="88">
        <v>0.9</v>
      </c>
      <c r="AD626" s="12"/>
      <c r="AE626" s="12"/>
      <c r="AF626" s="12"/>
      <c r="AG626" s="12" t="s">
        <v>2106</v>
      </c>
      <c r="AH626" s="85"/>
    </row>
    <row r="627" spans="1:34" x14ac:dyDescent="0.3">
      <c r="A627" s="12">
        <f t="shared" si="18"/>
        <v>1410202202</v>
      </c>
      <c r="B627" s="12" t="s">
        <v>82</v>
      </c>
      <c r="C627" s="12" t="s">
        <v>93</v>
      </c>
      <c r="D627" s="12" t="str">
        <f>"Monster.Name."&amp;VLOOKUP($C627,'#Data'!$B$2:$J$344,2,FALSE)</f>
        <v>Monster.Name.shelter_sweeper_v_1</v>
      </c>
      <c r="E627" s="12" t="s">
        <v>47</v>
      </c>
      <c r="F627" s="39" t="s">
        <v>44</v>
      </c>
      <c r="G627" s="12" t="s">
        <v>45</v>
      </c>
      <c r="H627" s="12" t="b">
        <f>IF(OR(VLOOKUP($C627,'#Data'!$B$2:$J$344,4,FALSE)="보스",VLOOKUP($C627,'#Data'!$B$2:$J$344,4,FALSE)="중간"),TRUE,FALSE)</f>
        <v>1</v>
      </c>
      <c r="I627" s="12" t="b">
        <v>1</v>
      </c>
      <c r="J627" s="12">
        <v>20</v>
      </c>
      <c r="K627" s="12">
        <f t="shared" si="19"/>
        <v>10</v>
      </c>
      <c r="L627" s="63" t="str">
        <f>$B627&amp;"."&amp;VLOOKUP($C627,'#Data'!$B$2:$J$344,2,FALSE)&amp;".attack0"&amp;RIGHT(L$1,1)</f>
        <v>Sector02.shelter_sweeper_v_1.attack01</v>
      </c>
      <c r="M627" s="63"/>
      <c r="N627" s="63"/>
      <c r="O627" s="134" t="str">
        <f>$B627&amp;"."&amp;VLOOKUP($C627,'#Data'!$B$2:$J$344,2,FALSE)&amp;".skill0"&amp;RIGHT(O$1,1)</f>
        <v>Sector02.shelter_sweeper_v_1.skill01</v>
      </c>
      <c r="P627" s="134" t="str">
        <f>$B627&amp;"."&amp;VLOOKUP($C627,'#Data'!$B$2:$J$344,2,FALSE)&amp;".skill0"&amp;RIGHT(P$1,1)</f>
        <v>Sector02.shelter_sweeper_v_1.skill02</v>
      </c>
      <c r="Q627" s="134"/>
      <c r="R627" s="64"/>
      <c r="S627" s="64" t="s">
        <v>2076</v>
      </c>
      <c r="T627" s="64"/>
      <c r="U627" s="64"/>
      <c r="V627" s="12" t="b">
        <v>0</v>
      </c>
      <c r="W627" s="12" t="str">
        <f>"Character/Prefabs/"&amp;VLOOKUP($C627,'#Data'!$B$3:$I$344,8,FALSE)</f>
        <v>Character/Prefabs/m_m_ranger_shelter_sweeper_v_1</v>
      </c>
      <c r="X627" s="12"/>
      <c r="Y627" s="12" t="str">
        <f>VLOOKUP($C627,'#Data'!$B$3:$I$344,8,FALSE)</f>
        <v>m_m_ranger_shelter_sweeper_v_1</v>
      </c>
      <c r="Z627" s="12"/>
      <c r="AA627" s="12"/>
      <c r="AB627" s="12"/>
      <c r="AC627" s="88">
        <v>0.9</v>
      </c>
      <c r="AD627" s="12"/>
      <c r="AE627" s="12"/>
      <c r="AF627" s="12"/>
      <c r="AG627" s="12" t="s">
        <v>2106</v>
      </c>
      <c r="AH627" s="85"/>
    </row>
    <row r="628" spans="1:34" x14ac:dyDescent="0.3">
      <c r="A628" s="12">
        <f t="shared" si="18"/>
        <v>1410202203</v>
      </c>
      <c r="B628" s="12" t="s">
        <v>82</v>
      </c>
      <c r="C628" s="12" t="s">
        <v>94</v>
      </c>
      <c r="D628" s="12" t="str">
        <f>"Monster.Name."&amp;VLOOKUP($C628,'#Data'!$B$2:$J$344,2,FALSE)</f>
        <v>Monster.Name.shelter_sweeper_g_1</v>
      </c>
      <c r="E628" s="12" t="s">
        <v>58</v>
      </c>
      <c r="F628" s="39" t="s">
        <v>44</v>
      </c>
      <c r="G628" s="12" t="s">
        <v>45</v>
      </c>
      <c r="H628" s="12" t="b">
        <f>IF(OR(VLOOKUP($C628,'#Data'!$B$2:$J$344,4,FALSE)="보스",VLOOKUP($C628,'#Data'!$B$2:$J$344,4,FALSE)="중간"),TRUE,FALSE)</f>
        <v>1</v>
      </c>
      <c r="I628" s="12" t="b">
        <v>1</v>
      </c>
      <c r="J628" s="12">
        <v>20</v>
      </c>
      <c r="K628" s="12">
        <f t="shared" si="19"/>
        <v>10</v>
      </c>
      <c r="L628" s="63" t="str">
        <f>$B628&amp;"."&amp;VLOOKUP($C628,'#Data'!$B$2:$J$344,2,FALSE)&amp;".attack0"&amp;RIGHT(L$1,1)</f>
        <v>Sector02.shelter_sweeper_g_1.attack01</v>
      </c>
      <c r="M628" s="63"/>
      <c r="N628" s="63"/>
      <c r="O628" s="134" t="str">
        <f>$B628&amp;"."&amp;VLOOKUP($C628,'#Data'!$B$2:$J$344,2,FALSE)&amp;".skill0"&amp;RIGHT(O$1,1)</f>
        <v>Sector02.shelter_sweeper_g_1.skill01</v>
      </c>
      <c r="P628" s="134" t="str">
        <f>$B628&amp;"."&amp;VLOOKUP($C628,'#Data'!$B$2:$J$344,2,FALSE)&amp;".skill0"&amp;RIGHT(P$1,1)</f>
        <v>Sector02.shelter_sweeper_g_1.skill02</v>
      </c>
      <c r="Q628" s="134"/>
      <c r="R628" s="64"/>
      <c r="S628" s="64" t="s">
        <v>2076</v>
      </c>
      <c r="T628" s="64"/>
      <c r="U628" s="64"/>
      <c r="V628" s="12" t="b">
        <v>0</v>
      </c>
      <c r="W628" s="12" t="str">
        <f>"Character/Prefabs/"&amp;VLOOKUP($C628,'#Data'!$B$3:$I$344,8,FALSE)</f>
        <v>Character/Prefabs/m_m_tanker_shelter_sweeper_g_1</v>
      </c>
      <c r="X628" s="12"/>
      <c r="Y628" s="12" t="str">
        <f>VLOOKUP($C628,'#Data'!$B$3:$I$344,8,FALSE)</f>
        <v>m_m_tanker_shelter_sweeper_g_1</v>
      </c>
      <c r="Z628" s="12"/>
      <c r="AA628" s="12"/>
      <c r="AB628" s="12"/>
      <c r="AC628" s="88">
        <v>0.9</v>
      </c>
      <c r="AD628" s="12"/>
      <c r="AE628" s="12"/>
      <c r="AF628" s="12"/>
      <c r="AG628" s="12" t="s">
        <v>2106</v>
      </c>
      <c r="AH628" s="85"/>
    </row>
    <row r="629" spans="1:34" x14ac:dyDescent="0.3">
      <c r="A629" s="77">
        <f t="shared" si="18"/>
        <v>1410202301</v>
      </c>
      <c r="B629" s="77" t="s">
        <v>41</v>
      </c>
      <c r="C629" s="77" t="s">
        <v>75</v>
      </c>
      <c r="D629" s="77" t="str">
        <f>"Monster.Name."&amp;VLOOKUP($C629,'#Data'!$B$2:$J$344,2,FALSE)</f>
        <v>Monster.Name.gallius_1</v>
      </c>
      <c r="E629" s="77" t="s">
        <v>58</v>
      </c>
      <c r="F629" s="78" t="s">
        <v>44</v>
      </c>
      <c r="G629" s="77" t="s">
        <v>45</v>
      </c>
      <c r="H629" s="77" t="b">
        <f>IF(OR(VLOOKUP($C629,'#Data'!$B$2:$J$344,4,FALSE)="보스",VLOOKUP($C629,'#Data'!$B$2:$J$344,4,FALSE)="중간"),TRUE,FALSE)</f>
        <v>1</v>
      </c>
      <c r="I629" s="77" t="b">
        <f>IF(OR(VLOOKUP($C629,'#Data'!$B$2:$J$344,4,FALSE)="보스",VLOOKUP($C629,'#Data'!$B$2:$J$344,4,FALSE)="중간"),TRUE,FALSE)</f>
        <v>1</v>
      </c>
      <c r="J629" s="77">
        <v>20</v>
      </c>
      <c r="K629" s="77">
        <f t="shared" si="19"/>
        <v>10</v>
      </c>
      <c r="L629" s="79" t="str">
        <f>$B629&amp;"."&amp;VLOOKUP($C629,'#Data'!$B$2:$J$344,2,FALSE)&amp;".attack0"&amp;RIGHT(L$1,1)</f>
        <v>Sector01.gallius_1.attack01</v>
      </c>
      <c r="M629" s="79"/>
      <c r="N629" s="79"/>
      <c r="O629" s="133" t="str">
        <f>$B629&amp;"."&amp;VLOOKUP($C629,'#Data'!$B$2:$J$344,2,FALSE)&amp;".skill0"&amp;RIGHT(O$1,1)</f>
        <v>Sector01.gallius_1.skill01</v>
      </c>
      <c r="P629" s="133" t="str">
        <f>$B629&amp;"."&amp;VLOOKUP($C629,'#Data'!$B$2:$J$344,2,FALSE)&amp;".skill0"&amp;RIGHT(P$1,1)</f>
        <v>Sector01.gallius_1.skill02</v>
      </c>
      <c r="Q629" s="133" t="s">
        <v>2070</v>
      </c>
      <c r="R629" s="80"/>
      <c r="S629" s="80" t="s">
        <v>76</v>
      </c>
      <c r="T629" s="80"/>
      <c r="U629" s="80"/>
      <c r="V629" s="77" t="b">
        <v>0</v>
      </c>
      <c r="W629" s="77" t="str">
        <f>"Character/Prefabs/"&amp;VLOOKUP($C629,'#Data'!$B$3:$I$344,8,FALSE)</f>
        <v>Character/Prefabs/m_boss_tanker_gallius_1</v>
      </c>
      <c r="X629" s="77"/>
      <c r="Y629" s="77" t="str">
        <f>VLOOKUP($C629,'#Data'!$B$3:$I$344,8,FALSE)</f>
        <v>m_boss_tanker_gallius_1</v>
      </c>
      <c r="Z629" s="77"/>
      <c r="AA629" s="77"/>
      <c r="AB629" s="77"/>
      <c r="AC629" s="87">
        <v>1.1000000000000001</v>
      </c>
      <c r="AD629" s="77"/>
      <c r="AE629" s="77" t="s">
        <v>77</v>
      </c>
      <c r="AF629" s="77" t="s">
        <v>78</v>
      </c>
      <c r="AG629" s="77" t="s">
        <v>2106</v>
      </c>
      <c r="AH629" s="85"/>
    </row>
    <row r="630" spans="1:34" x14ac:dyDescent="0.3">
      <c r="A630" s="77">
        <f t="shared" si="18"/>
        <v>1410202302</v>
      </c>
      <c r="B630" s="77" t="s">
        <v>41</v>
      </c>
      <c r="C630" s="77" t="s">
        <v>79</v>
      </c>
      <c r="D630" s="77" t="str">
        <f>"Monster.Name."&amp;VLOOKUP($C630,'#Data'!$B$2:$J$344,2,FALSE)</f>
        <v>Monster.Name.gallius_2</v>
      </c>
      <c r="E630" s="77" t="s">
        <v>58</v>
      </c>
      <c r="F630" s="78" t="s">
        <v>44</v>
      </c>
      <c r="G630" s="77" t="s">
        <v>45</v>
      </c>
      <c r="H630" s="77" t="b">
        <f>IF(OR(VLOOKUP($C630,'#Data'!$B$2:$J$344,4,FALSE)="보스",VLOOKUP($C630,'#Data'!$B$2:$J$344,4,FALSE)="중간"),TRUE,FALSE)</f>
        <v>1</v>
      </c>
      <c r="I630" s="77" t="b">
        <f>IF(OR(VLOOKUP($C630,'#Data'!$B$2:$J$344,4,FALSE)="보스",VLOOKUP($C630,'#Data'!$B$2:$J$344,4,FALSE)="중간"),TRUE,FALSE)</f>
        <v>1</v>
      </c>
      <c r="J630" s="77">
        <v>20</v>
      </c>
      <c r="K630" s="77">
        <f t="shared" si="19"/>
        <v>10</v>
      </c>
      <c r="L630" s="79" t="str">
        <f>$B630&amp;"."&amp;VLOOKUP($C630,'#Data'!$B$2:$J$344,2,FALSE)&amp;".attack0"&amp;RIGHT(L$1,1)</f>
        <v>Sector01.gallius_2.attack01</v>
      </c>
      <c r="M630" s="79"/>
      <c r="N630" s="79"/>
      <c r="O630" s="133" t="str">
        <f>$B630&amp;"."&amp;VLOOKUP($C630,'#Data'!$B$2:$J$344,2,FALSE)&amp;".skill0"&amp;RIGHT(O$1,1)</f>
        <v>Sector01.gallius_2.skill01</v>
      </c>
      <c r="P630" s="133" t="str">
        <f>$B630&amp;"."&amp;VLOOKUP($C630,'#Data'!$B$2:$J$344,2,FALSE)&amp;".skill0"&amp;RIGHT(P$1,1)</f>
        <v>Sector01.gallius_2.skill02</v>
      </c>
      <c r="Q630" s="133" t="str">
        <f>$B630&amp;"."&amp;VLOOKUP($C630,'#Data'!$B$2:$J$344,2,FALSE)&amp;".skill0"&amp;RIGHT(Q$1,1)</f>
        <v>Sector01.gallius_2.skill03</v>
      </c>
      <c r="R630" s="133" t="s">
        <v>2071</v>
      </c>
      <c r="S630" s="80" t="s">
        <v>76</v>
      </c>
      <c r="T630" s="80"/>
      <c r="U630" s="80"/>
      <c r="V630" s="77" t="b">
        <v>0</v>
      </c>
      <c r="W630" s="77" t="str">
        <f>"Character/Prefabs/"&amp;VLOOKUP($C630,'#Data'!$B$3:$I$344,8,FALSE)</f>
        <v>Character/Prefabs/m_boss_tanker_gallius_2</v>
      </c>
      <c r="X630" s="77"/>
      <c r="Y630" s="77" t="str">
        <f>VLOOKUP($C630,'#Data'!$B$3:$I$344,8,FALSE)</f>
        <v>m_boss_tanker_gallius_2</v>
      </c>
      <c r="Z630" s="77"/>
      <c r="AA630" s="77"/>
      <c r="AB630" s="77"/>
      <c r="AC630" s="87">
        <v>1.1000000000000001</v>
      </c>
      <c r="AD630" s="77"/>
      <c r="AE630" s="77" t="s">
        <v>80</v>
      </c>
      <c r="AF630" s="77" t="s">
        <v>81</v>
      </c>
      <c r="AG630" s="77" t="s">
        <v>2106</v>
      </c>
      <c r="AH630" s="85"/>
    </row>
    <row r="631" spans="1:34" x14ac:dyDescent="0.3">
      <c r="A631" s="41">
        <f t="shared" si="18"/>
        <v>1410203101</v>
      </c>
      <c r="B631" s="41" t="s">
        <v>105</v>
      </c>
      <c r="C631" s="41" t="s">
        <v>106</v>
      </c>
      <c r="D631" s="41" t="str">
        <f>"Monster.Name."&amp;VLOOKUP($C631,'#Data'!$B$2:$J$344,2,FALSE)</f>
        <v>Monster.Name.brain_hunter_1</v>
      </c>
      <c r="E631" s="41" t="s">
        <v>43</v>
      </c>
      <c r="F631" s="42" t="s">
        <v>44</v>
      </c>
      <c r="G631" s="41" t="s">
        <v>45</v>
      </c>
      <c r="H631" s="41" t="b">
        <f>IF(OR(VLOOKUP($C631,'#Data'!$B$2:$J$344,4,FALSE)="보스",VLOOKUP($C631,'#Data'!$B$2:$J$344,4,FALSE)="중간"),TRUE,FALSE)</f>
        <v>0</v>
      </c>
      <c r="I631" s="41" t="b">
        <v>0</v>
      </c>
      <c r="J631" s="41">
        <v>10</v>
      </c>
      <c r="K631" s="41">
        <f t="shared" si="19"/>
        <v>10</v>
      </c>
      <c r="L631" s="67" t="str">
        <f>$B631&amp;"."&amp;VLOOKUP($C631,'#Data'!$B$2:$J$344,2,FALSE)&amp;".attack0"&amp;RIGHT(L$1,1)</f>
        <v>Sector03.brain_hunter_1.attack01</v>
      </c>
      <c r="M631" s="67"/>
      <c r="N631" s="67"/>
      <c r="O631" s="137" t="str">
        <f>$B631&amp;"."&amp;VLOOKUP($C631,'#Data'!$B$2:$J$344,2,FALSE)&amp;".skill0"&amp;RIGHT(O$1,1)</f>
        <v>Sector03.brain_hunter_1.skill01</v>
      </c>
      <c r="P631" s="137"/>
      <c r="Q631" s="137"/>
      <c r="R631" s="68"/>
      <c r="S631" s="68"/>
      <c r="T631" s="68"/>
      <c r="U631" s="68"/>
      <c r="V631" s="41" t="b">
        <v>0</v>
      </c>
      <c r="W631" s="41" t="str">
        <f>"Character/Prefabs/"&amp;VLOOKUP($C631,'#Data'!$B$3:$I$344,8,FALSE)</f>
        <v>Character/Prefabs/m_s_attacker_brain_hunter_1</v>
      </c>
      <c r="X631" s="41"/>
      <c r="Y631" s="41" t="str">
        <f>VLOOKUP($C631,'#Data'!$B$3:$I$344,8,FALSE)</f>
        <v>m_s_attacker_brain_hunter_1</v>
      </c>
      <c r="Z631" s="41"/>
      <c r="AA631" s="41"/>
      <c r="AB631" s="41"/>
      <c r="AC631" s="90">
        <v>0.9</v>
      </c>
      <c r="AD631" s="41"/>
      <c r="AE631" s="41"/>
      <c r="AF631" s="41"/>
      <c r="AG631" s="41" t="s">
        <v>2106</v>
      </c>
      <c r="AH631" s="85"/>
    </row>
    <row r="632" spans="1:34" x14ac:dyDescent="0.3">
      <c r="A632" s="41">
        <f t="shared" si="18"/>
        <v>1410203102</v>
      </c>
      <c r="B632" s="41" t="s">
        <v>105</v>
      </c>
      <c r="C632" s="41" t="s">
        <v>107</v>
      </c>
      <c r="D632" s="41" t="str">
        <f>"Monster.Name."&amp;VLOOKUP($C632,'#Data'!$B$2:$J$344,2,FALSE)</f>
        <v>Monster.Name.infmecha_2</v>
      </c>
      <c r="E632" s="41" t="s">
        <v>43</v>
      </c>
      <c r="F632" s="42" t="s">
        <v>44</v>
      </c>
      <c r="G632" s="41" t="s">
        <v>45</v>
      </c>
      <c r="H632" s="41" t="b">
        <f>IF(OR(VLOOKUP($C632,'#Data'!$B$2:$J$344,4,FALSE)="보스",VLOOKUP($C632,'#Data'!$B$2:$J$344,4,FALSE)="중간"),TRUE,FALSE)</f>
        <v>0</v>
      </c>
      <c r="I632" s="41" t="b">
        <v>0</v>
      </c>
      <c r="J632" s="41">
        <v>10</v>
      </c>
      <c r="K632" s="41">
        <f t="shared" si="19"/>
        <v>10</v>
      </c>
      <c r="L632" s="67" t="str">
        <f>$B632&amp;"."&amp;VLOOKUP($C632,'#Data'!$B$2:$J$344,2,FALSE)&amp;".attack0"&amp;RIGHT(L$1,1)</f>
        <v>Sector03.infmecha_2.attack01</v>
      </c>
      <c r="M632" s="67"/>
      <c r="N632" s="67"/>
      <c r="O632" s="137" t="s">
        <v>2009</v>
      </c>
      <c r="P632" s="137"/>
      <c r="Q632" s="137"/>
      <c r="R632" s="68"/>
      <c r="S632" s="68"/>
      <c r="T632" s="68"/>
      <c r="U632" s="68"/>
      <c r="V632" s="41" t="b">
        <v>0</v>
      </c>
      <c r="W632" s="41" t="str">
        <f>"Character/Prefabs/"&amp;VLOOKUP($C632,'#Data'!$B$3:$I$344,8,FALSE)</f>
        <v>Character/Prefabs/m_s_attacker_infmecha_2</v>
      </c>
      <c r="X632" s="41"/>
      <c r="Y632" s="41" t="str">
        <f>VLOOKUP($C632,'#Data'!$B$3:$I$344,8,FALSE)</f>
        <v>m_s_attacker_infmecha_2</v>
      </c>
      <c r="Z632" s="41"/>
      <c r="AA632" s="41"/>
      <c r="AB632" s="41"/>
      <c r="AC632" s="90">
        <v>0.6</v>
      </c>
      <c r="AD632" s="41"/>
      <c r="AE632" s="41"/>
      <c r="AF632" s="41"/>
      <c r="AG632" s="41" t="s">
        <v>2106</v>
      </c>
      <c r="AH632" s="85"/>
    </row>
    <row r="633" spans="1:34" x14ac:dyDescent="0.3">
      <c r="A633" s="41">
        <f t="shared" si="18"/>
        <v>1410203103</v>
      </c>
      <c r="B633" s="41" t="s">
        <v>105</v>
      </c>
      <c r="C633" s="41" t="s">
        <v>108</v>
      </c>
      <c r="D633" s="41" t="str">
        <f>"Monster.Name."&amp;VLOOKUP($C633,'#Data'!$B$2:$J$344,2,FALSE)</f>
        <v>Monster.Name.core_hunter_1</v>
      </c>
      <c r="E633" s="41" t="s">
        <v>47</v>
      </c>
      <c r="F633" s="42" t="s">
        <v>44</v>
      </c>
      <c r="G633" s="41" t="s">
        <v>45</v>
      </c>
      <c r="H633" s="41" t="b">
        <f>IF(OR(VLOOKUP($C633,'#Data'!$B$2:$J$344,4,FALSE)="보스",VLOOKUP($C633,'#Data'!$B$2:$J$344,4,FALSE)="중간"),TRUE,FALSE)</f>
        <v>0</v>
      </c>
      <c r="I633" s="41" t="b">
        <v>0</v>
      </c>
      <c r="J633" s="41">
        <v>10</v>
      </c>
      <c r="K633" s="41">
        <f t="shared" si="19"/>
        <v>10</v>
      </c>
      <c r="L633" s="67" t="str">
        <f>$B633&amp;"."&amp;VLOOKUP($C633,'#Data'!$B$2:$J$344,2,FALSE)&amp;".attack0"&amp;RIGHT(L$1,1)</f>
        <v>Sector03.core_hunter_1.attack01</v>
      </c>
      <c r="M633" s="67"/>
      <c r="N633" s="67"/>
      <c r="O633" s="137" t="str">
        <f>$B633&amp;"."&amp;VLOOKUP($C633,'#Data'!$B$2:$J$344,2,FALSE)&amp;".skill0"&amp;RIGHT(O$1,1)</f>
        <v>Sector03.core_hunter_1.skill01</v>
      </c>
      <c r="P633" s="137" t="s">
        <v>2010</v>
      </c>
      <c r="Q633" s="137"/>
      <c r="R633" s="68"/>
      <c r="S633" s="68"/>
      <c r="T633" s="68"/>
      <c r="U633" s="68"/>
      <c r="V633" s="41" t="b">
        <v>0</v>
      </c>
      <c r="W633" s="41" t="str">
        <f>"Character/Prefabs/"&amp;VLOOKUP($C633,'#Data'!$B$3:$I$344,8,FALSE)</f>
        <v>Character/Prefabs/m_s_ranger_core_hunter_1</v>
      </c>
      <c r="X633" s="41"/>
      <c r="Y633" s="41" t="str">
        <f>VLOOKUP($C633,'#Data'!$B$3:$I$344,8,FALSE)</f>
        <v>m_s_ranger_core_hunter_1</v>
      </c>
      <c r="Z633" s="41"/>
      <c r="AA633" s="41"/>
      <c r="AB633" s="41"/>
      <c r="AC633" s="90">
        <v>0.9</v>
      </c>
      <c r="AD633" s="41"/>
      <c r="AE633" s="41"/>
      <c r="AF633" s="41"/>
      <c r="AG633" s="41" t="s">
        <v>2106</v>
      </c>
      <c r="AH633" s="85"/>
    </row>
    <row r="634" spans="1:34" x14ac:dyDescent="0.3">
      <c r="A634" s="41">
        <f t="shared" si="18"/>
        <v>1410203104</v>
      </c>
      <c r="B634" s="41" t="s">
        <v>105</v>
      </c>
      <c r="C634" s="41" t="s">
        <v>109</v>
      </c>
      <c r="D634" s="41" t="str">
        <f>"Monster.Name."&amp;VLOOKUP($C634,'#Data'!$B$2:$J$344,2,FALSE)</f>
        <v>Monster.Name.infturret_2</v>
      </c>
      <c r="E634" s="41" t="s">
        <v>47</v>
      </c>
      <c r="F634" s="42" t="s">
        <v>44</v>
      </c>
      <c r="G634" s="41" t="s">
        <v>45</v>
      </c>
      <c r="H634" s="41" t="b">
        <f>IF(OR(VLOOKUP($C634,'#Data'!$B$2:$J$344,4,FALSE)="보스",VLOOKUP($C634,'#Data'!$B$2:$J$344,4,FALSE)="중간"),TRUE,FALSE)</f>
        <v>0</v>
      </c>
      <c r="I634" s="41" t="b">
        <v>0</v>
      </c>
      <c r="J634" s="41">
        <v>10</v>
      </c>
      <c r="K634" s="41">
        <f t="shared" si="19"/>
        <v>10</v>
      </c>
      <c r="L634" s="67" t="str">
        <f>$B634&amp;"."&amp;VLOOKUP($C634,'#Data'!$B$2:$J$344,2,FALSE)&amp;".attack0"&amp;RIGHT(L$1,1)</f>
        <v>Sector03.infturret_2.attack01</v>
      </c>
      <c r="M634" s="67"/>
      <c r="N634" s="67"/>
      <c r="O634" s="137" t="s">
        <v>2011</v>
      </c>
      <c r="P634" s="137"/>
      <c r="Q634" s="137"/>
      <c r="R634" s="68"/>
      <c r="S634" s="68"/>
      <c r="T634" s="68"/>
      <c r="U634" s="68"/>
      <c r="V634" s="41" t="b">
        <v>0</v>
      </c>
      <c r="W634" s="41" t="str">
        <f>"Character/Prefabs/"&amp;VLOOKUP($C634,'#Data'!$B$3:$I$344,8,FALSE)</f>
        <v>Character/Prefabs/m_s_ranger_infturret_2</v>
      </c>
      <c r="X634" s="41"/>
      <c r="Y634" s="41" t="str">
        <f>VLOOKUP($C634,'#Data'!$B$3:$I$344,8,FALSE)</f>
        <v>m_s_ranger_infturret_2</v>
      </c>
      <c r="Z634" s="41"/>
      <c r="AA634" s="41"/>
      <c r="AB634" s="41"/>
      <c r="AC634" s="90">
        <v>0.6</v>
      </c>
      <c r="AD634" s="41"/>
      <c r="AE634" s="41"/>
      <c r="AF634" s="41"/>
      <c r="AG634" s="41" t="s">
        <v>2106</v>
      </c>
      <c r="AH634" s="85"/>
    </row>
    <row r="635" spans="1:34" x14ac:dyDescent="0.3">
      <c r="A635" s="41">
        <f t="shared" si="18"/>
        <v>1410203105</v>
      </c>
      <c r="B635" s="41" t="s">
        <v>105</v>
      </c>
      <c r="C635" s="41" t="s">
        <v>110</v>
      </c>
      <c r="D635" s="41" t="str">
        <f>"Monster.Name."&amp;VLOOKUP($C635,'#Data'!$B$2:$J$344,2,FALSE)</f>
        <v>Monster.Name.infdust_shield_2</v>
      </c>
      <c r="E635" s="41" t="s">
        <v>58</v>
      </c>
      <c r="F635" s="42" t="s">
        <v>44</v>
      </c>
      <c r="G635" s="41" t="s">
        <v>45</v>
      </c>
      <c r="H635" s="41" t="b">
        <f>IF(OR(VLOOKUP($C635,'#Data'!$B$2:$J$344,4,FALSE)="보스",VLOOKUP($C635,'#Data'!$B$2:$J$344,4,FALSE)="중간"),TRUE,FALSE)</f>
        <v>0</v>
      </c>
      <c r="I635" s="41" t="b">
        <v>0</v>
      </c>
      <c r="J635" s="41">
        <v>10</v>
      </c>
      <c r="K635" s="41">
        <f t="shared" si="19"/>
        <v>10</v>
      </c>
      <c r="L635" s="67" t="str">
        <f>$B635&amp;"."&amp;VLOOKUP($C635,'#Data'!$B$2:$J$344,2,FALSE)&amp;".attack0"&amp;RIGHT(L$1,1)</f>
        <v>Sector03.infdust_shield_2.attack01</v>
      </c>
      <c r="M635" s="67"/>
      <c r="N635" s="67"/>
      <c r="O635" s="137" t="str">
        <f>$B635&amp;"."&amp;VLOOKUP($C635,'#Data'!$B$2:$J$344,2,FALSE)&amp;".skill0"&amp;RIGHT(O$1,1)</f>
        <v>Sector03.infdust_shield_2.skill01</v>
      </c>
      <c r="P635" s="137" t="s">
        <v>2012</v>
      </c>
      <c r="Q635" s="137"/>
      <c r="R635" s="68"/>
      <c r="S635" s="68"/>
      <c r="T635" s="68"/>
      <c r="U635" s="68"/>
      <c r="V635" s="41" t="b">
        <v>0</v>
      </c>
      <c r="W635" s="41" t="str">
        <f>"Character/Prefabs/"&amp;VLOOKUP($C635,'#Data'!$B$3:$I$344,8,FALSE)</f>
        <v>Character/Prefabs/m_m_tanker_infdust_shield_2</v>
      </c>
      <c r="X635" s="41"/>
      <c r="Y635" s="41" t="str">
        <f>VLOOKUP($C635,'#Data'!$B$3:$I$344,8,FALSE)</f>
        <v>m_m_tanker_infdust_shield_2</v>
      </c>
      <c r="Z635" s="41"/>
      <c r="AA635" s="41"/>
      <c r="AB635" s="41"/>
      <c r="AC635" s="90">
        <v>0.7</v>
      </c>
      <c r="AD635" s="41"/>
      <c r="AE635" s="41"/>
      <c r="AF635" s="41"/>
      <c r="AG635" s="41" t="s">
        <v>2106</v>
      </c>
      <c r="AH635" s="85"/>
    </row>
    <row r="636" spans="1:34" x14ac:dyDescent="0.3">
      <c r="A636" s="41">
        <f t="shared" si="18"/>
        <v>1410203106</v>
      </c>
      <c r="B636" s="41" t="s">
        <v>105</v>
      </c>
      <c r="C636" s="41" t="s">
        <v>111</v>
      </c>
      <c r="D636" s="41" t="str">
        <f>"Monster.Name."&amp;VLOOKUP($C636,'#Data'!$B$2:$J$344,2,FALSE)</f>
        <v>Monster.Name.infdust_gauntlet_2</v>
      </c>
      <c r="E636" s="41" t="s">
        <v>43</v>
      </c>
      <c r="F636" s="42" t="s">
        <v>44</v>
      </c>
      <c r="G636" s="41" t="s">
        <v>45</v>
      </c>
      <c r="H636" s="41" t="b">
        <f>IF(OR(VLOOKUP($C636,'#Data'!$B$2:$J$344,4,FALSE)="보스",VLOOKUP($C636,'#Data'!$B$2:$J$344,4,FALSE)="중간"),TRUE,FALSE)</f>
        <v>0</v>
      </c>
      <c r="I636" s="41" t="b">
        <v>0</v>
      </c>
      <c r="J636" s="41">
        <v>10</v>
      </c>
      <c r="K636" s="41">
        <f t="shared" si="19"/>
        <v>10</v>
      </c>
      <c r="L636" s="67" t="str">
        <f>$B636&amp;"."&amp;VLOOKUP($C636,'#Data'!$B$2:$J$344,2,FALSE)&amp;".attack0"&amp;RIGHT(L$1,1)</f>
        <v>Sector03.infdust_gauntlet_2.attack01</v>
      </c>
      <c r="M636" s="67"/>
      <c r="N636" s="67"/>
      <c r="O636" s="137" t="str">
        <f>$B636&amp;"."&amp;VLOOKUP($C636,'#Data'!$B$2:$J$344,2,FALSE)&amp;".skill0"&amp;RIGHT(O$1,1)</f>
        <v>Sector03.infdust_gauntlet_2.skill01</v>
      </c>
      <c r="P636" s="137" t="s">
        <v>2013</v>
      </c>
      <c r="Q636" s="137"/>
      <c r="R636" s="68"/>
      <c r="S636" s="68"/>
      <c r="T636" s="68"/>
      <c r="U636" s="68"/>
      <c r="V636" s="41" t="b">
        <v>0</v>
      </c>
      <c r="W636" s="41" t="str">
        <f>"Character/Prefabs/"&amp;VLOOKUP($C636,'#Data'!$B$3:$I$344,8,FALSE)</f>
        <v>Character/Prefabs/m_m_attacker_infdust_gauntlet_2</v>
      </c>
      <c r="X636" s="41"/>
      <c r="Y636" s="41" t="str">
        <f>VLOOKUP($C636,'#Data'!$B$3:$I$344,8,FALSE)</f>
        <v>m_m_attacker_infdust_gauntlet_2</v>
      </c>
      <c r="Z636" s="41"/>
      <c r="AA636" s="41"/>
      <c r="AB636" s="41"/>
      <c r="AC636" s="90">
        <v>0.7</v>
      </c>
      <c r="AD636" s="41"/>
      <c r="AE636" s="41"/>
      <c r="AF636" s="41"/>
      <c r="AG636" s="41" t="s">
        <v>2106</v>
      </c>
      <c r="AH636" s="85"/>
    </row>
    <row r="637" spans="1:34" x14ac:dyDescent="0.3">
      <c r="A637" s="41">
        <f t="shared" si="18"/>
        <v>1410203107</v>
      </c>
      <c r="B637" s="41" t="s">
        <v>105</v>
      </c>
      <c r="C637" s="41" t="s">
        <v>112</v>
      </c>
      <c r="D637" s="41" t="str">
        <f>"Monster.Name."&amp;VLOOKUP($C637,'#Data'!$B$2:$J$344,2,FALSE)</f>
        <v>Monster.Name.infdust_rifle_2</v>
      </c>
      <c r="E637" s="41" t="s">
        <v>47</v>
      </c>
      <c r="F637" s="42" t="s">
        <v>44</v>
      </c>
      <c r="G637" s="41" t="s">
        <v>45</v>
      </c>
      <c r="H637" s="41" t="b">
        <f>IF(OR(VLOOKUP($C637,'#Data'!$B$2:$J$344,4,FALSE)="보스",VLOOKUP($C637,'#Data'!$B$2:$J$344,4,FALSE)="중간"),TRUE,FALSE)</f>
        <v>0</v>
      </c>
      <c r="I637" s="41" t="b">
        <v>0</v>
      </c>
      <c r="J637" s="41">
        <v>10</v>
      </c>
      <c r="K637" s="41">
        <f t="shared" si="19"/>
        <v>10</v>
      </c>
      <c r="L637" s="67" t="str">
        <f>$B637&amp;"."&amp;VLOOKUP($C637,'#Data'!$B$2:$J$344,2,FALSE)&amp;".attack0"&amp;RIGHT(L$1,1)</f>
        <v>Sector03.infdust_rifle_2.attack01</v>
      </c>
      <c r="M637" s="67"/>
      <c r="N637" s="67"/>
      <c r="O637" s="137" t="str">
        <f>$B637&amp;"."&amp;VLOOKUP($C637,'#Data'!$B$2:$J$344,2,FALSE)&amp;".skill0"&amp;RIGHT(O$1,1)</f>
        <v>Sector03.infdust_rifle_2.skill01</v>
      </c>
      <c r="P637" s="137" t="s">
        <v>2014</v>
      </c>
      <c r="Q637" s="137"/>
      <c r="R637" s="68"/>
      <c r="S637" s="68"/>
      <c r="T637" s="68"/>
      <c r="U637" s="68"/>
      <c r="V637" s="41" t="b">
        <v>0</v>
      </c>
      <c r="W637" s="41" t="str">
        <f>"Character/Prefabs/"&amp;VLOOKUP($C637,'#Data'!$B$3:$I$344,8,FALSE)</f>
        <v>Character/Prefabs/m_m_ranger_infdust_rifle_2</v>
      </c>
      <c r="X637" s="41"/>
      <c r="Y637" s="41" t="str">
        <f>VLOOKUP($C637,'#Data'!$B$3:$I$344,8,FALSE)</f>
        <v>m_m_ranger_infdust_rifle_2</v>
      </c>
      <c r="Z637" s="41"/>
      <c r="AA637" s="41"/>
      <c r="AB637" s="41"/>
      <c r="AC637" s="90">
        <v>0.7</v>
      </c>
      <c r="AD637" s="41"/>
      <c r="AE637" s="41"/>
      <c r="AF637" s="41"/>
      <c r="AG637" s="41" t="s">
        <v>2106</v>
      </c>
      <c r="AH637" s="85"/>
    </row>
    <row r="638" spans="1:34" x14ac:dyDescent="0.3">
      <c r="A638" s="41">
        <f t="shared" si="18"/>
        <v>1410203108</v>
      </c>
      <c r="B638" s="41" t="s">
        <v>105</v>
      </c>
      <c r="C638" s="41" t="s">
        <v>113</v>
      </c>
      <c r="D638" s="41" t="str">
        <f>"Monster.Name."&amp;VLOOKUP($C638,'#Data'!$B$2:$J$344,2,FALSE)</f>
        <v>Monster.Name.infdust_launcher_2</v>
      </c>
      <c r="E638" s="41" t="s">
        <v>47</v>
      </c>
      <c r="F638" s="42" t="s">
        <v>44</v>
      </c>
      <c r="G638" s="41" t="s">
        <v>45</v>
      </c>
      <c r="H638" s="41" t="b">
        <f>IF(OR(VLOOKUP($C638,'#Data'!$B$2:$J$344,4,FALSE)="보스",VLOOKUP($C638,'#Data'!$B$2:$J$344,4,FALSE)="중간"),TRUE,FALSE)</f>
        <v>0</v>
      </c>
      <c r="I638" s="41" t="b">
        <v>0</v>
      </c>
      <c r="J638" s="41">
        <v>10</v>
      </c>
      <c r="K638" s="41">
        <f t="shared" si="19"/>
        <v>10</v>
      </c>
      <c r="L638" s="67" t="str">
        <f>$B638&amp;"."&amp;VLOOKUP($C638,'#Data'!$B$2:$J$344,2,FALSE)&amp;".attack0"&amp;RIGHT(L$1,1)</f>
        <v>Sector03.infdust_launcher_2.attack01</v>
      </c>
      <c r="M638" s="67"/>
      <c r="N638" s="67"/>
      <c r="O638" s="137" t="str">
        <f>$B638&amp;"."&amp;VLOOKUP($C638,'#Data'!$B$2:$J$344,2,FALSE)&amp;".skill0"&amp;RIGHT(O$1,1)</f>
        <v>Sector03.infdust_launcher_2.skill01</v>
      </c>
      <c r="P638" s="137" t="s">
        <v>2015</v>
      </c>
      <c r="Q638" s="137"/>
      <c r="R638" s="68"/>
      <c r="S638" s="68"/>
      <c r="T638" s="68"/>
      <c r="U638" s="68"/>
      <c r="V638" s="41" t="b">
        <v>0</v>
      </c>
      <c r="W638" s="41" t="str">
        <f>"Character/Prefabs/"&amp;VLOOKUP($C638,'#Data'!$B$3:$I$344,8,FALSE)</f>
        <v>Character/Prefabs/m_m_ranger_infdust_launcher_2</v>
      </c>
      <c r="X638" s="41"/>
      <c r="Y638" s="41" t="str">
        <f>VLOOKUP($C638,'#Data'!$B$3:$I$344,8,FALSE)</f>
        <v>m_m_ranger_infdust_launcher_2</v>
      </c>
      <c r="Z638" s="41"/>
      <c r="AA638" s="41"/>
      <c r="AB638" s="41"/>
      <c r="AC638" s="90">
        <v>0.7</v>
      </c>
      <c r="AD638" s="41"/>
      <c r="AE638" s="41"/>
      <c r="AF638" s="41"/>
      <c r="AG638" s="41" t="s">
        <v>2106</v>
      </c>
      <c r="AH638" s="85"/>
    </row>
    <row r="639" spans="1:34" x14ac:dyDescent="0.3">
      <c r="A639" s="41">
        <f t="shared" si="18"/>
        <v>1410203109</v>
      </c>
      <c r="B639" s="41" t="s">
        <v>105</v>
      </c>
      <c r="C639" s="41" t="s">
        <v>114</v>
      </c>
      <c r="D639" s="41" t="str">
        <f>"Monster.Name."&amp;VLOOKUP($C639,'#Data'!$B$2:$J$344,2,FALSE)</f>
        <v>Monster.Name.head_snatcher_1</v>
      </c>
      <c r="E639" s="41" t="s">
        <v>43</v>
      </c>
      <c r="F639" s="42" t="s">
        <v>44</v>
      </c>
      <c r="G639" s="41" t="s">
        <v>45</v>
      </c>
      <c r="H639" s="41" t="b">
        <f>IF(OR(VLOOKUP($C639,'#Data'!$B$2:$J$344,4,FALSE)="보스",VLOOKUP($C639,'#Data'!$B$2:$J$344,4,FALSE)="중간"),TRUE,FALSE)</f>
        <v>0</v>
      </c>
      <c r="I639" s="41" t="b">
        <v>0</v>
      </c>
      <c r="J639" s="41">
        <v>10</v>
      </c>
      <c r="K639" s="41">
        <f t="shared" si="19"/>
        <v>10</v>
      </c>
      <c r="L639" s="67" t="str">
        <f>$B639&amp;"."&amp;VLOOKUP($C639,'#Data'!$B$2:$J$344,2,FALSE)&amp;".attack0"&amp;RIGHT(L$1,1)</f>
        <v>Sector03.head_snatcher_1.attack01</v>
      </c>
      <c r="M639" s="67"/>
      <c r="N639" s="67"/>
      <c r="O639" s="137" t="str">
        <f>$B639&amp;"."&amp;VLOOKUP($C639,'#Data'!$B$2:$J$344,2,FALSE)&amp;".skill0"&amp;RIGHT(O$1,1)</f>
        <v>Sector03.head_snatcher_1.skill01</v>
      </c>
      <c r="P639" s="137" t="s">
        <v>2016</v>
      </c>
      <c r="Q639" s="137"/>
      <c r="R639" s="68"/>
      <c r="S639" s="68"/>
      <c r="T639" s="68"/>
      <c r="U639" s="68"/>
      <c r="V639" s="41" t="b">
        <v>0</v>
      </c>
      <c r="W639" s="41" t="str">
        <f>"Character/Prefabs/"&amp;VLOOKUP($C639,'#Data'!$B$3:$I$344,8,FALSE)</f>
        <v>Character/Prefabs/m_m_attacker_head_snatcher_1</v>
      </c>
      <c r="X639" s="41"/>
      <c r="Y639" s="41" t="str">
        <f>VLOOKUP($C639,'#Data'!$B$3:$I$344,8,FALSE)</f>
        <v>m_m_attacker_head_snatcher_1</v>
      </c>
      <c r="Z639" s="41"/>
      <c r="AA639" s="41"/>
      <c r="AB639" s="41"/>
      <c r="AC639" s="90">
        <v>0.7</v>
      </c>
      <c r="AD639" s="41"/>
      <c r="AE639" s="41"/>
      <c r="AF639" s="41"/>
      <c r="AG639" s="41" t="s">
        <v>2106</v>
      </c>
      <c r="AH639" s="85"/>
    </row>
    <row r="640" spans="1:34" x14ac:dyDescent="0.3">
      <c r="A640" s="41">
        <f t="shared" si="18"/>
        <v>1410203110</v>
      </c>
      <c r="B640" s="41" t="s">
        <v>105</v>
      </c>
      <c r="C640" s="41" t="s">
        <v>115</v>
      </c>
      <c r="D640" s="41" t="str">
        <f>"Monster.Name."&amp;VLOOKUP($C640,'#Data'!$B$2:$J$344,2,FALSE)</f>
        <v>Monster.Name.core_snatcher_1</v>
      </c>
      <c r="E640" s="41" t="s">
        <v>47</v>
      </c>
      <c r="F640" s="42" t="s">
        <v>44</v>
      </c>
      <c r="G640" s="41" t="s">
        <v>45</v>
      </c>
      <c r="H640" s="41" t="b">
        <f>IF(OR(VLOOKUP($C640,'#Data'!$B$2:$J$344,4,FALSE)="보스",VLOOKUP($C640,'#Data'!$B$2:$J$344,4,FALSE)="중간"),TRUE,FALSE)</f>
        <v>0</v>
      </c>
      <c r="I640" s="41" t="b">
        <v>0</v>
      </c>
      <c r="J640" s="41">
        <v>10</v>
      </c>
      <c r="K640" s="41">
        <f t="shared" si="19"/>
        <v>10</v>
      </c>
      <c r="L640" s="67" t="str">
        <f>$B640&amp;"."&amp;VLOOKUP($C640,'#Data'!$B$2:$J$344,2,FALSE)&amp;".attack0"&amp;RIGHT(L$1,1)</f>
        <v>Sector03.core_snatcher_1.attack01</v>
      </c>
      <c r="M640" s="67"/>
      <c r="N640" s="67"/>
      <c r="O640" s="137" t="str">
        <f>$B640&amp;"."&amp;VLOOKUP($C640,'#Data'!$B$2:$J$344,2,FALSE)&amp;".skill0"&amp;RIGHT(O$1,1)</f>
        <v>Sector03.core_snatcher_1.skill01</v>
      </c>
      <c r="P640" s="137" t="s">
        <v>2017</v>
      </c>
      <c r="Q640" s="137"/>
      <c r="R640" s="68"/>
      <c r="S640" s="68"/>
      <c r="T640" s="68"/>
      <c r="U640" s="68"/>
      <c r="V640" s="41" t="b">
        <v>0</v>
      </c>
      <c r="W640" s="41" t="str">
        <f>"Character/Prefabs/"&amp;VLOOKUP($C640,'#Data'!$B$3:$I$344,8,FALSE)</f>
        <v>Character/Prefabs/m_m_ranger_core_snatcher_1</v>
      </c>
      <c r="X640" s="41"/>
      <c r="Y640" s="41" t="str">
        <f>VLOOKUP($C640,'#Data'!$B$3:$I$344,8,FALSE)</f>
        <v>m_m_ranger_core_snatcher_1</v>
      </c>
      <c r="Z640" s="41"/>
      <c r="AA640" s="41"/>
      <c r="AB640" s="41"/>
      <c r="AC640" s="90">
        <v>0.7</v>
      </c>
      <c r="AD640" s="41"/>
      <c r="AE640" s="41"/>
      <c r="AF640" s="41"/>
      <c r="AG640" s="41" t="s">
        <v>2106</v>
      </c>
      <c r="AH640" s="85"/>
    </row>
    <row r="641" spans="1:36" x14ac:dyDescent="0.3">
      <c r="A641" s="19">
        <f t="shared" si="18"/>
        <v>1410203111</v>
      </c>
      <c r="B641" s="19" t="s">
        <v>105</v>
      </c>
      <c r="C641" s="19" t="s">
        <v>1241</v>
      </c>
      <c r="D641" s="19" t="str">
        <f>"Monster.Name."&amp;VLOOKUP($C641,'#Data'!$B$2:$J$344,2,FALSE)</f>
        <v>Monster.Name.brain_hunter_2</v>
      </c>
      <c r="E641" s="19" t="s">
        <v>43</v>
      </c>
      <c r="F641" s="48" t="s">
        <v>44</v>
      </c>
      <c r="G641" s="19" t="s">
        <v>45</v>
      </c>
      <c r="H641" s="19" t="b">
        <f>IF(OR(VLOOKUP($C641,'#Data'!$B$2:$J$344,4,FALSE)="보스",VLOOKUP($C641,'#Data'!$B$2:$J$344,4,FALSE)="중간"),TRUE,FALSE)</f>
        <v>0</v>
      </c>
      <c r="I641" s="19" t="b">
        <v>0</v>
      </c>
      <c r="J641" s="19">
        <v>10</v>
      </c>
      <c r="K641" s="19">
        <f t="shared" si="19"/>
        <v>10</v>
      </c>
      <c r="L641" s="69" t="s">
        <v>1332</v>
      </c>
      <c r="M641" s="69"/>
      <c r="N641" s="69"/>
      <c r="O641" s="138"/>
      <c r="P641" s="138"/>
      <c r="Q641" s="138"/>
      <c r="R641" s="70"/>
      <c r="S641" s="70"/>
      <c r="T641" s="70"/>
      <c r="U641" s="70"/>
      <c r="V641" s="19" t="b">
        <v>0</v>
      </c>
      <c r="W641" s="19" t="str">
        <f>"Character/Prefabs/"&amp;VLOOKUP($C641,'#Data'!$B$3:$I$344,8,FALSE)</f>
        <v>Character/Prefabs/m_s_attacker_brain_hunter_2</v>
      </c>
      <c r="X641" s="19"/>
      <c r="Y641" s="19" t="str">
        <f>VLOOKUP($C641,'#Data'!$B$3:$I$344,8,FALSE)</f>
        <v>m_s_attacker_brain_hunter_2</v>
      </c>
      <c r="Z641" s="19"/>
      <c r="AA641" s="19"/>
      <c r="AB641" s="19"/>
      <c r="AC641" s="91">
        <v>0.9</v>
      </c>
      <c r="AD641" s="19"/>
      <c r="AE641" s="19"/>
      <c r="AF641" s="19"/>
      <c r="AG641" s="19" t="s">
        <v>2106</v>
      </c>
      <c r="AH641" s="85"/>
    </row>
    <row r="642" spans="1:36" x14ac:dyDescent="0.3">
      <c r="A642" s="19">
        <f t="shared" si="18"/>
        <v>1410203112</v>
      </c>
      <c r="B642" s="19" t="s">
        <v>105</v>
      </c>
      <c r="C642" s="19" t="s">
        <v>1243</v>
      </c>
      <c r="D642" s="19" t="str">
        <f>"Monster.Name."&amp;VLOOKUP($C642,'#Data'!$B$2:$J$344,2,FALSE)</f>
        <v>Monster.Name.infmecha_3</v>
      </c>
      <c r="E642" s="19" t="s">
        <v>43</v>
      </c>
      <c r="F642" s="48" t="s">
        <v>44</v>
      </c>
      <c r="G642" s="19" t="s">
        <v>45</v>
      </c>
      <c r="H642" s="19" t="b">
        <f>IF(OR(VLOOKUP($C642,'#Data'!$B$2:$J$344,4,FALSE)="보스",VLOOKUP($C642,'#Data'!$B$2:$J$344,4,FALSE)="중간"),TRUE,FALSE)</f>
        <v>0</v>
      </c>
      <c r="I642" s="19" t="b">
        <v>0</v>
      </c>
      <c r="J642" s="19">
        <v>10</v>
      </c>
      <c r="K642" s="19">
        <f t="shared" si="19"/>
        <v>10</v>
      </c>
      <c r="L642" s="69" t="s">
        <v>1333</v>
      </c>
      <c r="M642" s="69"/>
      <c r="N642" s="69"/>
      <c r="O642" s="138" t="s">
        <v>2009</v>
      </c>
      <c r="P642" s="138"/>
      <c r="Q642" s="138"/>
      <c r="R642" s="70"/>
      <c r="S642" s="70"/>
      <c r="T642" s="70"/>
      <c r="U642" s="70"/>
      <c r="V642" s="19" t="b">
        <v>0</v>
      </c>
      <c r="W642" s="19" t="str">
        <f>"Character/Prefabs/"&amp;VLOOKUP($C642,'#Data'!$B$3:$I$344,8,FALSE)</f>
        <v>Character/Prefabs/m_s_attacker_infmecha_3</v>
      </c>
      <c r="X642" s="19"/>
      <c r="Y642" s="19" t="str">
        <f>VLOOKUP($C642,'#Data'!$B$3:$I$344,8,FALSE)</f>
        <v>m_s_attacker_infmecha_3</v>
      </c>
      <c r="Z642" s="19"/>
      <c r="AA642" s="19"/>
      <c r="AB642" s="19"/>
      <c r="AC642" s="91">
        <v>0.6</v>
      </c>
      <c r="AD642" s="19"/>
      <c r="AE642" s="19"/>
      <c r="AF642" s="19"/>
      <c r="AG642" s="19" t="s">
        <v>2106</v>
      </c>
      <c r="AH642" s="85"/>
    </row>
    <row r="643" spans="1:36" x14ac:dyDescent="0.3">
      <c r="A643" s="19">
        <f t="shared" si="18"/>
        <v>1410203113</v>
      </c>
      <c r="B643" s="19" t="s">
        <v>105</v>
      </c>
      <c r="C643" s="19" t="s">
        <v>1245</v>
      </c>
      <c r="D643" s="19" t="str">
        <f>"Monster.Name."&amp;VLOOKUP($C643,'#Data'!$B$2:$J$344,2,FALSE)</f>
        <v>Monster.Name.core_hunter_2</v>
      </c>
      <c r="E643" s="19" t="s">
        <v>47</v>
      </c>
      <c r="F643" s="48" t="s">
        <v>44</v>
      </c>
      <c r="G643" s="19" t="s">
        <v>45</v>
      </c>
      <c r="H643" s="19" t="b">
        <f>IF(OR(VLOOKUP($C643,'#Data'!$B$2:$J$344,4,FALSE)="보스",VLOOKUP($C643,'#Data'!$B$2:$J$344,4,FALSE)="중간"),TRUE,FALSE)</f>
        <v>0</v>
      </c>
      <c r="I643" s="19" t="b">
        <v>0</v>
      </c>
      <c r="J643" s="19">
        <v>10</v>
      </c>
      <c r="K643" s="19">
        <f t="shared" si="19"/>
        <v>10</v>
      </c>
      <c r="L643" s="69" t="s">
        <v>1334</v>
      </c>
      <c r="M643" s="69"/>
      <c r="N643" s="69"/>
      <c r="O643" s="138" t="s">
        <v>2010</v>
      </c>
      <c r="P643" s="138"/>
      <c r="Q643" s="138"/>
      <c r="R643" s="70"/>
      <c r="S643" s="70"/>
      <c r="T643" s="70"/>
      <c r="U643" s="70"/>
      <c r="V643" s="19" t="b">
        <v>0</v>
      </c>
      <c r="W643" s="19" t="str">
        <f>"Character/Prefabs/"&amp;VLOOKUP($C643,'#Data'!$B$3:$I$344,8,FALSE)</f>
        <v>Character/Prefabs/m_s_ranger_core_hunter_2</v>
      </c>
      <c r="X643" s="19"/>
      <c r="Y643" s="19" t="str">
        <f>VLOOKUP($C643,'#Data'!$B$3:$I$344,8,FALSE)</f>
        <v>m_s_ranger_core_hunter_2</v>
      </c>
      <c r="Z643" s="19"/>
      <c r="AA643" s="19"/>
      <c r="AB643" s="19"/>
      <c r="AC643" s="91">
        <v>0.9</v>
      </c>
      <c r="AD643" s="19"/>
      <c r="AE643" s="19"/>
      <c r="AF643" s="19"/>
      <c r="AG643" s="19" t="s">
        <v>2106</v>
      </c>
      <c r="AH643" s="85"/>
    </row>
    <row r="644" spans="1:36" x14ac:dyDescent="0.3">
      <c r="A644" s="19">
        <f t="shared" si="18"/>
        <v>1410203114</v>
      </c>
      <c r="B644" s="19" t="s">
        <v>105</v>
      </c>
      <c r="C644" s="19" t="s">
        <v>1247</v>
      </c>
      <c r="D644" s="19" t="str">
        <f>"Monster.Name."&amp;VLOOKUP($C644,'#Data'!$B$2:$J$344,2,FALSE)</f>
        <v>Monster.Name.infturret_3</v>
      </c>
      <c r="E644" s="19" t="s">
        <v>47</v>
      </c>
      <c r="F644" s="48" t="s">
        <v>44</v>
      </c>
      <c r="G644" s="19" t="s">
        <v>45</v>
      </c>
      <c r="H644" s="19" t="b">
        <f>IF(OR(VLOOKUP($C644,'#Data'!$B$2:$J$344,4,FALSE)="보스",VLOOKUP($C644,'#Data'!$B$2:$J$344,4,FALSE)="중간"),TRUE,FALSE)</f>
        <v>0</v>
      </c>
      <c r="I644" s="19" t="b">
        <v>0</v>
      </c>
      <c r="J644" s="19">
        <v>10</v>
      </c>
      <c r="K644" s="19">
        <f t="shared" si="19"/>
        <v>10</v>
      </c>
      <c r="L644" s="69" t="s">
        <v>1335</v>
      </c>
      <c r="M644" s="69"/>
      <c r="N644" s="69"/>
      <c r="O644" s="138" t="s">
        <v>2011</v>
      </c>
      <c r="P644" s="138"/>
      <c r="Q644" s="138"/>
      <c r="R644" s="70"/>
      <c r="S644" s="70"/>
      <c r="T644" s="70"/>
      <c r="U644" s="70"/>
      <c r="V644" s="19" t="b">
        <v>0</v>
      </c>
      <c r="W644" s="19" t="str">
        <f>"Character/Prefabs/"&amp;VLOOKUP($C644,'#Data'!$B$3:$I$344,8,FALSE)</f>
        <v>Character/Prefabs/m_s_ranger_infturret_3</v>
      </c>
      <c r="X644" s="19"/>
      <c r="Y644" s="19" t="str">
        <f>VLOOKUP($C644,'#Data'!$B$3:$I$344,8,FALSE)</f>
        <v>m_s_ranger_infturret_3</v>
      </c>
      <c r="Z644" s="19"/>
      <c r="AA644" s="19"/>
      <c r="AB644" s="19"/>
      <c r="AC644" s="91">
        <v>0.6</v>
      </c>
      <c r="AD644" s="19"/>
      <c r="AE644" s="19"/>
      <c r="AF644" s="19"/>
      <c r="AG644" s="19" t="s">
        <v>2106</v>
      </c>
      <c r="AH644" s="85"/>
    </row>
    <row r="645" spans="1:36" x14ac:dyDescent="0.3">
      <c r="A645" s="19">
        <f t="shared" si="18"/>
        <v>1410203115</v>
      </c>
      <c r="B645" s="19" t="s">
        <v>105</v>
      </c>
      <c r="C645" s="19" t="s">
        <v>1249</v>
      </c>
      <c r="D645" s="19" t="str">
        <f>"Monster.Name."&amp;VLOOKUP($C645,'#Data'!$B$2:$J$344,2,FALSE)</f>
        <v>Monster.Name.infdust_shield_3</v>
      </c>
      <c r="E645" s="19" t="s">
        <v>58</v>
      </c>
      <c r="F645" s="48" t="s">
        <v>44</v>
      </c>
      <c r="G645" s="19" t="s">
        <v>45</v>
      </c>
      <c r="H645" s="19" t="b">
        <f>IF(OR(VLOOKUP($C645,'#Data'!$B$2:$J$344,4,FALSE)="보스",VLOOKUP($C645,'#Data'!$B$2:$J$344,4,FALSE)="중간"),TRUE,FALSE)</f>
        <v>0</v>
      </c>
      <c r="I645" s="19" t="b">
        <v>0</v>
      </c>
      <c r="J645" s="19">
        <v>10</v>
      </c>
      <c r="K645" s="19">
        <f t="shared" si="19"/>
        <v>10</v>
      </c>
      <c r="L645" s="69" t="s">
        <v>1336</v>
      </c>
      <c r="M645" s="69"/>
      <c r="N645" s="69"/>
      <c r="O645" s="138" t="s">
        <v>1342</v>
      </c>
      <c r="P645" s="138" t="s">
        <v>2012</v>
      </c>
      <c r="Q645" s="138"/>
      <c r="R645" s="70"/>
      <c r="S645" s="70"/>
      <c r="T645" s="70"/>
      <c r="U645" s="70"/>
      <c r="V645" s="19" t="b">
        <v>0</v>
      </c>
      <c r="W645" s="19" t="str">
        <f>"Character/Prefabs/"&amp;VLOOKUP($C645,'#Data'!$B$3:$I$344,8,FALSE)</f>
        <v>Character/Prefabs/m_m_tanker_infdust_shield_3</v>
      </c>
      <c r="X645" s="19"/>
      <c r="Y645" s="19" t="str">
        <f>VLOOKUP($C645,'#Data'!$B$3:$I$344,8,FALSE)</f>
        <v>m_m_tanker_infdust_shield_3</v>
      </c>
      <c r="Z645" s="19"/>
      <c r="AA645" s="19"/>
      <c r="AB645" s="19"/>
      <c r="AC645" s="91">
        <v>0.7</v>
      </c>
      <c r="AD645" s="19"/>
      <c r="AE645" s="19"/>
      <c r="AF645" s="19"/>
      <c r="AG645" s="19" t="s">
        <v>2106</v>
      </c>
      <c r="AH645" s="85"/>
    </row>
    <row r="646" spans="1:36" x14ac:dyDescent="0.3">
      <c r="A646" s="19">
        <f t="shared" si="18"/>
        <v>1410203116</v>
      </c>
      <c r="B646" s="19" t="s">
        <v>105</v>
      </c>
      <c r="C646" s="19" t="s">
        <v>1251</v>
      </c>
      <c r="D646" s="19" t="str">
        <f>"Monster.Name."&amp;VLOOKUP($C646,'#Data'!$B$2:$J$344,2,FALSE)</f>
        <v>Monster.Name.infdust_gauntlet_3</v>
      </c>
      <c r="E646" s="19" t="s">
        <v>43</v>
      </c>
      <c r="F646" s="48" t="s">
        <v>44</v>
      </c>
      <c r="G646" s="19" t="s">
        <v>45</v>
      </c>
      <c r="H646" s="19" t="b">
        <f>IF(OR(VLOOKUP($C646,'#Data'!$B$2:$J$344,4,FALSE)="보스",VLOOKUP($C646,'#Data'!$B$2:$J$344,4,FALSE)="중간"),TRUE,FALSE)</f>
        <v>0</v>
      </c>
      <c r="I646" s="19" t="b">
        <v>0</v>
      </c>
      <c r="J646" s="19">
        <v>10</v>
      </c>
      <c r="K646" s="19">
        <f t="shared" si="19"/>
        <v>10</v>
      </c>
      <c r="L646" s="69" t="s">
        <v>1337</v>
      </c>
      <c r="M646" s="69"/>
      <c r="N646" s="69"/>
      <c r="O646" s="138" t="s">
        <v>1343</v>
      </c>
      <c r="P646" s="138" t="s">
        <v>2013</v>
      </c>
      <c r="Q646" s="138"/>
      <c r="R646" s="70"/>
      <c r="S646" s="70"/>
      <c r="T646" s="70"/>
      <c r="U646" s="70"/>
      <c r="V646" s="19" t="b">
        <v>0</v>
      </c>
      <c r="W646" s="19" t="str">
        <f>"Character/Prefabs/"&amp;VLOOKUP($C646,'#Data'!$B$3:$I$344,8,FALSE)</f>
        <v>Character/Prefabs/m_m_attacker_infdust_gauntlet_3</v>
      </c>
      <c r="X646" s="19"/>
      <c r="Y646" s="19" t="str">
        <f>VLOOKUP($C646,'#Data'!$B$3:$I$344,8,FALSE)</f>
        <v>m_m_attacker_infdust_gauntlet_3</v>
      </c>
      <c r="Z646" s="19"/>
      <c r="AA646" s="19"/>
      <c r="AB646" s="19"/>
      <c r="AC646" s="91">
        <v>0.7</v>
      </c>
      <c r="AD646" s="19"/>
      <c r="AE646" s="19"/>
      <c r="AF646" s="19"/>
      <c r="AG646" s="19" t="s">
        <v>2106</v>
      </c>
      <c r="AH646" s="85"/>
    </row>
    <row r="647" spans="1:36" x14ac:dyDescent="0.3">
      <c r="A647" s="19">
        <f t="shared" si="18"/>
        <v>1410203117</v>
      </c>
      <c r="B647" s="19" t="s">
        <v>105</v>
      </c>
      <c r="C647" s="19" t="s">
        <v>1253</v>
      </c>
      <c r="D647" s="19" t="str">
        <f>"Monster.Name."&amp;VLOOKUP($C647,'#Data'!$B$2:$J$344,2,FALSE)</f>
        <v>Monster.Name.infdust_rifle_3</v>
      </c>
      <c r="E647" s="19" t="s">
        <v>47</v>
      </c>
      <c r="F647" s="48" t="s">
        <v>44</v>
      </c>
      <c r="G647" s="19" t="s">
        <v>45</v>
      </c>
      <c r="H647" s="19" t="b">
        <f>IF(OR(VLOOKUP($C647,'#Data'!$B$2:$J$344,4,FALSE)="보스",VLOOKUP($C647,'#Data'!$B$2:$J$344,4,FALSE)="중간"),TRUE,FALSE)</f>
        <v>0</v>
      </c>
      <c r="I647" s="19" t="b">
        <v>0</v>
      </c>
      <c r="J647" s="19">
        <v>10</v>
      </c>
      <c r="K647" s="19">
        <f t="shared" si="19"/>
        <v>10</v>
      </c>
      <c r="L647" s="69" t="s">
        <v>1338</v>
      </c>
      <c r="M647" s="69"/>
      <c r="N647" s="69"/>
      <c r="O647" s="138" t="s">
        <v>1344</v>
      </c>
      <c r="P647" s="138" t="s">
        <v>2014</v>
      </c>
      <c r="Q647" s="138"/>
      <c r="R647" s="70"/>
      <c r="S647" s="70"/>
      <c r="T647" s="70"/>
      <c r="U647" s="70"/>
      <c r="V647" s="19" t="b">
        <v>0</v>
      </c>
      <c r="W647" s="19" t="str">
        <f>"Character/Prefabs/"&amp;VLOOKUP($C647,'#Data'!$B$3:$I$344,8,FALSE)</f>
        <v>Character/Prefabs/m_m_ranger_infdust_rifle_3</v>
      </c>
      <c r="X647" s="19"/>
      <c r="Y647" s="19" t="str">
        <f>VLOOKUP($C647,'#Data'!$B$3:$I$344,8,FALSE)</f>
        <v>m_m_ranger_infdust_rifle_3</v>
      </c>
      <c r="Z647" s="19"/>
      <c r="AA647" s="19"/>
      <c r="AB647" s="19"/>
      <c r="AC647" s="91">
        <v>0.7</v>
      </c>
      <c r="AD647" s="19"/>
      <c r="AE647" s="19"/>
      <c r="AF647" s="19"/>
      <c r="AG647" s="19" t="s">
        <v>2106</v>
      </c>
      <c r="AH647" s="85"/>
    </row>
    <row r="648" spans="1:36" x14ac:dyDescent="0.3">
      <c r="A648" s="19">
        <f t="shared" si="18"/>
        <v>1410203118</v>
      </c>
      <c r="B648" s="19" t="s">
        <v>105</v>
      </c>
      <c r="C648" s="19" t="s">
        <v>1255</v>
      </c>
      <c r="D648" s="19" t="str">
        <f>"Monster.Name."&amp;VLOOKUP($C648,'#Data'!$B$2:$J$344,2,FALSE)</f>
        <v>Monster.Name.infdust_launcher_3</v>
      </c>
      <c r="E648" s="19" t="s">
        <v>47</v>
      </c>
      <c r="F648" s="48" t="s">
        <v>44</v>
      </c>
      <c r="G648" s="19" t="s">
        <v>45</v>
      </c>
      <c r="H648" s="19" t="b">
        <f>IF(OR(VLOOKUP($C648,'#Data'!$B$2:$J$344,4,FALSE)="보스",VLOOKUP($C648,'#Data'!$B$2:$J$344,4,FALSE)="중간"),TRUE,FALSE)</f>
        <v>0</v>
      </c>
      <c r="I648" s="19" t="b">
        <v>0</v>
      </c>
      <c r="J648" s="19">
        <v>10</v>
      </c>
      <c r="K648" s="19">
        <f t="shared" si="19"/>
        <v>10</v>
      </c>
      <c r="L648" s="69" t="s">
        <v>1339</v>
      </c>
      <c r="M648" s="69"/>
      <c r="N648" s="69"/>
      <c r="O648" s="138" t="s">
        <v>1345</v>
      </c>
      <c r="P648" s="138" t="s">
        <v>2015</v>
      </c>
      <c r="Q648" s="138"/>
      <c r="R648" s="70"/>
      <c r="S648" s="70"/>
      <c r="T648" s="70"/>
      <c r="U648" s="70"/>
      <c r="V648" s="19" t="b">
        <v>0</v>
      </c>
      <c r="W648" s="19" t="str">
        <f>"Character/Prefabs/"&amp;VLOOKUP($C648,'#Data'!$B$3:$I$344,8,FALSE)</f>
        <v>Character/Prefabs/m_m_ranger_infdust_launcher_3</v>
      </c>
      <c r="X648" s="19"/>
      <c r="Y648" s="19" t="str">
        <f>VLOOKUP($C648,'#Data'!$B$3:$I$344,8,FALSE)</f>
        <v>m_m_ranger_infdust_launcher_3</v>
      </c>
      <c r="Z648" s="19"/>
      <c r="AA648" s="19"/>
      <c r="AB648" s="19"/>
      <c r="AC648" s="91">
        <v>0.7</v>
      </c>
      <c r="AD648" s="19"/>
      <c r="AE648" s="19"/>
      <c r="AF648" s="19"/>
      <c r="AG648" s="19" t="s">
        <v>2106</v>
      </c>
      <c r="AH648" s="85"/>
    </row>
    <row r="649" spans="1:36" x14ac:dyDescent="0.3">
      <c r="A649" s="19">
        <f t="shared" si="18"/>
        <v>1410203119</v>
      </c>
      <c r="B649" s="19" t="s">
        <v>105</v>
      </c>
      <c r="C649" s="19" t="s">
        <v>1257</v>
      </c>
      <c r="D649" s="19" t="str">
        <f>"Monster.Name."&amp;VLOOKUP($C649,'#Data'!$B$2:$J$344,2,FALSE)</f>
        <v>Monster.Name.head_snatcher_2</v>
      </c>
      <c r="E649" s="19" t="s">
        <v>43</v>
      </c>
      <c r="F649" s="48" t="s">
        <v>44</v>
      </c>
      <c r="G649" s="19" t="s">
        <v>45</v>
      </c>
      <c r="H649" s="19" t="b">
        <f>IF(OR(VLOOKUP($C649,'#Data'!$B$2:$J$344,4,FALSE)="보스",VLOOKUP($C649,'#Data'!$B$2:$J$344,4,FALSE)="중간"),TRUE,FALSE)</f>
        <v>0</v>
      </c>
      <c r="I649" s="19" t="b">
        <v>0</v>
      </c>
      <c r="J649" s="19">
        <v>10</v>
      </c>
      <c r="K649" s="19">
        <f t="shared" si="19"/>
        <v>10</v>
      </c>
      <c r="L649" s="69" t="s">
        <v>1340</v>
      </c>
      <c r="M649" s="69"/>
      <c r="N649" s="69"/>
      <c r="O649" s="138" t="s">
        <v>1346</v>
      </c>
      <c r="P649" s="138" t="s">
        <v>2016</v>
      </c>
      <c r="Q649" s="138"/>
      <c r="R649" s="70"/>
      <c r="S649" s="70"/>
      <c r="T649" s="70"/>
      <c r="U649" s="70"/>
      <c r="V649" s="19" t="b">
        <v>0</v>
      </c>
      <c r="W649" s="19" t="str">
        <f>"Character/Prefabs/"&amp;VLOOKUP($C649,'#Data'!$B$3:$I$344,8,FALSE)</f>
        <v>Character/Prefabs/m_m_attacker_head_snatcher_2</v>
      </c>
      <c r="X649" s="19"/>
      <c r="Y649" s="19" t="str">
        <f>VLOOKUP($C649,'#Data'!$B$3:$I$344,8,FALSE)</f>
        <v>m_m_attacker_head_snatcher_2</v>
      </c>
      <c r="Z649" s="19"/>
      <c r="AA649" s="19"/>
      <c r="AB649" s="19"/>
      <c r="AC649" s="91">
        <v>0.7</v>
      </c>
      <c r="AD649" s="19"/>
      <c r="AE649" s="19"/>
      <c r="AF649" s="19"/>
      <c r="AG649" s="19" t="s">
        <v>2106</v>
      </c>
      <c r="AH649" s="85"/>
    </row>
    <row r="650" spans="1:36" x14ac:dyDescent="0.3">
      <c r="A650" s="19">
        <f t="shared" ref="A650:A713" si="20">A457+100000000</f>
        <v>1410203120</v>
      </c>
      <c r="B650" s="19" t="s">
        <v>105</v>
      </c>
      <c r="C650" s="19" t="s">
        <v>1259</v>
      </c>
      <c r="D650" s="19" t="str">
        <f>"Monster.Name."&amp;VLOOKUP($C650,'#Data'!$B$2:$J$344,2,FALSE)</f>
        <v>Monster.Name.core_snatcher_2</v>
      </c>
      <c r="E650" s="19" t="s">
        <v>47</v>
      </c>
      <c r="F650" s="48" t="s">
        <v>44</v>
      </c>
      <c r="G650" s="19" t="s">
        <v>45</v>
      </c>
      <c r="H650" s="19" t="b">
        <f>IF(OR(VLOOKUP($C650,'#Data'!$B$2:$J$344,4,FALSE)="보스",VLOOKUP($C650,'#Data'!$B$2:$J$344,4,FALSE)="중간"),TRUE,FALSE)</f>
        <v>0</v>
      </c>
      <c r="I650" s="19" t="b">
        <v>0</v>
      </c>
      <c r="J650" s="19">
        <v>10</v>
      </c>
      <c r="K650" s="19">
        <f t="shared" ref="K650:K713" si="21">K457</f>
        <v>10</v>
      </c>
      <c r="L650" s="69" t="s">
        <v>1341</v>
      </c>
      <c r="M650" s="69"/>
      <c r="N650" s="69"/>
      <c r="O650" s="138" t="s">
        <v>1347</v>
      </c>
      <c r="P650" s="138" t="s">
        <v>2017</v>
      </c>
      <c r="Q650" s="138"/>
      <c r="R650" s="70"/>
      <c r="S650" s="70"/>
      <c r="T650" s="70"/>
      <c r="U650" s="70"/>
      <c r="V650" s="19" t="b">
        <v>0</v>
      </c>
      <c r="W650" s="19" t="str">
        <f>"Character/Prefabs/"&amp;VLOOKUP($C650,'#Data'!$B$3:$I$344,8,FALSE)</f>
        <v>Character/Prefabs/m_m_ranger_core_snatcher_2</v>
      </c>
      <c r="X650" s="19"/>
      <c r="Y650" s="19" t="str">
        <f>VLOOKUP($C650,'#Data'!$B$3:$I$344,8,FALSE)</f>
        <v>m_m_ranger_core_snatcher_2</v>
      </c>
      <c r="Z650" s="19"/>
      <c r="AA650" s="19"/>
      <c r="AB650" s="19"/>
      <c r="AC650" s="91">
        <v>0.7</v>
      </c>
      <c r="AD650" s="19"/>
      <c r="AE650" s="19"/>
      <c r="AF650" s="19"/>
      <c r="AG650" s="19" t="s">
        <v>2106</v>
      </c>
      <c r="AH650" s="85"/>
    </row>
    <row r="651" spans="1:36" x14ac:dyDescent="0.3">
      <c r="A651" s="41">
        <f t="shared" si="20"/>
        <v>1410203201</v>
      </c>
      <c r="B651" s="41" t="s">
        <v>105</v>
      </c>
      <c r="C651" s="41" t="s">
        <v>116</v>
      </c>
      <c r="D651" s="41" t="str">
        <f>"Monster.Name."&amp;VLOOKUP($C651,'#Data'!$B$2:$J$344,2,FALSE)</f>
        <v>Monster.Name.grima_alpha_1</v>
      </c>
      <c r="E651" s="41" t="s">
        <v>43</v>
      </c>
      <c r="F651" s="42" t="s">
        <v>44</v>
      </c>
      <c r="G651" s="41" t="s">
        <v>45</v>
      </c>
      <c r="H651" s="41" t="b">
        <f>IF(OR(VLOOKUP($C651,'#Data'!$B$2:$J$344,4,FALSE)="보스",VLOOKUP($C651,'#Data'!$B$2:$J$344,4,FALSE)="중간"),TRUE,FALSE)</f>
        <v>1</v>
      </c>
      <c r="I651" s="41" t="b">
        <v>1</v>
      </c>
      <c r="J651" s="41">
        <v>20</v>
      </c>
      <c r="K651" s="41">
        <f t="shared" si="21"/>
        <v>10</v>
      </c>
      <c r="L651" s="67" t="str">
        <f>$B651&amp;"."&amp;VLOOKUP($C651,'#Data'!$B$2:$J$344,2,FALSE)&amp;".attack0"&amp;RIGHT(L$1,1)</f>
        <v>Sector03.grima_alpha_1.attack01</v>
      </c>
      <c r="M651" s="67"/>
      <c r="N651" s="67"/>
      <c r="O651" s="137" t="str">
        <f>$B651&amp;"."&amp;VLOOKUP($C651,'#Data'!$B$2:$J$344,2,FALSE)&amp;".skill0"&amp;RIGHT(O$1,1)</f>
        <v>Sector03.grima_alpha_1.skill01</v>
      </c>
      <c r="P651" s="137" t="str">
        <f>$B651&amp;"."&amp;VLOOKUP($C651,'#Data'!$B$2:$J$344,2,FALSE)&amp;".skill0"&amp;RIGHT(P$1,1)</f>
        <v>Sector03.grima_alpha_1.skill02</v>
      </c>
      <c r="Q651" s="137" t="str">
        <f>$B651&amp;"."&amp;VLOOKUP($C651,'#Data'!$B$2:$J$344,2,FALSE)&amp;".skill0"&amp;RIGHT(Q$1,1)</f>
        <v>Sector03.grima_alpha_1.skill03</v>
      </c>
      <c r="R651" s="68"/>
      <c r="S651" s="68" t="s">
        <v>2076</v>
      </c>
      <c r="T651" s="68"/>
      <c r="U651" s="68"/>
      <c r="V651" s="41" t="b">
        <v>0</v>
      </c>
      <c r="W651" s="41" t="str">
        <f>"Character/Prefabs/"&amp;VLOOKUP($C651,'#Data'!$B$3:$I$344,8,FALSE)</f>
        <v>Character/Prefabs/m_l_attacker_grima_alpha_1</v>
      </c>
      <c r="X651" s="41"/>
      <c r="Y651" s="41" t="str">
        <f>VLOOKUP($C651,'#Data'!$B$3:$I$344,8,FALSE)</f>
        <v>m_l_attacker_grima_alpha_1</v>
      </c>
      <c r="Z651" s="41"/>
      <c r="AA651" s="41"/>
      <c r="AB651" s="41"/>
      <c r="AC651" s="90">
        <v>0.9</v>
      </c>
      <c r="AD651" s="41"/>
      <c r="AE651" s="41"/>
      <c r="AF651" s="41"/>
      <c r="AG651" s="41" t="s">
        <v>2106</v>
      </c>
      <c r="AH651" s="85"/>
    </row>
    <row r="652" spans="1:36" x14ac:dyDescent="0.3">
      <c r="A652" s="41">
        <f t="shared" si="20"/>
        <v>1410203202</v>
      </c>
      <c r="B652" s="41" t="s">
        <v>105</v>
      </c>
      <c r="C652" s="41" t="s">
        <v>117</v>
      </c>
      <c r="D652" s="41" t="str">
        <f>"Monster.Name."&amp;VLOOKUP($C652,'#Data'!$B$2:$J$344,2,FALSE)</f>
        <v>Monster.Name.draindermis_1</v>
      </c>
      <c r="E652" s="41" t="s">
        <v>47</v>
      </c>
      <c r="F652" s="42" t="s">
        <v>44</v>
      </c>
      <c r="G652" s="41" t="s">
        <v>45</v>
      </c>
      <c r="H652" s="41" t="b">
        <f>IF(OR(VLOOKUP($C652,'#Data'!$B$2:$J$344,4,FALSE)="보스",VLOOKUP($C652,'#Data'!$B$2:$J$344,4,FALSE)="중간"),TRUE,FALSE)</f>
        <v>1</v>
      </c>
      <c r="I652" s="41" t="b">
        <v>1</v>
      </c>
      <c r="J652" s="41">
        <v>20</v>
      </c>
      <c r="K652" s="41">
        <f t="shared" si="21"/>
        <v>10</v>
      </c>
      <c r="L652" s="67" t="str">
        <f>$B652&amp;"."&amp;VLOOKUP($C652,'#Data'!$B$2:$J$344,2,FALSE)&amp;".attack0"&amp;RIGHT(L$1,1)</f>
        <v>Sector03.draindermis_1.attack01</v>
      </c>
      <c r="M652" s="67"/>
      <c r="N652" s="67"/>
      <c r="O652" s="137" t="str">
        <f>$B652&amp;"."&amp;VLOOKUP($C652,'#Data'!$B$2:$J$344,2,FALSE)&amp;".skill0"&amp;RIGHT(O$1,1)</f>
        <v>Sector03.draindermis_1.skill01</v>
      </c>
      <c r="P652" s="137" t="str">
        <f>$B652&amp;"."&amp;VLOOKUP($C652,'#Data'!$B$2:$J$344,2,FALSE)&amp;".skill0"&amp;RIGHT(P$1,1)</f>
        <v>Sector03.draindermis_1.skill02</v>
      </c>
      <c r="Q652" s="137" t="str">
        <f>$B652&amp;"."&amp;VLOOKUP($C652,'#Data'!$B$2:$J$344,2,FALSE)&amp;".skill0"&amp;RIGHT(Q$1,1)</f>
        <v>Sector03.draindermis_1.skill03</v>
      </c>
      <c r="R652" s="68"/>
      <c r="S652" s="68" t="s">
        <v>2076</v>
      </c>
      <c r="T652" s="68"/>
      <c r="U652" s="68"/>
      <c r="V652" s="41" t="b">
        <v>0</v>
      </c>
      <c r="W652" s="41" t="str">
        <f>"Character/Prefabs/"&amp;VLOOKUP($C652,'#Data'!$B$3:$I$344,8,FALSE)</f>
        <v>Character/Prefabs/m_l_ranger_draindermis_1</v>
      </c>
      <c r="X652" s="41"/>
      <c r="Y652" s="41" t="str">
        <f>VLOOKUP($C652,'#Data'!$B$3:$I$344,8,FALSE)</f>
        <v>m_l_ranger_draindermis_1</v>
      </c>
      <c r="Z652" s="41"/>
      <c r="AA652" s="41"/>
      <c r="AB652" s="41"/>
      <c r="AC652" s="90">
        <v>0.9</v>
      </c>
      <c r="AD652" s="41"/>
      <c r="AE652" s="41"/>
      <c r="AF652" s="41"/>
      <c r="AG652" s="41" t="s">
        <v>2106</v>
      </c>
      <c r="AH652" s="85"/>
    </row>
    <row r="653" spans="1:36" x14ac:dyDescent="0.3">
      <c r="A653" s="41">
        <f t="shared" si="20"/>
        <v>1410203203</v>
      </c>
      <c r="B653" s="41" t="s">
        <v>105</v>
      </c>
      <c r="C653" s="41" t="s">
        <v>118</v>
      </c>
      <c r="D653" s="41" t="str">
        <f>"Monster.Name."&amp;VLOOKUP($C653,'#Data'!$B$2:$J$344,2,FALSE)</f>
        <v>Monster.Name.grima_beta_1</v>
      </c>
      <c r="E653" s="41" t="s">
        <v>43</v>
      </c>
      <c r="F653" s="42" t="s">
        <v>44</v>
      </c>
      <c r="G653" s="41" t="s">
        <v>45</v>
      </c>
      <c r="H653" s="41" t="b">
        <f>IF(OR(VLOOKUP($C653,'#Data'!$B$2:$J$344,4,FALSE)="보스",VLOOKUP($C653,'#Data'!$B$2:$J$344,4,FALSE)="중간"),TRUE,FALSE)</f>
        <v>1</v>
      </c>
      <c r="I653" s="41" t="b">
        <v>1</v>
      </c>
      <c r="J653" s="41">
        <v>20</v>
      </c>
      <c r="K653" s="41">
        <f t="shared" si="21"/>
        <v>10</v>
      </c>
      <c r="L653" s="67" t="str">
        <f>$B653&amp;"."&amp;VLOOKUP($C653,'#Data'!$B$2:$J$344,2,FALSE)&amp;".attack0"&amp;RIGHT(L$1,1)</f>
        <v>Sector03.grima_beta_1.attack01</v>
      </c>
      <c r="M653" s="67"/>
      <c r="N653" s="67"/>
      <c r="O653" s="137" t="str">
        <f>$B653&amp;"."&amp;VLOOKUP($C653,'#Data'!$B$2:$J$344,2,FALSE)&amp;".skill0"&amp;RIGHT(O$1,1)</f>
        <v>Sector03.grima_beta_1.skill01</v>
      </c>
      <c r="P653" s="137" t="str">
        <f>$B653&amp;"."&amp;VLOOKUP($C653,'#Data'!$B$2:$J$344,2,FALSE)&amp;".skill0"&amp;RIGHT(P$1,1)</f>
        <v>Sector03.grima_beta_1.skill02</v>
      </c>
      <c r="Q653" s="137" t="str">
        <f>$B653&amp;"."&amp;VLOOKUP($C653,'#Data'!$B$2:$J$344,2,FALSE)&amp;".skill0"&amp;RIGHT(Q$1,1)</f>
        <v>Sector03.grima_beta_1.skill03</v>
      </c>
      <c r="R653" s="68"/>
      <c r="S653" s="68" t="s">
        <v>2076</v>
      </c>
      <c r="T653" s="68"/>
      <c r="U653" s="68"/>
      <c r="V653" s="41" t="b">
        <v>0</v>
      </c>
      <c r="W653" s="41" t="str">
        <f>"Character/Prefabs/"&amp;VLOOKUP($C653,'#Data'!$B$3:$I$344,8,FALSE)</f>
        <v>Character/Prefabs/m_l_attacker_grima_beta_1</v>
      </c>
      <c r="X653" s="41"/>
      <c r="Y653" s="41" t="str">
        <f>VLOOKUP($C653,'#Data'!$B$3:$I$344,8,FALSE)</f>
        <v>m_l_attacker_grima_beta_1</v>
      </c>
      <c r="Z653" s="41"/>
      <c r="AA653" s="41"/>
      <c r="AB653" s="41"/>
      <c r="AC653" s="90">
        <v>0.9</v>
      </c>
      <c r="AD653" s="41"/>
      <c r="AE653" s="41"/>
      <c r="AF653" s="41"/>
      <c r="AG653" s="41" t="s">
        <v>2106</v>
      </c>
      <c r="AH653" s="85"/>
    </row>
    <row r="654" spans="1:36" x14ac:dyDescent="0.3">
      <c r="A654" s="23">
        <f t="shared" si="20"/>
        <v>1410203301</v>
      </c>
      <c r="B654" s="23" t="s">
        <v>105</v>
      </c>
      <c r="C654" s="23" t="s">
        <v>119</v>
      </c>
      <c r="D654" s="23" t="str">
        <f>"Monster.Name."&amp;VLOOKUP($C654,'#Data'!$B$2:$J$344,2,FALSE)</f>
        <v>Monster.Name.theomega_1</v>
      </c>
      <c r="E654" s="23" t="s">
        <v>58</v>
      </c>
      <c r="F654" s="24" t="s">
        <v>44</v>
      </c>
      <c r="G654" s="23" t="s">
        <v>45</v>
      </c>
      <c r="H654" s="23" t="b">
        <f>IF(OR(VLOOKUP($C654,'#Data'!$B$2:$J$344,4,FALSE)="보스",VLOOKUP($C654,'#Data'!$B$2:$J$344,4,FALSE)="중간"),TRUE,FALSE)</f>
        <v>1</v>
      </c>
      <c r="I654" s="23" t="b">
        <v>1</v>
      </c>
      <c r="J654" s="23">
        <v>30</v>
      </c>
      <c r="K654" s="23">
        <f t="shared" si="21"/>
        <v>10</v>
      </c>
      <c r="L654" s="115" t="str">
        <f>$B654&amp;"."&amp;VLOOKUP($C654,'#Data'!$B$2:$J$344,2,FALSE)&amp;".attack0"&amp;RIGHT(L$1,1)</f>
        <v>Sector03.theomega_1.attack01</v>
      </c>
      <c r="M654" s="115"/>
      <c r="N654" s="115"/>
      <c r="O654" s="139" t="str">
        <f>$B654&amp;"."&amp;VLOOKUP($C654,'#Data'!$B$2:$J$344,2,FALSE)&amp;".skill0"&amp;RIGHT(O$1,1)</f>
        <v>Sector03.theomega_1.skill01</v>
      </c>
      <c r="P654" s="139" t="str">
        <f>$B654&amp;"."&amp;VLOOKUP($C654,'#Data'!$B$2:$J$344,2,FALSE)&amp;".skill0"&amp;RIGHT(P$1,1)</f>
        <v>Sector03.theomega_1.skill02</v>
      </c>
      <c r="Q654" s="139" t="str">
        <f>$B654&amp;"."&amp;VLOOKUP($C654,'#Data'!$B$2:$J$344,2,FALSE)&amp;".skill0"&amp;RIGHT(Q$1,1)</f>
        <v>Sector03.theomega_1.skill03</v>
      </c>
      <c r="R654" s="116" t="s">
        <v>120</v>
      </c>
      <c r="S654" s="116" t="s">
        <v>76</v>
      </c>
      <c r="T654" s="116"/>
      <c r="U654" s="116"/>
      <c r="V654" s="23" t="b">
        <v>0</v>
      </c>
      <c r="W654" s="23" t="str">
        <f>"Character/Prefabs/"&amp;VLOOKUP($C654,'#Data'!$B$3:$I$344,8,FALSE)</f>
        <v>Character/Prefabs/m_boss_attacker_theomega_1</v>
      </c>
      <c r="X654" s="23"/>
      <c r="Y654" s="23" t="str">
        <f>VLOOKUP($C654,'#Data'!$B$3:$I$344,8,FALSE)</f>
        <v>m_boss_attacker_theomega_1</v>
      </c>
      <c r="Z654" s="23"/>
      <c r="AA654" s="23"/>
      <c r="AB654" s="23"/>
      <c r="AC654" s="98">
        <v>0.9</v>
      </c>
      <c r="AD654" s="23"/>
      <c r="AE654" s="23" t="s">
        <v>121</v>
      </c>
      <c r="AF654" s="23" t="s">
        <v>122</v>
      </c>
      <c r="AG654" s="23" t="s">
        <v>2106</v>
      </c>
      <c r="AH654" s="85"/>
    </row>
    <row r="655" spans="1:36" x14ac:dyDescent="0.3">
      <c r="A655" s="23">
        <f t="shared" si="20"/>
        <v>1410203302</v>
      </c>
      <c r="B655" s="23" t="s">
        <v>105</v>
      </c>
      <c r="C655" s="23" t="s">
        <v>123</v>
      </c>
      <c r="D655" s="23" t="str">
        <f>"Monster.Name."&amp;VLOOKUP($C655,'#Data'!$B$2:$J$344,2,FALSE)</f>
        <v>Monster.Name.theomega_3</v>
      </c>
      <c r="E655" s="23" t="s">
        <v>58</v>
      </c>
      <c r="F655" s="24" t="s">
        <v>44</v>
      </c>
      <c r="G655" s="23" t="s">
        <v>45</v>
      </c>
      <c r="H655" s="23" t="b">
        <f>IF(OR(VLOOKUP($C655,'#Data'!$B$2:$J$344,4,FALSE)="보스",VLOOKUP($C655,'#Data'!$B$2:$J$344,4,FALSE)="중간"),TRUE,FALSE)</f>
        <v>1</v>
      </c>
      <c r="I655" s="23" t="b">
        <v>1</v>
      </c>
      <c r="J655" s="23">
        <v>30</v>
      </c>
      <c r="K655" s="23">
        <f t="shared" si="21"/>
        <v>10</v>
      </c>
      <c r="L655" s="115" t="str">
        <f>$B655&amp;"."&amp;VLOOKUP($C655,'#Data'!$B$2:$J$344,2,FALSE)&amp;".attack0"&amp;RIGHT(L$1,1)</f>
        <v>Sector03.theomega_3.attack01</v>
      </c>
      <c r="M655" s="115" t="str">
        <f>$B655&amp;"."&amp;VLOOKUP($C655,'#Data'!$B$2:$J$344,2,FALSE)&amp;".attack0"&amp;RIGHT(M$1,1)</f>
        <v>Sector03.theomega_3.attack02</v>
      </c>
      <c r="N655" s="115"/>
      <c r="O655" s="139" t="str">
        <f>$B655&amp;"."&amp;VLOOKUP($C655,'#Data'!$B$2:$J$344,2,FALSE)&amp;".skill0"&amp;RIGHT(O$1,1)</f>
        <v>Sector03.theomega_3.skill01</v>
      </c>
      <c r="P655" s="139" t="str">
        <f>$B655&amp;"."&amp;VLOOKUP($C655,'#Data'!$B$2:$J$344,2,FALSE)&amp;".skill0"&amp;RIGHT(P$1,1)</f>
        <v>Sector03.theomega_3.skill02</v>
      </c>
      <c r="Q655" s="139" t="str">
        <f>$B655&amp;"."&amp;VLOOKUP($C655,'#Data'!$B$2:$J$344,2,FALSE)&amp;".skill0"&amp;RIGHT(Q$1,1)</f>
        <v>Sector03.theomega_3.skill03</v>
      </c>
      <c r="R655" s="116" t="str">
        <f>$B655&amp;"."&amp;VLOOKUP($C655,'#Data'!$B$2:$J$344,2,FALSE)&amp;".skill0"&amp;RIGHT(R$1,1)</f>
        <v>Sector03.theomega_3.skill04</v>
      </c>
      <c r="S655" s="116" t="s">
        <v>124</v>
      </c>
      <c r="T655" s="116"/>
      <c r="U655" s="116"/>
      <c r="V655" s="23" t="b">
        <v>0</v>
      </c>
      <c r="W655" s="23" t="str">
        <f>"Character/Prefabs/"&amp;VLOOKUP($C655,'#Data'!$B$3:$I$344,8,FALSE)</f>
        <v>Character/Prefabs/m_boss_attacker_theomega_3</v>
      </c>
      <c r="X655" s="23"/>
      <c r="Y655" s="23" t="str">
        <f>VLOOKUP($C655,'#Data'!$B$3:$I$344,8,FALSE)</f>
        <v>m_boss_attacker_theomega_3</v>
      </c>
      <c r="Z655" s="23"/>
      <c r="AA655" s="23"/>
      <c r="AB655" s="23"/>
      <c r="AC655" s="98">
        <v>0.9</v>
      </c>
      <c r="AD655" s="23"/>
      <c r="AE655" s="23" t="s">
        <v>1211</v>
      </c>
      <c r="AF655" s="23" t="s">
        <v>1871</v>
      </c>
      <c r="AG655" s="23" t="s">
        <v>2106</v>
      </c>
      <c r="AH655" s="85"/>
    </row>
    <row r="656" spans="1:36" s="159" customFormat="1" x14ac:dyDescent="0.3">
      <c r="A656" s="154">
        <f t="shared" si="20"/>
        <v>1410204101</v>
      </c>
      <c r="B656" s="154" t="s">
        <v>125</v>
      </c>
      <c r="C656" s="154" t="s">
        <v>126</v>
      </c>
      <c r="D656" s="154" t="str">
        <f>"Monster.Name."&amp;VLOOKUP($C656,'#Data'!$B$2:$J$344,2,FALSE)</f>
        <v>Monster.Name.friendly_walking_eyeball_1</v>
      </c>
      <c r="E656" s="154" t="s">
        <v>47</v>
      </c>
      <c r="F656" s="44" t="s">
        <v>44</v>
      </c>
      <c r="G656" s="154" t="s">
        <v>45</v>
      </c>
      <c r="H656" s="154" t="b">
        <f>IF(OR(VLOOKUP($C656,'#Data'!$B$2:$J$344,4,FALSE)="보스",VLOOKUP($C656,'#Data'!$B$2:$J$344,4,FALSE)="중간"),TRUE,FALSE)</f>
        <v>0</v>
      </c>
      <c r="I656" s="154" t="b">
        <v>0</v>
      </c>
      <c r="J656" s="154">
        <v>10</v>
      </c>
      <c r="K656" s="154">
        <f t="shared" si="21"/>
        <v>10</v>
      </c>
      <c r="L656" s="155" t="str">
        <f>$B656&amp;"."&amp;VLOOKUP($C656,'#Data'!$B$2:$J$344,2,FALSE)&amp;".attack0"&amp;RIGHT(L$1,1)</f>
        <v>Sector04.friendly_walking_eyeball_1.attack01</v>
      </c>
      <c r="M656" s="155"/>
      <c r="N656" s="155"/>
      <c r="O656" s="140" t="s">
        <v>2019</v>
      </c>
      <c r="P656" s="140"/>
      <c r="Q656" s="140"/>
      <c r="R656" s="72"/>
      <c r="S656" s="72"/>
      <c r="T656" s="72"/>
      <c r="U656" s="72"/>
      <c r="V656" s="154" t="b">
        <v>0</v>
      </c>
      <c r="W656" s="154" t="str">
        <f>"Character/Prefabs/"&amp;VLOOKUP($C656,'#Data'!$B$3:$I$344,8,FALSE)</f>
        <v>Character/Prefabs/m_s_ranger_friendly_walking_eyeball_1</v>
      </c>
      <c r="X656" s="154"/>
      <c r="Y656" s="154" t="str">
        <f>VLOOKUP($C656,'#Data'!$B$3:$I$344,8,FALSE)</f>
        <v>m_s_ranger_friendly_walking_eyeball_1</v>
      </c>
      <c r="Z656" s="154"/>
      <c r="AA656" s="154"/>
      <c r="AB656" s="154"/>
      <c r="AC656" s="156">
        <v>1.2</v>
      </c>
      <c r="AD656" s="154"/>
      <c r="AE656" s="154"/>
      <c r="AF656" s="154"/>
      <c r="AG656" s="154" t="s">
        <v>2106</v>
      </c>
      <c r="AH656" s="158"/>
      <c r="AI656" s="157"/>
      <c r="AJ656" s="157"/>
    </row>
    <row r="657" spans="1:36" s="159" customFormat="1" x14ac:dyDescent="0.3">
      <c r="A657" s="154">
        <f t="shared" si="20"/>
        <v>1410204102</v>
      </c>
      <c r="B657" s="154" t="s">
        <v>125</v>
      </c>
      <c r="C657" s="154" t="s">
        <v>130</v>
      </c>
      <c r="D657" s="154" t="str">
        <f>"Monster.Name."&amp;VLOOKUP($C657,'#Data'!$B$2:$J$344,2,FALSE)</f>
        <v>Monster.Name.friendly_patrol_1</v>
      </c>
      <c r="E657" s="154" t="s">
        <v>43</v>
      </c>
      <c r="F657" s="44" t="s">
        <v>44</v>
      </c>
      <c r="G657" s="154" t="s">
        <v>45</v>
      </c>
      <c r="H657" s="154" t="b">
        <f>IF(OR(VLOOKUP($C657,'#Data'!$B$2:$J$344,4,FALSE)="보스",VLOOKUP($C657,'#Data'!$B$2:$J$344,4,FALSE)="중간"),TRUE,FALSE)</f>
        <v>0</v>
      </c>
      <c r="I657" s="154" t="b">
        <v>0</v>
      </c>
      <c r="J657" s="154">
        <v>10</v>
      </c>
      <c r="K657" s="154">
        <f t="shared" si="21"/>
        <v>10</v>
      </c>
      <c r="L657" s="155" t="str">
        <f>$B657&amp;"."&amp;VLOOKUP($C657,'#Data'!$B$2:$J$344,2,FALSE)&amp;".attack0"&amp;RIGHT(L$1,1)</f>
        <v>Sector04.friendly_patrol_1.attack01</v>
      </c>
      <c r="M657" s="155"/>
      <c r="N657" s="155"/>
      <c r="O657" s="140" t="s">
        <v>2020</v>
      </c>
      <c r="P657" s="140"/>
      <c r="Q657" s="140"/>
      <c r="R657" s="72"/>
      <c r="S657" s="72"/>
      <c r="T657" s="72"/>
      <c r="U657" s="72"/>
      <c r="V657" s="154" t="b">
        <v>0</v>
      </c>
      <c r="W657" s="154" t="str">
        <f>"Character/Prefabs/"&amp;VLOOKUP($C657,'#Data'!$B$3:$I$344,8,FALSE)</f>
        <v>Character/Prefabs/m_s_attacker_friendly_patrol_1</v>
      </c>
      <c r="X657" s="154"/>
      <c r="Y657" s="154" t="str">
        <f>VLOOKUP($C657,'#Data'!$B$3:$I$344,8,FALSE)</f>
        <v>m_s_attacker_friendly_patrol_1</v>
      </c>
      <c r="Z657" s="154"/>
      <c r="AA657" s="154"/>
      <c r="AB657" s="154"/>
      <c r="AC657" s="156">
        <v>1</v>
      </c>
      <c r="AD657" s="154"/>
      <c r="AE657" s="154"/>
      <c r="AF657" s="154"/>
      <c r="AG657" s="154" t="s">
        <v>2106</v>
      </c>
      <c r="AH657" s="158"/>
      <c r="AI657" s="157"/>
      <c r="AJ657" s="157"/>
    </row>
    <row r="658" spans="1:36" s="159" customFormat="1" x14ac:dyDescent="0.3">
      <c r="A658" s="154">
        <f t="shared" si="20"/>
        <v>1410204103</v>
      </c>
      <c r="B658" s="154" t="s">
        <v>125</v>
      </c>
      <c r="C658" s="154" t="s">
        <v>134</v>
      </c>
      <c r="D658" s="154" t="str">
        <f>"Monster.Name."&amp;VLOOKUP($C658,'#Data'!$B$2:$J$344,2,FALSE)</f>
        <v>Monster.Name.friendly_walking_eyeball_2</v>
      </c>
      <c r="E658" s="154" t="s">
        <v>47</v>
      </c>
      <c r="F658" s="44" t="s">
        <v>44</v>
      </c>
      <c r="G658" s="154" t="s">
        <v>45</v>
      </c>
      <c r="H658" s="154" t="b">
        <f>IF(OR(VLOOKUP($C658,'#Data'!$B$2:$J$344,4,FALSE)="보스",VLOOKUP($C658,'#Data'!$B$2:$J$344,4,FALSE)="중간"),TRUE,FALSE)</f>
        <v>0</v>
      </c>
      <c r="I658" s="154" t="b">
        <v>0</v>
      </c>
      <c r="J658" s="154">
        <v>10</v>
      </c>
      <c r="K658" s="154">
        <f t="shared" si="21"/>
        <v>10</v>
      </c>
      <c r="L658" s="155" t="str">
        <f>$B658&amp;"."&amp;VLOOKUP($C658,'#Data'!$B$2:$J$344,2,FALSE)&amp;".attack0"&amp;RIGHT(L$1,1)</f>
        <v>Sector04.friendly_walking_eyeball_2.attack01</v>
      </c>
      <c r="M658" s="155"/>
      <c r="N658" s="155"/>
      <c r="O658" s="140" t="s">
        <v>2021</v>
      </c>
      <c r="P658" s="140"/>
      <c r="Q658" s="140"/>
      <c r="R658" s="72"/>
      <c r="S658" s="72"/>
      <c r="T658" s="72"/>
      <c r="U658" s="72"/>
      <c r="V658" s="154" t="b">
        <v>0</v>
      </c>
      <c r="W658" s="154" t="str">
        <f>"Character/Prefabs/"&amp;VLOOKUP($C658,'#Data'!$B$3:$I$344,8,FALSE)</f>
        <v>Character/Prefabs/m_s_ranger_friendly_walking_eyeball_2</v>
      </c>
      <c r="X658" s="154"/>
      <c r="Y658" s="154" t="str">
        <f>VLOOKUP($C658,'#Data'!$B$3:$I$344,8,FALSE)</f>
        <v>m_s_ranger_friendly_walking_eyeball_2</v>
      </c>
      <c r="Z658" s="154"/>
      <c r="AA658" s="154"/>
      <c r="AB658" s="154"/>
      <c r="AC658" s="156">
        <v>1.2</v>
      </c>
      <c r="AD658" s="154"/>
      <c r="AE658" s="154"/>
      <c r="AF658" s="154"/>
      <c r="AG658" s="154" t="s">
        <v>2106</v>
      </c>
      <c r="AH658" s="158"/>
      <c r="AI658" s="157"/>
      <c r="AJ658" s="157"/>
    </row>
    <row r="659" spans="1:36" s="159" customFormat="1" x14ac:dyDescent="0.3">
      <c r="A659" s="154">
        <f t="shared" si="20"/>
        <v>1410204104</v>
      </c>
      <c r="B659" s="154" t="s">
        <v>125</v>
      </c>
      <c r="C659" s="154" t="s">
        <v>138</v>
      </c>
      <c r="D659" s="154" t="str">
        <f>"Monster.Name."&amp;VLOOKUP($C659,'#Data'!$B$2:$J$344,2,FALSE)</f>
        <v>Monster.Name.friendly_patrol_2</v>
      </c>
      <c r="E659" s="154" t="s">
        <v>43</v>
      </c>
      <c r="F659" s="44" t="s">
        <v>44</v>
      </c>
      <c r="G659" s="154" t="s">
        <v>45</v>
      </c>
      <c r="H659" s="154" t="b">
        <f>IF(OR(VLOOKUP($C659,'#Data'!$B$2:$J$344,4,FALSE)="보스",VLOOKUP($C659,'#Data'!$B$2:$J$344,4,FALSE)="중간"),TRUE,FALSE)</f>
        <v>0</v>
      </c>
      <c r="I659" s="154" t="b">
        <v>0</v>
      </c>
      <c r="J659" s="154">
        <v>10</v>
      </c>
      <c r="K659" s="154">
        <f t="shared" si="21"/>
        <v>10</v>
      </c>
      <c r="L659" s="155" t="str">
        <f>$B659&amp;"."&amp;VLOOKUP($C659,'#Data'!$B$2:$J$344,2,FALSE)&amp;".attack0"&amp;RIGHT(L$1,1)</f>
        <v>Sector04.friendly_patrol_2.attack01</v>
      </c>
      <c r="M659" s="155"/>
      <c r="N659" s="155"/>
      <c r="O659" s="140" t="s">
        <v>2022</v>
      </c>
      <c r="P659" s="140"/>
      <c r="Q659" s="140"/>
      <c r="R659" s="72"/>
      <c r="S659" s="72"/>
      <c r="T659" s="72"/>
      <c r="U659" s="72"/>
      <c r="V659" s="154" t="b">
        <v>0</v>
      </c>
      <c r="W659" s="154" t="str">
        <f>"Character/Prefabs/"&amp;VLOOKUP($C659,'#Data'!$B$3:$I$344,8,FALSE)</f>
        <v>Character/Prefabs/m_s_attacker_friendly_patrol_2</v>
      </c>
      <c r="X659" s="154"/>
      <c r="Y659" s="154" t="str">
        <f>VLOOKUP($C659,'#Data'!$B$3:$I$344,8,FALSE)</f>
        <v>m_s_attacker_friendly_patrol_2</v>
      </c>
      <c r="Z659" s="154"/>
      <c r="AA659" s="154"/>
      <c r="AB659" s="154"/>
      <c r="AC659" s="156">
        <v>1</v>
      </c>
      <c r="AD659" s="154"/>
      <c r="AE659" s="154"/>
      <c r="AF659" s="154"/>
      <c r="AG659" s="154" t="s">
        <v>2106</v>
      </c>
      <c r="AH659" s="158"/>
      <c r="AI659" s="157"/>
      <c r="AJ659" s="157"/>
    </row>
    <row r="660" spans="1:36" s="159" customFormat="1" x14ac:dyDescent="0.3">
      <c r="A660" s="154">
        <f t="shared" si="20"/>
        <v>1410204105</v>
      </c>
      <c r="B660" s="154" t="s">
        <v>125</v>
      </c>
      <c r="C660" s="154" t="s">
        <v>139</v>
      </c>
      <c r="D660" s="154" t="str">
        <f>"Monster.Name."&amp;VLOOKUP($C660,'#Data'!$B$2:$J$344,2,FALSE)</f>
        <v>Monster.Name.friendly_edge_eyeball_1</v>
      </c>
      <c r="E660" s="154" t="s">
        <v>43</v>
      </c>
      <c r="F660" s="44" t="s">
        <v>44</v>
      </c>
      <c r="G660" s="154" t="s">
        <v>45</v>
      </c>
      <c r="H660" s="154" t="b">
        <f>IF(OR(VLOOKUP($C660,'#Data'!$B$2:$J$344,4,FALSE)="보스",VLOOKUP($C660,'#Data'!$B$2:$J$344,4,FALSE)="중간"),TRUE,FALSE)</f>
        <v>0</v>
      </c>
      <c r="I660" s="154" t="b">
        <v>0</v>
      </c>
      <c r="J660" s="154">
        <v>10</v>
      </c>
      <c r="K660" s="154">
        <f t="shared" si="21"/>
        <v>10</v>
      </c>
      <c r="L660" s="155" t="str">
        <f>$B660&amp;"."&amp;VLOOKUP($C660,'#Data'!$B$2:$J$344,2,FALSE)&amp;".attack0"&amp;RIGHT(L$1,1)</f>
        <v>Sector04.friendly_edge_eyeball_1.attack01</v>
      </c>
      <c r="M660" s="155"/>
      <c r="N660" s="155"/>
      <c r="O660" s="140" t="str">
        <f>$B660&amp;"."&amp;VLOOKUP($C660,'#Data'!$B$2:$J$344,2,FALSE)&amp;".skill0"&amp;RIGHT(O$1,1)</f>
        <v>Sector04.friendly_edge_eyeball_1.skill01</v>
      </c>
      <c r="P660" s="140" t="s">
        <v>2023</v>
      </c>
      <c r="Q660" s="140"/>
      <c r="R660" s="72"/>
      <c r="S660" s="72"/>
      <c r="T660" s="72"/>
      <c r="U660" s="72"/>
      <c r="V660" s="154" t="b">
        <v>0</v>
      </c>
      <c r="W660" s="154" t="str">
        <f>"Character/Prefabs/"&amp;VLOOKUP($C660,'#Data'!$B$3:$I$344,8,FALSE)</f>
        <v>Character/Prefabs/m_m_attacker_friendly_edge_eyeball_1</v>
      </c>
      <c r="X660" s="154"/>
      <c r="Y660" s="154" t="str">
        <f>VLOOKUP($C660,'#Data'!$B$3:$I$344,8,FALSE)</f>
        <v>m_m_attacker_friendly_edge_eyeball_1</v>
      </c>
      <c r="Z660" s="154"/>
      <c r="AA660" s="154"/>
      <c r="AB660" s="154"/>
      <c r="AC660" s="156">
        <v>0.9</v>
      </c>
      <c r="AD660" s="154"/>
      <c r="AE660" s="154"/>
      <c r="AF660" s="154"/>
      <c r="AG660" s="154" t="s">
        <v>2106</v>
      </c>
      <c r="AH660" s="158"/>
      <c r="AI660" s="157"/>
      <c r="AJ660" s="157"/>
    </row>
    <row r="661" spans="1:36" s="159" customFormat="1" x14ac:dyDescent="0.3">
      <c r="A661" s="154">
        <f t="shared" si="20"/>
        <v>1410204106</v>
      </c>
      <c r="B661" s="154" t="s">
        <v>125</v>
      </c>
      <c r="C661" s="154" t="s">
        <v>140</v>
      </c>
      <c r="D661" s="154" t="str">
        <f>"Monster.Name."&amp;VLOOKUP($C661,'#Data'!$B$2:$J$344,2,FALSE)</f>
        <v>Monster.Name.friendly_electric_eyeball_1</v>
      </c>
      <c r="E661" s="154" t="s">
        <v>47</v>
      </c>
      <c r="F661" s="44" t="s">
        <v>44</v>
      </c>
      <c r="G661" s="154" t="s">
        <v>45</v>
      </c>
      <c r="H661" s="154" t="b">
        <f>IF(OR(VLOOKUP($C661,'#Data'!$B$2:$J$344,4,FALSE)="보스",VLOOKUP($C661,'#Data'!$B$2:$J$344,4,FALSE)="중간"),TRUE,FALSE)</f>
        <v>0</v>
      </c>
      <c r="I661" s="154" t="b">
        <v>0</v>
      </c>
      <c r="J661" s="154">
        <v>10</v>
      </c>
      <c r="K661" s="154">
        <f t="shared" si="21"/>
        <v>10</v>
      </c>
      <c r="L661" s="155" t="str">
        <f>$B661&amp;"."&amp;VLOOKUP($C661,'#Data'!$B$2:$J$344,2,FALSE)&amp;".attack0"&amp;RIGHT(L$1,1)</f>
        <v>Sector04.friendly_electric_eyeball_1.attack01</v>
      </c>
      <c r="M661" s="155"/>
      <c r="N661" s="155"/>
      <c r="O661" s="140" t="str">
        <f>$B661&amp;"."&amp;VLOOKUP($C661,'#Data'!$B$2:$J$344,2,FALSE)&amp;".skill0"&amp;RIGHT(O$1,1)</f>
        <v>Sector04.friendly_electric_eyeball_1.skill01</v>
      </c>
      <c r="P661" s="140" t="s">
        <v>2024</v>
      </c>
      <c r="Q661" s="140"/>
      <c r="R661" s="72"/>
      <c r="S661" s="72"/>
      <c r="T661" s="72"/>
      <c r="U661" s="72"/>
      <c r="V661" s="154" t="b">
        <v>0</v>
      </c>
      <c r="W661" s="154" t="str">
        <f>"Character/Prefabs/"&amp;VLOOKUP($C661,'#Data'!$B$3:$I$344,8,FALSE)</f>
        <v>Character/Prefabs/m_m_ranger_friendly_electric_eyeball_1</v>
      </c>
      <c r="X661" s="154"/>
      <c r="Y661" s="154" t="str">
        <f>VLOOKUP($C661,'#Data'!$B$3:$I$344,8,FALSE)</f>
        <v>m_m_ranger_friendly_electric_eyeball_1</v>
      </c>
      <c r="Z661" s="154"/>
      <c r="AA661" s="154"/>
      <c r="AB661" s="154"/>
      <c r="AC661" s="156">
        <v>0.9</v>
      </c>
      <c r="AD661" s="154"/>
      <c r="AE661" s="154"/>
      <c r="AF661" s="154"/>
      <c r="AG661" s="154" t="s">
        <v>2106</v>
      </c>
      <c r="AH661" s="158"/>
      <c r="AI661" s="157"/>
      <c r="AJ661" s="157"/>
    </row>
    <row r="662" spans="1:36" s="159" customFormat="1" x14ac:dyDescent="0.3">
      <c r="A662" s="154">
        <f t="shared" si="20"/>
        <v>1410204107</v>
      </c>
      <c r="B662" s="154" t="s">
        <v>125</v>
      </c>
      <c r="C662" s="154" t="s">
        <v>141</v>
      </c>
      <c r="D662" s="154" t="str">
        <f>"Monster.Name."&amp;VLOOKUP($C662,'#Data'!$B$2:$J$344,2,FALSE)</f>
        <v>Monster.Name.friendly_sawpatrol_1</v>
      </c>
      <c r="E662" s="154" t="s">
        <v>43</v>
      </c>
      <c r="F662" s="44" t="s">
        <v>44</v>
      </c>
      <c r="G662" s="154" t="s">
        <v>45</v>
      </c>
      <c r="H662" s="154" t="b">
        <f>IF(OR(VLOOKUP($C662,'#Data'!$B$2:$J$344,4,FALSE)="보스",VLOOKUP($C662,'#Data'!$B$2:$J$344,4,FALSE)="중간"),TRUE,FALSE)</f>
        <v>0</v>
      </c>
      <c r="I662" s="154" t="b">
        <v>0</v>
      </c>
      <c r="J662" s="154">
        <v>10</v>
      </c>
      <c r="K662" s="154">
        <f t="shared" si="21"/>
        <v>10</v>
      </c>
      <c r="L662" s="155" t="str">
        <f>$B662&amp;"."&amp;VLOOKUP($C662,'#Data'!$B$2:$J$344,2,FALSE)&amp;".attack0"&amp;RIGHT(L$1,1)</f>
        <v>Sector04.friendly_sawpatrol_1.attack01</v>
      </c>
      <c r="M662" s="155"/>
      <c r="N662" s="155"/>
      <c r="O662" s="140" t="str">
        <f>$B662&amp;"."&amp;VLOOKUP($C662,'#Data'!$B$2:$J$344,2,FALSE)&amp;".skill0"&amp;RIGHT(O$1,1)</f>
        <v>Sector04.friendly_sawpatrol_1.skill01</v>
      </c>
      <c r="P662" s="140" t="s">
        <v>2025</v>
      </c>
      <c r="Q662" s="140"/>
      <c r="R662" s="72"/>
      <c r="S662" s="72"/>
      <c r="T662" s="72"/>
      <c r="U662" s="72"/>
      <c r="V662" s="154" t="b">
        <v>0</v>
      </c>
      <c r="W662" s="154" t="str">
        <f>"Character/Prefabs/"&amp;VLOOKUP($C662,'#Data'!$B$3:$I$344,8,FALSE)</f>
        <v>Character/Prefabs/m_m_attacker_friendly_sawpatrol_1</v>
      </c>
      <c r="X662" s="154"/>
      <c r="Y662" s="154" t="str">
        <f>VLOOKUP($C662,'#Data'!$B$3:$I$344,8,FALSE)</f>
        <v>m_m_attacker_friendly_sawpatrol_1</v>
      </c>
      <c r="Z662" s="154"/>
      <c r="AA662" s="154"/>
      <c r="AB662" s="154"/>
      <c r="AC662" s="156">
        <v>1</v>
      </c>
      <c r="AD662" s="154"/>
      <c r="AE662" s="154"/>
      <c r="AF662" s="154"/>
      <c r="AG662" s="154" t="s">
        <v>2106</v>
      </c>
      <c r="AH662" s="158"/>
      <c r="AI662" s="157"/>
      <c r="AJ662" s="157"/>
    </row>
    <row r="663" spans="1:36" s="159" customFormat="1" x14ac:dyDescent="0.3">
      <c r="A663" s="154">
        <f t="shared" si="20"/>
        <v>1410204108</v>
      </c>
      <c r="B663" s="154" t="s">
        <v>125</v>
      </c>
      <c r="C663" s="154" t="s">
        <v>142</v>
      </c>
      <c r="D663" s="154" t="str">
        <f>"Monster.Name."&amp;VLOOKUP($C663,'#Data'!$B$2:$J$344,2,FALSE)</f>
        <v>Monster.Name.friendly_staffpatrol_1</v>
      </c>
      <c r="E663" s="154" t="s">
        <v>143</v>
      </c>
      <c r="F663" s="44" t="s">
        <v>44</v>
      </c>
      <c r="G663" s="154" t="s">
        <v>45</v>
      </c>
      <c r="H663" s="154" t="b">
        <f>IF(OR(VLOOKUP($C663,'#Data'!$B$2:$J$344,4,FALSE)="보스",VLOOKUP($C663,'#Data'!$B$2:$J$344,4,FALSE)="중간"),TRUE,FALSE)</f>
        <v>0</v>
      </c>
      <c r="I663" s="154" t="b">
        <v>0</v>
      </c>
      <c r="J663" s="154">
        <v>10</v>
      </c>
      <c r="K663" s="154">
        <f t="shared" si="21"/>
        <v>10</v>
      </c>
      <c r="L663" s="155" t="str">
        <f>$B663&amp;"."&amp;VLOOKUP($C663,'#Data'!$B$2:$J$344,2,FALSE)&amp;".attack0"&amp;RIGHT(L$1,1)</f>
        <v>Sector04.friendly_staffpatrol_1.attack01</v>
      </c>
      <c r="M663" s="155"/>
      <c r="N663" s="155"/>
      <c r="O663" s="140" t="str">
        <f>$B663&amp;"."&amp;VLOOKUP($C663,'#Data'!$B$2:$J$344,2,FALSE)&amp;".skill0"&amp;RIGHT(O$1,1)</f>
        <v>Sector04.friendly_staffpatrol_1.skill01</v>
      </c>
      <c r="P663" s="140" t="s">
        <v>2026</v>
      </c>
      <c r="Q663" s="140"/>
      <c r="R663" s="72"/>
      <c r="S663" s="72"/>
      <c r="T663" s="72"/>
      <c r="U663" s="72"/>
      <c r="V663" s="154" t="b">
        <v>0</v>
      </c>
      <c r="W663" s="154" t="str">
        <f>"Character/Prefabs/"&amp;VLOOKUP($C663,'#Data'!$B$3:$I$344,8,FALSE)</f>
        <v>Character/Prefabs/m_m_supporter_friendly_staffpatrol_1</v>
      </c>
      <c r="X663" s="154"/>
      <c r="Y663" s="154" t="str">
        <f>VLOOKUP($C663,'#Data'!$B$3:$I$344,8,FALSE)</f>
        <v>m_m_supporter_friendly_staffpatrol_1</v>
      </c>
      <c r="Z663" s="154"/>
      <c r="AA663" s="154"/>
      <c r="AB663" s="154"/>
      <c r="AC663" s="156">
        <v>1</v>
      </c>
      <c r="AD663" s="154"/>
      <c r="AE663" s="154"/>
      <c r="AF663" s="154"/>
      <c r="AG663" s="154" t="s">
        <v>2106</v>
      </c>
      <c r="AH663" s="158"/>
      <c r="AI663" s="157"/>
      <c r="AJ663" s="157"/>
    </row>
    <row r="664" spans="1:36" s="159" customFormat="1" x14ac:dyDescent="0.3">
      <c r="A664" s="154">
        <f t="shared" si="20"/>
        <v>1410204109</v>
      </c>
      <c r="B664" s="154" t="s">
        <v>125</v>
      </c>
      <c r="C664" s="154" t="s">
        <v>144</v>
      </c>
      <c r="D664" s="154" t="str">
        <f>"Monster.Name."&amp;VLOOKUP($C664,'#Data'!$B$2:$J$344,2,FALSE)</f>
        <v>Monster.Name.friendly_sicklepatrol_1</v>
      </c>
      <c r="E664" s="154" t="s">
        <v>43</v>
      </c>
      <c r="F664" s="44" t="s">
        <v>44</v>
      </c>
      <c r="G664" s="154" t="s">
        <v>45</v>
      </c>
      <c r="H664" s="154" t="b">
        <f>IF(OR(VLOOKUP($C664,'#Data'!$B$2:$J$344,4,FALSE)="보스",VLOOKUP($C664,'#Data'!$B$2:$J$344,4,FALSE)="중간"),TRUE,FALSE)</f>
        <v>0</v>
      </c>
      <c r="I664" s="154" t="b">
        <v>0</v>
      </c>
      <c r="J664" s="154">
        <v>10</v>
      </c>
      <c r="K664" s="154">
        <f t="shared" si="21"/>
        <v>10</v>
      </c>
      <c r="L664" s="155" t="str">
        <f>$B664&amp;"."&amp;VLOOKUP($C664,'#Data'!$B$2:$J$344,2,FALSE)&amp;".attack0"&amp;RIGHT(L$1,1)</f>
        <v>Sector04.friendly_sicklepatrol_1.attack01</v>
      </c>
      <c r="M664" s="155"/>
      <c r="N664" s="155"/>
      <c r="O664" s="140" t="str">
        <f>$B664&amp;"."&amp;VLOOKUP($C664,'#Data'!$B$2:$J$344,2,FALSE)&amp;".skill0"&amp;RIGHT(O$1,1)</f>
        <v>Sector04.friendly_sicklepatrol_1.skill01</v>
      </c>
      <c r="P664" s="140" t="s">
        <v>2027</v>
      </c>
      <c r="Q664" s="140"/>
      <c r="R664" s="72"/>
      <c r="S664" s="72"/>
      <c r="T664" s="72"/>
      <c r="U664" s="72"/>
      <c r="V664" s="154" t="b">
        <v>0</v>
      </c>
      <c r="W664" s="154" t="str">
        <f>"Character/Prefabs/"&amp;VLOOKUP($C664,'#Data'!$B$3:$I$344,8,FALSE)</f>
        <v>Character/Prefabs/m_m_attacker_friendly_sicklepatrol_1</v>
      </c>
      <c r="X664" s="154"/>
      <c r="Y664" s="154" t="str">
        <f>VLOOKUP($C664,'#Data'!$B$3:$I$344,8,FALSE)</f>
        <v>m_m_attacker_friendly_sicklepatrol_1</v>
      </c>
      <c r="Z664" s="154"/>
      <c r="AA664" s="154"/>
      <c r="AB664" s="154"/>
      <c r="AC664" s="156">
        <v>1</v>
      </c>
      <c r="AD664" s="154"/>
      <c r="AE664" s="154"/>
      <c r="AF664" s="154"/>
      <c r="AG664" s="154" t="s">
        <v>2106</v>
      </c>
      <c r="AH664" s="158"/>
      <c r="AI664" s="157"/>
      <c r="AJ664" s="157"/>
    </row>
    <row r="665" spans="1:36" s="159" customFormat="1" x14ac:dyDescent="0.3">
      <c r="A665" s="154">
        <f t="shared" si="20"/>
        <v>1410204110</v>
      </c>
      <c r="B665" s="154" t="s">
        <v>125</v>
      </c>
      <c r="C665" s="154" t="s">
        <v>145</v>
      </c>
      <c r="D665" s="154" t="str">
        <f>"Monster.Name."&amp;VLOOKUP($C665,'#Data'!$B$2:$J$344,2,FALSE)</f>
        <v>Monster.Name.friendly_security_1</v>
      </c>
      <c r="E665" s="154" t="s">
        <v>43</v>
      </c>
      <c r="F665" s="44" t="s">
        <v>44</v>
      </c>
      <c r="G665" s="154" t="s">
        <v>45</v>
      </c>
      <c r="H665" s="154" t="b">
        <f>IF(OR(VLOOKUP($C665,'#Data'!$B$2:$J$344,4,FALSE)="보스",VLOOKUP($C665,'#Data'!$B$2:$J$344,4,FALSE)="중간"),TRUE,FALSE)</f>
        <v>0</v>
      </c>
      <c r="I665" s="154" t="b">
        <v>0</v>
      </c>
      <c r="J665" s="154">
        <v>10</v>
      </c>
      <c r="K665" s="154">
        <f t="shared" si="21"/>
        <v>10</v>
      </c>
      <c r="L665" s="155" t="str">
        <f>$B665&amp;"."&amp;VLOOKUP($C665,'#Data'!$B$2:$J$344,2,FALSE)&amp;".attack0"&amp;RIGHT(L$1,1)</f>
        <v>Sector04.friendly_security_1.attack01</v>
      </c>
      <c r="M665" s="155"/>
      <c r="N665" s="155"/>
      <c r="O665" s="140" t="str">
        <f>$B665&amp;"."&amp;VLOOKUP($C665,'#Data'!$B$2:$J$344,2,FALSE)&amp;".skill0"&amp;RIGHT(O$1,1)</f>
        <v>Sector04.friendly_security_1.skill01</v>
      </c>
      <c r="P665" s="140" t="s">
        <v>2028</v>
      </c>
      <c r="Q665" s="140"/>
      <c r="R665" s="72"/>
      <c r="S665" s="72"/>
      <c r="T665" s="72"/>
      <c r="U665" s="72"/>
      <c r="V665" s="154" t="b">
        <v>0</v>
      </c>
      <c r="W665" s="154" t="str">
        <f>"Character/Prefabs/"&amp;VLOOKUP($C665,'#Data'!$B$3:$I$344,8,FALSE)</f>
        <v>Character/Prefabs/m_m_attacker_friendly_security_1</v>
      </c>
      <c r="X665" s="154"/>
      <c r="Y665" s="154" t="str">
        <f>VLOOKUP($C665,'#Data'!$B$3:$I$344,8,FALSE)</f>
        <v>m_m_attacker_friendly_security_1</v>
      </c>
      <c r="Z665" s="154"/>
      <c r="AA665" s="154"/>
      <c r="AB665" s="154"/>
      <c r="AC665" s="156">
        <v>0.9</v>
      </c>
      <c r="AD665" s="154"/>
      <c r="AE665" s="154"/>
      <c r="AF665" s="154"/>
      <c r="AG665" s="154" t="s">
        <v>2106</v>
      </c>
      <c r="AH665" s="158"/>
      <c r="AI665" s="157"/>
      <c r="AJ665" s="157"/>
    </row>
    <row r="666" spans="1:36" s="159" customFormat="1" x14ac:dyDescent="0.3">
      <c r="A666" s="154">
        <f t="shared" si="20"/>
        <v>1410204111</v>
      </c>
      <c r="B666" s="154" t="s">
        <v>125</v>
      </c>
      <c r="C666" s="154" t="s">
        <v>146</v>
      </c>
      <c r="D666" s="154" t="str">
        <f>"Monster.Name."&amp;VLOOKUP($C666,'#Data'!$B$2:$J$344,2,FALSE)</f>
        <v>Monster.Name.friendly_cannon_1</v>
      </c>
      <c r="E666" s="154" t="s">
        <v>47</v>
      </c>
      <c r="F666" s="44" t="s">
        <v>44</v>
      </c>
      <c r="G666" s="154" t="s">
        <v>45</v>
      </c>
      <c r="H666" s="154" t="b">
        <f>IF(OR(VLOOKUP($C666,'#Data'!$B$2:$J$344,4,FALSE)="보스",VLOOKUP($C666,'#Data'!$B$2:$J$344,4,FALSE)="중간"),TRUE,FALSE)</f>
        <v>0</v>
      </c>
      <c r="I666" s="154" t="b">
        <v>0</v>
      </c>
      <c r="J666" s="154">
        <v>10</v>
      </c>
      <c r="K666" s="154">
        <f t="shared" si="21"/>
        <v>10</v>
      </c>
      <c r="L666" s="155" t="str">
        <f>$B666&amp;"."&amp;VLOOKUP($C666,'#Data'!$B$2:$J$344,2,FALSE)&amp;".attack0"&amp;RIGHT(L$1,1)</f>
        <v>Sector04.friendly_cannon_1.attack01</v>
      </c>
      <c r="M666" s="155"/>
      <c r="N666" s="155"/>
      <c r="O666" s="140" t="str">
        <f>$B666&amp;"."&amp;VLOOKUP($C666,'#Data'!$B$2:$J$344,2,FALSE)&amp;".skill0"&amp;RIGHT(O$1,1)</f>
        <v>Sector04.friendly_cannon_1.skill01</v>
      </c>
      <c r="P666" s="140" t="s">
        <v>2029</v>
      </c>
      <c r="Q666" s="140"/>
      <c r="R666" s="72"/>
      <c r="S666" s="72"/>
      <c r="T666" s="72"/>
      <c r="U666" s="72"/>
      <c r="V666" s="154" t="b">
        <v>0</v>
      </c>
      <c r="W666" s="154" t="str">
        <f>"Character/Prefabs/"&amp;VLOOKUP($C666,'#Data'!$B$3:$I$344,8,FALSE)</f>
        <v>Character/Prefabs/m_m_ranger_friendly_cannon_1</v>
      </c>
      <c r="X666" s="154"/>
      <c r="Y666" s="154" t="str">
        <f>VLOOKUP($C666,'#Data'!$B$3:$I$344,8,FALSE)</f>
        <v>m_m_ranger_friendly_cannon_1</v>
      </c>
      <c r="Z666" s="154"/>
      <c r="AA666" s="154"/>
      <c r="AB666" s="154"/>
      <c r="AC666" s="156">
        <v>0.7</v>
      </c>
      <c r="AD666" s="154"/>
      <c r="AE666" s="154"/>
      <c r="AF666" s="154"/>
      <c r="AG666" s="154" t="s">
        <v>2106</v>
      </c>
      <c r="AH666" s="158"/>
      <c r="AI666" s="157"/>
      <c r="AJ666" s="157"/>
    </row>
    <row r="667" spans="1:36" s="159" customFormat="1" x14ac:dyDescent="0.3">
      <c r="A667" s="154">
        <f t="shared" si="20"/>
        <v>1410204112</v>
      </c>
      <c r="B667" s="154" t="s">
        <v>125</v>
      </c>
      <c r="C667" s="154" t="s">
        <v>147</v>
      </c>
      <c r="D667" s="154" t="str">
        <f>"Monster.Name."&amp;VLOOKUP($C667,'#Data'!$B$2:$J$344,2,FALSE)</f>
        <v>Monster.Name.friendly_gun_1</v>
      </c>
      <c r="E667" s="154" t="s">
        <v>47</v>
      </c>
      <c r="F667" s="44" t="s">
        <v>44</v>
      </c>
      <c r="G667" s="154" t="s">
        <v>45</v>
      </c>
      <c r="H667" s="154" t="b">
        <f>IF(OR(VLOOKUP($C667,'#Data'!$B$2:$J$344,4,FALSE)="보스",VLOOKUP($C667,'#Data'!$B$2:$J$344,4,FALSE)="중간"),TRUE,FALSE)</f>
        <v>0</v>
      </c>
      <c r="I667" s="154" t="b">
        <v>0</v>
      </c>
      <c r="J667" s="154">
        <v>10</v>
      </c>
      <c r="K667" s="154">
        <f t="shared" si="21"/>
        <v>10</v>
      </c>
      <c r="L667" s="155" t="str">
        <f>$B667&amp;"."&amp;VLOOKUP($C667,'#Data'!$B$2:$J$344,2,FALSE)&amp;".attack0"&amp;RIGHT(L$1,1)</f>
        <v>Sector04.friendly_gun_1.attack01</v>
      </c>
      <c r="M667" s="155"/>
      <c r="N667" s="155"/>
      <c r="O667" s="140" t="str">
        <f>$B667&amp;"."&amp;VLOOKUP($C667,'#Data'!$B$2:$J$344,2,FALSE)&amp;".skill0"&amp;RIGHT(O$1,1)</f>
        <v>Sector04.friendly_gun_1.skill01</v>
      </c>
      <c r="P667" s="140" t="s">
        <v>2030</v>
      </c>
      <c r="Q667" s="140"/>
      <c r="R667" s="72"/>
      <c r="S667" s="72"/>
      <c r="T667" s="72"/>
      <c r="U667" s="72"/>
      <c r="V667" s="154" t="b">
        <v>0</v>
      </c>
      <c r="W667" s="154" t="str">
        <f>"Character/Prefabs/"&amp;VLOOKUP($C667,'#Data'!$B$3:$I$344,8,FALSE)</f>
        <v>Character/Prefabs/m_m_ranger_friendly_gun_1</v>
      </c>
      <c r="X667" s="154"/>
      <c r="Y667" s="154" t="str">
        <f>VLOOKUP($C667,'#Data'!$B$3:$I$344,8,FALSE)</f>
        <v>m_m_ranger_friendly_gun_1</v>
      </c>
      <c r="Z667" s="154"/>
      <c r="AA667" s="154"/>
      <c r="AB667" s="154"/>
      <c r="AC667" s="156">
        <v>0.7</v>
      </c>
      <c r="AD667" s="154"/>
      <c r="AE667" s="154"/>
      <c r="AF667" s="154"/>
      <c r="AG667" s="154" t="s">
        <v>2106</v>
      </c>
      <c r="AH667" s="158"/>
      <c r="AI667" s="157"/>
      <c r="AJ667" s="157"/>
    </row>
    <row r="668" spans="1:36" s="159" customFormat="1" x14ac:dyDescent="0.3">
      <c r="A668" s="47">
        <f t="shared" si="20"/>
        <v>1410204113</v>
      </c>
      <c r="B668" s="47" t="s">
        <v>125</v>
      </c>
      <c r="C668" s="47" t="s">
        <v>1261</v>
      </c>
      <c r="D668" s="47" t="str">
        <f>"Monster.Name."&amp;VLOOKUP($C668,'#Data'!$B$2:$J$344,2,FALSE)</f>
        <v>Monster.Name.friendly_walking_eyeball_3</v>
      </c>
      <c r="E668" s="47" t="s">
        <v>47</v>
      </c>
      <c r="F668" s="46" t="s">
        <v>44</v>
      </c>
      <c r="G668" s="47" t="s">
        <v>45</v>
      </c>
      <c r="H668" s="47" t="b">
        <f>IF(OR(VLOOKUP($C668,'#Data'!$B$2:$J$344,4,FALSE)="보스",VLOOKUP($C668,'#Data'!$B$2:$J$344,4,FALSE)="중간"),TRUE,FALSE)</f>
        <v>0</v>
      </c>
      <c r="I668" s="47" t="b">
        <v>0</v>
      </c>
      <c r="J668" s="47">
        <v>10</v>
      </c>
      <c r="K668" s="47">
        <f t="shared" si="21"/>
        <v>10</v>
      </c>
      <c r="L668" s="160" t="s">
        <v>127</v>
      </c>
      <c r="M668" s="160"/>
      <c r="N668" s="160"/>
      <c r="O668" s="141" t="s">
        <v>2019</v>
      </c>
      <c r="P668" s="141"/>
      <c r="Q668" s="141"/>
      <c r="R668" s="74"/>
      <c r="S668" s="74"/>
      <c r="T668" s="74"/>
      <c r="U668" s="74"/>
      <c r="V668" s="47" t="b">
        <v>0</v>
      </c>
      <c r="W668" s="47" t="str">
        <f>"Character/Prefabs/"&amp;VLOOKUP($C668,'#Data'!$B$3:$I$344,8,FALSE)</f>
        <v>Character/Prefabs/m_s_ranger_friendly_walking_eyeball_3</v>
      </c>
      <c r="X668" s="47"/>
      <c r="Y668" s="47" t="str">
        <f>VLOOKUP($C668,'#Data'!$B$3:$I$344,8,FALSE)</f>
        <v>m_s_ranger_friendly_walking_eyeball_3</v>
      </c>
      <c r="Z668" s="47"/>
      <c r="AA668" s="47"/>
      <c r="AB668" s="47"/>
      <c r="AC668" s="161">
        <v>1.2</v>
      </c>
      <c r="AD668" s="47"/>
      <c r="AE668" s="47"/>
      <c r="AF668" s="47"/>
      <c r="AG668" s="47" t="s">
        <v>2106</v>
      </c>
      <c r="AH668" s="158"/>
      <c r="AI668" s="157"/>
      <c r="AJ668" s="157"/>
    </row>
    <row r="669" spans="1:36" s="159" customFormat="1" x14ac:dyDescent="0.3">
      <c r="A669" s="47">
        <f t="shared" si="20"/>
        <v>1410204114</v>
      </c>
      <c r="B669" s="47" t="s">
        <v>125</v>
      </c>
      <c r="C669" s="47" t="s">
        <v>1263</v>
      </c>
      <c r="D669" s="47" t="str">
        <f>"Monster.Name."&amp;VLOOKUP($C669,'#Data'!$B$2:$J$344,2,FALSE)</f>
        <v>Monster.Name.friendly_patrol_3</v>
      </c>
      <c r="E669" s="47" t="s">
        <v>43</v>
      </c>
      <c r="F669" s="46" t="s">
        <v>44</v>
      </c>
      <c r="G669" s="47" t="s">
        <v>45</v>
      </c>
      <c r="H669" s="47" t="b">
        <f>IF(OR(VLOOKUP($C669,'#Data'!$B$2:$J$344,4,FALSE)="보스",VLOOKUP($C669,'#Data'!$B$2:$J$344,4,FALSE)="중간"),TRUE,FALSE)</f>
        <v>0</v>
      </c>
      <c r="I669" s="47" t="b">
        <v>0</v>
      </c>
      <c r="J669" s="47">
        <v>10</v>
      </c>
      <c r="K669" s="47">
        <f t="shared" si="21"/>
        <v>10</v>
      </c>
      <c r="L669" s="160" t="s">
        <v>131</v>
      </c>
      <c r="M669" s="160"/>
      <c r="N669" s="160"/>
      <c r="O669" s="141" t="s">
        <v>2020</v>
      </c>
      <c r="P669" s="141"/>
      <c r="Q669" s="141"/>
      <c r="R669" s="74"/>
      <c r="S669" s="74"/>
      <c r="T669" s="74"/>
      <c r="U669" s="74"/>
      <c r="V669" s="47" t="b">
        <v>0</v>
      </c>
      <c r="W669" s="47" t="str">
        <f>"Character/Prefabs/"&amp;VLOOKUP($C669,'#Data'!$B$3:$I$344,8,FALSE)</f>
        <v>Character/Prefabs/m_s_attacker_friendly_patrol_3</v>
      </c>
      <c r="X669" s="47"/>
      <c r="Y669" s="47" t="str">
        <f>VLOOKUP($C669,'#Data'!$B$3:$I$344,8,FALSE)</f>
        <v>m_s_attacker_friendly_patrol_3</v>
      </c>
      <c r="Z669" s="47"/>
      <c r="AA669" s="47"/>
      <c r="AB669" s="47"/>
      <c r="AC669" s="161">
        <v>1</v>
      </c>
      <c r="AD669" s="47"/>
      <c r="AE669" s="47"/>
      <c r="AF669" s="47"/>
      <c r="AG669" s="47" t="s">
        <v>2106</v>
      </c>
      <c r="AH669" s="158"/>
      <c r="AI669" s="157"/>
      <c r="AJ669" s="157"/>
    </row>
    <row r="670" spans="1:36" s="159" customFormat="1" x14ac:dyDescent="0.3">
      <c r="A670" s="47">
        <f t="shared" si="20"/>
        <v>1410204115</v>
      </c>
      <c r="B670" s="47" t="s">
        <v>125</v>
      </c>
      <c r="C670" s="47" t="s">
        <v>1265</v>
      </c>
      <c r="D670" s="47" t="str">
        <f>"Monster.Name."&amp;VLOOKUP($C670,'#Data'!$B$2:$J$344,2,FALSE)</f>
        <v>Monster.Name.friendly_edge_eyeball_2</v>
      </c>
      <c r="E670" s="47" t="s">
        <v>43</v>
      </c>
      <c r="F670" s="46" t="s">
        <v>44</v>
      </c>
      <c r="G670" s="47" t="s">
        <v>45</v>
      </c>
      <c r="H670" s="47" t="b">
        <f>IF(OR(VLOOKUP($C670,'#Data'!$B$2:$J$344,4,FALSE)="보스",VLOOKUP($C670,'#Data'!$B$2:$J$344,4,FALSE)="중간"),TRUE,FALSE)</f>
        <v>0</v>
      </c>
      <c r="I670" s="47" t="b">
        <v>0</v>
      </c>
      <c r="J670" s="47">
        <v>10</v>
      </c>
      <c r="K670" s="47">
        <f t="shared" si="21"/>
        <v>10</v>
      </c>
      <c r="L670" s="160" t="s">
        <v>1348</v>
      </c>
      <c r="M670" s="160"/>
      <c r="N670" s="160"/>
      <c r="O670" s="141" t="s">
        <v>1355</v>
      </c>
      <c r="P670" s="141" t="s">
        <v>2023</v>
      </c>
      <c r="Q670" s="141"/>
      <c r="R670" s="74"/>
      <c r="S670" s="74"/>
      <c r="T670" s="74"/>
      <c r="U670" s="74"/>
      <c r="V670" s="47" t="b">
        <v>0</v>
      </c>
      <c r="W670" s="47" t="str">
        <f>"Character/Prefabs/"&amp;VLOOKUP($C670,'#Data'!$B$3:$I$344,8,FALSE)</f>
        <v>Character/Prefabs/m_m_attacker_friendly_edge_eyeball_2</v>
      </c>
      <c r="X670" s="47"/>
      <c r="Y670" s="47" t="str">
        <f>VLOOKUP($C670,'#Data'!$B$3:$I$344,8,FALSE)</f>
        <v>m_m_attacker_friendly_edge_eyeball_2</v>
      </c>
      <c r="Z670" s="47"/>
      <c r="AA670" s="47"/>
      <c r="AB670" s="47"/>
      <c r="AC670" s="161">
        <v>0.9</v>
      </c>
      <c r="AD670" s="47"/>
      <c r="AE670" s="47"/>
      <c r="AF670" s="47"/>
      <c r="AG670" s="47" t="s">
        <v>2106</v>
      </c>
      <c r="AH670" s="158"/>
      <c r="AI670" s="157"/>
      <c r="AJ670" s="157"/>
    </row>
    <row r="671" spans="1:36" s="159" customFormat="1" x14ac:dyDescent="0.3">
      <c r="A671" s="47">
        <f t="shared" si="20"/>
        <v>1410204116</v>
      </c>
      <c r="B671" s="47" t="s">
        <v>125</v>
      </c>
      <c r="C671" s="47" t="s">
        <v>1267</v>
      </c>
      <c r="D671" s="47" t="str">
        <f>"Monster.Name."&amp;VLOOKUP($C671,'#Data'!$B$2:$J$344,2,FALSE)</f>
        <v>Monster.Name.friendly_electric_eyeball_2</v>
      </c>
      <c r="E671" s="47" t="s">
        <v>47</v>
      </c>
      <c r="F671" s="46" t="s">
        <v>44</v>
      </c>
      <c r="G671" s="47" t="s">
        <v>45</v>
      </c>
      <c r="H671" s="47" t="b">
        <f>IF(OR(VLOOKUP($C671,'#Data'!$B$2:$J$344,4,FALSE)="보스",VLOOKUP($C671,'#Data'!$B$2:$J$344,4,FALSE)="중간"),TRUE,FALSE)</f>
        <v>0</v>
      </c>
      <c r="I671" s="47" t="b">
        <v>0</v>
      </c>
      <c r="J671" s="47">
        <v>10</v>
      </c>
      <c r="K671" s="47">
        <f t="shared" si="21"/>
        <v>10</v>
      </c>
      <c r="L671" s="160" t="s">
        <v>1349</v>
      </c>
      <c r="M671" s="160"/>
      <c r="N671" s="160"/>
      <c r="O671" s="141" t="s">
        <v>1356</v>
      </c>
      <c r="P671" s="141" t="s">
        <v>2024</v>
      </c>
      <c r="Q671" s="141"/>
      <c r="R671" s="74"/>
      <c r="S671" s="74"/>
      <c r="T671" s="74"/>
      <c r="U671" s="74"/>
      <c r="V671" s="47" t="b">
        <v>0</v>
      </c>
      <c r="W671" s="47" t="str">
        <f>"Character/Prefabs/"&amp;VLOOKUP($C671,'#Data'!$B$3:$I$344,8,FALSE)</f>
        <v>Character/Prefabs/m_m_ranger_friendly_electric_eyeball_2</v>
      </c>
      <c r="X671" s="47"/>
      <c r="Y671" s="47" t="str">
        <f>VLOOKUP($C671,'#Data'!$B$3:$I$344,8,FALSE)</f>
        <v>m_m_ranger_friendly_electric_eyeball_2</v>
      </c>
      <c r="Z671" s="47"/>
      <c r="AA671" s="47"/>
      <c r="AB671" s="47"/>
      <c r="AC671" s="161">
        <v>0.9</v>
      </c>
      <c r="AD671" s="47"/>
      <c r="AE671" s="47"/>
      <c r="AF671" s="47"/>
      <c r="AG671" s="47" t="s">
        <v>2106</v>
      </c>
      <c r="AH671" s="158"/>
      <c r="AI671" s="157"/>
      <c r="AJ671" s="157"/>
    </row>
    <row r="672" spans="1:36" s="159" customFormat="1" x14ac:dyDescent="0.3">
      <c r="A672" s="47">
        <f t="shared" si="20"/>
        <v>1410204117</v>
      </c>
      <c r="B672" s="47" t="s">
        <v>125</v>
      </c>
      <c r="C672" s="47" t="s">
        <v>1269</v>
      </c>
      <c r="D672" s="47" t="str">
        <f>"Monster.Name."&amp;VLOOKUP($C672,'#Data'!$B$2:$J$344,2,FALSE)</f>
        <v>Monster.Name.friendly_sawpatrol_2</v>
      </c>
      <c r="E672" s="47" t="s">
        <v>43</v>
      </c>
      <c r="F672" s="46" t="s">
        <v>44</v>
      </c>
      <c r="G672" s="47" t="s">
        <v>45</v>
      </c>
      <c r="H672" s="47" t="b">
        <f>IF(OR(VLOOKUP($C672,'#Data'!$B$2:$J$344,4,FALSE)="보스",VLOOKUP($C672,'#Data'!$B$2:$J$344,4,FALSE)="중간"),TRUE,FALSE)</f>
        <v>0</v>
      </c>
      <c r="I672" s="47" t="b">
        <v>0</v>
      </c>
      <c r="J672" s="47">
        <v>10</v>
      </c>
      <c r="K672" s="47">
        <f t="shared" si="21"/>
        <v>10</v>
      </c>
      <c r="L672" s="160" t="s">
        <v>1350</v>
      </c>
      <c r="M672" s="160"/>
      <c r="N672" s="160"/>
      <c r="O672" s="141" t="s">
        <v>1357</v>
      </c>
      <c r="P672" s="141" t="s">
        <v>2025</v>
      </c>
      <c r="Q672" s="141"/>
      <c r="R672" s="74"/>
      <c r="S672" s="74"/>
      <c r="T672" s="74"/>
      <c r="U672" s="74"/>
      <c r="V672" s="47" t="b">
        <v>0</v>
      </c>
      <c r="W672" s="47" t="str">
        <f>"Character/Prefabs/"&amp;VLOOKUP($C672,'#Data'!$B$3:$I$344,8,FALSE)</f>
        <v>Character/Prefabs/m_m_attacker_friendly_sawpatrol_2</v>
      </c>
      <c r="X672" s="47"/>
      <c r="Y672" s="47" t="str">
        <f>VLOOKUP($C672,'#Data'!$B$3:$I$344,8,FALSE)</f>
        <v>m_m_attacker_friendly_sawpatrol_2</v>
      </c>
      <c r="Z672" s="47"/>
      <c r="AA672" s="47"/>
      <c r="AB672" s="47"/>
      <c r="AC672" s="161">
        <v>1</v>
      </c>
      <c r="AD672" s="47"/>
      <c r="AE672" s="47"/>
      <c r="AF672" s="47"/>
      <c r="AG672" s="47" t="s">
        <v>2106</v>
      </c>
      <c r="AH672" s="158"/>
      <c r="AI672" s="157"/>
      <c r="AJ672" s="157"/>
    </row>
    <row r="673" spans="1:36" s="159" customFormat="1" x14ac:dyDescent="0.3">
      <c r="A673" s="47">
        <f t="shared" si="20"/>
        <v>1410204118</v>
      </c>
      <c r="B673" s="47" t="s">
        <v>125</v>
      </c>
      <c r="C673" s="47" t="s">
        <v>1271</v>
      </c>
      <c r="D673" s="47" t="str">
        <f>"Monster.Name."&amp;VLOOKUP($C673,'#Data'!$B$2:$J$344,2,FALSE)</f>
        <v>Monster.Name.friendly_staffpatrol_2</v>
      </c>
      <c r="E673" s="47" t="s">
        <v>143</v>
      </c>
      <c r="F673" s="46" t="s">
        <v>44</v>
      </c>
      <c r="G673" s="47" t="s">
        <v>45</v>
      </c>
      <c r="H673" s="47" t="b">
        <f>IF(OR(VLOOKUP($C673,'#Data'!$B$2:$J$344,4,FALSE)="보스",VLOOKUP($C673,'#Data'!$B$2:$J$344,4,FALSE)="중간"),TRUE,FALSE)</f>
        <v>0</v>
      </c>
      <c r="I673" s="47" t="b">
        <v>0</v>
      </c>
      <c r="J673" s="47">
        <v>10</v>
      </c>
      <c r="K673" s="47">
        <f t="shared" si="21"/>
        <v>10</v>
      </c>
      <c r="L673" s="160" t="s">
        <v>1351</v>
      </c>
      <c r="M673" s="160"/>
      <c r="N673" s="160"/>
      <c r="O673" s="141" t="s">
        <v>1358</v>
      </c>
      <c r="P673" s="141" t="s">
        <v>2026</v>
      </c>
      <c r="Q673" s="141"/>
      <c r="R673" s="74"/>
      <c r="S673" s="74"/>
      <c r="T673" s="74"/>
      <c r="U673" s="74"/>
      <c r="V673" s="47" t="b">
        <v>0</v>
      </c>
      <c r="W673" s="47" t="str">
        <f>"Character/Prefabs/"&amp;VLOOKUP($C673,'#Data'!$B$3:$I$344,8,FALSE)</f>
        <v>Character/Prefabs/m_m_supporter_friendly_staffpatrol_2</v>
      </c>
      <c r="X673" s="47"/>
      <c r="Y673" s="47" t="str">
        <f>VLOOKUP($C673,'#Data'!$B$3:$I$344,8,FALSE)</f>
        <v>m_m_supporter_friendly_staffpatrol_2</v>
      </c>
      <c r="Z673" s="47"/>
      <c r="AA673" s="47"/>
      <c r="AB673" s="47"/>
      <c r="AC673" s="161">
        <v>1</v>
      </c>
      <c r="AD673" s="47"/>
      <c r="AE673" s="47"/>
      <c r="AF673" s="47"/>
      <c r="AG673" s="47" t="s">
        <v>2106</v>
      </c>
      <c r="AH673" s="158"/>
      <c r="AI673" s="157"/>
      <c r="AJ673" s="157"/>
    </row>
    <row r="674" spans="1:36" s="159" customFormat="1" x14ac:dyDescent="0.3">
      <c r="A674" s="47">
        <f t="shared" si="20"/>
        <v>1410204119</v>
      </c>
      <c r="B674" s="47" t="s">
        <v>125</v>
      </c>
      <c r="C674" s="47" t="s">
        <v>1273</v>
      </c>
      <c r="D674" s="47" t="str">
        <f>"Monster.Name."&amp;VLOOKUP($C674,'#Data'!$B$2:$J$344,2,FALSE)</f>
        <v>Monster.Name.friendly_sicklepatrol_2</v>
      </c>
      <c r="E674" s="47" t="s">
        <v>43</v>
      </c>
      <c r="F674" s="46" t="s">
        <v>44</v>
      </c>
      <c r="G674" s="47" t="s">
        <v>45</v>
      </c>
      <c r="H674" s="47" t="b">
        <f>IF(OR(VLOOKUP($C674,'#Data'!$B$2:$J$344,4,FALSE)="보스",VLOOKUP($C674,'#Data'!$B$2:$J$344,4,FALSE)="중간"),TRUE,FALSE)</f>
        <v>0</v>
      </c>
      <c r="I674" s="47" t="b">
        <v>0</v>
      </c>
      <c r="J674" s="47">
        <v>10</v>
      </c>
      <c r="K674" s="47">
        <f t="shared" si="21"/>
        <v>10</v>
      </c>
      <c r="L674" s="160" t="s">
        <v>1352</v>
      </c>
      <c r="M674" s="160"/>
      <c r="N674" s="160"/>
      <c r="O674" s="141" t="s">
        <v>1359</v>
      </c>
      <c r="P674" s="141" t="s">
        <v>2027</v>
      </c>
      <c r="Q674" s="141"/>
      <c r="R674" s="74"/>
      <c r="S674" s="74"/>
      <c r="T674" s="74"/>
      <c r="U674" s="74"/>
      <c r="V674" s="47" t="b">
        <v>0</v>
      </c>
      <c r="W674" s="47" t="str">
        <f>"Character/Prefabs/"&amp;VLOOKUP($C674,'#Data'!$B$3:$I$344,8,FALSE)</f>
        <v>Character/Prefabs/m_m_attacker_friendly_sicklepatrol_2</v>
      </c>
      <c r="X674" s="47"/>
      <c r="Y674" s="47" t="str">
        <f>VLOOKUP($C674,'#Data'!$B$3:$I$344,8,FALSE)</f>
        <v>m_m_attacker_friendly_sicklepatrol_2</v>
      </c>
      <c r="Z674" s="47"/>
      <c r="AA674" s="47"/>
      <c r="AB674" s="47"/>
      <c r="AC674" s="161">
        <v>1</v>
      </c>
      <c r="AD674" s="47"/>
      <c r="AE674" s="47"/>
      <c r="AF674" s="47"/>
      <c r="AG674" s="47" t="s">
        <v>2106</v>
      </c>
      <c r="AH674" s="158"/>
      <c r="AI674" s="157"/>
      <c r="AJ674" s="157"/>
    </row>
    <row r="675" spans="1:36" s="159" customFormat="1" x14ac:dyDescent="0.3">
      <c r="A675" s="47">
        <f t="shared" si="20"/>
        <v>1410204120</v>
      </c>
      <c r="B675" s="47" t="s">
        <v>125</v>
      </c>
      <c r="C675" s="47" t="s">
        <v>1275</v>
      </c>
      <c r="D675" s="47" t="str">
        <f>"Monster.Name."&amp;VLOOKUP($C675,'#Data'!$B$2:$J$344,2,FALSE)</f>
        <v>Monster.Name.friendly_security_2</v>
      </c>
      <c r="E675" s="47" t="s">
        <v>43</v>
      </c>
      <c r="F675" s="46" t="s">
        <v>44</v>
      </c>
      <c r="G675" s="47" t="s">
        <v>45</v>
      </c>
      <c r="H675" s="47" t="b">
        <f>IF(OR(VLOOKUP($C675,'#Data'!$B$2:$J$344,4,FALSE)="보스",VLOOKUP($C675,'#Data'!$B$2:$J$344,4,FALSE)="중간"),TRUE,FALSE)</f>
        <v>0</v>
      </c>
      <c r="I675" s="47" t="b">
        <v>0</v>
      </c>
      <c r="J675" s="47">
        <v>10</v>
      </c>
      <c r="K675" s="47">
        <f t="shared" si="21"/>
        <v>10</v>
      </c>
      <c r="L675" s="160" t="s">
        <v>1968</v>
      </c>
      <c r="M675" s="160"/>
      <c r="N675" s="160"/>
      <c r="O675" s="141" t="s">
        <v>1969</v>
      </c>
      <c r="P675" s="141" t="s">
        <v>2028</v>
      </c>
      <c r="Q675" s="141"/>
      <c r="R675" s="74"/>
      <c r="S675" s="74"/>
      <c r="T675" s="74"/>
      <c r="U675" s="74"/>
      <c r="V675" s="47" t="b">
        <v>0</v>
      </c>
      <c r="W675" s="47" t="str">
        <f>"Character/Prefabs/"&amp;VLOOKUP($C675,'#Data'!$B$3:$I$344,8,FALSE)</f>
        <v>Character/Prefabs/m_m_attacker_friendly_security_2</v>
      </c>
      <c r="X675" s="47"/>
      <c r="Y675" s="47" t="str">
        <f>VLOOKUP($C675,'#Data'!$B$3:$I$344,8,FALSE)</f>
        <v>m_m_attacker_friendly_security_2</v>
      </c>
      <c r="Z675" s="47"/>
      <c r="AA675" s="47"/>
      <c r="AB675" s="47"/>
      <c r="AC675" s="161">
        <v>0.9</v>
      </c>
      <c r="AD675" s="47"/>
      <c r="AE675" s="47"/>
      <c r="AF675" s="47"/>
      <c r="AG675" s="47" t="s">
        <v>2106</v>
      </c>
      <c r="AH675" s="158"/>
      <c r="AI675" s="157"/>
      <c r="AJ675" s="157"/>
    </row>
    <row r="676" spans="1:36" s="159" customFormat="1" x14ac:dyDescent="0.3">
      <c r="A676" s="47">
        <f t="shared" si="20"/>
        <v>1410204121</v>
      </c>
      <c r="B676" s="47" t="s">
        <v>125</v>
      </c>
      <c r="C676" s="47" t="s">
        <v>1276</v>
      </c>
      <c r="D676" s="47" t="str">
        <f>"Monster.Name."&amp;VLOOKUP($C676,'#Data'!$B$2:$J$344,2,FALSE)</f>
        <v>Monster.Name.friendly_cannon_2</v>
      </c>
      <c r="E676" s="47" t="s">
        <v>47</v>
      </c>
      <c r="F676" s="46" t="s">
        <v>44</v>
      </c>
      <c r="G676" s="47" t="s">
        <v>45</v>
      </c>
      <c r="H676" s="47" t="b">
        <f>IF(OR(VLOOKUP($C676,'#Data'!$B$2:$J$344,4,FALSE)="보스",VLOOKUP($C676,'#Data'!$B$2:$J$344,4,FALSE)="중간"),TRUE,FALSE)</f>
        <v>0</v>
      </c>
      <c r="I676" s="47" t="b">
        <v>0</v>
      </c>
      <c r="J676" s="47">
        <v>10</v>
      </c>
      <c r="K676" s="47">
        <f t="shared" si="21"/>
        <v>10</v>
      </c>
      <c r="L676" s="160" t="s">
        <v>1353</v>
      </c>
      <c r="M676" s="160"/>
      <c r="N676" s="160"/>
      <c r="O676" s="141" t="s">
        <v>1360</v>
      </c>
      <c r="P676" s="141" t="s">
        <v>2029</v>
      </c>
      <c r="Q676" s="141"/>
      <c r="R676" s="74"/>
      <c r="S676" s="74"/>
      <c r="T676" s="74"/>
      <c r="U676" s="74"/>
      <c r="V676" s="47" t="b">
        <v>0</v>
      </c>
      <c r="W676" s="47" t="str">
        <f>"Character/Prefabs/"&amp;VLOOKUP($C676,'#Data'!$B$3:$I$344,8,FALSE)</f>
        <v>Character/Prefabs/m_m_ranger_friendly_cannon_2</v>
      </c>
      <c r="X676" s="47"/>
      <c r="Y676" s="47" t="str">
        <f>VLOOKUP($C676,'#Data'!$B$3:$I$344,8,FALSE)</f>
        <v>m_m_ranger_friendly_cannon_2</v>
      </c>
      <c r="Z676" s="47"/>
      <c r="AA676" s="47"/>
      <c r="AB676" s="47"/>
      <c r="AC676" s="161">
        <v>0.7</v>
      </c>
      <c r="AD676" s="47"/>
      <c r="AE676" s="47"/>
      <c r="AF676" s="47"/>
      <c r="AG676" s="47" t="s">
        <v>2106</v>
      </c>
      <c r="AH676" s="158"/>
      <c r="AI676" s="157"/>
      <c r="AJ676" s="157"/>
    </row>
    <row r="677" spans="1:36" s="159" customFormat="1" x14ac:dyDescent="0.3">
      <c r="A677" s="47">
        <f t="shared" si="20"/>
        <v>1410204122</v>
      </c>
      <c r="B677" s="47" t="s">
        <v>125</v>
      </c>
      <c r="C677" s="47" t="s">
        <v>1278</v>
      </c>
      <c r="D677" s="47" t="str">
        <f>"Monster.Name."&amp;VLOOKUP($C677,'#Data'!$B$2:$J$344,2,FALSE)</f>
        <v>Monster.Name.friendly_gun_2</v>
      </c>
      <c r="E677" s="47" t="s">
        <v>47</v>
      </c>
      <c r="F677" s="46" t="s">
        <v>44</v>
      </c>
      <c r="G677" s="47" t="s">
        <v>45</v>
      </c>
      <c r="H677" s="47" t="b">
        <f>IF(OR(VLOOKUP($C677,'#Data'!$B$2:$J$344,4,FALSE)="보스",VLOOKUP($C677,'#Data'!$B$2:$J$344,4,FALSE)="중간"),TRUE,FALSE)</f>
        <v>0</v>
      </c>
      <c r="I677" s="47" t="b">
        <v>0</v>
      </c>
      <c r="J677" s="47">
        <v>10</v>
      </c>
      <c r="K677" s="47">
        <f t="shared" si="21"/>
        <v>10</v>
      </c>
      <c r="L677" s="160" t="s">
        <v>1354</v>
      </c>
      <c r="M677" s="160"/>
      <c r="N677" s="160"/>
      <c r="O677" s="141" t="s">
        <v>1361</v>
      </c>
      <c r="P677" s="141" t="s">
        <v>2030</v>
      </c>
      <c r="Q677" s="141"/>
      <c r="R677" s="74"/>
      <c r="S677" s="74"/>
      <c r="T677" s="74"/>
      <c r="U677" s="74"/>
      <c r="V677" s="47" t="b">
        <v>0</v>
      </c>
      <c r="W677" s="47" t="str">
        <f>"Character/Prefabs/"&amp;VLOOKUP($C677,'#Data'!$B$3:$I$344,8,FALSE)</f>
        <v>Character/Prefabs/m_m_ranger_friendly_gun_2</v>
      </c>
      <c r="X677" s="47"/>
      <c r="Y677" s="47" t="str">
        <f>VLOOKUP($C677,'#Data'!$B$3:$I$344,8,FALSE)</f>
        <v>m_m_ranger_friendly_gun_2</v>
      </c>
      <c r="Z677" s="47"/>
      <c r="AA677" s="47"/>
      <c r="AB677" s="47"/>
      <c r="AC677" s="161">
        <v>0.7</v>
      </c>
      <c r="AD677" s="47"/>
      <c r="AE677" s="47"/>
      <c r="AF677" s="47"/>
      <c r="AG677" s="47" t="s">
        <v>2106</v>
      </c>
      <c r="AH677" s="158"/>
      <c r="AI677" s="157"/>
      <c r="AJ677" s="157"/>
    </row>
    <row r="678" spans="1:36" x14ac:dyDescent="0.3">
      <c r="A678" s="13">
        <f t="shared" si="20"/>
        <v>1410204201</v>
      </c>
      <c r="B678" s="13" t="s">
        <v>125</v>
      </c>
      <c r="C678" s="13" t="s">
        <v>148</v>
      </c>
      <c r="D678" s="13" t="str">
        <f>"Monster.Name."&amp;VLOOKUP($C678,'#Data'!$B$2:$J$344,2,FALSE)</f>
        <v>Monster.Name.friendly_railgun_1</v>
      </c>
      <c r="E678" s="13" t="s">
        <v>47</v>
      </c>
      <c r="F678" s="44" t="s">
        <v>44</v>
      </c>
      <c r="G678" s="13" t="s">
        <v>45</v>
      </c>
      <c r="H678" s="13" t="b">
        <f>IF(OR(VLOOKUP($C678,'#Data'!$B$2:$J$344,4,FALSE)="보스",VLOOKUP($C678,'#Data'!$B$2:$J$344,4,FALSE)="중간"),TRUE,FALSE)</f>
        <v>1</v>
      </c>
      <c r="I678" s="13" t="b">
        <v>1</v>
      </c>
      <c r="J678" s="13">
        <v>10</v>
      </c>
      <c r="K678" s="13">
        <f t="shared" si="21"/>
        <v>10</v>
      </c>
      <c r="L678" s="71" t="str">
        <f>$B678&amp;"."&amp;VLOOKUP($C678,'#Data'!$B$2:$J$344,2,FALSE)&amp;".attack0"&amp;RIGHT(L$1,1)</f>
        <v>Sector04.friendly_railgun_1.attack01</v>
      </c>
      <c r="M678" s="71"/>
      <c r="N678" s="71"/>
      <c r="O678" s="140" t="str">
        <f>$B678&amp;"."&amp;VLOOKUP($C678,'#Data'!$B$2:$J$344,2,FALSE)&amp;".skill0"&amp;RIGHT(O$1,1)</f>
        <v>Sector04.friendly_railgun_1.skill01</v>
      </c>
      <c r="P678" s="140" t="str">
        <f>$B678&amp;"."&amp;VLOOKUP($C678,'#Data'!$B$2:$J$344,2,FALSE)&amp;".skill0"&amp;RIGHT(P$1,1)</f>
        <v>Sector04.friendly_railgun_1.skill02</v>
      </c>
      <c r="Q678" s="140" t="str">
        <f>$B678&amp;"."&amp;VLOOKUP($C678,'#Data'!$B$2:$J$344,2,FALSE)&amp;".skill0"&amp;RIGHT(Q$1,1)</f>
        <v>Sector04.friendly_railgun_1.skill03</v>
      </c>
      <c r="R678" s="72"/>
      <c r="S678" s="72" t="s">
        <v>2076</v>
      </c>
      <c r="T678" s="72"/>
      <c r="U678" s="72"/>
      <c r="V678" s="13" t="b">
        <v>0</v>
      </c>
      <c r="W678" s="13" t="str">
        <f>"Character/Prefabs/"&amp;VLOOKUP($C678,'#Data'!$B$3:$I$344,8,FALSE)</f>
        <v>Character/Prefabs/m_l_ranger_friendly_railgun_1</v>
      </c>
      <c r="X678" s="13"/>
      <c r="Y678" s="13" t="str">
        <f>VLOOKUP($C678,'#Data'!$B$3:$I$344,8,FALSE)</f>
        <v>m_l_ranger_friendly_railgun_1</v>
      </c>
      <c r="Z678" s="13"/>
      <c r="AA678" s="13"/>
      <c r="AB678" s="13"/>
      <c r="AC678" s="92">
        <v>0.9</v>
      </c>
      <c r="AD678" s="13"/>
      <c r="AE678" s="13"/>
      <c r="AF678" s="13"/>
      <c r="AG678" s="13" t="s">
        <v>2106</v>
      </c>
      <c r="AH678" s="85"/>
    </row>
    <row r="679" spans="1:36" x14ac:dyDescent="0.3">
      <c r="A679" s="13">
        <f t="shared" si="20"/>
        <v>1410204202</v>
      </c>
      <c r="B679" s="13" t="s">
        <v>125</v>
      </c>
      <c r="C679" s="13" t="s">
        <v>149</v>
      </c>
      <c r="D679" s="13" t="str">
        <f>"Monster.Name."&amp;VLOOKUP($C679,'#Data'!$B$2:$J$344,2,FALSE)</f>
        <v>Monster.Name.friendly_punch_1</v>
      </c>
      <c r="E679" s="13" t="s">
        <v>58</v>
      </c>
      <c r="F679" s="44" t="s">
        <v>44</v>
      </c>
      <c r="G679" s="13" t="s">
        <v>45</v>
      </c>
      <c r="H679" s="13" t="b">
        <f>IF(OR(VLOOKUP($C679,'#Data'!$B$2:$J$344,4,FALSE)="보스",VLOOKUP($C679,'#Data'!$B$2:$J$344,4,FALSE)="중간"),TRUE,FALSE)</f>
        <v>1</v>
      </c>
      <c r="I679" s="13" t="b">
        <v>1</v>
      </c>
      <c r="J679" s="13">
        <v>10</v>
      </c>
      <c r="K679" s="13">
        <f t="shared" si="21"/>
        <v>10</v>
      </c>
      <c r="L679" s="71" t="str">
        <f>$B679&amp;"."&amp;VLOOKUP($C679,'#Data'!$B$2:$J$344,2,FALSE)&amp;".attack0"&amp;RIGHT(L$1,1)</f>
        <v>Sector04.friendly_punch_1.attack01</v>
      </c>
      <c r="M679" s="71"/>
      <c r="N679" s="71"/>
      <c r="O679" s="140" t="str">
        <f>$B679&amp;"."&amp;VLOOKUP($C679,'#Data'!$B$2:$J$344,2,FALSE)&amp;".skill0"&amp;RIGHT(O$1,1)</f>
        <v>Sector04.friendly_punch_1.skill01</v>
      </c>
      <c r="P679" s="140" t="str">
        <f>$B679&amp;"."&amp;VLOOKUP($C679,'#Data'!$B$2:$J$344,2,FALSE)&amp;".skill0"&amp;RIGHT(P$1,1)</f>
        <v>Sector04.friendly_punch_1.skill02</v>
      </c>
      <c r="Q679" s="140" t="str">
        <f>$B679&amp;"."&amp;VLOOKUP($C679,'#Data'!$B$2:$J$344,2,FALSE)&amp;".skill0"&amp;RIGHT(Q$1,1)</f>
        <v>Sector04.friendly_punch_1.skill03</v>
      </c>
      <c r="R679" s="72"/>
      <c r="S679" s="72" t="s">
        <v>2076</v>
      </c>
      <c r="T679" s="72"/>
      <c r="U679" s="72"/>
      <c r="V679" s="13" t="b">
        <v>0</v>
      </c>
      <c r="W679" s="13" t="str">
        <f>"Character/Prefabs/"&amp;VLOOKUP($C679,'#Data'!$B$3:$I$344,8,FALSE)</f>
        <v>Character/Prefabs/m_l_tanker_friendly_punch_1</v>
      </c>
      <c r="X679" s="13"/>
      <c r="Y679" s="13" t="str">
        <f>VLOOKUP($C679,'#Data'!$B$3:$I$344,8,FALSE)</f>
        <v>m_l_tanker_friendly_punch_1</v>
      </c>
      <c r="Z679" s="13"/>
      <c r="AA679" s="13"/>
      <c r="AB679" s="13"/>
      <c r="AC679" s="92">
        <v>0.9</v>
      </c>
      <c r="AD679" s="13"/>
      <c r="AE679" s="13"/>
      <c r="AF679" s="13"/>
      <c r="AG679" s="13" t="s">
        <v>2106</v>
      </c>
      <c r="AH679" s="85"/>
    </row>
    <row r="680" spans="1:36" x14ac:dyDescent="0.3">
      <c r="A680" s="13">
        <f t="shared" si="20"/>
        <v>1410204203</v>
      </c>
      <c r="B680" s="13" t="s">
        <v>125</v>
      </c>
      <c r="C680" s="13" t="s">
        <v>150</v>
      </c>
      <c r="D680" s="13" t="str">
        <f>"Monster.Name."&amp;VLOOKUP($C680,'#Data'!$B$2:$J$344,2,FALSE)</f>
        <v>Monster.Name.friendly_pincers_1</v>
      </c>
      <c r="E680" s="13" t="s">
        <v>43</v>
      </c>
      <c r="F680" s="44" t="s">
        <v>44</v>
      </c>
      <c r="G680" s="13" t="s">
        <v>45</v>
      </c>
      <c r="H680" s="13" t="b">
        <f>IF(OR(VLOOKUP($C680,'#Data'!$B$2:$J$344,4,FALSE)="보스",VLOOKUP($C680,'#Data'!$B$2:$J$344,4,FALSE)="중간"),TRUE,FALSE)</f>
        <v>1</v>
      </c>
      <c r="I680" s="13" t="b">
        <v>1</v>
      </c>
      <c r="J680" s="13">
        <v>10</v>
      </c>
      <c r="K680" s="13">
        <f t="shared" si="21"/>
        <v>10</v>
      </c>
      <c r="L680" s="71" t="str">
        <f>$B680&amp;"."&amp;VLOOKUP($C680,'#Data'!$B$2:$J$344,2,FALSE)&amp;".attack0"&amp;RIGHT(L$1,1)</f>
        <v>Sector04.friendly_pincers_1.attack01</v>
      </c>
      <c r="M680" s="71"/>
      <c r="N680" s="71"/>
      <c r="O680" s="140" t="str">
        <f>$B680&amp;"."&amp;VLOOKUP($C680,'#Data'!$B$2:$J$344,2,FALSE)&amp;".skill0"&amp;RIGHT(O$1,1)</f>
        <v>Sector04.friendly_pincers_1.skill01</v>
      </c>
      <c r="P680" s="140" t="str">
        <f>$B680&amp;"."&amp;VLOOKUP($C680,'#Data'!$B$2:$J$344,2,FALSE)&amp;".skill0"&amp;RIGHT(P$1,1)</f>
        <v>Sector04.friendly_pincers_1.skill02</v>
      </c>
      <c r="Q680" s="140"/>
      <c r="R680" s="72"/>
      <c r="S680" s="72" t="s">
        <v>2076</v>
      </c>
      <c r="T680" s="72"/>
      <c r="U680" s="72"/>
      <c r="V680" s="13" t="b">
        <v>0</v>
      </c>
      <c r="W680" s="13" t="str">
        <f>"Character/Prefabs/"&amp;VLOOKUP($C680,'#Data'!$B$3:$I$344,8,FALSE)</f>
        <v>Character/Prefabs/m_l_attacker_friendly_pincers_1</v>
      </c>
      <c r="X680" s="13"/>
      <c r="Y680" s="13" t="str">
        <f>VLOOKUP($C680,'#Data'!$B$3:$I$344,8,FALSE)</f>
        <v>m_l_attacker_friendly_pincers_1</v>
      </c>
      <c r="Z680" s="13"/>
      <c r="AA680" s="13"/>
      <c r="AB680" s="13"/>
      <c r="AC680" s="92">
        <v>0.9</v>
      </c>
      <c r="AD680" s="13"/>
      <c r="AE680" s="13"/>
      <c r="AF680" s="13"/>
      <c r="AG680" s="13" t="s">
        <v>2106</v>
      </c>
      <c r="AH680" s="85"/>
    </row>
    <row r="681" spans="1:36" x14ac:dyDescent="0.3">
      <c r="A681" s="117">
        <f t="shared" si="20"/>
        <v>1410204301</v>
      </c>
      <c r="B681" s="117" t="s">
        <v>125</v>
      </c>
      <c r="C681" s="117" t="s">
        <v>151</v>
      </c>
      <c r="D681" s="117" t="str">
        <f>"Monster.Name."&amp;VLOOKUP($C681,'#Data'!$B$2:$J$344,2,FALSE)</f>
        <v>Monster.Name.nullaxe_1</v>
      </c>
      <c r="E681" s="117" t="s">
        <v>43</v>
      </c>
      <c r="F681" s="118" t="s">
        <v>44</v>
      </c>
      <c r="G681" s="117" t="s">
        <v>45</v>
      </c>
      <c r="H681" s="117" t="b">
        <f>IF(OR(VLOOKUP($C681,'#Data'!$B$2:$J$344,4,FALSE)="보스",VLOOKUP($C681,'#Data'!$B$2:$J$344,4,FALSE)="중간"),TRUE,FALSE)</f>
        <v>1</v>
      </c>
      <c r="I681" s="117" t="b">
        <v>1</v>
      </c>
      <c r="J681" s="117">
        <v>20</v>
      </c>
      <c r="K681" s="117">
        <f t="shared" si="21"/>
        <v>10</v>
      </c>
      <c r="L681" s="119" t="str">
        <f>$B681&amp;"."&amp;VLOOKUP($C681,'#Data'!$B$2:$J$344,2,FALSE)&amp;".attack0"&amp;RIGHT(L$1,1)</f>
        <v>Sector04.nullaxe_1.attack01</v>
      </c>
      <c r="M681" s="119" t="str">
        <f>$B681&amp;"."&amp;VLOOKUP($C681,'#Data'!$B$2:$J$344,2,FALSE)&amp;".attack0"&amp;RIGHT(M$1,1)</f>
        <v>Sector04.nullaxe_1.attack02</v>
      </c>
      <c r="N681" s="119"/>
      <c r="O681" s="142" t="str">
        <f>$B681&amp;"."&amp;VLOOKUP($C681,'#Data'!$B$2:$J$344,2,FALSE)&amp;".skill0"&amp;RIGHT(O$1,1)</f>
        <v>Sector04.nullaxe_1.skill01</v>
      </c>
      <c r="P681" s="142" t="str">
        <f>$B681&amp;"."&amp;VLOOKUP($C681,'#Data'!$B$2:$J$344,2,FALSE)&amp;".skill0"&amp;RIGHT(P$1,1)</f>
        <v>Sector04.nullaxe_1.skill02</v>
      </c>
      <c r="Q681" s="142" t="str">
        <f>$B681&amp;"."&amp;VLOOKUP($C681,'#Data'!$B$2:$J$344,2,FALSE)&amp;".skill0"&amp;RIGHT(Q$1,1)</f>
        <v>Sector04.nullaxe_1.skill03</v>
      </c>
      <c r="R681" s="120" t="s">
        <v>152</v>
      </c>
      <c r="S681" s="120" t="s">
        <v>76</v>
      </c>
      <c r="T681" s="120"/>
      <c r="U681" s="120"/>
      <c r="V681" s="117" t="b">
        <v>0</v>
      </c>
      <c r="W681" s="117" t="str">
        <f>"Character/Prefabs/"&amp;VLOOKUP($C681,'#Data'!$B$3:$I$344,8,FALSE)</f>
        <v>Character/Prefabs/m_boss_attacker_nullaxe_1</v>
      </c>
      <c r="X681" s="117"/>
      <c r="Y681" s="117" t="str">
        <f>VLOOKUP($C681,'#Data'!$B$3:$I$344,8,FALSE)</f>
        <v>m_boss_attacker_nullaxe_1</v>
      </c>
      <c r="Z681" s="117"/>
      <c r="AA681" s="117"/>
      <c r="AB681" s="117"/>
      <c r="AC681" s="121">
        <v>1.6</v>
      </c>
      <c r="AD681" s="117"/>
      <c r="AE681" s="117" t="s">
        <v>1449</v>
      </c>
      <c r="AF681" s="117" t="s">
        <v>153</v>
      </c>
      <c r="AG681" s="117" t="s">
        <v>2106</v>
      </c>
      <c r="AH681" s="85"/>
    </row>
    <row r="682" spans="1:36" x14ac:dyDescent="0.3">
      <c r="A682" s="117">
        <f t="shared" si="20"/>
        <v>1410204302</v>
      </c>
      <c r="B682" s="117" t="s">
        <v>125</v>
      </c>
      <c r="C682" s="117" t="s">
        <v>154</v>
      </c>
      <c r="D682" s="117" t="str">
        <f>"Monster.Name."&amp;VLOOKUP($C682,'#Data'!$B$2:$J$344,2,FALSE)</f>
        <v>Monster.Name.nullaxe_2</v>
      </c>
      <c r="E682" s="117" t="s">
        <v>43</v>
      </c>
      <c r="F682" s="118" t="s">
        <v>44</v>
      </c>
      <c r="G682" s="117" t="s">
        <v>45</v>
      </c>
      <c r="H682" s="117" t="b">
        <f>IF(OR(VLOOKUP($C682,'#Data'!$B$2:$J$344,4,FALSE)="보스",VLOOKUP($C682,'#Data'!$B$2:$J$344,4,FALSE)="중간"),TRUE,FALSE)</f>
        <v>1</v>
      </c>
      <c r="I682" s="117" t="b">
        <v>1</v>
      </c>
      <c r="J682" s="117">
        <v>20</v>
      </c>
      <c r="K682" s="117">
        <f t="shared" si="21"/>
        <v>10</v>
      </c>
      <c r="L682" s="119" t="str">
        <f>$B682&amp;"."&amp;VLOOKUP($C682,'#Data'!$B$2:$J$344,2,FALSE)&amp;".attack0"&amp;RIGHT(L$1,1)</f>
        <v>Sector04.nullaxe_2.attack01</v>
      </c>
      <c r="M682" s="119" t="str">
        <f>$B682&amp;"."&amp;VLOOKUP($C682,'#Data'!$B$2:$J$344,2,FALSE)&amp;".attack0"&amp;RIGHT(M$1,1)</f>
        <v>Sector04.nullaxe_2.attack02</v>
      </c>
      <c r="N682" s="119"/>
      <c r="O682" s="142" t="str">
        <f>$B682&amp;"."&amp;VLOOKUP($C682,'#Data'!$B$2:$J$344,2,FALSE)&amp;".skill0"&amp;RIGHT(O$1,1)</f>
        <v>Sector04.nullaxe_2.skill01</v>
      </c>
      <c r="P682" s="142" t="str">
        <f>$B682&amp;"."&amp;VLOOKUP($C682,'#Data'!$B$2:$J$344,2,FALSE)&amp;".skill0"&amp;RIGHT(P$1,1)</f>
        <v>Sector04.nullaxe_2.skill02</v>
      </c>
      <c r="Q682" s="142" t="str">
        <f>$B682&amp;"."&amp;VLOOKUP($C682,'#Data'!$B$2:$J$344,2,FALSE)&amp;".skill0"&amp;RIGHT(Q$1,1)</f>
        <v>Sector04.nullaxe_2.skill03</v>
      </c>
      <c r="R682" s="120" t="s">
        <v>155</v>
      </c>
      <c r="S682" s="120" t="s">
        <v>2073</v>
      </c>
      <c r="T682" s="120"/>
      <c r="U682" s="120"/>
      <c r="V682" s="117" t="b">
        <v>0</v>
      </c>
      <c r="W682" s="122" t="str">
        <f>"Character/Prefabs/"&amp;VLOOKUP($C682,'#Data'!$B$3:$I$344,8,FALSE)</f>
        <v>Character/Prefabs/m_boss_attacker_nullaxe_2</v>
      </c>
      <c r="X682" s="117"/>
      <c r="Y682" s="122" t="str">
        <f>VLOOKUP($C682,'#Data'!$B$3:$I$344,8,FALSE)</f>
        <v>m_boss_attacker_nullaxe_2</v>
      </c>
      <c r="Z682" s="117"/>
      <c r="AA682" s="117"/>
      <c r="AB682" s="117"/>
      <c r="AC682" s="121">
        <v>1.6</v>
      </c>
      <c r="AD682" s="117"/>
      <c r="AE682" s="117" t="s">
        <v>1450</v>
      </c>
      <c r="AF682" s="117" t="s">
        <v>1874</v>
      </c>
      <c r="AG682" s="117" t="s">
        <v>2106</v>
      </c>
      <c r="AH682" s="85"/>
    </row>
    <row r="683" spans="1:36" x14ac:dyDescent="0.3">
      <c r="A683" s="37">
        <f t="shared" si="20"/>
        <v>1410205101</v>
      </c>
      <c r="B683" s="37" t="s">
        <v>156</v>
      </c>
      <c r="C683" s="37" t="s">
        <v>157</v>
      </c>
      <c r="D683" s="37" t="str">
        <f>"Monster.Name."&amp;VLOOKUP($C683,'#Data'!$B$2:$J$344,2,FALSE)</f>
        <v>Monster.Name.killer_drone_4</v>
      </c>
      <c r="E683" s="37" t="s">
        <v>43</v>
      </c>
      <c r="F683" s="38" t="s">
        <v>44</v>
      </c>
      <c r="G683" s="37" t="s">
        <v>45</v>
      </c>
      <c r="H683" s="37" t="b">
        <f>IF(OR(VLOOKUP($C683,'#Data'!$B$2:$J$344,4,FALSE)="보스",VLOOKUP($C683,'#Data'!$B$2:$J$344,4,FALSE)="중간"),TRUE,FALSE)</f>
        <v>0</v>
      </c>
      <c r="I683" s="37" t="b">
        <v>0</v>
      </c>
      <c r="J683" s="37">
        <v>10</v>
      </c>
      <c r="K683" s="37">
        <f t="shared" si="21"/>
        <v>10</v>
      </c>
      <c r="L683" s="59" t="str">
        <f>$B683&amp;"."&amp;VLOOKUP($C683,'#Data'!$B$2:$J$344,2,FALSE)&amp;".attack0"&amp;RIGHT(L$1,1)</f>
        <v>Sector05.killer_drone_4.attack01</v>
      </c>
      <c r="M683" s="59"/>
      <c r="N683" s="59"/>
      <c r="O683" s="131" t="s">
        <v>2031</v>
      </c>
      <c r="P683" s="131" t="s">
        <v>1958</v>
      </c>
      <c r="Q683" s="60"/>
      <c r="R683" s="60"/>
      <c r="S683" s="60"/>
      <c r="T683" s="60"/>
      <c r="U683" s="60"/>
      <c r="V683" s="37" t="b">
        <v>0</v>
      </c>
      <c r="W683" s="37" t="str">
        <f>"Character/Prefabs/"&amp;VLOOKUP($C683,'#Data'!$B$3:$I$344,8,FALSE)</f>
        <v>Character/Prefabs/m_s_attacker_killer_drone_4</v>
      </c>
      <c r="X683" s="37"/>
      <c r="Y683" s="37" t="str">
        <f>VLOOKUP($C683,'#Data'!$B$3:$I$344,8,FALSE)</f>
        <v>m_s_attacker_killer_drone_4</v>
      </c>
      <c r="Z683" s="37"/>
      <c r="AA683" s="37"/>
      <c r="AB683" s="37"/>
      <c r="AC683" s="84">
        <v>0.7</v>
      </c>
      <c r="AD683" s="37"/>
      <c r="AE683" s="37"/>
      <c r="AF683" s="37"/>
      <c r="AG683" s="37" t="s">
        <v>2106</v>
      </c>
      <c r="AH683" s="85"/>
    </row>
    <row r="684" spans="1:36" x14ac:dyDescent="0.3">
      <c r="A684" s="37">
        <f t="shared" si="20"/>
        <v>1410205102</v>
      </c>
      <c r="B684" s="37" t="s">
        <v>156</v>
      </c>
      <c r="C684" s="37" t="s">
        <v>158</v>
      </c>
      <c r="D684" s="37" t="str">
        <f>"Monster.Name."&amp;VLOOKUP($C684,'#Data'!$B$2:$J$344,2,FALSE)</f>
        <v>Monster.Name.killer_drone_2</v>
      </c>
      <c r="E684" s="37" t="s">
        <v>43</v>
      </c>
      <c r="F684" s="38" t="s">
        <v>44</v>
      </c>
      <c r="G684" s="37" t="s">
        <v>45</v>
      </c>
      <c r="H684" s="37" t="b">
        <f>IF(OR(VLOOKUP($C684,'#Data'!$B$2:$J$344,4,FALSE)="보스",VLOOKUP($C684,'#Data'!$B$2:$J$344,4,FALSE)="중간"),TRUE,FALSE)</f>
        <v>0</v>
      </c>
      <c r="I684" s="37" t="b">
        <v>0</v>
      </c>
      <c r="J684" s="37">
        <v>10</v>
      </c>
      <c r="K684" s="37">
        <f t="shared" si="21"/>
        <v>10</v>
      </c>
      <c r="L684" s="59" t="str">
        <f>$B684&amp;"."&amp;VLOOKUP($C684,'#Data'!$B$2:$J$344,2,FALSE)&amp;".attack0"&amp;RIGHT(L$1,1)</f>
        <v>Sector05.killer_drone_2.attack01</v>
      </c>
      <c r="M684" s="59"/>
      <c r="N684" s="59"/>
      <c r="O684" s="131" t="s">
        <v>2032</v>
      </c>
      <c r="P684" s="131" t="s">
        <v>1958</v>
      </c>
      <c r="Q684" s="60"/>
      <c r="R684" s="60"/>
      <c r="S684" s="60"/>
      <c r="T684" s="60"/>
      <c r="U684" s="60"/>
      <c r="V684" s="37" t="b">
        <v>0</v>
      </c>
      <c r="W684" s="37" t="str">
        <f>"Character/Prefabs/"&amp;VLOOKUP($C684,'#Data'!$B$3:$I$344,8,FALSE)</f>
        <v>Character/Prefabs/m_s_attacker_killer_drone_2</v>
      </c>
      <c r="X684" s="37"/>
      <c r="Y684" s="37" t="str">
        <f>VLOOKUP($C684,'#Data'!$B$3:$I$344,8,FALSE)</f>
        <v>m_s_attacker_killer_drone_2</v>
      </c>
      <c r="Z684" s="37"/>
      <c r="AA684" s="37"/>
      <c r="AB684" s="37"/>
      <c r="AC684" s="84">
        <v>0.7</v>
      </c>
      <c r="AD684" s="37"/>
      <c r="AE684" s="37"/>
      <c r="AF684" s="37"/>
      <c r="AG684" s="37" t="s">
        <v>2106</v>
      </c>
      <c r="AH684" s="85"/>
    </row>
    <row r="685" spans="1:36" x14ac:dyDescent="0.3">
      <c r="A685" s="37">
        <f t="shared" si="20"/>
        <v>1410205103</v>
      </c>
      <c r="B685" s="37" t="s">
        <v>156</v>
      </c>
      <c r="C685" s="37" t="s">
        <v>159</v>
      </c>
      <c r="D685" s="37" t="str">
        <f>"Monster.Name."&amp;VLOOKUP($C685,'#Data'!$B$2:$J$344,2,FALSE)</f>
        <v>Monster.Name.terminate_drone_3</v>
      </c>
      <c r="E685" s="37" t="s">
        <v>43</v>
      </c>
      <c r="F685" s="38" t="s">
        <v>44</v>
      </c>
      <c r="G685" s="37" t="s">
        <v>45</v>
      </c>
      <c r="H685" s="37" t="b">
        <f>IF(OR(VLOOKUP($C685,'#Data'!$B$2:$J$344,4,FALSE)="보스",VLOOKUP($C685,'#Data'!$B$2:$J$344,4,FALSE)="중간"),TRUE,FALSE)</f>
        <v>0</v>
      </c>
      <c r="I685" s="37" t="b">
        <v>0</v>
      </c>
      <c r="J685" s="37">
        <v>10</v>
      </c>
      <c r="K685" s="37">
        <f t="shared" si="21"/>
        <v>10</v>
      </c>
      <c r="L685" s="59" t="str">
        <f>$B685&amp;"."&amp;VLOOKUP($C685,'#Data'!$B$2:$J$344,2,FALSE)&amp;".attack0"&amp;RIGHT(L$1,1)</f>
        <v>Sector05.terminate_drone_3.attack01</v>
      </c>
      <c r="M685" s="59"/>
      <c r="N685" s="59"/>
      <c r="O685" s="131" t="s">
        <v>2033</v>
      </c>
      <c r="P685" s="131" t="s">
        <v>1958</v>
      </c>
      <c r="Q685" s="60"/>
      <c r="R685" s="60"/>
      <c r="S685" s="60"/>
      <c r="T685" s="60"/>
      <c r="U685" s="60"/>
      <c r="V685" s="37" t="b">
        <v>0</v>
      </c>
      <c r="W685" s="37" t="str">
        <f>"Character/Prefabs/"&amp;VLOOKUP($C685,'#Data'!$B$3:$I$344,8,FALSE)</f>
        <v>Character/Prefabs/m_s_attacker_terminate_drone_3</v>
      </c>
      <c r="X685" s="37"/>
      <c r="Y685" s="37" t="str">
        <f>VLOOKUP($C685,'#Data'!$B$3:$I$344,8,FALSE)</f>
        <v>m_s_attacker_terminate_drone_3</v>
      </c>
      <c r="Z685" s="37"/>
      <c r="AA685" s="37"/>
      <c r="AB685" s="37"/>
      <c r="AC685" s="84">
        <v>0.7</v>
      </c>
      <c r="AD685" s="37"/>
      <c r="AE685" s="37"/>
      <c r="AF685" s="37"/>
      <c r="AG685" s="37" t="s">
        <v>2106</v>
      </c>
      <c r="AH685" s="85"/>
    </row>
    <row r="686" spans="1:36" x14ac:dyDescent="0.3">
      <c r="A686" s="37">
        <f t="shared" si="20"/>
        <v>1410205104</v>
      </c>
      <c r="B686" s="37" t="s">
        <v>156</v>
      </c>
      <c r="C686" s="37" t="s">
        <v>160</v>
      </c>
      <c r="D686" s="37" t="str">
        <f>"Monster.Name."&amp;VLOOKUP($C686,'#Data'!$B$2:$J$344,2,FALSE)</f>
        <v>Monster.Name.clock_thunderdog_1</v>
      </c>
      <c r="E686" s="37" t="s">
        <v>43</v>
      </c>
      <c r="F686" s="38" t="s">
        <v>44</v>
      </c>
      <c r="G686" s="37" t="s">
        <v>45</v>
      </c>
      <c r="H686" s="37" t="b">
        <f>IF(OR(VLOOKUP($C686,'#Data'!$B$2:$J$344,4,FALSE)="보스",VLOOKUP($C686,'#Data'!$B$2:$J$344,4,FALSE)="중간"),TRUE,FALSE)</f>
        <v>0</v>
      </c>
      <c r="I686" s="37" t="b">
        <v>0</v>
      </c>
      <c r="J686" s="37">
        <v>10</v>
      </c>
      <c r="K686" s="37">
        <f t="shared" si="21"/>
        <v>10</v>
      </c>
      <c r="L686" s="59" t="str">
        <f>$B686&amp;"."&amp;VLOOKUP($C686,'#Data'!$B$2:$J$344,2,FALSE)&amp;".attack0"&amp;RIGHT(L$1,1)</f>
        <v>Sector05.clock_thunderdog_1.attack01</v>
      </c>
      <c r="M686" s="59"/>
      <c r="N686" s="59"/>
      <c r="O686" s="131" t="s">
        <v>2034</v>
      </c>
      <c r="P686" s="131" t="s">
        <v>1958</v>
      </c>
      <c r="Q686" s="60"/>
      <c r="R686" s="60"/>
      <c r="S686" s="60"/>
      <c r="T686" s="60"/>
      <c r="U686" s="60"/>
      <c r="V686" s="37" t="b">
        <v>0</v>
      </c>
      <c r="W686" s="37" t="str">
        <f>"Character/Prefabs/"&amp;VLOOKUP($C686,'#Data'!$B$3:$I$344,8,FALSE)</f>
        <v>Character/Prefabs/m_s_attacker_clock_thunderdog_1</v>
      </c>
      <c r="X686" s="37"/>
      <c r="Y686" s="37" t="str">
        <f>VLOOKUP($C686,'#Data'!$B$3:$I$344,8,FALSE)</f>
        <v>m_s_attacker_clock_thunderdog_1</v>
      </c>
      <c r="Z686" s="37"/>
      <c r="AA686" s="37"/>
      <c r="AB686" s="37"/>
      <c r="AC686" s="84">
        <v>0.9</v>
      </c>
      <c r="AD686" s="37"/>
      <c r="AE686" s="37"/>
      <c r="AF686" s="37"/>
      <c r="AG686" s="37" t="s">
        <v>2106</v>
      </c>
      <c r="AH686" s="85"/>
    </row>
    <row r="687" spans="1:36" x14ac:dyDescent="0.3">
      <c r="A687" s="37">
        <f t="shared" si="20"/>
        <v>1410205105</v>
      </c>
      <c r="B687" s="37" t="s">
        <v>156</v>
      </c>
      <c r="C687" s="37" t="s">
        <v>161</v>
      </c>
      <c r="D687" s="37" t="str">
        <f>"Monster.Name."&amp;VLOOKUP($C687,'#Data'!$B$2:$J$344,2,FALSE)</f>
        <v>Monster.Name.labtrooper_rifle_1</v>
      </c>
      <c r="E687" s="37" t="s">
        <v>47</v>
      </c>
      <c r="F687" s="38" t="s">
        <v>44</v>
      </c>
      <c r="G687" s="37" t="s">
        <v>45</v>
      </c>
      <c r="H687" s="37" t="b">
        <f>IF(OR(VLOOKUP($C687,'#Data'!$B$2:$J$344,4,FALSE)="보스",VLOOKUP($C687,'#Data'!$B$2:$J$344,4,FALSE)="중간"),TRUE,FALSE)</f>
        <v>0</v>
      </c>
      <c r="I687" s="37" t="b">
        <v>0</v>
      </c>
      <c r="J687" s="37">
        <v>10</v>
      </c>
      <c r="K687" s="37">
        <f t="shared" si="21"/>
        <v>10</v>
      </c>
      <c r="L687" s="59" t="str">
        <f>$B687&amp;"."&amp;VLOOKUP($C687,'#Data'!$B$2:$J$344,2,FALSE)&amp;".attack0"&amp;RIGHT(L$1,1)</f>
        <v>Sector05.labtrooper_rifle_1.attack01</v>
      </c>
      <c r="M687" s="59"/>
      <c r="N687" s="59"/>
      <c r="O687" s="131" t="str">
        <f>$B687&amp;"."&amp;VLOOKUP($C687,'#Data'!$B$2:$J$344,2,FALSE)&amp;".skill0"&amp;RIGHT(O$1,1)</f>
        <v>Sector05.labtrooper_rifle_1.skill01</v>
      </c>
      <c r="P687" s="131" t="s">
        <v>2035</v>
      </c>
      <c r="Q687" s="131" t="s">
        <v>1958</v>
      </c>
      <c r="R687" s="60"/>
      <c r="S687" s="60"/>
      <c r="T687" s="60"/>
      <c r="U687" s="60"/>
      <c r="V687" s="37" t="b">
        <v>0</v>
      </c>
      <c r="W687" s="37" t="str">
        <f>"Character/Prefabs/"&amp;VLOOKUP($C687,'#Data'!$B$3:$I$344,8,FALSE)</f>
        <v>Character/Prefabs/m_m_ranger_labtrooper_rifle_1</v>
      </c>
      <c r="X687" s="37"/>
      <c r="Y687" s="37" t="str">
        <f>VLOOKUP($C687,'#Data'!$B$3:$I$344,8,FALSE)</f>
        <v>m_m_ranger_labtrooper_rifle_1</v>
      </c>
      <c r="Z687" s="37"/>
      <c r="AA687" s="37"/>
      <c r="AB687" s="37"/>
      <c r="AC687" s="84">
        <v>0.6</v>
      </c>
      <c r="AD687" s="37"/>
      <c r="AE687" s="37"/>
      <c r="AF687" s="37"/>
      <c r="AG687" s="37" t="s">
        <v>2106</v>
      </c>
      <c r="AH687" s="85"/>
    </row>
    <row r="688" spans="1:36" x14ac:dyDescent="0.3">
      <c r="A688" s="37">
        <f t="shared" si="20"/>
        <v>1410205106</v>
      </c>
      <c r="B688" s="37" t="s">
        <v>156</v>
      </c>
      <c r="C688" s="37" t="s">
        <v>162</v>
      </c>
      <c r="D688" s="37" t="str">
        <f>"Monster.Name."&amp;VLOOKUP($C688,'#Data'!$B$2:$J$344,2,FALSE)</f>
        <v>Monster.Name.labtrooper_shield_1</v>
      </c>
      <c r="E688" s="37" t="s">
        <v>58</v>
      </c>
      <c r="F688" s="38" t="s">
        <v>44</v>
      </c>
      <c r="G688" s="37" t="s">
        <v>45</v>
      </c>
      <c r="H688" s="37" t="b">
        <f>IF(OR(VLOOKUP($C688,'#Data'!$B$2:$J$344,4,FALSE)="보스",VLOOKUP($C688,'#Data'!$B$2:$J$344,4,FALSE)="중간"),TRUE,FALSE)</f>
        <v>0</v>
      </c>
      <c r="I688" s="37" t="b">
        <v>0</v>
      </c>
      <c r="J688" s="37">
        <v>10</v>
      </c>
      <c r="K688" s="37">
        <f t="shared" si="21"/>
        <v>10</v>
      </c>
      <c r="L688" s="59" t="str">
        <f>$B688&amp;"."&amp;VLOOKUP($C688,'#Data'!$B$2:$J$344,2,FALSE)&amp;".attack0"&amp;RIGHT(L$1,1)</f>
        <v>Sector05.labtrooper_shield_1.attack01</v>
      </c>
      <c r="M688" s="59"/>
      <c r="N688" s="59"/>
      <c r="O688" s="131" t="str">
        <f>$B688&amp;"."&amp;VLOOKUP($C688,'#Data'!$B$2:$J$344,2,FALSE)&amp;".skill0"&amp;RIGHT(O$1,1)</f>
        <v>Sector05.labtrooper_shield_1.skill01</v>
      </c>
      <c r="P688" s="131" t="s">
        <v>2036</v>
      </c>
      <c r="Q688" s="131" t="s">
        <v>1958</v>
      </c>
      <c r="R688" s="60"/>
      <c r="S688" s="60"/>
      <c r="T688" s="60"/>
      <c r="U688" s="60"/>
      <c r="V688" s="37" t="b">
        <v>0</v>
      </c>
      <c r="W688" s="37" t="str">
        <f>"Character/Prefabs/"&amp;VLOOKUP($C688,'#Data'!$B$3:$I$344,8,FALSE)</f>
        <v>Character/Prefabs/m_m_tanker_labtrooper_shield_1</v>
      </c>
      <c r="X688" s="37"/>
      <c r="Y688" s="37" t="str">
        <f>VLOOKUP($C688,'#Data'!$B$3:$I$344,8,FALSE)</f>
        <v>m_m_tanker_labtrooper_shield_1</v>
      </c>
      <c r="Z688" s="37"/>
      <c r="AA688" s="37"/>
      <c r="AB688" s="37"/>
      <c r="AC688" s="84">
        <v>0.6</v>
      </c>
      <c r="AD688" s="37"/>
      <c r="AE688" s="37"/>
      <c r="AF688" s="37"/>
      <c r="AG688" s="37" t="s">
        <v>2106</v>
      </c>
      <c r="AH688" s="85"/>
    </row>
    <row r="689" spans="1:34" x14ac:dyDescent="0.3">
      <c r="A689" s="37">
        <f t="shared" si="20"/>
        <v>1410205107</v>
      </c>
      <c r="B689" s="37" t="s">
        <v>156</v>
      </c>
      <c r="C689" s="37" t="s">
        <v>163</v>
      </c>
      <c r="D689" s="37" t="str">
        <f>"Monster.Name."&amp;VLOOKUP($C689,'#Data'!$B$2:$J$344,2,FALSE)</f>
        <v>Monster.Name.labtrooper_flame_1</v>
      </c>
      <c r="E689" s="37" t="s">
        <v>43</v>
      </c>
      <c r="F689" s="38" t="s">
        <v>44</v>
      </c>
      <c r="G689" s="37" t="s">
        <v>45</v>
      </c>
      <c r="H689" s="37" t="b">
        <f>IF(OR(VLOOKUP($C689,'#Data'!$B$2:$J$344,4,FALSE)="보스",VLOOKUP($C689,'#Data'!$B$2:$J$344,4,FALSE)="중간"),TRUE,FALSE)</f>
        <v>0</v>
      </c>
      <c r="I689" s="37" t="b">
        <v>0</v>
      </c>
      <c r="J689" s="37">
        <v>10</v>
      </c>
      <c r="K689" s="37">
        <f t="shared" si="21"/>
        <v>10</v>
      </c>
      <c r="L689" s="59" t="str">
        <f>$B689&amp;"."&amp;VLOOKUP($C689,'#Data'!$B$2:$J$344,2,FALSE)&amp;".attack0"&amp;RIGHT(L$1,1)</f>
        <v>Sector05.labtrooper_flame_1.attack01</v>
      </c>
      <c r="M689" s="59"/>
      <c r="N689" s="59"/>
      <c r="O689" s="131" t="str">
        <f>$B689&amp;"."&amp;VLOOKUP($C689,'#Data'!$B$2:$J$344,2,FALSE)&amp;".skill0"&amp;RIGHT(O$1,1)</f>
        <v>Sector05.labtrooper_flame_1.skill01</v>
      </c>
      <c r="P689" s="131" t="s">
        <v>2037</v>
      </c>
      <c r="Q689" s="131" t="s">
        <v>1958</v>
      </c>
      <c r="R689" s="60"/>
      <c r="S689" s="60"/>
      <c r="T689" s="60"/>
      <c r="U689" s="60"/>
      <c r="V689" s="37" t="b">
        <v>0</v>
      </c>
      <c r="W689" s="37" t="str">
        <f>"Character/Prefabs/"&amp;VLOOKUP($C689,'#Data'!$B$3:$I$344,8,FALSE)</f>
        <v>Character/Prefabs/m_m_attacker_labtrooper_flame_1</v>
      </c>
      <c r="X689" s="37"/>
      <c r="Y689" s="37" t="str">
        <f>VLOOKUP($C689,'#Data'!$B$3:$I$344,8,FALSE)</f>
        <v>m_m_attacker_labtrooper_flame_1</v>
      </c>
      <c r="Z689" s="37"/>
      <c r="AA689" s="37"/>
      <c r="AB689" s="37"/>
      <c r="AC689" s="84">
        <v>0.6</v>
      </c>
      <c r="AD689" s="37"/>
      <c r="AE689" s="37"/>
      <c r="AF689" s="37"/>
      <c r="AG689" s="37" t="s">
        <v>2106</v>
      </c>
      <c r="AH689" s="85"/>
    </row>
    <row r="690" spans="1:34" x14ac:dyDescent="0.3">
      <c r="A690" s="37">
        <f t="shared" si="20"/>
        <v>1410205108</v>
      </c>
      <c r="B690" s="37" t="s">
        <v>156</v>
      </c>
      <c r="C690" s="37" t="s">
        <v>164</v>
      </c>
      <c r="D690" s="37" t="str">
        <f>"Monster.Name."&amp;VLOOKUP($C690,'#Data'!$B$2:$J$344,2,FALSE)</f>
        <v>Monster.Name.labtrooper_launcher_1</v>
      </c>
      <c r="E690" s="37" t="s">
        <v>47</v>
      </c>
      <c r="F690" s="38" t="s">
        <v>44</v>
      </c>
      <c r="G690" s="37" t="s">
        <v>45</v>
      </c>
      <c r="H690" s="37" t="b">
        <f>IF(OR(VLOOKUP($C690,'#Data'!$B$2:$J$344,4,FALSE)="보스",VLOOKUP($C690,'#Data'!$B$2:$J$344,4,FALSE)="중간"),TRUE,FALSE)</f>
        <v>0</v>
      </c>
      <c r="I690" s="37" t="b">
        <v>0</v>
      </c>
      <c r="J690" s="37">
        <v>10</v>
      </c>
      <c r="K690" s="37">
        <f t="shared" si="21"/>
        <v>10</v>
      </c>
      <c r="L690" s="59" t="str">
        <f>$B690&amp;"."&amp;VLOOKUP($C690,'#Data'!$B$2:$J$344,2,FALSE)&amp;".attack0"&amp;RIGHT(L$1,1)</f>
        <v>Sector05.labtrooper_launcher_1.attack01</v>
      </c>
      <c r="M690" s="59"/>
      <c r="N690" s="59"/>
      <c r="O690" s="131" t="str">
        <f>$B690&amp;"."&amp;VLOOKUP($C690,'#Data'!$B$2:$J$344,2,FALSE)&amp;".skill0"&amp;RIGHT(O$1,1)</f>
        <v>Sector05.labtrooper_launcher_1.skill01</v>
      </c>
      <c r="P690" s="131" t="s">
        <v>2038</v>
      </c>
      <c r="Q690" s="131" t="s">
        <v>1958</v>
      </c>
      <c r="R690" s="60"/>
      <c r="S690" s="60"/>
      <c r="T690" s="60"/>
      <c r="U690" s="60"/>
      <c r="V690" s="37" t="b">
        <v>0</v>
      </c>
      <c r="W690" s="37" t="str">
        <f>"Character/Prefabs/"&amp;VLOOKUP($C690,'#Data'!$B$3:$I$344,8,FALSE)</f>
        <v>Character/Prefabs/m_m_ranger_labtrooper_launcher_1</v>
      </c>
      <c r="X690" s="37"/>
      <c r="Y690" s="37" t="str">
        <f>VLOOKUP($C690,'#Data'!$B$3:$I$344,8,FALSE)</f>
        <v>m_m_ranger_labtrooper_launcher_1</v>
      </c>
      <c r="Z690" s="37"/>
      <c r="AA690" s="37"/>
      <c r="AB690" s="37"/>
      <c r="AC690" s="84">
        <v>0.6</v>
      </c>
      <c r="AD690" s="37"/>
      <c r="AE690" s="37"/>
      <c r="AF690" s="37"/>
      <c r="AG690" s="37" t="s">
        <v>2106</v>
      </c>
      <c r="AH690" s="85"/>
    </row>
    <row r="691" spans="1:34" x14ac:dyDescent="0.3">
      <c r="A691" s="37">
        <f t="shared" si="20"/>
        <v>1410205109</v>
      </c>
      <c r="B691" s="37" t="s">
        <v>156</v>
      </c>
      <c r="C691" s="37" t="s">
        <v>165</v>
      </c>
      <c r="D691" s="37" t="str">
        <f>"Monster.Name."&amp;VLOOKUP($C691,'#Data'!$B$2:$J$344,2,FALSE)</f>
        <v>Monster.Name.silhouette_flyer_3</v>
      </c>
      <c r="E691" s="37" t="s">
        <v>143</v>
      </c>
      <c r="F691" s="38" t="s">
        <v>44</v>
      </c>
      <c r="G691" s="37" t="s">
        <v>45</v>
      </c>
      <c r="H691" s="37" t="b">
        <f>IF(OR(VLOOKUP($C691,'#Data'!$B$2:$J$344,4,FALSE)="보스",VLOOKUP($C691,'#Data'!$B$2:$J$344,4,FALSE)="중간"),TRUE,FALSE)</f>
        <v>0</v>
      </c>
      <c r="I691" s="37" t="b">
        <v>0</v>
      </c>
      <c r="J691" s="37">
        <v>10</v>
      </c>
      <c r="K691" s="37">
        <f t="shared" si="21"/>
        <v>10</v>
      </c>
      <c r="L691" s="59" t="str">
        <f>$B691&amp;"."&amp;VLOOKUP($C691,'#Data'!$B$2:$J$344,2,FALSE)&amp;".attack0"&amp;RIGHT(L$1,1)</f>
        <v>Sector05.silhouette_flyer_3.attack01</v>
      </c>
      <c r="M691" s="59"/>
      <c r="N691" s="59"/>
      <c r="O691" s="131" t="str">
        <f>$B691&amp;"."&amp;VLOOKUP($C691,'#Data'!$B$2:$J$344,2,FALSE)&amp;".skill0"&amp;RIGHT(O$1,1)</f>
        <v>Sector05.silhouette_flyer_3.skill01</v>
      </c>
      <c r="P691" s="131" t="s">
        <v>2039</v>
      </c>
      <c r="Q691" s="131" t="s">
        <v>1958</v>
      </c>
      <c r="R691" s="60"/>
      <c r="S691" s="60"/>
      <c r="T691" s="60"/>
      <c r="U691" s="60"/>
      <c r="V691" s="37" t="b">
        <v>0</v>
      </c>
      <c r="W691" s="37" t="str">
        <f>"Character/Prefabs/"&amp;VLOOKUP($C691,'#Data'!$B$3:$I$344,8,FALSE)</f>
        <v>Character/Prefabs/m_m_supporter_silhouette_flyer_3</v>
      </c>
      <c r="X691" s="37"/>
      <c r="Y691" s="37" t="str">
        <f>VLOOKUP($C691,'#Data'!$B$3:$I$344,8,FALSE)</f>
        <v>m_m_supporter_silhouette_flyer_3</v>
      </c>
      <c r="Z691" s="37"/>
      <c r="AA691" s="37"/>
      <c r="AB691" s="37"/>
      <c r="AC691" s="84">
        <v>0.8</v>
      </c>
      <c r="AD691" s="37"/>
      <c r="AE691" s="37"/>
      <c r="AF691" s="37"/>
      <c r="AG691" s="37" t="s">
        <v>2106</v>
      </c>
      <c r="AH691" s="85"/>
    </row>
    <row r="692" spans="1:34" x14ac:dyDescent="0.3">
      <c r="A692" s="37">
        <f t="shared" si="20"/>
        <v>1410205110</v>
      </c>
      <c r="B692" s="37" t="s">
        <v>156</v>
      </c>
      <c r="C692" s="37" t="s">
        <v>166</v>
      </c>
      <c r="D692" s="37" t="str">
        <f>"Monster.Name."&amp;VLOOKUP($C692,'#Data'!$B$2:$J$344,2,FALSE)</f>
        <v>Monster.Name.harbor_cannon_1</v>
      </c>
      <c r="E692" s="37" t="s">
        <v>47</v>
      </c>
      <c r="F692" s="38" t="s">
        <v>44</v>
      </c>
      <c r="G692" s="37" t="s">
        <v>45</v>
      </c>
      <c r="H692" s="37" t="b">
        <f>IF(OR(VLOOKUP($C692,'#Data'!$B$2:$J$344,4,FALSE)="보스",VLOOKUP($C692,'#Data'!$B$2:$J$344,4,FALSE)="중간"),TRUE,FALSE)</f>
        <v>0</v>
      </c>
      <c r="I692" s="37" t="b">
        <v>0</v>
      </c>
      <c r="J692" s="37">
        <v>10</v>
      </c>
      <c r="K692" s="37">
        <f t="shared" si="21"/>
        <v>20</v>
      </c>
      <c r="L692" s="59" t="str">
        <f>$B692&amp;"."&amp;VLOOKUP($C692,'#Data'!$B$2:$J$344,2,FALSE)&amp;".attack0"&amp;RIGHT(L$1,1)</f>
        <v>Sector05.harbor_cannon_1.attack01</v>
      </c>
      <c r="M692" s="59"/>
      <c r="N692" s="59"/>
      <c r="O692" s="131" t="str">
        <f>$B692&amp;"."&amp;VLOOKUP($C692,'#Data'!$B$2:$J$344,2,FALSE)&amp;".skill0"&amp;RIGHT(O$1,1)</f>
        <v>Sector05.harbor_cannon_1.skill01</v>
      </c>
      <c r="P692" s="131" t="s">
        <v>2040</v>
      </c>
      <c r="Q692" s="131" t="s">
        <v>1958</v>
      </c>
      <c r="R692" s="60"/>
      <c r="S692" s="60"/>
      <c r="T692" s="60"/>
      <c r="U692" s="60"/>
      <c r="V692" s="37" t="b">
        <v>0</v>
      </c>
      <c r="W692" s="37" t="str">
        <f>"Character/Prefabs/"&amp;VLOOKUP($C692,'#Data'!$B$3:$I$344,8,FALSE)</f>
        <v>Character/Prefabs/m_m_ranger_harbor_cannon_1</v>
      </c>
      <c r="X692" s="37"/>
      <c r="Y692" s="37" t="str">
        <f>VLOOKUP($C692,'#Data'!$B$3:$I$344,8,FALSE)</f>
        <v>m_m_ranger_harbor_cannon_1</v>
      </c>
      <c r="Z692" s="37"/>
      <c r="AA692" s="37"/>
      <c r="AB692" s="37"/>
      <c r="AC692" s="84">
        <v>0.7</v>
      </c>
      <c r="AD692" s="37"/>
      <c r="AE692" s="37"/>
      <c r="AF692" s="37"/>
      <c r="AG692" s="37" t="s">
        <v>2106</v>
      </c>
      <c r="AH692" s="85"/>
    </row>
    <row r="693" spans="1:34" x14ac:dyDescent="0.3">
      <c r="A693" s="51">
        <f t="shared" si="20"/>
        <v>1410205111</v>
      </c>
      <c r="B693" s="51" t="s">
        <v>156</v>
      </c>
      <c r="C693" s="51" t="s">
        <v>1280</v>
      </c>
      <c r="D693" s="51" t="str">
        <f>"Monster.Name."&amp;VLOOKUP($C693,'#Data'!$B$2:$J$344,2,FALSE)</f>
        <v>Monster.Name.killer_drone_6</v>
      </c>
      <c r="E693" s="51" t="s">
        <v>43</v>
      </c>
      <c r="F693" s="52" t="s">
        <v>44</v>
      </c>
      <c r="G693" s="51" t="s">
        <v>45</v>
      </c>
      <c r="H693" s="51" t="b">
        <f>IF(OR(VLOOKUP($C693,'#Data'!$B$2:$J$344,4,FALSE)="보스",VLOOKUP($C693,'#Data'!$B$2:$J$344,4,FALSE)="중간"),TRUE,FALSE)</f>
        <v>0</v>
      </c>
      <c r="I693" s="51" t="b">
        <v>0</v>
      </c>
      <c r="J693" s="51">
        <v>10</v>
      </c>
      <c r="K693" s="51">
        <f t="shared" si="21"/>
        <v>10</v>
      </c>
      <c r="L693" s="61" t="s">
        <v>1362</v>
      </c>
      <c r="M693" s="61"/>
      <c r="N693" s="61"/>
      <c r="O693" s="131" t="s">
        <v>2031</v>
      </c>
      <c r="P693" s="132" t="s">
        <v>1958</v>
      </c>
      <c r="Q693" s="132"/>
      <c r="R693" s="62"/>
      <c r="S693" s="62"/>
      <c r="T693" s="62"/>
      <c r="U693" s="62"/>
      <c r="V693" s="51" t="b">
        <v>0</v>
      </c>
      <c r="W693" s="51" t="str">
        <f>"Character/Prefabs/"&amp;VLOOKUP($C693,'#Data'!$B$3:$I$344,8,FALSE)</f>
        <v>Character/Prefabs/m_s_attacker_killer_drone_6</v>
      </c>
      <c r="X693" s="51"/>
      <c r="Y693" s="103" t="s">
        <v>1402</v>
      </c>
      <c r="Z693" s="51"/>
      <c r="AA693" s="51"/>
      <c r="AB693" s="51"/>
      <c r="AC693" s="86">
        <v>0.7</v>
      </c>
      <c r="AD693" s="51"/>
      <c r="AE693" s="51"/>
      <c r="AF693" s="51"/>
      <c r="AG693" s="51" t="s">
        <v>2106</v>
      </c>
      <c r="AH693" s="85"/>
    </row>
    <row r="694" spans="1:34" x14ac:dyDescent="0.3">
      <c r="A694" s="51">
        <f t="shared" si="20"/>
        <v>1410205112</v>
      </c>
      <c r="B694" s="51" t="s">
        <v>156</v>
      </c>
      <c r="C694" s="51" t="s">
        <v>1282</v>
      </c>
      <c r="D694" s="51" t="str">
        <f>"Monster.Name."&amp;VLOOKUP($C694,'#Data'!$B$2:$J$344,2,FALSE)</f>
        <v>Monster.Name.killer_drone_5</v>
      </c>
      <c r="E694" s="51" t="s">
        <v>43</v>
      </c>
      <c r="F694" s="52" t="s">
        <v>44</v>
      </c>
      <c r="G694" s="51" t="s">
        <v>45</v>
      </c>
      <c r="H694" s="51" t="b">
        <f>IF(OR(VLOOKUP($C694,'#Data'!$B$2:$J$344,4,FALSE)="보스",VLOOKUP($C694,'#Data'!$B$2:$J$344,4,FALSE)="중간"),TRUE,FALSE)</f>
        <v>0</v>
      </c>
      <c r="I694" s="51" t="b">
        <v>0</v>
      </c>
      <c r="J694" s="51">
        <v>10</v>
      </c>
      <c r="K694" s="51">
        <f t="shared" si="21"/>
        <v>10</v>
      </c>
      <c r="L694" s="61" t="s">
        <v>1363</v>
      </c>
      <c r="M694" s="61"/>
      <c r="N694" s="61"/>
      <c r="O694" s="131" t="s">
        <v>2032</v>
      </c>
      <c r="P694" s="132" t="s">
        <v>1958</v>
      </c>
      <c r="Q694" s="132"/>
      <c r="R694" s="62"/>
      <c r="S694" s="62"/>
      <c r="T694" s="62"/>
      <c r="U694" s="62"/>
      <c r="V694" s="51" t="b">
        <v>0</v>
      </c>
      <c r="W694" s="51" t="str">
        <f>"Character/Prefabs/"&amp;VLOOKUP($C694,'#Data'!$B$3:$I$344,8,FALSE)</f>
        <v>Character/Prefabs/m_s_attacker_killer_drone_5</v>
      </c>
      <c r="X694" s="51"/>
      <c r="Y694" s="104" t="s">
        <v>1403</v>
      </c>
      <c r="Z694" s="51"/>
      <c r="AA694" s="51"/>
      <c r="AB694" s="51"/>
      <c r="AC694" s="86">
        <v>0.7</v>
      </c>
      <c r="AD694" s="51"/>
      <c r="AE694" s="51"/>
      <c r="AF694" s="51"/>
      <c r="AG694" s="51" t="s">
        <v>2106</v>
      </c>
      <c r="AH694" s="85"/>
    </row>
    <row r="695" spans="1:34" x14ac:dyDescent="0.3">
      <c r="A695" s="51">
        <f t="shared" si="20"/>
        <v>1410205113</v>
      </c>
      <c r="B695" s="51" t="s">
        <v>156</v>
      </c>
      <c r="C695" s="51" t="s">
        <v>1284</v>
      </c>
      <c r="D695" s="51" t="str">
        <f>"Monster.Name."&amp;VLOOKUP($C695,'#Data'!$B$2:$J$344,2,FALSE)</f>
        <v>Monster.Name.terminate_drone_4</v>
      </c>
      <c r="E695" s="51" t="s">
        <v>43</v>
      </c>
      <c r="F695" s="52" t="s">
        <v>44</v>
      </c>
      <c r="G695" s="51" t="s">
        <v>45</v>
      </c>
      <c r="H695" s="51" t="b">
        <f>IF(OR(VLOOKUP($C695,'#Data'!$B$2:$J$344,4,FALSE)="보스",VLOOKUP($C695,'#Data'!$B$2:$J$344,4,FALSE)="중간"),TRUE,FALSE)</f>
        <v>0</v>
      </c>
      <c r="I695" s="51" t="b">
        <v>0</v>
      </c>
      <c r="J695" s="51">
        <v>10</v>
      </c>
      <c r="K695" s="51">
        <f t="shared" si="21"/>
        <v>10</v>
      </c>
      <c r="L695" s="61" t="s">
        <v>1364</v>
      </c>
      <c r="M695" s="61"/>
      <c r="N695" s="61"/>
      <c r="O695" s="131" t="s">
        <v>2033</v>
      </c>
      <c r="P695" s="132" t="s">
        <v>1958</v>
      </c>
      <c r="Q695" s="132"/>
      <c r="R695" s="62"/>
      <c r="S695" s="62"/>
      <c r="T695" s="62"/>
      <c r="U695" s="62"/>
      <c r="V695" s="51" t="b">
        <v>0</v>
      </c>
      <c r="W695" s="51" t="str">
        <f>"Character/Prefabs/"&amp;VLOOKUP($C695,'#Data'!$B$3:$I$344,8,FALSE)</f>
        <v>Character/Prefabs/m_s_attacker_terminate_drone_4</v>
      </c>
      <c r="X695" s="51"/>
      <c r="Y695" s="104" t="s">
        <v>1404</v>
      </c>
      <c r="Z695" s="51"/>
      <c r="AA695" s="51"/>
      <c r="AB695" s="51"/>
      <c r="AC695" s="86">
        <v>0.7</v>
      </c>
      <c r="AD695" s="51"/>
      <c r="AE695" s="51"/>
      <c r="AF695" s="51"/>
      <c r="AG695" s="51" t="s">
        <v>2106</v>
      </c>
      <c r="AH695" s="85"/>
    </row>
    <row r="696" spans="1:34" x14ac:dyDescent="0.3">
      <c r="A696" s="51">
        <f t="shared" si="20"/>
        <v>1410205114</v>
      </c>
      <c r="B696" s="51" t="s">
        <v>156</v>
      </c>
      <c r="C696" s="51" t="s">
        <v>1286</v>
      </c>
      <c r="D696" s="51" t="str">
        <f>"Monster.Name."&amp;VLOOKUP($C696,'#Data'!$B$2:$J$344,2,FALSE)</f>
        <v>Monster.Name.clock_thunderdog_2</v>
      </c>
      <c r="E696" s="51" t="s">
        <v>43</v>
      </c>
      <c r="F696" s="52" t="s">
        <v>44</v>
      </c>
      <c r="G696" s="51" t="s">
        <v>45</v>
      </c>
      <c r="H696" s="51" t="b">
        <f>IF(OR(VLOOKUP($C696,'#Data'!$B$2:$J$344,4,FALSE)="보스",VLOOKUP($C696,'#Data'!$B$2:$J$344,4,FALSE)="중간"),TRUE,FALSE)</f>
        <v>0</v>
      </c>
      <c r="I696" s="51" t="b">
        <v>0</v>
      </c>
      <c r="J696" s="51">
        <v>10</v>
      </c>
      <c r="K696" s="51">
        <f t="shared" si="21"/>
        <v>10</v>
      </c>
      <c r="L696" s="61" t="s">
        <v>1365</v>
      </c>
      <c r="M696" s="61"/>
      <c r="N696" s="61"/>
      <c r="O696" s="131" t="s">
        <v>2034</v>
      </c>
      <c r="P696" s="132" t="s">
        <v>1958</v>
      </c>
      <c r="Q696" s="132"/>
      <c r="R696" s="62"/>
      <c r="S696" s="62"/>
      <c r="T696" s="62"/>
      <c r="U696" s="62"/>
      <c r="V696" s="51" t="b">
        <v>0</v>
      </c>
      <c r="W696" s="51" t="str">
        <f>"Character/Prefabs/"&amp;VLOOKUP($C696,'#Data'!$B$3:$I$344,8,FALSE)</f>
        <v>Character/Prefabs/m_s_attacker_clock_thunderdog_2</v>
      </c>
      <c r="X696" s="51"/>
      <c r="Y696" s="104" t="s">
        <v>1405</v>
      </c>
      <c r="Z696" s="51"/>
      <c r="AA696" s="51"/>
      <c r="AB696" s="51"/>
      <c r="AC696" s="86">
        <v>0.9</v>
      </c>
      <c r="AD696" s="51"/>
      <c r="AE696" s="51"/>
      <c r="AF696" s="51"/>
      <c r="AG696" s="51" t="s">
        <v>2106</v>
      </c>
      <c r="AH696" s="85"/>
    </row>
    <row r="697" spans="1:34" x14ac:dyDescent="0.3">
      <c r="A697" s="51">
        <f t="shared" si="20"/>
        <v>1410205115</v>
      </c>
      <c r="B697" s="51" t="s">
        <v>156</v>
      </c>
      <c r="C697" s="51" t="s">
        <v>1288</v>
      </c>
      <c r="D697" s="51" t="str">
        <f>"Monster.Name."&amp;VLOOKUP($C697,'#Data'!$B$2:$J$344,2,FALSE)</f>
        <v>Monster.Name.labtrooper_rifle_2</v>
      </c>
      <c r="E697" s="51" t="s">
        <v>47</v>
      </c>
      <c r="F697" s="52" t="s">
        <v>44</v>
      </c>
      <c r="G697" s="51" t="s">
        <v>45</v>
      </c>
      <c r="H697" s="51" t="b">
        <f>IF(OR(VLOOKUP($C697,'#Data'!$B$2:$J$344,4,FALSE)="보스",VLOOKUP($C697,'#Data'!$B$2:$J$344,4,FALSE)="중간"),TRUE,FALSE)</f>
        <v>0</v>
      </c>
      <c r="I697" s="51" t="b">
        <v>0</v>
      </c>
      <c r="J697" s="51">
        <v>10</v>
      </c>
      <c r="K697" s="51">
        <f t="shared" si="21"/>
        <v>10</v>
      </c>
      <c r="L697" s="61" t="s">
        <v>1366</v>
      </c>
      <c r="M697" s="61"/>
      <c r="N697" s="61"/>
      <c r="O697" s="132" t="s">
        <v>1372</v>
      </c>
      <c r="P697" s="131" t="s">
        <v>2035</v>
      </c>
      <c r="Q697" s="132" t="s">
        <v>1958</v>
      </c>
      <c r="R697" s="62"/>
      <c r="S697" s="62"/>
      <c r="T697" s="62"/>
      <c r="U697" s="62"/>
      <c r="V697" s="51" t="b">
        <v>0</v>
      </c>
      <c r="W697" s="51" t="str">
        <f>"Character/Prefabs/"&amp;VLOOKUP($C697,'#Data'!$B$3:$I$344,8,FALSE)</f>
        <v>Character/Prefabs/m_m_ranger_labtrooper_rifle_2</v>
      </c>
      <c r="X697" s="51"/>
      <c r="Y697" s="104" t="s">
        <v>1406</v>
      </c>
      <c r="Z697" s="51"/>
      <c r="AA697" s="51"/>
      <c r="AB697" s="51"/>
      <c r="AC697" s="86">
        <v>0.6</v>
      </c>
      <c r="AD697" s="51"/>
      <c r="AE697" s="51"/>
      <c r="AF697" s="51"/>
      <c r="AG697" s="51" t="s">
        <v>2106</v>
      </c>
      <c r="AH697" s="85"/>
    </row>
    <row r="698" spans="1:34" x14ac:dyDescent="0.3">
      <c r="A698" s="51">
        <f t="shared" si="20"/>
        <v>1410205116</v>
      </c>
      <c r="B698" s="51" t="s">
        <v>156</v>
      </c>
      <c r="C698" s="51" t="s">
        <v>1290</v>
      </c>
      <c r="D698" s="51" t="str">
        <f>"Monster.Name."&amp;VLOOKUP($C698,'#Data'!$B$2:$J$344,2,FALSE)</f>
        <v>Monster.Name.labtrooper_shield_2</v>
      </c>
      <c r="E698" s="51" t="s">
        <v>58</v>
      </c>
      <c r="F698" s="52" t="s">
        <v>44</v>
      </c>
      <c r="G698" s="51" t="s">
        <v>45</v>
      </c>
      <c r="H698" s="51" t="b">
        <f>IF(OR(VLOOKUP($C698,'#Data'!$B$2:$J$344,4,FALSE)="보스",VLOOKUP($C698,'#Data'!$B$2:$J$344,4,FALSE)="중간"),TRUE,FALSE)</f>
        <v>0</v>
      </c>
      <c r="I698" s="51" t="b">
        <v>0</v>
      </c>
      <c r="J698" s="51">
        <v>10</v>
      </c>
      <c r="K698" s="51">
        <f t="shared" si="21"/>
        <v>10</v>
      </c>
      <c r="L698" s="61" t="s">
        <v>1367</v>
      </c>
      <c r="M698" s="61"/>
      <c r="N698" s="61"/>
      <c r="O698" s="132" t="s">
        <v>1373</v>
      </c>
      <c r="P698" s="131" t="s">
        <v>2036</v>
      </c>
      <c r="Q698" s="132" t="s">
        <v>1958</v>
      </c>
      <c r="R698" s="62"/>
      <c r="S698" s="62"/>
      <c r="T698" s="62"/>
      <c r="U698" s="62"/>
      <c r="V698" s="51" t="b">
        <v>0</v>
      </c>
      <c r="W698" s="51" t="str">
        <f>"Character/Prefabs/"&amp;VLOOKUP($C698,'#Data'!$B$3:$I$344,8,FALSE)</f>
        <v>Character/Prefabs/m_m_tanker_labtrooper_shield_2</v>
      </c>
      <c r="X698" s="51"/>
      <c r="Y698" s="104" t="s">
        <v>1407</v>
      </c>
      <c r="Z698" s="51"/>
      <c r="AA698" s="51"/>
      <c r="AB698" s="51"/>
      <c r="AC698" s="86">
        <v>0.6</v>
      </c>
      <c r="AD698" s="51"/>
      <c r="AE698" s="51"/>
      <c r="AF698" s="51"/>
      <c r="AG698" s="51" t="s">
        <v>2106</v>
      </c>
      <c r="AH698" s="85"/>
    </row>
    <row r="699" spans="1:34" x14ac:dyDescent="0.3">
      <c r="A699" s="51">
        <f t="shared" si="20"/>
        <v>1410205117</v>
      </c>
      <c r="B699" s="51" t="s">
        <v>156</v>
      </c>
      <c r="C699" s="51" t="s">
        <v>1292</v>
      </c>
      <c r="D699" s="51" t="str">
        <f>"Monster.Name."&amp;VLOOKUP($C699,'#Data'!$B$2:$J$344,2,FALSE)</f>
        <v>Monster.Name.labtrooper_flame_2</v>
      </c>
      <c r="E699" s="51" t="s">
        <v>43</v>
      </c>
      <c r="F699" s="52" t="s">
        <v>44</v>
      </c>
      <c r="G699" s="51" t="s">
        <v>45</v>
      </c>
      <c r="H699" s="51" t="b">
        <f>IF(OR(VLOOKUP($C699,'#Data'!$B$2:$J$344,4,FALSE)="보스",VLOOKUP($C699,'#Data'!$B$2:$J$344,4,FALSE)="중간"),TRUE,FALSE)</f>
        <v>0</v>
      </c>
      <c r="I699" s="51" t="b">
        <v>0</v>
      </c>
      <c r="J699" s="51">
        <v>10</v>
      </c>
      <c r="K699" s="51">
        <f t="shared" si="21"/>
        <v>10</v>
      </c>
      <c r="L699" s="61" t="s">
        <v>1368</v>
      </c>
      <c r="M699" s="61"/>
      <c r="N699" s="61"/>
      <c r="O699" s="132" t="s">
        <v>1374</v>
      </c>
      <c r="P699" s="131" t="s">
        <v>2037</v>
      </c>
      <c r="Q699" s="132" t="s">
        <v>1958</v>
      </c>
      <c r="R699" s="62"/>
      <c r="S699" s="62"/>
      <c r="T699" s="62"/>
      <c r="U699" s="62"/>
      <c r="V699" s="51" t="b">
        <v>0</v>
      </c>
      <c r="W699" s="51" t="str">
        <f>"Character/Prefabs/"&amp;VLOOKUP($C699,'#Data'!$B$3:$I$344,8,FALSE)</f>
        <v>Character/Prefabs/m_m_attacker_labtrooper_flame_2</v>
      </c>
      <c r="X699" s="51"/>
      <c r="Y699" s="104" t="s">
        <v>1408</v>
      </c>
      <c r="Z699" s="51"/>
      <c r="AA699" s="51"/>
      <c r="AB699" s="51"/>
      <c r="AC699" s="86">
        <v>0.6</v>
      </c>
      <c r="AD699" s="51"/>
      <c r="AE699" s="51"/>
      <c r="AF699" s="51"/>
      <c r="AG699" s="51" t="s">
        <v>2106</v>
      </c>
      <c r="AH699" s="85"/>
    </row>
    <row r="700" spans="1:34" x14ac:dyDescent="0.3">
      <c r="A700" s="51">
        <f t="shared" si="20"/>
        <v>1410205118</v>
      </c>
      <c r="B700" s="51" t="s">
        <v>156</v>
      </c>
      <c r="C700" s="51" t="s">
        <v>1294</v>
      </c>
      <c r="D700" s="51" t="str">
        <f>"Monster.Name."&amp;VLOOKUP($C700,'#Data'!$B$2:$J$344,2,FALSE)</f>
        <v>Monster.Name.labtrooper_launcher_2</v>
      </c>
      <c r="E700" s="51" t="s">
        <v>47</v>
      </c>
      <c r="F700" s="52" t="s">
        <v>44</v>
      </c>
      <c r="G700" s="51" t="s">
        <v>45</v>
      </c>
      <c r="H700" s="51" t="b">
        <f>IF(OR(VLOOKUP($C700,'#Data'!$B$2:$J$344,4,FALSE)="보스",VLOOKUP($C700,'#Data'!$B$2:$J$344,4,FALSE)="중간"),TRUE,FALSE)</f>
        <v>0</v>
      </c>
      <c r="I700" s="51" t="b">
        <v>0</v>
      </c>
      <c r="J700" s="51">
        <v>10</v>
      </c>
      <c r="K700" s="51">
        <f t="shared" si="21"/>
        <v>10</v>
      </c>
      <c r="L700" s="61" t="s">
        <v>1369</v>
      </c>
      <c r="M700" s="61"/>
      <c r="N700" s="61"/>
      <c r="O700" s="132" t="s">
        <v>1375</v>
      </c>
      <c r="P700" s="131" t="s">
        <v>2038</v>
      </c>
      <c r="Q700" s="132" t="s">
        <v>1958</v>
      </c>
      <c r="R700" s="62"/>
      <c r="S700" s="62"/>
      <c r="T700" s="62"/>
      <c r="U700" s="62"/>
      <c r="V700" s="51" t="b">
        <v>0</v>
      </c>
      <c r="W700" s="51" t="str">
        <f>"Character/Prefabs/"&amp;VLOOKUP($C700,'#Data'!$B$3:$I$344,8,FALSE)</f>
        <v>Character/Prefabs/m_m_ranger_labtrooper_launcher_2</v>
      </c>
      <c r="X700" s="51"/>
      <c r="Y700" s="104" t="s">
        <v>1409</v>
      </c>
      <c r="Z700" s="51"/>
      <c r="AA700" s="51"/>
      <c r="AB700" s="51"/>
      <c r="AC700" s="86">
        <v>0.6</v>
      </c>
      <c r="AD700" s="51"/>
      <c r="AE700" s="51"/>
      <c r="AF700" s="51"/>
      <c r="AG700" s="51" t="s">
        <v>2106</v>
      </c>
      <c r="AH700" s="85"/>
    </row>
    <row r="701" spans="1:34" x14ac:dyDescent="0.3">
      <c r="A701" s="51">
        <f t="shared" si="20"/>
        <v>1410205119</v>
      </c>
      <c r="B701" s="51" t="s">
        <v>156</v>
      </c>
      <c r="C701" s="51" t="s">
        <v>1296</v>
      </c>
      <c r="D701" s="51" t="str">
        <f>"Monster.Name."&amp;VLOOKUP($C701,'#Data'!$B$2:$J$344,2,FALSE)</f>
        <v>Monster.Name.silhouette_flyer_4</v>
      </c>
      <c r="E701" s="51" t="s">
        <v>143</v>
      </c>
      <c r="F701" s="52" t="s">
        <v>44</v>
      </c>
      <c r="G701" s="51" t="s">
        <v>45</v>
      </c>
      <c r="H701" s="51" t="b">
        <f>IF(OR(VLOOKUP($C701,'#Data'!$B$2:$J$344,4,FALSE)="보스",VLOOKUP($C701,'#Data'!$B$2:$J$344,4,FALSE)="중간"),TRUE,FALSE)</f>
        <v>0</v>
      </c>
      <c r="I701" s="51" t="b">
        <v>0</v>
      </c>
      <c r="J701" s="51">
        <v>10</v>
      </c>
      <c r="K701" s="51">
        <f t="shared" si="21"/>
        <v>10</v>
      </c>
      <c r="L701" s="61" t="s">
        <v>1370</v>
      </c>
      <c r="M701" s="61"/>
      <c r="N701" s="61"/>
      <c r="O701" s="132" t="s">
        <v>1376</v>
      </c>
      <c r="P701" s="131" t="s">
        <v>2039</v>
      </c>
      <c r="Q701" s="132" t="s">
        <v>1958</v>
      </c>
      <c r="R701" s="62"/>
      <c r="S701" s="62"/>
      <c r="T701" s="62"/>
      <c r="U701" s="62"/>
      <c r="V701" s="51" t="b">
        <v>0</v>
      </c>
      <c r="W701" s="51" t="str">
        <f>"Character/Prefabs/"&amp;VLOOKUP($C701,'#Data'!$B$3:$I$344,8,FALSE)</f>
        <v>Character/Prefabs/m_m_supporter_silhouette_flyer_4</v>
      </c>
      <c r="X701" s="51"/>
      <c r="Y701" s="104" t="s">
        <v>1410</v>
      </c>
      <c r="Z701" s="51"/>
      <c r="AA701" s="51"/>
      <c r="AB701" s="51"/>
      <c r="AC701" s="86">
        <v>0.8</v>
      </c>
      <c r="AD701" s="51"/>
      <c r="AE701" s="51"/>
      <c r="AF701" s="51"/>
      <c r="AG701" s="51" t="s">
        <v>2106</v>
      </c>
      <c r="AH701" s="85"/>
    </row>
    <row r="702" spans="1:34" x14ac:dyDescent="0.3">
      <c r="A702" s="51">
        <f t="shared" si="20"/>
        <v>1410205120</v>
      </c>
      <c r="B702" s="51" t="s">
        <v>156</v>
      </c>
      <c r="C702" s="51" t="s">
        <v>1298</v>
      </c>
      <c r="D702" s="51" t="str">
        <f>"Monster.Name."&amp;VLOOKUP($C702,'#Data'!$B$2:$J$344,2,FALSE)</f>
        <v>Monster.Name.harbor_cannon_2</v>
      </c>
      <c r="E702" s="51" t="s">
        <v>47</v>
      </c>
      <c r="F702" s="52" t="s">
        <v>44</v>
      </c>
      <c r="G702" s="51" t="s">
        <v>45</v>
      </c>
      <c r="H702" s="51" t="b">
        <f>IF(OR(VLOOKUP($C702,'#Data'!$B$2:$J$344,4,FALSE)="보스",VLOOKUP($C702,'#Data'!$B$2:$J$344,4,FALSE)="중간"),TRUE,FALSE)</f>
        <v>0</v>
      </c>
      <c r="I702" s="51" t="b">
        <v>0</v>
      </c>
      <c r="J702" s="51">
        <v>10</v>
      </c>
      <c r="K702" s="51">
        <f t="shared" si="21"/>
        <v>20</v>
      </c>
      <c r="L702" s="61" t="s">
        <v>1371</v>
      </c>
      <c r="M702" s="61"/>
      <c r="N702" s="61"/>
      <c r="O702" s="132" t="s">
        <v>1377</v>
      </c>
      <c r="P702" s="131" t="s">
        <v>2040</v>
      </c>
      <c r="Q702" s="132" t="s">
        <v>1958</v>
      </c>
      <c r="R702" s="62"/>
      <c r="S702" s="62"/>
      <c r="T702" s="62"/>
      <c r="U702" s="62"/>
      <c r="V702" s="51" t="b">
        <v>0</v>
      </c>
      <c r="W702" s="51" t="str">
        <f>"Character/Prefabs/"&amp;VLOOKUP($C702,'#Data'!$B$3:$I$344,8,FALSE)</f>
        <v>Character/Prefabs/m_m_ranger_harbor_cannon_2</v>
      </c>
      <c r="X702" s="51"/>
      <c r="Y702" s="104" t="s">
        <v>1411</v>
      </c>
      <c r="Z702" s="51"/>
      <c r="AA702" s="51"/>
      <c r="AB702" s="51"/>
      <c r="AC702" s="86">
        <v>0.7</v>
      </c>
      <c r="AD702" s="51"/>
      <c r="AE702" s="51"/>
      <c r="AF702" s="51"/>
      <c r="AG702" s="51" t="s">
        <v>2106</v>
      </c>
      <c r="AH702" s="85"/>
    </row>
    <row r="703" spans="1:34" x14ac:dyDescent="0.3">
      <c r="A703" s="37">
        <f t="shared" si="20"/>
        <v>1410205201</v>
      </c>
      <c r="B703" s="37" t="s">
        <v>156</v>
      </c>
      <c r="C703" s="37" t="s">
        <v>167</v>
      </c>
      <c r="D703" s="37" t="str">
        <f>"Monster.Name."&amp;VLOOKUP($C703,'#Data'!$B$2:$J$344,2,FALSE)</f>
        <v>Monster.Name.labsuit_gun_1</v>
      </c>
      <c r="E703" s="37" t="s">
        <v>47</v>
      </c>
      <c r="F703" s="38" t="s">
        <v>44</v>
      </c>
      <c r="G703" s="37" t="s">
        <v>45</v>
      </c>
      <c r="H703" s="37" t="b">
        <f>IF(OR(VLOOKUP($C703,'#Data'!$B$2:$J$344,4,FALSE)="보스",VLOOKUP($C703,'#Data'!$B$2:$J$344,4,FALSE)="중간"),TRUE,FALSE)</f>
        <v>1</v>
      </c>
      <c r="I703" s="37" t="b">
        <v>1</v>
      </c>
      <c r="J703" s="37">
        <v>10</v>
      </c>
      <c r="K703" s="37">
        <f t="shared" si="21"/>
        <v>10</v>
      </c>
      <c r="L703" s="59" t="str">
        <f>$B703&amp;"."&amp;VLOOKUP($C703,'#Data'!$B$2:$J$344,2,FALSE)&amp;".attack0"&amp;RIGHT(L$1,1)</f>
        <v>Sector05.labsuit_gun_1.attack01</v>
      </c>
      <c r="M703" s="59"/>
      <c r="N703" s="59"/>
      <c r="O703" s="131" t="str">
        <f>$B703&amp;"."&amp;VLOOKUP($C703,'#Data'!$B$2:$J$344,2,FALSE)&amp;".skill0"&amp;RIGHT(O$1,1)</f>
        <v>Sector05.labsuit_gun_1.skill01</v>
      </c>
      <c r="P703" s="131" t="str">
        <f>$B703&amp;"."&amp;VLOOKUP($C703,'#Data'!$B$2:$J$344,2,FALSE)&amp;".skill0"&amp;RIGHT(P$1,1)</f>
        <v>Sector05.labsuit_gun_1.skill02</v>
      </c>
      <c r="Q703" s="131" t="str">
        <f>$B703&amp;"."&amp;VLOOKUP($C703,'#Data'!$B$2:$J$344,2,FALSE)&amp;".skill0"&amp;RIGHT(Q$1,1)</f>
        <v>Sector05.labsuit_gun_1.skill03</v>
      </c>
      <c r="R703" s="60" t="s">
        <v>1958</v>
      </c>
      <c r="S703" s="60" t="s">
        <v>2078</v>
      </c>
      <c r="T703" s="60"/>
      <c r="U703" s="60"/>
      <c r="V703" s="37" t="b">
        <v>0</v>
      </c>
      <c r="W703" s="37" t="str">
        <f>"Character/Prefabs/"&amp;VLOOKUP($C703,'#Data'!$B$3:$I$344,8,FALSE)</f>
        <v>Character/Prefabs/m_l_ranger_labsuit_gun_1</v>
      </c>
      <c r="X703" s="37"/>
      <c r="Y703" s="37" t="str">
        <f>VLOOKUP($C703,'#Data'!$B$3:$I$344,8,FALSE)</f>
        <v>m_l_ranger_labsuit_gun_1</v>
      </c>
      <c r="Z703" s="37"/>
      <c r="AA703" s="37"/>
      <c r="AB703" s="37"/>
      <c r="AC703" s="84">
        <v>1.2</v>
      </c>
      <c r="AD703" s="37"/>
      <c r="AE703" s="37"/>
      <c r="AF703" s="37"/>
      <c r="AG703" s="37" t="s">
        <v>2106</v>
      </c>
      <c r="AH703" s="85"/>
    </row>
    <row r="704" spans="1:34" x14ac:dyDescent="0.3">
      <c r="A704" s="37">
        <f t="shared" si="20"/>
        <v>1410205202</v>
      </c>
      <c r="B704" s="37" t="s">
        <v>156</v>
      </c>
      <c r="C704" s="37" t="s">
        <v>168</v>
      </c>
      <c r="D704" s="37" t="str">
        <f>"Monster.Name."&amp;VLOOKUP($C704,'#Data'!$B$2:$J$344,2,FALSE)</f>
        <v>Monster.Name.labmecha_punch_1</v>
      </c>
      <c r="E704" s="37" t="s">
        <v>58</v>
      </c>
      <c r="F704" s="38" t="s">
        <v>44</v>
      </c>
      <c r="G704" s="37" t="s">
        <v>45</v>
      </c>
      <c r="H704" s="37" t="b">
        <f>IF(OR(VLOOKUP($C704,'#Data'!$B$2:$J$344,4,FALSE)="보스",VLOOKUP($C704,'#Data'!$B$2:$J$344,4,FALSE)="중간"),TRUE,FALSE)</f>
        <v>1</v>
      </c>
      <c r="I704" s="37" t="b">
        <v>1</v>
      </c>
      <c r="J704" s="37">
        <v>20</v>
      </c>
      <c r="K704" s="37">
        <f t="shared" si="21"/>
        <v>10</v>
      </c>
      <c r="L704" s="59" t="str">
        <f>$B704&amp;"."&amp;VLOOKUP($C704,'#Data'!$B$2:$J$344,2,FALSE)&amp;".attack0"&amp;RIGHT(L$1,1)</f>
        <v>Sector05.labmecha_punch_1.attack01</v>
      </c>
      <c r="M704" s="59"/>
      <c r="N704" s="59"/>
      <c r="O704" s="131" t="str">
        <f>$B704&amp;"."&amp;VLOOKUP($C704,'#Data'!$B$2:$J$344,2,FALSE)&amp;".skill0"&amp;RIGHT(O$1,1)</f>
        <v>Sector05.labmecha_punch_1.skill01</v>
      </c>
      <c r="P704" s="131" t="str">
        <f>$B704&amp;"."&amp;VLOOKUP($C704,'#Data'!$B$2:$J$344,2,FALSE)&amp;".skill0"&amp;RIGHT(P$1,1)</f>
        <v>Sector05.labmecha_punch_1.skill02</v>
      </c>
      <c r="Q704" s="131" t="str">
        <f>$B704&amp;"."&amp;VLOOKUP($C704,'#Data'!$B$2:$J$344,2,FALSE)&amp;".skill0"&amp;RIGHT(Q$1,1)</f>
        <v>Sector05.labmecha_punch_1.skill03</v>
      </c>
      <c r="R704" s="60" t="s">
        <v>1958</v>
      </c>
      <c r="S704" s="60" t="s">
        <v>2078</v>
      </c>
      <c r="T704" s="60"/>
      <c r="U704" s="60"/>
      <c r="V704" s="37" t="b">
        <v>0</v>
      </c>
      <c r="W704" s="37" t="str">
        <f>"Character/Prefabs/"&amp;VLOOKUP($C704,'#Data'!$B$3:$I$344,8,FALSE)</f>
        <v>Character/Prefabs/m_l_tanker_labmecha_punch_1</v>
      </c>
      <c r="X704" s="37"/>
      <c r="Y704" s="37" t="str">
        <f>VLOOKUP($C704,'#Data'!$B$3:$I$344,8,FALSE)</f>
        <v>m_l_tanker_labmecha_punch_1</v>
      </c>
      <c r="Z704" s="37"/>
      <c r="AA704" s="37"/>
      <c r="AB704" s="37"/>
      <c r="AC704" s="84">
        <v>0.9</v>
      </c>
      <c r="AD704" s="37"/>
      <c r="AE704" s="37"/>
      <c r="AF704" s="37"/>
      <c r="AG704" s="37" t="s">
        <v>2106</v>
      </c>
      <c r="AH704" s="85"/>
    </row>
    <row r="705" spans="1:34" x14ac:dyDescent="0.3">
      <c r="A705" s="37">
        <f t="shared" si="20"/>
        <v>1410205203</v>
      </c>
      <c r="B705" s="37" t="s">
        <v>156</v>
      </c>
      <c r="C705" s="37" t="s">
        <v>169</v>
      </c>
      <c r="D705" s="37" t="str">
        <f>"Monster.Name."&amp;VLOOKUP($C705,'#Data'!$B$2:$J$344,2,FALSE)</f>
        <v>Monster.Name.labsuit_cannon_1</v>
      </c>
      <c r="E705" s="37" t="s">
        <v>47</v>
      </c>
      <c r="F705" s="38" t="s">
        <v>44</v>
      </c>
      <c r="G705" s="37" t="s">
        <v>45</v>
      </c>
      <c r="H705" s="37" t="b">
        <f>IF(OR(VLOOKUP($C705,'#Data'!$B$2:$J$344,4,FALSE)="보스",VLOOKUP($C705,'#Data'!$B$2:$J$344,4,FALSE)="중간"),TRUE,FALSE)</f>
        <v>1</v>
      </c>
      <c r="I705" s="37" t="b">
        <v>1</v>
      </c>
      <c r="J705" s="37">
        <v>10</v>
      </c>
      <c r="K705" s="37">
        <f t="shared" si="21"/>
        <v>10</v>
      </c>
      <c r="L705" s="59" t="str">
        <f>$B705&amp;"."&amp;VLOOKUP($C705,'#Data'!$B$2:$J$344,2,FALSE)&amp;".attack0"&amp;RIGHT(L$1,1)</f>
        <v>Sector05.labsuit_cannon_1.attack01</v>
      </c>
      <c r="M705" s="59"/>
      <c r="N705" s="59"/>
      <c r="O705" s="131" t="str">
        <f>$B705&amp;"."&amp;VLOOKUP($C705,'#Data'!$B$2:$J$344,2,FALSE)&amp;".skill0"&amp;RIGHT(O$1,1)</f>
        <v>Sector05.labsuit_cannon_1.skill01</v>
      </c>
      <c r="P705" s="131" t="str">
        <f>$B705&amp;"."&amp;VLOOKUP($C705,'#Data'!$B$2:$J$344,2,FALSE)&amp;".skill0"&amp;RIGHT(P$1,1)</f>
        <v>Sector05.labsuit_cannon_1.skill02</v>
      </c>
      <c r="Q705" s="131" t="str">
        <f>$B705&amp;"."&amp;VLOOKUP($C705,'#Data'!$B$2:$J$344,2,FALSE)&amp;".skill0"&amp;RIGHT(Q$1,1)</f>
        <v>Sector05.labsuit_cannon_1.skill03</v>
      </c>
      <c r="R705" s="60" t="s">
        <v>1958</v>
      </c>
      <c r="S705" s="60" t="s">
        <v>2078</v>
      </c>
      <c r="T705" s="60"/>
      <c r="U705" s="60"/>
      <c r="V705" s="37" t="b">
        <v>0</v>
      </c>
      <c r="W705" s="37" t="str">
        <f>"Character/Prefabs/"&amp;VLOOKUP($C705,'#Data'!$B$3:$I$344,8,FALSE)</f>
        <v>Character/Prefabs/m_l_ranger_labsuit_cannon_1</v>
      </c>
      <c r="X705" s="37"/>
      <c r="Y705" s="37" t="str">
        <f>VLOOKUP($C705,'#Data'!$B$3:$I$344,8,FALSE)</f>
        <v>m_l_ranger_labsuit_cannon_1</v>
      </c>
      <c r="Z705" s="37"/>
      <c r="AA705" s="37"/>
      <c r="AB705" s="37"/>
      <c r="AC705" s="84">
        <v>0.9</v>
      </c>
      <c r="AD705" s="37"/>
      <c r="AE705" s="37"/>
      <c r="AF705" s="37"/>
      <c r="AG705" s="37" t="s">
        <v>2106</v>
      </c>
      <c r="AH705" s="85"/>
    </row>
    <row r="706" spans="1:34" x14ac:dyDescent="0.3">
      <c r="A706" s="77">
        <f t="shared" si="20"/>
        <v>1410205301</v>
      </c>
      <c r="B706" s="77" t="s">
        <v>156</v>
      </c>
      <c r="C706" s="77" t="s">
        <v>170</v>
      </c>
      <c r="D706" s="77" t="str">
        <f>"Monster.Name."&amp;VLOOKUP($C706,'#Data'!$B$2:$J$344,2,FALSE)</f>
        <v>Monster.Name.goliath_1</v>
      </c>
      <c r="E706" s="77" t="s">
        <v>43</v>
      </c>
      <c r="F706" s="78" t="s">
        <v>44</v>
      </c>
      <c r="G706" s="77" t="s">
        <v>45</v>
      </c>
      <c r="H706" s="77" t="b">
        <f>IF(OR(VLOOKUP($C706,'#Data'!$B$2:$J$344,4,FALSE)="보스",VLOOKUP($C706,'#Data'!$B$2:$J$344,4,FALSE)="중간"),TRUE,FALSE)</f>
        <v>1</v>
      </c>
      <c r="I706" s="77" t="b">
        <v>1</v>
      </c>
      <c r="J706" s="77">
        <v>20</v>
      </c>
      <c r="K706" s="77">
        <f t="shared" si="21"/>
        <v>10</v>
      </c>
      <c r="L706" s="79" t="str">
        <f>$B706&amp;"."&amp;VLOOKUP($C706,'#Data'!$B$2:$J$344,2,FALSE)&amp;".attack0"&amp;RIGHT(L$1,1)</f>
        <v>Sector05.goliath_1.attack01</v>
      </c>
      <c r="M706" s="79" t="str">
        <f>$B706&amp;"."&amp;VLOOKUP($C706,'#Data'!$B$2:$J$344,2,FALSE)&amp;".attack0"&amp;RIGHT(M$1,1)</f>
        <v>Sector05.goliath_1.attack02</v>
      </c>
      <c r="N706" s="79"/>
      <c r="O706" s="133" t="str">
        <f>$B706&amp;"."&amp;VLOOKUP($C706,'#Data'!$B$2:$J$344,2,FALSE)&amp;".skill0"&amp;RIGHT(O$1,1)</f>
        <v>Sector05.goliath_1.skill01</v>
      </c>
      <c r="P706" s="133" t="str">
        <f>$B706&amp;"."&amp;VLOOKUP($C706,'#Data'!$B$2:$J$344,2,FALSE)&amp;".skill0"&amp;RIGHT(P$1,1)</f>
        <v>Sector05.goliath_1.skill02</v>
      </c>
      <c r="Q706" s="133" t="str">
        <f>$B706&amp;"."&amp;VLOOKUP($C706,'#Data'!$B$2:$J$344,2,FALSE)&amp;".skill0"&amp;RIGHT(Q$1,1)</f>
        <v>Sector05.goliath_1.skill03</v>
      </c>
      <c r="R706" s="80" t="s">
        <v>171</v>
      </c>
      <c r="S706" s="80" t="s">
        <v>1973</v>
      </c>
      <c r="T706" s="80"/>
      <c r="U706" s="80"/>
      <c r="V706" s="77" t="b">
        <v>0</v>
      </c>
      <c r="W706" s="164" t="str">
        <f>"Character/Prefabs/"&amp;VLOOKUP($C706,'#Data'!$B$3:$I$344,8,FALSE)</f>
        <v>Character/Prefabs/m_boss_attacker_goliath_1</v>
      </c>
      <c r="X706" s="164"/>
      <c r="Y706" s="164" t="str">
        <f>VLOOKUP($C706,'#Data'!$B$3:$I$344,8,FALSE)</f>
        <v>m_boss_attacker_goliath_1</v>
      </c>
      <c r="Z706" s="77"/>
      <c r="AA706" s="77"/>
      <c r="AB706" s="77"/>
      <c r="AC706" s="87">
        <v>1.4</v>
      </c>
      <c r="AD706" s="77"/>
      <c r="AE706" s="77" t="s">
        <v>172</v>
      </c>
      <c r="AF706" s="77" t="s">
        <v>173</v>
      </c>
      <c r="AG706" s="77" t="s">
        <v>2106</v>
      </c>
      <c r="AH706" s="85"/>
    </row>
    <row r="707" spans="1:34" x14ac:dyDescent="0.3">
      <c r="A707" s="77">
        <f t="shared" si="20"/>
        <v>1410205302</v>
      </c>
      <c r="B707" s="77" t="s">
        <v>156</v>
      </c>
      <c r="C707" s="77" t="s">
        <v>1971</v>
      </c>
      <c r="D707" s="77" t="str">
        <f>"Monster.Name."&amp;VLOOKUP($C707,'#Data'!$B$2:$J$344,2,FALSE)</f>
        <v>Monster.Name.goliath_4</v>
      </c>
      <c r="E707" s="77" t="s">
        <v>43</v>
      </c>
      <c r="F707" s="78" t="s">
        <v>44</v>
      </c>
      <c r="G707" s="77" t="s">
        <v>45</v>
      </c>
      <c r="H707" s="77" t="b">
        <f>IF(OR(VLOOKUP($C707,'#Data'!$B$2:$J$344,4,FALSE)="보스",VLOOKUP($C707,'#Data'!$B$2:$J$344,4,FALSE)="중간"),TRUE,FALSE)</f>
        <v>1</v>
      </c>
      <c r="I707" s="77" t="b">
        <v>1</v>
      </c>
      <c r="J707" s="77">
        <v>20</v>
      </c>
      <c r="K707" s="77">
        <f t="shared" si="21"/>
        <v>10</v>
      </c>
      <c r="L707" s="79" t="str">
        <f>$B707&amp;"."&amp;VLOOKUP($C707,'#Data'!$B$2:$J$344,2,FALSE)&amp;".attack0"&amp;RIGHT(L$1,1)</f>
        <v>Sector05.goliath_4.attack01</v>
      </c>
      <c r="M707" s="79" t="str">
        <f>$B707&amp;"."&amp;VLOOKUP($C707,'#Data'!$B$2:$J$344,2,FALSE)&amp;".attack0"&amp;RIGHT(M$1,1)</f>
        <v>Sector05.goliath_4.attack02</v>
      </c>
      <c r="N707" s="79"/>
      <c r="O707" s="133" t="str">
        <f>$B707&amp;"."&amp;VLOOKUP($C707,'#Data'!$B$2:$J$344,2,FALSE)&amp;".skill0"&amp;RIGHT(O$1,1)</f>
        <v>Sector05.goliath_4.skill01</v>
      </c>
      <c r="P707" s="133" t="str">
        <f>$B707&amp;"."&amp;VLOOKUP($C707,'#Data'!$B$2:$J$344,2,FALSE)&amp;".skill0"&amp;RIGHT(P$1,1)</f>
        <v>Sector05.goliath_4.skill02</v>
      </c>
      <c r="Q707" s="133" t="str">
        <f>$B707&amp;"."&amp;VLOOKUP($C707,'#Data'!$B$2:$J$344,2,FALSE)&amp;".skill0"&amp;RIGHT(Q$1,1)</f>
        <v>Sector05.goliath_4.skill03</v>
      </c>
      <c r="R707" s="80" t="s">
        <v>2084</v>
      </c>
      <c r="S707" s="80" t="s">
        <v>2085</v>
      </c>
      <c r="T707" s="80"/>
      <c r="U707" s="80"/>
      <c r="V707" s="77" t="b">
        <v>0</v>
      </c>
      <c r="W707" s="164" t="str">
        <f>"Character/Prefabs/"&amp;VLOOKUP($C707,'#Data'!$B$3:$I$344,8,FALSE)</f>
        <v>Character/Prefabs/m_boss_attacker_goliath_4</v>
      </c>
      <c r="X707" s="164"/>
      <c r="Y707" s="164" t="str">
        <f>VLOOKUP($C707,'#Data'!$B$3:$I$344,8,FALSE)</f>
        <v>m_boss_attacker_goliath_4</v>
      </c>
      <c r="Z707" s="77"/>
      <c r="AA707" s="77"/>
      <c r="AB707" s="77"/>
      <c r="AC707" s="87">
        <v>1.4</v>
      </c>
      <c r="AD707" s="77"/>
      <c r="AE707" s="77" t="s">
        <v>2081</v>
      </c>
      <c r="AF707" s="77" t="s">
        <v>2097</v>
      </c>
      <c r="AG707" s="77" t="s">
        <v>2106</v>
      </c>
      <c r="AH707" s="85"/>
    </row>
    <row r="708" spans="1:34" x14ac:dyDescent="0.3">
      <c r="A708" s="12">
        <f t="shared" si="20"/>
        <v>1410206101</v>
      </c>
      <c r="B708" s="12" t="s">
        <v>174</v>
      </c>
      <c r="C708" s="12" t="s">
        <v>175</v>
      </c>
      <c r="D708" s="12" t="str">
        <f>"Monster.Name."&amp;VLOOKUP($C708,'#Data'!$B$2:$J$344,2,FALSE)</f>
        <v>Monster.Name.polluter_patrol_1</v>
      </c>
      <c r="E708" s="12" t="s">
        <v>43</v>
      </c>
      <c r="F708" s="39" t="s">
        <v>44</v>
      </c>
      <c r="G708" s="12" t="s">
        <v>45</v>
      </c>
      <c r="H708" s="12" t="b">
        <f>IF(OR(VLOOKUP($C708,'#Data'!$B$2:$J$344,4,FALSE)="보스",VLOOKUP($C708,'#Data'!$B$2:$J$344,4,FALSE)="중간"),TRUE,FALSE)</f>
        <v>0</v>
      </c>
      <c r="I708" s="12" t="b">
        <v>0</v>
      </c>
      <c r="J708" s="12">
        <v>10</v>
      </c>
      <c r="K708" s="12">
        <f t="shared" si="21"/>
        <v>10</v>
      </c>
      <c r="L708" s="63" t="str">
        <f>$B708&amp;"."&amp;VLOOKUP($C708,'#Data'!$B$2:$J$344,2,FALSE)&amp;".attack0"&amp;RIGHT(L$1,1)</f>
        <v>Sector06.polluter_patrol_1.attack01</v>
      </c>
      <c r="M708" s="63"/>
      <c r="N708" s="63"/>
      <c r="O708" s="134" t="s">
        <v>2041</v>
      </c>
      <c r="P708" s="134"/>
      <c r="Q708" s="134"/>
      <c r="R708" s="64"/>
      <c r="S708" s="64"/>
      <c r="T708" s="64"/>
      <c r="U708" s="64"/>
      <c r="V708" s="12" t="b">
        <v>0</v>
      </c>
      <c r="W708" s="12" t="str">
        <f>"Character/Prefabs/"&amp;VLOOKUP($C708,'#Data'!$B$3:$I$344,8,FALSE)</f>
        <v>Character/Prefabs/m_s_attacker_polluter_patrol_1</v>
      </c>
      <c r="X708" s="12"/>
      <c r="Y708" s="12" t="str">
        <f>VLOOKUP($C708,'#Data'!$B$3:$I$344,8,FALSE)</f>
        <v>m_s_attacker_polluter_patrol_1</v>
      </c>
      <c r="Z708" s="12"/>
      <c r="AA708" s="12"/>
      <c r="AB708" s="12"/>
      <c r="AC708" s="88">
        <v>0.9</v>
      </c>
      <c r="AD708" s="12"/>
      <c r="AE708" s="12"/>
      <c r="AF708" s="12"/>
      <c r="AG708" s="12" t="s">
        <v>2106</v>
      </c>
      <c r="AH708" s="85"/>
    </row>
    <row r="709" spans="1:34" x14ac:dyDescent="0.3">
      <c r="A709" s="12">
        <f t="shared" si="20"/>
        <v>1410206102</v>
      </c>
      <c r="B709" s="12" t="s">
        <v>174</v>
      </c>
      <c r="C709" s="12" t="s">
        <v>176</v>
      </c>
      <c r="D709" s="12" t="str">
        <f>"Monster.Name."&amp;VLOOKUP($C709,'#Data'!$B$2:$J$344,2,FALSE)</f>
        <v>Monster.Name.polluter_eyeball_1</v>
      </c>
      <c r="E709" s="12" t="s">
        <v>47</v>
      </c>
      <c r="F709" s="39" t="s">
        <v>44</v>
      </c>
      <c r="G709" s="12" t="s">
        <v>45</v>
      </c>
      <c r="H709" s="12" t="b">
        <f>IF(OR(VLOOKUP($C709,'#Data'!$B$2:$J$344,4,FALSE)="보스",VLOOKUP($C709,'#Data'!$B$2:$J$344,4,FALSE)="중간"),TRUE,FALSE)</f>
        <v>0</v>
      </c>
      <c r="I709" s="12" t="b">
        <v>0</v>
      </c>
      <c r="J709" s="12">
        <v>10</v>
      </c>
      <c r="K709" s="12">
        <f t="shared" si="21"/>
        <v>10</v>
      </c>
      <c r="L709" s="63" t="str">
        <f>$B709&amp;"."&amp;VLOOKUP($C709,'#Data'!$B$2:$J$344,2,FALSE)&amp;".attack0"&amp;RIGHT(L$1,1)</f>
        <v>Sector06.polluter_eyeball_1.attack01</v>
      </c>
      <c r="M709" s="63"/>
      <c r="N709" s="63"/>
      <c r="O709" s="134" t="s">
        <v>2042</v>
      </c>
      <c r="P709" s="134"/>
      <c r="Q709" s="134"/>
      <c r="R709" s="64"/>
      <c r="S709" s="64"/>
      <c r="T709" s="64"/>
      <c r="U709" s="64"/>
      <c r="V709" s="12" t="b">
        <v>0</v>
      </c>
      <c r="W709" s="12" t="str">
        <f>"Character/Prefabs/"&amp;VLOOKUP($C709,'#Data'!$B$3:$I$344,8,FALSE)</f>
        <v>Character/Prefabs/m_s_ranger_polluter_eyeball_1</v>
      </c>
      <c r="X709" s="12"/>
      <c r="Y709" s="12" t="str">
        <f>VLOOKUP($C709,'#Data'!$B$3:$I$344,8,FALSE)</f>
        <v>m_s_ranger_polluter_eyeball_1</v>
      </c>
      <c r="Z709" s="12"/>
      <c r="AA709" s="12"/>
      <c r="AB709" s="12"/>
      <c r="AC709" s="88">
        <v>0.9</v>
      </c>
      <c r="AD709" s="12"/>
      <c r="AE709" s="12"/>
      <c r="AF709" s="12"/>
      <c r="AG709" s="12" t="s">
        <v>2106</v>
      </c>
      <c r="AH709" s="85"/>
    </row>
    <row r="710" spans="1:34" x14ac:dyDescent="0.3">
      <c r="A710" s="12">
        <f t="shared" si="20"/>
        <v>1410206103</v>
      </c>
      <c r="B710" s="12" t="s">
        <v>174</v>
      </c>
      <c r="C710" s="12" t="s">
        <v>177</v>
      </c>
      <c r="D710" s="12" t="str">
        <f>"Monster.Name."&amp;VLOOKUP($C710,'#Data'!$B$2:$J$344,2,FALSE)</f>
        <v>Monster.Name.polluter_exploder_1</v>
      </c>
      <c r="E710" s="12" t="s">
        <v>43</v>
      </c>
      <c r="F710" s="39" t="s">
        <v>44</v>
      </c>
      <c r="G710" s="12" t="s">
        <v>45</v>
      </c>
      <c r="H710" s="12" t="b">
        <f>IF(OR(VLOOKUP($C710,'#Data'!$B$2:$J$344,4,FALSE)="보스",VLOOKUP($C710,'#Data'!$B$2:$J$344,4,FALSE)="중간"),TRUE,FALSE)</f>
        <v>0</v>
      </c>
      <c r="I710" s="12" t="b">
        <v>0</v>
      </c>
      <c r="J710" s="12">
        <v>10</v>
      </c>
      <c r="K710" s="12">
        <f t="shared" si="21"/>
        <v>10</v>
      </c>
      <c r="L710" s="63" t="str">
        <f>$B710&amp;"."&amp;VLOOKUP($C710,'#Data'!$B$2:$J$344,2,FALSE)&amp;".attack0"&amp;RIGHT(L$1,1)</f>
        <v>Sector06.polluter_exploder_1.attack01</v>
      </c>
      <c r="M710" s="63"/>
      <c r="N710" s="63"/>
      <c r="O710" s="134" t="str">
        <f>$B710&amp;"."&amp;VLOOKUP($C710,'#Data'!$B$2:$J$344,2,FALSE)&amp;".skill0"&amp;RIGHT(O$1,1)</f>
        <v>Sector06.polluter_exploder_1.skill01</v>
      </c>
      <c r="P710" s="134" t="s">
        <v>2043</v>
      </c>
      <c r="Q710" s="134"/>
      <c r="R710" s="64"/>
      <c r="S710" s="64"/>
      <c r="T710" s="64"/>
      <c r="U710" s="64"/>
      <c r="V710" s="12" t="b">
        <v>0</v>
      </c>
      <c r="W710" s="12" t="str">
        <f>"Character/Prefabs/"&amp;VLOOKUP($C710,'#Data'!$B$3:$I$344,8,FALSE)</f>
        <v>Character/Prefabs/m_s_attacker_polluter_exploder_1</v>
      </c>
      <c r="X710" s="12"/>
      <c r="Y710" s="12" t="str">
        <f>VLOOKUP($C710,'#Data'!$B$3:$I$344,8,FALSE)</f>
        <v>m_s_attacker_polluter_exploder_1</v>
      </c>
      <c r="Z710" s="12"/>
      <c r="AA710" s="12"/>
      <c r="AB710" s="12"/>
      <c r="AC710" s="88">
        <v>0.9</v>
      </c>
      <c r="AD710" s="12"/>
      <c r="AE710" s="12"/>
      <c r="AF710" s="12"/>
      <c r="AG710" s="12" t="s">
        <v>2106</v>
      </c>
      <c r="AH710" s="85"/>
    </row>
    <row r="711" spans="1:34" x14ac:dyDescent="0.3">
      <c r="A711" s="12">
        <f t="shared" si="20"/>
        <v>1410206104</v>
      </c>
      <c r="B711" s="12" t="s">
        <v>174</v>
      </c>
      <c r="C711" s="12" t="s">
        <v>178</v>
      </c>
      <c r="D711" s="12" t="str">
        <f>"Monster.Name."&amp;VLOOKUP($C711,'#Data'!$B$2:$J$344,2,FALSE)</f>
        <v>Monster.Name.polluter_1</v>
      </c>
      <c r="E711" s="12" t="s">
        <v>43</v>
      </c>
      <c r="F711" s="39" t="s">
        <v>44</v>
      </c>
      <c r="G711" s="12" t="s">
        <v>45</v>
      </c>
      <c r="H711" s="12" t="b">
        <f>IF(OR(VLOOKUP($C711,'#Data'!$B$2:$J$344,4,FALSE)="보스",VLOOKUP($C711,'#Data'!$B$2:$J$344,4,FALSE)="중간"),TRUE,FALSE)</f>
        <v>0</v>
      </c>
      <c r="I711" s="12" t="b">
        <v>0</v>
      </c>
      <c r="J711" s="12">
        <v>10</v>
      </c>
      <c r="K711" s="12">
        <f t="shared" si="21"/>
        <v>10</v>
      </c>
      <c r="L711" s="63" t="str">
        <f>$B711&amp;"."&amp;VLOOKUP($C711,'#Data'!$B$2:$J$344,2,FALSE)&amp;".attack0"&amp;RIGHT(L$1,1)</f>
        <v>Sector06.polluter_1.attack01</v>
      </c>
      <c r="M711" s="63"/>
      <c r="N711" s="63"/>
      <c r="O711" s="134" t="str">
        <f>$B711&amp;"."&amp;VLOOKUP($C711,'#Data'!$B$2:$J$344,2,FALSE)&amp;".skill0"&amp;RIGHT(O$1,1)</f>
        <v>Sector06.polluter_1.skill01</v>
      </c>
      <c r="P711" s="134" t="s">
        <v>2044</v>
      </c>
      <c r="Q711" s="134"/>
      <c r="R711" s="64"/>
      <c r="S711" s="64"/>
      <c r="T711" s="64"/>
      <c r="U711" s="64"/>
      <c r="V711" s="12" t="b">
        <v>0</v>
      </c>
      <c r="W711" s="12" t="str">
        <f>"Character/Prefabs/"&amp;VLOOKUP($C711,'#Data'!$B$3:$I$344,8,FALSE)</f>
        <v>Character/Prefabs/m_m_attacker_polluter_1</v>
      </c>
      <c r="X711" s="12"/>
      <c r="Y711" s="12" t="str">
        <f>VLOOKUP($C711,'#Data'!$B$3:$I$344,8,FALSE)</f>
        <v>m_m_attacker_polluter_1</v>
      </c>
      <c r="Z711" s="12"/>
      <c r="AA711" s="12"/>
      <c r="AB711" s="12"/>
      <c r="AC711" s="88">
        <v>0.6</v>
      </c>
      <c r="AD711" s="12"/>
      <c r="AE711" s="12"/>
      <c r="AF711" s="12"/>
      <c r="AG711" s="12" t="s">
        <v>2106</v>
      </c>
      <c r="AH711" s="85"/>
    </row>
    <row r="712" spans="1:34" x14ac:dyDescent="0.3">
      <c r="A712" s="12">
        <f t="shared" si="20"/>
        <v>1410206105</v>
      </c>
      <c r="B712" s="12" t="s">
        <v>174</v>
      </c>
      <c r="C712" s="12" t="s">
        <v>179</v>
      </c>
      <c r="D712" s="12" t="str">
        <f>"Monster.Name."&amp;VLOOKUP($C712,'#Data'!$B$2:$J$344,2,FALSE)</f>
        <v>Monster.Name.polluter_edge_1</v>
      </c>
      <c r="E712" s="12" t="s">
        <v>43</v>
      </c>
      <c r="F712" s="39" t="s">
        <v>44</v>
      </c>
      <c r="G712" s="12" t="s">
        <v>45</v>
      </c>
      <c r="H712" s="12" t="b">
        <f>IF(OR(VLOOKUP($C712,'#Data'!$B$2:$J$344,4,FALSE)="보스",VLOOKUP($C712,'#Data'!$B$2:$J$344,4,FALSE)="중간"),TRUE,FALSE)</f>
        <v>0</v>
      </c>
      <c r="I712" s="12" t="b">
        <v>0</v>
      </c>
      <c r="J712" s="12">
        <v>10</v>
      </c>
      <c r="K712" s="12">
        <f t="shared" si="21"/>
        <v>10</v>
      </c>
      <c r="L712" s="63" t="str">
        <f>$B712&amp;"."&amp;VLOOKUP($C712,'#Data'!$B$2:$J$344,2,FALSE)&amp;".attack0"&amp;RIGHT(L$1,1)</f>
        <v>Sector06.polluter_edge_1.attack01</v>
      </c>
      <c r="M712" s="63"/>
      <c r="N712" s="63"/>
      <c r="O712" s="134" t="str">
        <f>$B712&amp;"."&amp;VLOOKUP($C712,'#Data'!$B$2:$J$344,2,FALSE)&amp;".skill0"&amp;RIGHT(O$1,1)</f>
        <v>Sector06.polluter_edge_1.skill01</v>
      </c>
      <c r="P712" s="134" t="s">
        <v>2045</v>
      </c>
      <c r="Q712" s="134"/>
      <c r="R712" s="64"/>
      <c r="S712" s="64"/>
      <c r="T712" s="64"/>
      <c r="U712" s="64"/>
      <c r="V712" s="12" t="b">
        <v>0</v>
      </c>
      <c r="W712" s="12" t="str">
        <f>"Character/Prefabs/"&amp;VLOOKUP($C712,'#Data'!$B$3:$I$344,8,FALSE)</f>
        <v>Character/Prefabs/m_m_attacker_polluter_edge_1</v>
      </c>
      <c r="X712" s="12"/>
      <c r="Y712" s="12" t="str">
        <f>VLOOKUP($C712,'#Data'!$B$3:$I$344,8,FALSE)</f>
        <v>m_m_attacker_polluter_edge_1</v>
      </c>
      <c r="Z712" s="12"/>
      <c r="AA712" s="12"/>
      <c r="AB712" s="12"/>
      <c r="AC712" s="88">
        <v>0.6</v>
      </c>
      <c r="AD712" s="12"/>
      <c r="AE712" s="12"/>
      <c r="AF712" s="12"/>
      <c r="AG712" s="12" t="s">
        <v>2106</v>
      </c>
      <c r="AH712" s="85"/>
    </row>
    <row r="713" spans="1:34" x14ac:dyDescent="0.3">
      <c r="A713" s="12">
        <f t="shared" si="20"/>
        <v>1410206106</v>
      </c>
      <c r="B713" s="12" t="s">
        <v>174</v>
      </c>
      <c r="C713" s="12" t="s">
        <v>180</v>
      </c>
      <c r="D713" s="12" t="str">
        <f>"Monster.Name."&amp;VLOOKUP($C713,'#Data'!$B$2:$J$344,2,FALSE)</f>
        <v>Monster.Name.polluter_fluid_1</v>
      </c>
      <c r="E713" s="12" t="s">
        <v>47</v>
      </c>
      <c r="F713" s="39" t="s">
        <v>44</v>
      </c>
      <c r="G713" s="12" t="s">
        <v>45</v>
      </c>
      <c r="H713" s="12" t="b">
        <f>IF(OR(VLOOKUP($C713,'#Data'!$B$2:$J$344,4,FALSE)="보스",VLOOKUP($C713,'#Data'!$B$2:$J$344,4,FALSE)="중간"),TRUE,FALSE)</f>
        <v>0</v>
      </c>
      <c r="I713" s="12" t="b">
        <v>0</v>
      </c>
      <c r="J713" s="12">
        <v>10</v>
      </c>
      <c r="K713" s="12">
        <f t="shared" si="21"/>
        <v>10</v>
      </c>
      <c r="L713" s="63" t="str">
        <f>$B713&amp;"."&amp;VLOOKUP($C713,'#Data'!$B$2:$J$344,2,FALSE)&amp;".attack0"&amp;RIGHT(L$1,1)</f>
        <v>Sector06.polluter_fluid_1.attack01</v>
      </c>
      <c r="M713" s="63"/>
      <c r="N713" s="63"/>
      <c r="O713" s="134" t="str">
        <f>$B713&amp;"."&amp;VLOOKUP($C713,'#Data'!$B$2:$J$344,2,FALSE)&amp;".skill0"&amp;RIGHT(O$1,1)</f>
        <v>Sector06.polluter_fluid_1.skill01</v>
      </c>
      <c r="P713" s="134" t="s">
        <v>2046</v>
      </c>
      <c r="Q713" s="134"/>
      <c r="R713" s="64"/>
      <c r="S713" s="64"/>
      <c r="T713" s="64"/>
      <c r="U713" s="64"/>
      <c r="V713" s="12" t="b">
        <v>0</v>
      </c>
      <c r="W713" s="12" t="str">
        <f>"Character/Prefabs/"&amp;VLOOKUP($C713,'#Data'!$B$3:$I$344,8,FALSE)</f>
        <v>Character/Prefabs/m_m_ranger_polluter_fluid_1</v>
      </c>
      <c r="X713" s="12"/>
      <c r="Y713" s="12" t="str">
        <f>VLOOKUP($C713,'#Data'!$B$3:$I$344,8,FALSE)</f>
        <v>m_m_ranger_polluter_fluid_1</v>
      </c>
      <c r="Z713" s="12"/>
      <c r="AA713" s="12"/>
      <c r="AB713" s="12"/>
      <c r="AC713" s="88">
        <v>0.6</v>
      </c>
      <c r="AD713" s="12"/>
      <c r="AE713" s="12"/>
      <c r="AF713" s="12"/>
      <c r="AG713" s="12" t="s">
        <v>2106</v>
      </c>
      <c r="AH713" s="85"/>
    </row>
    <row r="714" spans="1:34" x14ac:dyDescent="0.3">
      <c r="A714" s="12">
        <f t="shared" ref="A714:A776" si="22">A521+100000000</f>
        <v>1410206107</v>
      </c>
      <c r="B714" s="12" t="s">
        <v>174</v>
      </c>
      <c r="C714" s="12" t="s">
        <v>181</v>
      </c>
      <c r="D714" s="12" t="str">
        <f>"Monster.Name."&amp;VLOOKUP($C714,'#Data'!$B$2:$J$344,2,FALSE)</f>
        <v>Monster.Name.polluter_liquid_1</v>
      </c>
      <c r="E714" s="12" t="s">
        <v>47</v>
      </c>
      <c r="F714" s="39" t="s">
        <v>44</v>
      </c>
      <c r="G714" s="12" t="s">
        <v>45</v>
      </c>
      <c r="H714" s="12" t="b">
        <f>IF(OR(VLOOKUP($C714,'#Data'!$B$2:$J$344,4,FALSE)="보스",VLOOKUP($C714,'#Data'!$B$2:$J$344,4,FALSE)="중간"),TRUE,FALSE)</f>
        <v>0</v>
      </c>
      <c r="I714" s="12" t="b">
        <v>0</v>
      </c>
      <c r="J714" s="12">
        <v>10</v>
      </c>
      <c r="K714" s="12">
        <f t="shared" ref="K714:K776" si="23">K521</f>
        <v>10</v>
      </c>
      <c r="L714" s="63" t="str">
        <f>$B714&amp;"."&amp;VLOOKUP($C714,'#Data'!$B$2:$J$344,2,FALSE)&amp;".attack0"&amp;RIGHT(L$1,1)</f>
        <v>Sector06.polluter_liquid_1.attack01</v>
      </c>
      <c r="M714" s="63"/>
      <c r="N714" s="63"/>
      <c r="O714" s="134" t="str">
        <f>$B714&amp;"."&amp;VLOOKUP($C714,'#Data'!$B$2:$J$344,2,FALSE)&amp;".skill0"&amp;RIGHT(O$1,1)</f>
        <v>Sector06.polluter_liquid_1.skill01</v>
      </c>
      <c r="P714" s="134" t="s">
        <v>2047</v>
      </c>
      <c r="Q714" s="134"/>
      <c r="R714" s="64"/>
      <c r="S714" s="64"/>
      <c r="T714" s="64"/>
      <c r="U714" s="64"/>
      <c r="V714" s="12" t="b">
        <v>0</v>
      </c>
      <c r="W714" s="12" t="str">
        <f>"Character/Prefabs/"&amp;VLOOKUP($C714,'#Data'!$B$3:$I$344,8,FALSE)</f>
        <v>Character/Prefabs/m_m_ranger_polluter_liquid_1</v>
      </c>
      <c r="X714" s="12"/>
      <c r="Y714" s="12" t="str">
        <f>VLOOKUP($C714,'#Data'!$B$3:$I$344,8,FALSE)</f>
        <v>m_m_ranger_polluter_liquid_1</v>
      </c>
      <c r="Z714" s="12"/>
      <c r="AA714" s="12"/>
      <c r="AB714" s="12"/>
      <c r="AC714" s="88">
        <v>0.6</v>
      </c>
      <c r="AD714" s="12"/>
      <c r="AE714" s="12"/>
      <c r="AF714" s="12"/>
      <c r="AG714" s="12" t="s">
        <v>2106</v>
      </c>
      <c r="AH714" s="85"/>
    </row>
    <row r="715" spans="1:34" x14ac:dyDescent="0.3">
      <c r="A715" s="12">
        <f t="shared" si="22"/>
        <v>1410206108</v>
      </c>
      <c r="B715" s="12" t="s">
        <v>174</v>
      </c>
      <c r="C715" s="12" t="s">
        <v>182</v>
      </c>
      <c r="D715" s="12" t="str">
        <f>"Monster.Name."&amp;VLOOKUP($C715,'#Data'!$B$2:$J$344,2,FALSE)</f>
        <v>Monster.Name.polluter_fog_1</v>
      </c>
      <c r="E715" s="12" t="s">
        <v>143</v>
      </c>
      <c r="F715" s="39" t="s">
        <v>44</v>
      </c>
      <c r="G715" s="12" t="s">
        <v>45</v>
      </c>
      <c r="H715" s="12" t="b">
        <f>IF(OR(VLOOKUP($C715,'#Data'!$B$2:$J$344,4,FALSE)="보스",VLOOKUP($C715,'#Data'!$B$2:$J$344,4,FALSE)="중간"),TRUE,FALSE)</f>
        <v>0</v>
      </c>
      <c r="I715" s="12" t="b">
        <v>0</v>
      </c>
      <c r="J715" s="12">
        <v>10</v>
      </c>
      <c r="K715" s="12">
        <f t="shared" si="23"/>
        <v>10</v>
      </c>
      <c r="L715" s="63" t="str">
        <f>$B715&amp;"."&amp;VLOOKUP($C715,'#Data'!$B$2:$J$344,2,FALSE)&amp;".attack0"&amp;RIGHT(L$1,1)</f>
        <v>Sector06.polluter_fog_1.attack01</v>
      </c>
      <c r="M715" s="63"/>
      <c r="N715" s="63"/>
      <c r="O715" s="134" t="str">
        <f>$B715&amp;"."&amp;VLOOKUP($C715,'#Data'!$B$2:$J$344,2,FALSE)&amp;".skill0"&amp;RIGHT(O$1,1)</f>
        <v>Sector06.polluter_fog_1.skill01</v>
      </c>
      <c r="P715" s="134" t="s">
        <v>2048</v>
      </c>
      <c r="Q715" s="134"/>
      <c r="R715" s="64"/>
      <c r="S715" s="64"/>
      <c r="T715" s="64"/>
      <c r="U715" s="64"/>
      <c r="V715" s="12" t="b">
        <v>0</v>
      </c>
      <c r="W715" s="12" t="str">
        <f>"Character/Prefabs/"&amp;VLOOKUP($C715,'#Data'!$B$3:$I$344,8,FALSE)</f>
        <v>Character/Prefabs/m_m_supporter_polluter_fog_1</v>
      </c>
      <c r="X715" s="12"/>
      <c r="Y715" s="12" t="str">
        <f>VLOOKUP($C715,'#Data'!$B$3:$I$344,8,FALSE)</f>
        <v>m_m_supporter_polluter_fog_1</v>
      </c>
      <c r="Z715" s="12"/>
      <c r="AA715" s="12"/>
      <c r="AB715" s="12"/>
      <c r="AC715" s="88">
        <v>0.6</v>
      </c>
      <c r="AD715" s="12"/>
      <c r="AE715" s="12"/>
      <c r="AF715" s="12"/>
      <c r="AG715" s="12" t="s">
        <v>2106</v>
      </c>
      <c r="AH715" s="85"/>
    </row>
    <row r="716" spans="1:34" x14ac:dyDescent="0.3">
      <c r="A716" s="12">
        <f t="shared" si="22"/>
        <v>1410206109</v>
      </c>
      <c r="B716" s="12" t="s">
        <v>174</v>
      </c>
      <c r="C716" s="12" t="s">
        <v>183</v>
      </c>
      <c r="D716" s="12" t="str">
        <f>"Monster.Name."&amp;VLOOKUP($C716,'#Data'!$B$2:$J$344,2,FALSE)</f>
        <v>Monster.Name.polluter_haze_1</v>
      </c>
      <c r="E716" s="12" t="s">
        <v>143</v>
      </c>
      <c r="F716" s="39" t="s">
        <v>44</v>
      </c>
      <c r="G716" s="12" t="s">
        <v>45</v>
      </c>
      <c r="H716" s="12" t="b">
        <f>IF(OR(VLOOKUP($C716,'#Data'!$B$2:$J$344,4,FALSE)="보스",VLOOKUP($C716,'#Data'!$B$2:$J$344,4,FALSE)="중간"),TRUE,FALSE)</f>
        <v>0</v>
      </c>
      <c r="I716" s="12" t="b">
        <v>0</v>
      </c>
      <c r="J716" s="12">
        <v>10</v>
      </c>
      <c r="K716" s="12">
        <f t="shared" si="23"/>
        <v>10</v>
      </c>
      <c r="L716" s="63" t="str">
        <f>$B716&amp;"."&amp;VLOOKUP($C716,'#Data'!$B$2:$J$344,2,FALSE)&amp;".attack0"&amp;RIGHT(L$1,1)</f>
        <v>Sector06.polluter_haze_1.attack01</v>
      </c>
      <c r="M716" s="63"/>
      <c r="N716" s="63"/>
      <c r="O716" s="134" t="str">
        <f>$B716&amp;"."&amp;VLOOKUP($C716,'#Data'!$B$2:$J$344,2,FALSE)&amp;".skill0"&amp;RIGHT(O$1,1)</f>
        <v>Sector06.polluter_haze_1.skill01</v>
      </c>
      <c r="P716" s="134" t="s">
        <v>2049</v>
      </c>
      <c r="Q716" s="134"/>
      <c r="R716" s="64"/>
      <c r="S716" s="64"/>
      <c r="T716" s="64"/>
      <c r="U716" s="64"/>
      <c r="V716" s="12" t="b">
        <v>0</v>
      </c>
      <c r="W716" s="12" t="str">
        <f>"Character/Prefabs/"&amp;VLOOKUP($C716,'#Data'!$B$3:$I$344,8,FALSE)</f>
        <v>Character/Prefabs/m_m_supporter_polluter_haze_1</v>
      </c>
      <c r="X716" s="12"/>
      <c r="Y716" s="12" t="str">
        <f>VLOOKUP($C716,'#Data'!$B$3:$I$344,8,FALSE)</f>
        <v>m_m_supporter_polluter_haze_1</v>
      </c>
      <c r="Z716" s="12"/>
      <c r="AA716" s="12"/>
      <c r="AB716" s="12"/>
      <c r="AC716" s="88">
        <v>0.6</v>
      </c>
      <c r="AD716" s="12"/>
      <c r="AE716" s="12"/>
      <c r="AF716" s="12"/>
      <c r="AG716" s="12" t="s">
        <v>2106</v>
      </c>
      <c r="AH716" s="85"/>
    </row>
    <row r="717" spans="1:34" x14ac:dyDescent="0.3">
      <c r="A717" s="49">
        <f t="shared" si="22"/>
        <v>1410206110</v>
      </c>
      <c r="B717" s="49" t="s">
        <v>174</v>
      </c>
      <c r="C717" s="49" t="s">
        <v>1300</v>
      </c>
      <c r="D717" s="49" t="str">
        <f>"Monster.Name."&amp;VLOOKUP($C717,'#Data'!$B$2:$J$344,2,FALSE)</f>
        <v>Monster.Name.polluter_patrol_2</v>
      </c>
      <c r="E717" s="49" t="s">
        <v>43</v>
      </c>
      <c r="F717" s="50" t="s">
        <v>44</v>
      </c>
      <c r="G717" s="49" t="s">
        <v>45</v>
      </c>
      <c r="H717" s="49" t="b">
        <f>IF(OR(VLOOKUP($C717,'#Data'!$B$2:$J$344,4,FALSE)="보스",VLOOKUP($C717,'#Data'!$B$2:$J$344,4,FALSE)="중간"),TRUE,FALSE)</f>
        <v>0</v>
      </c>
      <c r="I717" s="49" t="b">
        <v>0</v>
      </c>
      <c r="J717" s="49">
        <v>10</v>
      </c>
      <c r="K717" s="49">
        <f t="shared" si="23"/>
        <v>10</v>
      </c>
      <c r="L717" s="65" t="s">
        <v>1378</v>
      </c>
      <c r="M717" s="65"/>
      <c r="N717" s="65"/>
      <c r="O717" s="134" t="s">
        <v>2041</v>
      </c>
      <c r="P717" s="135"/>
      <c r="Q717" s="135"/>
      <c r="R717" s="66"/>
      <c r="S717" s="66"/>
      <c r="T717" s="66"/>
      <c r="U717" s="66"/>
      <c r="V717" s="49" t="b">
        <v>0</v>
      </c>
      <c r="W717" s="49" t="str">
        <f>"Character/Prefabs/"&amp;VLOOKUP($C717,'#Data'!$B$3:$I$344,8,FALSE)</f>
        <v>Character/Prefabs/m_s_attacker_polluter_patrol_2</v>
      </c>
      <c r="X717" s="49"/>
      <c r="Y717" s="49" t="str">
        <f>VLOOKUP($C717,'#Data'!$B$3:$I$344,8,FALSE)</f>
        <v>m_s_attacker_polluter_patrol_2</v>
      </c>
      <c r="Z717" s="49"/>
      <c r="AA717" s="49"/>
      <c r="AB717" s="49"/>
      <c r="AC717" s="89">
        <v>0.9</v>
      </c>
      <c r="AD717" s="49"/>
      <c r="AE717" s="49"/>
      <c r="AF717" s="49"/>
      <c r="AG717" s="49" t="s">
        <v>2106</v>
      </c>
      <c r="AH717" s="85"/>
    </row>
    <row r="718" spans="1:34" x14ac:dyDescent="0.3">
      <c r="A718" s="49">
        <f t="shared" si="22"/>
        <v>1410206111</v>
      </c>
      <c r="B718" s="49" t="s">
        <v>174</v>
      </c>
      <c r="C718" s="49" t="s">
        <v>1302</v>
      </c>
      <c r="D718" s="49" t="str">
        <f>"Monster.Name."&amp;VLOOKUP($C718,'#Data'!$B$2:$J$344,2,FALSE)</f>
        <v>Monster.Name.polluter_eyeball_2</v>
      </c>
      <c r="E718" s="49" t="s">
        <v>47</v>
      </c>
      <c r="F718" s="50" t="s">
        <v>44</v>
      </c>
      <c r="G718" s="49" t="s">
        <v>45</v>
      </c>
      <c r="H718" s="49" t="b">
        <f>IF(OR(VLOOKUP($C718,'#Data'!$B$2:$J$344,4,FALSE)="보스",VLOOKUP($C718,'#Data'!$B$2:$J$344,4,FALSE)="중간"),TRUE,FALSE)</f>
        <v>0</v>
      </c>
      <c r="I718" s="49" t="b">
        <v>0</v>
      </c>
      <c r="J718" s="49">
        <v>10</v>
      </c>
      <c r="K718" s="49">
        <f t="shared" si="23"/>
        <v>10</v>
      </c>
      <c r="L718" s="65" t="s">
        <v>1379</v>
      </c>
      <c r="M718" s="65"/>
      <c r="N718" s="65"/>
      <c r="O718" s="134" t="s">
        <v>2042</v>
      </c>
      <c r="P718" s="135"/>
      <c r="Q718" s="135"/>
      <c r="R718" s="66"/>
      <c r="S718" s="66"/>
      <c r="T718" s="66"/>
      <c r="U718" s="66"/>
      <c r="V718" s="49" t="b">
        <v>0</v>
      </c>
      <c r="W718" s="49" t="str">
        <f>"Character/Prefabs/"&amp;VLOOKUP($C718,'#Data'!$B$3:$I$344,8,FALSE)</f>
        <v>Character/Prefabs/m_s_ranger_polluter_eyeball_2</v>
      </c>
      <c r="X718" s="49"/>
      <c r="Y718" s="49" t="str">
        <f>VLOOKUP($C718,'#Data'!$B$3:$I$344,8,FALSE)</f>
        <v>m_s_ranger_polluter_eyeball_2</v>
      </c>
      <c r="Z718" s="49"/>
      <c r="AA718" s="49"/>
      <c r="AB718" s="49"/>
      <c r="AC718" s="89">
        <v>0.9</v>
      </c>
      <c r="AD718" s="49"/>
      <c r="AE718" s="49"/>
      <c r="AF718" s="49"/>
      <c r="AG718" s="49" t="s">
        <v>2106</v>
      </c>
      <c r="AH718" s="85"/>
    </row>
    <row r="719" spans="1:34" x14ac:dyDescent="0.3">
      <c r="A719" s="49">
        <f t="shared" si="22"/>
        <v>1410206112</v>
      </c>
      <c r="B719" s="49" t="s">
        <v>174</v>
      </c>
      <c r="C719" s="49" t="s">
        <v>1304</v>
      </c>
      <c r="D719" s="49" t="str">
        <f>"Monster.Name."&amp;VLOOKUP($C719,'#Data'!$B$2:$J$344,2,FALSE)</f>
        <v>Monster.Name.polluter_exploder_2</v>
      </c>
      <c r="E719" s="49" t="s">
        <v>43</v>
      </c>
      <c r="F719" s="50" t="s">
        <v>44</v>
      </c>
      <c r="G719" s="49" t="s">
        <v>45</v>
      </c>
      <c r="H719" s="49" t="b">
        <f>IF(OR(VLOOKUP($C719,'#Data'!$B$2:$J$344,4,FALSE)="보스",VLOOKUP($C719,'#Data'!$B$2:$J$344,4,FALSE)="중간"),TRUE,FALSE)</f>
        <v>0</v>
      </c>
      <c r="I719" s="49" t="b">
        <v>0</v>
      </c>
      <c r="J719" s="49">
        <v>10</v>
      </c>
      <c r="K719" s="49">
        <f t="shared" si="23"/>
        <v>10</v>
      </c>
      <c r="L719" s="65" t="s">
        <v>1380</v>
      </c>
      <c r="M719" s="65"/>
      <c r="N719" s="65"/>
      <c r="O719" s="135" t="s">
        <v>1387</v>
      </c>
      <c r="P719" s="134" t="s">
        <v>2043</v>
      </c>
      <c r="Q719" s="135"/>
      <c r="R719" s="66"/>
      <c r="S719" s="66"/>
      <c r="T719" s="66"/>
      <c r="U719" s="66"/>
      <c r="V719" s="49" t="b">
        <v>0</v>
      </c>
      <c r="W719" s="49" t="str">
        <f>"Character/Prefabs/"&amp;VLOOKUP($C719,'#Data'!$B$3:$I$344,8,FALSE)</f>
        <v>Character/Prefabs/m_s_attacker_polluter_exploder_2</v>
      </c>
      <c r="X719" s="49"/>
      <c r="Y719" s="49" t="str">
        <f>VLOOKUP($C719,'#Data'!$B$3:$I$344,8,FALSE)</f>
        <v>m_s_attacker_polluter_exploder_2</v>
      </c>
      <c r="Z719" s="49"/>
      <c r="AA719" s="49"/>
      <c r="AB719" s="49"/>
      <c r="AC719" s="89">
        <v>0.9</v>
      </c>
      <c r="AD719" s="49"/>
      <c r="AE719" s="49"/>
      <c r="AF719" s="49"/>
      <c r="AG719" s="49" t="s">
        <v>2106</v>
      </c>
      <c r="AH719" s="85"/>
    </row>
    <row r="720" spans="1:34" x14ac:dyDescent="0.3">
      <c r="A720" s="49">
        <f t="shared" si="22"/>
        <v>1410206113</v>
      </c>
      <c r="B720" s="49" t="s">
        <v>174</v>
      </c>
      <c r="C720" s="49" t="s">
        <v>1306</v>
      </c>
      <c r="D720" s="49" t="str">
        <f>"Monster.Name."&amp;VLOOKUP($C720,'#Data'!$B$2:$J$344,2,FALSE)</f>
        <v>Monster.Name.polluter_2</v>
      </c>
      <c r="E720" s="49" t="s">
        <v>43</v>
      </c>
      <c r="F720" s="50" t="s">
        <v>44</v>
      </c>
      <c r="G720" s="49" t="s">
        <v>45</v>
      </c>
      <c r="H720" s="49" t="b">
        <f>IF(OR(VLOOKUP($C720,'#Data'!$B$2:$J$344,4,FALSE)="보스",VLOOKUP($C720,'#Data'!$B$2:$J$344,4,FALSE)="중간"),TRUE,FALSE)</f>
        <v>0</v>
      </c>
      <c r="I720" s="49" t="b">
        <v>0</v>
      </c>
      <c r="J720" s="49">
        <v>10</v>
      </c>
      <c r="K720" s="49">
        <f t="shared" si="23"/>
        <v>10</v>
      </c>
      <c r="L720" s="65" t="s">
        <v>1381</v>
      </c>
      <c r="M720" s="65"/>
      <c r="N720" s="65"/>
      <c r="O720" s="135" t="s">
        <v>1388</v>
      </c>
      <c r="P720" s="134" t="s">
        <v>2044</v>
      </c>
      <c r="Q720" s="135"/>
      <c r="R720" s="66"/>
      <c r="S720" s="66"/>
      <c r="T720" s="66"/>
      <c r="U720" s="66"/>
      <c r="V720" s="49" t="b">
        <v>0</v>
      </c>
      <c r="W720" s="49" t="str">
        <f>"Character/Prefabs/"&amp;VLOOKUP($C720,'#Data'!$B$3:$I$344,8,FALSE)</f>
        <v>Character/Prefabs/m_m_attacker_polluter_2</v>
      </c>
      <c r="X720" s="49"/>
      <c r="Y720" s="49" t="str">
        <f>VLOOKUP($C720,'#Data'!$B$3:$I$344,8,FALSE)</f>
        <v>m_m_attacker_polluter_2</v>
      </c>
      <c r="Z720" s="49"/>
      <c r="AA720" s="49"/>
      <c r="AB720" s="49"/>
      <c r="AC720" s="89">
        <v>0.6</v>
      </c>
      <c r="AD720" s="49"/>
      <c r="AE720" s="49"/>
      <c r="AF720" s="49"/>
      <c r="AG720" s="49" t="s">
        <v>2106</v>
      </c>
      <c r="AH720" s="85"/>
    </row>
    <row r="721" spans="1:34" x14ac:dyDescent="0.3">
      <c r="A721" s="49">
        <f t="shared" si="22"/>
        <v>1410206114</v>
      </c>
      <c r="B721" s="49" t="s">
        <v>174</v>
      </c>
      <c r="C721" s="49" t="s">
        <v>1308</v>
      </c>
      <c r="D721" s="49" t="str">
        <f>"Monster.Name."&amp;VLOOKUP($C721,'#Data'!$B$2:$J$344,2,FALSE)</f>
        <v>Monster.Name.polluter_edge_2</v>
      </c>
      <c r="E721" s="49" t="s">
        <v>43</v>
      </c>
      <c r="F721" s="50" t="s">
        <v>44</v>
      </c>
      <c r="G721" s="49" t="s">
        <v>45</v>
      </c>
      <c r="H721" s="49" t="b">
        <f>IF(OR(VLOOKUP($C721,'#Data'!$B$2:$J$344,4,FALSE)="보스",VLOOKUP($C721,'#Data'!$B$2:$J$344,4,FALSE)="중간"),TRUE,FALSE)</f>
        <v>0</v>
      </c>
      <c r="I721" s="49" t="b">
        <v>0</v>
      </c>
      <c r="J721" s="49">
        <v>10</v>
      </c>
      <c r="K721" s="49">
        <f t="shared" si="23"/>
        <v>10</v>
      </c>
      <c r="L721" s="65" t="s">
        <v>1382</v>
      </c>
      <c r="M721" s="65"/>
      <c r="N721" s="65"/>
      <c r="O721" s="135" t="s">
        <v>1389</v>
      </c>
      <c r="P721" s="134" t="s">
        <v>2045</v>
      </c>
      <c r="Q721" s="135"/>
      <c r="R721" s="66"/>
      <c r="S721" s="66"/>
      <c r="T721" s="66"/>
      <c r="U721" s="66"/>
      <c r="V721" s="49" t="b">
        <v>0</v>
      </c>
      <c r="W721" s="49" t="str">
        <f>"Character/Prefabs/"&amp;VLOOKUP($C721,'#Data'!$B$3:$I$344,8,FALSE)</f>
        <v>Character/Prefabs/m_m_attacker_polluter_edge_2</v>
      </c>
      <c r="X721" s="49"/>
      <c r="Y721" s="49" t="str">
        <f>VLOOKUP($C721,'#Data'!$B$3:$I$344,8,FALSE)</f>
        <v>m_m_attacker_polluter_edge_2</v>
      </c>
      <c r="Z721" s="49"/>
      <c r="AA721" s="49"/>
      <c r="AB721" s="49"/>
      <c r="AC721" s="89">
        <v>0.6</v>
      </c>
      <c r="AD721" s="49"/>
      <c r="AE721" s="49"/>
      <c r="AF721" s="49"/>
      <c r="AG721" s="49" t="s">
        <v>2106</v>
      </c>
      <c r="AH721" s="85"/>
    </row>
    <row r="722" spans="1:34" x14ac:dyDescent="0.3">
      <c r="A722" s="49">
        <f t="shared" si="22"/>
        <v>1410206115</v>
      </c>
      <c r="B722" s="49" t="s">
        <v>174</v>
      </c>
      <c r="C722" s="49" t="s">
        <v>1310</v>
      </c>
      <c r="D722" s="49" t="str">
        <f>"Monster.Name."&amp;VLOOKUP($C722,'#Data'!$B$2:$J$344,2,FALSE)</f>
        <v>Monster.Name.polluter_fluid_2</v>
      </c>
      <c r="E722" s="49" t="s">
        <v>47</v>
      </c>
      <c r="F722" s="50" t="s">
        <v>44</v>
      </c>
      <c r="G722" s="49" t="s">
        <v>45</v>
      </c>
      <c r="H722" s="49" t="b">
        <f>IF(OR(VLOOKUP($C722,'#Data'!$B$2:$J$344,4,FALSE)="보스",VLOOKUP($C722,'#Data'!$B$2:$J$344,4,FALSE)="중간"),TRUE,FALSE)</f>
        <v>0</v>
      </c>
      <c r="I722" s="49" t="b">
        <v>0</v>
      </c>
      <c r="J722" s="49">
        <v>10</v>
      </c>
      <c r="K722" s="49">
        <f t="shared" si="23"/>
        <v>10</v>
      </c>
      <c r="L722" s="65" t="s">
        <v>1383</v>
      </c>
      <c r="M722" s="65"/>
      <c r="N722" s="65"/>
      <c r="O722" s="135" t="s">
        <v>1390</v>
      </c>
      <c r="P722" s="134" t="s">
        <v>2046</v>
      </c>
      <c r="Q722" s="135"/>
      <c r="R722" s="66"/>
      <c r="S722" s="66"/>
      <c r="T722" s="66"/>
      <c r="U722" s="66"/>
      <c r="V722" s="49" t="b">
        <v>0</v>
      </c>
      <c r="W722" s="49" t="str">
        <f>"Character/Prefabs/"&amp;VLOOKUP($C722,'#Data'!$B$3:$I$344,8,FALSE)</f>
        <v>Character/Prefabs/m_m_ranger_polluter_fluid_2</v>
      </c>
      <c r="X722" s="49"/>
      <c r="Y722" s="49" t="str">
        <f>VLOOKUP($C722,'#Data'!$B$3:$I$344,8,FALSE)</f>
        <v>m_m_ranger_polluter_fluid_2</v>
      </c>
      <c r="Z722" s="49"/>
      <c r="AA722" s="49"/>
      <c r="AB722" s="49"/>
      <c r="AC722" s="89">
        <v>0.6</v>
      </c>
      <c r="AD722" s="49"/>
      <c r="AE722" s="49"/>
      <c r="AF722" s="49"/>
      <c r="AG722" s="49" t="s">
        <v>2106</v>
      </c>
      <c r="AH722" s="85"/>
    </row>
    <row r="723" spans="1:34" x14ac:dyDescent="0.3">
      <c r="A723" s="49">
        <f t="shared" si="22"/>
        <v>1410206116</v>
      </c>
      <c r="B723" s="49" t="s">
        <v>174</v>
      </c>
      <c r="C723" s="49" t="s">
        <v>1312</v>
      </c>
      <c r="D723" s="49" t="str">
        <f>"Monster.Name."&amp;VLOOKUP($C723,'#Data'!$B$2:$J$344,2,FALSE)</f>
        <v>Monster.Name.polluter_liquid_2</v>
      </c>
      <c r="E723" s="49" t="s">
        <v>47</v>
      </c>
      <c r="F723" s="50" t="s">
        <v>44</v>
      </c>
      <c r="G723" s="49" t="s">
        <v>45</v>
      </c>
      <c r="H723" s="49" t="b">
        <f>IF(OR(VLOOKUP($C723,'#Data'!$B$2:$J$344,4,FALSE)="보스",VLOOKUP($C723,'#Data'!$B$2:$J$344,4,FALSE)="중간"),TRUE,FALSE)</f>
        <v>0</v>
      </c>
      <c r="I723" s="49" t="b">
        <v>0</v>
      </c>
      <c r="J723" s="49">
        <v>10</v>
      </c>
      <c r="K723" s="49">
        <f t="shared" si="23"/>
        <v>10</v>
      </c>
      <c r="L723" s="65" t="s">
        <v>1384</v>
      </c>
      <c r="M723" s="65"/>
      <c r="N723" s="65"/>
      <c r="O723" s="135" t="s">
        <v>1391</v>
      </c>
      <c r="P723" s="134" t="s">
        <v>2047</v>
      </c>
      <c r="Q723" s="135"/>
      <c r="R723" s="66"/>
      <c r="S723" s="66"/>
      <c r="T723" s="66"/>
      <c r="U723" s="66"/>
      <c r="V723" s="49" t="b">
        <v>0</v>
      </c>
      <c r="W723" s="49" t="str">
        <f>"Character/Prefabs/"&amp;VLOOKUP($C723,'#Data'!$B$3:$I$344,8,FALSE)</f>
        <v>Character/Prefabs/m_m_ranger_polluter_liquid_2</v>
      </c>
      <c r="X723" s="49"/>
      <c r="Y723" s="49" t="str">
        <f>VLOOKUP($C723,'#Data'!$B$3:$I$344,8,FALSE)</f>
        <v>m_m_ranger_polluter_liquid_2</v>
      </c>
      <c r="Z723" s="49"/>
      <c r="AA723" s="49"/>
      <c r="AB723" s="49"/>
      <c r="AC723" s="89">
        <v>0.6</v>
      </c>
      <c r="AD723" s="49"/>
      <c r="AE723" s="49"/>
      <c r="AF723" s="49"/>
      <c r="AG723" s="49" t="s">
        <v>2106</v>
      </c>
      <c r="AH723" s="85"/>
    </row>
    <row r="724" spans="1:34" x14ac:dyDescent="0.3">
      <c r="A724" s="49">
        <f t="shared" si="22"/>
        <v>1410206117</v>
      </c>
      <c r="B724" s="49" t="s">
        <v>174</v>
      </c>
      <c r="C724" s="49" t="s">
        <v>1314</v>
      </c>
      <c r="D724" s="49" t="str">
        <f>"Monster.Name."&amp;VLOOKUP($C724,'#Data'!$B$2:$J$344,2,FALSE)</f>
        <v>Monster.Name.polluter_fog_2</v>
      </c>
      <c r="E724" s="49" t="s">
        <v>143</v>
      </c>
      <c r="F724" s="50" t="s">
        <v>44</v>
      </c>
      <c r="G724" s="49" t="s">
        <v>45</v>
      </c>
      <c r="H724" s="49" t="b">
        <f>IF(OR(VLOOKUP($C724,'#Data'!$B$2:$J$344,4,FALSE)="보스",VLOOKUP($C724,'#Data'!$B$2:$J$344,4,FALSE)="중간"),TRUE,FALSE)</f>
        <v>0</v>
      </c>
      <c r="I724" s="49" t="b">
        <v>0</v>
      </c>
      <c r="J724" s="49">
        <v>10</v>
      </c>
      <c r="K724" s="49">
        <f t="shared" si="23"/>
        <v>10</v>
      </c>
      <c r="L724" s="65" t="s">
        <v>1385</v>
      </c>
      <c r="M724" s="65"/>
      <c r="N724" s="65"/>
      <c r="O724" s="135" t="s">
        <v>1392</v>
      </c>
      <c r="P724" s="134" t="s">
        <v>2048</v>
      </c>
      <c r="Q724" s="135"/>
      <c r="R724" s="66"/>
      <c r="S724" s="66"/>
      <c r="T724" s="66"/>
      <c r="U724" s="66"/>
      <c r="V724" s="49" t="b">
        <v>0</v>
      </c>
      <c r="W724" s="49" t="str">
        <f>"Character/Prefabs/"&amp;VLOOKUP($C724,'#Data'!$B$3:$I$344,8,FALSE)</f>
        <v>Character/Prefabs/m_m_supporter_polluter_fog_2</v>
      </c>
      <c r="X724" s="49"/>
      <c r="Y724" s="49" t="str">
        <f>VLOOKUP($C724,'#Data'!$B$3:$I$344,8,FALSE)</f>
        <v>m_m_supporter_polluter_fog_2</v>
      </c>
      <c r="Z724" s="49"/>
      <c r="AA724" s="49"/>
      <c r="AB724" s="49"/>
      <c r="AC724" s="89">
        <v>0.6</v>
      </c>
      <c r="AD724" s="49"/>
      <c r="AE724" s="49"/>
      <c r="AF724" s="49"/>
      <c r="AG724" s="49" t="s">
        <v>2106</v>
      </c>
      <c r="AH724" s="85"/>
    </row>
    <row r="725" spans="1:34" x14ac:dyDescent="0.3">
      <c r="A725" s="49">
        <f t="shared" si="22"/>
        <v>1410206118</v>
      </c>
      <c r="B725" s="49" t="s">
        <v>174</v>
      </c>
      <c r="C725" s="49" t="s">
        <v>1316</v>
      </c>
      <c r="D725" s="49" t="str">
        <f>"Monster.Name."&amp;VLOOKUP($C725,'#Data'!$B$2:$J$344,2,FALSE)</f>
        <v>Monster.Name.polluter_haze_2</v>
      </c>
      <c r="E725" s="49" t="s">
        <v>143</v>
      </c>
      <c r="F725" s="50" t="s">
        <v>44</v>
      </c>
      <c r="G725" s="49" t="s">
        <v>45</v>
      </c>
      <c r="H725" s="49" t="b">
        <f>IF(OR(VLOOKUP($C725,'#Data'!$B$2:$J$344,4,FALSE)="보스",VLOOKUP($C725,'#Data'!$B$2:$J$344,4,FALSE)="중간"),TRUE,FALSE)</f>
        <v>0</v>
      </c>
      <c r="I725" s="49" t="b">
        <v>0</v>
      </c>
      <c r="J725" s="49">
        <v>10</v>
      </c>
      <c r="K725" s="49">
        <f t="shared" si="23"/>
        <v>10</v>
      </c>
      <c r="L725" s="65" t="s">
        <v>1386</v>
      </c>
      <c r="M725" s="65"/>
      <c r="N725" s="65"/>
      <c r="O725" s="135" t="s">
        <v>1393</v>
      </c>
      <c r="P725" s="134" t="s">
        <v>2049</v>
      </c>
      <c r="Q725" s="135"/>
      <c r="R725" s="66"/>
      <c r="S725" s="66"/>
      <c r="T725" s="66"/>
      <c r="U725" s="66"/>
      <c r="V725" s="49" t="b">
        <v>0</v>
      </c>
      <c r="W725" s="49" t="str">
        <f>"Character/Prefabs/"&amp;VLOOKUP($C725,'#Data'!$B$3:$I$344,8,FALSE)</f>
        <v>Character/Prefabs/m_m_supporter_polluter_haze_2</v>
      </c>
      <c r="X725" s="49"/>
      <c r="Y725" s="49" t="str">
        <f>VLOOKUP($C725,'#Data'!$B$3:$I$344,8,FALSE)</f>
        <v>m_m_supporter_polluter_haze_2</v>
      </c>
      <c r="Z725" s="49"/>
      <c r="AA725" s="49"/>
      <c r="AB725" s="49"/>
      <c r="AC725" s="89">
        <v>0.6</v>
      </c>
      <c r="AD725" s="49"/>
      <c r="AE725" s="49"/>
      <c r="AF725" s="49"/>
      <c r="AG725" s="49" t="s">
        <v>2106</v>
      </c>
      <c r="AH725" s="85"/>
    </row>
    <row r="726" spans="1:34" x14ac:dyDescent="0.3">
      <c r="A726" s="12">
        <f t="shared" si="22"/>
        <v>1410206201</v>
      </c>
      <c r="B726" s="12" t="s">
        <v>174</v>
      </c>
      <c r="C726" s="12" t="s">
        <v>184</v>
      </c>
      <c r="D726" s="12" t="str">
        <f>"Monster.Name."&amp;VLOOKUP($C726,'#Data'!$B$2:$J$344,2,FALSE)</f>
        <v>Monster.Name.polluter_chunk_1</v>
      </c>
      <c r="E726" s="12" t="s">
        <v>43</v>
      </c>
      <c r="F726" s="39" t="s">
        <v>44</v>
      </c>
      <c r="G726" s="12" t="s">
        <v>45</v>
      </c>
      <c r="H726" s="12" t="b">
        <f>IF(OR(VLOOKUP($C726,'#Data'!$B$2:$J$344,4,FALSE)="보스",VLOOKUP($C726,'#Data'!$B$2:$J$344,4,FALSE)="중간"),TRUE,FALSE)</f>
        <v>1</v>
      </c>
      <c r="I726" s="12" t="b">
        <v>1</v>
      </c>
      <c r="J726" s="12">
        <v>10</v>
      </c>
      <c r="K726" s="12">
        <f t="shared" si="23"/>
        <v>10</v>
      </c>
      <c r="L726" s="63" t="str">
        <f>$B726&amp;"."&amp;VLOOKUP($C726,'#Data'!$B$2:$J$344,2,FALSE)&amp;".attack0"&amp;RIGHT(L$1,1)</f>
        <v>Sector06.polluter_chunk_1.attack01</v>
      </c>
      <c r="M726" s="63"/>
      <c r="N726" s="63"/>
      <c r="O726" s="134" t="str">
        <f>$B726&amp;"."&amp;VLOOKUP($C726,'#Data'!$B$2:$J$344,2,FALSE)&amp;".skill0"&amp;RIGHT(O$1,1)</f>
        <v>Sector06.polluter_chunk_1.skill01</v>
      </c>
      <c r="P726" s="134" t="str">
        <f>$B726&amp;"."&amp;VLOOKUP($C726,'#Data'!$B$2:$J$344,2,FALSE)&amp;".skill0"&amp;RIGHT(P$1,1)</f>
        <v>Sector06.polluter_chunk_1.skill02</v>
      </c>
      <c r="Q726" s="134" t="str">
        <f>$B726&amp;"."&amp;VLOOKUP($C726,'#Data'!$B$2:$J$344,2,FALSE)&amp;".skill0"&amp;RIGHT(Q$1,1)</f>
        <v>Sector06.polluter_chunk_1.skill03</v>
      </c>
      <c r="R726" s="64"/>
      <c r="S726" s="64" t="s">
        <v>2078</v>
      </c>
      <c r="T726" s="64"/>
      <c r="U726" s="64"/>
      <c r="V726" s="12" t="b">
        <v>0</v>
      </c>
      <c r="W726" s="12" t="str">
        <f>"Character/Prefabs/"&amp;VLOOKUP($C726,'#Data'!$B$3:$I$344,8,FALSE)</f>
        <v>Character/Prefabs/m_l_attacker_polluter_chunk_1</v>
      </c>
      <c r="X726" s="12"/>
      <c r="Y726" s="12" t="str">
        <f>VLOOKUP($C726,'#Data'!$B$3:$I$344,8,FALSE)</f>
        <v>m_l_attacker_polluter_chunk_1</v>
      </c>
      <c r="Z726" s="12"/>
      <c r="AA726" s="12"/>
      <c r="AB726" s="12"/>
      <c r="AC726" s="88">
        <v>1</v>
      </c>
      <c r="AD726" s="12"/>
      <c r="AE726" s="12"/>
      <c r="AF726" s="12"/>
      <c r="AG726" s="12" t="s">
        <v>2106</v>
      </c>
      <c r="AH726" s="85"/>
    </row>
    <row r="727" spans="1:34" x14ac:dyDescent="0.3">
      <c r="A727" s="12">
        <f t="shared" si="22"/>
        <v>1410206202</v>
      </c>
      <c r="B727" s="12" t="s">
        <v>174</v>
      </c>
      <c r="C727" s="12" t="s">
        <v>185</v>
      </c>
      <c r="D727" s="12" t="str">
        <f>"Monster.Name."&amp;VLOOKUP($C727,'#Data'!$B$2:$J$344,2,FALSE)</f>
        <v>Monster.Name.polluter_spike_1</v>
      </c>
      <c r="E727" s="12" t="s">
        <v>43</v>
      </c>
      <c r="F727" s="39" t="s">
        <v>44</v>
      </c>
      <c r="G727" s="12" t="s">
        <v>45</v>
      </c>
      <c r="H727" s="12" t="b">
        <f>IF(OR(VLOOKUP($C727,'#Data'!$B$2:$J$344,4,FALSE)="보스",VLOOKUP($C727,'#Data'!$B$2:$J$344,4,FALSE)="중간"),TRUE,FALSE)</f>
        <v>1</v>
      </c>
      <c r="I727" s="12" t="b">
        <v>1</v>
      </c>
      <c r="J727" s="12">
        <v>10</v>
      </c>
      <c r="K727" s="12">
        <f t="shared" si="23"/>
        <v>10</v>
      </c>
      <c r="L727" s="63" t="str">
        <f>$B727&amp;"."&amp;VLOOKUP($C727,'#Data'!$B$2:$J$344,2,FALSE)&amp;".attack0"&amp;RIGHT(L$1,1)</f>
        <v>Sector06.polluter_spike_1.attack01</v>
      </c>
      <c r="M727" s="63"/>
      <c r="N727" s="63"/>
      <c r="O727" s="134" t="str">
        <f>$B727&amp;"."&amp;VLOOKUP($C727,'#Data'!$B$2:$J$344,2,FALSE)&amp;".skill0"&amp;RIGHT(O$1,1)</f>
        <v>Sector06.polluter_spike_1.skill01</v>
      </c>
      <c r="P727" s="134" t="str">
        <f>$B727&amp;"."&amp;VLOOKUP($C727,'#Data'!$B$2:$J$344,2,FALSE)&amp;".skill0"&amp;RIGHT(P$1,1)</f>
        <v>Sector06.polluter_spike_1.skill02</v>
      </c>
      <c r="Q727" s="134" t="str">
        <f>$B727&amp;"."&amp;VLOOKUP($C727,'#Data'!$B$2:$J$344,2,FALSE)&amp;".skill0"&amp;RIGHT(Q$1,1)</f>
        <v>Sector06.polluter_spike_1.skill03</v>
      </c>
      <c r="R727" s="64"/>
      <c r="S727" s="64" t="s">
        <v>2078</v>
      </c>
      <c r="T727" s="64"/>
      <c r="U727" s="64"/>
      <c r="V727" s="12" t="b">
        <v>0</v>
      </c>
      <c r="W727" s="12" t="str">
        <f>"Character/Prefabs/"&amp;VLOOKUP($C727,'#Data'!$B$3:$I$344,8,FALSE)</f>
        <v>Character/Prefabs/m_l_attacker_polluter_spike_1</v>
      </c>
      <c r="X727" s="12"/>
      <c r="Y727" s="12" t="str">
        <f>VLOOKUP($C727,'#Data'!$B$3:$I$344,8,FALSE)</f>
        <v>m_l_attacker_polluter_spike_1</v>
      </c>
      <c r="Z727" s="12"/>
      <c r="AA727" s="12"/>
      <c r="AB727" s="12"/>
      <c r="AC727" s="88">
        <v>0.7</v>
      </c>
      <c r="AD727" s="12"/>
      <c r="AE727" s="12"/>
      <c r="AF727" s="12"/>
      <c r="AG727" s="12" t="s">
        <v>2106</v>
      </c>
      <c r="AH727" s="85"/>
    </row>
    <row r="728" spans="1:34" x14ac:dyDescent="0.3">
      <c r="A728" s="12">
        <f t="shared" si="22"/>
        <v>1410206203</v>
      </c>
      <c r="B728" s="12" t="s">
        <v>174</v>
      </c>
      <c r="C728" s="12" t="s">
        <v>186</v>
      </c>
      <c r="D728" s="12" t="str">
        <f>"Monster.Name."&amp;VLOOKUP($C728,'#Data'!$B$2:$J$344,2,FALSE)</f>
        <v>Monster.Name.polluter_bloblauncher_1</v>
      </c>
      <c r="E728" s="12" t="s">
        <v>47</v>
      </c>
      <c r="F728" s="39" t="s">
        <v>44</v>
      </c>
      <c r="G728" s="12" t="s">
        <v>45</v>
      </c>
      <c r="H728" s="12" t="b">
        <f>IF(OR(VLOOKUP($C728,'#Data'!$B$2:$J$344,4,FALSE)="보스",VLOOKUP($C728,'#Data'!$B$2:$J$344,4,FALSE)="중간"),TRUE,FALSE)</f>
        <v>1</v>
      </c>
      <c r="I728" s="12" t="b">
        <v>1</v>
      </c>
      <c r="J728" s="12">
        <v>10</v>
      </c>
      <c r="K728" s="12">
        <f t="shared" si="23"/>
        <v>10</v>
      </c>
      <c r="L728" s="63" t="str">
        <f>$B728&amp;"."&amp;VLOOKUP($C728,'#Data'!$B$2:$J$344,2,FALSE)&amp;".attack0"&amp;RIGHT(L$1,1)</f>
        <v>Sector06.polluter_bloblauncher_1.attack01</v>
      </c>
      <c r="M728" s="63"/>
      <c r="N728" s="63"/>
      <c r="O728" s="134" t="str">
        <f>$B728&amp;"."&amp;VLOOKUP($C728,'#Data'!$B$2:$J$344,2,FALSE)&amp;".skill0"&amp;RIGHT(O$1,1)</f>
        <v>Sector06.polluter_bloblauncher_1.skill01</v>
      </c>
      <c r="P728" s="134" t="str">
        <f>$B728&amp;"."&amp;VLOOKUP($C728,'#Data'!$B$2:$J$344,2,FALSE)&amp;".skill0"&amp;RIGHT(P$1,1)</f>
        <v>Sector06.polluter_bloblauncher_1.skill02</v>
      </c>
      <c r="Q728" s="134" t="str">
        <f>$B728&amp;"."&amp;VLOOKUP($C728,'#Data'!$B$2:$J$344,2,FALSE)&amp;".skill0"&amp;RIGHT(Q$1,1)</f>
        <v>Sector06.polluter_bloblauncher_1.skill03</v>
      </c>
      <c r="R728" s="64"/>
      <c r="S728" s="64" t="s">
        <v>2078</v>
      </c>
      <c r="T728" s="64"/>
      <c r="U728" s="64"/>
      <c r="V728" s="12" t="b">
        <v>0</v>
      </c>
      <c r="W728" s="12" t="str">
        <f>"Character/Prefabs/"&amp;VLOOKUP($C728,'#Data'!$B$3:$I$344,8,FALSE)</f>
        <v>Character/Prefabs/m_l_ranger_polluter_bloblauncher_1</v>
      </c>
      <c r="X728" s="12"/>
      <c r="Y728" s="12" t="str">
        <f>VLOOKUP($C728,'#Data'!$B$3:$I$344,8,FALSE)</f>
        <v>m_l_ranger_polluter_bloblauncher_1</v>
      </c>
      <c r="Z728" s="12"/>
      <c r="AA728" s="12"/>
      <c r="AB728" s="12"/>
      <c r="AC728" s="88">
        <v>0.9</v>
      </c>
      <c r="AD728" s="12"/>
      <c r="AE728" s="12"/>
      <c r="AF728" s="12"/>
      <c r="AG728" s="12" t="s">
        <v>2106</v>
      </c>
      <c r="AH728" s="85"/>
    </row>
    <row r="729" spans="1:34" x14ac:dyDescent="0.3">
      <c r="A729" s="108">
        <f t="shared" si="22"/>
        <v>1410206301</v>
      </c>
      <c r="B729" s="108" t="s">
        <v>174</v>
      </c>
      <c r="C729" s="108" t="s">
        <v>187</v>
      </c>
      <c r="D729" s="108" t="str">
        <f>"Monster.Name."&amp;VLOOKUP($C729,'#Data'!$B$2:$J$344,2,FALSE)</f>
        <v>Monster.Name.toxic_1</v>
      </c>
      <c r="E729" s="108" t="s">
        <v>43</v>
      </c>
      <c r="F729" s="109" t="s">
        <v>44</v>
      </c>
      <c r="G729" s="108" t="s">
        <v>45</v>
      </c>
      <c r="H729" s="108" t="b">
        <f>IF(OR(VLOOKUP($C729,'#Data'!$B$2:$J$344,4,FALSE)="보스",VLOOKUP($C729,'#Data'!$B$2:$J$344,4,FALSE)="중간"),TRUE,FALSE)</f>
        <v>1</v>
      </c>
      <c r="I729" s="108" t="b">
        <v>1</v>
      </c>
      <c r="J729" s="108">
        <v>30</v>
      </c>
      <c r="K729" s="108">
        <f t="shared" si="23"/>
        <v>10</v>
      </c>
      <c r="L729" s="113" t="str">
        <f>$B729&amp;"."&amp;VLOOKUP($C729,'#Data'!$B$2:$J$344,2,FALSE)&amp;".attack0"&amp;RIGHT(L$1,1)</f>
        <v>Sector06.toxic_1.attack01</v>
      </c>
      <c r="M729" s="113" t="str">
        <f>$B729&amp;"."&amp;VLOOKUP($C729,'#Data'!$B$2:$J$344,2,FALSE)&amp;".attack0"&amp;RIGHT(M$1,1)</f>
        <v>Sector06.toxic_1.attack02</v>
      </c>
      <c r="N729" s="113"/>
      <c r="O729" s="136" t="str">
        <f>$B729&amp;"."&amp;VLOOKUP($C729,'#Data'!$B$2:$J$344,2,FALSE)&amp;".skill0"&amp;RIGHT(O$1,1)</f>
        <v>Sector06.toxic_1.skill01</v>
      </c>
      <c r="P729" s="136" t="str">
        <f>$B729&amp;"."&amp;VLOOKUP($C729,'#Data'!$B$2:$J$344,2,FALSE)&amp;".skill0"&amp;RIGHT(P$1,1)</f>
        <v>Sector06.toxic_1.skill02</v>
      </c>
      <c r="Q729" s="136" t="str">
        <f>$B729&amp;"."&amp;VLOOKUP($C729,'#Data'!$B$2:$J$344,2,FALSE)&amp;".skill0"&amp;RIGHT(Q$1,1)</f>
        <v>Sector06.toxic_1.skill03</v>
      </c>
      <c r="R729" s="114" t="s">
        <v>1400</v>
      </c>
      <c r="S729" s="114" t="s">
        <v>1401</v>
      </c>
      <c r="T729" s="114"/>
      <c r="U729" s="114"/>
      <c r="V729" s="108" t="b">
        <v>0</v>
      </c>
      <c r="W729" s="108" t="str">
        <f>"Character/Prefabs/"&amp;VLOOKUP($C729,'#Data'!$B$3:$I$344,8,FALSE)</f>
        <v>Character/Prefabs/m_boss_attacker_toxic_1</v>
      </c>
      <c r="X729" s="108"/>
      <c r="Y729" s="108" t="str">
        <f>VLOOKUP($C729,'#Data'!$B$3:$I$344,8,FALSE)</f>
        <v>m_boss_attacker_toxic_1</v>
      </c>
      <c r="Z729" s="108"/>
      <c r="AA729" s="108"/>
      <c r="AB729" s="108"/>
      <c r="AC729" s="111">
        <v>0.9</v>
      </c>
      <c r="AD729" s="108"/>
      <c r="AE729" s="108" t="s">
        <v>188</v>
      </c>
      <c r="AF729" s="108" t="s">
        <v>189</v>
      </c>
      <c r="AG729" s="108" t="s">
        <v>2106</v>
      </c>
      <c r="AH729" s="85"/>
    </row>
    <row r="730" spans="1:34" x14ac:dyDescent="0.3">
      <c r="A730" s="108">
        <f t="shared" si="22"/>
        <v>1410206302</v>
      </c>
      <c r="B730" s="108" t="s">
        <v>174</v>
      </c>
      <c r="C730" s="108" t="s">
        <v>1399</v>
      </c>
      <c r="D730" s="108" t="str">
        <f>"Monster.Name."&amp;VLOOKUP($C730,'#Data'!$B$2:$J$344,2,FALSE)</f>
        <v>Monster.Name.toxic_3</v>
      </c>
      <c r="E730" s="108" t="s">
        <v>43</v>
      </c>
      <c r="F730" s="109" t="s">
        <v>44</v>
      </c>
      <c r="G730" s="108" t="s">
        <v>45</v>
      </c>
      <c r="H730" s="108" t="b">
        <f>IF(OR(VLOOKUP($C730,'#Data'!$B$2:$J$344,4,FALSE)="보스",VLOOKUP($C730,'#Data'!$B$2:$J$344,4,FALSE)="중간"),TRUE,FALSE)</f>
        <v>1</v>
      </c>
      <c r="I730" s="108" t="b">
        <v>1</v>
      </c>
      <c r="J730" s="108">
        <v>30</v>
      </c>
      <c r="K730" s="108">
        <f t="shared" si="23"/>
        <v>10</v>
      </c>
      <c r="L730" s="113" t="str">
        <f>$B730&amp;"."&amp;VLOOKUP($C730,'#Data'!$B$2:$J$344,2,FALSE)&amp;".attack0"&amp;RIGHT(L$1,1)</f>
        <v>Sector06.toxic_3.attack01</v>
      </c>
      <c r="M730" s="113" t="str">
        <f>$B730&amp;"."&amp;VLOOKUP($C730,'#Data'!$B$2:$J$344,2,FALSE)&amp;".attack0"&amp;RIGHT(M$1,1)</f>
        <v>Sector06.toxic_3.attack02</v>
      </c>
      <c r="N730" s="113"/>
      <c r="O730" s="136" t="str">
        <f>$B730&amp;"."&amp;VLOOKUP($C730,'#Data'!$B$2:$J$344,2,FALSE)&amp;".skill0"&amp;RIGHT(O$1,1)</f>
        <v>Sector06.toxic_3.skill01</v>
      </c>
      <c r="P730" s="136" t="str">
        <f>$B730&amp;"."&amp;VLOOKUP($C730,'#Data'!$B$2:$J$344,2,FALSE)&amp;".skill0"&amp;RIGHT(P$1,1)</f>
        <v>Sector06.toxic_3.skill02</v>
      </c>
      <c r="Q730" s="136" t="str">
        <f>$B730&amp;"."&amp;VLOOKUP($C730,'#Data'!$B$2:$J$344,2,FALSE)&amp;".skill0"&amp;RIGHT(Q$1,1)</f>
        <v>Sector06.toxic_3.skill03</v>
      </c>
      <c r="R730" s="114" t="s">
        <v>1413</v>
      </c>
      <c r="S730" s="114" t="s">
        <v>1414</v>
      </c>
      <c r="T730" s="114"/>
      <c r="U730" s="114"/>
      <c r="V730" s="108" t="b">
        <v>0</v>
      </c>
      <c r="W730" s="165" t="str">
        <f>"Character/Prefabs/"&amp;VLOOKUP($C730,'#Data'!$B$3:$I$344,8,FALSE)</f>
        <v>Character/Prefabs/m_boss_attacker_toxic_3</v>
      </c>
      <c r="X730" s="165"/>
      <c r="Y730" s="165" t="str">
        <f>VLOOKUP($C730,'#Data'!$B$3:$I$344,8,FALSE)</f>
        <v>m_boss_attacker_toxic_3</v>
      </c>
      <c r="Z730" s="108"/>
      <c r="AA730" s="108"/>
      <c r="AB730" s="108"/>
      <c r="AC730" s="111">
        <v>1.1000000000000001</v>
      </c>
      <c r="AD730" s="108"/>
      <c r="AE730" s="108" t="s">
        <v>2082</v>
      </c>
      <c r="AF730" s="108" t="s">
        <v>2099</v>
      </c>
      <c r="AG730" s="108" t="s">
        <v>2106</v>
      </c>
      <c r="AH730" s="85"/>
    </row>
    <row r="731" spans="1:34" x14ac:dyDescent="0.3">
      <c r="A731" s="41">
        <f t="shared" si="22"/>
        <v>1410207101</v>
      </c>
      <c r="B731" s="41" t="s">
        <v>190</v>
      </c>
      <c r="C731" s="41" t="s">
        <v>191</v>
      </c>
      <c r="D731" s="41" t="str">
        <f>"Monster.Name."&amp;VLOOKUP($C731,'#Data'!$B$2:$J$344,2,FALSE)</f>
        <v>Monster.Name.clock_clawdog_1</v>
      </c>
      <c r="E731" s="41" t="s">
        <v>43</v>
      </c>
      <c r="F731" s="42" t="s">
        <v>44</v>
      </c>
      <c r="G731" s="41" t="s">
        <v>45</v>
      </c>
      <c r="H731" s="41" t="b">
        <f>IF(OR(VLOOKUP($C731,'#Data'!$B$2:$J$344,4,FALSE)="보스",VLOOKUP($C731,'#Data'!$B$2:$J$344,4,FALSE)="중간"),TRUE,FALSE)</f>
        <v>0</v>
      </c>
      <c r="I731" s="41" t="b">
        <v>0</v>
      </c>
      <c r="J731" s="41">
        <v>10</v>
      </c>
      <c r="K731" s="41">
        <f t="shared" si="23"/>
        <v>10</v>
      </c>
      <c r="L731" s="67" t="str">
        <f>$B731&amp;"."&amp;VLOOKUP($C731,'#Data'!$B$2:$J$344,2,FALSE)&amp;".attack0"&amp;RIGHT(L$1,1)</f>
        <v>Sector07.clock_clawdog_1.attack01</v>
      </c>
      <c r="M731" s="67"/>
      <c r="N731" s="67"/>
      <c r="O731" s="137" t="s">
        <v>2050</v>
      </c>
      <c r="P731" s="137"/>
      <c r="Q731" s="137"/>
      <c r="R731" s="68"/>
      <c r="S731" s="68"/>
      <c r="T731" s="68"/>
      <c r="U731" s="68"/>
      <c r="V731" s="41" t="b">
        <v>0</v>
      </c>
      <c r="W731" s="41" t="str">
        <f>"Character/Prefabs/"&amp;VLOOKUP($C731,'#Data'!$B$3:$I$344,8,FALSE)</f>
        <v>Character/Prefabs/m_s_attacker_clock_clawdog_1</v>
      </c>
      <c r="X731" s="41"/>
      <c r="Y731" s="41" t="str">
        <f>VLOOKUP($C731,'#Data'!$B$3:$I$344,8,FALSE)</f>
        <v>m_s_attacker_clock_clawdog_1</v>
      </c>
      <c r="Z731" s="41"/>
      <c r="AA731" s="41"/>
      <c r="AB731" s="41"/>
      <c r="AC731" s="90">
        <v>0.9</v>
      </c>
      <c r="AD731" s="41"/>
      <c r="AE731" s="41"/>
      <c r="AF731" s="41"/>
      <c r="AG731" s="41" t="s">
        <v>2106</v>
      </c>
      <c r="AH731" s="85"/>
    </row>
    <row r="732" spans="1:34" x14ac:dyDescent="0.3">
      <c r="A732" s="41">
        <f t="shared" si="22"/>
        <v>1410207102</v>
      </c>
      <c r="B732" s="41" t="s">
        <v>190</v>
      </c>
      <c r="C732" s="41" t="s">
        <v>192</v>
      </c>
      <c r="D732" s="41" t="str">
        <f>"Monster.Name."&amp;VLOOKUP($C732,'#Data'!$B$2:$J$344,2,FALSE)</f>
        <v>Monster.Name.clock_flamedog_1</v>
      </c>
      <c r="E732" s="41" t="s">
        <v>47</v>
      </c>
      <c r="F732" s="42" t="s">
        <v>44</v>
      </c>
      <c r="G732" s="41" t="s">
        <v>45</v>
      </c>
      <c r="H732" s="41" t="b">
        <f>IF(OR(VLOOKUP($C732,'#Data'!$B$2:$J$344,4,FALSE)="보스",VLOOKUP($C732,'#Data'!$B$2:$J$344,4,FALSE)="중간"),TRUE,FALSE)</f>
        <v>0</v>
      </c>
      <c r="I732" s="41" t="b">
        <v>0</v>
      </c>
      <c r="J732" s="41">
        <v>10</v>
      </c>
      <c r="K732" s="41">
        <f t="shared" si="23"/>
        <v>10</v>
      </c>
      <c r="L732" s="67" t="str">
        <f>$B732&amp;"."&amp;VLOOKUP($C732,'#Data'!$B$2:$J$344,2,FALSE)&amp;".attack0"&amp;RIGHT(L$1,1)</f>
        <v>Sector07.clock_flamedog_1.attack01</v>
      </c>
      <c r="M732" s="67"/>
      <c r="N732" s="67"/>
      <c r="O732" s="137" t="s">
        <v>2051</v>
      </c>
      <c r="P732" s="137"/>
      <c r="Q732" s="137"/>
      <c r="R732" s="68"/>
      <c r="S732" s="68"/>
      <c r="T732" s="68"/>
      <c r="U732" s="68"/>
      <c r="V732" s="41" t="b">
        <v>0</v>
      </c>
      <c r="W732" s="41" t="str">
        <f>"Character/Prefabs/"&amp;VLOOKUP($C732,'#Data'!$B$3:$I$344,8,FALSE)</f>
        <v>Character/Prefabs/m_s_ranger_clock_flamedog_1</v>
      </c>
      <c r="X732" s="41"/>
      <c r="Y732" s="41" t="str">
        <f>VLOOKUP($C732,'#Data'!$B$3:$I$344,8,FALSE)</f>
        <v>m_s_ranger_clock_flamedog_1</v>
      </c>
      <c r="Z732" s="41"/>
      <c r="AA732" s="41"/>
      <c r="AB732" s="41"/>
      <c r="AC732" s="90">
        <v>0.9</v>
      </c>
      <c r="AD732" s="41"/>
      <c r="AE732" s="41"/>
      <c r="AF732" s="41"/>
      <c r="AG732" s="41" t="s">
        <v>2106</v>
      </c>
      <c r="AH732" s="85"/>
    </row>
    <row r="733" spans="1:34" x14ac:dyDescent="0.3">
      <c r="A733" s="41">
        <f t="shared" si="22"/>
        <v>1410207103</v>
      </c>
      <c r="B733" s="41" t="s">
        <v>190</v>
      </c>
      <c r="C733" s="41" t="s">
        <v>193</v>
      </c>
      <c r="D733" s="41" t="str">
        <f>"Monster.Name."&amp;VLOOKUP($C733,'#Data'!$B$2:$J$344,2,FALSE)</f>
        <v>Monster.Name.clock_spear_1</v>
      </c>
      <c r="E733" s="41" t="s">
        <v>43</v>
      </c>
      <c r="F733" s="42" t="s">
        <v>44</v>
      </c>
      <c r="G733" s="41" t="s">
        <v>45</v>
      </c>
      <c r="H733" s="41" t="b">
        <f>IF(OR(VLOOKUP($C733,'#Data'!$B$2:$J$344,4,FALSE)="보스",VLOOKUP($C733,'#Data'!$B$2:$J$344,4,FALSE)="중간"),TRUE,FALSE)</f>
        <v>0</v>
      </c>
      <c r="I733" s="41" t="b">
        <v>0</v>
      </c>
      <c r="J733" s="41">
        <v>10</v>
      </c>
      <c r="K733" s="41">
        <f t="shared" si="23"/>
        <v>10</v>
      </c>
      <c r="L733" s="67" t="str">
        <f>$B733&amp;"."&amp;VLOOKUP($C733,'#Data'!$B$2:$J$344,2,FALSE)&amp;".attack0"&amp;RIGHT(L$1,1)</f>
        <v>Sector07.clock_spear_1.attack01</v>
      </c>
      <c r="M733" s="67"/>
      <c r="N733" s="67"/>
      <c r="O733" s="137" t="str">
        <f>$B733&amp;"."&amp;VLOOKUP($C733,'#Data'!$B$2:$J$344,2,FALSE)&amp;".skill0"&amp;RIGHT(O$1,1)</f>
        <v>Sector07.clock_spear_1.skill01</v>
      </c>
      <c r="P733" s="137" t="s">
        <v>2052</v>
      </c>
      <c r="Q733" s="137"/>
      <c r="R733" s="68"/>
      <c r="S733" s="68"/>
      <c r="T733" s="68"/>
      <c r="U733" s="68"/>
      <c r="V733" s="41" t="b">
        <v>0</v>
      </c>
      <c r="W733" s="41" t="str">
        <f>"Character/Prefabs/"&amp;VLOOKUP($C733,'#Data'!$B$3:$I$344,8,FALSE)</f>
        <v>Character/Prefabs/m_m_attacker_clock_spear_1</v>
      </c>
      <c r="X733" s="41"/>
      <c r="Y733" s="41" t="str">
        <f>VLOOKUP($C733,'#Data'!$B$3:$I$344,8,FALSE)</f>
        <v>m_m_attacker_clock_spear_1</v>
      </c>
      <c r="Z733" s="41"/>
      <c r="AA733" s="41"/>
      <c r="AB733" s="41"/>
      <c r="AC733" s="90">
        <v>0.9</v>
      </c>
      <c r="AD733" s="41"/>
      <c r="AE733" s="41"/>
      <c r="AF733" s="41"/>
      <c r="AG733" s="41" t="s">
        <v>2106</v>
      </c>
      <c r="AH733" s="85"/>
    </row>
    <row r="734" spans="1:34" x14ac:dyDescent="0.3">
      <c r="A734" s="41">
        <f t="shared" si="22"/>
        <v>1410207104</v>
      </c>
      <c r="B734" s="41" t="s">
        <v>190</v>
      </c>
      <c r="C734" s="41" t="s">
        <v>194</v>
      </c>
      <c r="D734" s="41" t="str">
        <f>"Monster.Name."&amp;VLOOKUP($C734,'#Data'!$B$2:$J$344,2,FALSE)</f>
        <v>Monster.Name.clock_squire_1</v>
      </c>
      <c r="E734" s="41" t="s">
        <v>47</v>
      </c>
      <c r="F734" s="42" t="s">
        <v>44</v>
      </c>
      <c r="G734" s="41" t="s">
        <v>45</v>
      </c>
      <c r="H734" s="41" t="b">
        <f>IF(OR(VLOOKUP($C734,'#Data'!$B$2:$J$344,4,FALSE)="보스",VLOOKUP($C734,'#Data'!$B$2:$J$344,4,FALSE)="중간"),TRUE,FALSE)</f>
        <v>0</v>
      </c>
      <c r="I734" s="41" t="b">
        <v>0</v>
      </c>
      <c r="J734" s="41">
        <v>10</v>
      </c>
      <c r="K734" s="41">
        <f t="shared" si="23"/>
        <v>10</v>
      </c>
      <c r="L734" s="67" t="str">
        <f>$B734&amp;"."&amp;VLOOKUP($C734,'#Data'!$B$2:$J$344,2,FALSE)&amp;".attack0"&amp;RIGHT(L$1,1)</f>
        <v>Sector07.clock_squire_1.attack01</v>
      </c>
      <c r="M734" s="67"/>
      <c r="N734" s="67"/>
      <c r="O734" s="137" t="str">
        <f>$B734&amp;"."&amp;VLOOKUP($C734,'#Data'!$B$2:$J$344,2,FALSE)&amp;".skill0"&amp;RIGHT(O$1,1)</f>
        <v>Sector07.clock_squire_1.skill01</v>
      </c>
      <c r="P734" s="137" t="s">
        <v>2053</v>
      </c>
      <c r="Q734" s="137"/>
      <c r="R734" s="68"/>
      <c r="S734" s="68"/>
      <c r="T734" s="68"/>
      <c r="U734" s="68"/>
      <c r="V734" s="41" t="b">
        <v>0</v>
      </c>
      <c r="W734" s="41" t="str">
        <f>"Character/Prefabs/"&amp;VLOOKUP($C734,'#Data'!$B$3:$I$344,8,FALSE)</f>
        <v>Character/Prefabs/m_m_ranger_clock_squire_1</v>
      </c>
      <c r="X734" s="41"/>
      <c r="Y734" s="41" t="str">
        <f>VLOOKUP($C734,'#Data'!$B$3:$I$344,8,FALSE)</f>
        <v>m_m_ranger_clock_squire_1</v>
      </c>
      <c r="Z734" s="41"/>
      <c r="AA734" s="41"/>
      <c r="AB734" s="41"/>
      <c r="AC734" s="90">
        <v>0.9</v>
      </c>
      <c r="AD734" s="41"/>
      <c r="AE734" s="41"/>
      <c r="AF734" s="41"/>
      <c r="AG734" s="41" t="s">
        <v>2106</v>
      </c>
      <c r="AH734" s="85"/>
    </row>
    <row r="735" spans="1:34" x14ac:dyDescent="0.3">
      <c r="A735" s="41">
        <f t="shared" si="22"/>
        <v>1410207105</v>
      </c>
      <c r="B735" s="41" t="s">
        <v>190</v>
      </c>
      <c r="C735" s="41" t="s">
        <v>195</v>
      </c>
      <c r="D735" s="41" t="str">
        <f>"Monster.Name."&amp;VLOOKUP($C735,'#Data'!$B$2:$J$344,2,FALSE)</f>
        <v>Monster.Name.clock_crossbow_1</v>
      </c>
      <c r="E735" s="41" t="s">
        <v>47</v>
      </c>
      <c r="F735" s="42" t="s">
        <v>44</v>
      </c>
      <c r="G735" s="41" t="s">
        <v>45</v>
      </c>
      <c r="H735" s="41" t="b">
        <f>IF(OR(VLOOKUP($C735,'#Data'!$B$2:$J$344,4,FALSE)="보스",VLOOKUP($C735,'#Data'!$B$2:$J$344,4,FALSE)="중간"),TRUE,FALSE)</f>
        <v>0</v>
      </c>
      <c r="I735" s="41" t="b">
        <v>0</v>
      </c>
      <c r="J735" s="41">
        <v>10</v>
      </c>
      <c r="K735" s="41">
        <f t="shared" si="23"/>
        <v>10</v>
      </c>
      <c r="L735" s="67" t="str">
        <f>$B735&amp;"."&amp;VLOOKUP($C735,'#Data'!$B$2:$J$344,2,FALSE)&amp;".attack0"&amp;RIGHT(L$1,1)</f>
        <v>Sector07.clock_crossbow_1.attack01</v>
      </c>
      <c r="M735" s="67"/>
      <c r="N735" s="67"/>
      <c r="O735" s="137" t="str">
        <f>$B735&amp;"."&amp;VLOOKUP($C735,'#Data'!$B$2:$J$344,2,FALSE)&amp;".skill0"&amp;RIGHT(O$1,1)</f>
        <v>Sector07.clock_crossbow_1.skill01</v>
      </c>
      <c r="P735" s="137" t="s">
        <v>2054</v>
      </c>
      <c r="Q735" s="137"/>
      <c r="R735" s="68"/>
      <c r="S735" s="68"/>
      <c r="T735" s="68"/>
      <c r="U735" s="68"/>
      <c r="V735" s="41" t="b">
        <v>0</v>
      </c>
      <c r="W735" s="41" t="str">
        <f>"Character/Prefabs/"&amp;VLOOKUP($C735,'#Data'!$B$3:$I$344,8,FALSE)</f>
        <v>Character/Prefabs/m_m_ranger_clock_crossbow_1</v>
      </c>
      <c r="X735" s="41"/>
      <c r="Y735" s="41" t="str">
        <f>VLOOKUP($C735,'#Data'!$B$3:$I$344,8,FALSE)</f>
        <v>m_m_ranger_clock_crossbow_1</v>
      </c>
      <c r="Z735" s="41"/>
      <c r="AA735" s="41"/>
      <c r="AB735" s="41"/>
      <c r="AC735" s="90">
        <v>0.9</v>
      </c>
      <c r="AD735" s="41"/>
      <c r="AE735" s="41"/>
      <c r="AF735" s="41"/>
      <c r="AG735" s="41" t="s">
        <v>2106</v>
      </c>
      <c r="AH735" s="85"/>
    </row>
    <row r="736" spans="1:34" x14ac:dyDescent="0.3">
      <c r="A736" s="41">
        <f t="shared" si="22"/>
        <v>1410207106</v>
      </c>
      <c r="B736" s="41" t="s">
        <v>190</v>
      </c>
      <c r="C736" s="41" t="s">
        <v>196</v>
      </c>
      <c r="D736" s="41" t="str">
        <f>"Monster.Name."&amp;VLOOKUP($C736,'#Data'!$B$2:$J$344,2,FALSE)</f>
        <v>Monster.Name.clock_shield_1</v>
      </c>
      <c r="E736" s="41" t="s">
        <v>43</v>
      </c>
      <c r="F736" s="42" t="s">
        <v>44</v>
      </c>
      <c r="G736" s="41" t="s">
        <v>45</v>
      </c>
      <c r="H736" s="41" t="b">
        <f>IF(OR(VLOOKUP($C736,'#Data'!$B$2:$J$344,4,FALSE)="보스",VLOOKUP($C736,'#Data'!$B$2:$J$344,4,FALSE)="중간"),TRUE,FALSE)</f>
        <v>0</v>
      </c>
      <c r="I736" s="41" t="b">
        <v>0</v>
      </c>
      <c r="J736" s="41">
        <v>10</v>
      </c>
      <c r="K736" s="41">
        <f t="shared" si="23"/>
        <v>10</v>
      </c>
      <c r="L736" s="67" t="str">
        <f>$B736&amp;"."&amp;VLOOKUP($C736,'#Data'!$B$2:$J$344,2,FALSE)&amp;".attack0"&amp;RIGHT(L$1,1)</f>
        <v>Sector07.clock_shield_1.attack01</v>
      </c>
      <c r="M736" s="67"/>
      <c r="N736" s="67"/>
      <c r="O736" s="137" t="str">
        <f>$B736&amp;"."&amp;VLOOKUP($C736,'#Data'!$B$2:$J$344,2,FALSE)&amp;".skill0"&amp;RIGHT(O$1,1)</f>
        <v>Sector07.clock_shield_1.skill01</v>
      </c>
      <c r="P736" s="137" t="s">
        <v>2055</v>
      </c>
      <c r="Q736" s="137"/>
      <c r="R736" s="68"/>
      <c r="S736" s="68"/>
      <c r="T736" s="68"/>
      <c r="U736" s="68"/>
      <c r="V736" s="41" t="b">
        <v>0</v>
      </c>
      <c r="W736" s="41" t="str">
        <f>"Character/Prefabs/"&amp;VLOOKUP($C736,'#Data'!$B$3:$I$344,8,FALSE)</f>
        <v>Character/Prefabs/m_m_attacker_clock_shield_1</v>
      </c>
      <c r="X736" s="41"/>
      <c r="Y736" s="41" t="str">
        <f>VLOOKUP($C736,'#Data'!$B$3:$I$344,8,FALSE)</f>
        <v>m_m_attacker_clock_shield_1</v>
      </c>
      <c r="Z736" s="41"/>
      <c r="AA736" s="41"/>
      <c r="AB736" s="41"/>
      <c r="AC736" s="90">
        <v>0.9</v>
      </c>
      <c r="AD736" s="41"/>
      <c r="AE736" s="41"/>
      <c r="AF736" s="41"/>
      <c r="AG736" s="41" t="s">
        <v>2106</v>
      </c>
      <c r="AH736" s="85"/>
    </row>
    <row r="737" spans="1:34" x14ac:dyDescent="0.3">
      <c r="A737" s="41">
        <f t="shared" si="22"/>
        <v>1410207107</v>
      </c>
      <c r="B737" s="41" t="s">
        <v>190</v>
      </c>
      <c r="C737" s="41" t="s">
        <v>197</v>
      </c>
      <c r="D737" s="41" t="str">
        <f>"Monster.Name."&amp;VLOOKUP($C737,'#Data'!$B$2:$J$344,2,FALSE)</f>
        <v>Monster.Name.clock_clown_1</v>
      </c>
      <c r="E737" s="41" t="s">
        <v>47</v>
      </c>
      <c r="F737" s="42" t="s">
        <v>44</v>
      </c>
      <c r="G737" s="41" t="s">
        <v>45</v>
      </c>
      <c r="H737" s="41" t="b">
        <f>IF(OR(VLOOKUP($C737,'#Data'!$B$2:$J$344,4,FALSE)="보스",VLOOKUP($C737,'#Data'!$B$2:$J$344,4,FALSE)="중간"),TRUE,FALSE)</f>
        <v>0</v>
      </c>
      <c r="I737" s="41" t="b">
        <v>0</v>
      </c>
      <c r="J737" s="41">
        <v>10</v>
      </c>
      <c r="K737" s="41">
        <f t="shared" si="23"/>
        <v>10</v>
      </c>
      <c r="L737" s="67" t="str">
        <f>$B737&amp;"."&amp;VLOOKUP($C737,'#Data'!$B$2:$J$344,2,FALSE)&amp;".attack0"&amp;RIGHT(L$1,1)</f>
        <v>Sector07.clock_clown_1.attack01</v>
      </c>
      <c r="M737" s="67"/>
      <c r="N737" s="67"/>
      <c r="O737" s="137" t="str">
        <f>$B737&amp;"."&amp;VLOOKUP($C737,'#Data'!$B$2:$J$344,2,FALSE)&amp;".skill0"&amp;RIGHT(O$1,1)</f>
        <v>Sector07.clock_clown_1.skill01</v>
      </c>
      <c r="P737" s="137" t="s">
        <v>2056</v>
      </c>
      <c r="Q737" s="137"/>
      <c r="R737" s="68"/>
      <c r="S737" s="68"/>
      <c r="T737" s="68"/>
      <c r="U737" s="68"/>
      <c r="V737" s="41" t="b">
        <v>0</v>
      </c>
      <c r="W737" s="41" t="str">
        <f>"Character/Prefabs/"&amp;VLOOKUP($C737,'#Data'!$B$3:$I$344,8,FALSE)</f>
        <v>Character/Prefabs/m_m_ranger_clock_clown_1</v>
      </c>
      <c r="X737" s="41"/>
      <c r="Y737" s="41" t="str">
        <f>VLOOKUP($C737,'#Data'!$B$3:$I$344,8,FALSE)</f>
        <v>m_m_ranger_clock_clown_1</v>
      </c>
      <c r="Z737" s="41"/>
      <c r="AA737" s="41"/>
      <c r="AB737" s="41"/>
      <c r="AC737" s="90">
        <v>0.9</v>
      </c>
      <c r="AD737" s="41"/>
      <c r="AE737" s="41"/>
      <c r="AF737" s="41"/>
      <c r="AG737" s="41" t="s">
        <v>2106</v>
      </c>
      <c r="AH737" s="85"/>
    </row>
    <row r="738" spans="1:34" x14ac:dyDescent="0.3">
      <c r="A738" s="41">
        <f t="shared" si="22"/>
        <v>1410207108</v>
      </c>
      <c r="B738" s="41" t="s">
        <v>190</v>
      </c>
      <c r="C738" s="41" t="s">
        <v>198</v>
      </c>
      <c r="D738" s="41" t="str">
        <f>"Monster.Name."&amp;VLOOKUP($C738,'#Data'!$B$2:$J$344,2,FALSE)</f>
        <v>Monster.Name.clock_draftee_1</v>
      </c>
      <c r="E738" s="41" t="s">
        <v>43</v>
      </c>
      <c r="F738" s="42" t="s">
        <v>44</v>
      </c>
      <c r="G738" s="41" t="s">
        <v>45</v>
      </c>
      <c r="H738" s="41" t="b">
        <f>IF(OR(VLOOKUP($C738,'#Data'!$B$2:$J$344,4,FALSE)="보스",VLOOKUP($C738,'#Data'!$B$2:$J$344,4,FALSE)="중간"),TRUE,FALSE)</f>
        <v>0</v>
      </c>
      <c r="I738" s="41" t="b">
        <v>0</v>
      </c>
      <c r="J738" s="41">
        <v>10</v>
      </c>
      <c r="K738" s="41">
        <f t="shared" si="23"/>
        <v>10</v>
      </c>
      <c r="L738" s="67"/>
      <c r="M738" s="67"/>
      <c r="N738" s="67"/>
      <c r="O738" s="137" t="str">
        <f>$B738&amp;"."&amp;VLOOKUP($C738,'#Data'!$B$2:$J$344,2,FALSE)&amp;".skill0"&amp;RIGHT(O$1,1)</f>
        <v>Sector07.clock_draftee_1.skill01</v>
      </c>
      <c r="P738" s="137"/>
      <c r="Q738" s="137"/>
      <c r="R738" s="68"/>
      <c r="S738" s="68" t="s">
        <v>199</v>
      </c>
      <c r="T738" s="68"/>
      <c r="U738" s="68"/>
      <c r="V738" s="41" t="b">
        <v>0</v>
      </c>
      <c r="W738" s="41" t="str">
        <f>"Character/Prefabs/"&amp;VLOOKUP($C738,'#Data'!$B$3:$I$344,8,FALSE)</f>
        <v>Character/Prefabs/m_m_attacker_clock_draftee_1</v>
      </c>
      <c r="X738" s="41"/>
      <c r="Y738" s="41" t="str">
        <f>VLOOKUP($C738,'#Data'!$B$3:$I$344,8,FALSE)</f>
        <v>m_m_attacker_clock_draftee_1</v>
      </c>
      <c r="Z738" s="41"/>
      <c r="AA738" s="41"/>
      <c r="AB738" s="41"/>
      <c r="AC738" s="90">
        <v>0.9</v>
      </c>
      <c r="AD738" s="41"/>
      <c r="AE738" s="41"/>
      <c r="AF738" s="41"/>
      <c r="AG738" s="41" t="s">
        <v>2106</v>
      </c>
      <c r="AH738" s="85"/>
    </row>
    <row r="739" spans="1:34" x14ac:dyDescent="0.3">
      <c r="A739" s="41">
        <f t="shared" si="22"/>
        <v>1410207109</v>
      </c>
      <c r="B739" s="41" t="s">
        <v>190</v>
      </c>
      <c r="C739" s="41" t="s">
        <v>200</v>
      </c>
      <c r="D739" s="41" t="str">
        <f>"Monster.Name."&amp;VLOOKUP($C739,'#Data'!$B$2:$J$344,2,FALSE)</f>
        <v>Monster.Name.clock_honor_knight_1</v>
      </c>
      <c r="E739" s="41" t="s">
        <v>43</v>
      </c>
      <c r="F739" s="42" t="s">
        <v>44</v>
      </c>
      <c r="G739" s="41" t="s">
        <v>45</v>
      </c>
      <c r="H739" s="41" t="b">
        <f>IF(OR(VLOOKUP($C739,'#Data'!$B$2:$J$344,4,FALSE)="보스",VLOOKUP($C739,'#Data'!$B$2:$J$344,4,FALSE)="중간"),TRUE,FALSE)</f>
        <v>0</v>
      </c>
      <c r="I739" s="41" t="b">
        <v>0</v>
      </c>
      <c r="J739" s="41">
        <v>10</v>
      </c>
      <c r="K739" s="41">
        <f t="shared" si="23"/>
        <v>10</v>
      </c>
      <c r="L739" s="67" t="str">
        <f>$B739&amp;"."&amp;VLOOKUP($C739,'#Data'!$B$2:$J$344,2,FALSE)&amp;".attack0"&amp;RIGHT(L$1,1)</f>
        <v>Sector07.clock_honor_knight_1.attack01</v>
      </c>
      <c r="M739" s="67" t="str">
        <f>$B739&amp;"."&amp;VLOOKUP($C739,'#Data'!$B$2:$J$344,2,FALSE)&amp;".attack0"&amp;RIGHT(M$1,1)</f>
        <v>Sector07.clock_honor_knight_1.attack02</v>
      </c>
      <c r="N739" s="67"/>
      <c r="O739" s="137" t="str">
        <f>$B739&amp;"."&amp;VLOOKUP($C739,'#Data'!$B$2:$J$344,2,FALSE)&amp;".skill0"&amp;RIGHT(O$1,1)</f>
        <v>Sector07.clock_honor_knight_1.skill01</v>
      </c>
      <c r="P739" s="137"/>
      <c r="Q739" s="137"/>
      <c r="R739" s="68"/>
      <c r="S739" s="68" t="s">
        <v>1970</v>
      </c>
      <c r="T739" s="68"/>
      <c r="U739" s="68"/>
      <c r="V739" s="41" t="b">
        <v>0</v>
      </c>
      <c r="W739" s="41" t="str">
        <f>"Character/Prefabs/"&amp;VLOOKUP($C739,'#Data'!$B$3:$I$344,8,FALSE)</f>
        <v>Character/Prefabs/m_l_attacker_clock_honor_knight_1</v>
      </c>
      <c r="X739" s="41"/>
      <c r="Y739" s="41" t="str">
        <f>VLOOKUP($C739,'#Data'!$B$3:$I$344,8,FALSE)</f>
        <v>m_l_attacker_clock_honor_knight_1</v>
      </c>
      <c r="Z739" s="41"/>
      <c r="AA739" s="41"/>
      <c r="AB739" s="41"/>
      <c r="AC739" s="90">
        <v>0.9</v>
      </c>
      <c r="AD739" s="41"/>
      <c r="AE739" s="41"/>
      <c r="AF739" s="41"/>
      <c r="AG739" s="41" t="s">
        <v>2106</v>
      </c>
      <c r="AH739" s="85"/>
    </row>
    <row r="740" spans="1:34" x14ac:dyDescent="0.3">
      <c r="A740" s="19">
        <f t="shared" si="22"/>
        <v>1410207110</v>
      </c>
      <c r="B740" s="19" t="s">
        <v>190</v>
      </c>
      <c r="C740" s="19" t="s">
        <v>1418</v>
      </c>
      <c r="D740" s="19" t="str">
        <f>"Monster.Name."&amp;VLOOKUP($C740,'#Data'!$B$2:$J$344,2,FALSE)</f>
        <v>Monster.Name.clock_clawdog_2</v>
      </c>
      <c r="E740" s="19" t="s">
        <v>43</v>
      </c>
      <c r="F740" s="48" t="s">
        <v>44</v>
      </c>
      <c r="G740" s="19" t="s">
        <v>45</v>
      </c>
      <c r="H740" s="41" t="b">
        <f>IF(OR(VLOOKUP($C740,'#Data'!$B$2:$J$344,4,FALSE)="보스",VLOOKUP($C740,'#Data'!$B$2:$J$344,4,FALSE)="중간"),TRUE,FALSE)</f>
        <v>0</v>
      </c>
      <c r="I740" s="41" t="b">
        <v>0</v>
      </c>
      <c r="J740" s="19">
        <v>10</v>
      </c>
      <c r="K740" s="19">
        <f t="shared" si="23"/>
        <v>10</v>
      </c>
      <c r="L740" s="69" t="s">
        <v>1434</v>
      </c>
      <c r="M740" s="69"/>
      <c r="N740" s="69"/>
      <c r="O740" s="138" t="s">
        <v>2050</v>
      </c>
      <c r="P740" s="138"/>
      <c r="Q740" s="138"/>
      <c r="R740" s="70"/>
      <c r="S740" s="70"/>
      <c r="T740" s="70"/>
      <c r="U740" s="70"/>
      <c r="V740" s="19" t="b">
        <v>0</v>
      </c>
      <c r="W740" s="19" t="str">
        <f>"Character/Prefabs/"&amp;VLOOKUP($C740,'#Data'!$B$3:$I$344,8,FALSE)</f>
        <v>Character/Prefabs/m_s_attacker_clock_clawdog_2</v>
      </c>
      <c r="X740" s="19"/>
      <c r="Y740" s="19" t="str">
        <f>VLOOKUP($C740,'#Data'!$B$3:$I$344,8,FALSE)</f>
        <v>m_s_attacker_clock_clawdog_2</v>
      </c>
      <c r="Z740" s="19"/>
      <c r="AA740" s="19"/>
      <c r="AB740" s="19"/>
      <c r="AC740" s="91">
        <v>0.9</v>
      </c>
      <c r="AD740" s="19"/>
      <c r="AE740" s="19"/>
      <c r="AF740" s="19"/>
      <c r="AG740" s="19" t="s">
        <v>2106</v>
      </c>
      <c r="AH740" s="85"/>
    </row>
    <row r="741" spans="1:34" x14ac:dyDescent="0.3">
      <c r="A741" s="19">
        <f t="shared" si="22"/>
        <v>1410207111</v>
      </c>
      <c r="B741" s="19" t="s">
        <v>190</v>
      </c>
      <c r="C741" s="19" t="s">
        <v>1419</v>
      </c>
      <c r="D741" s="19" t="str">
        <f>"Monster.Name."&amp;VLOOKUP($C741,'#Data'!$B$2:$J$344,2,FALSE)</f>
        <v>Monster.Name.clock_flamedog_2</v>
      </c>
      <c r="E741" s="19" t="s">
        <v>47</v>
      </c>
      <c r="F741" s="48" t="s">
        <v>44</v>
      </c>
      <c r="G741" s="19" t="s">
        <v>45</v>
      </c>
      <c r="H741" s="41" t="b">
        <f>IF(OR(VLOOKUP($C741,'#Data'!$B$2:$J$344,4,FALSE)="보스",VLOOKUP($C741,'#Data'!$B$2:$J$344,4,FALSE)="중간"),TRUE,FALSE)</f>
        <v>0</v>
      </c>
      <c r="I741" s="41" t="b">
        <v>0</v>
      </c>
      <c r="J741" s="19">
        <v>10</v>
      </c>
      <c r="K741" s="19">
        <f t="shared" si="23"/>
        <v>10</v>
      </c>
      <c r="L741" s="69" t="s">
        <v>1435</v>
      </c>
      <c r="M741" s="69"/>
      <c r="N741" s="69"/>
      <c r="O741" s="138" t="s">
        <v>2051</v>
      </c>
      <c r="P741" s="138"/>
      <c r="Q741" s="138"/>
      <c r="R741" s="70"/>
      <c r="S741" s="70"/>
      <c r="T741" s="70"/>
      <c r="U741" s="70"/>
      <c r="V741" s="19" t="b">
        <v>0</v>
      </c>
      <c r="W741" s="19" t="str">
        <f>"Character/Prefabs/"&amp;VLOOKUP($C741,'#Data'!$B$3:$I$344,8,FALSE)</f>
        <v>Character/Prefabs/m_s_ranger_clock_flamedog_2</v>
      </c>
      <c r="X741" s="19"/>
      <c r="Y741" s="19" t="str">
        <f>VLOOKUP($C741,'#Data'!$B$3:$I$344,8,FALSE)</f>
        <v>m_s_ranger_clock_flamedog_2</v>
      </c>
      <c r="Z741" s="19"/>
      <c r="AA741" s="19"/>
      <c r="AB741" s="19"/>
      <c r="AC741" s="91">
        <v>0.9</v>
      </c>
      <c r="AD741" s="19"/>
      <c r="AE741" s="19"/>
      <c r="AF741" s="19"/>
      <c r="AG741" s="19" t="s">
        <v>2106</v>
      </c>
      <c r="AH741" s="85"/>
    </row>
    <row r="742" spans="1:34" x14ac:dyDescent="0.3">
      <c r="A742" s="19">
        <f t="shared" si="22"/>
        <v>1410207112</v>
      </c>
      <c r="B742" s="19" t="s">
        <v>190</v>
      </c>
      <c r="C742" s="19" t="s">
        <v>1420</v>
      </c>
      <c r="D742" s="19" t="str">
        <f>"Monster.Name."&amp;VLOOKUP($C742,'#Data'!$B$2:$J$344,2,FALSE)</f>
        <v>Monster.Name.clock_spear_2</v>
      </c>
      <c r="E742" s="19" t="s">
        <v>43</v>
      </c>
      <c r="F742" s="48" t="s">
        <v>44</v>
      </c>
      <c r="G742" s="19" t="s">
        <v>45</v>
      </c>
      <c r="H742" s="41" t="b">
        <f>IF(OR(VLOOKUP($C742,'#Data'!$B$2:$J$344,4,FALSE)="보스",VLOOKUP($C742,'#Data'!$B$2:$J$344,4,FALSE)="중간"),TRUE,FALSE)</f>
        <v>0</v>
      </c>
      <c r="I742" s="41" t="b">
        <v>0</v>
      </c>
      <c r="J742" s="19">
        <v>10</v>
      </c>
      <c r="K742" s="19">
        <f t="shared" si="23"/>
        <v>10</v>
      </c>
      <c r="L742" s="69" t="s">
        <v>1436</v>
      </c>
      <c r="M742" s="69"/>
      <c r="N742" s="69"/>
      <c r="O742" s="138" t="s">
        <v>1441</v>
      </c>
      <c r="P742" s="138" t="s">
        <v>2052</v>
      </c>
      <c r="Q742" s="138"/>
      <c r="R742" s="70"/>
      <c r="S742" s="70"/>
      <c r="T742" s="70"/>
      <c r="U742" s="70"/>
      <c r="V742" s="19" t="b">
        <v>0</v>
      </c>
      <c r="W742" s="19" t="str">
        <f>"Character/Prefabs/"&amp;VLOOKUP($C742,'#Data'!$B$3:$I$344,8,FALSE)</f>
        <v>Character/Prefabs/m_m_attacker_clock_spear_2</v>
      </c>
      <c r="X742" s="19"/>
      <c r="Y742" s="19" t="str">
        <f>VLOOKUP($C742,'#Data'!$B$3:$I$344,8,FALSE)</f>
        <v>m_m_attacker_clock_spear_2</v>
      </c>
      <c r="Z742" s="19"/>
      <c r="AA742" s="19"/>
      <c r="AB742" s="19"/>
      <c r="AC742" s="91">
        <v>0.9</v>
      </c>
      <c r="AD742" s="19"/>
      <c r="AE742" s="19"/>
      <c r="AF742" s="19"/>
      <c r="AG742" s="19" t="s">
        <v>2106</v>
      </c>
      <c r="AH742" s="85"/>
    </row>
    <row r="743" spans="1:34" x14ac:dyDescent="0.3">
      <c r="A743" s="19">
        <f t="shared" si="22"/>
        <v>1410207113</v>
      </c>
      <c r="B743" s="19" t="s">
        <v>190</v>
      </c>
      <c r="C743" s="19" t="s">
        <v>1421</v>
      </c>
      <c r="D743" s="19" t="str">
        <f>"Monster.Name."&amp;VLOOKUP($C743,'#Data'!$B$2:$J$344,2,FALSE)</f>
        <v>Monster.Name.clock_squire_2</v>
      </c>
      <c r="E743" s="19" t="s">
        <v>47</v>
      </c>
      <c r="F743" s="48" t="s">
        <v>44</v>
      </c>
      <c r="G743" s="19" t="s">
        <v>45</v>
      </c>
      <c r="H743" s="41" t="b">
        <f>IF(OR(VLOOKUP($C743,'#Data'!$B$2:$J$344,4,FALSE)="보스",VLOOKUP($C743,'#Data'!$B$2:$J$344,4,FALSE)="중간"),TRUE,FALSE)</f>
        <v>0</v>
      </c>
      <c r="I743" s="41" t="b">
        <v>0</v>
      </c>
      <c r="J743" s="19">
        <v>10</v>
      </c>
      <c r="K743" s="19">
        <f t="shared" si="23"/>
        <v>10</v>
      </c>
      <c r="L743" s="69" t="s">
        <v>1437</v>
      </c>
      <c r="M743" s="69"/>
      <c r="N743" s="69"/>
      <c r="O743" s="138" t="s">
        <v>1442</v>
      </c>
      <c r="P743" s="138" t="s">
        <v>2053</v>
      </c>
      <c r="Q743" s="138"/>
      <c r="R743" s="70"/>
      <c r="S743" s="70"/>
      <c r="T743" s="70"/>
      <c r="U743" s="70"/>
      <c r="V743" s="19" t="b">
        <v>0</v>
      </c>
      <c r="W743" s="19" t="str">
        <f>"Character/Prefabs/"&amp;VLOOKUP($C743,'#Data'!$B$3:$I$344,8,FALSE)</f>
        <v>Character/Prefabs/m_m_ranger_clock_squire_2</v>
      </c>
      <c r="X743" s="19"/>
      <c r="Y743" s="19" t="str">
        <f>VLOOKUP($C743,'#Data'!$B$3:$I$344,8,FALSE)</f>
        <v>m_m_ranger_clock_squire_2</v>
      </c>
      <c r="Z743" s="19"/>
      <c r="AA743" s="19"/>
      <c r="AB743" s="19"/>
      <c r="AC743" s="91">
        <v>0.9</v>
      </c>
      <c r="AD743" s="19"/>
      <c r="AE743" s="19"/>
      <c r="AF743" s="19"/>
      <c r="AG743" s="19" t="s">
        <v>2106</v>
      </c>
      <c r="AH743" s="85"/>
    </row>
    <row r="744" spans="1:34" x14ac:dyDescent="0.3">
      <c r="A744" s="19">
        <f t="shared" si="22"/>
        <v>1410207114</v>
      </c>
      <c r="B744" s="19" t="s">
        <v>190</v>
      </c>
      <c r="C744" s="19" t="s">
        <v>1422</v>
      </c>
      <c r="D744" s="19" t="str">
        <f>"Monster.Name."&amp;VLOOKUP($C744,'#Data'!$B$2:$J$344,2,FALSE)</f>
        <v>Monster.Name.clock_crossbow_2</v>
      </c>
      <c r="E744" s="19" t="s">
        <v>47</v>
      </c>
      <c r="F744" s="48" t="s">
        <v>44</v>
      </c>
      <c r="G744" s="19" t="s">
        <v>45</v>
      </c>
      <c r="H744" s="41" t="b">
        <f>IF(OR(VLOOKUP($C744,'#Data'!$B$2:$J$344,4,FALSE)="보스",VLOOKUP($C744,'#Data'!$B$2:$J$344,4,FALSE)="중간"),TRUE,FALSE)</f>
        <v>0</v>
      </c>
      <c r="I744" s="41" t="b">
        <v>0</v>
      </c>
      <c r="J744" s="19">
        <v>10</v>
      </c>
      <c r="K744" s="19">
        <f t="shared" si="23"/>
        <v>10</v>
      </c>
      <c r="L744" s="69" t="s">
        <v>1438</v>
      </c>
      <c r="M744" s="69"/>
      <c r="N744" s="69"/>
      <c r="O744" s="138" t="s">
        <v>1443</v>
      </c>
      <c r="P744" s="138" t="s">
        <v>2054</v>
      </c>
      <c r="Q744" s="138"/>
      <c r="R744" s="70"/>
      <c r="S744" s="70"/>
      <c r="T744" s="70"/>
      <c r="U744" s="70"/>
      <c r="V744" s="19" t="b">
        <v>0</v>
      </c>
      <c r="W744" s="19" t="str">
        <f>"Character/Prefabs/"&amp;VLOOKUP($C744,'#Data'!$B$3:$I$344,8,FALSE)</f>
        <v>Character/Prefabs/m_m_ranger_clock_crossbow_2</v>
      </c>
      <c r="X744" s="19"/>
      <c r="Y744" s="19" t="str">
        <f>VLOOKUP($C744,'#Data'!$B$3:$I$344,8,FALSE)</f>
        <v>m_m_ranger_clock_crossbow_2</v>
      </c>
      <c r="Z744" s="19"/>
      <c r="AA744" s="19"/>
      <c r="AB744" s="19"/>
      <c r="AC744" s="91">
        <v>0.9</v>
      </c>
      <c r="AD744" s="19"/>
      <c r="AE744" s="19"/>
      <c r="AF744" s="19"/>
      <c r="AG744" s="19" t="s">
        <v>2106</v>
      </c>
      <c r="AH744" s="85"/>
    </row>
    <row r="745" spans="1:34" x14ac:dyDescent="0.3">
      <c r="A745" s="19">
        <f t="shared" si="22"/>
        <v>1410207115</v>
      </c>
      <c r="B745" s="19" t="s">
        <v>190</v>
      </c>
      <c r="C745" s="19" t="s">
        <v>1423</v>
      </c>
      <c r="D745" s="19" t="str">
        <f>"Monster.Name."&amp;VLOOKUP($C745,'#Data'!$B$2:$J$344,2,FALSE)</f>
        <v>Monster.Name.clock_shield_2</v>
      </c>
      <c r="E745" s="19" t="s">
        <v>43</v>
      </c>
      <c r="F745" s="48" t="s">
        <v>44</v>
      </c>
      <c r="G745" s="19" t="s">
        <v>45</v>
      </c>
      <c r="H745" s="41" t="b">
        <f>IF(OR(VLOOKUP($C745,'#Data'!$B$2:$J$344,4,FALSE)="보스",VLOOKUP($C745,'#Data'!$B$2:$J$344,4,FALSE)="중간"),TRUE,FALSE)</f>
        <v>0</v>
      </c>
      <c r="I745" s="41" t="b">
        <v>0</v>
      </c>
      <c r="J745" s="19">
        <v>10</v>
      </c>
      <c r="K745" s="19">
        <f t="shared" si="23"/>
        <v>10</v>
      </c>
      <c r="L745" s="69" t="s">
        <v>1439</v>
      </c>
      <c r="M745" s="69"/>
      <c r="N745" s="69"/>
      <c r="O745" s="138" t="s">
        <v>1444</v>
      </c>
      <c r="P745" s="138" t="s">
        <v>2055</v>
      </c>
      <c r="Q745" s="138"/>
      <c r="R745" s="70"/>
      <c r="S745" s="70"/>
      <c r="T745" s="70"/>
      <c r="U745" s="70"/>
      <c r="V745" s="19" t="b">
        <v>0</v>
      </c>
      <c r="W745" s="19" t="str">
        <f>"Character/Prefabs/"&amp;VLOOKUP($C745,'#Data'!$B$3:$I$344,8,FALSE)</f>
        <v>Character/Prefabs/m_m_attacker_clock_shield_2</v>
      </c>
      <c r="X745" s="19"/>
      <c r="Y745" s="19" t="str">
        <f>VLOOKUP($C745,'#Data'!$B$3:$I$344,8,FALSE)</f>
        <v>m_m_attacker_clock_shield_2</v>
      </c>
      <c r="Z745" s="19"/>
      <c r="AA745" s="19"/>
      <c r="AB745" s="19"/>
      <c r="AC745" s="91">
        <v>0.9</v>
      </c>
      <c r="AD745" s="19"/>
      <c r="AE745" s="19"/>
      <c r="AF745" s="19"/>
      <c r="AG745" s="19" t="s">
        <v>2106</v>
      </c>
      <c r="AH745" s="85"/>
    </row>
    <row r="746" spans="1:34" x14ac:dyDescent="0.3">
      <c r="A746" s="19">
        <f t="shared" si="22"/>
        <v>1410207116</v>
      </c>
      <c r="B746" s="19" t="s">
        <v>190</v>
      </c>
      <c r="C746" s="19" t="s">
        <v>1424</v>
      </c>
      <c r="D746" s="19" t="str">
        <f>"Monster.Name."&amp;VLOOKUP($C746,'#Data'!$B$2:$J$344,2,FALSE)</f>
        <v>Monster.Name.clock_clown_2</v>
      </c>
      <c r="E746" s="19" t="s">
        <v>47</v>
      </c>
      <c r="F746" s="48" t="s">
        <v>44</v>
      </c>
      <c r="G746" s="19" t="s">
        <v>45</v>
      </c>
      <c r="H746" s="41" t="b">
        <f>IF(OR(VLOOKUP($C746,'#Data'!$B$2:$J$344,4,FALSE)="보스",VLOOKUP($C746,'#Data'!$B$2:$J$344,4,FALSE)="중간"),TRUE,FALSE)</f>
        <v>0</v>
      </c>
      <c r="I746" s="41" t="b">
        <v>0</v>
      </c>
      <c r="J746" s="19">
        <v>10</v>
      </c>
      <c r="K746" s="19">
        <f t="shared" si="23"/>
        <v>10</v>
      </c>
      <c r="L746" s="69" t="s">
        <v>1440</v>
      </c>
      <c r="M746" s="69"/>
      <c r="N746" s="69"/>
      <c r="O746" s="138" t="s">
        <v>1445</v>
      </c>
      <c r="P746" s="138" t="s">
        <v>2056</v>
      </c>
      <c r="Q746" s="138"/>
      <c r="R746" s="70"/>
      <c r="S746" s="70"/>
      <c r="T746" s="70"/>
      <c r="U746" s="70"/>
      <c r="V746" s="19" t="b">
        <v>0</v>
      </c>
      <c r="W746" s="19" t="str">
        <f>"Character/Prefabs/"&amp;VLOOKUP($C746,'#Data'!$B$3:$I$344,8,FALSE)</f>
        <v>Character/Prefabs/m_m_ranger_clock_clown_2</v>
      </c>
      <c r="X746" s="19"/>
      <c r="Y746" s="19" t="str">
        <f>VLOOKUP($C746,'#Data'!$B$3:$I$344,8,FALSE)</f>
        <v>m_m_ranger_clock_clown_2</v>
      </c>
      <c r="Z746" s="19"/>
      <c r="AA746" s="19"/>
      <c r="AB746" s="19"/>
      <c r="AC746" s="91">
        <v>0.9</v>
      </c>
      <c r="AD746" s="19"/>
      <c r="AE746" s="19"/>
      <c r="AF746" s="19"/>
      <c r="AG746" s="19" t="s">
        <v>2106</v>
      </c>
      <c r="AH746" s="85"/>
    </row>
    <row r="747" spans="1:34" x14ac:dyDescent="0.3">
      <c r="A747" s="19">
        <f t="shared" si="22"/>
        <v>1410207117</v>
      </c>
      <c r="B747" s="19" t="s">
        <v>190</v>
      </c>
      <c r="C747" s="19" t="s">
        <v>1425</v>
      </c>
      <c r="D747" s="19" t="str">
        <f>"Monster.Name."&amp;VLOOKUP($C747,'#Data'!$B$2:$J$344,2,FALSE)</f>
        <v>Monster.Name.clock_draftee_2</v>
      </c>
      <c r="E747" s="19" t="s">
        <v>43</v>
      </c>
      <c r="F747" s="48" t="s">
        <v>44</v>
      </c>
      <c r="G747" s="19" t="s">
        <v>45</v>
      </c>
      <c r="H747" s="41" t="b">
        <f>IF(OR(VLOOKUP($C747,'#Data'!$B$2:$J$344,4,FALSE)="보스",VLOOKUP($C747,'#Data'!$B$2:$J$344,4,FALSE)="중간"),TRUE,FALSE)</f>
        <v>0</v>
      </c>
      <c r="I747" s="41" t="b">
        <v>0</v>
      </c>
      <c r="J747" s="19">
        <v>10</v>
      </c>
      <c r="K747" s="19">
        <f t="shared" si="23"/>
        <v>10</v>
      </c>
      <c r="L747" s="69"/>
      <c r="M747" s="69"/>
      <c r="N747" s="69"/>
      <c r="O747" s="138" t="s">
        <v>1446</v>
      </c>
      <c r="P747" s="138"/>
      <c r="Q747" s="138"/>
      <c r="R747" s="70"/>
      <c r="S747" s="70" t="s">
        <v>199</v>
      </c>
      <c r="T747" s="70"/>
      <c r="U747" s="70"/>
      <c r="V747" s="19" t="b">
        <v>0</v>
      </c>
      <c r="W747" s="19" t="str">
        <f>"Character/Prefabs/"&amp;VLOOKUP($C747,'#Data'!$B$3:$I$344,8,FALSE)</f>
        <v>Character/Prefabs/m_m_attacker_clock_draftee_2</v>
      </c>
      <c r="X747" s="19"/>
      <c r="Y747" s="19" t="str">
        <f>VLOOKUP($C747,'#Data'!$B$3:$I$344,8,FALSE)</f>
        <v>m_m_attacker_clock_draftee_2</v>
      </c>
      <c r="Z747" s="19"/>
      <c r="AA747" s="19"/>
      <c r="AB747" s="19"/>
      <c r="AC747" s="91">
        <v>0.9</v>
      </c>
      <c r="AD747" s="19"/>
      <c r="AE747" s="19"/>
      <c r="AF747" s="19"/>
      <c r="AG747" s="19" t="s">
        <v>2106</v>
      </c>
      <c r="AH747" s="85"/>
    </row>
    <row r="748" spans="1:34" x14ac:dyDescent="0.3">
      <c r="A748" s="19">
        <f t="shared" si="22"/>
        <v>1410207118</v>
      </c>
      <c r="B748" s="19" t="s">
        <v>190</v>
      </c>
      <c r="C748" s="19" t="s">
        <v>2065</v>
      </c>
      <c r="D748" s="19" t="str">
        <f>"Monster.Name."&amp;VLOOKUP($C748,'#Data'!$B$2:$J$344,2,FALSE)</f>
        <v>Monster.Name.clock_honor_knight_2</v>
      </c>
      <c r="E748" s="19" t="s">
        <v>43</v>
      </c>
      <c r="F748" s="48" t="s">
        <v>44</v>
      </c>
      <c r="G748" s="19" t="s">
        <v>45</v>
      </c>
      <c r="H748" s="41" t="b">
        <f>IF(OR(VLOOKUP($C748,'#Data'!$B$2:$J$344,4,FALSE)="보스",VLOOKUP($C748,'#Data'!$B$2:$J$344,4,FALSE)="중간"),TRUE,FALSE)</f>
        <v>0</v>
      </c>
      <c r="I748" s="41" t="b">
        <v>0</v>
      </c>
      <c r="J748" s="19">
        <v>10</v>
      </c>
      <c r="K748" s="19">
        <f t="shared" si="23"/>
        <v>10</v>
      </c>
      <c r="L748" s="69" t="str">
        <f>$B748&amp;"."&amp;VLOOKUP($C748,'#Data'!$B$2:$J$344,2,FALSE)&amp;".attack0"&amp;RIGHT(L$1,1)</f>
        <v>Sector07.clock_honor_knight_2.attack01</v>
      </c>
      <c r="M748" s="69" t="str">
        <f>$B748&amp;"."&amp;VLOOKUP($C748,'#Data'!$B$2:$J$344,2,FALSE)&amp;".attack0"&amp;RIGHT(M$1,1)</f>
        <v>Sector07.clock_honor_knight_2.attack02</v>
      </c>
      <c r="N748" s="69"/>
      <c r="O748" s="138" t="str">
        <f>$B748&amp;"."&amp;VLOOKUP($C748,'#Data'!$B$2:$J$344,2,FALSE)&amp;".skill0"&amp;RIGHT(O$1,1)</f>
        <v>Sector07.clock_honor_knight_2.skill01</v>
      </c>
      <c r="P748" s="138"/>
      <c r="Q748" s="138"/>
      <c r="R748" s="70"/>
      <c r="S748" s="70" t="s">
        <v>2069</v>
      </c>
      <c r="T748" s="70"/>
      <c r="U748" s="70"/>
      <c r="V748" s="19" t="b">
        <v>0</v>
      </c>
      <c r="W748" s="168" t="s">
        <v>2086</v>
      </c>
      <c r="X748" s="167"/>
      <c r="Y748" s="168" t="s">
        <v>2087</v>
      </c>
      <c r="Z748" s="19"/>
      <c r="AA748" s="19"/>
      <c r="AB748" s="19"/>
      <c r="AC748" s="91">
        <v>0.9</v>
      </c>
      <c r="AD748" s="19"/>
      <c r="AE748" s="19"/>
      <c r="AF748" s="19"/>
      <c r="AG748" s="19" t="s">
        <v>2106</v>
      </c>
      <c r="AH748" s="85"/>
    </row>
    <row r="749" spans="1:34" x14ac:dyDescent="0.3">
      <c r="A749" s="41">
        <f t="shared" si="22"/>
        <v>1410207201</v>
      </c>
      <c r="B749" s="41" t="s">
        <v>190</v>
      </c>
      <c r="C749" s="41" t="s">
        <v>201</v>
      </c>
      <c r="D749" s="41" t="str">
        <f>"Monster.Name."&amp;VLOOKUP($C749,'#Data'!$B$2:$J$344,2,FALSE)</f>
        <v>Monster.Name.clock_noble_knight_1</v>
      </c>
      <c r="E749" s="41" t="s">
        <v>43</v>
      </c>
      <c r="F749" s="42" t="s">
        <v>44</v>
      </c>
      <c r="G749" s="41" t="s">
        <v>45</v>
      </c>
      <c r="H749" s="41" t="b">
        <f>IF(OR(VLOOKUP($C749,'#Data'!$B$2:$J$344,4,FALSE)="보스",VLOOKUP($C749,'#Data'!$B$2:$J$344,4,FALSE)="중간"),TRUE,FALSE)</f>
        <v>1</v>
      </c>
      <c r="I749" s="41" t="b">
        <v>1</v>
      </c>
      <c r="J749" s="41">
        <v>10</v>
      </c>
      <c r="K749" s="41">
        <f t="shared" si="23"/>
        <v>10</v>
      </c>
      <c r="L749" s="67" t="str">
        <f>$B749&amp;"."&amp;VLOOKUP($C749,'#Data'!$B$2:$J$344,2,FALSE)&amp;".attack0"&amp;RIGHT(L$1,1)</f>
        <v>Sector07.clock_noble_knight_1.attack01</v>
      </c>
      <c r="M749" s="67" t="str">
        <f>$B749&amp;"."&amp;VLOOKUP($C749,'#Data'!$B$2:$J$344,2,FALSE)&amp;".attack0"&amp;RIGHT(M$1,1)</f>
        <v>Sector07.clock_noble_knight_1.attack02</v>
      </c>
      <c r="N749" s="67"/>
      <c r="O749" s="137" t="str">
        <f>$B749&amp;"."&amp;VLOOKUP($C749,'#Data'!$B$2:$J$344,2,FALSE)&amp;".skill0"&amp;RIGHT(O$1,1)</f>
        <v>Sector07.clock_noble_knight_1.skill01</v>
      </c>
      <c r="P749" s="137" t="str">
        <f>$B749&amp;"."&amp;VLOOKUP($C749,'#Data'!$B$2:$J$344,2,FALSE)&amp;".skill0"&amp;RIGHT(P$1,1)</f>
        <v>Sector07.clock_noble_knight_1.skill02</v>
      </c>
      <c r="Q749" s="137" t="str">
        <f>$B749&amp;"."&amp;VLOOKUP($C749,'#Data'!$B$2:$J$344,2,FALSE)&amp;".skill0"&amp;RIGHT(Q$1,1)</f>
        <v>Sector07.clock_noble_knight_1.skill03</v>
      </c>
      <c r="R749" s="68" t="s">
        <v>202</v>
      </c>
      <c r="S749" s="68" t="s">
        <v>2077</v>
      </c>
      <c r="T749" s="68"/>
      <c r="U749" s="68"/>
      <c r="V749" s="41" t="b">
        <v>0</v>
      </c>
      <c r="W749" s="41" t="str">
        <f>"Character/Prefabs/"&amp;VLOOKUP($C749,'#Data'!$B$3:$I$344,8,FALSE)</f>
        <v>Character/Prefabs/m_l_attacker_clock_noble_knight_1</v>
      </c>
      <c r="X749" s="41"/>
      <c r="Y749" s="41" t="str">
        <f>VLOOKUP($C749,'#Data'!$B$3:$I$344,8,FALSE)</f>
        <v>m_l_attacker_clock_noble_knight_1</v>
      </c>
      <c r="Z749" s="41"/>
      <c r="AA749" s="41"/>
      <c r="AB749" s="41"/>
      <c r="AC749" s="90">
        <v>0.9</v>
      </c>
      <c r="AD749" s="41"/>
      <c r="AE749" s="41"/>
      <c r="AF749" s="41"/>
      <c r="AG749" s="41" t="s">
        <v>2106</v>
      </c>
      <c r="AH749" s="85"/>
    </row>
    <row r="750" spans="1:34" x14ac:dyDescent="0.3">
      <c r="A750" s="41">
        <f t="shared" si="22"/>
        <v>1410207202</v>
      </c>
      <c r="B750" s="41" t="s">
        <v>190</v>
      </c>
      <c r="C750" s="41" t="s">
        <v>203</v>
      </c>
      <c r="D750" s="41" t="str">
        <f>"Monster.Name."&amp;VLOOKUP($C750,'#Data'!$B$2:$J$344,2,FALSE)</f>
        <v>Monster.Name.clock_noble_bishop_1</v>
      </c>
      <c r="E750" s="41" t="s">
        <v>47</v>
      </c>
      <c r="F750" s="42" t="s">
        <v>44</v>
      </c>
      <c r="G750" s="41" t="s">
        <v>45</v>
      </c>
      <c r="H750" s="41" t="b">
        <f>IF(OR(VLOOKUP($C750,'#Data'!$B$2:$J$344,4,FALSE)="보스",VLOOKUP($C750,'#Data'!$B$2:$J$344,4,FALSE)="중간"),TRUE,FALSE)</f>
        <v>1</v>
      </c>
      <c r="I750" s="41" t="b">
        <v>1</v>
      </c>
      <c r="J750" s="41">
        <v>10</v>
      </c>
      <c r="K750" s="41">
        <f t="shared" si="23"/>
        <v>10</v>
      </c>
      <c r="L750" s="67" t="str">
        <f>$B750&amp;"."&amp;VLOOKUP($C750,'#Data'!$B$2:$J$344,2,FALSE)&amp;".attack0"&amp;RIGHT(L$1,1)</f>
        <v>Sector07.clock_noble_bishop_1.attack01</v>
      </c>
      <c r="M750" s="67"/>
      <c r="N750" s="67"/>
      <c r="O750" s="137" t="str">
        <f>$B750&amp;"."&amp;VLOOKUP($C750,'#Data'!$B$2:$J$344,2,FALSE)&amp;".skill0"&amp;RIGHT(O$1,1)</f>
        <v>Sector07.clock_noble_bishop_1.skill01</v>
      </c>
      <c r="P750" s="137" t="str">
        <f>$B750&amp;"."&amp;VLOOKUP($C750,'#Data'!$B$2:$J$344,2,FALSE)&amp;".skill0"&amp;RIGHT(P$1,1)</f>
        <v>Sector07.clock_noble_bishop_1.skill02</v>
      </c>
      <c r="Q750" s="137" t="str">
        <f>$B750&amp;"."&amp;VLOOKUP($C750,'#Data'!$B$2:$J$344,2,FALSE)&amp;".skill0"&amp;RIGHT(Q$1,1)</f>
        <v>Sector07.clock_noble_bishop_1.skill03</v>
      </c>
      <c r="R750" s="68"/>
      <c r="S750" s="68" t="s">
        <v>2076</v>
      </c>
      <c r="T750" s="68"/>
      <c r="U750" s="68"/>
      <c r="V750" s="41" t="b">
        <v>0</v>
      </c>
      <c r="W750" s="41" t="str">
        <f>"Character/Prefabs/"&amp;VLOOKUP($C750,'#Data'!$B$3:$I$344,8,FALSE)</f>
        <v>Character/Prefabs/m_l_ranger_clock_noble_bishop_1</v>
      </c>
      <c r="X750" s="41"/>
      <c r="Y750" s="41" t="str">
        <f>VLOOKUP($C750,'#Data'!$B$3:$I$344,8,FALSE)</f>
        <v>m_l_ranger_clock_noble_bishop_1</v>
      </c>
      <c r="Z750" s="41"/>
      <c r="AA750" s="41"/>
      <c r="AB750" s="41"/>
      <c r="AC750" s="90">
        <v>0.9</v>
      </c>
      <c r="AD750" s="41"/>
      <c r="AE750" s="41"/>
      <c r="AF750" s="41"/>
      <c r="AG750" s="41" t="s">
        <v>2106</v>
      </c>
      <c r="AH750" s="85"/>
    </row>
    <row r="751" spans="1:34" x14ac:dyDescent="0.3">
      <c r="A751" s="41">
        <f t="shared" si="22"/>
        <v>1410207203</v>
      </c>
      <c r="B751" s="41" t="s">
        <v>190</v>
      </c>
      <c r="C751" s="41" t="s">
        <v>204</v>
      </c>
      <c r="D751" s="41" t="str">
        <f>"Monster.Name."&amp;VLOOKUP($C751,'#Data'!$B$2:$J$344,2,FALSE)</f>
        <v>Monster.Name.clock_noble_keeper_1</v>
      </c>
      <c r="E751" s="41" t="s">
        <v>43</v>
      </c>
      <c r="F751" s="42" t="s">
        <v>44</v>
      </c>
      <c r="G751" s="41" t="s">
        <v>45</v>
      </c>
      <c r="H751" s="41" t="b">
        <f>IF(OR(VLOOKUP($C751,'#Data'!$B$2:$J$344,4,FALSE)="보스",VLOOKUP($C751,'#Data'!$B$2:$J$344,4,FALSE)="중간"),TRUE,FALSE)</f>
        <v>1</v>
      </c>
      <c r="I751" s="41" t="b">
        <v>1</v>
      </c>
      <c r="J751" s="41">
        <v>10</v>
      </c>
      <c r="K751" s="41">
        <f t="shared" si="23"/>
        <v>10</v>
      </c>
      <c r="L751" s="67" t="str">
        <f>$B751&amp;"."&amp;VLOOKUP($C751,'#Data'!$B$2:$J$344,2,FALSE)&amp;".attack0"&amp;RIGHT(L$1,1)</f>
        <v>Sector07.clock_noble_keeper_1.attack01</v>
      </c>
      <c r="M751" s="67"/>
      <c r="N751" s="67"/>
      <c r="O751" s="137" t="str">
        <f>$B751&amp;"."&amp;VLOOKUP($C751,'#Data'!$B$2:$J$344,2,FALSE)&amp;".skill0"&amp;RIGHT(O$1,1)</f>
        <v>Sector07.clock_noble_keeper_1.skill01</v>
      </c>
      <c r="P751" s="137" t="str">
        <f>$B751&amp;"."&amp;VLOOKUP($C751,'#Data'!$B$2:$J$344,2,FALSE)&amp;".skill0"&amp;RIGHT(P$1,1)</f>
        <v>Sector07.clock_noble_keeper_1.skill02</v>
      </c>
      <c r="Q751" s="137" t="str">
        <f>$B751&amp;"."&amp;VLOOKUP($C751,'#Data'!$B$2:$J$344,2,FALSE)&amp;".skill0"&amp;RIGHT(Q$1,1)</f>
        <v>Sector07.clock_noble_keeper_1.skill03</v>
      </c>
      <c r="R751" s="68"/>
      <c r="S751" s="68" t="s">
        <v>2076</v>
      </c>
      <c r="T751" s="68"/>
      <c r="U751" s="68"/>
      <c r="V751" s="41" t="b">
        <v>0</v>
      </c>
      <c r="W751" s="41" t="str">
        <f>"Character/Prefabs/"&amp;VLOOKUP($C751,'#Data'!$B$3:$I$344,8,FALSE)</f>
        <v>Character/Prefabs/m_l_attacker_clock_noble_keeper_1</v>
      </c>
      <c r="X751" s="41"/>
      <c r="Y751" s="41" t="str">
        <f>VLOOKUP($C751,'#Data'!$B$3:$I$344,8,FALSE)</f>
        <v>m_l_attacker_clock_noble_keeper_1</v>
      </c>
      <c r="Z751" s="41"/>
      <c r="AA751" s="41"/>
      <c r="AB751" s="41"/>
      <c r="AC751" s="90">
        <v>0.9</v>
      </c>
      <c r="AD751" s="41"/>
      <c r="AE751" s="41"/>
      <c r="AF751" s="41"/>
      <c r="AG751" s="41" t="s">
        <v>2106</v>
      </c>
      <c r="AH751" s="85"/>
    </row>
    <row r="752" spans="1:34" x14ac:dyDescent="0.3">
      <c r="A752" s="23">
        <f t="shared" si="22"/>
        <v>1410207301</v>
      </c>
      <c r="B752" s="23" t="s">
        <v>190</v>
      </c>
      <c r="C752" s="23" t="s">
        <v>205</v>
      </c>
      <c r="D752" s="23" t="str">
        <f>"Monster.Name."&amp;VLOOKUP($C752,'#Data'!$B$2:$J$344,2,FALSE)</f>
        <v>Monster.Name.clock_royal_queen_1</v>
      </c>
      <c r="E752" s="23" t="s">
        <v>1833</v>
      </c>
      <c r="F752" s="24" t="s">
        <v>44</v>
      </c>
      <c r="G752" s="23" t="s">
        <v>45</v>
      </c>
      <c r="H752" s="23" t="b">
        <f>IF(OR(VLOOKUP($C752,'#Data'!$B$2:$J$344,4,FALSE)="보스",VLOOKUP($C752,'#Data'!$B$2:$J$344,4,FALSE)="중간"),TRUE,FALSE)</f>
        <v>1</v>
      </c>
      <c r="I752" s="23" t="b">
        <v>1</v>
      </c>
      <c r="J752" s="23">
        <v>20</v>
      </c>
      <c r="K752" s="23">
        <f t="shared" si="23"/>
        <v>10</v>
      </c>
      <c r="L752" s="115" t="str">
        <f>$B752&amp;"."&amp;VLOOKUP($C752,'#Data'!$B$2:$J$344,2,FALSE)&amp;".attack0"&amp;RIGHT(L$1,1)</f>
        <v>Sector07.clock_royal_queen_1.attack01</v>
      </c>
      <c r="M752" s="115" t="str">
        <f>$B752&amp;"."&amp;VLOOKUP($C752,'#Data'!$B$2:$J$344,2,FALSE)&amp;".attack0"&amp;RIGHT(M$1,1)</f>
        <v>Sector07.clock_royal_queen_1.attack02</v>
      </c>
      <c r="N752" s="115"/>
      <c r="O752" s="139" t="str">
        <f>$B752&amp;"."&amp;VLOOKUP($C752,'#Data'!$B$2:$J$344,2,FALSE)&amp;".skill0"&amp;RIGHT(O$1,1)</f>
        <v>Sector07.clock_royal_queen_1.skill01</v>
      </c>
      <c r="P752" s="139" t="str">
        <f>$B752&amp;"."&amp;VLOOKUP($C752,'#Data'!$B$2:$J$344,2,FALSE)&amp;".skill0"&amp;RIGHT(P$1,1)</f>
        <v>Sector07.clock_royal_queen_1.skill02</v>
      </c>
      <c r="Q752" s="139" t="str">
        <f>$B752&amp;"."&amp;VLOOKUP($C752,'#Data'!$B$2:$J$344,2,FALSE)&amp;".skill0"&amp;RIGHT(Q$1,1)</f>
        <v>Sector07.clock_royal_queen_1.skill03</v>
      </c>
      <c r="R752" s="116" t="s">
        <v>206</v>
      </c>
      <c r="S752" s="116" t="s">
        <v>76</v>
      </c>
      <c r="T752" s="116"/>
      <c r="U752" s="116"/>
      <c r="V752" s="23" t="b">
        <v>0</v>
      </c>
      <c r="W752" s="23" t="str">
        <f>"Character/Prefabs/"&amp;VLOOKUP($C752,'#Data'!$B$3:$I$344,8,FALSE)</f>
        <v>Character/Prefabs/m_boss_attacker_clock_royal_queen_1</v>
      </c>
      <c r="X752" s="23"/>
      <c r="Y752" s="23" t="str">
        <f>VLOOKUP($C752,'#Data'!$B$3:$I$344,8,FALSE)</f>
        <v>m_boss_attacker_clock_royal_queen_1</v>
      </c>
      <c r="Z752" s="23"/>
      <c r="AA752" s="23"/>
      <c r="AB752" s="23"/>
      <c r="AC752" s="98">
        <v>0.9</v>
      </c>
      <c r="AD752" s="23"/>
      <c r="AE752" s="23" t="s">
        <v>207</v>
      </c>
      <c r="AF752" s="23" t="s">
        <v>208</v>
      </c>
      <c r="AG752" s="23" t="s">
        <v>2106</v>
      </c>
      <c r="AH752" s="85"/>
    </row>
    <row r="753" spans="1:34" x14ac:dyDescent="0.3">
      <c r="A753" s="23">
        <f t="shared" si="22"/>
        <v>1410207302</v>
      </c>
      <c r="B753" s="23" t="s">
        <v>190</v>
      </c>
      <c r="C753" s="23" t="s">
        <v>209</v>
      </c>
      <c r="D753" s="23" t="str">
        <f>"Monster.Name."&amp;VLOOKUP($C753,'#Data'!$B$2:$J$344,2,FALSE)</f>
        <v>Monster.Name.clock_royal_queen_2</v>
      </c>
      <c r="E753" s="23" t="s">
        <v>1833</v>
      </c>
      <c r="F753" s="24" t="s">
        <v>44</v>
      </c>
      <c r="G753" s="23" t="s">
        <v>45</v>
      </c>
      <c r="H753" s="23" t="b">
        <f>IF(OR(VLOOKUP($C753,'#Data'!$B$2:$J$344,4,FALSE)="보스",VLOOKUP($C753,'#Data'!$B$2:$J$344,4,FALSE)="중간"),TRUE,FALSE)</f>
        <v>1</v>
      </c>
      <c r="I753" s="23" t="b">
        <v>1</v>
      </c>
      <c r="J753" s="23">
        <v>20</v>
      </c>
      <c r="K753" s="23">
        <f t="shared" si="23"/>
        <v>10</v>
      </c>
      <c r="L753" s="115" t="str">
        <f>$B753&amp;"."&amp;VLOOKUP($C753,'#Data'!$B$2:$J$344,2,FALSE)&amp;".attack0"&amp;RIGHT(L$1,1)</f>
        <v>Sector07.clock_royal_queen_2.attack01</v>
      </c>
      <c r="M753" s="115" t="str">
        <f>$B753&amp;"."&amp;VLOOKUP($C753,'#Data'!$B$2:$J$344,2,FALSE)&amp;".attack0"&amp;RIGHT(M$1,1)</f>
        <v>Sector07.clock_royal_queen_2.attack02</v>
      </c>
      <c r="N753" s="115"/>
      <c r="O753" s="139" t="str">
        <f>$B753&amp;"."&amp;VLOOKUP($C753,'#Data'!$B$2:$J$344,2,FALSE)&amp;".skill0"&amp;RIGHT(O$1,1)</f>
        <v>Sector07.clock_royal_queen_2.skill01</v>
      </c>
      <c r="P753" s="139" t="str">
        <f>$B753&amp;"."&amp;VLOOKUP($C753,'#Data'!$B$2:$J$344,2,FALSE)&amp;".skill0"&amp;RIGHT(P$1,1)</f>
        <v>Sector07.clock_royal_queen_2.skill02</v>
      </c>
      <c r="Q753" s="139" t="str">
        <f>$B753&amp;"."&amp;VLOOKUP($C753,'#Data'!$B$2:$J$344,2,FALSE)&amp;".skill0"&amp;RIGHT(Q$1,1)</f>
        <v>Sector07.clock_royal_queen_2.skill03</v>
      </c>
      <c r="R753" s="116" t="s">
        <v>206</v>
      </c>
      <c r="S753" s="116" t="s">
        <v>76</v>
      </c>
      <c r="T753" s="116"/>
      <c r="U753" s="116"/>
      <c r="V753" s="23" t="b">
        <v>0</v>
      </c>
      <c r="W753" s="166" t="str">
        <f>"Character/Prefabs/"&amp;VLOOKUP($C753,'#Data'!$B$3:$I$344,8,FALSE)</f>
        <v>Character/Prefabs/m_boss_attacker_clock_royal_queen_2</v>
      </c>
      <c r="X753" s="166"/>
      <c r="Y753" s="166" t="str">
        <f>VLOOKUP($C753,'#Data'!$B$3:$I$344,8,FALSE)</f>
        <v>m_boss_attacker_clock_royal_queen_2</v>
      </c>
      <c r="Z753" s="23"/>
      <c r="AA753" s="23"/>
      <c r="AB753" s="23"/>
      <c r="AC753" s="98">
        <v>1.1000000000000001</v>
      </c>
      <c r="AD753" s="23"/>
      <c r="AE753" s="23" t="s">
        <v>2083</v>
      </c>
      <c r="AF753" s="23" t="s">
        <v>2101</v>
      </c>
      <c r="AG753" s="23" t="s">
        <v>2106</v>
      </c>
      <c r="AH753" s="85"/>
    </row>
    <row r="754" spans="1:34" x14ac:dyDescent="0.3">
      <c r="A754" s="13">
        <f t="shared" si="22"/>
        <v>1410208101</v>
      </c>
      <c r="B754" s="13" t="s">
        <v>210</v>
      </c>
      <c r="C754" s="13" t="s">
        <v>211</v>
      </c>
      <c r="D754" s="13" t="str">
        <f>"Monster.Name."&amp;VLOOKUP($C754,'#Data'!$B$2:$J$344,2,FALSE)</f>
        <v>Monster.Name.plants_sticky_1</v>
      </c>
      <c r="E754" s="13" t="s">
        <v>43</v>
      </c>
      <c r="F754" s="44" t="s">
        <v>44</v>
      </c>
      <c r="G754" s="13" t="s">
        <v>45</v>
      </c>
      <c r="H754" s="13" t="b">
        <f>IF(OR(VLOOKUP($C754,'#Data'!$B$2:$J$344,4,FALSE)="보스",VLOOKUP($C754,'#Data'!$B$2:$J$344,4,FALSE)="중간"),TRUE,FALSE)</f>
        <v>0</v>
      </c>
      <c r="I754" s="13" t="b">
        <v>0</v>
      </c>
      <c r="J754" s="13">
        <v>10</v>
      </c>
      <c r="K754" s="13">
        <f t="shared" si="23"/>
        <v>10</v>
      </c>
      <c r="L754" s="71" t="str">
        <f>$B754&amp;"."&amp;VLOOKUP($C754,'#Data'!$B$2:$J$344,2,FALSE)&amp;".attack0"&amp;RIGHT(L$1,1)</f>
        <v>Sector08.plants_sticky_1.attack01</v>
      </c>
      <c r="M754" s="71"/>
      <c r="N754" s="71"/>
      <c r="O754" s="140" t="s">
        <v>2057</v>
      </c>
      <c r="P754" s="140" t="s">
        <v>1959</v>
      </c>
      <c r="Q754" s="140"/>
      <c r="R754" s="72"/>
      <c r="S754" s="72"/>
      <c r="T754" s="72"/>
      <c r="U754" s="72"/>
      <c r="V754" s="13" t="b">
        <v>0</v>
      </c>
      <c r="W754" s="13" t="str">
        <f>"Character/Prefabs/"&amp;VLOOKUP($C754,'#Data'!$B$3:$I$344,8,FALSE)</f>
        <v>Character/Prefabs/m_s_attacker_plants_sticky_1</v>
      </c>
      <c r="X754" s="13"/>
      <c r="Y754" s="13" t="str">
        <f>VLOOKUP($C754,'#Data'!$B$3:$I$344,8,FALSE)</f>
        <v>m_s_attacker_plants_sticky_1</v>
      </c>
      <c r="Z754" s="13"/>
      <c r="AA754" s="13"/>
      <c r="AB754" s="13"/>
      <c r="AC754" s="92">
        <v>0.9</v>
      </c>
      <c r="AD754" s="13"/>
      <c r="AE754" s="13"/>
      <c r="AF754" s="13"/>
      <c r="AG754" s="13" t="s">
        <v>2106</v>
      </c>
      <c r="AH754" s="85"/>
    </row>
    <row r="755" spans="1:34" x14ac:dyDescent="0.3">
      <c r="A755" s="13">
        <f t="shared" si="22"/>
        <v>1410208102</v>
      </c>
      <c r="B755" s="13" t="s">
        <v>210</v>
      </c>
      <c r="C755" s="13" t="s">
        <v>212</v>
      </c>
      <c r="D755" s="13" t="str">
        <f>"Monster.Name."&amp;VLOOKUP($C755,'#Data'!$B$2:$J$344,2,FALSE)</f>
        <v>Monster.Name.plants_stinger_1</v>
      </c>
      <c r="E755" s="13" t="s">
        <v>1962</v>
      </c>
      <c r="F755" s="44" t="s">
        <v>44</v>
      </c>
      <c r="G755" s="13" t="s">
        <v>45</v>
      </c>
      <c r="H755" s="13" t="b">
        <f>IF(OR(VLOOKUP($C755,'#Data'!$B$2:$J$344,4,FALSE)="보스",VLOOKUP($C755,'#Data'!$B$2:$J$344,4,FALSE)="중간"),TRUE,FALSE)</f>
        <v>0</v>
      </c>
      <c r="I755" s="13" t="b">
        <v>0</v>
      </c>
      <c r="J755" s="13">
        <v>10</v>
      </c>
      <c r="K755" s="13">
        <f t="shared" si="23"/>
        <v>10</v>
      </c>
      <c r="L755" s="71" t="str">
        <f>$B755&amp;"."&amp;VLOOKUP($C755,'#Data'!$B$2:$J$344,2,FALSE)&amp;".attack0"&amp;RIGHT(L$1,1)</f>
        <v>Sector08.plants_stinger_1.attack01</v>
      </c>
      <c r="M755" s="71"/>
      <c r="N755" s="71"/>
      <c r="O755" s="140" t="s">
        <v>2058</v>
      </c>
      <c r="P755" s="140" t="s">
        <v>1959</v>
      </c>
      <c r="Q755" s="140"/>
      <c r="R755" s="72"/>
      <c r="S755" s="72"/>
      <c r="T755" s="72"/>
      <c r="U755" s="72"/>
      <c r="V755" s="13" t="b">
        <v>0</v>
      </c>
      <c r="W755" s="13" t="str">
        <f>"Character/Prefabs/"&amp;VLOOKUP($C755,'#Data'!$B$3:$I$344,8,FALSE)</f>
        <v>Character/Prefabs/m_s_ranger_plants_stinger_1</v>
      </c>
      <c r="X755" s="13"/>
      <c r="Y755" s="13" t="str">
        <f>VLOOKUP($C755,'#Data'!$B$3:$I$344,8,FALSE)</f>
        <v>m_s_ranger_plants_stinger_1</v>
      </c>
      <c r="Z755" s="13"/>
      <c r="AA755" s="13"/>
      <c r="AB755" s="13"/>
      <c r="AC755" s="92">
        <v>0.5</v>
      </c>
      <c r="AD755" s="13"/>
      <c r="AE755" s="13"/>
      <c r="AF755" s="13"/>
      <c r="AG755" s="13" t="s">
        <v>2106</v>
      </c>
      <c r="AH755" s="85"/>
    </row>
    <row r="756" spans="1:34" x14ac:dyDescent="0.3">
      <c r="A756" s="13">
        <f t="shared" si="22"/>
        <v>1410208103</v>
      </c>
      <c r="B756" s="13" t="s">
        <v>210</v>
      </c>
      <c r="C756" s="13" t="s">
        <v>213</v>
      </c>
      <c r="D756" s="13" t="str">
        <f>"Monster.Name."&amp;VLOOKUP($C756,'#Data'!$B$2:$J$344,2,FALSE)</f>
        <v>Monster.Name.plants_bark_1</v>
      </c>
      <c r="E756" s="13" t="s">
        <v>43</v>
      </c>
      <c r="F756" s="44" t="s">
        <v>44</v>
      </c>
      <c r="G756" s="13" t="s">
        <v>45</v>
      </c>
      <c r="H756" s="13" t="b">
        <f>IF(OR(VLOOKUP($C756,'#Data'!$B$2:$J$344,4,FALSE)="보스",VLOOKUP($C756,'#Data'!$B$2:$J$344,4,FALSE)="중간"),TRUE,FALSE)</f>
        <v>0</v>
      </c>
      <c r="I756" s="13" t="b">
        <v>0</v>
      </c>
      <c r="J756" s="13">
        <v>10</v>
      </c>
      <c r="K756" s="13">
        <f t="shared" si="23"/>
        <v>10</v>
      </c>
      <c r="L756" s="71" t="str">
        <f>$B756&amp;"."&amp;VLOOKUP($C756,'#Data'!$B$2:$J$344,2,FALSE)&amp;".attack0"&amp;RIGHT(L$1,1)</f>
        <v>Sector08.plants_bark_1.attack01</v>
      </c>
      <c r="M756" s="71"/>
      <c r="N756" s="71"/>
      <c r="O756" s="140" t="str">
        <f>$B756&amp;"."&amp;VLOOKUP($C756,'#Data'!$B$2:$J$344,2,FALSE)&amp;".skill0"&amp;RIGHT(O$1,1)</f>
        <v>Sector08.plants_bark_1.skill01</v>
      </c>
      <c r="P756" s="140" t="s">
        <v>2059</v>
      </c>
      <c r="Q756" s="140" t="s">
        <v>1959</v>
      </c>
      <c r="R756" s="72"/>
      <c r="S756" s="72"/>
      <c r="T756" s="72"/>
      <c r="U756" s="72"/>
      <c r="V756" s="13" t="b">
        <v>0</v>
      </c>
      <c r="W756" s="13" t="str">
        <f>"Character/Prefabs/"&amp;VLOOKUP($C756,'#Data'!$B$3:$I$344,8,FALSE)</f>
        <v>Character/Prefabs/m_m_attacker_plants_bark_1</v>
      </c>
      <c r="X756" s="13"/>
      <c r="Y756" s="13" t="str">
        <f>VLOOKUP($C756,'#Data'!$B$3:$I$344,8,FALSE)</f>
        <v>m_m_attacker_plants_bark_1</v>
      </c>
      <c r="Z756" s="13"/>
      <c r="AA756" s="13"/>
      <c r="AB756" s="13"/>
      <c r="AC756" s="92">
        <v>0.7</v>
      </c>
      <c r="AD756" s="13"/>
      <c r="AE756" s="13"/>
      <c r="AF756" s="13"/>
      <c r="AG756" s="13" t="s">
        <v>2106</v>
      </c>
      <c r="AH756" s="85"/>
    </row>
    <row r="757" spans="1:34" x14ac:dyDescent="0.3">
      <c r="A757" s="13">
        <f t="shared" si="22"/>
        <v>1410208104</v>
      </c>
      <c r="B757" s="13" t="s">
        <v>210</v>
      </c>
      <c r="C757" s="13" t="s">
        <v>214</v>
      </c>
      <c r="D757" s="13" t="str">
        <f>"Monster.Name."&amp;VLOOKUP($C757,'#Data'!$B$2:$J$344,2,FALSE)</f>
        <v>Monster.Name.plants_branch_1</v>
      </c>
      <c r="E757" s="13" t="s">
        <v>43</v>
      </c>
      <c r="F757" s="44" t="s">
        <v>44</v>
      </c>
      <c r="G757" s="13" t="s">
        <v>45</v>
      </c>
      <c r="H757" s="13" t="b">
        <f>IF(OR(VLOOKUP($C757,'#Data'!$B$2:$J$344,4,FALSE)="보스",VLOOKUP($C757,'#Data'!$B$2:$J$344,4,FALSE)="중간"),TRUE,FALSE)</f>
        <v>0</v>
      </c>
      <c r="I757" s="13" t="b">
        <v>0</v>
      </c>
      <c r="J757" s="13">
        <v>10</v>
      </c>
      <c r="K757" s="13">
        <f t="shared" si="23"/>
        <v>10</v>
      </c>
      <c r="L757" s="71" t="str">
        <f>$B757&amp;"."&amp;VLOOKUP($C757,'#Data'!$B$2:$J$344,2,FALSE)&amp;".attack0"&amp;RIGHT(L$1,1)</f>
        <v>Sector08.plants_branch_1.attack01</v>
      </c>
      <c r="M757" s="71"/>
      <c r="N757" s="71"/>
      <c r="O757" s="140" t="str">
        <f>$B757&amp;"."&amp;VLOOKUP($C757,'#Data'!$B$2:$J$344,2,FALSE)&amp;".skill0"&amp;RIGHT(O$1,1)</f>
        <v>Sector08.plants_branch_1.skill01</v>
      </c>
      <c r="P757" s="140" t="s">
        <v>2060</v>
      </c>
      <c r="Q757" s="140" t="s">
        <v>1959</v>
      </c>
      <c r="R757" s="72"/>
      <c r="S757" s="72"/>
      <c r="T757" s="72"/>
      <c r="U757" s="72"/>
      <c r="V757" s="13" t="b">
        <v>0</v>
      </c>
      <c r="W757" s="13" t="str">
        <f>"Character/Prefabs/"&amp;VLOOKUP($C757,'#Data'!$B$3:$I$344,8,FALSE)</f>
        <v>Character/Prefabs/m_m_attacker_plants_branch_1</v>
      </c>
      <c r="X757" s="13"/>
      <c r="Y757" s="13" t="str">
        <f>VLOOKUP($C757,'#Data'!$B$3:$I$344,8,FALSE)</f>
        <v>m_m_attacker_plants_branch_1</v>
      </c>
      <c r="Z757" s="13"/>
      <c r="AA757" s="13"/>
      <c r="AB757" s="13"/>
      <c r="AC757" s="92">
        <v>0.7</v>
      </c>
      <c r="AD757" s="13"/>
      <c r="AE757" s="13"/>
      <c r="AF757" s="13"/>
      <c r="AG757" s="13" t="s">
        <v>2106</v>
      </c>
      <c r="AH757" s="85"/>
    </row>
    <row r="758" spans="1:34" x14ac:dyDescent="0.3">
      <c r="A758" s="13">
        <f t="shared" si="22"/>
        <v>1410208105</v>
      </c>
      <c r="B758" s="13" t="s">
        <v>210</v>
      </c>
      <c r="C758" s="13" t="s">
        <v>215</v>
      </c>
      <c r="D758" s="13" t="str">
        <f>"Monster.Name."&amp;VLOOKUP($C758,'#Data'!$B$2:$J$344,2,FALSE)</f>
        <v>Monster.Name.plants_shooter_1</v>
      </c>
      <c r="E758" s="13" t="s">
        <v>47</v>
      </c>
      <c r="F758" s="44" t="s">
        <v>44</v>
      </c>
      <c r="G758" s="13" t="s">
        <v>45</v>
      </c>
      <c r="H758" s="13" t="b">
        <f>IF(OR(VLOOKUP($C758,'#Data'!$B$2:$J$344,4,FALSE)="보스",VLOOKUP($C758,'#Data'!$B$2:$J$344,4,FALSE)="중간"),TRUE,FALSE)</f>
        <v>0</v>
      </c>
      <c r="I758" s="13" t="b">
        <v>0</v>
      </c>
      <c r="J758" s="13">
        <v>10</v>
      </c>
      <c r="K758" s="13">
        <f t="shared" si="23"/>
        <v>10</v>
      </c>
      <c r="L758" s="71" t="str">
        <f>$B758&amp;"."&amp;VLOOKUP($C758,'#Data'!$B$2:$J$344,2,FALSE)&amp;".attack0"&amp;RIGHT(L$1,1)</f>
        <v>Sector08.plants_shooter_1.attack01</v>
      </c>
      <c r="M758" s="71"/>
      <c r="N758" s="71"/>
      <c r="O758" s="140" t="str">
        <f>$B758&amp;"."&amp;VLOOKUP($C758,'#Data'!$B$2:$J$344,2,FALSE)&amp;".skill0"&amp;RIGHT(O$1,1)</f>
        <v>Sector08.plants_shooter_1.skill01</v>
      </c>
      <c r="P758" s="140" t="s">
        <v>2061</v>
      </c>
      <c r="Q758" s="140" t="s">
        <v>1959</v>
      </c>
      <c r="R758" s="72"/>
      <c r="S758" s="72"/>
      <c r="T758" s="72"/>
      <c r="U758" s="72"/>
      <c r="V758" s="13" t="b">
        <v>0</v>
      </c>
      <c r="W758" s="13" t="str">
        <f>"Character/Prefabs/"&amp;VLOOKUP($C758,'#Data'!$B$3:$I$344,8,FALSE)</f>
        <v>Character/Prefabs/m_m_ranger_plants_shooter_1</v>
      </c>
      <c r="X758" s="13"/>
      <c r="Y758" s="13" t="str">
        <f>VLOOKUP($C758,'#Data'!$B$3:$I$344,8,FALSE)</f>
        <v>m_m_ranger_plants_shooter_1</v>
      </c>
      <c r="Z758" s="13"/>
      <c r="AA758" s="13"/>
      <c r="AB758" s="13"/>
      <c r="AC758" s="92">
        <v>0.9</v>
      </c>
      <c r="AD758" s="13"/>
      <c r="AE758" s="13"/>
      <c r="AF758" s="13"/>
      <c r="AG758" s="13" t="s">
        <v>2106</v>
      </c>
      <c r="AH758" s="85"/>
    </row>
    <row r="759" spans="1:34" x14ac:dyDescent="0.3">
      <c r="A759" s="13">
        <f t="shared" si="22"/>
        <v>1410208106</v>
      </c>
      <c r="B759" s="13" t="s">
        <v>210</v>
      </c>
      <c r="C759" s="13" t="s">
        <v>216</v>
      </c>
      <c r="D759" s="13" t="str">
        <f>"Monster.Name."&amp;VLOOKUP($C759,'#Data'!$B$2:$J$344,2,FALSE)</f>
        <v>Monster.Name.plants_cannon_1</v>
      </c>
      <c r="E759" s="13" t="s">
        <v>47</v>
      </c>
      <c r="F759" s="44" t="s">
        <v>44</v>
      </c>
      <c r="G759" s="13" t="s">
        <v>45</v>
      </c>
      <c r="H759" s="13" t="b">
        <f>IF(OR(VLOOKUP($C759,'#Data'!$B$2:$J$344,4,FALSE)="보스",VLOOKUP($C759,'#Data'!$B$2:$J$344,4,FALSE)="중간"),TRUE,FALSE)</f>
        <v>0</v>
      </c>
      <c r="I759" s="13" t="b">
        <v>0</v>
      </c>
      <c r="J759" s="13">
        <v>10</v>
      </c>
      <c r="K759" s="13">
        <f t="shared" si="23"/>
        <v>10</v>
      </c>
      <c r="L759" s="71" t="str">
        <f>$B759&amp;"."&amp;VLOOKUP($C759,'#Data'!$B$2:$J$344,2,FALSE)&amp;".attack0"&amp;RIGHT(L$1,1)</f>
        <v>Sector08.plants_cannon_1.attack01</v>
      </c>
      <c r="M759" s="71"/>
      <c r="N759" s="71"/>
      <c r="O759" s="140" t="str">
        <f>$B759&amp;"."&amp;VLOOKUP($C759,'#Data'!$B$2:$J$344,2,FALSE)&amp;".skill0"&amp;RIGHT(O$1,1)</f>
        <v>Sector08.plants_cannon_1.skill01</v>
      </c>
      <c r="P759" s="140" t="s">
        <v>2062</v>
      </c>
      <c r="Q759" s="140" t="s">
        <v>1959</v>
      </c>
      <c r="R759" s="72"/>
      <c r="S759" s="72"/>
      <c r="T759" s="72"/>
      <c r="U759" s="72"/>
      <c r="V759" s="13" t="b">
        <v>0</v>
      </c>
      <c r="W759" s="13" t="str">
        <f>"Character/Prefabs/"&amp;VLOOKUP($C759,'#Data'!$B$3:$I$344,8,FALSE)</f>
        <v>Character/Prefabs/m_m_ranger_plants_cannon_1</v>
      </c>
      <c r="X759" s="13"/>
      <c r="Y759" s="13" t="str">
        <f>VLOOKUP($C759,'#Data'!$B$3:$I$344,8,FALSE)</f>
        <v>m_m_ranger_plants_cannon_1</v>
      </c>
      <c r="Z759" s="13"/>
      <c r="AA759" s="13"/>
      <c r="AB759" s="13"/>
      <c r="AC759" s="92">
        <v>0.9</v>
      </c>
      <c r="AD759" s="13"/>
      <c r="AE759" s="13"/>
      <c r="AF759" s="13"/>
      <c r="AG759" s="13" t="s">
        <v>2106</v>
      </c>
      <c r="AH759" s="85"/>
    </row>
    <row r="760" spans="1:34" x14ac:dyDescent="0.3">
      <c r="A760" s="13">
        <f t="shared" si="22"/>
        <v>1410208107</v>
      </c>
      <c r="B760" s="13" t="s">
        <v>210</v>
      </c>
      <c r="C760" s="13" t="s">
        <v>217</v>
      </c>
      <c r="D760" s="13" t="str">
        <f>"Monster.Name."&amp;VLOOKUP($C760,'#Data'!$B$2:$J$344,2,FALSE)</f>
        <v>Monster.Name.creeper_seed_1</v>
      </c>
      <c r="E760" s="13" t="s">
        <v>58</v>
      </c>
      <c r="F760" s="44" t="s">
        <v>44</v>
      </c>
      <c r="G760" s="13" t="s">
        <v>45</v>
      </c>
      <c r="H760" s="13" t="b">
        <f>IF(OR(VLOOKUP($C760,'#Data'!$B$2:$J$344,4,FALSE)="보스",VLOOKUP($C760,'#Data'!$B$2:$J$344,4,FALSE)="중간"),TRUE,FALSE)</f>
        <v>0</v>
      </c>
      <c r="I760" s="13" t="b">
        <v>0</v>
      </c>
      <c r="J760" s="13">
        <v>20</v>
      </c>
      <c r="K760" s="13">
        <f t="shared" si="23"/>
        <v>10</v>
      </c>
      <c r="L760" s="71" t="str">
        <f>$B760&amp;"."&amp;VLOOKUP($C760,'#Data'!$B$2:$J$344,2,FALSE)&amp;".attack0"&amp;RIGHT(L$1,1)</f>
        <v>Sector08.creeper_seed_1.attack01</v>
      </c>
      <c r="M760" s="71"/>
      <c r="N760" s="71"/>
      <c r="O760" s="140" t="str">
        <f>$B760&amp;"."&amp;VLOOKUP($C760,'#Data'!$B$2:$J$344,2,FALSE)&amp;".skill0"&amp;RIGHT(O$1,1)</f>
        <v>Sector08.creeper_seed_1.skill01</v>
      </c>
      <c r="P760" s="140" t="s">
        <v>2063</v>
      </c>
      <c r="Q760" s="140" t="s">
        <v>1959</v>
      </c>
      <c r="R760" s="72"/>
      <c r="S760" s="72"/>
      <c r="T760" s="72"/>
      <c r="U760" s="72"/>
      <c r="V760" s="13" t="b">
        <v>0</v>
      </c>
      <c r="W760" s="13" t="str">
        <f>"Character/Prefabs/"&amp;VLOOKUP($C760,'#Data'!$B$3:$I$344,8,FALSE)</f>
        <v>Character/Prefabs/m_m_tanker_creeper_seed_1</v>
      </c>
      <c r="X760" s="13"/>
      <c r="Y760" s="13" t="str">
        <f>VLOOKUP($C760,'#Data'!$B$3:$I$344,8,FALSE)</f>
        <v>m_m_tanker_creeper_seed_1</v>
      </c>
      <c r="Z760" s="13"/>
      <c r="AA760" s="13"/>
      <c r="AB760" s="13"/>
      <c r="AC760" s="92">
        <v>0.6</v>
      </c>
      <c r="AD760" s="13"/>
      <c r="AE760" s="13"/>
      <c r="AF760" s="13"/>
      <c r="AG760" s="13" t="s">
        <v>2106</v>
      </c>
      <c r="AH760" s="85"/>
    </row>
    <row r="761" spans="1:34" x14ac:dyDescent="0.3">
      <c r="A761" s="13">
        <f t="shared" si="22"/>
        <v>1410208108</v>
      </c>
      <c r="B761" s="13" t="s">
        <v>210</v>
      </c>
      <c r="C761" s="13" t="s">
        <v>218</v>
      </c>
      <c r="D761" s="13" t="str">
        <f>"Monster.Name."&amp;VLOOKUP($C761,'#Data'!$B$2:$J$344,2,FALSE)</f>
        <v>Monster.Name.plants_garden_1</v>
      </c>
      <c r="E761" s="13" t="s">
        <v>47</v>
      </c>
      <c r="F761" s="44" t="s">
        <v>44</v>
      </c>
      <c r="G761" s="13" t="s">
        <v>45</v>
      </c>
      <c r="H761" s="13" t="b">
        <f>IF(OR(VLOOKUP($C761,'#Data'!$B$2:$J$344,4,FALSE)="보스",VLOOKUP($C761,'#Data'!$B$2:$J$344,4,FALSE)="중간"),TRUE,FALSE)</f>
        <v>0</v>
      </c>
      <c r="I761" s="13" t="b">
        <v>0</v>
      </c>
      <c r="J761" s="13">
        <v>10</v>
      </c>
      <c r="K761" s="13">
        <f t="shared" si="23"/>
        <v>10</v>
      </c>
      <c r="L761" s="71" t="str">
        <f>$B761&amp;"."&amp;VLOOKUP($C761,'#Data'!$B$2:$J$344,2,FALSE)&amp;".attack0"&amp;RIGHT(L$1,1)</f>
        <v>Sector08.plants_garden_1.attack01</v>
      </c>
      <c r="M761" s="71"/>
      <c r="N761" s="71"/>
      <c r="O761" s="140" t="str">
        <f>$B761&amp;"."&amp;VLOOKUP($C761,'#Data'!$B$2:$J$344,2,FALSE)&amp;".skill0"&amp;RIGHT(O$1,1)</f>
        <v>Sector08.plants_garden_1.skill01</v>
      </c>
      <c r="P761" s="140" t="s">
        <v>2064</v>
      </c>
      <c r="Q761" s="140" t="s">
        <v>1959</v>
      </c>
      <c r="R761" s="72"/>
      <c r="S761" s="72"/>
      <c r="T761" s="72"/>
      <c r="U761" s="72"/>
      <c r="V761" s="13" t="b">
        <v>0</v>
      </c>
      <c r="W761" s="13" t="str">
        <f>"Character/Prefabs/"&amp;VLOOKUP($C761,'#Data'!$B$3:$I$344,8,FALSE)</f>
        <v>Character/Prefabs/m_m_ranger_plants_garden_1</v>
      </c>
      <c r="X761" s="13"/>
      <c r="Y761" s="13" t="str">
        <f>VLOOKUP($C761,'#Data'!$B$3:$I$344,8,FALSE)</f>
        <v>m_m_ranger_plants_garden_1</v>
      </c>
      <c r="Z761" s="13"/>
      <c r="AA761" s="13"/>
      <c r="AB761" s="13"/>
      <c r="AC761" s="92">
        <v>0.5</v>
      </c>
      <c r="AD761" s="13"/>
      <c r="AE761" s="13"/>
      <c r="AF761" s="13"/>
      <c r="AG761" s="13" t="s">
        <v>2106</v>
      </c>
      <c r="AH761" s="85"/>
    </row>
    <row r="762" spans="1:34" x14ac:dyDescent="0.3">
      <c r="A762" s="45">
        <f t="shared" si="22"/>
        <v>1410208109</v>
      </c>
      <c r="B762" s="45" t="s">
        <v>210</v>
      </c>
      <c r="C762" s="45" t="s">
        <v>1891</v>
      </c>
      <c r="D762" s="45" t="str">
        <f>"Monster.Name."&amp;VLOOKUP($C762,'#Data'!$B$2:$J$344,2,FALSE)</f>
        <v>Monster.Name.plants_sticky_2</v>
      </c>
      <c r="E762" s="45" t="s">
        <v>43</v>
      </c>
      <c r="F762" s="46" t="s">
        <v>44</v>
      </c>
      <c r="G762" s="45" t="s">
        <v>45</v>
      </c>
      <c r="H762" s="45" t="b">
        <f>IF(OR(VLOOKUP($C762,'#Data'!$B$2:$J$344,4,FALSE)="보스",VLOOKUP($C762,'#Data'!$B$2:$J$344,4,FALSE)="중간"),TRUE,FALSE)</f>
        <v>0</v>
      </c>
      <c r="I762" s="45" t="b">
        <v>0</v>
      </c>
      <c r="J762" s="45">
        <v>10</v>
      </c>
      <c r="K762" s="45">
        <f t="shared" si="23"/>
        <v>10</v>
      </c>
      <c r="L762" s="73" t="s">
        <v>1906</v>
      </c>
      <c r="M762" s="73"/>
      <c r="N762" s="73"/>
      <c r="O762" s="141" t="s">
        <v>2057</v>
      </c>
      <c r="P762" s="141" t="s">
        <v>1959</v>
      </c>
      <c r="Q762" s="141"/>
      <c r="R762" s="74"/>
      <c r="S762" s="74"/>
      <c r="T762" s="74"/>
      <c r="U762" s="74"/>
      <c r="V762" s="45" t="b">
        <v>0</v>
      </c>
      <c r="W762" s="45" t="str">
        <f>"Character/Prefabs/"&amp;VLOOKUP($C762,'#Data'!$B$3:$I$344,8,FALSE)</f>
        <v>Character/Prefabs/m_s_attacker_plants_sticky_2</v>
      </c>
      <c r="X762" s="45"/>
      <c r="Y762" s="45" t="str">
        <f>VLOOKUP($C762,'#Data'!$B$3:$I$344,8,FALSE)</f>
        <v>m_s_attacker_plants_sticky_2</v>
      </c>
      <c r="Z762" s="45"/>
      <c r="AA762" s="45"/>
      <c r="AB762" s="45"/>
      <c r="AC762" s="93">
        <v>0.9</v>
      </c>
      <c r="AD762" s="45"/>
      <c r="AE762" s="45"/>
      <c r="AF762" s="45"/>
      <c r="AG762" s="45" t="s">
        <v>2106</v>
      </c>
      <c r="AH762" s="85"/>
    </row>
    <row r="763" spans="1:34" x14ac:dyDescent="0.3">
      <c r="A763" s="45">
        <f t="shared" si="22"/>
        <v>1410208110</v>
      </c>
      <c r="B763" s="45" t="s">
        <v>210</v>
      </c>
      <c r="C763" s="45" t="s">
        <v>1892</v>
      </c>
      <c r="D763" s="45" t="str">
        <f>"Monster.Name."&amp;VLOOKUP($C763,'#Data'!$B$2:$J$344,2,FALSE)</f>
        <v>Monster.Name.plants_stinger_2</v>
      </c>
      <c r="E763" s="45" t="s">
        <v>43</v>
      </c>
      <c r="F763" s="46" t="s">
        <v>44</v>
      </c>
      <c r="G763" s="45" t="s">
        <v>45</v>
      </c>
      <c r="H763" s="45" t="b">
        <f>IF(OR(VLOOKUP($C763,'#Data'!$B$2:$J$344,4,FALSE)="보스",VLOOKUP($C763,'#Data'!$B$2:$J$344,4,FALSE)="중간"),TRUE,FALSE)</f>
        <v>0</v>
      </c>
      <c r="I763" s="45" t="b">
        <v>0</v>
      </c>
      <c r="J763" s="45">
        <v>10</v>
      </c>
      <c r="K763" s="45">
        <f t="shared" si="23"/>
        <v>10</v>
      </c>
      <c r="L763" s="73" t="s">
        <v>1966</v>
      </c>
      <c r="M763" s="73"/>
      <c r="N763" s="73"/>
      <c r="O763" s="141" t="s">
        <v>2058</v>
      </c>
      <c r="P763" s="141" t="s">
        <v>1959</v>
      </c>
      <c r="Q763" s="141"/>
      <c r="R763" s="74"/>
      <c r="S763" s="74"/>
      <c r="T763" s="74"/>
      <c r="U763" s="74"/>
      <c r="V763" s="45" t="b">
        <v>0</v>
      </c>
      <c r="W763" s="45" t="str">
        <f>"Character/Prefabs/"&amp;VLOOKUP($C763,'#Data'!$B$3:$I$344,8,FALSE)</f>
        <v>Character/Prefabs/m_s_ranger_plants_stinger_2</v>
      </c>
      <c r="X763" s="45"/>
      <c r="Y763" s="45" t="str">
        <f>VLOOKUP($C763,'#Data'!$B$3:$I$344,8,FALSE)</f>
        <v>m_s_ranger_plants_stinger_2</v>
      </c>
      <c r="Z763" s="45"/>
      <c r="AA763" s="45"/>
      <c r="AB763" s="45"/>
      <c r="AC763" s="93">
        <v>0.5</v>
      </c>
      <c r="AD763" s="45"/>
      <c r="AE763" s="45"/>
      <c r="AF763" s="45"/>
      <c r="AG763" s="45" t="s">
        <v>2106</v>
      </c>
      <c r="AH763" s="85"/>
    </row>
    <row r="764" spans="1:34" x14ac:dyDescent="0.3">
      <c r="A764" s="45">
        <f t="shared" si="22"/>
        <v>1410208111</v>
      </c>
      <c r="B764" s="45" t="s">
        <v>210</v>
      </c>
      <c r="C764" s="45" t="s">
        <v>1893</v>
      </c>
      <c r="D764" s="45" t="str">
        <f>"Monster.Name."&amp;VLOOKUP($C764,'#Data'!$B$2:$J$344,2,FALSE)</f>
        <v>Monster.Name.plants_bark_2</v>
      </c>
      <c r="E764" s="45" t="s">
        <v>43</v>
      </c>
      <c r="F764" s="46" t="s">
        <v>44</v>
      </c>
      <c r="G764" s="45" t="s">
        <v>45</v>
      </c>
      <c r="H764" s="45" t="b">
        <f>IF(OR(VLOOKUP($C764,'#Data'!$B$2:$J$344,4,FALSE)="보스",VLOOKUP($C764,'#Data'!$B$2:$J$344,4,FALSE)="중간"),TRUE,FALSE)</f>
        <v>0</v>
      </c>
      <c r="I764" s="45" t="b">
        <v>0</v>
      </c>
      <c r="J764" s="45">
        <v>10</v>
      </c>
      <c r="K764" s="45">
        <f t="shared" si="23"/>
        <v>10</v>
      </c>
      <c r="L764" s="73" t="s">
        <v>1907</v>
      </c>
      <c r="M764" s="73"/>
      <c r="N764" s="73"/>
      <c r="O764" s="141" t="s">
        <v>1913</v>
      </c>
      <c r="P764" s="141" t="s">
        <v>2059</v>
      </c>
      <c r="Q764" s="141" t="s">
        <v>1959</v>
      </c>
      <c r="R764" s="74"/>
      <c r="S764" s="74"/>
      <c r="T764" s="74"/>
      <c r="U764" s="74"/>
      <c r="V764" s="45" t="b">
        <v>0</v>
      </c>
      <c r="W764" s="45" t="str">
        <f>"Character/Prefabs/"&amp;VLOOKUP($C764,'#Data'!$B$3:$I$344,8,FALSE)</f>
        <v>Character/Prefabs/m_m_attacker_plants_bark_2</v>
      </c>
      <c r="X764" s="45"/>
      <c r="Y764" s="45" t="str">
        <f>VLOOKUP($C764,'#Data'!$B$3:$I$344,8,FALSE)</f>
        <v>m_m_attacker_plants_bark_2</v>
      </c>
      <c r="Z764" s="45"/>
      <c r="AA764" s="45"/>
      <c r="AB764" s="45"/>
      <c r="AC764" s="93">
        <v>0.7</v>
      </c>
      <c r="AD764" s="45"/>
      <c r="AE764" s="45"/>
      <c r="AF764" s="45"/>
      <c r="AG764" s="45" t="s">
        <v>2106</v>
      </c>
      <c r="AH764" s="85"/>
    </row>
    <row r="765" spans="1:34" x14ac:dyDescent="0.3">
      <c r="A765" s="45">
        <f t="shared" si="22"/>
        <v>1410208112</v>
      </c>
      <c r="B765" s="45" t="s">
        <v>210</v>
      </c>
      <c r="C765" s="45" t="s">
        <v>1894</v>
      </c>
      <c r="D765" s="45" t="str">
        <f>"Monster.Name."&amp;VLOOKUP($C765,'#Data'!$B$2:$J$344,2,FALSE)</f>
        <v>Monster.Name.plants_branch_2</v>
      </c>
      <c r="E765" s="45" t="s">
        <v>43</v>
      </c>
      <c r="F765" s="46" t="s">
        <v>44</v>
      </c>
      <c r="G765" s="45" t="s">
        <v>45</v>
      </c>
      <c r="H765" s="45" t="b">
        <f>IF(OR(VLOOKUP($C765,'#Data'!$B$2:$J$344,4,FALSE)="보스",VLOOKUP($C765,'#Data'!$B$2:$J$344,4,FALSE)="중간"),TRUE,FALSE)</f>
        <v>0</v>
      </c>
      <c r="I765" s="45" t="b">
        <v>0</v>
      </c>
      <c r="J765" s="45">
        <v>10</v>
      </c>
      <c r="K765" s="45">
        <f t="shared" si="23"/>
        <v>10</v>
      </c>
      <c r="L765" s="73" t="s">
        <v>1908</v>
      </c>
      <c r="M765" s="73"/>
      <c r="N765" s="73"/>
      <c r="O765" s="141" t="s">
        <v>1914</v>
      </c>
      <c r="P765" s="141" t="s">
        <v>2060</v>
      </c>
      <c r="Q765" s="141" t="s">
        <v>1959</v>
      </c>
      <c r="R765" s="74"/>
      <c r="S765" s="74"/>
      <c r="T765" s="74"/>
      <c r="U765" s="74"/>
      <c r="V765" s="45" t="b">
        <v>0</v>
      </c>
      <c r="W765" s="45" t="str">
        <f>"Character/Prefabs/"&amp;VLOOKUP($C765,'#Data'!$B$3:$I$344,8,FALSE)</f>
        <v>Character/Prefabs/m_m_attacker_plants_branch_2</v>
      </c>
      <c r="X765" s="45"/>
      <c r="Y765" s="45" t="str">
        <f>VLOOKUP($C765,'#Data'!$B$3:$I$344,8,FALSE)</f>
        <v>m_m_attacker_plants_branch_2</v>
      </c>
      <c r="Z765" s="45"/>
      <c r="AA765" s="45"/>
      <c r="AB765" s="45"/>
      <c r="AC765" s="93">
        <v>0.7</v>
      </c>
      <c r="AD765" s="45"/>
      <c r="AE765" s="45"/>
      <c r="AF765" s="45"/>
      <c r="AG765" s="45" t="s">
        <v>2106</v>
      </c>
      <c r="AH765" s="85"/>
    </row>
    <row r="766" spans="1:34" x14ac:dyDescent="0.3">
      <c r="A766" s="45">
        <f t="shared" si="22"/>
        <v>1410208113</v>
      </c>
      <c r="B766" s="45" t="s">
        <v>210</v>
      </c>
      <c r="C766" s="45" t="s">
        <v>1895</v>
      </c>
      <c r="D766" s="45" t="str">
        <f>"Monster.Name."&amp;VLOOKUP($C766,'#Data'!$B$2:$J$344,2,FALSE)</f>
        <v>Monster.Name.plants_shooter_2</v>
      </c>
      <c r="E766" s="45" t="s">
        <v>47</v>
      </c>
      <c r="F766" s="46" t="s">
        <v>44</v>
      </c>
      <c r="G766" s="45" t="s">
        <v>45</v>
      </c>
      <c r="H766" s="45" t="b">
        <f>IF(OR(VLOOKUP($C766,'#Data'!$B$2:$J$344,4,FALSE)="보스",VLOOKUP($C766,'#Data'!$B$2:$J$344,4,FALSE)="중간"),TRUE,FALSE)</f>
        <v>0</v>
      </c>
      <c r="I766" s="45" t="b">
        <v>0</v>
      </c>
      <c r="J766" s="45">
        <v>10</v>
      </c>
      <c r="K766" s="45">
        <f t="shared" si="23"/>
        <v>10</v>
      </c>
      <c r="L766" s="73" t="s">
        <v>1909</v>
      </c>
      <c r="M766" s="73"/>
      <c r="N766" s="73"/>
      <c r="O766" s="141" t="s">
        <v>1915</v>
      </c>
      <c r="P766" s="141" t="s">
        <v>2061</v>
      </c>
      <c r="Q766" s="141" t="s">
        <v>1959</v>
      </c>
      <c r="R766" s="74"/>
      <c r="S766" s="74"/>
      <c r="T766" s="74"/>
      <c r="U766" s="74"/>
      <c r="V766" s="45" t="b">
        <v>0</v>
      </c>
      <c r="W766" s="45" t="str">
        <f>"Character/Prefabs/"&amp;VLOOKUP($C766,'#Data'!$B$3:$I$344,8,FALSE)</f>
        <v>Character/Prefabs/m_m_ranger_plants_shooter_2</v>
      </c>
      <c r="X766" s="45"/>
      <c r="Y766" s="45" t="str">
        <f>VLOOKUP($C766,'#Data'!$B$3:$I$344,8,FALSE)</f>
        <v>m_m_ranger_plants_shooter_2</v>
      </c>
      <c r="Z766" s="45"/>
      <c r="AA766" s="45"/>
      <c r="AB766" s="45"/>
      <c r="AC766" s="93">
        <v>0.9</v>
      </c>
      <c r="AD766" s="45"/>
      <c r="AE766" s="45"/>
      <c r="AF766" s="45"/>
      <c r="AG766" s="45" t="s">
        <v>2106</v>
      </c>
      <c r="AH766" s="85"/>
    </row>
    <row r="767" spans="1:34" x14ac:dyDescent="0.3">
      <c r="A767" s="45">
        <f t="shared" si="22"/>
        <v>1410208114</v>
      </c>
      <c r="B767" s="45" t="s">
        <v>210</v>
      </c>
      <c r="C767" s="45" t="s">
        <v>1896</v>
      </c>
      <c r="D767" s="45" t="str">
        <f>"Monster.Name."&amp;VLOOKUP($C767,'#Data'!$B$2:$J$344,2,FALSE)</f>
        <v>Monster.Name.plants_cannon_2</v>
      </c>
      <c r="E767" s="45" t="s">
        <v>47</v>
      </c>
      <c r="F767" s="46" t="s">
        <v>44</v>
      </c>
      <c r="G767" s="45" t="s">
        <v>45</v>
      </c>
      <c r="H767" s="45" t="b">
        <f>IF(OR(VLOOKUP($C767,'#Data'!$B$2:$J$344,4,FALSE)="보스",VLOOKUP($C767,'#Data'!$B$2:$J$344,4,FALSE)="중간"),TRUE,FALSE)</f>
        <v>0</v>
      </c>
      <c r="I767" s="45" t="b">
        <v>0</v>
      </c>
      <c r="J767" s="45">
        <v>10</v>
      </c>
      <c r="K767" s="45">
        <f t="shared" si="23"/>
        <v>10</v>
      </c>
      <c r="L767" s="73" t="s">
        <v>1910</v>
      </c>
      <c r="M767" s="73"/>
      <c r="N767" s="73"/>
      <c r="O767" s="141" t="s">
        <v>1917</v>
      </c>
      <c r="P767" s="141" t="s">
        <v>2062</v>
      </c>
      <c r="Q767" s="141" t="s">
        <v>1959</v>
      </c>
      <c r="R767" s="74"/>
      <c r="S767" s="74"/>
      <c r="T767" s="74"/>
      <c r="U767" s="74"/>
      <c r="V767" s="45" t="b">
        <v>0</v>
      </c>
      <c r="W767" s="45" t="str">
        <f>"Character/Prefabs/"&amp;VLOOKUP($C767,'#Data'!$B$3:$I$344,8,FALSE)</f>
        <v>Character/Prefabs/m_m_ranger_plants_cannon_2</v>
      </c>
      <c r="X767" s="45"/>
      <c r="Y767" s="45" t="str">
        <f>VLOOKUP($C767,'#Data'!$B$3:$I$344,8,FALSE)</f>
        <v>m_m_ranger_plants_cannon_2</v>
      </c>
      <c r="Z767" s="45"/>
      <c r="AA767" s="45"/>
      <c r="AB767" s="45"/>
      <c r="AC767" s="93">
        <v>0.9</v>
      </c>
      <c r="AD767" s="45"/>
      <c r="AE767" s="45"/>
      <c r="AF767" s="45"/>
      <c r="AG767" s="45" t="s">
        <v>2106</v>
      </c>
      <c r="AH767" s="85"/>
    </row>
    <row r="768" spans="1:34" x14ac:dyDescent="0.3">
      <c r="A768" s="45">
        <f t="shared" si="22"/>
        <v>1410208115</v>
      </c>
      <c r="B768" s="45" t="s">
        <v>210</v>
      </c>
      <c r="C768" s="45" t="s">
        <v>1897</v>
      </c>
      <c r="D768" s="45" t="str">
        <f>"Monster.Name."&amp;VLOOKUP($C768,'#Data'!$B$2:$J$344,2,FALSE)</f>
        <v>Monster.Name.creeper_seed_2</v>
      </c>
      <c r="E768" s="45" t="s">
        <v>58</v>
      </c>
      <c r="F768" s="46" t="s">
        <v>44</v>
      </c>
      <c r="G768" s="45" t="s">
        <v>45</v>
      </c>
      <c r="H768" s="45" t="b">
        <f>IF(OR(VLOOKUP($C768,'#Data'!$B$2:$J$344,4,FALSE)="보스",VLOOKUP($C768,'#Data'!$B$2:$J$344,4,FALSE)="중간"),TRUE,FALSE)</f>
        <v>0</v>
      </c>
      <c r="I768" s="45" t="b">
        <v>0</v>
      </c>
      <c r="J768" s="45">
        <v>10</v>
      </c>
      <c r="K768" s="45">
        <f t="shared" si="23"/>
        <v>10</v>
      </c>
      <c r="L768" s="73" t="s">
        <v>1911</v>
      </c>
      <c r="M768" s="73"/>
      <c r="N768" s="73"/>
      <c r="O768" s="141" t="s">
        <v>1918</v>
      </c>
      <c r="P768" s="141" t="s">
        <v>2063</v>
      </c>
      <c r="Q768" s="141" t="s">
        <v>1959</v>
      </c>
      <c r="R768" s="74"/>
      <c r="S768" s="74"/>
      <c r="T768" s="74"/>
      <c r="U768" s="74"/>
      <c r="V768" s="45" t="b">
        <v>0</v>
      </c>
      <c r="W768" s="45" t="str">
        <f>"Character/Prefabs/"&amp;VLOOKUP($C768,'#Data'!$B$3:$I$344,8,FALSE)</f>
        <v>Character/Prefabs/m_m_tanker_creeper_seed_2</v>
      </c>
      <c r="X768" s="45"/>
      <c r="Y768" s="45" t="str">
        <f>VLOOKUP($C768,'#Data'!$B$3:$I$344,8,FALSE)</f>
        <v>m_m_tanker_creeper_seed_2</v>
      </c>
      <c r="Z768" s="45"/>
      <c r="AA768" s="45"/>
      <c r="AB768" s="45"/>
      <c r="AC768" s="93">
        <v>0.6</v>
      </c>
      <c r="AD768" s="45"/>
      <c r="AE768" s="45"/>
      <c r="AF768" s="45"/>
      <c r="AG768" s="45" t="s">
        <v>2106</v>
      </c>
      <c r="AH768" s="85"/>
    </row>
    <row r="769" spans="1:34" x14ac:dyDescent="0.3">
      <c r="A769" s="45">
        <f t="shared" si="22"/>
        <v>1410208116</v>
      </c>
      <c r="B769" s="45" t="s">
        <v>210</v>
      </c>
      <c r="C769" s="45" t="s">
        <v>1898</v>
      </c>
      <c r="D769" s="45" t="str">
        <f>"Monster.Name."&amp;VLOOKUP($C769,'#Data'!$B$2:$J$344,2,FALSE)</f>
        <v>Monster.Name.plants_garden_2</v>
      </c>
      <c r="E769" s="45" t="s">
        <v>47</v>
      </c>
      <c r="F769" s="46" t="s">
        <v>44</v>
      </c>
      <c r="G769" s="45" t="s">
        <v>45</v>
      </c>
      <c r="H769" s="45" t="b">
        <f>IF(OR(VLOOKUP($C769,'#Data'!$B$2:$J$344,4,FALSE)="보스",VLOOKUP($C769,'#Data'!$B$2:$J$344,4,FALSE)="중간"),TRUE,FALSE)</f>
        <v>0</v>
      </c>
      <c r="I769" s="45" t="b">
        <v>0</v>
      </c>
      <c r="J769" s="45">
        <v>10</v>
      </c>
      <c r="K769" s="45">
        <f t="shared" si="23"/>
        <v>10</v>
      </c>
      <c r="L769" s="73" t="s">
        <v>1912</v>
      </c>
      <c r="M769" s="73"/>
      <c r="N769" s="73"/>
      <c r="O769" s="141" t="s">
        <v>1916</v>
      </c>
      <c r="P769" s="141" t="s">
        <v>2064</v>
      </c>
      <c r="Q769" s="141" t="s">
        <v>1959</v>
      </c>
      <c r="R769" s="74"/>
      <c r="S769" s="74"/>
      <c r="T769" s="74"/>
      <c r="U769" s="74"/>
      <c r="V769" s="45" t="b">
        <v>0</v>
      </c>
      <c r="W769" s="45" t="str">
        <f>"Character/Prefabs/"&amp;VLOOKUP($C769,'#Data'!$B$3:$I$344,8,FALSE)</f>
        <v>Character/Prefabs/m_m_ranger_plants_garden_2</v>
      </c>
      <c r="X769" s="45"/>
      <c r="Y769" s="45" t="str">
        <f>VLOOKUP($C769,'#Data'!$B$3:$I$344,8,FALSE)</f>
        <v>m_m_ranger_plants_garden_2</v>
      </c>
      <c r="Z769" s="45"/>
      <c r="AA769" s="45"/>
      <c r="AB769" s="45"/>
      <c r="AC769" s="93">
        <v>0.5</v>
      </c>
      <c r="AD769" s="45"/>
      <c r="AE769" s="45"/>
      <c r="AF769" s="45"/>
      <c r="AG769" s="45" t="s">
        <v>2106</v>
      </c>
      <c r="AH769" s="85"/>
    </row>
    <row r="770" spans="1:34" x14ac:dyDescent="0.3">
      <c r="A770" s="45">
        <f t="shared" si="22"/>
        <v>1410208117</v>
      </c>
      <c r="B770" s="45" t="s">
        <v>210</v>
      </c>
      <c r="C770" s="45" t="s">
        <v>1925</v>
      </c>
      <c r="D770" s="13" t="s">
        <v>1919</v>
      </c>
      <c r="E770" s="13" t="s">
        <v>43</v>
      </c>
      <c r="F770" s="44" t="s">
        <v>44</v>
      </c>
      <c r="G770" s="13" t="s">
        <v>45</v>
      </c>
      <c r="H770" s="13" t="b">
        <v>0</v>
      </c>
      <c r="I770" s="13" t="b">
        <v>0</v>
      </c>
      <c r="J770" s="13">
        <v>10</v>
      </c>
      <c r="K770" s="13">
        <f t="shared" si="23"/>
        <v>10</v>
      </c>
      <c r="L770" s="71" t="s">
        <v>1946</v>
      </c>
      <c r="M770" s="71"/>
      <c r="N770" s="71"/>
      <c r="O770" s="141" t="s">
        <v>1948</v>
      </c>
      <c r="P770" s="140"/>
      <c r="Q770" s="140"/>
      <c r="R770" s="72"/>
      <c r="S770" s="72"/>
      <c r="T770" s="72"/>
      <c r="U770" s="72"/>
      <c r="V770" s="13" t="b">
        <v>0</v>
      </c>
      <c r="W770" s="13" t="s">
        <v>1920</v>
      </c>
      <c r="X770" s="13"/>
      <c r="Y770" s="13" t="s">
        <v>1921</v>
      </c>
      <c r="Z770" s="13"/>
      <c r="AA770" s="13"/>
      <c r="AB770" s="13"/>
      <c r="AC770" s="92">
        <v>0.7</v>
      </c>
      <c r="AD770" s="13"/>
      <c r="AE770" s="13"/>
      <c r="AF770" s="13"/>
      <c r="AG770" s="13" t="s">
        <v>2106</v>
      </c>
      <c r="AH770" s="85"/>
    </row>
    <row r="771" spans="1:34" x14ac:dyDescent="0.3">
      <c r="A771" s="45">
        <f t="shared" si="22"/>
        <v>1410208118</v>
      </c>
      <c r="B771" s="45" t="s">
        <v>210</v>
      </c>
      <c r="C771" s="45" t="s">
        <v>1926</v>
      </c>
      <c r="D771" s="13" t="s">
        <v>1922</v>
      </c>
      <c r="E771" s="13" t="s">
        <v>43</v>
      </c>
      <c r="F771" s="44" t="s">
        <v>44</v>
      </c>
      <c r="G771" s="13" t="s">
        <v>45</v>
      </c>
      <c r="H771" s="13" t="b">
        <v>0</v>
      </c>
      <c r="I771" s="13" t="b">
        <v>0</v>
      </c>
      <c r="J771" s="13">
        <v>10</v>
      </c>
      <c r="K771" s="13">
        <f t="shared" si="23"/>
        <v>10</v>
      </c>
      <c r="L771" s="71" t="s">
        <v>1947</v>
      </c>
      <c r="M771" s="71"/>
      <c r="N771" s="71"/>
      <c r="O771" s="141" t="s">
        <v>1949</v>
      </c>
      <c r="P771" s="140"/>
      <c r="Q771" s="140"/>
      <c r="R771" s="72"/>
      <c r="S771" s="72"/>
      <c r="T771" s="72"/>
      <c r="U771" s="72"/>
      <c r="V771" s="13" t="b">
        <v>0</v>
      </c>
      <c r="W771" s="13" t="s">
        <v>1923</v>
      </c>
      <c r="X771" s="13"/>
      <c r="Y771" s="13" t="s">
        <v>1924</v>
      </c>
      <c r="Z771" s="13"/>
      <c r="AA771" s="13"/>
      <c r="AB771" s="13"/>
      <c r="AC771" s="92">
        <v>0.7</v>
      </c>
      <c r="AD771" s="13"/>
      <c r="AE771" s="13"/>
      <c r="AF771" s="13"/>
      <c r="AG771" s="13" t="s">
        <v>2106</v>
      </c>
      <c r="AH771" s="85"/>
    </row>
    <row r="772" spans="1:34" x14ac:dyDescent="0.3">
      <c r="A772" s="45">
        <f t="shared" si="22"/>
        <v>1410208201</v>
      </c>
      <c r="B772" s="45" t="s">
        <v>210</v>
      </c>
      <c r="C772" s="45" t="s">
        <v>219</v>
      </c>
      <c r="D772" s="45" t="str">
        <f>"Monster.Name."&amp;VLOOKUP($C772,'#Data'!$B$2:$J$344,2,FALSE)</f>
        <v>Monster.Name.plants_mortor_1</v>
      </c>
      <c r="E772" s="45" t="s">
        <v>47</v>
      </c>
      <c r="F772" s="46" t="s">
        <v>44</v>
      </c>
      <c r="G772" s="45" t="s">
        <v>45</v>
      </c>
      <c r="H772" s="45" t="b">
        <f>IF(OR(VLOOKUP($C772,'#Data'!$B$2:$J$344,4,FALSE)="보스",VLOOKUP($C772,'#Data'!$B$2:$J$344,4,FALSE)="중간"),TRUE,FALSE)</f>
        <v>1</v>
      </c>
      <c r="I772" s="45" t="b">
        <v>1</v>
      </c>
      <c r="J772" s="45">
        <v>10</v>
      </c>
      <c r="K772" s="45">
        <f t="shared" si="23"/>
        <v>10</v>
      </c>
      <c r="L772" s="73" t="str">
        <f>$B772&amp;"."&amp;VLOOKUP($C772,'#Data'!$B$2:$J$344,2,FALSE)&amp;".attack0"&amp;RIGHT(L$1,1)</f>
        <v>Sector08.plants_mortor_1.attack01</v>
      </c>
      <c r="M772" s="73"/>
      <c r="N772" s="73"/>
      <c r="O772" s="141" t="str">
        <f>$B772&amp;"."&amp;VLOOKUP($C772,'#Data'!$B$2:$J$344,2,FALSE)&amp;".skill0"&amp;RIGHT(O$1,1)</f>
        <v>Sector08.plants_mortor_1.skill01</v>
      </c>
      <c r="P772" s="141" t="str">
        <f>$B772&amp;"."&amp;VLOOKUP($C772,'#Data'!$B$2:$J$344,2,FALSE)&amp;".skill0"&amp;RIGHT(P$1,1)</f>
        <v>Sector08.plants_mortor_1.skill02</v>
      </c>
      <c r="Q772" s="141" t="str">
        <f>$B772&amp;"."&amp;VLOOKUP($C772,'#Data'!$B$2:$J$344,2,FALSE)&amp;".skill0"&amp;RIGHT(Q$1,1)</f>
        <v>Sector08.plants_mortor_1.skill03</v>
      </c>
      <c r="R772" s="74" t="s">
        <v>1959</v>
      </c>
      <c r="S772" s="74" t="s">
        <v>2078</v>
      </c>
      <c r="T772" s="74"/>
      <c r="U772" s="74"/>
      <c r="V772" s="45" t="b">
        <v>0</v>
      </c>
      <c r="W772" s="45" t="str">
        <f>"Character/Prefabs/"&amp;VLOOKUP($C772,'#Data'!$B$3:$I$344,8,FALSE)</f>
        <v>Character/Prefabs/m_l_ranger_plants_mortor_1</v>
      </c>
      <c r="X772" s="45"/>
      <c r="Y772" s="45" t="str">
        <f>VLOOKUP($C772,'#Data'!$B$3:$I$344,8,FALSE)</f>
        <v>m_l_ranger_plants_mortor_1</v>
      </c>
      <c r="Z772" s="45"/>
      <c r="AA772" s="45"/>
      <c r="AB772" s="45"/>
      <c r="AC772" s="93">
        <v>1.1000000000000001</v>
      </c>
      <c r="AD772" s="45"/>
      <c r="AE772" s="45"/>
      <c r="AF772" s="45"/>
      <c r="AG772" s="45" t="s">
        <v>2106</v>
      </c>
      <c r="AH772" s="85"/>
    </row>
    <row r="773" spans="1:34" x14ac:dyDescent="0.3">
      <c r="A773" s="45">
        <f t="shared" si="22"/>
        <v>1410208202</v>
      </c>
      <c r="B773" s="45" t="s">
        <v>210</v>
      </c>
      <c r="C773" s="45" t="s">
        <v>220</v>
      </c>
      <c r="D773" s="45" t="str">
        <f>"Monster.Name."&amp;VLOOKUP($C773,'#Data'!$B$2:$J$344,2,FALSE)</f>
        <v>Monster.Name.plants_robust_1</v>
      </c>
      <c r="E773" s="45" t="s">
        <v>58</v>
      </c>
      <c r="F773" s="46" t="s">
        <v>44</v>
      </c>
      <c r="G773" s="45" t="s">
        <v>45</v>
      </c>
      <c r="H773" s="45" t="b">
        <f>IF(OR(VLOOKUP($C773,'#Data'!$B$2:$J$344,4,FALSE)="보스",VLOOKUP($C773,'#Data'!$B$2:$J$344,4,FALSE)="중간"),TRUE,FALSE)</f>
        <v>1</v>
      </c>
      <c r="I773" s="45" t="b">
        <v>1</v>
      </c>
      <c r="J773" s="45">
        <v>10</v>
      </c>
      <c r="K773" s="45">
        <f t="shared" si="23"/>
        <v>10</v>
      </c>
      <c r="L773" s="73" t="str">
        <f>$B773&amp;"."&amp;VLOOKUP($C773,'#Data'!$B$2:$J$344,2,FALSE)&amp;".attack0"&amp;RIGHT(L$1,1)</f>
        <v>Sector08.plants_robust_1.attack01</v>
      </c>
      <c r="M773" s="73"/>
      <c r="N773" s="73"/>
      <c r="O773" s="141" t="str">
        <f>$B773&amp;"."&amp;VLOOKUP($C773,'#Data'!$B$2:$J$344,2,FALSE)&amp;".skill0"&amp;RIGHT(O$1,1)</f>
        <v>Sector08.plants_robust_1.skill01</v>
      </c>
      <c r="P773" s="141" t="str">
        <f>$B773&amp;"."&amp;VLOOKUP($C773,'#Data'!$B$2:$J$344,2,FALSE)&amp;".skill0"&amp;RIGHT(P$1,1)</f>
        <v>Sector08.plants_robust_1.skill02</v>
      </c>
      <c r="Q773" s="141" t="str">
        <f>$B773&amp;"."&amp;VLOOKUP($C773,'#Data'!$B$2:$J$344,2,FALSE)&amp;".skill0"&amp;RIGHT(Q$1,1)</f>
        <v>Sector08.plants_robust_1.skill03</v>
      </c>
      <c r="R773" s="74" t="s">
        <v>1959</v>
      </c>
      <c r="S773" s="74" t="s">
        <v>2078</v>
      </c>
      <c r="T773" s="74"/>
      <c r="U773" s="74"/>
      <c r="V773" s="45" t="b">
        <v>0</v>
      </c>
      <c r="W773" s="45" t="str">
        <f>"Character/Prefabs/"&amp;VLOOKUP($C773,'#Data'!$B$3:$I$344,8,FALSE)</f>
        <v>Character/Prefabs/m_l_tanker_plants_robust_1</v>
      </c>
      <c r="X773" s="45"/>
      <c r="Y773" s="45" t="str">
        <f>VLOOKUP($C773,'#Data'!$B$3:$I$344,8,FALSE)</f>
        <v>m_l_tanker_plants_robust_1</v>
      </c>
      <c r="Z773" s="45"/>
      <c r="AA773" s="45"/>
      <c r="AB773" s="45"/>
      <c r="AC773" s="93">
        <v>0.9</v>
      </c>
      <c r="AD773" s="45"/>
      <c r="AE773" s="45"/>
      <c r="AF773" s="45"/>
      <c r="AG773" s="45" t="s">
        <v>2106</v>
      </c>
      <c r="AH773" s="85"/>
    </row>
    <row r="774" spans="1:34" x14ac:dyDescent="0.3">
      <c r="A774" s="45">
        <f t="shared" si="22"/>
        <v>1410208203</v>
      </c>
      <c r="B774" s="45" t="s">
        <v>210</v>
      </c>
      <c r="C774" s="45" t="s">
        <v>221</v>
      </c>
      <c r="D774" s="45" t="str">
        <f>"Monster.Name."&amp;VLOOKUP($C774,'#Data'!$B$2:$J$344,2,FALSE)</f>
        <v>Monster.Name.plants_decay_1</v>
      </c>
      <c r="E774" s="45" t="s">
        <v>43</v>
      </c>
      <c r="F774" s="46" t="s">
        <v>44</v>
      </c>
      <c r="G774" s="45" t="s">
        <v>45</v>
      </c>
      <c r="H774" s="45" t="b">
        <f>IF(OR(VLOOKUP($C774,'#Data'!$B$2:$J$344,4,FALSE)="보스",VLOOKUP($C774,'#Data'!$B$2:$J$344,4,FALSE)="중간"),TRUE,FALSE)</f>
        <v>1</v>
      </c>
      <c r="I774" s="45" t="b">
        <v>1</v>
      </c>
      <c r="J774" s="45">
        <v>20</v>
      </c>
      <c r="K774" s="45">
        <f t="shared" si="23"/>
        <v>10</v>
      </c>
      <c r="L774" s="73" t="str">
        <f>$B774&amp;"."&amp;VLOOKUP($C774,'#Data'!$B$2:$J$344,2,FALSE)&amp;".attack0"&amp;RIGHT(L$1,1)</f>
        <v>Sector08.plants_decay_1.attack01</v>
      </c>
      <c r="M774" s="73"/>
      <c r="N774" s="73"/>
      <c r="O774" s="141" t="str">
        <f>$B774&amp;"."&amp;VLOOKUP($C774,'#Data'!$B$2:$J$344,2,FALSE)&amp;".skill0"&amp;RIGHT(O$1,1)</f>
        <v>Sector08.plants_decay_1.skill01</v>
      </c>
      <c r="P774" s="141" t="str">
        <f>$B774&amp;"."&amp;VLOOKUP($C774,'#Data'!$B$2:$J$344,2,FALSE)&amp;".skill0"&amp;RIGHT(P$1,1)</f>
        <v>Sector08.plants_decay_1.skill02</v>
      </c>
      <c r="Q774" s="141" t="str">
        <f>$B774&amp;"."&amp;VLOOKUP($C774,'#Data'!$B$2:$J$344,2,FALSE)&amp;".skill0"&amp;RIGHT(Q$1,1)</f>
        <v>Sector08.plants_decay_1.skill03</v>
      </c>
      <c r="R774" s="74" t="s">
        <v>1959</v>
      </c>
      <c r="S774" s="74" t="s">
        <v>2077</v>
      </c>
      <c r="T774" s="74"/>
      <c r="U774" s="74"/>
      <c r="V774" s="45" t="b">
        <v>0</v>
      </c>
      <c r="W774" s="45" t="str">
        <f>"Character/Prefabs/"&amp;VLOOKUP($C774,'#Data'!$B$3:$I$344,8,FALSE)</f>
        <v>Character/Prefabs/m_l_attacker_plants_decay_1</v>
      </c>
      <c r="X774" s="45"/>
      <c r="Y774" s="45" t="str">
        <f>VLOOKUP($C774,'#Data'!$B$3:$I$344,8,FALSE)</f>
        <v>m_l_attacker_plants_decay_1</v>
      </c>
      <c r="Z774" s="45"/>
      <c r="AA774" s="45"/>
      <c r="AB774" s="45"/>
      <c r="AC774" s="93">
        <v>1.1000000000000001</v>
      </c>
      <c r="AD774" s="45"/>
      <c r="AE774" s="45"/>
      <c r="AF774" s="45"/>
      <c r="AG774" s="45" t="s">
        <v>2106</v>
      </c>
      <c r="AH774" s="85"/>
    </row>
    <row r="775" spans="1:34" x14ac:dyDescent="0.3">
      <c r="A775" s="45">
        <f t="shared" si="22"/>
        <v>1410208301</v>
      </c>
      <c r="B775" s="45" t="s">
        <v>210</v>
      </c>
      <c r="C775" s="45" t="s">
        <v>222</v>
      </c>
      <c r="D775" s="45" t="str">
        <f>"Monster.Name."&amp;VLOOKUP($C775,'#Data'!$B$2:$J$344,2,FALSE)</f>
        <v>Monster.Name.crawler_1</v>
      </c>
      <c r="E775" s="45" t="s">
        <v>43</v>
      </c>
      <c r="F775" s="46" t="s">
        <v>44</v>
      </c>
      <c r="G775" s="45" t="s">
        <v>45</v>
      </c>
      <c r="H775" s="45" t="b">
        <f>IF(OR(VLOOKUP($C775,'#Data'!$B$2:$J$344,4,FALSE)="보스",VLOOKUP($C775,'#Data'!$B$2:$J$344,4,FALSE)="중간"),TRUE,FALSE)</f>
        <v>1</v>
      </c>
      <c r="I775" s="45" t="b">
        <v>1</v>
      </c>
      <c r="J775" s="45">
        <v>20</v>
      </c>
      <c r="K775" s="45">
        <f t="shared" si="23"/>
        <v>10</v>
      </c>
      <c r="L775" s="73" t="str">
        <f>$B775&amp;"."&amp;VLOOKUP($C775,'#Data'!$B$2:$J$344,2,FALSE)&amp;".attack0"&amp;RIGHT(L$1,1)</f>
        <v>Sector08.crawler_1.attack01</v>
      </c>
      <c r="M775" s="73" t="str">
        <f>$B775&amp;"."&amp;VLOOKUP($C775,'#Data'!$B$2:$J$344,2,FALSE)&amp;".attack0"&amp;RIGHT(M$1,1)</f>
        <v>Sector08.crawler_1.attack02</v>
      </c>
      <c r="N775" s="73"/>
      <c r="O775" s="141" t="str">
        <f>$B775&amp;"."&amp;VLOOKUP($C775,'#Data'!$B$2:$J$344,2,FALSE)&amp;".skill0"&amp;RIGHT(O$1,1)</f>
        <v>Sector08.crawler_1.skill01</v>
      </c>
      <c r="P775" s="141" t="str">
        <f>$B775&amp;"."&amp;VLOOKUP($C775,'#Data'!$B$2:$J$344,2,FALSE)&amp;".skill0"&amp;RIGHT(P$1,1)</f>
        <v>Sector08.crawler_1.skill02</v>
      </c>
      <c r="Q775" s="141" t="str">
        <f>$B775&amp;"."&amp;VLOOKUP($C775,'#Data'!$B$2:$J$344,2,FALSE)&amp;".skill0"&amp;RIGHT(Q$1,1)</f>
        <v>Sector08.crawler_1.skill03</v>
      </c>
      <c r="R775" s="74" t="s">
        <v>1927</v>
      </c>
      <c r="S775" s="74" t="s">
        <v>76</v>
      </c>
      <c r="T775" s="74"/>
      <c r="U775" s="74"/>
      <c r="V775" s="45" t="b">
        <v>0</v>
      </c>
      <c r="W775" s="45" t="str">
        <f>"Character/Prefabs/"&amp;VLOOKUP($C775,'#Data'!$B$3:$I$344,8,FALSE)</f>
        <v>Character/Prefabs/m_boss_attacker_crawler_1</v>
      </c>
      <c r="X775" s="45"/>
      <c r="Y775" s="45" t="str">
        <f>VLOOKUP($C775,'#Data'!$B$3:$I$344,8,FALSE)</f>
        <v>m_boss_attacker_crawler_1</v>
      </c>
      <c r="Z775" s="45"/>
      <c r="AA775" s="45"/>
      <c r="AB775" s="45"/>
      <c r="AC775" s="93">
        <v>1.2</v>
      </c>
      <c r="AD775" s="45"/>
      <c r="AE775" s="45" t="s">
        <v>1950</v>
      </c>
      <c r="AF775" s="45" t="s">
        <v>1952</v>
      </c>
      <c r="AG775" s="45" t="s">
        <v>2106</v>
      </c>
      <c r="AH775" s="85"/>
    </row>
    <row r="776" spans="1:34" x14ac:dyDescent="0.3">
      <c r="A776" s="117">
        <f t="shared" si="22"/>
        <v>1410208302</v>
      </c>
      <c r="B776" s="117" t="s">
        <v>210</v>
      </c>
      <c r="C776" s="117" t="s">
        <v>2088</v>
      </c>
      <c r="D776" s="117" t="str">
        <f>"Monster.Name."&amp;VLOOKUP($C776,'#Data'!$B$2:$J$344,2,FALSE)</f>
        <v>Monster.Name.skull_crawler_1</v>
      </c>
      <c r="E776" s="117" t="s">
        <v>43</v>
      </c>
      <c r="F776" s="118" t="s">
        <v>44</v>
      </c>
      <c r="G776" s="117" t="s">
        <v>45</v>
      </c>
      <c r="H776" s="117" t="b">
        <f>IF(OR(VLOOKUP($C776,'#Data'!$B$2:$J$344,4,FALSE)="보스",VLOOKUP($C776,'#Data'!$B$2:$J$344,4,FALSE)="중간"),TRUE,FALSE)</f>
        <v>1</v>
      </c>
      <c r="I776" s="117" t="b">
        <v>1</v>
      </c>
      <c r="J776" s="117">
        <v>20</v>
      </c>
      <c r="K776" s="117">
        <f t="shared" si="23"/>
        <v>10</v>
      </c>
      <c r="L776" s="119" t="str">
        <f>$B776&amp;"."&amp;VLOOKUP($C776,'#Data'!$B$2:$J$344,2,FALSE)&amp;".attack0"&amp;RIGHT(L$1,1)</f>
        <v>Sector08.skull_crawler_1.attack01</v>
      </c>
      <c r="M776" s="119" t="str">
        <f>$B776&amp;"."&amp;VLOOKUP($C776,'#Data'!$B$2:$J$344,2,FALSE)&amp;".attack0"&amp;RIGHT(M$1,1)</f>
        <v>Sector08.skull_crawler_1.attack02</v>
      </c>
      <c r="N776" s="119"/>
      <c r="O776" s="142" t="str">
        <f>$B776&amp;"."&amp;VLOOKUP($C776,'#Data'!$B$2:$J$344,2,FALSE)&amp;".skill0"&amp;RIGHT(O$1,1)</f>
        <v>Sector08.skull_crawler_1.skill01</v>
      </c>
      <c r="P776" s="142" t="str">
        <f>$B776&amp;"."&amp;VLOOKUP($C776,'#Data'!$B$2:$J$344,2,FALSE)&amp;".skill0"&amp;RIGHT(P$1,1)</f>
        <v>Sector08.skull_crawler_1.skill02</v>
      </c>
      <c r="Q776" s="142" t="str">
        <f>$B776&amp;"."&amp;VLOOKUP($C776,'#Data'!$B$2:$J$344,2,FALSE)&amp;".skill0"&amp;RIGHT(Q$1,1)</f>
        <v>Sector08.skull_crawler_1.skill03</v>
      </c>
      <c r="R776" s="120" t="s">
        <v>1927</v>
      </c>
      <c r="S776" s="120" t="s">
        <v>76</v>
      </c>
      <c r="T776" s="120"/>
      <c r="U776" s="120"/>
      <c r="V776" s="117" t="b">
        <v>0</v>
      </c>
      <c r="W776" s="117" t="str">
        <f>"Character/Prefabs/"&amp;VLOOKUP($C776,'#Data'!$B$3:$I$344,8,FALSE)</f>
        <v>Character/Prefabs/m_boss_attacker_skull_crawler_1</v>
      </c>
      <c r="X776" s="117"/>
      <c r="Y776" s="117" t="str">
        <f>VLOOKUP($C776,'#Data'!$B$3:$I$344,8,FALSE)</f>
        <v>m_boss_attacker_skull_crawler_1</v>
      </c>
      <c r="Z776" s="117"/>
      <c r="AA776" s="117"/>
      <c r="AB776" s="117"/>
      <c r="AC776" s="121">
        <v>1.2</v>
      </c>
      <c r="AD776" s="117"/>
      <c r="AE776" s="117" t="s">
        <v>2090</v>
      </c>
      <c r="AF776" s="117" t="s">
        <v>2103</v>
      </c>
      <c r="AG776" s="117" t="s">
        <v>2106</v>
      </c>
      <c r="AH776" s="85"/>
    </row>
    <row r="778" spans="1:34" x14ac:dyDescent="0.3">
      <c r="A778" s="37">
        <f>A585+100000000</f>
        <v>1510201101</v>
      </c>
      <c r="B778" s="37" t="s">
        <v>41</v>
      </c>
      <c r="C778" s="37" t="s">
        <v>42</v>
      </c>
      <c r="D778" s="37" t="str">
        <f>"Monster.Name."&amp;VLOOKUP($C778,'#Data'!$B$2:$J$344,2,FALSE)</f>
        <v>Monster.Name.solid_turretmk1_1</v>
      </c>
      <c r="E778" s="37" t="s">
        <v>43</v>
      </c>
      <c r="F778" s="38" t="s">
        <v>44</v>
      </c>
      <c r="G778" s="37" t="s">
        <v>45</v>
      </c>
      <c r="H778" s="37" t="b">
        <f>IF(OR(VLOOKUP($C778,'#Data'!$B$2:$J$344,4,FALSE)="보스",VLOOKUP($C778,'#Data'!$B$2:$J$344,4,FALSE)="중간"),TRUE,FALSE)</f>
        <v>0</v>
      </c>
      <c r="I778" s="37" t="b">
        <f>IF(OR(VLOOKUP($C778,'#Data'!$B$2:$J$344,4,FALSE)="보스",VLOOKUP($C778,'#Data'!$B$2:$J$344,4,FALSE)="중간"),TRUE,FALSE)</f>
        <v>0</v>
      </c>
      <c r="J778" s="37">
        <v>10</v>
      </c>
      <c r="K778" s="37">
        <f>K585</f>
        <v>10</v>
      </c>
      <c r="L778" s="59" t="str">
        <f>$B778&amp;"."&amp;VLOOKUP($C778,'#Data'!$B$2:$J$344,2,FALSE)&amp;".attack0"&amp;RIGHT(L$1,1)</f>
        <v>Sector01.solid_turretmk1_1.attack01</v>
      </c>
      <c r="M778" s="59"/>
      <c r="N778" s="59"/>
      <c r="O778" s="131" t="s">
        <v>1990</v>
      </c>
      <c r="P778" s="131"/>
      <c r="Q778" s="131"/>
      <c r="R778" s="60"/>
      <c r="S778" s="60"/>
      <c r="T778" s="60"/>
      <c r="U778" s="60"/>
      <c r="V778" s="37" t="b">
        <v>0</v>
      </c>
      <c r="W778" s="37" t="str">
        <f>"Character/Prefabs/"&amp;VLOOKUP($C778,'#Data'!$B$3:$I$344,8,FALSE)</f>
        <v>Character/Prefabs/m_s_attacker_solid_turretmk1_1</v>
      </c>
      <c r="X778" s="37"/>
      <c r="Y778" s="37" t="str">
        <f>VLOOKUP($C778,'#Data'!$B$3:$I$344,8,FALSE)</f>
        <v>m_s_attacker_solid_turretmk1_1</v>
      </c>
      <c r="Z778" s="37"/>
      <c r="AA778" s="37"/>
      <c r="AB778" s="37"/>
      <c r="AC778" s="84">
        <v>0.7</v>
      </c>
      <c r="AD778" s="37"/>
      <c r="AE778" s="37"/>
      <c r="AF778" s="37"/>
      <c r="AG778" s="37" t="s">
        <v>2760</v>
      </c>
      <c r="AH778" s="85"/>
    </row>
    <row r="779" spans="1:34" x14ac:dyDescent="0.3">
      <c r="A779" s="37">
        <f t="shared" ref="A779:A842" si="24">A586+100000000</f>
        <v>1510201102</v>
      </c>
      <c r="B779" s="37" t="s">
        <v>41</v>
      </c>
      <c r="C779" s="37" t="s">
        <v>46</v>
      </c>
      <c r="D779" s="37" t="str">
        <f>"Monster.Name."&amp;VLOOKUP($C779,'#Data'!$B$2:$J$344,2,FALSE)</f>
        <v>Monster.Name.spider_turret_prototype_1</v>
      </c>
      <c r="E779" s="37" t="s">
        <v>47</v>
      </c>
      <c r="F779" s="38" t="s">
        <v>44</v>
      </c>
      <c r="G779" s="37" t="s">
        <v>45</v>
      </c>
      <c r="H779" s="37" t="b">
        <f>IF(OR(VLOOKUP($C779,'#Data'!$B$2:$J$344,4,FALSE)="보스",VLOOKUP($C779,'#Data'!$B$2:$J$344,4,FALSE)="중간"),TRUE,FALSE)</f>
        <v>0</v>
      </c>
      <c r="I779" s="37" t="b">
        <f>IF(OR(VLOOKUP($C779,'#Data'!$B$2:$J$344,4,FALSE)="보스",VLOOKUP($C779,'#Data'!$B$2:$J$344,4,FALSE)="중간"),TRUE,FALSE)</f>
        <v>0</v>
      </c>
      <c r="J779" s="37">
        <v>10</v>
      </c>
      <c r="K779" s="37">
        <f t="shared" ref="K779:K842" si="25">K586</f>
        <v>30</v>
      </c>
      <c r="L779" s="59" t="str">
        <f>$B779&amp;"."&amp;VLOOKUP($C779,'#Data'!$B$2:$J$344,2,FALSE)&amp;".attack0"&amp;RIGHT(L$1,1)</f>
        <v>Sector01.spider_turret_prototype_1.attack01</v>
      </c>
      <c r="M779" s="59"/>
      <c r="N779" s="59"/>
      <c r="O779" s="131" t="s">
        <v>1991</v>
      </c>
      <c r="P779" s="131"/>
      <c r="Q779" s="131"/>
      <c r="R779" s="60"/>
      <c r="S779" s="60"/>
      <c r="T779" s="60"/>
      <c r="U779" s="60"/>
      <c r="V779" s="37" t="b">
        <v>0</v>
      </c>
      <c r="W779" s="37" t="str">
        <f>"Character/Prefabs/"&amp;VLOOKUP($C779,'#Data'!$B$3:$I$344,8,FALSE)</f>
        <v>Character/Prefabs/m_s_ranger_spider_turret_prototype_1</v>
      </c>
      <c r="X779" s="37"/>
      <c r="Y779" s="37" t="str">
        <f>VLOOKUP($C779,'#Data'!$B$3:$I$344,8,FALSE)</f>
        <v>m_s_ranger_spider_turret_prototype_1</v>
      </c>
      <c r="Z779" s="37"/>
      <c r="AA779" s="37"/>
      <c r="AB779" s="37"/>
      <c r="AC779" s="84">
        <v>0.6</v>
      </c>
      <c r="AD779" s="37"/>
      <c r="AE779" s="37"/>
      <c r="AF779" s="37"/>
      <c r="AG779" s="37" t="s">
        <v>2757</v>
      </c>
      <c r="AH779" s="85"/>
    </row>
    <row r="780" spans="1:34" x14ac:dyDescent="0.3">
      <c r="A780" s="37">
        <f t="shared" si="24"/>
        <v>1510201103</v>
      </c>
      <c r="B780" s="37" t="s">
        <v>41</v>
      </c>
      <c r="C780" s="37" t="s">
        <v>48</v>
      </c>
      <c r="D780" s="37" t="str">
        <f>"Monster.Name."&amp;VLOOKUP($C780,'#Data'!$B$2:$J$344,2,FALSE)</f>
        <v>Monster.Name.electric_drone_1</v>
      </c>
      <c r="E780" s="37" t="s">
        <v>43</v>
      </c>
      <c r="F780" s="38" t="s">
        <v>44</v>
      </c>
      <c r="G780" s="37" t="s">
        <v>45</v>
      </c>
      <c r="H780" s="37" t="b">
        <f>IF(OR(VLOOKUP($C780,'#Data'!$B$2:$J$344,4,FALSE)="보스",VLOOKUP($C780,'#Data'!$B$2:$J$344,4,FALSE)="중간"),TRUE,FALSE)</f>
        <v>0</v>
      </c>
      <c r="I780" s="37" t="b">
        <f>IF(OR(VLOOKUP($C780,'#Data'!$B$2:$J$344,4,FALSE)="보스",VLOOKUP($C780,'#Data'!$B$2:$J$344,4,FALSE)="중간"),TRUE,FALSE)</f>
        <v>0</v>
      </c>
      <c r="J780" s="37">
        <v>10</v>
      </c>
      <c r="K780" s="37">
        <f t="shared" si="25"/>
        <v>10</v>
      </c>
      <c r="L780" s="59" t="str">
        <f>$B780&amp;"."&amp;VLOOKUP($C780,'#Data'!$B$2:$J$344,2,FALSE)&amp;".attack0"&amp;RIGHT(L$1,1)</f>
        <v>Sector01.electric_drone_1.attack01</v>
      </c>
      <c r="M780" s="59"/>
      <c r="N780" s="59"/>
      <c r="O780" s="131" t="s">
        <v>1992</v>
      </c>
      <c r="P780" s="131"/>
      <c r="Q780" s="131"/>
      <c r="R780" s="60"/>
      <c r="S780" s="60"/>
      <c r="T780" s="60"/>
      <c r="U780" s="60"/>
      <c r="V780" s="37" t="b">
        <v>0</v>
      </c>
      <c r="W780" s="37" t="str">
        <f>"Character/Prefabs/"&amp;VLOOKUP($C780,'#Data'!$B$3:$I$344,8,FALSE)</f>
        <v>Character/Prefabs/m_s_attacker_electric_drone_1</v>
      </c>
      <c r="X780" s="37"/>
      <c r="Y780" s="37" t="str">
        <f>VLOOKUP($C780,'#Data'!$B$3:$I$344,8,FALSE)</f>
        <v>m_s_attacker_electric_drone_1</v>
      </c>
      <c r="Z780" s="37"/>
      <c r="AA780" s="37"/>
      <c r="AB780" s="37"/>
      <c r="AC780" s="84">
        <v>0.7</v>
      </c>
      <c r="AD780" s="37"/>
      <c r="AE780" s="37"/>
      <c r="AF780" s="37"/>
      <c r="AG780" s="37" t="s">
        <v>2757</v>
      </c>
      <c r="AH780" s="85"/>
    </row>
    <row r="781" spans="1:34" x14ac:dyDescent="0.3">
      <c r="A781" s="37">
        <f t="shared" si="24"/>
        <v>1510201104</v>
      </c>
      <c r="B781" s="37" t="s">
        <v>41</v>
      </c>
      <c r="C781" s="37" t="s">
        <v>52</v>
      </c>
      <c r="D781" s="37" t="str">
        <f>"Monster.Name."&amp;VLOOKUP($C781,'#Data'!$B$2:$J$344,2,FALSE)</f>
        <v>Monster.Name.jamming_drone_1</v>
      </c>
      <c r="E781" s="37" t="s">
        <v>47</v>
      </c>
      <c r="F781" s="38" t="s">
        <v>44</v>
      </c>
      <c r="G781" s="37" t="s">
        <v>45</v>
      </c>
      <c r="H781" s="37" t="b">
        <f>IF(OR(VLOOKUP($C781,'#Data'!$B$2:$J$344,4,FALSE)="보스",VLOOKUP($C781,'#Data'!$B$2:$J$344,4,FALSE)="중간"),TRUE,FALSE)</f>
        <v>0</v>
      </c>
      <c r="I781" s="37" t="b">
        <f>IF(OR(VLOOKUP($C781,'#Data'!$B$2:$J$344,4,FALSE)="보스",VLOOKUP($C781,'#Data'!$B$2:$J$344,4,FALSE)="중간"),TRUE,FALSE)</f>
        <v>0</v>
      </c>
      <c r="J781" s="37">
        <v>10</v>
      </c>
      <c r="K781" s="37">
        <f t="shared" si="25"/>
        <v>10</v>
      </c>
      <c r="L781" s="59" t="str">
        <f>$B781&amp;"."&amp;VLOOKUP($C781,'#Data'!$B$2:$J$344,2,FALSE)&amp;".attack0"&amp;RIGHT(L$1,1)</f>
        <v>Sector01.jamming_drone_1.attack01</v>
      </c>
      <c r="M781" s="59"/>
      <c r="N781" s="59"/>
      <c r="O781" s="131" t="s">
        <v>1993</v>
      </c>
      <c r="P781" s="131"/>
      <c r="Q781" s="131"/>
      <c r="R781" s="60"/>
      <c r="S781" s="60"/>
      <c r="T781" s="60"/>
      <c r="U781" s="60"/>
      <c r="V781" s="37" t="b">
        <v>0</v>
      </c>
      <c r="W781" s="37" t="str">
        <f>"Character/Prefabs/"&amp;VLOOKUP($C781,'#Data'!$B$3:$I$344,8,FALSE)</f>
        <v>Character/Prefabs/m_s_ranger_jamming_drone_1</v>
      </c>
      <c r="X781" s="37"/>
      <c r="Y781" s="37" t="str">
        <f>VLOOKUP($C781,'#Data'!$B$3:$I$344,8,FALSE)</f>
        <v>m_s_ranger_jamming_drone_1</v>
      </c>
      <c r="Z781" s="37"/>
      <c r="AA781" s="37"/>
      <c r="AB781" s="37"/>
      <c r="AC781" s="84">
        <v>0.6</v>
      </c>
      <c r="AD781" s="37"/>
      <c r="AE781" s="37"/>
      <c r="AF781" s="37"/>
      <c r="AG781" s="37" t="s">
        <v>2757</v>
      </c>
      <c r="AH781" s="85"/>
    </row>
    <row r="782" spans="1:34" x14ac:dyDescent="0.3">
      <c r="A782" s="37">
        <f t="shared" si="24"/>
        <v>1510201105</v>
      </c>
      <c r="B782" s="37" t="s">
        <v>41</v>
      </c>
      <c r="C782" s="37" t="s">
        <v>56</v>
      </c>
      <c r="D782" s="37" t="str">
        <f>"Monster.Name."&amp;VLOOKUP($C782,'#Data'!$B$2:$J$344,2,FALSE)</f>
        <v>Monster.Name.trooper_sniper_1</v>
      </c>
      <c r="E782" s="37" t="s">
        <v>47</v>
      </c>
      <c r="F782" s="38" t="s">
        <v>44</v>
      </c>
      <c r="G782" s="37" t="s">
        <v>45</v>
      </c>
      <c r="H782" s="37" t="b">
        <f>IF(OR(VLOOKUP($C782,'#Data'!$B$2:$J$344,4,FALSE)="보스",VLOOKUP($C782,'#Data'!$B$2:$J$344,4,FALSE)="중간"),TRUE,FALSE)</f>
        <v>0</v>
      </c>
      <c r="I782" s="37" t="b">
        <f>IF(OR(VLOOKUP($C782,'#Data'!$B$2:$J$344,4,FALSE)="보스",VLOOKUP($C782,'#Data'!$B$2:$J$344,4,FALSE)="중간"),TRUE,FALSE)</f>
        <v>0</v>
      </c>
      <c r="J782" s="37">
        <v>10</v>
      </c>
      <c r="K782" s="37">
        <f t="shared" si="25"/>
        <v>10</v>
      </c>
      <c r="L782" s="59" t="str">
        <f>$B782&amp;"."&amp;VLOOKUP($C782,'#Data'!$B$2:$J$344,2,FALSE)&amp;".attack0"&amp;RIGHT(L$1,1)</f>
        <v>Sector01.trooper_sniper_1.attack01</v>
      </c>
      <c r="M782" s="59"/>
      <c r="N782" s="59"/>
      <c r="O782" s="131" t="str">
        <f>$B782&amp;"."&amp;VLOOKUP($C782,'#Data'!$B$2:$J$344,2,FALSE)&amp;".skill0"&amp;RIGHT(O$1,1)</f>
        <v>Sector01.trooper_sniper_1.skill01</v>
      </c>
      <c r="P782" s="131" t="s">
        <v>1994</v>
      </c>
      <c r="Q782" s="131"/>
      <c r="R782" s="60"/>
      <c r="S782" s="60"/>
      <c r="T782" s="60"/>
      <c r="U782" s="60"/>
      <c r="V782" s="37" t="b">
        <v>0</v>
      </c>
      <c r="W782" s="37" t="str">
        <f>"Character/Prefabs/"&amp;VLOOKUP($C782,'#Data'!$B$3:$I$344,8,FALSE)</f>
        <v>Character/Prefabs/m_m_ranger_trooper_sniper_1</v>
      </c>
      <c r="X782" s="37"/>
      <c r="Y782" s="37" t="str">
        <f>VLOOKUP($C782,'#Data'!$B$3:$I$344,8,FALSE)</f>
        <v>m_m_ranger_trooper_sniper_1</v>
      </c>
      <c r="Z782" s="37"/>
      <c r="AA782" s="37"/>
      <c r="AB782" s="37"/>
      <c r="AC782" s="84">
        <v>0.8</v>
      </c>
      <c r="AD782" s="37"/>
      <c r="AE782" s="37"/>
      <c r="AF782" s="37"/>
      <c r="AG782" s="37" t="s">
        <v>2757</v>
      </c>
      <c r="AH782" s="85"/>
    </row>
    <row r="783" spans="1:34" x14ac:dyDescent="0.3">
      <c r="A783" s="37">
        <f t="shared" si="24"/>
        <v>1510201106</v>
      </c>
      <c r="B783" s="37" t="s">
        <v>41</v>
      </c>
      <c r="C783" s="37" t="s">
        <v>57</v>
      </c>
      <c r="D783" s="37" t="str">
        <f>"Monster.Name."&amp;VLOOKUP($C783,'#Data'!$B$2:$J$344,2,FALSE)</f>
        <v>Monster.Name.trooper_guard_1</v>
      </c>
      <c r="E783" s="37" t="s">
        <v>58</v>
      </c>
      <c r="F783" s="38" t="s">
        <v>44</v>
      </c>
      <c r="G783" s="37" t="s">
        <v>45</v>
      </c>
      <c r="H783" s="37" t="b">
        <f>IF(OR(VLOOKUP($C783,'#Data'!$B$2:$J$344,4,FALSE)="보스",VLOOKUP($C783,'#Data'!$B$2:$J$344,4,FALSE)="중간"),TRUE,FALSE)</f>
        <v>0</v>
      </c>
      <c r="I783" s="37" t="b">
        <f>IF(OR(VLOOKUP($C783,'#Data'!$B$2:$J$344,4,FALSE)="보스",VLOOKUP($C783,'#Data'!$B$2:$J$344,4,FALSE)="중간"),TRUE,FALSE)</f>
        <v>0</v>
      </c>
      <c r="J783" s="37">
        <v>10</v>
      </c>
      <c r="K783" s="37">
        <f t="shared" si="25"/>
        <v>10</v>
      </c>
      <c r="L783" s="59" t="str">
        <f>$B783&amp;"."&amp;VLOOKUP($C783,'#Data'!$B$2:$J$344,2,FALSE)&amp;".attack0"&amp;RIGHT(L$1,1)</f>
        <v>Sector01.trooper_guard_1.attack01</v>
      </c>
      <c r="M783" s="59"/>
      <c r="N783" s="59"/>
      <c r="O783" s="131" t="str">
        <f>$B783&amp;"."&amp;VLOOKUP($C783,'#Data'!$B$2:$J$344,2,FALSE)&amp;".skill0"&amp;RIGHT(O$1,1)</f>
        <v>Sector01.trooper_guard_1.skill01</v>
      </c>
      <c r="P783" s="131" t="s">
        <v>1995</v>
      </c>
      <c r="Q783" s="131"/>
      <c r="R783" s="60"/>
      <c r="S783" s="60"/>
      <c r="T783" s="60"/>
      <c r="U783" s="60"/>
      <c r="V783" s="37" t="b">
        <v>0</v>
      </c>
      <c r="W783" s="37" t="str">
        <f>"Character/Prefabs/"&amp;VLOOKUP($C783,'#Data'!$B$3:$I$344,8,FALSE)</f>
        <v>Character/Prefabs/m_m_tanker_trooper_guard_1</v>
      </c>
      <c r="X783" s="37"/>
      <c r="Y783" s="37" t="str">
        <f>VLOOKUP($C783,'#Data'!$B$3:$I$344,8,FALSE)</f>
        <v>m_m_tanker_trooper_guard_1</v>
      </c>
      <c r="Z783" s="37"/>
      <c r="AA783" s="37"/>
      <c r="AB783" s="37"/>
      <c r="AC783" s="84">
        <v>0.8</v>
      </c>
      <c r="AD783" s="37"/>
      <c r="AE783" s="37"/>
      <c r="AF783" s="37"/>
      <c r="AG783" s="37" t="s">
        <v>2757</v>
      </c>
      <c r="AH783" s="85"/>
    </row>
    <row r="784" spans="1:34" x14ac:dyDescent="0.3">
      <c r="A784" s="37">
        <f t="shared" si="24"/>
        <v>1510201107</v>
      </c>
      <c r="B784" s="37" t="s">
        <v>41</v>
      </c>
      <c r="C784" s="37" t="s">
        <v>59</v>
      </c>
      <c r="D784" s="37" t="str">
        <f>"Monster.Name."&amp;VLOOKUP($C784,'#Data'!$B$2:$J$344,2,FALSE)</f>
        <v>Monster.Name.trooper_champion_1</v>
      </c>
      <c r="E784" s="37" t="s">
        <v>43</v>
      </c>
      <c r="F784" s="38" t="s">
        <v>44</v>
      </c>
      <c r="G784" s="37" t="s">
        <v>45</v>
      </c>
      <c r="H784" s="37" t="b">
        <f>IF(OR(VLOOKUP($C784,'#Data'!$B$2:$J$344,4,FALSE)="보스",VLOOKUP($C784,'#Data'!$B$2:$J$344,4,FALSE)="중간"),TRUE,FALSE)</f>
        <v>0</v>
      </c>
      <c r="I784" s="37" t="b">
        <f>IF(OR(VLOOKUP($C784,'#Data'!$B$2:$J$344,4,FALSE)="보스",VLOOKUP($C784,'#Data'!$B$2:$J$344,4,FALSE)="중간"),TRUE,FALSE)</f>
        <v>0</v>
      </c>
      <c r="J784" s="37">
        <v>10</v>
      </c>
      <c r="K784" s="37">
        <f t="shared" si="25"/>
        <v>10</v>
      </c>
      <c r="L784" s="59" t="str">
        <f>$B784&amp;"."&amp;VLOOKUP($C784,'#Data'!$B$2:$J$344,2,FALSE)&amp;".attack0"&amp;RIGHT(L$1,1)</f>
        <v>Sector01.trooper_champion_1.attack01</v>
      </c>
      <c r="M784" s="59"/>
      <c r="N784" s="59"/>
      <c r="O784" s="131" t="str">
        <f>$B784&amp;"."&amp;VLOOKUP($C784,'#Data'!$B$2:$J$344,2,FALSE)&amp;".skill0"&amp;RIGHT(O$1,1)</f>
        <v>Sector01.trooper_champion_1.skill01</v>
      </c>
      <c r="P784" s="131" t="s">
        <v>1996</v>
      </c>
      <c r="Q784" s="131"/>
      <c r="R784" s="60"/>
      <c r="S784" s="60"/>
      <c r="T784" s="60"/>
      <c r="U784" s="60"/>
      <c r="V784" s="37" t="b">
        <v>0</v>
      </c>
      <c r="W784" s="37" t="str">
        <f>"Character/Prefabs/"&amp;VLOOKUP($C784,'#Data'!$B$3:$I$344,8,FALSE)</f>
        <v>Character/Prefabs/m_m_attacker_trooper_champion_1</v>
      </c>
      <c r="X784" s="37"/>
      <c r="Y784" s="37" t="str">
        <f>VLOOKUP($C784,'#Data'!$B$3:$I$344,8,FALSE)</f>
        <v>m_m_attacker_trooper_champion_1</v>
      </c>
      <c r="Z784" s="37"/>
      <c r="AA784" s="37"/>
      <c r="AB784" s="37"/>
      <c r="AC784" s="84">
        <v>0.8</v>
      </c>
      <c r="AD784" s="37"/>
      <c r="AE784" s="37"/>
      <c r="AF784" s="37"/>
      <c r="AG784" s="37" t="s">
        <v>2757</v>
      </c>
      <c r="AH784" s="85"/>
    </row>
    <row r="785" spans="1:34" x14ac:dyDescent="0.3">
      <c r="A785" s="37">
        <f t="shared" si="24"/>
        <v>1510201108</v>
      </c>
      <c r="B785" s="37" t="s">
        <v>41</v>
      </c>
      <c r="C785" s="37" t="s">
        <v>60</v>
      </c>
      <c r="D785" s="37" t="str">
        <f>"Monster.Name."&amp;VLOOKUP($C785,'#Data'!$B$2:$J$344,2,FALSE)</f>
        <v>Monster.Name.trooper_demolisher_1</v>
      </c>
      <c r="E785" s="37" t="s">
        <v>47</v>
      </c>
      <c r="F785" s="38" t="s">
        <v>44</v>
      </c>
      <c r="G785" s="37" t="s">
        <v>45</v>
      </c>
      <c r="H785" s="37" t="b">
        <f>IF(OR(VLOOKUP($C785,'#Data'!$B$2:$J$344,4,FALSE)="보스",VLOOKUP($C785,'#Data'!$B$2:$J$344,4,FALSE)="중간"),TRUE,FALSE)</f>
        <v>0</v>
      </c>
      <c r="I785" s="37" t="b">
        <f>IF(OR(VLOOKUP($C785,'#Data'!$B$2:$J$344,4,FALSE)="보스",VLOOKUP($C785,'#Data'!$B$2:$J$344,4,FALSE)="중간"),TRUE,FALSE)</f>
        <v>0</v>
      </c>
      <c r="J785" s="37">
        <v>10</v>
      </c>
      <c r="K785" s="37">
        <f t="shared" si="25"/>
        <v>10</v>
      </c>
      <c r="L785" s="59" t="str">
        <f>$B785&amp;"."&amp;VLOOKUP($C785,'#Data'!$B$2:$J$344,2,FALSE)&amp;".attack0"&amp;RIGHT(L$1,1)</f>
        <v>Sector01.trooper_demolisher_1.attack01</v>
      </c>
      <c r="M785" s="59"/>
      <c r="N785" s="59"/>
      <c r="O785" s="131" t="str">
        <f>$B785&amp;"."&amp;VLOOKUP($C785,'#Data'!$B$2:$J$344,2,FALSE)&amp;".skill0"&amp;RIGHT(O$1,1)</f>
        <v>Sector01.trooper_demolisher_1.skill01</v>
      </c>
      <c r="P785" s="131" t="s">
        <v>2018</v>
      </c>
      <c r="Q785" s="131"/>
      <c r="R785" s="60"/>
      <c r="S785" s="60"/>
      <c r="T785" s="60"/>
      <c r="U785" s="60"/>
      <c r="V785" s="37" t="b">
        <v>0</v>
      </c>
      <c r="W785" s="37" t="str">
        <f>"Character/Prefabs/"&amp;VLOOKUP($C785,'#Data'!$B$3:$I$344,8,FALSE)</f>
        <v>Character/Prefabs/m_m_ranger_trooper_demolisher_1</v>
      </c>
      <c r="X785" s="37"/>
      <c r="Y785" s="37" t="str">
        <f>VLOOKUP($C785,'#Data'!$B$3:$I$344,8,FALSE)</f>
        <v>m_m_ranger_trooper_demolisher_1</v>
      </c>
      <c r="Z785" s="37"/>
      <c r="AA785" s="37"/>
      <c r="AB785" s="37"/>
      <c r="AC785" s="84">
        <v>0.8</v>
      </c>
      <c r="AD785" s="37"/>
      <c r="AE785" s="37"/>
      <c r="AF785" s="37"/>
      <c r="AG785" s="37" t="s">
        <v>2757</v>
      </c>
      <c r="AH785" s="85"/>
    </row>
    <row r="786" spans="1:34" x14ac:dyDescent="0.3">
      <c r="A786" s="37">
        <f t="shared" si="24"/>
        <v>1510201109</v>
      </c>
      <c r="B786" s="37" t="s">
        <v>41</v>
      </c>
      <c r="C786" s="37" t="s">
        <v>61</v>
      </c>
      <c r="D786" s="37" t="str">
        <f>"Monster.Name."&amp;VLOOKUP($C786,'#Data'!$B$2:$J$344,2,FALSE)</f>
        <v>Monster.Name.trooper_inferno_1</v>
      </c>
      <c r="E786" s="37" t="s">
        <v>43</v>
      </c>
      <c r="F786" s="38" t="s">
        <v>44</v>
      </c>
      <c r="G786" s="37" t="s">
        <v>45</v>
      </c>
      <c r="H786" s="37" t="b">
        <f>IF(OR(VLOOKUP($C786,'#Data'!$B$2:$J$344,4,FALSE)="보스",VLOOKUP($C786,'#Data'!$B$2:$J$344,4,FALSE)="중간"),TRUE,FALSE)</f>
        <v>0</v>
      </c>
      <c r="I786" s="37" t="b">
        <f>IF(OR(VLOOKUP($C786,'#Data'!$B$2:$J$344,4,FALSE)="보스",VLOOKUP($C786,'#Data'!$B$2:$J$344,4,FALSE)="중간"),TRUE,FALSE)</f>
        <v>0</v>
      </c>
      <c r="J786" s="37">
        <v>10</v>
      </c>
      <c r="K786" s="37">
        <f t="shared" si="25"/>
        <v>10</v>
      </c>
      <c r="L786" s="59" t="str">
        <f>$B786&amp;"."&amp;VLOOKUP($C786,'#Data'!$B$2:$J$344,2,FALSE)&amp;".attack0"&amp;RIGHT(L$1,1)</f>
        <v>Sector01.trooper_inferno_1.attack01</v>
      </c>
      <c r="M786" s="59"/>
      <c r="N786" s="59"/>
      <c r="O786" s="131" t="str">
        <f>$B786&amp;"."&amp;VLOOKUP($C786,'#Data'!$B$2:$J$344,2,FALSE)&amp;".skill0"&amp;RIGHT(O$1,1)</f>
        <v>Sector01.trooper_inferno_1.skill01</v>
      </c>
      <c r="P786" s="131" t="s">
        <v>1998</v>
      </c>
      <c r="Q786" s="131"/>
      <c r="R786" s="60"/>
      <c r="S786" s="60"/>
      <c r="T786" s="60"/>
      <c r="U786" s="60"/>
      <c r="V786" s="37" t="b">
        <v>0</v>
      </c>
      <c r="W786" s="37" t="str">
        <f>"Character/Prefabs/"&amp;VLOOKUP($C786,'#Data'!$B$3:$I$344,8,FALSE)</f>
        <v>Character/Prefabs/m_m_attacker_trooper_inferno_1</v>
      </c>
      <c r="X786" s="37"/>
      <c r="Y786" s="37" t="str">
        <f>VLOOKUP($C786,'#Data'!$B$3:$I$344,8,FALSE)</f>
        <v>m_m_attacker_trooper_inferno_1</v>
      </c>
      <c r="Z786" s="37"/>
      <c r="AA786" s="37"/>
      <c r="AB786" s="37"/>
      <c r="AC786" s="84">
        <v>0.8</v>
      </c>
      <c r="AD786" s="37"/>
      <c r="AE786" s="37"/>
      <c r="AF786" s="37"/>
      <c r="AG786" s="37" t="s">
        <v>2757</v>
      </c>
      <c r="AH786" s="85"/>
    </row>
    <row r="787" spans="1:34" x14ac:dyDescent="0.3">
      <c r="A787" s="51">
        <f t="shared" si="24"/>
        <v>1510201110</v>
      </c>
      <c r="B787" s="51" t="s">
        <v>41</v>
      </c>
      <c r="C787" s="51" t="s">
        <v>66</v>
      </c>
      <c r="D787" s="51" t="str">
        <f>"Monster.Name."&amp;VLOOKUP($C787,'#Data'!$B$2:$J$344,2,FALSE)</f>
        <v>Monster.Name.solid_turretmk1_2</v>
      </c>
      <c r="E787" s="51" t="s">
        <v>43</v>
      </c>
      <c r="F787" s="52" t="s">
        <v>44</v>
      </c>
      <c r="G787" s="51" t="s">
        <v>45</v>
      </c>
      <c r="H787" s="51" t="b">
        <f>IF(OR(VLOOKUP($C787,'#Data'!$B$2:$J$344,4,FALSE)="보스",VLOOKUP($C787,'#Data'!$B$2:$J$344,4,FALSE)="중간"),TRUE,FALSE)</f>
        <v>0</v>
      </c>
      <c r="I787" s="51" t="b">
        <f>IF(OR(VLOOKUP($C787,'#Data'!$B$2:$J$344,4,FALSE)="보스",VLOOKUP($C787,'#Data'!$B$2:$J$344,4,FALSE)="중간"),TRUE,FALSE)</f>
        <v>0</v>
      </c>
      <c r="J787" s="51">
        <v>10</v>
      </c>
      <c r="K787" s="51">
        <f t="shared" si="25"/>
        <v>10</v>
      </c>
      <c r="L787" s="61" t="s">
        <v>1181</v>
      </c>
      <c r="M787" s="61"/>
      <c r="N787" s="61"/>
      <c r="O787" s="132" t="s">
        <v>1990</v>
      </c>
      <c r="P787" s="132"/>
      <c r="Q787" s="132"/>
      <c r="R787" s="62"/>
      <c r="S787" s="62"/>
      <c r="T787" s="62"/>
      <c r="U787" s="62"/>
      <c r="V787" s="51" t="b">
        <v>0</v>
      </c>
      <c r="W787" s="51" t="str">
        <f>"Character/Prefabs/"&amp;VLOOKUP($C787,'#Data'!$B$3:$I$344,8,FALSE)</f>
        <v>Character/Prefabs/m_s_attacker_solid_turretmk1_2</v>
      </c>
      <c r="X787" s="51"/>
      <c r="Y787" s="51" t="str">
        <f>VLOOKUP($C787,'#Data'!$B$3:$I$344,8,FALSE)</f>
        <v>m_s_attacker_solid_turretmk1_2</v>
      </c>
      <c r="Z787" s="51"/>
      <c r="AA787" s="51"/>
      <c r="AB787" s="51"/>
      <c r="AC787" s="86">
        <v>0.7</v>
      </c>
      <c r="AD787" s="51"/>
      <c r="AE787" s="51"/>
      <c r="AF787" s="51"/>
      <c r="AG787" s="51" t="s">
        <v>2757</v>
      </c>
      <c r="AH787" s="85"/>
    </row>
    <row r="788" spans="1:34" x14ac:dyDescent="0.3">
      <c r="A788" s="51">
        <f t="shared" si="24"/>
        <v>1510201111</v>
      </c>
      <c r="B788" s="51" t="s">
        <v>41</v>
      </c>
      <c r="C788" s="51" t="s">
        <v>67</v>
      </c>
      <c r="D788" s="51" t="str">
        <f>"Monster.Name."&amp;VLOOKUP($C788,'#Data'!$B$2:$J$344,2,FALSE)</f>
        <v>Monster.Name.spider_turret_prototype_2</v>
      </c>
      <c r="E788" s="51" t="s">
        <v>47</v>
      </c>
      <c r="F788" s="52" t="s">
        <v>44</v>
      </c>
      <c r="G788" s="51" t="s">
        <v>45</v>
      </c>
      <c r="H788" s="51" t="b">
        <f>IF(OR(VLOOKUP($C788,'#Data'!$B$2:$J$344,4,FALSE)="보스",VLOOKUP($C788,'#Data'!$B$2:$J$344,4,FALSE)="중간"),TRUE,FALSE)</f>
        <v>0</v>
      </c>
      <c r="I788" s="51" t="b">
        <f>IF(OR(VLOOKUP($C788,'#Data'!$B$2:$J$344,4,FALSE)="보스",VLOOKUP($C788,'#Data'!$B$2:$J$344,4,FALSE)="중간"),TRUE,FALSE)</f>
        <v>0</v>
      </c>
      <c r="J788" s="51">
        <v>10</v>
      </c>
      <c r="K788" s="51">
        <f t="shared" si="25"/>
        <v>30</v>
      </c>
      <c r="L788" s="61" t="s">
        <v>1182</v>
      </c>
      <c r="M788" s="61"/>
      <c r="N788" s="61"/>
      <c r="O788" s="132" t="s">
        <v>1991</v>
      </c>
      <c r="P788" s="132"/>
      <c r="Q788" s="132"/>
      <c r="R788" s="62"/>
      <c r="S788" s="62"/>
      <c r="T788" s="62"/>
      <c r="U788" s="62"/>
      <c r="V788" s="51" t="b">
        <v>0</v>
      </c>
      <c r="W788" s="51" t="str">
        <f>"Character/Prefabs/"&amp;VLOOKUP($C788,'#Data'!$B$3:$I$344,8,FALSE)</f>
        <v>Character/Prefabs/m_s_ranger_spider_turret_prototype_2</v>
      </c>
      <c r="X788" s="51"/>
      <c r="Y788" s="51" t="str">
        <f>VLOOKUP($C788,'#Data'!$B$3:$I$344,8,FALSE)</f>
        <v>m_s_ranger_spider_turret_prototype_2</v>
      </c>
      <c r="Z788" s="51"/>
      <c r="AA788" s="51"/>
      <c r="AB788" s="51"/>
      <c r="AC788" s="86">
        <v>0.6</v>
      </c>
      <c r="AD788" s="51"/>
      <c r="AE788" s="51"/>
      <c r="AF788" s="51"/>
      <c r="AG788" s="51" t="s">
        <v>2757</v>
      </c>
      <c r="AH788" s="85"/>
    </row>
    <row r="789" spans="1:34" x14ac:dyDescent="0.3">
      <c r="A789" s="51">
        <f t="shared" si="24"/>
        <v>1510201112</v>
      </c>
      <c r="B789" s="51" t="s">
        <v>41</v>
      </c>
      <c r="C789" s="51" t="s">
        <v>68</v>
      </c>
      <c r="D789" s="51" t="str">
        <f>"Monster.Name."&amp;VLOOKUP($C789,'#Data'!$B$2:$J$344,2,FALSE)</f>
        <v>Monster.Name.electric_drone_2</v>
      </c>
      <c r="E789" s="51" t="s">
        <v>43</v>
      </c>
      <c r="F789" s="52" t="s">
        <v>44</v>
      </c>
      <c r="G789" s="51" t="s">
        <v>45</v>
      </c>
      <c r="H789" s="51" t="b">
        <f>IF(OR(VLOOKUP($C789,'#Data'!$B$2:$J$344,4,FALSE)="보스",VLOOKUP($C789,'#Data'!$B$2:$J$344,4,FALSE)="중간"),TRUE,FALSE)</f>
        <v>0</v>
      </c>
      <c r="I789" s="51" t="b">
        <f>IF(OR(VLOOKUP($C789,'#Data'!$B$2:$J$344,4,FALSE)="보스",VLOOKUP($C789,'#Data'!$B$2:$J$344,4,FALSE)="중간"),TRUE,FALSE)</f>
        <v>0</v>
      </c>
      <c r="J789" s="51">
        <v>10</v>
      </c>
      <c r="K789" s="51">
        <f t="shared" si="25"/>
        <v>10</v>
      </c>
      <c r="L789" s="61" t="s">
        <v>1183</v>
      </c>
      <c r="M789" s="61"/>
      <c r="N789" s="61"/>
      <c r="O789" s="132" t="s">
        <v>1992</v>
      </c>
      <c r="P789" s="132"/>
      <c r="Q789" s="132"/>
      <c r="R789" s="62"/>
      <c r="S789" s="62"/>
      <c r="T789" s="62"/>
      <c r="U789" s="62"/>
      <c r="V789" s="51" t="b">
        <v>0</v>
      </c>
      <c r="W789" s="103" t="s">
        <v>1197</v>
      </c>
      <c r="X789" s="51"/>
      <c r="Y789" s="104" t="s">
        <v>1199</v>
      </c>
      <c r="Z789" s="51"/>
      <c r="AA789" s="51"/>
      <c r="AB789" s="51"/>
      <c r="AC789" s="86">
        <v>0.7</v>
      </c>
      <c r="AD789" s="51"/>
      <c r="AE789" s="51"/>
      <c r="AF789" s="51"/>
      <c r="AG789" s="51" t="s">
        <v>2757</v>
      </c>
      <c r="AH789" s="85"/>
    </row>
    <row r="790" spans="1:34" x14ac:dyDescent="0.3">
      <c r="A790" s="51">
        <f t="shared" si="24"/>
        <v>1510201113</v>
      </c>
      <c r="B790" s="51" t="s">
        <v>41</v>
      </c>
      <c r="C790" s="51" t="s">
        <v>69</v>
      </c>
      <c r="D790" s="51" t="str">
        <f>"Monster.Name."&amp;VLOOKUP($C790,'#Data'!$B$2:$J$344,2,FALSE)</f>
        <v>Monster.Name.jamming_drone_2</v>
      </c>
      <c r="E790" s="51" t="s">
        <v>47</v>
      </c>
      <c r="F790" s="52" t="s">
        <v>44</v>
      </c>
      <c r="G790" s="51" t="s">
        <v>45</v>
      </c>
      <c r="H790" s="51" t="b">
        <f>IF(OR(VLOOKUP($C790,'#Data'!$B$2:$J$344,4,FALSE)="보스",VLOOKUP($C790,'#Data'!$B$2:$J$344,4,FALSE)="중간"),TRUE,FALSE)</f>
        <v>0</v>
      </c>
      <c r="I790" s="51" t="b">
        <f>IF(OR(VLOOKUP($C790,'#Data'!$B$2:$J$344,4,FALSE)="보스",VLOOKUP($C790,'#Data'!$B$2:$J$344,4,FALSE)="중간"),TRUE,FALSE)</f>
        <v>0</v>
      </c>
      <c r="J790" s="51">
        <v>10</v>
      </c>
      <c r="K790" s="51">
        <f t="shared" si="25"/>
        <v>10</v>
      </c>
      <c r="L790" s="61" t="s">
        <v>1184</v>
      </c>
      <c r="M790" s="61"/>
      <c r="N790" s="61"/>
      <c r="O790" s="132" t="s">
        <v>1993</v>
      </c>
      <c r="P790" s="132"/>
      <c r="Q790" s="132"/>
      <c r="R790" s="62"/>
      <c r="S790" s="62"/>
      <c r="T790" s="62"/>
      <c r="U790" s="62"/>
      <c r="V790" s="51" t="b">
        <v>0</v>
      </c>
      <c r="W790" s="104" t="s">
        <v>1198</v>
      </c>
      <c r="X790" s="51"/>
      <c r="Y790" s="104" t="s">
        <v>1200</v>
      </c>
      <c r="Z790" s="51"/>
      <c r="AA790" s="51"/>
      <c r="AB790" s="51"/>
      <c r="AC790" s="86">
        <v>0.6</v>
      </c>
      <c r="AD790" s="51"/>
      <c r="AE790" s="51"/>
      <c r="AF790" s="51"/>
      <c r="AG790" s="51" t="s">
        <v>2757</v>
      </c>
      <c r="AH790" s="85"/>
    </row>
    <row r="791" spans="1:34" x14ac:dyDescent="0.3">
      <c r="A791" s="51">
        <f t="shared" si="24"/>
        <v>1510201114</v>
      </c>
      <c r="B791" s="51" t="s">
        <v>41</v>
      </c>
      <c r="C791" s="51" t="s">
        <v>70</v>
      </c>
      <c r="D791" s="51" t="str">
        <f>"Monster.Name."&amp;VLOOKUP($C791,'#Data'!$B$2:$J$344,2,FALSE)</f>
        <v>Monster.Name.trooper_sniper_2</v>
      </c>
      <c r="E791" s="51" t="s">
        <v>47</v>
      </c>
      <c r="F791" s="52" t="s">
        <v>44</v>
      </c>
      <c r="G791" s="51" t="s">
        <v>45</v>
      </c>
      <c r="H791" s="51" t="b">
        <f>IF(OR(VLOOKUP($C791,'#Data'!$B$2:$J$344,4,FALSE)="보스",VLOOKUP($C791,'#Data'!$B$2:$J$344,4,FALSE)="중간"),TRUE,FALSE)</f>
        <v>0</v>
      </c>
      <c r="I791" s="51" t="b">
        <f>IF(OR(VLOOKUP($C791,'#Data'!$B$2:$J$344,4,FALSE)="보스",VLOOKUP($C791,'#Data'!$B$2:$J$344,4,FALSE)="중간"),TRUE,FALSE)</f>
        <v>0</v>
      </c>
      <c r="J791" s="51">
        <v>10</v>
      </c>
      <c r="K791" s="51">
        <f t="shared" si="25"/>
        <v>10</v>
      </c>
      <c r="L791" s="61" t="s">
        <v>1185</v>
      </c>
      <c r="M791" s="61"/>
      <c r="N791" s="61"/>
      <c r="O791" s="132" t="s">
        <v>1186</v>
      </c>
      <c r="P791" s="132" t="s">
        <v>1994</v>
      </c>
      <c r="Q791" s="132"/>
      <c r="R791" s="62"/>
      <c r="S791" s="62"/>
      <c r="T791" s="62"/>
      <c r="U791" s="62"/>
      <c r="V791" s="51" t="b">
        <v>0</v>
      </c>
      <c r="W791" s="51" t="str">
        <f>"Character/Prefabs/"&amp;VLOOKUP($C791,'#Data'!$B$3:$I$344,8,FALSE)</f>
        <v>Character/Prefabs/m_m_ranger_trooper_sniper_2</v>
      </c>
      <c r="X791" s="51"/>
      <c r="Y791" s="51" t="str">
        <f>VLOOKUP($C791,'#Data'!$B$3:$I$344,8,FALSE)</f>
        <v>m_m_ranger_trooper_sniper_2</v>
      </c>
      <c r="Z791" s="51"/>
      <c r="AA791" s="51"/>
      <c r="AB791" s="51"/>
      <c r="AC791" s="86">
        <v>0.8</v>
      </c>
      <c r="AD791" s="51"/>
      <c r="AE791" s="51"/>
      <c r="AF791" s="51"/>
      <c r="AG791" s="51" t="s">
        <v>2757</v>
      </c>
      <c r="AH791" s="85"/>
    </row>
    <row r="792" spans="1:34" x14ac:dyDescent="0.3">
      <c r="A792" s="51">
        <f t="shared" si="24"/>
        <v>1510201115</v>
      </c>
      <c r="B792" s="51" t="s">
        <v>41</v>
      </c>
      <c r="C792" s="51" t="s">
        <v>71</v>
      </c>
      <c r="D792" s="51" t="str">
        <f>"Monster.Name."&amp;VLOOKUP($C792,'#Data'!$B$2:$J$344,2,FALSE)</f>
        <v>Monster.Name.trooper_guard_2</v>
      </c>
      <c r="E792" s="51" t="s">
        <v>58</v>
      </c>
      <c r="F792" s="52" t="s">
        <v>44</v>
      </c>
      <c r="G792" s="51" t="s">
        <v>45</v>
      </c>
      <c r="H792" s="51" t="b">
        <f>IF(OR(VLOOKUP($C792,'#Data'!$B$2:$J$344,4,FALSE)="보스",VLOOKUP($C792,'#Data'!$B$2:$J$344,4,FALSE)="중간"),TRUE,FALSE)</f>
        <v>0</v>
      </c>
      <c r="I792" s="51" t="b">
        <f>IF(OR(VLOOKUP($C792,'#Data'!$B$2:$J$344,4,FALSE)="보스",VLOOKUP($C792,'#Data'!$B$2:$J$344,4,FALSE)="중간"),TRUE,FALSE)</f>
        <v>0</v>
      </c>
      <c r="J792" s="51">
        <v>10</v>
      </c>
      <c r="K792" s="51">
        <f t="shared" si="25"/>
        <v>10</v>
      </c>
      <c r="L792" s="61" t="s">
        <v>1187</v>
      </c>
      <c r="M792" s="61"/>
      <c r="N792" s="61"/>
      <c r="O792" s="132" t="s">
        <v>1188</v>
      </c>
      <c r="P792" s="132" t="s">
        <v>1995</v>
      </c>
      <c r="Q792" s="132"/>
      <c r="R792" s="62"/>
      <c r="S792" s="62"/>
      <c r="T792" s="62"/>
      <c r="U792" s="62"/>
      <c r="V792" s="51" t="b">
        <v>0</v>
      </c>
      <c r="W792" s="51" t="str">
        <f>"Character/Prefabs/"&amp;VLOOKUP($C792,'#Data'!$B$3:$I$344,8,FALSE)</f>
        <v>Character/Prefabs/m_m_tanker_trooper_guard_2</v>
      </c>
      <c r="X792" s="51"/>
      <c r="Y792" s="51" t="str">
        <f>VLOOKUP($C792,'#Data'!$B$3:$I$344,8,FALSE)</f>
        <v>m_m_tanker_trooper_guard_2</v>
      </c>
      <c r="Z792" s="51"/>
      <c r="AA792" s="51"/>
      <c r="AB792" s="51"/>
      <c r="AC792" s="86">
        <v>0.8</v>
      </c>
      <c r="AD792" s="51"/>
      <c r="AE792" s="51"/>
      <c r="AF792" s="51"/>
      <c r="AG792" s="51" t="s">
        <v>2757</v>
      </c>
      <c r="AH792" s="85"/>
    </row>
    <row r="793" spans="1:34" x14ac:dyDescent="0.3">
      <c r="A793" s="51">
        <f t="shared" si="24"/>
        <v>1510201116</v>
      </c>
      <c r="B793" s="51" t="s">
        <v>41</v>
      </c>
      <c r="C793" s="51" t="s">
        <v>72</v>
      </c>
      <c r="D793" s="51" t="str">
        <f>"Monster.Name."&amp;VLOOKUP($C793,'#Data'!$B$2:$J$344,2,FALSE)</f>
        <v>Monster.Name.trooper_champion_2</v>
      </c>
      <c r="E793" s="51" t="s">
        <v>43</v>
      </c>
      <c r="F793" s="52" t="s">
        <v>44</v>
      </c>
      <c r="G793" s="51" t="s">
        <v>45</v>
      </c>
      <c r="H793" s="51" t="b">
        <f>IF(OR(VLOOKUP($C793,'#Data'!$B$2:$J$344,4,FALSE)="보스",VLOOKUP($C793,'#Data'!$B$2:$J$344,4,FALSE)="중간"),TRUE,FALSE)</f>
        <v>0</v>
      </c>
      <c r="I793" s="51" t="b">
        <f>IF(OR(VLOOKUP($C793,'#Data'!$B$2:$J$344,4,FALSE)="보스",VLOOKUP($C793,'#Data'!$B$2:$J$344,4,FALSE)="중간"),TRUE,FALSE)</f>
        <v>0</v>
      </c>
      <c r="J793" s="51">
        <v>10</v>
      </c>
      <c r="K793" s="51">
        <f t="shared" si="25"/>
        <v>10</v>
      </c>
      <c r="L793" s="61" t="s">
        <v>1189</v>
      </c>
      <c r="M793" s="61"/>
      <c r="N793" s="61"/>
      <c r="O793" s="132" t="s">
        <v>1190</v>
      </c>
      <c r="P793" s="132" t="s">
        <v>1996</v>
      </c>
      <c r="Q793" s="132"/>
      <c r="R793" s="62"/>
      <c r="S793" s="62"/>
      <c r="T793" s="62"/>
      <c r="U793" s="62"/>
      <c r="V793" s="51" t="b">
        <v>0</v>
      </c>
      <c r="W793" s="51" t="str">
        <f>"Character/Prefabs/"&amp;VLOOKUP($C793,'#Data'!$B$3:$I$344,8,FALSE)</f>
        <v>Character/Prefabs/m_m_attacker_trooper_champion_2</v>
      </c>
      <c r="X793" s="51"/>
      <c r="Y793" s="51" t="str">
        <f>VLOOKUP($C793,'#Data'!$B$3:$I$344,8,FALSE)</f>
        <v>m_m_attacker_trooper_champion_2</v>
      </c>
      <c r="Z793" s="51"/>
      <c r="AA793" s="51"/>
      <c r="AB793" s="51"/>
      <c r="AC793" s="86">
        <v>0.8</v>
      </c>
      <c r="AD793" s="51"/>
      <c r="AE793" s="51"/>
      <c r="AF793" s="51"/>
      <c r="AG793" s="51" t="s">
        <v>2757</v>
      </c>
      <c r="AH793" s="85"/>
    </row>
    <row r="794" spans="1:34" x14ac:dyDescent="0.3">
      <c r="A794" s="51">
        <f t="shared" si="24"/>
        <v>1510201117</v>
      </c>
      <c r="B794" s="51" t="s">
        <v>41</v>
      </c>
      <c r="C794" s="51" t="s">
        <v>73</v>
      </c>
      <c r="D794" s="51" t="str">
        <f>"Monster.Name."&amp;VLOOKUP($C794,'#Data'!$B$2:$J$344,2,FALSE)</f>
        <v>Monster.Name.trooper_demolisher_2</v>
      </c>
      <c r="E794" s="51" t="s">
        <v>47</v>
      </c>
      <c r="F794" s="52" t="s">
        <v>44</v>
      </c>
      <c r="G794" s="51" t="s">
        <v>45</v>
      </c>
      <c r="H794" s="51" t="b">
        <f>IF(OR(VLOOKUP($C794,'#Data'!$B$2:$J$344,4,FALSE)="보스",VLOOKUP($C794,'#Data'!$B$2:$J$344,4,FALSE)="중간"),TRUE,FALSE)</f>
        <v>0</v>
      </c>
      <c r="I794" s="51" t="b">
        <f>IF(OR(VLOOKUP($C794,'#Data'!$B$2:$J$344,4,FALSE)="보스",VLOOKUP($C794,'#Data'!$B$2:$J$344,4,FALSE)="중간"),TRUE,FALSE)</f>
        <v>0</v>
      </c>
      <c r="J794" s="51">
        <v>10</v>
      </c>
      <c r="K794" s="51">
        <f t="shared" si="25"/>
        <v>10</v>
      </c>
      <c r="L794" s="61" t="s">
        <v>1191</v>
      </c>
      <c r="M794" s="61"/>
      <c r="N794" s="61"/>
      <c r="O794" s="132" t="s">
        <v>1192</v>
      </c>
      <c r="P794" s="132" t="s">
        <v>1997</v>
      </c>
      <c r="Q794" s="132"/>
      <c r="R794" s="62"/>
      <c r="S794" s="62"/>
      <c r="T794" s="62"/>
      <c r="U794" s="62"/>
      <c r="V794" s="51" t="b">
        <v>0</v>
      </c>
      <c r="W794" s="51" t="str">
        <f>"Character/Prefabs/"&amp;VLOOKUP($C794,'#Data'!$B$3:$I$344,8,FALSE)</f>
        <v>Character/Prefabs/m_m_ranger_trooper_demolisher_2</v>
      </c>
      <c r="X794" s="51"/>
      <c r="Y794" s="51" t="str">
        <f>VLOOKUP($C794,'#Data'!$B$3:$I$344,8,FALSE)</f>
        <v>m_m_ranger_trooper_demolisher_2</v>
      </c>
      <c r="Z794" s="51"/>
      <c r="AA794" s="51"/>
      <c r="AB794" s="51"/>
      <c r="AC794" s="86">
        <v>0.8</v>
      </c>
      <c r="AD794" s="51"/>
      <c r="AE794" s="51"/>
      <c r="AF794" s="51"/>
      <c r="AG794" s="51" t="s">
        <v>2757</v>
      </c>
      <c r="AH794" s="85"/>
    </row>
    <row r="795" spans="1:34" x14ac:dyDescent="0.3">
      <c r="A795" s="51">
        <f t="shared" si="24"/>
        <v>1510201118</v>
      </c>
      <c r="B795" s="51" t="s">
        <v>41</v>
      </c>
      <c r="C795" s="51" t="s">
        <v>74</v>
      </c>
      <c r="D795" s="51" t="str">
        <f>"Monster.Name."&amp;VLOOKUP($C795,'#Data'!$B$2:$J$344,2,FALSE)</f>
        <v>Monster.Name.trooper_inferno_2</v>
      </c>
      <c r="E795" s="51" t="s">
        <v>43</v>
      </c>
      <c r="F795" s="52" t="s">
        <v>44</v>
      </c>
      <c r="G795" s="51" t="s">
        <v>45</v>
      </c>
      <c r="H795" s="51" t="b">
        <f>IF(OR(VLOOKUP($C795,'#Data'!$B$2:$J$344,4,FALSE)="보스",VLOOKUP($C795,'#Data'!$B$2:$J$344,4,FALSE)="중간"),TRUE,FALSE)</f>
        <v>0</v>
      </c>
      <c r="I795" s="51" t="b">
        <f>IF(OR(VLOOKUP($C795,'#Data'!$B$2:$J$344,4,FALSE)="보스",VLOOKUP($C795,'#Data'!$B$2:$J$344,4,FALSE)="중간"),TRUE,FALSE)</f>
        <v>0</v>
      </c>
      <c r="J795" s="51">
        <v>10</v>
      </c>
      <c r="K795" s="51">
        <f t="shared" si="25"/>
        <v>10</v>
      </c>
      <c r="L795" s="61" t="s">
        <v>1193</v>
      </c>
      <c r="M795" s="61"/>
      <c r="N795" s="61"/>
      <c r="O795" s="132" t="s">
        <v>1194</v>
      </c>
      <c r="P795" s="132" t="s">
        <v>1998</v>
      </c>
      <c r="Q795" s="132"/>
      <c r="R795" s="62"/>
      <c r="S795" s="62"/>
      <c r="T795" s="62"/>
      <c r="U795" s="62"/>
      <c r="V795" s="51" t="b">
        <v>0</v>
      </c>
      <c r="W795" s="51" t="str">
        <f>"Character/Prefabs/"&amp;VLOOKUP($C795,'#Data'!$B$3:$I$344,8,FALSE)</f>
        <v>Character/Prefabs/m_m_attacker_trooper_inferno_2</v>
      </c>
      <c r="X795" s="51"/>
      <c r="Y795" s="51" t="str">
        <f>VLOOKUP($C795,'#Data'!$B$3:$I$344,8,FALSE)</f>
        <v>m_m_attacker_trooper_inferno_2</v>
      </c>
      <c r="Z795" s="51"/>
      <c r="AA795" s="51"/>
      <c r="AB795" s="51"/>
      <c r="AC795" s="86">
        <v>0.8</v>
      </c>
      <c r="AD795" s="51"/>
      <c r="AE795" s="51"/>
      <c r="AF795" s="51"/>
      <c r="AG795" s="51" t="s">
        <v>2757</v>
      </c>
      <c r="AH795" s="85"/>
    </row>
    <row r="796" spans="1:34" x14ac:dyDescent="0.3">
      <c r="A796" s="37">
        <f t="shared" si="24"/>
        <v>1510201201</v>
      </c>
      <c r="B796" s="37" t="s">
        <v>41</v>
      </c>
      <c r="C796" s="37" t="s">
        <v>62</v>
      </c>
      <c r="D796" s="37" t="str">
        <f>"Monster.Name."&amp;VLOOKUP($C796,'#Data'!$B$2:$J$344,2,FALSE)</f>
        <v>Monster.Name.labmecha_launcher_1</v>
      </c>
      <c r="E796" s="37" t="s">
        <v>47</v>
      </c>
      <c r="F796" s="38" t="s">
        <v>44</v>
      </c>
      <c r="G796" s="37" t="s">
        <v>45</v>
      </c>
      <c r="H796" s="37" t="b">
        <f>IF(OR(VLOOKUP($C796,'#Data'!$B$2:$J$344,4,FALSE)="보스",VLOOKUP($C796,'#Data'!$B$2:$J$344,4,FALSE)="중간"),TRUE,FALSE)</f>
        <v>1</v>
      </c>
      <c r="I796" s="37" t="b">
        <f>IF(OR(VLOOKUP($C796,'#Data'!$B$2:$J$344,4,FALSE)="보스",VLOOKUP($C796,'#Data'!$B$2:$J$344,4,FALSE)="중간"),TRUE,FALSE)</f>
        <v>1</v>
      </c>
      <c r="J796" s="37">
        <v>10</v>
      </c>
      <c r="K796" s="37">
        <f t="shared" si="25"/>
        <v>10</v>
      </c>
      <c r="L796" s="59" t="str">
        <f>$B796&amp;"."&amp;VLOOKUP($C796,'#Data'!$B$2:$J$344,2,FALSE)&amp;".attack0"&amp;RIGHT(L$1,1)</f>
        <v>Sector01.labmecha_launcher_1.attack01</v>
      </c>
      <c r="M796" s="59"/>
      <c r="N796" s="59"/>
      <c r="O796" s="131" t="str">
        <f>$B796&amp;"."&amp;VLOOKUP($C796,'#Data'!$B$2:$J$344,2,FALSE)&amp;".skill0"&amp;RIGHT(O$1,1)</f>
        <v>Sector01.labmecha_launcher_1.skill01</v>
      </c>
      <c r="P796" s="131" t="str">
        <f>$B796&amp;"."&amp;VLOOKUP($C796,'#Data'!$B$2:$J$344,2,FALSE)&amp;".skill0"&amp;RIGHT(P$1,1)</f>
        <v>Sector01.labmecha_launcher_1.skill02</v>
      </c>
      <c r="Q796" s="131"/>
      <c r="R796" s="60"/>
      <c r="S796" s="60" t="s">
        <v>2075</v>
      </c>
      <c r="T796" s="60"/>
      <c r="U796" s="60"/>
      <c r="V796" s="37" t="b">
        <v>0</v>
      </c>
      <c r="W796" s="37" t="str">
        <f>"Character/Prefabs/"&amp;VLOOKUP($C796,'#Data'!$B$3:$I$344,8,FALSE)</f>
        <v>Character/Prefabs/m_m_ranger_labmecha_launcher_1</v>
      </c>
      <c r="X796" s="37"/>
      <c r="Y796" s="37" t="str">
        <f>VLOOKUP($C796,'#Data'!$B$3:$I$344,8,FALSE)</f>
        <v>m_m_ranger_labmecha_launcher_1</v>
      </c>
      <c r="Z796" s="37"/>
      <c r="AA796" s="37"/>
      <c r="AB796" s="37"/>
      <c r="AC796" s="84">
        <v>0.7</v>
      </c>
      <c r="AD796" s="37"/>
      <c r="AE796" s="37"/>
      <c r="AF796" s="37"/>
      <c r="AG796" s="37" t="s">
        <v>2757</v>
      </c>
      <c r="AH796" s="85"/>
    </row>
    <row r="797" spans="1:34" x14ac:dyDescent="0.3">
      <c r="A797" s="37">
        <f t="shared" si="24"/>
        <v>1510201202</v>
      </c>
      <c r="B797" s="37" t="s">
        <v>41</v>
      </c>
      <c r="C797" s="37" t="s">
        <v>63</v>
      </c>
      <c r="D797" s="37" t="str">
        <f>"Monster.Name."&amp;VLOOKUP($C797,'#Data'!$B$2:$J$344,2,FALSE)</f>
        <v>Monster.Name.harbor_crab_1</v>
      </c>
      <c r="E797" s="37" t="s">
        <v>58</v>
      </c>
      <c r="F797" s="38" t="s">
        <v>44</v>
      </c>
      <c r="G797" s="37" t="s">
        <v>45</v>
      </c>
      <c r="H797" s="37" t="b">
        <f>IF(OR(VLOOKUP($C797,'#Data'!$B$2:$J$344,4,FALSE)="보스",VLOOKUP($C797,'#Data'!$B$2:$J$344,4,FALSE)="중간"),TRUE,FALSE)</f>
        <v>1</v>
      </c>
      <c r="I797" s="37" t="b">
        <f>IF(OR(VLOOKUP($C797,'#Data'!$B$2:$J$344,4,FALSE)="보스",VLOOKUP($C797,'#Data'!$B$2:$J$344,4,FALSE)="중간"),TRUE,FALSE)</f>
        <v>1</v>
      </c>
      <c r="J797" s="37">
        <v>20</v>
      </c>
      <c r="K797" s="37">
        <f t="shared" si="25"/>
        <v>10</v>
      </c>
      <c r="L797" s="59" t="str">
        <f>$B797&amp;"."&amp;VLOOKUP($C797,'#Data'!$B$2:$J$344,2,FALSE)&amp;".attack0"&amp;RIGHT(L$1,1)</f>
        <v>Sector01.harbor_crab_1.attack01</v>
      </c>
      <c r="M797" s="59"/>
      <c r="N797" s="59"/>
      <c r="O797" s="131" t="str">
        <f>$B797&amp;"."&amp;VLOOKUP($C797,'#Data'!$B$2:$J$344,2,FALSE)&amp;".skill0"&amp;RIGHT(O$1,1)</f>
        <v>Sector01.harbor_crab_1.skill01</v>
      </c>
      <c r="P797" s="131" t="str">
        <f>$B797&amp;"."&amp;VLOOKUP($C797,'#Data'!$B$2:$J$344,2,FALSE)&amp;".skill0"&amp;RIGHT(P$1,1)</f>
        <v>Sector01.harbor_crab_1.skill02</v>
      </c>
      <c r="Q797" s="131" t="s">
        <v>64</v>
      </c>
      <c r="R797" s="60"/>
      <c r="S797" s="60" t="s">
        <v>2075</v>
      </c>
      <c r="T797" s="60"/>
      <c r="U797" s="60"/>
      <c r="V797" s="37" t="b">
        <v>0</v>
      </c>
      <c r="W797" s="37" t="str">
        <f>"Character/Prefabs/"&amp;VLOOKUP($C797,'#Data'!$B$3:$I$344,8,FALSE)</f>
        <v>Character/Prefabs/m_l_attacker_harbor_crab_1</v>
      </c>
      <c r="X797" s="37"/>
      <c r="Y797" s="37" t="str">
        <f>VLOOKUP($C797,'#Data'!$B$3:$I$344,8,FALSE)</f>
        <v>m_l_attacker_harbor_crab_1</v>
      </c>
      <c r="Z797" s="37"/>
      <c r="AA797" s="37"/>
      <c r="AB797" s="37"/>
      <c r="AC797" s="84">
        <v>1</v>
      </c>
      <c r="AD797" s="37"/>
      <c r="AE797" s="37"/>
      <c r="AF797" s="37"/>
      <c r="AG797" s="37" t="s">
        <v>2757</v>
      </c>
      <c r="AH797" s="85"/>
    </row>
    <row r="798" spans="1:34" x14ac:dyDescent="0.3">
      <c r="A798" s="37">
        <f t="shared" si="24"/>
        <v>1510201203</v>
      </c>
      <c r="B798" s="37" t="s">
        <v>41</v>
      </c>
      <c r="C798" s="37" t="s">
        <v>65</v>
      </c>
      <c r="D798" s="37" t="str">
        <f>"Monster.Name."&amp;VLOOKUP($C798,'#Data'!$B$2:$J$344,2,FALSE)</f>
        <v>Monster.Name.harbor_punch_1</v>
      </c>
      <c r="E798" s="37" t="s">
        <v>58</v>
      </c>
      <c r="F798" s="38" t="s">
        <v>44</v>
      </c>
      <c r="G798" s="37" t="s">
        <v>45</v>
      </c>
      <c r="H798" s="37" t="b">
        <f>IF(OR(VLOOKUP($C798,'#Data'!$B$2:$J$344,4,FALSE)="보스",VLOOKUP($C798,'#Data'!$B$2:$J$344,4,FALSE)="중간"),TRUE,FALSE)</f>
        <v>1</v>
      </c>
      <c r="I798" s="37" t="b">
        <f>IF(OR(VLOOKUP($C798,'#Data'!$B$2:$J$344,4,FALSE)="보스",VLOOKUP($C798,'#Data'!$B$2:$J$344,4,FALSE)="중간"),TRUE,FALSE)</f>
        <v>1</v>
      </c>
      <c r="J798" s="37">
        <v>20</v>
      </c>
      <c r="K798" s="37">
        <f t="shared" si="25"/>
        <v>10</v>
      </c>
      <c r="L798" s="59" t="str">
        <f>$B798&amp;"."&amp;VLOOKUP($C798,'#Data'!$B$2:$J$344,2,FALSE)&amp;".attack0"&amp;RIGHT(L$1,1)</f>
        <v>Sector01.harbor_punch_1.attack01</v>
      </c>
      <c r="M798" s="59"/>
      <c r="N798" s="59"/>
      <c r="O798" s="131" t="str">
        <f>$B798&amp;"."&amp;VLOOKUP($C798,'#Data'!$B$2:$J$344,2,FALSE)&amp;".skill0"&amp;RIGHT(O$1,1)</f>
        <v>Sector01.harbor_punch_1.skill01</v>
      </c>
      <c r="P798" s="131" t="str">
        <f>$B798&amp;"."&amp;VLOOKUP($C798,'#Data'!$B$2:$J$344,2,FALSE)&amp;".skill0"&amp;RIGHT(P$1,1)</f>
        <v>Sector01.harbor_punch_1.skill02</v>
      </c>
      <c r="Q798" s="131"/>
      <c r="R798" s="60"/>
      <c r="S798" s="60" t="s">
        <v>2075</v>
      </c>
      <c r="T798" s="60"/>
      <c r="U798" s="60"/>
      <c r="V798" s="37" t="b">
        <v>0</v>
      </c>
      <c r="W798" s="37" t="str">
        <f>"Character/Prefabs/"&amp;VLOOKUP($C798,'#Data'!$B$3:$I$344,8,FALSE)</f>
        <v>Character/Prefabs/m_l_tanker_harbor_punch_1</v>
      </c>
      <c r="X798" s="37"/>
      <c r="Y798" s="37" t="str">
        <f>VLOOKUP($C798,'#Data'!$B$3:$I$344,8,FALSE)</f>
        <v>m_l_tanker_harbor_punch_1</v>
      </c>
      <c r="Z798" s="37"/>
      <c r="AA798" s="37"/>
      <c r="AB798" s="37"/>
      <c r="AC798" s="84">
        <v>1</v>
      </c>
      <c r="AD798" s="37"/>
      <c r="AE798" s="37"/>
      <c r="AF798" s="37"/>
      <c r="AG798" s="37" t="s">
        <v>2757</v>
      </c>
      <c r="AH798" s="85"/>
    </row>
    <row r="799" spans="1:34" x14ac:dyDescent="0.3">
      <c r="A799" s="108">
        <f t="shared" si="24"/>
        <v>1510201301</v>
      </c>
      <c r="B799" s="108" t="s">
        <v>82</v>
      </c>
      <c r="C799" s="108" t="s">
        <v>95</v>
      </c>
      <c r="D799" s="108" t="str">
        <f>"Monster.Name."&amp;VLOOKUP($C799,'#Data'!$B$2:$J$344,2,FALSE)</f>
        <v>Monster.Name.cassandra_1</v>
      </c>
      <c r="E799" s="108" t="s">
        <v>1833</v>
      </c>
      <c r="F799" s="109" t="s">
        <v>44</v>
      </c>
      <c r="G799" s="108" t="s">
        <v>45</v>
      </c>
      <c r="H799" s="108" t="b">
        <f>IF(OR(VLOOKUP($C799,'#Data'!$B$2:$J$344,4,FALSE)="보스",VLOOKUP($C799,'#Data'!$B$2:$J$344,4,FALSE)="중간"),TRUE,FALSE)</f>
        <v>1</v>
      </c>
      <c r="I799" s="108" t="b">
        <v>1</v>
      </c>
      <c r="J799" s="108">
        <v>30</v>
      </c>
      <c r="K799" s="108">
        <f t="shared" si="25"/>
        <v>10</v>
      </c>
      <c r="L799" s="113" t="str">
        <f>$B799&amp;"."&amp;VLOOKUP($C799,'#Data'!$B$2:$J$344,2,FALSE)&amp;".attack0"&amp;RIGHT(L$1,1)</f>
        <v>Sector02.cassandra_1.attack01</v>
      </c>
      <c r="M799" s="113"/>
      <c r="N799" s="113"/>
      <c r="O799" s="136" t="str">
        <f>$B799&amp;"."&amp;VLOOKUP($C799,'#Data'!$B$2:$J$344,2,FALSE)&amp;".skill0"&amp;RIGHT(O$1,1)</f>
        <v>Sector02.cassandra_1.skill01</v>
      </c>
      <c r="P799" s="136" t="str">
        <f>$B799&amp;"."&amp;VLOOKUP($C799,'#Data'!$B$2:$J$344,2,FALSE)&amp;".skill0"&amp;RIGHT(P$1,1)</f>
        <v>Sector02.cassandra_1.skill02</v>
      </c>
      <c r="Q799" s="136" t="s">
        <v>96</v>
      </c>
      <c r="R799" s="114"/>
      <c r="S799" s="114" t="s">
        <v>76</v>
      </c>
      <c r="T799" s="114"/>
      <c r="U799" s="114"/>
      <c r="V799" s="108" t="b">
        <v>0</v>
      </c>
      <c r="W799" s="108" t="str">
        <f>"Character/Prefabs/"&amp;VLOOKUP($C799,'#Data'!$B$3:$I$344,8,FALSE)</f>
        <v>Character/Prefabs/m_boss_ranger_cassandra_1</v>
      </c>
      <c r="X799" s="108"/>
      <c r="Y799" s="108" t="str">
        <f>VLOOKUP($C799,'#Data'!$B$3:$I$344,8,FALSE)</f>
        <v>m_boss_ranger_cassandra_1</v>
      </c>
      <c r="Z799" s="108"/>
      <c r="AA799" s="108"/>
      <c r="AB799" s="108"/>
      <c r="AC799" s="111">
        <v>0.9</v>
      </c>
      <c r="AD799" s="108"/>
      <c r="AE799" s="108" t="s">
        <v>99</v>
      </c>
      <c r="AF799" s="108" t="s">
        <v>100</v>
      </c>
      <c r="AG799" s="108" t="s">
        <v>2757</v>
      </c>
      <c r="AH799" s="85"/>
    </row>
    <row r="800" spans="1:34" x14ac:dyDescent="0.3">
      <c r="A800" s="108">
        <f t="shared" si="24"/>
        <v>1510201302</v>
      </c>
      <c r="B800" s="108" t="s">
        <v>82</v>
      </c>
      <c r="C800" s="108" t="s">
        <v>101</v>
      </c>
      <c r="D800" s="108" t="str">
        <f>"Monster.Name."&amp;VLOOKUP($C800,'#Data'!$B$2:$J$344,2,FALSE)</f>
        <v>Monster.Name.cassandra_2</v>
      </c>
      <c r="E800" s="108" t="s">
        <v>1833</v>
      </c>
      <c r="F800" s="109" t="s">
        <v>44</v>
      </c>
      <c r="G800" s="108" t="s">
        <v>45</v>
      </c>
      <c r="H800" s="108" t="b">
        <f>IF(OR(VLOOKUP($C800,'#Data'!$B$2:$J$344,4,FALSE)="보스",VLOOKUP($C800,'#Data'!$B$2:$J$344,4,FALSE)="중간"),TRUE,FALSE)</f>
        <v>1</v>
      </c>
      <c r="I800" s="108" t="b">
        <v>1</v>
      </c>
      <c r="J800" s="108">
        <v>30</v>
      </c>
      <c r="K800" s="108">
        <f t="shared" si="25"/>
        <v>10</v>
      </c>
      <c r="L800" s="113" t="str">
        <f>$B800&amp;"."&amp;VLOOKUP($C800,'#Data'!$B$2:$J$344,2,FALSE)&amp;".attack0"&amp;RIGHT(L$1,1)</f>
        <v>Sector02.cassandra_2.attack01</v>
      </c>
      <c r="M800" s="113"/>
      <c r="N800" s="113"/>
      <c r="O800" s="136" t="str">
        <f>$B800&amp;"."&amp;VLOOKUP($C800,'#Data'!$B$2:$J$344,2,FALSE)&amp;".skill0"&amp;RIGHT(O$1,1)</f>
        <v>Sector02.cassandra_2.skill01</v>
      </c>
      <c r="P800" s="136" t="str">
        <f>$B800&amp;"."&amp;VLOOKUP($C800,'#Data'!$B$2:$J$344,2,FALSE)&amp;".skill0"&amp;RIGHT(P$1,1)</f>
        <v>Sector02.cassandra_2.skill02</v>
      </c>
      <c r="Q800" s="136" t="str">
        <f>$B800&amp;"."&amp;VLOOKUP($C800,'#Data'!$B$2:$J$344,2,FALSE)&amp;".skill0"&amp;RIGHT(Q$1,1)</f>
        <v>Sector02.cassandra_2.skill03</v>
      </c>
      <c r="R800" s="114" t="s">
        <v>102</v>
      </c>
      <c r="S800" s="114" t="s">
        <v>76</v>
      </c>
      <c r="T800" s="114"/>
      <c r="U800" s="114"/>
      <c r="V800" s="108" t="b">
        <v>0</v>
      </c>
      <c r="W800" s="108" t="str">
        <f>"Character/Prefabs/"&amp;VLOOKUP($C800,'#Data'!$B$3:$I$344,8,FALSE)</f>
        <v>Character/Prefabs/m_boss_ranger_cassandra_2</v>
      </c>
      <c r="X800" s="108"/>
      <c r="Y800" s="108" t="str">
        <f>VLOOKUP($C800,'#Data'!$B$3:$I$344,8,FALSE)</f>
        <v>m_boss_ranger_cassandra_2</v>
      </c>
      <c r="Z800" s="108"/>
      <c r="AA800" s="108"/>
      <c r="AB800" s="108"/>
      <c r="AC800" s="111">
        <v>0.9</v>
      </c>
      <c r="AD800" s="108"/>
      <c r="AE800" s="108" t="s">
        <v>103</v>
      </c>
      <c r="AF800" s="108" t="s">
        <v>104</v>
      </c>
      <c r="AG800" s="108" t="s">
        <v>2757</v>
      </c>
      <c r="AH800" s="85"/>
    </row>
    <row r="801" spans="1:34" x14ac:dyDescent="0.3">
      <c r="A801" s="12">
        <f t="shared" si="24"/>
        <v>1510202101</v>
      </c>
      <c r="B801" s="12" t="s">
        <v>82</v>
      </c>
      <c r="C801" s="12" t="s">
        <v>83</v>
      </c>
      <c r="D801" s="12" t="str">
        <f>"Monster.Name."&amp;VLOOKUP($C801,'#Data'!$B$2:$J$344,2,FALSE)</f>
        <v>Monster.Name.turtle_mechamk3_3</v>
      </c>
      <c r="E801" s="12" t="s">
        <v>43</v>
      </c>
      <c r="F801" s="39" t="s">
        <v>44</v>
      </c>
      <c r="G801" s="12" t="s">
        <v>45</v>
      </c>
      <c r="H801" s="12" t="b">
        <f>IF(OR(VLOOKUP($C801,'#Data'!$B$2:$J$344,4,FALSE)="보스",VLOOKUP($C801,'#Data'!$B$2:$J$344,4,FALSE)="중간"),TRUE,FALSE)</f>
        <v>0</v>
      </c>
      <c r="I801" s="12" t="b">
        <f>IF(OR(VLOOKUP($C801,'#Data'!$B$2:$J$344,4,FALSE)="보스",VLOOKUP($C801,'#Data'!$B$2:$J$344,4,FALSE)="중간"),TRUE,FALSE)</f>
        <v>0</v>
      </c>
      <c r="J801" s="12">
        <v>10</v>
      </c>
      <c r="K801" s="12">
        <f t="shared" si="25"/>
        <v>10</v>
      </c>
      <c r="L801" s="63" t="str">
        <f>$B801&amp;"."&amp;VLOOKUP($C801,'#Data'!$B$2:$J$344,2,FALSE)&amp;".attack0"&amp;RIGHT(L$1,1)</f>
        <v>Sector02.turtle_mechamk3_3.attack01</v>
      </c>
      <c r="M801" s="63"/>
      <c r="N801" s="63"/>
      <c r="O801" s="134" t="s">
        <v>1999</v>
      </c>
      <c r="P801" s="134"/>
      <c r="Q801" s="134"/>
      <c r="R801" s="64"/>
      <c r="S801" s="64"/>
      <c r="T801" s="64"/>
      <c r="U801" s="64"/>
      <c r="V801" s="12" t="b">
        <v>0</v>
      </c>
      <c r="W801" s="12" t="str">
        <f>"Character/Prefabs/"&amp;VLOOKUP($C801,'#Data'!$B$3:$I$344,8,FALSE)</f>
        <v>Character/Prefabs/m_s_attacker_turtle_mechamk3_3</v>
      </c>
      <c r="X801" s="12"/>
      <c r="Y801" s="12" t="str">
        <f>VLOOKUP($C801,'#Data'!$B$3:$I$344,8,FALSE)</f>
        <v>m_s_attacker_turtle_mechamk3_3</v>
      </c>
      <c r="Z801" s="12"/>
      <c r="AA801" s="12"/>
      <c r="AB801" s="12"/>
      <c r="AC801" s="88">
        <v>0.7</v>
      </c>
      <c r="AD801" s="12"/>
      <c r="AE801" s="12"/>
      <c r="AF801" s="12"/>
      <c r="AG801" s="12" t="s">
        <v>2757</v>
      </c>
      <c r="AH801" s="85"/>
    </row>
    <row r="802" spans="1:34" x14ac:dyDescent="0.3">
      <c r="A802" s="12">
        <f t="shared" si="24"/>
        <v>1510202102</v>
      </c>
      <c r="B802" s="12" t="s">
        <v>82</v>
      </c>
      <c r="C802" s="12" t="s">
        <v>84</v>
      </c>
      <c r="D802" s="12" t="str">
        <f>"Monster.Name."&amp;VLOOKUP($C802,'#Data'!$B$2:$J$344,2,FALSE)</f>
        <v>Monster.Name.scorpion_turretmk2_3</v>
      </c>
      <c r="E802" s="12" t="s">
        <v>47</v>
      </c>
      <c r="F802" s="39" t="s">
        <v>44</v>
      </c>
      <c r="G802" s="12" t="s">
        <v>45</v>
      </c>
      <c r="H802" s="12" t="b">
        <f>IF(OR(VLOOKUP($C802,'#Data'!$B$2:$J$344,4,FALSE)="보스",VLOOKUP($C802,'#Data'!$B$2:$J$344,4,FALSE)="중간"),TRUE,FALSE)</f>
        <v>0</v>
      </c>
      <c r="I802" s="12" t="b">
        <f>IF(OR(VLOOKUP($C802,'#Data'!$B$2:$J$344,4,FALSE)="보스",VLOOKUP($C802,'#Data'!$B$2:$J$344,4,FALSE)="중간"),TRUE,FALSE)</f>
        <v>0</v>
      </c>
      <c r="J802" s="12">
        <v>10</v>
      </c>
      <c r="K802" s="12">
        <f t="shared" si="25"/>
        <v>10</v>
      </c>
      <c r="L802" s="63" t="str">
        <f>$B802&amp;"."&amp;VLOOKUP($C802,'#Data'!$B$2:$J$344,2,FALSE)&amp;".attack0"&amp;RIGHT(L$1,1)</f>
        <v>Sector02.scorpion_turretmk2_3.attack01</v>
      </c>
      <c r="M802" s="63"/>
      <c r="N802" s="63"/>
      <c r="O802" s="134" t="s">
        <v>2000</v>
      </c>
      <c r="P802" s="134"/>
      <c r="Q802" s="134"/>
      <c r="R802" s="64"/>
      <c r="S802" s="64"/>
      <c r="T802" s="64"/>
      <c r="U802" s="64"/>
      <c r="V802" s="12" t="b">
        <v>0</v>
      </c>
      <c r="W802" s="12" t="str">
        <f>"Character/Prefabs/"&amp;VLOOKUP($C802,'#Data'!$B$3:$I$344,8,FALSE)</f>
        <v>Character/Prefabs/m_s_ranger_scorpion_turretmk2_3</v>
      </c>
      <c r="X802" s="12"/>
      <c r="Y802" s="12" t="str">
        <f>VLOOKUP($C802,'#Data'!$B$3:$I$344,8,FALSE)</f>
        <v>m_s_ranger_scorpion_turretmk2_3</v>
      </c>
      <c r="Z802" s="12"/>
      <c r="AA802" s="12"/>
      <c r="AB802" s="12"/>
      <c r="AC802" s="88">
        <v>0.7</v>
      </c>
      <c r="AD802" s="12"/>
      <c r="AE802" s="12"/>
      <c r="AF802" s="12"/>
      <c r="AG802" s="12" t="s">
        <v>2757</v>
      </c>
      <c r="AH802" s="85"/>
    </row>
    <row r="803" spans="1:34" x14ac:dyDescent="0.3">
      <c r="A803" s="12">
        <f t="shared" si="24"/>
        <v>1510202103</v>
      </c>
      <c r="B803" s="12" t="s">
        <v>82</v>
      </c>
      <c r="C803" s="12" t="s">
        <v>85</v>
      </c>
      <c r="D803" s="12" t="str">
        <f>"Monster.Name."&amp;VLOOKUP($C803,'#Data'!$B$2:$J$344,2,FALSE)</f>
        <v>Monster.Name.rhino_mechamk3_3</v>
      </c>
      <c r="E803" s="12" t="s">
        <v>43</v>
      </c>
      <c r="F803" s="39" t="s">
        <v>44</v>
      </c>
      <c r="G803" s="12" t="s">
        <v>45</v>
      </c>
      <c r="H803" s="12" t="b">
        <f>IF(OR(VLOOKUP($C803,'#Data'!$B$2:$J$344,4,FALSE)="보스",VLOOKUP($C803,'#Data'!$B$2:$J$344,4,FALSE)="중간"),TRUE,FALSE)</f>
        <v>0</v>
      </c>
      <c r="I803" s="12" t="b">
        <f>IF(OR(VLOOKUP($C803,'#Data'!$B$2:$J$344,4,FALSE)="보스",VLOOKUP($C803,'#Data'!$B$2:$J$344,4,FALSE)="중간"),TRUE,FALSE)</f>
        <v>0</v>
      </c>
      <c r="J803" s="12">
        <v>10</v>
      </c>
      <c r="K803" s="12">
        <f t="shared" si="25"/>
        <v>10</v>
      </c>
      <c r="L803" s="63" t="str">
        <f>$B803&amp;"."&amp;VLOOKUP($C803,'#Data'!$B$2:$J$344,2,FALSE)&amp;".attack0"&amp;RIGHT(L$1,1)</f>
        <v>Sector02.rhino_mechamk3_3.attack01</v>
      </c>
      <c r="M803" s="63"/>
      <c r="N803" s="63"/>
      <c r="O803" s="134" t="s">
        <v>2001</v>
      </c>
      <c r="P803" s="134"/>
      <c r="Q803" s="134"/>
      <c r="R803" s="64"/>
      <c r="S803" s="64"/>
      <c r="T803" s="64"/>
      <c r="U803" s="64"/>
      <c r="V803" s="12" t="b">
        <v>0</v>
      </c>
      <c r="W803" s="12" t="str">
        <f>"Character/Prefabs/"&amp;VLOOKUP($C803,'#Data'!$B$3:$I$344,8,FALSE)</f>
        <v>Character/Prefabs/m_s_attacker_rhino_mechamk3_3</v>
      </c>
      <c r="X803" s="12"/>
      <c r="Y803" s="12" t="str">
        <f>VLOOKUP($C803,'#Data'!$B$3:$I$344,8,FALSE)</f>
        <v>m_s_attacker_rhino_mechamk3_3</v>
      </c>
      <c r="Z803" s="12"/>
      <c r="AA803" s="12"/>
      <c r="AB803" s="12"/>
      <c r="AC803" s="88">
        <v>0.7</v>
      </c>
      <c r="AD803" s="12"/>
      <c r="AE803" s="12"/>
      <c r="AF803" s="12"/>
      <c r="AG803" s="12" t="s">
        <v>2757</v>
      </c>
      <c r="AH803" s="85"/>
    </row>
    <row r="804" spans="1:34" x14ac:dyDescent="0.3">
      <c r="A804" s="12">
        <f t="shared" si="24"/>
        <v>1510202104</v>
      </c>
      <c r="B804" s="12" t="s">
        <v>82</v>
      </c>
      <c r="C804" s="12" t="s">
        <v>86</v>
      </c>
      <c r="D804" s="12" t="str">
        <f>"Monster.Name."&amp;VLOOKUP($C804,'#Data'!$B$2:$J$344,2,FALSE)</f>
        <v>Monster.Name.spider_turretmk2_3</v>
      </c>
      <c r="E804" s="12" t="s">
        <v>47</v>
      </c>
      <c r="F804" s="39" t="s">
        <v>44</v>
      </c>
      <c r="G804" s="12" t="s">
        <v>45</v>
      </c>
      <c r="H804" s="12" t="b">
        <f>IF(OR(VLOOKUP($C804,'#Data'!$B$2:$J$344,4,FALSE)="보스",VLOOKUP($C804,'#Data'!$B$2:$J$344,4,FALSE)="중간"),TRUE,FALSE)</f>
        <v>0</v>
      </c>
      <c r="I804" s="12" t="b">
        <f>IF(OR(VLOOKUP($C804,'#Data'!$B$2:$J$344,4,FALSE)="보스",VLOOKUP($C804,'#Data'!$B$2:$J$344,4,FALSE)="중간"),TRUE,FALSE)</f>
        <v>0</v>
      </c>
      <c r="J804" s="12">
        <v>10</v>
      </c>
      <c r="K804" s="12">
        <f t="shared" si="25"/>
        <v>10</v>
      </c>
      <c r="L804" s="63" t="str">
        <f>$B804&amp;"."&amp;VLOOKUP($C804,'#Data'!$B$2:$J$344,2,FALSE)&amp;".attack0"&amp;RIGHT(L$1,1)</f>
        <v>Sector02.spider_turretmk2_3.attack01</v>
      </c>
      <c r="M804" s="63"/>
      <c r="N804" s="63"/>
      <c r="O804" s="134" t="s">
        <v>2002</v>
      </c>
      <c r="P804" s="134"/>
      <c r="Q804" s="134"/>
      <c r="R804" s="64"/>
      <c r="S804" s="64"/>
      <c r="T804" s="64"/>
      <c r="U804" s="64"/>
      <c r="V804" s="12" t="b">
        <v>0</v>
      </c>
      <c r="W804" s="12" t="str">
        <f>"Character/Prefabs/"&amp;VLOOKUP($C804,'#Data'!$B$3:$I$344,8,FALSE)</f>
        <v>Character/Prefabs/m_s_ranger_spider_turretmk2_3</v>
      </c>
      <c r="X804" s="12"/>
      <c r="Y804" s="12" t="str">
        <f>VLOOKUP($C804,'#Data'!$B$3:$I$344,8,FALSE)</f>
        <v>m_s_ranger_spider_turretmk2_3</v>
      </c>
      <c r="Z804" s="12"/>
      <c r="AA804" s="12"/>
      <c r="AB804" s="12"/>
      <c r="AC804" s="88">
        <v>0.7</v>
      </c>
      <c r="AD804" s="12"/>
      <c r="AE804" s="12"/>
      <c r="AF804" s="12"/>
      <c r="AG804" s="12" t="s">
        <v>2757</v>
      </c>
      <c r="AH804" s="85"/>
    </row>
    <row r="805" spans="1:34" x14ac:dyDescent="0.3">
      <c r="A805" s="12">
        <f t="shared" si="24"/>
        <v>1510202105</v>
      </c>
      <c r="B805" s="12" t="s">
        <v>82</v>
      </c>
      <c r="C805" s="12" t="s">
        <v>87</v>
      </c>
      <c r="D805" s="12" t="str">
        <f>"Monster.Name."&amp;VLOOKUP($C805,'#Data'!$B$2:$J$344,2,FALSE)</f>
        <v>Monster.Name.hellfire_drone_3</v>
      </c>
      <c r="E805" s="12" t="s">
        <v>47</v>
      </c>
      <c r="F805" s="39" t="s">
        <v>44</v>
      </c>
      <c r="G805" s="12" t="s">
        <v>45</v>
      </c>
      <c r="H805" s="12" t="b">
        <f>IF(OR(VLOOKUP($C805,'#Data'!$B$2:$J$344,4,FALSE)="보스",VLOOKUP($C805,'#Data'!$B$2:$J$344,4,FALSE)="중간"),TRUE,FALSE)</f>
        <v>0</v>
      </c>
      <c r="I805" s="12" t="b">
        <f>IF(OR(VLOOKUP($C805,'#Data'!$B$2:$J$344,4,FALSE)="보스",VLOOKUP($C805,'#Data'!$B$2:$J$344,4,FALSE)="중간"),TRUE,FALSE)</f>
        <v>0</v>
      </c>
      <c r="J805" s="12">
        <v>10</v>
      </c>
      <c r="K805" s="12">
        <f t="shared" si="25"/>
        <v>10</v>
      </c>
      <c r="L805" s="63" t="str">
        <f>$B805&amp;"."&amp;VLOOKUP($C805,'#Data'!$B$2:$J$344,2,FALSE)&amp;".attack0"&amp;RIGHT(L$1,1)</f>
        <v>Sector02.hellfire_drone_3.attack01</v>
      </c>
      <c r="M805" s="63"/>
      <c r="N805" s="63"/>
      <c r="O805" s="134" t="str">
        <f>$B805&amp;"."&amp;VLOOKUP($C805,'#Data'!$B$2:$J$344,2,FALSE)&amp;".skill0"&amp;RIGHT(O$1,1)</f>
        <v>Sector02.hellfire_drone_3.skill01</v>
      </c>
      <c r="P805" s="134" t="s">
        <v>2003</v>
      </c>
      <c r="Q805" s="134"/>
      <c r="R805" s="64"/>
      <c r="S805" s="64"/>
      <c r="T805" s="64"/>
      <c r="U805" s="64"/>
      <c r="V805" s="12" t="b">
        <v>0</v>
      </c>
      <c r="W805" s="12" t="str">
        <f>"Character/Prefabs/"&amp;VLOOKUP($C805,'#Data'!$B$3:$I$344,8,FALSE)</f>
        <v>Character/Prefabs/m_s_ranger_hellfire_drone_3</v>
      </c>
      <c r="X805" s="12"/>
      <c r="Y805" s="12" t="str">
        <f>VLOOKUP($C805,'#Data'!$B$3:$I$344,8,FALSE)</f>
        <v>m_s_ranger_hellfire_drone_3</v>
      </c>
      <c r="Z805" s="12"/>
      <c r="AA805" s="12"/>
      <c r="AB805" s="12"/>
      <c r="AC805" s="88">
        <v>0.6</v>
      </c>
      <c r="AD805" s="12"/>
      <c r="AE805" s="12"/>
      <c r="AF805" s="12"/>
      <c r="AG805" s="12" t="s">
        <v>2757</v>
      </c>
      <c r="AH805" s="85"/>
    </row>
    <row r="806" spans="1:34" x14ac:dyDescent="0.3">
      <c r="A806" s="12">
        <f t="shared" si="24"/>
        <v>1510202106</v>
      </c>
      <c r="B806" s="12" t="s">
        <v>82</v>
      </c>
      <c r="C806" s="12" t="s">
        <v>88</v>
      </c>
      <c r="D806" s="12" t="str">
        <f>"Monster.Name."&amp;VLOOKUP($C806,'#Data'!$B$2:$J$344,2,FALSE)</f>
        <v>Monster.Name.silhouette_champion_3</v>
      </c>
      <c r="E806" s="12" t="s">
        <v>43</v>
      </c>
      <c r="F806" s="39" t="s">
        <v>44</v>
      </c>
      <c r="G806" s="12" t="s">
        <v>45</v>
      </c>
      <c r="H806" s="12" t="b">
        <f>IF(OR(VLOOKUP($C806,'#Data'!$B$2:$J$344,4,FALSE)="보스",VLOOKUP($C806,'#Data'!$B$2:$J$344,4,FALSE)="중간"),TRUE,FALSE)</f>
        <v>0</v>
      </c>
      <c r="I806" s="12" t="b">
        <f>IF(OR(VLOOKUP($C806,'#Data'!$B$2:$J$344,4,FALSE)="보스",VLOOKUP($C806,'#Data'!$B$2:$J$344,4,FALSE)="중간"),TRUE,FALSE)</f>
        <v>0</v>
      </c>
      <c r="J806" s="12">
        <v>10</v>
      </c>
      <c r="K806" s="12">
        <f t="shared" si="25"/>
        <v>10</v>
      </c>
      <c r="L806" s="63" t="str">
        <f>$B806&amp;"."&amp;VLOOKUP($C806,'#Data'!$B$2:$J$344,2,FALSE)&amp;".attack0"&amp;RIGHT(L$1,1)</f>
        <v>Sector02.silhouette_champion_3.attack01</v>
      </c>
      <c r="M806" s="63"/>
      <c r="N806" s="63"/>
      <c r="O806" s="134" t="str">
        <f>$B806&amp;"."&amp;VLOOKUP($C806,'#Data'!$B$2:$J$344,2,FALSE)&amp;".skill0"&amp;RIGHT(O$1,1)</f>
        <v>Sector02.silhouette_champion_3.skill01</v>
      </c>
      <c r="P806" s="134" t="s">
        <v>2004</v>
      </c>
      <c r="Q806" s="134"/>
      <c r="R806" s="64"/>
      <c r="S806" s="64"/>
      <c r="T806" s="64"/>
      <c r="U806" s="64"/>
      <c r="V806" s="12" t="b">
        <v>0</v>
      </c>
      <c r="W806" s="12" t="str">
        <f>"Character/Prefabs/"&amp;VLOOKUP($C806,'#Data'!$B$3:$I$344,8,FALSE)</f>
        <v>Character/Prefabs/m_m_attacker_silhouette_champion_3</v>
      </c>
      <c r="X806" s="12"/>
      <c r="Y806" s="12" t="str">
        <f>VLOOKUP($C806,'#Data'!$B$3:$I$344,8,FALSE)</f>
        <v>m_m_attacker_silhouette_champion_3</v>
      </c>
      <c r="Z806" s="12"/>
      <c r="AA806" s="12"/>
      <c r="AB806" s="12"/>
      <c r="AC806" s="88">
        <v>0.8</v>
      </c>
      <c r="AD806" s="12"/>
      <c r="AE806" s="12"/>
      <c r="AF806" s="12"/>
      <c r="AG806" s="12" t="s">
        <v>2757</v>
      </c>
      <c r="AH806" s="85"/>
    </row>
    <row r="807" spans="1:34" x14ac:dyDescent="0.3">
      <c r="A807" s="12">
        <f t="shared" si="24"/>
        <v>1510202107</v>
      </c>
      <c r="B807" s="12" t="s">
        <v>82</v>
      </c>
      <c r="C807" s="12" t="s">
        <v>89</v>
      </c>
      <c r="D807" s="12" t="str">
        <f>"Monster.Name."&amp;VLOOKUP($C807,'#Data'!$B$2:$J$344,2,FALSE)</f>
        <v>Monster.Name.silhouette_demolisher_3</v>
      </c>
      <c r="E807" s="12" t="s">
        <v>47</v>
      </c>
      <c r="F807" s="39" t="s">
        <v>44</v>
      </c>
      <c r="G807" s="12" t="s">
        <v>45</v>
      </c>
      <c r="H807" s="12" t="b">
        <f>IF(OR(VLOOKUP($C807,'#Data'!$B$2:$J$344,4,FALSE)="보스",VLOOKUP($C807,'#Data'!$B$2:$J$344,4,FALSE)="중간"),TRUE,FALSE)</f>
        <v>0</v>
      </c>
      <c r="I807" s="12" t="b">
        <f>IF(OR(VLOOKUP($C807,'#Data'!$B$2:$J$344,4,FALSE)="보스",VLOOKUP($C807,'#Data'!$B$2:$J$344,4,FALSE)="중간"),TRUE,FALSE)</f>
        <v>0</v>
      </c>
      <c r="J807" s="12">
        <v>10</v>
      </c>
      <c r="K807" s="12">
        <f t="shared" si="25"/>
        <v>10</v>
      </c>
      <c r="L807" s="63" t="str">
        <f>$B807&amp;"."&amp;VLOOKUP($C807,'#Data'!$B$2:$J$344,2,FALSE)&amp;".attack0"&amp;RIGHT(L$1,1)</f>
        <v>Sector02.silhouette_demolisher_3.attack01</v>
      </c>
      <c r="M807" s="63"/>
      <c r="N807" s="63"/>
      <c r="O807" s="134" t="str">
        <f>$B807&amp;"."&amp;VLOOKUP($C807,'#Data'!$B$2:$J$344,2,FALSE)&amp;".skill0"&amp;RIGHT(O$1,1)</f>
        <v>Sector02.silhouette_demolisher_3.skill01</v>
      </c>
      <c r="P807" s="134" t="s">
        <v>2005</v>
      </c>
      <c r="Q807" s="134"/>
      <c r="R807" s="64"/>
      <c r="S807" s="64"/>
      <c r="T807" s="64"/>
      <c r="U807" s="64"/>
      <c r="V807" s="12" t="b">
        <v>0</v>
      </c>
      <c r="W807" s="12" t="str">
        <f>"Character/Prefabs/"&amp;VLOOKUP($C807,'#Data'!$B$3:$I$344,8,FALSE)</f>
        <v>Character/Prefabs/m_m_ranger_silhouette_demolisher_3</v>
      </c>
      <c r="X807" s="12"/>
      <c r="Y807" s="12" t="str">
        <f>VLOOKUP($C807,'#Data'!$B$3:$I$344,8,FALSE)</f>
        <v>m_m_ranger_silhouette_demolisher_3</v>
      </c>
      <c r="Z807" s="12"/>
      <c r="AA807" s="12"/>
      <c r="AB807" s="12"/>
      <c r="AC807" s="88">
        <v>0.8</v>
      </c>
      <c r="AD807" s="12"/>
      <c r="AE807" s="12"/>
      <c r="AF807" s="12"/>
      <c r="AG807" s="12" t="s">
        <v>2757</v>
      </c>
      <c r="AH807" s="85"/>
    </row>
    <row r="808" spans="1:34" x14ac:dyDescent="0.3">
      <c r="A808" s="12">
        <f t="shared" si="24"/>
        <v>1510202108</v>
      </c>
      <c r="B808" s="12" t="s">
        <v>82</v>
      </c>
      <c r="C808" s="12" t="s">
        <v>90</v>
      </c>
      <c r="D808" s="12" t="str">
        <f>"Monster.Name."&amp;VLOOKUP($C808,'#Data'!$B$2:$J$344,2,FALSE)</f>
        <v>Monster.Name.silhouette_guard_3</v>
      </c>
      <c r="E808" s="12" t="s">
        <v>58</v>
      </c>
      <c r="F808" s="39" t="s">
        <v>44</v>
      </c>
      <c r="G808" s="12" t="s">
        <v>45</v>
      </c>
      <c r="H808" s="12" t="b">
        <f>IF(OR(VLOOKUP($C808,'#Data'!$B$2:$J$344,4,FALSE)="보스",VLOOKUP($C808,'#Data'!$B$2:$J$344,4,FALSE)="중간"),TRUE,FALSE)</f>
        <v>0</v>
      </c>
      <c r="I808" s="12" t="b">
        <f>IF(OR(VLOOKUP($C808,'#Data'!$B$2:$J$344,4,FALSE)="보스",VLOOKUP($C808,'#Data'!$B$2:$J$344,4,FALSE)="중간"),TRUE,FALSE)</f>
        <v>0</v>
      </c>
      <c r="J808" s="12">
        <v>10</v>
      </c>
      <c r="K808" s="12">
        <f t="shared" si="25"/>
        <v>10</v>
      </c>
      <c r="L808" s="63" t="str">
        <f>$B808&amp;"."&amp;VLOOKUP($C808,'#Data'!$B$2:$J$344,2,FALSE)&amp;".attack0"&amp;RIGHT(L$1,1)</f>
        <v>Sector02.silhouette_guard_3.attack01</v>
      </c>
      <c r="M808" s="63"/>
      <c r="N808" s="63"/>
      <c r="O808" s="134" t="str">
        <f>$B808&amp;"."&amp;VLOOKUP($C808,'#Data'!$B$2:$J$344,2,FALSE)&amp;".skill0"&amp;RIGHT(O$1,1)</f>
        <v>Sector02.silhouette_guard_3.skill01</v>
      </c>
      <c r="P808" s="134" t="s">
        <v>2006</v>
      </c>
      <c r="Q808" s="134"/>
      <c r="R808" s="64"/>
      <c r="S808" s="64"/>
      <c r="T808" s="64"/>
      <c r="U808" s="64"/>
      <c r="V808" s="12" t="b">
        <v>0</v>
      </c>
      <c r="W808" s="12" t="str">
        <f>"Character/Prefabs/"&amp;VLOOKUP($C808,'#Data'!$B$3:$I$344,8,FALSE)</f>
        <v>Character/Prefabs/m_m_tanker_silhouette_guard_3</v>
      </c>
      <c r="X808" s="12"/>
      <c r="Y808" s="12" t="str">
        <f>VLOOKUP($C808,'#Data'!$B$3:$I$344,8,FALSE)</f>
        <v>m_m_tanker_silhouette_guard_3</v>
      </c>
      <c r="Z808" s="12"/>
      <c r="AA808" s="12"/>
      <c r="AB808" s="12"/>
      <c r="AC808" s="88">
        <v>0.8</v>
      </c>
      <c r="AD808" s="12"/>
      <c r="AE808" s="12"/>
      <c r="AF808" s="12"/>
      <c r="AG808" s="12" t="s">
        <v>2757</v>
      </c>
      <c r="AH808" s="85"/>
    </row>
    <row r="809" spans="1:34" x14ac:dyDescent="0.3">
      <c r="A809" s="12">
        <f t="shared" si="24"/>
        <v>1510202109</v>
      </c>
      <c r="B809" s="12" t="s">
        <v>82</v>
      </c>
      <c r="C809" s="12" t="s">
        <v>91</v>
      </c>
      <c r="D809" s="12" t="str">
        <f>"Monster.Name."&amp;VLOOKUP($C809,'#Data'!$B$2:$J$344,2,FALSE)</f>
        <v>Monster.Name.silhouette_inferno_3</v>
      </c>
      <c r="E809" s="12" t="s">
        <v>43</v>
      </c>
      <c r="F809" s="39" t="s">
        <v>44</v>
      </c>
      <c r="G809" s="12" t="s">
        <v>45</v>
      </c>
      <c r="H809" s="12" t="b">
        <f>IF(OR(VLOOKUP($C809,'#Data'!$B$2:$J$344,4,FALSE)="보스",VLOOKUP($C809,'#Data'!$B$2:$J$344,4,FALSE)="중간"),TRUE,FALSE)</f>
        <v>0</v>
      </c>
      <c r="I809" s="12" t="b">
        <f>IF(OR(VLOOKUP($C809,'#Data'!$B$2:$J$344,4,FALSE)="보스",VLOOKUP($C809,'#Data'!$B$2:$J$344,4,FALSE)="중간"),TRUE,FALSE)</f>
        <v>0</v>
      </c>
      <c r="J809" s="12">
        <v>10</v>
      </c>
      <c r="K809" s="12">
        <f t="shared" si="25"/>
        <v>10</v>
      </c>
      <c r="L809" s="63" t="str">
        <f>$B809&amp;"."&amp;VLOOKUP($C809,'#Data'!$B$2:$J$344,2,FALSE)&amp;".attack0"&amp;RIGHT(L$1,1)</f>
        <v>Sector02.silhouette_inferno_3.attack01</v>
      </c>
      <c r="M809" s="63"/>
      <c r="N809" s="63"/>
      <c r="O809" s="134" t="str">
        <f>$B809&amp;"."&amp;VLOOKUP($C809,'#Data'!$B$2:$J$344,2,FALSE)&amp;".skill0"&amp;RIGHT(O$1,1)</f>
        <v>Sector02.silhouette_inferno_3.skill01</v>
      </c>
      <c r="P809" s="134" t="s">
        <v>2007</v>
      </c>
      <c r="Q809" s="134"/>
      <c r="R809" s="64"/>
      <c r="S809" s="64"/>
      <c r="T809" s="64"/>
      <c r="U809" s="64"/>
      <c r="V809" s="12" t="b">
        <v>0</v>
      </c>
      <c r="W809" s="12" t="str">
        <f>"Character/Prefabs/"&amp;VLOOKUP($C809,'#Data'!$B$3:$I$344,8,FALSE)</f>
        <v>Character/Prefabs/m_m_attacker_silhouette_inferno_3</v>
      </c>
      <c r="X809" s="12"/>
      <c r="Y809" s="12" t="str">
        <f>VLOOKUP($C809,'#Data'!$B$3:$I$344,8,FALSE)</f>
        <v>m_m_attacker_silhouette_inferno_3</v>
      </c>
      <c r="Z809" s="12"/>
      <c r="AA809" s="12"/>
      <c r="AB809" s="12"/>
      <c r="AC809" s="88">
        <v>0.8</v>
      </c>
      <c r="AD809" s="12"/>
      <c r="AE809" s="12"/>
      <c r="AF809" s="12"/>
      <c r="AG809" s="12" t="s">
        <v>2757</v>
      </c>
      <c r="AH809" s="85"/>
    </row>
    <row r="810" spans="1:34" x14ac:dyDescent="0.3">
      <c r="A810" s="49">
        <f t="shared" si="24"/>
        <v>1510202110</v>
      </c>
      <c r="B810" s="49" t="s">
        <v>82</v>
      </c>
      <c r="C810" s="49" t="s">
        <v>1218</v>
      </c>
      <c r="D810" s="49" t="str">
        <f>"Monster.Name."&amp;VLOOKUP($C810,'#Data'!$B$2:$J$344,2,FALSE)</f>
        <v>Monster.Name.turtle_mechamk3_4</v>
      </c>
      <c r="E810" s="49" t="s">
        <v>43</v>
      </c>
      <c r="F810" s="50" t="s">
        <v>44</v>
      </c>
      <c r="G810" s="49" t="s">
        <v>45</v>
      </c>
      <c r="H810" s="49" t="b">
        <f>IF(OR(VLOOKUP($C810,'#Data'!$B$2:$J$344,4,FALSE)="보스",VLOOKUP($C810,'#Data'!$B$2:$J$344,4,FALSE)="중간"),TRUE,FALSE)</f>
        <v>0</v>
      </c>
      <c r="I810" s="49" t="b">
        <f>IF(OR(VLOOKUP($C810,'#Data'!$B$2:$J$344,4,FALSE)="보스",VLOOKUP($C810,'#Data'!$B$2:$J$344,4,FALSE)="중간"),TRUE,FALSE)</f>
        <v>0</v>
      </c>
      <c r="J810" s="49">
        <v>10</v>
      </c>
      <c r="K810" s="49">
        <f t="shared" si="25"/>
        <v>10</v>
      </c>
      <c r="L810" s="65" t="s">
        <v>1318</v>
      </c>
      <c r="M810" s="65"/>
      <c r="N810" s="65"/>
      <c r="O810" s="135" t="s">
        <v>1999</v>
      </c>
      <c r="P810" s="135"/>
      <c r="Q810" s="135"/>
      <c r="R810" s="66"/>
      <c r="S810" s="66"/>
      <c r="T810" s="66"/>
      <c r="U810" s="66"/>
      <c r="V810" s="49" t="b">
        <v>0</v>
      </c>
      <c r="W810" s="49" t="str">
        <f>"Character/Prefabs/"&amp;VLOOKUP($C810,'#Data'!$B$3:$I$344,8,FALSE)</f>
        <v>Character/Prefabs/m_s_attacker_turtle_mechamk3_4</v>
      </c>
      <c r="X810" s="49"/>
      <c r="Y810" s="49" t="str">
        <f>VLOOKUP($C810,'#Data'!$B$3:$I$344,8,FALSE)</f>
        <v>m_s_attacker_turtle_mechamk3_4</v>
      </c>
      <c r="Z810" s="49"/>
      <c r="AA810" s="49"/>
      <c r="AB810" s="49"/>
      <c r="AC810" s="89">
        <v>0.7</v>
      </c>
      <c r="AD810" s="49"/>
      <c r="AE810" s="49"/>
      <c r="AF810" s="49"/>
      <c r="AG810" s="49" t="s">
        <v>2757</v>
      </c>
      <c r="AH810" s="85"/>
    </row>
    <row r="811" spans="1:34" x14ac:dyDescent="0.3">
      <c r="A811" s="49">
        <f t="shared" si="24"/>
        <v>1510202111</v>
      </c>
      <c r="B811" s="49" t="s">
        <v>82</v>
      </c>
      <c r="C811" s="49" t="s">
        <v>1219</v>
      </c>
      <c r="D811" s="49" t="str">
        <f>"Monster.Name."&amp;VLOOKUP($C811,'#Data'!$B$2:$J$344,2,FALSE)</f>
        <v>Monster.Name.scorpion_turretmk2_4</v>
      </c>
      <c r="E811" s="49" t="s">
        <v>47</v>
      </c>
      <c r="F811" s="50" t="s">
        <v>44</v>
      </c>
      <c r="G811" s="49" t="s">
        <v>45</v>
      </c>
      <c r="H811" s="49" t="b">
        <f>IF(OR(VLOOKUP($C811,'#Data'!$B$2:$J$344,4,FALSE)="보스",VLOOKUP($C811,'#Data'!$B$2:$J$344,4,FALSE)="중간"),TRUE,FALSE)</f>
        <v>0</v>
      </c>
      <c r="I811" s="49" t="b">
        <v>0</v>
      </c>
      <c r="J811" s="49">
        <v>10</v>
      </c>
      <c r="K811" s="49">
        <f t="shared" si="25"/>
        <v>10</v>
      </c>
      <c r="L811" s="65" t="s">
        <v>1319</v>
      </c>
      <c r="M811" s="65"/>
      <c r="N811" s="65"/>
      <c r="O811" s="135" t="s">
        <v>2000</v>
      </c>
      <c r="P811" s="135"/>
      <c r="Q811" s="135"/>
      <c r="R811" s="66"/>
      <c r="S811" s="66"/>
      <c r="T811" s="66"/>
      <c r="U811" s="66"/>
      <c r="V811" s="49" t="b">
        <v>0</v>
      </c>
      <c r="W811" s="49" t="str">
        <f>"Character/Prefabs/"&amp;VLOOKUP($C811,'#Data'!$B$3:$I$344,8,FALSE)</f>
        <v>Character/Prefabs/m_s_ranger_scorpion_turretmk2_4</v>
      </c>
      <c r="X811" s="49"/>
      <c r="Y811" s="49" t="str">
        <f>VLOOKUP($C811,'#Data'!$B$3:$I$344,8,FALSE)</f>
        <v>m_s_ranger_scorpion_turretmk2_4</v>
      </c>
      <c r="Z811" s="49"/>
      <c r="AA811" s="49"/>
      <c r="AB811" s="49"/>
      <c r="AC811" s="89">
        <v>0.7</v>
      </c>
      <c r="AD811" s="49"/>
      <c r="AE811" s="49"/>
      <c r="AF811" s="49"/>
      <c r="AG811" s="49" t="s">
        <v>2757</v>
      </c>
      <c r="AH811" s="85"/>
    </row>
    <row r="812" spans="1:34" x14ac:dyDescent="0.3">
      <c r="A812" s="49">
        <f t="shared" si="24"/>
        <v>1510202112</v>
      </c>
      <c r="B812" s="49" t="s">
        <v>82</v>
      </c>
      <c r="C812" s="49" t="s">
        <v>1220</v>
      </c>
      <c r="D812" s="49" t="str">
        <f>"Monster.Name."&amp;VLOOKUP($C812,'#Data'!$B$2:$J$344,2,FALSE)</f>
        <v>Monster.Name.rhino_mechamk3_4</v>
      </c>
      <c r="E812" s="49" t="s">
        <v>43</v>
      </c>
      <c r="F812" s="50" t="s">
        <v>44</v>
      </c>
      <c r="G812" s="49" t="s">
        <v>45</v>
      </c>
      <c r="H812" s="49" t="b">
        <f>IF(OR(VLOOKUP($C812,'#Data'!$B$2:$J$344,4,FALSE)="보스",VLOOKUP($C812,'#Data'!$B$2:$J$344,4,FALSE)="중간"),TRUE,FALSE)</f>
        <v>0</v>
      </c>
      <c r="I812" s="49" t="b">
        <v>0</v>
      </c>
      <c r="J812" s="49">
        <v>10</v>
      </c>
      <c r="K812" s="49">
        <f t="shared" si="25"/>
        <v>10</v>
      </c>
      <c r="L812" s="65" t="s">
        <v>1320</v>
      </c>
      <c r="M812" s="65"/>
      <c r="N812" s="65"/>
      <c r="O812" s="135" t="s">
        <v>2001</v>
      </c>
      <c r="P812" s="135"/>
      <c r="Q812" s="135"/>
      <c r="R812" s="66"/>
      <c r="S812" s="66"/>
      <c r="T812" s="66"/>
      <c r="U812" s="66"/>
      <c r="V812" s="49" t="b">
        <v>0</v>
      </c>
      <c r="W812" s="49" t="str">
        <f>"Character/Prefabs/"&amp;VLOOKUP($C812,'#Data'!$B$3:$I$344,8,FALSE)</f>
        <v>Character/Prefabs/m_s_attacker_rhino_mechamk3_4</v>
      </c>
      <c r="X812" s="49"/>
      <c r="Y812" s="49" t="str">
        <f>VLOOKUP($C812,'#Data'!$B$3:$I$344,8,FALSE)</f>
        <v>m_s_attacker_rhino_mechamk3_4</v>
      </c>
      <c r="Z812" s="49"/>
      <c r="AA812" s="49"/>
      <c r="AB812" s="49"/>
      <c r="AC812" s="89">
        <v>0.7</v>
      </c>
      <c r="AD812" s="49"/>
      <c r="AE812" s="49"/>
      <c r="AF812" s="49"/>
      <c r="AG812" s="49" t="s">
        <v>2757</v>
      </c>
      <c r="AH812" s="85"/>
    </row>
    <row r="813" spans="1:34" x14ac:dyDescent="0.3">
      <c r="A813" s="49">
        <f t="shared" si="24"/>
        <v>1510202113</v>
      </c>
      <c r="B813" s="49" t="s">
        <v>82</v>
      </c>
      <c r="C813" s="49" t="s">
        <v>1221</v>
      </c>
      <c r="D813" s="49" t="str">
        <f>"Monster.Name."&amp;VLOOKUP($C813,'#Data'!$B$2:$J$344,2,FALSE)</f>
        <v>Monster.Name.spider_turretmk2_4</v>
      </c>
      <c r="E813" s="49" t="s">
        <v>47</v>
      </c>
      <c r="F813" s="50" t="s">
        <v>44</v>
      </c>
      <c r="G813" s="49" t="s">
        <v>45</v>
      </c>
      <c r="H813" s="49" t="b">
        <f>IF(OR(VLOOKUP($C813,'#Data'!$B$2:$J$344,4,FALSE)="보스",VLOOKUP($C813,'#Data'!$B$2:$J$344,4,FALSE)="중간"),TRUE,FALSE)</f>
        <v>0</v>
      </c>
      <c r="I813" s="49" t="b">
        <v>0</v>
      </c>
      <c r="J813" s="49">
        <v>10</v>
      </c>
      <c r="K813" s="49">
        <f t="shared" si="25"/>
        <v>10</v>
      </c>
      <c r="L813" s="65" t="s">
        <v>1321</v>
      </c>
      <c r="M813" s="65"/>
      <c r="N813" s="65"/>
      <c r="O813" s="135" t="s">
        <v>2002</v>
      </c>
      <c r="P813" s="135"/>
      <c r="Q813" s="135"/>
      <c r="R813" s="66"/>
      <c r="S813" s="66"/>
      <c r="T813" s="66"/>
      <c r="U813" s="66"/>
      <c r="V813" s="49" t="b">
        <v>0</v>
      </c>
      <c r="W813" s="49" t="str">
        <f>"Character/Prefabs/"&amp;VLOOKUP($C813,'#Data'!$B$3:$I$344,8,FALSE)</f>
        <v>Character/Prefabs/m_s_ranger_spider_turretmk2_4</v>
      </c>
      <c r="X813" s="49"/>
      <c r="Y813" s="49" t="str">
        <f>VLOOKUP($C813,'#Data'!$B$3:$I$344,8,FALSE)</f>
        <v>m_s_ranger_spider_turretmk2_4</v>
      </c>
      <c r="Z813" s="49"/>
      <c r="AA813" s="49"/>
      <c r="AB813" s="49"/>
      <c r="AC813" s="89">
        <v>0.7</v>
      </c>
      <c r="AD813" s="49"/>
      <c r="AE813" s="49"/>
      <c r="AF813" s="49"/>
      <c r="AG813" s="49" t="s">
        <v>2757</v>
      </c>
      <c r="AH813" s="85"/>
    </row>
    <row r="814" spans="1:34" x14ac:dyDescent="0.3">
      <c r="A814" s="49">
        <f t="shared" si="24"/>
        <v>1510202114</v>
      </c>
      <c r="B814" s="49" t="s">
        <v>82</v>
      </c>
      <c r="C814" s="49" t="s">
        <v>1222</v>
      </c>
      <c r="D814" s="49" t="str">
        <f>"Monster.Name."&amp;VLOOKUP($C814,'#Data'!$B$2:$J$344,2,FALSE)</f>
        <v>Monster.Name.hellfire_drone_4</v>
      </c>
      <c r="E814" s="49" t="s">
        <v>47</v>
      </c>
      <c r="F814" s="50" t="s">
        <v>44</v>
      </c>
      <c r="G814" s="49" t="s">
        <v>45</v>
      </c>
      <c r="H814" s="49" t="b">
        <f>IF(OR(VLOOKUP($C814,'#Data'!$B$2:$J$344,4,FALSE)="보스",VLOOKUP($C814,'#Data'!$B$2:$J$344,4,FALSE)="중간"),TRUE,FALSE)</f>
        <v>0</v>
      </c>
      <c r="I814" s="49" t="b">
        <v>0</v>
      </c>
      <c r="J814" s="49">
        <v>10</v>
      </c>
      <c r="K814" s="49">
        <f t="shared" si="25"/>
        <v>10</v>
      </c>
      <c r="L814" s="65" t="s">
        <v>1322</v>
      </c>
      <c r="M814" s="65"/>
      <c r="N814" s="65"/>
      <c r="O814" s="135" t="s">
        <v>1327</v>
      </c>
      <c r="P814" s="135" t="s">
        <v>2003</v>
      </c>
      <c r="Q814" s="135"/>
      <c r="R814" s="66"/>
      <c r="S814" s="66"/>
      <c r="T814" s="66"/>
      <c r="U814" s="66"/>
      <c r="V814" s="49" t="b">
        <v>0</v>
      </c>
      <c r="W814" s="49" t="str">
        <f>"Character/Prefabs/"&amp;VLOOKUP($C814,'#Data'!$B$3:$I$344,8,FALSE)</f>
        <v>Character/Prefabs/m_s_ranger_hellfire_drone_4</v>
      </c>
      <c r="X814" s="49"/>
      <c r="Y814" s="49" t="str">
        <f>VLOOKUP($C814,'#Data'!$B$3:$I$344,8,FALSE)</f>
        <v>m_s_ranger_hellfire_drone_4</v>
      </c>
      <c r="Z814" s="49"/>
      <c r="AA814" s="49"/>
      <c r="AB814" s="49"/>
      <c r="AC814" s="89">
        <v>0.6</v>
      </c>
      <c r="AD814" s="49"/>
      <c r="AE814" s="49"/>
      <c r="AF814" s="49"/>
      <c r="AG814" s="49" t="s">
        <v>2757</v>
      </c>
      <c r="AH814" s="85"/>
    </row>
    <row r="815" spans="1:34" x14ac:dyDescent="0.3">
      <c r="A815" s="49">
        <f t="shared" si="24"/>
        <v>1510202115</v>
      </c>
      <c r="B815" s="49" t="s">
        <v>82</v>
      </c>
      <c r="C815" s="49" t="s">
        <v>1223</v>
      </c>
      <c r="D815" s="49" t="str">
        <f>"Monster.Name."&amp;VLOOKUP($C815,'#Data'!$B$2:$J$344,2,FALSE)</f>
        <v>Monster.Name.trooper_silhouette_champion_4</v>
      </c>
      <c r="E815" s="49" t="s">
        <v>43</v>
      </c>
      <c r="F815" s="50" t="s">
        <v>44</v>
      </c>
      <c r="G815" s="49" t="s">
        <v>45</v>
      </c>
      <c r="H815" s="49" t="b">
        <f>IF(OR(VLOOKUP($C815,'#Data'!$B$2:$J$344,4,FALSE)="보스",VLOOKUP($C815,'#Data'!$B$2:$J$344,4,FALSE)="중간"),TRUE,FALSE)</f>
        <v>0</v>
      </c>
      <c r="I815" s="49" t="b">
        <v>0</v>
      </c>
      <c r="J815" s="49">
        <v>10</v>
      </c>
      <c r="K815" s="49">
        <f t="shared" si="25"/>
        <v>10</v>
      </c>
      <c r="L815" s="65" t="s">
        <v>1323</v>
      </c>
      <c r="M815" s="65"/>
      <c r="N815" s="65"/>
      <c r="O815" s="135" t="s">
        <v>1328</v>
      </c>
      <c r="P815" s="135" t="s">
        <v>2008</v>
      </c>
      <c r="Q815" s="135"/>
      <c r="R815" s="66"/>
      <c r="S815" s="66"/>
      <c r="T815" s="66"/>
      <c r="U815" s="66"/>
      <c r="V815" s="49" t="b">
        <v>0</v>
      </c>
      <c r="W815" s="49" t="str">
        <f>"Character/Prefabs/"&amp;VLOOKUP($C815,'#Data'!$B$3:$I$344,8,FALSE)</f>
        <v>Character/Prefabs/m_m_attacker_trooper_silhouette_champion_4</v>
      </c>
      <c r="X815" s="49"/>
      <c r="Y815" s="49" t="str">
        <f>VLOOKUP($C815,'#Data'!$B$3:$I$344,8,FALSE)</f>
        <v>m_m_attacker_trooper_silhouette_champion_4</v>
      </c>
      <c r="Z815" s="49"/>
      <c r="AA815" s="49"/>
      <c r="AB815" s="49"/>
      <c r="AC815" s="89">
        <v>0.8</v>
      </c>
      <c r="AD815" s="49"/>
      <c r="AE815" s="49"/>
      <c r="AF815" s="49"/>
      <c r="AG815" s="49" t="s">
        <v>2757</v>
      </c>
      <c r="AH815" s="85"/>
    </row>
    <row r="816" spans="1:34" x14ac:dyDescent="0.3">
      <c r="A816" s="49">
        <f t="shared" si="24"/>
        <v>1510202116</v>
      </c>
      <c r="B816" s="49" t="s">
        <v>82</v>
      </c>
      <c r="C816" s="49" t="s">
        <v>1224</v>
      </c>
      <c r="D816" s="49" t="str">
        <f>"Monster.Name."&amp;VLOOKUP($C816,'#Data'!$B$2:$J$344,2,FALSE)</f>
        <v>Monster.Name.trooper_silhouette_demolisher_4</v>
      </c>
      <c r="E816" s="49" t="s">
        <v>47</v>
      </c>
      <c r="F816" s="50" t="s">
        <v>44</v>
      </c>
      <c r="G816" s="49" t="s">
        <v>45</v>
      </c>
      <c r="H816" s="49" t="b">
        <f>IF(OR(VLOOKUP($C816,'#Data'!$B$2:$J$344,4,FALSE)="보스",VLOOKUP($C816,'#Data'!$B$2:$J$344,4,FALSE)="중간"),TRUE,FALSE)</f>
        <v>0</v>
      </c>
      <c r="I816" s="49" t="b">
        <v>0</v>
      </c>
      <c r="J816" s="49">
        <v>10</v>
      </c>
      <c r="K816" s="49">
        <f t="shared" si="25"/>
        <v>10</v>
      </c>
      <c r="L816" s="65" t="s">
        <v>1324</v>
      </c>
      <c r="M816" s="65"/>
      <c r="N816" s="65"/>
      <c r="O816" s="135" t="s">
        <v>1329</v>
      </c>
      <c r="P816" s="135" t="s">
        <v>2005</v>
      </c>
      <c r="Q816" s="135"/>
      <c r="R816" s="66"/>
      <c r="S816" s="66"/>
      <c r="T816" s="66"/>
      <c r="U816" s="66"/>
      <c r="V816" s="49" t="b">
        <v>0</v>
      </c>
      <c r="W816" s="49" t="str">
        <f>"Character/Prefabs/"&amp;VLOOKUP($C816,'#Data'!$B$3:$I$344,8,FALSE)</f>
        <v>Character/Prefabs/m_m_ranger_trooper_silhouette_demolisher_4</v>
      </c>
      <c r="X816" s="49"/>
      <c r="Y816" s="49" t="str">
        <f>VLOOKUP($C816,'#Data'!$B$3:$I$344,8,FALSE)</f>
        <v>m_m_ranger_trooper_silhouette_demolisher_4</v>
      </c>
      <c r="Z816" s="49"/>
      <c r="AA816" s="49"/>
      <c r="AB816" s="49"/>
      <c r="AC816" s="89">
        <v>0.8</v>
      </c>
      <c r="AD816" s="49"/>
      <c r="AE816" s="49"/>
      <c r="AF816" s="49"/>
      <c r="AG816" s="49" t="s">
        <v>2757</v>
      </c>
      <c r="AH816" s="85"/>
    </row>
    <row r="817" spans="1:34" x14ac:dyDescent="0.3">
      <c r="A817" s="49">
        <f t="shared" si="24"/>
        <v>1510202117</v>
      </c>
      <c r="B817" s="49" t="s">
        <v>82</v>
      </c>
      <c r="C817" s="49" t="s">
        <v>1225</v>
      </c>
      <c r="D817" s="49" t="str">
        <f>"Monster.Name."&amp;VLOOKUP($C817,'#Data'!$B$2:$J$344,2,FALSE)</f>
        <v>Monster.Name.trooper_silhouette_guard_4</v>
      </c>
      <c r="E817" s="49" t="s">
        <v>58</v>
      </c>
      <c r="F817" s="50" t="s">
        <v>44</v>
      </c>
      <c r="G817" s="49" t="s">
        <v>45</v>
      </c>
      <c r="H817" s="49" t="b">
        <f>IF(OR(VLOOKUP($C817,'#Data'!$B$2:$J$344,4,FALSE)="보스",VLOOKUP($C817,'#Data'!$B$2:$J$344,4,FALSE)="중간"),TRUE,FALSE)</f>
        <v>0</v>
      </c>
      <c r="I817" s="49" t="b">
        <v>0</v>
      </c>
      <c r="J817" s="49">
        <v>10</v>
      </c>
      <c r="K817" s="49">
        <f t="shared" si="25"/>
        <v>10</v>
      </c>
      <c r="L817" s="65" t="s">
        <v>1325</v>
      </c>
      <c r="M817" s="65"/>
      <c r="N817" s="65"/>
      <c r="O817" s="135" t="s">
        <v>1330</v>
      </c>
      <c r="P817" s="135" t="s">
        <v>2006</v>
      </c>
      <c r="Q817" s="135"/>
      <c r="R817" s="66"/>
      <c r="S817" s="66"/>
      <c r="T817" s="66"/>
      <c r="U817" s="66"/>
      <c r="V817" s="49" t="b">
        <v>0</v>
      </c>
      <c r="W817" s="49" t="str">
        <f>"Character/Prefabs/"&amp;VLOOKUP($C817,'#Data'!$B$3:$I$344,8,FALSE)</f>
        <v>Character/Prefabs/m_m_tanker_trooper_silhouette_guard_4</v>
      </c>
      <c r="X817" s="49"/>
      <c r="Y817" s="49" t="str">
        <f>VLOOKUP($C817,'#Data'!$B$3:$I$344,8,FALSE)</f>
        <v>m_m_tanker_trooper_silhouette_guard_4</v>
      </c>
      <c r="Z817" s="49"/>
      <c r="AA817" s="49"/>
      <c r="AB817" s="49"/>
      <c r="AC817" s="89">
        <v>0.8</v>
      </c>
      <c r="AD817" s="49"/>
      <c r="AE817" s="49"/>
      <c r="AF817" s="49"/>
      <c r="AG817" s="49" t="s">
        <v>2757</v>
      </c>
      <c r="AH817" s="85"/>
    </row>
    <row r="818" spans="1:34" x14ac:dyDescent="0.3">
      <c r="A818" s="49">
        <f t="shared" si="24"/>
        <v>1510202118</v>
      </c>
      <c r="B818" s="49" t="s">
        <v>82</v>
      </c>
      <c r="C818" s="49" t="s">
        <v>1226</v>
      </c>
      <c r="D818" s="49" t="str">
        <f>"Monster.Name."&amp;VLOOKUP($C818,'#Data'!$B$2:$J$344,2,FALSE)</f>
        <v>Monster.Name.trooper_silhouette_inferno_4</v>
      </c>
      <c r="E818" s="49" t="s">
        <v>43</v>
      </c>
      <c r="F818" s="50" t="s">
        <v>44</v>
      </c>
      <c r="G818" s="49" t="s">
        <v>45</v>
      </c>
      <c r="H818" s="49" t="b">
        <f>IF(OR(VLOOKUP($C818,'#Data'!$B$2:$J$344,4,FALSE)="보스",VLOOKUP($C818,'#Data'!$B$2:$J$344,4,FALSE)="중간"),TRUE,FALSE)</f>
        <v>0</v>
      </c>
      <c r="I818" s="49" t="b">
        <v>0</v>
      </c>
      <c r="J818" s="49">
        <v>10</v>
      </c>
      <c r="K818" s="49">
        <f t="shared" si="25"/>
        <v>10</v>
      </c>
      <c r="L818" s="65" t="s">
        <v>1326</v>
      </c>
      <c r="M818" s="65"/>
      <c r="N818" s="65"/>
      <c r="O818" s="135" t="s">
        <v>1331</v>
      </c>
      <c r="P818" s="135" t="s">
        <v>2007</v>
      </c>
      <c r="Q818" s="135"/>
      <c r="R818" s="66"/>
      <c r="S818" s="66"/>
      <c r="T818" s="66"/>
      <c r="U818" s="66"/>
      <c r="V818" s="49" t="b">
        <v>0</v>
      </c>
      <c r="W818" s="49" t="str">
        <f>"Character/Prefabs/"&amp;VLOOKUP($C818,'#Data'!$B$3:$I$344,8,FALSE)</f>
        <v>Character/Prefabs/m_m_attacker_trooper_silhouette_inferno_4</v>
      </c>
      <c r="X818" s="49"/>
      <c r="Y818" s="49" t="str">
        <f>VLOOKUP($C818,'#Data'!$B$3:$I$344,8,FALSE)</f>
        <v>m_m_attacker_trooper_silhouette_inferno_4</v>
      </c>
      <c r="Z818" s="49"/>
      <c r="AA818" s="49"/>
      <c r="AB818" s="49"/>
      <c r="AC818" s="89">
        <v>0.8</v>
      </c>
      <c r="AD818" s="49"/>
      <c r="AE818" s="49"/>
      <c r="AF818" s="49"/>
      <c r="AG818" s="49" t="s">
        <v>2757</v>
      </c>
      <c r="AH818" s="85"/>
    </row>
    <row r="819" spans="1:34" x14ac:dyDescent="0.3">
      <c r="A819" s="12">
        <f t="shared" si="24"/>
        <v>1510202201</v>
      </c>
      <c r="B819" s="12" t="s">
        <v>82</v>
      </c>
      <c r="C819" s="12" t="s">
        <v>92</v>
      </c>
      <c r="D819" s="12" t="str">
        <f>"Monster.Name."&amp;VLOOKUP($C819,'#Data'!$B$2:$J$344,2,FALSE)</f>
        <v>Monster.Name.shelter_sweeper_r_1</v>
      </c>
      <c r="E819" s="12" t="s">
        <v>43</v>
      </c>
      <c r="F819" s="39" t="s">
        <v>44</v>
      </c>
      <c r="G819" s="12" t="s">
        <v>45</v>
      </c>
      <c r="H819" s="12" t="b">
        <f>IF(OR(VLOOKUP($C819,'#Data'!$B$2:$J$344,4,FALSE)="보스",VLOOKUP($C819,'#Data'!$B$2:$J$344,4,FALSE)="중간"),TRUE,FALSE)</f>
        <v>1</v>
      </c>
      <c r="I819" s="12" t="b">
        <v>1</v>
      </c>
      <c r="J819" s="12">
        <v>20</v>
      </c>
      <c r="K819" s="12">
        <f t="shared" si="25"/>
        <v>10</v>
      </c>
      <c r="L819" s="63" t="str">
        <f>$B819&amp;"."&amp;VLOOKUP($C819,'#Data'!$B$2:$J$344,2,FALSE)&amp;".attack0"&amp;RIGHT(L$1,1)</f>
        <v>Sector02.shelter_sweeper_r_1.attack01</v>
      </c>
      <c r="M819" s="63"/>
      <c r="N819" s="63"/>
      <c r="O819" s="134" t="str">
        <f>$B819&amp;"."&amp;VLOOKUP($C819,'#Data'!$B$2:$J$344,2,FALSE)&amp;".skill0"&amp;RIGHT(O$1,1)</f>
        <v>Sector02.shelter_sweeper_r_1.skill01</v>
      </c>
      <c r="P819" s="134" t="str">
        <f>$B819&amp;"."&amp;VLOOKUP($C819,'#Data'!$B$2:$J$344,2,FALSE)&amp;".skill0"&amp;RIGHT(P$1,1)</f>
        <v>Sector02.shelter_sweeper_r_1.skill02</v>
      </c>
      <c r="Q819" s="134"/>
      <c r="R819" s="64"/>
      <c r="S819" s="64" t="s">
        <v>2076</v>
      </c>
      <c r="T819" s="64"/>
      <c r="U819" s="64"/>
      <c r="V819" s="12" t="b">
        <v>0</v>
      </c>
      <c r="W819" s="12" t="str">
        <f>"Character/Prefabs/"&amp;VLOOKUP($C819,'#Data'!$B$3:$I$344,8,FALSE)</f>
        <v>Character/Prefabs/m_m_attacker_shelter_sweeper_r_1</v>
      </c>
      <c r="X819" s="12"/>
      <c r="Y819" s="12" t="str">
        <f>VLOOKUP($C819,'#Data'!$B$3:$I$344,8,FALSE)</f>
        <v>m_m_attacker_shelter_sweeper_r_1</v>
      </c>
      <c r="Z819" s="12"/>
      <c r="AA819" s="12"/>
      <c r="AB819" s="12"/>
      <c r="AC819" s="88">
        <v>0.9</v>
      </c>
      <c r="AD819" s="12"/>
      <c r="AE819" s="12"/>
      <c r="AF819" s="12"/>
      <c r="AG819" s="12" t="s">
        <v>2757</v>
      </c>
      <c r="AH819" s="85"/>
    </row>
    <row r="820" spans="1:34" x14ac:dyDescent="0.3">
      <c r="A820" s="12">
        <f t="shared" si="24"/>
        <v>1510202202</v>
      </c>
      <c r="B820" s="12" t="s">
        <v>82</v>
      </c>
      <c r="C820" s="12" t="s">
        <v>93</v>
      </c>
      <c r="D820" s="12" t="str">
        <f>"Monster.Name."&amp;VLOOKUP($C820,'#Data'!$B$2:$J$344,2,FALSE)</f>
        <v>Monster.Name.shelter_sweeper_v_1</v>
      </c>
      <c r="E820" s="12" t="s">
        <v>47</v>
      </c>
      <c r="F820" s="39" t="s">
        <v>44</v>
      </c>
      <c r="G820" s="12" t="s">
        <v>45</v>
      </c>
      <c r="H820" s="12" t="b">
        <f>IF(OR(VLOOKUP($C820,'#Data'!$B$2:$J$344,4,FALSE)="보스",VLOOKUP($C820,'#Data'!$B$2:$J$344,4,FALSE)="중간"),TRUE,FALSE)</f>
        <v>1</v>
      </c>
      <c r="I820" s="12" t="b">
        <v>1</v>
      </c>
      <c r="J820" s="12">
        <v>20</v>
      </c>
      <c r="K820" s="12">
        <f t="shared" si="25"/>
        <v>10</v>
      </c>
      <c r="L820" s="63" t="str">
        <f>$B820&amp;"."&amp;VLOOKUP($C820,'#Data'!$B$2:$J$344,2,FALSE)&amp;".attack0"&amp;RIGHT(L$1,1)</f>
        <v>Sector02.shelter_sweeper_v_1.attack01</v>
      </c>
      <c r="M820" s="63"/>
      <c r="N820" s="63"/>
      <c r="O820" s="134" t="str">
        <f>$B820&amp;"."&amp;VLOOKUP($C820,'#Data'!$B$2:$J$344,2,FALSE)&amp;".skill0"&amp;RIGHT(O$1,1)</f>
        <v>Sector02.shelter_sweeper_v_1.skill01</v>
      </c>
      <c r="P820" s="134" t="str">
        <f>$B820&amp;"."&amp;VLOOKUP($C820,'#Data'!$B$2:$J$344,2,FALSE)&amp;".skill0"&amp;RIGHT(P$1,1)</f>
        <v>Sector02.shelter_sweeper_v_1.skill02</v>
      </c>
      <c r="Q820" s="134"/>
      <c r="R820" s="64"/>
      <c r="S820" s="64" t="s">
        <v>2076</v>
      </c>
      <c r="T820" s="64"/>
      <c r="U820" s="64"/>
      <c r="V820" s="12" t="b">
        <v>0</v>
      </c>
      <c r="W820" s="12" t="str">
        <f>"Character/Prefabs/"&amp;VLOOKUP($C820,'#Data'!$B$3:$I$344,8,FALSE)</f>
        <v>Character/Prefabs/m_m_ranger_shelter_sweeper_v_1</v>
      </c>
      <c r="X820" s="12"/>
      <c r="Y820" s="12" t="str">
        <f>VLOOKUP($C820,'#Data'!$B$3:$I$344,8,FALSE)</f>
        <v>m_m_ranger_shelter_sweeper_v_1</v>
      </c>
      <c r="Z820" s="12"/>
      <c r="AA820" s="12"/>
      <c r="AB820" s="12"/>
      <c r="AC820" s="88">
        <v>0.9</v>
      </c>
      <c r="AD820" s="12"/>
      <c r="AE820" s="12"/>
      <c r="AF820" s="12"/>
      <c r="AG820" s="12" t="s">
        <v>2757</v>
      </c>
      <c r="AH820" s="85"/>
    </row>
    <row r="821" spans="1:34" x14ac:dyDescent="0.3">
      <c r="A821" s="12">
        <f t="shared" si="24"/>
        <v>1510202203</v>
      </c>
      <c r="B821" s="12" t="s">
        <v>82</v>
      </c>
      <c r="C821" s="12" t="s">
        <v>94</v>
      </c>
      <c r="D821" s="12" t="str">
        <f>"Monster.Name."&amp;VLOOKUP($C821,'#Data'!$B$2:$J$344,2,FALSE)</f>
        <v>Monster.Name.shelter_sweeper_g_1</v>
      </c>
      <c r="E821" s="12" t="s">
        <v>58</v>
      </c>
      <c r="F821" s="39" t="s">
        <v>44</v>
      </c>
      <c r="G821" s="12" t="s">
        <v>45</v>
      </c>
      <c r="H821" s="12" t="b">
        <f>IF(OR(VLOOKUP($C821,'#Data'!$B$2:$J$344,4,FALSE)="보스",VLOOKUP($C821,'#Data'!$B$2:$J$344,4,FALSE)="중간"),TRUE,FALSE)</f>
        <v>1</v>
      </c>
      <c r="I821" s="12" t="b">
        <v>1</v>
      </c>
      <c r="J821" s="12">
        <v>20</v>
      </c>
      <c r="K821" s="12">
        <f t="shared" si="25"/>
        <v>10</v>
      </c>
      <c r="L821" s="63" t="str">
        <f>$B821&amp;"."&amp;VLOOKUP($C821,'#Data'!$B$2:$J$344,2,FALSE)&amp;".attack0"&amp;RIGHT(L$1,1)</f>
        <v>Sector02.shelter_sweeper_g_1.attack01</v>
      </c>
      <c r="M821" s="63"/>
      <c r="N821" s="63"/>
      <c r="O821" s="134" t="str">
        <f>$B821&amp;"."&amp;VLOOKUP($C821,'#Data'!$B$2:$J$344,2,FALSE)&amp;".skill0"&amp;RIGHT(O$1,1)</f>
        <v>Sector02.shelter_sweeper_g_1.skill01</v>
      </c>
      <c r="P821" s="134" t="str">
        <f>$B821&amp;"."&amp;VLOOKUP($C821,'#Data'!$B$2:$J$344,2,FALSE)&amp;".skill0"&amp;RIGHT(P$1,1)</f>
        <v>Sector02.shelter_sweeper_g_1.skill02</v>
      </c>
      <c r="Q821" s="134"/>
      <c r="R821" s="64"/>
      <c r="S821" s="64" t="s">
        <v>2076</v>
      </c>
      <c r="T821" s="64"/>
      <c r="U821" s="64"/>
      <c r="V821" s="12" t="b">
        <v>0</v>
      </c>
      <c r="W821" s="12" t="str">
        <f>"Character/Prefabs/"&amp;VLOOKUP($C821,'#Data'!$B$3:$I$344,8,FALSE)</f>
        <v>Character/Prefabs/m_m_tanker_shelter_sweeper_g_1</v>
      </c>
      <c r="X821" s="12"/>
      <c r="Y821" s="12" t="str">
        <f>VLOOKUP($C821,'#Data'!$B$3:$I$344,8,FALSE)</f>
        <v>m_m_tanker_shelter_sweeper_g_1</v>
      </c>
      <c r="Z821" s="12"/>
      <c r="AA821" s="12"/>
      <c r="AB821" s="12"/>
      <c r="AC821" s="88">
        <v>0.9</v>
      </c>
      <c r="AD821" s="12"/>
      <c r="AE821" s="12"/>
      <c r="AF821" s="12"/>
      <c r="AG821" s="12" t="s">
        <v>2757</v>
      </c>
      <c r="AH821" s="85"/>
    </row>
    <row r="822" spans="1:34" x14ac:dyDescent="0.3">
      <c r="A822" s="77">
        <f t="shared" si="24"/>
        <v>1510202301</v>
      </c>
      <c r="B822" s="77" t="s">
        <v>41</v>
      </c>
      <c r="C822" s="77" t="s">
        <v>75</v>
      </c>
      <c r="D822" s="77" t="str">
        <f>"Monster.Name."&amp;VLOOKUP($C822,'#Data'!$B$2:$J$344,2,FALSE)</f>
        <v>Monster.Name.gallius_1</v>
      </c>
      <c r="E822" s="77" t="s">
        <v>58</v>
      </c>
      <c r="F822" s="78" t="s">
        <v>44</v>
      </c>
      <c r="G822" s="77" t="s">
        <v>45</v>
      </c>
      <c r="H822" s="77" t="b">
        <f>IF(OR(VLOOKUP($C822,'#Data'!$B$2:$J$344,4,FALSE)="보스",VLOOKUP($C822,'#Data'!$B$2:$J$344,4,FALSE)="중간"),TRUE,FALSE)</f>
        <v>1</v>
      </c>
      <c r="I822" s="77" t="b">
        <f>IF(OR(VLOOKUP($C822,'#Data'!$B$2:$J$344,4,FALSE)="보스",VLOOKUP($C822,'#Data'!$B$2:$J$344,4,FALSE)="중간"),TRUE,FALSE)</f>
        <v>1</v>
      </c>
      <c r="J822" s="77">
        <v>20</v>
      </c>
      <c r="K822" s="77">
        <f t="shared" si="25"/>
        <v>10</v>
      </c>
      <c r="L822" s="79" t="str">
        <f>$B822&amp;"."&amp;VLOOKUP($C822,'#Data'!$B$2:$J$344,2,FALSE)&amp;".attack0"&amp;RIGHT(L$1,1)</f>
        <v>Sector01.gallius_1.attack01</v>
      </c>
      <c r="M822" s="79"/>
      <c r="N822" s="79"/>
      <c r="O822" s="133" t="str">
        <f>$B822&amp;"."&amp;VLOOKUP($C822,'#Data'!$B$2:$J$344,2,FALSE)&amp;".skill0"&amp;RIGHT(O$1,1)</f>
        <v>Sector01.gallius_1.skill01</v>
      </c>
      <c r="P822" s="133" t="str">
        <f>$B822&amp;"."&amp;VLOOKUP($C822,'#Data'!$B$2:$J$344,2,FALSE)&amp;".skill0"&amp;RIGHT(P$1,1)</f>
        <v>Sector01.gallius_1.skill02</v>
      </c>
      <c r="Q822" s="133" t="s">
        <v>2070</v>
      </c>
      <c r="R822" s="80"/>
      <c r="S822" s="80" t="s">
        <v>76</v>
      </c>
      <c r="T822" s="80"/>
      <c r="U822" s="80"/>
      <c r="V822" s="77" t="b">
        <v>0</v>
      </c>
      <c r="W822" s="77" t="str">
        <f>"Character/Prefabs/"&amp;VLOOKUP($C822,'#Data'!$B$3:$I$344,8,FALSE)</f>
        <v>Character/Prefabs/m_boss_tanker_gallius_1</v>
      </c>
      <c r="X822" s="77"/>
      <c r="Y822" s="77" t="str">
        <f>VLOOKUP($C822,'#Data'!$B$3:$I$344,8,FALSE)</f>
        <v>m_boss_tanker_gallius_1</v>
      </c>
      <c r="Z822" s="77"/>
      <c r="AA822" s="77"/>
      <c r="AB822" s="77"/>
      <c r="AC822" s="87">
        <v>1.1000000000000001</v>
      </c>
      <c r="AD822" s="77"/>
      <c r="AE822" s="77" t="s">
        <v>77</v>
      </c>
      <c r="AF822" s="77" t="s">
        <v>78</v>
      </c>
      <c r="AG822" s="77" t="s">
        <v>2757</v>
      </c>
      <c r="AH822" s="85"/>
    </row>
    <row r="823" spans="1:34" x14ac:dyDescent="0.3">
      <c r="A823" s="77">
        <f t="shared" si="24"/>
        <v>1510202302</v>
      </c>
      <c r="B823" s="77" t="s">
        <v>41</v>
      </c>
      <c r="C823" s="77" t="s">
        <v>79</v>
      </c>
      <c r="D823" s="77" t="str">
        <f>"Monster.Name."&amp;VLOOKUP($C823,'#Data'!$B$2:$J$344,2,FALSE)</f>
        <v>Monster.Name.gallius_2</v>
      </c>
      <c r="E823" s="77" t="s">
        <v>58</v>
      </c>
      <c r="F823" s="78" t="s">
        <v>44</v>
      </c>
      <c r="G823" s="77" t="s">
        <v>45</v>
      </c>
      <c r="H823" s="77" t="b">
        <f>IF(OR(VLOOKUP($C823,'#Data'!$B$2:$J$344,4,FALSE)="보스",VLOOKUP($C823,'#Data'!$B$2:$J$344,4,FALSE)="중간"),TRUE,FALSE)</f>
        <v>1</v>
      </c>
      <c r="I823" s="77" t="b">
        <f>IF(OR(VLOOKUP($C823,'#Data'!$B$2:$J$344,4,FALSE)="보스",VLOOKUP($C823,'#Data'!$B$2:$J$344,4,FALSE)="중간"),TRUE,FALSE)</f>
        <v>1</v>
      </c>
      <c r="J823" s="77">
        <v>20</v>
      </c>
      <c r="K823" s="77">
        <f t="shared" si="25"/>
        <v>10</v>
      </c>
      <c r="L823" s="79" t="str">
        <f>$B823&amp;"."&amp;VLOOKUP($C823,'#Data'!$B$2:$J$344,2,FALSE)&amp;".attack0"&amp;RIGHT(L$1,1)</f>
        <v>Sector01.gallius_2.attack01</v>
      </c>
      <c r="M823" s="79"/>
      <c r="N823" s="79"/>
      <c r="O823" s="133" t="str">
        <f>$B823&amp;"."&amp;VLOOKUP($C823,'#Data'!$B$2:$J$344,2,FALSE)&amp;".skill0"&amp;RIGHT(O$1,1)</f>
        <v>Sector01.gallius_2.skill01</v>
      </c>
      <c r="P823" s="133" t="str">
        <f>$B823&amp;"."&amp;VLOOKUP($C823,'#Data'!$B$2:$J$344,2,FALSE)&amp;".skill0"&amp;RIGHT(P$1,1)</f>
        <v>Sector01.gallius_2.skill02</v>
      </c>
      <c r="Q823" s="133" t="str">
        <f>$B823&amp;"."&amp;VLOOKUP($C823,'#Data'!$B$2:$J$344,2,FALSE)&amp;".skill0"&amp;RIGHT(Q$1,1)</f>
        <v>Sector01.gallius_2.skill03</v>
      </c>
      <c r="R823" s="133" t="s">
        <v>2071</v>
      </c>
      <c r="S823" s="80" t="s">
        <v>76</v>
      </c>
      <c r="T823" s="80"/>
      <c r="U823" s="80"/>
      <c r="V823" s="77" t="b">
        <v>0</v>
      </c>
      <c r="W823" s="77" t="str">
        <f>"Character/Prefabs/"&amp;VLOOKUP($C823,'#Data'!$B$3:$I$344,8,FALSE)</f>
        <v>Character/Prefabs/m_boss_tanker_gallius_2</v>
      </c>
      <c r="X823" s="77"/>
      <c r="Y823" s="77" t="str">
        <f>VLOOKUP($C823,'#Data'!$B$3:$I$344,8,FALSE)</f>
        <v>m_boss_tanker_gallius_2</v>
      </c>
      <c r="Z823" s="77"/>
      <c r="AA823" s="77"/>
      <c r="AB823" s="77"/>
      <c r="AC823" s="87">
        <v>1.1000000000000001</v>
      </c>
      <c r="AD823" s="77"/>
      <c r="AE823" s="77" t="s">
        <v>80</v>
      </c>
      <c r="AF823" s="77" t="s">
        <v>81</v>
      </c>
      <c r="AG823" s="77" t="s">
        <v>2757</v>
      </c>
      <c r="AH823" s="85"/>
    </row>
    <row r="824" spans="1:34" x14ac:dyDescent="0.3">
      <c r="A824" s="41">
        <f t="shared" si="24"/>
        <v>1510203101</v>
      </c>
      <c r="B824" s="41" t="s">
        <v>105</v>
      </c>
      <c r="C824" s="41" t="s">
        <v>106</v>
      </c>
      <c r="D824" s="41" t="str">
        <f>"Monster.Name."&amp;VLOOKUP($C824,'#Data'!$B$2:$J$344,2,FALSE)</f>
        <v>Monster.Name.brain_hunter_1</v>
      </c>
      <c r="E824" s="41" t="s">
        <v>43</v>
      </c>
      <c r="F824" s="42" t="s">
        <v>44</v>
      </c>
      <c r="G824" s="41" t="s">
        <v>45</v>
      </c>
      <c r="H824" s="41" t="b">
        <f>IF(OR(VLOOKUP($C824,'#Data'!$B$2:$J$344,4,FALSE)="보스",VLOOKUP($C824,'#Data'!$B$2:$J$344,4,FALSE)="중간"),TRUE,FALSE)</f>
        <v>0</v>
      </c>
      <c r="I824" s="41" t="b">
        <v>0</v>
      </c>
      <c r="J824" s="41">
        <v>10</v>
      </c>
      <c r="K824" s="41">
        <f t="shared" si="25"/>
        <v>10</v>
      </c>
      <c r="L824" s="67" t="str">
        <f>$B824&amp;"."&amp;VLOOKUP($C824,'#Data'!$B$2:$J$344,2,FALSE)&amp;".attack0"&amp;RIGHT(L$1,1)</f>
        <v>Sector03.brain_hunter_1.attack01</v>
      </c>
      <c r="M824" s="67"/>
      <c r="N824" s="67"/>
      <c r="O824" s="137" t="str">
        <f>$B824&amp;"."&amp;VLOOKUP($C824,'#Data'!$B$2:$J$344,2,FALSE)&amp;".skill0"&amp;RIGHT(O$1,1)</f>
        <v>Sector03.brain_hunter_1.skill01</v>
      </c>
      <c r="P824" s="137"/>
      <c r="Q824" s="137"/>
      <c r="R824" s="68"/>
      <c r="S824" s="68"/>
      <c r="T824" s="68"/>
      <c r="U824" s="68"/>
      <c r="V824" s="41" t="b">
        <v>0</v>
      </c>
      <c r="W824" s="41" t="str">
        <f>"Character/Prefabs/"&amp;VLOOKUP($C824,'#Data'!$B$3:$I$344,8,FALSE)</f>
        <v>Character/Prefabs/m_s_attacker_brain_hunter_1</v>
      </c>
      <c r="X824" s="41"/>
      <c r="Y824" s="41" t="str">
        <f>VLOOKUP($C824,'#Data'!$B$3:$I$344,8,FALSE)</f>
        <v>m_s_attacker_brain_hunter_1</v>
      </c>
      <c r="Z824" s="41"/>
      <c r="AA824" s="41"/>
      <c r="AB824" s="41"/>
      <c r="AC824" s="90">
        <v>0.9</v>
      </c>
      <c r="AD824" s="41"/>
      <c r="AE824" s="41"/>
      <c r="AF824" s="41"/>
      <c r="AG824" s="41" t="s">
        <v>2757</v>
      </c>
      <c r="AH824" s="85"/>
    </row>
    <row r="825" spans="1:34" x14ac:dyDescent="0.3">
      <c r="A825" s="41">
        <f t="shared" si="24"/>
        <v>1510203102</v>
      </c>
      <c r="B825" s="41" t="s">
        <v>105</v>
      </c>
      <c r="C825" s="41" t="s">
        <v>107</v>
      </c>
      <c r="D825" s="41" t="str">
        <f>"Monster.Name."&amp;VLOOKUP($C825,'#Data'!$B$2:$J$344,2,FALSE)</f>
        <v>Monster.Name.infmecha_2</v>
      </c>
      <c r="E825" s="41" t="s">
        <v>43</v>
      </c>
      <c r="F825" s="42" t="s">
        <v>44</v>
      </c>
      <c r="G825" s="41" t="s">
        <v>45</v>
      </c>
      <c r="H825" s="41" t="b">
        <f>IF(OR(VLOOKUP($C825,'#Data'!$B$2:$J$344,4,FALSE)="보스",VLOOKUP($C825,'#Data'!$B$2:$J$344,4,FALSE)="중간"),TRUE,FALSE)</f>
        <v>0</v>
      </c>
      <c r="I825" s="41" t="b">
        <v>0</v>
      </c>
      <c r="J825" s="41">
        <v>10</v>
      </c>
      <c r="K825" s="41">
        <f t="shared" si="25"/>
        <v>10</v>
      </c>
      <c r="L825" s="67" t="str">
        <f>$B825&amp;"."&amp;VLOOKUP($C825,'#Data'!$B$2:$J$344,2,FALSE)&amp;".attack0"&amp;RIGHT(L$1,1)</f>
        <v>Sector03.infmecha_2.attack01</v>
      </c>
      <c r="M825" s="67"/>
      <c r="N825" s="67"/>
      <c r="O825" s="137" t="s">
        <v>2009</v>
      </c>
      <c r="P825" s="137"/>
      <c r="Q825" s="137"/>
      <c r="R825" s="68"/>
      <c r="S825" s="68"/>
      <c r="T825" s="68"/>
      <c r="U825" s="68"/>
      <c r="V825" s="41" t="b">
        <v>0</v>
      </c>
      <c r="W825" s="41" t="str">
        <f>"Character/Prefabs/"&amp;VLOOKUP($C825,'#Data'!$B$3:$I$344,8,FALSE)</f>
        <v>Character/Prefabs/m_s_attacker_infmecha_2</v>
      </c>
      <c r="X825" s="41"/>
      <c r="Y825" s="41" t="str">
        <f>VLOOKUP($C825,'#Data'!$B$3:$I$344,8,FALSE)</f>
        <v>m_s_attacker_infmecha_2</v>
      </c>
      <c r="Z825" s="41"/>
      <c r="AA825" s="41"/>
      <c r="AB825" s="41"/>
      <c r="AC825" s="90">
        <v>0.6</v>
      </c>
      <c r="AD825" s="41"/>
      <c r="AE825" s="41"/>
      <c r="AF825" s="41"/>
      <c r="AG825" s="41" t="s">
        <v>2757</v>
      </c>
      <c r="AH825" s="85"/>
    </row>
    <row r="826" spans="1:34" x14ac:dyDescent="0.3">
      <c r="A826" s="41">
        <f t="shared" si="24"/>
        <v>1510203103</v>
      </c>
      <c r="B826" s="41" t="s">
        <v>105</v>
      </c>
      <c r="C826" s="41" t="s">
        <v>108</v>
      </c>
      <c r="D826" s="41" t="str">
        <f>"Monster.Name."&amp;VLOOKUP($C826,'#Data'!$B$2:$J$344,2,FALSE)</f>
        <v>Monster.Name.core_hunter_1</v>
      </c>
      <c r="E826" s="41" t="s">
        <v>47</v>
      </c>
      <c r="F826" s="42" t="s">
        <v>44</v>
      </c>
      <c r="G826" s="41" t="s">
        <v>45</v>
      </c>
      <c r="H826" s="41" t="b">
        <f>IF(OR(VLOOKUP($C826,'#Data'!$B$2:$J$344,4,FALSE)="보스",VLOOKUP($C826,'#Data'!$B$2:$J$344,4,FALSE)="중간"),TRUE,FALSE)</f>
        <v>0</v>
      </c>
      <c r="I826" s="41" t="b">
        <v>0</v>
      </c>
      <c r="J826" s="41">
        <v>10</v>
      </c>
      <c r="K826" s="41">
        <f t="shared" si="25"/>
        <v>10</v>
      </c>
      <c r="L826" s="67" t="str">
        <f>$B826&amp;"."&amp;VLOOKUP($C826,'#Data'!$B$2:$J$344,2,FALSE)&amp;".attack0"&amp;RIGHT(L$1,1)</f>
        <v>Sector03.core_hunter_1.attack01</v>
      </c>
      <c r="M826" s="67"/>
      <c r="N826" s="67"/>
      <c r="O826" s="137" t="str">
        <f>$B826&amp;"."&amp;VLOOKUP($C826,'#Data'!$B$2:$J$344,2,FALSE)&amp;".skill0"&amp;RIGHT(O$1,1)</f>
        <v>Sector03.core_hunter_1.skill01</v>
      </c>
      <c r="P826" s="137" t="s">
        <v>2010</v>
      </c>
      <c r="Q826" s="137"/>
      <c r="R826" s="68"/>
      <c r="S826" s="68"/>
      <c r="T826" s="68"/>
      <c r="U826" s="68"/>
      <c r="V826" s="41" t="b">
        <v>0</v>
      </c>
      <c r="W826" s="41" t="str">
        <f>"Character/Prefabs/"&amp;VLOOKUP($C826,'#Data'!$B$3:$I$344,8,FALSE)</f>
        <v>Character/Prefabs/m_s_ranger_core_hunter_1</v>
      </c>
      <c r="X826" s="41"/>
      <c r="Y826" s="41" t="str">
        <f>VLOOKUP($C826,'#Data'!$B$3:$I$344,8,FALSE)</f>
        <v>m_s_ranger_core_hunter_1</v>
      </c>
      <c r="Z826" s="41"/>
      <c r="AA826" s="41"/>
      <c r="AB826" s="41"/>
      <c r="AC826" s="90">
        <v>0.9</v>
      </c>
      <c r="AD826" s="41"/>
      <c r="AE826" s="41"/>
      <c r="AF826" s="41"/>
      <c r="AG826" s="41" t="s">
        <v>2757</v>
      </c>
      <c r="AH826" s="85"/>
    </row>
    <row r="827" spans="1:34" x14ac:dyDescent="0.3">
      <c r="A827" s="41">
        <f t="shared" si="24"/>
        <v>1510203104</v>
      </c>
      <c r="B827" s="41" t="s">
        <v>105</v>
      </c>
      <c r="C827" s="41" t="s">
        <v>109</v>
      </c>
      <c r="D827" s="41" t="str">
        <f>"Monster.Name."&amp;VLOOKUP($C827,'#Data'!$B$2:$J$344,2,FALSE)</f>
        <v>Monster.Name.infturret_2</v>
      </c>
      <c r="E827" s="41" t="s">
        <v>47</v>
      </c>
      <c r="F827" s="42" t="s">
        <v>44</v>
      </c>
      <c r="G827" s="41" t="s">
        <v>45</v>
      </c>
      <c r="H827" s="41" t="b">
        <f>IF(OR(VLOOKUP($C827,'#Data'!$B$2:$J$344,4,FALSE)="보스",VLOOKUP($C827,'#Data'!$B$2:$J$344,4,FALSE)="중간"),TRUE,FALSE)</f>
        <v>0</v>
      </c>
      <c r="I827" s="41" t="b">
        <v>0</v>
      </c>
      <c r="J827" s="41">
        <v>10</v>
      </c>
      <c r="K827" s="41">
        <f t="shared" si="25"/>
        <v>10</v>
      </c>
      <c r="L827" s="67" t="str">
        <f>$B827&amp;"."&amp;VLOOKUP($C827,'#Data'!$B$2:$J$344,2,FALSE)&amp;".attack0"&amp;RIGHT(L$1,1)</f>
        <v>Sector03.infturret_2.attack01</v>
      </c>
      <c r="M827" s="67"/>
      <c r="N827" s="67"/>
      <c r="O827" s="137" t="s">
        <v>2011</v>
      </c>
      <c r="P827" s="137"/>
      <c r="Q827" s="137"/>
      <c r="R827" s="68"/>
      <c r="S827" s="68"/>
      <c r="T827" s="68"/>
      <c r="U827" s="68"/>
      <c r="V827" s="41" t="b">
        <v>0</v>
      </c>
      <c r="W827" s="41" t="str">
        <f>"Character/Prefabs/"&amp;VLOOKUP($C827,'#Data'!$B$3:$I$344,8,FALSE)</f>
        <v>Character/Prefabs/m_s_ranger_infturret_2</v>
      </c>
      <c r="X827" s="41"/>
      <c r="Y827" s="41" t="str">
        <f>VLOOKUP($C827,'#Data'!$B$3:$I$344,8,FALSE)</f>
        <v>m_s_ranger_infturret_2</v>
      </c>
      <c r="Z827" s="41"/>
      <c r="AA827" s="41"/>
      <c r="AB827" s="41"/>
      <c r="AC827" s="90">
        <v>0.6</v>
      </c>
      <c r="AD827" s="41"/>
      <c r="AE827" s="41"/>
      <c r="AF827" s="41"/>
      <c r="AG827" s="41" t="s">
        <v>2757</v>
      </c>
      <c r="AH827" s="85"/>
    </row>
    <row r="828" spans="1:34" x14ac:dyDescent="0.3">
      <c r="A828" s="41">
        <f t="shared" si="24"/>
        <v>1510203105</v>
      </c>
      <c r="B828" s="41" t="s">
        <v>105</v>
      </c>
      <c r="C828" s="41" t="s">
        <v>110</v>
      </c>
      <c r="D828" s="41" t="str">
        <f>"Monster.Name."&amp;VLOOKUP($C828,'#Data'!$B$2:$J$344,2,FALSE)</f>
        <v>Monster.Name.infdust_shield_2</v>
      </c>
      <c r="E828" s="41" t="s">
        <v>58</v>
      </c>
      <c r="F828" s="42" t="s">
        <v>44</v>
      </c>
      <c r="G828" s="41" t="s">
        <v>45</v>
      </c>
      <c r="H828" s="41" t="b">
        <f>IF(OR(VLOOKUP($C828,'#Data'!$B$2:$J$344,4,FALSE)="보스",VLOOKUP($C828,'#Data'!$B$2:$J$344,4,FALSE)="중간"),TRUE,FALSE)</f>
        <v>0</v>
      </c>
      <c r="I828" s="41" t="b">
        <v>0</v>
      </c>
      <c r="J828" s="41">
        <v>10</v>
      </c>
      <c r="K828" s="41">
        <f t="shared" si="25"/>
        <v>10</v>
      </c>
      <c r="L828" s="67" t="str">
        <f>$B828&amp;"."&amp;VLOOKUP($C828,'#Data'!$B$2:$J$344,2,FALSE)&amp;".attack0"&amp;RIGHT(L$1,1)</f>
        <v>Sector03.infdust_shield_2.attack01</v>
      </c>
      <c r="M828" s="67"/>
      <c r="N828" s="67"/>
      <c r="O828" s="137" t="str">
        <f>$B828&amp;"."&amp;VLOOKUP($C828,'#Data'!$B$2:$J$344,2,FALSE)&amp;".skill0"&amp;RIGHT(O$1,1)</f>
        <v>Sector03.infdust_shield_2.skill01</v>
      </c>
      <c r="P828" s="137" t="s">
        <v>2012</v>
      </c>
      <c r="Q828" s="137"/>
      <c r="R828" s="68"/>
      <c r="S828" s="68"/>
      <c r="T828" s="68"/>
      <c r="U828" s="68"/>
      <c r="V828" s="41" t="b">
        <v>0</v>
      </c>
      <c r="W828" s="41" t="str">
        <f>"Character/Prefabs/"&amp;VLOOKUP($C828,'#Data'!$B$3:$I$344,8,FALSE)</f>
        <v>Character/Prefabs/m_m_tanker_infdust_shield_2</v>
      </c>
      <c r="X828" s="41"/>
      <c r="Y828" s="41" t="str">
        <f>VLOOKUP($C828,'#Data'!$B$3:$I$344,8,FALSE)</f>
        <v>m_m_tanker_infdust_shield_2</v>
      </c>
      <c r="Z828" s="41"/>
      <c r="AA828" s="41"/>
      <c r="AB828" s="41"/>
      <c r="AC828" s="90">
        <v>0.7</v>
      </c>
      <c r="AD828" s="41"/>
      <c r="AE828" s="41"/>
      <c r="AF828" s="41"/>
      <c r="AG828" s="41" t="s">
        <v>2757</v>
      </c>
      <c r="AH828" s="85"/>
    </row>
    <row r="829" spans="1:34" x14ac:dyDescent="0.3">
      <c r="A829" s="41">
        <f t="shared" si="24"/>
        <v>1510203106</v>
      </c>
      <c r="B829" s="41" t="s">
        <v>105</v>
      </c>
      <c r="C829" s="41" t="s">
        <v>111</v>
      </c>
      <c r="D829" s="41" t="str">
        <f>"Monster.Name."&amp;VLOOKUP($C829,'#Data'!$B$2:$J$344,2,FALSE)</f>
        <v>Monster.Name.infdust_gauntlet_2</v>
      </c>
      <c r="E829" s="41" t="s">
        <v>43</v>
      </c>
      <c r="F829" s="42" t="s">
        <v>44</v>
      </c>
      <c r="G829" s="41" t="s">
        <v>45</v>
      </c>
      <c r="H829" s="41" t="b">
        <f>IF(OR(VLOOKUP($C829,'#Data'!$B$2:$J$344,4,FALSE)="보스",VLOOKUP($C829,'#Data'!$B$2:$J$344,4,FALSE)="중간"),TRUE,FALSE)</f>
        <v>0</v>
      </c>
      <c r="I829" s="41" t="b">
        <v>0</v>
      </c>
      <c r="J829" s="41">
        <v>10</v>
      </c>
      <c r="K829" s="41">
        <f t="shared" si="25"/>
        <v>10</v>
      </c>
      <c r="L829" s="67" t="str">
        <f>$B829&amp;"."&amp;VLOOKUP($C829,'#Data'!$B$2:$J$344,2,FALSE)&amp;".attack0"&amp;RIGHT(L$1,1)</f>
        <v>Sector03.infdust_gauntlet_2.attack01</v>
      </c>
      <c r="M829" s="67"/>
      <c r="N829" s="67"/>
      <c r="O829" s="137" t="str">
        <f>$B829&amp;"."&amp;VLOOKUP($C829,'#Data'!$B$2:$J$344,2,FALSE)&amp;".skill0"&amp;RIGHT(O$1,1)</f>
        <v>Sector03.infdust_gauntlet_2.skill01</v>
      </c>
      <c r="P829" s="137" t="s">
        <v>2013</v>
      </c>
      <c r="Q829" s="137"/>
      <c r="R829" s="68"/>
      <c r="S829" s="68"/>
      <c r="T829" s="68"/>
      <c r="U829" s="68"/>
      <c r="V829" s="41" t="b">
        <v>0</v>
      </c>
      <c r="W829" s="41" t="str">
        <f>"Character/Prefabs/"&amp;VLOOKUP($C829,'#Data'!$B$3:$I$344,8,FALSE)</f>
        <v>Character/Prefabs/m_m_attacker_infdust_gauntlet_2</v>
      </c>
      <c r="X829" s="41"/>
      <c r="Y829" s="41" t="str">
        <f>VLOOKUP($C829,'#Data'!$B$3:$I$344,8,FALSE)</f>
        <v>m_m_attacker_infdust_gauntlet_2</v>
      </c>
      <c r="Z829" s="41"/>
      <c r="AA829" s="41"/>
      <c r="AB829" s="41"/>
      <c r="AC829" s="90">
        <v>0.7</v>
      </c>
      <c r="AD829" s="41"/>
      <c r="AE829" s="41"/>
      <c r="AF829" s="41"/>
      <c r="AG829" s="41" t="s">
        <v>2757</v>
      </c>
      <c r="AH829" s="85"/>
    </row>
    <row r="830" spans="1:34" x14ac:dyDescent="0.3">
      <c r="A830" s="41">
        <f t="shared" si="24"/>
        <v>1510203107</v>
      </c>
      <c r="B830" s="41" t="s">
        <v>105</v>
      </c>
      <c r="C830" s="41" t="s">
        <v>112</v>
      </c>
      <c r="D830" s="41" t="str">
        <f>"Monster.Name."&amp;VLOOKUP($C830,'#Data'!$B$2:$J$344,2,FALSE)</f>
        <v>Monster.Name.infdust_rifle_2</v>
      </c>
      <c r="E830" s="41" t="s">
        <v>47</v>
      </c>
      <c r="F830" s="42" t="s">
        <v>44</v>
      </c>
      <c r="G830" s="41" t="s">
        <v>45</v>
      </c>
      <c r="H830" s="41" t="b">
        <f>IF(OR(VLOOKUP($C830,'#Data'!$B$2:$J$344,4,FALSE)="보스",VLOOKUP($C830,'#Data'!$B$2:$J$344,4,FALSE)="중간"),TRUE,FALSE)</f>
        <v>0</v>
      </c>
      <c r="I830" s="41" t="b">
        <v>0</v>
      </c>
      <c r="J830" s="41">
        <v>10</v>
      </c>
      <c r="K830" s="41">
        <f t="shared" si="25"/>
        <v>10</v>
      </c>
      <c r="L830" s="67" t="str">
        <f>$B830&amp;"."&amp;VLOOKUP($C830,'#Data'!$B$2:$J$344,2,FALSE)&amp;".attack0"&amp;RIGHT(L$1,1)</f>
        <v>Sector03.infdust_rifle_2.attack01</v>
      </c>
      <c r="M830" s="67"/>
      <c r="N830" s="67"/>
      <c r="O830" s="137" t="str">
        <f>$B830&amp;"."&amp;VLOOKUP($C830,'#Data'!$B$2:$J$344,2,FALSE)&amp;".skill0"&amp;RIGHT(O$1,1)</f>
        <v>Sector03.infdust_rifle_2.skill01</v>
      </c>
      <c r="P830" s="137" t="s">
        <v>2014</v>
      </c>
      <c r="Q830" s="137"/>
      <c r="R830" s="68"/>
      <c r="S830" s="68"/>
      <c r="T830" s="68"/>
      <c r="U830" s="68"/>
      <c r="V830" s="41" t="b">
        <v>0</v>
      </c>
      <c r="W830" s="41" t="str">
        <f>"Character/Prefabs/"&amp;VLOOKUP($C830,'#Data'!$B$3:$I$344,8,FALSE)</f>
        <v>Character/Prefabs/m_m_ranger_infdust_rifle_2</v>
      </c>
      <c r="X830" s="41"/>
      <c r="Y830" s="41" t="str">
        <f>VLOOKUP($C830,'#Data'!$B$3:$I$344,8,FALSE)</f>
        <v>m_m_ranger_infdust_rifle_2</v>
      </c>
      <c r="Z830" s="41"/>
      <c r="AA830" s="41"/>
      <c r="AB830" s="41"/>
      <c r="AC830" s="90">
        <v>0.7</v>
      </c>
      <c r="AD830" s="41"/>
      <c r="AE830" s="41"/>
      <c r="AF830" s="41"/>
      <c r="AG830" s="41" t="s">
        <v>2757</v>
      </c>
      <c r="AH830" s="85"/>
    </row>
    <row r="831" spans="1:34" x14ac:dyDescent="0.3">
      <c r="A831" s="41">
        <f t="shared" si="24"/>
        <v>1510203108</v>
      </c>
      <c r="B831" s="41" t="s">
        <v>105</v>
      </c>
      <c r="C831" s="41" t="s">
        <v>113</v>
      </c>
      <c r="D831" s="41" t="str">
        <f>"Monster.Name."&amp;VLOOKUP($C831,'#Data'!$B$2:$J$344,2,FALSE)</f>
        <v>Monster.Name.infdust_launcher_2</v>
      </c>
      <c r="E831" s="41" t="s">
        <v>47</v>
      </c>
      <c r="F831" s="42" t="s">
        <v>44</v>
      </c>
      <c r="G831" s="41" t="s">
        <v>45</v>
      </c>
      <c r="H831" s="41" t="b">
        <f>IF(OR(VLOOKUP($C831,'#Data'!$B$2:$J$344,4,FALSE)="보스",VLOOKUP($C831,'#Data'!$B$2:$J$344,4,FALSE)="중간"),TRUE,FALSE)</f>
        <v>0</v>
      </c>
      <c r="I831" s="41" t="b">
        <v>0</v>
      </c>
      <c r="J831" s="41">
        <v>10</v>
      </c>
      <c r="K831" s="41">
        <f t="shared" si="25"/>
        <v>10</v>
      </c>
      <c r="L831" s="67" t="str">
        <f>$B831&amp;"."&amp;VLOOKUP($C831,'#Data'!$B$2:$J$344,2,FALSE)&amp;".attack0"&amp;RIGHT(L$1,1)</f>
        <v>Sector03.infdust_launcher_2.attack01</v>
      </c>
      <c r="M831" s="67"/>
      <c r="N831" s="67"/>
      <c r="O831" s="137" t="str">
        <f>$B831&amp;"."&amp;VLOOKUP($C831,'#Data'!$B$2:$J$344,2,FALSE)&amp;".skill0"&amp;RIGHT(O$1,1)</f>
        <v>Sector03.infdust_launcher_2.skill01</v>
      </c>
      <c r="P831" s="137" t="s">
        <v>2015</v>
      </c>
      <c r="Q831" s="137"/>
      <c r="R831" s="68"/>
      <c r="S831" s="68"/>
      <c r="T831" s="68"/>
      <c r="U831" s="68"/>
      <c r="V831" s="41" t="b">
        <v>0</v>
      </c>
      <c r="W831" s="41" t="str">
        <f>"Character/Prefabs/"&amp;VLOOKUP($C831,'#Data'!$B$3:$I$344,8,FALSE)</f>
        <v>Character/Prefabs/m_m_ranger_infdust_launcher_2</v>
      </c>
      <c r="X831" s="41"/>
      <c r="Y831" s="41" t="str">
        <f>VLOOKUP($C831,'#Data'!$B$3:$I$344,8,FALSE)</f>
        <v>m_m_ranger_infdust_launcher_2</v>
      </c>
      <c r="Z831" s="41"/>
      <c r="AA831" s="41"/>
      <c r="AB831" s="41"/>
      <c r="AC831" s="90">
        <v>0.7</v>
      </c>
      <c r="AD831" s="41"/>
      <c r="AE831" s="41"/>
      <c r="AF831" s="41"/>
      <c r="AG831" s="41" t="s">
        <v>2757</v>
      </c>
      <c r="AH831" s="85"/>
    </row>
    <row r="832" spans="1:34" x14ac:dyDescent="0.3">
      <c r="A832" s="41">
        <f t="shared" si="24"/>
        <v>1510203109</v>
      </c>
      <c r="B832" s="41" t="s">
        <v>105</v>
      </c>
      <c r="C832" s="41" t="s">
        <v>114</v>
      </c>
      <c r="D832" s="41" t="str">
        <f>"Monster.Name."&amp;VLOOKUP($C832,'#Data'!$B$2:$J$344,2,FALSE)</f>
        <v>Monster.Name.head_snatcher_1</v>
      </c>
      <c r="E832" s="41" t="s">
        <v>43</v>
      </c>
      <c r="F832" s="42" t="s">
        <v>44</v>
      </c>
      <c r="G832" s="41" t="s">
        <v>45</v>
      </c>
      <c r="H832" s="41" t="b">
        <f>IF(OR(VLOOKUP($C832,'#Data'!$B$2:$J$344,4,FALSE)="보스",VLOOKUP($C832,'#Data'!$B$2:$J$344,4,FALSE)="중간"),TRUE,FALSE)</f>
        <v>0</v>
      </c>
      <c r="I832" s="41" t="b">
        <v>0</v>
      </c>
      <c r="J832" s="41">
        <v>10</v>
      </c>
      <c r="K832" s="41">
        <f t="shared" si="25"/>
        <v>10</v>
      </c>
      <c r="L832" s="67" t="str">
        <f>$B832&amp;"."&amp;VLOOKUP($C832,'#Data'!$B$2:$J$344,2,FALSE)&amp;".attack0"&amp;RIGHT(L$1,1)</f>
        <v>Sector03.head_snatcher_1.attack01</v>
      </c>
      <c r="M832" s="67"/>
      <c r="N832" s="67"/>
      <c r="O832" s="137" t="str">
        <f>$B832&amp;"."&amp;VLOOKUP($C832,'#Data'!$B$2:$J$344,2,FALSE)&amp;".skill0"&amp;RIGHT(O$1,1)</f>
        <v>Sector03.head_snatcher_1.skill01</v>
      </c>
      <c r="P832" s="137" t="s">
        <v>2016</v>
      </c>
      <c r="Q832" s="137"/>
      <c r="R832" s="68"/>
      <c r="S832" s="68"/>
      <c r="T832" s="68"/>
      <c r="U832" s="68"/>
      <c r="V832" s="41" t="b">
        <v>0</v>
      </c>
      <c r="W832" s="41" t="str">
        <f>"Character/Prefabs/"&amp;VLOOKUP($C832,'#Data'!$B$3:$I$344,8,FALSE)</f>
        <v>Character/Prefabs/m_m_attacker_head_snatcher_1</v>
      </c>
      <c r="X832" s="41"/>
      <c r="Y832" s="41" t="str">
        <f>VLOOKUP($C832,'#Data'!$B$3:$I$344,8,FALSE)</f>
        <v>m_m_attacker_head_snatcher_1</v>
      </c>
      <c r="Z832" s="41"/>
      <c r="AA832" s="41"/>
      <c r="AB832" s="41"/>
      <c r="AC832" s="90">
        <v>0.7</v>
      </c>
      <c r="AD832" s="41"/>
      <c r="AE832" s="41"/>
      <c r="AF832" s="41"/>
      <c r="AG832" s="41" t="s">
        <v>2757</v>
      </c>
      <c r="AH832" s="85"/>
    </row>
    <row r="833" spans="1:34" x14ac:dyDescent="0.3">
      <c r="A833" s="41">
        <f t="shared" si="24"/>
        <v>1510203110</v>
      </c>
      <c r="B833" s="41" t="s">
        <v>105</v>
      </c>
      <c r="C833" s="41" t="s">
        <v>115</v>
      </c>
      <c r="D833" s="41" t="str">
        <f>"Monster.Name."&amp;VLOOKUP($C833,'#Data'!$B$2:$J$344,2,FALSE)</f>
        <v>Monster.Name.core_snatcher_1</v>
      </c>
      <c r="E833" s="41" t="s">
        <v>47</v>
      </c>
      <c r="F833" s="42" t="s">
        <v>44</v>
      </c>
      <c r="G833" s="41" t="s">
        <v>45</v>
      </c>
      <c r="H833" s="41" t="b">
        <f>IF(OR(VLOOKUP($C833,'#Data'!$B$2:$J$344,4,FALSE)="보스",VLOOKUP($C833,'#Data'!$B$2:$J$344,4,FALSE)="중간"),TRUE,FALSE)</f>
        <v>0</v>
      </c>
      <c r="I833" s="41" t="b">
        <v>0</v>
      </c>
      <c r="J833" s="41">
        <v>10</v>
      </c>
      <c r="K833" s="41">
        <f t="shared" si="25"/>
        <v>10</v>
      </c>
      <c r="L833" s="67" t="str">
        <f>$B833&amp;"."&amp;VLOOKUP($C833,'#Data'!$B$2:$J$344,2,FALSE)&amp;".attack0"&amp;RIGHT(L$1,1)</f>
        <v>Sector03.core_snatcher_1.attack01</v>
      </c>
      <c r="M833" s="67"/>
      <c r="N833" s="67"/>
      <c r="O833" s="137" t="str">
        <f>$B833&amp;"."&amp;VLOOKUP($C833,'#Data'!$B$2:$J$344,2,FALSE)&amp;".skill0"&amp;RIGHT(O$1,1)</f>
        <v>Sector03.core_snatcher_1.skill01</v>
      </c>
      <c r="P833" s="137" t="s">
        <v>2017</v>
      </c>
      <c r="Q833" s="137"/>
      <c r="R833" s="68"/>
      <c r="S833" s="68"/>
      <c r="T833" s="68"/>
      <c r="U833" s="68"/>
      <c r="V833" s="41" t="b">
        <v>0</v>
      </c>
      <c r="W833" s="41" t="str">
        <f>"Character/Prefabs/"&amp;VLOOKUP($C833,'#Data'!$B$3:$I$344,8,FALSE)</f>
        <v>Character/Prefabs/m_m_ranger_core_snatcher_1</v>
      </c>
      <c r="X833" s="41"/>
      <c r="Y833" s="41" t="str">
        <f>VLOOKUP($C833,'#Data'!$B$3:$I$344,8,FALSE)</f>
        <v>m_m_ranger_core_snatcher_1</v>
      </c>
      <c r="Z833" s="41"/>
      <c r="AA833" s="41"/>
      <c r="AB833" s="41"/>
      <c r="AC833" s="90">
        <v>0.7</v>
      </c>
      <c r="AD833" s="41"/>
      <c r="AE833" s="41"/>
      <c r="AF833" s="41"/>
      <c r="AG833" s="41" t="s">
        <v>2757</v>
      </c>
      <c r="AH833" s="85"/>
    </row>
    <row r="834" spans="1:34" x14ac:dyDescent="0.3">
      <c r="A834" s="19">
        <f t="shared" si="24"/>
        <v>1510203111</v>
      </c>
      <c r="B834" s="19" t="s">
        <v>105</v>
      </c>
      <c r="C834" s="19" t="s">
        <v>1241</v>
      </c>
      <c r="D834" s="19" t="str">
        <f>"Monster.Name."&amp;VLOOKUP($C834,'#Data'!$B$2:$J$344,2,FALSE)</f>
        <v>Monster.Name.brain_hunter_2</v>
      </c>
      <c r="E834" s="19" t="s">
        <v>43</v>
      </c>
      <c r="F834" s="48" t="s">
        <v>44</v>
      </c>
      <c r="G834" s="19" t="s">
        <v>45</v>
      </c>
      <c r="H834" s="19" t="b">
        <f>IF(OR(VLOOKUP($C834,'#Data'!$B$2:$J$344,4,FALSE)="보스",VLOOKUP($C834,'#Data'!$B$2:$J$344,4,FALSE)="중간"),TRUE,FALSE)</f>
        <v>0</v>
      </c>
      <c r="I834" s="19" t="b">
        <v>0</v>
      </c>
      <c r="J834" s="19">
        <v>10</v>
      </c>
      <c r="K834" s="19">
        <f t="shared" si="25"/>
        <v>10</v>
      </c>
      <c r="L834" s="69" t="s">
        <v>1332</v>
      </c>
      <c r="M834" s="69"/>
      <c r="N834" s="69"/>
      <c r="O834" s="138"/>
      <c r="P834" s="138"/>
      <c r="Q834" s="138"/>
      <c r="R834" s="70"/>
      <c r="S834" s="70"/>
      <c r="T834" s="70"/>
      <c r="U834" s="70"/>
      <c r="V834" s="19" t="b">
        <v>0</v>
      </c>
      <c r="W834" s="19" t="str">
        <f>"Character/Prefabs/"&amp;VLOOKUP($C834,'#Data'!$B$3:$I$344,8,FALSE)</f>
        <v>Character/Prefabs/m_s_attacker_brain_hunter_2</v>
      </c>
      <c r="X834" s="19"/>
      <c r="Y834" s="19" t="str">
        <f>VLOOKUP($C834,'#Data'!$B$3:$I$344,8,FALSE)</f>
        <v>m_s_attacker_brain_hunter_2</v>
      </c>
      <c r="Z834" s="19"/>
      <c r="AA834" s="19"/>
      <c r="AB834" s="19"/>
      <c r="AC834" s="91">
        <v>0.9</v>
      </c>
      <c r="AD834" s="19"/>
      <c r="AE834" s="19"/>
      <c r="AF834" s="19"/>
      <c r="AG834" s="19" t="s">
        <v>2757</v>
      </c>
      <c r="AH834" s="85"/>
    </row>
    <row r="835" spans="1:34" x14ac:dyDescent="0.3">
      <c r="A835" s="19">
        <f t="shared" si="24"/>
        <v>1510203112</v>
      </c>
      <c r="B835" s="19" t="s">
        <v>105</v>
      </c>
      <c r="C835" s="19" t="s">
        <v>1243</v>
      </c>
      <c r="D835" s="19" t="str">
        <f>"Monster.Name."&amp;VLOOKUP($C835,'#Data'!$B$2:$J$344,2,FALSE)</f>
        <v>Monster.Name.infmecha_3</v>
      </c>
      <c r="E835" s="19" t="s">
        <v>43</v>
      </c>
      <c r="F835" s="48" t="s">
        <v>44</v>
      </c>
      <c r="G835" s="19" t="s">
        <v>45</v>
      </c>
      <c r="H835" s="19" t="b">
        <f>IF(OR(VLOOKUP($C835,'#Data'!$B$2:$J$344,4,FALSE)="보스",VLOOKUP($C835,'#Data'!$B$2:$J$344,4,FALSE)="중간"),TRUE,FALSE)</f>
        <v>0</v>
      </c>
      <c r="I835" s="19" t="b">
        <v>0</v>
      </c>
      <c r="J835" s="19">
        <v>10</v>
      </c>
      <c r="K835" s="19">
        <f t="shared" si="25"/>
        <v>10</v>
      </c>
      <c r="L835" s="69" t="s">
        <v>1333</v>
      </c>
      <c r="M835" s="69"/>
      <c r="N835" s="69"/>
      <c r="O835" s="138" t="s">
        <v>2009</v>
      </c>
      <c r="P835" s="138"/>
      <c r="Q835" s="138"/>
      <c r="R835" s="70"/>
      <c r="S835" s="70"/>
      <c r="T835" s="70"/>
      <c r="U835" s="70"/>
      <c r="V835" s="19" t="b">
        <v>0</v>
      </c>
      <c r="W835" s="19" t="str">
        <f>"Character/Prefabs/"&amp;VLOOKUP($C835,'#Data'!$B$3:$I$344,8,FALSE)</f>
        <v>Character/Prefabs/m_s_attacker_infmecha_3</v>
      </c>
      <c r="X835" s="19"/>
      <c r="Y835" s="19" t="str">
        <f>VLOOKUP($C835,'#Data'!$B$3:$I$344,8,FALSE)</f>
        <v>m_s_attacker_infmecha_3</v>
      </c>
      <c r="Z835" s="19"/>
      <c r="AA835" s="19"/>
      <c r="AB835" s="19"/>
      <c r="AC835" s="91">
        <v>0.6</v>
      </c>
      <c r="AD835" s="19"/>
      <c r="AE835" s="19"/>
      <c r="AF835" s="19"/>
      <c r="AG835" s="19" t="s">
        <v>2757</v>
      </c>
      <c r="AH835" s="85"/>
    </row>
    <row r="836" spans="1:34" x14ac:dyDescent="0.3">
      <c r="A836" s="19">
        <f t="shared" si="24"/>
        <v>1510203113</v>
      </c>
      <c r="B836" s="19" t="s">
        <v>105</v>
      </c>
      <c r="C836" s="19" t="s">
        <v>1245</v>
      </c>
      <c r="D836" s="19" t="str">
        <f>"Monster.Name."&amp;VLOOKUP($C836,'#Data'!$B$2:$J$344,2,FALSE)</f>
        <v>Monster.Name.core_hunter_2</v>
      </c>
      <c r="E836" s="19" t="s">
        <v>47</v>
      </c>
      <c r="F836" s="48" t="s">
        <v>44</v>
      </c>
      <c r="G836" s="19" t="s">
        <v>45</v>
      </c>
      <c r="H836" s="19" t="b">
        <f>IF(OR(VLOOKUP($C836,'#Data'!$B$2:$J$344,4,FALSE)="보스",VLOOKUP($C836,'#Data'!$B$2:$J$344,4,FALSE)="중간"),TRUE,FALSE)</f>
        <v>0</v>
      </c>
      <c r="I836" s="19" t="b">
        <v>0</v>
      </c>
      <c r="J836" s="19">
        <v>10</v>
      </c>
      <c r="K836" s="19">
        <f t="shared" si="25"/>
        <v>10</v>
      </c>
      <c r="L836" s="69" t="s">
        <v>1334</v>
      </c>
      <c r="M836" s="69"/>
      <c r="N836" s="69"/>
      <c r="O836" s="138" t="s">
        <v>2010</v>
      </c>
      <c r="P836" s="138"/>
      <c r="Q836" s="138"/>
      <c r="R836" s="70"/>
      <c r="S836" s="70"/>
      <c r="T836" s="70"/>
      <c r="U836" s="70"/>
      <c r="V836" s="19" t="b">
        <v>0</v>
      </c>
      <c r="W836" s="19" t="str">
        <f>"Character/Prefabs/"&amp;VLOOKUP($C836,'#Data'!$B$3:$I$344,8,FALSE)</f>
        <v>Character/Prefabs/m_s_ranger_core_hunter_2</v>
      </c>
      <c r="X836" s="19"/>
      <c r="Y836" s="19" t="str">
        <f>VLOOKUP($C836,'#Data'!$B$3:$I$344,8,FALSE)</f>
        <v>m_s_ranger_core_hunter_2</v>
      </c>
      <c r="Z836" s="19"/>
      <c r="AA836" s="19"/>
      <c r="AB836" s="19"/>
      <c r="AC836" s="91">
        <v>0.9</v>
      </c>
      <c r="AD836" s="19"/>
      <c r="AE836" s="19"/>
      <c r="AF836" s="19"/>
      <c r="AG836" s="19" t="s">
        <v>2757</v>
      </c>
      <c r="AH836" s="85"/>
    </row>
    <row r="837" spans="1:34" x14ac:dyDescent="0.3">
      <c r="A837" s="19">
        <f t="shared" si="24"/>
        <v>1510203114</v>
      </c>
      <c r="B837" s="19" t="s">
        <v>105</v>
      </c>
      <c r="C837" s="19" t="s">
        <v>1247</v>
      </c>
      <c r="D837" s="19" t="str">
        <f>"Monster.Name."&amp;VLOOKUP($C837,'#Data'!$B$2:$J$344,2,FALSE)</f>
        <v>Monster.Name.infturret_3</v>
      </c>
      <c r="E837" s="19" t="s">
        <v>47</v>
      </c>
      <c r="F837" s="48" t="s">
        <v>44</v>
      </c>
      <c r="G837" s="19" t="s">
        <v>45</v>
      </c>
      <c r="H837" s="19" t="b">
        <f>IF(OR(VLOOKUP($C837,'#Data'!$B$2:$J$344,4,FALSE)="보스",VLOOKUP($C837,'#Data'!$B$2:$J$344,4,FALSE)="중간"),TRUE,FALSE)</f>
        <v>0</v>
      </c>
      <c r="I837" s="19" t="b">
        <v>0</v>
      </c>
      <c r="J837" s="19">
        <v>10</v>
      </c>
      <c r="K837" s="19">
        <f t="shared" si="25"/>
        <v>10</v>
      </c>
      <c r="L837" s="69" t="s">
        <v>1335</v>
      </c>
      <c r="M837" s="69"/>
      <c r="N837" s="69"/>
      <c r="O837" s="138" t="s">
        <v>2011</v>
      </c>
      <c r="P837" s="138"/>
      <c r="Q837" s="138"/>
      <c r="R837" s="70"/>
      <c r="S837" s="70"/>
      <c r="T837" s="70"/>
      <c r="U837" s="70"/>
      <c r="V837" s="19" t="b">
        <v>0</v>
      </c>
      <c r="W837" s="19" t="str">
        <f>"Character/Prefabs/"&amp;VLOOKUP($C837,'#Data'!$B$3:$I$344,8,FALSE)</f>
        <v>Character/Prefabs/m_s_ranger_infturret_3</v>
      </c>
      <c r="X837" s="19"/>
      <c r="Y837" s="19" t="str">
        <f>VLOOKUP($C837,'#Data'!$B$3:$I$344,8,FALSE)</f>
        <v>m_s_ranger_infturret_3</v>
      </c>
      <c r="Z837" s="19"/>
      <c r="AA837" s="19"/>
      <c r="AB837" s="19"/>
      <c r="AC837" s="91">
        <v>0.6</v>
      </c>
      <c r="AD837" s="19"/>
      <c r="AE837" s="19"/>
      <c r="AF837" s="19"/>
      <c r="AG837" s="19" t="s">
        <v>2757</v>
      </c>
      <c r="AH837" s="85"/>
    </row>
    <row r="838" spans="1:34" x14ac:dyDescent="0.3">
      <c r="A838" s="19">
        <f t="shared" si="24"/>
        <v>1510203115</v>
      </c>
      <c r="B838" s="19" t="s">
        <v>105</v>
      </c>
      <c r="C838" s="19" t="s">
        <v>1249</v>
      </c>
      <c r="D838" s="19" t="str">
        <f>"Monster.Name."&amp;VLOOKUP($C838,'#Data'!$B$2:$J$344,2,FALSE)</f>
        <v>Monster.Name.infdust_shield_3</v>
      </c>
      <c r="E838" s="19" t="s">
        <v>58</v>
      </c>
      <c r="F838" s="48" t="s">
        <v>44</v>
      </c>
      <c r="G838" s="19" t="s">
        <v>45</v>
      </c>
      <c r="H838" s="19" t="b">
        <f>IF(OR(VLOOKUP($C838,'#Data'!$B$2:$J$344,4,FALSE)="보스",VLOOKUP($C838,'#Data'!$B$2:$J$344,4,FALSE)="중간"),TRUE,FALSE)</f>
        <v>0</v>
      </c>
      <c r="I838" s="19" t="b">
        <v>0</v>
      </c>
      <c r="J838" s="19">
        <v>10</v>
      </c>
      <c r="K838" s="19">
        <f t="shared" si="25"/>
        <v>10</v>
      </c>
      <c r="L838" s="69" t="s">
        <v>1336</v>
      </c>
      <c r="M838" s="69"/>
      <c r="N838" s="69"/>
      <c r="O838" s="138" t="s">
        <v>1342</v>
      </c>
      <c r="P838" s="138" t="s">
        <v>2012</v>
      </c>
      <c r="Q838" s="138"/>
      <c r="R838" s="70"/>
      <c r="S838" s="70"/>
      <c r="T838" s="70"/>
      <c r="U838" s="70"/>
      <c r="V838" s="19" t="b">
        <v>0</v>
      </c>
      <c r="W838" s="19" t="str">
        <f>"Character/Prefabs/"&amp;VLOOKUP($C838,'#Data'!$B$3:$I$344,8,FALSE)</f>
        <v>Character/Prefabs/m_m_tanker_infdust_shield_3</v>
      </c>
      <c r="X838" s="19"/>
      <c r="Y838" s="19" t="str">
        <f>VLOOKUP($C838,'#Data'!$B$3:$I$344,8,FALSE)</f>
        <v>m_m_tanker_infdust_shield_3</v>
      </c>
      <c r="Z838" s="19"/>
      <c r="AA838" s="19"/>
      <c r="AB838" s="19"/>
      <c r="AC838" s="91">
        <v>0.7</v>
      </c>
      <c r="AD838" s="19"/>
      <c r="AE838" s="19"/>
      <c r="AF838" s="19"/>
      <c r="AG838" s="19" t="s">
        <v>2757</v>
      </c>
      <c r="AH838" s="85"/>
    </row>
    <row r="839" spans="1:34" x14ac:dyDescent="0.3">
      <c r="A839" s="19">
        <f t="shared" si="24"/>
        <v>1510203116</v>
      </c>
      <c r="B839" s="19" t="s">
        <v>105</v>
      </c>
      <c r="C839" s="19" t="s">
        <v>1251</v>
      </c>
      <c r="D839" s="19" t="str">
        <f>"Monster.Name."&amp;VLOOKUP($C839,'#Data'!$B$2:$J$344,2,FALSE)</f>
        <v>Monster.Name.infdust_gauntlet_3</v>
      </c>
      <c r="E839" s="19" t="s">
        <v>43</v>
      </c>
      <c r="F839" s="48" t="s">
        <v>44</v>
      </c>
      <c r="G839" s="19" t="s">
        <v>45</v>
      </c>
      <c r="H839" s="19" t="b">
        <f>IF(OR(VLOOKUP($C839,'#Data'!$B$2:$J$344,4,FALSE)="보스",VLOOKUP($C839,'#Data'!$B$2:$J$344,4,FALSE)="중간"),TRUE,FALSE)</f>
        <v>0</v>
      </c>
      <c r="I839" s="19" t="b">
        <v>0</v>
      </c>
      <c r="J839" s="19">
        <v>10</v>
      </c>
      <c r="K839" s="19">
        <f t="shared" si="25"/>
        <v>10</v>
      </c>
      <c r="L839" s="69" t="s">
        <v>1337</v>
      </c>
      <c r="M839" s="69"/>
      <c r="N839" s="69"/>
      <c r="O839" s="138" t="s">
        <v>1343</v>
      </c>
      <c r="P839" s="138" t="s">
        <v>2013</v>
      </c>
      <c r="Q839" s="138"/>
      <c r="R839" s="70"/>
      <c r="S839" s="70"/>
      <c r="T839" s="70"/>
      <c r="U839" s="70"/>
      <c r="V839" s="19" t="b">
        <v>0</v>
      </c>
      <c r="W839" s="19" t="str">
        <f>"Character/Prefabs/"&amp;VLOOKUP($C839,'#Data'!$B$3:$I$344,8,FALSE)</f>
        <v>Character/Prefabs/m_m_attacker_infdust_gauntlet_3</v>
      </c>
      <c r="X839" s="19"/>
      <c r="Y839" s="19" t="str">
        <f>VLOOKUP($C839,'#Data'!$B$3:$I$344,8,FALSE)</f>
        <v>m_m_attacker_infdust_gauntlet_3</v>
      </c>
      <c r="Z839" s="19"/>
      <c r="AA839" s="19"/>
      <c r="AB839" s="19"/>
      <c r="AC839" s="91">
        <v>0.7</v>
      </c>
      <c r="AD839" s="19"/>
      <c r="AE839" s="19"/>
      <c r="AF839" s="19"/>
      <c r="AG839" s="19" t="s">
        <v>2757</v>
      </c>
      <c r="AH839" s="85"/>
    </row>
    <row r="840" spans="1:34" x14ac:dyDescent="0.3">
      <c r="A840" s="19">
        <f t="shared" si="24"/>
        <v>1510203117</v>
      </c>
      <c r="B840" s="19" t="s">
        <v>105</v>
      </c>
      <c r="C840" s="19" t="s">
        <v>1253</v>
      </c>
      <c r="D840" s="19" t="str">
        <f>"Monster.Name."&amp;VLOOKUP($C840,'#Data'!$B$2:$J$344,2,FALSE)</f>
        <v>Monster.Name.infdust_rifle_3</v>
      </c>
      <c r="E840" s="19" t="s">
        <v>47</v>
      </c>
      <c r="F840" s="48" t="s">
        <v>44</v>
      </c>
      <c r="G840" s="19" t="s">
        <v>45</v>
      </c>
      <c r="H840" s="19" t="b">
        <f>IF(OR(VLOOKUP($C840,'#Data'!$B$2:$J$344,4,FALSE)="보스",VLOOKUP($C840,'#Data'!$B$2:$J$344,4,FALSE)="중간"),TRUE,FALSE)</f>
        <v>0</v>
      </c>
      <c r="I840" s="19" t="b">
        <v>0</v>
      </c>
      <c r="J840" s="19">
        <v>10</v>
      </c>
      <c r="K840" s="19">
        <f t="shared" si="25"/>
        <v>10</v>
      </c>
      <c r="L840" s="69" t="s">
        <v>1338</v>
      </c>
      <c r="M840" s="69"/>
      <c r="N840" s="69"/>
      <c r="O840" s="138" t="s">
        <v>1344</v>
      </c>
      <c r="P840" s="138" t="s">
        <v>2014</v>
      </c>
      <c r="Q840" s="138"/>
      <c r="R840" s="70"/>
      <c r="S840" s="70"/>
      <c r="T840" s="70"/>
      <c r="U840" s="70"/>
      <c r="V840" s="19" t="b">
        <v>0</v>
      </c>
      <c r="W840" s="19" t="str">
        <f>"Character/Prefabs/"&amp;VLOOKUP($C840,'#Data'!$B$3:$I$344,8,FALSE)</f>
        <v>Character/Prefabs/m_m_ranger_infdust_rifle_3</v>
      </c>
      <c r="X840" s="19"/>
      <c r="Y840" s="19" t="str">
        <f>VLOOKUP($C840,'#Data'!$B$3:$I$344,8,FALSE)</f>
        <v>m_m_ranger_infdust_rifle_3</v>
      </c>
      <c r="Z840" s="19"/>
      <c r="AA840" s="19"/>
      <c r="AB840" s="19"/>
      <c r="AC840" s="91">
        <v>0.7</v>
      </c>
      <c r="AD840" s="19"/>
      <c r="AE840" s="19"/>
      <c r="AF840" s="19"/>
      <c r="AG840" s="19" t="s">
        <v>2757</v>
      </c>
      <c r="AH840" s="85"/>
    </row>
    <row r="841" spans="1:34" x14ac:dyDescent="0.3">
      <c r="A841" s="19">
        <f t="shared" si="24"/>
        <v>1510203118</v>
      </c>
      <c r="B841" s="19" t="s">
        <v>105</v>
      </c>
      <c r="C841" s="19" t="s">
        <v>1255</v>
      </c>
      <c r="D841" s="19" t="str">
        <f>"Monster.Name."&amp;VLOOKUP($C841,'#Data'!$B$2:$J$344,2,FALSE)</f>
        <v>Monster.Name.infdust_launcher_3</v>
      </c>
      <c r="E841" s="19" t="s">
        <v>47</v>
      </c>
      <c r="F841" s="48" t="s">
        <v>44</v>
      </c>
      <c r="G841" s="19" t="s">
        <v>45</v>
      </c>
      <c r="H841" s="19" t="b">
        <f>IF(OR(VLOOKUP($C841,'#Data'!$B$2:$J$344,4,FALSE)="보스",VLOOKUP($C841,'#Data'!$B$2:$J$344,4,FALSE)="중간"),TRUE,FALSE)</f>
        <v>0</v>
      </c>
      <c r="I841" s="19" t="b">
        <v>0</v>
      </c>
      <c r="J841" s="19">
        <v>10</v>
      </c>
      <c r="K841" s="19">
        <f t="shared" si="25"/>
        <v>10</v>
      </c>
      <c r="L841" s="69" t="s">
        <v>1339</v>
      </c>
      <c r="M841" s="69"/>
      <c r="N841" s="69"/>
      <c r="O841" s="138" t="s">
        <v>1345</v>
      </c>
      <c r="P841" s="138" t="s">
        <v>2015</v>
      </c>
      <c r="Q841" s="138"/>
      <c r="R841" s="70"/>
      <c r="S841" s="70"/>
      <c r="T841" s="70"/>
      <c r="U841" s="70"/>
      <c r="V841" s="19" t="b">
        <v>0</v>
      </c>
      <c r="W841" s="19" t="str">
        <f>"Character/Prefabs/"&amp;VLOOKUP($C841,'#Data'!$B$3:$I$344,8,FALSE)</f>
        <v>Character/Prefabs/m_m_ranger_infdust_launcher_3</v>
      </c>
      <c r="X841" s="19"/>
      <c r="Y841" s="19" t="str">
        <f>VLOOKUP($C841,'#Data'!$B$3:$I$344,8,FALSE)</f>
        <v>m_m_ranger_infdust_launcher_3</v>
      </c>
      <c r="Z841" s="19"/>
      <c r="AA841" s="19"/>
      <c r="AB841" s="19"/>
      <c r="AC841" s="91">
        <v>0.7</v>
      </c>
      <c r="AD841" s="19"/>
      <c r="AE841" s="19"/>
      <c r="AF841" s="19"/>
      <c r="AG841" s="19" t="s">
        <v>2757</v>
      </c>
      <c r="AH841" s="85"/>
    </row>
    <row r="842" spans="1:34" x14ac:dyDescent="0.3">
      <c r="A842" s="19">
        <f t="shared" si="24"/>
        <v>1510203119</v>
      </c>
      <c r="B842" s="19" t="s">
        <v>105</v>
      </c>
      <c r="C842" s="19" t="s">
        <v>1257</v>
      </c>
      <c r="D842" s="19" t="str">
        <f>"Monster.Name."&amp;VLOOKUP($C842,'#Data'!$B$2:$J$344,2,FALSE)</f>
        <v>Monster.Name.head_snatcher_2</v>
      </c>
      <c r="E842" s="19" t="s">
        <v>43</v>
      </c>
      <c r="F842" s="48" t="s">
        <v>44</v>
      </c>
      <c r="G842" s="19" t="s">
        <v>45</v>
      </c>
      <c r="H842" s="19" t="b">
        <f>IF(OR(VLOOKUP($C842,'#Data'!$B$2:$J$344,4,FALSE)="보스",VLOOKUP($C842,'#Data'!$B$2:$J$344,4,FALSE)="중간"),TRUE,FALSE)</f>
        <v>0</v>
      </c>
      <c r="I842" s="19" t="b">
        <v>0</v>
      </c>
      <c r="J842" s="19">
        <v>10</v>
      </c>
      <c r="K842" s="19">
        <f t="shared" si="25"/>
        <v>10</v>
      </c>
      <c r="L842" s="69" t="s">
        <v>1340</v>
      </c>
      <c r="M842" s="69"/>
      <c r="N842" s="69"/>
      <c r="O842" s="138" t="s">
        <v>1346</v>
      </c>
      <c r="P842" s="138" t="s">
        <v>2016</v>
      </c>
      <c r="Q842" s="138"/>
      <c r="R842" s="70"/>
      <c r="S842" s="70"/>
      <c r="T842" s="70"/>
      <c r="U842" s="70"/>
      <c r="V842" s="19" t="b">
        <v>0</v>
      </c>
      <c r="W842" s="19" t="str">
        <f>"Character/Prefabs/"&amp;VLOOKUP($C842,'#Data'!$B$3:$I$344,8,FALSE)</f>
        <v>Character/Prefabs/m_m_attacker_head_snatcher_2</v>
      </c>
      <c r="X842" s="19"/>
      <c r="Y842" s="19" t="str">
        <f>VLOOKUP($C842,'#Data'!$B$3:$I$344,8,FALSE)</f>
        <v>m_m_attacker_head_snatcher_2</v>
      </c>
      <c r="Z842" s="19"/>
      <c r="AA842" s="19"/>
      <c r="AB842" s="19"/>
      <c r="AC842" s="91">
        <v>0.7</v>
      </c>
      <c r="AD842" s="19"/>
      <c r="AE842" s="19"/>
      <c r="AF842" s="19"/>
      <c r="AG842" s="19" t="s">
        <v>2757</v>
      </c>
      <c r="AH842" s="85"/>
    </row>
    <row r="843" spans="1:34" x14ac:dyDescent="0.3">
      <c r="A843" s="19">
        <f t="shared" ref="A843:A906" si="26">A650+100000000</f>
        <v>1510203120</v>
      </c>
      <c r="B843" s="19" t="s">
        <v>105</v>
      </c>
      <c r="C843" s="19" t="s">
        <v>1259</v>
      </c>
      <c r="D843" s="19" t="str">
        <f>"Monster.Name."&amp;VLOOKUP($C843,'#Data'!$B$2:$J$344,2,FALSE)</f>
        <v>Monster.Name.core_snatcher_2</v>
      </c>
      <c r="E843" s="19" t="s">
        <v>47</v>
      </c>
      <c r="F843" s="48" t="s">
        <v>44</v>
      </c>
      <c r="G843" s="19" t="s">
        <v>45</v>
      </c>
      <c r="H843" s="19" t="b">
        <f>IF(OR(VLOOKUP($C843,'#Data'!$B$2:$J$344,4,FALSE)="보스",VLOOKUP($C843,'#Data'!$B$2:$J$344,4,FALSE)="중간"),TRUE,FALSE)</f>
        <v>0</v>
      </c>
      <c r="I843" s="19" t="b">
        <v>0</v>
      </c>
      <c r="J843" s="19">
        <v>10</v>
      </c>
      <c r="K843" s="19">
        <f t="shared" ref="K843:K906" si="27">K650</f>
        <v>10</v>
      </c>
      <c r="L843" s="69" t="s">
        <v>1341</v>
      </c>
      <c r="M843" s="69"/>
      <c r="N843" s="69"/>
      <c r="O843" s="138" t="s">
        <v>1347</v>
      </c>
      <c r="P843" s="138" t="s">
        <v>2017</v>
      </c>
      <c r="Q843" s="138"/>
      <c r="R843" s="70"/>
      <c r="S843" s="70"/>
      <c r="T843" s="70"/>
      <c r="U843" s="70"/>
      <c r="V843" s="19" t="b">
        <v>0</v>
      </c>
      <c r="W843" s="19" t="str">
        <f>"Character/Prefabs/"&amp;VLOOKUP($C843,'#Data'!$B$3:$I$344,8,FALSE)</f>
        <v>Character/Prefabs/m_m_ranger_core_snatcher_2</v>
      </c>
      <c r="X843" s="19"/>
      <c r="Y843" s="19" t="str">
        <f>VLOOKUP($C843,'#Data'!$B$3:$I$344,8,FALSE)</f>
        <v>m_m_ranger_core_snatcher_2</v>
      </c>
      <c r="Z843" s="19"/>
      <c r="AA843" s="19"/>
      <c r="AB843" s="19"/>
      <c r="AC843" s="91">
        <v>0.7</v>
      </c>
      <c r="AD843" s="19"/>
      <c r="AE843" s="19"/>
      <c r="AF843" s="19"/>
      <c r="AG843" s="19" t="s">
        <v>2757</v>
      </c>
      <c r="AH843" s="85"/>
    </row>
    <row r="844" spans="1:34" x14ac:dyDescent="0.3">
      <c r="A844" s="41">
        <f t="shared" si="26"/>
        <v>1510203201</v>
      </c>
      <c r="B844" s="41" t="s">
        <v>105</v>
      </c>
      <c r="C844" s="41" t="s">
        <v>116</v>
      </c>
      <c r="D844" s="41" t="str">
        <f>"Monster.Name."&amp;VLOOKUP($C844,'#Data'!$B$2:$J$344,2,FALSE)</f>
        <v>Monster.Name.grima_alpha_1</v>
      </c>
      <c r="E844" s="41" t="s">
        <v>43</v>
      </c>
      <c r="F844" s="42" t="s">
        <v>44</v>
      </c>
      <c r="G844" s="41" t="s">
        <v>45</v>
      </c>
      <c r="H844" s="41" t="b">
        <f>IF(OR(VLOOKUP($C844,'#Data'!$B$2:$J$344,4,FALSE)="보스",VLOOKUP($C844,'#Data'!$B$2:$J$344,4,FALSE)="중간"),TRUE,FALSE)</f>
        <v>1</v>
      </c>
      <c r="I844" s="41" t="b">
        <v>1</v>
      </c>
      <c r="J844" s="41">
        <v>20</v>
      </c>
      <c r="K844" s="41">
        <f t="shared" si="27"/>
        <v>10</v>
      </c>
      <c r="L844" s="67" t="str">
        <f>$B844&amp;"."&amp;VLOOKUP($C844,'#Data'!$B$2:$J$344,2,FALSE)&amp;".attack0"&amp;RIGHT(L$1,1)</f>
        <v>Sector03.grima_alpha_1.attack01</v>
      </c>
      <c r="M844" s="67"/>
      <c r="N844" s="67"/>
      <c r="O844" s="137" t="str">
        <f>$B844&amp;"."&amp;VLOOKUP($C844,'#Data'!$B$2:$J$344,2,FALSE)&amp;".skill0"&amp;RIGHT(O$1,1)</f>
        <v>Sector03.grima_alpha_1.skill01</v>
      </c>
      <c r="P844" s="137" t="str">
        <f>$B844&amp;"."&amp;VLOOKUP($C844,'#Data'!$B$2:$J$344,2,FALSE)&amp;".skill0"&amp;RIGHT(P$1,1)</f>
        <v>Sector03.grima_alpha_1.skill02</v>
      </c>
      <c r="Q844" s="137" t="str">
        <f>$B844&amp;"."&amp;VLOOKUP($C844,'#Data'!$B$2:$J$344,2,FALSE)&amp;".skill0"&amp;RIGHT(Q$1,1)</f>
        <v>Sector03.grima_alpha_1.skill03</v>
      </c>
      <c r="R844" s="68"/>
      <c r="S844" s="68" t="s">
        <v>2076</v>
      </c>
      <c r="T844" s="68"/>
      <c r="U844" s="68"/>
      <c r="V844" s="41" t="b">
        <v>0</v>
      </c>
      <c r="W844" s="41" t="str">
        <f>"Character/Prefabs/"&amp;VLOOKUP($C844,'#Data'!$B$3:$I$344,8,FALSE)</f>
        <v>Character/Prefabs/m_l_attacker_grima_alpha_1</v>
      </c>
      <c r="X844" s="41"/>
      <c r="Y844" s="41" t="str">
        <f>VLOOKUP($C844,'#Data'!$B$3:$I$344,8,FALSE)</f>
        <v>m_l_attacker_grima_alpha_1</v>
      </c>
      <c r="Z844" s="41"/>
      <c r="AA844" s="41"/>
      <c r="AB844" s="41"/>
      <c r="AC844" s="90">
        <v>0.9</v>
      </c>
      <c r="AD844" s="41"/>
      <c r="AE844" s="41"/>
      <c r="AF844" s="41"/>
      <c r="AG844" s="41" t="s">
        <v>2757</v>
      </c>
      <c r="AH844" s="85"/>
    </row>
    <row r="845" spans="1:34" x14ac:dyDescent="0.3">
      <c r="A845" s="41">
        <f t="shared" si="26"/>
        <v>1510203202</v>
      </c>
      <c r="B845" s="41" t="s">
        <v>105</v>
      </c>
      <c r="C845" s="41" t="s">
        <v>117</v>
      </c>
      <c r="D845" s="41" t="str">
        <f>"Monster.Name."&amp;VLOOKUP($C845,'#Data'!$B$2:$J$344,2,FALSE)</f>
        <v>Monster.Name.draindermis_1</v>
      </c>
      <c r="E845" s="41" t="s">
        <v>47</v>
      </c>
      <c r="F845" s="42" t="s">
        <v>44</v>
      </c>
      <c r="G845" s="41" t="s">
        <v>45</v>
      </c>
      <c r="H845" s="41" t="b">
        <f>IF(OR(VLOOKUP($C845,'#Data'!$B$2:$J$344,4,FALSE)="보스",VLOOKUP($C845,'#Data'!$B$2:$J$344,4,FALSE)="중간"),TRUE,FALSE)</f>
        <v>1</v>
      </c>
      <c r="I845" s="41" t="b">
        <v>1</v>
      </c>
      <c r="J845" s="41">
        <v>20</v>
      </c>
      <c r="K845" s="41">
        <f t="shared" si="27"/>
        <v>10</v>
      </c>
      <c r="L845" s="67" t="str">
        <f>$B845&amp;"."&amp;VLOOKUP($C845,'#Data'!$B$2:$J$344,2,FALSE)&amp;".attack0"&amp;RIGHT(L$1,1)</f>
        <v>Sector03.draindermis_1.attack01</v>
      </c>
      <c r="M845" s="67"/>
      <c r="N845" s="67"/>
      <c r="O845" s="137" t="str">
        <f>$B845&amp;"."&amp;VLOOKUP($C845,'#Data'!$B$2:$J$344,2,FALSE)&amp;".skill0"&amp;RIGHT(O$1,1)</f>
        <v>Sector03.draindermis_1.skill01</v>
      </c>
      <c r="P845" s="137" t="str">
        <f>$B845&amp;"."&amp;VLOOKUP($C845,'#Data'!$B$2:$J$344,2,FALSE)&amp;".skill0"&amp;RIGHT(P$1,1)</f>
        <v>Sector03.draindermis_1.skill02</v>
      </c>
      <c r="Q845" s="137" t="str">
        <f>$B845&amp;"."&amp;VLOOKUP($C845,'#Data'!$B$2:$J$344,2,FALSE)&amp;".skill0"&amp;RIGHT(Q$1,1)</f>
        <v>Sector03.draindermis_1.skill03</v>
      </c>
      <c r="R845" s="68"/>
      <c r="S845" s="68" t="s">
        <v>2076</v>
      </c>
      <c r="T845" s="68"/>
      <c r="U845" s="68"/>
      <c r="V845" s="41" t="b">
        <v>0</v>
      </c>
      <c r="W845" s="41" t="str">
        <f>"Character/Prefabs/"&amp;VLOOKUP($C845,'#Data'!$B$3:$I$344,8,FALSE)</f>
        <v>Character/Prefabs/m_l_ranger_draindermis_1</v>
      </c>
      <c r="X845" s="41"/>
      <c r="Y845" s="41" t="str">
        <f>VLOOKUP($C845,'#Data'!$B$3:$I$344,8,FALSE)</f>
        <v>m_l_ranger_draindermis_1</v>
      </c>
      <c r="Z845" s="41"/>
      <c r="AA845" s="41"/>
      <c r="AB845" s="41"/>
      <c r="AC845" s="90">
        <v>0.9</v>
      </c>
      <c r="AD845" s="41"/>
      <c r="AE845" s="41"/>
      <c r="AF845" s="41"/>
      <c r="AG845" s="41" t="s">
        <v>2757</v>
      </c>
      <c r="AH845" s="85"/>
    </row>
    <row r="846" spans="1:34" x14ac:dyDescent="0.3">
      <c r="A846" s="41">
        <f t="shared" si="26"/>
        <v>1510203203</v>
      </c>
      <c r="B846" s="41" t="s">
        <v>105</v>
      </c>
      <c r="C846" s="41" t="s">
        <v>118</v>
      </c>
      <c r="D846" s="41" t="str">
        <f>"Monster.Name."&amp;VLOOKUP($C846,'#Data'!$B$2:$J$344,2,FALSE)</f>
        <v>Monster.Name.grima_beta_1</v>
      </c>
      <c r="E846" s="41" t="s">
        <v>43</v>
      </c>
      <c r="F846" s="42" t="s">
        <v>44</v>
      </c>
      <c r="G846" s="41" t="s">
        <v>45</v>
      </c>
      <c r="H846" s="41" t="b">
        <f>IF(OR(VLOOKUP($C846,'#Data'!$B$2:$J$344,4,FALSE)="보스",VLOOKUP($C846,'#Data'!$B$2:$J$344,4,FALSE)="중간"),TRUE,FALSE)</f>
        <v>1</v>
      </c>
      <c r="I846" s="41" t="b">
        <v>1</v>
      </c>
      <c r="J846" s="41">
        <v>20</v>
      </c>
      <c r="K846" s="41">
        <f t="shared" si="27"/>
        <v>10</v>
      </c>
      <c r="L846" s="67" t="str">
        <f>$B846&amp;"."&amp;VLOOKUP($C846,'#Data'!$B$2:$J$344,2,FALSE)&amp;".attack0"&amp;RIGHT(L$1,1)</f>
        <v>Sector03.grima_beta_1.attack01</v>
      </c>
      <c r="M846" s="67"/>
      <c r="N846" s="67"/>
      <c r="O846" s="137" t="str">
        <f>$B846&amp;"."&amp;VLOOKUP($C846,'#Data'!$B$2:$J$344,2,FALSE)&amp;".skill0"&amp;RIGHT(O$1,1)</f>
        <v>Sector03.grima_beta_1.skill01</v>
      </c>
      <c r="P846" s="137" t="str">
        <f>$B846&amp;"."&amp;VLOOKUP($C846,'#Data'!$B$2:$J$344,2,FALSE)&amp;".skill0"&amp;RIGHT(P$1,1)</f>
        <v>Sector03.grima_beta_1.skill02</v>
      </c>
      <c r="Q846" s="137" t="str">
        <f>$B846&amp;"."&amp;VLOOKUP($C846,'#Data'!$B$2:$J$344,2,FALSE)&amp;".skill0"&amp;RIGHT(Q$1,1)</f>
        <v>Sector03.grima_beta_1.skill03</v>
      </c>
      <c r="R846" s="68"/>
      <c r="S846" s="68" t="s">
        <v>2076</v>
      </c>
      <c r="T846" s="68"/>
      <c r="U846" s="68"/>
      <c r="V846" s="41" t="b">
        <v>0</v>
      </c>
      <c r="W846" s="41" t="str">
        <f>"Character/Prefabs/"&amp;VLOOKUP($C846,'#Data'!$B$3:$I$344,8,FALSE)</f>
        <v>Character/Prefabs/m_l_attacker_grima_beta_1</v>
      </c>
      <c r="X846" s="41"/>
      <c r="Y846" s="41" t="str">
        <f>VLOOKUP($C846,'#Data'!$B$3:$I$344,8,FALSE)</f>
        <v>m_l_attacker_grima_beta_1</v>
      </c>
      <c r="Z846" s="41"/>
      <c r="AA846" s="41"/>
      <c r="AB846" s="41"/>
      <c r="AC846" s="90">
        <v>0.9</v>
      </c>
      <c r="AD846" s="41"/>
      <c r="AE846" s="41"/>
      <c r="AF846" s="41"/>
      <c r="AG846" s="41" t="s">
        <v>2757</v>
      </c>
      <c r="AH846" s="85"/>
    </row>
    <row r="847" spans="1:34" x14ac:dyDescent="0.3">
      <c r="A847" s="23">
        <f t="shared" si="26"/>
        <v>1510203301</v>
      </c>
      <c r="B847" s="23" t="s">
        <v>105</v>
      </c>
      <c r="C847" s="23" t="s">
        <v>119</v>
      </c>
      <c r="D847" s="23" t="str">
        <f>"Monster.Name."&amp;VLOOKUP($C847,'#Data'!$B$2:$J$344,2,FALSE)</f>
        <v>Monster.Name.theomega_1</v>
      </c>
      <c r="E847" s="23" t="s">
        <v>58</v>
      </c>
      <c r="F847" s="24" t="s">
        <v>44</v>
      </c>
      <c r="G847" s="23" t="s">
        <v>45</v>
      </c>
      <c r="H847" s="23" t="b">
        <f>IF(OR(VLOOKUP($C847,'#Data'!$B$2:$J$344,4,FALSE)="보스",VLOOKUP($C847,'#Data'!$B$2:$J$344,4,FALSE)="중간"),TRUE,FALSE)</f>
        <v>1</v>
      </c>
      <c r="I847" s="23" t="b">
        <v>1</v>
      </c>
      <c r="J847" s="23">
        <v>30</v>
      </c>
      <c r="K847" s="23">
        <f t="shared" si="27"/>
        <v>10</v>
      </c>
      <c r="L847" s="115" t="str">
        <f>$B847&amp;"."&amp;VLOOKUP($C847,'#Data'!$B$2:$J$344,2,FALSE)&amp;".attack0"&amp;RIGHT(L$1,1)</f>
        <v>Sector03.theomega_1.attack01</v>
      </c>
      <c r="M847" s="115"/>
      <c r="N847" s="115"/>
      <c r="O847" s="139" t="str">
        <f>$B847&amp;"."&amp;VLOOKUP($C847,'#Data'!$B$2:$J$344,2,FALSE)&amp;".skill0"&amp;RIGHT(O$1,1)</f>
        <v>Sector03.theomega_1.skill01</v>
      </c>
      <c r="P847" s="139" t="str">
        <f>$B847&amp;"."&amp;VLOOKUP($C847,'#Data'!$B$2:$J$344,2,FALSE)&amp;".skill0"&amp;RIGHT(P$1,1)</f>
        <v>Sector03.theomega_1.skill02</v>
      </c>
      <c r="Q847" s="139" t="str">
        <f>$B847&amp;"."&amp;VLOOKUP($C847,'#Data'!$B$2:$J$344,2,FALSE)&amp;".skill0"&amp;RIGHT(Q$1,1)</f>
        <v>Sector03.theomega_1.skill03</v>
      </c>
      <c r="R847" s="116" t="s">
        <v>120</v>
      </c>
      <c r="S847" s="116" t="s">
        <v>76</v>
      </c>
      <c r="T847" s="116"/>
      <c r="U847" s="116"/>
      <c r="V847" s="23" t="b">
        <v>0</v>
      </c>
      <c r="W847" s="23" t="str">
        <f>"Character/Prefabs/"&amp;VLOOKUP($C847,'#Data'!$B$3:$I$344,8,FALSE)</f>
        <v>Character/Prefabs/m_boss_attacker_theomega_1</v>
      </c>
      <c r="X847" s="23"/>
      <c r="Y847" s="23" t="str">
        <f>VLOOKUP($C847,'#Data'!$B$3:$I$344,8,FALSE)</f>
        <v>m_boss_attacker_theomega_1</v>
      </c>
      <c r="Z847" s="23"/>
      <c r="AA847" s="23"/>
      <c r="AB847" s="23"/>
      <c r="AC847" s="98">
        <v>0.9</v>
      </c>
      <c r="AD847" s="23"/>
      <c r="AE847" s="23" t="s">
        <v>121</v>
      </c>
      <c r="AF847" s="23" t="s">
        <v>122</v>
      </c>
      <c r="AG847" s="23" t="s">
        <v>2757</v>
      </c>
      <c r="AH847" s="85"/>
    </row>
    <row r="848" spans="1:34" x14ac:dyDescent="0.3">
      <c r="A848" s="23">
        <f t="shared" si="26"/>
        <v>1510203302</v>
      </c>
      <c r="B848" s="23" t="s">
        <v>105</v>
      </c>
      <c r="C848" s="23" t="s">
        <v>123</v>
      </c>
      <c r="D848" s="23" t="str">
        <f>"Monster.Name."&amp;VLOOKUP($C848,'#Data'!$B$2:$J$344,2,FALSE)</f>
        <v>Monster.Name.theomega_3</v>
      </c>
      <c r="E848" s="23" t="s">
        <v>58</v>
      </c>
      <c r="F848" s="24" t="s">
        <v>44</v>
      </c>
      <c r="G848" s="23" t="s">
        <v>45</v>
      </c>
      <c r="H848" s="23" t="b">
        <f>IF(OR(VLOOKUP($C848,'#Data'!$B$2:$J$344,4,FALSE)="보스",VLOOKUP($C848,'#Data'!$B$2:$J$344,4,FALSE)="중간"),TRUE,FALSE)</f>
        <v>1</v>
      </c>
      <c r="I848" s="23" t="b">
        <v>1</v>
      </c>
      <c r="J848" s="23">
        <v>30</v>
      </c>
      <c r="K848" s="23">
        <f t="shared" si="27"/>
        <v>10</v>
      </c>
      <c r="L848" s="115" t="str">
        <f>$B848&amp;"."&amp;VLOOKUP($C848,'#Data'!$B$2:$J$344,2,FALSE)&amp;".attack0"&amp;RIGHT(L$1,1)</f>
        <v>Sector03.theomega_3.attack01</v>
      </c>
      <c r="M848" s="115" t="str">
        <f>$B848&amp;"."&amp;VLOOKUP($C848,'#Data'!$B$2:$J$344,2,FALSE)&amp;".attack0"&amp;RIGHT(M$1,1)</f>
        <v>Sector03.theomega_3.attack02</v>
      </c>
      <c r="N848" s="115"/>
      <c r="O848" s="139" t="str">
        <f>$B848&amp;"."&amp;VLOOKUP($C848,'#Data'!$B$2:$J$344,2,FALSE)&amp;".skill0"&amp;RIGHT(O$1,1)</f>
        <v>Sector03.theomega_3.skill01</v>
      </c>
      <c r="P848" s="139" t="str">
        <f>$B848&amp;"."&amp;VLOOKUP($C848,'#Data'!$B$2:$J$344,2,FALSE)&amp;".skill0"&amp;RIGHT(P$1,1)</f>
        <v>Sector03.theomega_3.skill02</v>
      </c>
      <c r="Q848" s="139" t="str">
        <f>$B848&amp;"."&amp;VLOOKUP($C848,'#Data'!$B$2:$J$344,2,FALSE)&amp;".skill0"&amp;RIGHT(Q$1,1)</f>
        <v>Sector03.theomega_3.skill03</v>
      </c>
      <c r="R848" s="116" t="str">
        <f>$B848&amp;"."&amp;VLOOKUP($C848,'#Data'!$B$2:$J$344,2,FALSE)&amp;".skill0"&amp;RIGHT(R$1,1)</f>
        <v>Sector03.theomega_3.skill04</v>
      </c>
      <c r="S848" s="116" t="s">
        <v>124</v>
      </c>
      <c r="T848" s="116"/>
      <c r="U848" s="116"/>
      <c r="V848" s="23" t="b">
        <v>0</v>
      </c>
      <c r="W848" s="23" t="str">
        <f>"Character/Prefabs/"&amp;VLOOKUP($C848,'#Data'!$B$3:$I$344,8,FALSE)</f>
        <v>Character/Prefabs/m_boss_attacker_theomega_3</v>
      </c>
      <c r="X848" s="23"/>
      <c r="Y848" s="23" t="str">
        <f>VLOOKUP($C848,'#Data'!$B$3:$I$344,8,FALSE)</f>
        <v>m_boss_attacker_theomega_3</v>
      </c>
      <c r="Z848" s="23"/>
      <c r="AA848" s="23"/>
      <c r="AB848" s="23"/>
      <c r="AC848" s="98">
        <v>0.9</v>
      </c>
      <c r="AD848" s="23"/>
      <c r="AE848" s="23" t="s">
        <v>1211</v>
      </c>
      <c r="AF848" s="23" t="s">
        <v>1871</v>
      </c>
      <c r="AG848" s="23" t="s">
        <v>2757</v>
      </c>
      <c r="AH848" s="85"/>
    </row>
    <row r="849" spans="1:36" s="159" customFormat="1" x14ac:dyDescent="0.3">
      <c r="A849" s="154">
        <f t="shared" si="26"/>
        <v>1510204101</v>
      </c>
      <c r="B849" s="154" t="s">
        <v>125</v>
      </c>
      <c r="C849" s="154" t="s">
        <v>126</v>
      </c>
      <c r="D849" s="154" t="str">
        <f>"Monster.Name."&amp;VLOOKUP($C849,'#Data'!$B$2:$J$344,2,FALSE)</f>
        <v>Monster.Name.friendly_walking_eyeball_1</v>
      </c>
      <c r="E849" s="154" t="s">
        <v>47</v>
      </c>
      <c r="F849" s="44" t="s">
        <v>44</v>
      </c>
      <c r="G849" s="154" t="s">
        <v>45</v>
      </c>
      <c r="H849" s="154" t="b">
        <f>IF(OR(VLOOKUP($C849,'#Data'!$B$2:$J$344,4,FALSE)="보스",VLOOKUP($C849,'#Data'!$B$2:$J$344,4,FALSE)="중간"),TRUE,FALSE)</f>
        <v>0</v>
      </c>
      <c r="I849" s="154" t="b">
        <v>0</v>
      </c>
      <c r="J849" s="154">
        <v>10</v>
      </c>
      <c r="K849" s="154">
        <f t="shared" si="27"/>
        <v>10</v>
      </c>
      <c r="L849" s="155" t="str">
        <f>$B849&amp;"."&amp;VLOOKUP($C849,'#Data'!$B$2:$J$344,2,FALSE)&amp;".attack0"&amp;RIGHT(L$1,1)</f>
        <v>Sector04.friendly_walking_eyeball_1.attack01</v>
      </c>
      <c r="M849" s="155"/>
      <c r="N849" s="155"/>
      <c r="O849" s="140" t="s">
        <v>2019</v>
      </c>
      <c r="P849" s="140"/>
      <c r="Q849" s="140"/>
      <c r="R849" s="72"/>
      <c r="S849" s="72"/>
      <c r="T849" s="72"/>
      <c r="U849" s="72"/>
      <c r="V849" s="154" t="b">
        <v>0</v>
      </c>
      <c r="W849" s="154" t="str">
        <f>"Character/Prefabs/"&amp;VLOOKUP($C849,'#Data'!$B$3:$I$344,8,FALSE)</f>
        <v>Character/Prefabs/m_s_ranger_friendly_walking_eyeball_1</v>
      </c>
      <c r="X849" s="154"/>
      <c r="Y849" s="154" t="str">
        <f>VLOOKUP($C849,'#Data'!$B$3:$I$344,8,FALSE)</f>
        <v>m_s_ranger_friendly_walking_eyeball_1</v>
      </c>
      <c r="Z849" s="154"/>
      <c r="AA849" s="154"/>
      <c r="AB849" s="154"/>
      <c r="AC849" s="156">
        <v>1.2</v>
      </c>
      <c r="AD849" s="154"/>
      <c r="AE849" s="154"/>
      <c r="AF849" s="154"/>
      <c r="AG849" s="154" t="s">
        <v>2757</v>
      </c>
      <c r="AH849" s="158"/>
      <c r="AI849" s="157"/>
      <c r="AJ849" s="157"/>
    </row>
    <row r="850" spans="1:36" s="159" customFormat="1" x14ac:dyDescent="0.3">
      <c r="A850" s="154">
        <f t="shared" si="26"/>
        <v>1510204102</v>
      </c>
      <c r="B850" s="154" t="s">
        <v>125</v>
      </c>
      <c r="C850" s="154" t="s">
        <v>130</v>
      </c>
      <c r="D850" s="154" t="str">
        <f>"Monster.Name."&amp;VLOOKUP($C850,'#Data'!$B$2:$J$344,2,FALSE)</f>
        <v>Monster.Name.friendly_patrol_1</v>
      </c>
      <c r="E850" s="154" t="s">
        <v>43</v>
      </c>
      <c r="F850" s="44" t="s">
        <v>44</v>
      </c>
      <c r="G850" s="154" t="s">
        <v>45</v>
      </c>
      <c r="H850" s="154" t="b">
        <f>IF(OR(VLOOKUP($C850,'#Data'!$B$2:$J$344,4,FALSE)="보스",VLOOKUP($C850,'#Data'!$B$2:$J$344,4,FALSE)="중간"),TRUE,FALSE)</f>
        <v>0</v>
      </c>
      <c r="I850" s="154" t="b">
        <v>0</v>
      </c>
      <c r="J850" s="154">
        <v>10</v>
      </c>
      <c r="K850" s="154">
        <f t="shared" si="27"/>
        <v>10</v>
      </c>
      <c r="L850" s="155" t="str">
        <f>$B850&amp;"."&amp;VLOOKUP($C850,'#Data'!$B$2:$J$344,2,FALSE)&amp;".attack0"&amp;RIGHT(L$1,1)</f>
        <v>Sector04.friendly_patrol_1.attack01</v>
      </c>
      <c r="M850" s="155"/>
      <c r="N850" s="155"/>
      <c r="O850" s="140" t="s">
        <v>2020</v>
      </c>
      <c r="P850" s="140"/>
      <c r="Q850" s="140"/>
      <c r="R850" s="72"/>
      <c r="S850" s="72"/>
      <c r="T850" s="72"/>
      <c r="U850" s="72"/>
      <c r="V850" s="154" t="b">
        <v>0</v>
      </c>
      <c r="W850" s="154" t="str">
        <f>"Character/Prefabs/"&amp;VLOOKUP($C850,'#Data'!$B$3:$I$344,8,FALSE)</f>
        <v>Character/Prefabs/m_s_attacker_friendly_patrol_1</v>
      </c>
      <c r="X850" s="154"/>
      <c r="Y850" s="154" t="str">
        <f>VLOOKUP($C850,'#Data'!$B$3:$I$344,8,FALSE)</f>
        <v>m_s_attacker_friendly_patrol_1</v>
      </c>
      <c r="Z850" s="154"/>
      <c r="AA850" s="154"/>
      <c r="AB850" s="154"/>
      <c r="AC850" s="156">
        <v>1</v>
      </c>
      <c r="AD850" s="154"/>
      <c r="AE850" s="154"/>
      <c r="AF850" s="154"/>
      <c r="AG850" s="154" t="s">
        <v>2757</v>
      </c>
      <c r="AH850" s="158"/>
      <c r="AI850" s="157"/>
      <c r="AJ850" s="157"/>
    </row>
    <row r="851" spans="1:36" s="159" customFormat="1" x14ac:dyDescent="0.3">
      <c r="A851" s="154">
        <f t="shared" si="26"/>
        <v>1510204103</v>
      </c>
      <c r="B851" s="154" t="s">
        <v>125</v>
      </c>
      <c r="C851" s="154" t="s">
        <v>134</v>
      </c>
      <c r="D851" s="154" t="str">
        <f>"Monster.Name."&amp;VLOOKUP($C851,'#Data'!$B$2:$J$344,2,FALSE)</f>
        <v>Monster.Name.friendly_walking_eyeball_2</v>
      </c>
      <c r="E851" s="154" t="s">
        <v>47</v>
      </c>
      <c r="F851" s="44" t="s">
        <v>44</v>
      </c>
      <c r="G851" s="154" t="s">
        <v>45</v>
      </c>
      <c r="H851" s="154" t="b">
        <f>IF(OR(VLOOKUP($C851,'#Data'!$B$2:$J$344,4,FALSE)="보스",VLOOKUP($C851,'#Data'!$B$2:$J$344,4,FALSE)="중간"),TRUE,FALSE)</f>
        <v>0</v>
      </c>
      <c r="I851" s="154" t="b">
        <v>0</v>
      </c>
      <c r="J851" s="154">
        <v>10</v>
      </c>
      <c r="K851" s="154">
        <f t="shared" si="27"/>
        <v>10</v>
      </c>
      <c r="L851" s="155" t="str">
        <f>$B851&amp;"."&amp;VLOOKUP($C851,'#Data'!$B$2:$J$344,2,FALSE)&amp;".attack0"&amp;RIGHT(L$1,1)</f>
        <v>Sector04.friendly_walking_eyeball_2.attack01</v>
      </c>
      <c r="M851" s="155"/>
      <c r="N851" s="155"/>
      <c r="O851" s="140" t="s">
        <v>2021</v>
      </c>
      <c r="P851" s="140"/>
      <c r="Q851" s="140"/>
      <c r="R851" s="72"/>
      <c r="S851" s="72"/>
      <c r="T851" s="72"/>
      <c r="U851" s="72"/>
      <c r="V851" s="154" t="b">
        <v>0</v>
      </c>
      <c r="W851" s="154" t="str">
        <f>"Character/Prefabs/"&amp;VLOOKUP($C851,'#Data'!$B$3:$I$344,8,FALSE)</f>
        <v>Character/Prefabs/m_s_ranger_friendly_walking_eyeball_2</v>
      </c>
      <c r="X851" s="154"/>
      <c r="Y851" s="154" t="str">
        <f>VLOOKUP($C851,'#Data'!$B$3:$I$344,8,FALSE)</f>
        <v>m_s_ranger_friendly_walking_eyeball_2</v>
      </c>
      <c r="Z851" s="154"/>
      <c r="AA851" s="154"/>
      <c r="AB851" s="154"/>
      <c r="AC851" s="156">
        <v>1.2</v>
      </c>
      <c r="AD851" s="154"/>
      <c r="AE851" s="154"/>
      <c r="AF851" s="154"/>
      <c r="AG851" s="154" t="s">
        <v>2757</v>
      </c>
      <c r="AH851" s="158"/>
      <c r="AI851" s="157"/>
      <c r="AJ851" s="157"/>
    </row>
    <row r="852" spans="1:36" s="159" customFormat="1" x14ac:dyDescent="0.3">
      <c r="A852" s="154">
        <f t="shared" si="26"/>
        <v>1510204104</v>
      </c>
      <c r="B852" s="154" t="s">
        <v>125</v>
      </c>
      <c r="C852" s="154" t="s">
        <v>138</v>
      </c>
      <c r="D852" s="154" t="str">
        <f>"Monster.Name."&amp;VLOOKUP($C852,'#Data'!$B$2:$J$344,2,FALSE)</f>
        <v>Monster.Name.friendly_patrol_2</v>
      </c>
      <c r="E852" s="154" t="s">
        <v>43</v>
      </c>
      <c r="F852" s="44" t="s">
        <v>44</v>
      </c>
      <c r="G852" s="154" t="s">
        <v>45</v>
      </c>
      <c r="H852" s="154" t="b">
        <f>IF(OR(VLOOKUP($C852,'#Data'!$B$2:$J$344,4,FALSE)="보스",VLOOKUP($C852,'#Data'!$B$2:$J$344,4,FALSE)="중간"),TRUE,FALSE)</f>
        <v>0</v>
      </c>
      <c r="I852" s="154" t="b">
        <v>0</v>
      </c>
      <c r="J852" s="154">
        <v>10</v>
      </c>
      <c r="K852" s="154">
        <f t="shared" si="27"/>
        <v>10</v>
      </c>
      <c r="L852" s="155" t="str">
        <f>$B852&amp;"."&amp;VLOOKUP($C852,'#Data'!$B$2:$J$344,2,FALSE)&amp;".attack0"&amp;RIGHT(L$1,1)</f>
        <v>Sector04.friendly_patrol_2.attack01</v>
      </c>
      <c r="M852" s="155"/>
      <c r="N852" s="155"/>
      <c r="O852" s="140" t="s">
        <v>2022</v>
      </c>
      <c r="P852" s="140"/>
      <c r="Q852" s="140"/>
      <c r="R852" s="72"/>
      <c r="S852" s="72"/>
      <c r="T852" s="72"/>
      <c r="U852" s="72"/>
      <c r="V852" s="154" t="b">
        <v>0</v>
      </c>
      <c r="W852" s="154" t="str">
        <f>"Character/Prefabs/"&amp;VLOOKUP($C852,'#Data'!$B$3:$I$344,8,FALSE)</f>
        <v>Character/Prefabs/m_s_attacker_friendly_patrol_2</v>
      </c>
      <c r="X852" s="154"/>
      <c r="Y852" s="154" t="str">
        <f>VLOOKUP($C852,'#Data'!$B$3:$I$344,8,FALSE)</f>
        <v>m_s_attacker_friendly_patrol_2</v>
      </c>
      <c r="Z852" s="154"/>
      <c r="AA852" s="154"/>
      <c r="AB852" s="154"/>
      <c r="AC852" s="156">
        <v>1</v>
      </c>
      <c r="AD852" s="154"/>
      <c r="AE852" s="154"/>
      <c r="AF852" s="154"/>
      <c r="AG852" s="154" t="s">
        <v>2757</v>
      </c>
      <c r="AH852" s="158"/>
      <c r="AI852" s="157"/>
      <c r="AJ852" s="157"/>
    </row>
    <row r="853" spans="1:36" s="159" customFormat="1" x14ac:dyDescent="0.3">
      <c r="A853" s="154">
        <f t="shared" si="26"/>
        <v>1510204105</v>
      </c>
      <c r="B853" s="154" t="s">
        <v>125</v>
      </c>
      <c r="C853" s="154" t="s">
        <v>139</v>
      </c>
      <c r="D853" s="154" t="str">
        <f>"Monster.Name."&amp;VLOOKUP($C853,'#Data'!$B$2:$J$344,2,FALSE)</f>
        <v>Monster.Name.friendly_edge_eyeball_1</v>
      </c>
      <c r="E853" s="154" t="s">
        <v>43</v>
      </c>
      <c r="F853" s="44" t="s">
        <v>44</v>
      </c>
      <c r="G853" s="154" t="s">
        <v>45</v>
      </c>
      <c r="H853" s="154" t="b">
        <f>IF(OR(VLOOKUP($C853,'#Data'!$B$2:$J$344,4,FALSE)="보스",VLOOKUP($C853,'#Data'!$B$2:$J$344,4,FALSE)="중간"),TRUE,FALSE)</f>
        <v>0</v>
      </c>
      <c r="I853" s="154" t="b">
        <v>0</v>
      </c>
      <c r="J853" s="154">
        <v>10</v>
      </c>
      <c r="K853" s="154">
        <f t="shared" si="27"/>
        <v>10</v>
      </c>
      <c r="L853" s="155" t="str">
        <f>$B853&amp;"."&amp;VLOOKUP($C853,'#Data'!$B$2:$J$344,2,FALSE)&amp;".attack0"&amp;RIGHT(L$1,1)</f>
        <v>Sector04.friendly_edge_eyeball_1.attack01</v>
      </c>
      <c r="M853" s="155"/>
      <c r="N853" s="155"/>
      <c r="O853" s="140" t="str">
        <f>$B853&amp;"."&amp;VLOOKUP($C853,'#Data'!$B$2:$J$344,2,FALSE)&amp;".skill0"&amp;RIGHT(O$1,1)</f>
        <v>Sector04.friendly_edge_eyeball_1.skill01</v>
      </c>
      <c r="P853" s="140" t="s">
        <v>2023</v>
      </c>
      <c r="Q853" s="140"/>
      <c r="R853" s="72"/>
      <c r="S853" s="72"/>
      <c r="T853" s="72"/>
      <c r="U853" s="72"/>
      <c r="V853" s="154" t="b">
        <v>0</v>
      </c>
      <c r="W853" s="154" t="str">
        <f>"Character/Prefabs/"&amp;VLOOKUP($C853,'#Data'!$B$3:$I$344,8,FALSE)</f>
        <v>Character/Prefabs/m_m_attacker_friendly_edge_eyeball_1</v>
      </c>
      <c r="X853" s="154"/>
      <c r="Y853" s="154" t="str">
        <f>VLOOKUP($C853,'#Data'!$B$3:$I$344,8,FALSE)</f>
        <v>m_m_attacker_friendly_edge_eyeball_1</v>
      </c>
      <c r="Z853" s="154"/>
      <c r="AA853" s="154"/>
      <c r="AB853" s="154"/>
      <c r="AC853" s="156">
        <v>0.9</v>
      </c>
      <c r="AD853" s="154"/>
      <c r="AE853" s="154"/>
      <c r="AF853" s="154"/>
      <c r="AG853" s="154" t="s">
        <v>2757</v>
      </c>
      <c r="AH853" s="158"/>
      <c r="AI853" s="157"/>
      <c r="AJ853" s="157"/>
    </row>
    <row r="854" spans="1:36" s="159" customFormat="1" x14ac:dyDescent="0.3">
      <c r="A854" s="154">
        <f t="shared" si="26"/>
        <v>1510204106</v>
      </c>
      <c r="B854" s="154" t="s">
        <v>125</v>
      </c>
      <c r="C854" s="154" t="s">
        <v>140</v>
      </c>
      <c r="D854" s="154" t="str">
        <f>"Monster.Name."&amp;VLOOKUP($C854,'#Data'!$B$2:$J$344,2,FALSE)</f>
        <v>Monster.Name.friendly_electric_eyeball_1</v>
      </c>
      <c r="E854" s="154" t="s">
        <v>47</v>
      </c>
      <c r="F854" s="44" t="s">
        <v>44</v>
      </c>
      <c r="G854" s="154" t="s">
        <v>45</v>
      </c>
      <c r="H854" s="154" t="b">
        <f>IF(OR(VLOOKUP($C854,'#Data'!$B$2:$J$344,4,FALSE)="보스",VLOOKUP($C854,'#Data'!$B$2:$J$344,4,FALSE)="중간"),TRUE,FALSE)</f>
        <v>0</v>
      </c>
      <c r="I854" s="154" t="b">
        <v>0</v>
      </c>
      <c r="J854" s="154">
        <v>10</v>
      </c>
      <c r="K854" s="154">
        <f t="shared" si="27"/>
        <v>10</v>
      </c>
      <c r="L854" s="155" t="str">
        <f>$B854&amp;"."&amp;VLOOKUP($C854,'#Data'!$B$2:$J$344,2,FALSE)&amp;".attack0"&amp;RIGHT(L$1,1)</f>
        <v>Sector04.friendly_electric_eyeball_1.attack01</v>
      </c>
      <c r="M854" s="155"/>
      <c r="N854" s="155"/>
      <c r="O854" s="140" t="str">
        <f>$B854&amp;"."&amp;VLOOKUP($C854,'#Data'!$B$2:$J$344,2,FALSE)&amp;".skill0"&amp;RIGHT(O$1,1)</f>
        <v>Sector04.friendly_electric_eyeball_1.skill01</v>
      </c>
      <c r="P854" s="140" t="s">
        <v>2024</v>
      </c>
      <c r="Q854" s="140"/>
      <c r="R854" s="72"/>
      <c r="S854" s="72"/>
      <c r="T854" s="72"/>
      <c r="U854" s="72"/>
      <c r="V854" s="154" t="b">
        <v>0</v>
      </c>
      <c r="W854" s="154" t="str">
        <f>"Character/Prefabs/"&amp;VLOOKUP($C854,'#Data'!$B$3:$I$344,8,FALSE)</f>
        <v>Character/Prefabs/m_m_ranger_friendly_electric_eyeball_1</v>
      </c>
      <c r="X854" s="154"/>
      <c r="Y854" s="154" t="str">
        <f>VLOOKUP($C854,'#Data'!$B$3:$I$344,8,FALSE)</f>
        <v>m_m_ranger_friendly_electric_eyeball_1</v>
      </c>
      <c r="Z854" s="154"/>
      <c r="AA854" s="154"/>
      <c r="AB854" s="154"/>
      <c r="AC854" s="156">
        <v>0.9</v>
      </c>
      <c r="AD854" s="154"/>
      <c r="AE854" s="154"/>
      <c r="AF854" s="154"/>
      <c r="AG854" s="154" t="s">
        <v>2757</v>
      </c>
      <c r="AH854" s="158"/>
      <c r="AI854" s="157"/>
      <c r="AJ854" s="157"/>
    </row>
    <row r="855" spans="1:36" s="159" customFormat="1" x14ac:dyDescent="0.3">
      <c r="A855" s="154">
        <f t="shared" si="26"/>
        <v>1510204107</v>
      </c>
      <c r="B855" s="154" t="s">
        <v>125</v>
      </c>
      <c r="C855" s="154" t="s">
        <v>141</v>
      </c>
      <c r="D855" s="154" t="str">
        <f>"Monster.Name."&amp;VLOOKUP($C855,'#Data'!$B$2:$J$344,2,FALSE)</f>
        <v>Monster.Name.friendly_sawpatrol_1</v>
      </c>
      <c r="E855" s="154" t="s">
        <v>43</v>
      </c>
      <c r="F855" s="44" t="s">
        <v>44</v>
      </c>
      <c r="G855" s="154" t="s">
        <v>45</v>
      </c>
      <c r="H855" s="154" t="b">
        <f>IF(OR(VLOOKUP($C855,'#Data'!$B$2:$J$344,4,FALSE)="보스",VLOOKUP($C855,'#Data'!$B$2:$J$344,4,FALSE)="중간"),TRUE,FALSE)</f>
        <v>0</v>
      </c>
      <c r="I855" s="154" t="b">
        <v>0</v>
      </c>
      <c r="J855" s="154">
        <v>10</v>
      </c>
      <c r="K855" s="154">
        <f t="shared" si="27"/>
        <v>10</v>
      </c>
      <c r="L855" s="155" t="str">
        <f>$B855&amp;"."&amp;VLOOKUP($C855,'#Data'!$B$2:$J$344,2,FALSE)&amp;".attack0"&amp;RIGHT(L$1,1)</f>
        <v>Sector04.friendly_sawpatrol_1.attack01</v>
      </c>
      <c r="M855" s="155"/>
      <c r="N855" s="155"/>
      <c r="O855" s="140" t="str">
        <f>$B855&amp;"."&amp;VLOOKUP($C855,'#Data'!$B$2:$J$344,2,FALSE)&amp;".skill0"&amp;RIGHT(O$1,1)</f>
        <v>Sector04.friendly_sawpatrol_1.skill01</v>
      </c>
      <c r="P855" s="140" t="s">
        <v>2025</v>
      </c>
      <c r="Q855" s="140"/>
      <c r="R855" s="72"/>
      <c r="S855" s="72"/>
      <c r="T855" s="72"/>
      <c r="U855" s="72"/>
      <c r="V855" s="154" t="b">
        <v>0</v>
      </c>
      <c r="W855" s="154" t="str">
        <f>"Character/Prefabs/"&amp;VLOOKUP($C855,'#Data'!$B$3:$I$344,8,FALSE)</f>
        <v>Character/Prefabs/m_m_attacker_friendly_sawpatrol_1</v>
      </c>
      <c r="X855" s="154"/>
      <c r="Y855" s="154" t="str">
        <f>VLOOKUP($C855,'#Data'!$B$3:$I$344,8,FALSE)</f>
        <v>m_m_attacker_friendly_sawpatrol_1</v>
      </c>
      <c r="Z855" s="154"/>
      <c r="AA855" s="154"/>
      <c r="AB855" s="154"/>
      <c r="AC855" s="156">
        <v>1</v>
      </c>
      <c r="AD855" s="154"/>
      <c r="AE855" s="154"/>
      <c r="AF855" s="154"/>
      <c r="AG855" s="154" t="s">
        <v>2757</v>
      </c>
      <c r="AH855" s="158"/>
      <c r="AI855" s="157"/>
      <c r="AJ855" s="157"/>
    </row>
    <row r="856" spans="1:36" s="159" customFormat="1" x14ac:dyDescent="0.3">
      <c r="A856" s="154">
        <f t="shared" si="26"/>
        <v>1510204108</v>
      </c>
      <c r="B856" s="154" t="s">
        <v>125</v>
      </c>
      <c r="C856" s="154" t="s">
        <v>142</v>
      </c>
      <c r="D856" s="154" t="str">
        <f>"Monster.Name."&amp;VLOOKUP($C856,'#Data'!$B$2:$J$344,2,FALSE)</f>
        <v>Monster.Name.friendly_staffpatrol_1</v>
      </c>
      <c r="E856" s="154" t="s">
        <v>143</v>
      </c>
      <c r="F856" s="44" t="s">
        <v>44</v>
      </c>
      <c r="G856" s="154" t="s">
        <v>45</v>
      </c>
      <c r="H856" s="154" t="b">
        <f>IF(OR(VLOOKUP($C856,'#Data'!$B$2:$J$344,4,FALSE)="보스",VLOOKUP($C856,'#Data'!$B$2:$J$344,4,FALSE)="중간"),TRUE,FALSE)</f>
        <v>0</v>
      </c>
      <c r="I856" s="154" t="b">
        <v>0</v>
      </c>
      <c r="J856" s="154">
        <v>10</v>
      </c>
      <c r="K856" s="154">
        <f t="shared" si="27"/>
        <v>10</v>
      </c>
      <c r="L856" s="155" t="str">
        <f>$B856&amp;"."&amp;VLOOKUP($C856,'#Data'!$B$2:$J$344,2,FALSE)&amp;".attack0"&amp;RIGHT(L$1,1)</f>
        <v>Sector04.friendly_staffpatrol_1.attack01</v>
      </c>
      <c r="M856" s="155"/>
      <c r="N856" s="155"/>
      <c r="O856" s="140" t="str">
        <f>$B856&amp;"."&amp;VLOOKUP($C856,'#Data'!$B$2:$J$344,2,FALSE)&amp;".skill0"&amp;RIGHT(O$1,1)</f>
        <v>Sector04.friendly_staffpatrol_1.skill01</v>
      </c>
      <c r="P856" s="140" t="s">
        <v>2026</v>
      </c>
      <c r="Q856" s="140"/>
      <c r="R856" s="72"/>
      <c r="S856" s="72"/>
      <c r="T856" s="72"/>
      <c r="U856" s="72"/>
      <c r="V856" s="154" t="b">
        <v>0</v>
      </c>
      <c r="W856" s="154" t="str">
        <f>"Character/Prefabs/"&amp;VLOOKUP($C856,'#Data'!$B$3:$I$344,8,FALSE)</f>
        <v>Character/Prefabs/m_m_supporter_friendly_staffpatrol_1</v>
      </c>
      <c r="X856" s="154"/>
      <c r="Y856" s="154" t="str">
        <f>VLOOKUP($C856,'#Data'!$B$3:$I$344,8,FALSE)</f>
        <v>m_m_supporter_friendly_staffpatrol_1</v>
      </c>
      <c r="Z856" s="154"/>
      <c r="AA856" s="154"/>
      <c r="AB856" s="154"/>
      <c r="AC856" s="156">
        <v>1</v>
      </c>
      <c r="AD856" s="154"/>
      <c r="AE856" s="154"/>
      <c r="AF856" s="154"/>
      <c r="AG856" s="154" t="s">
        <v>2757</v>
      </c>
      <c r="AH856" s="158"/>
      <c r="AI856" s="157"/>
      <c r="AJ856" s="157"/>
    </row>
    <row r="857" spans="1:36" s="159" customFormat="1" x14ac:dyDescent="0.3">
      <c r="A857" s="154">
        <f t="shared" si="26"/>
        <v>1510204109</v>
      </c>
      <c r="B857" s="154" t="s">
        <v>125</v>
      </c>
      <c r="C857" s="154" t="s">
        <v>144</v>
      </c>
      <c r="D857" s="154" t="str">
        <f>"Monster.Name."&amp;VLOOKUP($C857,'#Data'!$B$2:$J$344,2,FALSE)</f>
        <v>Monster.Name.friendly_sicklepatrol_1</v>
      </c>
      <c r="E857" s="154" t="s">
        <v>43</v>
      </c>
      <c r="F857" s="44" t="s">
        <v>44</v>
      </c>
      <c r="G857" s="154" t="s">
        <v>45</v>
      </c>
      <c r="H857" s="154" t="b">
        <f>IF(OR(VLOOKUP($C857,'#Data'!$B$2:$J$344,4,FALSE)="보스",VLOOKUP($C857,'#Data'!$B$2:$J$344,4,FALSE)="중간"),TRUE,FALSE)</f>
        <v>0</v>
      </c>
      <c r="I857" s="154" t="b">
        <v>0</v>
      </c>
      <c r="J857" s="154">
        <v>10</v>
      </c>
      <c r="K857" s="154">
        <f t="shared" si="27"/>
        <v>10</v>
      </c>
      <c r="L857" s="155" t="str">
        <f>$B857&amp;"."&amp;VLOOKUP($C857,'#Data'!$B$2:$J$344,2,FALSE)&amp;".attack0"&amp;RIGHT(L$1,1)</f>
        <v>Sector04.friendly_sicklepatrol_1.attack01</v>
      </c>
      <c r="M857" s="155"/>
      <c r="N857" s="155"/>
      <c r="O857" s="140" t="str">
        <f>$B857&amp;"."&amp;VLOOKUP($C857,'#Data'!$B$2:$J$344,2,FALSE)&amp;".skill0"&amp;RIGHT(O$1,1)</f>
        <v>Sector04.friendly_sicklepatrol_1.skill01</v>
      </c>
      <c r="P857" s="140" t="s">
        <v>2027</v>
      </c>
      <c r="Q857" s="140"/>
      <c r="R857" s="72"/>
      <c r="S857" s="72"/>
      <c r="T857" s="72"/>
      <c r="U857" s="72"/>
      <c r="V857" s="154" t="b">
        <v>0</v>
      </c>
      <c r="W857" s="154" t="str">
        <f>"Character/Prefabs/"&amp;VLOOKUP($C857,'#Data'!$B$3:$I$344,8,FALSE)</f>
        <v>Character/Prefabs/m_m_attacker_friendly_sicklepatrol_1</v>
      </c>
      <c r="X857" s="154"/>
      <c r="Y857" s="154" t="str">
        <f>VLOOKUP($C857,'#Data'!$B$3:$I$344,8,FALSE)</f>
        <v>m_m_attacker_friendly_sicklepatrol_1</v>
      </c>
      <c r="Z857" s="154"/>
      <c r="AA857" s="154"/>
      <c r="AB857" s="154"/>
      <c r="AC857" s="156">
        <v>1</v>
      </c>
      <c r="AD857" s="154"/>
      <c r="AE857" s="154"/>
      <c r="AF857" s="154"/>
      <c r="AG857" s="154" t="s">
        <v>2757</v>
      </c>
      <c r="AH857" s="158"/>
      <c r="AI857" s="157"/>
      <c r="AJ857" s="157"/>
    </row>
    <row r="858" spans="1:36" s="159" customFormat="1" x14ac:dyDescent="0.3">
      <c r="A858" s="154">
        <f t="shared" si="26"/>
        <v>1510204110</v>
      </c>
      <c r="B858" s="154" t="s">
        <v>125</v>
      </c>
      <c r="C858" s="154" t="s">
        <v>145</v>
      </c>
      <c r="D858" s="154" t="str">
        <f>"Monster.Name."&amp;VLOOKUP($C858,'#Data'!$B$2:$J$344,2,FALSE)</f>
        <v>Monster.Name.friendly_security_1</v>
      </c>
      <c r="E858" s="154" t="s">
        <v>43</v>
      </c>
      <c r="F858" s="44" t="s">
        <v>44</v>
      </c>
      <c r="G858" s="154" t="s">
        <v>45</v>
      </c>
      <c r="H858" s="154" t="b">
        <f>IF(OR(VLOOKUP($C858,'#Data'!$B$2:$J$344,4,FALSE)="보스",VLOOKUP($C858,'#Data'!$B$2:$J$344,4,FALSE)="중간"),TRUE,FALSE)</f>
        <v>0</v>
      </c>
      <c r="I858" s="154" t="b">
        <v>0</v>
      </c>
      <c r="J858" s="154">
        <v>10</v>
      </c>
      <c r="K858" s="154">
        <f t="shared" si="27"/>
        <v>10</v>
      </c>
      <c r="L858" s="155" t="str">
        <f>$B858&amp;"."&amp;VLOOKUP($C858,'#Data'!$B$2:$J$344,2,FALSE)&amp;".attack0"&amp;RIGHT(L$1,1)</f>
        <v>Sector04.friendly_security_1.attack01</v>
      </c>
      <c r="M858" s="155"/>
      <c r="N858" s="155"/>
      <c r="O858" s="140" t="str">
        <f>$B858&amp;"."&amp;VLOOKUP($C858,'#Data'!$B$2:$J$344,2,FALSE)&amp;".skill0"&amp;RIGHT(O$1,1)</f>
        <v>Sector04.friendly_security_1.skill01</v>
      </c>
      <c r="P858" s="140" t="s">
        <v>2028</v>
      </c>
      <c r="Q858" s="140"/>
      <c r="R858" s="72"/>
      <c r="S858" s="72"/>
      <c r="T858" s="72"/>
      <c r="U858" s="72"/>
      <c r="V858" s="154" t="b">
        <v>0</v>
      </c>
      <c r="W858" s="154" t="str">
        <f>"Character/Prefabs/"&amp;VLOOKUP($C858,'#Data'!$B$3:$I$344,8,FALSE)</f>
        <v>Character/Prefabs/m_m_attacker_friendly_security_1</v>
      </c>
      <c r="X858" s="154"/>
      <c r="Y858" s="154" t="str">
        <f>VLOOKUP($C858,'#Data'!$B$3:$I$344,8,FALSE)</f>
        <v>m_m_attacker_friendly_security_1</v>
      </c>
      <c r="Z858" s="154"/>
      <c r="AA858" s="154"/>
      <c r="AB858" s="154"/>
      <c r="AC858" s="156">
        <v>0.9</v>
      </c>
      <c r="AD858" s="154"/>
      <c r="AE858" s="154"/>
      <c r="AF858" s="154"/>
      <c r="AG858" s="154" t="s">
        <v>2757</v>
      </c>
      <c r="AH858" s="158"/>
      <c r="AI858" s="157"/>
      <c r="AJ858" s="157"/>
    </row>
    <row r="859" spans="1:36" s="159" customFormat="1" x14ac:dyDescent="0.3">
      <c r="A859" s="154">
        <f t="shared" si="26"/>
        <v>1510204111</v>
      </c>
      <c r="B859" s="154" t="s">
        <v>125</v>
      </c>
      <c r="C859" s="154" t="s">
        <v>146</v>
      </c>
      <c r="D859" s="154" t="str">
        <f>"Monster.Name."&amp;VLOOKUP($C859,'#Data'!$B$2:$J$344,2,FALSE)</f>
        <v>Monster.Name.friendly_cannon_1</v>
      </c>
      <c r="E859" s="154" t="s">
        <v>47</v>
      </c>
      <c r="F859" s="44" t="s">
        <v>44</v>
      </c>
      <c r="G859" s="154" t="s">
        <v>45</v>
      </c>
      <c r="H859" s="154" t="b">
        <f>IF(OR(VLOOKUP($C859,'#Data'!$B$2:$J$344,4,FALSE)="보스",VLOOKUP($C859,'#Data'!$B$2:$J$344,4,FALSE)="중간"),TRUE,FALSE)</f>
        <v>0</v>
      </c>
      <c r="I859" s="154" t="b">
        <v>0</v>
      </c>
      <c r="J859" s="154">
        <v>10</v>
      </c>
      <c r="K859" s="154">
        <f t="shared" si="27"/>
        <v>10</v>
      </c>
      <c r="L859" s="155" t="str">
        <f>$B859&amp;"."&amp;VLOOKUP($C859,'#Data'!$B$2:$J$344,2,FALSE)&amp;".attack0"&amp;RIGHT(L$1,1)</f>
        <v>Sector04.friendly_cannon_1.attack01</v>
      </c>
      <c r="M859" s="155"/>
      <c r="N859" s="155"/>
      <c r="O859" s="140" t="str">
        <f>$B859&amp;"."&amp;VLOOKUP($C859,'#Data'!$B$2:$J$344,2,FALSE)&amp;".skill0"&amp;RIGHT(O$1,1)</f>
        <v>Sector04.friendly_cannon_1.skill01</v>
      </c>
      <c r="P859" s="140" t="s">
        <v>2029</v>
      </c>
      <c r="Q859" s="140"/>
      <c r="R859" s="72"/>
      <c r="S859" s="72"/>
      <c r="T859" s="72"/>
      <c r="U859" s="72"/>
      <c r="V859" s="154" t="b">
        <v>0</v>
      </c>
      <c r="W859" s="154" t="str">
        <f>"Character/Prefabs/"&amp;VLOOKUP($C859,'#Data'!$B$3:$I$344,8,FALSE)</f>
        <v>Character/Prefabs/m_m_ranger_friendly_cannon_1</v>
      </c>
      <c r="X859" s="154"/>
      <c r="Y859" s="154" t="str">
        <f>VLOOKUP($C859,'#Data'!$B$3:$I$344,8,FALSE)</f>
        <v>m_m_ranger_friendly_cannon_1</v>
      </c>
      <c r="Z859" s="154"/>
      <c r="AA859" s="154"/>
      <c r="AB859" s="154"/>
      <c r="AC859" s="156">
        <v>0.7</v>
      </c>
      <c r="AD859" s="154"/>
      <c r="AE859" s="154"/>
      <c r="AF859" s="154"/>
      <c r="AG859" s="154" t="s">
        <v>2757</v>
      </c>
      <c r="AH859" s="158"/>
      <c r="AI859" s="157"/>
      <c r="AJ859" s="157"/>
    </row>
    <row r="860" spans="1:36" s="159" customFormat="1" x14ac:dyDescent="0.3">
      <c r="A860" s="154">
        <f t="shared" si="26"/>
        <v>1510204112</v>
      </c>
      <c r="B860" s="154" t="s">
        <v>125</v>
      </c>
      <c r="C860" s="154" t="s">
        <v>147</v>
      </c>
      <c r="D860" s="154" t="str">
        <f>"Monster.Name."&amp;VLOOKUP($C860,'#Data'!$B$2:$J$344,2,FALSE)</f>
        <v>Monster.Name.friendly_gun_1</v>
      </c>
      <c r="E860" s="154" t="s">
        <v>47</v>
      </c>
      <c r="F860" s="44" t="s">
        <v>44</v>
      </c>
      <c r="G860" s="154" t="s">
        <v>45</v>
      </c>
      <c r="H860" s="154" t="b">
        <f>IF(OR(VLOOKUP($C860,'#Data'!$B$2:$J$344,4,FALSE)="보스",VLOOKUP($C860,'#Data'!$B$2:$J$344,4,FALSE)="중간"),TRUE,FALSE)</f>
        <v>0</v>
      </c>
      <c r="I860" s="154" t="b">
        <v>0</v>
      </c>
      <c r="J860" s="154">
        <v>10</v>
      </c>
      <c r="K860" s="154">
        <f t="shared" si="27"/>
        <v>10</v>
      </c>
      <c r="L860" s="155" t="str">
        <f>$B860&amp;"."&amp;VLOOKUP($C860,'#Data'!$B$2:$J$344,2,FALSE)&amp;".attack0"&amp;RIGHT(L$1,1)</f>
        <v>Sector04.friendly_gun_1.attack01</v>
      </c>
      <c r="M860" s="155"/>
      <c r="N860" s="155"/>
      <c r="O860" s="140" t="str">
        <f>$B860&amp;"."&amp;VLOOKUP($C860,'#Data'!$B$2:$J$344,2,FALSE)&amp;".skill0"&amp;RIGHT(O$1,1)</f>
        <v>Sector04.friendly_gun_1.skill01</v>
      </c>
      <c r="P860" s="140" t="s">
        <v>2030</v>
      </c>
      <c r="Q860" s="140"/>
      <c r="R860" s="72"/>
      <c r="S860" s="72"/>
      <c r="T860" s="72"/>
      <c r="U860" s="72"/>
      <c r="V860" s="154" t="b">
        <v>0</v>
      </c>
      <c r="W860" s="154" t="str">
        <f>"Character/Prefabs/"&amp;VLOOKUP($C860,'#Data'!$B$3:$I$344,8,FALSE)</f>
        <v>Character/Prefabs/m_m_ranger_friendly_gun_1</v>
      </c>
      <c r="X860" s="154"/>
      <c r="Y860" s="154" t="str">
        <f>VLOOKUP($C860,'#Data'!$B$3:$I$344,8,FALSE)</f>
        <v>m_m_ranger_friendly_gun_1</v>
      </c>
      <c r="Z860" s="154"/>
      <c r="AA860" s="154"/>
      <c r="AB860" s="154"/>
      <c r="AC860" s="156">
        <v>0.7</v>
      </c>
      <c r="AD860" s="154"/>
      <c r="AE860" s="154"/>
      <c r="AF860" s="154"/>
      <c r="AG860" s="154" t="s">
        <v>2757</v>
      </c>
      <c r="AH860" s="158"/>
      <c r="AI860" s="157"/>
      <c r="AJ860" s="157"/>
    </row>
    <row r="861" spans="1:36" s="159" customFormat="1" x14ac:dyDescent="0.3">
      <c r="A861" s="47">
        <f t="shared" si="26"/>
        <v>1510204113</v>
      </c>
      <c r="B861" s="47" t="s">
        <v>125</v>
      </c>
      <c r="C861" s="47" t="s">
        <v>1261</v>
      </c>
      <c r="D861" s="47" t="str">
        <f>"Monster.Name."&amp;VLOOKUP($C861,'#Data'!$B$2:$J$344,2,FALSE)</f>
        <v>Monster.Name.friendly_walking_eyeball_3</v>
      </c>
      <c r="E861" s="47" t="s">
        <v>47</v>
      </c>
      <c r="F861" s="46" t="s">
        <v>44</v>
      </c>
      <c r="G861" s="47" t="s">
        <v>45</v>
      </c>
      <c r="H861" s="47" t="b">
        <f>IF(OR(VLOOKUP($C861,'#Data'!$B$2:$J$344,4,FALSE)="보스",VLOOKUP($C861,'#Data'!$B$2:$J$344,4,FALSE)="중간"),TRUE,FALSE)</f>
        <v>0</v>
      </c>
      <c r="I861" s="47" t="b">
        <v>0</v>
      </c>
      <c r="J861" s="47">
        <v>10</v>
      </c>
      <c r="K861" s="47">
        <f t="shared" si="27"/>
        <v>10</v>
      </c>
      <c r="L861" s="160" t="s">
        <v>127</v>
      </c>
      <c r="M861" s="160"/>
      <c r="N861" s="160"/>
      <c r="O861" s="141" t="s">
        <v>2019</v>
      </c>
      <c r="P861" s="141"/>
      <c r="Q861" s="141"/>
      <c r="R861" s="74"/>
      <c r="S861" s="74"/>
      <c r="T861" s="74"/>
      <c r="U861" s="74"/>
      <c r="V861" s="47" t="b">
        <v>0</v>
      </c>
      <c r="W861" s="47" t="str">
        <f>"Character/Prefabs/"&amp;VLOOKUP($C861,'#Data'!$B$3:$I$344,8,FALSE)</f>
        <v>Character/Prefabs/m_s_ranger_friendly_walking_eyeball_3</v>
      </c>
      <c r="X861" s="47"/>
      <c r="Y861" s="47" t="str">
        <f>VLOOKUP($C861,'#Data'!$B$3:$I$344,8,FALSE)</f>
        <v>m_s_ranger_friendly_walking_eyeball_3</v>
      </c>
      <c r="Z861" s="47"/>
      <c r="AA861" s="47"/>
      <c r="AB861" s="47"/>
      <c r="AC861" s="161">
        <v>1.2</v>
      </c>
      <c r="AD861" s="47"/>
      <c r="AE861" s="47"/>
      <c r="AF861" s="47"/>
      <c r="AG861" s="47" t="s">
        <v>2757</v>
      </c>
      <c r="AH861" s="158"/>
      <c r="AI861" s="157"/>
      <c r="AJ861" s="157"/>
    </row>
    <row r="862" spans="1:36" s="159" customFormat="1" x14ac:dyDescent="0.3">
      <c r="A862" s="47">
        <f t="shared" si="26"/>
        <v>1510204114</v>
      </c>
      <c r="B862" s="47" t="s">
        <v>125</v>
      </c>
      <c r="C862" s="47" t="s">
        <v>1263</v>
      </c>
      <c r="D862" s="47" t="str">
        <f>"Monster.Name."&amp;VLOOKUP($C862,'#Data'!$B$2:$J$344,2,FALSE)</f>
        <v>Monster.Name.friendly_patrol_3</v>
      </c>
      <c r="E862" s="47" t="s">
        <v>43</v>
      </c>
      <c r="F862" s="46" t="s">
        <v>44</v>
      </c>
      <c r="G862" s="47" t="s">
        <v>45</v>
      </c>
      <c r="H862" s="47" t="b">
        <f>IF(OR(VLOOKUP($C862,'#Data'!$B$2:$J$344,4,FALSE)="보스",VLOOKUP($C862,'#Data'!$B$2:$J$344,4,FALSE)="중간"),TRUE,FALSE)</f>
        <v>0</v>
      </c>
      <c r="I862" s="47" t="b">
        <v>0</v>
      </c>
      <c r="J862" s="47">
        <v>10</v>
      </c>
      <c r="K862" s="47">
        <f t="shared" si="27"/>
        <v>10</v>
      </c>
      <c r="L862" s="160" t="s">
        <v>131</v>
      </c>
      <c r="M862" s="160"/>
      <c r="N862" s="160"/>
      <c r="O862" s="141" t="s">
        <v>2020</v>
      </c>
      <c r="P862" s="141"/>
      <c r="Q862" s="141"/>
      <c r="R862" s="74"/>
      <c r="S862" s="74"/>
      <c r="T862" s="74"/>
      <c r="U862" s="74"/>
      <c r="V862" s="47" t="b">
        <v>0</v>
      </c>
      <c r="W862" s="47" t="str">
        <f>"Character/Prefabs/"&amp;VLOOKUP($C862,'#Data'!$B$3:$I$344,8,FALSE)</f>
        <v>Character/Prefabs/m_s_attacker_friendly_patrol_3</v>
      </c>
      <c r="X862" s="47"/>
      <c r="Y862" s="47" t="str">
        <f>VLOOKUP($C862,'#Data'!$B$3:$I$344,8,FALSE)</f>
        <v>m_s_attacker_friendly_patrol_3</v>
      </c>
      <c r="Z862" s="47"/>
      <c r="AA862" s="47"/>
      <c r="AB862" s="47"/>
      <c r="AC862" s="161">
        <v>1</v>
      </c>
      <c r="AD862" s="47"/>
      <c r="AE862" s="47"/>
      <c r="AF862" s="47"/>
      <c r="AG862" s="47" t="s">
        <v>2757</v>
      </c>
      <c r="AH862" s="158"/>
      <c r="AI862" s="157"/>
      <c r="AJ862" s="157"/>
    </row>
    <row r="863" spans="1:36" s="159" customFormat="1" x14ac:dyDescent="0.3">
      <c r="A863" s="47">
        <f t="shared" si="26"/>
        <v>1510204115</v>
      </c>
      <c r="B863" s="47" t="s">
        <v>125</v>
      </c>
      <c r="C863" s="47" t="s">
        <v>1265</v>
      </c>
      <c r="D863" s="47" t="str">
        <f>"Monster.Name."&amp;VLOOKUP($C863,'#Data'!$B$2:$J$344,2,FALSE)</f>
        <v>Monster.Name.friendly_edge_eyeball_2</v>
      </c>
      <c r="E863" s="47" t="s">
        <v>43</v>
      </c>
      <c r="F863" s="46" t="s">
        <v>44</v>
      </c>
      <c r="G863" s="47" t="s">
        <v>45</v>
      </c>
      <c r="H863" s="47" t="b">
        <f>IF(OR(VLOOKUP($C863,'#Data'!$B$2:$J$344,4,FALSE)="보스",VLOOKUP($C863,'#Data'!$B$2:$J$344,4,FALSE)="중간"),TRUE,FALSE)</f>
        <v>0</v>
      </c>
      <c r="I863" s="47" t="b">
        <v>0</v>
      </c>
      <c r="J863" s="47">
        <v>10</v>
      </c>
      <c r="K863" s="47">
        <f t="shared" si="27"/>
        <v>10</v>
      </c>
      <c r="L863" s="160" t="s">
        <v>1348</v>
      </c>
      <c r="M863" s="160"/>
      <c r="N863" s="160"/>
      <c r="O863" s="141" t="s">
        <v>1355</v>
      </c>
      <c r="P863" s="141" t="s">
        <v>2023</v>
      </c>
      <c r="Q863" s="141"/>
      <c r="R863" s="74"/>
      <c r="S863" s="74"/>
      <c r="T863" s="74"/>
      <c r="U863" s="74"/>
      <c r="V863" s="47" t="b">
        <v>0</v>
      </c>
      <c r="W863" s="47" t="str">
        <f>"Character/Prefabs/"&amp;VLOOKUP($C863,'#Data'!$B$3:$I$344,8,FALSE)</f>
        <v>Character/Prefabs/m_m_attacker_friendly_edge_eyeball_2</v>
      </c>
      <c r="X863" s="47"/>
      <c r="Y863" s="47" t="str">
        <f>VLOOKUP($C863,'#Data'!$B$3:$I$344,8,FALSE)</f>
        <v>m_m_attacker_friendly_edge_eyeball_2</v>
      </c>
      <c r="Z863" s="47"/>
      <c r="AA863" s="47"/>
      <c r="AB863" s="47"/>
      <c r="AC863" s="161">
        <v>0.9</v>
      </c>
      <c r="AD863" s="47"/>
      <c r="AE863" s="47"/>
      <c r="AF863" s="47"/>
      <c r="AG863" s="47" t="s">
        <v>2757</v>
      </c>
      <c r="AH863" s="158"/>
      <c r="AI863" s="157"/>
      <c r="AJ863" s="157"/>
    </row>
    <row r="864" spans="1:36" s="159" customFormat="1" x14ac:dyDescent="0.3">
      <c r="A864" s="47">
        <f t="shared" si="26"/>
        <v>1510204116</v>
      </c>
      <c r="B864" s="47" t="s">
        <v>125</v>
      </c>
      <c r="C864" s="47" t="s">
        <v>1267</v>
      </c>
      <c r="D864" s="47" t="str">
        <f>"Monster.Name."&amp;VLOOKUP($C864,'#Data'!$B$2:$J$344,2,FALSE)</f>
        <v>Monster.Name.friendly_electric_eyeball_2</v>
      </c>
      <c r="E864" s="47" t="s">
        <v>47</v>
      </c>
      <c r="F864" s="46" t="s">
        <v>44</v>
      </c>
      <c r="G864" s="47" t="s">
        <v>45</v>
      </c>
      <c r="H864" s="47" t="b">
        <f>IF(OR(VLOOKUP($C864,'#Data'!$B$2:$J$344,4,FALSE)="보스",VLOOKUP($C864,'#Data'!$B$2:$J$344,4,FALSE)="중간"),TRUE,FALSE)</f>
        <v>0</v>
      </c>
      <c r="I864" s="47" t="b">
        <v>0</v>
      </c>
      <c r="J864" s="47">
        <v>10</v>
      </c>
      <c r="K864" s="47">
        <f t="shared" si="27"/>
        <v>10</v>
      </c>
      <c r="L864" s="160" t="s">
        <v>1349</v>
      </c>
      <c r="M864" s="160"/>
      <c r="N864" s="160"/>
      <c r="O864" s="141" t="s">
        <v>1356</v>
      </c>
      <c r="P864" s="141" t="s">
        <v>2024</v>
      </c>
      <c r="Q864" s="141"/>
      <c r="R864" s="74"/>
      <c r="S864" s="74"/>
      <c r="T864" s="74"/>
      <c r="U864" s="74"/>
      <c r="V864" s="47" t="b">
        <v>0</v>
      </c>
      <c r="W864" s="47" t="str">
        <f>"Character/Prefabs/"&amp;VLOOKUP($C864,'#Data'!$B$3:$I$344,8,FALSE)</f>
        <v>Character/Prefabs/m_m_ranger_friendly_electric_eyeball_2</v>
      </c>
      <c r="X864" s="47"/>
      <c r="Y864" s="47" t="str">
        <f>VLOOKUP($C864,'#Data'!$B$3:$I$344,8,FALSE)</f>
        <v>m_m_ranger_friendly_electric_eyeball_2</v>
      </c>
      <c r="Z864" s="47"/>
      <c r="AA864" s="47"/>
      <c r="AB864" s="47"/>
      <c r="AC864" s="161">
        <v>0.9</v>
      </c>
      <c r="AD864" s="47"/>
      <c r="AE864" s="47"/>
      <c r="AF864" s="47"/>
      <c r="AG864" s="47" t="s">
        <v>2757</v>
      </c>
      <c r="AH864" s="158"/>
      <c r="AI864" s="157"/>
      <c r="AJ864" s="157"/>
    </row>
    <row r="865" spans="1:36" s="159" customFormat="1" x14ac:dyDescent="0.3">
      <c r="A865" s="47">
        <f t="shared" si="26"/>
        <v>1510204117</v>
      </c>
      <c r="B865" s="47" t="s">
        <v>125</v>
      </c>
      <c r="C865" s="47" t="s">
        <v>1269</v>
      </c>
      <c r="D865" s="47" t="str">
        <f>"Monster.Name."&amp;VLOOKUP($C865,'#Data'!$B$2:$J$344,2,FALSE)</f>
        <v>Monster.Name.friendly_sawpatrol_2</v>
      </c>
      <c r="E865" s="47" t="s">
        <v>43</v>
      </c>
      <c r="F865" s="46" t="s">
        <v>44</v>
      </c>
      <c r="G865" s="47" t="s">
        <v>45</v>
      </c>
      <c r="H865" s="47" t="b">
        <f>IF(OR(VLOOKUP($C865,'#Data'!$B$2:$J$344,4,FALSE)="보스",VLOOKUP($C865,'#Data'!$B$2:$J$344,4,FALSE)="중간"),TRUE,FALSE)</f>
        <v>0</v>
      </c>
      <c r="I865" s="47" t="b">
        <v>0</v>
      </c>
      <c r="J865" s="47">
        <v>10</v>
      </c>
      <c r="K865" s="47">
        <f t="shared" si="27"/>
        <v>10</v>
      </c>
      <c r="L865" s="160" t="s">
        <v>1350</v>
      </c>
      <c r="M865" s="160"/>
      <c r="N865" s="160"/>
      <c r="O865" s="141" t="s">
        <v>1357</v>
      </c>
      <c r="P865" s="141" t="s">
        <v>2025</v>
      </c>
      <c r="Q865" s="141"/>
      <c r="R865" s="74"/>
      <c r="S865" s="74"/>
      <c r="T865" s="74"/>
      <c r="U865" s="74"/>
      <c r="V865" s="47" t="b">
        <v>0</v>
      </c>
      <c r="W865" s="47" t="str">
        <f>"Character/Prefabs/"&amp;VLOOKUP($C865,'#Data'!$B$3:$I$344,8,FALSE)</f>
        <v>Character/Prefabs/m_m_attacker_friendly_sawpatrol_2</v>
      </c>
      <c r="X865" s="47"/>
      <c r="Y865" s="47" t="str">
        <f>VLOOKUP($C865,'#Data'!$B$3:$I$344,8,FALSE)</f>
        <v>m_m_attacker_friendly_sawpatrol_2</v>
      </c>
      <c r="Z865" s="47"/>
      <c r="AA865" s="47"/>
      <c r="AB865" s="47"/>
      <c r="AC865" s="161">
        <v>1</v>
      </c>
      <c r="AD865" s="47"/>
      <c r="AE865" s="47"/>
      <c r="AF865" s="47"/>
      <c r="AG865" s="47" t="s">
        <v>2757</v>
      </c>
      <c r="AH865" s="158"/>
      <c r="AI865" s="157"/>
      <c r="AJ865" s="157"/>
    </row>
    <row r="866" spans="1:36" s="159" customFormat="1" x14ac:dyDescent="0.3">
      <c r="A866" s="47">
        <f t="shared" si="26"/>
        <v>1510204118</v>
      </c>
      <c r="B866" s="47" t="s">
        <v>125</v>
      </c>
      <c r="C866" s="47" t="s">
        <v>1271</v>
      </c>
      <c r="D866" s="47" t="str">
        <f>"Monster.Name."&amp;VLOOKUP($C866,'#Data'!$B$2:$J$344,2,FALSE)</f>
        <v>Monster.Name.friendly_staffpatrol_2</v>
      </c>
      <c r="E866" s="47" t="s">
        <v>143</v>
      </c>
      <c r="F866" s="46" t="s">
        <v>44</v>
      </c>
      <c r="G866" s="47" t="s">
        <v>45</v>
      </c>
      <c r="H866" s="47" t="b">
        <f>IF(OR(VLOOKUP($C866,'#Data'!$B$2:$J$344,4,FALSE)="보스",VLOOKUP($C866,'#Data'!$B$2:$J$344,4,FALSE)="중간"),TRUE,FALSE)</f>
        <v>0</v>
      </c>
      <c r="I866" s="47" t="b">
        <v>0</v>
      </c>
      <c r="J866" s="47">
        <v>10</v>
      </c>
      <c r="K866" s="47">
        <f t="shared" si="27"/>
        <v>10</v>
      </c>
      <c r="L866" s="160" t="s">
        <v>1351</v>
      </c>
      <c r="M866" s="160"/>
      <c r="N866" s="160"/>
      <c r="O866" s="141" t="s">
        <v>1358</v>
      </c>
      <c r="P866" s="141" t="s">
        <v>2026</v>
      </c>
      <c r="Q866" s="141"/>
      <c r="R866" s="74"/>
      <c r="S866" s="74"/>
      <c r="T866" s="74"/>
      <c r="U866" s="74"/>
      <c r="V866" s="47" t="b">
        <v>0</v>
      </c>
      <c r="W866" s="47" t="str">
        <f>"Character/Prefabs/"&amp;VLOOKUP($C866,'#Data'!$B$3:$I$344,8,FALSE)</f>
        <v>Character/Prefabs/m_m_supporter_friendly_staffpatrol_2</v>
      </c>
      <c r="X866" s="47"/>
      <c r="Y866" s="47" t="str">
        <f>VLOOKUP($C866,'#Data'!$B$3:$I$344,8,FALSE)</f>
        <v>m_m_supporter_friendly_staffpatrol_2</v>
      </c>
      <c r="Z866" s="47"/>
      <c r="AA866" s="47"/>
      <c r="AB866" s="47"/>
      <c r="AC866" s="161">
        <v>1</v>
      </c>
      <c r="AD866" s="47"/>
      <c r="AE866" s="47"/>
      <c r="AF866" s="47"/>
      <c r="AG866" s="47" t="s">
        <v>2757</v>
      </c>
      <c r="AH866" s="158"/>
      <c r="AI866" s="157"/>
      <c r="AJ866" s="157"/>
    </row>
    <row r="867" spans="1:36" s="159" customFormat="1" x14ac:dyDescent="0.3">
      <c r="A867" s="47">
        <f t="shared" si="26"/>
        <v>1510204119</v>
      </c>
      <c r="B867" s="47" t="s">
        <v>125</v>
      </c>
      <c r="C867" s="47" t="s">
        <v>1273</v>
      </c>
      <c r="D867" s="47" t="str">
        <f>"Monster.Name."&amp;VLOOKUP($C867,'#Data'!$B$2:$J$344,2,FALSE)</f>
        <v>Monster.Name.friendly_sicklepatrol_2</v>
      </c>
      <c r="E867" s="47" t="s">
        <v>43</v>
      </c>
      <c r="F867" s="46" t="s">
        <v>44</v>
      </c>
      <c r="G867" s="47" t="s">
        <v>45</v>
      </c>
      <c r="H867" s="47" t="b">
        <f>IF(OR(VLOOKUP($C867,'#Data'!$B$2:$J$344,4,FALSE)="보스",VLOOKUP($C867,'#Data'!$B$2:$J$344,4,FALSE)="중간"),TRUE,FALSE)</f>
        <v>0</v>
      </c>
      <c r="I867" s="47" t="b">
        <v>0</v>
      </c>
      <c r="J867" s="47">
        <v>10</v>
      </c>
      <c r="K867" s="47">
        <f t="shared" si="27"/>
        <v>10</v>
      </c>
      <c r="L867" s="160" t="s">
        <v>1352</v>
      </c>
      <c r="M867" s="160"/>
      <c r="N867" s="160"/>
      <c r="O867" s="141" t="s">
        <v>1359</v>
      </c>
      <c r="P867" s="141" t="s">
        <v>2027</v>
      </c>
      <c r="Q867" s="141"/>
      <c r="R867" s="74"/>
      <c r="S867" s="74"/>
      <c r="T867" s="74"/>
      <c r="U867" s="74"/>
      <c r="V867" s="47" t="b">
        <v>0</v>
      </c>
      <c r="W867" s="47" t="str">
        <f>"Character/Prefabs/"&amp;VLOOKUP($C867,'#Data'!$B$3:$I$344,8,FALSE)</f>
        <v>Character/Prefabs/m_m_attacker_friendly_sicklepatrol_2</v>
      </c>
      <c r="X867" s="47"/>
      <c r="Y867" s="47" t="str">
        <f>VLOOKUP($C867,'#Data'!$B$3:$I$344,8,FALSE)</f>
        <v>m_m_attacker_friendly_sicklepatrol_2</v>
      </c>
      <c r="Z867" s="47"/>
      <c r="AA867" s="47"/>
      <c r="AB867" s="47"/>
      <c r="AC867" s="161">
        <v>1</v>
      </c>
      <c r="AD867" s="47"/>
      <c r="AE867" s="47"/>
      <c r="AF867" s="47"/>
      <c r="AG867" s="47" t="s">
        <v>2757</v>
      </c>
      <c r="AH867" s="158"/>
      <c r="AI867" s="157"/>
      <c r="AJ867" s="157"/>
    </row>
    <row r="868" spans="1:36" s="159" customFormat="1" x14ac:dyDescent="0.3">
      <c r="A868" s="47">
        <f t="shared" si="26"/>
        <v>1510204120</v>
      </c>
      <c r="B868" s="47" t="s">
        <v>125</v>
      </c>
      <c r="C868" s="47" t="s">
        <v>1275</v>
      </c>
      <c r="D868" s="47" t="str">
        <f>"Monster.Name."&amp;VLOOKUP($C868,'#Data'!$B$2:$J$344,2,FALSE)</f>
        <v>Monster.Name.friendly_security_2</v>
      </c>
      <c r="E868" s="47" t="s">
        <v>43</v>
      </c>
      <c r="F868" s="46" t="s">
        <v>44</v>
      </c>
      <c r="G868" s="47" t="s">
        <v>45</v>
      </c>
      <c r="H868" s="47" t="b">
        <f>IF(OR(VLOOKUP($C868,'#Data'!$B$2:$J$344,4,FALSE)="보스",VLOOKUP($C868,'#Data'!$B$2:$J$344,4,FALSE)="중간"),TRUE,FALSE)</f>
        <v>0</v>
      </c>
      <c r="I868" s="47" t="b">
        <v>0</v>
      </c>
      <c r="J868" s="47">
        <v>10</v>
      </c>
      <c r="K868" s="47">
        <f t="shared" si="27"/>
        <v>10</v>
      </c>
      <c r="L868" s="160" t="s">
        <v>1968</v>
      </c>
      <c r="M868" s="160"/>
      <c r="N868" s="160"/>
      <c r="O868" s="141" t="s">
        <v>1969</v>
      </c>
      <c r="P868" s="141" t="s">
        <v>2028</v>
      </c>
      <c r="Q868" s="141"/>
      <c r="R868" s="74"/>
      <c r="S868" s="74"/>
      <c r="T868" s="74"/>
      <c r="U868" s="74"/>
      <c r="V868" s="47" t="b">
        <v>0</v>
      </c>
      <c r="W868" s="47" t="str">
        <f>"Character/Prefabs/"&amp;VLOOKUP($C868,'#Data'!$B$3:$I$344,8,FALSE)</f>
        <v>Character/Prefabs/m_m_attacker_friendly_security_2</v>
      </c>
      <c r="X868" s="47"/>
      <c r="Y868" s="47" t="str">
        <f>VLOOKUP($C868,'#Data'!$B$3:$I$344,8,FALSE)</f>
        <v>m_m_attacker_friendly_security_2</v>
      </c>
      <c r="Z868" s="47"/>
      <c r="AA868" s="47"/>
      <c r="AB868" s="47"/>
      <c r="AC868" s="161">
        <v>0.9</v>
      </c>
      <c r="AD868" s="47"/>
      <c r="AE868" s="47"/>
      <c r="AF868" s="47"/>
      <c r="AG868" s="47" t="s">
        <v>2757</v>
      </c>
      <c r="AH868" s="158"/>
      <c r="AI868" s="157"/>
      <c r="AJ868" s="157"/>
    </row>
    <row r="869" spans="1:36" s="159" customFormat="1" x14ac:dyDescent="0.3">
      <c r="A869" s="47">
        <f t="shared" si="26"/>
        <v>1510204121</v>
      </c>
      <c r="B869" s="47" t="s">
        <v>125</v>
      </c>
      <c r="C869" s="47" t="s">
        <v>1276</v>
      </c>
      <c r="D869" s="47" t="str">
        <f>"Monster.Name."&amp;VLOOKUP($C869,'#Data'!$B$2:$J$344,2,FALSE)</f>
        <v>Monster.Name.friendly_cannon_2</v>
      </c>
      <c r="E869" s="47" t="s">
        <v>47</v>
      </c>
      <c r="F869" s="46" t="s">
        <v>44</v>
      </c>
      <c r="G869" s="47" t="s">
        <v>45</v>
      </c>
      <c r="H869" s="47" t="b">
        <f>IF(OR(VLOOKUP($C869,'#Data'!$B$2:$J$344,4,FALSE)="보스",VLOOKUP($C869,'#Data'!$B$2:$J$344,4,FALSE)="중간"),TRUE,FALSE)</f>
        <v>0</v>
      </c>
      <c r="I869" s="47" t="b">
        <v>0</v>
      </c>
      <c r="J869" s="47">
        <v>10</v>
      </c>
      <c r="K869" s="47">
        <f t="shared" si="27"/>
        <v>10</v>
      </c>
      <c r="L869" s="160" t="s">
        <v>1353</v>
      </c>
      <c r="M869" s="160"/>
      <c r="N869" s="160"/>
      <c r="O869" s="141" t="s">
        <v>1360</v>
      </c>
      <c r="P869" s="141" t="s">
        <v>2029</v>
      </c>
      <c r="Q869" s="141"/>
      <c r="R869" s="74"/>
      <c r="S869" s="74"/>
      <c r="T869" s="74"/>
      <c r="U869" s="74"/>
      <c r="V869" s="47" t="b">
        <v>0</v>
      </c>
      <c r="W869" s="47" t="str">
        <f>"Character/Prefabs/"&amp;VLOOKUP($C869,'#Data'!$B$3:$I$344,8,FALSE)</f>
        <v>Character/Prefabs/m_m_ranger_friendly_cannon_2</v>
      </c>
      <c r="X869" s="47"/>
      <c r="Y869" s="47" t="str">
        <f>VLOOKUP($C869,'#Data'!$B$3:$I$344,8,FALSE)</f>
        <v>m_m_ranger_friendly_cannon_2</v>
      </c>
      <c r="Z869" s="47"/>
      <c r="AA869" s="47"/>
      <c r="AB869" s="47"/>
      <c r="AC869" s="161">
        <v>0.7</v>
      </c>
      <c r="AD869" s="47"/>
      <c r="AE869" s="47"/>
      <c r="AF869" s="47"/>
      <c r="AG869" s="47" t="s">
        <v>2757</v>
      </c>
      <c r="AH869" s="158"/>
      <c r="AI869" s="157"/>
      <c r="AJ869" s="157"/>
    </row>
    <row r="870" spans="1:36" s="159" customFormat="1" x14ac:dyDescent="0.3">
      <c r="A870" s="47">
        <f t="shared" si="26"/>
        <v>1510204122</v>
      </c>
      <c r="B870" s="47" t="s">
        <v>125</v>
      </c>
      <c r="C870" s="47" t="s">
        <v>1278</v>
      </c>
      <c r="D870" s="47" t="str">
        <f>"Monster.Name."&amp;VLOOKUP($C870,'#Data'!$B$2:$J$344,2,FALSE)</f>
        <v>Monster.Name.friendly_gun_2</v>
      </c>
      <c r="E870" s="47" t="s">
        <v>47</v>
      </c>
      <c r="F870" s="46" t="s">
        <v>44</v>
      </c>
      <c r="G870" s="47" t="s">
        <v>45</v>
      </c>
      <c r="H870" s="47" t="b">
        <f>IF(OR(VLOOKUP($C870,'#Data'!$B$2:$J$344,4,FALSE)="보스",VLOOKUP($C870,'#Data'!$B$2:$J$344,4,FALSE)="중간"),TRUE,FALSE)</f>
        <v>0</v>
      </c>
      <c r="I870" s="47" t="b">
        <v>0</v>
      </c>
      <c r="J870" s="47">
        <v>10</v>
      </c>
      <c r="K870" s="47">
        <f t="shared" si="27"/>
        <v>10</v>
      </c>
      <c r="L870" s="160" t="s">
        <v>1354</v>
      </c>
      <c r="M870" s="160"/>
      <c r="N870" s="160"/>
      <c r="O870" s="141" t="s">
        <v>1361</v>
      </c>
      <c r="P870" s="141" t="s">
        <v>2030</v>
      </c>
      <c r="Q870" s="141"/>
      <c r="R870" s="74"/>
      <c r="S870" s="74"/>
      <c r="T870" s="74"/>
      <c r="U870" s="74"/>
      <c r="V870" s="47" t="b">
        <v>0</v>
      </c>
      <c r="W870" s="47" t="str">
        <f>"Character/Prefabs/"&amp;VLOOKUP($C870,'#Data'!$B$3:$I$344,8,FALSE)</f>
        <v>Character/Prefabs/m_m_ranger_friendly_gun_2</v>
      </c>
      <c r="X870" s="47"/>
      <c r="Y870" s="47" t="str">
        <f>VLOOKUP($C870,'#Data'!$B$3:$I$344,8,FALSE)</f>
        <v>m_m_ranger_friendly_gun_2</v>
      </c>
      <c r="Z870" s="47"/>
      <c r="AA870" s="47"/>
      <c r="AB870" s="47"/>
      <c r="AC870" s="161">
        <v>0.7</v>
      </c>
      <c r="AD870" s="47"/>
      <c r="AE870" s="47"/>
      <c r="AF870" s="47"/>
      <c r="AG870" s="47" t="s">
        <v>2757</v>
      </c>
      <c r="AH870" s="158"/>
      <c r="AI870" s="157"/>
      <c r="AJ870" s="157"/>
    </row>
    <row r="871" spans="1:36" x14ac:dyDescent="0.3">
      <c r="A871" s="13">
        <f t="shared" si="26"/>
        <v>1510204201</v>
      </c>
      <c r="B871" s="13" t="s">
        <v>125</v>
      </c>
      <c r="C871" s="13" t="s">
        <v>148</v>
      </c>
      <c r="D871" s="13" t="str">
        <f>"Monster.Name."&amp;VLOOKUP($C871,'#Data'!$B$2:$J$344,2,FALSE)</f>
        <v>Monster.Name.friendly_railgun_1</v>
      </c>
      <c r="E871" s="13" t="s">
        <v>47</v>
      </c>
      <c r="F871" s="44" t="s">
        <v>44</v>
      </c>
      <c r="G871" s="13" t="s">
        <v>45</v>
      </c>
      <c r="H871" s="13" t="b">
        <f>IF(OR(VLOOKUP($C871,'#Data'!$B$2:$J$344,4,FALSE)="보스",VLOOKUP($C871,'#Data'!$B$2:$J$344,4,FALSE)="중간"),TRUE,FALSE)</f>
        <v>1</v>
      </c>
      <c r="I871" s="13" t="b">
        <v>1</v>
      </c>
      <c r="J871" s="13">
        <v>10</v>
      </c>
      <c r="K871" s="13">
        <f t="shared" si="27"/>
        <v>10</v>
      </c>
      <c r="L871" s="71" t="str">
        <f>$B871&amp;"."&amp;VLOOKUP($C871,'#Data'!$B$2:$J$344,2,FALSE)&amp;".attack0"&amp;RIGHT(L$1,1)</f>
        <v>Sector04.friendly_railgun_1.attack01</v>
      </c>
      <c r="M871" s="71"/>
      <c r="N871" s="71"/>
      <c r="O871" s="140" t="str">
        <f>$B871&amp;"."&amp;VLOOKUP($C871,'#Data'!$B$2:$J$344,2,FALSE)&amp;".skill0"&amp;RIGHT(O$1,1)</f>
        <v>Sector04.friendly_railgun_1.skill01</v>
      </c>
      <c r="P871" s="140" t="str">
        <f>$B871&amp;"."&amp;VLOOKUP($C871,'#Data'!$B$2:$J$344,2,FALSE)&amp;".skill0"&amp;RIGHT(P$1,1)</f>
        <v>Sector04.friendly_railgun_1.skill02</v>
      </c>
      <c r="Q871" s="140" t="str">
        <f>$B871&amp;"."&amp;VLOOKUP($C871,'#Data'!$B$2:$J$344,2,FALSE)&amp;".skill0"&amp;RIGHT(Q$1,1)</f>
        <v>Sector04.friendly_railgun_1.skill03</v>
      </c>
      <c r="R871" s="72"/>
      <c r="S871" s="72" t="s">
        <v>2076</v>
      </c>
      <c r="T871" s="72"/>
      <c r="U871" s="72"/>
      <c r="V871" s="13" t="b">
        <v>0</v>
      </c>
      <c r="W871" s="13" t="str">
        <f>"Character/Prefabs/"&amp;VLOOKUP($C871,'#Data'!$B$3:$I$344,8,FALSE)</f>
        <v>Character/Prefabs/m_l_ranger_friendly_railgun_1</v>
      </c>
      <c r="X871" s="13"/>
      <c r="Y871" s="13" t="str">
        <f>VLOOKUP($C871,'#Data'!$B$3:$I$344,8,FALSE)</f>
        <v>m_l_ranger_friendly_railgun_1</v>
      </c>
      <c r="Z871" s="13"/>
      <c r="AA871" s="13"/>
      <c r="AB871" s="13"/>
      <c r="AC871" s="92">
        <v>0.9</v>
      </c>
      <c r="AD871" s="13"/>
      <c r="AE871" s="13"/>
      <c r="AF871" s="13"/>
      <c r="AG871" s="13" t="s">
        <v>2757</v>
      </c>
      <c r="AH871" s="85"/>
    </row>
    <row r="872" spans="1:36" x14ac:dyDescent="0.3">
      <c r="A872" s="13">
        <f t="shared" si="26"/>
        <v>1510204202</v>
      </c>
      <c r="B872" s="13" t="s">
        <v>125</v>
      </c>
      <c r="C872" s="13" t="s">
        <v>149</v>
      </c>
      <c r="D872" s="13" t="str">
        <f>"Monster.Name."&amp;VLOOKUP($C872,'#Data'!$B$2:$J$344,2,FALSE)</f>
        <v>Monster.Name.friendly_punch_1</v>
      </c>
      <c r="E872" s="13" t="s">
        <v>58</v>
      </c>
      <c r="F872" s="44" t="s">
        <v>44</v>
      </c>
      <c r="G872" s="13" t="s">
        <v>45</v>
      </c>
      <c r="H872" s="13" t="b">
        <f>IF(OR(VLOOKUP($C872,'#Data'!$B$2:$J$344,4,FALSE)="보스",VLOOKUP($C872,'#Data'!$B$2:$J$344,4,FALSE)="중간"),TRUE,FALSE)</f>
        <v>1</v>
      </c>
      <c r="I872" s="13" t="b">
        <v>1</v>
      </c>
      <c r="J872" s="13">
        <v>10</v>
      </c>
      <c r="K872" s="13">
        <f t="shared" si="27"/>
        <v>10</v>
      </c>
      <c r="L872" s="71" t="str">
        <f>$B872&amp;"."&amp;VLOOKUP($C872,'#Data'!$B$2:$J$344,2,FALSE)&amp;".attack0"&amp;RIGHT(L$1,1)</f>
        <v>Sector04.friendly_punch_1.attack01</v>
      </c>
      <c r="M872" s="71"/>
      <c r="N872" s="71"/>
      <c r="O872" s="140" t="str">
        <f>$B872&amp;"."&amp;VLOOKUP($C872,'#Data'!$B$2:$J$344,2,FALSE)&amp;".skill0"&amp;RIGHT(O$1,1)</f>
        <v>Sector04.friendly_punch_1.skill01</v>
      </c>
      <c r="P872" s="140" t="str">
        <f>$B872&amp;"."&amp;VLOOKUP($C872,'#Data'!$B$2:$J$344,2,FALSE)&amp;".skill0"&amp;RIGHT(P$1,1)</f>
        <v>Sector04.friendly_punch_1.skill02</v>
      </c>
      <c r="Q872" s="140" t="str">
        <f>$B872&amp;"."&amp;VLOOKUP($C872,'#Data'!$B$2:$J$344,2,FALSE)&amp;".skill0"&amp;RIGHT(Q$1,1)</f>
        <v>Sector04.friendly_punch_1.skill03</v>
      </c>
      <c r="R872" s="72"/>
      <c r="S872" s="72" t="s">
        <v>2076</v>
      </c>
      <c r="T872" s="72"/>
      <c r="U872" s="72"/>
      <c r="V872" s="13" t="b">
        <v>0</v>
      </c>
      <c r="W872" s="13" t="str">
        <f>"Character/Prefabs/"&amp;VLOOKUP($C872,'#Data'!$B$3:$I$344,8,FALSE)</f>
        <v>Character/Prefabs/m_l_tanker_friendly_punch_1</v>
      </c>
      <c r="X872" s="13"/>
      <c r="Y872" s="13" t="str">
        <f>VLOOKUP($C872,'#Data'!$B$3:$I$344,8,FALSE)</f>
        <v>m_l_tanker_friendly_punch_1</v>
      </c>
      <c r="Z872" s="13"/>
      <c r="AA872" s="13"/>
      <c r="AB872" s="13"/>
      <c r="AC872" s="92">
        <v>0.9</v>
      </c>
      <c r="AD872" s="13"/>
      <c r="AE872" s="13"/>
      <c r="AF872" s="13"/>
      <c r="AG872" s="13" t="s">
        <v>2757</v>
      </c>
      <c r="AH872" s="85"/>
    </row>
    <row r="873" spans="1:36" x14ac:dyDescent="0.3">
      <c r="A873" s="13">
        <f t="shared" si="26"/>
        <v>1510204203</v>
      </c>
      <c r="B873" s="13" t="s">
        <v>125</v>
      </c>
      <c r="C873" s="13" t="s">
        <v>150</v>
      </c>
      <c r="D873" s="13" t="str">
        <f>"Monster.Name."&amp;VLOOKUP($C873,'#Data'!$B$2:$J$344,2,FALSE)</f>
        <v>Monster.Name.friendly_pincers_1</v>
      </c>
      <c r="E873" s="13" t="s">
        <v>43</v>
      </c>
      <c r="F873" s="44" t="s">
        <v>44</v>
      </c>
      <c r="G873" s="13" t="s">
        <v>45</v>
      </c>
      <c r="H873" s="13" t="b">
        <f>IF(OR(VLOOKUP($C873,'#Data'!$B$2:$J$344,4,FALSE)="보스",VLOOKUP($C873,'#Data'!$B$2:$J$344,4,FALSE)="중간"),TRUE,FALSE)</f>
        <v>1</v>
      </c>
      <c r="I873" s="13" t="b">
        <v>1</v>
      </c>
      <c r="J873" s="13">
        <v>10</v>
      </c>
      <c r="K873" s="13">
        <f t="shared" si="27"/>
        <v>10</v>
      </c>
      <c r="L873" s="71" t="str">
        <f>$B873&amp;"."&amp;VLOOKUP($C873,'#Data'!$B$2:$J$344,2,FALSE)&amp;".attack0"&amp;RIGHT(L$1,1)</f>
        <v>Sector04.friendly_pincers_1.attack01</v>
      </c>
      <c r="M873" s="71"/>
      <c r="N873" s="71"/>
      <c r="O873" s="140" t="str">
        <f>$B873&amp;"."&amp;VLOOKUP($C873,'#Data'!$B$2:$J$344,2,FALSE)&amp;".skill0"&amp;RIGHT(O$1,1)</f>
        <v>Sector04.friendly_pincers_1.skill01</v>
      </c>
      <c r="P873" s="140" t="str">
        <f>$B873&amp;"."&amp;VLOOKUP($C873,'#Data'!$B$2:$J$344,2,FALSE)&amp;".skill0"&amp;RIGHT(P$1,1)</f>
        <v>Sector04.friendly_pincers_1.skill02</v>
      </c>
      <c r="Q873" s="140"/>
      <c r="R873" s="72"/>
      <c r="S873" s="72" t="s">
        <v>2076</v>
      </c>
      <c r="T873" s="72"/>
      <c r="U873" s="72"/>
      <c r="V873" s="13" t="b">
        <v>0</v>
      </c>
      <c r="W873" s="13" t="str">
        <f>"Character/Prefabs/"&amp;VLOOKUP($C873,'#Data'!$B$3:$I$344,8,FALSE)</f>
        <v>Character/Prefabs/m_l_attacker_friendly_pincers_1</v>
      </c>
      <c r="X873" s="13"/>
      <c r="Y873" s="13" t="str">
        <f>VLOOKUP($C873,'#Data'!$B$3:$I$344,8,FALSE)</f>
        <v>m_l_attacker_friendly_pincers_1</v>
      </c>
      <c r="Z873" s="13"/>
      <c r="AA873" s="13"/>
      <c r="AB873" s="13"/>
      <c r="AC873" s="92">
        <v>0.9</v>
      </c>
      <c r="AD873" s="13"/>
      <c r="AE873" s="13"/>
      <c r="AF873" s="13"/>
      <c r="AG873" s="13" t="s">
        <v>2757</v>
      </c>
      <c r="AH873" s="85"/>
    </row>
    <row r="874" spans="1:36" x14ac:dyDescent="0.3">
      <c r="A874" s="117">
        <f t="shared" si="26"/>
        <v>1510204301</v>
      </c>
      <c r="B874" s="117" t="s">
        <v>125</v>
      </c>
      <c r="C874" s="117" t="s">
        <v>151</v>
      </c>
      <c r="D874" s="117" t="str">
        <f>"Monster.Name."&amp;VLOOKUP($C874,'#Data'!$B$2:$J$344,2,FALSE)</f>
        <v>Monster.Name.nullaxe_1</v>
      </c>
      <c r="E874" s="117" t="s">
        <v>43</v>
      </c>
      <c r="F874" s="118" t="s">
        <v>44</v>
      </c>
      <c r="G874" s="117" t="s">
        <v>45</v>
      </c>
      <c r="H874" s="117" t="b">
        <f>IF(OR(VLOOKUP($C874,'#Data'!$B$2:$J$344,4,FALSE)="보스",VLOOKUP($C874,'#Data'!$B$2:$J$344,4,FALSE)="중간"),TRUE,FALSE)</f>
        <v>1</v>
      </c>
      <c r="I874" s="117" t="b">
        <v>1</v>
      </c>
      <c r="J874" s="117">
        <v>20</v>
      </c>
      <c r="K874" s="117">
        <f t="shared" si="27"/>
        <v>10</v>
      </c>
      <c r="L874" s="119" t="str">
        <f>$B874&amp;"."&amp;VLOOKUP($C874,'#Data'!$B$2:$J$344,2,FALSE)&amp;".attack0"&amp;RIGHT(L$1,1)</f>
        <v>Sector04.nullaxe_1.attack01</v>
      </c>
      <c r="M874" s="119" t="str">
        <f>$B874&amp;"."&amp;VLOOKUP($C874,'#Data'!$B$2:$J$344,2,FALSE)&amp;".attack0"&amp;RIGHT(M$1,1)</f>
        <v>Sector04.nullaxe_1.attack02</v>
      </c>
      <c r="N874" s="119"/>
      <c r="O874" s="142" t="str">
        <f>$B874&amp;"."&amp;VLOOKUP($C874,'#Data'!$B$2:$J$344,2,FALSE)&amp;".skill0"&amp;RIGHT(O$1,1)</f>
        <v>Sector04.nullaxe_1.skill01</v>
      </c>
      <c r="P874" s="142" t="str">
        <f>$B874&amp;"."&amp;VLOOKUP($C874,'#Data'!$B$2:$J$344,2,FALSE)&amp;".skill0"&amp;RIGHT(P$1,1)</f>
        <v>Sector04.nullaxe_1.skill02</v>
      </c>
      <c r="Q874" s="142" t="str">
        <f>$B874&amp;"."&amp;VLOOKUP($C874,'#Data'!$B$2:$J$344,2,FALSE)&amp;".skill0"&amp;RIGHT(Q$1,1)</f>
        <v>Sector04.nullaxe_1.skill03</v>
      </c>
      <c r="R874" s="120" t="s">
        <v>152</v>
      </c>
      <c r="S874" s="120" t="s">
        <v>76</v>
      </c>
      <c r="T874" s="120"/>
      <c r="U874" s="120"/>
      <c r="V874" s="117" t="b">
        <v>0</v>
      </c>
      <c r="W874" s="117" t="str">
        <f>"Character/Prefabs/"&amp;VLOOKUP($C874,'#Data'!$B$3:$I$344,8,FALSE)</f>
        <v>Character/Prefabs/m_boss_attacker_nullaxe_1</v>
      </c>
      <c r="X874" s="117"/>
      <c r="Y874" s="117" t="str">
        <f>VLOOKUP($C874,'#Data'!$B$3:$I$344,8,FALSE)</f>
        <v>m_boss_attacker_nullaxe_1</v>
      </c>
      <c r="Z874" s="117"/>
      <c r="AA874" s="117"/>
      <c r="AB874" s="117"/>
      <c r="AC874" s="121">
        <v>1.6</v>
      </c>
      <c r="AD874" s="117"/>
      <c r="AE874" s="117" t="s">
        <v>1449</v>
      </c>
      <c r="AF874" s="117" t="s">
        <v>153</v>
      </c>
      <c r="AG874" s="117" t="s">
        <v>2757</v>
      </c>
      <c r="AH874" s="85"/>
    </row>
    <row r="875" spans="1:36" x14ac:dyDescent="0.3">
      <c r="A875" s="117">
        <f t="shared" si="26"/>
        <v>1510204302</v>
      </c>
      <c r="B875" s="117" t="s">
        <v>125</v>
      </c>
      <c r="C875" s="117" t="s">
        <v>154</v>
      </c>
      <c r="D875" s="117" t="str">
        <f>"Monster.Name."&amp;VLOOKUP($C875,'#Data'!$B$2:$J$344,2,FALSE)</f>
        <v>Monster.Name.nullaxe_2</v>
      </c>
      <c r="E875" s="117" t="s">
        <v>43</v>
      </c>
      <c r="F875" s="118" t="s">
        <v>44</v>
      </c>
      <c r="G875" s="117" t="s">
        <v>45</v>
      </c>
      <c r="H875" s="117" t="b">
        <f>IF(OR(VLOOKUP($C875,'#Data'!$B$2:$J$344,4,FALSE)="보스",VLOOKUP($C875,'#Data'!$B$2:$J$344,4,FALSE)="중간"),TRUE,FALSE)</f>
        <v>1</v>
      </c>
      <c r="I875" s="117" t="b">
        <v>1</v>
      </c>
      <c r="J875" s="117">
        <v>20</v>
      </c>
      <c r="K875" s="117">
        <f t="shared" si="27"/>
        <v>10</v>
      </c>
      <c r="L875" s="119" t="str">
        <f>$B875&amp;"."&amp;VLOOKUP($C875,'#Data'!$B$2:$J$344,2,FALSE)&amp;".attack0"&amp;RIGHT(L$1,1)</f>
        <v>Sector04.nullaxe_2.attack01</v>
      </c>
      <c r="M875" s="119" t="str">
        <f>$B875&amp;"."&amp;VLOOKUP($C875,'#Data'!$B$2:$J$344,2,FALSE)&amp;".attack0"&amp;RIGHT(M$1,1)</f>
        <v>Sector04.nullaxe_2.attack02</v>
      </c>
      <c r="N875" s="119"/>
      <c r="O875" s="142" t="str">
        <f>$B875&amp;"."&amp;VLOOKUP($C875,'#Data'!$B$2:$J$344,2,FALSE)&amp;".skill0"&amp;RIGHT(O$1,1)</f>
        <v>Sector04.nullaxe_2.skill01</v>
      </c>
      <c r="P875" s="142" t="str">
        <f>$B875&amp;"."&amp;VLOOKUP($C875,'#Data'!$B$2:$J$344,2,FALSE)&amp;".skill0"&amp;RIGHT(P$1,1)</f>
        <v>Sector04.nullaxe_2.skill02</v>
      </c>
      <c r="Q875" s="142" t="str">
        <f>$B875&amp;"."&amp;VLOOKUP($C875,'#Data'!$B$2:$J$344,2,FALSE)&amp;".skill0"&amp;RIGHT(Q$1,1)</f>
        <v>Sector04.nullaxe_2.skill03</v>
      </c>
      <c r="R875" s="120" t="s">
        <v>155</v>
      </c>
      <c r="S875" s="120" t="s">
        <v>2073</v>
      </c>
      <c r="T875" s="120"/>
      <c r="U875" s="120"/>
      <c r="V875" s="117" t="b">
        <v>0</v>
      </c>
      <c r="W875" s="122" t="str">
        <f>"Character/Prefabs/"&amp;VLOOKUP($C875,'#Data'!$B$3:$I$344,8,FALSE)</f>
        <v>Character/Prefabs/m_boss_attacker_nullaxe_2</v>
      </c>
      <c r="X875" s="117"/>
      <c r="Y875" s="122" t="str">
        <f>VLOOKUP($C875,'#Data'!$B$3:$I$344,8,FALSE)</f>
        <v>m_boss_attacker_nullaxe_2</v>
      </c>
      <c r="Z875" s="117"/>
      <c r="AA875" s="117"/>
      <c r="AB875" s="117"/>
      <c r="AC875" s="121">
        <v>1.6</v>
      </c>
      <c r="AD875" s="117"/>
      <c r="AE875" s="117" t="s">
        <v>1450</v>
      </c>
      <c r="AF875" s="117" t="s">
        <v>1874</v>
      </c>
      <c r="AG875" s="117" t="s">
        <v>2757</v>
      </c>
      <c r="AH875" s="85"/>
    </row>
    <row r="876" spans="1:36" x14ac:dyDescent="0.3">
      <c r="A876" s="37">
        <f t="shared" si="26"/>
        <v>1510205101</v>
      </c>
      <c r="B876" s="37" t="s">
        <v>156</v>
      </c>
      <c r="C876" s="37" t="s">
        <v>157</v>
      </c>
      <c r="D876" s="37" t="str">
        <f>"Monster.Name."&amp;VLOOKUP($C876,'#Data'!$B$2:$J$344,2,FALSE)</f>
        <v>Monster.Name.killer_drone_4</v>
      </c>
      <c r="E876" s="37" t="s">
        <v>43</v>
      </c>
      <c r="F876" s="38" t="s">
        <v>44</v>
      </c>
      <c r="G876" s="37" t="s">
        <v>45</v>
      </c>
      <c r="H876" s="37" t="b">
        <f>IF(OR(VLOOKUP($C876,'#Data'!$B$2:$J$344,4,FALSE)="보스",VLOOKUP($C876,'#Data'!$B$2:$J$344,4,FALSE)="중간"),TRUE,FALSE)</f>
        <v>0</v>
      </c>
      <c r="I876" s="37" t="b">
        <v>0</v>
      </c>
      <c r="J876" s="37">
        <v>10</v>
      </c>
      <c r="K876" s="37">
        <f t="shared" si="27"/>
        <v>10</v>
      </c>
      <c r="L876" s="59" t="str">
        <f>$B876&amp;"."&amp;VLOOKUP($C876,'#Data'!$B$2:$J$344,2,FALSE)&amp;".attack0"&amp;RIGHT(L$1,1)</f>
        <v>Sector05.killer_drone_4.attack01</v>
      </c>
      <c r="M876" s="59"/>
      <c r="N876" s="59"/>
      <c r="O876" s="131" t="s">
        <v>2031</v>
      </c>
      <c r="P876" s="131" t="s">
        <v>1958</v>
      </c>
      <c r="Q876" s="60"/>
      <c r="R876" s="60"/>
      <c r="S876" s="60"/>
      <c r="T876" s="60"/>
      <c r="U876" s="60"/>
      <c r="V876" s="37" t="b">
        <v>0</v>
      </c>
      <c r="W876" s="37" t="str">
        <f>"Character/Prefabs/"&amp;VLOOKUP($C876,'#Data'!$B$3:$I$344,8,FALSE)</f>
        <v>Character/Prefabs/m_s_attacker_killer_drone_4</v>
      </c>
      <c r="X876" s="37"/>
      <c r="Y876" s="37" t="str">
        <f>VLOOKUP($C876,'#Data'!$B$3:$I$344,8,FALSE)</f>
        <v>m_s_attacker_killer_drone_4</v>
      </c>
      <c r="Z876" s="37"/>
      <c r="AA876" s="37"/>
      <c r="AB876" s="37"/>
      <c r="AC876" s="84">
        <v>0.7</v>
      </c>
      <c r="AD876" s="37"/>
      <c r="AE876" s="37"/>
      <c r="AF876" s="37"/>
      <c r="AG876" s="37" t="s">
        <v>2757</v>
      </c>
      <c r="AH876" s="85"/>
    </row>
    <row r="877" spans="1:36" x14ac:dyDescent="0.3">
      <c r="A877" s="37">
        <f t="shared" si="26"/>
        <v>1510205102</v>
      </c>
      <c r="B877" s="37" t="s">
        <v>156</v>
      </c>
      <c r="C877" s="37" t="s">
        <v>158</v>
      </c>
      <c r="D877" s="37" t="str">
        <f>"Monster.Name."&amp;VLOOKUP($C877,'#Data'!$B$2:$J$344,2,FALSE)</f>
        <v>Monster.Name.killer_drone_2</v>
      </c>
      <c r="E877" s="37" t="s">
        <v>43</v>
      </c>
      <c r="F877" s="38" t="s">
        <v>44</v>
      </c>
      <c r="G877" s="37" t="s">
        <v>45</v>
      </c>
      <c r="H877" s="37" t="b">
        <f>IF(OR(VLOOKUP($C877,'#Data'!$B$2:$J$344,4,FALSE)="보스",VLOOKUP($C877,'#Data'!$B$2:$J$344,4,FALSE)="중간"),TRUE,FALSE)</f>
        <v>0</v>
      </c>
      <c r="I877" s="37" t="b">
        <v>0</v>
      </c>
      <c r="J877" s="37">
        <v>10</v>
      </c>
      <c r="K877" s="37">
        <f t="shared" si="27"/>
        <v>10</v>
      </c>
      <c r="L877" s="59" t="str">
        <f>$B877&amp;"."&amp;VLOOKUP($C877,'#Data'!$B$2:$J$344,2,FALSE)&amp;".attack0"&amp;RIGHT(L$1,1)</f>
        <v>Sector05.killer_drone_2.attack01</v>
      </c>
      <c r="M877" s="59"/>
      <c r="N877" s="59"/>
      <c r="O877" s="131" t="s">
        <v>2032</v>
      </c>
      <c r="P877" s="131" t="s">
        <v>1958</v>
      </c>
      <c r="Q877" s="60"/>
      <c r="R877" s="60"/>
      <c r="S877" s="60"/>
      <c r="T877" s="60"/>
      <c r="U877" s="60"/>
      <c r="V877" s="37" t="b">
        <v>0</v>
      </c>
      <c r="W877" s="37" t="str">
        <f>"Character/Prefabs/"&amp;VLOOKUP($C877,'#Data'!$B$3:$I$344,8,FALSE)</f>
        <v>Character/Prefabs/m_s_attacker_killer_drone_2</v>
      </c>
      <c r="X877" s="37"/>
      <c r="Y877" s="37" t="str">
        <f>VLOOKUP($C877,'#Data'!$B$3:$I$344,8,FALSE)</f>
        <v>m_s_attacker_killer_drone_2</v>
      </c>
      <c r="Z877" s="37"/>
      <c r="AA877" s="37"/>
      <c r="AB877" s="37"/>
      <c r="AC877" s="84">
        <v>0.7</v>
      </c>
      <c r="AD877" s="37"/>
      <c r="AE877" s="37"/>
      <c r="AF877" s="37"/>
      <c r="AG877" s="37" t="s">
        <v>2757</v>
      </c>
      <c r="AH877" s="85"/>
    </row>
    <row r="878" spans="1:36" x14ac:dyDescent="0.3">
      <c r="A878" s="37">
        <f t="shared" si="26"/>
        <v>1510205103</v>
      </c>
      <c r="B878" s="37" t="s">
        <v>156</v>
      </c>
      <c r="C878" s="37" t="s">
        <v>159</v>
      </c>
      <c r="D878" s="37" t="str">
        <f>"Monster.Name."&amp;VLOOKUP($C878,'#Data'!$B$2:$J$344,2,FALSE)</f>
        <v>Monster.Name.terminate_drone_3</v>
      </c>
      <c r="E878" s="37" t="s">
        <v>43</v>
      </c>
      <c r="F878" s="38" t="s">
        <v>44</v>
      </c>
      <c r="G878" s="37" t="s">
        <v>45</v>
      </c>
      <c r="H878" s="37" t="b">
        <f>IF(OR(VLOOKUP($C878,'#Data'!$B$2:$J$344,4,FALSE)="보스",VLOOKUP($C878,'#Data'!$B$2:$J$344,4,FALSE)="중간"),TRUE,FALSE)</f>
        <v>0</v>
      </c>
      <c r="I878" s="37" t="b">
        <v>0</v>
      </c>
      <c r="J878" s="37">
        <v>10</v>
      </c>
      <c r="K878" s="37">
        <f t="shared" si="27"/>
        <v>10</v>
      </c>
      <c r="L878" s="59" t="str">
        <f>$B878&amp;"."&amp;VLOOKUP($C878,'#Data'!$B$2:$J$344,2,FALSE)&amp;".attack0"&amp;RIGHT(L$1,1)</f>
        <v>Sector05.terminate_drone_3.attack01</v>
      </c>
      <c r="M878" s="59"/>
      <c r="N878" s="59"/>
      <c r="O878" s="131" t="s">
        <v>2033</v>
      </c>
      <c r="P878" s="131" t="s">
        <v>1958</v>
      </c>
      <c r="Q878" s="60"/>
      <c r="R878" s="60"/>
      <c r="S878" s="60"/>
      <c r="T878" s="60"/>
      <c r="U878" s="60"/>
      <c r="V878" s="37" t="b">
        <v>0</v>
      </c>
      <c r="W878" s="37" t="str">
        <f>"Character/Prefabs/"&amp;VLOOKUP($C878,'#Data'!$B$3:$I$344,8,FALSE)</f>
        <v>Character/Prefabs/m_s_attacker_terminate_drone_3</v>
      </c>
      <c r="X878" s="37"/>
      <c r="Y878" s="37" t="str">
        <f>VLOOKUP($C878,'#Data'!$B$3:$I$344,8,FALSE)</f>
        <v>m_s_attacker_terminate_drone_3</v>
      </c>
      <c r="Z878" s="37"/>
      <c r="AA878" s="37"/>
      <c r="AB878" s="37"/>
      <c r="AC878" s="84">
        <v>0.7</v>
      </c>
      <c r="AD878" s="37"/>
      <c r="AE878" s="37"/>
      <c r="AF878" s="37"/>
      <c r="AG878" s="37" t="s">
        <v>2757</v>
      </c>
      <c r="AH878" s="85"/>
    </row>
    <row r="879" spans="1:36" x14ac:dyDescent="0.3">
      <c r="A879" s="37">
        <f t="shared" si="26"/>
        <v>1510205104</v>
      </c>
      <c r="B879" s="37" t="s">
        <v>156</v>
      </c>
      <c r="C879" s="37" t="s">
        <v>160</v>
      </c>
      <c r="D879" s="37" t="str">
        <f>"Monster.Name."&amp;VLOOKUP($C879,'#Data'!$B$2:$J$344,2,FALSE)</f>
        <v>Monster.Name.clock_thunderdog_1</v>
      </c>
      <c r="E879" s="37" t="s">
        <v>43</v>
      </c>
      <c r="F879" s="38" t="s">
        <v>44</v>
      </c>
      <c r="G879" s="37" t="s">
        <v>45</v>
      </c>
      <c r="H879" s="37" t="b">
        <f>IF(OR(VLOOKUP($C879,'#Data'!$B$2:$J$344,4,FALSE)="보스",VLOOKUP($C879,'#Data'!$B$2:$J$344,4,FALSE)="중간"),TRUE,FALSE)</f>
        <v>0</v>
      </c>
      <c r="I879" s="37" t="b">
        <v>0</v>
      </c>
      <c r="J879" s="37">
        <v>10</v>
      </c>
      <c r="K879" s="37">
        <f t="shared" si="27"/>
        <v>10</v>
      </c>
      <c r="L879" s="59" t="str">
        <f>$B879&amp;"."&amp;VLOOKUP($C879,'#Data'!$B$2:$J$344,2,FALSE)&amp;".attack0"&amp;RIGHT(L$1,1)</f>
        <v>Sector05.clock_thunderdog_1.attack01</v>
      </c>
      <c r="M879" s="59"/>
      <c r="N879" s="59"/>
      <c r="O879" s="131" t="s">
        <v>2034</v>
      </c>
      <c r="P879" s="131" t="s">
        <v>1958</v>
      </c>
      <c r="Q879" s="60"/>
      <c r="R879" s="60"/>
      <c r="S879" s="60"/>
      <c r="T879" s="60"/>
      <c r="U879" s="60"/>
      <c r="V879" s="37" t="b">
        <v>0</v>
      </c>
      <c r="W879" s="37" t="str">
        <f>"Character/Prefabs/"&amp;VLOOKUP($C879,'#Data'!$B$3:$I$344,8,FALSE)</f>
        <v>Character/Prefabs/m_s_attacker_clock_thunderdog_1</v>
      </c>
      <c r="X879" s="37"/>
      <c r="Y879" s="37" t="str">
        <f>VLOOKUP($C879,'#Data'!$B$3:$I$344,8,FALSE)</f>
        <v>m_s_attacker_clock_thunderdog_1</v>
      </c>
      <c r="Z879" s="37"/>
      <c r="AA879" s="37"/>
      <c r="AB879" s="37"/>
      <c r="AC879" s="84">
        <v>0.9</v>
      </c>
      <c r="AD879" s="37"/>
      <c r="AE879" s="37"/>
      <c r="AF879" s="37"/>
      <c r="AG879" s="37" t="s">
        <v>2757</v>
      </c>
      <c r="AH879" s="85"/>
    </row>
    <row r="880" spans="1:36" x14ac:dyDescent="0.3">
      <c r="A880" s="37">
        <f t="shared" si="26"/>
        <v>1510205105</v>
      </c>
      <c r="B880" s="37" t="s">
        <v>156</v>
      </c>
      <c r="C880" s="37" t="s">
        <v>161</v>
      </c>
      <c r="D880" s="37" t="str">
        <f>"Monster.Name."&amp;VLOOKUP($C880,'#Data'!$B$2:$J$344,2,FALSE)</f>
        <v>Monster.Name.labtrooper_rifle_1</v>
      </c>
      <c r="E880" s="37" t="s">
        <v>47</v>
      </c>
      <c r="F880" s="38" t="s">
        <v>44</v>
      </c>
      <c r="G880" s="37" t="s">
        <v>45</v>
      </c>
      <c r="H880" s="37" t="b">
        <f>IF(OR(VLOOKUP($C880,'#Data'!$B$2:$J$344,4,FALSE)="보스",VLOOKUP($C880,'#Data'!$B$2:$J$344,4,FALSE)="중간"),TRUE,FALSE)</f>
        <v>0</v>
      </c>
      <c r="I880" s="37" t="b">
        <v>0</v>
      </c>
      <c r="J880" s="37">
        <v>10</v>
      </c>
      <c r="K880" s="37">
        <f t="shared" si="27"/>
        <v>10</v>
      </c>
      <c r="L880" s="59" t="str">
        <f>$B880&amp;"."&amp;VLOOKUP($C880,'#Data'!$B$2:$J$344,2,FALSE)&amp;".attack0"&amp;RIGHT(L$1,1)</f>
        <v>Sector05.labtrooper_rifle_1.attack01</v>
      </c>
      <c r="M880" s="59"/>
      <c r="N880" s="59"/>
      <c r="O880" s="131" t="str">
        <f>$B880&amp;"."&amp;VLOOKUP($C880,'#Data'!$B$2:$J$344,2,FALSE)&amp;".skill0"&amp;RIGHT(O$1,1)</f>
        <v>Sector05.labtrooper_rifle_1.skill01</v>
      </c>
      <c r="P880" s="131" t="s">
        <v>2035</v>
      </c>
      <c r="Q880" s="131" t="s">
        <v>1958</v>
      </c>
      <c r="R880" s="60"/>
      <c r="S880" s="60"/>
      <c r="T880" s="60"/>
      <c r="U880" s="60"/>
      <c r="V880" s="37" t="b">
        <v>0</v>
      </c>
      <c r="W880" s="37" t="str">
        <f>"Character/Prefabs/"&amp;VLOOKUP($C880,'#Data'!$B$3:$I$344,8,FALSE)</f>
        <v>Character/Prefabs/m_m_ranger_labtrooper_rifle_1</v>
      </c>
      <c r="X880" s="37"/>
      <c r="Y880" s="37" t="str">
        <f>VLOOKUP($C880,'#Data'!$B$3:$I$344,8,FALSE)</f>
        <v>m_m_ranger_labtrooper_rifle_1</v>
      </c>
      <c r="Z880" s="37"/>
      <c r="AA880" s="37"/>
      <c r="AB880" s="37"/>
      <c r="AC880" s="84">
        <v>0.6</v>
      </c>
      <c r="AD880" s="37"/>
      <c r="AE880" s="37"/>
      <c r="AF880" s="37"/>
      <c r="AG880" s="37" t="s">
        <v>2757</v>
      </c>
      <c r="AH880" s="85"/>
    </row>
    <row r="881" spans="1:34" x14ac:dyDescent="0.3">
      <c r="A881" s="37">
        <f t="shared" si="26"/>
        <v>1510205106</v>
      </c>
      <c r="B881" s="37" t="s">
        <v>156</v>
      </c>
      <c r="C881" s="37" t="s">
        <v>162</v>
      </c>
      <c r="D881" s="37" t="str">
        <f>"Monster.Name."&amp;VLOOKUP($C881,'#Data'!$B$2:$J$344,2,FALSE)</f>
        <v>Monster.Name.labtrooper_shield_1</v>
      </c>
      <c r="E881" s="37" t="s">
        <v>58</v>
      </c>
      <c r="F881" s="38" t="s">
        <v>44</v>
      </c>
      <c r="G881" s="37" t="s">
        <v>45</v>
      </c>
      <c r="H881" s="37" t="b">
        <f>IF(OR(VLOOKUP($C881,'#Data'!$B$2:$J$344,4,FALSE)="보스",VLOOKUP($C881,'#Data'!$B$2:$J$344,4,FALSE)="중간"),TRUE,FALSE)</f>
        <v>0</v>
      </c>
      <c r="I881" s="37" t="b">
        <v>0</v>
      </c>
      <c r="J881" s="37">
        <v>10</v>
      </c>
      <c r="K881" s="37">
        <f t="shared" si="27"/>
        <v>10</v>
      </c>
      <c r="L881" s="59" t="str">
        <f>$B881&amp;"."&amp;VLOOKUP($C881,'#Data'!$B$2:$J$344,2,FALSE)&amp;".attack0"&amp;RIGHT(L$1,1)</f>
        <v>Sector05.labtrooper_shield_1.attack01</v>
      </c>
      <c r="M881" s="59"/>
      <c r="N881" s="59"/>
      <c r="O881" s="131" t="str">
        <f>$B881&amp;"."&amp;VLOOKUP($C881,'#Data'!$B$2:$J$344,2,FALSE)&amp;".skill0"&amp;RIGHT(O$1,1)</f>
        <v>Sector05.labtrooper_shield_1.skill01</v>
      </c>
      <c r="P881" s="131" t="s">
        <v>2036</v>
      </c>
      <c r="Q881" s="131" t="s">
        <v>1958</v>
      </c>
      <c r="R881" s="60"/>
      <c r="S881" s="60"/>
      <c r="T881" s="60"/>
      <c r="U881" s="60"/>
      <c r="V881" s="37" t="b">
        <v>0</v>
      </c>
      <c r="W881" s="37" t="str">
        <f>"Character/Prefabs/"&amp;VLOOKUP($C881,'#Data'!$B$3:$I$344,8,FALSE)</f>
        <v>Character/Prefabs/m_m_tanker_labtrooper_shield_1</v>
      </c>
      <c r="X881" s="37"/>
      <c r="Y881" s="37" t="str">
        <f>VLOOKUP($C881,'#Data'!$B$3:$I$344,8,FALSE)</f>
        <v>m_m_tanker_labtrooper_shield_1</v>
      </c>
      <c r="Z881" s="37"/>
      <c r="AA881" s="37"/>
      <c r="AB881" s="37"/>
      <c r="AC881" s="84">
        <v>0.6</v>
      </c>
      <c r="AD881" s="37"/>
      <c r="AE881" s="37"/>
      <c r="AF881" s="37"/>
      <c r="AG881" s="37" t="s">
        <v>2757</v>
      </c>
      <c r="AH881" s="85"/>
    </row>
    <row r="882" spans="1:34" x14ac:dyDescent="0.3">
      <c r="A882" s="37">
        <f t="shared" si="26"/>
        <v>1510205107</v>
      </c>
      <c r="B882" s="37" t="s">
        <v>156</v>
      </c>
      <c r="C882" s="37" t="s">
        <v>163</v>
      </c>
      <c r="D882" s="37" t="str">
        <f>"Monster.Name."&amp;VLOOKUP($C882,'#Data'!$B$2:$J$344,2,FALSE)</f>
        <v>Monster.Name.labtrooper_flame_1</v>
      </c>
      <c r="E882" s="37" t="s">
        <v>43</v>
      </c>
      <c r="F882" s="38" t="s">
        <v>44</v>
      </c>
      <c r="G882" s="37" t="s">
        <v>45</v>
      </c>
      <c r="H882" s="37" t="b">
        <f>IF(OR(VLOOKUP($C882,'#Data'!$B$2:$J$344,4,FALSE)="보스",VLOOKUP($C882,'#Data'!$B$2:$J$344,4,FALSE)="중간"),TRUE,FALSE)</f>
        <v>0</v>
      </c>
      <c r="I882" s="37" t="b">
        <v>0</v>
      </c>
      <c r="J882" s="37">
        <v>10</v>
      </c>
      <c r="K882" s="37">
        <f t="shared" si="27"/>
        <v>10</v>
      </c>
      <c r="L882" s="59" t="str">
        <f>$B882&amp;"."&amp;VLOOKUP($C882,'#Data'!$B$2:$J$344,2,FALSE)&amp;".attack0"&amp;RIGHT(L$1,1)</f>
        <v>Sector05.labtrooper_flame_1.attack01</v>
      </c>
      <c r="M882" s="59"/>
      <c r="N882" s="59"/>
      <c r="O882" s="131" t="str">
        <f>$B882&amp;"."&amp;VLOOKUP($C882,'#Data'!$B$2:$J$344,2,FALSE)&amp;".skill0"&amp;RIGHT(O$1,1)</f>
        <v>Sector05.labtrooper_flame_1.skill01</v>
      </c>
      <c r="P882" s="131" t="s">
        <v>2037</v>
      </c>
      <c r="Q882" s="131" t="s">
        <v>1958</v>
      </c>
      <c r="R882" s="60"/>
      <c r="S882" s="60"/>
      <c r="T882" s="60"/>
      <c r="U882" s="60"/>
      <c r="V882" s="37" t="b">
        <v>0</v>
      </c>
      <c r="W882" s="37" t="str">
        <f>"Character/Prefabs/"&amp;VLOOKUP($C882,'#Data'!$B$3:$I$344,8,FALSE)</f>
        <v>Character/Prefabs/m_m_attacker_labtrooper_flame_1</v>
      </c>
      <c r="X882" s="37"/>
      <c r="Y882" s="37" t="str">
        <f>VLOOKUP($C882,'#Data'!$B$3:$I$344,8,FALSE)</f>
        <v>m_m_attacker_labtrooper_flame_1</v>
      </c>
      <c r="Z882" s="37"/>
      <c r="AA882" s="37"/>
      <c r="AB882" s="37"/>
      <c r="AC882" s="84">
        <v>0.6</v>
      </c>
      <c r="AD882" s="37"/>
      <c r="AE882" s="37"/>
      <c r="AF882" s="37"/>
      <c r="AG882" s="37" t="s">
        <v>2757</v>
      </c>
      <c r="AH882" s="85"/>
    </row>
    <row r="883" spans="1:34" x14ac:dyDescent="0.3">
      <c r="A883" s="37">
        <f t="shared" si="26"/>
        <v>1510205108</v>
      </c>
      <c r="B883" s="37" t="s">
        <v>156</v>
      </c>
      <c r="C883" s="37" t="s">
        <v>164</v>
      </c>
      <c r="D883" s="37" t="str">
        <f>"Monster.Name."&amp;VLOOKUP($C883,'#Data'!$B$2:$J$344,2,FALSE)</f>
        <v>Monster.Name.labtrooper_launcher_1</v>
      </c>
      <c r="E883" s="37" t="s">
        <v>47</v>
      </c>
      <c r="F883" s="38" t="s">
        <v>44</v>
      </c>
      <c r="G883" s="37" t="s">
        <v>45</v>
      </c>
      <c r="H883" s="37" t="b">
        <f>IF(OR(VLOOKUP($C883,'#Data'!$B$2:$J$344,4,FALSE)="보스",VLOOKUP($C883,'#Data'!$B$2:$J$344,4,FALSE)="중간"),TRUE,FALSE)</f>
        <v>0</v>
      </c>
      <c r="I883" s="37" t="b">
        <v>0</v>
      </c>
      <c r="J883" s="37">
        <v>10</v>
      </c>
      <c r="K883" s="37">
        <f t="shared" si="27"/>
        <v>10</v>
      </c>
      <c r="L883" s="59" t="str">
        <f>$B883&amp;"."&amp;VLOOKUP($C883,'#Data'!$B$2:$J$344,2,FALSE)&amp;".attack0"&amp;RIGHT(L$1,1)</f>
        <v>Sector05.labtrooper_launcher_1.attack01</v>
      </c>
      <c r="M883" s="59"/>
      <c r="N883" s="59"/>
      <c r="O883" s="131" t="str">
        <f>$B883&amp;"."&amp;VLOOKUP($C883,'#Data'!$B$2:$J$344,2,FALSE)&amp;".skill0"&amp;RIGHT(O$1,1)</f>
        <v>Sector05.labtrooper_launcher_1.skill01</v>
      </c>
      <c r="P883" s="131" t="s">
        <v>2038</v>
      </c>
      <c r="Q883" s="131" t="s">
        <v>1958</v>
      </c>
      <c r="R883" s="60"/>
      <c r="S883" s="60"/>
      <c r="T883" s="60"/>
      <c r="U883" s="60"/>
      <c r="V883" s="37" t="b">
        <v>0</v>
      </c>
      <c r="W883" s="37" t="str">
        <f>"Character/Prefabs/"&amp;VLOOKUP($C883,'#Data'!$B$3:$I$344,8,FALSE)</f>
        <v>Character/Prefabs/m_m_ranger_labtrooper_launcher_1</v>
      </c>
      <c r="X883" s="37"/>
      <c r="Y883" s="37" t="str">
        <f>VLOOKUP($C883,'#Data'!$B$3:$I$344,8,FALSE)</f>
        <v>m_m_ranger_labtrooper_launcher_1</v>
      </c>
      <c r="Z883" s="37"/>
      <c r="AA883" s="37"/>
      <c r="AB883" s="37"/>
      <c r="AC883" s="84">
        <v>0.6</v>
      </c>
      <c r="AD883" s="37"/>
      <c r="AE883" s="37"/>
      <c r="AF883" s="37"/>
      <c r="AG883" s="37" t="s">
        <v>2757</v>
      </c>
      <c r="AH883" s="85"/>
    </row>
    <row r="884" spans="1:34" x14ac:dyDescent="0.3">
      <c r="A884" s="37">
        <f t="shared" si="26"/>
        <v>1510205109</v>
      </c>
      <c r="B884" s="37" t="s">
        <v>156</v>
      </c>
      <c r="C884" s="37" t="s">
        <v>165</v>
      </c>
      <c r="D884" s="37" t="str">
        <f>"Monster.Name."&amp;VLOOKUP($C884,'#Data'!$B$2:$J$344,2,FALSE)</f>
        <v>Monster.Name.silhouette_flyer_3</v>
      </c>
      <c r="E884" s="37" t="s">
        <v>143</v>
      </c>
      <c r="F884" s="38" t="s">
        <v>44</v>
      </c>
      <c r="G884" s="37" t="s">
        <v>45</v>
      </c>
      <c r="H884" s="37" t="b">
        <f>IF(OR(VLOOKUP($C884,'#Data'!$B$2:$J$344,4,FALSE)="보스",VLOOKUP($C884,'#Data'!$B$2:$J$344,4,FALSE)="중간"),TRUE,FALSE)</f>
        <v>0</v>
      </c>
      <c r="I884" s="37" t="b">
        <v>0</v>
      </c>
      <c r="J884" s="37">
        <v>10</v>
      </c>
      <c r="K884" s="37">
        <f t="shared" si="27"/>
        <v>10</v>
      </c>
      <c r="L884" s="59" t="str">
        <f>$B884&amp;"."&amp;VLOOKUP($C884,'#Data'!$B$2:$J$344,2,FALSE)&amp;".attack0"&amp;RIGHT(L$1,1)</f>
        <v>Sector05.silhouette_flyer_3.attack01</v>
      </c>
      <c r="M884" s="59"/>
      <c r="N884" s="59"/>
      <c r="O884" s="131" t="str">
        <f>$B884&amp;"."&amp;VLOOKUP($C884,'#Data'!$B$2:$J$344,2,FALSE)&amp;".skill0"&amp;RIGHT(O$1,1)</f>
        <v>Sector05.silhouette_flyer_3.skill01</v>
      </c>
      <c r="P884" s="131" t="s">
        <v>2039</v>
      </c>
      <c r="Q884" s="131" t="s">
        <v>1958</v>
      </c>
      <c r="R884" s="60"/>
      <c r="S884" s="60"/>
      <c r="T884" s="60"/>
      <c r="U884" s="60"/>
      <c r="V884" s="37" t="b">
        <v>0</v>
      </c>
      <c r="W884" s="37" t="str">
        <f>"Character/Prefabs/"&amp;VLOOKUP($C884,'#Data'!$B$3:$I$344,8,FALSE)</f>
        <v>Character/Prefabs/m_m_supporter_silhouette_flyer_3</v>
      </c>
      <c r="X884" s="37"/>
      <c r="Y884" s="37" t="str">
        <f>VLOOKUP($C884,'#Data'!$B$3:$I$344,8,FALSE)</f>
        <v>m_m_supporter_silhouette_flyer_3</v>
      </c>
      <c r="Z884" s="37"/>
      <c r="AA884" s="37"/>
      <c r="AB884" s="37"/>
      <c r="AC884" s="84">
        <v>0.8</v>
      </c>
      <c r="AD884" s="37"/>
      <c r="AE884" s="37"/>
      <c r="AF884" s="37"/>
      <c r="AG884" s="37" t="s">
        <v>2757</v>
      </c>
      <c r="AH884" s="85"/>
    </row>
    <row r="885" spans="1:34" x14ac:dyDescent="0.3">
      <c r="A885" s="37">
        <f t="shared" si="26"/>
        <v>1510205110</v>
      </c>
      <c r="B885" s="37" t="s">
        <v>156</v>
      </c>
      <c r="C885" s="37" t="s">
        <v>166</v>
      </c>
      <c r="D885" s="37" t="str">
        <f>"Monster.Name."&amp;VLOOKUP($C885,'#Data'!$B$2:$J$344,2,FALSE)</f>
        <v>Monster.Name.harbor_cannon_1</v>
      </c>
      <c r="E885" s="37" t="s">
        <v>47</v>
      </c>
      <c r="F885" s="38" t="s">
        <v>44</v>
      </c>
      <c r="G885" s="37" t="s">
        <v>45</v>
      </c>
      <c r="H885" s="37" t="b">
        <f>IF(OR(VLOOKUP($C885,'#Data'!$B$2:$J$344,4,FALSE)="보스",VLOOKUP($C885,'#Data'!$B$2:$J$344,4,FALSE)="중간"),TRUE,FALSE)</f>
        <v>0</v>
      </c>
      <c r="I885" s="37" t="b">
        <v>0</v>
      </c>
      <c r="J885" s="37">
        <v>10</v>
      </c>
      <c r="K885" s="37">
        <f t="shared" si="27"/>
        <v>20</v>
      </c>
      <c r="L885" s="59" t="str">
        <f>$B885&amp;"."&amp;VLOOKUP($C885,'#Data'!$B$2:$J$344,2,FALSE)&amp;".attack0"&amp;RIGHT(L$1,1)</f>
        <v>Sector05.harbor_cannon_1.attack01</v>
      </c>
      <c r="M885" s="59"/>
      <c r="N885" s="59"/>
      <c r="O885" s="131" t="str">
        <f>$B885&amp;"."&amp;VLOOKUP($C885,'#Data'!$B$2:$J$344,2,FALSE)&amp;".skill0"&amp;RIGHT(O$1,1)</f>
        <v>Sector05.harbor_cannon_1.skill01</v>
      </c>
      <c r="P885" s="131" t="s">
        <v>2040</v>
      </c>
      <c r="Q885" s="131" t="s">
        <v>1958</v>
      </c>
      <c r="R885" s="60"/>
      <c r="S885" s="60"/>
      <c r="T885" s="60"/>
      <c r="U885" s="60"/>
      <c r="V885" s="37" t="b">
        <v>0</v>
      </c>
      <c r="W885" s="37" t="str">
        <f>"Character/Prefabs/"&amp;VLOOKUP($C885,'#Data'!$B$3:$I$344,8,FALSE)</f>
        <v>Character/Prefabs/m_m_ranger_harbor_cannon_1</v>
      </c>
      <c r="X885" s="37"/>
      <c r="Y885" s="37" t="str">
        <f>VLOOKUP($C885,'#Data'!$B$3:$I$344,8,FALSE)</f>
        <v>m_m_ranger_harbor_cannon_1</v>
      </c>
      <c r="Z885" s="37"/>
      <c r="AA885" s="37"/>
      <c r="AB885" s="37"/>
      <c r="AC885" s="84">
        <v>0.7</v>
      </c>
      <c r="AD885" s="37"/>
      <c r="AE885" s="37"/>
      <c r="AF885" s="37"/>
      <c r="AG885" s="37" t="s">
        <v>2757</v>
      </c>
      <c r="AH885" s="85"/>
    </row>
    <row r="886" spans="1:34" x14ac:dyDescent="0.3">
      <c r="A886" s="51">
        <f t="shared" si="26"/>
        <v>1510205111</v>
      </c>
      <c r="B886" s="51" t="s">
        <v>156</v>
      </c>
      <c r="C886" s="51" t="s">
        <v>1280</v>
      </c>
      <c r="D886" s="51" t="str">
        <f>"Monster.Name."&amp;VLOOKUP($C886,'#Data'!$B$2:$J$344,2,FALSE)</f>
        <v>Monster.Name.killer_drone_6</v>
      </c>
      <c r="E886" s="51" t="s">
        <v>43</v>
      </c>
      <c r="F886" s="52" t="s">
        <v>44</v>
      </c>
      <c r="G886" s="51" t="s">
        <v>45</v>
      </c>
      <c r="H886" s="51" t="b">
        <f>IF(OR(VLOOKUP($C886,'#Data'!$B$2:$J$344,4,FALSE)="보스",VLOOKUP($C886,'#Data'!$B$2:$J$344,4,FALSE)="중간"),TRUE,FALSE)</f>
        <v>0</v>
      </c>
      <c r="I886" s="51" t="b">
        <v>0</v>
      </c>
      <c r="J886" s="51">
        <v>10</v>
      </c>
      <c r="K886" s="51">
        <f t="shared" si="27"/>
        <v>10</v>
      </c>
      <c r="L886" s="61" t="s">
        <v>1362</v>
      </c>
      <c r="M886" s="61"/>
      <c r="N886" s="61"/>
      <c r="O886" s="131" t="s">
        <v>2031</v>
      </c>
      <c r="P886" s="132" t="s">
        <v>1958</v>
      </c>
      <c r="Q886" s="132"/>
      <c r="R886" s="62"/>
      <c r="S886" s="62"/>
      <c r="T886" s="62"/>
      <c r="U886" s="62"/>
      <c r="V886" s="51" t="b">
        <v>0</v>
      </c>
      <c r="W886" s="51" t="str">
        <f>"Character/Prefabs/"&amp;VLOOKUP($C886,'#Data'!$B$3:$I$344,8,FALSE)</f>
        <v>Character/Prefabs/m_s_attacker_killer_drone_6</v>
      </c>
      <c r="X886" s="51"/>
      <c r="Y886" s="103" t="s">
        <v>1402</v>
      </c>
      <c r="Z886" s="51"/>
      <c r="AA886" s="51"/>
      <c r="AB886" s="51"/>
      <c r="AC886" s="86">
        <v>0.7</v>
      </c>
      <c r="AD886" s="51"/>
      <c r="AE886" s="51"/>
      <c r="AF886" s="51"/>
      <c r="AG886" s="51" t="s">
        <v>2757</v>
      </c>
      <c r="AH886" s="85"/>
    </row>
    <row r="887" spans="1:34" x14ac:dyDescent="0.3">
      <c r="A887" s="51">
        <f t="shared" si="26"/>
        <v>1510205112</v>
      </c>
      <c r="B887" s="51" t="s">
        <v>156</v>
      </c>
      <c r="C887" s="51" t="s">
        <v>1282</v>
      </c>
      <c r="D887" s="51" t="str">
        <f>"Monster.Name."&amp;VLOOKUP($C887,'#Data'!$B$2:$J$344,2,FALSE)</f>
        <v>Monster.Name.killer_drone_5</v>
      </c>
      <c r="E887" s="51" t="s">
        <v>43</v>
      </c>
      <c r="F887" s="52" t="s">
        <v>44</v>
      </c>
      <c r="G887" s="51" t="s">
        <v>45</v>
      </c>
      <c r="H887" s="51" t="b">
        <f>IF(OR(VLOOKUP($C887,'#Data'!$B$2:$J$344,4,FALSE)="보스",VLOOKUP($C887,'#Data'!$B$2:$J$344,4,FALSE)="중간"),TRUE,FALSE)</f>
        <v>0</v>
      </c>
      <c r="I887" s="51" t="b">
        <v>0</v>
      </c>
      <c r="J887" s="51">
        <v>10</v>
      </c>
      <c r="K887" s="51">
        <f t="shared" si="27"/>
        <v>10</v>
      </c>
      <c r="L887" s="61" t="s">
        <v>1363</v>
      </c>
      <c r="M887" s="61"/>
      <c r="N887" s="61"/>
      <c r="O887" s="131" t="s">
        <v>2032</v>
      </c>
      <c r="P887" s="132" t="s">
        <v>1958</v>
      </c>
      <c r="Q887" s="132"/>
      <c r="R887" s="62"/>
      <c r="S887" s="62"/>
      <c r="T887" s="62"/>
      <c r="U887" s="62"/>
      <c r="V887" s="51" t="b">
        <v>0</v>
      </c>
      <c r="W887" s="51" t="str">
        <f>"Character/Prefabs/"&amp;VLOOKUP($C887,'#Data'!$B$3:$I$344,8,FALSE)</f>
        <v>Character/Prefabs/m_s_attacker_killer_drone_5</v>
      </c>
      <c r="X887" s="51"/>
      <c r="Y887" s="104" t="s">
        <v>1403</v>
      </c>
      <c r="Z887" s="51"/>
      <c r="AA887" s="51"/>
      <c r="AB887" s="51"/>
      <c r="AC887" s="86">
        <v>0.7</v>
      </c>
      <c r="AD887" s="51"/>
      <c r="AE887" s="51"/>
      <c r="AF887" s="51"/>
      <c r="AG887" s="51" t="s">
        <v>2757</v>
      </c>
      <c r="AH887" s="85"/>
    </row>
    <row r="888" spans="1:34" x14ac:dyDescent="0.3">
      <c r="A888" s="51">
        <f t="shared" si="26"/>
        <v>1510205113</v>
      </c>
      <c r="B888" s="51" t="s">
        <v>156</v>
      </c>
      <c r="C888" s="51" t="s">
        <v>1284</v>
      </c>
      <c r="D888" s="51" t="str">
        <f>"Monster.Name."&amp;VLOOKUP($C888,'#Data'!$B$2:$J$344,2,FALSE)</f>
        <v>Monster.Name.terminate_drone_4</v>
      </c>
      <c r="E888" s="51" t="s">
        <v>43</v>
      </c>
      <c r="F888" s="52" t="s">
        <v>44</v>
      </c>
      <c r="G888" s="51" t="s">
        <v>45</v>
      </c>
      <c r="H888" s="51" t="b">
        <f>IF(OR(VLOOKUP($C888,'#Data'!$B$2:$J$344,4,FALSE)="보스",VLOOKUP($C888,'#Data'!$B$2:$J$344,4,FALSE)="중간"),TRUE,FALSE)</f>
        <v>0</v>
      </c>
      <c r="I888" s="51" t="b">
        <v>0</v>
      </c>
      <c r="J888" s="51">
        <v>10</v>
      </c>
      <c r="K888" s="51">
        <f t="shared" si="27"/>
        <v>10</v>
      </c>
      <c r="L888" s="61" t="s">
        <v>1364</v>
      </c>
      <c r="M888" s="61"/>
      <c r="N888" s="61"/>
      <c r="O888" s="131" t="s">
        <v>2033</v>
      </c>
      <c r="P888" s="132" t="s">
        <v>1958</v>
      </c>
      <c r="Q888" s="132"/>
      <c r="R888" s="62"/>
      <c r="S888" s="62"/>
      <c r="T888" s="62"/>
      <c r="U888" s="62"/>
      <c r="V888" s="51" t="b">
        <v>0</v>
      </c>
      <c r="W888" s="51" t="str">
        <f>"Character/Prefabs/"&amp;VLOOKUP($C888,'#Data'!$B$3:$I$344,8,FALSE)</f>
        <v>Character/Prefabs/m_s_attacker_terminate_drone_4</v>
      </c>
      <c r="X888" s="51"/>
      <c r="Y888" s="104" t="s">
        <v>1404</v>
      </c>
      <c r="Z888" s="51"/>
      <c r="AA888" s="51"/>
      <c r="AB888" s="51"/>
      <c r="AC888" s="86">
        <v>0.7</v>
      </c>
      <c r="AD888" s="51"/>
      <c r="AE888" s="51"/>
      <c r="AF888" s="51"/>
      <c r="AG888" s="51" t="s">
        <v>2757</v>
      </c>
      <c r="AH888" s="85"/>
    </row>
    <row r="889" spans="1:34" x14ac:dyDescent="0.3">
      <c r="A889" s="51">
        <f t="shared" si="26"/>
        <v>1510205114</v>
      </c>
      <c r="B889" s="51" t="s">
        <v>156</v>
      </c>
      <c r="C889" s="51" t="s">
        <v>1286</v>
      </c>
      <c r="D889" s="51" t="str">
        <f>"Monster.Name."&amp;VLOOKUP($C889,'#Data'!$B$2:$J$344,2,FALSE)</f>
        <v>Monster.Name.clock_thunderdog_2</v>
      </c>
      <c r="E889" s="51" t="s">
        <v>43</v>
      </c>
      <c r="F889" s="52" t="s">
        <v>44</v>
      </c>
      <c r="G889" s="51" t="s">
        <v>45</v>
      </c>
      <c r="H889" s="51" t="b">
        <f>IF(OR(VLOOKUP($C889,'#Data'!$B$2:$J$344,4,FALSE)="보스",VLOOKUP($C889,'#Data'!$B$2:$J$344,4,FALSE)="중간"),TRUE,FALSE)</f>
        <v>0</v>
      </c>
      <c r="I889" s="51" t="b">
        <v>0</v>
      </c>
      <c r="J889" s="51">
        <v>10</v>
      </c>
      <c r="K889" s="51">
        <f t="shared" si="27"/>
        <v>10</v>
      </c>
      <c r="L889" s="61" t="s">
        <v>1365</v>
      </c>
      <c r="M889" s="61"/>
      <c r="N889" s="61"/>
      <c r="O889" s="131" t="s">
        <v>2034</v>
      </c>
      <c r="P889" s="132" t="s">
        <v>1958</v>
      </c>
      <c r="Q889" s="132"/>
      <c r="R889" s="62"/>
      <c r="S889" s="62"/>
      <c r="T889" s="62"/>
      <c r="U889" s="62"/>
      <c r="V889" s="51" t="b">
        <v>0</v>
      </c>
      <c r="W889" s="51" t="str">
        <f>"Character/Prefabs/"&amp;VLOOKUP($C889,'#Data'!$B$3:$I$344,8,FALSE)</f>
        <v>Character/Prefabs/m_s_attacker_clock_thunderdog_2</v>
      </c>
      <c r="X889" s="51"/>
      <c r="Y889" s="104" t="s">
        <v>1405</v>
      </c>
      <c r="Z889" s="51"/>
      <c r="AA889" s="51"/>
      <c r="AB889" s="51"/>
      <c r="AC889" s="86">
        <v>0.9</v>
      </c>
      <c r="AD889" s="51"/>
      <c r="AE889" s="51"/>
      <c r="AF889" s="51"/>
      <c r="AG889" s="51" t="s">
        <v>2757</v>
      </c>
      <c r="AH889" s="85"/>
    </row>
    <row r="890" spans="1:34" x14ac:dyDescent="0.3">
      <c r="A890" s="51">
        <f t="shared" si="26"/>
        <v>1510205115</v>
      </c>
      <c r="B890" s="51" t="s">
        <v>156</v>
      </c>
      <c r="C890" s="51" t="s">
        <v>1288</v>
      </c>
      <c r="D890" s="51" t="str">
        <f>"Monster.Name."&amp;VLOOKUP($C890,'#Data'!$B$2:$J$344,2,FALSE)</f>
        <v>Monster.Name.labtrooper_rifle_2</v>
      </c>
      <c r="E890" s="51" t="s">
        <v>47</v>
      </c>
      <c r="F890" s="52" t="s">
        <v>44</v>
      </c>
      <c r="G890" s="51" t="s">
        <v>45</v>
      </c>
      <c r="H890" s="51" t="b">
        <f>IF(OR(VLOOKUP($C890,'#Data'!$B$2:$J$344,4,FALSE)="보스",VLOOKUP($C890,'#Data'!$B$2:$J$344,4,FALSE)="중간"),TRUE,FALSE)</f>
        <v>0</v>
      </c>
      <c r="I890" s="51" t="b">
        <v>0</v>
      </c>
      <c r="J890" s="51">
        <v>10</v>
      </c>
      <c r="K890" s="51">
        <f t="shared" si="27"/>
        <v>10</v>
      </c>
      <c r="L890" s="61" t="s">
        <v>1366</v>
      </c>
      <c r="M890" s="61"/>
      <c r="N890" s="61"/>
      <c r="O890" s="132" t="s">
        <v>1372</v>
      </c>
      <c r="P890" s="131" t="s">
        <v>2035</v>
      </c>
      <c r="Q890" s="132" t="s">
        <v>1958</v>
      </c>
      <c r="R890" s="62"/>
      <c r="S890" s="62"/>
      <c r="T890" s="62"/>
      <c r="U890" s="62"/>
      <c r="V890" s="51" t="b">
        <v>0</v>
      </c>
      <c r="W890" s="51" t="str">
        <f>"Character/Prefabs/"&amp;VLOOKUP($C890,'#Data'!$B$3:$I$344,8,FALSE)</f>
        <v>Character/Prefabs/m_m_ranger_labtrooper_rifle_2</v>
      </c>
      <c r="X890" s="51"/>
      <c r="Y890" s="104" t="s">
        <v>1406</v>
      </c>
      <c r="Z890" s="51"/>
      <c r="AA890" s="51"/>
      <c r="AB890" s="51"/>
      <c r="AC890" s="86">
        <v>0.6</v>
      </c>
      <c r="AD890" s="51"/>
      <c r="AE890" s="51"/>
      <c r="AF890" s="51"/>
      <c r="AG890" s="51" t="s">
        <v>2757</v>
      </c>
      <c r="AH890" s="85"/>
    </row>
    <row r="891" spans="1:34" x14ac:dyDescent="0.3">
      <c r="A891" s="51">
        <f t="shared" si="26"/>
        <v>1510205116</v>
      </c>
      <c r="B891" s="51" t="s">
        <v>156</v>
      </c>
      <c r="C891" s="51" t="s">
        <v>1290</v>
      </c>
      <c r="D891" s="51" t="str">
        <f>"Monster.Name."&amp;VLOOKUP($C891,'#Data'!$B$2:$J$344,2,FALSE)</f>
        <v>Monster.Name.labtrooper_shield_2</v>
      </c>
      <c r="E891" s="51" t="s">
        <v>58</v>
      </c>
      <c r="F891" s="52" t="s">
        <v>44</v>
      </c>
      <c r="G891" s="51" t="s">
        <v>45</v>
      </c>
      <c r="H891" s="51" t="b">
        <f>IF(OR(VLOOKUP($C891,'#Data'!$B$2:$J$344,4,FALSE)="보스",VLOOKUP($C891,'#Data'!$B$2:$J$344,4,FALSE)="중간"),TRUE,FALSE)</f>
        <v>0</v>
      </c>
      <c r="I891" s="51" t="b">
        <v>0</v>
      </c>
      <c r="J891" s="51">
        <v>10</v>
      </c>
      <c r="K891" s="51">
        <f t="shared" si="27"/>
        <v>10</v>
      </c>
      <c r="L891" s="61" t="s">
        <v>1367</v>
      </c>
      <c r="M891" s="61"/>
      <c r="N891" s="61"/>
      <c r="O891" s="132" t="s">
        <v>1373</v>
      </c>
      <c r="P891" s="131" t="s">
        <v>2036</v>
      </c>
      <c r="Q891" s="132" t="s">
        <v>1958</v>
      </c>
      <c r="R891" s="62"/>
      <c r="S891" s="62"/>
      <c r="T891" s="62"/>
      <c r="U891" s="62"/>
      <c r="V891" s="51" t="b">
        <v>0</v>
      </c>
      <c r="W891" s="51" t="str">
        <f>"Character/Prefabs/"&amp;VLOOKUP($C891,'#Data'!$B$3:$I$344,8,FALSE)</f>
        <v>Character/Prefabs/m_m_tanker_labtrooper_shield_2</v>
      </c>
      <c r="X891" s="51"/>
      <c r="Y891" s="104" t="s">
        <v>1407</v>
      </c>
      <c r="Z891" s="51"/>
      <c r="AA891" s="51"/>
      <c r="AB891" s="51"/>
      <c r="AC891" s="86">
        <v>0.6</v>
      </c>
      <c r="AD891" s="51"/>
      <c r="AE891" s="51"/>
      <c r="AF891" s="51"/>
      <c r="AG891" s="51" t="s">
        <v>2757</v>
      </c>
      <c r="AH891" s="85"/>
    </row>
    <row r="892" spans="1:34" x14ac:dyDescent="0.3">
      <c r="A892" s="51">
        <f t="shared" si="26"/>
        <v>1510205117</v>
      </c>
      <c r="B892" s="51" t="s">
        <v>156</v>
      </c>
      <c r="C892" s="51" t="s">
        <v>1292</v>
      </c>
      <c r="D892" s="51" t="str">
        <f>"Monster.Name."&amp;VLOOKUP($C892,'#Data'!$B$2:$J$344,2,FALSE)</f>
        <v>Monster.Name.labtrooper_flame_2</v>
      </c>
      <c r="E892" s="51" t="s">
        <v>43</v>
      </c>
      <c r="F892" s="52" t="s">
        <v>44</v>
      </c>
      <c r="G892" s="51" t="s">
        <v>45</v>
      </c>
      <c r="H892" s="51" t="b">
        <f>IF(OR(VLOOKUP($C892,'#Data'!$B$2:$J$344,4,FALSE)="보스",VLOOKUP($C892,'#Data'!$B$2:$J$344,4,FALSE)="중간"),TRUE,FALSE)</f>
        <v>0</v>
      </c>
      <c r="I892" s="51" t="b">
        <v>0</v>
      </c>
      <c r="J892" s="51">
        <v>10</v>
      </c>
      <c r="K892" s="51">
        <f t="shared" si="27"/>
        <v>10</v>
      </c>
      <c r="L892" s="61" t="s">
        <v>1368</v>
      </c>
      <c r="M892" s="61"/>
      <c r="N892" s="61"/>
      <c r="O892" s="132" t="s">
        <v>1374</v>
      </c>
      <c r="P892" s="131" t="s">
        <v>2037</v>
      </c>
      <c r="Q892" s="132" t="s">
        <v>1958</v>
      </c>
      <c r="R892" s="62"/>
      <c r="S892" s="62"/>
      <c r="T892" s="62"/>
      <c r="U892" s="62"/>
      <c r="V892" s="51" t="b">
        <v>0</v>
      </c>
      <c r="W892" s="51" t="str">
        <f>"Character/Prefabs/"&amp;VLOOKUP($C892,'#Data'!$B$3:$I$344,8,FALSE)</f>
        <v>Character/Prefabs/m_m_attacker_labtrooper_flame_2</v>
      </c>
      <c r="X892" s="51"/>
      <c r="Y892" s="104" t="s">
        <v>1408</v>
      </c>
      <c r="Z892" s="51"/>
      <c r="AA892" s="51"/>
      <c r="AB892" s="51"/>
      <c r="AC892" s="86">
        <v>0.6</v>
      </c>
      <c r="AD892" s="51"/>
      <c r="AE892" s="51"/>
      <c r="AF892" s="51"/>
      <c r="AG892" s="51" t="s">
        <v>2757</v>
      </c>
      <c r="AH892" s="85"/>
    </row>
    <row r="893" spans="1:34" x14ac:dyDescent="0.3">
      <c r="A893" s="51">
        <f t="shared" si="26"/>
        <v>1510205118</v>
      </c>
      <c r="B893" s="51" t="s">
        <v>156</v>
      </c>
      <c r="C893" s="51" t="s">
        <v>1294</v>
      </c>
      <c r="D893" s="51" t="str">
        <f>"Monster.Name."&amp;VLOOKUP($C893,'#Data'!$B$2:$J$344,2,FALSE)</f>
        <v>Monster.Name.labtrooper_launcher_2</v>
      </c>
      <c r="E893" s="51" t="s">
        <v>47</v>
      </c>
      <c r="F893" s="52" t="s">
        <v>44</v>
      </c>
      <c r="G893" s="51" t="s">
        <v>45</v>
      </c>
      <c r="H893" s="51" t="b">
        <f>IF(OR(VLOOKUP($C893,'#Data'!$B$2:$J$344,4,FALSE)="보스",VLOOKUP($C893,'#Data'!$B$2:$J$344,4,FALSE)="중간"),TRUE,FALSE)</f>
        <v>0</v>
      </c>
      <c r="I893" s="51" t="b">
        <v>0</v>
      </c>
      <c r="J893" s="51">
        <v>10</v>
      </c>
      <c r="K893" s="51">
        <f t="shared" si="27"/>
        <v>10</v>
      </c>
      <c r="L893" s="61" t="s">
        <v>1369</v>
      </c>
      <c r="M893" s="61"/>
      <c r="N893" s="61"/>
      <c r="O893" s="132" t="s">
        <v>1375</v>
      </c>
      <c r="P893" s="131" t="s">
        <v>2038</v>
      </c>
      <c r="Q893" s="132" t="s">
        <v>1958</v>
      </c>
      <c r="R893" s="62"/>
      <c r="S893" s="62"/>
      <c r="T893" s="62"/>
      <c r="U893" s="62"/>
      <c r="V893" s="51" t="b">
        <v>0</v>
      </c>
      <c r="W893" s="51" t="str">
        <f>"Character/Prefabs/"&amp;VLOOKUP($C893,'#Data'!$B$3:$I$344,8,FALSE)</f>
        <v>Character/Prefabs/m_m_ranger_labtrooper_launcher_2</v>
      </c>
      <c r="X893" s="51"/>
      <c r="Y893" s="104" t="s">
        <v>1409</v>
      </c>
      <c r="Z893" s="51"/>
      <c r="AA893" s="51"/>
      <c r="AB893" s="51"/>
      <c r="AC893" s="86">
        <v>0.6</v>
      </c>
      <c r="AD893" s="51"/>
      <c r="AE893" s="51"/>
      <c r="AF893" s="51"/>
      <c r="AG893" s="51" t="s">
        <v>2757</v>
      </c>
      <c r="AH893" s="85"/>
    </row>
    <row r="894" spans="1:34" x14ac:dyDescent="0.3">
      <c r="A894" s="51">
        <f t="shared" si="26"/>
        <v>1510205119</v>
      </c>
      <c r="B894" s="51" t="s">
        <v>156</v>
      </c>
      <c r="C894" s="51" t="s">
        <v>1296</v>
      </c>
      <c r="D894" s="51" t="str">
        <f>"Monster.Name."&amp;VLOOKUP($C894,'#Data'!$B$2:$J$344,2,FALSE)</f>
        <v>Monster.Name.silhouette_flyer_4</v>
      </c>
      <c r="E894" s="51" t="s">
        <v>143</v>
      </c>
      <c r="F894" s="52" t="s">
        <v>44</v>
      </c>
      <c r="G894" s="51" t="s">
        <v>45</v>
      </c>
      <c r="H894" s="51" t="b">
        <f>IF(OR(VLOOKUP($C894,'#Data'!$B$2:$J$344,4,FALSE)="보스",VLOOKUP($C894,'#Data'!$B$2:$J$344,4,FALSE)="중간"),TRUE,FALSE)</f>
        <v>0</v>
      </c>
      <c r="I894" s="51" t="b">
        <v>0</v>
      </c>
      <c r="J894" s="51">
        <v>10</v>
      </c>
      <c r="K894" s="51">
        <f t="shared" si="27"/>
        <v>10</v>
      </c>
      <c r="L894" s="61" t="s">
        <v>1370</v>
      </c>
      <c r="M894" s="61"/>
      <c r="N894" s="61"/>
      <c r="O894" s="132" t="s">
        <v>1376</v>
      </c>
      <c r="P894" s="131" t="s">
        <v>2039</v>
      </c>
      <c r="Q894" s="132" t="s">
        <v>1958</v>
      </c>
      <c r="R894" s="62"/>
      <c r="S894" s="62"/>
      <c r="T894" s="62"/>
      <c r="U894" s="62"/>
      <c r="V894" s="51" t="b">
        <v>0</v>
      </c>
      <c r="W894" s="51" t="str">
        <f>"Character/Prefabs/"&amp;VLOOKUP($C894,'#Data'!$B$3:$I$344,8,FALSE)</f>
        <v>Character/Prefabs/m_m_supporter_silhouette_flyer_4</v>
      </c>
      <c r="X894" s="51"/>
      <c r="Y894" s="104" t="s">
        <v>1410</v>
      </c>
      <c r="Z894" s="51"/>
      <c r="AA894" s="51"/>
      <c r="AB894" s="51"/>
      <c r="AC894" s="86">
        <v>0.8</v>
      </c>
      <c r="AD894" s="51"/>
      <c r="AE894" s="51"/>
      <c r="AF894" s="51"/>
      <c r="AG894" s="51" t="s">
        <v>2757</v>
      </c>
      <c r="AH894" s="85"/>
    </row>
    <row r="895" spans="1:34" x14ac:dyDescent="0.3">
      <c r="A895" s="51">
        <f t="shared" si="26"/>
        <v>1510205120</v>
      </c>
      <c r="B895" s="51" t="s">
        <v>156</v>
      </c>
      <c r="C895" s="51" t="s">
        <v>1298</v>
      </c>
      <c r="D895" s="51" t="str">
        <f>"Monster.Name."&amp;VLOOKUP($C895,'#Data'!$B$2:$J$344,2,FALSE)</f>
        <v>Monster.Name.harbor_cannon_2</v>
      </c>
      <c r="E895" s="51" t="s">
        <v>47</v>
      </c>
      <c r="F895" s="52" t="s">
        <v>44</v>
      </c>
      <c r="G895" s="51" t="s">
        <v>45</v>
      </c>
      <c r="H895" s="51" t="b">
        <f>IF(OR(VLOOKUP($C895,'#Data'!$B$2:$J$344,4,FALSE)="보스",VLOOKUP($C895,'#Data'!$B$2:$J$344,4,FALSE)="중간"),TRUE,FALSE)</f>
        <v>0</v>
      </c>
      <c r="I895" s="51" t="b">
        <v>0</v>
      </c>
      <c r="J895" s="51">
        <v>10</v>
      </c>
      <c r="K895" s="51">
        <f t="shared" si="27"/>
        <v>20</v>
      </c>
      <c r="L895" s="61" t="s">
        <v>1371</v>
      </c>
      <c r="M895" s="61"/>
      <c r="N895" s="61"/>
      <c r="O895" s="132" t="s">
        <v>1377</v>
      </c>
      <c r="P895" s="131" t="s">
        <v>2040</v>
      </c>
      <c r="Q895" s="132" t="s">
        <v>1958</v>
      </c>
      <c r="R895" s="62"/>
      <c r="S895" s="62"/>
      <c r="T895" s="62"/>
      <c r="U895" s="62"/>
      <c r="V895" s="51" t="b">
        <v>0</v>
      </c>
      <c r="W895" s="51" t="str">
        <f>"Character/Prefabs/"&amp;VLOOKUP($C895,'#Data'!$B$3:$I$344,8,FALSE)</f>
        <v>Character/Prefabs/m_m_ranger_harbor_cannon_2</v>
      </c>
      <c r="X895" s="51"/>
      <c r="Y895" s="104" t="s">
        <v>1411</v>
      </c>
      <c r="Z895" s="51"/>
      <c r="AA895" s="51"/>
      <c r="AB895" s="51"/>
      <c r="AC895" s="86">
        <v>0.7</v>
      </c>
      <c r="AD895" s="51"/>
      <c r="AE895" s="51"/>
      <c r="AF895" s="51"/>
      <c r="AG895" s="51" t="s">
        <v>2757</v>
      </c>
      <c r="AH895" s="85"/>
    </row>
    <row r="896" spans="1:34" x14ac:dyDescent="0.3">
      <c r="A896" s="37">
        <f t="shared" si="26"/>
        <v>1510205201</v>
      </c>
      <c r="B896" s="37" t="s">
        <v>156</v>
      </c>
      <c r="C896" s="37" t="s">
        <v>167</v>
      </c>
      <c r="D896" s="37" t="str">
        <f>"Monster.Name."&amp;VLOOKUP($C896,'#Data'!$B$2:$J$344,2,FALSE)</f>
        <v>Monster.Name.labsuit_gun_1</v>
      </c>
      <c r="E896" s="37" t="s">
        <v>47</v>
      </c>
      <c r="F896" s="38" t="s">
        <v>44</v>
      </c>
      <c r="G896" s="37" t="s">
        <v>45</v>
      </c>
      <c r="H896" s="37" t="b">
        <f>IF(OR(VLOOKUP($C896,'#Data'!$B$2:$J$344,4,FALSE)="보스",VLOOKUP($C896,'#Data'!$B$2:$J$344,4,FALSE)="중간"),TRUE,FALSE)</f>
        <v>1</v>
      </c>
      <c r="I896" s="37" t="b">
        <v>1</v>
      </c>
      <c r="J896" s="37">
        <v>10</v>
      </c>
      <c r="K896" s="37">
        <f t="shared" si="27"/>
        <v>10</v>
      </c>
      <c r="L896" s="59" t="str">
        <f>$B896&amp;"."&amp;VLOOKUP($C896,'#Data'!$B$2:$J$344,2,FALSE)&amp;".attack0"&amp;RIGHT(L$1,1)</f>
        <v>Sector05.labsuit_gun_1.attack01</v>
      </c>
      <c r="M896" s="59"/>
      <c r="N896" s="59"/>
      <c r="O896" s="131" t="str">
        <f>$B896&amp;"."&amp;VLOOKUP($C896,'#Data'!$B$2:$J$344,2,FALSE)&amp;".skill0"&amp;RIGHT(O$1,1)</f>
        <v>Sector05.labsuit_gun_1.skill01</v>
      </c>
      <c r="P896" s="131" t="str">
        <f>$B896&amp;"."&amp;VLOOKUP($C896,'#Data'!$B$2:$J$344,2,FALSE)&amp;".skill0"&amp;RIGHT(P$1,1)</f>
        <v>Sector05.labsuit_gun_1.skill02</v>
      </c>
      <c r="Q896" s="131" t="str">
        <f>$B896&amp;"."&amp;VLOOKUP($C896,'#Data'!$B$2:$J$344,2,FALSE)&amp;".skill0"&amp;RIGHT(Q$1,1)</f>
        <v>Sector05.labsuit_gun_1.skill03</v>
      </c>
      <c r="R896" s="60" t="s">
        <v>1958</v>
      </c>
      <c r="S896" s="60" t="s">
        <v>2078</v>
      </c>
      <c r="T896" s="60"/>
      <c r="U896" s="60"/>
      <c r="V896" s="37" t="b">
        <v>0</v>
      </c>
      <c r="W896" s="37" t="str">
        <f>"Character/Prefabs/"&amp;VLOOKUP($C896,'#Data'!$B$3:$I$344,8,FALSE)</f>
        <v>Character/Prefabs/m_l_ranger_labsuit_gun_1</v>
      </c>
      <c r="X896" s="37"/>
      <c r="Y896" s="37" t="str">
        <f>VLOOKUP($C896,'#Data'!$B$3:$I$344,8,FALSE)</f>
        <v>m_l_ranger_labsuit_gun_1</v>
      </c>
      <c r="Z896" s="37"/>
      <c r="AA896" s="37"/>
      <c r="AB896" s="37"/>
      <c r="AC896" s="84">
        <v>1.2</v>
      </c>
      <c r="AD896" s="37"/>
      <c r="AE896" s="37"/>
      <c r="AF896" s="37"/>
      <c r="AG896" s="37" t="s">
        <v>2757</v>
      </c>
      <c r="AH896" s="85"/>
    </row>
    <row r="897" spans="1:34" x14ac:dyDescent="0.3">
      <c r="A897" s="37">
        <f t="shared" si="26"/>
        <v>1510205202</v>
      </c>
      <c r="B897" s="37" t="s">
        <v>156</v>
      </c>
      <c r="C897" s="37" t="s">
        <v>168</v>
      </c>
      <c r="D897" s="37" t="str">
        <f>"Monster.Name."&amp;VLOOKUP($C897,'#Data'!$B$2:$J$344,2,FALSE)</f>
        <v>Monster.Name.labmecha_punch_1</v>
      </c>
      <c r="E897" s="37" t="s">
        <v>58</v>
      </c>
      <c r="F897" s="38" t="s">
        <v>44</v>
      </c>
      <c r="G897" s="37" t="s">
        <v>45</v>
      </c>
      <c r="H897" s="37" t="b">
        <f>IF(OR(VLOOKUP($C897,'#Data'!$B$2:$J$344,4,FALSE)="보스",VLOOKUP($C897,'#Data'!$B$2:$J$344,4,FALSE)="중간"),TRUE,FALSE)</f>
        <v>1</v>
      </c>
      <c r="I897" s="37" t="b">
        <v>1</v>
      </c>
      <c r="J897" s="37">
        <v>20</v>
      </c>
      <c r="K897" s="37">
        <f t="shared" si="27"/>
        <v>10</v>
      </c>
      <c r="L897" s="59" t="str">
        <f>$B897&amp;"."&amp;VLOOKUP($C897,'#Data'!$B$2:$J$344,2,FALSE)&amp;".attack0"&amp;RIGHT(L$1,1)</f>
        <v>Sector05.labmecha_punch_1.attack01</v>
      </c>
      <c r="M897" s="59"/>
      <c r="N897" s="59"/>
      <c r="O897" s="131" t="str">
        <f>$B897&amp;"."&amp;VLOOKUP($C897,'#Data'!$B$2:$J$344,2,FALSE)&amp;".skill0"&amp;RIGHT(O$1,1)</f>
        <v>Sector05.labmecha_punch_1.skill01</v>
      </c>
      <c r="P897" s="131" t="str">
        <f>$B897&amp;"."&amp;VLOOKUP($C897,'#Data'!$B$2:$J$344,2,FALSE)&amp;".skill0"&amp;RIGHT(P$1,1)</f>
        <v>Sector05.labmecha_punch_1.skill02</v>
      </c>
      <c r="Q897" s="131" t="str">
        <f>$B897&amp;"."&amp;VLOOKUP($C897,'#Data'!$B$2:$J$344,2,FALSE)&amp;".skill0"&amp;RIGHT(Q$1,1)</f>
        <v>Sector05.labmecha_punch_1.skill03</v>
      </c>
      <c r="R897" s="60" t="s">
        <v>1958</v>
      </c>
      <c r="S897" s="60" t="s">
        <v>2078</v>
      </c>
      <c r="T897" s="60"/>
      <c r="U897" s="60"/>
      <c r="V897" s="37" t="b">
        <v>0</v>
      </c>
      <c r="W897" s="37" t="str">
        <f>"Character/Prefabs/"&amp;VLOOKUP($C897,'#Data'!$B$3:$I$344,8,FALSE)</f>
        <v>Character/Prefabs/m_l_tanker_labmecha_punch_1</v>
      </c>
      <c r="X897" s="37"/>
      <c r="Y897" s="37" t="str">
        <f>VLOOKUP($C897,'#Data'!$B$3:$I$344,8,FALSE)</f>
        <v>m_l_tanker_labmecha_punch_1</v>
      </c>
      <c r="Z897" s="37"/>
      <c r="AA897" s="37"/>
      <c r="AB897" s="37"/>
      <c r="AC897" s="84">
        <v>0.9</v>
      </c>
      <c r="AD897" s="37"/>
      <c r="AE897" s="37"/>
      <c r="AF897" s="37"/>
      <c r="AG897" s="37" t="s">
        <v>2757</v>
      </c>
      <c r="AH897" s="85"/>
    </row>
    <row r="898" spans="1:34" x14ac:dyDescent="0.3">
      <c r="A898" s="37">
        <f t="shared" si="26"/>
        <v>1510205203</v>
      </c>
      <c r="B898" s="37" t="s">
        <v>156</v>
      </c>
      <c r="C898" s="37" t="s">
        <v>169</v>
      </c>
      <c r="D898" s="37" t="str">
        <f>"Monster.Name."&amp;VLOOKUP($C898,'#Data'!$B$2:$J$344,2,FALSE)</f>
        <v>Monster.Name.labsuit_cannon_1</v>
      </c>
      <c r="E898" s="37" t="s">
        <v>47</v>
      </c>
      <c r="F898" s="38" t="s">
        <v>44</v>
      </c>
      <c r="G898" s="37" t="s">
        <v>45</v>
      </c>
      <c r="H898" s="37" t="b">
        <f>IF(OR(VLOOKUP($C898,'#Data'!$B$2:$J$344,4,FALSE)="보스",VLOOKUP($C898,'#Data'!$B$2:$J$344,4,FALSE)="중간"),TRUE,FALSE)</f>
        <v>1</v>
      </c>
      <c r="I898" s="37" t="b">
        <v>1</v>
      </c>
      <c r="J898" s="37">
        <v>10</v>
      </c>
      <c r="K898" s="37">
        <f t="shared" si="27"/>
        <v>10</v>
      </c>
      <c r="L898" s="59" t="str">
        <f>$B898&amp;"."&amp;VLOOKUP($C898,'#Data'!$B$2:$J$344,2,FALSE)&amp;".attack0"&amp;RIGHT(L$1,1)</f>
        <v>Sector05.labsuit_cannon_1.attack01</v>
      </c>
      <c r="M898" s="59"/>
      <c r="N898" s="59"/>
      <c r="O898" s="131" t="str">
        <f>$B898&amp;"."&amp;VLOOKUP($C898,'#Data'!$B$2:$J$344,2,FALSE)&amp;".skill0"&amp;RIGHT(O$1,1)</f>
        <v>Sector05.labsuit_cannon_1.skill01</v>
      </c>
      <c r="P898" s="131" t="str">
        <f>$B898&amp;"."&amp;VLOOKUP($C898,'#Data'!$B$2:$J$344,2,FALSE)&amp;".skill0"&amp;RIGHT(P$1,1)</f>
        <v>Sector05.labsuit_cannon_1.skill02</v>
      </c>
      <c r="Q898" s="131" t="str">
        <f>$B898&amp;"."&amp;VLOOKUP($C898,'#Data'!$B$2:$J$344,2,FALSE)&amp;".skill0"&amp;RIGHT(Q$1,1)</f>
        <v>Sector05.labsuit_cannon_1.skill03</v>
      </c>
      <c r="R898" s="60" t="s">
        <v>1958</v>
      </c>
      <c r="S898" s="60" t="s">
        <v>2078</v>
      </c>
      <c r="T898" s="60"/>
      <c r="U898" s="60"/>
      <c r="V898" s="37" t="b">
        <v>0</v>
      </c>
      <c r="W898" s="37" t="str">
        <f>"Character/Prefabs/"&amp;VLOOKUP($C898,'#Data'!$B$3:$I$344,8,FALSE)</f>
        <v>Character/Prefabs/m_l_ranger_labsuit_cannon_1</v>
      </c>
      <c r="X898" s="37"/>
      <c r="Y898" s="37" t="str">
        <f>VLOOKUP($C898,'#Data'!$B$3:$I$344,8,FALSE)</f>
        <v>m_l_ranger_labsuit_cannon_1</v>
      </c>
      <c r="Z898" s="37"/>
      <c r="AA898" s="37"/>
      <c r="AB898" s="37"/>
      <c r="AC898" s="84">
        <v>0.9</v>
      </c>
      <c r="AD898" s="37"/>
      <c r="AE898" s="37"/>
      <c r="AF898" s="37"/>
      <c r="AG898" s="37" t="s">
        <v>2757</v>
      </c>
      <c r="AH898" s="85"/>
    </row>
    <row r="899" spans="1:34" x14ac:dyDescent="0.3">
      <c r="A899" s="77">
        <f t="shared" si="26"/>
        <v>1510205301</v>
      </c>
      <c r="B899" s="77" t="s">
        <v>156</v>
      </c>
      <c r="C899" s="77" t="s">
        <v>170</v>
      </c>
      <c r="D899" s="77" t="str">
        <f>"Monster.Name."&amp;VLOOKUP($C899,'#Data'!$B$2:$J$344,2,FALSE)</f>
        <v>Monster.Name.goliath_1</v>
      </c>
      <c r="E899" s="77" t="s">
        <v>43</v>
      </c>
      <c r="F899" s="78" t="s">
        <v>44</v>
      </c>
      <c r="G899" s="77" t="s">
        <v>45</v>
      </c>
      <c r="H899" s="77" t="b">
        <f>IF(OR(VLOOKUP($C899,'#Data'!$B$2:$J$344,4,FALSE)="보스",VLOOKUP($C899,'#Data'!$B$2:$J$344,4,FALSE)="중간"),TRUE,FALSE)</f>
        <v>1</v>
      </c>
      <c r="I899" s="77" t="b">
        <v>1</v>
      </c>
      <c r="J899" s="77">
        <v>20</v>
      </c>
      <c r="K899" s="77">
        <f t="shared" si="27"/>
        <v>10</v>
      </c>
      <c r="L899" s="79" t="str">
        <f>$B899&amp;"."&amp;VLOOKUP($C899,'#Data'!$B$2:$J$344,2,FALSE)&amp;".attack0"&amp;RIGHT(L$1,1)</f>
        <v>Sector05.goliath_1.attack01</v>
      </c>
      <c r="M899" s="79" t="str">
        <f>$B899&amp;"."&amp;VLOOKUP($C899,'#Data'!$B$2:$J$344,2,FALSE)&amp;".attack0"&amp;RIGHT(M$1,1)</f>
        <v>Sector05.goliath_1.attack02</v>
      </c>
      <c r="N899" s="79"/>
      <c r="O899" s="133" t="str">
        <f>$B899&amp;"."&amp;VLOOKUP($C899,'#Data'!$B$2:$J$344,2,FALSE)&amp;".skill0"&amp;RIGHT(O$1,1)</f>
        <v>Sector05.goliath_1.skill01</v>
      </c>
      <c r="P899" s="133" t="str">
        <f>$B899&amp;"."&amp;VLOOKUP($C899,'#Data'!$B$2:$J$344,2,FALSE)&amp;".skill0"&amp;RIGHT(P$1,1)</f>
        <v>Sector05.goliath_1.skill02</v>
      </c>
      <c r="Q899" s="133" t="str">
        <f>$B899&amp;"."&amp;VLOOKUP($C899,'#Data'!$B$2:$J$344,2,FALSE)&amp;".skill0"&amp;RIGHT(Q$1,1)</f>
        <v>Sector05.goliath_1.skill03</v>
      </c>
      <c r="R899" s="80" t="s">
        <v>171</v>
      </c>
      <c r="S899" s="80" t="s">
        <v>1973</v>
      </c>
      <c r="T899" s="80"/>
      <c r="U899" s="80"/>
      <c r="V899" s="77" t="b">
        <v>0</v>
      </c>
      <c r="W899" s="164" t="str">
        <f>"Character/Prefabs/"&amp;VLOOKUP($C899,'#Data'!$B$3:$I$344,8,FALSE)</f>
        <v>Character/Prefabs/m_boss_attacker_goliath_1</v>
      </c>
      <c r="X899" s="164"/>
      <c r="Y899" s="164" t="str">
        <f>VLOOKUP($C899,'#Data'!$B$3:$I$344,8,FALSE)</f>
        <v>m_boss_attacker_goliath_1</v>
      </c>
      <c r="Z899" s="77"/>
      <c r="AA899" s="77"/>
      <c r="AB899" s="77"/>
      <c r="AC899" s="87">
        <v>1.4</v>
      </c>
      <c r="AD899" s="77"/>
      <c r="AE899" s="77" t="s">
        <v>172</v>
      </c>
      <c r="AF899" s="77" t="s">
        <v>173</v>
      </c>
      <c r="AG899" s="77" t="s">
        <v>2757</v>
      </c>
      <c r="AH899" s="85"/>
    </row>
    <row r="900" spans="1:34" x14ac:dyDescent="0.3">
      <c r="A900" s="77">
        <f t="shared" si="26"/>
        <v>1510205302</v>
      </c>
      <c r="B900" s="77" t="s">
        <v>156</v>
      </c>
      <c r="C900" s="77" t="s">
        <v>1971</v>
      </c>
      <c r="D900" s="77" t="str">
        <f>"Monster.Name."&amp;VLOOKUP($C900,'#Data'!$B$2:$J$344,2,FALSE)</f>
        <v>Monster.Name.goliath_4</v>
      </c>
      <c r="E900" s="77" t="s">
        <v>43</v>
      </c>
      <c r="F900" s="78" t="s">
        <v>44</v>
      </c>
      <c r="G900" s="77" t="s">
        <v>45</v>
      </c>
      <c r="H900" s="77" t="b">
        <f>IF(OR(VLOOKUP($C900,'#Data'!$B$2:$J$344,4,FALSE)="보스",VLOOKUP($C900,'#Data'!$B$2:$J$344,4,FALSE)="중간"),TRUE,FALSE)</f>
        <v>1</v>
      </c>
      <c r="I900" s="77" t="b">
        <v>1</v>
      </c>
      <c r="J900" s="77">
        <v>20</v>
      </c>
      <c r="K900" s="77">
        <f t="shared" si="27"/>
        <v>10</v>
      </c>
      <c r="L900" s="79" t="str">
        <f>$B900&amp;"."&amp;VLOOKUP($C900,'#Data'!$B$2:$J$344,2,FALSE)&amp;".attack0"&amp;RIGHT(L$1,1)</f>
        <v>Sector05.goliath_4.attack01</v>
      </c>
      <c r="M900" s="79" t="str">
        <f>$B900&amp;"."&amp;VLOOKUP($C900,'#Data'!$B$2:$J$344,2,FALSE)&amp;".attack0"&amp;RIGHT(M$1,1)</f>
        <v>Sector05.goliath_4.attack02</v>
      </c>
      <c r="N900" s="79"/>
      <c r="O900" s="133" t="str">
        <f>$B900&amp;"."&amp;VLOOKUP($C900,'#Data'!$B$2:$J$344,2,FALSE)&amp;".skill0"&amp;RIGHT(O$1,1)</f>
        <v>Sector05.goliath_4.skill01</v>
      </c>
      <c r="P900" s="133" t="str">
        <f>$B900&amp;"."&amp;VLOOKUP($C900,'#Data'!$B$2:$J$344,2,FALSE)&amp;".skill0"&amp;RIGHT(P$1,1)</f>
        <v>Sector05.goliath_4.skill02</v>
      </c>
      <c r="Q900" s="133" t="str">
        <f>$B900&amp;"."&amp;VLOOKUP($C900,'#Data'!$B$2:$J$344,2,FALSE)&amp;".skill0"&amp;RIGHT(Q$1,1)</f>
        <v>Sector05.goliath_4.skill03</v>
      </c>
      <c r="R900" s="80" t="s">
        <v>2084</v>
      </c>
      <c r="S900" s="80" t="s">
        <v>2085</v>
      </c>
      <c r="T900" s="80"/>
      <c r="U900" s="80"/>
      <c r="V900" s="77" t="b">
        <v>0</v>
      </c>
      <c r="W900" s="164" t="str">
        <f>"Character/Prefabs/"&amp;VLOOKUP($C900,'#Data'!$B$3:$I$344,8,FALSE)</f>
        <v>Character/Prefabs/m_boss_attacker_goliath_4</v>
      </c>
      <c r="X900" s="164"/>
      <c r="Y900" s="164" t="str">
        <f>VLOOKUP($C900,'#Data'!$B$3:$I$344,8,FALSE)</f>
        <v>m_boss_attacker_goliath_4</v>
      </c>
      <c r="Z900" s="77"/>
      <c r="AA900" s="77"/>
      <c r="AB900" s="77"/>
      <c r="AC900" s="87">
        <v>1.4</v>
      </c>
      <c r="AD900" s="77"/>
      <c r="AE900" s="77" t="s">
        <v>2081</v>
      </c>
      <c r="AF900" s="77" t="s">
        <v>2097</v>
      </c>
      <c r="AG900" s="77" t="s">
        <v>2757</v>
      </c>
      <c r="AH900" s="85"/>
    </row>
    <row r="901" spans="1:34" x14ac:dyDescent="0.3">
      <c r="A901" s="12">
        <f t="shared" si="26"/>
        <v>1510206101</v>
      </c>
      <c r="B901" s="12" t="s">
        <v>174</v>
      </c>
      <c r="C901" s="12" t="s">
        <v>175</v>
      </c>
      <c r="D901" s="12" t="str">
        <f>"Monster.Name."&amp;VLOOKUP($C901,'#Data'!$B$2:$J$344,2,FALSE)</f>
        <v>Monster.Name.polluter_patrol_1</v>
      </c>
      <c r="E901" s="12" t="s">
        <v>43</v>
      </c>
      <c r="F901" s="39" t="s">
        <v>44</v>
      </c>
      <c r="G901" s="12" t="s">
        <v>45</v>
      </c>
      <c r="H901" s="12" t="b">
        <f>IF(OR(VLOOKUP($C901,'#Data'!$B$2:$J$344,4,FALSE)="보스",VLOOKUP($C901,'#Data'!$B$2:$J$344,4,FALSE)="중간"),TRUE,FALSE)</f>
        <v>0</v>
      </c>
      <c r="I901" s="12" t="b">
        <v>0</v>
      </c>
      <c r="J901" s="12">
        <v>10</v>
      </c>
      <c r="K901" s="12">
        <f t="shared" si="27"/>
        <v>10</v>
      </c>
      <c r="L901" s="63" t="str">
        <f>$B901&amp;"."&amp;VLOOKUP($C901,'#Data'!$B$2:$J$344,2,FALSE)&amp;".attack0"&amp;RIGHT(L$1,1)</f>
        <v>Sector06.polluter_patrol_1.attack01</v>
      </c>
      <c r="M901" s="63"/>
      <c r="N901" s="63"/>
      <c r="O901" s="134" t="s">
        <v>2041</v>
      </c>
      <c r="P901" s="134"/>
      <c r="Q901" s="134"/>
      <c r="R901" s="64"/>
      <c r="S901" s="64"/>
      <c r="T901" s="64"/>
      <c r="U901" s="64"/>
      <c r="V901" s="12" t="b">
        <v>0</v>
      </c>
      <c r="W901" s="12" t="str">
        <f>"Character/Prefabs/"&amp;VLOOKUP($C901,'#Data'!$B$3:$I$344,8,FALSE)</f>
        <v>Character/Prefabs/m_s_attacker_polluter_patrol_1</v>
      </c>
      <c r="X901" s="12"/>
      <c r="Y901" s="12" t="str">
        <f>VLOOKUP($C901,'#Data'!$B$3:$I$344,8,FALSE)</f>
        <v>m_s_attacker_polluter_patrol_1</v>
      </c>
      <c r="Z901" s="12"/>
      <c r="AA901" s="12"/>
      <c r="AB901" s="12"/>
      <c r="AC901" s="88">
        <v>0.9</v>
      </c>
      <c r="AD901" s="12"/>
      <c r="AE901" s="12"/>
      <c r="AF901" s="12"/>
      <c r="AG901" s="12" t="s">
        <v>2757</v>
      </c>
      <c r="AH901" s="85"/>
    </row>
    <row r="902" spans="1:34" x14ac:dyDescent="0.3">
      <c r="A902" s="12">
        <f t="shared" si="26"/>
        <v>1510206102</v>
      </c>
      <c r="B902" s="12" t="s">
        <v>174</v>
      </c>
      <c r="C902" s="12" t="s">
        <v>176</v>
      </c>
      <c r="D902" s="12" t="str">
        <f>"Monster.Name."&amp;VLOOKUP($C902,'#Data'!$B$2:$J$344,2,FALSE)</f>
        <v>Monster.Name.polluter_eyeball_1</v>
      </c>
      <c r="E902" s="12" t="s">
        <v>47</v>
      </c>
      <c r="F902" s="39" t="s">
        <v>44</v>
      </c>
      <c r="G902" s="12" t="s">
        <v>45</v>
      </c>
      <c r="H902" s="12" t="b">
        <f>IF(OR(VLOOKUP($C902,'#Data'!$B$2:$J$344,4,FALSE)="보스",VLOOKUP($C902,'#Data'!$B$2:$J$344,4,FALSE)="중간"),TRUE,FALSE)</f>
        <v>0</v>
      </c>
      <c r="I902" s="12" t="b">
        <v>0</v>
      </c>
      <c r="J902" s="12">
        <v>10</v>
      </c>
      <c r="K902" s="12">
        <f t="shared" si="27"/>
        <v>10</v>
      </c>
      <c r="L902" s="63" t="str">
        <f>$B902&amp;"."&amp;VLOOKUP($C902,'#Data'!$B$2:$J$344,2,FALSE)&amp;".attack0"&amp;RIGHT(L$1,1)</f>
        <v>Sector06.polluter_eyeball_1.attack01</v>
      </c>
      <c r="M902" s="63"/>
      <c r="N902" s="63"/>
      <c r="O902" s="134" t="s">
        <v>2042</v>
      </c>
      <c r="P902" s="134"/>
      <c r="Q902" s="134"/>
      <c r="R902" s="64"/>
      <c r="S902" s="64"/>
      <c r="T902" s="64"/>
      <c r="U902" s="64"/>
      <c r="V902" s="12" t="b">
        <v>0</v>
      </c>
      <c r="W902" s="12" t="str">
        <f>"Character/Prefabs/"&amp;VLOOKUP($C902,'#Data'!$B$3:$I$344,8,FALSE)</f>
        <v>Character/Prefabs/m_s_ranger_polluter_eyeball_1</v>
      </c>
      <c r="X902" s="12"/>
      <c r="Y902" s="12" t="str">
        <f>VLOOKUP($C902,'#Data'!$B$3:$I$344,8,FALSE)</f>
        <v>m_s_ranger_polluter_eyeball_1</v>
      </c>
      <c r="Z902" s="12"/>
      <c r="AA902" s="12"/>
      <c r="AB902" s="12"/>
      <c r="AC902" s="88">
        <v>0.9</v>
      </c>
      <c r="AD902" s="12"/>
      <c r="AE902" s="12"/>
      <c r="AF902" s="12"/>
      <c r="AG902" s="12" t="s">
        <v>2757</v>
      </c>
      <c r="AH902" s="85"/>
    </row>
    <row r="903" spans="1:34" x14ac:dyDescent="0.3">
      <c r="A903" s="12">
        <f t="shared" si="26"/>
        <v>1510206103</v>
      </c>
      <c r="B903" s="12" t="s">
        <v>174</v>
      </c>
      <c r="C903" s="12" t="s">
        <v>177</v>
      </c>
      <c r="D903" s="12" t="str">
        <f>"Monster.Name."&amp;VLOOKUP($C903,'#Data'!$B$2:$J$344,2,FALSE)</f>
        <v>Monster.Name.polluter_exploder_1</v>
      </c>
      <c r="E903" s="12" t="s">
        <v>43</v>
      </c>
      <c r="F903" s="39" t="s">
        <v>44</v>
      </c>
      <c r="G903" s="12" t="s">
        <v>45</v>
      </c>
      <c r="H903" s="12" t="b">
        <f>IF(OR(VLOOKUP($C903,'#Data'!$B$2:$J$344,4,FALSE)="보스",VLOOKUP($C903,'#Data'!$B$2:$J$344,4,FALSE)="중간"),TRUE,FALSE)</f>
        <v>0</v>
      </c>
      <c r="I903" s="12" t="b">
        <v>0</v>
      </c>
      <c r="J903" s="12">
        <v>10</v>
      </c>
      <c r="K903" s="12">
        <f t="shared" si="27"/>
        <v>10</v>
      </c>
      <c r="L903" s="63" t="str">
        <f>$B903&amp;"."&amp;VLOOKUP($C903,'#Data'!$B$2:$J$344,2,FALSE)&amp;".attack0"&amp;RIGHT(L$1,1)</f>
        <v>Sector06.polluter_exploder_1.attack01</v>
      </c>
      <c r="M903" s="63"/>
      <c r="N903" s="63"/>
      <c r="O903" s="134" t="str">
        <f>$B903&amp;"."&amp;VLOOKUP($C903,'#Data'!$B$2:$J$344,2,FALSE)&amp;".skill0"&amp;RIGHT(O$1,1)</f>
        <v>Sector06.polluter_exploder_1.skill01</v>
      </c>
      <c r="P903" s="134" t="s">
        <v>2043</v>
      </c>
      <c r="Q903" s="134"/>
      <c r="R903" s="64"/>
      <c r="S903" s="64"/>
      <c r="T903" s="64"/>
      <c r="U903" s="64"/>
      <c r="V903" s="12" t="b">
        <v>0</v>
      </c>
      <c r="W903" s="12" t="str">
        <f>"Character/Prefabs/"&amp;VLOOKUP($C903,'#Data'!$B$3:$I$344,8,FALSE)</f>
        <v>Character/Prefabs/m_s_attacker_polluter_exploder_1</v>
      </c>
      <c r="X903" s="12"/>
      <c r="Y903" s="12" t="str">
        <f>VLOOKUP($C903,'#Data'!$B$3:$I$344,8,FALSE)</f>
        <v>m_s_attacker_polluter_exploder_1</v>
      </c>
      <c r="Z903" s="12"/>
      <c r="AA903" s="12"/>
      <c r="AB903" s="12"/>
      <c r="AC903" s="88">
        <v>0.9</v>
      </c>
      <c r="AD903" s="12"/>
      <c r="AE903" s="12"/>
      <c r="AF903" s="12"/>
      <c r="AG903" s="12" t="s">
        <v>2757</v>
      </c>
      <c r="AH903" s="85"/>
    </row>
    <row r="904" spans="1:34" x14ac:dyDescent="0.3">
      <c r="A904" s="12">
        <f t="shared" si="26"/>
        <v>1510206104</v>
      </c>
      <c r="B904" s="12" t="s">
        <v>174</v>
      </c>
      <c r="C904" s="12" t="s">
        <v>178</v>
      </c>
      <c r="D904" s="12" t="str">
        <f>"Monster.Name."&amp;VLOOKUP($C904,'#Data'!$B$2:$J$344,2,FALSE)</f>
        <v>Monster.Name.polluter_1</v>
      </c>
      <c r="E904" s="12" t="s">
        <v>43</v>
      </c>
      <c r="F904" s="39" t="s">
        <v>44</v>
      </c>
      <c r="G904" s="12" t="s">
        <v>45</v>
      </c>
      <c r="H904" s="12" t="b">
        <f>IF(OR(VLOOKUP($C904,'#Data'!$B$2:$J$344,4,FALSE)="보스",VLOOKUP($C904,'#Data'!$B$2:$J$344,4,FALSE)="중간"),TRUE,FALSE)</f>
        <v>0</v>
      </c>
      <c r="I904" s="12" t="b">
        <v>0</v>
      </c>
      <c r="J904" s="12">
        <v>10</v>
      </c>
      <c r="K904" s="12">
        <f t="shared" si="27"/>
        <v>10</v>
      </c>
      <c r="L904" s="63" t="str">
        <f>$B904&amp;"."&amp;VLOOKUP($C904,'#Data'!$B$2:$J$344,2,FALSE)&amp;".attack0"&amp;RIGHT(L$1,1)</f>
        <v>Sector06.polluter_1.attack01</v>
      </c>
      <c r="M904" s="63"/>
      <c r="N904" s="63"/>
      <c r="O904" s="134" t="str">
        <f>$B904&amp;"."&amp;VLOOKUP($C904,'#Data'!$B$2:$J$344,2,FALSE)&amp;".skill0"&amp;RIGHT(O$1,1)</f>
        <v>Sector06.polluter_1.skill01</v>
      </c>
      <c r="P904" s="134" t="s">
        <v>2044</v>
      </c>
      <c r="Q904" s="134"/>
      <c r="R904" s="64"/>
      <c r="S904" s="64"/>
      <c r="T904" s="64"/>
      <c r="U904" s="64"/>
      <c r="V904" s="12" t="b">
        <v>0</v>
      </c>
      <c r="W904" s="12" t="str">
        <f>"Character/Prefabs/"&amp;VLOOKUP($C904,'#Data'!$B$3:$I$344,8,FALSE)</f>
        <v>Character/Prefabs/m_m_attacker_polluter_1</v>
      </c>
      <c r="X904" s="12"/>
      <c r="Y904" s="12" t="str">
        <f>VLOOKUP($C904,'#Data'!$B$3:$I$344,8,FALSE)</f>
        <v>m_m_attacker_polluter_1</v>
      </c>
      <c r="Z904" s="12"/>
      <c r="AA904" s="12"/>
      <c r="AB904" s="12"/>
      <c r="AC904" s="88">
        <v>0.6</v>
      </c>
      <c r="AD904" s="12"/>
      <c r="AE904" s="12"/>
      <c r="AF904" s="12"/>
      <c r="AG904" s="12" t="s">
        <v>2757</v>
      </c>
      <c r="AH904" s="85"/>
    </row>
    <row r="905" spans="1:34" x14ac:dyDescent="0.3">
      <c r="A905" s="12">
        <f t="shared" si="26"/>
        <v>1510206105</v>
      </c>
      <c r="B905" s="12" t="s">
        <v>174</v>
      </c>
      <c r="C905" s="12" t="s">
        <v>179</v>
      </c>
      <c r="D905" s="12" t="str">
        <f>"Monster.Name."&amp;VLOOKUP($C905,'#Data'!$B$2:$J$344,2,FALSE)</f>
        <v>Monster.Name.polluter_edge_1</v>
      </c>
      <c r="E905" s="12" t="s">
        <v>43</v>
      </c>
      <c r="F905" s="39" t="s">
        <v>44</v>
      </c>
      <c r="G905" s="12" t="s">
        <v>45</v>
      </c>
      <c r="H905" s="12" t="b">
        <f>IF(OR(VLOOKUP($C905,'#Data'!$B$2:$J$344,4,FALSE)="보스",VLOOKUP($C905,'#Data'!$B$2:$J$344,4,FALSE)="중간"),TRUE,FALSE)</f>
        <v>0</v>
      </c>
      <c r="I905" s="12" t="b">
        <v>0</v>
      </c>
      <c r="J905" s="12">
        <v>10</v>
      </c>
      <c r="K905" s="12">
        <f t="shared" si="27"/>
        <v>10</v>
      </c>
      <c r="L905" s="63" t="str">
        <f>$B905&amp;"."&amp;VLOOKUP($C905,'#Data'!$B$2:$J$344,2,FALSE)&amp;".attack0"&amp;RIGHT(L$1,1)</f>
        <v>Sector06.polluter_edge_1.attack01</v>
      </c>
      <c r="M905" s="63"/>
      <c r="N905" s="63"/>
      <c r="O905" s="134" t="str">
        <f>$B905&amp;"."&amp;VLOOKUP($C905,'#Data'!$B$2:$J$344,2,FALSE)&amp;".skill0"&amp;RIGHT(O$1,1)</f>
        <v>Sector06.polluter_edge_1.skill01</v>
      </c>
      <c r="P905" s="134" t="s">
        <v>2045</v>
      </c>
      <c r="Q905" s="134"/>
      <c r="R905" s="64"/>
      <c r="S905" s="64"/>
      <c r="T905" s="64"/>
      <c r="U905" s="64"/>
      <c r="V905" s="12" t="b">
        <v>0</v>
      </c>
      <c r="W905" s="12" t="str">
        <f>"Character/Prefabs/"&amp;VLOOKUP($C905,'#Data'!$B$3:$I$344,8,FALSE)</f>
        <v>Character/Prefabs/m_m_attacker_polluter_edge_1</v>
      </c>
      <c r="X905" s="12"/>
      <c r="Y905" s="12" t="str">
        <f>VLOOKUP($C905,'#Data'!$B$3:$I$344,8,FALSE)</f>
        <v>m_m_attacker_polluter_edge_1</v>
      </c>
      <c r="Z905" s="12"/>
      <c r="AA905" s="12"/>
      <c r="AB905" s="12"/>
      <c r="AC905" s="88">
        <v>0.6</v>
      </c>
      <c r="AD905" s="12"/>
      <c r="AE905" s="12"/>
      <c r="AF905" s="12"/>
      <c r="AG905" s="12" t="s">
        <v>2757</v>
      </c>
      <c r="AH905" s="85"/>
    </row>
    <row r="906" spans="1:34" x14ac:dyDescent="0.3">
      <c r="A906" s="12">
        <f t="shared" si="26"/>
        <v>1510206106</v>
      </c>
      <c r="B906" s="12" t="s">
        <v>174</v>
      </c>
      <c r="C906" s="12" t="s">
        <v>180</v>
      </c>
      <c r="D906" s="12" t="str">
        <f>"Monster.Name."&amp;VLOOKUP($C906,'#Data'!$B$2:$J$344,2,FALSE)</f>
        <v>Monster.Name.polluter_fluid_1</v>
      </c>
      <c r="E906" s="12" t="s">
        <v>47</v>
      </c>
      <c r="F906" s="39" t="s">
        <v>44</v>
      </c>
      <c r="G906" s="12" t="s">
        <v>45</v>
      </c>
      <c r="H906" s="12" t="b">
        <f>IF(OR(VLOOKUP($C906,'#Data'!$B$2:$J$344,4,FALSE)="보스",VLOOKUP($C906,'#Data'!$B$2:$J$344,4,FALSE)="중간"),TRUE,FALSE)</f>
        <v>0</v>
      </c>
      <c r="I906" s="12" t="b">
        <v>0</v>
      </c>
      <c r="J906" s="12">
        <v>10</v>
      </c>
      <c r="K906" s="12">
        <f t="shared" si="27"/>
        <v>10</v>
      </c>
      <c r="L906" s="63" t="str">
        <f>$B906&amp;"."&amp;VLOOKUP($C906,'#Data'!$B$2:$J$344,2,FALSE)&amp;".attack0"&amp;RIGHT(L$1,1)</f>
        <v>Sector06.polluter_fluid_1.attack01</v>
      </c>
      <c r="M906" s="63"/>
      <c r="N906" s="63"/>
      <c r="O906" s="134" t="str">
        <f>$B906&amp;"."&amp;VLOOKUP($C906,'#Data'!$B$2:$J$344,2,FALSE)&amp;".skill0"&amp;RIGHT(O$1,1)</f>
        <v>Sector06.polluter_fluid_1.skill01</v>
      </c>
      <c r="P906" s="134" t="s">
        <v>2046</v>
      </c>
      <c r="Q906" s="134"/>
      <c r="R906" s="64"/>
      <c r="S906" s="64"/>
      <c r="T906" s="64"/>
      <c r="U906" s="64"/>
      <c r="V906" s="12" t="b">
        <v>0</v>
      </c>
      <c r="W906" s="12" t="str">
        <f>"Character/Prefabs/"&amp;VLOOKUP($C906,'#Data'!$B$3:$I$344,8,FALSE)</f>
        <v>Character/Prefabs/m_m_ranger_polluter_fluid_1</v>
      </c>
      <c r="X906" s="12"/>
      <c r="Y906" s="12" t="str">
        <f>VLOOKUP($C906,'#Data'!$B$3:$I$344,8,FALSE)</f>
        <v>m_m_ranger_polluter_fluid_1</v>
      </c>
      <c r="Z906" s="12"/>
      <c r="AA906" s="12"/>
      <c r="AB906" s="12"/>
      <c r="AC906" s="88">
        <v>0.6</v>
      </c>
      <c r="AD906" s="12"/>
      <c r="AE906" s="12"/>
      <c r="AF906" s="12"/>
      <c r="AG906" s="12" t="s">
        <v>2757</v>
      </c>
      <c r="AH906" s="85"/>
    </row>
    <row r="907" spans="1:34" x14ac:dyDescent="0.3">
      <c r="A907" s="12">
        <f t="shared" ref="A907:A969" si="28">A714+100000000</f>
        <v>1510206107</v>
      </c>
      <c r="B907" s="12" t="s">
        <v>174</v>
      </c>
      <c r="C907" s="12" t="s">
        <v>181</v>
      </c>
      <c r="D907" s="12" t="str">
        <f>"Monster.Name."&amp;VLOOKUP($C907,'#Data'!$B$2:$J$344,2,FALSE)</f>
        <v>Monster.Name.polluter_liquid_1</v>
      </c>
      <c r="E907" s="12" t="s">
        <v>47</v>
      </c>
      <c r="F907" s="39" t="s">
        <v>44</v>
      </c>
      <c r="G907" s="12" t="s">
        <v>45</v>
      </c>
      <c r="H907" s="12" t="b">
        <f>IF(OR(VLOOKUP($C907,'#Data'!$B$2:$J$344,4,FALSE)="보스",VLOOKUP($C907,'#Data'!$B$2:$J$344,4,FALSE)="중간"),TRUE,FALSE)</f>
        <v>0</v>
      </c>
      <c r="I907" s="12" t="b">
        <v>0</v>
      </c>
      <c r="J907" s="12">
        <v>10</v>
      </c>
      <c r="K907" s="12">
        <f t="shared" ref="K907:K969" si="29">K714</f>
        <v>10</v>
      </c>
      <c r="L907" s="63" t="str">
        <f>$B907&amp;"."&amp;VLOOKUP($C907,'#Data'!$B$2:$J$344,2,FALSE)&amp;".attack0"&amp;RIGHT(L$1,1)</f>
        <v>Sector06.polluter_liquid_1.attack01</v>
      </c>
      <c r="M907" s="63"/>
      <c r="N907" s="63"/>
      <c r="O907" s="134" t="str">
        <f>$B907&amp;"."&amp;VLOOKUP($C907,'#Data'!$B$2:$J$344,2,FALSE)&amp;".skill0"&amp;RIGHT(O$1,1)</f>
        <v>Sector06.polluter_liquid_1.skill01</v>
      </c>
      <c r="P907" s="134" t="s">
        <v>2047</v>
      </c>
      <c r="Q907" s="134"/>
      <c r="R907" s="64"/>
      <c r="S907" s="64"/>
      <c r="T907" s="64"/>
      <c r="U907" s="64"/>
      <c r="V907" s="12" t="b">
        <v>0</v>
      </c>
      <c r="W907" s="12" t="str">
        <f>"Character/Prefabs/"&amp;VLOOKUP($C907,'#Data'!$B$3:$I$344,8,FALSE)</f>
        <v>Character/Prefabs/m_m_ranger_polluter_liquid_1</v>
      </c>
      <c r="X907" s="12"/>
      <c r="Y907" s="12" t="str">
        <f>VLOOKUP($C907,'#Data'!$B$3:$I$344,8,FALSE)</f>
        <v>m_m_ranger_polluter_liquid_1</v>
      </c>
      <c r="Z907" s="12"/>
      <c r="AA907" s="12"/>
      <c r="AB907" s="12"/>
      <c r="AC907" s="88">
        <v>0.6</v>
      </c>
      <c r="AD907" s="12"/>
      <c r="AE907" s="12"/>
      <c r="AF907" s="12"/>
      <c r="AG907" s="12" t="s">
        <v>2757</v>
      </c>
      <c r="AH907" s="85"/>
    </row>
    <row r="908" spans="1:34" x14ac:dyDescent="0.3">
      <c r="A908" s="12">
        <f t="shared" si="28"/>
        <v>1510206108</v>
      </c>
      <c r="B908" s="12" t="s">
        <v>174</v>
      </c>
      <c r="C908" s="12" t="s">
        <v>182</v>
      </c>
      <c r="D908" s="12" t="str">
        <f>"Monster.Name."&amp;VLOOKUP($C908,'#Data'!$B$2:$J$344,2,FALSE)</f>
        <v>Monster.Name.polluter_fog_1</v>
      </c>
      <c r="E908" s="12" t="s">
        <v>143</v>
      </c>
      <c r="F908" s="39" t="s">
        <v>44</v>
      </c>
      <c r="G908" s="12" t="s">
        <v>45</v>
      </c>
      <c r="H908" s="12" t="b">
        <f>IF(OR(VLOOKUP($C908,'#Data'!$B$2:$J$344,4,FALSE)="보스",VLOOKUP($C908,'#Data'!$B$2:$J$344,4,FALSE)="중간"),TRUE,FALSE)</f>
        <v>0</v>
      </c>
      <c r="I908" s="12" t="b">
        <v>0</v>
      </c>
      <c r="J908" s="12">
        <v>10</v>
      </c>
      <c r="K908" s="12">
        <f t="shared" si="29"/>
        <v>10</v>
      </c>
      <c r="L908" s="63" t="str">
        <f>$B908&amp;"."&amp;VLOOKUP($C908,'#Data'!$B$2:$J$344,2,FALSE)&amp;".attack0"&amp;RIGHT(L$1,1)</f>
        <v>Sector06.polluter_fog_1.attack01</v>
      </c>
      <c r="M908" s="63"/>
      <c r="N908" s="63"/>
      <c r="O908" s="134" t="str">
        <f>$B908&amp;"."&amp;VLOOKUP($C908,'#Data'!$B$2:$J$344,2,FALSE)&amp;".skill0"&amp;RIGHT(O$1,1)</f>
        <v>Sector06.polluter_fog_1.skill01</v>
      </c>
      <c r="P908" s="134" t="s">
        <v>2048</v>
      </c>
      <c r="Q908" s="134"/>
      <c r="R908" s="64"/>
      <c r="S908" s="64"/>
      <c r="T908" s="64"/>
      <c r="U908" s="64"/>
      <c r="V908" s="12" t="b">
        <v>0</v>
      </c>
      <c r="W908" s="12" t="str">
        <f>"Character/Prefabs/"&amp;VLOOKUP($C908,'#Data'!$B$3:$I$344,8,FALSE)</f>
        <v>Character/Prefabs/m_m_supporter_polluter_fog_1</v>
      </c>
      <c r="X908" s="12"/>
      <c r="Y908" s="12" t="str">
        <f>VLOOKUP($C908,'#Data'!$B$3:$I$344,8,FALSE)</f>
        <v>m_m_supporter_polluter_fog_1</v>
      </c>
      <c r="Z908" s="12"/>
      <c r="AA908" s="12"/>
      <c r="AB908" s="12"/>
      <c r="AC908" s="88">
        <v>0.6</v>
      </c>
      <c r="AD908" s="12"/>
      <c r="AE908" s="12"/>
      <c r="AF908" s="12"/>
      <c r="AG908" s="12" t="s">
        <v>2757</v>
      </c>
      <c r="AH908" s="85"/>
    </row>
    <row r="909" spans="1:34" x14ac:dyDescent="0.3">
      <c r="A909" s="12">
        <f t="shared" si="28"/>
        <v>1510206109</v>
      </c>
      <c r="B909" s="12" t="s">
        <v>174</v>
      </c>
      <c r="C909" s="12" t="s">
        <v>183</v>
      </c>
      <c r="D909" s="12" t="str">
        <f>"Monster.Name."&amp;VLOOKUP($C909,'#Data'!$B$2:$J$344,2,FALSE)</f>
        <v>Monster.Name.polluter_haze_1</v>
      </c>
      <c r="E909" s="12" t="s">
        <v>143</v>
      </c>
      <c r="F909" s="39" t="s">
        <v>44</v>
      </c>
      <c r="G909" s="12" t="s">
        <v>45</v>
      </c>
      <c r="H909" s="12" t="b">
        <f>IF(OR(VLOOKUP($C909,'#Data'!$B$2:$J$344,4,FALSE)="보스",VLOOKUP($C909,'#Data'!$B$2:$J$344,4,FALSE)="중간"),TRUE,FALSE)</f>
        <v>0</v>
      </c>
      <c r="I909" s="12" t="b">
        <v>0</v>
      </c>
      <c r="J909" s="12">
        <v>10</v>
      </c>
      <c r="K909" s="12">
        <f t="shared" si="29"/>
        <v>10</v>
      </c>
      <c r="L909" s="63" t="str">
        <f>$B909&amp;"."&amp;VLOOKUP($C909,'#Data'!$B$2:$J$344,2,FALSE)&amp;".attack0"&amp;RIGHT(L$1,1)</f>
        <v>Sector06.polluter_haze_1.attack01</v>
      </c>
      <c r="M909" s="63"/>
      <c r="N909" s="63"/>
      <c r="O909" s="134" t="str">
        <f>$B909&amp;"."&amp;VLOOKUP($C909,'#Data'!$B$2:$J$344,2,FALSE)&amp;".skill0"&amp;RIGHT(O$1,1)</f>
        <v>Sector06.polluter_haze_1.skill01</v>
      </c>
      <c r="P909" s="134" t="s">
        <v>2049</v>
      </c>
      <c r="Q909" s="134"/>
      <c r="R909" s="64"/>
      <c r="S909" s="64"/>
      <c r="T909" s="64"/>
      <c r="U909" s="64"/>
      <c r="V909" s="12" t="b">
        <v>0</v>
      </c>
      <c r="W909" s="12" t="str">
        <f>"Character/Prefabs/"&amp;VLOOKUP($C909,'#Data'!$B$3:$I$344,8,FALSE)</f>
        <v>Character/Prefabs/m_m_supporter_polluter_haze_1</v>
      </c>
      <c r="X909" s="12"/>
      <c r="Y909" s="12" t="str">
        <f>VLOOKUP($C909,'#Data'!$B$3:$I$344,8,FALSE)</f>
        <v>m_m_supporter_polluter_haze_1</v>
      </c>
      <c r="Z909" s="12"/>
      <c r="AA909" s="12"/>
      <c r="AB909" s="12"/>
      <c r="AC909" s="88">
        <v>0.6</v>
      </c>
      <c r="AD909" s="12"/>
      <c r="AE909" s="12"/>
      <c r="AF909" s="12"/>
      <c r="AG909" s="12" t="s">
        <v>2757</v>
      </c>
      <c r="AH909" s="85"/>
    </row>
    <row r="910" spans="1:34" x14ac:dyDescent="0.3">
      <c r="A910" s="49">
        <f t="shared" si="28"/>
        <v>1510206110</v>
      </c>
      <c r="B910" s="49" t="s">
        <v>174</v>
      </c>
      <c r="C910" s="49" t="s">
        <v>1300</v>
      </c>
      <c r="D910" s="49" t="str">
        <f>"Monster.Name."&amp;VLOOKUP($C910,'#Data'!$B$2:$J$344,2,FALSE)</f>
        <v>Monster.Name.polluter_patrol_2</v>
      </c>
      <c r="E910" s="49" t="s">
        <v>43</v>
      </c>
      <c r="F910" s="50" t="s">
        <v>44</v>
      </c>
      <c r="G910" s="49" t="s">
        <v>45</v>
      </c>
      <c r="H910" s="49" t="b">
        <f>IF(OR(VLOOKUP($C910,'#Data'!$B$2:$J$344,4,FALSE)="보스",VLOOKUP($C910,'#Data'!$B$2:$J$344,4,FALSE)="중간"),TRUE,FALSE)</f>
        <v>0</v>
      </c>
      <c r="I910" s="49" t="b">
        <v>0</v>
      </c>
      <c r="J910" s="49">
        <v>10</v>
      </c>
      <c r="K910" s="49">
        <f t="shared" si="29"/>
        <v>10</v>
      </c>
      <c r="L910" s="65" t="s">
        <v>1378</v>
      </c>
      <c r="M910" s="65"/>
      <c r="N910" s="65"/>
      <c r="O910" s="134" t="s">
        <v>2041</v>
      </c>
      <c r="P910" s="135"/>
      <c r="Q910" s="135"/>
      <c r="R910" s="66"/>
      <c r="S910" s="66"/>
      <c r="T910" s="66"/>
      <c r="U910" s="66"/>
      <c r="V910" s="49" t="b">
        <v>0</v>
      </c>
      <c r="W910" s="49" t="str">
        <f>"Character/Prefabs/"&amp;VLOOKUP($C910,'#Data'!$B$3:$I$344,8,FALSE)</f>
        <v>Character/Prefabs/m_s_attacker_polluter_patrol_2</v>
      </c>
      <c r="X910" s="49"/>
      <c r="Y910" s="49" t="str">
        <f>VLOOKUP($C910,'#Data'!$B$3:$I$344,8,FALSE)</f>
        <v>m_s_attacker_polluter_patrol_2</v>
      </c>
      <c r="Z910" s="49"/>
      <c r="AA910" s="49"/>
      <c r="AB910" s="49"/>
      <c r="AC910" s="89">
        <v>0.9</v>
      </c>
      <c r="AD910" s="49"/>
      <c r="AE910" s="49"/>
      <c r="AF910" s="49"/>
      <c r="AG910" s="49" t="s">
        <v>2757</v>
      </c>
      <c r="AH910" s="85"/>
    </row>
    <row r="911" spans="1:34" x14ac:dyDescent="0.3">
      <c r="A911" s="49">
        <f t="shared" si="28"/>
        <v>1510206111</v>
      </c>
      <c r="B911" s="49" t="s">
        <v>174</v>
      </c>
      <c r="C911" s="49" t="s">
        <v>1302</v>
      </c>
      <c r="D911" s="49" t="str">
        <f>"Monster.Name."&amp;VLOOKUP($C911,'#Data'!$B$2:$J$344,2,FALSE)</f>
        <v>Monster.Name.polluter_eyeball_2</v>
      </c>
      <c r="E911" s="49" t="s">
        <v>47</v>
      </c>
      <c r="F911" s="50" t="s">
        <v>44</v>
      </c>
      <c r="G911" s="49" t="s">
        <v>45</v>
      </c>
      <c r="H911" s="49" t="b">
        <f>IF(OR(VLOOKUP($C911,'#Data'!$B$2:$J$344,4,FALSE)="보스",VLOOKUP($C911,'#Data'!$B$2:$J$344,4,FALSE)="중간"),TRUE,FALSE)</f>
        <v>0</v>
      </c>
      <c r="I911" s="49" t="b">
        <v>0</v>
      </c>
      <c r="J911" s="49">
        <v>10</v>
      </c>
      <c r="K911" s="49">
        <f t="shared" si="29"/>
        <v>10</v>
      </c>
      <c r="L911" s="65" t="s">
        <v>1379</v>
      </c>
      <c r="M911" s="65"/>
      <c r="N911" s="65"/>
      <c r="O911" s="134" t="s">
        <v>2042</v>
      </c>
      <c r="P911" s="135"/>
      <c r="Q911" s="135"/>
      <c r="R911" s="66"/>
      <c r="S911" s="66"/>
      <c r="T911" s="66"/>
      <c r="U911" s="66"/>
      <c r="V911" s="49" t="b">
        <v>0</v>
      </c>
      <c r="W911" s="49" t="str">
        <f>"Character/Prefabs/"&amp;VLOOKUP($C911,'#Data'!$B$3:$I$344,8,FALSE)</f>
        <v>Character/Prefabs/m_s_ranger_polluter_eyeball_2</v>
      </c>
      <c r="X911" s="49"/>
      <c r="Y911" s="49" t="str">
        <f>VLOOKUP($C911,'#Data'!$B$3:$I$344,8,FALSE)</f>
        <v>m_s_ranger_polluter_eyeball_2</v>
      </c>
      <c r="Z911" s="49"/>
      <c r="AA911" s="49"/>
      <c r="AB911" s="49"/>
      <c r="AC911" s="89">
        <v>0.9</v>
      </c>
      <c r="AD911" s="49"/>
      <c r="AE911" s="49"/>
      <c r="AF911" s="49"/>
      <c r="AG911" s="49" t="s">
        <v>2757</v>
      </c>
      <c r="AH911" s="85"/>
    </row>
    <row r="912" spans="1:34" x14ac:dyDescent="0.3">
      <c r="A912" s="49">
        <f t="shared" si="28"/>
        <v>1510206112</v>
      </c>
      <c r="B912" s="49" t="s">
        <v>174</v>
      </c>
      <c r="C912" s="49" t="s">
        <v>1304</v>
      </c>
      <c r="D912" s="49" t="str">
        <f>"Monster.Name."&amp;VLOOKUP($C912,'#Data'!$B$2:$J$344,2,FALSE)</f>
        <v>Monster.Name.polluter_exploder_2</v>
      </c>
      <c r="E912" s="49" t="s">
        <v>43</v>
      </c>
      <c r="F912" s="50" t="s">
        <v>44</v>
      </c>
      <c r="G912" s="49" t="s">
        <v>45</v>
      </c>
      <c r="H912" s="49" t="b">
        <f>IF(OR(VLOOKUP($C912,'#Data'!$B$2:$J$344,4,FALSE)="보스",VLOOKUP($C912,'#Data'!$B$2:$J$344,4,FALSE)="중간"),TRUE,FALSE)</f>
        <v>0</v>
      </c>
      <c r="I912" s="49" t="b">
        <v>0</v>
      </c>
      <c r="J912" s="49">
        <v>10</v>
      </c>
      <c r="K912" s="49">
        <f t="shared" si="29"/>
        <v>10</v>
      </c>
      <c r="L912" s="65" t="s">
        <v>1380</v>
      </c>
      <c r="M912" s="65"/>
      <c r="N912" s="65"/>
      <c r="O912" s="135" t="s">
        <v>1387</v>
      </c>
      <c r="P912" s="134" t="s">
        <v>2043</v>
      </c>
      <c r="Q912" s="135"/>
      <c r="R912" s="66"/>
      <c r="S912" s="66"/>
      <c r="T912" s="66"/>
      <c r="U912" s="66"/>
      <c r="V912" s="49" t="b">
        <v>0</v>
      </c>
      <c r="W912" s="49" t="str">
        <f>"Character/Prefabs/"&amp;VLOOKUP($C912,'#Data'!$B$3:$I$344,8,FALSE)</f>
        <v>Character/Prefabs/m_s_attacker_polluter_exploder_2</v>
      </c>
      <c r="X912" s="49"/>
      <c r="Y912" s="49" t="str">
        <f>VLOOKUP($C912,'#Data'!$B$3:$I$344,8,FALSE)</f>
        <v>m_s_attacker_polluter_exploder_2</v>
      </c>
      <c r="Z912" s="49"/>
      <c r="AA912" s="49"/>
      <c r="AB912" s="49"/>
      <c r="AC912" s="89">
        <v>0.9</v>
      </c>
      <c r="AD912" s="49"/>
      <c r="AE912" s="49"/>
      <c r="AF912" s="49"/>
      <c r="AG912" s="49" t="s">
        <v>2757</v>
      </c>
      <c r="AH912" s="85"/>
    </row>
    <row r="913" spans="1:34" x14ac:dyDescent="0.3">
      <c r="A913" s="49">
        <f t="shared" si="28"/>
        <v>1510206113</v>
      </c>
      <c r="B913" s="49" t="s">
        <v>174</v>
      </c>
      <c r="C913" s="49" t="s">
        <v>1306</v>
      </c>
      <c r="D913" s="49" t="str">
        <f>"Monster.Name."&amp;VLOOKUP($C913,'#Data'!$B$2:$J$344,2,FALSE)</f>
        <v>Monster.Name.polluter_2</v>
      </c>
      <c r="E913" s="49" t="s">
        <v>43</v>
      </c>
      <c r="F913" s="50" t="s">
        <v>44</v>
      </c>
      <c r="G913" s="49" t="s">
        <v>45</v>
      </c>
      <c r="H913" s="49" t="b">
        <f>IF(OR(VLOOKUP($C913,'#Data'!$B$2:$J$344,4,FALSE)="보스",VLOOKUP($C913,'#Data'!$B$2:$J$344,4,FALSE)="중간"),TRUE,FALSE)</f>
        <v>0</v>
      </c>
      <c r="I913" s="49" t="b">
        <v>0</v>
      </c>
      <c r="J913" s="49">
        <v>10</v>
      </c>
      <c r="K913" s="49">
        <f t="shared" si="29"/>
        <v>10</v>
      </c>
      <c r="L913" s="65" t="s">
        <v>1381</v>
      </c>
      <c r="M913" s="65"/>
      <c r="N913" s="65"/>
      <c r="O913" s="135" t="s">
        <v>1388</v>
      </c>
      <c r="P913" s="134" t="s">
        <v>2044</v>
      </c>
      <c r="Q913" s="135"/>
      <c r="R913" s="66"/>
      <c r="S913" s="66"/>
      <c r="T913" s="66"/>
      <c r="U913" s="66"/>
      <c r="V913" s="49" t="b">
        <v>0</v>
      </c>
      <c r="W913" s="49" t="str">
        <f>"Character/Prefabs/"&amp;VLOOKUP($C913,'#Data'!$B$3:$I$344,8,FALSE)</f>
        <v>Character/Prefabs/m_m_attacker_polluter_2</v>
      </c>
      <c r="X913" s="49"/>
      <c r="Y913" s="49" t="str">
        <f>VLOOKUP($C913,'#Data'!$B$3:$I$344,8,FALSE)</f>
        <v>m_m_attacker_polluter_2</v>
      </c>
      <c r="Z913" s="49"/>
      <c r="AA913" s="49"/>
      <c r="AB913" s="49"/>
      <c r="AC913" s="89">
        <v>0.6</v>
      </c>
      <c r="AD913" s="49"/>
      <c r="AE913" s="49"/>
      <c r="AF913" s="49"/>
      <c r="AG913" s="49" t="s">
        <v>2757</v>
      </c>
      <c r="AH913" s="85"/>
    </row>
    <row r="914" spans="1:34" x14ac:dyDescent="0.3">
      <c r="A914" s="49">
        <f t="shared" si="28"/>
        <v>1510206114</v>
      </c>
      <c r="B914" s="49" t="s">
        <v>174</v>
      </c>
      <c r="C914" s="49" t="s">
        <v>1308</v>
      </c>
      <c r="D914" s="49" t="str">
        <f>"Monster.Name."&amp;VLOOKUP($C914,'#Data'!$B$2:$J$344,2,FALSE)</f>
        <v>Monster.Name.polluter_edge_2</v>
      </c>
      <c r="E914" s="49" t="s">
        <v>43</v>
      </c>
      <c r="F914" s="50" t="s">
        <v>44</v>
      </c>
      <c r="G914" s="49" t="s">
        <v>45</v>
      </c>
      <c r="H914" s="49" t="b">
        <f>IF(OR(VLOOKUP($C914,'#Data'!$B$2:$J$344,4,FALSE)="보스",VLOOKUP($C914,'#Data'!$B$2:$J$344,4,FALSE)="중간"),TRUE,FALSE)</f>
        <v>0</v>
      </c>
      <c r="I914" s="49" t="b">
        <v>0</v>
      </c>
      <c r="J914" s="49">
        <v>10</v>
      </c>
      <c r="K914" s="49">
        <f t="shared" si="29"/>
        <v>10</v>
      </c>
      <c r="L914" s="65" t="s">
        <v>1382</v>
      </c>
      <c r="M914" s="65"/>
      <c r="N914" s="65"/>
      <c r="O914" s="135" t="s">
        <v>1389</v>
      </c>
      <c r="P914" s="134" t="s">
        <v>2045</v>
      </c>
      <c r="Q914" s="135"/>
      <c r="R914" s="66"/>
      <c r="S914" s="66"/>
      <c r="T914" s="66"/>
      <c r="U914" s="66"/>
      <c r="V914" s="49" t="b">
        <v>0</v>
      </c>
      <c r="W914" s="49" t="str">
        <f>"Character/Prefabs/"&amp;VLOOKUP($C914,'#Data'!$B$3:$I$344,8,FALSE)</f>
        <v>Character/Prefabs/m_m_attacker_polluter_edge_2</v>
      </c>
      <c r="X914" s="49"/>
      <c r="Y914" s="49" t="str">
        <f>VLOOKUP($C914,'#Data'!$B$3:$I$344,8,FALSE)</f>
        <v>m_m_attacker_polluter_edge_2</v>
      </c>
      <c r="Z914" s="49"/>
      <c r="AA914" s="49"/>
      <c r="AB914" s="49"/>
      <c r="AC914" s="89">
        <v>0.6</v>
      </c>
      <c r="AD914" s="49"/>
      <c r="AE914" s="49"/>
      <c r="AF914" s="49"/>
      <c r="AG914" s="49" t="s">
        <v>2757</v>
      </c>
      <c r="AH914" s="85"/>
    </row>
    <row r="915" spans="1:34" x14ac:dyDescent="0.3">
      <c r="A915" s="49">
        <f t="shared" si="28"/>
        <v>1510206115</v>
      </c>
      <c r="B915" s="49" t="s">
        <v>174</v>
      </c>
      <c r="C915" s="49" t="s">
        <v>1310</v>
      </c>
      <c r="D915" s="49" t="str">
        <f>"Monster.Name."&amp;VLOOKUP($C915,'#Data'!$B$2:$J$344,2,FALSE)</f>
        <v>Monster.Name.polluter_fluid_2</v>
      </c>
      <c r="E915" s="49" t="s">
        <v>47</v>
      </c>
      <c r="F915" s="50" t="s">
        <v>44</v>
      </c>
      <c r="G915" s="49" t="s">
        <v>45</v>
      </c>
      <c r="H915" s="49" t="b">
        <f>IF(OR(VLOOKUP($C915,'#Data'!$B$2:$J$344,4,FALSE)="보스",VLOOKUP($C915,'#Data'!$B$2:$J$344,4,FALSE)="중간"),TRUE,FALSE)</f>
        <v>0</v>
      </c>
      <c r="I915" s="49" t="b">
        <v>0</v>
      </c>
      <c r="J915" s="49">
        <v>10</v>
      </c>
      <c r="K915" s="49">
        <f t="shared" si="29"/>
        <v>10</v>
      </c>
      <c r="L915" s="65" t="s">
        <v>1383</v>
      </c>
      <c r="M915" s="65"/>
      <c r="N915" s="65"/>
      <c r="O915" s="135" t="s">
        <v>1390</v>
      </c>
      <c r="P915" s="134" t="s">
        <v>2046</v>
      </c>
      <c r="Q915" s="135"/>
      <c r="R915" s="66"/>
      <c r="S915" s="66"/>
      <c r="T915" s="66"/>
      <c r="U915" s="66"/>
      <c r="V915" s="49" t="b">
        <v>0</v>
      </c>
      <c r="W915" s="49" t="str">
        <f>"Character/Prefabs/"&amp;VLOOKUP($C915,'#Data'!$B$3:$I$344,8,FALSE)</f>
        <v>Character/Prefabs/m_m_ranger_polluter_fluid_2</v>
      </c>
      <c r="X915" s="49"/>
      <c r="Y915" s="49" t="str">
        <f>VLOOKUP($C915,'#Data'!$B$3:$I$344,8,FALSE)</f>
        <v>m_m_ranger_polluter_fluid_2</v>
      </c>
      <c r="Z915" s="49"/>
      <c r="AA915" s="49"/>
      <c r="AB915" s="49"/>
      <c r="AC915" s="89">
        <v>0.6</v>
      </c>
      <c r="AD915" s="49"/>
      <c r="AE915" s="49"/>
      <c r="AF915" s="49"/>
      <c r="AG915" s="49" t="s">
        <v>2757</v>
      </c>
      <c r="AH915" s="85"/>
    </row>
    <row r="916" spans="1:34" x14ac:dyDescent="0.3">
      <c r="A916" s="49">
        <f t="shared" si="28"/>
        <v>1510206116</v>
      </c>
      <c r="B916" s="49" t="s">
        <v>174</v>
      </c>
      <c r="C916" s="49" t="s">
        <v>1312</v>
      </c>
      <c r="D916" s="49" t="str">
        <f>"Monster.Name."&amp;VLOOKUP($C916,'#Data'!$B$2:$J$344,2,FALSE)</f>
        <v>Monster.Name.polluter_liquid_2</v>
      </c>
      <c r="E916" s="49" t="s">
        <v>47</v>
      </c>
      <c r="F916" s="50" t="s">
        <v>44</v>
      </c>
      <c r="G916" s="49" t="s">
        <v>45</v>
      </c>
      <c r="H916" s="49" t="b">
        <f>IF(OR(VLOOKUP($C916,'#Data'!$B$2:$J$344,4,FALSE)="보스",VLOOKUP($C916,'#Data'!$B$2:$J$344,4,FALSE)="중간"),TRUE,FALSE)</f>
        <v>0</v>
      </c>
      <c r="I916" s="49" t="b">
        <v>0</v>
      </c>
      <c r="J916" s="49">
        <v>10</v>
      </c>
      <c r="K916" s="49">
        <f t="shared" si="29"/>
        <v>10</v>
      </c>
      <c r="L916" s="65" t="s">
        <v>1384</v>
      </c>
      <c r="M916" s="65"/>
      <c r="N916" s="65"/>
      <c r="O916" s="135" t="s">
        <v>1391</v>
      </c>
      <c r="P916" s="134" t="s">
        <v>2047</v>
      </c>
      <c r="Q916" s="135"/>
      <c r="R916" s="66"/>
      <c r="S916" s="66"/>
      <c r="T916" s="66"/>
      <c r="U916" s="66"/>
      <c r="V916" s="49" t="b">
        <v>0</v>
      </c>
      <c r="W916" s="49" t="str">
        <f>"Character/Prefabs/"&amp;VLOOKUP($C916,'#Data'!$B$3:$I$344,8,FALSE)</f>
        <v>Character/Prefabs/m_m_ranger_polluter_liquid_2</v>
      </c>
      <c r="X916" s="49"/>
      <c r="Y916" s="49" t="str">
        <f>VLOOKUP($C916,'#Data'!$B$3:$I$344,8,FALSE)</f>
        <v>m_m_ranger_polluter_liquid_2</v>
      </c>
      <c r="Z916" s="49"/>
      <c r="AA916" s="49"/>
      <c r="AB916" s="49"/>
      <c r="AC916" s="89">
        <v>0.6</v>
      </c>
      <c r="AD916" s="49"/>
      <c r="AE916" s="49"/>
      <c r="AF916" s="49"/>
      <c r="AG916" s="49" t="s">
        <v>2757</v>
      </c>
      <c r="AH916" s="85"/>
    </row>
    <row r="917" spans="1:34" x14ac:dyDescent="0.3">
      <c r="A917" s="49">
        <f t="shared" si="28"/>
        <v>1510206117</v>
      </c>
      <c r="B917" s="49" t="s">
        <v>174</v>
      </c>
      <c r="C917" s="49" t="s">
        <v>1314</v>
      </c>
      <c r="D917" s="49" t="str">
        <f>"Monster.Name."&amp;VLOOKUP($C917,'#Data'!$B$2:$J$344,2,FALSE)</f>
        <v>Monster.Name.polluter_fog_2</v>
      </c>
      <c r="E917" s="49" t="s">
        <v>143</v>
      </c>
      <c r="F917" s="50" t="s">
        <v>44</v>
      </c>
      <c r="G917" s="49" t="s">
        <v>45</v>
      </c>
      <c r="H917" s="49" t="b">
        <f>IF(OR(VLOOKUP($C917,'#Data'!$B$2:$J$344,4,FALSE)="보스",VLOOKUP($C917,'#Data'!$B$2:$J$344,4,FALSE)="중간"),TRUE,FALSE)</f>
        <v>0</v>
      </c>
      <c r="I917" s="49" t="b">
        <v>0</v>
      </c>
      <c r="J917" s="49">
        <v>10</v>
      </c>
      <c r="K917" s="49">
        <f t="shared" si="29"/>
        <v>10</v>
      </c>
      <c r="L917" s="65" t="s">
        <v>1385</v>
      </c>
      <c r="M917" s="65"/>
      <c r="N917" s="65"/>
      <c r="O917" s="135" t="s">
        <v>1392</v>
      </c>
      <c r="P917" s="134" t="s">
        <v>2048</v>
      </c>
      <c r="Q917" s="135"/>
      <c r="R917" s="66"/>
      <c r="S917" s="66"/>
      <c r="T917" s="66"/>
      <c r="U917" s="66"/>
      <c r="V917" s="49" t="b">
        <v>0</v>
      </c>
      <c r="W917" s="49" t="str">
        <f>"Character/Prefabs/"&amp;VLOOKUP($C917,'#Data'!$B$3:$I$344,8,FALSE)</f>
        <v>Character/Prefabs/m_m_supporter_polluter_fog_2</v>
      </c>
      <c r="X917" s="49"/>
      <c r="Y917" s="49" t="str">
        <f>VLOOKUP($C917,'#Data'!$B$3:$I$344,8,FALSE)</f>
        <v>m_m_supporter_polluter_fog_2</v>
      </c>
      <c r="Z917" s="49"/>
      <c r="AA917" s="49"/>
      <c r="AB917" s="49"/>
      <c r="AC917" s="89">
        <v>0.6</v>
      </c>
      <c r="AD917" s="49"/>
      <c r="AE917" s="49"/>
      <c r="AF917" s="49"/>
      <c r="AG917" s="49" t="s">
        <v>2757</v>
      </c>
      <c r="AH917" s="85"/>
    </row>
    <row r="918" spans="1:34" x14ac:dyDescent="0.3">
      <c r="A918" s="49">
        <f t="shared" si="28"/>
        <v>1510206118</v>
      </c>
      <c r="B918" s="49" t="s">
        <v>174</v>
      </c>
      <c r="C918" s="49" t="s">
        <v>1316</v>
      </c>
      <c r="D918" s="49" t="str">
        <f>"Monster.Name."&amp;VLOOKUP($C918,'#Data'!$B$2:$J$344,2,FALSE)</f>
        <v>Monster.Name.polluter_haze_2</v>
      </c>
      <c r="E918" s="49" t="s">
        <v>143</v>
      </c>
      <c r="F918" s="50" t="s">
        <v>44</v>
      </c>
      <c r="G918" s="49" t="s">
        <v>45</v>
      </c>
      <c r="H918" s="49" t="b">
        <f>IF(OR(VLOOKUP($C918,'#Data'!$B$2:$J$344,4,FALSE)="보스",VLOOKUP($C918,'#Data'!$B$2:$J$344,4,FALSE)="중간"),TRUE,FALSE)</f>
        <v>0</v>
      </c>
      <c r="I918" s="49" t="b">
        <v>0</v>
      </c>
      <c r="J918" s="49">
        <v>10</v>
      </c>
      <c r="K918" s="49">
        <f t="shared" si="29"/>
        <v>10</v>
      </c>
      <c r="L918" s="65" t="s">
        <v>1386</v>
      </c>
      <c r="M918" s="65"/>
      <c r="N918" s="65"/>
      <c r="O918" s="135" t="s">
        <v>1393</v>
      </c>
      <c r="P918" s="134" t="s">
        <v>2049</v>
      </c>
      <c r="Q918" s="135"/>
      <c r="R918" s="66"/>
      <c r="S918" s="66"/>
      <c r="T918" s="66"/>
      <c r="U918" s="66"/>
      <c r="V918" s="49" t="b">
        <v>0</v>
      </c>
      <c r="W918" s="49" t="str">
        <f>"Character/Prefabs/"&amp;VLOOKUP($C918,'#Data'!$B$3:$I$344,8,FALSE)</f>
        <v>Character/Prefabs/m_m_supporter_polluter_haze_2</v>
      </c>
      <c r="X918" s="49"/>
      <c r="Y918" s="49" t="str">
        <f>VLOOKUP($C918,'#Data'!$B$3:$I$344,8,FALSE)</f>
        <v>m_m_supporter_polluter_haze_2</v>
      </c>
      <c r="Z918" s="49"/>
      <c r="AA918" s="49"/>
      <c r="AB918" s="49"/>
      <c r="AC918" s="89">
        <v>0.6</v>
      </c>
      <c r="AD918" s="49"/>
      <c r="AE918" s="49"/>
      <c r="AF918" s="49"/>
      <c r="AG918" s="49" t="s">
        <v>2757</v>
      </c>
      <c r="AH918" s="85"/>
    </row>
    <row r="919" spans="1:34" x14ac:dyDescent="0.3">
      <c r="A919" s="12">
        <f t="shared" si="28"/>
        <v>1510206201</v>
      </c>
      <c r="B919" s="12" t="s">
        <v>174</v>
      </c>
      <c r="C919" s="12" t="s">
        <v>184</v>
      </c>
      <c r="D919" s="12" t="str">
        <f>"Monster.Name."&amp;VLOOKUP($C919,'#Data'!$B$2:$J$344,2,FALSE)</f>
        <v>Monster.Name.polluter_chunk_1</v>
      </c>
      <c r="E919" s="12" t="s">
        <v>43</v>
      </c>
      <c r="F919" s="39" t="s">
        <v>44</v>
      </c>
      <c r="G919" s="12" t="s">
        <v>45</v>
      </c>
      <c r="H919" s="12" t="b">
        <f>IF(OR(VLOOKUP($C919,'#Data'!$B$2:$J$344,4,FALSE)="보스",VLOOKUP($C919,'#Data'!$B$2:$J$344,4,FALSE)="중간"),TRUE,FALSE)</f>
        <v>1</v>
      </c>
      <c r="I919" s="12" t="b">
        <v>1</v>
      </c>
      <c r="J919" s="12">
        <v>10</v>
      </c>
      <c r="K919" s="12">
        <f t="shared" si="29"/>
        <v>10</v>
      </c>
      <c r="L919" s="63" t="str">
        <f>$B919&amp;"."&amp;VLOOKUP($C919,'#Data'!$B$2:$J$344,2,FALSE)&amp;".attack0"&amp;RIGHT(L$1,1)</f>
        <v>Sector06.polluter_chunk_1.attack01</v>
      </c>
      <c r="M919" s="63"/>
      <c r="N919" s="63"/>
      <c r="O919" s="134" t="str">
        <f>$B919&amp;"."&amp;VLOOKUP($C919,'#Data'!$B$2:$J$344,2,FALSE)&amp;".skill0"&amp;RIGHT(O$1,1)</f>
        <v>Sector06.polluter_chunk_1.skill01</v>
      </c>
      <c r="P919" s="134" t="str">
        <f>$B919&amp;"."&amp;VLOOKUP($C919,'#Data'!$B$2:$J$344,2,FALSE)&amp;".skill0"&amp;RIGHT(P$1,1)</f>
        <v>Sector06.polluter_chunk_1.skill02</v>
      </c>
      <c r="Q919" s="134" t="str">
        <f>$B919&amp;"."&amp;VLOOKUP($C919,'#Data'!$B$2:$J$344,2,FALSE)&amp;".skill0"&amp;RIGHT(Q$1,1)</f>
        <v>Sector06.polluter_chunk_1.skill03</v>
      </c>
      <c r="R919" s="64"/>
      <c r="S919" s="64" t="s">
        <v>2078</v>
      </c>
      <c r="T919" s="64"/>
      <c r="U919" s="64"/>
      <c r="V919" s="12" t="b">
        <v>0</v>
      </c>
      <c r="W919" s="12" t="str">
        <f>"Character/Prefabs/"&amp;VLOOKUP($C919,'#Data'!$B$3:$I$344,8,FALSE)</f>
        <v>Character/Prefabs/m_l_attacker_polluter_chunk_1</v>
      </c>
      <c r="X919" s="12"/>
      <c r="Y919" s="12" t="str">
        <f>VLOOKUP($C919,'#Data'!$B$3:$I$344,8,FALSE)</f>
        <v>m_l_attacker_polluter_chunk_1</v>
      </c>
      <c r="Z919" s="12"/>
      <c r="AA919" s="12"/>
      <c r="AB919" s="12"/>
      <c r="AC919" s="88">
        <v>1</v>
      </c>
      <c r="AD919" s="12"/>
      <c r="AE919" s="12"/>
      <c r="AF919" s="12"/>
      <c r="AG919" s="12" t="s">
        <v>2757</v>
      </c>
      <c r="AH919" s="85"/>
    </row>
    <row r="920" spans="1:34" x14ac:dyDescent="0.3">
      <c r="A920" s="12">
        <f t="shared" si="28"/>
        <v>1510206202</v>
      </c>
      <c r="B920" s="12" t="s">
        <v>174</v>
      </c>
      <c r="C920" s="12" t="s">
        <v>185</v>
      </c>
      <c r="D920" s="12" t="str">
        <f>"Monster.Name."&amp;VLOOKUP($C920,'#Data'!$B$2:$J$344,2,FALSE)</f>
        <v>Monster.Name.polluter_spike_1</v>
      </c>
      <c r="E920" s="12" t="s">
        <v>43</v>
      </c>
      <c r="F920" s="39" t="s">
        <v>44</v>
      </c>
      <c r="G920" s="12" t="s">
        <v>45</v>
      </c>
      <c r="H920" s="12" t="b">
        <f>IF(OR(VLOOKUP($C920,'#Data'!$B$2:$J$344,4,FALSE)="보스",VLOOKUP($C920,'#Data'!$B$2:$J$344,4,FALSE)="중간"),TRUE,FALSE)</f>
        <v>1</v>
      </c>
      <c r="I920" s="12" t="b">
        <v>1</v>
      </c>
      <c r="J920" s="12">
        <v>10</v>
      </c>
      <c r="K920" s="12">
        <f t="shared" si="29"/>
        <v>10</v>
      </c>
      <c r="L920" s="63" t="str">
        <f>$B920&amp;"."&amp;VLOOKUP($C920,'#Data'!$B$2:$J$344,2,FALSE)&amp;".attack0"&amp;RIGHT(L$1,1)</f>
        <v>Sector06.polluter_spike_1.attack01</v>
      </c>
      <c r="M920" s="63"/>
      <c r="N920" s="63"/>
      <c r="O920" s="134" t="str">
        <f>$B920&amp;"."&amp;VLOOKUP($C920,'#Data'!$B$2:$J$344,2,FALSE)&amp;".skill0"&amp;RIGHT(O$1,1)</f>
        <v>Sector06.polluter_spike_1.skill01</v>
      </c>
      <c r="P920" s="134" t="str">
        <f>$B920&amp;"."&amp;VLOOKUP($C920,'#Data'!$B$2:$J$344,2,FALSE)&amp;".skill0"&amp;RIGHT(P$1,1)</f>
        <v>Sector06.polluter_spike_1.skill02</v>
      </c>
      <c r="Q920" s="134" t="str">
        <f>$B920&amp;"."&amp;VLOOKUP($C920,'#Data'!$B$2:$J$344,2,FALSE)&amp;".skill0"&amp;RIGHT(Q$1,1)</f>
        <v>Sector06.polluter_spike_1.skill03</v>
      </c>
      <c r="R920" s="64"/>
      <c r="S920" s="64" t="s">
        <v>2078</v>
      </c>
      <c r="T920" s="64"/>
      <c r="U920" s="64"/>
      <c r="V920" s="12" t="b">
        <v>0</v>
      </c>
      <c r="W920" s="12" t="str">
        <f>"Character/Prefabs/"&amp;VLOOKUP($C920,'#Data'!$B$3:$I$344,8,FALSE)</f>
        <v>Character/Prefabs/m_l_attacker_polluter_spike_1</v>
      </c>
      <c r="X920" s="12"/>
      <c r="Y920" s="12" t="str">
        <f>VLOOKUP($C920,'#Data'!$B$3:$I$344,8,FALSE)</f>
        <v>m_l_attacker_polluter_spike_1</v>
      </c>
      <c r="Z920" s="12"/>
      <c r="AA920" s="12"/>
      <c r="AB920" s="12"/>
      <c r="AC920" s="88">
        <v>0.7</v>
      </c>
      <c r="AD920" s="12"/>
      <c r="AE920" s="12"/>
      <c r="AF920" s="12"/>
      <c r="AG920" s="12" t="s">
        <v>2757</v>
      </c>
      <c r="AH920" s="85"/>
    </row>
    <row r="921" spans="1:34" x14ac:dyDescent="0.3">
      <c r="A921" s="12">
        <f t="shared" si="28"/>
        <v>1510206203</v>
      </c>
      <c r="B921" s="12" t="s">
        <v>174</v>
      </c>
      <c r="C921" s="12" t="s">
        <v>186</v>
      </c>
      <c r="D921" s="12" t="str">
        <f>"Monster.Name."&amp;VLOOKUP($C921,'#Data'!$B$2:$J$344,2,FALSE)</f>
        <v>Monster.Name.polluter_bloblauncher_1</v>
      </c>
      <c r="E921" s="12" t="s">
        <v>47</v>
      </c>
      <c r="F921" s="39" t="s">
        <v>44</v>
      </c>
      <c r="G921" s="12" t="s">
        <v>45</v>
      </c>
      <c r="H921" s="12" t="b">
        <f>IF(OR(VLOOKUP($C921,'#Data'!$B$2:$J$344,4,FALSE)="보스",VLOOKUP($C921,'#Data'!$B$2:$J$344,4,FALSE)="중간"),TRUE,FALSE)</f>
        <v>1</v>
      </c>
      <c r="I921" s="12" t="b">
        <v>1</v>
      </c>
      <c r="J921" s="12">
        <v>10</v>
      </c>
      <c r="K921" s="12">
        <f t="shared" si="29"/>
        <v>10</v>
      </c>
      <c r="L921" s="63" t="str">
        <f>$B921&amp;"."&amp;VLOOKUP($C921,'#Data'!$B$2:$J$344,2,FALSE)&amp;".attack0"&amp;RIGHT(L$1,1)</f>
        <v>Sector06.polluter_bloblauncher_1.attack01</v>
      </c>
      <c r="M921" s="63"/>
      <c r="N921" s="63"/>
      <c r="O921" s="134" t="str">
        <f>$B921&amp;"."&amp;VLOOKUP($C921,'#Data'!$B$2:$J$344,2,FALSE)&amp;".skill0"&amp;RIGHT(O$1,1)</f>
        <v>Sector06.polluter_bloblauncher_1.skill01</v>
      </c>
      <c r="P921" s="134" t="str">
        <f>$B921&amp;"."&amp;VLOOKUP($C921,'#Data'!$B$2:$J$344,2,FALSE)&amp;".skill0"&amp;RIGHT(P$1,1)</f>
        <v>Sector06.polluter_bloblauncher_1.skill02</v>
      </c>
      <c r="Q921" s="134" t="str">
        <f>$B921&amp;"."&amp;VLOOKUP($C921,'#Data'!$B$2:$J$344,2,FALSE)&amp;".skill0"&amp;RIGHT(Q$1,1)</f>
        <v>Sector06.polluter_bloblauncher_1.skill03</v>
      </c>
      <c r="R921" s="64"/>
      <c r="S921" s="64" t="s">
        <v>2078</v>
      </c>
      <c r="T921" s="64"/>
      <c r="U921" s="64"/>
      <c r="V921" s="12" t="b">
        <v>0</v>
      </c>
      <c r="W921" s="12" t="str">
        <f>"Character/Prefabs/"&amp;VLOOKUP($C921,'#Data'!$B$3:$I$344,8,FALSE)</f>
        <v>Character/Prefabs/m_l_ranger_polluter_bloblauncher_1</v>
      </c>
      <c r="X921" s="12"/>
      <c r="Y921" s="12" t="str">
        <f>VLOOKUP($C921,'#Data'!$B$3:$I$344,8,FALSE)</f>
        <v>m_l_ranger_polluter_bloblauncher_1</v>
      </c>
      <c r="Z921" s="12"/>
      <c r="AA921" s="12"/>
      <c r="AB921" s="12"/>
      <c r="AC921" s="88">
        <v>0.9</v>
      </c>
      <c r="AD921" s="12"/>
      <c r="AE921" s="12"/>
      <c r="AF921" s="12"/>
      <c r="AG921" s="12" t="s">
        <v>2757</v>
      </c>
      <c r="AH921" s="85"/>
    </row>
    <row r="922" spans="1:34" x14ac:dyDescent="0.3">
      <c r="A922" s="108">
        <f t="shared" si="28"/>
        <v>1510206301</v>
      </c>
      <c r="B922" s="108" t="s">
        <v>174</v>
      </c>
      <c r="C922" s="108" t="s">
        <v>187</v>
      </c>
      <c r="D922" s="108" t="str">
        <f>"Monster.Name."&amp;VLOOKUP($C922,'#Data'!$B$2:$J$344,2,FALSE)</f>
        <v>Monster.Name.toxic_1</v>
      </c>
      <c r="E922" s="108" t="s">
        <v>43</v>
      </c>
      <c r="F922" s="109" t="s">
        <v>44</v>
      </c>
      <c r="G922" s="108" t="s">
        <v>45</v>
      </c>
      <c r="H922" s="108" t="b">
        <f>IF(OR(VLOOKUP($C922,'#Data'!$B$2:$J$344,4,FALSE)="보스",VLOOKUP($C922,'#Data'!$B$2:$J$344,4,FALSE)="중간"),TRUE,FALSE)</f>
        <v>1</v>
      </c>
      <c r="I922" s="108" t="b">
        <v>1</v>
      </c>
      <c r="J922" s="108">
        <v>30</v>
      </c>
      <c r="K922" s="108">
        <f t="shared" si="29"/>
        <v>10</v>
      </c>
      <c r="L922" s="113" t="str">
        <f>$B922&amp;"."&amp;VLOOKUP($C922,'#Data'!$B$2:$J$344,2,FALSE)&amp;".attack0"&amp;RIGHT(L$1,1)</f>
        <v>Sector06.toxic_1.attack01</v>
      </c>
      <c r="M922" s="113" t="str">
        <f>$B922&amp;"."&amp;VLOOKUP($C922,'#Data'!$B$2:$J$344,2,FALSE)&amp;".attack0"&amp;RIGHT(M$1,1)</f>
        <v>Sector06.toxic_1.attack02</v>
      </c>
      <c r="N922" s="113"/>
      <c r="O922" s="136" t="str">
        <f>$B922&amp;"."&amp;VLOOKUP($C922,'#Data'!$B$2:$J$344,2,FALSE)&amp;".skill0"&amp;RIGHT(O$1,1)</f>
        <v>Sector06.toxic_1.skill01</v>
      </c>
      <c r="P922" s="136" t="str">
        <f>$B922&amp;"."&amp;VLOOKUP($C922,'#Data'!$B$2:$J$344,2,FALSE)&amp;".skill0"&amp;RIGHT(P$1,1)</f>
        <v>Sector06.toxic_1.skill02</v>
      </c>
      <c r="Q922" s="136" t="str">
        <f>$B922&amp;"."&amp;VLOOKUP($C922,'#Data'!$B$2:$J$344,2,FALSE)&amp;".skill0"&amp;RIGHT(Q$1,1)</f>
        <v>Sector06.toxic_1.skill03</v>
      </c>
      <c r="R922" s="114" t="s">
        <v>1400</v>
      </c>
      <c r="S922" s="114" t="s">
        <v>1401</v>
      </c>
      <c r="T922" s="114"/>
      <c r="U922" s="114"/>
      <c r="V922" s="108" t="b">
        <v>0</v>
      </c>
      <c r="W922" s="108" t="str">
        <f>"Character/Prefabs/"&amp;VLOOKUP($C922,'#Data'!$B$3:$I$344,8,FALSE)</f>
        <v>Character/Prefabs/m_boss_attacker_toxic_1</v>
      </c>
      <c r="X922" s="108"/>
      <c r="Y922" s="108" t="str">
        <f>VLOOKUP($C922,'#Data'!$B$3:$I$344,8,FALSE)</f>
        <v>m_boss_attacker_toxic_1</v>
      </c>
      <c r="Z922" s="108"/>
      <c r="AA922" s="108"/>
      <c r="AB922" s="108"/>
      <c r="AC922" s="111">
        <v>0.9</v>
      </c>
      <c r="AD922" s="108"/>
      <c r="AE922" s="108" t="s">
        <v>188</v>
      </c>
      <c r="AF922" s="108" t="s">
        <v>189</v>
      </c>
      <c r="AG922" s="108" t="s">
        <v>2757</v>
      </c>
      <c r="AH922" s="85"/>
    </row>
    <row r="923" spans="1:34" x14ac:dyDescent="0.3">
      <c r="A923" s="108">
        <f t="shared" si="28"/>
        <v>1510206302</v>
      </c>
      <c r="B923" s="108" t="s">
        <v>174</v>
      </c>
      <c r="C923" s="108" t="s">
        <v>1399</v>
      </c>
      <c r="D923" s="108" t="str">
        <f>"Monster.Name."&amp;VLOOKUP($C923,'#Data'!$B$2:$J$344,2,FALSE)</f>
        <v>Monster.Name.toxic_3</v>
      </c>
      <c r="E923" s="108" t="s">
        <v>43</v>
      </c>
      <c r="F923" s="109" t="s">
        <v>44</v>
      </c>
      <c r="G923" s="108" t="s">
        <v>45</v>
      </c>
      <c r="H923" s="108" t="b">
        <f>IF(OR(VLOOKUP($C923,'#Data'!$B$2:$J$344,4,FALSE)="보스",VLOOKUP($C923,'#Data'!$B$2:$J$344,4,FALSE)="중간"),TRUE,FALSE)</f>
        <v>1</v>
      </c>
      <c r="I923" s="108" t="b">
        <v>1</v>
      </c>
      <c r="J923" s="108">
        <v>30</v>
      </c>
      <c r="K923" s="108">
        <f t="shared" si="29"/>
        <v>10</v>
      </c>
      <c r="L923" s="113" t="str">
        <f>$B923&amp;"."&amp;VLOOKUP($C923,'#Data'!$B$2:$J$344,2,FALSE)&amp;".attack0"&amp;RIGHT(L$1,1)</f>
        <v>Sector06.toxic_3.attack01</v>
      </c>
      <c r="M923" s="113" t="str">
        <f>$B923&amp;"."&amp;VLOOKUP($C923,'#Data'!$B$2:$J$344,2,FALSE)&amp;".attack0"&amp;RIGHT(M$1,1)</f>
        <v>Sector06.toxic_3.attack02</v>
      </c>
      <c r="N923" s="113"/>
      <c r="O923" s="136" t="str">
        <f>$B923&amp;"."&amp;VLOOKUP($C923,'#Data'!$B$2:$J$344,2,FALSE)&amp;".skill0"&amp;RIGHT(O$1,1)</f>
        <v>Sector06.toxic_3.skill01</v>
      </c>
      <c r="P923" s="136" t="str">
        <f>$B923&amp;"."&amp;VLOOKUP($C923,'#Data'!$B$2:$J$344,2,FALSE)&amp;".skill0"&amp;RIGHT(P$1,1)</f>
        <v>Sector06.toxic_3.skill02</v>
      </c>
      <c r="Q923" s="136" t="str">
        <f>$B923&amp;"."&amp;VLOOKUP($C923,'#Data'!$B$2:$J$344,2,FALSE)&amp;".skill0"&amp;RIGHT(Q$1,1)</f>
        <v>Sector06.toxic_3.skill03</v>
      </c>
      <c r="R923" s="114" t="s">
        <v>1413</v>
      </c>
      <c r="S923" s="114" t="s">
        <v>1414</v>
      </c>
      <c r="T923" s="114"/>
      <c r="U923" s="114"/>
      <c r="V923" s="108" t="b">
        <v>0</v>
      </c>
      <c r="W923" s="165" t="str">
        <f>"Character/Prefabs/"&amp;VLOOKUP($C923,'#Data'!$B$3:$I$344,8,FALSE)</f>
        <v>Character/Prefabs/m_boss_attacker_toxic_3</v>
      </c>
      <c r="X923" s="165"/>
      <c r="Y923" s="165" t="str">
        <f>VLOOKUP($C923,'#Data'!$B$3:$I$344,8,FALSE)</f>
        <v>m_boss_attacker_toxic_3</v>
      </c>
      <c r="Z923" s="108"/>
      <c r="AA923" s="108"/>
      <c r="AB923" s="108"/>
      <c r="AC923" s="111">
        <v>1.1000000000000001</v>
      </c>
      <c r="AD923" s="108"/>
      <c r="AE923" s="108" t="s">
        <v>2082</v>
      </c>
      <c r="AF923" s="108" t="s">
        <v>2099</v>
      </c>
      <c r="AG923" s="108" t="s">
        <v>2757</v>
      </c>
      <c r="AH923" s="85"/>
    </row>
    <row r="924" spans="1:34" x14ac:dyDescent="0.3">
      <c r="A924" s="41">
        <f t="shared" si="28"/>
        <v>1510207101</v>
      </c>
      <c r="B924" s="41" t="s">
        <v>190</v>
      </c>
      <c r="C924" s="41" t="s">
        <v>191</v>
      </c>
      <c r="D924" s="41" t="str">
        <f>"Monster.Name."&amp;VLOOKUP($C924,'#Data'!$B$2:$J$344,2,FALSE)</f>
        <v>Monster.Name.clock_clawdog_1</v>
      </c>
      <c r="E924" s="41" t="s">
        <v>43</v>
      </c>
      <c r="F924" s="42" t="s">
        <v>44</v>
      </c>
      <c r="G924" s="41" t="s">
        <v>45</v>
      </c>
      <c r="H924" s="41" t="b">
        <f>IF(OR(VLOOKUP($C924,'#Data'!$B$2:$J$344,4,FALSE)="보스",VLOOKUP($C924,'#Data'!$B$2:$J$344,4,FALSE)="중간"),TRUE,FALSE)</f>
        <v>0</v>
      </c>
      <c r="I924" s="41" t="b">
        <v>0</v>
      </c>
      <c r="J924" s="41">
        <v>10</v>
      </c>
      <c r="K924" s="41">
        <f t="shared" si="29"/>
        <v>10</v>
      </c>
      <c r="L924" s="67" t="str">
        <f>$B924&amp;"."&amp;VLOOKUP($C924,'#Data'!$B$2:$J$344,2,FALSE)&amp;".attack0"&amp;RIGHT(L$1,1)</f>
        <v>Sector07.clock_clawdog_1.attack01</v>
      </c>
      <c r="M924" s="67"/>
      <c r="N924" s="67"/>
      <c r="O924" s="137" t="s">
        <v>2050</v>
      </c>
      <c r="P924" s="137"/>
      <c r="Q924" s="137"/>
      <c r="R924" s="68"/>
      <c r="S924" s="68"/>
      <c r="T924" s="68"/>
      <c r="U924" s="68"/>
      <c r="V924" s="41" t="b">
        <v>0</v>
      </c>
      <c r="W924" s="41" t="str">
        <f>"Character/Prefabs/"&amp;VLOOKUP($C924,'#Data'!$B$3:$I$344,8,FALSE)</f>
        <v>Character/Prefabs/m_s_attacker_clock_clawdog_1</v>
      </c>
      <c r="X924" s="41"/>
      <c r="Y924" s="41" t="str">
        <f>VLOOKUP($C924,'#Data'!$B$3:$I$344,8,FALSE)</f>
        <v>m_s_attacker_clock_clawdog_1</v>
      </c>
      <c r="Z924" s="41"/>
      <c r="AA924" s="41"/>
      <c r="AB924" s="41"/>
      <c r="AC924" s="90">
        <v>0.9</v>
      </c>
      <c r="AD924" s="41"/>
      <c r="AE924" s="41"/>
      <c r="AF924" s="41"/>
      <c r="AG924" s="41" t="s">
        <v>2757</v>
      </c>
      <c r="AH924" s="85"/>
    </row>
    <row r="925" spans="1:34" x14ac:dyDescent="0.3">
      <c r="A925" s="41">
        <f t="shared" si="28"/>
        <v>1510207102</v>
      </c>
      <c r="B925" s="41" t="s">
        <v>190</v>
      </c>
      <c r="C925" s="41" t="s">
        <v>192</v>
      </c>
      <c r="D925" s="41" t="str">
        <f>"Monster.Name."&amp;VLOOKUP($C925,'#Data'!$B$2:$J$344,2,FALSE)</f>
        <v>Monster.Name.clock_flamedog_1</v>
      </c>
      <c r="E925" s="41" t="s">
        <v>47</v>
      </c>
      <c r="F925" s="42" t="s">
        <v>44</v>
      </c>
      <c r="G925" s="41" t="s">
        <v>45</v>
      </c>
      <c r="H925" s="41" t="b">
        <f>IF(OR(VLOOKUP($C925,'#Data'!$B$2:$J$344,4,FALSE)="보스",VLOOKUP($C925,'#Data'!$B$2:$J$344,4,FALSE)="중간"),TRUE,FALSE)</f>
        <v>0</v>
      </c>
      <c r="I925" s="41" t="b">
        <v>0</v>
      </c>
      <c r="J925" s="41">
        <v>10</v>
      </c>
      <c r="K925" s="41">
        <f t="shared" si="29"/>
        <v>10</v>
      </c>
      <c r="L925" s="67" t="str">
        <f>$B925&amp;"."&amp;VLOOKUP($C925,'#Data'!$B$2:$J$344,2,FALSE)&amp;".attack0"&amp;RIGHT(L$1,1)</f>
        <v>Sector07.clock_flamedog_1.attack01</v>
      </c>
      <c r="M925" s="67"/>
      <c r="N925" s="67"/>
      <c r="O925" s="137" t="s">
        <v>2051</v>
      </c>
      <c r="P925" s="137"/>
      <c r="Q925" s="137"/>
      <c r="R925" s="68"/>
      <c r="S925" s="68"/>
      <c r="T925" s="68"/>
      <c r="U925" s="68"/>
      <c r="V925" s="41" t="b">
        <v>0</v>
      </c>
      <c r="W925" s="41" t="str">
        <f>"Character/Prefabs/"&amp;VLOOKUP($C925,'#Data'!$B$3:$I$344,8,FALSE)</f>
        <v>Character/Prefabs/m_s_ranger_clock_flamedog_1</v>
      </c>
      <c r="X925" s="41"/>
      <c r="Y925" s="41" t="str">
        <f>VLOOKUP($C925,'#Data'!$B$3:$I$344,8,FALSE)</f>
        <v>m_s_ranger_clock_flamedog_1</v>
      </c>
      <c r="Z925" s="41"/>
      <c r="AA925" s="41"/>
      <c r="AB925" s="41"/>
      <c r="AC925" s="90">
        <v>0.9</v>
      </c>
      <c r="AD925" s="41"/>
      <c r="AE925" s="41"/>
      <c r="AF925" s="41"/>
      <c r="AG925" s="41" t="s">
        <v>2757</v>
      </c>
      <c r="AH925" s="85"/>
    </row>
    <row r="926" spans="1:34" x14ac:dyDescent="0.3">
      <c r="A926" s="41">
        <f t="shared" si="28"/>
        <v>1510207103</v>
      </c>
      <c r="B926" s="41" t="s">
        <v>190</v>
      </c>
      <c r="C926" s="41" t="s">
        <v>193</v>
      </c>
      <c r="D926" s="41" t="str">
        <f>"Monster.Name."&amp;VLOOKUP($C926,'#Data'!$B$2:$J$344,2,FALSE)</f>
        <v>Monster.Name.clock_spear_1</v>
      </c>
      <c r="E926" s="41" t="s">
        <v>43</v>
      </c>
      <c r="F926" s="42" t="s">
        <v>44</v>
      </c>
      <c r="G926" s="41" t="s">
        <v>45</v>
      </c>
      <c r="H926" s="41" t="b">
        <f>IF(OR(VLOOKUP($C926,'#Data'!$B$2:$J$344,4,FALSE)="보스",VLOOKUP($C926,'#Data'!$B$2:$J$344,4,FALSE)="중간"),TRUE,FALSE)</f>
        <v>0</v>
      </c>
      <c r="I926" s="41" t="b">
        <v>0</v>
      </c>
      <c r="J926" s="41">
        <v>10</v>
      </c>
      <c r="K926" s="41">
        <f t="shared" si="29"/>
        <v>10</v>
      </c>
      <c r="L926" s="67" t="str">
        <f>$B926&amp;"."&amp;VLOOKUP($C926,'#Data'!$B$2:$J$344,2,FALSE)&amp;".attack0"&amp;RIGHT(L$1,1)</f>
        <v>Sector07.clock_spear_1.attack01</v>
      </c>
      <c r="M926" s="67"/>
      <c r="N926" s="67"/>
      <c r="O926" s="137" t="str">
        <f>$B926&amp;"."&amp;VLOOKUP($C926,'#Data'!$B$2:$J$344,2,FALSE)&amp;".skill0"&amp;RIGHT(O$1,1)</f>
        <v>Sector07.clock_spear_1.skill01</v>
      </c>
      <c r="P926" s="137" t="s">
        <v>2052</v>
      </c>
      <c r="Q926" s="137"/>
      <c r="R926" s="68"/>
      <c r="S926" s="68"/>
      <c r="T926" s="68"/>
      <c r="U926" s="68"/>
      <c r="V926" s="41" t="b">
        <v>0</v>
      </c>
      <c r="W926" s="41" t="str">
        <f>"Character/Prefabs/"&amp;VLOOKUP($C926,'#Data'!$B$3:$I$344,8,FALSE)</f>
        <v>Character/Prefabs/m_m_attacker_clock_spear_1</v>
      </c>
      <c r="X926" s="41"/>
      <c r="Y926" s="41" t="str">
        <f>VLOOKUP($C926,'#Data'!$B$3:$I$344,8,FALSE)</f>
        <v>m_m_attacker_clock_spear_1</v>
      </c>
      <c r="Z926" s="41"/>
      <c r="AA926" s="41"/>
      <c r="AB926" s="41"/>
      <c r="AC926" s="90">
        <v>0.9</v>
      </c>
      <c r="AD926" s="41"/>
      <c r="AE926" s="41"/>
      <c r="AF926" s="41"/>
      <c r="AG926" s="41" t="s">
        <v>2757</v>
      </c>
      <c r="AH926" s="85"/>
    </row>
    <row r="927" spans="1:34" x14ac:dyDescent="0.3">
      <c r="A927" s="41">
        <f t="shared" si="28"/>
        <v>1510207104</v>
      </c>
      <c r="B927" s="41" t="s">
        <v>190</v>
      </c>
      <c r="C927" s="41" t="s">
        <v>194</v>
      </c>
      <c r="D927" s="41" t="str">
        <f>"Monster.Name."&amp;VLOOKUP($C927,'#Data'!$B$2:$J$344,2,FALSE)</f>
        <v>Monster.Name.clock_squire_1</v>
      </c>
      <c r="E927" s="41" t="s">
        <v>47</v>
      </c>
      <c r="F927" s="42" t="s">
        <v>44</v>
      </c>
      <c r="G927" s="41" t="s">
        <v>45</v>
      </c>
      <c r="H927" s="41" t="b">
        <f>IF(OR(VLOOKUP($C927,'#Data'!$B$2:$J$344,4,FALSE)="보스",VLOOKUP($C927,'#Data'!$B$2:$J$344,4,FALSE)="중간"),TRUE,FALSE)</f>
        <v>0</v>
      </c>
      <c r="I927" s="41" t="b">
        <v>0</v>
      </c>
      <c r="J927" s="41">
        <v>10</v>
      </c>
      <c r="K927" s="41">
        <f t="shared" si="29"/>
        <v>10</v>
      </c>
      <c r="L927" s="67" t="str">
        <f>$B927&amp;"."&amp;VLOOKUP($C927,'#Data'!$B$2:$J$344,2,FALSE)&amp;".attack0"&amp;RIGHT(L$1,1)</f>
        <v>Sector07.clock_squire_1.attack01</v>
      </c>
      <c r="M927" s="67"/>
      <c r="N927" s="67"/>
      <c r="O927" s="137" t="str">
        <f>$B927&amp;"."&amp;VLOOKUP($C927,'#Data'!$B$2:$J$344,2,FALSE)&amp;".skill0"&amp;RIGHT(O$1,1)</f>
        <v>Sector07.clock_squire_1.skill01</v>
      </c>
      <c r="P927" s="137" t="s">
        <v>2053</v>
      </c>
      <c r="Q927" s="137"/>
      <c r="R927" s="68"/>
      <c r="S927" s="68"/>
      <c r="T927" s="68"/>
      <c r="U927" s="68"/>
      <c r="V927" s="41" t="b">
        <v>0</v>
      </c>
      <c r="W927" s="41" t="str">
        <f>"Character/Prefabs/"&amp;VLOOKUP($C927,'#Data'!$B$3:$I$344,8,FALSE)</f>
        <v>Character/Prefabs/m_m_ranger_clock_squire_1</v>
      </c>
      <c r="X927" s="41"/>
      <c r="Y927" s="41" t="str">
        <f>VLOOKUP($C927,'#Data'!$B$3:$I$344,8,FALSE)</f>
        <v>m_m_ranger_clock_squire_1</v>
      </c>
      <c r="Z927" s="41"/>
      <c r="AA927" s="41"/>
      <c r="AB927" s="41"/>
      <c r="AC927" s="90">
        <v>0.9</v>
      </c>
      <c r="AD927" s="41"/>
      <c r="AE927" s="41"/>
      <c r="AF927" s="41"/>
      <c r="AG927" s="41" t="s">
        <v>2757</v>
      </c>
      <c r="AH927" s="85"/>
    </row>
    <row r="928" spans="1:34" x14ac:dyDescent="0.3">
      <c r="A928" s="41">
        <f t="shared" si="28"/>
        <v>1510207105</v>
      </c>
      <c r="B928" s="41" t="s">
        <v>190</v>
      </c>
      <c r="C928" s="41" t="s">
        <v>195</v>
      </c>
      <c r="D928" s="41" t="str">
        <f>"Monster.Name."&amp;VLOOKUP($C928,'#Data'!$B$2:$J$344,2,FALSE)</f>
        <v>Monster.Name.clock_crossbow_1</v>
      </c>
      <c r="E928" s="41" t="s">
        <v>47</v>
      </c>
      <c r="F928" s="42" t="s">
        <v>44</v>
      </c>
      <c r="G928" s="41" t="s">
        <v>45</v>
      </c>
      <c r="H928" s="41" t="b">
        <f>IF(OR(VLOOKUP($C928,'#Data'!$B$2:$J$344,4,FALSE)="보스",VLOOKUP($C928,'#Data'!$B$2:$J$344,4,FALSE)="중간"),TRUE,FALSE)</f>
        <v>0</v>
      </c>
      <c r="I928" s="41" t="b">
        <v>0</v>
      </c>
      <c r="J928" s="41">
        <v>10</v>
      </c>
      <c r="K928" s="41">
        <f t="shared" si="29"/>
        <v>10</v>
      </c>
      <c r="L928" s="67" t="str">
        <f>$B928&amp;"."&amp;VLOOKUP($C928,'#Data'!$B$2:$J$344,2,FALSE)&amp;".attack0"&amp;RIGHT(L$1,1)</f>
        <v>Sector07.clock_crossbow_1.attack01</v>
      </c>
      <c r="M928" s="67"/>
      <c r="N928" s="67"/>
      <c r="O928" s="137" t="str">
        <f>$B928&amp;"."&amp;VLOOKUP($C928,'#Data'!$B$2:$J$344,2,FALSE)&amp;".skill0"&amp;RIGHT(O$1,1)</f>
        <v>Sector07.clock_crossbow_1.skill01</v>
      </c>
      <c r="P928" s="137" t="s">
        <v>2054</v>
      </c>
      <c r="Q928" s="137"/>
      <c r="R928" s="68"/>
      <c r="S928" s="68"/>
      <c r="T928" s="68"/>
      <c r="U928" s="68"/>
      <c r="V928" s="41" t="b">
        <v>0</v>
      </c>
      <c r="W928" s="41" t="str">
        <f>"Character/Prefabs/"&amp;VLOOKUP($C928,'#Data'!$B$3:$I$344,8,FALSE)</f>
        <v>Character/Prefabs/m_m_ranger_clock_crossbow_1</v>
      </c>
      <c r="X928" s="41"/>
      <c r="Y928" s="41" t="str">
        <f>VLOOKUP($C928,'#Data'!$B$3:$I$344,8,FALSE)</f>
        <v>m_m_ranger_clock_crossbow_1</v>
      </c>
      <c r="Z928" s="41"/>
      <c r="AA928" s="41"/>
      <c r="AB928" s="41"/>
      <c r="AC928" s="90">
        <v>0.9</v>
      </c>
      <c r="AD928" s="41"/>
      <c r="AE928" s="41"/>
      <c r="AF928" s="41"/>
      <c r="AG928" s="41" t="s">
        <v>2757</v>
      </c>
      <c r="AH928" s="85"/>
    </row>
    <row r="929" spans="1:34" x14ac:dyDescent="0.3">
      <c r="A929" s="41">
        <f t="shared" si="28"/>
        <v>1510207106</v>
      </c>
      <c r="B929" s="41" t="s">
        <v>190</v>
      </c>
      <c r="C929" s="41" t="s">
        <v>196</v>
      </c>
      <c r="D929" s="41" t="str">
        <f>"Monster.Name."&amp;VLOOKUP($C929,'#Data'!$B$2:$J$344,2,FALSE)</f>
        <v>Monster.Name.clock_shield_1</v>
      </c>
      <c r="E929" s="41" t="s">
        <v>43</v>
      </c>
      <c r="F929" s="42" t="s">
        <v>44</v>
      </c>
      <c r="G929" s="41" t="s">
        <v>45</v>
      </c>
      <c r="H929" s="41" t="b">
        <f>IF(OR(VLOOKUP($C929,'#Data'!$B$2:$J$344,4,FALSE)="보스",VLOOKUP($C929,'#Data'!$B$2:$J$344,4,FALSE)="중간"),TRUE,FALSE)</f>
        <v>0</v>
      </c>
      <c r="I929" s="41" t="b">
        <v>0</v>
      </c>
      <c r="J929" s="41">
        <v>10</v>
      </c>
      <c r="K929" s="41">
        <f t="shared" si="29"/>
        <v>10</v>
      </c>
      <c r="L929" s="67" t="str">
        <f>$B929&amp;"."&amp;VLOOKUP($C929,'#Data'!$B$2:$J$344,2,FALSE)&amp;".attack0"&amp;RIGHT(L$1,1)</f>
        <v>Sector07.clock_shield_1.attack01</v>
      </c>
      <c r="M929" s="67"/>
      <c r="N929" s="67"/>
      <c r="O929" s="137" t="str">
        <f>$B929&amp;"."&amp;VLOOKUP($C929,'#Data'!$B$2:$J$344,2,FALSE)&amp;".skill0"&amp;RIGHT(O$1,1)</f>
        <v>Sector07.clock_shield_1.skill01</v>
      </c>
      <c r="P929" s="137" t="s">
        <v>2055</v>
      </c>
      <c r="Q929" s="137"/>
      <c r="R929" s="68"/>
      <c r="S929" s="68"/>
      <c r="T929" s="68"/>
      <c r="U929" s="68"/>
      <c r="V929" s="41" t="b">
        <v>0</v>
      </c>
      <c r="W929" s="41" t="str">
        <f>"Character/Prefabs/"&amp;VLOOKUP($C929,'#Data'!$B$3:$I$344,8,FALSE)</f>
        <v>Character/Prefabs/m_m_attacker_clock_shield_1</v>
      </c>
      <c r="X929" s="41"/>
      <c r="Y929" s="41" t="str">
        <f>VLOOKUP($C929,'#Data'!$B$3:$I$344,8,FALSE)</f>
        <v>m_m_attacker_clock_shield_1</v>
      </c>
      <c r="Z929" s="41"/>
      <c r="AA929" s="41"/>
      <c r="AB929" s="41"/>
      <c r="AC929" s="90">
        <v>0.9</v>
      </c>
      <c r="AD929" s="41"/>
      <c r="AE929" s="41"/>
      <c r="AF929" s="41"/>
      <c r="AG929" s="41" t="s">
        <v>2757</v>
      </c>
      <c r="AH929" s="85"/>
    </row>
    <row r="930" spans="1:34" x14ac:dyDescent="0.3">
      <c r="A930" s="41">
        <f t="shared" si="28"/>
        <v>1510207107</v>
      </c>
      <c r="B930" s="41" t="s">
        <v>190</v>
      </c>
      <c r="C930" s="41" t="s">
        <v>197</v>
      </c>
      <c r="D930" s="41" t="str">
        <f>"Monster.Name."&amp;VLOOKUP($C930,'#Data'!$B$2:$J$344,2,FALSE)</f>
        <v>Monster.Name.clock_clown_1</v>
      </c>
      <c r="E930" s="41" t="s">
        <v>47</v>
      </c>
      <c r="F930" s="42" t="s">
        <v>44</v>
      </c>
      <c r="G930" s="41" t="s">
        <v>45</v>
      </c>
      <c r="H930" s="41" t="b">
        <f>IF(OR(VLOOKUP($C930,'#Data'!$B$2:$J$344,4,FALSE)="보스",VLOOKUP($C930,'#Data'!$B$2:$J$344,4,FALSE)="중간"),TRUE,FALSE)</f>
        <v>0</v>
      </c>
      <c r="I930" s="41" t="b">
        <v>0</v>
      </c>
      <c r="J930" s="41">
        <v>10</v>
      </c>
      <c r="K930" s="41">
        <f t="shared" si="29"/>
        <v>10</v>
      </c>
      <c r="L930" s="67" t="str">
        <f>$B930&amp;"."&amp;VLOOKUP($C930,'#Data'!$B$2:$J$344,2,FALSE)&amp;".attack0"&amp;RIGHT(L$1,1)</f>
        <v>Sector07.clock_clown_1.attack01</v>
      </c>
      <c r="M930" s="67"/>
      <c r="N930" s="67"/>
      <c r="O930" s="137" t="str">
        <f>$B930&amp;"."&amp;VLOOKUP($C930,'#Data'!$B$2:$J$344,2,FALSE)&amp;".skill0"&amp;RIGHT(O$1,1)</f>
        <v>Sector07.clock_clown_1.skill01</v>
      </c>
      <c r="P930" s="137" t="s">
        <v>2056</v>
      </c>
      <c r="Q930" s="137"/>
      <c r="R930" s="68"/>
      <c r="S930" s="68"/>
      <c r="T930" s="68"/>
      <c r="U930" s="68"/>
      <c r="V930" s="41" t="b">
        <v>0</v>
      </c>
      <c r="W930" s="41" t="str">
        <f>"Character/Prefabs/"&amp;VLOOKUP($C930,'#Data'!$B$3:$I$344,8,FALSE)</f>
        <v>Character/Prefabs/m_m_ranger_clock_clown_1</v>
      </c>
      <c r="X930" s="41"/>
      <c r="Y930" s="41" t="str">
        <f>VLOOKUP($C930,'#Data'!$B$3:$I$344,8,FALSE)</f>
        <v>m_m_ranger_clock_clown_1</v>
      </c>
      <c r="Z930" s="41"/>
      <c r="AA930" s="41"/>
      <c r="AB930" s="41"/>
      <c r="AC930" s="90">
        <v>0.9</v>
      </c>
      <c r="AD930" s="41"/>
      <c r="AE930" s="41"/>
      <c r="AF930" s="41"/>
      <c r="AG930" s="41" t="s">
        <v>2757</v>
      </c>
      <c r="AH930" s="85"/>
    </row>
    <row r="931" spans="1:34" x14ac:dyDescent="0.3">
      <c r="A931" s="41">
        <f t="shared" si="28"/>
        <v>1510207108</v>
      </c>
      <c r="B931" s="41" t="s">
        <v>190</v>
      </c>
      <c r="C931" s="41" t="s">
        <v>198</v>
      </c>
      <c r="D931" s="41" t="str">
        <f>"Monster.Name."&amp;VLOOKUP($C931,'#Data'!$B$2:$J$344,2,FALSE)</f>
        <v>Monster.Name.clock_draftee_1</v>
      </c>
      <c r="E931" s="41" t="s">
        <v>43</v>
      </c>
      <c r="F931" s="42" t="s">
        <v>44</v>
      </c>
      <c r="G931" s="41" t="s">
        <v>45</v>
      </c>
      <c r="H931" s="41" t="b">
        <f>IF(OR(VLOOKUP($C931,'#Data'!$B$2:$J$344,4,FALSE)="보스",VLOOKUP($C931,'#Data'!$B$2:$J$344,4,FALSE)="중간"),TRUE,FALSE)</f>
        <v>0</v>
      </c>
      <c r="I931" s="41" t="b">
        <v>0</v>
      </c>
      <c r="J931" s="41">
        <v>10</v>
      </c>
      <c r="K931" s="41">
        <f t="shared" si="29"/>
        <v>10</v>
      </c>
      <c r="L931" s="67"/>
      <c r="M931" s="67"/>
      <c r="N931" s="67"/>
      <c r="O931" s="137" t="str">
        <f>$B931&amp;"."&amp;VLOOKUP($C931,'#Data'!$B$2:$J$344,2,FALSE)&amp;".skill0"&amp;RIGHT(O$1,1)</f>
        <v>Sector07.clock_draftee_1.skill01</v>
      </c>
      <c r="P931" s="137"/>
      <c r="Q931" s="137"/>
      <c r="R931" s="68"/>
      <c r="S931" s="68" t="s">
        <v>199</v>
      </c>
      <c r="T931" s="68"/>
      <c r="U931" s="68"/>
      <c r="V931" s="41" t="b">
        <v>0</v>
      </c>
      <c r="W931" s="41" t="str">
        <f>"Character/Prefabs/"&amp;VLOOKUP($C931,'#Data'!$B$3:$I$344,8,FALSE)</f>
        <v>Character/Prefabs/m_m_attacker_clock_draftee_1</v>
      </c>
      <c r="X931" s="41"/>
      <c r="Y931" s="41" t="str">
        <f>VLOOKUP($C931,'#Data'!$B$3:$I$344,8,FALSE)</f>
        <v>m_m_attacker_clock_draftee_1</v>
      </c>
      <c r="Z931" s="41"/>
      <c r="AA931" s="41"/>
      <c r="AB931" s="41"/>
      <c r="AC931" s="90">
        <v>0.9</v>
      </c>
      <c r="AD931" s="41"/>
      <c r="AE931" s="41"/>
      <c r="AF931" s="41"/>
      <c r="AG931" s="41" t="s">
        <v>2757</v>
      </c>
      <c r="AH931" s="85"/>
    </row>
    <row r="932" spans="1:34" x14ac:dyDescent="0.3">
      <c r="A932" s="41">
        <f t="shared" si="28"/>
        <v>1510207109</v>
      </c>
      <c r="B932" s="41" t="s">
        <v>190</v>
      </c>
      <c r="C932" s="41" t="s">
        <v>200</v>
      </c>
      <c r="D932" s="41" t="str">
        <f>"Monster.Name."&amp;VLOOKUP($C932,'#Data'!$B$2:$J$344,2,FALSE)</f>
        <v>Monster.Name.clock_honor_knight_1</v>
      </c>
      <c r="E932" s="41" t="s">
        <v>43</v>
      </c>
      <c r="F932" s="42" t="s">
        <v>44</v>
      </c>
      <c r="G932" s="41" t="s">
        <v>45</v>
      </c>
      <c r="H932" s="41" t="b">
        <f>IF(OR(VLOOKUP($C932,'#Data'!$B$2:$J$344,4,FALSE)="보스",VLOOKUP($C932,'#Data'!$B$2:$J$344,4,FALSE)="중간"),TRUE,FALSE)</f>
        <v>0</v>
      </c>
      <c r="I932" s="41" t="b">
        <v>0</v>
      </c>
      <c r="J932" s="41">
        <v>10</v>
      </c>
      <c r="K932" s="41">
        <f t="shared" si="29"/>
        <v>10</v>
      </c>
      <c r="L932" s="67" t="str">
        <f>$B932&amp;"."&amp;VLOOKUP($C932,'#Data'!$B$2:$J$344,2,FALSE)&amp;".attack0"&amp;RIGHT(L$1,1)</f>
        <v>Sector07.clock_honor_knight_1.attack01</v>
      </c>
      <c r="M932" s="67" t="str">
        <f>$B932&amp;"."&amp;VLOOKUP($C932,'#Data'!$B$2:$J$344,2,FALSE)&amp;".attack0"&amp;RIGHT(M$1,1)</f>
        <v>Sector07.clock_honor_knight_1.attack02</v>
      </c>
      <c r="N932" s="67"/>
      <c r="O932" s="137" t="str">
        <f>$B932&amp;"."&amp;VLOOKUP($C932,'#Data'!$B$2:$J$344,2,FALSE)&amp;".skill0"&amp;RIGHT(O$1,1)</f>
        <v>Sector07.clock_honor_knight_1.skill01</v>
      </c>
      <c r="P932" s="137"/>
      <c r="Q932" s="137"/>
      <c r="R932" s="68"/>
      <c r="S932" s="68" t="s">
        <v>1970</v>
      </c>
      <c r="T932" s="68"/>
      <c r="U932" s="68"/>
      <c r="V932" s="41" t="b">
        <v>0</v>
      </c>
      <c r="W932" s="41" t="str">
        <f>"Character/Prefabs/"&amp;VLOOKUP($C932,'#Data'!$B$3:$I$344,8,FALSE)</f>
        <v>Character/Prefabs/m_l_attacker_clock_honor_knight_1</v>
      </c>
      <c r="X932" s="41"/>
      <c r="Y932" s="41" t="str">
        <f>VLOOKUP($C932,'#Data'!$B$3:$I$344,8,FALSE)</f>
        <v>m_l_attacker_clock_honor_knight_1</v>
      </c>
      <c r="Z932" s="41"/>
      <c r="AA932" s="41"/>
      <c r="AB932" s="41"/>
      <c r="AC932" s="90">
        <v>0.9</v>
      </c>
      <c r="AD932" s="41"/>
      <c r="AE932" s="41"/>
      <c r="AF932" s="41"/>
      <c r="AG932" s="41" t="s">
        <v>2757</v>
      </c>
      <c r="AH932" s="85"/>
    </row>
    <row r="933" spans="1:34" x14ac:dyDescent="0.3">
      <c r="A933" s="19">
        <f t="shared" si="28"/>
        <v>1510207110</v>
      </c>
      <c r="B933" s="19" t="s">
        <v>190</v>
      </c>
      <c r="C933" s="19" t="s">
        <v>1418</v>
      </c>
      <c r="D933" s="19" t="str">
        <f>"Monster.Name."&amp;VLOOKUP($C933,'#Data'!$B$2:$J$344,2,FALSE)</f>
        <v>Monster.Name.clock_clawdog_2</v>
      </c>
      <c r="E933" s="19" t="s">
        <v>43</v>
      </c>
      <c r="F933" s="48" t="s">
        <v>44</v>
      </c>
      <c r="G933" s="19" t="s">
        <v>45</v>
      </c>
      <c r="H933" s="41" t="b">
        <f>IF(OR(VLOOKUP($C933,'#Data'!$B$2:$J$344,4,FALSE)="보스",VLOOKUP($C933,'#Data'!$B$2:$J$344,4,FALSE)="중간"),TRUE,FALSE)</f>
        <v>0</v>
      </c>
      <c r="I933" s="41" t="b">
        <v>0</v>
      </c>
      <c r="J933" s="19">
        <v>10</v>
      </c>
      <c r="K933" s="19">
        <f t="shared" si="29"/>
        <v>10</v>
      </c>
      <c r="L933" s="69" t="s">
        <v>1434</v>
      </c>
      <c r="M933" s="69"/>
      <c r="N933" s="69"/>
      <c r="O933" s="138" t="s">
        <v>2050</v>
      </c>
      <c r="P933" s="138"/>
      <c r="Q933" s="138"/>
      <c r="R933" s="70"/>
      <c r="S933" s="70"/>
      <c r="T933" s="70"/>
      <c r="U933" s="70"/>
      <c r="V933" s="19" t="b">
        <v>0</v>
      </c>
      <c r="W933" s="19" t="str">
        <f>"Character/Prefabs/"&amp;VLOOKUP($C933,'#Data'!$B$3:$I$344,8,FALSE)</f>
        <v>Character/Prefabs/m_s_attacker_clock_clawdog_2</v>
      </c>
      <c r="X933" s="19"/>
      <c r="Y933" s="19" t="str">
        <f>VLOOKUP($C933,'#Data'!$B$3:$I$344,8,FALSE)</f>
        <v>m_s_attacker_clock_clawdog_2</v>
      </c>
      <c r="Z933" s="19"/>
      <c r="AA933" s="19"/>
      <c r="AB933" s="19"/>
      <c r="AC933" s="91">
        <v>0.9</v>
      </c>
      <c r="AD933" s="19"/>
      <c r="AE933" s="19"/>
      <c r="AF933" s="19"/>
      <c r="AG933" s="19" t="s">
        <v>2757</v>
      </c>
      <c r="AH933" s="85"/>
    </row>
    <row r="934" spans="1:34" x14ac:dyDescent="0.3">
      <c r="A934" s="19">
        <f t="shared" si="28"/>
        <v>1510207111</v>
      </c>
      <c r="B934" s="19" t="s">
        <v>190</v>
      </c>
      <c r="C934" s="19" t="s">
        <v>1419</v>
      </c>
      <c r="D934" s="19" t="str">
        <f>"Monster.Name."&amp;VLOOKUP($C934,'#Data'!$B$2:$J$344,2,FALSE)</f>
        <v>Monster.Name.clock_flamedog_2</v>
      </c>
      <c r="E934" s="19" t="s">
        <v>47</v>
      </c>
      <c r="F934" s="48" t="s">
        <v>44</v>
      </c>
      <c r="G934" s="19" t="s">
        <v>45</v>
      </c>
      <c r="H934" s="41" t="b">
        <f>IF(OR(VLOOKUP($C934,'#Data'!$B$2:$J$344,4,FALSE)="보스",VLOOKUP($C934,'#Data'!$B$2:$J$344,4,FALSE)="중간"),TRUE,FALSE)</f>
        <v>0</v>
      </c>
      <c r="I934" s="41" t="b">
        <v>0</v>
      </c>
      <c r="J934" s="19">
        <v>10</v>
      </c>
      <c r="K934" s="19">
        <f t="shared" si="29"/>
        <v>10</v>
      </c>
      <c r="L934" s="69" t="s">
        <v>1435</v>
      </c>
      <c r="M934" s="69"/>
      <c r="N934" s="69"/>
      <c r="O934" s="138" t="s">
        <v>2051</v>
      </c>
      <c r="P934" s="138"/>
      <c r="Q934" s="138"/>
      <c r="R934" s="70"/>
      <c r="S934" s="70"/>
      <c r="T934" s="70"/>
      <c r="U934" s="70"/>
      <c r="V934" s="19" t="b">
        <v>0</v>
      </c>
      <c r="W934" s="19" t="str">
        <f>"Character/Prefabs/"&amp;VLOOKUP($C934,'#Data'!$B$3:$I$344,8,FALSE)</f>
        <v>Character/Prefabs/m_s_ranger_clock_flamedog_2</v>
      </c>
      <c r="X934" s="19"/>
      <c r="Y934" s="19" t="str">
        <f>VLOOKUP($C934,'#Data'!$B$3:$I$344,8,FALSE)</f>
        <v>m_s_ranger_clock_flamedog_2</v>
      </c>
      <c r="Z934" s="19"/>
      <c r="AA934" s="19"/>
      <c r="AB934" s="19"/>
      <c r="AC934" s="91">
        <v>0.9</v>
      </c>
      <c r="AD934" s="19"/>
      <c r="AE934" s="19"/>
      <c r="AF934" s="19"/>
      <c r="AG934" s="19" t="s">
        <v>2757</v>
      </c>
      <c r="AH934" s="85"/>
    </row>
    <row r="935" spans="1:34" x14ac:dyDescent="0.3">
      <c r="A935" s="19">
        <f t="shared" si="28"/>
        <v>1510207112</v>
      </c>
      <c r="B935" s="19" t="s">
        <v>190</v>
      </c>
      <c r="C935" s="19" t="s">
        <v>1420</v>
      </c>
      <c r="D935" s="19" t="str">
        <f>"Monster.Name."&amp;VLOOKUP($C935,'#Data'!$B$2:$J$344,2,FALSE)</f>
        <v>Monster.Name.clock_spear_2</v>
      </c>
      <c r="E935" s="19" t="s">
        <v>43</v>
      </c>
      <c r="F935" s="48" t="s">
        <v>44</v>
      </c>
      <c r="G935" s="19" t="s">
        <v>45</v>
      </c>
      <c r="H935" s="41" t="b">
        <f>IF(OR(VLOOKUP($C935,'#Data'!$B$2:$J$344,4,FALSE)="보스",VLOOKUP($C935,'#Data'!$B$2:$J$344,4,FALSE)="중간"),TRUE,FALSE)</f>
        <v>0</v>
      </c>
      <c r="I935" s="41" t="b">
        <v>0</v>
      </c>
      <c r="J935" s="19">
        <v>10</v>
      </c>
      <c r="K935" s="19">
        <f t="shared" si="29"/>
        <v>10</v>
      </c>
      <c r="L935" s="69" t="s">
        <v>1436</v>
      </c>
      <c r="M935" s="69"/>
      <c r="N935" s="69"/>
      <c r="O935" s="138" t="s">
        <v>1441</v>
      </c>
      <c r="P935" s="138" t="s">
        <v>2052</v>
      </c>
      <c r="Q935" s="138"/>
      <c r="R935" s="70"/>
      <c r="S935" s="70"/>
      <c r="T935" s="70"/>
      <c r="U935" s="70"/>
      <c r="V935" s="19" t="b">
        <v>0</v>
      </c>
      <c r="W935" s="19" t="str">
        <f>"Character/Prefabs/"&amp;VLOOKUP($C935,'#Data'!$B$3:$I$344,8,FALSE)</f>
        <v>Character/Prefabs/m_m_attacker_clock_spear_2</v>
      </c>
      <c r="X935" s="19"/>
      <c r="Y935" s="19" t="str">
        <f>VLOOKUP($C935,'#Data'!$B$3:$I$344,8,FALSE)</f>
        <v>m_m_attacker_clock_spear_2</v>
      </c>
      <c r="Z935" s="19"/>
      <c r="AA935" s="19"/>
      <c r="AB935" s="19"/>
      <c r="AC935" s="91">
        <v>0.9</v>
      </c>
      <c r="AD935" s="19"/>
      <c r="AE935" s="19"/>
      <c r="AF935" s="19"/>
      <c r="AG935" s="19" t="s">
        <v>2757</v>
      </c>
      <c r="AH935" s="85"/>
    </row>
    <row r="936" spans="1:34" x14ac:dyDescent="0.3">
      <c r="A936" s="19">
        <f t="shared" si="28"/>
        <v>1510207113</v>
      </c>
      <c r="B936" s="19" t="s">
        <v>190</v>
      </c>
      <c r="C936" s="19" t="s">
        <v>1421</v>
      </c>
      <c r="D936" s="19" t="str">
        <f>"Monster.Name."&amp;VLOOKUP($C936,'#Data'!$B$2:$J$344,2,FALSE)</f>
        <v>Monster.Name.clock_squire_2</v>
      </c>
      <c r="E936" s="19" t="s">
        <v>47</v>
      </c>
      <c r="F936" s="48" t="s">
        <v>44</v>
      </c>
      <c r="G936" s="19" t="s">
        <v>45</v>
      </c>
      <c r="H936" s="41" t="b">
        <f>IF(OR(VLOOKUP($C936,'#Data'!$B$2:$J$344,4,FALSE)="보스",VLOOKUP($C936,'#Data'!$B$2:$J$344,4,FALSE)="중간"),TRUE,FALSE)</f>
        <v>0</v>
      </c>
      <c r="I936" s="41" t="b">
        <v>0</v>
      </c>
      <c r="J936" s="19">
        <v>10</v>
      </c>
      <c r="K936" s="19">
        <f t="shared" si="29"/>
        <v>10</v>
      </c>
      <c r="L936" s="69" t="s">
        <v>1437</v>
      </c>
      <c r="M936" s="69"/>
      <c r="N936" s="69"/>
      <c r="O936" s="138" t="s">
        <v>1442</v>
      </c>
      <c r="P936" s="138" t="s">
        <v>2053</v>
      </c>
      <c r="Q936" s="138"/>
      <c r="R936" s="70"/>
      <c r="S936" s="70"/>
      <c r="T936" s="70"/>
      <c r="U936" s="70"/>
      <c r="V936" s="19" t="b">
        <v>0</v>
      </c>
      <c r="W936" s="19" t="str">
        <f>"Character/Prefabs/"&amp;VLOOKUP($C936,'#Data'!$B$3:$I$344,8,FALSE)</f>
        <v>Character/Prefabs/m_m_ranger_clock_squire_2</v>
      </c>
      <c r="X936" s="19"/>
      <c r="Y936" s="19" t="str">
        <f>VLOOKUP($C936,'#Data'!$B$3:$I$344,8,FALSE)</f>
        <v>m_m_ranger_clock_squire_2</v>
      </c>
      <c r="Z936" s="19"/>
      <c r="AA936" s="19"/>
      <c r="AB936" s="19"/>
      <c r="AC936" s="91">
        <v>0.9</v>
      </c>
      <c r="AD936" s="19"/>
      <c r="AE936" s="19"/>
      <c r="AF936" s="19"/>
      <c r="AG936" s="19" t="s">
        <v>2757</v>
      </c>
      <c r="AH936" s="85"/>
    </row>
    <row r="937" spans="1:34" x14ac:dyDescent="0.3">
      <c r="A937" s="19">
        <f t="shared" si="28"/>
        <v>1510207114</v>
      </c>
      <c r="B937" s="19" t="s">
        <v>190</v>
      </c>
      <c r="C937" s="19" t="s">
        <v>1422</v>
      </c>
      <c r="D937" s="19" t="str">
        <f>"Monster.Name."&amp;VLOOKUP($C937,'#Data'!$B$2:$J$344,2,FALSE)</f>
        <v>Monster.Name.clock_crossbow_2</v>
      </c>
      <c r="E937" s="19" t="s">
        <v>47</v>
      </c>
      <c r="F937" s="48" t="s">
        <v>44</v>
      </c>
      <c r="G937" s="19" t="s">
        <v>45</v>
      </c>
      <c r="H937" s="41" t="b">
        <f>IF(OR(VLOOKUP($C937,'#Data'!$B$2:$J$344,4,FALSE)="보스",VLOOKUP($C937,'#Data'!$B$2:$J$344,4,FALSE)="중간"),TRUE,FALSE)</f>
        <v>0</v>
      </c>
      <c r="I937" s="41" t="b">
        <v>0</v>
      </c>
      <c r="J937" s="19">
        <v>10</v>
      </c>
      <c r="K937" s="19">
        <f t="shared" si="29"/>
        <v>10</v>
      </c>
      <c r="L937" s="69" t="s">
        <v>1438</v>
      </c>
      <c r="M937" s="69"/>
      <c r="N937" s="69"/>
      <c r="O937" s="138" t="s">
        <v>1443</v>
      </c>
      <c r="P937" s="138" t="s">
        <v>2054</v>
      </c>
      <c r="Q937" s="138"/>
      <c r="R937" s="70"/>
      <c r="S937" s="70"/>
      <c r="T937" s="70"/>
      <c r="U937" s="70"/>
      <c r="V937" s="19" t="b">
        <v>0</v>
      </c>
      <c r="W937" s="19" t="str">
        <f>"Character/Prefabs/"&amp;VLOOKUP($C937,'#Data'!$B$3:$I$344,8,FALSE)</f>
        <v>Character/Prefabs/m_m_ranger_clock_crossbow_2</v>
      </c>
      <c r="X937" s="19"/>
      <c r="Y937" s="19" t="str">
        <f>VLOOKUP($C937,'#Data'!$B$3:$I$344,8,FALSE)</f>
        <v>m_m_ranger_clock_crossbow_2</v>
      </c>
      <c r="Z937" s="19"/>
      <c r="AA937" s="19"/>
      <c r="AB937" s="19"/>
      <c r="AC937" s="91">
        <v>0.9</v>
      </c>
      <c r="AD937" s="19"/>
      <c r="AE937" s="19"/>
      <c r="AF937" s="19"/>
      <c r="AG937" s="19" t="s">
        <v>2757</v>
      </c>
      <c r="AH937" s="85"/>
    </row>
    <row r="938" spans="1:34" x14ac:dyDescent="0.3">
      <c r="A938" s="19">
        <f t="shared" si="28"/>
        <v>1510207115</v>
      </c>
      <c r="B938" s="19" t="s">
        <v>190</v>
      </c>
      <c r="C938" s="19" t="s">
        <v>1423</v>
      </c>
      <c r="D938" s="19" t="str">
        <f>"Monster.Name."&amp;VLOOKUP($C938,'#Data'!$B$2:$J$344,2,FALSE)</f>
        <v>Monster.Name.clock_shield_2</v>
      </c>
      <c r="E938" s="19" t="s">
        <v>43</v>
      </c>
      <c r="F938" s="48" t="s">
        <v>44</v>
      </c>
      <c r="G938" s="19" t="s">
        <v>45</v>
      </c>
      <c r="H938" s="41" t="b">
        <f>IF(OR(VLOOKUP($C938,'#Data'!$B$2:$J$344,4,FALSE)="보스",VLOOKUP($C938,'#Data'!$B$2:$J$344,4,FALSE)="중간"),TRUE,FALSE)</f>
        <v>0</v>
      </c>
      <c r="I938" s="41" t="b">
        <v>0</v>
      </c>
      <c r="J938" s="19">
        <v>10</v>
      </c>
      <c r="K938" s="19">
        <f t="shared" si="29"/>
        <v>10</v>
      </c>
      <c r="L938" s="69" t="s">
        <v>1439</v>
      </c>
      <c r="M938" s="69"/>
      <c r="N938" s="69"/>
      <c r="O938" s="138" t="s">
        <v>1444</v>
      </c>
      <c r="P938" s="138" t="s">
        <v>2055</v>
      </c>
      <c r="Q938" s="138"/>
      <c r="R938" s="70"/>
      <c r="S938" s="70"/>
      <c r="T938" s="70"/>
      <c r="U938" s="70"/>
      <c r="V938" s="19" t="b">
        <v>0</v>
      </c>
      <c r="W938" s="19" t="str">
        <f>"Character/Prefabs/"&amp;VLOOKUP($C938,'#Data'!$B$3:$I$344,8,FALSE)</f>
        <v>Character/Prefabs/m_m_attacker_clock_shield_2</v>
      </c>
      <c r="X938" s="19"/>
      <c r="Y938" s="19" t="str">
        <f>VLOOKUP($C938,'#Data'!$B$3:$I$344,8,FALSE)</f>
        <v>m_m_attacker_clock_shield_2</v>
      </c>
      <c r="Z938" s="19"/>
      <c r="AA938" s="19"/>
      <c r="AB938" s="19"/>
      <c r="AC938" s="91">
        <v>0.9</v>
      </c>
      <c r="AD938" s="19"/>
      <c r="AE938" s="19"/>
      <c r="AF938" s="19"/>
      <c r="AG938" s="19" t="s">
        <v>2757</v>
      </c>
      <c r="AH938" s="85"/>
    </row>
    <row r="939" spans="1:34" x14ac:dyDescent="0.3">
      <c r="A939" s="19">
        <f t="shared" si="28"/>
        <v>1510207116</v>
      </c>
      <c r="B939" s="19" t="s">
        <v>190</v>
      </c>
      <c r="C939" s="19" t="s">
        <v>1424</v>
      </c>
      <c r="D939" s="19" t="str">
        <f>"Monster.Name."&amp;VLOOKUP($C939,'#Data'!$B$2:$J$344,2,FALSE)</f>
        <v>Monster.Name.clock_clown_2</v>
      </c>
      <c r="E939" s="19" t="s">
        <v>47</v>
      </c>
      <c r="F939" s="48" t="s">
        <v>44</v>
      </c>
      <c r="G939" s="19" t="s">
        <v>45</v>
      </c>
      <c r="H939" s="41" t="b">
        <f>IF(OR(VLOOKUP($C939,'#Data'!$B$2:$J$344,4,FALSE)="보스",VLOOKUP($C939,'#Data'!$B$2:$J$344,4,FALSE)="중간"),TRUE,FALSE)</f>
        <v>0</v>
      </c>
      <c r="I939" s="41" t="b">
        <v>0</v>
      </c>
      <c r="J939" s="19">
        <v>10</v>
      </c>
      <c r="K939" s="19">
        <f t="shared" si="29"/>
        <v>10</v>
      </c>
      <c r="L939" s="69" t="s">
        <v>1440</v>
      </c>
      <c r="M939" s="69"/>
      <c r="N939" s="69"/>
      <c r="O939" s="138" t="s">
        <v>1445</v>
      </c>
      <c r="P939" s="138" t="s">
        <v>2056</v>
      </c>
      <c r="Q939" s="138"/>
      <c r="R939" s="70"/>
      <c r="S939" s="70"/>
      <c r="T939" s="70"/>
      <c r="U939" s="70"/>
      <c r="V939" s="19" t="b">
        <v>0</v>
      </c>
      <c r="W939" s="19" t="str">
        <f>"Character/Prefabs/"&amp;VLOOKUP($C939,'#Data'!$B$3:$I$344,8,FALSE)</f>
        <v>Character/Prefabs/m_m_ranger_clock_clown_2</v>
      </c>
      <c r="X939" s="19"/>
      <c r="Y939" s="19" t="str">
        <f>VLOOKUP($C939,'#Data'!$B$3:$I$344,8,FALSE)</f>
        <v>m_m_ranger_clock_clown_2</v>
      </c>
      <c r="Z939" s="19"/>
      <c r="AA939" s="19"/>
      <c r="AB939" s="19"/>
      <c r="AC939" s="91">
        <v>0.9</v>
      </c>
      <c r="AD939" s="19"/>
      <c r="AE939" s="19"/>
      <c r="AF939" s="19"/>
      <c r="AG939" s="19" t="s">
        <v>2757</v>
      </c>
      <c r="AH939" s="85"/>
    </row>
    <row r="940" spans="1:34" x14ac:dyDescent="0.3">
      <c r="A940" s="19">
        <f t="shared" si="28"/>
        <v>1510207117</v>
      </c>
      <c r="B940" s="19" t="s">
        <v>190</v>
      </c>
      <c r="C940" s="19" t="s">
        <v>1425</v>
      </c>
      <c r="D940" s="19" t="str">
        <f>"Monster.Name."&amp;VLOOKUP($C940,'#Data'!$B$2:$J$344,2,FALSE)</f>
        <v>Monster.Name.clock_draftee_2</v>
      </c>
      <c r="E940" s="19" t="s">
        <v>43</v>
      </c>
      <c r="F940" s="48" t="s">
        <v>44</v>
      </c>
      <c r="G940" s="19" t="s">
        <v>45</v>
      </c>
      <c r="H940" s="41" t="b">
        <f>IF(OR(VLOOKUP($C940,'#Data'!$B$2:$J$344,4,FALSE)="보스",VLOOKUP($C940,'#Data'!$B$2:$J$344,4,FALSE)="중간"),TRUE,FALSE)</f>
        <v>0</v>
      </c>
      <c r="I940" s="41" t="b">
        <v>0</v>
      </c>
      <c r="J940" s="19">
        <v>10</v>
      </c>
      <c r="K940" s="19">
        <f t="shared" si="29"/>
        <v>10</v>
      </c>
      <c r="L940" s="69"/>
      <c r="M940" s="69"/>
      <c r="N940" s="69"/>
      <c r="O940" s="138" t="s">
        <v>1446</v>
      </c>
      <c r="P940" s="138"/>
      <c r="Q940" s="138"/>
      <c r="R940" s="70"/>
      <c r="S940" s="70" t="s">
        <v>199</v>
      </c>
      <c r="T940" s="70"/>
      <c r="U940" s="70"/>
      <c r="V940" s="19" t="b">
        <v>0</v>
      </c>
      <c r="W940" s="19" t="str">
        <f>"Character/Prefabs/"&amp;VLOOKUP($C940,'#Data'!$B$3:$I$344,8,FALSE)</f>
        <v>Character/Prefabs/m_m_attacker_clock_draftee_2</v>
      </c>
      <c r="X940" s="19"/>
      <c r="Y940" s="19" t="str">
        <f>VLOOKUP($C940,'#Data'!$B$3:$I$344,8,FALSE)</f>
        <v>m_m_attacker_clock_draftee_2</v>
      </c>
      <c r="Z940" s="19"/>
      <c r="AA940" s="19"/>
      <c r="AB940" s="19"/>
      <c r="AC940" s="91">
        <v>0.9</v>
      </c>
      <c r="AD940" s="19"/>
      <c r="AE940" s="19"/>
      <c r="AF940" s="19"/>
      <c r="AG940" s="19" t="s">
        <v>2757</v>
      </c>
      <c r="AH940" s="85"/>
    </row>
    <row r="941" spans="1:34" x14ac:dyDescent="0.3">
      <c r="A941" s="19">
        <f t="shared" si="28"/>
        <v>1510207118</v>
      </c>
      <c r="B941" s="19" t="s">
        <v>190</v>
      </c>
      <c r="C941" s="19" t="s">
        <v>2065</v>
      </c>
      <c r="D941" s="19" t="str">
        <f>"Monster.Name."&amp;VLOOKUP($C941,'#Data'!$B$2:$J$344,2,FALSE)</f>
        <v>Monster.Name.clock_honor_knight_2</v>
      </c>
      <c r="E941" s="19" t="s">
        <v>43</v>
      </c>
      <c r="F941" s="48" t="s">
        <v>44</v>
      </c>
      <c r="G941" s="19" t="s">
        <v>45</v>
      </c>
      <c r="H941" s="41" t="b">
        <f>IF(OR(VLOOKUP($C941,'#Data'!$B$2:$J$344,4,FALSE)="보스",VLOOKUP($C941,'#Data'!$B$2:$J$344,4,FALSE)="중간"),TRUE,FALSE)</f>
        <v>0</v>
      </c>
      <c r="I941" s="41" t="b">
        <v>0</v>
      </c>
      <c r="J941" s="19">
        <v>10</v>
      </c>
      <c r="K941" s="19">
        <f t="shared" si="29"/>
        <v>10</v>
      </c>
      <c r="L941" s="69" t="str">
        <f>$B941&amp;"."&amp;VLOOKUP($C941,'#Data'!$B$2:$J$344,2,FALSE)&amp;".attack0"&amp;RIGHT(L$1,1)</f>
        <v>Sector07.clock_honor_knight_2.attack01</v>
      </c>
      <c r="M941" s="69" t="str">
        <f>$B941&amp;"."&amp;VLOOKUP($C941,'#Data'!$B$2:$J$344,2,FALSE)&amp;".attack0"&amp;RIGHT(M$1,1)</f>
        <v>Sector07.clock_honor_knight_2.attack02</v>
      </c>
      <c r="N941" s="69"/>
      <c r="O941" s="138" t="str">
        <f>$B941&amp;"."&amp;VLOOKUP($C941,'#Data'!$B$2:$J$344,2,FALSE)&amp;".skill0"&amp;RIGHT(O$1,1)</f>
        <v>Sector07.clock_honor_knight_2.skill01</v>
      </c>
      <c r="P941" s="138"/>
      <c r="Q941" s="138"/>
      <c r="R941" s="70"/>
      <c r="S941" s="70" t="s">
        <v>2069</v>
      </c>
      <c r="T941" s="70"/>
      <c r="U941" s="70"/>
      <c r="V941" s="19" t="b">
        <v>0</v>
      </c>
      <c r="W941" s="168" t="s">
        <v>2086</v>
      </c>
      <c r="X941" s="167"/>
      <c r="Y941" s="168" t="s">
        <v>2087</v>
      </c>
      <c r="Z941" s="19"/>
      <c r="AA941" s="19"/>
      <c r="AB941" s="19"/>
      <c r="AC941" s="91">
        <v>0.9</v>
      </c>
      <c r="AD941" s="19"/>
      <c r="AE941" s="19"/>
      <c r="AF941" s="19"/>
      <c r="AG941" s="19" t="s">
        <v>2757</v>
      </c>
      <c r="AH941" s="85"/>
    </row>
    <row r="942" spans="1:34" x14ac:dyDescent="0.3">
      <c r="A942" s="41">
        <f t="shared" si="28"/>
        <v>1510207201</v>
      </c>
      <c r="B942" s="41" t="s">
        <v>190</v>
      </c>
      <c r="C942" s="41" t="s">
        <v>201</v>
      </c>
      <c r="D942" s="41" t="str">
        <f>"Monster.Name."&amp;VLOOKUP($C942,'#Data'!$B$2:$J$344,2,FALSE)</f>
        <v>Monster.Name.clock_noble_knight_1</v>
      </c>
      <c r="E942" s="41" t="s">
        <v>43</v>
      </c>
      <c r="F942" s="42" t="s">
        <v>44</v>
      </c>
      <c r="G942" s="41" t="s">
        <v>45</v>
      </c>
      <c r="H942" s="41" t="b">
        <f>IF(OR(VLOOKUP($C942,'#Data'!$B$2:$J$344,4,FALSE)="보스",VLOOKUP($C942,'#Data'!$B$2:$J$344,4,FALSE)="중간"),TRUE,FALSE)</f>
        <v>1</v>
      </c>
      <c r="I942" s="41" t="b">
        <v>1</v>
      </c>
      <c r="J942" s="41">
        <v>10</v>
      </c>
      <c r="K942" s="41">
        <f t="shared" si="29"/>
        <v>10</v>
      </c>
      <c r="L942" s="67" t="str">
        <f>$B942&amp;"."&amp;VLOOKUP($C942,'#Data'!$B$2:$J$344,2,FALSE)&amp;".attack0"&amp;RIGHT(L$1,1)</f>
        <v>Sector07.clock_noble_knight_1.attack01</v>
      </c>
      <c r="M942" s="67" t="str">
        <f>$B942&amp;"."&amp;VLOOKUP($C942,'#Data'!$B$2:$J$344,2,FALSE)&amp;".attack0"&amp;RIGHT(M$1,1)</f>
        <v>Sector07.clock_noble_knight_1.attack02</v>
      </c>
      <c r="N942" s="67"/>
      <c r="O942" s="137" t="str">
        <f>$B942&amp;"."&amp;VLOOKUP($C942,'#Data'!$B$2:$J$344,2,FALSE)&amp;".skill0"&amp;RIGHT(O$1,1)</f>
        <v>Sector07.clock_noble_knight_1.skill01</v>
      </c>
      <c r="P942" s="137" t="str">
        <f>$B942&amp;"."&amp;VLOOKUP($C942,'#Data'!$B$2:$J$344,2,FALSE)&amp;".skill0"&amp;RIGHT(P$1,1)</f>
        <v>Sector07.clock_noble_knight_1.skill02</v>
      </c>
      <c r="Q942" s="137" t="str">
        <f>$B942&amp;"."&amp;VLOOKUP($C942,'#Data'!$B$2:$J$344,2,FALSE)&amp;".skill0"&amp;RIGHT(Q$1,1)</f>
        <v>Sector07.clock_noble_knight_1.skill03</v>
      </c>
      <c r="R942" s="68" t="s">
        <v>202</v>
      </c>
      <c r="S942" s="68" t="s">
        <v>2077</v>
      </c>
      <c r="T942" s="68"/>
      <c r="U942" s="68"/>
      <c r="V942" s="41" t="b">
        <v>0</v>
      </c>
      <c r="W942" s="41" t="str">
        <f>"Character/Prefabs/"&amp;VLOOKUP($C942,'#Data'!$B$3:$I$344,8,FALSE)</f>
        <v>Character/Prefabs/m_l_attacker_clock_noble_knight_1</v>
      </c>
      <c r="X942" s="41"/>
      <c r="Y942" s="41" t="str">
        <f>VLOOKUP($C942,'#Data'!$B$3:$I$344,8,FALSE)</f>
        <v>m_l_attacker_clock_noble_knight_1</v>
      </c>
      <c r="Z942" s="41"/>
      <c r="AA942" s="41"/>
      <c r="AB942" s="41"/>
      <c r="AC942" s="90">
        <v>0.9</v>
      </c>
      <c r="AD942" s="41"/>
      <c r="AE942" s="41"/>
      <c r="AF942" s="41"/>
      <c r="AG942" s="41" t="s">
        <v>2757</v>
      </c>
      <c r="AH942" s="85"/>
    </row>
    <row r="943" spans="1:34" x14ac:dyDescent="0.3">
      <c r="A943" s="41">
        <f t="shared" si="28"/>
        <v>1510207202</v>
      </c>
      <c r="B943" s="41" t="s">
        <v>190</v>
      </c>
      <c r="C943" s="41" t="s">
        <v>203</v>
      </c>
      <c r="D943" s="41" t="str">
        <f>"Monster.Name."&amp;VLOOKUP($C943,'#Data'!$B$2:$J$344,2,FALSE)</f>
        <v>Monster.Name.clock_noble_bishop_1</v>
      </c>
      <c r="E943" s="41" t="s">
        <v>47</v>
      </c>
      <c r="F943" s="42" t="s">
        <v>44</v>
      </c>
      <c r="G943" s="41" t="s">
        <v>45</v>
      </c>
      <c r="H943" s="41" t="b">
        <f>IF(OR(VLOOKUP($C943,'#Data'!$B$2:$J$344,4,FALSE)="보스",VLOOKUP($C943,'#Data'!$B$2:$J$344,4,FALSE)="중간"),TRUE,FALSE)</f>
        <v>1</v>
      </c>
      <c r="I943" s="41" t="b">
        <v>1</v>
      </c>
      <c r="J943" s="41">
        <v>10</v>
      </c>
      <c r="K943" s="41">
        <f t="shared" si="29"/>
        <v>10</v>
      </c>
      <c r="L943" s="67" t="str">
        <f>$B943&amp;"."&amp;VLOOKUP($C943,'#Data'!$B$2:$J$344,2,FALSE)&amp;".attack0"&amp;RIGHT(L$1,1)</f>
        <v>Sector07.clock_noble_bishop_1.attack01</v>
      </c>
      <c r="M943" s="67"/>
      <c r="N943" s="67"/>
      <c r="O943" s="137" t="str">
        <f>$B943&amp;"."&amp;VLOOKUP($C943,'#Data'!$B$2:$J$344,2,FALSE)&amp;".skill0"&amp;RIGHT(O$1,1)</f>
        <v>Sector07.clock_noble_bishop_1.skill01</v>
      </c>
      <c r="P943" s="137" t="str">
        <f>$B943&amp;"."&amp;VLOOKUP($C943,'#Data'!$B$2:$J$344,2,FALSE)&amp;".skill0"&amp;RIGHT(P$1,1)</f>
        <v>Sector07.clock_noble_bishop_1.skill02</v>
      </c>
      <c r="Q943" s="137" t="str">
        <f>$B943&amp;"."&amp;VLOOKUP($C943,'#Data'!$B$2:$J$344,2,FALSE)&amp;".skill0"&amp;RIGHT(Q$1,1)</f>
        <v>Sector07.clock_noble_bishop_1.skill03</v>
      </c>
      <c r="R943" s="68"/>
      <c r="S943" s="68" t="s">
        <v>2076</v>
      </c>
      <c r="T943" s="68"/>
      <c r="U943" s="68"/>
      <c r="V943" s="41" t="b">
        <v>0</v>
      </c>
      <c r="W943" s="41" t="str">
        <f>"Character/Prefabs/"&amp;VLOOKUP($C943,'#Data'!$B$3:$I$344,8,FALSE)</f>
        <v>Character/Prefabs/m_l_ranger_clock_noble_bishop_1</v>
      </c>
      <c r="X943" s="41"/>
      <c r="Y943" s="41" t="str">
        <f>VLOOKUP($C943,'#Data'!$B$3:$I$344,8,FALSE)</f>
        <v>m_l_ranger_clock_noble_bishop_1</v>
      </c>
      <c r="Z943" s="41"/>
      <c r="AA943" s="41"/>
      <c r="AB943" s="41"/>
      <c r="AC943" s="90">
        <v>0.9</v>
      </c>
      <c r="AD943" s="41"/>
      <c r="AE943" s="41"/>
      <c r="AF943" s="41"/>
      <c r="AG943" s="41" t="s">
        <v>2757</v>
      </c>
      <c r="AH943" s="85"/>
    </row>
    <row r="944" spans="1:34" x14ac:dyDescent="0.3">
      <c r="A944" s="41">
        <f t="shared" si="28"/>
        <v>1510207203</v>
      </c>
      <c r="B944" s="41" t="s">
        <v>190</v>
      </c>
      <c r="C944" s="41" t="s">
        <v>204</v>
      </c>
      <c r="D944" s="41" t="str">
        <f>"Monster.Name."&amp;VLOOKUP($C944,'#Data'!$B$2:$J$344,2,FALSE)</f>
        <v>Monster.Name.clock_noble_keeper_1</v>
      </c>
      <c r="E944" s="41" t="s">
        <v>43</v>
      </c>
      <c r="F944" s="42" t="s">
        <v>44</v>
      </c>
      <c r="G944" s="41" t="s">
        <v>45</v>
      </c>
      <c r="H944" s="41" t="b">
        <f>IF(OR(VLOOKUP($C944,'#Data'!$B$2:$J$344,4,FALSE)="보스",VLOOKUP($C944,'#Data'!$B$2:$J$344,4,FALSE)="중간"),TRUE,FALSE)</f>
        <v>1</v>
      </c>
      <c r="I944" s="41" t="b">
        <v>1</v>
      </c>
      <c r="J944" s="41">
        <v>10</v>
      </c>
      <c r="K944" s="41">
        <f t="shared" si="29"/>
        <v>10</v>
      </c>
      <c r="L944" s="67" t="str">
        <f>$B944&amp;"."&amp;VLOOKUP($C944,'#Data'!$B$2:$J$344,2,FALSE)&amp;".attack0"&amp;RIGHT(L$1,1)</f>
        <v>Sector07.clock_noble_keeper_1.attack01</v>
      </c>
      <c r="M944" s="67"/>
      <c r="N944" s="67"/>
      <c r="O944" s="137" t="str">
        <f>$B944&amp;"."&amp;VLOOKUP($C944,'#Data'!$B$2:$J$344,2,FALSE)&amp;".skill0"&amp;RIGHT(O$1,1)</f>
        <v>Sector07.clock_noble_keeper_1.skill01</v>
      </c>
      <c r="P944" s="137" t="str">
        <f>$B944&amp;"."&amp;VLOOKUP($C944,'#Data'!$B$2:$J$344,2,FALSE)&amp;".skill0"&amp;RIGHT(P$1,1)</f>
        <v>Sector07.clock_noble_keeper_1.skill02</v>
      </c>
      <c r="Q944" s="137" t="str">
        <f>$B944&amp;"."&amp;VLOOKUP($C944,'#Data'!$B$2:$J$344,2,FALSE)&amp;".skill0"&amp;RIGHT(Q$1,1)</f>
        <v>Sector07.clock_noble_keeper_1.skill03</v>
      </c>
      <c r="R944" s="68"/>
      <c r="S944" s="68" t="s">
        <v>2076</v>
      </c>
      <c r="T944" s="68"/>
      <c r="U944" s="68"/>
      <c r="V944" s="41" t="b">
        <v>0</v>
      </c>
      <c r="W944" s="41" t="str">
        <f>"Character/Prefabs/"&amp;VLOOKUP($C944,'#Data'!$B$3:$I$344,8,FALSE)</f>
        <v>Character/Prefabs/m_l_attacker_clock_noble_keeper_1</v>
      </c>
      <c r="X944" s="41"/>
      <c r="Y944" s="41" t="str">
        <f>VLOOKUP($C944,'#Data'!$B$3:$I$344,8,FALSE)</f>
        <v>m_l_attacker_clock_noble_keeper_1</v>
      </c>
      <c r="Z944" s="41"/>
      <c r="AA944" s="41"/>
      <c r="AB944" s="41"/>
      <c r="AC944" s="90">
        <v>0.9</v>
      </c>
      <c r="AD944" s="41"/>
      <c r="AE944" s="41"/>
      <c r="AF944" s="41"/>
      <c r="AG944" s="41" t="s">
        <v>2757</v>
      </c>
      <c r="AH944" s="85"/>
    </row>
    <row r="945" spans="1:34" x14ac:dyDescent="0.3">
      <c r="A945" s="23">
        <f t="shared" si="28"/>
        <v>1510207301</v>
      </c>
      <c r="B945" s="23" t="s">
        <v>190</v>
      </c>
      <c r="C945" s="23" t="s">
        <v>205</v>
      </c>
      <c r="D945" s="23" t="str">
        <f>"Monster.Name."&amp;VLOOKUP($C945,'#Data'!$B$2:$J$344,2,FALSE)</f>
        <v>Monster.Name.clock_royal_queen_1</v>
      </c>
      <c r="E945" s="23" t="s">
        <v>1833</v>
      </c>
      <c r="F945" s="24" t="s">
        <v>44</v>
      </c>
      <c r="G945" s="23" t="s">
        <v>45</v>
      </c>
      <c r="H945" s="23" t="b">
        <f>IF(OR(VLOOKUP($C945,'#Data'!$B$2:$J$344,4,FALSE)="보스",VLOOKUP($C945,'#Data'!$B$2:$J$344,4,FALSE)="중간"),TRUE,FALSE)</f>
        <v>1</v>
      </c>
      <c r="I945" s="23" t="b">
        <v>1</v>
      </c>
      <c r="J945" s="23">
        <v>20</v>
      </c>
      <c r="K945" s="23">
        <f t="shared" si="29"/>
        <v>10</v>
      </c>
      <c r="L945" s="115" t="str">
        <f>$B945&amp;"."&amp;VLOOKUP($C945,'#Data'!$B$2:$J$344,2,FALSE)&amp;".attack0"&amp;RIGHT(L$1,1)</f>
        <v>Sector07.clock_royal_queen_1.attack01</v>
      </c>
      <c r="M945" s="115" t="str">
        <f>$B945&amp;"."&amp;VLOOKUP($C945,'#Data'!$B$2:$J$344,2,FALSE)&amp;".attack0"&amp;RIGHT(M$1,1)</f>
        <v>Sector07.clock_royal_queen_1.attack02</v>
      </c>
      <c r="N945" s="115"/>
      <c r="O945" s="139" t="str">
        <f>$B945&amp;"."&amp;VLOOKUP($C945,'#Data'!$B$2:$J$344,2,FALSE)&amp;".skill0"&amp;RIGHT(O$1,1)</f>
        <v>Sector07.clock_royal_queen_1.skill01</v>
      </c>
      <c r="P945" s="139" t="str">
        <f>$B945&amp;"."&amp;VLOOKUP($C945,'#Data'!$B$2:$J$344,2,FALSE)&amp;".skill0"&amp;RIGHT(P$1,1)</f>
        <v>Sector07.clock_royal_queen_1.skill02</v>
      </c>
      <c r="Q945" s="139" t="str">
        <f>$B945&amp;"."&amp;VLOOKUP($C945,'#Data'!$B$2:$J$344,2,FALSE)&amp;".skill0"&amp;RIGHT(Q$1,1)</f>
        <v>Sector07.clock_royal_queen_1.skill03</v>
      </c>
      <c r="R945" s="116" t="s">
        <v>206</v>
      </c>
      <c r="S945" s="116" t="s">
        <v>76</v>
      </c>
      <c r="T945" s="116"/>
      <c r="U945" s="116"/>
      <c r="V945" s="23" t="b">
        <v>0</v>
      </c>
      <c r="W945" s="23" t="str">
        <f>"Character/Prefabs/"&amp;VLOOKUP($C945,'#Data'!$B$3:$I$344,8,FALSE)</f>
        <v>Character/Prefabs/m_boss_attacker_clock_royal_queen_1</v>
      </c>
      <c r="X945" s="23"/>
      <c r="Y945" s="23" t="str">
        <f>VLOOKUP($C945,'#Data'!$B$3:$I$344,8,FALSE)</f>
        <v>m_boss_attacker_clock_royal_queen_1</v>
      </c>
      <c r="Z945" s="23"/>
      <c r="AA945" s="23"/>
      <c r="AB945" s="23"/>
      <c r="AC945" s="98">
        <v>0.9</v>
      </c>
      <c r="AD945" s="23"/>
      <c r="AE945" s="23" t="s">
        <v>207</v>
      </c>
      <c r="AF945" s="23" t="s">
        <v>208</v>
      </c>
      <c r="AG945" s="23" t="s">
        <v>2757</v>
      </c>
      <c r="AH945" s="85"/>
    </row>
    <row r="946" spans="1:34" x14ac:dyDescent="0.3">
      <c r="A946" s="23">
        <f t="shared" si="28"/>
        <v>1510207302</v>
      </c>
      <c r="B946" s="23" t="s">
        <v>190</v>
      </c>
      <c r="C946" s="23" t="s">
        <v>209</v>
      </c>
      <c r="D946" s="23" t="str">
        <f>"Monster.Name."&amp;VLOOKUP($C946,'#Data'!$B$2:$J$344,2,FALSE)</f>
        <v>Monster.Name.clock_royal_queen_2</v>
      </c>
      <c r="E946" s="23" t="s">
        <v>1833</v>
      </c>
      <c r="F946" s="24" t="s">
        <v>44</v>
      </c>
      <c r="G946" s="23" t="s">
        <v>45</v>
      </c>
      <c r="H946" s="23" t="b">
        <f>IF(OR(VLOOKUP($C946,'#Data'!$B$2:$J$344,4,FALSE)="보스",VLOOKUP($C946,'#Data'!$B$2:$J$344,4,FALSE)="중간"),TRUE,FALSE)</f>
        <v>1</v>
      </c>
      <c r="I946" s="23" t="b">
        <v>1</v>
      </c>
      <c r="J946" s="23">
        <v>20</v>
      </c>
      <c r="K946" s="23">
        <f t="shared" si="29"/>
        <v>10</v>
      </c>
      <c r="L946" s="115" t="str">
        <f>$B946&amp;"."&amp;VLOOKUP($C946,'#Data'!$B$2:$J$344,2,FALSE)&amp;".attack0"&amp;RIGHT(L$1,1)</f>
        <v>Sector07.clock_royal_queen_2.attack01</v>
      </c>
      <c r="M946" s="115" t="str">
        <f>$B946&amp;"."&amp;VLOOKUP($C946,'#Data'!$B$2:$J$344,2,FALSE)&amp;".attack0"&amp;RIGHT(M$1,1)</f>
        <v>Sector07.clock_royal_queen_2.attack02</v>
      </c>
      <c r="N946" s="115"/>
      <c r="O946" s="139" t="str">
        <f>$B946&amp;"."&amp;VLOOKUP($C946,'#Data'!$B$2:$J$344,2,FALSE)&amp;".skill0"&amp;RIGHT(O$1,1)</f>
        <v>Sector07.clock_royal_queen_2.skill01</v>
      </c>
      <c r="P946" s="139" t="str">
        <f>$B946&amp;"."&amp;VLOOKUP($C946,'#Data'!$B$2:$J$344,2,FALSE)&amp;".skill0"&amp;RIGHT(P$1,1)</f>
        <v>Sector07.clock_royal_queen_2.skill02</v>
      </c>
      <c r="Q946" s="139" t="str">
        <f>$B946&amp;"."&amp;VLOOKUP($C946,'#Data'!$B$2:$J$344,2,FALSE)&amp;".skill0"&amp;RIGHT(Q$1,1)</f>
        <v>Sector07.clock_royal_queen_2.skill03</v>
      </c>
      <c r="R946" s="116" t="s">
        <v>206</v>
      </c>
      <c r="S946" s="116" t="s">
        <v>76</v>
      </c>
      <c r="T946" s="116"/>
      <c r="U946" s="116"/>
      <c r="V946" s="23" t="b">
        <v>0</v>
      </c>
      <c r="W946" s="166" t="str">
        <f>"Character/Prefabs/"&amp;VLOOKUP($C946,'#Data'!$B$3:$I$344,8,FALSE)</f>
        <v>Character/Prefabs/m_boss_attacker_clock_royal_queen_2</v>
      </c>
      <c r="X946" s="166"/>
      <c r="Y946" s="166" t="str">
        <f>VLOOKUP($C946,'#Data'!$B$3:$I$344,8,FALSE)</f>
        <v>m_boss_attacker_clock_royal_queen_2</v>
      </c>
      <c r="Z946" s="23"/>
      <c r="AA946" s="23"/>
      <c r="AB946" s="23"/>
      <c r="AC946" s="98">
        <v>1.1000000000000001</v>
      </c>
      <c r="AD946" s="23"/>
      <c r="AE946" s="23" t="s">
        <v>2083</v>
      </c>
      <c r="AF946" s="23" t="s">
        <v>2101</v>
      </c>
      <c r="AG946" s="23" t="s">
        <v>2757</v>
      </c>
      <c r="AH946" s="85"/>
    </row>
    <row r="947" spans="1:34" x14ac:dyDescent="0.3">
      <c r="A947" s="13">
        <f t="shared" si="28"/>
        <v>1510208101</v>
      </c>
      <c r="B947" s="13" t="s">
        <v>210</v>
      </c>
      <c r="C947" s="13" t="s">
        <v>211</v>
      </c>
      <c r="D947" s="13" t="str">
        <f>"Monster.Name."&amp;VLOOKUP($C947,'#Data'!$B$2:$J$344,2,FALSE)</f>
        <v>Monster.Name.plants_sticky_1</v>
      </c>
      <c r="E947" s="13" t="s">
        <v>43</v>
      </c>
      <c r="F947" s="44" t="s">
        <v>44</v>
      </c>
      <c r="G947" s="13" t="s">
        <v>45</v>
      </c>
      <c r="H947" s="13" t="b">
        <f>IF(OR(VLOOKUP($C947,'#Data'!$B$2:$J$344,4,FALSE)="보스",VLOOKUP($C947,'#Data'!$B$2:$J$344,4,FALSE)="중간"),TRUE,FALSE)</f>
        <v>0</v>
      </c>
      <c r="I947" s="13" t="b">
        <v>0</v>
      </c>
      <c r="J947" s="13">
        <v>10</v>
      </c>
      <c r="K947" s="13">
        <f t="shared" si="29"/>
        <v>10</v>
      </c>
      <c r="L947" s="71" t="str">
        <f>$B947&amp;"."&amp;VLOOKUP($C947,'#Data'!$B$2:$J$344,2,FALSE)&amp;".attack0"&amp;RIGHT(L$1,1)</f>
        <v>Sector08.plants_sticky_1.attack01</v>
      </c>
      <c r="M947" s="71"/>
      <c r="N947" s="71"/>
      <c r="O947" s="140" t="s">
        <v>2057</v>
      </c>
      <c r="P947" s="140" t="s">
        <v>1959</v>
      </c>
      <c r="Q947" s="140"/>
      <c r="R947" s="72"/>
      <c r="S947" s="72"/>
      <c r="T947" s="72"/>
      <c r="U947" s="72"/>
      <c r="V947" s="13" t="b">
        <v>0</v>
      </c>
      <c r="W947" s="13" t="str">
        <f>"Character/Prefabs/"&amp;VLOOKUP($C947,'#Data'!$B$3:$I$344,8,FALSE)</f>
        <v>Character/Prefabs/m_s_attacker_plants_sticky_1</v>
      </c>
      <c r="X947" s="13"/>
      <c r="Y947" s="13" t="str">
        <f>VLOOKUP($C947,'#Data'!$B$3:$I$344,8,FALSE)</f>
        <v>m_s_attacker_plants_sticky_1</v>
      </c>
      <c r="Z947" s="13"/>
      <c r="AA947" s="13"/>
      <c r="AB947" s="13"/>
      <c r="AC947" s="92">
        <v>0.9</v>
      </c>
      <c r="AD947" s="13"/>
      <c r="AE947" s="13"/>
      <c r="AF947" s="13"/>
      <c r="AG947" s="13" t="s">
        <v>2757</v>
      </c>
      <c r="AH947" s="85"/>
    </row>
    <row r="948" spans="1:34" x14ac:dyDescent="0.3">
      <c r="A948" s="13">
        <f t="shared" si="28"/>
        <v>1510208102</v>
      </c>
      <c r="B948" s="13" t="s">
        <v>210</v>
      </c>
      <c r="C948" s="13" t="s">
        <v>212</v>
      </c>
      <c r="D948" s="13" t="str">
        <f>"Monster.Name."&amp;VLOOKUP($C948,'#Data'!$B$2:$J$344,2,FALSE)</f>
        <v>Monster.Name.plants_stinger_1</v>
      </c>
      <c r="E948" s="13" t="s">
        <v>1216</v>
      </c>
      <c r="F948" s="44" t="s">
        <v>44</v>
      </c>
      <c r="G948" s="13" t="s">
        <v>45</v>
      </c>
      <c r="H948" s="13" t="b">
        <f>IF(OR(VLOOKUP($C948,'#Data'!$B$2:$J$344,4,FALSE)="보스",VLOOKUP($C948,'#Data'!$B$2:$J$344,4,FALSE)="중간"),TRUE,FALSE)</f>
        <v>0</v>
      </c>
      <c r="I948" s="13" t="b">
        <v>0</v>
      </c>
      <c r="J948" s="13">
        <v>10</v>
      </c>
      <c r="K948" s="13">
        <f t="shared" si="29"/>
        <v>10</v>
      </c>
      <c r="L948" s="71" t="str">
        <f>$B948&amp;"."&amp;VLOOKUP($C948,'#Data'!$B$2:$J$344,2,FALSE)&amp;".attack0"&amp;RIGHT(L$1,1)</f>
        <v>Sector08.plants_stinger_1.attack01</v>
      </c>
      <c r="M948" s="71"/>
      <c r="N948" s="71"/>
      <c r="O948" s="140" t="s">
        <v>2058</v>
      </c>
      <c r="P948" s="140" t="s">
        <v>1959</v>
      </c>
      <c r="Q948" s="140"/>
      <c r="R948" s="72"/>
      <c r="S948" s="72"/>
      <c r="T948" s="72"/>
      <c r="U948" s="72"/>
      <c r="V948" s="13" t="b">
        <v>0</v>
      </c>
      <c r="W948" s="13" t="str">
        <f>"Character/Prefabs/"&amp;VLOOKUP($C948,'#Data'!$B$3:$I$344,8,FALSE)</f>
        <v>Character/Prefabs/m_s_ranger_plants_stinger_1</v>
      </c>
      <c r="X948" s="13"/>
      <c r="Y948" s="13" t="str">
        <f>VLOOKUP($C948,'#Data'!$B$3:$I$344,8,FALSE)</f>
        <v>m_s_ranger_plants_stinger_1</v>
      </c>
      <c r="Z948" s="13"/>
      <c r="AA948" s="13"/>
      <c r="AB948" s="13"/>
      <c r="AC948" s="92">
        <v>0.5</v>
      </c>
      <c r="AD948" s="13"/>
      <c r="AE948" s="13"/>
      <c r="AF948" s="13"/>
      <c r="AG948" s="13" t="s">
        <v>2757</v>
      </c>
      <c r="AH948" s="85"/>
    </row>
    <row r="949" spans="1:34" x14ac:dyDescent="0.3">
      <c r="A949" s="13">
        <f t="shared" si="28"/>
        <v>1510208103</v>
      </c>
      <c r="B949" s="13" t="s">
        <v>210</v>
      </c>
      <c r="C949" s="13" t="s">
        <v>213</v>
      </c>
      <c r="D949" s="13" t="str">
        <f>"Monster.Name."&amp;VLOOKUP($C949,'#Data'!$B$2:$J$344,2,FALSE)</f>
        <v>Monster.Name.plants_bark_1</v>
      </c>
      <c r="E949" s="13" t="s">
        <v>43</v>
      </c>
      <c r="F949" s="44" t="s">
        <v>44</v>
      </c>
      <c r="G949" s="13" t="s">
        <v>45</v>
      </c>
      <c r="H949" s="13" t="b">
        <f>IF(OR(VLOOKUP($C949,'#Data'!$B$2:$J$344,4,FALSE)="보스",VLOOKUP($C949,'#Data'!$B$2:$J$344,4,FALSE)="중간"),TRUE,FALSE)</f>
        <v>0</v>
      </c>
      <c r="I949" s="13" t="b">
        <v>0</v>
      </c>
      <c r="J949" s="13">
        <v>10</v>
      </c>
      <c r="K949" s="13">
        <f t="shared" si="29"/>
        <v>10</v>
      </c>
      <c r="L949" s="71" t="str">
        <f>$B949&amp;"."&amp;VLOOKUP($C949,'#Data'!$B$2:$J$344,2,FALSE)&amp;".attack0"&amp;RIGHT(L$1,1)</f>
        <v>Sector08.plants_bark_1.attack01</v>
      </c>
      <c r="M949" s="71"/>
      <c r="N949" s="71"/>
      <c r="O949" s="140" t="str">
        <f>$B949&amp;"."&amp;VLOOKUP($C949,'#Data'!$B$2:$J$344,2,FALSE)&amp;".skill0"&amp;RIGHT(O$1,1)</f>
        <v>Sector08.plants_bark_1.skill01</v>
      </c>
      <c r="P949" s="140" t="s">
        <v>2059</v>
      </c>
      <c r="Q949" s="140" t="s">
        <v>1959</v>
      </c>
      <c r="R949" s="72"/>
      <c r="S949" s="72"/>
      <c r="T949" s="72"/>
      <c r="U949" s="72"/>
      <c r="V949" s="13" t="b">
        <v>0</v>
      </c>
      <c r="W949" s="13" t="str">
        <f>"Character/Prefabs/"&amp;VLOOKUP($C949,'#Data'!$B$3:$I$344,8,FALSE)</f>
        <v>Character/Prefabs/m_m_attacker_plants_bark_1</v>
      </c>
      <c r="X949" s="13"/>
      <c r="Y949" s="13" t="str">
        <f>VLOOKUP($C949,'#Data'!$B$3:$I$344,8,FALSE)</f>
        <v>m_m_attacker_plants_bark_1</v>
      </c>
      <c r="Z949" s="13"/>
      <c r="AA949" s="13"/>
      <c r="AB949" s="13"/>
      <c r="AC949" s="92">
        <v>0.7</v>
      </c>
      <c r="AD949" s="13"/>
      <c r="AE949" s="13"/>
      <c r="AF949" s="13"/>
      <c r="AG949" s="13" t="s">
        <v>2757</v>
      </c>
      <c r="AH949" s="85"/>
    </row>
    <row r="950" spans="1:34" x14ac:dyDescent="0.3">
      <c r="A950" s="13">
        <f t="shared" si="28"/>
        <v>1510208104</v>
      </c>
      <c r="B950" s="13" t="s">
        <v>210</v>
      </c>
      <c r="C950" s="13" t="s">
        <v>214</v>
      </c>
      <c r="D950" s="13" t="str">
        <f>"Monster.Name."&amp;VLOOKUP($C950,'#Data'!$B$2:$J$344,2,FALSE)</f>
        <v>Monster.Name.plants_branch_1</v>
      </c>
      <c r="E950" s="13" t="s">
        <v>43</v>
      </c>
      <c r="F950" s="44" t="s">
        <v>44</v>
      </c>
      <c r="G950" s="13" t="s">
        <v>45</v>
      </c>
      <c r="H950" s="13" t="b">
        <f>IF(OR(VLOOKUP($C950,'#Data'!$B$2:$J$344,4,FALSE)="보스",VLOOKUP($C950,'#Data'!$B$2:$J$344,4,FALSE)="중간"),TRUE,FALSE)</f>
        <v>0</v>
      </c>
      <c r="I950" s="13" t="b">
        <v>0</v>
      </c>
      <c r="J950" s="13">
        <v>10</v>
      </c>
      <c r="K950" s="13">
        <f t="shared" si="29"/>
        <v>10</v>
      </c>
      <c r="L950" s="71" t="str">
        <f>$B950&amp;"."&amp;VLOOKUP($C950,'#Data'!$B$2:$J$344,2,FALSE)&amp;".attack0"&amp;RIGHT(L$1,1)</f>
        <v>Sector08.plants_branch_1.attack01</v>
      </c>
      <c r="M950" s="71"/>
      <c r="N950" s="71"/>
      <c r="O950" s="140" t="str">
        <f>$B950&amp;"."&amp;VLOOKUP($C950,'#Data'!$B$2:$J$344,2,FALSE)&amp;".skill0"&amp;RIGHT(O$1,1)</f>
        <v>Sector08.plants_branch_1.skill01</v>
      </c>
      <c r="P950" s="140" t="s">
        <v>2060</v>
      </c>
      <c r="Q950" s="140" t="s">
        <v>1959</v>
      </c>
      <c r="R950" s="72"/>
      <c r="S950" s="72"/>
      <c r="T950" s="72"/>
      <c r="U950" s="72"/>
      <c r="V950" s="13" t="b">
        <v>0</v>
      </c>
      <c r="W950" s="13" t="str">
        <f>"Character/Prefabs/"&amp;VLOOKUP($C950,'#Data'!$B$3:$I$344,8,FALSE)</f>
        <v>Character/Prefabs/m_m_attacker_plants_branch_1</v>
      </c>
      <c r="X950" s="13"/>
      <c r="Y950" s="13" t="str">
        <f>VLOOKUP($C950,'#Data'!$B$3:$I$344,8,FALSE)</f>
        <v>m_m_attacker_plants_branch_1</v>
      </c>
      <c r="Z950" s="13"/>
      <c r="AA950" s="13"/>
      <c r="AB950" s="13"/>
      <c r="AC950" s="92">
        <v>0.7</v>
      </c>
      <c r="AD950" s="13"/>
      <c r="AE950" s="13"/>
      <c r="AF950" s="13"/>
      <c r="AG950" s="13" t="s">
        <v>2757</v>
      </c>
      <c r="AH950" s="85"/>
    </row>
    <row r="951" spans="1:34" x14ac:dyDescent="0.3">
      <c r="A951" s="13">
        <f t="shared" si="28"/>
        <v>1510208105</v>
      </c>
      <c r="B951" s="13" t="s">
        <v>210</v>
      </c>
      <c r="C951" s="13" t="s">
        <v>215</v>
      </c>
      <c r="D951" s="13" t="str">
        <f>"Monster.Name."&amp;VLOOKUP($C951,'#Data'!$B$2:$J$344,2,FALSE)</f>
        <v>Monster.Name.plants_shooter_1</v>
      </c>
      <c r="E951" s="13" t="s">
        <v>47</v>
      </c>
      <c r="F951" s="44" t="s">
        <v>44</v>
      </c>
      <c r="G951" s="13" t="s">
        <v>45</v>
      </c>
      <c r="H951" s="13" t="b">
        <f>IF(OR(VLOOKUP($C951,'#Data'!$B$2:$J$344,4,FALSE)="보스",VLOOKUP($C951,'#Data'!$B$2:$J$344,4,FALSE)="중간"),TRUE,FALSE)</f>
        <v>0</v>
      </c>
      <c r="I951" s="13" t="b">
        <v>0</v>
      </c>
      <c r="J951" s="13">
        <v>10</v>
      </c>
      <c r="K951" s="13">
        <f t="shared" si="29"/>
        <v>10</v>
      </c>
      <c r="L951" s="71" t="str">
        <f>$B951&amp;"."&amp;VLOOKUP($C951,'#Data'!$B$2:$J$344,2,FALSE)&amp;".attack0"&amp;RIGHT(L$1,1)</f>
        <v>Sector08.plants_shooter_1.attack01</v>
      </c>
      <c r="M951" s="71"/>
      <c r="N951" s="71"/>
      <c r="O951" s="140" t="str">
        <f>$B951&amp;"."&amp;VLOOKUP($C951,'#Data'!$B$2:$J$344,2,FALSE)&amp;".skill0"&amp;RIGHT(O$1,1)</f>
        <v>Sector08.plants_shooter_1.skill01</v>
      </c>
      <c r="P951" s="140" t="s">
        <v>2061</v>
      </c>
      <c r="Q951" s="140" t="s">
        <v>1959</v>
      </c>
      <c r="R951" s="72"/>
      <c r="S951" s="72"/>
      <c r="T951" s="72"/>
      <c r="U951" s="72"/>
      <c r="V951" s="13" t="b">
        <v>0</v>
      </c>
      <c r="W951" s="13" t="str">
        <f>"Character/Prefabs/"&amp;VLOOKUP($C951,'#Data'!$B$3:$I$344,8,FALSE)</f>
        <v>Character/Prefabs/m_m_ranger_plants_shooter_1</v>
      </c>
      <c r="X951" s="13"/>
      <c r="Y951" s="13" t="str">
        <f>VLOOKUP($C951,'#Data'!$B$3:$I$344,8,FALSE)</f>
        <v>m_m_ranger_plants_shooter_1</v>
      </c>
      <c r="Z951" s="13"/>
      <c r="AA951" s="13"/>
      <c r="AB951" s="13"/>
      <c r="AC951" s="92">
        <v>0.9</v>
      </c>
      <c r="AD951" s="13"/>
      <c r="AE951" s="13"/>
      <c r="AF951" s="13"/>
      <c r="AG951" s="13" t="s">
        <v>2757</v>
      </c>
      <c r="AH951" s="85"/>
    </row>
    <row r="952" spans="1:34" x14ac:dyDescent="0.3">
      <c r="A952" s="13">
        <f t="shared" si="28"/>
        <v>1510208106</v>
      </c>
      <c r="B952" s="13" t="s">
        <v>210</v>
      </c>
      <c r="C952" s="13" t="s">
        <v>216</v>
      </c>
      <c r="D952" s="13" t="str">
        <f>"Monster.Name."&amp;VLOOKUP($C952,'#Data'!$B$2:$J$344,2,FALSE)</f>
        <v>Monster.Name.plants_cannon_1</v>
      </c>
      <c r="E952" s="13" t="s">
        <v>47</v>
      </c>
      <c r="F952" s="44" t="s">
        <v>44</v>
      </c>
      <c r="G952" s="13" t="s">
        <v>45</v>
      </c>
      <c r="H952" s="13" t="b">
        <f>IF(OR(VLOOKUP($C952,'#Data'!$B$2:$J$344,4,FALSE)="보스",VLOOKUP($C952,'#Data'!$B$2:$J$344,4,FALSE)="중간"),TRUE,FALSE)</f>
        <v>0</v>
      </c>
      <c r="I952" s="13" t="b">
        <v>0</v>
      </c>
      <c r="J952" s="13">
        <v>10</v>
      </c>
      <c r="K952" s="13">
        <f t="shared" si="29"/>
        <v>10</v>
      </c>
      <c r="L952" s="71" t="str">
        <f>$B952&amp;"."&amp;VLOOKUP($C952,'#Data'!$B$2:$J$344,2,FALSE)&amp;".attack0"&amp;RIGHT(L$1,1)</f>
        <v>Sector08.plants_cannon_1.attack01</v>
      </c>
      <c r="M952" s="71"/>
      <c r="N952" s="71"/>
      <c r="O952" s="140" t="str">
        <f>$B952&amp;"."&amp;VLOOKUP($C952,'#Data'!$B$2:$J$344,2,FALSE)&amp;".skill0"&amp;RIGHT(O$1,1)</f>
        <v>Sector08.plants_cannon_1.skill01</v>
      </c>
      <c r="P952" s="140" t="s">
        <v>2062</v>
      </c>
      <c r="Q952" s="140" t="s">
        <v>1959</v>
      </c>
      <c r="R952" s="72"/>
      <c r="S952" s="72"/>
      <c r="T952" s="72"/>
      <c r="U952" s="72"/>
      <c r="V952" s="13" t="b">
        <v>0</v>
      </c>
      <c r="W952" s="13" t="str">
        <f>"Character/Prefabs/"&amp;VLOOKUP($C952,'#Data'!$B$3:$I$344,8,FALSE)</f>
        <v>Character/Prefabs/m_m_ranger_plants_cannon_1</v>
      </c>
      <c r="X952" s="13"/>
      <c r="Y952" s="13" t="str">
        <f>VLOOKUP($C952,'#Data'!$B$3:$I$344,8,FALSE)</f>
        <v>m_m_ranger_plants_cannon_1</v>
      </c>
      <c r="Z952" s="13"/>
      <c r="AA952" s="13"/>
      <c r="AB952" s="13"/>
      <c r="AC952" s="92">
        <v>0.9</v>
      </c>
      <c r="AD952" s="13"/>
      <c r="AE952" s="13"/>
      <c r="AF952" s="13"/>
      <c r="AG952" s="13" t="s">
        <v>2757</v>
      </c>
      <c r="AH952" s="85"/>
    </row>
    <row r="953" spans="1:34" x14ac:dyDescent="0.3">
      <c r="A953" s="13">
        <f t="shared" si="28"/>
        <v>1510208107</v>
      </c>
      <c r="B953" s="13" t="s">
        <v>210</v>
      </c>
      <c r="C953" s="13" t="s">
        <v>217</v>
      </c>
      <c r="D953" s="13" t="str">
        <f>"Monster.Name."&amp;VLOOKUP($C953,'#Data'!$B$2:$J$344,2,FALSE)</f>
        <v>Monster.Name.creeper_seed_1</v>
      </c>
      <c r="E953" s="13" t="s">
        <v>58</v>
      </c>
      <c r="F953" s="44" t="s">
        <v>44</v>
      </c>
      <c r="G953" s="13" t="s">
        <v>45</v>
      </c>
      <c r="H953" s="13" t="b">
        <f>IF(OR(VLOOKUP($C953,'#Data'!$B$2:$J$344,4,FALSE)="보스",VLOOKUP($C953,'#Data'!$B$2:$J$344,4,FALSE)="중간"),TRUE,FALSE)</f>
        <v>0</v>
      </c>
      <c r="I953" s="13" t="b">
        <v>0</v>
      </c>
      <c r="J953" s="13">
        <v>20</v>
      </c>
      <c r="K953" s="13">
        <f t="shared" si="29"/>
        <v>10</v>
      </c>
      <c r="L953" s="71" t="str">
        <f>$B953&amp;"."&amp;VLOOKUP($C953,'#Data'!$B$2:$J$344,2,FALSE)&amp;".attack0"&amp;RIGHT(L$1,1)</f>
        <v>Sector08.creeper_seed_1.attack01</v>
      </c>
      <c r="M953" s="71"/>
      <c r="N953" s="71"/>
      <c r="O953" s="140" t="str">
        <f>$B953&amp;"."&amp;VLOOKUP($C953,'#Data'!$B$2:$J$344,2,FALSE)&amp;".skill0"&amp;RIGHT(O$1,1)</f>
        <v>Sector08.creeper_seed_1.skill01</v>
      </c>
      <c r="P953" s="140" t="s">
        <v>2063</v>
      </c>
      <c r="Q953" s="140" t="s">
        <v>1959</v>
      </c>
      <c r="R953" s="72"/>
      <c r="S953" s="72"/>
      <c r="T953" s="72"/>
      <c r="U953" s="72"/>
      <c r="V953" s="13" t="b">
        <v>0</v>
      </c>
      <c r="W953" s="13" t="str">
        <f>"Character/Prefabs/"&amp;VLOOKUP($C953,'#Data'!$B$3:$I$344,8,FALSE)</f>
        <v>Character/Prefabs/m_m_tanker_creeper_seed_1</v>
      </c>
      <c r="X953" s="13"/>
      <c r="Y953" s="13" t="str">
        <f>VLOOKUP($C953,'#Data'!$B$3:$I$344,8,FALSE)</f>
        <v>m_m_tanker_creeper_seed_1</v>
      </c>
      <c r="Z953" s="13"/>
      <c r="AA953" s="13"/>
      <c r="AB953" s="13"/>
      <c r="AC953" s="92">
        <v>0.6</v>
      </c>
      <c r="AD953" s="13"/>
      <c r="AE953" s="13"/>
      <c r="AF953" s="13"/>
      <c r="AG953" s="13" t="s">
        <v>2757</v>
      </c>
      <c r="AH953" s="85"/>
    </row>
    <row r="954" spans="1:34" x14ac:dyDescent="0.3">
      <c r="A954" s="13">
        <f t="shared" si="28"/>
        <v>1510208108</v>
      </c>
      <c r="B954" s="13" t="s">
        <v>210</v>
      </c>
      <c r="C954" s="13" t="s">
        <v>218</v>
      </c>
      <c r="D954" s="13" t="str">
        <f>"Monster.Name."&amp;VLOOKUP($C954,'#Data'!$B$2:$J$344,2,FALSE)</f>
        <v>Monster.Name.plants_garden_1</v>
      </c>
      <c r="E954" s="13" t="s">
        <v>47</v>
      </c>
      <c r="F954" s="44" t="s">
        <v>44</v>
      </c>
      <c r="G954" s="13" t="s">
        <v>45</v>
      </c>
      <c r="H954" s="13" t="b">
        <f>IF(OR(VLOOKUP($C954,'#Data'!$B$2:$J$344,4,FALSE)="보스",VLOOKUP($C954,'#Data'!$B$2:$J$344,4,FALSE)="중간"),TRUE,FALSE)</f>
        <v>0</v>
      </c>
      <c r="I954" s="13" t="b">
        <v>0</v>
      </c>
      <c r="J954" s="13">
        <v>10</v>
      </c>
      <c r="K954" s="13">
        <f t="shared" si="29"/>
        <v>10</v>
      </c>
      <c r="L954" s="71" t="str">
        <f>$B954&amp;"."&amp;VLOOKUP($C954,'#Data'!$B$2:$J$344,2,FALSE)&amp;".attack0"&amp;RIGHT(L$1,1)</f>
        <v>Sector08.plants_garden_1.attack01</v>
      </c>
      <c r="M954" s="71"/>
      <c r="N954" s="71"/>
      <c r="O954" s="140" t="str">
        <f>$B954&amp;"."&amp;VLOOKUP($C954,'#Data'!$B$2:$J$344,2,FALSE)&amp;".skill0"&amp;RIGHT(O$1,1)</f>
        <v>Sector08.plants_garden_1.skill01</v>
      </c>
      <c r="P954" s="140" t="s">
        <v>2064</v>
      </c>
      <c r="Q954" s="140" t="s">
        <v>1959</v>
      </c>
      <c r="R954" s="72"/>
      <c r="S954" s="72"/>
      <c r="T954" s="72"/>
      <c r="U954" s="72"/>
      <c r="V954" s="13" t="b">
        <v>0</v>
      </c>
      <c r="W954" s="13" t="str">
        <f>"Character/Prefabs/"&amp;VLOOKUP($C954,'#Data'!$B$3:$I$344,8,FALSE)</f>
        <v>Character/Prefabs/m_m_ranger_plants_garden_1</v>
      </c>
      <c r="X954" s="13"/>
      <c r="Y954" s="13" t="str">
        <f>VLOOKUP($C954,'#Data'!$B$3:$I$344,8,FALSE)</f>
        <v>m_m_ranger_plants_garden_1</v>
      </c>
      <c r="Z954" s="13"/>
      <c r="AA954" s="13"/>
      <c r="AB954" s="13"/>
      <c r="AC954" s="92">
        <v>0.5</v>
      </c>
      <c r="AD954" s="13"/>
      <c r="AE954" s="13"/>
      <c r="AF954" s="13"/>
      <c r="AG954" s="13" t="s">
        <v>2757</v>
      </c>
      <c r="AH954" s="85"/>
    </row>
    <row r="955" spans="1:34" x14ac:dyDescent="0.3">
      <c r="A955" s="45">
        <f t="shared" si="28"/>
        <v>1510208109</v>
      </c>
      <c r="B955" s="45" t="s">
        <v>210</v>
      </c>
      <c r="C955" s="45" t="s">
        <v>1891</v>
      </c>
      <c r="D955" s="45" t="str">
        <f>"Monster.Name."&amp;VLOOKUP($C955,'#Data'!$B$2:$J$344,2,FALSE)</f>
        <v>Monster.Name.plants_sticky_2</v>
      </c>
      <c r="E955" s="45" t="s">
        <v>43</v>
      </c>
      <c r="F955" s="46" t="s">
        <v>44</v>
      </c>
      <c r="G955" s="45" t="s">
        <v>45</v>
      </c>
      <c r="H955" s="45" t="b">
        <f>IF(OR(VLOOKUP($C955,'#Data'!$B$2:$J$344,4,FALSE)="보스",VLOOKUP($C955,'#Data'!$B$2:$J$344,4,FALSE)="중간"),TRUE,FALSE)</f>
        <v>0</v>
      </c>
      <c r="I955" s="45" t="b">
        <v>0</v>
      </c>
      <c r="J955" s="45">
        <v>10</v>
      </c>
      <c r="K955" s="45">
        <f t="shared" si="29"/>
        <v>10</v>
      </c>
      <c r="L955" s="73" t="s">
        <v>1906</v>
      </c>
      <c r="M955" s="73"/>
      <c r="N955" s="73"/>
      <c r="O955" s="141" t="s">
        <v>2057</v>
      </c>
      <c r="P955" s="141" t="s">
        <v>1959</v>
      </c>
      <c r="Q955" s="141"/>
      <c r="R955" s="74"/>
      <c r="S955" s="74"/>
      <c r="T955" s="74"/>
      <c r="U955" s="74"/>
      <c r="V955" s="45" t="b">
        <v>0</v>
      </c>
      <c r="W955" s="45" t="str">
        <f>"Character/Prefabs/"&amp;VLOOKUP($C955,'#Data'!$B$3:$I$344,8,FALSE)</f>
        <v>Character/Prefabs/m_s_attacker_plants_sticky_2</v>
      </c>
      <c r="X955" s="45"/>
      <c r="Y955" s="45" t="str">
        <f>VLOOKUP($C955,'#Data'!$B$3:$I$344,8,FALSE)</f>
        <v>m_s_attacker_plants_sticky_2</v>
      </c>
      <c r="Z955" s="45"/>
      <c r="AA955" s="45"/>
      <c r="AB955" s="45"/>
      <c r="AC955" s="93">
        <v>0.9</v>
      </c>
      <c r="AD955" s="45"/>
      <c r="AE955" s="45"/>
      <c r="AF955" s="45"/>
      <c r="AG955" s="45" t="s">
        <v>2757</v>
      </c>
      <c r="AH955" s="85"/>
    </row>
    <row r="956" spans="1:34" x14ac:dyDescent="0.3">
      <c r="A956" s="45">
        <f t="shared" si="28"/>
        <v>1510208110</v>
      </c>
      <c r="B956" s="45" t="s">
        <v>210</v>
      </c>
      <c r="C956" s="45" t="s">
        <v>1892</v>
      </c>
      <c r="D956" s="45" t="str">
        <f>"Monster.Name."&amp;VLOOKUP($C956,'#Data'!$B$2:$J$344,2,FALSE)</f>
        <v>Monster.Name.plants_stinger_2</v>
      </c>
      <c r="E956" s="45" t="s">
        <v>43</v>
      </c>
      <c r="F956" s="46" t="s">
        <v>44</v>
      </c>
      <c r="G956" s="45" t="s">
        <v>45</v>
      </c>
      <c r="H956" s="45" t="b">
        <f>IF(OR(VLOOKUP($C956,'#Data'!$B$2:$J$344,4,FALSE)="보스",VLOOKUP($C956,'#Data'!$B$2:$J$344,4,FALSE)="중간"),TRUE,FALSE)</f>
        <v>0</v>
      </c>
      <c r="I956" s="45" t="b">
        <v>0</v>
      </c>
      <c r="J956" s="45">
        <v>10</v>
      </c>
      <c r="K956" s="45">
        <f t="shared" si="29"/>
        <v>10</v>
      </c>
      <c r="L956" s="73" t="s">
        <v>1966</v>
      </c>
      <c r="M956" s="73"/>
      <c r="N956" s="73"/>
      <c r="O956" s="141" t="s">
        <v>2058</v>
      </c>
      <c r="P956" s="141" t="s">
        <v>1959</v>
      </c>
      <c r="Q956" s="141"/>
      <c r="R956" s="74"/>
      <c r="S956" s="74"/>
      <c r="T956" s="74"/>
      <c r="U956" s="74"/>
      <c r="V956" s="45" t="b">
        <v>0</v>
      </c>
      <c r="W956" s="45" t="str">
        <f>"Character/Prefabs/"&amp;VLOOKUP($C956,'#Data'!$B$3:$I$344,8,FALSE)</f>
        <v>Character/Prefabs/m_s_ranger_plants_stinger_2</v>
      </c>
      <c r="X956" s="45"/>
      <c r="Y956" s="45" t="str">
        <f>VLOOKUP($C956,'#Data'!$B$3:$I$344,8,FALSE)</f>
        <v>m_s_ranger_plants_stinger_2</v>
      </c>
      <c r="Z956" s="45"/>
      <c r="AA956" s="45"/>
      <c r="AB956" s="45"/>
      <c r="AC956" s="93">
        <v>0.5</v>
      </c>
      <c r="AD956" s="45"/>
      <c r="AE956" s="45"/>
      <c r="AF956" s="45"/>
      <c r="AG956" s="45" t="s">
        <v>2757</v>
      </c>
      <c r="AH956" s="85"/>
    </row>
    <row r="957" spans="1:34" x14ac:dyDescent="0.3">
      <c r="A957" s="45">
        <f t="shared" si="28"/>
        <v>1510208111</v>
      </c>
      <c r="B957" s="45" t="s">
        <v>210</v>
      </c>
      <c r="C957" s="45" t="s">
        <v>1893</v>
      </c>
      <c r="D957" s="45" t="str">
        <f>"Monster.Name."&amp;VLOOKUP($C957,'#Data'!$B$2:$J$344,2,FALSE)</f>
        <v>Monster.Name.plants_bark_2</v>
      </c>
      <c r="E957" s="45" t="s">
        <v>43</v>
      </c>
      <c r="F957" s="46" t="s">
        <v>44</v>
      </c>
      <c r="G957" s="45" t="s">
        <v>45</v>
      </c>
      <c r="H957" s="45" t="b">
        <f>IF(OR(VLOOKUP($C957,'#Data'!$B$2:$J$344,4,FALSE)="보스",VLOOKUP($C957,'#Data'!$B$2:$J$344,4,FALSE)="중간"),TRUE,FALSE)</f>
        <v>0</v>
      </c>
      <c r="I957" s="45" t="b">
        <v>0</v>
      </c>
      <c r="J957" s="45">
        <v>10</v>
      </c>
      <c r="K957" s="45">
        <f t="shared" si="29"/>
        <v>10</v>
      </c>
      <c r="L957" s="73" t="s">
        <v>1907</v>
      </c>
      <c r="M957" s="73"/>
      <c r="N957" s="73"/>
      <c r="O957" s="141" t="s">
        <v>1913</v>
      </c>
      <c r="P957" s="141" t="s">
        <v>2059</v>
      </c>
      <c r="Q957" s="141" t="s">
        <v>1959</v>
      </c>
      <c r="R957" s="74"/>
      <c r="S957" s="74"/>
      <c r="T957" s="74"/>
      <c r="U957" s="74"/>
      <c r="V957" s="45" t="b">
        <v>0</v>
      </c>
      <c r="W957" s="45" t="str">
        <f>"Character/Prefabs/"&amp;VLOOKUP($C957,'#Data'!$B$3:$I$344,8,FALSE)</f>
        <v>Character/Prefabs/m_m_attacker_plants_bark_2</v>
      </c>
      <c r="X957" s="45"/>
      <c r="Y957" s="45" t="str">
        <f>VLOOKUP($C957,'#Data'!$B$3:$I$344,8,FALSE)</f>
        <v>m_m_attacker_plants_bark_2</v>
      </c>
      <c r="Z957" s="45"/>
      <c r="AA957" s="45"/>
      <c r="AB957" s="45"/>
      <c r="AC957" s="93">
        <v>0.7</v>
      </c>
      <c r="AD957" s="45"/>
      <c r="AE957" s="45"/>
      <c r="AF957" s="45"/>
      <c r="AG957" s="45" t="s">
        <v>2757</v>
      </c>
      <c r="AH957" s="85"/>
    </row>
    <row r="958" spans="1:34" x14ac:dyDescent="0.3">
      <c r="A958" s="45">
        <f t="shared" si="28"/>
        <v>1510208112</v>
      </c>
      <c r="B958" s="45" t="s">
        <v>210</v>
      </c>
      <c r="C958" s="45" t="s">
        <v>1894</v>
      </c>
      <c r="D958" s="45" t="str">
        <f>"Monster.Name."&amp;VLOOKUP($C958,'#Data'!$B$2:$J$344,2,FALSE)</f>
        <v>Monster.Name.plants_branch_2</v>
      </c>
      <c r="E958" s="45" t="s">
        <v>43</v>
      </c>
      <c r="F958" s="46" t="s">
        <v>44</v>
      </c>
      <c r="G958" s="45" t="s">
        <v>45</v>
      </c>
      <c r="H958" s="45" t="b">
        <f>IF(OR(VLOOKUP($C958,'#Data'!$B$2:$J$344,4,FALSE)="보스",VLOOKUP($C958,'#Data'!$B$2:$J$344,4,FALSE)="중간"),TRUE,FALSE)</f>
        <v>0</v>
      </c>
      <c r="I958" s="45" t="b">
        <v>0</v>
      </c>
      <c r="J958" s="45">
        <v>10</v>
      </c>
      <c r="K958" s="45">
        <f t="shared" si="29"/>
        <v>10</v>
      </c>
      <c r="L958" s="73" t="s">
        <v>1908</v>
      </c>
      <c r="M958" s="73"/>
      <c r="N958" s="73"/>
      <c r="O958" s="141" t="s">
        <v>1914</v>
      </c>
      <c r="P958" s="141" t="s">
        <v>2060</v>
      </c>
      <c r="Q958" s="141" t="s">
        <v>1959</v>
      </c>
      <c r="R958" s="74"/>
      <c r="S958" s="74"/>
      <c r="T958" s="74"/>
      <c r="U958" s="74"/>
      <c r="V958" s="45" t="b">
        <v>0</v>
      </c>
      <c r="W958" s="45" t="str">
        <f>"Character/Prefabs/"&amp;VLOOKUP($C958,'#Data'!$B$3:$I$344,8,FALSE)</f>
        <v>Character/Prefabs/m_m_attacker_plants_branch_2</v>
      </c>
      <c r="X958" s="45"/>
      <c r="Y958" s="45" t="str">
        <f>VLOOKUP($C958,'#Data'!$B$3:$I$344,8,FALSE)</f>
        <v>m_m_attacker_plants_branch_2</v>
      </c>
      <c r="Z958" s="45"/>
      <c r="AA958" s="45"/>
      <c r="AB958" s="45"/>
      <c r="AC958" s="93">
        <v>0.7</v>
      </c>
      <c r="AD958" s="45"/>
      <c r="AE958" s="45"/>
      <c r="AF958" s="45"/>
      <c r="AG958" s="45" t="s">
        <v>2757</v>
      </c>
      <c r="AH958" s="85"/>
    </row>
    <row r="959" spans="1:34" x14ac:dyDescent="0.3">
      <c r="A959" s="45">
        <f t="shared" si="28"/>
        <v>1510208113</v>
      </c>
      <c r="B959" s="45" t="s">
        <v>210</v>
      </c>
      <c r="C959" s="45" t="s">
        <v>1895</v>
      </c>
      <c r="D959" s="45" t="str">
        <f>"Monster.Name."&amp;VLOOKUP($C959,'#Data'!$B$2:$J$344,2,FALSE)</f>
        <v>Monster.Name.plants_shooter_2</v>
      </c>
      <c r="E959" s="45" t="s">
        <v>47</v>
      </c>
      <c r="F959" s="46" t="s">
        <v>44</v>
      </c>
      <c r="G959" s="45" t="s">
        <v>45</v>
      </c>
      <c r="H959" s="45" t="b">
        <f>IF(OR(VLOOKUP($C959,'#Data'!$B$2:$J$344,4,FALSE)="보스",VLOOKUP($C959,'#Data'!$B$2:$J$344,4,FALSE)="중간"),TRUE,FALSE)</f>
        <v>0</v>
      </c>
      <c r="I959" s="45" t="b">
        <v>0</v>
      </c>
      <c r="J959" s="45">
        <v>10</v>
      </c>
      <c r="K959" s="45">
        <f t="shared" si="29"/>
        <v>10</v>
      </c>
      <c r="L959" s="73" t="s">
        <v>1909</v>
      </c>
      <c r="M959" s="73"/>
      <c r="N959" s="73"/>
      <c r="O959" s="141" t="s">
        <v>1915</v>
      </c>
      <c r="P959" s="141" t="s">
        <v>2061</v>
      </c>
      <c r="Q959" s="141" t="s">
        <v>1959</v>
      </c>
      <c r="R959" s="74"/>
      <c r="S959" s="74"/>
      <c r="T959" s="74"/>
      <c r="U959" s="74"/>
      <c r="V959" s="45" t="b">
        <v>0</v>
      </c>
      <c r="W959" s="45" t="str">
        <f>"Character/Prefabs/"&amp;VLOOKUP($C959,'#Data'!$B$3:$I$344,8,FALSE)</f>
        <v>Character/Prefabs/m_m_ranger_plants_shooter_2</v>
      </c>
      <c r="X959" s="45"/>
      <c r="Y959" s="45" t="str">
        <f>VLOOKUP($C959,'#Data'!$B$3:$I$344,8,FALSE)</f>
        <v>m_m_ranger_plants_shooter_2</v>
      </c>
      <c r="Z959" s="45"/>
      <c r="AA959" s="45"/>
      <c r="AB959" s="45"/>
      <c r="AC959" s="93">
        <v>0.9</v>
      </c>
      <c r="AD959" s="45"/>
      <c r="AE959" s="45"/>
      <c r="AF959" s="45"/>
      <c r="AG959" s="45" t="s">
        <v>2757</v>
      </c>
      <c r="AH959" s="85"/>
    </row>
    <row r="960" spans="1:34" x14ac:dyDescent="0.3">
      <c r="A960" s="45">
        <f t="shared" si="28"/>
        <v>1510208114</v>
      </c>
      <c r="B960" s="45" t="s">
        <v>210</v>
      </c>
      <c r="C960" s="45" t="s">
        <v>1896</v>
      </c>
      <c r="D960" s="45" t="str">
        <f>"Monster.Name."&amp;VLOOKUP($C960,'#Data'!$B$2:$J$344,2,FALSE)</f>
        <v>Monster.Name.plants_cannon_2</v>
      </c>
      <c r="E960" s="45" t="s">
        <v>47</v>
      </c>
      <c r="F960" s="46" t="s">
        <v>44</v>
      </c>
      <c r="G960" s="45" t="s">
        <v>45</v>
      </c>
      <c r="H960" s="45" t="b">
        <f>IF(OR(VLOOKUP($C960,'#Data'!$B$2:$J$344,4,FALSE)="보스",VLOOKUP($C960,'#Data'!$B$2:$J$344,4,FALSE)="중간"),TRUE,FALSE)</f>
        <v>0</v>
      </c>
      <c r="I960" s="45" t="b">
        <v>0</v>
      </c>
      <c r="J960" s="45">
        <v>10</v>
      </c>
      <c r="K960" s="45">
        <f t="shared" si="29"/>
        <v>10</v>
      </c>
      <c r="L960" s="73" t="s">
        <v>1910</v>
      </c>
      <c r="M960" s="73"/>
      <c r="N960" s="73"/>
      <c r="O960" s="141" t="s">
        <v>1917</v>
      </c>
      <c r="P960" s="141" t="s">
        <v>2062</v>
      </c>
      <c r="Q960" s="141" t="s">
        <v>1959</v>
      </c>
      <c r="R960" s="74"/>
      <c r="S960" s="74"/>
      <c r="T960" s="74"/>
      <c r="U960" s="74"/>
      <c r="V960" s="45" t="b">
        <v>0</v>
      </c>
      <c r="W960" s="45" t="str">
        <f>"Character/Prefabs/"&amp;VLOOKUP($C960,'#Data'!$B$3:$I$344,8,FALSE)</f>
        <v>Character/Prefabs/m_m_ranger_plants_cannon_2</v>
      </c>
      <c r="X960" s="45"/>
      <c r="Y960" s="45" t="str">
        <f>VLOOKUP($C960,'#Data'!$B$3:$I$344,8,FALSE)</f>
        <v>m_m_ranger_plants_cannon_2</v>
      </c>
      <c r="Z960" s="45"/>
      <c r="AA960" s="45"/>
      <c r="AB960" s="45"/>
      <c r="AC960" s="93">
        <v>0.9</v>
      </c>
      <c r="AD960" s="45"/>
      <c r="AE960" s="45"/>
      <c r="AF960" s="45"/>
      <c r="AG960" s="45" t="s">
        <v>2757</v>
      </c>
      <c r="AH960" s="85"/>
    </row>
    <row r="961" spans="1:34" x14ac:dyDescent="0.3">
      <c r="A961" s="45">
        <f t="shared" si="28"/>
        <v>1510208115</v>
      </c>
      <c r="B961" s="45" t="s">
        <v>210</v>
      </c>
      <c r="C961" s="45" t="s">
        <v>1897</v>
      </c>
      <c r="D961" s="45" t="str">
        <f>"Monster.Name."&amp;VLOOKUP($C961,'#Data'!$B$2:$J$344,2,FALSE)</f>
        <v>Monster.Name.creeper_seed_2</v>
      </c>
      <c r="E961" s="45" t="s">
        <v>58</v>
      </c>
      <c r="F961" s="46" t="s">
        <v>44</v>
      </c>
      <c r="G961" s="45" t="s">
        <v>45</v>
      </c>
      <c r="H961" s="45" t="b">
        <f>IF(OR(VLOOKUP($C961,'#Data'!$B$2:$J$344,4,FALSE)="보스",VLOOKUP($C961,'#Data'!$B$2:$J$344,4,FALSE)="중간"),TRUE,FALSE)</f>
        <v>0</v>
      </c>
      <c r="I961" s="45" t="b">
        <v>0</v>
      </c>
      <c r="J961" s="45">
        <v>10</v>
      </c>
      <c r="K961" s="45">
        <f t="shared" si="29"/>
        <v>10</v>
      </c>
      <c r="L961" s="73" t="s">
        <v>1911</v>
      </c>
      <c r="M961" s="73"/>
      <c r="N961" s="73"/>
      <c r="O961" s="141" t="s">
        <v>1918</v>
      </c>
      <c r="P961" s="141" t="s">
        <v>2063</v>
      </c>
      <c r="Q961" s="141" t="s">
        <v>1959</v>
      </c>
      <c r="R961" s="74"/>
      <c r="S961" s="74"/>
      <c r="T961" s="74"/>
      <c r="U961" s="74"/>
      <c r="V961" s="45" t="b">
        <v>0</v>
      </c>
      <c r="W961" s="45" t="str">
        <f>"Character/Prefabs/"&amp;VLOOKUP($C961,'#Data'!$B$3:$I$344,8,FALSE)</f>
        <v>Character/Prefabs/m_m_tanker_creeper_seed_2</v>
      </c>
      <c r="X961" s="45"/>
      <c r="Y961" s="45" t="str">
        <f>VLOOKUP($C961,'#Data'!$B$3:$I$344,8,FALSE)</f>
        <v>m_m_tanker_creeper_seed_2</v>
      </c>
      <c r="Z961" s="45"/>
      <c r="AA961" s="45"/>
      <c r="AB961" s="45"/>
      <c r="AC961" s="93">
        <v>0.6</v>
      </c>
      <c r="AD961" s="45"/>
      <c r="AE961" s="45"/>
      <c r="AF961" s="45"/>
      <c r="AG961" s="45" t="s">
        <v>2757</v>
      </c>
      <c r="AH961" s="85"/>
    </row>
    <row r="962" spans="1:34" x14ac:dyDescent="0.3">
      <c r="A962" s="45">
        <f t="shared" si="28"/>
        <v>1510208116</v>
      </c>
      <c r="B962" s="45" t="s">
        <v>210</v>
      </c>
      <c r="C962" s="45" t="s">
        <v>1898</v>
      </c>
      <c r="D962" s="45" t="str">
        <f>"Monster.Name."&amp;VLOOKUP($C962,'#Data'!$B$2:$J$344,2,FALSE)</f>
        <v>Monster.Name.plants_garden_2</v>
      </c>
      <c r="E962" s="45" t="s">
        <v>47</v>
      </c>
      <c r="F962" s="46" t="s">
        <v>44</v>
      </c>
      <c r="G962" s="45" t="s">
        <v>45</v>
      </c>
      <c r="H962" s="45" t="b">
        <f>IF(OR(VLOOKUP($C962,'#Data'!$B$2:$J$344,4,FALSE)="보스",VLOOKUP($C962,'#Data'!$B$2:$J$344,4,FALSE)="중간"),TRUE,FALSE)</f>
        <v>0</v>
      </c>
      <c r="I962" s="45" t="b">
        <v>0</v>
      </c>
      <c r="J962" s="45">
        <v>10</v>
      </c>
      <c r="K962" s="45">
        <f t="shared" si="29"/>
        <v>10</v>
      </c>
      <c r="L962" s="73" t="s">
        <v>1912</v>
      </c>
      <c r="M962" s="73"/>
      <c r="N962" s="73"/>
      <c r="O962" s="141" t="s">
        <v>1916</v>
      </c>
      <c r="P962" s="141" t="s">
        <v>2064</v>
      </c>
      <c r="Q962" s="141" t="s">
        <v>1959</v>
      </c>
      <c r="R962" s="74"/>
      <c r="S962" s="74"/>
      <c r="T962" s="74"/>
      <c r="U962" s="74"/>
      <c r="V962" s="45" t="b">
        <v>0</v>
      </c>
      <c r="W962" s="45" t="str">
        <f>"Character/Prefabs/"&amp;VLOOKUP($C962,'#Data'!$B$3:$I$344,8,FALSE)</f>
        <v>Character/Prefabs/m_m_ranger_plants_garden_2</v>
      </c>
      <c r="X962" s="45"/>
      <c r="Y962" s="45" t="str">
        <f>VLOOKUP($C962,'#Data'!$B$3:$I$344,8,FALSE)</f>
        <v>m_m_ranger_plants_garden_2</v>
      </c>
      <c r="Z962" s="45"/>
      <c r="AA962" s="45"/>
      <c r="AB962" s="45"/>
      <c r="AC962" s="93">
        <v>0.5</v>
      </c>
      <c r="AD962" s="45"/>
      <c r="AE962" s="45"/>
      <c r="AF962" s="45"/>
      <c r="AG962" s="45" t="s">
        <v>2757</v>
      </c>
      <c r="AH962" s="85"/>
    </row>
    <row r="963" spans="1:34" x14ac:dyDescent="0.3">
      <c r="A963" s="45">
        <f t="shared" si="28"/>
        <v>1510208117</v>
      </c>
      <c r="B963" s="45" t="s">
        <v>210</v>
      </c>
      <c r="C963" s="45" t="s">
        <v>1925</v>
      </c>
      <c r="D963" s="13" t="s">
        <v>1919</v>
      </c>
      <c r="E963" s="13" t="s">
        <v>43</v>
      </c>
      <c r="F963" s="44" t="s">
        <v>44</v>
      </c>
      <c r="G963" s="13" t="s">
        <v>45</v>
      </c>
      <c r="H963" s="13" t="b">
        <v>0</v>
      </c>
      <c r="I963" s="13" t="b">
        <v>0</v>
      </c>
      <c r="J963" s="13">
        <v>10</v>
      </c>
      <c r="K963" s="13">
        <f t="shared" si="29"/>
        <v>10</v>
      </c>
      <c r="L963" s="71" t="s">
        <v>1946</v>
      </c>
      <c r="M963" s="71"/>
      <c r="N963" s="71"/>
      <c r="O963" s="141" t="s">
        <v>1948</v>
      </c>
      <c r="P963" s="140"/>
      <c r="Q963" s="140"/>
      <c r="R963" s="72"/>
      <c r="S963" s="72"/>
      <c r="T963" s="72"/>
      <c r="U963" s="72"/>
      <c r="V963" s="13" t="b">
        <v>0</v>
      </c>
      <c r="W963" s="13" t="s">
        <v>1920</v>
      </c>
      <c r="X963" s="13"/>
      <c r="Y963" s="13" t="s">
        <v>1921</v>
      </c>
      <c r="Z963" s="13"/>
      <c r="AA963" s="13"/>
      <c r="AB963" s="13"/>
      <c r="AC963" s="92">
        <v>0.7</v>
      </c>
      <c r="AD963" s="13"/>
      <c r="AE963" s="13"/>
      <c r="AF963" s="13"/>
      <c r="AG963" s="13" t="s">
        <v>2757</v>
      </c>
      <c r="AH963" s="85"/>
    </row>
    <row r="964" spans="1:34" x14ac:dyDescent="0.3">
      <c r="A964" s="45">
        <f t="shared" si="28"/>
        <v>1510208118</v>
      </c>
      <c r="B964" s="45" t="s">
        <v>210</v>
      </c>
      <c r="C964" s="45" t="s">
        <v>1926</v>
      </c>
      <c r="D964" s="13" t="s">
        <v>1922</v>
      </c>
      <c r="E964" s="13" t="s">
        <v>43</v>
      </c>
      <c r="F964" s="44" t="s">
        <v>44</v>
      </c>
      <c r="G964" s="13" t="s">
        <v>45</v>
      </c>
      <c r="H964" s="13" t="b">
        <v>0</v>
      </c>
      <c r="I964" s="13" t="b">
        <v>0</v>
      </c>
      <c r="J964" s="13">
        <v>10</v>
      </c>
      <c r="K964" s="13">
        <f t="shared" si="29"/>
        <v>10</v>
      </c>
      <c r="L964" s="71" t="s">
        <v>1947</v>
      </c>
      <c r="M964" s="71"/>
      <c r="N964" s="71"/>
      <c r="O964" s="141" t="s">
        <v>1949</v>
      </c>
      <c r="P964" s="140"/>
      <c r="Q964" s="140"/>
      <c r="R964" s="72"/>
      <c r="S964" s="72"/>
      <c r="T964" s="72"/>
      <c r="U964" s="72"/>
      <c r="V964" s="13" t="b">
        <v>0</v>
      </c>
      <c r="W964" s="13" t="s">
        <v>1923</v>
      </c>
      <c r="X964" s="13"/>
      <c r="Y964" s="13" t="s">
        <v>1924</v>
      </c>
      <c r="Z964" s="13"/>
      <c r="AA964" s="13"/>
      <c r="AB964" s="13"/>
      <c r="AC964" s="92">
        <v>0.7</v>
      </c>
      <c r="AD964" s="13"/>
      <c r="AE964" s="13"/>
      <c r="AF964" s="13"/>
      <c r="AG964" s="13" t="s">
        <v>2757</v>
      </c>
      <c r="AH964" s="85"/>
    </row>
    <row r="965" spans="1:34" x14ac:dyDescent="0.3">
      <c r="A965" s="45">
        <f t="shared" si="28"/>
        <v>1510208201</v>
      </c>
      <c r="B965" s="45" t="s">
        <v>210</v>
      </c>
      <c r="C965" s="45" t="s">
        <v>219</v>
      </c>
      <c r="D965" s="45" t="str">
        <f>"Monster.Name."&amp;VLOOKUP($C965,'#Data'!$B$2:$J$344,2,FALSE)</f>
        <v>Monster.Name.plants_mortor_1</v>
      </c>
      <c r="E965" s="45" t="s">
        <v>47</v>
      </c>
      <c r="F965" s="46" t="s">
        <v>44</v>
      </c>
      <c r="G965" s="45" t="s">
        <v>45</v>
      </c>
      <c r="H965" s="45" t="b">
        <f>IF(OR(VLOOKUP($C965,'#Data'!$B$2:$J$344,4,FALSE)="보스",VLOOKUP($C965,'#Data'!$B$2:$J$344,4,FALSE)="중간"),TRUE,FALSE)</f>
        <v>1</v>
      </c>
      <c r="I965" s="45" t="b">
        <v>1</v>
      </c>
      <c r="J965" s="45">
        <v>10</v>
      </c>
      <c r="K965" s="45">
        <f t="shared" si="29"/>
        <v>10</v>
      </c>
      <c r="L965" s="73" t="str">
        <f>$B965&amp;"."&amp;VLOOKUP($C965,'#Data'!$B$2:$J$344,2,FALSE)&amp;".attack0"&amp;RIGHT(L$1,1)</f>
        <v>Sector08.plants_mortor_1.attack01</v>
      </c>
      <c r="M965" s="73"/>
      <c r="N965" s="73"/>
      <c r="O965" s="141" t="str">
        <f>$B965&amp;"."&amp;VLOOKUP($C965,'#Data'!$B$2:$J$344,2,FALSE)&amp;".skill0"&amp;RIGHT(O$1,1)</f>
        <v>Sector08.plants_mortor_1.skill01</v>
      </c>
      <c r="P965" s="141" t="str">
        <f>$B965&amp;"."&amp;VLOOKUP($C965,'#Data'!$B$2:$J$344,2,FALSE)&amp;".skill0"&amp;RIGHT(P$1,1)</f>
        <v>Sector08.plants_mortor_1.skill02</v>
      </c>
      <c r="Q965" s="141" t="str">
        <f>$B965&amp;"."&amp;VLOOKUP($C965,'#Data'!$B$2:$J$344,2,FALSE)&amp;".skill0"&amp;RIGHT(Q$1,1)</f>
        <v>Sector08.plants_mortor_1.skill03</v>
      </c>
      <c r="R965" s="74" t="s">
        <v>1959</v>
      </c>
      <c r="S965" s="74" t="s">
        <v>2078</v>
      </c>
      <c r="T965" s="74"/>
      <c r="U965" s="74"/>
      <c r="V965" s="45" t="b">
        <v>0</v>
      </c>
      <c r="W965" s="45" t="str">
        <f>"Character/Prefabs/"&amp;VLOOKUP($C965,'#Data'!$B$3:$I$344,8,FALSE)</f>
        <v>Character/Prefabs/m_l_ranger_plants_mortor_1</v>
      </c>
      <c r="X965" s="45"/>
      <c r="Y965" s="45" t="str">
        <f>VLOOKUP($C965,'#Data'!$B$3:$I$344,8,FALSE)</f>
        <v>m_l_ranger_plants_mortor_1</v>
      </c>
      <c r="Z965" s="45"/>
      <c r="AA965" s="45"/>
      <c r="AB965" s="45"/>
      <c r="AC965" s="93">
        <v>1.1000000000000001</v>
      </c>
      <c r="AD965" s="45"/>
      <c r="AE965" s="45"/>
      <c r="AF965" s="45"/>
      <c r="AG965" s="45" t="s">
        <v>2757</v>
      </c>
      <c r="AH965" s="85"/>
    </row>
    <row r="966" spans="1:34" x14ac:dyDescent="0.3">
      <c r="A966" s="45">
        <f t="shared" si="28"/>
        <v>1510208202</v>
      </c>
      <c r="B966" s="45" t="s">
        <v>210</v>
      </c>
      <c r="C966" s="45" t="s">
        <v>220</v>
      </c>
      <c r="D966" s="45" t="str">
        <f>"Monster.Name."&amp;VLOOKUP($C966,'#Data'!$B$2:$J$344,2,FALSE)</f>
        <v>Monster.Name.plants_robust_1</v>
      </c>
      <c r="E966" s="45" t="s">
        <v>58</v>
      </c>
      <c r="F966" s="46" t="s">
        <v>44</v>
      </c>
      <c r="G966" s="45" t="s">
        <v>45</v>
      </c>
      <c r="H966" s="45" t="b">
        <f>IF(OR(VLOOKUP($C966,'#Data'!$B$2:$J$344,4,FALSE)="보스",VLOOKUP($C966,'#Data'!$B$2:$J$344,4,FALSE)="중간"),TRUE,FALSE)</f>
        <v>1</v>
      </c>
      <c r="I966" s="45" t="b">
        <v>1</v>
      </c>
      <c r="J966" s="45">
        <v>10</v>
      </c>
      <c r="K966" s="45">
        <f t="shared" si="29"/>
        <v>10</v>
      </c>
      <c r="L966" s="73" t="str">
        <f>$B966&amp;"."&amp;VLOOKUP($C966,'#Data'!$B$2:$J$344,2,FALSE)&amp;".attack0"&amp;RIGHT(L$1,1)</f>
        <v>Sector08.plants_robust_1.attack01</v>
      </c>
      <c r="M966" s="73"/>
      <c r="N966" s="73"/>
      <c r="O966" s="141" t="str">
        <f>$B966&amp;"."&amp;VLOOKUP($C966,'#Data'!$B$2:$J$344,2,FALSE)&amp;".skill0"&amp;RIGHT(O$1,1)</f>
        <v>Sector08.plants_robust_1.skill01</v>
      </c>
      <c r="P966" s="141" t="str">
        <f>$B966&amp;"."&amp;VLOOKUP($C966,'#Data'!$B$2:$J$344,2,FALSE)&amp;".skill0"&amp;RIGHT(P$1,1)</f>
        <v>Sector08.plants_robust_1.skill02</v>
      </c>
      <c r="Q966" s="141" t="str">
        <f>$B966&amp;"."&amp;VLOOKUP($C966,'#Data'!$B$2:$J$344,2,FALSE)&amp;".skill0"&amp;RIGHT(Q$1,1)</f>
        <v>Sector08.plants_robust_1.skill03</v>
      </c>
      <c r="R966" s="74" t="s">
        <v>1959</v>
      </c>
      <c r="S966" s="74" t="s">
        <v>2078</v>
      </c>
      <c r="T966" s="74"/>
      <c r="U966" s="74"/>
      <c r="V966" s="45" t="b">
        <v>0</v>
      </c>
      <c r="W966" s="45" t="str">
        <f>"Character/Prefabs/"&amp;VLOOKUP($C966,'#Data'!$B$3:$I$344,8,FALSE)</f>
        <v>Character/Prefabs/m_l_tanker_plants_robust_1</v>
      </c>
      <c r="X966" s="45"/>
      <c r="Y966" s="45" t="str">
        <f>VLOOKUP($C966,'#Data'!$B$3:$I$344,8,FALSE)</f>
        <v>m_l_tanker_plants_robust_1</v>
      </c>
      <c r="Z966" s="45"/>
      <c r="AA966" s="45"/>
      <c r="AB966" s="45"/>
      <c r="AC966" s="93">
        <v>0.9</v>
      </c>
      <c r="AD966" s="45"/>
      <c r="AE966" s="45"/>
      <c r="AF966" s="45"/>
      <c r="AG966" s="45" t="s">
        <v>2757</v>
      </c>
      <c r="AH966" s="85"/>
    </row>
    <row r="967" spans="1:34" x14ac:dyDescent="0.3">
      <c r="A967" s="45">
        <f t="shared" si="28"/>
        <v>1510208203</v>
      </c>
      <c r="B967" s="45" t="s">
        <v>210</v>
      </c>
      <c r="C967" s="45" t="s">
        <v>221</v>
      </c>
      <c r="D967" s="45" t="str">
        <f>"Monster.Name."&amp;VLOOKUP($C967,'#Data'!$B$2:$J$344,2,FALSE)</f>
        <v>Monster.Name.plants_decay_1</v>
      </c>
      <c r="E967" s="45" t="s">
        <v>43</v>
      </c>
      <c r="F967" s="46" t="s">
        <v>44</v>
      </c>
      <c r="G967" s="45" t="s">
        <v>45</v>
      </c>
      <c r="H967" s="45" t="b">
        <f>IF(OR(VLOOKUP($C967,'#Data'!$B$2:$J$344,4,FALSE)="보스",VLOOKUP($C967,'#Data'!$B$2:$J$344,4,FALSE)="중간"),TRUE,FALSE)</f>
        <v>1</v>
      </c>
      <c r="I967" s="45" t="b">
        <v>1</v>
      </c>
      <c r="J967" s="45">
        <v>20</v>
      </c>
      <c r="K967" s="45">
        <f t="shared" si="29"/>
        <v>10</v>
      </c>
      <c r="L967" s="73" t="str">
        <f>$B967&amp;"."&amp;VLOOKUP($C967,'#Data'!$B$2:$J$344,2,FALSE)&amp;".attack0"&amp;RIGHT(L$1,1)</f>
        <v>Sector08.plants_decay_1.attack01</v>
      </c>
      <c r="M967" s="73"/>
      <c r="N967" s="73"/>
      <c r="O967" s="141" t="str">
        <f>$B967&amp;"."&amp;VLOOKUP($C967,'#Data'!$B$2:$J$344,2,FALSE)&amp;".skill0"&amp;RIGHT(O$1,1)</f>
        <v>Sector08.plants_decay_1.skill01</v>
      </c>
      <c r="P967" s="141" t="str">
        <f>$B967&amp;"."&amp;VLOOKUP($C967,'#Data'!$B$2:$J$344,2,FALSE)&amp;".skill0"&amp;RIGHT(P$1,1)</f>
        <v>Sector08.plants_decay_1.skill02</v>
      </c>
      <c r="Q967" s="141" t="str">
        <f>$B967&amp;"."&amp;VLOOKUP($C967,'#Data'!$B$2:$J$344,2,FALSE)&amp;".skill0"&amp;RIGHT(Q$1,1)</f>
        <v>Sector08.plants_decay_1.skill03</v>
      </c>
      <c r="R967" s="74" t="s">
        <v>1959</v>
      </c>
      <c r="S967" s="74" t="s">
        <v>2077</v>
      </c>
      <c r="T967" s="74"/>
      <c r="U967" s="74"/>
      <c r="V967" s="45" t="b">
        <v>0</v>
      </c>
      <c r="W967" s="45" t="str">
        <f>"Character/Prefabs/"&amp;VLOOKUP($C967,'#Data'!$B$3:$I$344,8,FALSE)</f>
        <v>Character/Prefabs/m_l_attacker_plants_decay_1</v>
      </c>
      <c r="X967" s="45"/>
      <c r="Y967" s="45" t="str">
        <f>VLOOKUP($C967,'#Data'!$B$3:$I$344,8,FALSE)</f>
        <v>m_l_attacker_plants_decay_1</v>
      </c>
      <c r="Z967" s="45"/>
      <c r="AA967" s="45"/>
      <c r="AB967" s="45"/>
      <c r="AC967" s="93">
        <v>1.1000000000000001</v>
      </c>
      <c r="AD967" s="45"/>
      <c r="AE967" s="45"/>
      <c r="AF967" s="45"/>
      <c r="AG967" s="45" t="s">
        <v>2757</v>
      </c>
      <c r="AH967" s="85"/>
    </row>
    <row r="968" spans="1:34" x14ac:dyDescent="0.3">
      <c r="A968" s="45">
        <f t="shared" si="28"/>
        <v>1510208301</v>
      </c>
      <c r="B968" s="45" t="s">
        <v>210</v>
      </c>
      <c r="C968" s="45" t="s">
        <v>222</v>
      </c>
      <c r="D968" s="45" t="str">
        <f>"Monster.Name."&amp;VLOOKUP($C968,'#Data'!$B$2:$J$344,2,FALSE)</f>
        <v>Monster.Name.crawler_1</v>
      </c>
      <c r="E968" s="45" t="s">
        <v>43</v>
      </c>
      <c r="F968" s="46" t="s">
        <v>44</v>
      </c>
      <c r="G968" s="45" t="s">
        <v>45</v>
      </c>
      <c r="H968" s="45" t="b">
        <f>IF(OR(VLOOKUP($C968,'#Data'!$B$2:$J$344,4,FALSE)="보스",VLOOKUP($C968,'#Data'!$B$2:$J$344,4,FALSE)="중간"),TRUE,FALSE)</f>
        <v>1</v>
      </c>
      <c r="I968" s="45" t="b">
        <v>1</v>
      </c>
      <c r="J968" s="45">
        <v>20</v>
      </c>
      <c r="K968" s="45">
        <f t="shared" si="29"/>
        <v>10</v>
      </c>
      <c r="L968" s="73" t="str">
        <f>$B968&amp;"."&amp;VLOOKUP($C968,'#Data'!$B$2:$J$344,2,FALSE)&amp;".attack0"&amp;RIGHT(L$1,1)</f>
        <v>Sector08.crawler_1.attack01</v>
      </c>
      <c r="M968" s="73" t="str">
        <f>$B968&amp;"."&amp;VLOOKUP($C968,'#Data'!$B$2:$J$344,2,FALSE)&amp;".attack0"&amp;RIGHT(M$1,1)</f>
        <v>Sector08.crawler_1.attack02</v>
      </c>
      <c r="N968" s="73"/>
      <c r="O968" s="141" t="str">
        <f>$B968&amp;"."&amp;VLOOKUP($C968,'#Data'!$B$2:$J$344,2,FALSE)&amp;".skill0"&amp;RIGHT(O$1,1)</f>
        <v>Sector08.crawler_1.skill01</v>
      </c>
      <c r="P968" s="141" t="str">
        <f>$B968&amp;"."&amp;VLOOKUP($C968,'#Data'!$B$2:$J$344,2,FALSE)&amp;".skill0"&amp;RIGHT(P$1,1)</f>
        <v>Sector08.crawler_1.skill02</v>
      </c>
      <c r="Q968" s="141" t="str">
        <f>$B968&amp;"."&amp;VLOOKUP($C968,'#Data'!$B$2:$J$344,2,FALSE)&amp;".skill0"&amp;RIGHT(Q$1,1)</f>
        <v>Sector08.crawler_1.skill03</v>
      </c>
      <c r="R968" s="74" t="s">
        <v>1927</v>
      </c>
      <c r="S968" s="74" t="s">
        <v>76</v>
      </c>
      <c r="T968" s="74"/>
      <c r="U968" s="74"/>
      <c r="V968" s="45" t="b">
        <v>0</v>
      </c>
      <c r="W968" s="45" t="str">
        <f>"Character/Prefabs/"&amp;VLOOKUP($C968,'#Data'!$B$3:$I$344,8,FALSE)</f>
        <v>Character/Prefabs/m_boss_attacker_crawler_1</v>
      </c>
      <c r="X968" s="45"/>
      <c r="Y968" s="45" t="str">
        <f>VLOOKUP($C968,'#Data'!$B$3:$I$344,8,FALSE)</f>
        <v>m_boss_attacker_crawler_1</v>
      </c>
      <c r="Z968" s="45"/>
      <c r="AA968" s="45"/>
      <c r="AB968" s="45"/>
      <c r="AC968" s="93">
        <v>1.2</v>
      </c>
      <c r="AD968" s="45"/>
      <c r="AE968" s="45" t="s">
        <v>1950</v>
      </c>
      <c r="AF968" s="45" t="s">
        <v>1952</v>
      </c>
      <c r="AG968" s="45" t="s">
        <v>2757</v>
      </c>
      <c r="AH968" s="85"/>
    </row>
    <row r="969" spans="1:34" x14ac:dyDescent="0.3">
      <c r="A969" s="117">
        <f t="shared" si="28"/>
        <v>1510208302</v>
      </c>
      <c r="B969" s="117" t="s">
        <v>210</v>
      </c>
      <c r="C969" s="117" t="s">
        <v>2088</v>
      </c>
      <c r="D969" s="117" t="str">
        <f>"Monster.Name."&amp;VLOOKUP($C969,'#Data'!$B$2:$J$344,2,FALSE)</f>
        <v>Monster.Name.skull_crawler_1</v>
      </c>
      <c r="E969" s="117" t="s">
        <v>43</v>
      </c>
      <c r="F969" s="118" t="s">
        <v>44</v>
      </c>
      <c r="G969" s="117" t="s">
        <v>45</v>
      </c>
      <c r="H969" s="117" t="b">
        <f>IF(OR(VLOOKUP($C969,'#Data'!$B$2:$J$344,4,FALSE)="보스",VLOOKUP($C969,'#Data'!$B$2:$J$344,4,FALSE)="중간"),TRUE,FALSE)</f>
        <v>1</v>
      </c>
      <c r="I969" s="117" t="b">
        <v>1</v>
      </c>
      <c r="J969" s="117">
        <v>20</v>
      </c>
      <c r="K969" s="117">
        <f t="shared" si="29"/>
        <v>10</v>
      </c>
      <c r="L969" s="119" t="str">
        <f>$B969&amp;"."&amp;VLOOKUP($C969,'#Data'!$B$2:$J$344,2,FALSE)&amp;".attack0"&amp;RIGHT(L$1,1)</f>
        <v>Sector08.skull_crawler_1.attack01</v>
      </c>
      <c r="M969" s="119" t="str">
        <f>$B969&amp;"."&amp;VLOOKUP($C969,'#Data'!$B$2:$J$344,2,FALSE)&amp;".attack0"&amp;RIGHT(M$1,1)</f>
        <v>Sector08.skull_crawler_1.attack02</v>
      </c>
      <c r="N969" s="119"/>
      <c r="O969" s="142" t="str">
        <f>$B969&amp;"."&amp;VLOOKUP($C969,'#Data'!$B$2:$J$344,2,FALSE)&amp;".skill0"&amp;RIGHT(O$1,1)</f>
        <v>Sector08.skull_crawler_1.skill01</v>
      </c>
      <c r="P969" s="142" t="str">
        <f>$B969&amp;"."&amp;VLOOKUP($C969,'#Data'!$B$2:$J$344,2,FALSE)&amp;".skill0"&amp;RIGHT(P$1,1)</f>
        <v>Sector08.skull_crawler_1.skill02</v>
      </c>
      <c r="Q969" s="142" t="str">
        <f>$B969&amp;"."&amp;VLOOKUP($C969,'#Data'!$B$2:$J$344,2,FALSE)&amp;".skill0"&amp;RIGHT(Q$1,1)</f>
        <v>Sector08.skull_crawler_1.skill03</v>
      </c>
      <c r="R969" s="120" t="s">
        <v>1927</v>
      </c>
      <c r="S969" s="120" t="s">
        <v>76</v>
      </c>
      <c r="T969" s="120"/>
      <c r="U969" s="120"/>
      <c r="V969" s="117" t="b">
        <v>0</v>
      </c>
      <c r="W969" s="117" t="str">
        <f>"Character/Prefabs/"&amp;VLOOKUP($C969,'#Data'!$B$3:$I$344,8,FALSE)</f>
        <v>Character/Prefabs/m_boss_attacker_skull_crawler_1</v>
      </c>
      <c r="X969" s="117"/>
      <c r="Y969" s="117" t="str">
        <f>VLOOKUP($C969,'#Data'!$B$3:$I$344,8,FALSE)</f>
        <v>m_boss_attacker_skull_crawler_1</v>
      </c>
      <c r="Z969" s="117"/>
      <c r="AA969" s="117"/>
      <c r="AB969" s="117"/>
      <c r="AC969" s="121">
        <v>1.2</v>
      </c>
      <c r="AD969" s="117"/>
      <c r="AE969" s="117" t="s">
        <v>2090</v>
      </c>
      <c r="AF969" s="117" t="s">
        <v>2103</v>
      </c>
      <c r="AG969" s="117" t="s">
        <v>2757</v>
      </c>
      <c r="AH969" s="85"/>
    </row>
    <row r="971" spans="1:34" x14ac:dyDescent="0.3">
      <c r="A971" s="37">
        <f>A778+100000000</f>
        <v>1610201101</v>
      </c>
      <c r="B971" s="37" t="s">
        <v>41</v>
      </c>
      <c r="C971" s="37" t="s">
        <v>42</v>
      </c>
      <c r="D971" s="37" t="str">
        <f>"Monster.Name."&amp;VLOOKUP($C971,'#Data'!$B$2:$J$344,2,FALSE)</f>
        <v>Monster.Name.solid_turretmk1_1</v>
      </c>
      <c r="E971" s="37" t="s">
        <v>43</v>
      </c>
      <c r="F971" s="38" t="s">
        <v>44</v>
      </c>
      <c r="G971" s="37" t="s">
        <v>45</v>
      </c>
      <c r="H971" s="37" t="b">
        <f>IF(OR(VLOOKUP($C971,'#Data'!$B$2:$J$344,4,FALSE)="보스",VLOOKUP($C971,'#Data'!$B$2:$J$344,4,FALSE)="중간"),TRUE,FALSE)</f>
        <v>0</v>
      </c>
      <c r="I971" s="37" t="b">
        <f>IF(OR(VLOOKUP($C971,'#Data'!$B$2:$J$344,4,FALSE)="보스",VLOOKUP($C971,'#Data'!$B$2:$J$344,4,FALSE)="중간"),TRUE,FALSE)</f>
        <v>0</v>
      </c>
      <c r="J971" s="37">
        <v>10</v>
      </c>
      <c r="K971" s="37">
        <f>K778</f>
        <v>10</v>
      </c>
      <c r="L971" s="59" t="str">
        <f>$B971&amp;"."&amp;VLOOKUP($C971,'#Data'!$B$2:$J$344,2,FALSE)&amp;".attack0"&amp;RIGHT(L$1,1)</f>
        <v>Sector01.solid_turretmk1_1.attack01</v>
      </c>
      <c r="M971" s="59"/>
      <c r="N971" s="59"/>
      <c r="O971" s="131" t="s">
        <v>1990</v>
      </c>
      <c r="P971" s="131"/>
      <c r="Q971" s="131"/>
      <c r="R971" s="60"/>
      <c r="S971" s="60"/>
      <c r="T971" s="60"/>
      <c r="U971" s="60"/>
      <c r="V971" s="37" t="b">
        <v>0</v>
      </c>
      <c r="W971" s="37" t="str">
        <f>"Character/Prefabs/"&amp;VLOOKUP($C971,'#Data'!$B$3:$I$344,8,FALSE)</f>
        <v>Character/Prefabs/m_s_attacker_solid_turretmk1_1</v>
      </c>
      <c r="X971" s="37"/>
      <c r="Y971" s="37" t="str">
        <f>VLOOKUP($C971,'#Data'!$B$3:$I$344,8,FALSE)</f>
        <v>m_s_attacker_solid_turretmk1_1</v>
      </c>
      <c r="Z971" s="37"/>
      <c r="AA971" s="37"/>
      <c r="AB971" s="37"/>
      <c r="AC971" s="84">
        <v>0.7</v>
      </c>
      <c r="AD971" s="37"/>
      <c r="AE971" s="37"/>
      <c r="AF971" s="37"/>
      <c r="AG971" s="37" t="s">
        <v>2759</v>
      </c>
      <c r="AH971" s="85"/>
    </row>
    <row r="972" spans="1:34" x14ac:dyDescent="0.3">
      <c r="A972" s="37">
        <f t="shared" ref="A972:A1035" si="30">A779+100000000</f>
        <v>1610201102</v>
      </c>
      <c r="B972" s="37" t="s">
        <v>41</v>
      </c>
      <c r="C972" s="37" t="s">
        <v>46</v>
      </c>
      <c r="D972" s="37" t="str">
        <f>"Monster.Name."&amp;VLOOKUP($C972,'#Data'!$B$2:$J$344,2,FALSE)</f>
        <v>Monster.Name.spider_turret_prototype_1</v>
      </c>
      <c r="E972" s="37" t="s">
        <v>47</v>
      </c>
      <c r="F972" s="38" t="s">
        <v>44</v>
      </c>
      <c r="G972" s="37" t="s">
        <v>45</v>
      </c>
      <c r="H972" s="37" t="b">
        <f>IF(OR(VLOOKUP($C972,'#Data'!$B$2:$J$344,4,FALSE)="보스",VLOOKUP($C972,'#Data'!$B$2:$J$344,4,FALSE)="중간"),TRUE,FALSE)</f>
        <v>0</v>
      </c>
      <c r="I972" s="37" t="b">
        <f>IF(OR(VLOOKUP($C972,'#Data'!$B$2:$J$344,4,FALSE)="보스",VLOOKUP($C972,'#Data'!$B$2:$J$344,4,FALSE)="중간"),TRUE,FALSE)</f>
        <v>0</v>
      </c>
      <c r="J972" s="37">
        <v>10</v>
      </c>
      <c r="K972" s="37">
        <f t="shared" ref="K972:K1035" si="31">K779</f>
        <v>30</v>
      </c>
      <c r="L972" s="59" t="str">
        <f>$B972&amp;"."&amp;VLOOKUP($C972,'#Data'!$B$2:$J$344,2,FALSE)&amp;".attack0"&amp;RIGHT(L$1,1)</f>
        <v>Sector01.spider_turret_prototype_1.attack01</v>
      </c>
      <c r="M972" s="59"/>
      <c r="N972" s="59"/>
      <c r="O972" s="131" t="s">
        <v>1991</v>
      </c>
      <c r="P972" s="131"/>
      <c r="Q972" s="131"/>
      <c r="R972" s="60"/>
      <c r="S972" s="60"/>
      <c r="T972" s="60"/>
      <c r="U972" s="60"/>
      <c r="V972" s="37" t="b">
        <v>0</v>
      </c>
      <c r="W972" s="37" t="str">
        <f>"Character/Prefabs/"&amp;VLOOKUP($C972,'#Data'!$B$3:$I$344,8,FALSE)</f>
        <v>Character/Prefabs/m_s_ranger_spider_turret_prototype_1</v>
      </c>
      <c r="X972" s="37"/>
      <c r="Y972" s="37" t="str">
        <f>VLOOKUP($C972,'#Data'!$B$3:$I$344,8,FALSE)</f>
        <v>m_s_ranger_spider_turret_prototype_1</v>
      </c>
      <c r="Z972" s="37"/>
      <c r="AA972" s="37"/>
      <c r="AB972" s="37"/>
      <c r="AC972" s="84">
        <v>0.6</v>
      </c>
      <c r="AD972" s="37"/>
      <c r="AE972" s="37"/>
      <c r="AF972" s="37"/>
      <c r="AG972" s="37" t="s">
        <v>2758</v>
      </c>
      <c r="AH972" s="85"/>
    </row>
    <row r="973" spans="1:34" x14ac:dyDescent="0.3">
      <c r="A973" s="37">
        <f t="shared" si="30"/>
        <v>1610201103</v>
      </c>
      <c r="B973" s="37" t="s">
        <v>41</v>
      </c>
      <c r="C973" s="37" t="s">
        <v>48</v>
      </c>
      <c r="D973" s="37" t="str">
        <f>"Monster.Name."&amp;VLOOKUP($C973,'#Data'!$B$2:$J$344,2,FALSE)</f>
        <v>Monster.Name.electric_drone_1</v>
      </c>
      <c r="E973" s="37" t="s">
        <v>43</v>
      </c>
      <c r="F973" s="38" t="s">
        <v>44</v>
      </c>
      <c r="G973" s="37" t="s">
        <v>45</v>
      </c>
      <c r="H973" s="37" t="b">
        <f>IF(OR(VLOOKUP($C973,'#Data'!$B$2:$J$344,4,FALSE)="보스",VLOOKUP($C973,'#Data'!$B$2:$J$344,4,FALSE)="중간"),TRUE,FALSE)</f>
        <v>0</v>
      </c>
      <c r="I973" s="37" t="b">
        <f>IF(OR(VLOOKUP($C973,'#Data'!$B$2:$J$344,4,FALSE)="보스",VLOOKUP($C973,'#Data'!$B$2:$J$344,4,FALSE)="중간"),TRUE,FALSE)</f>
        <v>0</v>
      </c>
      <c r="J973" s="37">
        <v>10</v>
      </c>
      <c r="K973" s="37">
        <f t="shared" si="31"/>
        <v>10</v>
      </c>
      <c r="L973" s="59" t="str">
        <f>$B973&amp;"."&amp;VLOOKUP($C973,'#Data'!$B$2:$J$344,2,FALSE)&amp;".attack0"&amp;RIGHT(L$1,1)</f>
        <v>Sector01.electric_drone_1.attack01</v>
      </c>
      <c r="M973" s="59"/>
      <c r="N973" s="59"/>
      <c r="O973" s="131" t="s">
        <v>1992</v>
      </c>
      <c r="P973" s="131"/>
      <c r="Q973" s="131"/>
      <c r="R973" s="60"/>
      <c r="S973" s="60"/>
      <c r="T973" s="60"/>
      <c r="U973" s="60"/>
      <c r="V973" s="37" t="b">
        <v>0</v>
      </c>
      <c r="W973" s="37" t="str">
        <f>"Character/Prefabs/"&amp;VLOOKUP($C973,'#Data'!$B$3:$I$344,8,FALSE)</f>
        <v>Character/Prefabs/m_s_attacker_electric_drone_1</v>
      </c>
      <c r="X973" s="37"/>
      <c r="Y973" s="37" t="str">
        <f>VLOOKUP($C973,'#Data'!$B$3:$I$344,8,FALSE)</f>
        <v>m_s_attacker_electric_drone_1</v>
      </c>
      <c r="Z973" s="37"/>
      <c r="AA973" s="37"/>
      <c r="AB973" s="37"/>
      <c r="AC973" s="84">
        <v>0.7</v>
      </c>
      <c r="AD973" s="37"/>
      <c r="AE973" s="37"/>
      <c r="AF973" s="37"/>
      <c r="AG973" s="37" t="s">
        <v>2758</v>
      </c>
      <c r="AH973" s="85"/>
    </row>
    <row r="974" spans="1:34" x14ac:dyDescent="0.3">
      <c r="A974" s="37">
        <f t="shared" si="30"/>
        <v>1610201104</v>
      </c>
      <c r="B974" s="37" t="s">
        <v>41</v>
      </c>
      <c r="C974" s="37" t="s">
        <v>52</v>
      </c>
      <c r="D974" s="37" t="str">
        <f>"Monster.Name."&amp;VLOOKUP($C974,'#Data'!$B$2:$J$344,2,FALSE)</f>
        <v>Monster.Name.jamming_drone_1</v>
      </c>
      <c r="E974" s="37" t="s">
        <v>47</v>
      </c>
      <c r="F974" s="38" t="s">
        <v>44</v>
      </c>
      <c r="G974" s="37" t="s">
        <v>45</v>
      </c>
      <c r="H974" s="37" t="b">
        <f>IF(OR(VLOOKUP($C974,'#Data'!$B$2:$J$344,4,FALSE)="보스",VLOOKUP($C974,'#Data'!$B$2:$J$344,4,FALSE)="중간"),TRUE,FALSE)</f>
        <v>0</v>
      </c>
      <c r="I974" s="37" t="b">
        <f>IF(OR(VLOOKUP($C974,'#Data'!$B$2:$J$344,4,FALSE)="보스",VLOOKUP($C974,'#Data'!$B$2:$J$344,4,FALSE)="중간"),TRUE,FALSE)</f>
        <v>0</v>
      </c>
      <c r="J974" s="37">
        <v>10</v>
      </c>
      <c r="K974" s="37">
        <f t="shared" si="31"/>
        <v>10</v>
      </c>
      <c r="L974" s="59" t="str">
        <f>$B974&amp;"."&amp;VLOOKUP($C974,'#Data'!$B$2:$J$344,2,FALSE)&amp;".attack0"&amp;RIGHT(L$1,1)</f>
        <v>Sector01.jamming_drone_1.attack01</v>
      </c>
      <c r="M974" s="59"/>
      <c r="N974" s="59"/>
      <c r="O974" s="131" t="s">
        <v>1993</v>
      </c>
      <c r="P974" s="131"/>
      <c r="Q974" s="131"/>
      <c r="R974" s="60"/>
      <c r="S974" s="60"/>
      <c r="T974" s="60"/>
      <c r="U974" s="60"/>
      <c r="V974" s="37" t="b">
        <v>0</v>
      </c>
      <c r="W974" s="37" t="str">
        <f>"Character/Prefabs/"&amp;VLOOKUP($C974,'#Data'!$B$3:$I$344,8,FALSE)</f>
        <v>Character/Prefabs/m_s_ranger_jamming_drone_1</v>
      </c>
      <c r="X974" s="37"/>
      <c r="Y974" s="37" t="str">
        <f>VLOOKUP($C974,'#Data'!$B$3:$I$344,8,FALSE)</f>
        <v>m_s_ranger_jamming_drone_1</v>
      </c>
      <c r="Z974" s="37"/>
      <c r="AA974" s="37"/>
      <c r="AB974" s="37"/>
      <c r="AC974" s="84">
        <v>0.6</v>
      </c>
      <c r="AD974" s="37"/>
      <c r="AE974" s="37"/>
      <c r="AF974" s="37"/>
      <c r="AG974" s="37" t="s">
        <v>2758</v>
      </c>
      <c r="AH974" s="85"/>
    </row>
    <row r="975" spans="1:34" x14ac:dyDescent="0.3">
      <c r="A975" s="37">
        <f t="shared" si="30"/>
        <v>1610201105</v>
      </c>
      <c r="B975" s="37" t="s">
        <v>41</v>
      </c>
      <c r="C975" s="37" t="s">
        <v>56</v>
      </c>
      <c r="D975" s="37" t="str">
        <f>"Monster.Name."&amp;VLOOKUP($C975,'#Data'!$B$2:$J$344,2,FALSE)</f>
        <v>Monster.Name.trooper_sniper_1</v>
      </c>
      <c r="E975" s="37" t="s">
        <v>47</v>
      </c>
      <c r="F975" s="38" t="s">
        <v>44</v>
      </c>
      <c r="G975" s="37" t="s">
        <v>45</v>
      </c>
      <c r="H975" s="37" t="b">
        <f>IF(OR(VLOOKUP($C975,'#Data'!$B$2:$J$344,4,FALSE)="보스",VLOOKUP($C975,'#Data'!$B$2:$J$344,4,FALSE)="중간"),TRUE,FALSE)</f>
        <v>0</v>
      </c>
      <c r="I975" s="37" t="b">
        <f>IF(OR(VLOOKUP($C975,'#Data'!$B$2:$J$344,4,FALSE)="보스",VLOOKUP($C975,'#Data'!$B$2:$J$344,4,FALSE)="중간"),TRUE,FALSE)</f>
        <v>0</v>
      </c>
      <c r="J975" s="37">
        <v>10</v>
      </c>
      <c r="K975" s="37">
        <f t="shared" si="31"/>
        <v>10</v>
      </c>
      <c r="L975" s="59" t="str">
        <f>$B975&amp;"."&amp;VLOOKUP($C975,'#Data'!$B$2:$J$344,2,FALSE)&amp;".attack0"&amp;RIGHT(L$1,1)</f>
        <v>Sector01.trooper_sniper_1.attack01</v>
      </c>
      <c r="M975" s="59"/>
      <c r="N975" s="59"/>
      <c r="O975" s="131" t="str">
        <f>$B975&amp;"."&amp;VLOOKUP($C975,'#Data'!$B$2:$J$344,2,FALSE)&amp;".skill0"&amp;RIGHT(O$1,1)</f>
        <v>Sector01.trooper_sniper_1.skill01</v>
      </c>
      <c r="P975" s="131" t="s">
        <v>1994</v>
      </c>
      <c r="Q975" s="131"/>
      <c r="R975" s="60"/>
      <c r="S975" s="60"/>
      <c r="T975" s="60"/>
      <c r="U975" s="60"/>
      <c r="V975" s="37" t="b">
        <v>0</v>
      </c>
      <c r="W975" s="37" t="str">
        <f>"Character/Prefabs/"&amp;VLOOKUP($C975,'#Data'!$B$3:$I$344,8,FALSE)</f>
        <v>Character/Prefabs/m_m_ranger_trooper_sniper_1</v>
      </c>
      <c r="X975" s="37"/>
      <c r="Y975" s="37" t="str">
        <f>VLOOKUP($C975,'#Data'!$B$3:$I$344,8,FALSE)</f>
        <v>m_m_ranger_trooper_sniper_1</v>
      </c>
      <c r="Z975" s="37"/>
      <c r="AA975" s="37"/>
      <c r="AB975" s="37"/>
      <c r="AC975" s="84">
        <v>0.8</v>
      </c>
      <c r="AD975" s="37"/>
      <c r="AE975" s="37"/>
      <c r="AF975" s="37"/>
      <c r="AG975" s="37" t="s">
        <v>2758</v>
      </c>
      <c r="AH975" s="85"/>
    </row>
    <row r="976" spans="1:34" x14ac:dyDescent="0.3">
      <c r="A976" s="37">
        <f t="shared" si="30"/>
        <v>1610201106</v>
      </c>
      <c r="B976" s="37" t="s">
        <v>41</v>
      </c>
      <c r="C976" s="37" t="s">
        <v>57</v>
      </c>
      <c r="D976" s="37" t="str">
        <f>"Monster.Name."&amp;VLOOKUP($C976,'#Data'!$B$2:$J$344,2,FALSE)</f>
        <v>Monster.Name.trooper_guard_1</v>
      </c>
      <c r="E976" s="37" t="s">
        <v>58</v>
      </c>
      <c r="F976" s="38" t="s">
        <v>44</v>
      </c>
      <c r="G976" s="37" t="s">
        <v>45</v>
      </c>
      <c r="H976" s="37" t="b">
        <f>IF(OR(VLOOKUP($C976,'#Data'!$B$2:$J$344,4,FALSE)="보스",VLOOKUP($C976,'#Data'!$B$2:$J$344,4,FALSE)="중간"),TRUE,FALSE)</f>
        <v>0</v>
      </c>
      <c r="I976" s="37" t="b">
        <f>IF(OR(VLOOKUP($C976,'#Data'!$B$2:$J$344,4,FALSE)="보스",VLOOKUP($C976,'#Data'!$B$2:$J$344,4,FALSE)="중간"),TRUE,FALSE)</f>
        <v>0</v>
      </c>
      <c r="J976" s="37">
        <v>10</v>
      </c>
      <c r="K976" s="37">
        <f t="shared" si="31"/>
        <v>10</v>
      </c>
      <c r="L976" s="59" t="str">
        <f>$B976&amp;"."&amp;VLOOKUP($C976,'#Data'!$B$2:$J$344,2,FALSE)&amp;".attack0"&amp;RIGHT(L$1,1)</f>
        <v>Sector01.trooper_guard_1.attack01</v>
      </c>
      <c r="M976" s="59"/>
      <c r="N976" s="59"/>
      <c r="O976" s="131" t="str">
        <f>$B976&amp;"."&amp;VLOOKUP($C976,'#Data'!$B$2:$J$344,2,FALSE)&amp;".skill0"&amp;RIGHT(O$1,1)</f>
        <v>Sector01.trooper_guard_1.skill01</v>
      </c>
      <c r="P976" s="131" t="s">
        <v>1995</v>
      </c>
      <c r="Q976" s="131"/>
      <c r="R976" s="60"/>
      <c r="S976" s="60"/>
      <c r="T976" s="60"/>
      <c r="U976" s="60"/>
      <c r="V976" s="37" t="b">
        <v>0</v>
      </c>
      <c r="W976" s="37" t="str">
        <f>"Character/Prefabs/"&amp;VLOOKUP($C976,'#Data'!$B$3:$I$344,8,FALSE)</f>
        <v>Character/Prefabs/m_m_tanker_trooper_guard_1</v>
      </c>
      <c r="X976" s="37"/>
      <c r="Y976" s="37" t="str">
        <f>VLOOKUP($C976,'#Data'!$B$3:$I$344,8,FALSE)</f>
        <v>m_m_tanker_trooper_guard_1</v>
      </c>
      <c r="Z976" s="37"/>
      <c r="AA976" s="37"/>
      <c r="AB976" s="37"/>
      <c r="AC976" s="84">
        <v>0.8</v>
      </c>
      <c r="AD976" s="37"/>
      <c r="AE976" s="37"/>
      <c r="AF976" s="37"/>
      <c r="AG976" s="37" t="s">
        <v>2758</v>
      </c>
      <c r="AH976" s="85"/>
    </row>
    <row r="977" spans="1:34" x14ac:dyDescent="0.3">
      <c r="A977" s="37">
        <f t="shared" si="30"/>
        <v>1610201107</v>
      </c>
      <c r="B977" s="37" t="s">
        <v>41</v>
      </c>
      <c r="C977" s="37" t="s">
        <v>59</v>
      </c>
      <c r="D977" s="37" t="str">
        <f>"Monster.Name."&amp;VLOOKUP($C977,'#Data'!$B$2:$J$344,2,FALSE)</f>
        <v>Monster.Name.trooper_champion_1</v>
      </c>
      <c r="E977" s="37" t="s">
        <v>43</v>
      </c>
      <c r="F977" s="38" t="s">
        <v>44</v>
      </c>
      <c r="G977" s="37" t="s">
        <v>45</v>
      </c>
      <c r="H977" s="37" t="b">
        <f>IF(OR(VLOOKUP($C977,'#Data'!$B$2:$J$344,4,FALSE)="보스",VLOOKUP($C977,'#Data'!$B$2:$J$344,4,FALSE)="중간"),TRUE,FALSE)</f>
        <v>0</v>
      </c>
      <c r="I977" s="37" t="b">
        <f>IF(OR(VLOOKUP($C977,'#Data'!$B$2:$J$344,4,FALSE)="보스",VLOOKUP($C977,'#Data'!$B$2:$J$344,4,FALSE)="중간"),TRUE,FALSE)</f>
        <v>0</v>
      </c>
      <c r="J977" s="37">
        <v>10</v>
      </c>
      <c r="K977" s="37">
        <f t="shared" si="31"/>
        <v>10</v>
      </c>
      <c r="L977" s="59" t="str">
        <f>$B977&amp;"."&amp;VLOOKUP($C977,'#Data'!$B$2:$J$344,2,FALSE)&amp;".attack0"&amp;RIGHT(L$1,1)</f>
        <v>Sector01.trooper_champion_1.attack01</v>
      </c>
      <c r="M977" s="59"/>
      <c r="N977" s="59"/>
      <c r="O977" s="131" t="str">
        <f>$B977&amp;"."&amp;VLOOKUP($C977,'#Data'!$B$2:$J$344,2,FALSE)&amp;".skill0"&amp;RIGHT(O$1,1)</f>
        <v>Sector01.trooper_champion_1.skill01</v>
      </c>
      <c r="P977" s="131" t="s">
        <v>1996</v>
      </c>
      <c r="Q977" s="131"/>
      <c r="R977" s="60"/>
      <c r="S977" s="60"/>
      <c r="T977" s="60"/>
      <c r="U977" s="60"/>
      <c r="V977" s="37" t="b">
        <v>0</v>
      </c>
      <c r="W977" s="37" t="str">
        <f>"Character/Prefabs/"&amp;VLOOKUP($C977,'#Data'!$B$3:$I$344,8,FALSE)</f>
        <v>Character/Prefabs/m_m_attacker_trooper_champion_1</v>
      </c>
      <c r="X977" s="37"/>
      <c r="Y977" s="37" t="str">
        <f>VLOOKUP($C977,'#Data'!$B$3:$I$344,8,FALSE)</f>
        <v>m_m_attacker_trooper_champion_1</v>
      </c>
      <c r="Z977" s="37"/>
      <c r="AA977" s="37"/>
      <c r="AB977" s="37"/>
      <c r="AC977" s="84">
        <v>0.8</v>
      </c>
      <c r="AD977" s="37"/>
      <c r="AE977" s="37"/>
      <c r="AF977" s="37"/>
      <c r="AG977" s="37" t="s">
        <v>2758</v>
      </c>
      <c r="AH977" s="85"/>
    </row>
    <row r="978" spans="1:34" x14ac:dyDescent="0.3">
      <c r="A978" s="37">
        <f t="shared" si="30"/>
        <v>1610201108</v>
      </c>
      <c r="B978" s="37" t="s">
        <v>41</v>
      </c>
      <c r="C978" s="37" t="s">
        <v>60</v>
      </c>
      <c r="D978" s="37" t="str">
        <f>"Monster.Name."&amp;VLOOKUP($C978,'#Data'!$B$2:$J$344,2,FALSE)</f>
        <v>Monster.Name.trooper_demolisher_1</v>
      </c>
      <c r="E978" s="37" t="s">
        <v>47</v>
      </c>
      <c r="F978" s="38" t="s">
        <v>44</v>
      </c>
      <c r="G978" s="37" t="s">
        <v>45</v>
      </c>
      <c r="H978" s="37" t="b">
        <f>IF(OR(VLOOKUP($C978,'#Data'!$B$2:$J$344,4,FALSE)="보스",VLOOKUP($C978,'#Data'!$B$2:$J$344,4,FALSE)="중간"),TRUE,FALSE)</f>
        <v>0</v>
      </c>
      <c r="I978" s="37" t="b">
        <f>IF(OR(VLOOKUP($C978,'#Data'!$B$2:$J$344,4,FALSE)="보스",VLOOKUP($C978,'#Data'!$B$2:$J$344,4,FALSE)="중간"),TRUE,FALSE)</f>
        <v>0</v>
      </c>
      <c r="J978" s="37">
        <v>10</v>
      </c>
      <c r="K978" s="37">
        <f t="shared" si="31"/>
        <v>10</v>
      </c>
      <c r="L978" s="59" t="str">
        <f>$B978&amp;"."&amp;VLOOKUP($C978,'#Data'!$B$2:$J$344,2,FALSE)&amp;".attack0"&amp;RIGHT(L$1,1)</f>
        <v>Sector01.trooper_demolisher_1.attack01</v>
      </c>
      <c r="M978" s="59"/>
      <c r="N978" s="59"/>
      <c r="O978" s="131" t="str">
        <f>$B978&amp;"."&amp;VLOOKUP($C978,'#Data'!$B$2:$J$344,2,FALSE)&amp;".skill0"&amp;RIGHT(O$1,1)</f>
        <v>Sector01.trooper_demolisher_1.skill01</v>
      </c>
      <c r="P978" s="131" t="s">
        <v>2018</v>
      </c>
      <c r="Q978" s="131"/>
      <c r="R978" s="60"/>
      <c r="S978" s="60"/>
      <c r="T978" s="60"/>
      <c r="U978" s="60"/>
      <c r="V978" s="37" t="b">
        <v>0</v>
      </c>
      <c r="W978" s="37" t="str">
        <f>"Character/Prefabs/"&amp;VLOOKUP($C978,'#Data'!$B$3:$I$344,8,FALSE)</f>
        <v>Character/Prefabs/m_m_ranger_trooper_demolisher_1</v>
      </c>
      <c r="X978" s="37"/>
      <c r="Y978" s="37" t="str">
        <f>VLOOKUP($C978,'#Data'!$B$3:$I$344,8,FALSE)</f>
        <v>m_m_ranger_trooper_demolisher_1</v>
      </c>
      <c r="Z978" s="37"/>
      <c r="AA978" s="37"/>
      <c r="AB978" s="37"/>
      <c r="AC978" s="84">
        <v>0.8</v>
      </c>
      <c r="AD978" s="37"/>
      <c r="AE978" s="37"/>
      <c r="AF978" s="37"/>
      <c r="AG978" s="37" t="s">
        <v>2758</v>
      </c>
      <c r="AH978" s="85"/>
    </row>
    <row r="979" spans="1:34" x14ac:dyDescent="0.3">
      <c r="A979" s="37">
        <f t="shared" si="30"/>
        <v>1610201109</v>
      </c>
      <c r="B979" s="37" t="s">
        <v>41</v>
      </c>
      <c r="C979" s="37" t="s">
        <v>61</v>
      </c>
      <c r="D979" s="37" t="str">
        <f>"Monster.Name."&amp;VLOOKUP($C979,'#Data'!$B$2:$J$344,2,FALSE)</f>
        <v>Monster.Name.trooper_inferno_1</v>
      </c>
      <c r="E979" s="37" t="s">
        <v>43</v>
      </c>
      <c r="F979" s="38" t="s">
        <v>44</v>
      </c>
      <c r="G979" s="37" t="s">
        <v>45</v>
      </c>
      <c r="H979" s="37" t="b">
        <f>IF(OR(VLOOKUP($C979,'#Data'!$B$2:$J$344,4,FALSE)="보스",VLOOKUP($C979,'#Data'!$B$2:$J$344,4,FALSE)="중간"),TRUE,FALSE)</f>
        <v>0</v>
      </c>
      <c r="I979" s="37" t="b">
        <f>IF(OR(VLOOKUP($C979,'#Data'!$B$2:$J$344,4,FALSE)="보스",VLOOKUP($C979,'#Data'!$B$2:$J$344,4,FALSE)="중간"),TRUE,FALSE)</f>
        <v>0</v>
      </c>
      <c r="J979" s="37">
        <v>10</v>
      </c>
      <c r="K979" s="37">
        <f t="shared" si="31"/>
        <v>10</v>
      </c>
      <c r="L979" s="59" t="str">
        <f>$B979&amp;"."&amp;VLOOKUP($C979,'#Data'!$B$2:$J$344,2,FALSE)&amp;".attack0"&amp;RIGHT(L$1,1)</f>
        <v>Sector01.trooper_inferno_1.attack01</v>
      </c>
      <c r="M979" s="59"/>
      <c r="N979" s="59"/>
      <c r="O979" s="131" t="str">
        <f>$B979&amp;"."&amp;VLOOKUP($C979,'#Data'!$B$2:$J$344,2,FALSE)&amp;".skill0"&amp;RIGHT(O$1,1)</f>
        <v>Sector01.trooper_inferno_1.skill01</v>
      </c>
      <c r="P979" s="131" t="s">
        <v>1998</v>
      </c>
      <c r="Q979" s="131"/>
      <c r="R979" s="60"/>
      <c r="S979" s="60"/>
      <c r="T979" s="60"/>
      <c r="U979" s="60"/>
      <c r="V979" s="37" t="b">
        <v>0</v>
      </c>
      <c r="W979" s="37" t="str">
        <f>"Character/Prefabs/"&amp;VLOOKUP($C979,'#Data'!$B$3:$I$344,8,FALSE)</f>
        <v>Character/Prefabs/m_m_attacker_trooper_inferno_1</v>
      </c>
      <c r="X979" s="37"/>
      <c r="Y979" s="37" t="str">
        <f>VLOOKUP($C979,'#Data'!$B$3:$I$344,8,FALSE)</f>
        <v>m_m_attacker_trooper_inferno_1</v>
      </c>
      <c r="Z979" s="37"/>
      <c r="AA979" s="37"/>
      <c r="AB979" s="37"/>
      <c r="AC979" s="84">
        <v>0.8</v>
      </c>
      <c r="AD979" s="37"/>
      <c r="AE979" s="37"/>
      <c r="AF979" s="37"/>
      <c r="AG979" s="37" t="s">
        <v>2758</v>
      </c>
      <c r="AH979" s="85"/>
    </row>
    <row r="980" spans="1:34" x14ac:dyDescent="0.3">
      <c r="A980" s="51">
        <f t="shared" si="30"/>
        <v>1610201110</v>
      </c>
      <c r="B980" s="51" t="s">
        <v>41</v>
      </c>
      <c r="C980" s="51" t="s">
        <v>66</v>
      </c>
      <c r="D980" s="51" t="str">
        <f>"Monster.Name."&amp;VLOOKUP($C980,'#Data'!$B$2:$J$344,2,FALSE)</f>
        <v>Monster.Name.solid_turretmk1_2</v>
      </c>
      <c r="E980" s="51" t="s">
        <v>43</v>
      </c>
      <c r="F980" s="52" t="s">
        <v>44</v>
      </c>
      <c r="G980" s="51" t="s">
        <v>45</v>
      </c>
      <c r="H980" s="51" t="b">
        <f>IF(OR(VLOOKUP($C980,'#Data'!$B$2:$J$344,4,FALSE)="보스",VLOOKUP($C980,'#Data'!$B$2:$J$344,4,FALSE)="중간"),TRUE,FALSE)</f>
        <v>0</v>
      </c>
      <c r="I980" s="51" t="b">
        <f>IF(OR(VLOOKUP($C980,'#Data'!$B$2:$J$344,4,FALSE)="보스",VLOOKUP($C980,'#Data'!$B$2:$J$344,4,FALSE)="중간"),TRUE,FALSE)</f>
        <v>0</v>
      </c>
      <c r="J980" s="51">
        <v>10</v>
      </c>
      <c r="K980" s="51">
        <f t="shared" si="31"/>
        <v>10</v>
      </c>
      <c r="L980" s="61" t="s">
        <v>1181</v>
      </c>
      <c r="M980" s="61"/>
      <c r="N980" s="61"/>
      <c r="O980" s="132" t="s">
        <v>1990</v>
      </c>
      <c r="P980" s="132"/>
      <c r="Q980" s="132"/>
      <c r="R980" s="62"/>
      <c r="S980" s="62"/>
      <c r="T980" s="62"/>
      <c r="U980" s="62"/>
      <c r="V980" s="51" t="b">
        <v>0</v>
      </c>
      <c r="W980" s="51" t="str">
        <f>"Character/Prefabs/"&amp;VLOOKUP($C980,'#Data'!$B$3:$I$344,8,FALSE)</f>
        <v>Character/Prefabs/m_s_attacker_solid_turretmk1_2</v>
      </c>
      <c r="X980" s="51"/>
      <c r="Y980" s="51" t="str">
        <f>VLOOKUP($C980,'#Data'!$B$3:$I$344,8,FALSE)</f>
        <v>m_s_attacker_solid_turretmk1_2</v>
      </c>
      <c r="Z980" s="51"/>
      <c r="AA980" s="51"/>
      <c r="AB980" s="51"/>
      <c r="AC980" s="86">
        <v>0.7</v>
      </c>
      <c r="AD980" s="51"/>
      <c r="AE980" s="51"/>
      <c r="AF980" s="51"/>
      <c r="AG980" s="51" t="s">
        <v>2758</v>
      </c>
      <c r="AH980" s="85"/>
    </row>
    <row r="981" spans="1:34" x14ac:dyDescent="0.3">
      <c r="A981" s="51">
        <f t="shared" si="30"/>
        <v>1610201111</v>
      </c>
      <c r="B981" s="51" t="s">
        <v>41</v>
      </c>
      <c r="C981" s="51" t="s">
        <v>67</v>
      </c>
      <c r="D981" s="51" t="str">
        <f>"Monster.Name."&amp;VLOOKUP($C981,'#Data'!$B$2:$J$344,2,FALSE)</f>
        <v>Monster.Name.spider_turret_prototype_2</v>
      </c>
      <c r="E981" s="51" t="s">
        <v>47</v>
      </c>
      <c r="F981" s="52" t="s">
        <v>44</v>
      </c>
      <c r="G981" s="51" t="s">
        <v>45</v>
      </c>
      <c r="H981" s="51" t="b">
        <f>IF(OR(VLOOKUP($C981,'#Data'!$B$2:$J$344,4,FALSE)="보스",VLOOKUP($C981,'#Data'!$B$2:$J$344,4,FALSE)="중간"),TRUE,FALSE)</f>
        <v>0</v>
      </c>
      <c r="I981" s="51" t="b">
        <f>IF(OR(VLOOKUP($C981,'#Data'!$B$2:$J$344,4,FALSE)="보스",VLOOKUP($C981,'#Data'!$B$2:$J$344,4,FALSE)="중간"),TRUE,FALSE)</f>
        <v>0</v>
      </c>
      <c r="J981" s="51">
        <v>10</v>
      </c>
      <c r="K981" s="51">
        <f t="shared" si="31"/>
        <v>30</v>
      </c>
      <c r="L981" s="61" t="s">
        <v>1182</v>
      </c>
      <c r="M981" s="61"/>
      <c r="N981" s="61"/>
      <c r="O981" s="132" t="s">
        <v>1991</v>
      </c>
      <c r="P981" s="132"/>
      <c r="Q981" s="132"/>
      <c r="R981" s="62"/>
      <c r="S981" s="62"/>
      <c r="T981" s="62"/>
      <c r="U981" s="62"/>
      <c r="V981" s="51" t="b">
        <v>0</v>
      </c>
      <c r="W981" s="51" t="str">
        <f>"Character/Prefabs/"&amp;VLOOKUP($C981,'#Data'!$B$3:$I$344,8,FALSE)</f>
        <v>Character/Prefabs/m_s_ranger_spider_turret_prototype_2</v>
      </c>
      <c r="X981" s="51"/>
      <c r="Y981" s="51" t="str">
        <f>VLOOKUP($C981,'#Data'!$B$3:$I$344,8,FALSE)</f>
        <v>m_s_ranger_spider_turret_prototype_2</v>
      </c>
      <c r="Z981" s="51"/>
      <c r="AA981" s="51"/>
      <c r="AB981" s="51"/>
      <c r="AC981" s="86">
        <v>0.6</v>
      </c>
      <c r="AD981" s="51"/>
      <c r="AE981" s="51"/>
      <c r="AF981" s="51"/>
      <c r="AG981" s="51" t="s">
        <v>2758</v>
      </c>
      <c r="AH981" s="85"/>
    </row>
    <row r="982" spans="1:34" x14ac:dyDescent="0.3">
      <c r="A982" s="51">
        <f t="shared" si="30"/>
        <v>1610201112</v>
      </c>
      <c r="B982" s="51" t="s">
        <v>41</v>
      </c>
      <c r="C982" s="51" t="s">
        <v>68</v>
      </c>
      <c r="D982" s="51" t="str">
        <f>"Monster.Name."&amp;VLOOKUP($C982,'#Data'!$B$2:$J$344,2,FALSE)</f>
        <v>Monster.Name.electric_drone_2</v>
      </c>
      <c r="E982" s="51" t="s">
        <v>43</v>
      </c>
      <c r="F982" s="52" t="s">
        <v>44</v>
      </c>
      <c r="G982" s="51" t="s">
        <v>45</v>
      </c>
      <c r="H982" s="51" t="b">
        <f>IF(OR(VLOOKUP($C982,'#Data'!$B$2:$J$344,4,FALSE)="보스",VLOOKUP($C982,'#Data'!$B$2:$J$344,4,FALSE)="중간"),TRUE,FALSE)</f>
        <v>0</v>
      </c>
      <c r="I982" s="51" t="b">
        <f>IF(OR(VLOOKUP($C982,'#Data'!$B$2:$J$344,4,FALSE)="보스",VLOOKUP($C982,'#Data'!$B$2:$J$344,4,FALSE)="중간"),TRUE,FALSE)</f>
        <v>0</v>
      </c>
      <c r="J982" s="51">
        <v>10</v>
      </c>
      <c r="K982" s="51">
        <f t="shared" si="31"/>
        <v>10</v>
      </c>
      <c r="L982" s="61" t="s">
        <v>1183</v>
      </c>
      <c r="M982" s="61"/>
      <c r="N982" s="61"/>
      <c r="O982" s="132" t="s">
        <v>1992</v>
      </c>
      <c r="P982" s="132"/>
      <c r="Q982" s="132"/>
      <c r="R982" s="62"/>
      <c r="S982" s="62"/>
      <c r="T982" s="62"/>
      <c r="U982" s="62"/>
      <c r="V982" s="51" t="b">
        <v>0</v>
      </c>
      <c r="W982" s="103" t="s">
        <v>1197</v>
      </c>
      <c r="X982" s="51"/>
      <c r="Y982" s="104" t="s">
        <v>1199</v>
      </c>
      <c r="Z982" s="51"/>
      <c r="AA982" s="51"/>
      <c r="AB982" s="51"/>
      <c r="AC982" s="86">
        <v>0.7</v>
      </c>
      <c r="AD982" s="51"/>
      <c r="AE982" s="51"/>
      <c r="AF982" s="51"/>
      <c r="AG982" s="51" t="s">
        <v>2758</v>
      </c>
      <c r="AH982" s="85"/>
    </row>
    <row r="983" spans="1:34" x14ac:dyDescent="0.3">
      <c r="A983" s="51">
        <f t="shared" si="30"/>
        <v>1610201113</v>
      </c>
      <c r="B983" s="51" t="s">
        <v>41</v>
      </c>
      <c r="C983" s="51" t="s">
        <v>69</v>
      </c>
      <c r="D983" s="51" t="str">
        <f>"Monster.Name."&amp;VLOOKUP($C983,'#Data'!$B$2:$J$344,2,FALSE)</f>
        <v>Monster.Name.jamming_drone_2</v>
      </c>
      <c r="E983" s="51" t="s">
        <v>47</v>
      </c>
      <c r="F983" s="52" t="s">
        <v>44</v>
      </c>
      <c r="G983" s="51" t="s">
        <v>45</v>
      </c>
      <c r="H983" s="51" t="b">
        <f>IF(OR(VLOOKUP($C983,'#Data'!$B$2:$J$344,4,FALSE)="보스",VLOOKUP($C983,'#Data'!$B$2:$J$344,4,FALSE)="중간"),TRUE,FALSE)</f>
        <v>0</v>
      </c>
      <c r="I983" s="51" t="b">
        <f>IF(OR(VLOOKUP($C983,'#Data'!$B$2:$J$344,4,FALSE)="보스",VLOOKUP($C983,'#Data'!$B$2:$J$344,4,FALSE)="중간"),TRUE,FALSE)</f>
        <v>0</v>
      </c>
      <c r="J983" s="51">
        <v>10</v>
      </c>
      <c r="K983" s="51">
        <f t="shared" si="31"/>
        <v>10</v>
      </c>
      <c r="L983" s="61" t="s">
        <v>1184</v>
      </c>
      <c r="M983" s="61"/>
      <c r="N983" s="61"/>
      <c r="O983" s="132" t="s">
        <v>1993</v>
      </c>
      <c r="P983" s="132"/>
      <c r="Q983" s="132"/>
      <c r="R983" s="62"/>
      <c r="S983" s="62"/>
      <c r="T983" s="62"/>
      <c r="U983" s="62"/>
      <c r="V983" s="51" t="b">
        <v>0</v>
      </c>
      <c r="W983" s="104" t="s">
        <v>1198</v>
      </c>
      <c r="X983" s="51"/>
      <c r="Y983" s="104" t="s">
        <v>1200</v>
      </c>
      <c r="Z983" s="51"/>
      <c r="AA983" s="51"/>
      <c r="AB983" s="51"/>
      <c r="AC983" s="86">
        <v>0.6</v>
      </c>
      <c r="AD983" s="51"/>
      <c r="AE983" s="51"/>
      <c r="AF983" s="51"/>
      <c r="AG983" s="51" t="s">
        <v>2758</v>
      </c>
      <c r="AH983" s="85"/>
    </row>
    <row r="984" spans="1:34" x14ac:dyDescent="0.3">
      <c r="A984" s="51">
        <f t="shared" si="30"/>
        <v>1610201114</v>
      </c>
      <c r="B984" s="51" t="s">
        <v>41</v>
      </c>
      <c r="C984" s="51" t="s">
        <v>70</v>
      </c>
      <c r="D984" s="51" t="str">
        <f>"Monster.Name."&amp;VLOOKUP($C984,'#Data'!$B$2:$J$344,2,FALSE)</f>
        <v>Monster.Name.trooper_sniper_2</v>
      </c>
      <c r="E984" s="51" t="s">
        <v>47</v>
      </c>
      <c r="F984" s="52" t="s">
        <v>44</v>
      </c>
      <c r="G984" s="51" t="s">
        <v>45</v>
      </c>
      <c r="H984" s="51" t="b">
        <f>IF(OR(VLOOKUP($C984,'#Data'!$B$2:$J$344,4,FALSE)="보스",VLOOKUP($C984,'#Data'!$B$2:$J$344,4,FALSE)="중간"),TRUE,FALSE)</f>
        <v>0</v>
      </c>
      <c r="I984" s="51" t="b">
        <f>IF(OR(VLOOKUP($C984,'#Data'!$B$2:$J$344,4,FALSE)="보스",VLOOKUP($C984,'#Data'!$B$2:$J$344,4,FALSE)="중간"),TRUE,FALSE)</f>
        <v>0</v>
      </c>
      <c r="J984" s="51">
        <v>10</v>
      </c>
      <c r="K984" s="51">
        <f t="shared" si="31"/>
        <v>10</v>
      </c>
      <c r="L984" s="61" t="s">
        <v>1185</v>
      </c>
      <c r="M984" s="61"/>
      <c r="N984" s="61"/>
      <c r="O984" s="132" t="s">
        <v>1186</v>
      </c>
      <c r="P984" s="132" t="s">
        <v>1994</v>
      </c>
      <c r="Q984" s="132"/>
      <c r="R984" s="62"/>
      <c r="S984" s="62"/>
      <c r="T984" s="62"/>
      <c r="U984" s="62"/>
      <c r="V984" s="51" t="b">
        <v>0</v>
      </c>
      <c r="W984" s="51" t="str">
        <f>"Character/Prefabs/"&amp;VLOOKUP($C984,'#Data'!$B$3:$I$344,8,FALSE)</f>
        <v>Character/Prefabs/m_m_ranger_trooper_sniper_2</v>
      </c>
      <c r="X984" s="51"/>
      <c r="Y984" s="51" t="str">
        <f>VLOOKUP($C984,'#Data'!$B$3:$I$344,8,FALSE)</f>
        <v>m_m_ranger_trooper_sniper_2</v>
      </c>
      <c r="Z984" s="51"/>
      <c r="AA984" s="51"/>
      <c r="AB984" s="51"/>
      <c r="AC984" s="86">
        <v>0.8</v>
      </c>
      <c r="AD984" s="51"/>
      <c r="AE984" s="51"/>
      <c r="AF984" s="51"/>
      <c r="AG984" s="51" t="s">
        <v>2758</v>
      </c>
      <c r="AH984" s="85"/>
    </row>
    <row r="985" spans="1:34" x14ac:dyDescent="0.3">
      <c r="A985" s="51">
        <f t="shared" si="30"/>
        <v>1610201115</v>
      </c>
      <c r="B985" s="51" t="s">
        <v>41</v>
      </c>
      <c r="C985" s="51" t="s">
        <v>71</v>
      </c>
      <c r="D985" s="51" t="str">
        <f>"Monster.Name."&amp;VLOOKUP($C985,'#Data'!$B$2:$J$344,2,FALSE)</f>
        <v>Monster.Name.trooper_guard_2</v>
      </c>
      <c r="E985" s="51" t="s">
        <v>58</v>
      </c>
      <c r="F985" s="52" t="s">
        <v>44</v>
      </c>
      <c r="G985" s="51" t="s">
        <v>45</v>
      </c>
      <c r="H985" s="51" t="b">
        <f>IF(OR(VLOOKUP($C985,'#Data'!$B$2:$J$344,4,FALSE)="보스",VLOOKUP($C985,'#Data'!$B$2:$J$344,4,FALSE)="중간"),TRUE,FALSE)</f>
        <v>0</v>
      </c>
      <c r="I985" s="51" t="b">
        <f>IF(OR(VLOOKUP($C985,'#Data'!$B$2:$J$344,4,FALSE)="보스",VLOOKUP($C985,'#Data'!$B$2:$J$344,4,FALSE)="중간"),TRUE,FALSE)</f>
        <v>0</v>
      </c>
      <c r="J985" s="51">
        <v>10</v>
      </c>
      <c r="K985" s="51">
        <f t="shared" si="31"/>
        <v>10</v>
      </c>
      <c r="L985" s="61" t="s">
        <v>1187</v>
      </c>
      <c r="M985" s="61"/>
      <c r="N985" s="61"/>
      <c r="O985" s="132" t="s">
        <v>1188</v>
      </c>
      <c r="P985" s="132" t="s">
        <v>1995</v>
      </c>
      <c r="Q985" s="132"/>
      <c r="R985" s="62"/>
      <c r="S985" s="62"/>
      <c r="T985" s="62"/>
      <c r="U985" s="62"/>
      <c r="V985" s="51" t="b">
        <v>0</v>
      </c>
      <c r="W985" s="51" t="str">
        <f>"Character/Prefabs/"&amp;VLOOKUP($C985,'#Data'!$B$3:$I$344,8,FALSE)</f>
        <v>Character/Prefabs/m_m_tanker_trooper_guard_2</v>
      </c>
      <c r="X985" s="51"/>
      <c r="Y985" s="51" t="str">
        <f>VLOOKUP($C985,'#Data'!$B$3:$I$344,8,FALSE)</f>
        <v>m_m_tanker_trooper_guard_2</v>
      </c>
      <c r="Z985" s="51"/>
      <c r="AA985" s="51"/>
      <c r="AB985" s="51"/>
      <c r="AC985" s="86">
        <v>0.8</v>
      </c>
      <c r="AD985" s="51"/>
      <c r="AE985" s="51"/>
      <c r="AF985" s="51"/>
      <c r="AG985" s="51" t="s">
        <v>2758</v>
      </c>
      <c r="AH985" s="85"/>
    </row>
    <row r="986" spans="1:34" x14ac:dyDescent="0.3">
      <c r="A986" s="51">
        <f t="shared" si="30"/>
        <v>1610201116</v>
      </c>
      <c r="B986" s="51" t="s">
        <v>41</v>
      </c>
      <c r="C986" s="51" t="s">
        <v>72</v>
      </c>
      <c r="D986" s="51" t="str">
        <f>"Monster.Name."&amp;VLOOKUP($C986,'#Data'!$B$2:$J$344,2,FALSE)</f>
        <v>Monster.Name.trooper_champion_2</v>
      </c>
      <c r="E986" s="51" t="s">
        <v>43</v>
      </c>
      <c r="F986" s="52" t="s">
        <v>44</v>
      </c>
      <c r="G986" s="51" t="s">
        <v>45</v>
      </c>
      <c r="H986" s="51" t="b">
        <f>IF(OR(VLOOKUP($C986,'#Data'!$B$2:$J$344,4,FALSE)="보스",VLOOKUP($C986,'#Data'!$B$2:$J$344,4,FALSE)="중간"),TRUE,FALSE)</f>
        <v>0</v>
      </c>
      <c r="I986" s="51" t="b">
        <f>IF(OR(VLOOKUP($C986,'#Data'!$B$2:$J$344,4,FALSE)="보스",VLOOKUP($C986,'#Data'!$B$2:$J$344,4,FALSE)="중간"),TRUE,FALSE)</f>
        <v>0</v>
      </c>
      <c r="J986" s="51">
        <v>10</v>
      </c>
      <c r="K986" s="51">
        <f t="shared" si="31"/>
        <v>10</v>
      </c>
      <c r="L986" s="61" t="s">
        <v>1189</v>
      </c>
      <c r="M986" s="61"/>
      <c r="N986" s="61"/>
      <c r="O986" s="132" t="s">
        <v>1190</v>
      </c>
      <c r="P986" s="132" t="s">
        <v>1996</v>
      </c>
      <c r="Q986" s="132"/>
      <c r="R986" s="62"/>
      <c r="S986" s="62"/>
      <c r="T986" s="62"/>
      <c r="U986" s="62"/>
      <c r="V986" s="51" t="b">
        <v>0</v>
      </c>
      <c r="W986" s="51" t="str">
        <f>"Character/Prefabs/"&amp;VLOOKUP($C986,'#Data'!$B$3:$I$344,8,FALSE)</f>
        <v>Character/Prefabs/m_m_attacker_trooper_champion_2</v>
      </c>
      <c r="X986" s="51"/>
      <c r="Y986" s="51" t="str">
        <f>VLOOKUP($C986,'#Data'!$B$3:$I$344,8,FALSE)</f>
        <v>m_m_attacker_trooper_champion_2</v>
      </c>
      <c r="Z986" s="51"/>
      <c r="AA986" s="51"/>
      <c r="AB986" s="51"/>
      <c r="AC986" s="86">
        <v>0.8</v>
      </c>
      <c r="AD986" s="51"/>
      <c r="AE986" s="51"/>
      <c r="AF986" s="51"/>
      <c r="AG986" s="51" t="s">
        <v>2758</v>
      </c>
      <c r="AH986" s="85"/>
    </row>
    <row r="987" spans="1:34" x14ac:dyDescent="0.3">
      <c r="A987" s="51">
        <f t="shared" si="30"/>
        <v>1610201117</v>
      </c>
      <c r="B987" s="51" t="s">
        <v>41</v>
      </c>
      <c r="C987" s="51" t="s">
        <v>73</v>
      </c>
      <c r="D987" s="51" t="str">
        <f>"Monster.Name."&amp;VLOOKUP($C987,'#Data'!$B$2:$J$344,2,FALSE)</f>
        <v>Monster.Name.trooper_demolisher_2</v>
      </c>
      <c r="E987" s="51" t="s">
        <v>47</v>
      </c>
      <c r="F987" s="52" t="s">
        <v>44</v>
      </c>
      <c r="G987" s="51" t="s">
        <v>45</v>
      </c>
      <c r="H987" s="51" t="b">
        <f>IF(OR(VLOOKUP($C987,'#Data'!$B$2:$J$344,4,FALSE)="보스",VLOOKUP($C987,'#Data'!$B$2:$J$344,4,FALSE)="중간"),TRUE,FALSE)</f>
        <v>0</v>
      </c>
      <c r="I987" s="51" t="b">
        <f>IF(OR(VLOOKUP($C987,'#Data'!$B$2:$J$344,4,FALSE)="보스",VLOOKUP($C987,'#Data'!$B$2:$J$344,4,FALSE)="중간"),TRUE,FALSE)</f>
        <v>0</v>
      </c>
      <c r="J987" s="51">
        <v>10</v>
      </c>
      <c r="K987" s="51">
        <f t="shared" si="31"/>
        <v>10</v>
      </c>
      <c r="L987" s="61" t="s">
        <v>1191</v>
      </c>
      <c r="M987" s="61"/>
      <c r="N987" s="61"/>
      <c r="O987" s="132" t="s">
        <v>1192</v>
      </c>
      <c r="P987" s="132" t="s">
        <v>1997</v>
      </c>
      <c r="Q987" s="132"/>
      <c r="R987" s="62"/>
      <c r="S987" s="62"/>
      <c r="T987" s="62"/>
      <c r="U987" s="62"/>
      <c r="V987" s="51" t="b">
        <v>0</v>
      </c>
      <c r="W987" s="51" t="str">
        <f>"Character/Prefabs/"&amp;VLOOKUP($C987,'#Data'!$B$3:$I$344,8,FALSE)</f>
        <v>Character/Prefabs/m_m_ranger_trooper_demolisher_2</v>
      </c>
      <c r="X987" s="51"/>
      <c r="Y987" s="51" t="str">
        <f>VLOOKUP($C987,'#Data'!$B$3:$I$344,8,FALSE)</f>
        <v>m_m_ranger_trooper_demolisher_2</v>
      </c>
      <c r="Z987" s="51"/>
      <c r="AA987" s="51"/>
      <c r="AB987" s="51"/>
      <c r="AC987" s="86">
        <v>0.8</v>
      </c>
      <c r="AD987" s="51"/>
      <c r="AE987" s="51"/>
      <c r="AF987" s="51"/>
      <c r="AG987" s="51" t="s">
        <v>2758</v>
      </c>
      <c r="AH987" s="85"/>
    </row>
    <row r="988" spans="1:34" x14ac:dyDescent="0.3">
      <c r="A988" s="51">
        <f t="shared" si="30"/>
        <v>1610201118</v>
      </c>
      <c r="B988" s="51" t="s">
        <v>41</v>
      </c>
      <c r="C988" s="51" t="s">
        <v>74</v>
      </c>
      <c r="D988" s="51" t="str">
        <f>"Monster.Name."&amp;VLOOKUP($C988,'#Data'!$B$2:$J$344,2,FALSE)</f>
        <v>Monster.Name.trooper_inferno_2</v>
      </c>
      <c r="E988" s="51" t="s">
        <v>43</v>
      </c>
      <c r="F988" s="52" t="s">
        <v>44</v>
      </c>
      <c r="G988" s="51" t="s">
        <v>45</v>
      </c>
      <c r="H988" s="51" t="b">
        <f>IF(OR(VLOOKUP($C988,'#Data'!$B$2:$J$344,4,FALSE)="보스",VLOOKUP($C988,'#Data'!$B$2:$J$344,4,FALSE)="중간"),TRUE,FALSE)</f>
        <v>0</v>
      </c>
      <c r="I988" s="51" t="b">
        <f>IF(OR(VLOOKUP($C988,'#Data'!$B$2:$J$344,4,FALSE)="보스",VLOOKUP($C988,'#Data'!$B$2:$J$344,4,FALSE)="중간"),TRUE,FALSE)</f>
        <v>0</v>
      </c>
      <c r="J988" s="51">
        <v>10</v>
      </c>
      <c r="K988" s="51">
        <f t="shared" si="31"/>
        <v>10</v>
      </c>
      <c r="L988" s="61" t="s">
        <v>1193</v>
      </c>
      <c r="M988" s="61"/>
      <c r="N988" s="61"/>
      <c r="O988" s="132" t="s">
        <v>1194</v>
      </c>
      <c r="P988" s="132" t="s">
        <v>1998</v>
      </c>
      <c r="Q988" s="132"/>
      <c r="R988" s="62"/>
      <c r="S988" s="62"/>
      <c r="T988" s="62"/>
      <c r="U988" s="62"/>
      <c r="V988" s="51" t="b">
        <v>0</v>
      </c>
      <c r="W988" s="51" t="str">
        <f>"Character/Prefabs/"&amp;VLOOKUP($C988,'#Data'!$B$3:$I$344,8,FALSE)</f>
        <v>Character/Prefabs/m_m_attacker_trooper_inferno_2</v>
      </c>
      <c r="X988" s="51"/>
      <c r="Y988" s="51" t="str">
        <f>VLOOKUP($C988,'#Data'!$B$3:$I$344,8,FALSE)</f>
        <v>m_m_attacker_trooper_inferno_2</v>
      </c>
      <c r="Z988" s="51"/>
      <c r="AA988" s="51"/>
      <c r="AB988" s="51"/>
      <c r="AC988" s="86">
        <v>0.8</v>
      </c>
      <c r="AD988" s="51"/>
      <c r="AE988" s="51"/>
      <c r="AF988" s="51"/>
      <c r="AG988" s="51" t="s">
        <v>2758</v>
      </c>
      <c r="AH988" s="85"/>
    </row>
    <row r="989" spans="1:34" x14ac:dyDescent="0.3">
      <c r="A989" s="37">
        <f t="shared" si="30"/>
        <v>1610201201</v>
      </c>
      <c r="B989" s="37" t="s">
        <v>41</v>
      </c>
      <c r="C989" s="37" t="s">
        <v>62</v>
      </c>
      <c r="D989" s="37" t="str">
        <f>"Monster.Name."&amp;VLOOKUP($C989,'#Data'!$B$2:$J$344,2,FALSE)</f>
        <v>Monster.Name.labmecha_launcher_1</v>
      </c>
      <c r="E989" s="37" t="s">
        <v>47</v>
      </c>
      <c r="F989" s="38" t="s">
        <v>44</v>
      </c>
      <c r="G989" s="37" t="s">
        <v>45</v>
      </c>
      <c r="H989" s="37" t="b">
        <f>IF(OR(VLOOKUP($C989,'#Data'!$B$2:$J$344,4,FALSE)="보스",VLOOKUP($C989,'#Data'!$B$2:$J$344,4,FALSE)="중간"),TRUE,FALSE)</f>
        <v>1</v>
      </c>
      <c r="I989" s="37" t="b">
        <f>IF(OR(VLOOKUP($C989,'#Data'!$B$2:$J$344,4,FALSE)="보스",VLOOKUP($C989,'#Data'!$B$2:$J$344,4,FALSE)="중간"),TRUE,FALSE)</f>
        <v>1</v>
      </c>
      <c r="J989" s="37">
        <v>10</v>
      </c>
      <c r="K989" s="37">
        <f t="shared" si="31"/>
        <v>10</v>
      </c>
      <c r="L989" s="59" t="str">
        <f>$B989&amp;"."&amp;VLOOKUP($C989,'#Data'!$B$2:$J$344,2,FALSE)&amp;".attack0"&amp;RIGHT(L$1,1)</f>
        <v>Sector01.labmecha_launcher_1.attack01</v>
      </c>
      <c r="M989" s="59"/>
      <c r="N989" s="59"/>
      <c r="O989" s="131" t="str">
        <f>$B989&amp;"."&amp;VLOOKUP($C989,'#Data'!$B$2:$J$344,2,FALSE)&amp;".skill0"&amp;RIGHT(O$1,1)</f>
        <v>Sector01.labmecha_launcher_1.skill01</v>
      </c>
      <c r="P989" s="131" t="str">
        <f>$B989&amp;"."&amp;VLOOKUP($C989,'#Data'!$B$2:$J$344,2,FALSE)&amp;".skill0"&amp;RIGHT(P$1,1)</f>
        <v>Sector01.labmecha_launcher_1.skill02</v>
      </c>
      <c r="Q989" s="131"/>
      <c r="R989" s="60"/>
      <c r="S989" s="60" t="s">
        <v>2075</v>
      </c>
      <c r="T989" s="60"/>
      <c r="U989" s="60"/>
      <c r="V989" s="37" t="b">
        <v>0</v>
      </c>
      <c r="W989" s="37" t="str">
        <f>"Character/Prefabs/"&amp;VLOOKUP($C989,'#Data'!$B$3:$I$344,8,FALSE)</f>
        <v>Character/Prefabs/m_m_ranger_labmecha_launcher_1</v>
      </c>
      <c r="X989" s="37"/>
      <c r="Y989" s="37" t="str">
        <f>VLOOKUP($C989,'#Data'!$B$3:$I$344,8,FALSE)</f>
        <v>m_m_ranger_labmecha_launcher_1</v>
      </c>
      <c r="Z989" s="37"/>
      <c r="AA989" s="37"/>
      <c r="AB989" s="37"/>
      <c r="AC989" s="84">
        <v>0.7</v>
      </c>
      <c r="AD989" s="37"/>
      <c r="AE989" s="37"/>
      <c r="AF989" s="37"/>
      <c r="AG989" s="37" t="s">
        <v>2758</v>
      </c>
      <c r="AH989" s="85"/>
    </row>
    <row r="990" spans="1:34" x14ac:dyDescent="0.3">
      <c r="A990" s="37">
        <f t="shared" si="30"/>
        <v>1610201202</v>
      </c>
      <c r="B990" s="37" t="s">
        <v>41</v>
      </c>
      <c r="C990" s="37" t="s">
        <v>63</v>
      </c>
      <c r="D990" s="37" t="str">
        <f>"Monster.Name."&amp;VLOOKUP($C990,'#Data'!$B$2:$J$344,2,FALSE)</f>
        <v>Monster.Name.harbor_crab_1</v>
      </c>
      <c r="E990" s="37" t="s">
        <v>58</v>
      </c>
      <c r="F990" s="38" t="s">
        <v>44</v>
      </c>
      <c r="G990" s="37" t="s">
        <v>45</v>
      </c>
      <c r="H990" s="37" t="b">
        <f>IF(OR(VLOOKUP($C990,'#Data'!$B$2:$J$344,4,FALSE)="보스",VLOOKUP($C990,'#Data'!$B$2:$J$344,4,FALSE)="중간"),TRUE,FALSE)</f>
        <v>1</v>
      </c>
      <c r="I990" s="37" t="b">
        <f>IF(OR(VLOOKUP($C990,'#Data'!$B$2:$J$344,4,FALSE)="보스",VLOOKUP($C990,'#Data'!$B$2:$J$344,4,FALSE)="중간"),TRUE,FALSE)</f>
        <v>1</v>
      </c>
      <c r="J990" s="37">
        <v>20</v>
      </c>
      <c r="K990" s="37">
        <f t="shared" si="31"/>
        <v>10</v>
      </c>
      <c r="L990" s="59" t="str">
        <f>$B990&amp;"."&amp;VLOOKUP($C990,'#Data'!$B$2:$J$344,2,FALSE)&amp;".attack0"&amp;RIGHT(L$1,1)</f>
        <v>Sector01.harbor_crab_1.attack01</v>
      </c>
      <c r="M990" s="59"/>
      <c r="N990" s="59"/>
      <c r="O990" s="131" t="str">
        <f>$B990&amp;"."&amp;VLOOKUP($C990,'#Data'!$B$2:$J$344,2,FALSE)&amp;".skill0"&amp;RIGHT(O$1,1)</f>
        <v>Sector01.harbor_crab_1.skill01</v>
      </c>
      <c r="P990" s="131" t="str">
        <f>$B990&amp;"."&amp;VLOOKUP($C990,'#Data'!$B$2:$J$344,2,FALSE)&amp;".skill0"&amp;RIGHT(P$1,1)</f>
        <v>Sector01.harbor_crab_1.skill02</v>
      </c>
      <c r="Q990" s="131" t="s">
        <v>64</v>
      </c>
      <c r="R990" s="60"/>
      <c r="S990" s="60" t="s">
        <v>2075</v>
      </c>
      <c r="T990" s="60"/>
      <c r="U990" s="60"/>
      <c r="V990" s="37" t="b">
        <v>0</v>
      </c>
      <c r="W990" s="37" t="str">
        <f>"Character/Prefabs/"&amp;VLOOKUP($C990,'#Data'!$B$3:$I$344,8,FALSE)</f>
        <v>Character/Prefabs/m_l_attacker_harbor_crab_1</v>
      </c>
      <c r="X990" s="37"/>
      <c r="Y990" s="37" t="str">
        <f>VLOOKUP($C990,'#Data'!$B$3:$I$344,8,FALSE)</f>
        <v>m_l_attacker_harbor_crab_1</v>
      </c>
      <c r="Z990" s="37"/>
      <c r="AA990" s="37"/>
      <c r="AB990" s="37"/>
      <c r="AC990" s="84">
        <v>1</v>
      </c>
      <c r="AD990" s="37"/>
      <c r="AE990" s="37"/>
      <c r="AF990" s="37"/>
      <c r="AG990" s="37" t="s">
        <v>2758</v>
      </c>
      <c r="AH990" s="85"/>
    </row>
    <row r="991" spans="1:34" x14ac:dyDescent="0.3">
      <c r="A991" s="37">
        <f t="shared" si="30"/>
        <v>1610201203</v>
      </c>
      <c r="B991" s="37" t="s">
        <v>41</v>
      </c>
      <c r="C991" s="37" t="s">
        <v>65</v>
      </c>
      <c r="D991" s="37" t="str">
        <f>"Monster.Name."&amp;VLOOKUP($C991,'#Data'!$B$2:$J$344,2,FALSE)</f>
        <v>Monster.Name.harbor_punch_1</v>
      </c>
      <c r="E991" s="37" t="s">
        <v>58</v>
      </c>
      <c r="F991" s="38" t="s">
        <v>44</v>
      </c>
      <c r="G991" s="37" t="s">
        <v>45</v>
      </c>
      <c r="H991" s="37" t="b">
        <f>IF(OR(VLOOKUP($C991,'#Data'!$B$2:$J$344,4,FALSE)="보스",VLOOKUP($C991,'#Data'!$B$2:$J$344,4,FALSE)="중간"),TRUE,FALSE)</f>
        <v>1</v>
      </c>
      <c r="I991" s="37" t="b">
        <f>IF(OR(VLOOKUP($C991,'#Data'!$B$2:$J$344,4,FALSE)="보스",VLOOKUP($C991,'#Data'!$B$2:$J$344,4,FALSE)="중간"),TRUE,FALSE)</f>
        <v>1</v>
      </c>
      <c r="J991" s="37">
        <v>20</v>
      </c>
      <c r="K991" s="37">
        <f t="shared" si="31"/>
        <v>10</v>
      </c>
      <c r="L991" s="59" t="str">
        <f>$B991&amp;"."&amp;VLOOKUP($C991,'#Data'!$B$2:$J$344,2,FALSE)&amp;".attack0"&amp;RIGHT(L$1,1)</f>
        <v>Sector01.harbor_punch_1.attack01</v>
      </c>
      <c r="M991" s="59"/>
      <c r="N991" s="59"/>
      <c r="O991" s="131" t="str">
        <f>$B991&amp;"."&amp;VLOOKUP($C991,'#Data'!$B$2:$J$344,2,FALSE)&amp;".skill0"&amp;RIGHT(O$1,1)</f>
        <v>Sector01.harbor_punch_1.skill01</v>
      </c>
      <c r="P991" s="131" t="str">
        <f>$B991&amp;"."&amp;VLOOKUP($C991,'#Data'!$B$2:$J$344,2,FALSE)&amp;".skill0"&amp;RIGHT(P$1,1)</f>
        <v>Sector01.harbor_punch_1.skill02</v>
      </c>
      <c r="Q991" s="131"/>
      <c r="R991" s="60"/>
      <c r="S991" s="60" t="s">
        <v>2075</v>
      </c>
      <c r="T991" s="60"/>
      <c r="U991" s="60"/>
      <c r="V991" s="37" t="b">
        <v>0</v>
      </c>
      <c r="W991" s="37" t="str">
        <f>"Character/Prefabs/"&amp;VLOOKUP($C991,'#Data'!$B$3:$I$344,8,FALSE)</f>
        <v>Character/Prefabs/m_l_tanker_harbor_punch_1</v>
      </c>
      <c r="X991" s="37"/>
      <c r="Y991" s="37" t="str">
        <f>VLOOKUP($C991,'#Data'!$B$3:$I$344,8,FALSE)</f>
        <v>m_l_tanker_harbor_punch_1</v>
      </c>
      <c r="Z991" s="37"/>
      <c r="AA991" s="37"/>
      <c r="AB991" s="37"/>
      <c r="AC991" s="84">
        <v>1</v>
      </c>
      <c r="AD991" s="37"/>
      <c r="AE991" s="37"/>
      <c r="AF991" s="37"/>
      <c r="AG991" s="37" t="s">
        <v>2758</v>
      </c>
      <c r="AH991" s="85"/>
    </row>
    <row r="992" spans="1:34" x14ac:dyDescent="0.3">
      <c r="A992" s="108">
        <f t="shared" si="30"/>
        <v>1610201301</v>
      </c>
      <c r="B992" s="108" t="s">
        <v>82</v>
      </c>
      <c r="C992" s="108" t="s">
        <v>95</v>
      </c>
      <c r="D992" s="108" t="str">
        <f>"Monster.Name."&amp;VLOOKUP($C992,'#Data'!$B$2:$J$344,2,FALSE)</f>
        <v>Monster.Name.cassandra_1</v>
      </c>
      <c r="E992" s="108" t="s">
        <v>1833</v>
      </c>
      <c r="F992" s="109" t="s">
        <v>44</v>
      </c>
      <c r="G992" s="108" t="s">
        <v>45</v>
      </c>
      <c r="H992" s="108" t="b">
        <f>IF(OR(VLOOKUP($C992,'#Data'!$B$2:$J$344,4,FALSE)="보스",VLOOKUP($C992,'#Data'!$B$2:$J$344,4,FALSE)="중간"),TRUE,FALSE)</f>
        <v>1</v>
      </c>
      <c r="I992" s="108" t="b">
        <v>1</v>
      </c>
      <c r="J992" s="108">
        <v>30</v>
      </c>
      <c r="K992" s="108">
        <f t="shared" si="31"/>
        <v>10</v>
      </c>
      <c r="L992" s="113" t="str">
        <f>$B992&amp;"."&amp;VLOOKUP($C992,'#Data'!$B$2:$J$344,2,FALSE)&amp;".attack0"&amp;RIGHT(L$1,1)</f>
        <v>Sector02.cassandra_1.attack01</v>
      </c>
      <c r="M992" s="113"/>
      <c r="N992" s="113"/>
      <c r="O992" s="136" t="str">
        <f>$B992&amp;"."&amp;VLOOKUP($C992,'#Data'!$B$2:$J$344,2,FALSE)&amp;".skill0"&amp;RIGHT(O$1,1)</f>
        <v>Sector02.cassandra_1.skill01</v>
      </c>
      <c r="P992" s="136" t="str">
        <f>$B992&amp;"."&amp;VLOOKUP($C992,'#Data'!$B$2:$J$344,2,FALSE)&amp;".skill0"&amp;RIGHT(P$1,1)</f>
        <v>Sector02.cassandra_1.skill02</v>
      </c>
      <c r="Q992" s="136" t="s">
        <v>96</v>
      </c>
      <c r="R992" s="114"/>
      <c r="S992" s="114" t="s">
        <v>76</v>
      </c>
      <c r="T992" s="114"/>
      <c r="U992" s="114"/>
      <c r="V992" s="108" t="b">
        <v>0</v>
      </c>
      <c r="W992" s="108" t="str">
        <f>"Character/Prefabs/"&amp;VLOOKUP($C992,'#Data'!$B$3:$I$344,8,FALSE)</f>
        <v>Character/Prefabs/m_boss_ranger_cassandra_1</v>
      </c>
      <c r="X992" s="108"/>
      <c r="Y992" s="108" t="str">
        <f>VLOOKUP($C992,'#Data'!$B$3:$I$344,8,FALSE)</f>
        <v>m_boss_ranger_cassandra_1</v>
      </c>
      <c r="Z992" s="108"/>
      <c r="AA992" s="108"/>
      <c r="AB992" s="108"/>
      <c r="AC992" s="111">
        <v>0.9</v>
      </c>
      <c r="AD992" s="108"/>
      <c r="AE992" s="108" t="s">
        <v>99</v>
      </c>
      <c r="AF992" s="108" t="s">
        <v>100</v>
      </c>
      <c r="AG992" s="108" t="s">
        <v>2758</v>
      </c>
      <c r="AH992" s="85"/>
    </row>
    <row r="993" spans="1:34" x14ac:dyDescent="0.3">
      <c r="A993" s="108">
        <f t="shared" si="30"/>
        <v>1610201302</v>
      </c>
      <c r="B993" s="108" t="s">
        <v>82</v>
      </c>
      <c r="C993" s="108" t="s">
        <v>101</v>
      </c>
      <c r="D993" s="108" t="str">
        <f>"Monster.Name."&amp;VLOOKUP($C993,'#Data'!$B$2:$J$344,2,FALSE)</f>
        <v>Monster.Name.cassandra_2</v>
      </c>
      <c r="E993" s="108" t="s">
        <v>1833</v>
      </c>
      <c r="F993" s="109" t="s">
        <v>44</v>
      </c>
      <c r="G993" s="108" t="s">
        <v>45</v>
      </c>
      <c r="H993" s="108" t="b">
        <f>IF(OR(VLOOKUP($C993,'#Data'!$B$2:$J$344,4,FALSE)="보스",VLOOKUP($C993,'#Data'!$B$2:$J$344,4,FALSE)="중간"),TRUE,FALSE)</f>
        <v>1</v>
      </c>
      <c r="I993" s="108" t="b">
        <v>1</v>
      </c>
      <c r="J993" s="108">
        <v>30</v>
      </c>
      <c r="K993" s="108">
        <f t="shared" si="31"/>
        <v>10</v>
      </c>
      <c r="L993" s="113" t="str">
        <f>$B993&amp;"."&amp;VLOOKUP($C993,'#Data'!$B$2:$J$344,2,FALSE)&amp;".attack0"&amp;RIGHT(L$1,1)</f>
        <v>Sector02.cassandra_2.attack01</v>
      </c>
      <c r="M993" s="113"/>
      <c r="N993" s="113"/>
      <c r="O993" s="136" t="str">
        <f>$B993&amp;"."&amp;VLOOKUP($C993,'#Data'!$B$2:$J$344,2,FALSE)&amp;".skill0"&amp;RIGHT(O$1,1)</f>
        <v>Sector02.cassandra_2.skill01</v>
      </c>
      <c r="P993" s="136" t="str">
        <f>$B993&amp;"."&amp;VLOOKUP($C993,'#Data'!$B$2:$J$344,2,FALSE)&amp;".skill0"&amp;RIGHT(P$1,1)</f>
        <v>Sector02.cassandra_2.skill02</v>
      </c>
      <c r="Q993" s="136" t="str">
        <f>$B993&amp;"."&amp;VLOOKUP($C993,'#Data'!$B$2:$J$344,2,FALSE)&amp;".skill0"&amp;RIGHT(Q$1,1)</f>
        <v>Sector02.cassandra_2.skill03</v>
      </c>
      <c r="R993" s="114" t="s">
        <v>102</v>
      </c>
      <c r="S993" s="114" t="s">
        <v>76</v>
      </c>
      <c r="T993" s="114"/>
      <c r="U993" s="114"/>
      <c r="V993" s="108" t="b">
        <v>0</v>
      </c>
      <c r="W993" s="108" t="str">
        <f>"Character/Prefabs/"&amp;VLOOKUP($C993,'#Data'!$B$3:$I$344,8,FALSE)</f>
        <v>Character/Prefabs/m_boss_ranger_cassandra_2</v>
      </c>
      <c r="X993" s="108"/>
      <c r="Y993" s="108" t="str">
        <f>VLOOKUP($C993,'#Data'!$B$3:$I$344,8,FALSE)</f>
        <v>m_boss_ranger_cassandra_2</v>
      </c>
      <c r="Z993" s="108"/>
      <c r="AA993" s="108"/>
      <c r="AB993" s="108"/>
      <c r="AC993" s="111">
        <v>0.9</v>
      </c>
      <c r="AD993" s="108"/>
      <c r="AE993" s="108" t="s">
        <v>103</v>
      </c>
      <c r="AF993" s="108" t="s">
        <v>104</v>
      </c>
      <c r="AG993" s="108" t="s">
        <v>2758</v>
      </c>
      <c r="AH993" s="85"/>
    </row>
    <row r="994" spans="1:34" x14ac:dyDescent="0.3">
      <c r="A994" s="12">
        <f t="shared" si="30"/>
        <v>1610202101</v>
      </c>
      <c r="B994" s="12" t="s">
        <v>82</v>
      </c>
      <c r="C994" s="12" t="s">
        <v>83</v>
      </c>
      <c r="D994" s="12" t="str">
        <f>"Monster.Name."&amp;VLOOKUP($C994,'#Data'!$B$2:$J$344,2,FALSE)</f>
        <v>Monster.Name.turtle_mechamk3_3</v>
      </c>
      <c r="E994" s="12" t="s">
        <v>43</v>
      </c>
      <c r="F994" s="39" t="s">
        <v>44</v>
      </c>
      <c r="G994" s="12" t="s">
        <v>45</v>
      </c>
      <c r="H994" s="12" t="b">
        <f>IF(OR(VLOOKUP($C994,'#Data'!$B$2:$J$344,4,FALSE)="보스",VLOOKUP($C994,'#Data'!$B$2:$J$344,4,FALSE)="중간"),TRUE,FALSE)</f>
        <v>0</v>
      </c>
      <c r="I994" s="12" t="b">
        <f>IF(OR(VLOOKUP($C994,'#Data'!$B$2:$J$344,4,FALSE)="보스",VLOOKUP($C994,'#Data'!$B$2:$J$344,4,FALSE)="중간"),TRUE,FALSE)</f>
        <v>0</v>
      </c>
      <c r="J994" s="12">
        <v>10</v>
      </c>
      <c r="K994" s="12">
        <f t="shared" si="31"/>
        <v>10</v>
      </c>
      <c r="L994" s="63" t="str">
        <f>$B994&amp;"."&amp;VLOOKUP($C994,'#Data'!$B$2:$J$344,2,FALSE)&amp;".attack0"&amp;RIGHT(L$1,1)</f>
        <v>Sector02.turtle_mechamk3_3.attack01</v>
      </c>
      <c r="M994" s="63"/>
      <c r="N994" s="63"/>
      <c r="O994" s="134" t="s">
        <v>1999</v>
      </c>
      <c r="P994" s="134"/>
      <c r="Q994" s="134"/>
      <c r="R994" s="64"/>
      <c r="S994" s="64"/>
      <c r="T994" s="64"/>
      <c r="U994" s="64"/>
      <c r="V994" s="12" t="b">
        <v>0</v>
      </c>
      <c r="W994" s="12" t="str">
        <f>"Character/Prefabs/"&amp;VLOOKUP($C994,'#Data'!$B$3:$I$344,8,FALSE)</f>
        <v>Character/Prefabs/m_s_attacker_turtle_mechamk3_3</v>
      </c>
      <c r="X994" s="12"/>
      <c r="Y994" s="12" t="str">
        <f>VLOOKUP($C994,'#Data'!$B$3:$I$344,8,FALSE)</f>
        <v>m_s_attacker_turtle_mechamk3_3</v>
      </c>
      <c r="Z994" s="12"/>
      <c r="AA994" s="12"/>
      <c r="AB994" s="12"/>
      <c r="AC994" s="88">
        <v>0.7</v>
      </c>
      <c r="AD994" s="12"/>
      <c r="AE994" s="12"/>
      <c r="AF994" s="12"/>
      <c r="AG994" s="12" t="s">
        <v>2758</v>
      </c>
      <c r="AH994" s="85"/>
    </row>
    <row r="995" spans="1:34" x14ac:dyDescent="0.3">
      <c r="A995" s="12">
        <f t="shared" si="30"/>
        <v>1610202102</v>
      </c>
      <c r="B995" s="12" t="s">
        <v>82</v>
      </c>
      <c r="C995" s="12" t="s">
        <v>84</v>
      </c>
      <c r="D995" s="12" t="str">
        <f>"Monster.Name."&amp;VLOOKUP($C995,'#Data'!$B$2:$J$344,2,FALSE)</f>
        <v>Monster.Name.scorpion_turretmk2_3</v>
      </c>
      <c r="E995" s="12" t="s">
        <v>47</v>
      </c>
      <c r="F995" s="39" t="s">
        <v>44</v>
      </c>
      <c r="G995" s="12" t="s">
        <v>45</v>
      </c>
      <c r="H995" s="12" t="b">
        <f>IF(OR(VLOOKUP($C995,'#Data'!$B$2:$J$344,4,FALSE)="보스",VLOOKUP($C995,'#Data'!$B$2:$J$344,4,FALSE)="중간"),TRUE,FALSE)</f>
        <v>0</v>
      </c>
      <c r="I995" s="12" t="b">
        <f>IF(OR(VLOOKUP($C995,'#Data'!$B$2:$J$344,4,FALSE)="보스",VLOOKUP($C995,'#Data'!$B$2:$J$344,4,FALSE)="중간"),TRUE,FALSE)</f>
        <v>0</v>
      </c>
      <c r="J995" s="12">
        <v>10</v>
      </c>
      <c r="K995" s="12">
        <f t="shared" si="31"/>
        <v>10</v>
      </c>
      <c r="L995" s="63" t="str">
        <f>$B995&amp;"."&amp;VLOOKUP($C995,'#Data'!$B$2:$J$344,2,FALSE)&amp;".attack0"&amp;RIGHT(L$1,1)</f>
        <v>Sector02.scorpion_turretmk2_3.attack01</v>
      </c>
      <c r="M995" s="63"/>
      <c r="N995" s="63"/>
      <c r="O995" s="134" t="s">
        <v>2000</v>
      </c>
      <c r="P995" s="134"/>
      <c r="Q995" s="134"/>
      <c r="R995" s="64"/>
      <c r="S995" s="64"/>
      <c r="T995" s="64"/>
      <c r="U995" s="64"/>
      <c r="V995" s="12" t="b">
        <v>0</v>
      </c>
      <c r="W995" s="12" t="str">
        <f>"Character/Prefabs/"&amp;VLOOKUP($C995,'#Data'!$B$3:$I$344,8,FALSE)</f>
        <v>Character/Prefabs/m_s_ranger_scorpion_turretmk2_3</v>
      </c>
      <c r="X995" s="12"/>
      <c r="Y995" s="12" t="str">
        <f>VLOOKUP($C995,'#Data'!$B$3:$I$344,8,FALSE)</f>
        <v>m_s_ranger_scorpion_turretmk2_3</v>
      </c>
      <c r="Z995" s="12"/>
      <c r="AA995" s="12"/>
      <c r="AB995" s="12"/>
      <c r="AC995" s="88">
        <v>0.7</v>
      </c>
      <c r="AD995" s="12"/>
      <c r="AE995" s="12"/>
      <c r="AF995" s="12"/>
      <c r="AG995" s="12" t="s">
        <v>2758</v>
      </c>
      <c r="AH995" s="85"/>
    </row>
    <row r="996" spans="1:34" x14ac:dyDescent="0.3">
      <c r="A996" s="12">
        <f t="shared" si="30"/>
        <v>1610202103</v>
      </c>
      <c r="B996" s="12" t="s">
        <v>82</v>
      </c>
      <c r="C996" s="12" t="s">
        <v>85</v>
      </c>
      <c r="D996" s="12" t="str">
        <f>"Monster.Name."&amp;VLOOKUP($C996,'#Data'!$B$2:$J$344,2,FALSE)</f>
        <v>Monster.Name.rhino_mechamk3_3</v>
      </c>
      <c r="E996" s="12" t="s">
        <v>43</v>
      </c>
      <c r="F996" s="39" t="s">
        <v>44</v>
      </c>
      <c r="G996" s="12" t="s">
        <v>45</v>
      </c>
      <c r="H996" s="12" t="b">
        <f>IF(OR(VLOOKUP($C996,'#Data'!$B$2:$J$344,4,FALSE)="보스",VLOOKUP($C996,'#Data'!$B$2:$J$344,4,FALSE)="중간"),TRUE,FALSE)</f>
        <v>0</v>
      </c>
      <c r="I996" s="12" t="b">
        <f>IF(OR(VLOOKUP($C996,'#Data'!$B$2:$J$344,4,FALSE)="보스",VLOOKUP($C996,'#Data'!$B$2:$J$344,4,FALSE)="중간"),TRUE,FALSE)</f>
        <v>0</v>
      </c>
      <c r="J996" s="12">
        <v>10</v>
      </c>
      <c r="K996" s="12">
        <f t="shared" si="31"/>
        <v>10</v>
      </c>
      <c r="L996" s="63" t="str">
        <f>$B996&amp;"."&amp;VLOOKUP($C996,'#Data'!$B$2:$J$344,2,FALSE)&amp;".attack0"&amp;RIGHT(L$1,1)</f>
        <v>Sector02.rhino_mechamk3_3.attack01</v>
      </c>
      <c r="M996" s="63"/>
      <c r="N996" s="63"/>
      <c r="O996" s="134" t="s">
        <v>2001</v>
      </c>
      <c r="P996" s="134"/>
      <c r="Q996" s="134"/>
      <c r="R996" s="64"/>
      <c r="S996" s="64"/>
      <c r="T996" s="64"/>
      <c r="U996" s="64"/>
      <c r="V996" s="12" t="b">
        <v>0</v>
      </c>
      <c r="W996" s="12" t="str">
        <f>"Character/Prefabs/"&amp;VLOOKUP($C996,'#Data'!$B$3:$I$344,8,FALSE)</f>
        <v>Character/Prefabs/m_s_attacker_rhino_mechamk3_3</v>
      </c>
      <c r="X996" s="12"/>
      <c r="Y996" s="12" t="str">
        <f>VLOOKUP($C996,'#Data'!$B$3:$I$344,8,FALSE)</f>
        <v>m_s_attacker_rhino_mechamk3_3</v>
      </c>
      <c r="Z996" s="12"/>
      <c r="AA996" s="12"/>
      <c r="AB996" s="12"/>
      <c r="AC996" s="88">
        <v>0.7</v>
      </c>
      <c r="AD996" s="12"/>
      <c r="AE996" s="12"/>
      <c r="AF996" s="12"/>
      <c r="AG996" s="12" t="s">
        <v>2758</v>
      </c>
      <c r="AH996" s="85"/>
    </row>
    <row r="997" spans="1:34" x14ac:dyDescent="0.3">
      <c r="A997" s="12">
        <f t="shared" si="30"/>
        <v>1610202104</v>
      </c>
      <c r="B997" s="12" t="s">
        <v>82</v>
      </c>
      <c r="C997" s="12" t="s">
        <v>86</v>
      </c>
      <c r="D997" s="12" t="str">
        <f>"Monster.Name."&amp;VLOOKUP($C997,'#Data'!$B$2:$J$344,2,FALSE)</f>
        <v>Monster.Name.spider_turretmk2_3</v>
      </c>
      <c r="E997" s="12" t="s">
        <v>47</v>
      </c>
      <c r="F997" s="39" t="s">
        <v>44</v>
      </c>
      <c r="G997" s="12" t="s">
        <v>45</v>
      </c>
      <c r="H997" s="12" t="b">
        <f>IF(OR(VLOOKUP($C997,'#Data'!$B$2:$J$344,4,FALSE)="보스",VLOOKUP($C997,'#Data'!$B$2:$J$344,4,FALSE)="중간"),TRUE,FALSE)</f>
        <v>0</v>
      </c>
      <c r="I997" s="12" t="b">
        <f>IF(OR(VLOOKUP($C997,'#Data'!$B$2:$J$344,4,FALSE)="보스",VLOOKUP($C997,'#Data'!$B$2:$J$344,4,FALSE)="중간"),TRUE,FALSE)</f>
        <v>0</v>
      </c>
      <c r="J997" s="12">
        <v>10</v>
      </c>
      <c r="K997" s="12">
        <f t="shared" si="31"/>
        <v>10</v>
      </c>
      <c r="L997" s="63" t="str">
        <f>$B997&amp;"."&amp;VLOOKUP($C997,'#Data'!$B$2:$J$344,2,FALSE)&amp;".attack0"&amp;RIGHT(L$1,1)</f>
        <v>Sector02.spider_turretmk2_3.attack01</v>
      </c>
      <c r="M997" s="63"/>
      <c r="N997" s="63"/>
      <c r="O997" s="134" t="s">
        <v>2002</v>
      </c>
      <c r="P997" s="134"/>
      <c r="Q997" s="134"/>
      <c r="R997" s="64"/>
      <c r="S997" s="64"/>
      <c r="T997" s="64"/>
      <c r="U997" s="64"/>
      <c r="V997" s="12" t="b">
        <v>0</v>
      </c>
      <c r="W997" s="12" t="str">
        <f>"Character/Prefabs/"&amp;VLOOKUP($C997,'#Data'!$B$3:$I$344,8,FALSE)</f>
        <v>Character/Prefabs/m_s_ranger_spider_turretmk2_3</v>
      </c>
      <c r="X997" s="12"/>
      <c r="Y997" s="12" t="str">
        <f>VLOOKUP($C997,'#Data'!$B$3:$I$344,8,FALSE)</f>
        <v>m_s_ranger_spider_turretmk2_3</v>
      </c>
      <c r="Z997" s="12"/>
      <c r="AA997" s="12"/>
      <c r="AB997" s="12"/>
      <c r="AC997" s="88">
        <v>0.7</v>
      </c>
      <c r="AD997" s="12"/>
      <c r="AE997" s="12"/>
      <c r="AF997" s="12"/>
      <c r="AG997" s="12" t="s">
        <v>2758</v>
      </c>
      <c r="AH997" s="85"/>
    </row>
    <row r="998" spans="1:34" x14ac:dyDescent="0.3">
      <c r="A998" s="12">
        <f t="shared" si="30"/>
        <v>1610202105</v>
      </c>
      <c r="B998" s="12" t="s">
        <v>82</v>
      </c>
      <c r="C998" s="12" t="s">
        <v>87</v>
      </c>
      <c r="D998" s="12" t="str">
        <f>"Monster.Name."&amp;VLOOKUP($C998,'#Data'!$B$2:$J$344,2,FALSE)</f>
        <v>Monster.Name.hellfire_drone_3</v>
      </c>
      <c r="E998" s="12" t="s">
        <v>47</v>
      </c>
      <c r="F998" s="39" t="s">
        <v>44</v>
      </c>
      <c r="G998" s="12" t="s">
        <v>45</v>
      </c>
      <c r="H998" s="12" t="b">
        <f>IF(OR(VLOOKUP($C998,'#Data'!$B$2:$J$344,4,FALSE)="보스",VLOOKUP($C998,'#Data'!$B$2:$J$344,4,FALSE)="중간"),TRUE,FALSE)</f>
        <v>0</v>
      </c>
      <c r="I998" s="12" t="b">
        <f>IF(OR(VLOOKUP($C998,'#Data'!$B$2:$J$344,4,FALSE)="보스",VLOOKUP($C998,'#Data'!$B$2:$J$344,4,FALSE)="중간"),TRUE,FALSE)</f>
        <v>0</v>
      </c>
      <c r="J998" s="12">
        <v>10</v>
      </c>
      <c r="K998" s="12">
        <f t="shared" si="31"/>
        <v>10</v>
      </c>
      <c r="L998" s="63" t="str">
        <f>$B998&amp;"."&amp;VLOOKUP($C998,'#Data'!$B$2:$J$344,2,FALSE)&amp;".attack0"&amp;RIGHT(L$1,1)</f>
        <v>Sector02.hellfire_drone_3.attack01</v>
      </c>
      <c r="M998" s="63"/>
      <c r="N998" s="63"/>
      <c r="O998" s="134" t="str">
        <f>$B998&amp;"."&amp;VLOOKUP($C998,'#Data'!$B$2:$J$344,2,FALSE)&amp;".skill0"&amp;RIGHT(O$1,1)</f>
        <v>Sector02.hellfire_drone_3.skill01</v>
      </c>
      <c r="P998" s="134" t="s">
        <v>2003</v>
      </c>
      <c r="Q998" s="134"/>
      <c r="R998" s="64"/>
      <c r="S998" s="64"/>
      <c r="T998" s="64"/>
      <c r="U998" s="64"/>
      <c r="V998" s="12" t="b">
        <v>0</v>
      </c>
      <c r="W998" s="12" t="str">
        <f>"Character/Prefabs/"&amp;VLOOKUP($C998,'#Data'!$B$3:$I$344,8,FALSE)</f>
        <v>Character/Prefabs/m_s_ranger_hellfire_drone_3</v>
      </c>
      <c r="X998" s="12"/>
      <c r="Y998" s="12" t="str">
        <f>VLOOKUP($C998,'#Data'!$B$3:$I$344,8,FALSE)</f>
        <v>m_s_ranger_hellfire_drone_3</v>
      </c>
      <c r="Z998" s="12"/>
      <c r="AA998" s="12"/>
      <c r="AB998" s="12"/>
      <c r="AC998" s="88">
        <v>0.6</v>
      </c>
      <c r="AD998" s="12"/>
      <c r="AE998" s="12"/>
      <c r="AF998" s="12"/>
      <c r="AG998" s="12" t="s">
        <v>2758</v>
      </c>
      <c r="AH998" s="85"/>
    </row>
    <row r="999" spans="1:34" x14ac:dyDescent="0.3">
      <c r="A999" s="12">
        <f t="shared" si="30"/>
        <v>1610202106</v>
      </c>
      <c r="B999" s="12" t="s">
        <v>82</v>
      </c>
      <c r="C999" s="12" t="s">
        <v>88</v>
      </c>
      <c r="D999" s="12" t="str">
        <f>"Monster.Name."&amp;VLOOKUP($C999,'#Data'!$B$2:$J$344,2,FALSE)</f>
        <v>Monster.Name.silhouette_champion_3</v>
      </c>
      <c r="E999" s="12" t="s">
        <v>43</v>
      </c>
      <c r="F999" s="39" t="s">
        <v>44</v>
      </c>
      <c r="G999" s="12" t="s">
        <v>45</v>
      </c>
      <c r="H999" s="12" t="b">
        <f>IF(OR(VLOOKUP($C999,'#Data'!$B$2:$J$344,4,FALSE)="보스",VLOOKUP($C999,'#Data'!$B$2:$J$344,4,FALSE)="중간"),TRUE,FALSE)</f>
        <v>0</v>
      </c>
      <c r="I999" s="12" t="b">
        <f>IF(OR(VLOOKUP($C999,'#Data'!$B$2:$J$344,4,FALSE)="보스",VLOOKUP($C999,'#Data'!$B$2:$J$344,4,FALSE)="중간"),TRUE,FALSE)</f>
        <v>0</v>
      </c>
      <c r="J999" s="12">
        <v>10</v>
      </c>
      <c r="K999" s="12">
        <f t="shared" si="31"/>
        <v>10</v>
      </c>
      <c r="L999" s="63" t="str">
        <f>$B999&amp;"."&amp;VLOOKUP($C999,'#Data'!$B$2:$J$344,2,FALSE)&amp;".attack0"&amp;RIGHT(L$1,1)</f>
        <v>Sector02.silhouette_champion_3.attack01</v>
      </c>
      <c r="M999" s="63"/>
      <c r="N999" s="63"/>
      <c r="O999" s="134" t="str">
        <f>$B999&amp;"."&amp;VLOOKUP($C999,'#Data'!$B$2:$J$344,2,FALSE)&amp;".skill0"&amp;RIGHT(O$1,1)</f>
        <v>Sector02.silhouette_champion_3.skill01</v>
      </c>
      <c r="P999" s="134" t="s">
        <v>2004</v>
      </c>
      <c r="Q999" s="134"/>
      <c r="R999" s="64"/>
      <c r="S999" s="64"/>
      <c r="T999" s="64"/>
      <c r="U999" s="64"/>
      <c r="V999" s="12" t="b">
        <v>0</v>
      </c>
      <c r="W999" s="12" t="str">
        <f>"Character/Prefabs/"&amp;VLOOKUP($C999,'#Data'!$B$3:$I$344,8,FALSE)</f>
        <v>Character/Prefabs/m_m_attacker_silhouette_champion_3</v>
      </c>
      <c r="X999" s="12"/>
      <c r="Y999" s="12" t="str">
        <f>VLOOKUP($C999,'#Data'!$B$3:$I$344,8,FALSE)</f>
        <v>m_m_attacker_silhouette_champion_3</v>
      </c>
      <c r="Z999" s="12"/>
      <c r="AA999" s="12"/>
      <c r="AB999" s="12"/>
      <c r="AC999" s="88">
        <v>0.8</v>
      </c>
      <c r="AD999" s="12"/>
      <c r="AE999" s="12"/>
      <c r="AF999" s="12"/>
      <c r="AG999" s="12" t="s">
        <v>2758</v>
      </c>
      <c r="AH999" s="85"/>
    </row>
    <row r="1000" spans="1:34" x14ac:dyDescent="0.3">
      <c r="A1000" s="12">
        <f t="shared" si="30"/>
        <v>1610202107</v>
      </c>
      <c r="B1000" s="12" t="s">
        <v>82</v>
      </c>
      <c r="C1000" s="12" t="s">
        <v>89</v>
      </c>
      <c r="D1000" s="12" t="str">
        <f>"Monster.Name."&amp;VLOOKUP($C1000,'#Data'!$B$2:$J$344,2,FALSE)</f>
        <v>Monster.Name.silhouette_demolisher_3</v>
      </c>
      <c r="E1000" s="12" t="s">
        <v>47</v>
      </c>
      <c r="F1000" s="39" t="s">
        <v>44</v>
      </c>
      <c r="G1000" s="12" t="s">
        <v>45</v>
      </c>
      <c r="H1000" s="12" t="b">
        <f>IF(OR(VLOOKUP($C1000,'#Data'!$B$2:$J$344,4,FALSE)="보스",VLOOKUP($C1000,'#Data'!$B$2:$J$344,4,FALSE)="중간"),TRUE,FALSE)</f>
        <v>0</v>
      </c>
      <c r="I1000" s="12" t="b">
        <f>IF(OR(VLOOKUP($C1000,'#Data'!$B$2:$J$344,4,FALSE)="보스",VLOOKUP($C1000,'#Data'!$B$2:$J$344,4,FALSE)="중간"),TRUE,FALSE)</f>
        <v>0</v>
      </c>
      <c r="J1000" s="12">
        <v>10</v>
      </c>
      <c r="K1000" s="12">
        <f t="shared" si="31"/>
        <v>10</v>
      </c>
      <c r="L1000" s="63" t="str">
        <f>$B1000&amp;"."&amp;VLOOKUP($C1000,'#Data'!$B$2:$J$344,2,FALSE)&amp;".attack0"&amp;RIGHT(L$1,1)</f>
        <v>Sector02.silhouette_demolisher_3.attack01</v>
      </c>
      <c r="M1000" s="63"/>
      <c r="N1000" s="63"/>
      <c r="O1000" s="134" t="str">
        <f>$B1000&amp;"."&amp;VLOOKUP($C1000,'#Data'!$B$2:$J$344,2,FALSE)&amp;".skill0"&amp;RIGHT(O$1,1)</f>
        <v>Sector02.silhouette_demolisher_3.skill01</v>
      </c>
      <c r="P1000" s="134" t="s">
        <v>2005</v>
      </c>
      <c r="Q1000" s="134"/>
      <c r="R1000" s="64"/>
      <c r="S1000" s="64"/>
      <c r="T1000" s="64"/>
      <c r="U1000" s="64"/>
      <c r="V1000" s="12" t="b">
        <v>0</v>
      </c>
      <c r="W1000" s="12" t="str">
        <f>"Character/Prefabs/"&amp;VLOOKUP($C1000,'#Data'!$B$3:$I$344,8,FALSE)</f>
        <v>Character/Prefabs/m_m_ranger_silhouette_demolisher_3</v>
      </c>
      <c r="X1000" s="12"/>
      <c r="Y1000" s="12" t="str">
        <f>VLOOKUP($C1000,'#Data'!$B$3:$I$344,8,FALSE)</f>
        <v>m_m_ranger_silhouette_demolisher_3</v>
      </c>
      <c r="Z1000" s="12"/>
      <c r="AA1000" s="12"/>
      <c r="AB1000" s="12"/>
      <c r="AC1000" s="88">
        <v>0.8</v>
      </c>
      <c r="AD1000" s="12"/>
      <c r="AE1000" s="12"/>
      <c r="AF1000" s="12"/>
      <c r="AG1000" s="12" t="s">
        <v>2758</v>
      </c>
      <c r="AH1000" s="85"/>
    </row>
    <row r="1001" spans="1:34" x14ac:dyDescent="0.3">
      <c r="A1001" s="12">
        <f t="shared" si="30"/>
        <v>1610202108</v>
      </c>
      <c r="B1001" s="12" t="s">
        <v>82</v>
      </c>
      <c r="C1001" s="12" t="s">
        <v>90</v>
      </c>
      <c r="D1001" s="12" t="str">
        <f>"Monster.Name."&amp;VLOOKUP($C1001,'#Data'!$B$2:$J$344,2,FALSE)</f>
        <v>Monster.Name.silhouette_guard_3</v>
      </c>
      <c r="E1001" s="12" t="s">
        <v>58</v>
      </c>
      <c r="F1001" s="39" t="s">
        <v>44</v>
      </c>
      <c r="G1001" s="12" t="s">
        <v>45</v>
      </c>
      <c r="H1001" s="12" t="b">
        <f>IF(OR(VLOOKUP($C1001,'#Data'!$B$2:$J$344,4,FALSE)="보스",VLOOKUP($C1001,'#Data'!$B$2:$J$344,4,FALSE)="중간"),TRUE,FALSE)</f>
        <v>0</v>
      </c>
      <c r="I1001" s="12" t="b">
        <f>IF(OR(VLOOKUP($C1001,'#Data'!$B$2:$J$344,4,FALSE)="보스",VLOOKUP($C1001,'#Data'!$B$2:$J$344,4,FALSE)="중간"),TRUE,FALSE)</f>
        <v>0</v>
      </c>
      <c r="J1001" s="12">
        <v>10</v>
      </c>
      <c r="K1001" s="12">
        <f t="shared" si="31"/>
        <v>10</v>
      </c>
      <c r="L1001" s="63" t="str">
        <f>$B1001&amp;"."&amp;VLOOKUP($C1001,'#Data'!$B$2:$J$344,2,FALSE)&amp;".attack0"&amp;RIGHT(L$1,1)</f>
        <v>Sector02.silhouette_guard_3.attack01</v>
      </c>
      <c r="M1001" s="63"/>
      <c r="N1001" s="63"/>
      <c r="O1001" s="134" t="str">
        <f>$B1001&amp;"."&amp;VLOOKUP($C1001,'#Data'!$B$2:$J$344,2,FALSE)&amp;".skill0"&amp;RIGHT(O$1,1)</f>
        <v>Sector02.silhouette_guard_3.skill01</v>
      </c>
      <c r="P1001" s="134" t="s">
        <v>2006</v>
      </c>
      <c r="Q1001" s="134"/>
      <c r="R1001" s="64"/>
      <c r="S1001" s="64"/>
      <c r="T1001" s="64"/>
      <c r="U1001" s="64"/>
      <c r="V1001" s="12" t="b">
        <v>0</v>
      </c>
      <c r="W1001" s="12" t="str">
        <f>"Character/Prefabs/"&amp;VLOOKUP($C1001,'#Data'!$B$3:$I$344,8,FALSE)</f>
        <v>Character/Prefabs/m_m_tanker_silhouette_guard_3</v>
      </c>
      <c r="X1001" s="12"/>
      <c r="Y1001" s="12" t="str">
        <f>VLOOKUP($C1001,'#Data'!$B$3:$I$344,8,FALSE)</f>
        <v>m_m_tanker_silhouette_guard_3</v>
      </c>
      <c r="Z1001" s="12"/>
      <c r="AA1001" s="12"/>
      <c r="AB1001" s="12"/>
      <c r="AC1001" s="88">
        <v>0.8</v>
      </c>
      <c r="AD1001" s="12"/>
      <c r="AE1001" s="12"/>
      <c r="AF1001" s="12"/>
      <c r="AG1001" s="12" t="s">
        <v>2758</v>
      </c>
      <c r="AH1001" s="85"/>
    </row>
    <row r="1002" spans="1:34" x14ac:dyDescent="0.3">
      <c r="A1002" s="12">
        <f t="shared" si="30"/>
        <v>1610202109</v>
      </c>
      <c r="B1002" s="12" t="s">
        <v>82</v>
      </c>
      <c r="C1002" s="12" t="s">
        <v>91</v>
      </c>
      <c r="D1002" s="12" t="str">
        <f>"Monster.Name."&amp;VLOOKUP($C1002,'#Data'!$B$2:$J$344,2,FALSE)</f>
        <v>Monster.Name.silhouette_inferno_3</v>
      </c>
      <c r="E1002" s="12" t="s">
        <v>43</v>
      </c>
      <c r="F1002" s="39" t="s">
        <v>44</v>
      </c>
      <c r="G1002" s="12" t="s">
        <v>45</v>
      </c>
      <c r="H1002" s="12" t="b">
        <f>IF(OR(VLOOKUP($C1002,'#Data'!$B$2:$J$344,4,FALSE)="보스",VLOOKUP($C1002,'#Data'!$B$2:$J$344,4,FALSE)="중간"),TRUE,FALSE)</f>
        <v>0</v>
      </c>
      <c r="I1002" s="12" t="b">
        <f>IF(OR(VLOOKUP($C1002,'#Data'!$B$2:$J$344,4,FALSE)="보스",VLOOKUP($C1002,'#Data'!$B$2:$J$344,4,FALSE)="중간"),TRUE,FALSE)</f>
        <v>0</v>
      </c>
      <c r="J1002" s="12">
        <v>10</v>
      </c>
      <c r="K1002" s="12">
        <f t="shared" si="31"/>
        <v>10</v>
      </c>
      <c r="L1002" s="63" t="str">
        <f>$B1002&amp;"."&amp;VLOOKUP($C1002,'#Data'!$B$2:$J$344,2,FALSE)&amp;".attack0"&amp;RIGHT(L$1,1)</f>
        <v>Sector02.silhouette_inferno_3.attack01</v>
      </c>
      <c r="M1002" s="63"/>
      <c r="N1002" s="63"/>
      <c r="O1002" s="134" t="str">
        <f>$B1002&amp;"."&amp;VLOOKUP($C1002,'#Data'!$B$2:$J$344,2,FALSE)&amp;".skill0"&amp;RIGHT(O$1,1)</f>
        <v>Sector02.silhouette_inferno_3.skill01</v>
      </c>
      <c r="P1002" s="134" t="s">
        <v>2007</v>
      </c>
      <c r="Q1002" s="134"/>
      <c r="R1002" s="64"/>
      <c r="S1002" s="64"/>
      <c r="T1002" s="64"/>
      <c r="U1002" s="64"/>
      <c r="V1002" s="12" t="b">
        <v>0</v>
      </c>
      <c r="W1002" s="12" t="str">
        <f>"Character/Prefabs/"&amp;VLOOKUP($C1002,'#Data'!$B$3:$I$344,8,FALSE)</f>
        <v>Character/Prefabs/m_m_attacker_silhouette_inferno_3</v>
      </c>
      <c r="X1002" s="12"/>
      <c r="Y1002" s="12" t="str">
        <f>VLOOKUP($C1002,'#Data'!$B$3:$I$344,8,FALSE)</f>
        <v>m_m_attacker_silhouette_inferno_3</v>
      </c>
      <c r="Z1002" s="12"/>
      <c r="AA1002" s="12"/>
      <c r="AB1002" s="12"/>
      <c r="AC1002" s="88">
        <v>0.8</v>
      </c>
      <c r="AD1002" s="12"/>
      <c r="AE1002" s="12"/>
      <c r="AF1002" s="12"/>
      <c r="AG1002" s="12" t="s">
        <v>2758</v>
      </c>
      <c r="AH1002" s="85"/>
    </row>
    <row r="1003" spans="1:34" x14ac:dyDescent="0.3">
      <c r="A1003" s="49">
        <f t="shared" si="30"/>
        <v>1610202110</v>
      </c>
      <c r="B1003" s="49" t="s">
        <v>82</v>
      </c>
      <c r="C1003" s="49" t="s">
        <v>1218</v>
      </c>
      <c r="D1003" s="49" t="str">
        <f>"Monster.Name."&amp;VLOOKUP($C1003,'#Data'!$B$2:$J$344,2,FALSE)</f>
        <v>Monster.Name.turtle_mechamk3_4</v>
      </c>
      <c r="E1003" s="49" t="s">
        <v>43</v>
      </c>
      <c r="F1003" s="50" t="s">
        <v>44</v>
      </c>
      <c r="G1003" s="49" t="s">
        <v>45</v>
      </c>
      <c r="H1003" s="49" t="b">
        <f>IF(OR(VLOOKUP($C1003,'#Data'!$B$2:$J$344,4,FALSE)="보스",VLOOKUP($C1003,'#Data'!$B$2:$J$344,4,FALSE)="중간"),TRUE,FALSE)</f>
        <v>0</v>
      </c>
      <c r="I1003" s="49" t="b">
        <f>IF(OR(VLOOKUP($C1003,'#Data'!$B$2:$J$344,4,FALSE)="보스",VLOOKUP($C1003,'#Data'!$B$2:$J$344,4,FALSE)="중간"),TRUE,FALSE)</f>
        <v>0</v>
      </c>
      <c r="J1003" s="49">
        <v>10</v>
      </c>
      <c r="K1003" s="49">
        <f t="shared" si="31"/>
        <v>10</v>
      </c>
      <c r="L1003" s="65" t="s">
        <v>1318</v>
      </c>
      <c r="M1003" s="65"/>
      <c r="N1003" s="65"/>
      <c r="O1003" s="135" t="s">
        <v>1999</v>
      </c>
      <c r="P1003" s="135"/>
      <c r="Q1003" s="135"/>
      <c r="R1003" s="66"/>
      <c r="S1003" s="66"/>
      <c r="T1003" s="66"/>
      <c r="U1003" s="66"/>
      <c r="V1003" s="49" t="b">
        <v>0</v>
      </c>
      <c r="W1003" s="49" t="str">
        <f>"Character/Prefabs/"&amp;VLOOKUP($C1003,'#Data'!$B$3:$I$344,8,FALSE)</f>
        <v>Character/Prefabs/m_s_attacker_turtle_mechamk3_4</v>
      </c>
      <c r="X1003" s="49"/>
      <c r="Y1003" s="49" t="str">
        <f>VLOOKUP($C1003,'#Data'!$B$3:$I$344,8,FALSE)</f>
        <v>m_s_attacker_turtle_mechamk3_4</v>
      </c>
      <c r="Z1003" s="49"/>
      <c r="AA1003" s="49"/>
      <c r="AB1003" s="49"/>
      <c r="AC1003" s="89">
        <v>0.7</v>
      </c>
      <c r="AD1003" s="49"/>
      <c r="AE1003" s="49"/>
      <c r="AF1003" s="49"/>
      <c r="AG1003" s="49" t="s">
        <v>2758</v>
      </c>
      <c r="AH1003" s="85"/>
    </row>
    <row r="1004" spans="1:34" x14ac:dyDescent="0.3">
      <c r="A1004" s="49">
        <f t="shared" si="30"/>
        <v>1610202111</v>
      </c>
      <c r="B1004" s="49" t="s">
        <v>82</v>
      </c>
      <c r="C1004" s="49" t="s">
        <v>1219</v>
      </c>
      <c r="D1004" s="49" t="str">
        <f>"Monster.Name."&amp;VLOOKUP($C1004,'#Data'!$B$2:$J$344,2,FALSE)</f>
        <v>Monster.Name.scorpion_turretmk2_4</v>
      </c>
      <c r="E1004" s="49" t="s">
        <v>47</v>
      </c>
      <c r="F1004" s="50" t="s">
        <v>44</v>
      </c>
      <c r="G1004" s="49" t="s">
        <v>45</v>
      </c>
      <c r="H1004" s="49" t="b">
        <f>IF(OR(VLOOKUP($C1004,'#Data'!$B$2:$J$344,4,FALSE)="보스",VLOOKUP($C1004,'#Data'!$B$2:$J$344,4,FALSE)="중간"),TRUE,FALSE)</f>
        <v>0</v>
      </c>
      <c r="I1004" s="49" t="b">
        <v>0</v>
      </c>
      <c r="J1004" s="49">
        <v>10</v>
      </c>
      <c r="K1004" s="49">
        <f t="shared" si="31"/>
        <v>10</v>
      </c>
      <c r="L1004" s="65" t="s">
        <v>1319</v>
      </c>
      <c r="M1004" s="65"/>
      <c r="N1004" s="65"/>
      <c r="O1004" s="135" t="s">
        <v>2000</v>
      </c>
      <c r="P1004" s="135"/>
      <c r="Q1004" s="135"/>
      <c r="R1004" s="66"/>
      <c r="S1004" s="66"/>
      <c r="T1004" s="66"/>
      <c r="U1004" s="66"/>
      <c r="V1004" s="49" t="b">
        <v>0</v>
      </c>
      <c r="W1004" s="49" t="str">
        <f>"Character/Prefabs/"&amp;VLOOKUP($C1004,'#Data'!$B$3:$I$344,8,FALSE)</f>
        <v>Character/Prefabs/m_s_ranger_scorpion_turretmk2_4</v>
      </c>
      <c r="X1004" s="49"/>
      <c r="Y1004" s="49" t="str">
        <f>VLOOKUP($C1004,'#Data'!$B$3:$I$344,8,FALSE)</f>
        <v>m_s_ranger_scorpion_turretmk2_4</v>
      </c>
      <c r="Z1004" s="49"/>
      <c r="AA1004" s="49"/>
      <c r="AB1004" s="49"/>
      <c r="AC1004" s="89">
        <v>0.7</v>
      </c>
      <c r="AD1004" s="49"/>
      <c r="AE1004" s="49"/>
      <c r="AF1004" s="49"/>
      <c r="AG1004" s="49" t="s">
        <v>2758</v>
      </c>
      <c r="AH1004" s="85"/>
    </row>
    <row r="1005" spans="1:34" x14ac:dyDescent="0.3">
      <c r="A1005" s="49">
        <f t="shared" si="30"/>
        <v>1610202112</v>
      </c>
      <c r="B1005" s="49" t="s">
        <v>82</v>
      </c>
      <c r="C1005" s="49" t="s">
        <v>1220</v>
      </c>
      <c r="D1005" s="49" t="str">
        <f>"Monster.Name."&amp;VLOOKUP($C1005,'#Data'!$B$2:$J$344,2,FALSE)</f>
        <v>Monster.Name.rhino_mechamk3_4</v>
      </c>
      <c r="E1005" s="49" t="s">
        <v>43</v>
      </c>
      <c r="F1005" s="50" t="s">
        <v>44</v>
      </c>
      <c r="G1005" s="49" t="s">
        <v>45</v>
      </c>
      <c r="H1005" s="49" t="b">
        <f>IF(OR(VLOOKUP($C1005,'#Data'!$B$2:$J$344,4,FALSE)="보스",VLOOKUP($C1005,'#Data'!$B$2:$J$344,4,FALSE)="중간"),TRUE,FALSE)</f>
        <v>0</v>
      </c>
      <c r="I1005" s="49" t="b">
        <v>0</v>
      </c>
      <c r="J1005" s="49">
        <v>10</v>
      </c>
      <c r="K1005" s="49">
        <f t="shared" si="31"/>
        <v>10</v>
      </c>
      <c r="L1005" s="65" t="s">
        <v>1320</v>
      </c>
      <c r="M1005" s="65"/>
      <c r="N1005" s="65"/>
      <c r="O1005" s="135" t="s">
        <v>2001</v>
      </c>
      <c r="P1005" s="135"/>
      <c r="Q1005" s="135"/>
      <c r="R1005" s="66"/>
      <c r="S1005" s="66"/>
      <c r="T1005" s="66"/>
      <c r="U1005" s="66"/>
      <c r="V1005" s="49" t="b">
        <v>0</v>
      </c>
      <c r="W1005" s="49" t="str">
        <f>"Character/Prefabs/"&amp;VLOOKUP($C1005,'#Data'!$B$3:$I$344,8,FALSE)</f>
        <v>Character/Prefabs/m_s_attacker_rhino_mechamk3_4</v>
      </c>
      <c r="X1005" s="49"/>
      <c r="Y1005" s="49" t="str">
        <f>VLOOKUP($C1005,'#Data'!$B$3:$I$344,8,FALSE)</f>
        <v>m_s_attacker_rhino_mechamk3_4</v>
      </c>
      <c r="Z1005" s="49"/>
      <c r="AA1005" s="49"/>
      <c r="AB1005" s="49"/>
      <c r="AC1005" s="89">
        <v>0.7</v>
      </c>
      <c r="AD1005" s="49"/>
      <c r="AE1005" s="49"/>
      <c r="AF1005" s="49"/>
      <c r="AG1005" s="49" t="s">
        <v>2758</v>
      </c>
      <c r="AH1005" s="85"/>
    </row>
    <row r="1006" spans="1:34" x14ac:dyDescent="0.3">
      <c r="A1006" s="49">
        <f t="shared" si="30"/>
        <v>1610202113</v>
      </c>
      <c r="B1006" s="49" t="s">
        <v>82</v>
      </c>
      <c r="C1006" s="49" t="s">
        <v>1221</v>
      </c>
      <c r="D1006" s="49" t="str">
        <f>"Monster.Name."&amp;VLOOKUP($C1006,'#Data'!$B$2:$J$344,2,FALSE)</f>
        <v>Monster.Name.spider_turretmk2_4</v>
      </c>
      <c r="E1006" s="49" t="s">
        <v>47</v>
      </c>
      <c r="F1006" s="50" t="s">
        <v>44</v>
      </c>
      <c r="G1006" s="49" t="s">
        <v>45</v>
      </c>
      <c r="H1006" s="49" t="b">
        <f>IF(OR(VLOOKUP($C1006,'#Data'!$B$2:$J$344,4,FALSE)="보스",VLOOKUP($C1006,'#Data'!$B$2:$J$344,4,FALSE)="중간"),TRUE,FALSE)</f>
        <v>0</v>
      </c>
      <c r="I1006" s="49" t="b">
        <v>0</v>
      </c>
      <c r="J1006" s="49">
        <v>10</v>
      </c>
      <c r="K1006" s="49">
        <f t="shared" si="31"/>
        <v>10</v>
      </c>
      <c r="L1006" s="65" t="s">
        <v>1321</v>
      </c>
      <c r="M1006" s="65"/>
      <c r="N1006" s="65"/>
      <c r="O1006" s="135" t="s">
        <v>2002</v>
      </c>
      <c r="P1006" s="135"/>
      <c r="Q1006" s="135"/>
      <c r="R1006" s="66"/>
      <c r="S1006" s="66"/>
      <c r="T1006" s="66"/>
      <c r="U1006" s="66"/>
      <c r="V1006" s="49" t="b">
        <v>0</v>
      </c>
      <c r="W1006" s="49" t="str">
        <f>"Character/Prefabs/"&amp;VLOOKUP($C1006,'#Data'!$B$3:$I$344,8,FALSE)</f>
        <v>Character/Prefabs/m_s_ranger_spider_turretmk2_4</v>
      </c>
      <c r="X1006" s="49"/>
      <c r="Y1006" s="49" t="str">
        <f>VLOOKUP($C1006,'#Data'!$B$3:$I$344,8,FALSE)</f>
        <v>m_s_ranger_spider_turretmk2_4</v>
      </c>
      <c r="Z1006" s="49"/>
      <c r="AA1006" s="49"/>
      <c r="AB1006" s="49"/>
      <c r="AC1006" s="89">
        <v>0.7</v>
      </c>
      <c r="AD1006" s="49"/>
      <c r="AE1006" s="49"/>
      <c r="AF1006" s="49"/>
      <c r="AG1006" s="49" t="s">
        <v>2758</v>
      </c>
      <c r="AH1006" s="85"/>
    </row>
    <row r="1007" spans="1:34" x14ac:dyDescent="0.3">
      <c r="A1007" s="49">
        <f t="shared" si="30"/>
        <v>1610202114</v>
      </c>
      <c r="B1007" s="49" t="s">
        <v>82</v>
      </c>
      <c r="C1007" s="49" t="s">
        <v>1222</v>
      </c>
      <c r="D1007" s="49" t="str">
        <f>"Monster.Name."&amp;VLOOKUP($C1007,'#Data'!$B$2:$J$344,2,FALSE)</f>
        <v>Monster.Name.hellfire_drone_4</v>
      </c>
      <c r="E1007" s="49" t="s">
        <v>47</v>
      </c>
      <c r="F1007" s="50" t="s">
        <v>44</v>
      </c>
      <c r="G1007" s="49" t="s">
        <v>45</v>
      </c>
      <c r="H1007" s="49" t="b">
        <f>IF(OR(VLOOKUP($C1007,'#Data'!$B$2:$J$344,4,FALSE)="보스",VLOOKUP($C1007,'#Data'!$B$2:$J$344,4,FALSE)="중간"),TRUE,FALSE)</f>
        <v>0</v>
      </c>
      <c r="I1007" s="49" t="b">
        <v>0</v>
      </c>
      <c r="J1007" s="49">
        <v>10</v>
      </c>
      <c r="K1007" s="49">
        <f t="shared" si="31"/>
        <v>10</v>
      </c>
      <c r="L1007" s="65" t="s">
        <v>1322</v>
      </c>
      <c r="M1007" s="65"/>
      <c r="N1007" s="65"/>
      <c r="O1007" s="135" t="s">
        <v>1327</v>
      </c>
      <c r="P1007" s="135" t="s">
        <v>2003</v>
      </c>
      <c r="Q1007" s="135"/>
      <c r="R1007" s="66"/>
      <c r="S1007" s="66"/>
      <c r="T1007" s="66"/>
      <c r="U1007" s="66"/>
      <c r="V1007" s="49" t="b">
        <v>0</v>
      </c>
      <c r="W1007" s="49" t="str">
        <f>"Character/Prefabs/"&amp;VLOOKUP($C1007,'#Data'!$B$3:$I$344,8,FALSE)</f>
        <v>Character/Prefabs/m_s_ranger_hellfire_drone_4</v>
      </c>
      <c r="X1007" s="49"/>
      <c r="Y1007" s="49" t="str">
        <f>VLOOKUP($C1007,'#Data'!$B$3:$I$344,8,FALSE)</f>
        <v>m_s_ranger_hellfire_drone_4</v>
      </c>
      <c r="Z1007" s="49"/>
      <c r="AA1007" s="49"/>
      <c r="AB1007" s="49"/>
      <c r="AC1007" s="89">
        <v>0.6</v>
      </c>
      <c r="AD1007" s="49"/>
      <c r="AE1007" s="49"/>
      <c r="AF1007" s="49"/>
      <c r="AG1007" s="49" t="s">
        <v>2758</v>
      </c>
      <c r="AH1007" s="85"/>
    </row>
    <row r="1008" spans="1:34" x14ac:dyDescent="0.3">
      <c r="A1008" s="49">
        <f t="shared" si="30"/>
        <v>1610202115</v>
      </c>
      <c r="B1008" s="49" t="s">
        <v>82</v>
      </c>
      <c r="C1008" s="49" t="s">
        <v>1223</v>
      </c>
      <c r="D1008" s="49" t="str">
        <f>"Monster.Name."&amp;VLOOKUP($C1008,'#Data'!$B$2:$J$344,2,FALSE)</f>
        <v>Monster.Name.trooper_silhouette_champion_4</v>
      </c>
      <c r="E1008" s="49" t="s">
        <v>43</v>
      </c>
      <c r="F1008" s="50" t="s">
        <v>44</v>
      </c>
      <c r="G1008" s="49" t="s">
        <v>45</v>
      </c>
      <c r="H1008" s="49" t="b">
        <f>IF(OR(VLOOKUP($C1008,'#Data'!$B$2:$J$344,4,FALSE)="보스",VLOOKUP($C1008,'#Data'!$B$2:$J$344,4,FALSE)="중간"),TRUE,FALSE)</f>
        <v>0</v>
      </c>
      <c r="I1008" s="49" t="b">
        <v>0</v>
      </c>
      <c r="J1008" s="49">
        <v>10</v>
      </c>
      <c r="K1008" s="49">
        <f t="shared" si="31"/>
        <v>10</v>
      </c>
      <c r="L1008" s="65" t="s">
        <v>1323</v>
      </c>
      <c r="M1008" s="65"/>
      <c r="N1008" s="65"/>
      <c r="O1008" s="135" t="s">
        <v>1328</v>
      </c>
      <c r="P1008" s="135" t="s">
        <v>2008</v>
      </c>
      <c r="Q1008" s="135"/>
      <c r="R1008" s="66"/>
      <c r="S1008" s="66"/>
      <c r="T1008" s="66"/>
      <c r="U1008" s="66"/>
      <c r="V1008" s="49" t="b">
        <v>0</v>
      </c>
      <c r="W1008" s="49" t="str">
        <f>"Character/Prefabs/"&amp;VLOOKUP($C1008,'#Data'!$B$3:$I$344,8,FALSE)</f>
        <v>Character/Prefabs/m_m_attacker_trooper_silhouette_champion_4</v>
      </c>
      <c r="X1008" s="49"/>
      <c r="Y1008" s="49" t="str">
        <f>VLOOKUP($C1008,'#Data'!$B$3:$I$344,8,FALSE)</f>
        <v>m_m_attacker_trooper_silhouette_champion_4</v>
      </c>
      <c r="Z1008" s="49"/>
      <c r="AA1008" s="49"/>
      <c r="AB1008" s="49"/>
      <c r="AC1008" s="89">
        <v>0.8</v>
      </c>
      <c r="AD1008" s="49"/>
      <c r="AE1008" s="49"/>
      <c r="AF1008" s="49"/>
      <c r="AG1008" s="49" t="s">
        <v>2758</v>
      </c>
      <c r="AH1008" s="85"/>
    </row>
    <row r="1009" spans="1:34" x14ac:dyDescent="0.3">
      <c r="A1009" s="49">
        <f t="shared" si="30"/>
        <v>1610202116</v>
      </c>
      <c r="B1009" s="49" t="s">
        <v>82</v>
      </c>
      <c r="C1009" s="49" t="s">
        <v>1224</v>
      </c>
      <c r="D1009" s="49" t="str">
        <f>"Monster.Name."&amp;VLOOKUP($C1009,'#Data'!$B$2:$J$344,2,FALSE)</f>
        <v>Monster.Name.trooper_silhouette_demolisher_4</v>
      </c>
      <c r="E1009" s="49" t="s">
        <v>47</v>
      </c>
      <c r="F1009" s="50" t="s">
        <v>44</v>
      </c>
      <c r="G1009" s="49" t="s">
        <v>45</v>
      </c>
      <c r="H1009" s="49" t="b">
        <f>IF(OR(VLOOKUP($C1009,'#Data'!$B$2:$J$344,4,FALSE)="보스",VLOOKUP($C1009,'#Data'!$B$2:$J$344,4,FALSE)="중간"),TRUE,FALSE)</f>
        <v>0</v>
      </c>
      <c r="I1009" s="49" t="b">
        <v>0</v>
      </c>
      <c r="J1009" s="49">
        <v>10</v>
      </c>
      <c r="K1009" s="49">
        <f t="shared" si="31"/>
        <v>10</v>
      </c>
      <c r="L1009" s="65" t="s">
        <v>1324</v>
      </c>
      <c r="M1009" s="65"/>
      <c r="N1009" s="65"/>
      <c r="O1009" s="135" t="s">
        <v>1329</v>
      </c>
      <c r="P1009" s="135" t="s">
        <v>2005</v>
      </c>
      <c r="Q1009" s="135"/>
      <c r="R1009" s="66"/>
      <c r="S1009" s="66"/>
      <c r="T1009" s="66"/>
      <c r="U1009" s="66"/>
      <c r="V1009" s="49" t="b">
        <v>0</v>
      </c>
      <c r="W1009" s="49" t="str">
        <f>"Character/Prefabs/"&amp;VLOOKUP($C1009,'#Data'!$B$3:$I$344,8,FALSE)</f>
        <v>Character/Prefabs/m_m_ranger_trooper_silhouette_demolisher_4</v>
      </c>
      <c r="X1009" s="49"/>
      <c r="Y1009" s="49" t="str">
        <f>VLOOKUP($C1009,'#Data'!$B$3:$I$344,8,FALSE)</f>
        <v>m_m_ranger_trooper_silhouette_demolisher_4</v>
      </c>
      <c r="Z1009" s="49"/>
      <c r="AA1009" s="49"/>
      <c r="AB1009" s="49"/>
      <c r="AC1009" s="89">
        <v>0.8</v>
      </c>
      <c r="AD1009" s="49"/>
      <c r="AE1009" s="49"/>
      <c r="AF1009" s="49"/>
      <c r="AG1009" s="49" t="s">
        <v>2758</v>
      </c>
      <c r="AH1009" s="85"/>
    </row>
    <row r="1010" spans="1:34" x14ac:dyDescent="0.3">
      <c r="A1010" s="49">
        <f t="shared" si="30"/>
        <v>1610202117</v>
      </c>
      <c r="B1010" s="49" t="s">
        <v>82</v>
      </c>
      <c r="C1010" s="49" t="s">
        <v>1225</v>
      </c>
      <c r="D1010" s="49" t="str">
        <f>"Monster.Name."&amp;VLOOKUP($C1010,'#Data'!$B$2:$J$344,2,FALSE)</f>
        <v>Monster.Name.trooper_silhouette_guard_4</v>
      </c>
      <c r="E1010" s="49" t="s">
        <v>58</v>
      </c>
      <c r="F1010" s="50" t="s">
        <v>44</v>
      </c>
      <c r="G1010" s="49" t="s">
        <v>45</v>
      </c>
      <c r="H1010" s="49" t="b">
        <f>IF(OR(VLOOKUP($C1010,'#Data'!$B$2:$J$344,4,FALSE)="보스",VLOOKUP($C1010,'#Data'!$B$2:$J$344,4,FALSE)="중간"),TRUE,FALSE)</f>
        <v>0</v>
      </c>
      <c r="I1010" s="49" t="b">
        <v>0</v>
      </c>
      <c r="J1010" s="49">
        <v>10</v>
      </c>
      <c r="K1010" s="49">
        <f t="shared" si="31"/>
        <v>10</v>
      </c>
      <c r="L1010" s="65" t="s">
        <v>1325</v>
      </c>
      <c r="M1010" s="65"/>
      <c r="N1010" s="65"/>
      <c r="O1010" s="135" t="s">
        <v>1330</v>
      </c>
      <c r="P1010" s="135" t="s">
        <v>2006</v>
      </c>
      <c r="Q1010" s="135"/>
      <c r="R1010" s="66"/>
      <c r="S1010" s="66"/>
      <c r="T1010" s="66"/>
      <c r="U1010" s="66"/>
      <c r="V1010" s="49" t="b">
        <v>0</v>
      </c>
      <c r="W1010" s="49" t="str">
        <f>"Character/Prefabs/"&amp;VLOOKUP($C1010,'#Data'!$B$3:$I$344,8,FALSE)</f>
        <v>Character/Prefabs/m_m_tanker_trooper_silhouette_guard_4</v>
      </c>
      <c r="X1010" s="49"/>
      <c r="Y1010" s="49" t="str">
        <f>VLOOKUP($C1010,'#Data'!$B$3:$I$344,8,FALSE)</f>
        <v>m_m_tanker_trooper_silhouette_guard_4</v>
      </c>
      <c r="Z1010" s="49"/>
      <c r="AA1010" s="49"/>
      <c r="AB1010" s="49"/>
      <c r="AC1010" s="89">
        <v>0.8</v>
      </c>
      <c r="AD1010" s="49"/>
      <c r="AE1010" s="49"/>
      <c r="AF1010" s="49"/>
      <c r="AG1010" s="49" t="s">
        <v>2758</v>
      </c>
      <c r="AH1010" s="85"/>
    </row>
    <row r="1011" spans="1:34" x14ac:dyDescent="0.3">
      <c r="A1011" s="49">
        <f t="shared" si="30"/>
        <v>1610202118</v>
      </c>
      <c r="B1011" s="49" t="s">
        <v>82</v>
      </c>
      <c r="C1011" s="49" t="s">
        <v>1226</v>
      </c>
      <c r="D1011" s="49" t="str">
        <f>"Monster.Name."&amp;VLOOKUP($C1011,'#Data'!$B$2:$J$344,2,FALSE)</f>
        <v>Monster.Name.trooper_silhouette_inferno_4</v>
      </c>
      <c r="E1011" s="49" t="s">
        <v>43</v>
      </c>
      <c r="F1011" s="50" t="s">
        <v>44</v>
      </c>
      <c r="G1011" s="49" t="s">
        <v>45</v>
      </c>
      <c r="H1011" s="49" t="b">
        <f>IF(OR(VLOOKUP($C1011,'#Data'!$B$2:$J$344,4,FALSE)="보스",VLOOKUP($C1011,'#Data'!$B$2:$J$344,4,FALSE)="중간"),TRUE,FALSE)</f>
        <v>0</v>
      </c>
      <c r="I1011" s="49" t="b">
        <v>0</v>
      </c>
      <c r="J1011" s="49">
        <v>10</v>
      </c>
      <c r="K1011" s="49">
        <f t="shared" si="31"/>
        <v>10</v>
      </c>
      <c r="L1011" s="65" t="s">
        <v>1326</v>
      </c>
      <c r="M1011" s="65"/>
      <c r="N1011" s="65"/>
      <c r="O1011" s="135" t="s">
        <v>1331</v>
      </c>
      <c r="P1011" s="135" t="s">
        <v>2007</v>
      </c>
      <c r="Q1011" s="135"/>
      <c r="R1011" s="66"/>
      <c r="S1011" s="66"/>
      <c r="T1011" s="66"/>
      <c r="U1011" s="66"/>
      <c r="V1011" s="49" t="b">
        <v>0</v>
      </c>
      <c r="W1011" s="49" t="str">
        <f>"Character/Prefabs/"&amp;VLOOKUP($C1011,'#Data'!$B$3:$I$344,8,FALSE)</f>
        <v>Character/Prefabs/m_m_attacker_trooper_silhouette_inferno_4</v>
      </c>
      <c r="X1011" s="49"/>
      <c r="Y1011" s="49" t="str">
        <f>VLOOKUP($C1011,'#Data'!$B$3:$I$344,8,FALSE)</f>
        <v>m_m_attacker_trooper_silhouette_inferno_4</v>
      </c>
      <c r="Z1011" s="49"/>
      <c r="AA1011" s="49"/>
      <c r="AB1011" s="49"/>
      <c r="AC1011" s="89">
        <v>0.8</v>
      </c>
      <c r="AD1011" s="49"/>
      <c r="AE1011" s="49"/>
      <c r="AF1011" s="49"/>
      <c r="AG1011" s="49" t="s">
        <v>2758</v>
      </c>
      <c r="AH1011" s="85"/>
    </row>
    <row r="1012" spans="1:34" x14ac:dyDescent="0.3">
      <c r="A1012" s="12">
        <f t="shared" si="30"/>
        <v>1610202201</v>
      </c>
      <c r="B1012" s="12" t="s">
        <v>82</v>
      </c>
      <c r="C1012" s="12" t="s">
        <v>92</v>
      </c>
      <c r="D1012" s="12" t="str">
        <f>"Monster.Name."&amp;VLOOKUP($C1012,'#Data'!$B$2:$J$344,2,FALSE)</f>
        <v>Monster.Name.shelter_sweeper_r_1</v>
      </c>
      <c r="E1012" s="12" t="s">
        <v>43</v>
      </c>
      <c r="F1012" s="39" t="s">
        <v>44</v>
      </c>
      <c r="G1012" s="12" t="s">
        <v>45</v>
      </c>
      <c r="H1012" s="12" t="b">
        <f>IF(OR(VLOOKUP($C1012,'#Data'!$B$2:$J$344,4,FALSE)="보스",VLOOKUP($C1012,'#Data'!$B$2:$J$344,4,FALSE)="중간"),TRUE,FALSE)</f>
        <v>1</v>
      </c>
      <c r="I1012" s="12" t="b">
        <v>1</v>
      </c>
      <c r="J1012" s="12">
        <v>20</v>
      </c>
      <c r="K1012" s="12">
        <f t="shared" si="31"/>
        <v>10</v>
      </c>
      <c r="L1012" s="63" t="str">
        <f>$B1012&amp;"."&amp;VLOOKUP($C1012,'#Data'!$B$2:$J$344,2,FALSE)&amp;".attack0"&amp;RIGHT(L$1,1)</f>
        <v>Sector02.shelter_sweeper_r_1.attack01</v>
      </c>
      <c r="M1012" s="63"/>
      <c r="N1012" s="63"/>
      <c r="O1012" s="134" t="str">
        <f>$B1012&amp;"."&amp;VLOOKUP($C1012,'#Data'!$B$2:$J$344,2,FALSE)&amp;".skill0"&amp;RIGHT(O$1,1)</f>
        <v>Sector02.shelter_sweeper_r_1.skill01</v>
      </c>
      <c r="P1012" s="134" t="str">
        <f>$B1012&amp;"."&amp;VLOOKUP($C1012,'#Data'!$B$2:$J$344,2,FALSE)&amp;".skill0"&amp;RIGHT(P$1,1)</f>
        <v>Sector02.shelter_sweeper_r_1.skill02</v>
      </c>
      <c r="Q1012" s="134"/>
      <c r="R1012" s="64"/>
      <c r="S1012" s="64" t="s">
        <v>2076</v>
      </c>
      <c r="T1012" s="64"/>
      <c r="U1012" s="64"/>
      <c r="V1012" s="12" t="b">
        <v>0</v>
      </c>
      <c r="W1012" s="12" t="str">
        <f>"Character/Prefabs/"&amp;VLOOKUP($C1012,'#Data'!$B$3:$I$344,8,FALSE)</f>
        <v>Character/Prefabs/m_m_attacker_shelter_sweeper_r_1</v>
      </c>
      <c r="X1012" s="12"/>
      <c r="Y1012" s="12" t="str">
        <f>VLOOKUP($C1012,'#Data'!$B$3:$I$344,8,FALSE)</f>
        <v>m_m_attacker_shelter_sweeper_r_1</v>
      </c>
      <c r="Z1012" s="12"/>
      <c r="AA1012" s="12"/>
      <c r="AB1012" s="12"/>
      <c r="AC1012" s="88">
        <v>0.9</v>
      </c>
      <c r="AD1012" s="12"/>
      <c r="AE1012" s="12"/>
      <c r="AF1012" s="12"/>
      <c r="AG1012" s="12" t="s">
        <v>2758</v>
      </c>
      <c r="AH1012" s="85"/>
    </row>
    <row r="1013" spans="1:34" x14ac:dyDescent="0.3">
      <c r="A1013" s="12">
        <f t="shared" si="30"/>
        <v>1610202202</v>
      </c>
      <c r="B1013" s="12" t="s">
        <v>82</v>
      </c>
      <c r="C1013" s="12" t="s">
        <v>93</v>
      </c>
      <c r="D1013" s="12" t="str">
        <f>"Monster.Name."&amp;VLOOKUP($C1013,'#Data'!$B$2:$J$344,2,FALSE)</f>
        <v>Monster.Name.shelter_sweeper_v_1</v>
      </c>
      <c r="E1013" s="12" t="s">
        <v>47</v>
      </c>
      <c r="F1013" s="39" t="s">
        <v>44</v>
      </c>
      <c r="G1013" s="12" t="s">
        <v>45</v>
      </c>
      <c r="H1013" s="12" t="b">
        <f>IF(OR(VLOOKUP($C1013,'#Data'!$B$2:$J$344,4,FALSE)="보스",VLOOKUP($C1013,'#Data'!$B$2:$J$344,4,FALSE)="중간"),TRUE,FALSE)</f>
        <v>1</v>
      </c>
      <c r="I1013" s="12" t="b">
        <v>1</v>
      </c>
      <c r="J1013" s="12">
        <v>20</v>
      </c>
      <c r="K1013" s="12">
        <f t="shared" si="31"/>
        <v>10</v>
      </c>
      <c r="L1013" s="63" t="str">
        <f>$B1013&amp;"."&amp;VLOOKUP($C1013,'#Data'!$B$2:$J$344,2,FALSE)&amp;".attack0"&amp;RIGHT(L$1,1)</f>
        <v>Sector02.shelter_sweeper_v_1.attack01</v>
      </c>
      <c r="M1013" s="63"/>
      <c r="N1013" s="63"/>
      <c r="O1013" s="134" t="str">
        <f>$B1013&amp;"."&amp;VLOOKUP($C1013,'#Data'!$B$2:$J$344,2,FALSE)&amp;".skill0"&amp;RIGHT(O$1,1)</f>
        <v>Sector02.shelter_sweeper_v_1.skill01</v>
      </c>
      <c r="P1013" s="134" t="str">
        <f>$B1013&amp;"."&amp;VLOOKUP($C1013,'#Data'!$B$2:$J$344,2,FALSE)&amp;".skill0"&amp;RIGHT(P$1,1)</f>
        <v>Sector02.shelter_sweeper_v_1.skill02</v>
      </c>
      <c r="Q1013" s="134"/>
      <c r="R1013" s="64"/>
      <c r="S1013" s="64" t="s">
        <v>2076</v>
      </c>
      <c r="T1013" s="64"/>
      <c r="U1013" s="64"/>
      <c r="V1013" s="12" t="b">
        <v>0</v>
      </c>
      <c r="W1013" s="12" t="str">
        <f>"Character/Prefabs/"&amp;VLOOKUP($C1013,'#Data'!$B$3:$I$344,8,FALSE)</f>
        <v>Character/Prefabs/m_m_ranger_shelter_sweeper_v_1</v>
      </c>
      <c r="X1013" s="12"/>
      <c r="Y1013" s="12" t="str">
        <f>VLOOKUP($C1013,'#Data'!$B$3:$I$344,8,FALSE)</f>
        <v>m_m_ranger_shelter_sweeper_v_1</v>
      </c>
      <c r="Z1013" s="12"/>
      <c r="AA1013" s="12"/>
      <c r="AB1013" s="12"/>
      <c r="AC1013" s="88">
        <v>0.9</v>
      </c>
      <c r="AD1013" s="12"/>
      <c r="AE1013" s="12"/>
      <c r="AF1013" s="12"/>
      <c r="AG1013" s="12" t="s">
        <v>2758</v>
      </c>
      <c r="AH1013" s="85"/>
    </row>
    <row r="1014" spans="1:34" x14ac:dyDescent="0.3">
      <c r="A1014" s="12">
        <f t="shared" si="30"/>
        <v>1610202203</v>
      </c>
      <c r="B1014" s="12" t="s">
        <v>82</v>
      </c>
      <c r="C1014" s="12" t="s">
        <v>94</v>
      </c>
      <c r="D1014" s="12" t="str">
        <f>"Monster.Name."&amp;VLOOKUP($C1014,'#Data'!$B$2:$J$344,2,FALSE)</f>
        <v>Monster.Name.shelter_sweeper_g_1</v>
      </c>
      <c r="E1014" s="12" t="s">
        <v>58</v>
      </c>
      <c r="F1014" s="39" t="s">
        <v>44</v>
      </c>
      <c r="G1014" s="12" t="s">
        <v>45</v>
      </c>
      <c r="H1014" s="12" t="b">
        <f>IF(OR(VLOOKUP($C1014,'#Data'!$B$2:$J$344,4,FALSE)="보스",VLOOKUP($C1014,'#Data'!$B$2:$J$344,4,FALSE)="중간"),TRUE,FALSE)</f>
        <v>1</v>
      </c>
      <c r="I1014" s="12" t="b">
        <v>1</v>
      </c>
      <c r="J1014" s="12">
        <v>20</v>
      </c>
      <c r="K1014" s="12">
        <f t="shared" si="31"/>
        <v>10</v>
      </c>
      <c r="L1014" s="63" t="str">
        <f>$B1014&amp;"."&amp;VLOOKUP($C1014,'#Data'!$B$2:$J$344,2,FALSE)&amp;".attack0"&amp;RIGHT(L$1,1)</f>
        <v>Sector02.shelter_sweeper_g_1.attack01</v>
      </c>
      <c r="M1014" s="63"/>
      <c r="N1014" s="63"/>
      <c r="O1014" s="134" t="str">
        <f>$B1014&amp;"."&amp;VLOOKUP($C1014,'#Data'!$B$2:$J$344,2,FALSE)&amp;".skill0"&amp;RIGHT(O$1,1)</f>
        <v>Sector02.shelter_sweeper_g_1.skill01</v>
      </c>
      <c r="P1014" s="134" t="str">
        <f>$B1014&amp;"."&amp;VLOOKUP($C1014,'#Data'!$B$2:$J$344,2,FALSE)&amp;".skill0"&amp;RIGHT(P$1,1)</f>
        <v>Sector02.shelter_sweeper_g_1.skill02</v>
      </c>
      <c r="Q1014" s="134"/>
      <c r="R1014" s="64"/>
      <c r="S1014" s="64" t="s">
        <v>2076</v>
      </c>
      <c r="T1014" s="64"/>
      <c r="U1014" s="64"/>
      <c r="V1014" s="12" t="b">
        <v>0</v>
      </c>
      <c r="W1014" s="12" t="str">
        <f>"Character/Prefabs/"&amp;VLOOKUP($C1014,'#Data'!$B$3:$I$344,8,FALSE)</f>
        <v>Character/Prefabs/m_m_tanker_shelter_sweeper_g_1</v>
      </c>
      <c r="X1014" s="12"/>
      <c r="Y1014" s="12" t="str">
        <f>VLOOKUP($C1014,'#Data'!$B$3:$I$344,8,FALSE)</f>
        <v>m_m_tanker_shelter_sweeper_g_1</v>
      </c>
      <c r="Z1014" s="12"/>
      <c r="AA1014" s="12"/>
      <c r="AB1014" s="12"/>
      <c r="AC1014" s="88">
        <v>0.9</v>
      </c>
      <c r="AD1014" s="12"/>
      <c r="AE1014" s="12"/>
      <c r="AF1014" s="12"/>
      <c r="AG1014" s="12" t="s">
        <v>2758</v>
      </c>
      <c r="AH1014" s="85"/>
    </row>
    <row r="1015" spans="1:34" x14ac:dyDescent="0.3">
      <c r="A1015" s="77">
        <f t="shared" si="30"/>
        <v>1610202301</v>
      </c>
      <c r="B1015" s="77" t="s">
        <v>41</v>
      </c>
      <c r="C1015" s="77" t="s">
        <v>75</v>
      </c>
      <c r="D1015" s="77" t="str">
        <f>"Monster.Name."&amp;VLOOKUP($C1015,'#Data'!$B$2:$J$344,2,FALSE)</f>
        <v>Monster.Name.gallius_1</v>
      </c>
      <c r="E1015" s="77" t="s">
        <v>58</v>
      </c>
      <c r="F1015" s="78" t="s">
        <v>44</v>
      </c>
      <c r="G1015" s="77" t="s">
        <v>45</v>
      </c>
      <c r="H1015" s="77" t="b">
        <f>IF(OR(VLOOKUP($C1015,'#Data'!$B$2:$J$344,4,FALSE)="보스",VLOOKUP($C1015,'#Data'!$B$2:$J$344,4,FALSE)="중간"),TRUE,FALSE)</f>
        <v>1</v>
      </c>
      <c r="I1015" s="77" t="b">
        <f>IF(OR(VLOOKUP($C1015,'#Data'!$B$2:$J$344,4,FALSE)="보스",VLOOKUP($C1015,'#Data'!$B$2:$J$344,4,FALSE)="중간"),TRUE,FALSE)</f>
        <v>1</v>
      </c>
      <c r="J1015" s="77">
        <v>20</v>
      </c>
      <c r="K1015" s="77">
        <f t="shared" si="31"/>
        <v>10</v>
      </c>
      <c r="L1015" s="79" t="str">
        <f>$B1015&amp;"."&amp;VLOOKUP($C1015,'#Data'!$B$2:$J$344,2,FALSE)&amp;".attack0"&amp;RIGHT(L$1,1)</f>
        <v>Sector01.gallius_1.attack01</v>
      </c>
      <c r="M1015" s="79"/>
      <c r="N1015" s="79"/>
      <c r="O1015" s="133" t="str">
        <f>$B1015&amp;"."&amp;VLOOKUP($C1015,'#Data'!$B$2:$J$344,2,FALSE)&amp;".skill0"&amp;RIGHT(O$1,1)</f>
        <v>Sector01.gallius_1.skill01</v>
      </c>
      <c r="P1015" s="133" t="str">
        <f>$B1015&amp;"."&amp;VLOOKUP($C1015,'#Data'!$B$2:$J$344,2,FALSE)&amp;".skill0"&amp;RIGHT(P$1,1)</f>
        <v>Sector01.gallius_1.skill02</v>
      </c>
      <c r="Q1015" s="133"/>
      <c r="R1015" s="80"/>
      <c r="S1015" s="80" t="s">
        <v>76</v>
      </c>
      <c r="T1015" s="80"/>
      <c r="U1015" s="80"/>
      <c r="V1015" s="77" t="b">
        <v>0</v>
      </c>
      <c r="W1015" s="77" t="str">
        <f>"Character/Prefabs/"&amp;VLOOKUP($C1015,'#Data'!$B$3:$I$344,8,FALSE)</f>
        <v>Character/Prefabs/m_boss_tanker_gallius_1</v>
      </c>
      <c r="X1015" s="77"/>
      <c r="Y1015" s="77" t="str">
        <f>VLOOKUP($C1015,'#Data'!$B$3:$I$344,8,FALSE)</f>
        <v>m_boss_tanker_gallius_1</v>
      </c>
      <c r="Z1015" s="77"/>
      <c r="AA1015" s="77"/>
      <c r="AB1015" s="77"/>
      <c r="AC1015" s="87">
        <v>1.1000000000000001</v>
      </c>
      <c r="AD1015" s="77"/>
      <c r="AE1015" s="77" t="s">
        <v>77</v>
      </c>
      <c r="AF1015" s="77" t="s">
        <v>78</v>
      </c>
      <c r="AG1015" s="77" t="s">
        <v>2758</v>
      </c>
      <c r="AH1015" s="85"/>
    </row>
    <row r="1016" spans="1:34" x14ac:dyDescent="0.3">
      <c r="A1016" s="77">
        <f t="shared" si="30"/>
        <v>1610202302</v>
      </c>
      <c r="B1016" s="77" t="s">
        <v>41</v>
      </c>
      <c r="C1016" s="77" t="s">
        <v>79</v>
      </c>
      <c r="D1016" s="77" t="str">
        <f>"Monster.Name."&amp;VLOOKUP($C1016,'#Data'!$B$2:$J$344,2,FALSE)</f>
        <v>Monster.Name.gallius_2</v>
      </c>
      <c r="E1016" s="77" t="s">
        <v>58</v>
      </c>
      <c r="F1016" s="78" t="s">
        <v>44</v>
      </c>
      <c r="G1016" s="77" t="s">
        <v>45</v>
      </c>
      <c r="H1016" s="77" t="b">
        <f>IF(OR(VLOOKUP($C1016,'#Data'!$B$2:$J$344,4,FALSE)="보스",VLOOKUP($C1016,'#Data'!$B$2:$J$344,4,FALSE)="중간"),TRUE,FALSE)</f>
        <v>1</v>
      </c>
      <c r="I1016" s="77" t="b">
        <f>IF(OR(VLOOKUP($C1016,'#Data'!$B$2:$J$344,4,FALSE)="보스",VLOOKUP($C1016,'#Data'!$B$2:$J$344,4,FALSE)="중간"),TRUE,FALSE)</f>
        <v>1</v>
      </c>
      <c r="J1016" s="77">
        <v>20</v>
      </c>
      <c r="K1016" s="77">
        <f t="shared" si="31"/>
        <v>10</v>
      </c>
      <c r="L1016" s="79" t="str">
        <f>$B1016&amp;"."&amp;VLOOKUP($C1016,'#Data'!$B$2:$J$344,2,FALSE)&amp;".attack0"&amp;RIGHT(L$1,1)</f>
        <v>Sector01.gallius_2.attack01</v>
      </c>
      <c r="M1016" s="79"/>
      <c r="N1016" s="79"/>
      <c r="O1016" s="133" t="str">
        <f>$B1016&amp;"."&amp;VLOOKUP($C1016,'#Data'!$B$2:$J$344,2,FALSE)&amp;".skill0"&amp;RIGHT(O$1,1)</f>
        <v>Sector01.gallius_2.skill01</v>
      </c>
      <c r="P1016" s="133" t="str">
        <f>$B1016&amp;"."&amp;VLOOKUP($C1016,'#Data'!$B$2:$J$344,2,FALSE)&amp;".skill0"&amp;RIGHT(P$1,1)</f>
        <v>Sector01.gallius_2.skill02</v>
      </c>
      <c r="Q1016" s="133" t="str">
        <f>$B1016&amp;"."&amp;VLOOKUP($C1016,'#Data'!$B$2:$J$344,2,FALSE)&amp;".skill0"&amp;RIGHT(Q$1,1)</f>
        <v>Sector01.gallius_2.skill03</v>
      </c>
      <c r="R1016" s="133"/>
      <c r="S1016" s="80" t="s">
        <v>76</v>
      </c>
      <c r="T1016" s="80"/>
      <c r="U1016" s="80"/>
      <c r="V1016" s="77" t="b">
        <v>0</v>
      </c>
      <c r="W1016" s="77" t="str">
        <f>"Character/Prefabs/"&amp;VLOOKUP($C1016,'#Data'!$B$3:$I$344,8,FALSE)</f>
        <v>Character/Prefabs/m_boss_tanker_gallius_2</v>
      </c>
      <c r="X1016" s="77"/>
      <c r="Y1016" s="77" t="str">
        <f>VLOOKUP($C1016,'#Data'!$B$3:$I$344,8,FALSE)</f>
        <v>m_boss_tanker_gallius_2</v>
      </c>
      <c r="Z1016" s="77"/>
      <c r="AA1016" s="77"/>
      <c r="AB1016" s="77"/>
      <c r="AC1016" s="87">
        <v>1.1000000000000001</v>
      </c>
      <c r="AD1016" s="77"/>
      <c r="AE1016" s="77" t="s">
        <v>80</v>
      </c>
      <c r="AF1016" s="77" t="s">
        <v>81</v>
      </c>
      <c r="AG1016" s="77" t="s">
        <v>2758</v>
      </c>
      <c r="AH1016" s="85"/>
    </row>
    <row r="1017" spans="1:34" x14ac:dyDescent="0.3">
      <c r="A1017" s="41">
        <f t="shared" si="30"/>
        <v>1610203101</v>
      </c>
      <c r="B1017" s="41" t="s">
        <v>105</v>
      </c>
      <c r="C1017" s="41" t="s">
        <v>106</v>
      </c>
      <c r="D1017" s="41" t="str">
        <f>"Monster.Name."&amp;VLOOKUP($C1017,'#Data'!$B$2:$J$344,2,FALSE)</f>
        <v>Monster.Name.brain_hunter_1</v>
      </c>
      <c r="E1017" s="41" t="s">
        <v>43</v>
      </c>
      <c r="F1017" s="42" t="s">
        <v>44</v>
      </c>
      <c r="G1017" s="41" t="s">
        <v>45</v>
      </c>
      <c r="H1017" s="41" t="b">
        <f>IF(OR(VLOOKUP($C1017,'#Data'!$B$2:$J$344,4,FALSE)="보스",VLOOKUP($C1017,'#Data'!$B$2:$J$344,4,FALSE)="중간"),TRUE,FALSE)</f>
        <v>0</v>
      </c>
      <c r="I1017" s="41" t="b">
        <v>0</v>
      </c>
      <c r="J1017" s="41">
        <v>10</v>
      </c>
      <c r="K1017" s="41">
        <f t="shared" si="31"/>
        <v>10</v>
      </c>
      <c r="L1017" s="67" t="str">
        <f>$B1017&amp;"."&amp;VLOOKUP($C1017,'#Data'!$B$2:$J$344,2,FALSE)&amp;".attack0"&amp;RIGHT(L$1,1)</f>
        <v>Sector03.brain_hunter_1.attack01</v>
      </c>
      <c r="M1017" s="67"/>
      <c r="N1017" s="67"/>
      <c r="O1017" s="137" t="str">
        <f>$B1017&amp;"."&amp;VLOOKUP($C1017,'#Data'!$B$2:$J$344,2,FALSE)&amp;".skill0"&amp;RIGHT(O$1,1)</f>
        <v>Sector03.brain_hunter_1.skill01</v>
      </c>
      <c r="P1017" s="137"/>
      <c r="Q1017" s="137"/>
      <c r="R1017" s="68"/>
      <c r="S1017" s="68"/>
      <c r="T1017" s="68"/>
      <c r="U1017" s="68"/>
      <c r="V1017" s="41" t="b">
        <v>0</v>
      </c>
      <c r="W1017" s="41" t="str">
        <f>"Character/Prefabs/"&amp;VLOOKUP($C1017,'#Data'!$B$3:$I$344,8,FALSE)</f>
        <v>Character/Prefabs/m_s_attacker_brain_hunter_1</v>
      </c>
      <c r="X1017" s="41"/>
      <c r="Y1017" s="41" t="str">
        <f>VLOOKUP($C1017,'#Data'!$B$3:$I$344,8,FALSE)</f>
        <v>m_s_attacker_brain_hunter_1</v>
      </c>
      <c r="Z1017" s="41"/>
      <c r="AA1017" s="41"/>
      <c r="AB1017" s="41"/>
      <c r="AC1017" s="90">
        <v>0.9</v>
      </c>
      <c r="AD1017" s="41"/>
      <c r="AE1017" s="41"/>
      <c r="AF1017" s="41"/>
      <c r="AG1017" s="41" t="s">
        <v>2758</v>
      </c>
      <c r="AH1017" s="85"/>
    </row>
    <row r="1018" spans="1:34" x14ac:dyDescent="0.3">
      <c r="A1018" s="41">
        <f t="shared" si="30"/>
        <v>1610203102</v>
      </c>
      <c r="B1018" s="41" t="s">
        <v>105</v>
      </c>
      <c r="C1018" s="41" t="s">
        <v>107</v>
      </c>
      <c r="D1018" s="41" t="str">
        <f>"Monster.Name."&amp;VLOOKUP($C1018,'#Data'!$B$2:$J$344,2,FALSE)</f>
        <v>Monster.Name.infmecha_2</v>
      </c>
      <c r="E1018" s="41" t="s">
        <v>43</v>
      </c>
      <c r="F1018" s="42" t="s">
        <v>44</v>
      </c>
      <c r="G1018" s="41" t="s">
        <v>45</v>
      </c>
      <c r="H1018" s="41" t="b">
        <f>IF(OR(VLOOKUP($C1018,'#Data'!$B$2:$J$344,4,FALSE)="보스",VLOOKUP($C1018,'#Data'!$B$2:$J$344,4,FALSE)="중간"),TRUE,FALSE)</f>
        <v>0</v>
      </c>
      <c r="I1018" s="41" t="b">
        <v>0</v>
      </c>
      <c r="J1018" s="41">
        <v>10</v>
      </c>
      <c r="K1018" s="41">
        <f t="shared" si="31"/>
        <v>10</v>
      </c>
      <c r="L1018" s="67" t="str">
        <f>$B1018&amp;"."&amp;VLOOKUP($C1018,'#Data'!$B$2:$J$344,2,FALSE)&amp;".attack0"&amp;RIGHT(L$1,1)</f>
        <v>Sector03.infmecha_2.attack01</v>
      </c>
      <c r="M1018" s="67"/>
      <c r="N1018" s="67"/>
      <c r="O1018" s="137" t="s">
        <v>2009</v>
      </c>
      <c r="P1018" s="137"/>
      <c r="Q1018" s="137"/>
      <c r="R1018" s="68"/>
      <c r="S1018" s="68"/>
      <c r="T1018" s="68"/>
      <c r="U1018" s="68"/>
      <c r="V1018" s="41" t="b">
        <v>0</v>
      </c>
      <c r="W1018" s="41" t="str">
        <f>"Character/Prefabs/"&amp;VLOOKUP($C1018,'#Data'!$B$3:$I$344,8,FALSE)</f>
        <v>Character/Prefabs/m_s_attacker_infmecha_2</v>
      </c>
      <c r="X1018" s="41"/>
      <c r="Y1018" s="41" t="str">
        <f>VLOOKUP($C1018,'#Data'!$B$3:$I$344,8,FALSE)</f>
        <v>m_s_attacker_infmecha_2</v>
      </c>
      <c r="Z1018" s="41"/>
      <c r="AA1018" s="41"/>
      <c r="AB1018" s="41"/>
      <c r="AC1018" s="90">
        <v>0.6</v>
      </c>
      <c r="AD1018" s="41"/>
      <c r="AE1018" s="41"/>
      <c r="AF1018" s="41"/>
      <c r="AG1018" s="41" t="s">
        <v>2758</v>
      </c>
      <c r="AH1018" s="85"/>
    </row>
    <row r="1019" spans="1:34" x14ac:dyDescent="0.3">
      <c r="A1019" s="41">
        <f t="shared" si="30"/>
        <v>1610203103</v>
      </c>
      <c r="B1019" s="41" t="s">
        <v>105</v>
      </c>
      <c r="C1019" s="41" t="s">
        <v>108</v>
      </c>
      <c r="D1019" s="41" t="str">
        <f>"Monster.Name."&amp;VLOOKUP($C1019,'#Data'!$B$2:$J$344,2,FALSE)</f>
        <v>Monster.Name.core_hunter_1</v>
      </c>
      <c r="E1019" s="41" t="s">
        <v>47</v>
      </c>
      <c r="F1019" s="42" t="s">
        <v>44</v>
      </c>
      <c r="G1019" s="41" t="s">
        <v>45</v>
      </c>
      <c r="H1019" s="41" t="b">
        <f>IF(OR(VLOOKUP($C1019,'#Data'!$B$2:$J$344,4,FALSE)="보스",VLOOKUP($C1019,'#Data'!$B$2:$J$344,4,FALSE)="중간"),TRUE,FALSE)</f>
        <v>0</v>
      </c>
      <c r="I1019" s="41" t="b">
        <v>0</v>
      </c>
      <c r="J1019" s="41">
        <v>10</v>
      </c>
      <c r="K1019" s="41">
        <f t="shared" si="31"/>
        <v>10</v>
      </c>
      <c r="L1019" s="67" t="str">
        <f>$B1019&amp;"."&amp;VLOOKUP($C1019,'#Data'!$B$2:$J$344,2,FALSE)&amp;".attack0"&amp;RIGHT(L$1,1)</f>
        <v>Sector03.core_hunter_1.attack01</v>
      </c>
      <c r="M1019" s="67"/>
      <c r="N1019" s="67"/>
      <c r="O1019" s="137" t="str">
        <f>$B1019&amp;"."&amp;VLOOKUP($C1019,'#Data'!$B$2:$J$344,2,FALSE)&amp;".skill0"&amp;RIGHT(O$1,1)</f>
        <v>Sector03.core_hunter_1.skill01</v>
      </c>
      <c r="P1019" s="137" t="s">
        <v>2010</v>
      </c>
      <c r="Q1019" s="137"/>
      <c r="R1019" s="68"/>
      <c r="S1019" s="68"/>
      <c r="T1019" s="68"/>
      <c r="U1019" s="68"/>
      <c r="V1019" s="41" t="b">
        <v>0</v>
      </c>
      <c r="W1019" s="41" t="str">
        <f>"Character/Prefabs/"&amp;VLOOKUP($C1019,'#Data'!$B$3:$I$344,8,FALSE)</f>
        <v>Character/Prefabs/m_s_ranger_core_hunter_1</v>
      </c>
      <c r="X1019" s="41"/>
      <c r="Y1019" s="41" t="str">
        <f>VLOOKUP($C1019,'#Data'!$B$3:$I$344,8,FALSE)</f>
        <v>m_s_ranger_core_hunter_1</v>
      </c>
      <c r="Z1019" s="41"/>
      <c r="AA1019" s="41"/>
      <c r="AB1019" s="41"/>
      <c r="AC1019" s="90">
        <v>0.9</v>
      </c>
      <c r="AD1019" s="41"/>
      <c r="AE1019" s="41"/>
      <c r="AF1019" s="41"/>
      <c r="AG1019" s="41" t="s">
        <v>2758</v>
      </c>
      <c r="AH1019" s="85"/>
    </row>
    <row r="1020" spans="1:34" x14ac:dyDescent="0.3">
      <c r="A1020" s="41">
        <f t="shared" si="30"/>
        <v>1610203104</v>
      </c>
      <c r="B1020" s="41" t="s">
        <v>105</v>
      </c>
      <c r="C1020" s="41" t="s">
        <v>109</v>
      </c>
      <c r="D1020" s="41" t="str">
        <f>"Monster.Name."&amp;VLOOKUP($C1020,'#Data'!$B$2:$J$344,2,FALSE)</f>
        <v>Monster.Name.infturret_2</v>
      </c>
      <c r="E1020" s="41" t="s">
        <v>47</v>
      </c>
      <c r="F1020" s="42" t="s">
        <v>44</v>
      </c>
      <c r="G1020" s="41" t="s">
        <v>45</v>
      </c>
      <c r="H1020" s="41" t="b">
        <f>IF(OR(VLOOKUP($C1020,'#Data'!$B$2:$J$344,4,FALSE)="보스",VLOOKUP($C1020,'#Data'!$B$2:$J$344,4,FALSE)="중간"),TRUE,FALSE)</f>
        <v>0</v>
      </c>
      <c r="I1020" s="41" t="b">
        <v>0</v>
      </c>
      <c r="J1020" s="41">
        <v>10</v>
      </c>
      <c r="K1020" s="41">
        <f t="shared" si="31"/>
        <v>10</v>
      </c>
      <c r="L1020" s="67" t="str">
        <f>$B1020&amp;"."&amp;VLOOKUP($C1020,'#Data'!$B$2:$J$344,2,FALSE)&amp;".attack0"&amp;RIGHT(L$1,1)</f>
        <v>Sector03.infturret_2.attack01</v>
      </c>
      <c r="M1020" s="67"/>
      <c r="N1020" s="67"/>
      <c r="O1020" s="137" t="s">
        <v>2011</v>
      </c>
      <c r="P1020" s="137"/>
      <c r="Q1020" s="137"/>
      <c r="R1020" s="68"/>
      <c r="S1020" s="68"/>
      <c r="T1020" s="68"/>
      <c r="U1020" s="68"/>
      <c r="V1020" s="41" t="b">
        <v>0</v>
      </c>
      <c r="W1020" s="41" t="str">
        <f>"Character/Prefabs/"&amp;VLOOKUP($C1020,'#Data'!$B$3:$I$344,8,FALSE)</f>
        <v>Character/Prefabs/m_s_ranger_infturret_2</v>
      </c>
      <c r="X1020" s="41"/>
      <c r="Y1020" s="41" t="str">
        <f>VLOOKUP($C1020,'#Data'!$B$3:$I$344,8,FALSE)</f>
        <v>m_s_ranger_infturret_2</v>
      </c>
      <c r="Z1020" s="41"/>
      <c r="AA1020" s="41"/>
      <c r="AB1020" s="41"/>
      <c r="AC1020" s="90">
        <v>0.6</v>
      </c>
      <c r="AD1020" s="41"/>
      <c r="AE1020" s="41"/>
      <c r="AF1020" s="41"/>
      <c r="AG1020" s="41" t="s">
        <v>2758</v>
      </c>
      <c r="AH1020" s="85"/>
    </row>
    <row r="1021" spans="1:34" x14ac:dyDescent="0.3">
      <c r="A1021" s="41">
        <f t="shared" si="30"/>
        <v>1610203105</v>
      </c>
      <c r="B1021" s="41" t="s">
        <v>105</v>
      </c>
      <c r="C1021" s="41" t="s">
        <v>110</v>
      </c>
      <c r="D1021" s="41" t="str">
        <f>"Monster.Name."&amp;VLOOKUP($C1021,'#Data'!$B$2:$J$344,2,FALSE)</f>
        <v>Monster.Name.infdust_shield_2</v>
      </c>
      <c r="E1021" s="41" t="s">
        <v>58</v>
      </c>
      <c r="F1021" s="42" t="s">
        <v>44</v>
      </c>
      <c r="G1021" s="41" t="s">
        <v>45</v>
      </c>
      <c r="H1021" s="41" t="b">
        <f>IF(OR(VLOOKUP($C1021,'#Data'!$B$2:$J$344,4,FALSE)="보스",VLOOKUP($C1021,'#Data'!$B$2:$J$344,4,FALSE)="중간"),TRUE,FALSE)</f>
        <v>0</v>
      </c>
      <c r="I1021" s="41" t="b">
        <v>0</v>
      </c>
      <c r="J1021" s="41">
        <v>10</v>
      </c>
      <c r="K1021" s="41">
        <f t="shared" si="31"/>
        <v>10</v>
      </c>
      <c r="L1021" s="67" t="str">
        <f>$B1021&amp;"."&amp;VLOOKUP($C1021,'#Data'!$B$2:$J$344,2,FALSE)&amp;".attack0"&amp;RIGHT(L$1,1)</f>
        <v>Sector03.infdust_shield_2.attack01</v>
      </c>
      <c r="M1021" s="67"/>
      <c r="N1021" s="67"/>
      <c r="O1021" s="137" t="str">
        <f>$B1021&amp;"."&amp;VLOOKUP($C1021,'#Data'!$B$2:$J$344,2,FALSE)&amp;".skill0"&amp;RIGHT(O$1,1)</f>
        <v>Sector03.infdust_shield_2.skill01</v>
      </c>
      <c r="P1021" s="137" t="s">
        <v>2012</v>
      </c>
      <c r="Q1021" s="137"/>
      <c r="R1021" s="68"/>
      <c r="S1021" s="68"/>
      <c r="T1021" s="68"/>
      <c r="U1021" s="68"/>
      <c r="V1021" s="41" t="b">
        <v>0</v>
      </c>
      <c r="W1021" s="41" t="str">
        <f>"Character/Prefabs/"&amp;VLOOKUP($C1021,'#Data'!$B$3:$I$344,8,FALSE)</f>
        <v>Character/Prefabs/m_m_tanker_infdust_shield_2</v>
      </c>
      <c r="X1021" s="41"/>
      <c r="Y1021" s="41" t="str">
        <f>VLOOKUP($C1021,'#Data'!$B$3:$I$344,8,FALSE)</f>
        <v>m_m_tanker_infdust_shield_2</v>
      </c>
      <c r="Z1021" s="41"/>
      <c r="AA1021" s="41"/>
      <c r="AB1021" s="41"/>
      <c r="AC1021" s="90">
        <v>0.7</v>
      </c>
      <c r="AD1021" s="41"/>
      <c r="AE1021" s="41"/>
      <c r="AF1021" s="41"/>
      <c r="AG1021" s="41" t="s">
        <v>2758</v>
      </c>
      <c r="AH1021" s="85"/>
    </row>
    <row r="1022" spans="1:34" x14ac:dyDescent="0.3">
      <c r="A1022" s="41">
        <f t="shared" si="30"/>
        <v>1610203106</v>
      </c>
      <c r="B1022" s="41" t="s">
        <v>105</v>
      </c>
      <c r="C1022" s="41" t="s">
        <v>111</v>
      </c>
      <c r="D1022" s="41" t="str">
        <f>"Monster.Name."&amp;VLOOKUP($C1022,'#Data'!$B$2:$J$344,2,FALSE)</f>
        <v>Monster.Name.infdust_gauntlet_2</v>
      </c>
      <c r="E1022" s="41" t="s">
        <v>43</v>
      </c>
      <c r="F1022" s="42" t="s">
        <v>44</v>
      </c>
      <c r="G1022" s="41" t="s">
        <v>45</v>
      </c>
      <c r="H1022" s="41" t="b">
        <f>IF(OR(VLOOKUP($C1022,'#Data'!$B$2:$J$344,4,FALSE)="보스",VLOOKUP($C1022,'#Data'!$B$2:$J$344,4,FALSE)="중간"),TRUE,FALSE)</f>
        <v>0</v>
      </c>
      <c r="I1022" s="41" t="b">
        <v>0</v>
      </c>
      <c r="J1022" s="41">
        <v>10</v>
      </c>
      <c r="K1022" s="41">
        <f t="shared" si="31"/>
        <v>10</v>
      </c>
      <c r="L1022" s="67" t="str">
        <f>$B1022&amp;"."&amp;VLOOKUP($C1022,'#Data'!$B$2:$J$344,2,FALSE)&amp;".attack0"&amp;RIGHT(L$1,1)</f>
        <v>Sector03.infdust_gauntlet_2.attack01</v>
      </c>
      <c r="M1022" s="67"/>
      <c r="N1022" s="67"/>
      <c r="O1022" s="137" t="str">
        <f>$B1022&amp;"."&amp;VLOOKUP($C1022,'#Data'!$B$2:$J$344,2,FALSE)&amp;".skill0"&amp;RIGHT(O$1,1)</f>
        <v>Sector03.infdust_gauntlet_2.skill01</v>
      </c>
      <c r="P1022" s="137" t="s">
        <v>2013</v>
      </c>
      <c r="Q1022" s="137"/>
      <c r="R1022" s="68"/>
      <c r="S1022" s="68"/>
      <c r="T1022" s="68"/>
      <c r="U1022" s="68"/>
      <c r="V1022" s="41" t="b">
        <v>0</v>
      </c>
      <c r="W1022" s="41" t="str">
        <f>"Character/Prefabs/"&amp;VLOOKUP($C1022,'#Data'!$B$3:$I$344,8,FALSE)</f>
        <v>Character/Prefabs/m_m_attacker_infdust_gauntlet_2</v>
      </c>
      <c r="X1022" s="41"/>
      <c r="Y1022" s="41" t="str">
        <f>VLOOKUP($C1022,'#Data'!$B$3:$I$344,8,FALSE)</f>
        <v>m_m_attacker_infdust_gauntlet_2</v>
      </c>
      <c r="Z1022" s="41"/>
      <c r="AA1022" s="41"/>
      <c r="AB1022" s="41"/>
      <c r="AC1022" s="90">
        <v>0.7</v>
      </c>
      <c r="AD1022" s="41"/>
      <c r="AE1022" s="41"/>
      <c r="AF1022" s="41"/>
      <c r="AG1022" s="41" t="s">
        <v>2758</v>
      </c>
      <c r="AH1022" s="85"/>
    </row>
    <row r="1023" spans="1:34" x14ac:dyDescent="0.3">
      <c r="A1023" s="41">
        <f t="shared" si="30"/>
        <v>1610203107</v>
      </c>
      <c r="B1023" s="41" t="s">
        <v>105</v>
      </c>
      <c r="C1023" s="41" t="s">
        <v>112</v>
      </c>
      <c r="D1023" s="41" t="str">
        <f>"Monster.Name."&amp;VLOOKUP($C1023,'#Data'!$B$2:$J$344,2,FALSE)</f>
        <v>Monster.Name.infdust_rifle_2</v>
      </c>
      <c r="E1023" s="41" t="s">
        <v>47</v>
      </c>
      <c r="F1023" s="42" t="s">
        <v>44</v>
      </c>
      <c r="G1023" s="41" t="s">
        <v>45</v>
      </c>
      <c r="H1023" s="41" t="b">
        <f>IF(OR(VLOOKUP($C1023,'#Data'!$B$2:$J$344,4,FALSE)="보스",VLOOKUP($C1023,'#Data'!$B$2:$J$344,4,FALSE)="중간"),TRUE,FALSE)</f>
        <v>0</v>
      </c>
      <c r="I1023" s="41" t="b">
        <v>0</v>
      </c>
      <c r="J1023" s="41">
        <v>10</v>
      </c>
      <c r="K1023" s="41">
        <f t="shared" si="31"/>
        <v>10</v>
      </c>
      <c r="L1023" s="67" t="str">
        <f>$B1023&amp;"."&amp;VLOOKUP($C1023,'#Data'!$B$2:$J$344,2,FALSE)&amp;".attack0"&amp;RIGHT(L$1,1)</f>
        <v>Sector03.infdust_rifle_2.attack01</v>
      </c>
      <c r="M1023" s="67"/>
      <c r="N1023" s="67"/>
      <c r="O1023" s="137" t="str">
        <f>$B1023&amp;"."&amp;VLOOKUP($C1023,'#Data'!$B$2:$J$344,2,FALSE)&amp;".skill0"&amp;RIGHT(O$1,1)</f>
        <v>Sector03.infdust_rifle_2.skill01</v>
      </c>
      <c r="P1023" s="137" t="s">
        <v>2014</v>
      </c>
      <c r="Q1023" s="137"/>
      <c r="R1023" s="68"/>
      <c r="S1023" s="68"/>
      <c r="T1023" s="68"/>
      <c r="U1023" s="68"/>
      <c r="V1023" s="41" t="b">
        <v>0</v>
      </c>
      <c r="W1023" s="41" t="str">
        <f>"Character/Prefabs/"&amp;VLOOKUP($C1023,'#Data'!$B$3:$I$344,8,FALSE)</f>
        <v>Character/Prefabs/m_m_ranger_infdust_rifle_2</v>
      </c>
      <c r="X1023" s="41"/>
      <c r="Y1023" s="41" t="str">
        <f>VLOOKUP($C1023,'#Data'!$B$3:$I$344,8,FALSE)</f>
        <v>m_m_ranger_infdust_rifle_2</v>
      </c>
      <c r="Z1023" s="41"/>
      <c r="AA1023" s="41"/>
      <c r="AB1023" s="41"/>
      <c r="AC1023" s="90">
        <v>0.7</v>
      </c>
      <c r="AD1023" s="41"/>
      <c r="AE1023" s="41"/>
      <c r="AF1023" s="41"/>
      <c r="AG1023" s="41" t="s">
        <v>2758</v>
      </c>
      <c r="AH1023" s="85"/>
    </row>
    <row r="1024" spans="1:34" x14ac:dyDescent="0.3">
      <c r="A1024" s="41">
        <f t="shared" si="30"/>
        <v>1610203108</v>
      </c>
      <c r="B1024" s="41" t="s">
        <v>105</v>
      </c>
      <c r="C1024" s="41" t="s">
        <v>113</v>
      </c>
      <c r="D1024" s="41" t="str">
        <f>"Monster.Name."&amp;VLOOKUP($C1024,'#Data'!$B$2:$J$344,2,FALSE)</f>
        <v>Monster.Name.infdust_launcher_2</v>
      </c>
      <c r="E1024" s="41" t="s">
        <v>47</v>
      </c>
      <c r="F1024" s="42" t="s">
        <v>44</v>
      </c>
      <c r="G1024" s="41" t="s">
        <v>45</v>
      </c>
      <c r="H1024" s="41" t="b">
        <f>IF(OR(VLOOKUP($C1024,'#Data'!$B$2:$J$344,4,FALSE)="보스",VLOOKUP($C1024,'#Data'!$B$2:$J$344,4,FALSE)="중간"),TRUE,FALSE)</f>
        <v>0</v>
      </c>
      <c r="I1024" s="41" t="b">
        <v>0</v>
      </c>
      <c r="J1024" s="41">
        <v>10</v>
      </c>
      <c r="K1024" s="41">
        <f t="shared" si="31"/>
        <v>10</v>
      </c>
      <c r="L1024" s="67" t="str">
        <f>$B1024&amp;"."&amp;VLOOKUP($C1024,'#Data'!$B$2:$J$344,2,FALSE)&amp;".attack0"&amp;RIGHT(L$1,1)</f>
        <v>Sector03.infdust_launcher_2.attack01</v>
      </c>
      <c r="M1024" s="67"/>
      <c r="N1024" s="67"/>
      <c r="O1024" s="137" t="str">
        <f>$B1024&amp;"."&amp;VLOOKUP($C1024,'#Data'!$B$2:$J$344,2,FALSE)&amp;".skill0"&amp;RIGHT(O$1,1)</f>
        <v>Sector03.infdust_launcher_2.skill01</v>
      </c>
      <c r="P1024" s="137" t="s">
        <v>2015</v>
      </c>
      <c r="Q1024" s="137"/>
      <c r="R1024" s="68"/>
      <c r="S1024" s="68"/>
      <c r="T1024" s="68"/>
      <c r="U1024" s="68"/>
      <c r="V1024" s="41" t="b">
        <v>0</v>
      </c>
      <c r="W1024" s="41" t="str">
        <f>"Character/Prefabs/"&amp;VLOOKUP($C1024,'#Data'!$B$3:$I$344,8,FALSE)</f>
        <v>Character/Prefabs/m_m_ranger_infdust_launcher_2</v>
      </c>
      <c r="X1024" s="41"/>
      <c r="Y1024" s="41" t="str">
        <f>VLOOKUP($C1024,'#Data'!$B$3:$I$344,8,FALSE)</f>
        <v>m_m_ranger_infdust_launcher_2</v>
      </c>
      <c r="Z1024" s="41"/>
      <c r="AA1024" s="41"/>
      <c r="AB1024" s="41"/>
      <c r="AC1024" s="90">
        <v>0.7</v>
      </c>
      <c r="AD1024" s="41"/>
      <c r="AE1024" s="41"/>
      <c r="AF1024" s="41"/>
      <c r="AG1024" s="41" t="s">
        <v>2758</v>
      </c>
      <c r="AH1024" s="85"/>
    </row>
    <row r="1025" spans="1:34" x14ac:dyDescent="0.3">
      <c r="A1025" s="41">
        <f t="shared" si="30"/>
        <v>1610203109</v>
      </c>
      <c r="B1025" s="41" t="s">
        <v>105</v>
      </c>
      <c r="C1025" s="41" t="s">
        <v>114</v>
      </c>
      <c r="D1025" s="41" t="str">
        <f>"Monster.Name."&amp;VLOOKUP($C1025,'#Data'!$B$2:$J$344,2,FALSE)</f>
        <v>Monster.Name.head_snatcher_1</v>
      </c>
      <c r="E1025" s="41" t="s">
        <v>43</v>
      </c>
      <c r="F1025" s="42" t="s">
        <v>44</v>
      </c>
      <c r="G1025" s="41" t="s">
        <v>45</v>
      </c>
      <c r="H1025" s="41" t="b">
        <f>IF(OR(VLOOKUP($C1025,'#Data'!$B$2:$J$344,4,FALSE)="보스",VLOOKUP($C1025,'#Data'!$B$2:$J$344,4,FALSE)="중간"),TRUE,FALSE)</f>
        <v>0</v>
      </c>
      <c r="I1025" s="41" t="b">
        <v>0</v>
      </c>
      <c r="J1025" s="41">
        <v>10</v>
      </c>
      <c r="K1025" s="41">
        <f t="shared" si="31"/>
        <v>10</v>
      </c>
      <c r="L1025" s="67" t="str">
        <f>$B1025&amp;"."&amp;VLOOKUP($C1025,'#Data'!$B$2:$J$344,2,FALSE)&amp;".attack0"&amp;RIGHT(L$1,1)</f>
        <v>Sector03.head_snatcher_1.attack01</v>
      </c>
      <c r="M1025" s="67"/>
      <c r="N1025" s="67"/>
      <c r="O1025" s="137" t="str">
        <f>$B1025&amp;"."&amp;VLOOKUP($C1025,'#Data'!$B$2:$J$344,2,FALSE)&amp;".skill0"&amp;RIGHT(O$1,1)</f>
        <v>Sector03.head_snatcher_1.skill01</v>
      </c>
      <c r="P1025" s="137" t="s">
        <v>2016</v>
      </c>
      <c r="Q1025" s="137"/>
      <c r="R1025" s="68"/>
      <c r="S1025" s="68"/>
      <c r="T1025" s="68"/>
      <c r="U1025" s="68"/>
      <c r="V1025" s="41" t="b">
        <v>0</v>
      </c>
      <c r="W1025" s="41" t="str">
        <f>"Character/Prefabs/"&amp;VLOOKUP($C1025,'#Data'!$B$3:$I$344,8,FALSE)</f>
        <v>Character/Prefabs/m_m_attacker_head_snatcher_1</v>
      </c>
      <c r="X1025" s="41"/>
      <c r="Y1025" s="41" t="str">
        <f>VLOOKUP($C1025,'#Data'!$B$3:$I$344,8,FALSE)</f>
        <v>m_m_attacker_head_snatcher_1</v>
      </c>
      <c r="Z1025" s="41"/>
      <c r="AA1025" s="41"/>
      <c r="AB1025" s="41"/>
      <c r="AC1025" s="90">
        <v>0.7</v>
      </c>
      <c r="AD1025" s="41"/>
      <c r="AE1025" s="41"/>
      <c r="AF1025" s="41"/>
      <c r="AG1025" s="41" t="s">
        <v>2758</v>
      </c>
      <c r="AH1025" s="85"/>
    </row>
    <row r="1026" spans="1:34" x14ac:dyDescent="0.3">
      <c r="A1026" s="41">
        <f t="shared" si="30"/>
        <v>1610203110</v>
      </c>
      <c r="B1026" s="41" t="s">
        <v>105</v>
      </c>
      <c r="C1026" s="41" t="s">
        <v>115</v>
      </c>
      <c r="D1026" s="41" t="str">
        <f>"Monster.Name."&amp;VLOOKUP($C1026,'#Data'!$B$2:$J$344,2,FALSE)</f>
        <v>Monster.Name.core_snatcher_1</v>
      </c>
      <c r="E1026" s="41" t="s">
        <v>47</v>
      </c>
      <c r="F1026" s="42" t="s">
        <v>44</v>
      </c>
      <c r="G1026" s="41" t="s">
        <v>45</v>
      </c>
      <c r="H1026" s="41" t="b">
        <f>IF(OR(VLOOKUP($C1026,'#Data'!$B$2:$J$344,4,FALSE)="보스",VLOOKUP($C1026,'#Data'!$B$2:$J$344,4,FALSE)="중간"),TRUE,FALSE)</f>
        <v>0</v>
      </c>
      <c r="I1026" s="41" t="b">
        <v>0</v>
      </c>
      <c r="J1026" s="41">
        <v>10</v>
      </c>
      <c r="K1026" s="41">
        <f t="shared" si="31"/>
        <v>10</v>
      </c>
      <c r="L1026" s="67" t="str">
        <f>$B1026&amp;"."&amp;VLOOKUP($C1026,'#Data'!$B$2:$J$344,2,FALSE)&amp;".attack0"&amp;RIGHT(L$1,1)</f>
        <v>Sector03.core_snatcher_1.attack01</v>
      </c>
      <c r="M1026" s="67"/>
      <c r="N1026" s="67"/>
      <c r="O1026" s="137" t="str">
        <f>$B1026&amp;"."&amp;VLOOKUP($C1026,'#Data'!$B$2:$J$344,2,FALSE)&amp;".skill0"&amp;RIGHT(O$1,1)</f>
        <v>Sector03.core_snatcher_1.skill01</v>
      </c>
      <c r="P1026" s="137" t="s">
        <v>2017</v>
      </c>
      <c r="Q1026" s="137"/>
      <c r="R1026" s="68"/>
      <c r="S1026" s="68"/>
      <c r="T1026" s="68"/>
      <c r="U1026" s="68"/>
      <c r="V1026" s="41" t="b">
        <v>0</v>
      </c>
      <c r="W1026" s="41" t="str">
        <f>"Character/Prefabs/"&amp;VLOOKUP($C1026,'#Data'!$B$3:$I$344,8,FALSE)</f>
        <v>Character/Prefabs/m_m_ranger_core_snatcher_1</v>
      </c>
      <c r="X1026" s="41"/>
      <c r="Y1026" s="41" t="str">
        <f>VLOOKUP($C1026,'#Data'!$B$3:$I$344,8,FALSE)</f>
        <v>m_m_ranger_core_snatcher_1</v>
      </c>
      <c r="Z1026" s="41"/>
      <c r="AA1026" s="41"/>
      <c r="AB1026" s="41"/>
      <c r="AC1026" s="90">
        <v>0.7</v>
      </c>
      <c r="AD1026" s="41"/>
      <c r="AE1026" s="41"/>
      <c r="AF1026" s="41"/>
      <c r="AG1026" s="41" t="s">
        <v>2758</v>
      </c>
      <c r="AH1026" s="85"/>
    </row>
    <row r="1027" spans="1:34" x14ac:dyDescent="0.3">
      <c r="A1027" s="19">
        <f t="shared" si="30"/>
        <v>1610203111</v>
      </c>
      <c r="B1027" s="19" t="s">
        <v>105</v>
      </c>
      <c r="C1027" s="19" t="s">
        <v>1241</v>
      </c>
      <c r="D1027" s="19" t="str">
        <f>"Monster.Name."&amp;VLOOKUP($C1027,'#Data'!$B$2:$J$344,2,FALSE)</f>
        <v>Monster.Name.brain_hunter_2</v>
      </c>
      <c r="E1027" s="19" t="s">
        <v>43</v>
      </c>
      <c r="F1027" s="48" t="s">
        <v>44</v>
      </c>
      <c r="G1027" s="19" t="s">
        <v>45</v>
      </c>
      <c r="H1027" s="19" t="b">
        <f>IF(OR(VLOOKUP($C1027,'#Data'!$B$2:$J$344,4,FALSE)="보스",VLOOKUP($C1027,'#Data'!$B$2:$J$344,4,FALSE)="중간"),TRUE,FALSE)</f>
        <v>0</v>
      </c>
      <c r="I1027" s="19" t="b">
        <v>0</v>
      </c>
      <c r="J1027" s="19">
        <v>10</v>
      </c>
      <c r="K1027" s="19">
        <f t="shared" si="31"/>
        <v>10</v>
      </c>
      <c r="L1027" s="69" t="s">
        <v>1332</v>
      </c>
      <c r="M1027" s="69"/>
      <c r="N1027" s="69"/>
      <c r="O1027" s="138"/>
      <c r="P1027" s="138"/>
      <c r="Q1027" s="138"/>
      <c r="R1027" s="70"/>
      <c r="S1027" s="70"/>
      <c r="T1027" s="70"/>
      <c r="U1027" s="70"/>
      <c r="V1027" s="19" t="b">
        <v>0</v>
      </c>
      <c r="W1027" s="19" t="str">
        <f>"Character/Prefabs/"&amp;VLOOKUP($C1027,'#Data'!$B$3:$I$344,8,FALSE)</f>
        <v>Character/Prefabs/m_s_attacker_brain_hunter_2</v>
      </c>
      <c r="X1027" s="19"/>
      <c r="Y1027" s="19" t="str">
        <f>VLOOKUP($C1027,'#Data'!$B$3:$I$344,8,FALSE)</f>
        <v>m_s_attacker_brain_hunter_2</v>
      </c>
      <c r="Z1027" s="19"/>
      <c r="AA1027" s="19"/>
      <c r="AB1027" s="19"/>
      <c r="AC1027" s="91">
        <v>0.9</v>
      </c>
      <c r="AD1027" s="19"/>
      <c r="AE1027" s="19"/>
      <c r="AF1027" s="19"/>
      <c r="AG1027" s="19" t="s">
        <v>2758</v>
      </c>
      <c r="AH1027" s="85"/>
    </row>
    <row r="1028" spans="1:34" x14ac:dyDescent="0.3">
      <c r="A1028" s="19">
        <f t="shared" si="30"/>
        <v>1610203112</v>
      </c>
      <c r="B1028" s="19" t="s">
        <v>105</v>
      </c>
      <c r="C1028" s="19" t="s">
        <v>1243</v>
      </c>
      <c r="D1028" s="19" t="str">
        <f>"Monster.Name."&amp;VLOOKUP($C1028,'#Data'!$B$2:$J$344,2,FALSE)</f>
        <v>Monster.Name.infmecha_3</v>
      </c>
      <c r="E1028" s="19" t="s">
        <v>43</v>
      </c>
      <c r="F1028" s="48" t="s">
        <v>44</v>
      </c>
      <c r="G1028" s="19" t="s">
        <v>45</v>
      </c>
      <c r="H1028" s="19" t="b">
        <f>IF(OR(VLOOKUP($C1028,'#Data'!$B$2:$J$344,4,FALSE)="보스",VLOOKUP($C1028,'#Data'!$B$2:$J$344,4,FALSE)="중간"),TRUE,FALSE)</f>
        <v>0</v>
      </c>
      <c r="I1028" s="19" t="b">
        <v>0</v>
      </c>
      <c r="J1028" s="19">
        <v>10</v>
      </c>
      <c r="K1028" s="19">
        <f t="shared" si="31"/>
        <v>10</v>
      </c>
      <c r="L1028" s="69" t="s">
        <v>1333</v>
      </c>
      <c r="M1028" s="69"/>
      <c r="N1028" s="69"/>
      <c r="O1028" s="138" t="s">
        <v>2009</v>
      </c>
      <c r="P1028" s="138"/>
      <c r="Q1028" s="138"/>
      <c r="R1028" s="70"/>
      <c r="S1028" s="70"/>
      <c r="T1028" s="70"/>
      <c r="U1028" s="70"/>
      <c r="V1028" s="19" t="b">
        <v>0</v>
      </c>
      <c r="W1028" s="19" t="str">
        <f>"Character/Prefabs/"&amp;VLOOKUP($C1028,'#Data'!$B$3:$I$344,8,FALSE)</f>
        <v>Character/Prefabs/m_s_attacker_infmecha_3</v>
      </c>
      <c r="X1028" s="19"/>
      <c r="Y1028" s="19" t="str">
        <f>VLOOKUP($C1028,'#Data'!$B$3:$I$344,8,FALSE)</f>
        <v>m_s_attacker_infmecha_3</v>
      </c>
      <c r="Z1028" s="19"/>
      <c r="AA1028" s="19"/>
      <c r="AB1028" s="19"/>
      <c r="AC1028" s="91">
        <v>0.6</v>
      </c>
      <c r="AD1028" s="19"/>
      <c r="AE1028" s="19"/>
      <c r="AF1028" s="19"/>
      <c r="AG1028" s="19" t="s">
        <v>2758</v>
      </c>
      <c r="AH1028" s="85"/>
    </row>
    <row r="1029" spans="1:34" x14ac:dyDescent="0.3">
      <c r="A1029" s="19">
        <f t="shared" si="30"/>
        <v>1610203113</v>
      </c>
      <c r="B1029" s="19" t="s">
        <v>105</v>
      </c>
      <c r="C1029" s="19" t="s">
        <v>1245</v>
      </c>
      <c r="D1029" s="19" t="str">
        <f>"Monster.Name."&amp;VLOOKUP($C1029,'#Data'!$B$2:$J$344,2,FALSE)</f>
        <v>Monster.Name.core_hunter_2</v>
      </c>
      <c r="E1029" s="19" t="s">
        <v>47</v>
      </c>
      <c r="F1029" s="48" t="s">
        <v>44</v>
      </c>
      <c r="G1029" s="19" t="s">
        <v>45</v>
      </c>
      <c r="H1029" s="19" t="b">
        <f>IF(OR(VLOOKUP($C1029,'#Data'!$B$2:$J$344,4,FALSE)="보스",VLOOKUP($C1029,'#Data'!$B$2:$J$344,4,FALSE)="중간"),TRUE,FALSE)</f>
        <v>0</v>
      </c>
      <c r="I1029" s="19" t="b">
        <v>0</v>
      </c>
      <c r="J1029" s="19">
        <v>10</v>
      </c>
      <c r="K1029" s="19">
        <f t="shared" si="31"/>
        <v>10</v>
      </c>
      <c r="L1029" s="69" t="s">
        <v>1334</v>
      </c>
      <c r="M1029" s="69"/>
      <c r="N1029" s="69"/>
      <c r="O1029" s="138" t="s">
        <v>2010</v>
      </c>
      <c r="P1029" s="138"/>
      <c r="Q1029" s="138"/>
      <c r="R1029" s="70"/>
      <c r="S1029" s="70"/>
      <c r="T1029" s="70"/>
      <c r="U1029" s="70"/>
      <c r="V1029" s="19" t="b">
        <v>0</v>
      </c>
      <c r="W1029" s="19" t="str">
        <f>"Character/Prefabs/"&amp;VLOOKUP($C1029,'#Data'!$B$3:$I$344,8,FALSE)</f>
        <v>Character/Prefabs/m_s_ranger_core_hunter_2</v>
      </c>
      <c r="X1029" s="19"/>
      <c r="Y1029" s="19" t="str">
        <f>VLOOKUP($C1029,'#Data'!$B$3:$I$344,8,FALSE)</f>
        <v>m_s_ranger_core_hunter_2</v>
      </c>
      <c r="Z1029" s="19"/>
      <c r="AA1029" s="19"/>
      <c r="AB1029" s="19"/>
      <c r="AC1029" s="91">
        <v>0.9</v>
      </c>
      <c r="AD1029" s="19"/>
      <c r="AE1029" s="19"/>
      <c r="AF1029" s="19"/>
      <c r="AG1029" s="19" t="s">
        <v>2758</v>
      </c>
      <c r="AH1029" s="85"/>
    </row>
    <row r="1030" spans="1:34" x14ac:dyDescent="0.3">
      <c r="A1030" s="19">
        <f t="shared" si="30"/>
        <v>1610203114</v>
      </c>
      <c r="B1030" s="19" t="s">
        <v>105</v>
      </c>
      <c r="C1030" s="19" t="s">
        <v>1247</v>
      </c>
      <c r="D1030" s="19" t="str">
        <f>"Monster.Name."&amp;VLOOKUP($C1030,'#Data'!$B$2:$J$344,2,FALSE)</f>
        <v>Monster.Name.infturret_3</v>
      </c>
      <c r="E1030" s="19" t="s">
        <v>47</v>
      </c>
      <c r="F1030" s="48" t="s">
        <v>44</v>
      </c>
      <c r="G1030" s="19" t="s">
        <v>45</v>
      </c>
      <c r="H1030" s="19" t="b">
        <f>IF(OR(VLOOKUP($C1030,'#Data'!$B$2:$J$344,4,FALSE)="보스",VLOOKUP($C1030,'#Data'!$B$2:$J$344,4,FALSE)="중간"),TRUE,FALSE)</f>
        <v>0</v>
      </c>
      <c r="I1030" s="19" t="b">
        <v>0</v>
      </c>
      <c r="J1030" s="19">
        <v>10</v>
      </c>
      <c r="K1030" s="19">
        <f t="shared" si="31"/>
        <v>10</v>
      </c>
      <c r="L1030" s="69" t="s">
        <v>1335</v>
      </c>
      <c r="M1030" s="69"/>
      <c r="N1030" s="69"/>
      <c r="O1030" s="138" t="s">
        <v>2011</v>
      </c>
      <c r="P1030" s="138"/>
      <c r="Q1030" s="138"/>
      <c r="R1030" s="70"/>
      <c r="S1030" s="70"/>
      <c r="T1030" s="70"/>
      <c r="U1030" s="70"/>
      <c r="V1030" s="19" t="b">
        <v>0</v>
      </c>
      <c r="W1030" s="19" t="str">
        <f>"Character/Prefabs/"&amp;VLOOKUP($C1030,'#Data'!$B$3:$I$344,8,FALSE)</f>
        <v>Character/Prefabs/m_s_ranger_infturret_3</v>
      </c>
      <c r="X1030" s="19"/>
      <c r="Y1030" s="19" t="str">
        <f>VLOOKUP($C1030,'#Data'!$B$3:$I$344,8,FALSE)</f>
        <v>m_s_ranger_infturret_3</v>
      </c>
      <c r="Z1030" s="19"/>
      <c r="AA1030" s="19"/>
      <c r="AB1030" s="19"/>
      <c r="AC1030" s="91">
        <v>0.6</v>
      </c>
      <c r="AD1030" s="19"/>
      <c r="AE1030" s="19"/>
      <c r="AF1030" s="19"/>
      <c r="AG1030" s="19" t="s">
        <v>2758</v>
      </c>
      <c r="AH1030" s="85"/>
    </row>
    <row r="1031" spans="1:34" x14ac:dyDescent="0.3">
      <c r="A1031" s="19">
        <f t="shared" si="30"/>
        <v>1610203115</v>
      </c>
      <c r="B1031" s="19" t="s">
        <v>105</v>
      </c>
      <c r="C1031" s="19" t="s">
        <v>1249</v>
      </c>
      <c r="D1031" s="19" t="str">
        <f>"Monster.Name."&amp;VLOOKUP($C1031,'#Data'!$B$2:$J$344,2,FALSE)</f>
        <v>Monster.Name.infdust_shield_3</v>
      </c>
      <c r="E1031" s="19" t="s">
        <v>58</v>
      </c>
      <c r="F1031" s="48" t="s">
        <v>44</v>
      </c>
      <c r="G1031" s="19" t="s">
        <v>45</v>
      </c>
      <c r="H1031" s="19" t="b">
        <f>IF(OR(VLOOKUP($C1031,'#Data'!$B$2:$J$344,4,FALSE)="보스",VLOOKUP($C1031,'#Data'!$B$2:$J$344,4,FALSE)="중간"),TRUE,FALSE)</f>
        <v>0</v>
      </c>
      <c r="I1031" s="19" t="b">
        <v>0</v>
      </c>
      <c r="J1031" s="19">
        <v>10</v>
      </c>
      <c r="K1031" s="19">
        <f t="shared" si="31"/>
        <v>10</v>
      </c>
      <c r="L1031" s="69" t="s">
        <v>1336</v>
      </c>
      <c r="M1031" s="69"/>
      <c r="N1031" s="69"/>
      <c r="O1031" s="138" t="s">
        <v>1342</v>
      </c>
      <c r="P1031" s="138" t="s">
        <v>2012</v>
      </c>
      <c r="Q1031" s="138"/>
      <c r="R1031" s="70"/>
      <c r="S1031" s="70"/>
      <c r="T1031" s="70"/>
      <c r="U1031" s="70"/>
      <c r="V1031" s="19" t="b">
        <v>0</v>
      </c>
      <c r="W1031" s="19" t="str">
        <f>"Character/Prefabs/"&amp;VLOOKUP($C1031,'#Data'!$B$3:$I$344,8,FALSE)</f>
        <v>Character/Prefabs/m_m_tanker_infdust_shield_3</v>
      </c>
      <c r="X1031" s="19"/>
      <c r="Y1031" s="19" t="str">
        <f>VLOOKUP($C1031,'#Data'!$B$3:$I$344,8,FALSE)</f>
        <v>m_m_tanker_infdust_shield_3</v>
      </c>
      <c r="Z1031" s="19"/>
      <c r="AA1031" s="19"/>
      <c r="AB1031" s="19"/>
      <c r="AC1031" s="91">
        <v>0.7</v>
      </c>
      <c r="AD1031" s="19"/>
      <c r="AE1031" s="19"/>
      <c r="AF1031" s="19"/>
      <c r="AG1031" s="19" t="s">
        <v>2758</v>
      </c>
      <c r="AH1031" s="85"/>
    </row>
    <row r="1032" spans="1:34" x14ac:dyDescent="0.3">
      <c r="A1032" s="19">
        <f t="shared" si="30"/>
        <v>1610203116</v>
      </c>
      <c r="B1032" s="19" t="s">
        <v>105</v>
      </c>
      <c r="C1032" s="19" t="s">
        <v>1251</v>
      </c>
      <c r="D1032" s="19" t="str">
        <f>"Monster.Name."&amp;VLOOKUP($C1032,'#Data'!$B$2:$J$344,2,FALSE)</f>
        <v>Monster.Name.infdust_gauntlet_3</v>
      </c>
      <c r="E1032" s="19" t="s">
        <v>43</v>
      </c>
      <c r="F1032" s="48" t="s">
        <v>44</v>
      </c>
      <c r="G1032" s="19" t="s">
        <v>45</v>
      </c>
      <c r="H1032" s="19" t="b">
        <f>IF(OR(VLOOKUP($C1032,'#Data'!$B$2:$J$344,4,FALSE)="보스",VLOOKUP($C1032,'#Data'!$B$2:$J$344,4,FALSE)="중간"),TRUE,FALSE)</f>
        <v>0</v>
      </c>
      <c r="I1032" s="19" t="b">
        <v>0</v>
      </c>
      <c r="J1032" s="19">
        <v>10</v>
      </c>
      <c r="K1032" s="19">
        <f t="shared" si="31"/>
        <v>10</v>
      </c>
      <c r="L1032" s="69" t="s">
        <v>1337</v>
      </c>
      <c r="M1032" s="69"/>
      <c r="N1032" s="69"/>
      <c r="O1032" s="138" t="s">
        <v>1343</v>
      </c>
      <c r="P1032" s="138" t="s">
        <v>2013</v>
      </c>
      <c r="Q1032" s="138"/>
      <c r="R1032" s="70"/>
      <c r="S1032" s="70"/>
      <c r="T1032" s="70"/>
      <c r="U1032" s="70"/>
      <c r="V1032" s="19" t="b">
        <v>0</v>
      </c>
      <c r="W1032" s="19" t="str">
        <f>"Character/Prefabs/"&amp;VLOOKUP($C1032,'#Data'!$B$3:$I$344,8,FALSE)</f>
        <v>Character/Prefabs/m_m_attacker_infdust_gauntlet_3</v>
      </c>
      <c r="X1032" s="19"/>
      <c r="Y1032" s="19" t="str">
        <f>VLOOKUP($C1032,'#Data'!$B$3:$I$344,8,FALSE)</f>
        <v>m_m_attacker_infdust_gauntlet_3</v>
      </c>
      <c r="Z1032" s="19"/>
      <c r="AA1032" s="19"/>
      <c r="AB1032" s="19"/>
      <c r="AC1032" s="91">
        <v>0.7</v>
      </c>
      <c r="AD1032" s="19"/>
      <c r="AE1032" s="19"/>
      <c r="AF1032" s="19"/>
      <c r="AG1032" s="19" t="s">
        <v>2758</v>
      </c>
      <c r="AH1032" s="85"/>
    </row>
    <row r="1033" spans="1:34" x14ac:dyDescent="0.3">
      <c r="A1033" s="19">
        <f t="shared" si="30"/>
        <v>1610203117</v>
      </c>
      <c r="B1033" s="19" t="s">
        <v>105</v>
      </c>
      <c r="C1033" s="19" t="s">
        <v>1253</v>
      </c>
      <c r="D1033" s="19" t="str">
        <f>"Monster.Name."&amp;VLOOKUP($C1033,'#Data'!$B$2:$J$344,2,FALSE)</f>
        <v>Monster.Name.infdust_rifle_3</v>
      </c>
      <c r="E1033" s="19" t="s">
        <v>47</v>
      </c>
      <c r="F1033" s="48" t="s">
        <v>44</v>
      </c>
      <c r="G1033" s="19" t="s">
        <v>45</v>
      </c>
      <c r="H1033" s="19" t="b">
        <f>IF(OR(VLOOKUP($C1033,'#Data'!$B$2:$J$344,4,FALSE)="보스",VLOOKUP($C1033,'#Data'!$B$2:$J$344,4,FALSE)="중간"),TRUE,FALSE)</f>
        <v>0</v>
      </c>
      <c r="I1033" s="19" t="b">
        <v>0</v>
      </c>
      <c r="J1033" s="19">
        <v>10</v>
      </c>
      <c r="K1033" s="19">
        <f t="shared" si="31"/>
        <v>10</v>
      </c>
      <c r="L1033" s="69" t="s">
        <v>1338</v>
      </c>
      <c r="M1033" s="69"/>
      <c r="N1033" s="69"/>
      <c r="O1033" s="138" t="s">
        <v>1344</v>
      </c>
      <c r="P1033" s="138" t="s">
        <v>2014</v>
      </c>
      <c r="Q1033" s="138"/>
      <c r="R1033" s="70"/>
      <c r="S1033" s="70"/>
      <c r="T1033" s="70"/>
      <c r="U1033" s="70"/>
      <c r="V1033" s="19" t="b">
        <v>0</v>
      </c>
      <c r="W1033" s="19" t="str">
        <f>"Character/Prefabs/"&amp;VLOOKUP($C1033,'#Data'!$B$3:$I$344,8,FALSE)</f>
        <v>Character/Prefabs/m_m_ranger_infdust_rifle_3</v>
      </c>
      <c r="X1033" s="19"/>
      <c r="Y1033" s="19" t="str">
        <f>VLOOKUP($C1033,'#Data'!$B$3:$I$344,8,FALSE)</f>
        <v>m_m_ranger_infdust_rifle_3</v>
      </c>
      <c r="Z1033" s="19"/>
      <c r="AA1033" s="19"/>
      <c r="AB1033" s="19"/>
      <c r="AC1033" s="91">
        <v>0.7</v>
      </c>
      <c r="AD1033" s="19"/>
      <c r="AE1033" s="19"/>
      <c r="AF1033" s="19"/>
      <c r="AG1033" s="19" t="s">
        <v>2758</v>
      </c>
      <c r="AH1033" s="85"/>
    </row>
    <row r="1034" spans="1:34" x14ac:dyDescent="0.3">
      <c r="A1034" s="19">
        <f t="shared" si="30"/>
        <v>1610203118</v>
      </c>
      <c r="B1034" s="19" t="s">
        <v>105</v>
      </c>
      <c r="C1034" s="19" t="s">
        <v>1255</v>
      </c>
      <c r="D1034" s="19" t="str">
        <f>"Monster.Name."&amp;VLOOKUP($C1034,'#Data'!$B$2:$J$344,2,FALSE)</f>
        <v>Monster.Name.infdust_launcher_3</v>
      </c>
      <c r="E1034" s="19" t="s">
        <v>47</v>
      </c>
      <c r="F1034" s="48" t="s">
        <v>44</v>
      </c>
      <c r="G1034" s="19" t="s">
        <v>45</v>
      </c>
      <c r="H1034" s="19" t="b">
        <f>IF(OR(VLOOKUP($C1034,'#Data'!$B$2:$J$344,4,FALSE)="보스",VLOOKUP($C1034,'#Data'!$B$2:$J$344,4,FALSE)="중간"),TRUE,FALSE)</f>
        <v>0</v>
      </c>
      <c r="I1034" s="19" t="b">
        <v>0</v>
      </c>
      <c r="J1034" s="19">
        <v>10</v>
      </c>
      <c r="K1034" s="19">
        <f t="shared" si="31"/>
        <v>10</v>
      </c>
      <c r="L1034" s="69" t="s">
        <v>1339</v>
      </c>
      <c r="M1034" s="69"/>
      <c r="N1034" s="69"/>
      <c r="O1034" s="138" t="s">
        <v>1345</v>
      </c>
      <c r="P1034" s="138" t="s">
        <v>2015</v>
      </c>
      <c r="Q1034" s="138"/>
      <c r="R1034" s="70"/>
      <c r="S1034" s="70"/>
      <c r="T1034" s="70"/>
      <c r="U1034" s="70"/>
      <c r="V1034" s="19" t="b">
        <v>0</v>
      </c>
      <c r="W1034" s="19" t="str">
        <f>"Character/Prefabs/"&amp;VLOOKUP($C1034,'#Data'!$B$3:$I$344,8,FALSE)</f>
        <v>Character/Prefabs/m_m_ranger_infdust_launcher_3</v>
      </c>
      <c r="X1034" s="19"/>
      <c r="Y1034" s="19" t="str">
        <f>VLOOKUP($C1034,'#Data'!$B$3:$I$344,8,FALSE)</f>
        <v>m_m_ranger_infdust_launcher_3</v>
      </c>
      <c r="Z1034" s="19"/>
      <c r="AA1034" s="19"/>
      <c r="AB1034" s="19"/>
      <c r="AC1034" s="91">
        <v>0.7</v>
      </c>
      <c r="AD1034" s="19"/>
      <c r="AE1034" s="19"/>
      <c r="AF1034" s="19"/>
      <c r="AG1034" s="19" t="s">
        <v>2758</v>
      </c>
      <c r="AH1034" s="85"/>
    </row>
    <row r="1035" spans="1:34" x14ac:dyDescent="0.3">
      <c r="A1035" s="19">
        <f t="shared" si="30"/>
        <v>1610203119</v>
      </c>
      <c r="B1035" s="19" t="s">
        <v>105</v>
      </c>
      <c r="C1035" s="19" t="s">
        <v>1257</v>
      </c>
      <c r="D1035" s="19" t="str">
        <f>"Monster.Name."&amp;VLOOKUP($C1035,'#Data'!$B$2:$J$344,2,FALSE)</f>
        <v>Monster.Name.head_snatcher_2</v>
      </c>
      <c r="E1035" s="19" t="s">
        <v>43</v>
      </c>
      <c r="F1035" s="48" t="s">
        <v>44</v>
      </c>
      <c r="G1035" s="19" t="s">
        <v>45</v>
      </c>
      <c r="H1035" s="19" t="b">
        <f>IF(OR(VLOOKUP($C1035,'#Data'!$B$2:$J$344,4,FALSE)="보스",VLOOKUP($C1035,'#Data'!$B$2:$J$344,4,FALSE)="중간"),TRUE,FALSE)</f>
        <v>0</v>
      </c>
      <c r="I1035" s="19" t="b">
        <v>0</v>
      </c>
      <c r="J1035" s="19">
        <v>10</v>
      </c>
      <c r="K1035" s="19">
        <f t="shared" si="31"/>
        <v>10</v>
      </c>
      <c r="L1035" s="69" t="s">
        <v>1340</v>
      </c>
      <c r="M1035" s="69"/>
      <c r="N1035" s="69"/>
      <c r="O1035" s="138" t="s">
        <v>1346</v>
      </c>
      <c r="P1035" s="138" t="s">
        <v>2016</v>
      </c>
      <c r="Q1035" s="138"/>
      <c r="R1035" s="70"/>
      <c r="S1035" s="70"/>
      <c r="T1035" s="70"/>
      <c r="U1035" s="70"/>
      <c r="V1035" s="19" t="b">
        <v>0</v>
      </c>
      <c r="W1035" s="19" t="str">
        <f>"Character/Prefabs/"&amp;VLOOKUP($C1035,'#Data'!$B$3:$I$344,8,FALSE)</f>
        <v>Character/Prefabs/m_m_attacker_head_snatcher_2</v>
      </c>
      <c r="X1035" s="19"/>
      <c r="Y1035" s="19" t="str">
        <f>VLOOKUP($C1035,'#Data'!$B$3:$I$344,8,FALSE)</f>
        <v>m_m_attacker_head_snatcher_2</v>
      </c>
      <c r="Z1035" s="19"/>
      <c r="AA1035" s="19"/>
      <c r="AB1035" s="19"/>
      <c r="AC1035" s="91">
        <v>0.7</v>
      </c>
      <c r="AD1035" s="19"/>
      <c r="AE1035" s="19"/>
      <c r="AF1035" s="19"/>
      <c r="AG1035" s="19" t="s">
        <v>2758</v>
      </c>
      <c r="AH1035" s="85"/>
    </row>
    <row r="1036" spans="1:34" x14ac:dyDescent="0.3">
      <c r="A1036" s="19">
        <f t="shared" ref="A1036:A1099" si="32">A843+100000000</f>
        <v>1610203120</v>
      </c>
      <c r="B1036" s="19" t="s">
        <v>105</v>
      </c>
      <c r="C1036" s="19" t="s">
        <v>1259</v>
      </c>
      <c r="D1036" s="19" t="str">
        <f>"Monster.Name."&amp;VLOOKUP($C1036,'#Data'!$B$2:$J$344,2,FALSE)</f>
        <v>Monster.Name.core_snatcher_2</v>
      </c>
      <c r="E1036" s="19" t="s">
        <v>47</v>
      </c>
      <c r="F1036" s="48" t="s">
        <v>44</v>
      </c>
      <c r="G1036" s="19" t="s">
        <v>45</v>
      </c>
      <c r="H1036" s="19" t="b">
        <f>IF(OR(VLOOKUP($C1036,'#Data'!$B$2:$J$344,4,FALSE)="보스",VLOOKUP($C1036,'#Data'!$B$2:$J$344,4,FALSE)="중간"),TRUE,FALSE)</f>
        <v>0</v>
      </c>
      <c r="I1036" s="19" t="b">
        <v>0</v>
      </c>
      <c r="J1036" s="19">
        <v>10</v>
      </c>
      <c r="K1036" s="19">
        <f t="shared" ref="K1036:K1099" si="33">K843</f>
        <v>10</v>
      </c>
      <c r="L1036" s="69" t="s">
        <v>1341</v>
      </c>
      <c r="M1036" s="69"/>
      <c r="N1036" s="69"/>
      <c r="O1036" s="138" t="s">
        <v>1347</v>
      </c>
      <c r="P1036" s="138" t="s">
        <v>2017</v>
      </c>
      <c r="Q1036" s="138"/>
      <c r="R1036" s="70"/>
      <c r="S1036" s="70"/>
      <c r="T1036" s="70"/>
      <c r="U1036" s="70"/>
      <c r="V1036" s="19" t="b">
        <v>0</v>
      </c>
      <c r="W1036" s="19" t="str">
        <f>"Character/Prefabs/"&amp;VLOOKUP($C1036,'#Data'!$B$3:$I$344,8,FALSE)</f>
        <v>Character/Prefabs/m_m_ranger_core_snatcher_2</v>
      </c>
      <c r="X1036" s="19"/>
      <c r="Y1036" s="19" t="str">
        <f>VLOOKUP($C1036,'#Data'!$B$3:$I$344,8,FALSE)</f>
        <v>m_m_ranger_core_snatcher_2</v>
      </c>
      <c r="Z1036" s="19"/>
      <c r="AA1036" s="19"/>
      <c r="AB1036" s="19"/>
      <c r="AC1036" s="91">
        <v>0.7</v>
      </c>
      <c r="AD1036" s="19"/>
      <c r="AE1036" s="19"/>
      <c r="AF1036" s="19"/>
      <c r="AG1036" s="19" t="s">
        <v>2758</v>
      </c>
      <c r="AH1036" s="85"/>
    </row>
    <row r="1037" spans="1:34" x14ac:dyDescent="0.3">
      <c r="A1037" s="41">
        <f t="shared" si="32"/>
        <v>1610203201</v>
      </c>
      <c r="B1037" s="41" t="s">
        <v>105</v>
      </c>
      <c r="C1037" s="41" t="s">
        <v>116</v>
      </c>
      <c r="D1037" s="41" t="str">
        <f>"Monster.Name."&amp;VLOOKUP($C1037,'#Data'!$B$2:$J$344,2,FALSE)</f>
        <v>Monster.Name.grima_alpha_1</v>
      </c>
      <c r="E1037" s="41" t="s">
        <v>43</v>
      </c>
      <c r="F1037" s="42" t="s">
        <v>44</v>
      </c>
      <c r="G1037" s="41" t="s">
        <v>45</v>
      </c>
      <c r="H1037" s="41" t="b">
        <f>IF(OR(VLOOKUP($C1037,'#Data'!$B$2:$J$344,4,FALSE)="보스",VLOOKUP($C1037,'#Data'!$B$2:$J$344,4,FALSE)="중간"),TRUE,FALSE)</f>
        <v>1</v>
      </c>
      <c r="I1037" s="41" t="b">
        <v>1</v>
      </c>
      <c r="J1037" s="41">
        <v>20</v>
      </c>
      <c r="K1037" s="41">
        <f t="shared" si="33"/>
        <v>10</v>
      </c>
      <c r="L1037" s="67" t="str">
        <f>$B1037&amp;"."&amp;VLOOKUP($C1037,'#Data'!$B$2:$J$344,2,FALSE)&amp;".attack0"&amp;RIGHT(L$1,1)</f>
        <v>Sector03.grima_alpha_1.attack01</v>
      </c>
      <c r="M1037" s="67"/>
      <c r="N1037" s="67"/>
      <c r="O1037" s="137" t="str">
        <f>$B1037&amp;"."&amp;VLOOKUP($C1037,'#Data'!$B$2:$J$344,2,FALSE)&amp;".skill0"&amp;RIGHT(O$1,1)</f>
        <v>Sector03.grima_alpha_1.skill01</v>
      </c>
      <c r="P1037" s="137" t="str">
        <f>$B1037&amp;"."&amp;VLOOKUP($C1037,'#Data'!$B$2:$J$344,2,FALSE)&amp;".skill0"&amp;RIGHT(P$1,1)</f>
        <v>Sector03.grima_alpha_1.skill02</v>
      </c>
      <c r="Q1037" s="137" t="str">
        <f>$B1037&amp;"."&amp;VLOOKUP($C1037,'#Data'!$B$2:$J$344,2,FALSE)&amp;".skill0"&amp;RIGHT(Q$1,1)</f>
        <v>Sector03.grima_alpha_1.skill03</v>
      </c>
      <c r="R1037" s="68"/>
      <c r="S1037" s="68" t="s">
        <v>2076</v>
      </c>
      <c r="T1037" s="68"/>
      <c r="U1037" s="68"/>
      <c r="V1037" s="41" t="b">
        <v>0</v>
      </c>
      <c r="W1037" s="41" t="str">
        <f>"Character/Prefabs/"&amp;VLOOKUP($C1037,'#Data'!$B$3:$I$344,8,FALSE)</f>
        <v>Character/Prefabs/m_l_attacker_grima_alpha_1</v>
      </c>
      <c r="X1037" s="41"/>
      <c r="Y1037" s="41" t="str">
        <f>VLOOKUP($C1037,'#Data'!$B$3:$I$344,8,FALSE)</f>
        <v>m_l_attacker_grima_alpha_1</v>
      </c>
      <c r="Z1037" s="41"/>
      <c r="AA1037" s="41"/>
      <c r="AB1037" s="41"/>
      <c r="AC1037" s="90">
        <v>0.9</v>
      </c>
      <c r="AD1037" s="41"/>
      <c r="AE1037" s="41"/>
      <c r="AF1037" s="41"/>
      <c r="AG1037" s="41" t="s">
        <v>2758</v>
      </c>
      <c r="AH1037" s="85"/>
    </row>
    <row r="1038" spans="1:34" x14ac:dyDescent="0.3">
      <c r="A1038" s="41">
        <f t="shared" si="32"/>
        <v>1610203202</v>
      </c>
      <c r="B1038" s="41" t="s">
        <v>105</v>
      </c>
      <c r="C1038" s="41" t="s">
        <v>117</v>
      </c>
      <c r="D1038" s="41" t="str">
        <f>"Monster.Name."&amp;VLOOKUP($C1038,'#Data'!$B$2:$J$344,2,FALSE)</f>
        <v>Monster.Name.draindermis_1</v>
      </c>
      <c r="E1038" s="41" t="s">
        <v>47</v>
      </c>
      <c r="F1038" s="42" t="s">
        <v>44</v>
      </c>
      <c r="G1038" s="41" t="s">
        <v>45</v>
      </c>
      <c r="H1038" s="41" t="b">
        <f>IF(OR(VLOOKUP($C1038,'#Data'!$B$2:$J$344,4,FALSE)="보스",VLOOKUP($C1038,'#Data'!$B$2:$J$344,4,FALSE)="중간"),TRUE,FALSE)</f>
        <v>1</v>
      </c>
      <c r="I1038" s="41" t="b">
        <v>1</v>
      </c>
      <c r="J1038" s="41">
        <v>20</v>
      </c>
      <c r="K1038" s="41">
        <f t="shared" si="33"/>
        <v>10</v>
      </c>
      <c r="L1038" s="67" t="str">
        <f>$B1038&amp;"."&amp;VLOOKUP($C1038,'#Data'!$B$2:$J$344,2,FALSE)&amp;".attack0"&amp;RIGHT(L$1,1)</f>
        <v>Sector03.draindermis_1.attack01</v>
      </c>
      <c r="M1038" s="67"/>
      <c r="N1038" s="67"/>
      <c r="O1038" s="137" t="str">
        <f>$B1038&amp;"."&amp;VLOOKUP($C1038,'#Data'!$B$2:$J$344,2,FALSE)&amp;".skill0"&amp;RIGHT(O$1,1)</f>
        <v>Sector03.draindermis_1.skill01</v>
      </c>
      <c r="P1038" s="137" t="str">
        <f>$B1038&amp;"."&amp;VLOOKUP($C1038,'#Data'!$B$2:$J$344,2,FALSE)&amp;".skill0"&amp;RIGHT(P$1,1)</f>
        <v>Sector03.draindermis_1.skill02</v>
      </c>
      <c r="Q1038" s="137" t="str">
        <f>$B1038&amp;"."&amp;VLOOKUP($C1038,'#Data'!$B$2:$J$344,2,FALSE)&amp;".skill0"&amp;RIGHT(Q$1,1)</f>
        <v>Sector03.draindermis_1.skill03</v>
      </c>
      <c r="R1038" s="68"/>
      <c r="S1038" s="68" t="s">
        <v>2076</v>
      </c>
      <c r="T1038" s="68"/>
      <c r="U1038" s="68"/>
      <c r="V1038" s="41" t="b">
        <v>0</v>
      </c>
      <c r="W1038" s="41" t="str">
        <f>"Character/Prefabs/"&amp;VLOOKUP($C1038,'#Data'!$B$3:$I$344,8,FALSE)</f>
        <v>Character/Prefabs/m_l_ranger_draindermis_1</v>
      </c>
      <c r="X1038" s="41"/>
      <c r="Y1038" s="41" t="str">
        <f>VLOOKUP($C1038,'#Data'!$B$3:$I$344,8,FALSE)</f>
        <v>m_l_ranger_draindermis_1</v>
      </c>
      <c r="Z1038" s="41"/>
      <c r="AA1038" s="41"/>
      <c r="AB1038" s="41"/>
      <c r="AC1038" s="90">
        <v>0.9</v>
      </c>
      <c r="AD1038" s="41"/>
      <c r="AE1038" s="41"/>
      <c r="AF1038" s="41"/>
      <c r="AG1038" s="41" t="s">
        <v>2758</v>
      </c>
      <c r="AH1038" s="85"/>
    </row>
    <row r="1039" spans="1:34" x14ac:dyDescent="0.3">
      <c r="A1039" s="41">
        <f t="shared" si="32"/>
        <v>1610203203</v>
      </c>
      <c r="B1039" s="41" t="s">
        <v>105</v>
      </c>
      <c r="C1039" s="41" t="s">
        <v>118</v>
      </c>
      <c r="D1039" s="41" t="str">
        <f>"Monster.Name."&amp;VLOOKUP($C1039,'#Data'!$B$2:$J$344,2,FALSE)</f>
        <v>Monster.Name.grima_beta_1</v>
      </c>
      <c r="E1039" s="41" t="s">
        <v>43</v>
      </c>
      <c r="F1039" s="42" t="s">
        <v>44</v>
      </c>
      <c r="G1039" s="41" t="s">
        <v>45</v>
      </c>
      <c r="H1039" s="41" t="b">
        <f>IF(OR(VLOOKUP($C1039,'#Data'!$B$2:$J$344,4,FALSE)="보스",VLOOKUP($C1039,'#Data'!$B$2:$J$344,4,FALSE)="중간"),TRUE,FALSE)</f>
        <v>1</v>
      </c>
      <c r="I1039" s="41" t="b">
        <v>1</v>
      </c>
      <c r="J1039" s="41">
        <v>20</v>
      </c>
      <c r="K1039" s="41">
        <f t="shared" si="33"/>
        <v>10</v>
      </c>
      <c r="L1039" s="67" t="str">
        <f>$B1039&amp;"."&amp;VLOOKUP($C1039,'#Data'!$B$2:$J$344,2,FALSE)&amp;".attack0"&amp;RIGHT(L$1,1)</f>
        <v>Sector03.grima_beta_1.attack01</v>
      </c>
      <c r="M1039" s="67"/>
      <c r="N1039" s="67"/>
      <c r="O1039" s="137" t="str">
        <f>$B1039&amp;"."&amp;VLOOKUP($C1039,'#Data'!$B$2:$J$344,2,FALSE)&amp;".skill0"&amp;RIGHT(O$1,1)</f>
        <v>Sector03.grima_beta_1.skill01</v>
      </c>
      <c r="P1039" s="137" t="str">
        <f>$B1039&amp;"."&amp;VLOOKUP($C1039,'#Data'!$B$2:$J$344,2,FALSE)&amp;".skill0"&amp;RIGHT(P$1,1)</f>
        <v>Sector03.grima_beta_1.skill02</v>
      </c>
      <c r="Q1039" s="137" t="str">
        <f>$B1039&amp;"."&amp;VLOOKUP($C1039,'#Data'!$B$2:$J$344,2,FALSE)&amp;".skill0"&amp;RIGHT(Q$1,1)</f>
        <v>Sector03.grima_beta_1.skill03</v>
      </c>
      <c r="R1039" s="68"/>
      <c r="S1039" s="68" t="s">
        <v>2076</v>
      </c>
      <c r="T1039" s="68"/>
      <c r="U1039" s="68"/>
      <c r="V1039" s="41" t="b">
        <v>0</v>
      </c>
      <c r="W1039" s="41" t="str">
        <f>"Character/Prefabs/"&amp;VLOOKUP($C1039,'#Data'!$B$3:$I$344,8,FALSE)</f>
        <v>Character/Prefabs/m_l_attacker_grima_beta_1</v>
      </c>
      <c r="X1039" s="41"/>
      <c r="Y1039" s="41" t="str">
        <f>VLOOKUP($C1039,'#Data'!$B$3:$I$344,8,FALSE)</f>
        <v>m_l_attacker_grima_beta_1</v>
      </c>
      <c r="Z1039" s="41"/>
      <c r="AA1039" s="41"/>
      <c r="AB1039" s="41"/>
      <c r="AC1039" s="90">
        <v>0.9</v>
      </c>
      <c r="AD1039" s="41"/>
      <c r="AE1039" s="41"/>
      <c r="AF1039" s="41"/>
      <c r="AG1039" s="41" t="s">
        <v>2758</v>
      </c>
      <c r="AH1039" s="85"/>
    </row>
    <row r="1040" spans="1:34" x14ac:dyDescent="0.3">
      <c r="A1040" s="23">
        <f t="shared" si="32"/>
        <v>1610203301</v>
      </c>
      <c r="B1040" s="23" t="s">
        <v>105</v>
      </c>
      <c r="C1040" s="23" t="s">
        <v>119</v>
      </c>
      <c r="D1040" s="23" t="str">
        <f>"Monster.Name."&amp;VLOOKUP($C1040,'#Data'!$B$2:$J$344,2,FALSE)</f>
        <v>Monster.Name.theomega_1</v>
      </c>
      <c r="E1040" s="23" t="s">
        <v>58</v>
      </c>
      <c r="F1040" s="24" t="s">
        <v>44</v>
      </c>
      <c r="G1040" s="23" t="s">
        <v>45</v>
      </c>
      <c r="H1040" s="23" t="b">
        <f>IF(OR(VLOOKUP($C1040,'#Data'!$B$2:$J$344,4,FALSE)="보스",VLOOKUP($C1040,'#Data'!$B$2:$J$344,4,FALSE)="중간"),TRUE,FALSE)</f>
        <v>1</v>
      </c>
      <c r="I1040" s="23" t="b">
        <v>1</v>
      </c>
      <c r="J1040" s="23">
        <v>30</v>
      </c>
      <c r="K1040" s="23">
        <f t="shared" si="33"/>
        <v>10</v>
      </c>
      <c r="L1040" s="115" t="str">
        <f>$B1040&amp;"."&amp;VLOOKUP($C1040,'#Data'!$B$2:$J$344,2,FALSE)&amp;".attack0"&amp;RIGHT(L$1,1)</f>
        <v>Sector03.theomega_1.attack01</v>
      </c>
      <c r="M1040" s="115"/>
      <c r="N1040" s="115"/>
      <c r="O1040" s="139" t="str">
        <f>$B1040&amp;"."&amp;VLOOKUP($C1040,'#Data'!$B$2:$J$344,2,FALSE)&amp;".skill0"&amp;RIGHT(O$1,1)</f>
        <v>Sector03.theomega_1.skill01</v>
      </c>
      <c r="P1040" s="139" t="str">
        <f>$B1040&amp;"."&amp;VLOOKUP($C1040,'#Data'!$B$2:$J$344,2,FALSE)&amp;".skill0"&amp;RIGHT(P$1,1)</f>
        <v>Sector03.theomega_1.skill02</v>
      </c>
      <c r="Q1040" s="139" t="str">
        <f>$B1040&amp;"."&amp;VLOOKUP($C1040,'#Data'!$B$2:$J$344,2,FALSE)&amp;".skill0"&amp;RIGHT(Q$1,1)</f>
        <v>Sector03.theomega_1.skill03</v>
      </c>
      <c r="R1040" s="116" t="s">
        <v>120</v>
      </c>
      <c r="S1040" s="116" t="s">
        <v>76</v>
      </c>
      <c r="T1040" s="116"/>
      <c r="U1040" s="116"/>
      <c r="V1040" s="23" t="b">
        <v>0</v>
      </c>
      <c r="W1040" s="23" t="str">
        <f>"Character/Prefabs/"&amp;VLOOKUP($C1040,'#Data'!$B$3:$I$344,8,FALSE)</f>
        <v>Character/Prefabs/m_boss_attacker_theomega_1</v>
      </c>
      <c r="X1040" s="23"/>
      <c r="Y1040" s="23" t="str">
        <f>VLOOKUP($C1040,'#Data'!$B$3:$I$344,8,FALSE)</f>
        <v>m_boss_attacker_theomega_1</v>
      </c>
      <c r="Z1040" s="23"/>
      <c r="AA1040" s="23"/>
      <c r="AB1040" s="23"/>
      <c r="AC1040" s="98">
        <v>0.9</v>
      </c>
      <c r="AD1040" s="23"/>
      <c r="AE1040" s="23" t="s">
        <v>121</v>
      </c>
      <c r="AF1040" s="23" t="s">
        <v>122</v>
      </c>
      <c r="AG1040" s="23" t="s">
        <v>2758</v>
      </c>
      <c r="AH1040" s="85"/>
    </row>
    <row r="1041" spans="1:36" x14ac:dyDescent="0.3">
      <c r="A1041" s="23">
        <f t="shared" si="32"/>
        <v>1610203302</v>
      </c>
      <c r="B1041" s="23" t="s">
        <v>105</v>
      </c>
      <c r="C1041" s="23" t="s">
        <v>123</v>
      </c>
      <c r="D1041" s="23" t="str">
        <f>"Monster.Name."&amp;VLOOKUP($C1041,'#Data'!$B$2:$J$344,2,FALSE)</f>
        <v>Monster.Name.theomega_3</v>
      </c>
      <c r="E1041" s="23" t="s">
        <v>58</v>
      </c>
      <c r="F1041" s="24" t="s">
        <v>44</v>
      </c>
      <c r="G1041" s="23" t="s">
        <v>45</v>
      </c>
      <c r="H1041" s="23" t="b">
        <f>IF(OR(VLOOKUP($C1041,'#Data'!$B$2:$J$344,4,FALSE)="보스",VLOOKUP($C1041,'#Data'!$B$2:$J$344,4,FALSE)="중간"),TRUE,FALSE)</f>
        <v>1</v>
      </c>
      <c r="I1041" s="23" t="b">
        <v>1</v>
      </c>
      <c r="J1041" s="23">
        <v>30</v>
      </c>
      <c r="K1041" s="23">
        <f t="shared" si="33"/>
        <v>10</v>
      </c>
      <c r="L1041" s="115" t="str">
        <f>$B1041&amp;"."&amp;VLOOKUP($C1041,'#Data'!$B$2:$J$344,2,FALSE)&amp;".attack0"&amp;RIGHT(L$1,1)</f>
        <v>Sector03.theomega_3.attack01</v>
      </c>
      <c r="M1041" s="115" t="str">
        <f>$B1041&amp;"."&amp;VLOOKUP($C1041,'#Data'!$B$2:$J$344,2,FALSE)&amp;".attack0"&amp;RIGHT(M$1,1)</f>
        <v>Sector03.theomega_3.attack02</v>
      </c>
      <c r="N1041" s="115"/>
      <c r="O1041" s="139" t="str">
        <f>$B1041&amp;"."&amp;VLOOKUP($C1041,'#Data'!$B$2:$J$344,2,FALSE)&amp;".skill0"&amp;RIGHT(O$1,1)</f>
        <v>Sector03.theomega_3.skill01</v>
      </c>
      <c r="P1041" s="139" t="str">
        <f>$B1041&amp;"."&amp;VLOOKUP($C1041,'#Data'!$B$2:$J$344,2,FALSE)&amp;".skill0"&amp;RIGHT(P$1,1)</f>
        <v>Sector03.theomega_3.skill02</v>
      </c>
      <c r="Q1041" s="139" t="str">
        <f>$B1041&amp;"."&amp;VLOOKUP($C1041,'#Data'!$B$2:$J$344,2,FALSE)&amp;".skill0"&amp;RIGHT(Q$1,1)</f>
        <v>Sector03.theomega_3.skill03</v>
      </c>
      <c r="R1041" s="116" t="str">
        <f>$B1041&amp;"."&amp;VLOOKUP($C1041,'#Data'!$B$2:$J$344,2,FALSE)&amp;".skill0"&amp;RIGHT(R$1,1)</f>
        <v>Sector03.theomega_3.skill04</v>
      </c>
      <c r="S1041" s="116" t="s">
        <v>124</v>
      </c>
      <c r="T1041" s="116"/>
      <c r="U1041" s="116"/>
      <c r="V1041" s="23" t="b">
        <v>0</v>
      </c>
      <c r="W1041" s="23" t="str">
        <f>"Character/Prefabs/"&amp;VLOOKUP($C1041,'#Data'!$B$3:$I$344,8,FALSE)</f>
        <v>Character/Prefabs/m_boss_attacker_theomega_3</v>
      </c>
      <c r="X1041" s="23"/>
      <c r="Y1041" s="23" t="str">
        <f>VLOOKUP($C1041,'#Data'!$B$3:$I$344,8,FALSE)</f>
        <v>m_boss_attacker_theomega_3</v>
      </c>
      <c r="Z1041" s="23"/>
      <c r="AA1041" s="23"/>
      <c r="AB1041" s="23"/>
      <c r="AC1041" s="98">
        <v>0.9</v>
      </c>
      <c r="AD1041" s="23"/>
      <c r="AE1041" s="23" t="s">
        <v>1211</v>
      </c>
      <c r="AF1041" s="23" t="s">
        <v>1871</v>
      </c>
      <c r="AG1041" s="23" t="s">
        <v>2758</v>
      </c>
      <c r="AH1041" s="85"/>
    </row>
    <row r="1042" spans="1:36" s="159" customFormat="1" x14ac:dyDescent="0.3">
      <c r="A1042" s="154">
        <f t="shared" si="32"/>
        <v>1610204101</v>
      </c>
      <c r="B1042" s="154" t="s">
        <v>125</v>
      </c>
      <c r="C1042" s="154" t="s">
        <v>126</v>
      </c>
      <c r="D1042" s="154" t="str">
        <f>"Monster.Name."&amp;VLOOKUP($C1042,'#Data'!$B$2:$J$344,2,FALSE)</f>
        <v>Monster.Name.friendly_walking_eyeball_1</v>
      </c>
      <c r="E1042" s="154" t="s">
        <v>47</v>
      </c>
      <c r="F1042" s="44" t="s">
        <v>44</v>
      </c>
      <c r="G1042" s="154" t="s">
        <v>45</v>
      </c>
      <c r="H1042" s="154" t="b">
        <f>IF(OR(VLOOKUP($C1042,'#Data'!$B$2:$J$344,4,FALSE)="보스",VLOOKUP($C1042,'#Data'!$B$2:$J$344,4,FALSE)="중간"),TRUE,FALSE)</f>
        <v>0</v>
      </c>
      <c r="I1042" s="154" t="b">
        <v>0</v>
      </c>
      <c r="J1042" s="154">
        <v>10</v>
      </c>
      <c r="K1042" s="154">
        <f t="shared" si="33"/>
        <v>10</v>
      </c>
      <c r="L1042" s="155" t="str">
        <f>$B1042&amp;"."&amp;VLOOKUP($C1042,'#Data'!$B$2:$J$344,2,FALSE)&amp;".attack0"&amp;RIGHT(L$1,1)</f>
        <v>Sector04.friendly_walking_eyeball_1.attack01</v>
      </c>
      <c r="M1042" s="155"/>
      <c r="N1042" s="155"/>
      <c r="O1042" s="140" t="s">
        <v>2019</v>
      </c>
      <c r="P1042" s="140"/>
      <c r="Q1042" s="140"/>
      <c r="R1042" s="72"/>
      <c r="S1042" s="72"/>
      <c r="T1042" s="72"/>
      <c r="U1042" s="72"/>
      <c r="V1042" s="154" t="b">
        <v>0</v>
      </c>
      <c r="W1042" s="154" t="str">
        <f>"Character/Prefabs/"&amp;VLOOKUP($C1042,'#Data'!$B$3:$I$344,8,FALSE)</f>
        <v>Character/Prefabs/m_s_ranger_friendly_walking_eyeball_1</v>
      </c>
      <c r="X1042" s="154"/>
      <c r="Y1042" s="154" t="str">
        <f>VLOOKUP($C1042,'#Data'!$B$3:$I$344,8,FALSE)</f>
        <v>m_s_ranger_friendly_walking_eyeball_1</v>
      </c>
      <c r="Z1042" s="154"/>
      <c r="AA1042" s="154"/>
      <c r="AB1042" s="154"/>
      <c r="AC1042" s="156">
        <v>1.2</v>
      </c>
      <c r="AD1042" s="154"/>
      <c r="AE1042" s="154"/>
      <c r="AF1042" s="154"/>
      <c r="AG1042" s="154" t="s">
        <v>2758</v>
      </c>
      <c r="AH1042" s="158"/>
      <c r="AI1042" s="157"/>
      <c r="AJ1042" s="157"/>
    </row>
    <row r="1043" spans="1:36" s="159" customFormat="1" x14ac:dyDescent="0.3">
      <c r="A1043" s="154">
        <f t="shared" si="32"/>
        <v>1610204102</v>
      </c>
      <c r="B1043" s="154" t="s">
        <v>125</v>
      </c>
      <c r="C1043" s="154" t="s">
        <v>130</v>
      </c>
      <c r="D1043" s="154" t="str">
        <f>"Monster.Name."&amp;VLOOKUP($C1043,'#Data'!$B$2:$J$344,2,FALSE)</f>
        <v>Monster.Name.friendly_patrol_1</v>
      </c>
      <c r="E1043" s="154" t="s">
        <v>43</v>
      </c>
      <c r="F1043" s="44" t="s">
        <v>44</v>
      </c>
      <c r="G1043" s="154" t="s">
        <v>45</v>
      </c>
      <c r="H1043" s="154" t="b">
        <f>IF(OR(VLOOKUP($C1043,'#Data'!$B$2:$J$344,4,FALSE)="보스",VLOOKUP($C1043,'#Data'!$B$2:$J$344,4,FALSE)="중간"),TRUE,FALSE)</f>
        <v>0</v>
      </c>
      <c r="I1043" s="154" t="b">
        <v>0</v>
      </c>
      <c r="J1043" s="154">
        <v>10</v>
      </c>
      <c r="K1043" s="154">
        <f t="shared" si="33"/>
        <v>10</v>
      </c>
      <c r="L1043" s="155" t="str">
        <f>$B1043&amp;"."&amp;VLOOKUP($C1043,'#Data'!$B$2:$J$344,2,FALSE)&amp;".attack0"&amp;RIGHT(L$1,1)</f>
        <v>Sector04.friendly_patrol_1.attack01</v>
      </c>
      <c r="M1043" s="155"/>
      <c r="N1043" s="155"/>
      <c r="O1043" s="140" t="s">
        <v>2020</v>
      </c>
      <c r="P1043" s="140"/>
      <c r="Q1043" s="140"/>
      <c r="R1043" s="72"/>
      <c r="S1043" s="72"/>
      <c r="T1043" s="72"/>
      <c r="U1043" s="72"/>
      <c r="V1043" s="154" t="b">
        <v>0</v>
      </c>
      <c r="W1043" s="154" t="str">
        <f>"Character/Prefabs/"&amp;VLOOKUP($C1043,'#Data'!$B$3:$I$344,8,FALSE)</f>
        <v>Character/Prefabs/m_s_attacker_friendly_patrol_1</v>
      </c>
      <c r="X1043" s="154"/>
      <c r="Y1043" s="154" t="str">
        <f>VLOOKUP($C1043,'#Data'!$B$3:$I$344,8,FALSE)</f>
        <v>m_s_attacker_friendly_patrol_1</v>
      </c>
      <c r="Z1043" s="154"/>
      <c r="AA1043" s="154"/>
      <c r="AB1043" s="154"/>
      <c r="AC1043" s="156">
        <v>1</v>
      </c>
      <c r="AD1043" s="154"/>
      <c r="AE1043" s="154"/>
      <c r="AF1043" s="154"/>
      <c r="AG1043" s="154" t="s">
        <v>2758</v>
      </c>
      <c r="AH1043" s="158"/>
      <c r="AI1043" s="157"/>
      <c r="AJ1043" s="157"/>
    </row>
    <row r="1044" spans="1:36" s="159" customFormat="1" x14ac:dyDescent="0.3">
      <c r="A1044" s="154">
        <f t="shared" si="32"/>
        <v>1610204103</v>
      </c>
      <c r="B1044" s="154" t="s">
        <v>125</v>
      </c>
      <c r="C1044" s="154" t="s">
        <v>134</v>
      </c>
      <c r="D1044" s="154" t="str">
        <f>"Monster.Name."&amp;VLOOKUP($C1044,'#Data'!$B$2:$J$344,2,FALSE)</f>
        <v>Monster.Name.friendly_walking_eyeball_2</v>
      </c>
      <c r="E1044" s="154" t="s">
        <v>47</v>
      </c>
      <c r="F1044" s="44" t="s">
        <v>44</v>
      </c>
      <c r="G1044" s="154" t="s">
        <v>45</v>
      </c>
      <c r="H1044" s="154" t="b">
        <f>IF(OR(VLOOKUP($C1044,'#Data'!$B$2:$J$344,4,FALSE)="보스",VLOOKUP($C1044,'#Data'!$B$2:$J$344,4,FALSE)="중간"),TRUE,FALSE)</f>
        <v>0</v>
      </c>
      <c r="I1044" s="154" t="b">
        <v>0</v>
      </c>
      <c r="J1044" s="154">
        <v>10</v>
      </c>
      <c r="K1044" s="154">
        <f t="shared" si="33"/>
        <v>10</v>
      </c>
      <c r="L1044" s="155" t="str">
        <f>$B1044&amp;"."&amp;VLOOKUP($C1044,'#Data'!$B$2:$J$344,2,FALSE)&amp;".attack0"&amp;RIGHT(L$1,1)</f>
        <v>Sector04.friendly_walking_eyeball_2.attack01</v>
      </c>
      <c r="M1044" s="155"/>
      <c r="N1044" s="155"/>
      <c r="O1044" s="140" t="s">
        <v>2021</v>
      </c>
      <c r="P1044" s="140"/>
      <c r="Q1044" s="140"/>
      <c r="R1044" s="72"/>
      <c r="S1044" s="72"/>
      <c r="T1044" s="72"/>
      <c r="U1044" s="72"/>
      <c r="V1044" s="154" t="b">
        <v>0</v>
      </c>
      <c r="W1044" s="154" t="str">
        <f>"Character/Prefabs/"&amp;VLOOKUP($C1044,'#Data'!$B$3:$I$344,8,FALSE)</f>
        <v>Character/Prefabs/m_s_ranger_friendly_walking_eyeball_2</v>
      </c>
      <c r="X1044" s="154"/>
      <c r="Y1044" s="154" t="str">
        <f>VLOOKUP($C1044,'#Data'!$B$3:$I$344,8,FALSE)</f>
        <v>m_s_ranger_friendly_walking_eyeball_2</v>
      </c>
      <c r="Z1044" s="154"/>
      <c r="AA1044" s="154"/>
      <c r="AB1044" s="154"/>
      <c r="AC1044" s="156">
        <v>1.2</v>
      </c>
      <c r="AD1044" s="154"/>
      <c r="AE1044" s="154"/>
      <c r="AF1044" s="154"/>
      <c r="AG1044" s="154" t="s">
        <v>2758</v>
      </c>
      <c r="AH1044" s="158"/>
      <c r="AI1044" s="157"/>
      <c r="AJ1044" s="157"/>
    </row>
    <row r="1045" spans="1:36" s="159" customFormat="1" x14ac:dyDescent="0.3">
      <c r="A1045" s="154">
        <f t="shared" si="32"/>
        <v>1610204104</v>
      </c>
      <c r="B1045" s="154" t="s">
        <v>125</v>
      </c>
      <c r="C1045" s="154" t="s">
        <v>138</v>
      </c>
      <c r="D1045" s="154" t="str">
        <f>"Monster.Name."&amp;VLOOKUP($C1045,'#Data'!$B$2:$J$344,2,FALSE)</f>
        <v>Monster.Name.friendly_patrol_2</v>
      </c>
      <c r="E1045" s="154" t="s">
        <v>43</v>
      </c>
      <c r="F1045" s="44" t="s">
        <v>44</v>
      </c>
      <c r="G1045" s="154" t="s">
        <v>45</v>
      </c>
      <c r="H1045" s="154" t="b">
        <f>IF(OR(VLOOKUP($C1045,'#Data'!$B$2:$J$344,4,FALSE)="보스",VLOOKUP($C1045,'#Data'!$B$2:$J$344,4,FALSE)="중간"),TRUE,FALSE)</f>
        <v>0</v>
      </c>
      <c r="I1045" s="154" t="b">
        <v>0</v>
      </c>
      <c r="J1045" s="154">
        <v>10</v>
      </c>
      <c r="K1045" s="154">
        <f t="shared" si="33"/>
        <v>10</v>
      </c>
      <c r="L1045" s="155" t="str">
        <f>$B1045&amp;"."&amp;VLOOKUP($C1045,'#Data'!$B$2:$J$344,2,FALSE)&amp;".attack0"&amp;RIGHT(L$1,1)</f>
        <v>Sector04.friendly_patrol_2.attack01</v>
      </c>
      <c r="M1045" s="155"/>
      <c r="N1045" s="155"/>
      <c r="O1045" s="140" t="s">
        <v>2022</v>
      </c>
      <c r="P1045" s="140"/>
      <c r="Q1045" s="140"/>
      <c r="R1045" s="72"/>
      <c r="S1045" s="72"/>
      <c r="T1045" s="72"/>
      <c r="U1045" s="72"/>
      <c r="V1045" s="154" t="b">
        <v>0</v>
      </c>
      <c r="W1045" s="154" t="str">
        <f>"Character/Prefabs/"&amp;VLOOKUP($C1045,'#Data'!$B$3:$I$344,8,FALSE)</f>
        <v>Character/Prefabs/m_s_attacker_friendly_patrol_2</v>
      </c>
      <c r="X1045" s="154"/>
      <c r="Y1045" s="154" t="str">
        <f>VLOOKUP($C1045,'#Data'!$B$3:$I$344,8,FALSE)</f>
        <v>m_s_attacker_friendly_patrol_2</v>
      </c>
      <c r="Z1045" s="154"/>
      <c r="AA1045" s="154"/>
      <c r="AB1045" s="154"/>
      <c r="AC1045" s="156">
        <v>1</v>
      </c>
      <c r="AD1045" s="154"/>
      <c r="AE1045" s="154"/>
      <c r="AF1045" s="154"/>
      <c r="AG1045" s="154" t="s">
        <v>2758</v>
      </c>
      <c r="AH1045" s="158"/>
      <c r="AI1045" s="157"/>
      <c r="AJ1045" s="157"/>
    </row>
    <row r="1046" spans="1:36" s="159" customFormat="1" x14ac:dyDescent="0.3">
      <c r="A1046" s="154">
        <f t="shared" si="32"/>
        <v>1610204105</v>
      </c>
      <c r="B1046" s="154" t="s">
        <v>125</v>
      </c>
      <c r="C1046" s="154" t="s">
        <v>139</v>
      </c>
      <c r="D1046" s="154" t="str">
        <f>"Monster.Name."&amp;VLOOKUP($C1046,'#Data'!$B$2:$J$344,2,FALSE)</f>
        <v>Monster.Name.friendly_edge_eyeball_1</v>
      </c>
      <c r="E1046" s="154" t="s">
        <v>43</v>
      </c>
      <c r="F1046" s="44" t="s">
        <v>44</v>
      </c>
      <c r="G1046" s="154" t="s">
        <v>45</v>
      </c>
      <c r="H1046" s="154" t="b">
        <f>IF(OR(VLOOKUP($C1046,'#Data'!$B$2:$J$344,4,FALSE)="보스",VLOOKUP($C1046,'#Data'!$B$2:$J$344,4,FALSE)="중간"),TRUE,FALSE)</f>
        <v>0</v>
      </c>
      <c r="I1046" s="154" t="b">
        <v>0</v>
      </c>
      <c r="J1046" s="154">
        <v>10</v>
      </c>
      <c r="K1046" s="154">
        <f t="shared" si="33"/>
        <v>10</v>
      </c>
      <c r="L1046" s="155" t="str">
        <f>$B1046&amp;"."&amp;VLOOKUP($C1046,'#Data'!$B$2:$J$344,2,FALSE)&amp;".attack0"&amp;RIGHT(L$1,1)</f>
        <v>Sector04.friendly_edge_eyeball_1.attack01</v>
      </c>
      <c r="M1046" s="155"/>
      <c r="N1046" s="155"/>
      <c r="O1046" s="140" t="str">
        <f>$B1046&amp;"."&amp;VLOOKUP($C1046,'#Data'!$B$2:$J$344,2,FALSE)&amp;".skill0"&amp;RIGHT(O$1,1)</f>
        <v>Sector04.friendly_edge_eyeball_1.skill01</v>
      </c>
      <c r="P1046" s="140" t="s">
        <v>2023</v>
      </c>
      <c r="Q1046" s="140"/>
      <c r="R1046" s="72"/>
      <c r="S1046" s="72"/>
      <c r="T1046" s="72"/>
      <c r="U1046" s="72"/>
      <c r="V1046" s="154" t="b">
        <v>0</v>
      </c>
      <c r="W1046" s="154" t="str">
        <f>"Character/Prefabs/"&amp;VLOOKUP($C1046,'#Data'!$B$3:$I$344,8,FALSE)</f>
        <v>Character/Prefabs/m_m_attacker_friendly_edge_eyeball_1</v>
      </c>
      <c r="X1046" s="154"/>
      <c r="Y1046" s="154" t="str">
        <f>VLOOKUP($C1046,'#Data'!$B$3:$I$344,8,FALSE)</f>
        <v>m_m_attacker_friendly_edge_eyeball_1</v>
      </c>
      <c r="Z1046" s="154"/>
      <c r="AA1046" s="154"/>
      <c r="AB1046" s="154"/>
      <c r="AC1046" s="156">
        <v>0.9</v>
      </c>
      <c r="AD1046" s="154"/>
      <c r="AE1046" s="154"/>
      <c r="AF1046" s="154"/>
      <c r="AG1046" s="154" t="s">
        <v>2758</v>
      </c>
      <c r="AH1046" s="158"/>
      <c r="AI1046" s="157"/>
      <c r="AJ1046" s="157"/>
    </row>
    <row r="1047" spans="1:36" s="159" customFormat="1" x14ac:dyDescent="0.3">
      <c r="A1047" s="154">
        <f t="shared" si="32"/>
        <v>1610204106</v>
      </c>
      <c r="B1047" s="154" t="s">
        <v>125</v>
      </c>
      <c r="C1047" s="154" t="s">
        <v>140</v>
      </c>
      <c r="D1047" s="154" t="str">
        <f>"Monster.Name."&amp;VLOOKUP($C1047,'#Data'!$B$2:$J$344,2,FALSE)</f>
        <v>Monster.Name.friendly_electric_eyeball_1</v>
      </c>
      <c r="E1047" s="154" t="s">
        <v>47</v>
      </c>
      <c r="F1047" s="44" t="s">
        <v>44</v>
      </c>
      <c r="G1047" s="154" t="s">
        <v>45</v>
      </c>
      <c r="H1047" s="154" t="b">
        <f>IF(OR(VLOOKUP($C1047,'#Data'!$B$2:$J$344,4,FALSE)="보스",VLOOKUP($C1047,'#Data'!$B$2:$J$344,4,FALSE)="중간"),TRUE,FALSE)</f>
        <v>0</v>
      </c>
      <c r="I1047" s="154" t="b">
        <v>0</v>
      </c>
      <c r="J1047" s="154">
        <v>10</v>
      </c>
      <c r="K1047" s="154">
        <f t="shared" si="33"/>
        <v>10</v>
      </c>
      <c r="L1047" s="155" t="str">
        <f>$B1047&amp;"."&amp;VLOOKUP($C1047,'#Data'!$B$2:$J$344,2,FALSE)&amp;".attack0"&amp;RIGHT(L$1,1)</f>
        <v>Sector04.friendly_electric_eyeball_1.attack01</v>
      </c>
      <c r="M1047" s="155"/>
      <c r="N1047" s="155"/>
      <c r="O1047" s="140" t="str">
        <f>$B1047&amp;"."&amp;VLOOKUP($C1047,'#Data'!$B$2:$J$344,2,FALSE)&amp;".skill0"&amp;RIGHT(O$1,1)</f>
        <v>Sector04.friendly_electric_eyeball_1.skill01</v>
      </c>
      <c r="P1047" s="140" t="s">
        <v>2024</v>
      </c>
      <c r="Q1047" s="140"/>
      <c r="R1047" s="72"/>
      <c r="S1047" s="72"/>
      <c r="T1047" s="72"/>
      <c r="U1047" s="72"/>
      <c r="V1047" s="154" t="b">
        <v>0</v>
      </c>
      <c r="W1047" s="154" t="str">
        <f>"Character/Prefabs/"&amp;VLOOKUP($C1047,'#Data'!$B$3:$I$344,8,FALSE)</f>
        <v>Character/Prefabs/m_m_ranger_friendly_electric_eyeball_1</v>
      </c>
      <c r="X1047" s="154"/>
      <c r="Y1047" s="154" t="str">
        <f>VLOOKUP($C1047,'#Data'!$B$3:$I$344,8,FALSE)</f>
        <v>m_m_ranger_friendly_electric_eyeball_1</v>
      </c>
      <c r="Z1047" s="154"/>
      <c r="AA1047" s="154"/>
      <c r="AB1047" s="154"/>
      <c r="AC1047" s="156">
        <v>0.9</v>
      </c>
      <c r="AD1047" s="154"/>
      <c r="AE1047" s="154"/>
      <c r="AF1047" s="154"/>
      <c r="AG1047" s="154" t="s">
        <v>2758</v>
      </c>
      <c r="AH1047" s="158"/>
      <c r="AI1047" s="157"/>
      <c r="AJ1047" s="157"/>
    </row>
    <row r="1048" spans="1:36" s="159" customFormat="1" x14ac:dyDescent="0.3">
      <c r="A1048" s="154">
        <f t="shared" si="32"/>
        <v>1610204107</v>
      </c>
      <c r="B1048" s="154" t="s">
        <v>125</v>
      </c>
      <c r="C1048" s="154" t="s">
        <v>141</v>
      </c>
      <c r="D1048" s="154" t="str">
        <f>"Monster.Name."&amp;VLOOKUP($C1048,'#Data'!$B$2:$J$344,2,FALSE)</f>
        <v>Monster.Name.friendly_sawpatrol_1</v>
      </c>
      <c r="E1048" s="154" t="s">
        <v>43</v>
      </c>
      <c r="F1048" s="44" t="s">
        <v>44</v>
      </c>
      <c r="G1048" s="154" t="s">
        <v>45</v>
      </c>
      <c r="H1048" s="154" t="b">
        <f>IF(OR(VLOOKUP($C1048,'#Data'!$B$2:$J$344,4,FALSE)="보스",VLOOKUP($C1048,'#Data'!$B$2:$J$344,4,FALSE)="중간"),TRUE,FALSE)</f>
        <v>0</v>
      </c>
      <c r="I1048" s="154" t="b">
        <v>0</v>
      </c>
      <c r="J1048" s="154">
        <v>10</v>
      </c>
      <c r="K1048" s="154">
        <f t="shared" si="33"/>
        <v>10</v>
      </c>
      <c r="L1048" s="155" t="str">
        <f>$B1048&amp;"."&amp;VLOOKUP($C1048,'#Data'!$B$2:$J$344,2,FALSE)&amp;".attack0"&amp;RIGHT(L$1,1)</f>
        <v>Sector04.friendly_sawpatrol_1.attack01</v>
      </c>
      <c r="M1048" s="155"/>
      <c r="N1048" s="155"/>
      <c r="O1048" s="140" t="str">
        <f>$B1048&amp;"."&amp;VLOOKUP($C1048,'#Data'!$B$2:$J$344,2,FALSE)&amp;".skill0"&amp;RIGHT(O$1,1)</f>
        <v>Sector04.friendly_sawpatrol_1.skill01</v>
      </c>
      <c r="P1048" s="140" t="s">
        <v>2025</v>
      </c>
      <c r="Q1048" s="140"/>
      <c r="R1048" s="72"/>
      <c r="S1048" s="72"/>
      <c r="T1048" s="72"/>
      <c r="U1048" s="72"/>
      <c r="V1048" s="154" t="b">
        <v>0</v>
      </c>
      <c r="W1048" s="154" t="str">
        <f>"Character/Prefabs/"&amp;VLOOKUP($C1048,'#Data'!$B$3:$I$344,8,FALSE)</f>
        <v>Character/Prefabs/m_m_attacker_friendly_sawpatrol_1</v>
      </c>
      <c r="X1048" s="154"/>
      <c r="Y1048" s="154" t="str">
        <f>VLOOKUP($C1048,'#Data'!$B$3:$I$344,8,FALSE)</f>
        <v>m_m_attacker_friendly_sawpatrol_1</v>
      </c>
      <c r="Z1048" s="154"/>
      <c r="AA1048" s="154"/>
      <c r="AB1048" s="154"/>
      <c r="AC1048" s="156">
        <v>1</v>
      </c>
      <c r="AD1048" s="154"/>
      <c r="AE1048" s="154"/>
      <c r="AF1048" s="154"/>
      <c r="AG1048" s="154" t="s">
        <v>2758</v>
      </c>
      <c r="AH1048" s="158"/>
      <c r="AI1048" s="157"/>
      <c r="AJ1048" s="157"/>
    </row>
    <row r="1049" spans="1:36" s="159" customFormat="1" x14ac:dyDescent="0.3">
      <c r="A1049" s="154">
        <f t="shared" si="32"/>
        <v>1610204108</v>
      </c>
      <c r="B1049" s="154" t="s">
        <v>125</v>
      </c>
      <c r="C1049" s="154" t="s">
        <v>142</v>
      </c>
      <c r="D1049" s="154" t="str">
        <f>"Monster.Name."&amp;VLOOKUP($C1049,'#Data'!$B$2:$J$344,2,FALSE)</f>
        <v>Monster.Name.friendly_staffpatrol_1</v>
      </c>
      <c r="E1049" s="154" t="s">
        <v>143</v>
      </c>
      <c r="F1049" s="44" t="s">
        <v>44</v>
      </c>
      <c r="G1049" s="154" t="s">
        <v>45</v>
      </c>
      <c r="H1049" s="154" t="b">
        <f>IF(OR(VLOOKUP($C1049,'#Data'!$B$2:$J$344,4,FALSE)="보스",VLOOKUP($C1049,'#Data'!$B$2:$J$344,4,FALSE)="중간"),TRUE,FALSE)</f>
        <v>0</v>
      </c>
      <c r="I1049" s="154" t="b">
        <v>0</v>
      </c>
      <c r="J1049" s="154">
        <v>10</v>
      </c>
      <c r="K1049" s="154">
        <f t="shared" si="33"/>
        <v>10</v>
      </c>
      <c r="L1049" s="155" t="str">
        <f>$B1049&amp;"."&amp;VLOOKUP($C1049,'#Data'!$B$2:$J$344,2,FALSE)&amp;".attack0"&amp;RIGHT(L$1,1)</f>
        <v>Sector04.friendly_staffpatrol_1.attack01</v>
      </c>
      <c r="M1049" s="155"/>
      <c r="N1049" s="155"/>
      <c r="O1049" s="140" t="str">
        <f>$B1049&amp;"."&amp;VLOOKUP($C1049,'#Data'!$B$2:$J$344,2,FALSE)&amp;".skill0"&amp;RIGHT(O$1,1)</f>
        <v>Sector04.friendly_staffpatrol_1.skill01</v>
      </c>
      <c r="P1049" s="140" t="s">
        <v>2026</v>
      </c>
      <c r="Q1049" s="140"/>
      <c r="R1049" s="72"/>
      <c r="S1049" s="72"/>
      <c r="T1049" s="72"/>
      <c r="U1049" s="72"/>
      <c r="V1049" s="154" t="b">
        <v>0</v>
      </c>
      <c r="W1049" s="154" t="str">
        <f>"Character/Prefabs/"&amp;VLOOKUP($C1049,'#Data'!$B$3:$I$344,8,FALSE)</f>
        <v>Character/Prefabs/m_m_supporter_friendly_staffpatrol_1</v>
      </c>
      <c r="X1049" s="154"/>
      <c r="Y1049" s="154" t="str">
        <f>VLOOKUP($C1049,'#Data'!$B$3:$I$344,8,FALSE)</f>
        <v>m_m_supporter_friendly_staffpatrol_1</v>
      </c>
      <c r="Z1049" s="154"/>
      <c r="AA1049" s="154"/>
      <c r="AB1049" s="154"/>
      <c r="AC1049" s="156">
        <v>1</v>
      </c>
      <c r="AD1049" s="154"/>
      <c r="AE1049" s="154"/>
      <c r="AF1049" s="154"/>
      <c r="AG1049" s="154" t="s">
        <v>2758</v>
      </c>
      <c r="AH1049" s="158"/>
      <c r="AI1049" s="157"/>
      <c r="AJ1049" s="157"/>
    </row>
    <row r="1050" spans="1:36" s="159" customFormat="1" x14ac:dyDescent="0.3">
      <c r="A1050" s="154">
        <f t="shared" si="32"/>
        <v>1610204109</v>
      </c>
      <c r="B1050" s="154" t="s">
        <v>125</v>
      </c>
      <c r="C1050" s="154" t="s">
        <v>144</v>
      </c>
      <c r="D1050" s="154" t="str">
        <f>"Monster.Name."&amp;VLOOKUP($C1050,'#Data'!$B$2:$J$344,2,FALSE)</f>
        <v>Monster.Name.friendly_sicklepatrol_1</v>
      </c>
      <c r="E1050" s="154" t="s">
        <v>43</v>
      </c>
      <c r="F1050" s="44" t="s">
        <v>44</v>
      </c>
      <c r="G1050" s="154" t="s">
        <v>45</v>
      </c>
      <c r="H1050" s="154" t="b">
        <f>IF(OR(VLOOKUP($C1050,'#Data'!$B$2:$J$344,4,FALSE)="보스",VLOOKUP($C1050,'#Data'!$B$2:$J$344,4,FALSE)="중간"),TRUE,FALSE)</f>
        <v>0</v>
      </c>
      <c r="I1050" s="154" t="b">
        <v>0</v>
      </c>
      <c r="J1050" s="154">
        <v>10</v>
      </c>
      <c r="K1050" s="154">
        <f t="shared" si="33"/>
        <v>10</v>
      </c>
      <c r="L1050" s="155" t="str">
        <f>$B1050&amp;"."&amp;VLOOKUP($C1050,'#Data'!$B$2:$J$344,2,FALSE)&amp;".attack0"&amp;RIGHT(L$1,1)</f>
        <v>Sector04.friendly_sicklepatrol_1.attack01</v>
      </c>
      <c r="M1050" s="155"/>
      <c r="N1050" s="155"/>
      <c r="O1050" s="140" t="str">
        <f>$B1050&amp;"."&amp;VLOOKUP($C1050,'#Data'!$B$2:$J$344,2,FALSE)&amp;".skill0"&amp;RIGHT(O$1,1)</f>
        <v>Sector04.friendly_sicklepatrol_1.skill01</v>
      </c>
      <c r="P1050" s="140" t="s">
        <v>2027</v>
      </c>
      <c r="Q1050" s="140"/>
      <c r="R1050" s="72"/>
      <c r="S1050" s="72"/>
      <c r="T1050" s="72"/>
      <c r="U1050" s="72"/>
      <c r="V1050" s="154" t="b">
        <v>0</v>
      </c>
      <c r="W1050" s="154" t="str">
        <f>"Character/Prefabs/"&amp;VLOOKUP($C1050,'#Data'!$B$3:$I$344,8,FALSE)</f>
        <v>Character/Prefabs/m_m_attacker_friendly_sicklepatrol_1</v>
      </c>
      <c r="X1050" s="154"/>
      <c r="Y1050" s="154" t="str">
        <f>VLOOKUP($C1050,'#Data'!$B$3:$I$344,8,FALSE)</f>
        <v>m_m_attacker_friendly_sicklepatrol_1</v>
      </c>
      <c r="Z1050" s="154"/>
      <c r="AA1050" s="154"/>
      <c r="AB1050" s="154"/>
      <c r="AC1050" s="156">
        <v>1</v>
      </c>
      <c r="AD1050" s="154"/>
      <c r="AE1050" s="154"/>
      <c r="AF1050" s="154"/>
      <c r="AG1050" s="154" t="s">
        <v>2758</v>
      </c>
      <c r="AH1050" s="158"/>
      <c r="AI1050" s="157"/>
      <c r="AJ1050" s="157"/>
    </row>
    <row r="1051" spans="1:36" s="159" customFormat="1" x14ac:dyDescent="0.3">
      <c r="A1051" s="154">
        <f t="shared" si="32"/>
        <v>1610204110</v>
      </c>
      <c r="B1051" s="154" t="s">
        <v>125</v>
      </c>
      <c r="C1051" s="154" t="s">
        <v>145</v>
      </c>
      <c r="D1051" s="154" t="str">
        <f>"Monster.Name."&amp;VLOOKUP($C1051,'#Data'!$B$2:$J$344,2,FALSE)</f>
        <v>Monster.Name.friendly_security_1</v>
      </c>
      <c r="E1051" s="154" t="s">
        <v>43</v>
      </c>
      <c r="F1051" s="44" t="s">
        <v>44</v>
      </c>
      <c r="G1051" s="154" t="s">
        <v>45</v>
      </c>
      <c r="H1051" s="154" t="b">
        <f>IF(OR(VLOOKUP($C1051,'#Data'!$B$2:$J$344,4,FALSE)="보스",VLOOKUP($C1051,'#Data'!$B$2:$J$344,4,FALSE)="중간"),TRUE,FALSE)</f>
        <v>0</v>
      </c>
      <c r="I1051" s="154" t="b">
        <v>0</v>
      </c>
      <c r="J1051" s="154">
        <v>10</v>
      </c>
      <c r="K1051" s="154">
        <f t="shared" si="33"/>
        <v>10</v>
      </c>
      <c r="L1051" s="155" t="str">
        <f>$B1051&amp;"."&amp;VLOOKUP($C1051,'#Data'!$B$2:$J$344,2,FALSE)&amp;".attack0"&amp;RIGHT(L$1,1)</f>
        <v>Sector04.friendly_security_1.attack01</v>
      </c>
      <c r="M1051" s="155"/>
      <c r="N1051" s="155"/>
      <c r="O1051" s="140" t="str">
        <f>$B1051&amp;"."&amp;VLOOKUP($C1051,'#Data'!$B$2:$J$344,2,FALSE)&amp;".skill0"&amp;RIGHT(O$1,1)</f>
        <v>Sector04.friendly_security_1.skill01</v>
      </c>
      <c r="P1051" s="140" t="s">
        <v>2028</v>
      </c>
      <c r="Q1051" s="140"/>
      <c r="R1051" s="72"/>
      <c r="S1051" s="72"/>
      <c r="T1051" s="72"/>
      <c r="U1051" s="72"/>
      <c r="V1051" s="154" t="b">
        <v>0</v>
      </c>
      <c r="W1051" s="154" t="str">
        <f>"Character/Prefabs/"&amp;VLOOKUP($C1051,'#Data'!$B$3:$I$344,8,FALSE)</f>
        <v>Character/Prefabs/m_m_attacker_friendly_security_1</v>
      </c>
      <c r="X1051" s="154"/>
      <c r="Y1051" s="154" t="str">
        <f>VLOOKUP($C1051,'#Data'!$B$3:$I$344,8,FALSE)</f>
        <v>m_m_attacker_friendly_security_1</v>
      </c>
      <c r="Z1051" s="154"/>
      <c r="AA1051" s="154"/>
      <c r="AB1051" s="154"/>
      <c r="AC1051" s="156">
        <v>0.9</v>
      </c>
      <c r="AD1051" s="154"/>
      <c r="AE1051" s="154"/>
      <c r="AF1051" s="154"/>
      <c r="AG1051" s="154" t="s">
        <v>2758</v>
      </c>
      <c r="AH1051" s="158"/>
      <c r="AI1051" s="157"/>
      <c r="AJ1051" s="157"/>
    </row>
    <row r="1052" spans="1:36" s="159" customFormat="1" x14ac:dyDescent="0.3">
      <c r="A1052" s="154">
        <f t="shared" si="32"/>
        <v>1610204111</v>
      </c>
      <c r="B1052" s="154" t="s">
        <v>125</v>
      </c>
      <c r="C1052" s="154" t="s">
        <v>146</v>
      </c>
      <c r="D1052" s="154" t="str">
        <f>"Monster.Name."&amp;VLOOKUP($C1052,'#Data'!$B$2:$J$344,2,FALSE)</f>
        <v>Monster.Name.friendly_cannon_1</v>
      </c>
      <c r="E1052" s="154" t="s">
        <v>47</v>
      </c>
      <c r="F1052" s="44" t="s">
        <v>44</v>
      </c>
      <c r="G1052" s="154" t="s">
        <v>45</v>
      </c>
      <c r="H1052" s="154" t="b">
        <f>IF(OR(VLOOKUP($C1052,'#Data'!$B$2:$J$344,4,FALSE)="보스",VLOOKUP($C1052,'#Data'!$B$2:$J$344,4,FALSE)="중간"),TRUE,FALSE)</f>
        <v>0</v>
      </c>
      <c r="I1052" s="154" t="b">
        <v>0</v>
      </c>
      <c r="J1052" s="154">
        <v>10</v>
      </c>
      <c r="K1052" s="154">
        <f t="shared" si="33"/>
        <v>10</v>
      </c>
      <c r="L1052" s="155" t="str">
        <f>$B1052&amp;"."&amp;VLOOKUP($C1052,'#Data'!$B$2:$J$344,2,FALSE)&amp;".attack0"&amp;RIGHT(L$1,1)</f>
        <v>Sector04.friendly_cannon_1.attack01</v>
      </c>
      <c r="M1052" s="155"/>
      <c r="N1052" s="155"/>
      <c r="O1052" s="140" t="str">
        <f>$B1052&amp;"."&amp;VLOOKUP($C1052,'#Data'!$B$2:$J$344,2,FALSE)&amp;".skill0"&amp;RIGHT(O$1,1)</f>
        <v>Sector04.friendly_cannon_1.skill01</v>
      </c>
      <c r="P1052" s="140" t="s">
        <v>2029</v>
      </c>
      <c r="Q1052" s="140"/>
      <c r="R1052" s="72"/>
      <c r="S1052" s="72"/>
      <c r="T1052" s="72"/>
      <c r="U1052" s="72"/>
      <c r="V1052" s="154" t="b">
        <v>0</v>
      </c>
      <c r="W1052" s="154" t="str">
        <f>"Character/Prefabs/"&amp;VLOOKUP($C1052,'#Data'!$B$3:$I$344,8,FALSE)</f>
        <v>Character/Prefabs/m_m_ranger_friendly_cannon_1</v>
      </c>
      <c r="X1052" s="154"/>
      <c r="Y1052" s="154" t="str">
        <f>VLOOKUP($C1052,'#Data'!$B$3:$I$344,8,FALSE)</f>
        <v>m_m_ranger_friendly_cannon_1</v>
      </c>
      <c r="Z1052" s="154"/>
      <c r="AA1052" s="154"/>
      <c r="AB1052" s="154"/>
      <c r="AC1052" s="156">
        <v>0.7</v>
      </c>
      <c r="AD1052" s="154"/>
      <c r="AE1052" s="154"/>
      <c r="AF1052" s="154"/>
      <c r="AG1052" s="154" t="s">
        <v>2758</v>
      </c>
      <c r="AH1052" s="158"/>
      <c r="AI1052" s="157"/>
      <c r="AJ1052" s="157"/>
    </row>
    <row r="1053" spans="1:36" s="159" customFormat="1" x14ac:dyDescent="0.3">
      <c r="A1053" s="154">
        <f t="shared" si="32"/>
        <v>1610204112</v>
      </c>
      <c r="B1053" s="154" t="s">
        <v>125</v>
      </c>
      <c r="C1053" s="154" t="s">
        <v>147</v>
      </c>
      <c r="D1053" s="154" t="str">
        <f>"Monster.Name."&amp;VLOOKUP($C1053,'#Data'!$B$2:$J$344,2,FALSE)</f>
        <v>Monster.Name.friendly_gun_1</v>
      </c>
      <c r="E1053" s="154" t="s">
        <v>47</v>
      </c>
      <c r="F1053" s="44" t="s">
        <v>44</v>
      </c>
      <c r="G1053" s="154" t="s">
        <v>45</v>
      </c>
      <c r="H1053" s="154" t="b">
        <f>IF(OR(VLOOKUP($C1053,'#Data'!$B$2:$J$344,4,FALSE)="보스",VLOOKUP($C1053,'#Data'!$B$2:$J$344,4,FALSE)="중간"),TRUE,FALSE)</f>
        <v>0</v>
      </c>
      <c r="I1053" s="154" t="b">
        <v>0</v>
      </c>
      <c r="J1053" s="154">
        <v>10</v>
      </c>
      <c r="K1053" s="154">
        <f t="shared" si="33"/>
        <v>10</v>
      </c>
      <c r="L1053" s="155" t="str">
        <f>$B1053&amp;"."&amp;VLOOKUP($C1053,'#Data'!$B$2:$J$344,2,FALSE)&amp;".attack0"&amp;RIGHT(L$1,1)</f>
        <v>Sector04.friendly_gun_1.attack01</v>
      </c>
      <c r="M1053" s="155"/>
      <c r="N1053" s="155"/>
      <c r="O1053" s="140" t="str">
        <f>$B1053&amp;"."&amp;VLOOKUP($C1053,'#Data'!$B$2:$J$344,2,FALSE)&amp;".skill0"&amp;RIGHT(O$1,1)</f>
        <v>Sector04.friendly_gun_1.skill01</v>
      </c>
      <c r="P1053" s="140" t="s">
        <v>2030</v>
      </c>
      <c r="Q1053" s="140"/>
      <c r="R1053" s="72"/>
      <c r="S1053" s="72"/>
      <c r="T1053" s="72"/>
      <c r="U1053" s="72"/>
      <c r="V1053" s="154" t="b">
        <v>0</v>
      </c>
      <c r="W1053" s="154" t="str">
        <f>"Character/Prefabs/"&amp;VLOOKUP($C1053,'#Data'!$B$3:$I$344,8,FALSE)</f>
        <v>Character/Prefabs/m_m_ranger_friendly_gun_1</v>
      </c>
      <c r="X1053" s="154"/>
      <c r="Y1053" s="154" t="str">
        <f>VLOOKUP($C1053,'#Data'!$B$3:$I$344,8,FALSE)</f>
        <v>m_m_ranger_friendly_gun_1</v>
      </c>
      <c r="Z1053" s="154"/>
      <c r="AA1053" s="154"/>
      <c r="AB1053" s="154"/>
      <c r="AC1053" s="156">
        <v>0.7</v>
      </c>
      <c r="AD1053" s="154"/>
      <c r="AE1053" s="154"/>
      <c r="AF1053" s="154"/>
      <c r="AG1053" s="154" t="s">
        <v>2758</v>
      </c>
      <c r="AH1053" s="158"/>
      <c r="AI1053" s="157"/>
      <c r="AJ1053" s="157"/>
    </row>
    <row r="1054" spans="1:36" s="159" customFormat="1" x14ac:dyDescent="0.3">
      <c r="A1054" s="47">
        <f t="shared" si="32"/>
        <v>1610204113</v>
      </c>
      <c r="B1054" s="47" t="s">
        <v>125</v>
      </c>
      <c r="C1054" s="47" t="s">
        <v>1261</v>
      </c>
      <c r="D1054" s="47" t="str">
        <f>"Monster.Name."&amp;VLOOKUP($C1054,'#Data'!$B$2:$J$344,2,FALSE)</f>
        <v>Monster.Name.friendly_walking_eyeball_3</v>
      </c>
      <c r="E1054" s="47" t="s">
        <v>47</v>
      </c>
      <c r="F1054" s="46" t="s">
        <v>44</v>
      </c>
      <c r="G1054" s="47" t="s">
        <v>45</v>
      </c>
      <c r="H1054" s="47" t="b">
        <f>IF(OR(VLOOKUP($C1054,'#Data'!$B$2:$J$344,4,FALSE)="보스",VLOOKUP($C1054,'#Data'!$B$2:$J$344,4,FALSE)="중간"),TRUE,FALSE)</f>
        <v>0</v>
      </c>
      <c r="I1054" s="47" t="b">
        <v>0</v>
      </c>
      <c r="J1054" s="47">
        <v>10</v>
      </c>
      <c r="K1054" s="47">
        <f t="shared" si="33"/>
        <v>10</v>
      </c>
      <c r="L1054" s="160" t="s">
        <v>127</v>
      </c>
      <c r="M1054" s="160"/>
      <c r="N1054" s="160"/>
      <c r="O1054" s="141" t="s">
        <v>2019</v>
      </c>
      <c r="P1054" s="141"/>
      <c r="Q1054" s="141"/>
      <c r="R1054" s="74"/>
      <c r="S1054" s="74"/>
      <c r="T1054" s="74"/>
      <c r="U1054" s="74"/>
      <c r="V1054" s="47" t="b">
        <v>0</v>
      </c>
      <c r="W1054" s="47" t="str">
        <f>"Character/Prefabs/"&amp;VLOOKUP($C1054,'#Data'!$B$3:$I$344,8,FALSE)</f>
        <v>Character/Prefabs/m_s_ranger_friendly_walking_eyeball_3</v>
      </c>
      <c r="X1054" s="47"/>
      <c r="Y1054" s="47" t="str">
        <f>VLOOKUP($C1054,'#Data'!$B$3:$I$344,8,FALSE)</f>
        <v>m_s_ranger_friendly_walking_eyeball_3</v>
      </c>
      <c r="Z1054" s="47"/>
      <c r="AA1054" s="47"/>
      <c r="AB1054" s="47"/>
      <c r="AC1054" s="161">
        <v>1.2</v>
      </c>
      <c r="AD1054" s="47"/>
      <c r="AE1054" s="47"/>
      <c r="AF1054" s="47"/>
      <c r="AG1054" s="47" t="s">
        <v>2758</v>
      </c>
      <c r="AH1054" s="158"/>
      <c r="AI1054" s="157"/>
      <c r="AJ1054" s="157"/>
    </row>
    <row r="1055" spans="1:36" s="159" customFormat="1" x14ac:dyDescent="0.3">
      <c r="A1055" s="47">
        <f t="shared" si="32"/>
        <v>1610204114</v>
      </c>
      <c r="B1055" s="47" t="s">
        <v>125</v>
      </c>
      <c r="C1055" s="47" t="s">
        <v>1263</v>
      </c>
      <c r="D1055" s="47" t="str">
        <f>"Monster.Name."&amp;VLOOKUP($C1055,'#Data'!$B$2:$J$344,2,FALSE)</f>
        <v>Monster.Name.friendly_patrol_3</v>
      </c>
      <c r="E1055" s="47" t="s">
        <v>43</v>
      </c>
      <c r="F1055" s="46" t="s">
        <v>44</v>
      </c>
      <c r="G1055" s="47" t="s">
        <v>45</v>
      </c>
      <c r="H1055" s="47" t="b">
        <f>IF(OR(VLOOKUP($C1055,'#Data'!$B$2:$J$344,4,FALSE)="보스",VLOOKUP($C1055,'#Data'!$B$2:$J$344,4,FALSE)="중간"),TRUE,FALSE)</f>
        <v>0</v>
      </c>
      <c r="I1055" s="47" t="b">
        <v>0</v>
      </c>
      <c r="J1055" s="47">
        <v>10</v>
      </c>
      <c r="K1055" s="47">
        <f t="shared" si="33"/>
        <v>10</v>
      </c>
      <c r="L1055" s="160" t="s">
        <v>131</v>
      </c>
      <c r="M1055" s="160"/>
      <c r="N1055" s="160"/>
      <c r="O1055" s="141" t="s">
        <v>2020</v>
      </c>
      <c r="P1055" s="141"/>
      <c r="Q1055" s="141"/>
      <c r="R1055" s="74"/>
      <c r="S1055" s="74"/>
      <c r="T1055" s="74"/>
      <c r="U1055" s="74"/>
      <c r="V1055" s="47" t="b">
        <v>0</v>
      </c>
      <c r="W1055" s="47" t="str">
        <f>"Character/Prefabs/"&amp;VLOOKUP($C1055,'#Data'!$B$3:$I$344,8,FALSE)</f>
        <v>Character/Prefabs/m_s_attacker_friendly_patrol_3</v>
      </c>
      <c r="X1055" s="47"/>
      <c r="Y1055" s="47" t="str">
        <f>VLOOKUP($C1055,'#Data'!$B$3:$I$344,8,FALSE)</f>
        <v>m_s_attacker_friendly_patrol_3</v>
      </c>
      <c r="Z1055" s="47"/>
      <c r="AA1055" s="47"/>
      <c r="AB1055" s="47"/>
      <c r="AC1055" s="161">
        <v>1</v>
      </c>
      <c r="AD1055" s="47"/>
      <c r="AE1055" s="47"/>
      <c r="AF1055" s="47"/>
      <c r="AG1055" s="47" t="s">
        <v>2758</v>
      </c>
      <c r="AH1055" s="158"/>
      <c r="AI1055" s="157"/>
      <c r="AJ1055" s="157"/>
    </row>
    <row r="1056" spans="1:36" s="159" customFormat="1" x14ac:dyDescent="0.3">
      <c r="A1056" s="47">
        <f t="shared" si="32"/>
        <v>1610204115</v>
      </c>
      <c r="B1056" s="47" t="s">
        <v>125</v>
      </c>
      <c r="C1056" s="47" t="s">
        <v>1265</v>
      </c>
      <c r="D1056" s="47" t="str">
        <f>"Monster.Name."&amp;VLOOKUP($C1056,'#Data'!$B$2:$J$344,2,FALSE)</f>
        <v>Monster.Name.friendly_edge_eyeball_2</v>
      </c>
      <c r="E1056" s="47" t="s">
        <v>43</v>
      </c>
      <c r="F1056" s="46" t="s">
        <v>44</v>
      </c>
      <c r="G1056" s="47" t="s">
        <v>45</v>
      </c>
      <c r="H1056" s="47" t="b">
        <f>IF(OR(VLOOKUP($C1056,'#Data'!$B$2:$J$344,4,FALSE)="보스",VLOOKUP($C1056,'#Data'!$B$2:$J$344,4,FALSE)="중간"),TRUE,FALSE)</f>
        <v>0</v>
      </c>
      <c r="I1056" s="47" t="b">
        <v>0</v>
      </c>
      <c r="J1056" s="47">
        <v>10</v>
      </c>
      <c r="K1056" s="47">
        <f t="shared" si="33"/>
        <v>10</v>
      </c>
      <c r="L1056" s="160" t="s">
        <v>1348</v>
      </c>
      <c r="M1056" s="160"/>
      <c r="N1056" s="160"/>
      <c r="O1056" s="141" t="s">
        <v>1355</v>
      </c>
      <c r="P1056" s="141" t="s">
        <v>2023</v>
      </c>
      <c r="Q1056" s="141"/>
      <c r="R1056" s="74"/>
      <c r="S1056" s="74"/>
      <c r="T1056" s="74"/>
      <c r="U1056" s="74"/>
      <c r="V1056" s="47" t="b">
        <v>0</v>
      </c>
      <c r="W1056" s="47" t="str">
        <f>"Character/Prefabs/"&amp;VLOOKUP($C1056,'#Data'!$B$3:$I$344,8,FALSE)</f>
        <v>Character/Prefabs/m_m_attacker_friendly_edge_eyeball_2</v>
      </c>
      <c r="X1056" s="47"/>
      <c r="Y1056" s="47" t="str">
        <f>VLOOKUP($C1056,'#Data'!$B$3:$I$344,8,FALSE)</f>
        <v>m_m_attacker_friendly_edge_eyeball_2</v>
      </c>
      <c r="Z1056" s="47"/>
      <c r="AA1056" s="47"/>
      <c r="AB1056" s="47"/>
      <c r="AC1056" s="161">
        <v>0.9</v>
      </c>
      <c r="AD1056" s="47"/>
      <c r="AE1056" s="47"/>
      <c r="AF1056" s="47"/>
      <c r="AG1056" s="47" t="s">
        <v>2758</v>
      </c>
      <c r="AH1056" s="158"/>
      <c r="AI1056" s="157"/>
      <c r="AJ1056" s="157"/>
    </row>
    <row r="1057" spans="1:36" s="159" customFormat="1" x14ac:dyDescent="0.3">
      <c r="A1057" s="47">
        <f t="shared" si="32"/>
        <v>1610204116</v>
      </c>
      <c r="B1057" s="47" t="s">
        <v>125</v>
      </c>
      <c r="C1057" s="47" t="s">
        <v>1267</v>
      </c>
      <c r="D1057" s="47" t="str">
        <f>"Monster.Name."&amp;VLOOKUP($C1057,'#Data'!$B$2:$J$344,2,FALSE)</f>
        <v>Monster.Name.friendly_electric_eyeball_2</v>
      </c>
      <c r="E1057" s="47" t="s">
        <v>47</v>
      </c>
      <c r="F1057" s="46" t="s">
        <v>44</v>
      </c>
      <c r="G1057" s="47" t="s">
        <v>45</v>
      </c>
      <c r="H1057" s="47" t="b">
        <f>IF(OR(VLOOKUP($C1057,'#Data'!$B$2:$J$344,4,FALSE)="보스",VLOOKUP($C1057,'#Data'!$B$2:$J$344,4,FALSE)="중간"),TRUE,FALSE)</f>
        <v>0</v>
      </c>
      <c r="I1057" s="47" t="b">
        <v>0</v>
      </c>
      <c r="J1057" s="47">
        <v>10</v>
      </c>
      <c r="K1057" s="47">
        <f t="shared" si="33"/>
        <v>10</v>
      </c>
      <c r="L1057" s="160" t="s">
        <v>1349</v>
      </c>
      <c r="M1057" s="160"/>
      <c r="N1057" s="160"/>
      <c r="O1057" s="141" t="s">
        <v>1356</v>
      </c>
      <c r="P1057" s="141" t="s">
        <v>2024</v>
      </c>
      <c r="Q1057" s="141"/>
      <c r="R1057" s="74"/>
      <c r="S1057" s="74"/>
      <c r="T1057" s="74"/>
      <c r="U1057" s="74"/>
      <c r="V1057" s="47" t="b">
        <v>0</v>
      </c>
      <c r="W1057" s="47" t="str">
        <f>"Character/Prefabs/"&amp;VLOOKUP($C1057,'#Data'!$B$3:$I$344,8,FALSE)</f>
        <v>Character/Prefabs/m_m_ranger_friendly_electric_eyeball_2</v>
      </c>
      <c r="X1057" s="47"/>
      <c r="Y1057" s="47" t="str">
        <f>VLOOKUP($C1057,'#Data'!$B$3:$I$344,8,FALSE)</f>
        <v>m_m_ranger_friendly_electric_eyeball_2</v>
      </c>
      <c r="Z1057" s="47"/>
      <c r="AA1057" s="47"/>
      <c r="AB1057" s="47"/>
      <c r="AC1057" s="161">
        <v>0.9</v>
      </c>
      <c r="AD1057" s="47"/>
      <c r="AE1057" s="47"/>
      <c r="AF1057" s="47"/>
      <c r="AG1057" s="47" t="s">
        <v>2758</v>
      </c>
      <c r="AH1057" s="158"/>
      <c r="AI1057" s="157"/>
      <c r="AJ1057" s="157"/>
    </row>
    <row r="1058" spans="1:36" s="159" customFormat="1" x14ac:dyDescent="0.3">
      <c r="A1058" s="47">
        <f t="shared" si="32"/>
        <v>1610204117</v>
      </c>
      <c r="B1058" s="47" t="s">
        <v>125</v>
      </c>
      <c r="C1058" s="47" t="s">
        <v>1269</v>
      </c>
      <c r="D1058" s="47" t="str">
        <f>"Monster.Name."&amp;VLOOKUP($C1058,'#Data'!$B$2:$J$344,2,FALSE)</f>
        <v>Monster.Name.friendly_sawpatrol_2</v>
      </c>
      <c r="E1058" s="47" t="s">
        <v>43</v>
      </c>
      <c r="F1058" s="46" t="s">
        <v>44</v>
      </c>
      <c r="G1058" s="47" t="s">
        <v>45</v>
      </c>
      <c r="H1058" s="47" t="b">
        <f>IF(OR(VLOOKUP($C1058,'#Data'!$B$2:$J$344,4,FALSE)="보스",VLOOKUP($C1058,'#Data'!$B$2:$J$344,4,FALSE)="중간"),TRUE,FALSE)</f>
        <v>0</v>
      </c>
      <c r="I1058" s="47" t="b">
        <v>0</v>
      </c>
      <c r="J1058" s="47">
        <v>10</v>
      </c>
      <c r="K1058" s="47">
        <f t="shared" si="33"/>
        <v>10</v>
      </c>
      <c r="L1058" s="160" t="s">
        <v>1350</v>
      </c>
      <c r="M1058" s="160"/>
      <c r="N1058" s="160"/>
      <c r="O1058" s="141" t="s">
        <v>1357</v>
      </c>
      <c r="P1058" s="141" t="s">
        <v>2025</v>
      </c>
      <c r="Q1058" s="141"/>
      <c r="R1058" s="74"/>
      <c r="S1058" s="74"/>
      <c r="T1058" s="74"/>
      <c r="U1058" s="74"/>
      <c r="V1058" s="47" t="b">
        <v>0</v>
      </c>
      <c r="W1058" s="47" t="str">
        <f>"Character/Prefabs/"&amp;VLOOKUP($C1058,'#Data'!$B$3:$I$344,8,FALSE)</f>
        <v>Character/Prefabs/m_m_attacker_friendly_sawpatrol_2</v>
      </c>
      <c r="X1058" s="47"/>
      <c r="Y1058" s="47" t="str">
        <f>VLOOKUP($C1058,'#Data'!$B$3:$I$344,8,FALSE)</f>
        <v>m_m_attacker_friendly_sawpatrol_2</v>
      </c>
      <c r="Z1058" s="47"/>
      <c r="AA1058" s="47"/>
      <c r="AB1058" s="47"/>
      <c r="AC1058" s="161">
        <v>1</v>
      </c>
      <c r="AD1058" s="47"/>
      <c r="AE1058" s="47"/>
      <c r="AF1058" s="47"/>
      <c r="AG1058" s="47" t="s">
        <v>2758</v>
      </c>
      <c r="AH1058" s="158"/>
      <c r="AI1058" s="157"/>
      <c r="AJ1058" s="157"/>
    </row>
    <row r="1059" spans="1:36" s="159" customFormat="1" x14ac:dyDescent="0.3">
      <c r="A1059" s="47">
        <f t="shared" si="32"/>
        <v>1610204118</v>
      </c>
      <c r="B1059" s="47" t="s">
        <v>125</v>
      </c>
      <c r="C1059" s="47" t="s">
        <v>1271</v>
      </c>
      <c r="D1059" s="47" t="str">
        <f>"Monster.Name."&amp;VLOOKUP($C1059,'#Data'!$B$2:$J$344,2,FALSE)</f>
        <v>Monster.Name.friendly_staffpatrol_2</v>
      </c>
      <c r="E1059" s="47" t="s">
        <v>143</v>
      </c>
      <c r="F1059" s="46" t="s">
        <v>44</v>
      </c>
      <c r="G1059" s="47" t="s">
        <v>45</v>
      </c>
      <c r="H1059" s="47" t="b">
        <f>IF(OR(VLOOKUP($C1059,'#Data'!$B$2:$J$344,4,FALSE)="보스",VLOOKUP($C1059,'#Data'!$B$2:$J$344,4,FALSE)="중간"),TRUE,FALSE)</f>
        <v>0</v>
      </c>
      <c r="I1059" s="47" t="b">
        <v>0</v>
      </c>
      <c r="J1059" s="47">
        <v>10</v>
      </c>
      <c r="K1059" s="47">
        <f t="shared" si="33"/>
        <v>10</v>
      </c>
      <c r="L1059" s="160" t="s">
        <v>1351</v>
      </c>
      <c r="M1059" s="160"/>
      <c r="N1059" s="160"/>
      <c r="O1059" s="141" t="s">
        <v>1358</v>
      </c>
      <c r="P1059" s="141" t="s">
        <v>2026</v>
      </c>
      <c r="Q1059" s="141"/>
      <c r="R1059" s="74"/>
      <c r="S1059" s="74"/>
      <c r="T1059" s="74"/>
      <c r="U1059" s="74"/>
      <c r="V1059" s="47" t="b">
        <v>0</v>
      </c>
      <c r="W1059" s="47" t="str">
        <f>"Character/Prefabs/"&amp;VLOOKUP($C1059,'#Data'!$B$3:$I$344,8,FALSE)</f>
        <v>Character/Prefabs/m_m_supporter_friendly_staffpatrol_2</v>
      </c>
      <c r="X1059" s="47"/>
      <c r="Y1059" s="47" t="str">
        <f>VLOOKUP($C1059,'#Data'!$B$3:$I$344,8,FALSE)</f>
        <v>m_m_supporter_friendly_staffpatrol_2</v>
      </c>
      <c r="Z1059" s="47"/>
      <c r="AA1059" s="47"/>
      <c r="AB1059" s="47"/>
      <c r="AC1059" s="161">
        <v>1</v>
      </c>
      <c r="AD1059" s="47"/>
      <c r="AE1059" s="47"/>
      <c r="AF1059" s="47"/>
      <c r="AG1059" s="47" t="s">
        <v>2758</v>
      </c>
      <c r="AH1059" s="158"/>
      <c r="AI1059" s="157"/>
      <c r="AJ1059" s="157"/>
    </row>
    <row r="1060" spans="1:36" s="159" customFormat="1" x14ac:dyDescent="0.3">
      <c r="A1060" s="47">
        <f t="shared" si="32"/>
        <v>1610204119</v>
      </c>
      <c r="B1060" s="47" t="s">
        <v>125</v>
      </c>
      <c r="C1060" s="47" t="s">
        <v>1273</v>
      </c>
      <c r="D1060" s="47" t="str">
        <f>"Monster.Name."&amp;VLOOKUP($C1060,'#Data'!$B$2:$J$344,2,FALSE)</f>
        <v>Monster.Name.friendly_sicklepatrol_2</v>
      </c>
      <c r="E1060" s="47" t="s">
        <v>43</v>
      </c>
      <c r="F1060" s="46" t="s">
        <v>44</v>
      </c>
      <c r="G1060" s="47" t="s">
        <v>45</v>
      </c>
      <c r="H1060" s="47" t="b">
        <f>IF(OR(VLOOKUP($C1060,'#Data'!$B$2:$J$344,4,FALSE)="보스",VLOOKUP($C1060,'#Data'!$B$2:$J$344,4,FALSE)="중간"),TRUE,FALSE)</f>
        <v>0</v>
      </c>
      <c r="I1060" s="47" t="b">
        <v>0</v>
      </c>
      <c r="J1060" s="47">
        <v>10</v>
      </c>
      <c r="K1060" s="47">
        <f t="shared" si="33"/>
        <v>10</v>
      </c>
      <c r="L1060" s="160" t="s">
        <v>1352</v>
      </c>
      <c r="M1060" s="160"/>
      <c r="N1060" s="160"/>
      <c r="O1060" s="141" t="s">
        <v>1359</v>
      </c>
      <c r="P1060" s="141" t="s">
        <v>2027</v>
      </c>
      <c r="Q1060" s="141"/>
      <c r="R1060" s="74"/>
      <c r="S1060" s="74"/>
      <c r="T1060" s="74"/>
      <c r="U1060" s="74"/>
      <c r="V1060" s="47" t="b">
        <v>0</v>
      </c>
      <c r="W1060" s="47" t="str">
        <f>"Character/Prefabs/"&amp;VLOOKUP($C1060,'#Data'!$B$3:$I$344,8,FALSE)</f>
        <v>Character/Prefabs/m_m_attacker_friendly_sicklepatrol_2</v>
      </c>
      <c r="X1060" s="47"/>
      <c r="Y1060" s="47" t="str">
        <f>VLOOKUP($C1060,'#Data'!$B$3:$I$344,8,FALSE)</f>
        <v>m_m_attacker_friendly_sicklepatrol_2</v>
      </c>
      <c r="Z1060" s="47"/>
      <c r="AA1060" s="47"/>
      <c r="AB1060" s="47"/>
      <c r="AC1060" s="161">
        <v>1</v>
      </c>
      <c r="AD1060" s="47"/>
      <c r="AE1060" s="47"/>
      <c r="AF1060" s="47"/>
      <c r="AG1060" s="47" t="s">
        <v>2758</v>
      </c>
      <c r="AH1060" s="158"/>
      <c r="AI1060" s="157"/>
      <c r="AJ1060" s="157"/>
    </row>
    <row r="1061" spans="1:36" s="159" customFormat="1" x14ac:dyDescent="0.3">
      <c r="A1061" s="47">
        <f t="shared" si="32"/>
        <v>1610204120</v>
      </c>
      <c r="B1061" s="47" t="s">
        <v>125</v>
      </c>
      <c r="C1061" s="47" t="s">
        <v>1275</v>
      </c>
      <c r="D1061" s="47" t="str">
        <f>"Monster.Name."&amp;VLOOKUP($C1061,'#Data'!$B$2:$J$344,2,FALSE)</f>
        <v>Monster.Name.friendly_security_2</v>
      </c>
      <c r="E1061" s="47" t="s">
        <v>43</v>
      </c>
      <c r="F1061" s="46" t="s">
        <v>44</v>
      </c>
      <c r="G1061" s="47" t="s">
        <v>45</v>
      </c>
      <c r="H1061" s="47" t="b">
        <f>IF(OR(VLOOKUP($C1061,'#Data'!$B$2:$J$344,4,FALSE)="보스",VLOOKUP($C1061,'#Data'!$B$2:$J$344,4,FALSE)="중간"),TRUE,FALSE)</f>
        <v>0</v>
      </c>
      <c r="I1061" s="47" t="b">
        <v>0</v>
      </c>
      <c r="J1061" s="47">
        <v>10</v>
      </c>
      <c r="K1061" s="47">
        <f t="shared" si="33"/>
        <v>10</v>
      </c>
      <c r="L1061" s="160" t="s">
        <v>1968</v>
      </c>
      <c r="M1061" s="160"/>
      <c r="N1061" s="160"/>
      <c r="O1061" s="141" t="s">
        <v>1969</v>
      </c>
      <c r="P1061" s="141" t="s">
        <v>2028</v>
      </c>
      <c r="Q1061" s="141"/>
      <c r="R1061" s="74"/>
      <c r="S1061" s="74"/>
      <c r="T1061" s="74"/>
      <c r="U1061" s="74"/>
      <c r="V1061" s="47" t="b">
        <v>0</v>
      </c>
      <c r="W1061" s="47" t="str">
        <f>"Character/Prefabs/"&amp;VLOOKUP($C1061,'#Data'!$B$3:$I$344,8,FALSE)</f>
        <v>Character/Prefabs/m_m_attacker_friendly_security_2</v>
      </c>
      <c r="X1061" s="47"/>
      <c r="Y1061" s="47" t="str">
        <f>VLOOKUP($C1061,'#Data'!$B$3:$I$344,8,FALSE)</f>
        <v>m_m_attacker_friendly_security_2</v>
      </c>
      <c r="Z1061" s="47"/>
      <c r="AA1061" s="47"/>
      <c r="AB1061" s="47"/>
      <c r="AC1061" s="161">
        <v>0.9</v>
      </c>
      <c r="AD1061" s="47"/>
      <c r="AE1061" s="47"/>
      <c r="AF1061" s="47"/>
      <c r="AG1061" s="47" t="s">
        <v>2758</v>
      </c>
      <c r="AH1061" s="158"/>
      <c r="AI1061" s="157"/>
      <c r="AJ1061" s="157"/>
    </row>
    <row r="1062" spans="1:36" s="159" customFormat="1" x14ac:dyDescent="0.3">
      <c r="A1062" s="47">
        <f t="shared" si="32"/>
        <v>1610204121</v>
      </c>
      <c r="B1062" s="47" t="s">
        <v>125</v>
      </c>
      <c r="C1062" s="47" t="s">
        <v>1276</v>
      </c>
      <c r="D1062" s="47" t="str">
        <f>"Monster.Name."&amp;VLOOKUP($C1062,'#Data'!$B$2:$J$344,2,FALSE)</f>
        <v>Monster.Name.friendly_cannon_2</v>
      </c>
      <c r="E1062" s="47" t="s">
        <v>47</v>
      </c>
      <c r="F1062" s="46" t="s">
        <v>44</v>
      </c>
      <c r="G1062" s="47" t="s">
        <v>45</v>
      </c>
      <c r="H1062" s="47" t="b">
        <f>IF(OR(VLOOKUP($C1062,'#Data'!$B$2:$J$344,4,FALSE)="보스",VLOOKUP($C1062,'#Data'!$B$2:$J$344,4,FALSE)="중간"),TRUE,FALSE)</f>
        <v>0</v>
      </c>
      <c r="I1062" s="47" t="b">
        <v>0</v>
      </c>
      <c r="J1062" s="47">
        <v>10</v>
      </c>
      <c r="K1062" s="47">
        <f t="shared" si="33"/>
        <v>10</v>
      </c>
      <c r="L1062" s="160" t="s">
        <v>1353</v>
      </c>
      <c r="M1062" s="160"/>
      <c r="N1062" s="160"/>
      <c r="O1062" s="141" t="s">
        <v>1360</v>
      </c>
      <c r="P1062" s="141" t="s">
        <v>2029</v>
      </c>
      <c r="Q1062" s="141"/>
      <c r="R1062" s="74"/>
      <c r="S1062" s="74"/>
      <c r="T1062" s="74"/>
      <c r="U1062" s="74"/>
      <c r="V1062" s="47" t="b">
        <v>0</v>
      </c>
      <c r="W1062" s="47" t="str">
        <f>"Character/Prefabs/"&amp;VLOOKUP($C1062,'#Data'!$B$3:$I$344,8,FALSE)</f>
        <v>Character/Prefabs/m_m_ranger_friendly_cannon_2</v>
      </c>
      <c r="X1062" s="47"/>
      <c r="Y1062" s="47" t="str">
        <f>VLOOKUP($C1062,'#Data'!$B$3:$I$344,8,FALSE)</f>
        <v>m_m_ranger_friendly_cannon_2</v>
      </c>
      <c r="Z1062" s="47"/>
      <c r="AA1062" s="47"/>
      <c r="AB1062" s="47"/>
      <c r="AC1062" s="161">
        <v>0.7</v>
      </c>
      <c r="AD1062" s="47"/>
      <c r="AE1062" s="47"/>
      <c r="AF1062" s="47"/>
      <c r="AG1062" s="47" t="s">
        <v>2758</v>
      </c>
      <c r="AH1062" s="158"/>
      <c r="AI1062" s="157"/>
      <c r="AJ1062" s="157"/>
    </row>
    <row r="1063" spans="1:36" s="159" customFormat="1" x14ac:dyDescent="0.3">
      <c r="A1063" s="47">
        <f t="shared" si="32"/>
        <v>1610204122</v>
      </c>
      <c r="B1063" s="47" t="s">
        <v>125</v>
      </c>
      <c r="C1063" s="47" t="s">
        <v>1278</v>
      </c>
      <c r="D1063" s="47" t="str">
        <f>"Monster.Name."&amp;VLOOKUP($C1063,'#Data'!$B$2:$J$344,2,FALSE)</f>
        <v>Monster.Name.friendly_gun_2</v>
      </c>
      <c r="E1063" s="47" t="s">
        <v>47</v>
      </c>
      <c r="F1063" s="46" t="s">
        <v>44</v>
      </c>
      <c r="G1063" s="47" t="s">
        <v>45</v>
      </c>
      <c r="H1063" s="47" t="b">
        <f>IF(OR(VLOOKUP($C1063,'#Data'!$B$2:$J$344,4,FALSE)="보스",VLOOKUP($C1063,'#Data'!$B$2:$J$344,4,FALSE)="중간"),TRUE,FALSE)</f>
        <v>0</v>
      </c>
      <c r="I1063" s="47" t="b">
        <v>0</v>
      </c>
      <c r="J1063" s="47">
        <v>10</v>
      </c>
      <c r="K1063" s="47">
        <f t="shared" si="33"/>
        <v>10</v>
      </c>
      <c r="L1063" s="160" t="s">
        <v>1354</v>
      </c>
      <c r="M1063" s="160"/>
      <c r="N1063" s="160"/>
      <c r="O1063" s="141" t="s">
        <v>1361</v>
      </c>
      <c r="P1063" s="141" t="s">
        <v>2030</v>
      </c>
      <c r="Q1063" s="141"/>
      <c r="R1063" s="74"/>
      <c r="S1063" s="74"/>
      <c r="T1063" s="74"/>
      <c r="U1063" s="74"/>
      <c r="V1063" s="47" t="b">
        <v>0</v>
      </c>
      <c r="W1063" s="47" t="str">
        <f>"Character/Prefabs/"&amp;VLOOKUP($C1063,'#Data'!$B$3:$I$344,8,FALSE)</f>
        <v>Character/Prefabs/m_m_ranger_friendly_gun_2</v>
      </c>
      <c r="X1063" s="47"/>
      <c r="Y1063" s="47" t="str">
        <f>VLOOKUP($C1063,'#Data'!$B$3:$I$344,8,FALSE)</f>
        <v>m_m_ranger_friendly_gun_2</v>
      </c>
      <c r="Z1063" s="47"/>
      <c r="AA1063" s="47"/>
      <c r="AB1063" s="47"/>
      <c r="AC1063" s="161">
        <v>0.7</v>
      </c>
      <c r="AD1063" s="47"/>
      <c r="AE1063" s="47"/>
      <c r="AF1063" s="47"/>
      <c r="AG1063" s="47" t="s">
        <v>2758</v>
      </c>
      <c r="AH1063" s="158"/>
      <c r="AI1063" s="157"/>
      <c r="AJ1063" s="157"/>
    </row>
    <row r="1064" spans="1:36" x14ac:dyDescent="0.3">
      <c r="A1064" s="13">
        <f t="shared" si="32"/>
        <v>1610204201</v>
      </c>
      <c r="B1064" s="13" t="s">
        <v>125</v>
      </c>
      <c r="C1064" s="13" t="s">
        <v>148</v>
      </c>
      <c r="D1064" s="13" t="str">
        <f>"Monster.Name."&amp;VLOOKUP($C1064,'#Data'!$B$2:$J$344,2,FALSE)</f>
        <v>Monster.Name.friendly_railgun_1</v>
      </c>
      <c r="E1064" s="13" t="s">
        <v>47</v>
      </c>
      <c r="F1064" s="44" t="s">
        <v>44</v>
      </c>
      <c r="G1064" s="13" t="s">
        <v>45</v>
      </c>
      <c r="H1064" s="13" t="b">
        <f>IF(OR(VLOOKUP($C1064,'#Data'!$B$2:$J$344,4,FALSE)="보스",VLOOKUP($C1064,'#Data'!$B$2:$J$344,4,FALSE)="중간"),TRUE,FALSE)</f>
        <v>1</v>
      </c>
      <c r="I1064" s="13" t="b">
        <v>1</v>
      </c>
      <c r="J1064" s="13">
        <v>10</v>
      </c>
      <c r="K1064" s="13">
        <f t="shared" si="33"/>
        <v>10</v>
      </c>
      <c r="L1064" s="71" t="str">
        <f>$B1064&amp;"."&amp;VLOOKUP($C1064,'#Data'!$B$2:$J$344,2,FALSE)&amp;".attack0"&amp;RIGHT(L$1,1)</f>
        <v>Sector04.friendly_railgun_1.attack01</v>
      </c>
      <c r="M1064" s="71"/>
      <c r="N1064" s="71"/>
      <c r="O1064" s="140" t="str">
        <f>$B1064&amp;"."&amp;VLOOKUP($C1064,'#Data'!$B$2:$J$344,2,FALSE)&amp;".skill0"&amp;RIGHT(O$1,1)</f>
        <v>Sector04.friendly_railgun_1.skill01</v>
      </c>
      <c r="P1064" s="140" t="str">
        <f>$B1064&amp;"."&amp;VLOOKUP($C1064,'#Data'!$B$2:$J$344,2,FALSE)&amp;".skill0"&amp;RIGHT(P$1,1)</f>
        <v>Sector04.friendly_railgun_1.skill02</v>
      </c>
      <c r="Q1064" s="140" t="str">
        <f>$B1064&amp;"."&amp;VLOOKUP($C1064,'#Data'!$B$2:$J$344,2,FALSE)&amp;".skill0"&amp;RIGHT(Q$1,1)</f>
        <v>Sector04.friendly_railgun_1.skill03</v>
      </c>
      <c r="R1064" s="72"/>
      <c r="S1064" s="72" t="s">
        <v>2076</v>
      </c>
      <c r="T1064" s="72"/>
      <c r="U1064" s="72"/>
      <c r="V1064" s="13" t="b">
        <v>0</v>
      </c>
      <c r="W1064" s="13" t="str">
        <f>"Character/Prefabs/"&amp;VLOOKUP($C1064,'#Data'!$B$3:$I$344,8,FALSE)</f>
        <v>Character/Prefabs/m_l_ranger_friendly_railgun_1</v>
      </c>
      <c r="X1064" s="13"/>
      <c r="Y1064" s="13" t="str">
        <f>VLOOKUP($C1064,'#Data'!$B$3:$I$344,8,FALSE)</f>
        <v>m_l_ranger_friendly_railgun_1</v>
      </c>
      <c r="Z1064" s="13"/>
      <c r="AA1064" s="13"/>
      <c r="AB1064" s="13"/>
      <c r="AC1064" s="92">
        <v>0.9</v>
      </c>
      <c r="AD1064" s="13"/>
      <c r="AE1064" s="13"/>
      <c r="AF1064" s="13"/>
      <c r="AG1064" s="13" t="s">
        <v>2758</v>
      </c>
      <c r="AH1064" s="85"/>
    </row>
    <row r="1065" spans="1:36" x14ac:dyDescent="0.3">
      <c r="A1065" s="13">
        <f t="shared" si="32"/>
        <v>1610204202</v>
      </c>
      <c r="B1065" s="13" t="s">
        <v>125</v>
      </c>
      <c r="C1065" s="13" t="s">
        <v>149</v>
      </c>
      <c r="D1065" s="13" t="str">
        <f>"Monster.Name."&amp;VLOOKUP($C1065,'#Data'!$B$2:$J$344,2,FALSE)</f>
        <v>Monster.Name.friendly_punch_1</v>
      </c>
      <c r="E1065" s="13" t="s">
        <v>58</v>
      </c>
      <c r="F1065" s="44" t="s">
        <v>44</v>
      </c>
      <c r="G1065" s="13" t="s">
        <v>45</v>
      </c>
      <c r="H1065" s="13" t="b">
        <f>IF(OR(VLOOKUP($C1065,'#Data'!$B$2:$J$344,4,FALSE)="보스",VLOOKUP($C1065,'#Data'!$B$2:$J$344,4,FALSE)="중간"),TRUE,FALSE)</f>
        <v>1</v>
      </c>
      <c r="I1065" s="13" t="b">
        <v>1</v>
      </c>
      <c r="J1065" s="13">
        <v>10</v>
      </c>
      <c r="K1065" s="13">
        <f t="shared" si="33"/>
        <v>10</v>
      </c>
      <c r="L1065" s="71" t="str">
        <f>$B1065&amp;"."&amp;VLOOKUP($C1065,'#Data'!$B$2:$J$344,2,FALSE)&amp;".attack0"&amp;RIGHT(L$1,1)</f>
        <v>Sector04.friendly_punch_1.attack01</v>
      </c>
      <c r="M1065" s="71"/>
      <c r="N1065" s="71"/>
      <c r="O1065" s="140" t="str">
        <f>$B1065&amp;"."&amp;VLOOKUP($C1065,'#Data'!$B$2:$J$344,2,FALSE)&amp;".skill0"&amp;RIGHT(O$1,1)</f>
        <v>Sector04.friendly_punch_1.skill01</v>
      </c>
      <c r="P1065" s="140" t="str">
        <f>$B1065&amp;"."&amp;VLOOKUP($C1065,'#Data'!$B$2:$J$344,2,FALSE)&amp;".skill0"&amp;RIGHT(P$1,1)</f>
        <v>Sector04.friendly_punch_1.skill02</v>
      </c>
      <c r="Q1065" s="140" t="str">
        <f>$B1065&amp;"."&amp;VLOOKUP($C1065,'#Data'!$B$2:$J$344,2,FALSE)&amp;".skill0"&amp;RIGHT(Q$1,1)</f>
        <v>Sector04.friendly_punch_1.skill03</v>
      </c>
      <c r="R1065" s="72"/>
      <c r="S1065" s="72" t="s">
        <v>2076</v>
      </c>
      <c r="T1065" s="72"/>
      <c r="U1065" s="72"/>
      <c r="V1065" s="13" t="b">
        <v>0</v>
      </c>
      <c r="W1065" s="13" t="str">
        <f>"Character/Prefabs/"&amp;VLOOKUP($C1065,'#Data'!$B$3:$I$344,8,FALSE)</f>
        <v>Character/Prefabs/m_l_tanker_friendly_punch_1</v>
      </c>
      <c r="X1065" s="13"/>
      <c r="Y1065" s="13" t="str">
        <f>VLOOKUP($C1065,'#Data'!$B$3:$I$344,8,FALSE)</f>
        <v>m_l_tanker_friendly_punch_1</v>
      </c>
      <c r="Z1065" s="13"/>
      <c r="AA1065" s="13"/>
      <c r="AB1065" s="13"/>
      <c r="AC1065" s="92">
        <v>0.9</v>
      </c>
      <c r="AD1065" s="13"/>
      <c r="AE1065" s="13"/>
      <c r="AF1065" s="13"/>
      <c r="AG1065" s="13" t="s">
        <v>2758</v>
      </c>
      <c r="AH1065" s="85"/>
    </row>
    <row r="1066" spans="1:36" x14ac:dyDescent="0.3">
      <c r="A1066" s="13">
        <f t="shared" si="32"/>
        <v>1610204203</v>
      </c>
      <c r="B1066" s="13" t="s">
        <v>125</v>
      </c>
      <c r="C1066" s="13" t="s">
        <v>150</v>
      </c>
      <c r="D1066" s="13" t="str">
        <f>"Monster.Name."&amp;VLOOKUP($C1066,'#Data'!$B$2:$J$344,2,FALSE)</f>
        <v>Monster.Name.friendly_pincers_1</v>
      </c>
      <c r="E1066" s="13" t="s">
        <v>43</v>
      </c>
      <c r="F1066" s="44" t="s">
        <v>44</v>
      </c>
      <c r="G1066" s="13" t="s">
        <v>45</v>
      </c>
      <c r="H1066" s="13" t="b">
        <f>IF(OR(VLOOKUP($C1066,'#Data'!$B$2:$J$344,4,FALSE)="보스",VLOOKUP($C1066,'#Data'!$B$2:$J$344,4,FALSE)="중간"),TRUE,FALSE)</f>
        <v>1</v>
      </c>
      <c r="I1066" s="13" t="b">
        <v>1</v>
      </c>
      <c r="J1066" s="13">
        <v>10</v>
      </c>
      <c r="K1066" s="13">
        <f t="shared" si="33"/>
        <v>10</v>
      </c>
      <c r="L1066" s="71" t="str">
        <f>$B1066&amp;"."&amp;VLOOKUP($C1066,'#Data'!$B$2:$J$344,2,FALSE)&amp;".attack0"&amp;RIGHT(L$1,1)</f>
        <v>Sector04.friendly_pincers_1.attack01</v>
      </c>
      <c r="M1066" s="71"/>
      <c r="N1066" s="71"/>
      <c r="O1066" s="140" t="str">
        <f>$B1066&amp;"."&amp;VLOOKUP($C1066,'#Data'!$B$2:$J$344,2,FALSE)&amp;".skill0"&amp;RIGHT(O$1,1)</f>
        <v>Sector04.friendly_pincers_1.skill01</v>
      </c>
      <c r="P1066" s="140" t="str">
        <f>$B1066&amp;"."&amp;VLOOKUP($C1066,'#Data'!$B$2:$J$344,2,FALSE)&amp;".skill0"&amp;RIGHT(P$1,1)</f>
        <v>Sector04.friendly_pincers_1.skill02</v>
      </c>
      <c r="Q1066" s="140"/>
      <c r="R1066" s="72"/>
      <c r="S1066" s="72" t="s">
        <v>2076</v>
      </c>
      <c r="T1066" s="72"/>
      <c r="U1066" s="72"/>
      <c r="V1066" s="13" t="b">
        <v>0</v>
      </c>
      <c r="W1066" s="13" t="str">
        <f>"Character/Prefabs/"&amp;VLOOKUP($C1066,'#Data'!$B$3:$I$344,8,FALSE)</f>
        <v>Character/Prefabs/m_l_attacker_friendly_pincers_1</v>
      </c>
      <c r="X1066" s="13"/>
      <c r="Y1066" s="13" t="str">
        <f>VLOOKUP($C1066,'#Data'!$B$3:$I$344,8,FALSE)</f>
        <v>m_l_attacker_friendly_pincers_1</v>
      </c>
      <c r="Z1066" s="13"/>
      <c r="AA1066" s="13"/>
      <c r="AB1066" s="13"/>
      <c r="AC1066" s="92">
        <v>0.9</v>
      </c>
      <c r="AD1066" s="13"/>
      <c r="AE1066" s="13"/>
      <c r="AF1066" s="13"/>
      <c r="AG1066" s="13" t="s">
        <v>2758</v>
      </c>
      <c r="AH1066" s="85"/>
    </row>
    <row r="1067" spans="1:36" x14ac:dyDescent="0.3">
      <c r="A1067" s="117">
        <f t="shared" si="32"/>
        <v>1610204301</v>
      </c>
      <c r="B1067" s="117" t="s">
        <v>125</v>
      </c>
      <c r="C1067" s="117" t="s">
        <v>151</v>
      </c>
      <c r="D1067" s="117" t="str">
        <f>"Monster.Name."&amp;VLOOKUP($C1067,'#Data'!$B$2:$J$344,2,FALSE)</f>
        <v>Monster.Name.nullaxe_1</v>
      </c>
      <c r="E1067" s="117" t="s">
        <v>43</v>
      </c>
      <c r="F1067" s="118" t="s">
        <v>44</v>
      </c>
      <c r="G1067" s="117" t="s">
        <v>45</v>
      </c>
      <c r="H1067" s="117" t="b">
        <f>IF(OR(VLOOKUP($C1067,'#Data'!$B$2:$J$344,4,FALSE)="보스",VLOOKUP($C1067,'#Data'!$B$2:$J$344,4,FALSE)="중간"),TRUE,FALSE)</f>
        <v>1</v>
      </c>
      <c r="I1067" s="117" t="b">
        <v>1</v>
      </c>
      <c r="J1067" s="117">
        <v>20</v>
      </c>
      <c r="K1067" s="117">
        <f t="shared" si="33"/>
        <v>10</v>
      </c>
      <c r="L1067" s="119" t="str">
        <f>$B1067&amp;"."&amp;VLOOKUP($C1067,'#Data'!$B$2:$J$344,2,FALSE)&amp;".attack0"&amp;RIGHT(L$1,1)</f>
        <v>Sector04.nullaxe_1.attack01</v>
      </c>
      <c r="M1067" s="119" t="str">
        <f>$B1067&amp;"."&amp;VLOOKUP($C1067,'#Data'!$B$2:$J$344,2,FALSE)&amp;".attack0"&amp;RIGHT(M$1,1)</f>
        <v>Sector04.nullaxe_1.attack02</v>
      </c>
      <c r="N1067" s="119"/>
      <c r="O1067" s="142" t="str">
        <f>$B1067&amp;"."&amp;VLOOKUP($C1067,'#Data'!$B$2:$J$344,2,FALSE)&amp;".skill0"&amp;RIGHT(O$1,1)</f>
        <v>Sector04.nullaxe_1.skill01</v>
      </c>
      <c r="P1067" s="142" t="str">
        <f>$B1067&amp;"."&amp;VLOOKUP($C1067,'#Data'!$B$2:$J$344,2,FALSE)&amp;".skill0"&amp;RIGHT(P$1,1)</f>
        <v>Sector04.nullaxe_1.skill02</v>
      </c>
      <c r="Q1067" s="142" t="str">
        <f>$B1067&amp;"."&amp;VLOOKUP($C1067,'#Data'!$B$2:$J$344,2,FALSE)&amp;".skill0"&amp;RIGHT(Q$1,1)</f>
        <v>Sector04.nullaxe_1.skill03</v>
      </c>
      <c r="R1067" s="120" t="s">
        <v>152</v>
      </c>
      <c r="S1067" s="120" t="s">
        <v>76</v>
      </c>
      <c r="T1067" s="120"/>
      <c r="U1067" s="120"/>
      <c r="V1067" s="117" t="b">
        <v>0</v>
      </c>
      <c r="W1067" s="117" t="str">
        <f>"Character/Prefabs/"&amp;VLOOKUP($C1067,'#Data'!$B$3:$I$344,8,FALSE)</f>
        <v>Character/Prefabs/m_boss_attacker_nullaxe_1</v>
      </c>
      <c r="X1067" s="117"/>
      <c r="Y1067" s="117" t="str">
        <f>VLOOKUP($C1067,'#Data'!$B$3:$I$344,8,FALSE)</f>
        <v>m_boss_attacker_nullaxe_1</v>
      </c>
      <c r="Z1067" s="117"/>
      <c r="AA1067" s="117"/>
      <c r="AB1067" s="117"/>
      <c r="AC1067" s="121">
        <v>1.6</v>
      </c>
      <c r="AD1067" s="117"/>
      <c r="AE1067" s="117" t="s">
        <v>1449</v>
      </c>
      <c r="AF1067" s="117" t="s">
        <v>153</v>
      </c>
      <c r="AG1067" s="117" t="s">
        <v>2758</v>
      </c>
      <c r="AH1067" s="85"/>
    </row>
    <row r="1068" spans="1:36" x14ac:dyDescent="0.3">
      <c r="A1068" s="117">
        <f t="shared" si="32"/>
        <v>1610204302</v>
      </c>
      <c r="B1068" s="117" t="s">
        <v>125</v>
      </c>
      <c r="C1068" s="117" t="s">
        <v>154</v>
      </c>
      <c r="D1068" s="117" t="str">
        <f>"Monster.Name."&amp;VLOOKUP($C1068,'#Data'!$B$2:$J$344,2,FALSE)</f>
        <v>Monster.Name.nullaxe_2</v>
      </c>
      <c r="E1068" s="117" t="s">
        <v>43</v>
      </c>
      <c r="F1068" s="118" t="s">
        <v>44</v>
      </c>
      <c r="G1068" s="117" t="s">
        <v>45</v>
      </c>
      <c r="H1068" s="117" t="b">
        <f>IF(OR(VLOOKUP($C1068,'#Data'!$B$2:$J$344,4,FALSE)="보스",VLOOKUP($C1068,'#Data'!$B$2:$J$344,4,FALSE)="중간"),TRUE,FALSE)</f>
        <v>1</v>
      </c>
      <c r="I1068" s="117" t="b">
        <v>1</v>
      </c>
      <c r="J1068" s="117">
        <v>20</v>
      </c>
      <c r="K1068" s="117">
        <f t="shared" si="33"/>
        <v>10</v>
      </c>
      <c r="L1068" s="119" t="str">
        <f>$B1068&amp;"."&amp;VLOOKUP($C1068,'#Data'!$B$2:$J$344,2,FALSE)&amp;".attack0"&amp;RIGHT(L$1,1)</f>
        <v>Sector04.nullaxe_2.attack01</v>
      </c>
      <c r="M1068" s="119" t="str">
        <f>$B1068&amp;"."&amp;VLOOKUP($C1068,'#Data'!$B$2:$J$344,2,FALSE)&amp;".attack0"&amp;RIGHT(M$1,1)</f>
        <v>Sector04.nullaxe_2.attack02</v>
      </c>
      <c r="N1068" s="119"/>
      <c r="O1068" s="142" t="str">
        <f>$B1068&amp;"."&amp;VLOOKUP($C1068,'#Data'!$B$2:$J$344,2,FALSE)&amp;".skill0"&amp;RIGHT(O$1,1)</f>
        <v>Sector04.nullaxe_2.skill01</v>
      </c>
      <c r="P1068" s="142" t="str">
        <f>$B1068&amp;"."&amp;VLOOKUP($C1068,'#Data'!$B$2:$J$344,2,FALSE)&amp;".skill0"&amp;RIGHT(P$1,1)</f>
        <v>Sector04.nullaxe_2.skill02</v>
      </c>
      <c r="Q1068" s="142" t="str">
        <f>$B1068&amp;"."&amp;VLOOKUP($C1068,'#Data'!$B$2:$J$344,2,FALSE)&amp;".skill0"&amp;RIGHT(Q$1,1)</f>
        <v>Sector04.nullaxe_2.skill03</v>
      </c>
      <c r="R1068" s="120" t="s">
        <v>155</v>
      </c>
      <c r="S1068" s="120" t="s">
        <v>2073</v>
      </c>
      <c r="T1068" s="120"/>
      <c r="U1068" s="120"/>
      <c r="V1068" s="117" t="b">
        <v>0</v>
      </c>
      <c r="W1068" s="122" t="str">
        <f>"Character/Prefabs/"&amp;VLOOKUP($C1068,'#Data'!$B$3:$I$344,8,FALSE)</f>
        <v>Character/Prefabs/m_boss_attacker_nullaxe_2</v>
      </c>
      <c r="X1068" s="117"/>
      <c r="Y1068" s="122" t="str">
        <f>VLOOKUP($C1068,'#Data'!$B$3:$I$344,8,FALSE)</f>
        <v>m_boss_attacker_nullaxe_2</v>
      </c>
      <c r="Z1068" s="117"/>
      <c r="AA1068" s="117"/>
      <c r="AB1068" s="117"/>
      <c r="AC1068" s="121">
        <v>1.6</v>
      </c>
      <c r="AD1068" s="117"/>
      <c r="AE1068" s="117" t="s">
        <v>1450</v>
      </c>
      <c r="AF1068" s="117" t="s">
        <v>1874</v>
      </c>
      <c r="AG1068" s="117" t="s">
        <v>2758</v>
      </c>
      <c r="AH1068" s="85"/>
    </row>
    <row r="1069" spans="1:36" x14ac:dyDescent="0.3">
      <c r="A1069" s="37">
        <f t="shared" si="32"/>
        <v>1610205101</v>
      </c>
      <c r="B1069" s="37" t="s">
        <v>156</v>
      </c>
      <c r="C1069" s="37" t="s">
        <v>157</v>
      </c>
      <c r="D1069" s="37" t="str">
        <f>"Monster.Name."&amp;VLOOKUP($C1069,'#Data'!$B$2:$J$344,2,FALSE)</f>
        <v>Monster.Name.killer_drone_4</v>
      </c>
      <c r="E1069" s="37" t="s">
        <v>43</v>
      </c>
      <c r="F1069" s="38" t="s">
        <v>44</v>
      </c>
      <c r="G1069" s="37" t="s">
        <v>45</v>
      </c>
      <c r="H1069" s="37" t="b">
        <f>IF(OR(VLOOKUP($C1069,'#Data'!$B$2:$J$344,4,FALSE)="보스",VLOOKUP($C1069,'#Data'!$B$2:$J$344,4,FALSE)="중간"),TRUE,FALSE)</f>
        <v>0</v>
      </c>
      <c r="I1069" s="37" t="b">
        <v>0</v>
      </c>
      <c r="J1069" s="37">
        <v>10</v>
      </c>
      <c r="K1069" s="37">
        <f t="shared" si="33"/>
        <v>10</v>
      </c>
      <c r="L1069" s="59" t="str">
        <f>$B1069&amp;"."&amp;VLOOKUP($C1069,'#Data'!$B$2:$J$344,2,FALSE)&amp;".attack0"&amp;RIGHT(L$1,1)</f>
        <v>Sector05.killer_drone_4.attack01</v>
      </c>
      <c r="M1069" s="59"/>
      <c r="N1069" s="59"/>
      <c r="O1069" s="131" t="s">
        <v>2031</v>
      </c>
      <c r="P1069" s="131" t="s">
        <v>1958</v>
      </c>
      <c r="Q1069" s="60"/>
      <c r="R1069" s="60"/>
      <c r="S1069" s="60"/>
      <c r="T1069" s="60"/>
      <c r="U1069" s="60"/>
      <c r="V1069" s="37" t="b">
        <v>0</v>
      </c>
      <c r="W1069" s="37" t="str">
        <f>"Character/Prefabs/"&amp;VLOOKUP($C1069,'#Data'!$B$3:$I$344,8,FALSE)</f>
        <v>Character/Prefabs/m_s_attacker_killer_drone_4</v>
      </c>
      <c r="X1069" s="37"/>
      <c r="Y1069" s="37" t="str">
        <f>VLOOKUP($C1069,'#Data'!$B$3:$I$344,8,FALSE)</f>
        <v>m_s_attacker_killer_drone_4</v>
      </c>
      <c r="Z1069" s="37"/>
      <c r="AA1069" s="37"/>
      <c r="AB1069" s="37"/>
      <c r="AC1069" s="84">
        <v>0.7</v>
      </c>
      <c r="AD1069" s="37"/>
      <c r="AE1069" s="37"/>
      <c r="AF1069" s="37"/>
      <c r="AG1069" s="37" t="s">
        <v>2758</v>
      </c>
      <c r="AH1069" s="85"/>
    </row>
    <row r="1070" spans="1:36" x14ac:dyDescent="0.3">
      <c r="A1070" s="37">
        <f t="shared" si="32"/>
        <v>1610205102</v>
      </c>
      <c r="B1070" s="37" t="s">
        <v>156</v>
      </c>
      <c r="C1070" s="37" t="s">
        <v>158</v>
      </c>
      <c r="D1070" s="37" t="str">
        <f>"Monster.Name."&amp;VLOOKUP($C1070,'#Data'!$B$2:$J$344,2,FALSE)</f>
        <v>Monster.Name.killer_drone_2</v>
      </c>
      <c r="E1070" s="37" t="s">
        <v>43</v>
      </c>
      <c r="F1070" s="38" t="s">
        <v>44</v>
      </c>
      <c r="G1070" s="37" t="s">
        <v>45</v>
      </c>
      <c r="H1070" s="37" t="b">
        <f>IF(OR(VLOOKUP($C1070,'#Data'!$B$2:$J$344,4,FALSE)="보스",VLOOKUP($C1070,'#Data'!$B$2:$J$344,4,FALSE)="중간"),TRUE,FALSE)</f>
        <v>0</v>
      </c>
      <c r="I1070" s="37" t="b">
        <v>0</v>
      </c>
      <c r="J1070" s="37">
        <v>10</v>
      </c>
      <c r="K1070" s="37">
        <f t="shared" si="33"/>
        <v>10</v>
      </c>
      <c r="L1070" s="59" t="str">
        <f>$B1070&amp;"."&amp;VLOOKUP($C1070,'#Data'!$B$2:$J$344,2,FALSE)&amp;".attack0"&amp;RIGHT(L$1,1)</f>
        <v>Sector05.killer_drone_2.attack01</v>
      </c>
      <c r="M1070" s="59"/>
      <c r="N1070" s="59"/>
      <c r="O1070" s="131" t="s">
        <v>2032</v>
      </c>
      <c r="P1070" s="131" t="s">
        <v>1958</v>
      </c>
      <c r="Q1070" s="60"/>
      <c r="R1070" s="60"/>
      <c r="S1070" s="60"/>
      <c r="T1070" s="60"/>
      <c r="U1070" s="60"/>
      <c r="V1070" s="37" t="b">
        <v>0</v>
      </c>
      <c r="W1070" s="37" t="str">
        <f>"Character/Prefabs/"&amp;VLOOKUP($C1070,'#Data'!$B$3:$I$344,8,FALSE)</f>
        <v>Character/Prefabs/m_s_attacker_killer_drone_2</v>
      </c>
      <c r="X1070" s="37"/>
      <c r="Y1070" s="37" t="str">
        <f>VLOOKUP($C1070,'#Data'!$B$3:$I$344,8,FALSE)</f>
        <v>m_s_attacker_killer_drone_2</v>
      </c>
      <c r="Z1070" s="37"/>
      <c r="AA1070" s="37"/>
      <c r="AB1070" s="37"/>
      <c r="AC1070" s="84">
        <v>0.7</v>
      </c>
      <c r="AD1070" s="37"/>
      <c r="AE1070" s="37"/>
      <c r="AF1070" s="37"/>
      <c r="AG1070" s="37" t="s">
        <v>2758</v>
      </c>
      <c r="AH1070" s="85"/>
    </row>
    <row r="1071" spans="1:36" x14ac:dyDescent="0.3">
      <c r="A1071" s="37">
        <f t="shared" si="32"/>
        <v>1610205103</v>
      </c>
      <c r="B1071" s="37" t="s">
        <v>156</v>
      </c>
      <c r="C1071" s="37" t="s">
        <v>159</v>
      </c>
      <c r="D1071" s="37" t="str">
        <f>"Monster.Name."&amp;VLOOKUP($C1071,'#Data'!$B$2:$J$344,2,FALSE)</f>
        <v>Monster.Name.terminate_drone_3</v>
      </c>
      <c r="E1071" s="37" t="s">
        <v>43</v>
      </c>
      <c r="F1071" s="38" t="s">
        <v>44</v>
      </c>
      <c r="G1071" s="37" t="s">
        <v>45</v>
      </c>
      <c r="H1071" s="37" t="b">
        <f>IF(OR(VLOOKUP($C1071,'#Data'!$B$2:$J$344,4,FALSE)="보스",VLOOKUP($C1071,'#Data'!$B$2:$J$344,4,FALSE)="중간"),TRUE,FALSE)</f>
        <v>0</v>
      </c>
      <c r="I1071" s="37" t="b">
        <v>0</v>
      </c>
      <c r="J1071" s="37">
        <v>10</v>
      </c>
      <c r="K1071" s="37">
        <f t="shared" si="33"/>
        <v>10</v>
      </c>
      <c r="L1071" s="59" t="str">
        <f>$B1071&amp;"."&amp;VLOOKUP($C1071,'#Data'!$B$2:$J$344,2,FALSE)&amp;".attack0"&amp;RIGHT(L$1,1)</f>
        <v>Sector05.terminate_drone_3.attack01</v>
      </c>
      <c r="M1071" s="59"/>
      <c r="N1071" s="59"/>
      <c r="O1071" s="131" t="s">
        <v>2033</v>
      </c>
      <c r="P1071" s="131" t="s">
        <v>1958</v>
      </c>
      <c r="Q1071" s="60"/>
      <c r="R1071" s="60"/>
      <c r="S1071" s="60"/>
      <c r="T1071" s="60"/>
      <c r="U1071" s="60"/>
      <c r="V1071" s="37" t="b">
        <v>0</v>
      </c>
      <c r="W1071" s="37" t="str">
        <f>"Character/Prefabs/"&amp;VLOOKUP($C1071,'#Data'!$B$3:$I$344,8,FALSE)</f>
        <v>Character/Prefabs/m_s_attacker_terminate_drone_3</v>
      </c>
      <c r="X1071" s="37"/>
      <c r="Y1071" s="37" t="str">
        <f>VLOOKUP($C1071,'#Data'!$B$3:$I$344,8,FALSE)</f>
        <v>m_s_attacker_terminate_drone_3</v>
      </c>
      <c r="Z1071" s="37"/>
      <c r="AA1071" s="37"/>
      <c r="AB1071" s="37"/>
      <c r="AC1071" s="84">
        <v>0.7</v>
      </c>
      <c r="AD1071" s="37"/>
      <c r="AE1071" s="37"/>
      <c r="AF1071" s="37"/>
      <c r="AG1071" s="37" t="s">
        <v>2758</v>
      </c>
      <c r="AH1071" s="85"/>
    </row>
    <row r="1072" spans="1:36" x14ac:dyDescent="0.3">
      <c r="A1072" s="37">
        <f t="shared" si="32"/>
        <v>1610205104</v>
      </c>
      <c r="B1072" s="37" t="s">
        <v>156</v>
      </c>
      <c r="C1072" s="37" t="s">
        <v>160</v>
      </c>
      <c r="D1072" s="37" t="str">
        <f>"Monster.Name."&amp;VLOOKUP($C1072,'#Data'!$B$2:$J$344,2,FALSE)</f>
        <v>Monster.Name.clock_thunderdog_1</v>
      </c>
      <c r="E1072" s="37" t="s">
        <v>43</v>
      </c>
      <c r="F1072" s="38" t="s">
        <v>44</v>
      </c>
      <c r="G1072" s="37" t="s">
        <v>45</v>
      </c>
      <c r="H1072" s="37" t="b">
        <f>IF(OR(VLOOKUP($C1072,'#Data'!$B$2:$J$344,4,FALSE)="보스",VLOOKUP($C1072,'#Data'!$B$2:$J$344,4,FALSE)="중간"),TRUE,FALSE)</f>
        <v>0</v>
      </c>
      <c r="I1072" s="37" t="b">
        <v>0</v>
      </c>
      <c r="J1072" s="37">
        <v>10</v>
      </c>
      <c r="K1072" s="37">
        <f t="shared" si="33"/>
        <v>10</v>
      </c>
      <c r="L1072" s="59" t="str">
        <f>$B1072&amp;"."&amp;VLOOKUP($C1072,'#Data'!$B$2:$J$344,2,FALSE)&amp;".attack0"&amp;RIGHT(L$1,1)</f>
        <v>Sector05.clock_thunderdog_1.attack01</v>
      </c>
      <c r="M1072" s="59"/>
      <c r="N1072" s="59"/>
      <c r="O1072" s="131" t="s">
        <v>2034</v>
      </c>
      <c r="P1072" s="131" t="s">
        <v>1958</v>
      </c>
      <c r="Q1072" s="60"/>
      <c r="R1072" s="60"/>
      <c r="S1072" s="60"/>
      <c r="T1072" s="60"/>
      <c r="U1072" s="60"/>
      <c r="V1072" s="37" t="b">
        <v>0</v>
      </c>
      <c r="W1072" s="37" t="str">
        <f>"Character/Prefabs/"&amp;VLOOKUP($C1072,'#Data'!$B$3:$I$344,8,FALSE)</f>
        <v>Character/Prefabs/m_s_attacker_clock_thunderdog_1</v>
      </c>
      <c r="X1072" s="37"/>
      <c r="Y1072" s="37" t="str">
        <f>VLOOKUP($C1072,'#Data'!$B$3:$I$344,8,FALSE)</f>
        <v>m_s_attacker_clock_thunderdog_1</v>
      </c>
      <c r="Z1072" s="37"/>
      <c r="AA1072" s="37"/>
      <c r="AB1072" s="37"/>
      <c r="AC1072" s="84">
        <v>0.9</v>
      </c>
      <c r="AD1072" s="37"/>
      <c r="AE1072" s="37"/>
      <c r="AF1072" s="37"/>
      <c r="AG1072" s="37" t="s">
        <v>2758</v>
      </c>
      <c r="AH1072" s="85"/>
    </row>
    <row r="1073" spans="1:34" x14ac:dyDescent="0.3">
      <c r="A1073" s="37">
        <f t="shared" si="32"/>
        <v>1610205105</v>
      </c>
      <c r="B1073" s="37" t="s">
        <v>156</v>
      </c>
      <c r="C1073" s="37" t="s">
        <v>161</v>
      </c>
      <c r="D1073" s="37" t="str">
        <f>"Monster.Name."&amp;VLOOKUP($C1073,'#Data'!$B$2:$J$344,2,FALSE)</f>
        <v>Monster.Name.labtrooper_rifle_1</v>
      </c>
      <c r="E1073" s="37" t="s">
        <v>47</v>
      </c>
      <c r="F1073" s="38" t="s">
        <v>44</v>
      </c>
      <c r="G1073" s="37" t="s">
        <v>45</v>
      </c>
      <c r="H1073" s="37" t="b">
        <f>IF(OR(VLOOKUP($C1073,'#Data'!$B$2:$J$344,4,FALSE)="보스",VLOOKUP($C1073,'#Data'!$B$2:$J$344,4,FALSE)="중간"),TRUE,FALSE)</f>
        <v>0</v>
      </c>
      <c r="I1073" s="37" t="b">
        <v>0</v>
      </c>
      <c r="J1073" s="37">
        <v>10</v>
      </c>
      <c r="K1073" s="37">
        <f t="shared" si="33"/>
        <v>10</v>
      </c>
      <c r="L1073" s="59" t="str">
        <f>$B1073&amp;"."&amp;VLOOKUP($C1073,'#Data'!$B$2:$J$344,2,FALSE)&amp;".attack0"&amp;RIGHT(L$1,1)</f>
        <v>Sector05.labtrooper_rifle_1.attack01</v>
      </c>
      <c r="M1073" s="59"/>
      <c r="N1073" s="59"/>
      <c r="O1073" s="131" t="str">
        <f>$B1073&amp;"."&amp;VLOOKUP($C1073,'#Data'!$B$2:$J$344,2,FALSE)&amp;".skill0"&amp;RIGHT(O$1,1)</f>
        <v>Sector05.labtrooper_rifle_1.skill01</v>
      </c>
      <c r="P1073" s="131" t="s">
        <v>2035</v>
      </c>
      <c r="Q1073" s="131" t="s">
        <v>1958</v>
      </c>
      <c r="R1073" s="60"/>
      <c r="S1073" s="60"/>
      <c r="T1073" s="60"/>
      <c r="U1073" s="60"/>
      <c r="V1073" s="37" t="b">
        <v>0</v>
      </c>
      <c r="W1073" s="37" t="str">
        <f>"Character/Prefabs/"&amp;VLOOKUP($C1073,'#Data'!$B$3:$I$344,8,FALSE)</f>
        <v>Character/Prefabs/m_m_ranger_labtrooper_rifle_1</v>
      </c>
      <c r="X1073" s="37"/>
      <c r="Y1073" s="37" t="str">
        <f>VLOOKUP($C1073,'#Data'!$B$3:$I$344,8,FALSE)</f>
        <v>m_m_ranger_labtrooper_rifle_1</v>
      </c>
      <c r="Z1073" s="37"/>
      <c r="AA1073" s="37"/>
      <c r="AB1073" s="37"/>
      <c r="AC1073" s="84">
        <v>0.6</v>
      </c>
      <c r="AD1073" s="37"/>
      <c r="AE1073" s="37"/>
      <c r="AF1073" s="37"/>
      <c r="AG1073" s="37" t="s">
        <v>2758</v>
      </c>
      <c r="AH1073" s="85"/>
    </row>
    <row r="1074" spans="1:34" x14ac:dyDescent="0.3">
      <c r="A1074" s="37">
        <f t="shared" si="32"/>
        <v>1610205106</v>
      </c>
      <c r="B1074" s="37" t="s">
        <v>156</v>
      </c>
      <c r="C1074" s="37" t="s">
        <v>162</v>
      </c>
      <c r="D1074" s="37" t="str">
        <f>"Monster.Name."&amp;VLOOKUP($C1074,'#Data'!$B$2:$J$344,2,FALSE)</f>
        <v>Monster.Name.labtrooper_shield_1</v>
      </c>
      <c r="E1074" s="37" t="s">
        <v>58</v>
      </c>
      <c r="F1074" s="38" t="s">
        <v>44</v>
      </c>
      <c r="G1074" s="37" t="s">
        <v>45</v>
      </c>
      <c r="H1074" s="37" t="b">
        <f>IF(OR(VLOOKUP($C1074,'#Data'!$B$2:$J$344,4,FALSE)="보스",VLOOKUP($C1074,'#Data'!$B$2:$J$344,4,FALSE)="중간"),TRUE,FALSE)</f>
        <v>0</v>
      </c>
      <c r="I1074" s="37" t="b">
        <v>0</v>
      </c>
      <c r="J1074" s="37">
        <v>10</v>
      </c>
      <c r="K1074" s="37">
        <f t="shared" si="33"/>
        <v>10</v>
      </c>
      <c r="L1074" s="59" t="str">
        <f>$B1074&amp;"."&amp;VLOOKUP($C1074,'#Data'!$B$2:$J$344,2,FALSE)&amp;".attack0"&amp;RIGHT(L$1,1)</f>
        <v>Sector05.labtrooper_shield_1.attack01</v>
      </c>
      <c r="M1074" s="59"/>
      <c r="N1074" s="59"/>
      <c r="O1074" s="131" t="str">
        <f>$B1074&amp;"."&amp;VLOOKUP($C1074,'#Data'!$B$2:$J$344,2,FALSE)&amp;".skill0"&amp;RIGHT(O$1,1)</f>
        <v>Sector05.labtrooper_shield_1.skill01</v>
      </c>
      <c r="P1074" s="131" t="s">
        <v>2036</v>
      </c>
      <c r="Q1074" s="131" t="s">
        <v>1958</v>
      </c>
      <c r="R1074" s="60"/>
      <c r="S1074" s="60"/>
      <c r="T1074" s="60"/>
      <c r="U1074" s="60"/>
      <c r="V1074" s="37" t="b">
        <v>0</v>
      </c>
      <c r="W1074" s="37" t="str">
        <f>"Character/Prefabs/"&amp;VLOOKUP($C1074,'#Data'!$B$3:$I$344,8,FALSE)</f>
        <v>Character/Prefabs/m_m_tanker_labtrooper_shield_1</v>
      </c>
      <c r="X1074" s="37"/>
      <c r="Y1074" s="37" t="str">
        <f>VLOOKUP($C1074,'#Data'!$B$3:$I$344,8,FALSE)</f>
        <v>m_m_tanker_labtrooper_shield_1</v>
      </c>
      <c r="Z1074" s="37"/>
      <c r="AA1074" s="37"/>
      <c r="AB1074" s="37"/>
      <c r="AC1074" s="84">
        <v>0.6</v>
      </c>
      <c r="AD1074" s="37"/>
      <c r="AE1074" s="37"/>
      <c r="AF1074" s="37"/>
      <c r="AG1074" s="37" t="s">
        <v>2758</v>
      </c>
      <c r="AH1074" s="85"/>
    </row>
    <row r="1075" spans="1:34" x14ac:dyDescent="0.3">
      <c r="A1075" s="37">
        <f t="shared" si="32"/>
        <v>1610205107</v>
      </c>
      <c r="B1075" s="37" t="s">
        <v>156</v>
      </c>
      <c r="C1075" s="37" t="s">
        <v>163</v>
      </c>
      <c r="D1075" s="37" t="str">
        <f>"Monster.Name."&amp;VLOOKUP($C1075,'#Data'!$B$2:$J$344,2,FALSE)</f>
        <v>Monster.Name.labtrooper_flame_1</v>
      </c>
      <c r="E1075" s="37" t="s">
        <v>43</v>
      </c>
      <c r="F1075" s="38" t="s">
        <v>44</v>
      </c>
      <c r="G1075" s="37" t="s">
        <v>45</v>
      </c>
      <c r="H1075" s="37" t="b">
        <f>IF(OR(VLOOKUP($C1075,'#Data'!$B$2:$J$344,4,FALSE)="보스",VLOOKUP($C1075,'#Data'!$B$2:$J$344,4,FALSE)="중간"),TRUE,FALSE)</f>
        <v>0</v>
      </c>
      <c r="I1075" s="37" t="b">
        <v>0</v>
      </c>
      <c r="J1075" s="37">
        <v>10</v>
      </c>
      <c r="K1075" s="37">
        <f t="shared" si="33"/>
        <v>10</v>
      </c>
      <c r="L1075" s="59" t="str">
        <f>$B1075&amp;"."&amp;VLOOKUP($C1075,'#Data'!$B$2:$J$344,2,FALSE)&amp;".attack0"&amp;RIGHT(L$1,1)</f>
        <v>Sector05.labtrooper_flame_1.attack01</v>
      </c>
      <c r="M1075" s="59"/>
      <c r="N1075" s="59"/>
      <c r="O1075" s="131" t="str">
        <f>$B1075&amp;"."&amp;VLOOKUP($C1075,'#Data'!$B$2:$J$344,2,FALSE)&amp;".skill0"&amp;RIGHT(O$1,1)</f>
        <v>Sector05.labtrooper_flame_1.skill01</v>
      </c>
      <c r="P1075" s="131" t="s">
        <v>2037</v>
      </c>
      <c r="Q1075" s="131" t="s">
        <v>1958</v>
      </c>
      <c r="R1075" s="60"/>
      <c r="S1075" s="60"/>
      <c r="T1075" s="60"/>
      <c r="U1075" s="60"/>
      <c r="V1075" s="37" t="b">
        <v>0</v>
      </c>
      <c r="W1075" s="37" t="str">
        <f>"Character/Prefabs/"&amp;VLOOKUP($C1075,'#Data'!$B$3:$I$344,8,FALSE)</f>
        <v>Character/Prefabs/m_m_attacker_labtrooper_flame_1</v>
      </c>
      <c r="X1075" s="37"/>
      <c r="Y1075" s="37" t="str">
        <f>VLOOKUP($C1075,'#Data'!$B$3:$I$344,8,FALSE)</f>
        <v>m_m_attacker_labtrooper_flame_1</v>
      </c>
      <c r="Z1075" s="37"/>
      <c r="AA1075" s="37"/>
      <c r="AB1075" s="37"/>
      <c r="AC1075" s="84">
        <v>0.6</v>
      </c>
      <c r="AD1075" s="37"/>
      <c r="AE1075" s="37"/>
      <c r="AF1075" s="37"/>
      <c r="AG1075" s="37" t="s">
        <v>2758</v>
      </c>
      <c r="AH1075" s="85"/>
    </row>
    <row r="1076" spans="1:34" x14ac:dyDescent="0.3">
      <c r="A1076" s="37">
        <f t="shared" si="32"/>
        <v>1610205108</v>
      </c>
      <c r="B1076" s="37" t="s">
        <v>156</v>
      </c>
      <c r="C1076" s="37" t="s">
        <v>164</v>
      </c>
      <c r="D1076" s="37" t="str">
        <f>"Monster.Name."&amp;VLOOKUP($C1076,'#Data'!$B$2:$J$344,2,FALSE)</f>
        <v>Monster.Name.labtrooper_launcher_1</v>
      </c>
      <c r="E1076" s="37" t="s">
        <v>47</v>
      </c>
      <c r="F1076" s="38" t="s">
        <v>44</v>
      </c>
      <c r="G1076" s="37" t="s">
        <v>45</v>
      </c>
      <c r="H1076" s="37" t="b">
        <f>IF(OR(VLOOKUP($C1076,'#Data'!$B$2:$J$344,4,FALSE)="보스",VLOOKUP($C1076,'#Data'!$B$2:$J$344,4,FALSE)="중간"),TRUE,FALSE)</f>
        <v>0</v>
      </c>
      <c r="I1076" s="37" t="b">
        <v>0</v>
      </c>
      <c r="J1076" s="37">
        <v>10</v>
      </c>
      <c r="K1076" s="37">
        <f t="shared" si="33"/>
        <v>10</v>
      </c>
      <c r="L1076" s="59" t="str">
        <f>$B1076&amp;"."&amp;VLOOKUP($C1076,'#Data'!$B$2:$J$344,2,FALSE)&amp;".attack0"&amp;RIGHT(L$1,1)</f>
        <v>Sector05.labtrooper_launcher_1.attack01</v>
      </c>
      <c r="M1076" s="59"/>
      <c r="N1076" s="59"/>
      <c r="O1076" s="131" t="str">
        <f>$B1076&amp;"."&amp;VLOOKUP($C1076,'#Data'!$B$2:$J$344,2,FALSE)&amp;".skill0"&amp;RIGHT(O$1,1)</f>
        <v>Sector05.labtrooper_launcher_1.skill01</v>
      </c>
      <c r="P1076" s="131" t="s">
        <v>2038</v>
      </c>
      <c r="Q1076" s="131" t="s">
        <v>1958</v>
      </c>
      <c r="R1076" s="60"/>
      <c r="S1076" s="60"/>
      <c r="T1076" s="60"/>
      <c r="U1076" s="60"/>
      <c r="V1076" s="37" t="b">
        <v>0</v>
      </c>
      <c r="W1076" s="37" t="str">
        <f>"Character/Prefabs/"&amp;VLOOKUP($C1076,'#Data'!$B$3:$I$344,8,FALSE)</f>
        <v>Character/Prefabs/m_m_ranger_labtrooper_launcher_1</v>
      </c>
      <c r="X1076" s="37"/>
      <c r="Y1076" s="37" t="str">
        <f>VLOOKUP($C1076,'#Data'!$B$3:$I$344,8,FALSE)</f>
        <v>m_m_ranger_labtrooper_launcher_1</v>
      </c>
      <c r="Z1076" s="37"/>
      <c r="AA1076" s="37"/>
      <c r="AB1076" s="37"/>
      <c r="AC1076" s="84">
        <v>0.6</v>
      </c>
      <c r="AD1076" s="37"/>
      <c r="AE1076" s="37"/>
      <c r="AF1076" s="37"/>
      <c r="AG1076" s="37" t="s">
        <v>2758</v>
      </c>
      <c r="AH1076" s="85"/>
    </row>
    <row r="1077" spans="1:34" x14ac:dyDescent="0.3">
      <c r="A1077" s="37">
        <f t="shared" si="32"/>
        <v>1610205109</v>
      </c>
      <c r="B1077" s="37" t="s">
        <v>156</v>
      </c>
      <c r="C1077" s="37" t="s">
        <v>165</v>
      </c>
      <c r="D1077" s="37" t="str">
        <f>"Monster.Name."&amp;VLOOKUP($C1077,'#Data'!$B$2:$J$344,2,FALSE)</f>
        <v>Monster.Name.silhouette_flyer_3</v>
      </c>
      <c r="E1077" s="37" t="s">
        <v>143</v>
      </c>
      <c r="F1077" s="38" t="s">
        <v>44</v>
      </c>
      <c r="G1077" s="37" t="s">
        <v>45</v>
      </c>
      <c r="H1077" s="37" t="b">
        <f>IF(OR(VLOOKUP($C1077,'#Data'!$B$2:$J$344,4,FALSE)="보스",VLOOKUP($C1077,'#Data'!$B$2:$J$344,4,FALSE)="중간"),TRUE,FALSE)</f>
        <v>0</v>
      </c>
      <c r="I1077" s="37" t="b">
        <v>0</v>
      </c>
      <c r="J1077" s="37">
        <v>10</v>
      </c>
      <c r="K1077" s="37">
        <f t="shared" si="33"/>
        <v>10</v>
      </c>
      <c r="L1077" s="59" t="str">
        <f>$B1077&amp;"."&amp;VLOOKUP($C1077,'#Data'!$B$2:$J$344,2,FALSE)&amp;".attack0"&amp;RIGHT(L$1,1)</f>
        <v>Sector05.silhouette_flyer_3.attack01</v>
      </c>
      <c r="M1077" s="59"/>
      <c r="N1077" s="59"/>
      <c r="O1077" s="131" t="str">
        <f>$B1077&amp;"."&amp;VLOOKUP($C1077,'#Data'!$B$2:$J$344,2,FALSE)&amp;".skill0"&amp;RIGHT(O$1,1)</f>
        <v>Sector05.silhouette_flyer_3.skill01</v>
      </c>
      <c r="P1077" s="131" t="s">
        <v>2039</v>
      </c>
      <c r="Q1077" s="131" t="s">
        <v>1958</v>
      </c>
      <c r="R1077" s="60"/>
      <c r="S1077" s="60"/>
      <c r="T1077" s="60"/>
      <c r="U1077" s="60"/>
      <c r="V1077" s="37" t="b">
        <v>0</v>
      </c>
      <c r="W1077" s="37" t="str">
        <f>"Character/Prefabs/"&amp;VLOOKUP($C1077,'#Data'!$B$3:$I$344,8,FALSE)</f>
        <v>Character/Prefabs/m_m_supporter_silhouette_flyer_3</v>
      </c>
      <c r="X1077" s="37"/>
      <c r="Y1077" s="37" t="str">
        <f>VLOOKUP($C1077,'#Data'!$B$3:$I$344,8,FALSE)</f>
        <v>m_m_supporter_silhouette_flyer_3</v>
      </c>
      <c r="Z1077" s="37"/>
      <c r="AA1077" s="37"/>
      <c r="AB1077" s="37"/>
      <c r="AC1077" s="84">
        <v>0.8</v>
      </c>
      <c r="AD1077" s="37"/>
      <c r="AE1077" s="37"/>
      <c r="AF1077" s="37"/>
      <c r="AG1077" s="37" t="s">
        <v>2758</v>
      </c>
      <c r="AH1077" s="85"/>
    </row>
    <row r="1078" spans="1:34" x14ac:dyDescent="0.3">
      <c r="A1078" s="37">
        <f t="shared" si="32"/>
        <v>1610205110</v>
      </c>
      <c r="B1078" s="37" t="s">
        <v>156</v>
      </c>
      <c r="C1078" s="37" t="s">
        <v>166</v>
      </c>
      <c r="D1078" s="37" t="str">
        <f>"Monster.Name."&amp;VLOOKUP($C1078,'#Data'!$B$2:$J$344,2,FALSE)</f>
        <v>Monster.Name.harbor_cannon_1</v>
      </c>
      <c r="E1078" s="37" t="s">
        <v>47</v>
      </c>
      <c r="F1078" s="38" t="s">
        <v>44</v>
      </c>
      <c r="G1078" s="37" t="s">
        <v>45</v>
      </c>
      <c r="H1078" s="37" t="b">
        <f>IF(OR(VLOOKUP($C1078,'#Data'!$B$2:$J$344,4,FALSE)="보스",VLOOKUP($C1078,'#Data'!$B$2:$J$344,4,FALSE)="중간"),TRUE,FALSE)</f>
        <v>0</v>
      </c>
      <c r="I1078" s="37" t="b">
        <v>0</v>
      </c>
      <c r="J1078" s="37">
        <v>10</v>
      </c>
      <c r="K1078" s="37">
        <f t="shared" si="33"/>
        <v>20</v>
      </c>
      <c r="L1078" s="59" t="str">
        <f>$B1078&amp;"."&amp;VLOOKUP($C1078,'#Data'!$B$2:$J$344,2,FALSE)&amp;".attack0"&amp;RIGHT(L$1,1)</f>
        <v>Sector05.harbor_cannon_1.attack01</v>
      </c>
      <c r="M1078" s="59"/>
      <c r="N1078" s="59"/>
      <c r="O1078" s="131" t="str">
        <f>$B1078&amp;"."&amp;VLOOKUP($C1078,'#Data'!$B$2:$J$344,2,FALSE)&amp;".skill0"&amp;RIGHT(O$1,1)</f>
        <v>Sector05.harbor_cannon_1.skill01</v>
      </c>
      <c r="P1078" s="131" t="s">
        <v>2040</v>
      </c>
      <c r="Q1078" s="131" t="s">
        <v>1958</v>
      </c>
      <c r="R1078" s="60"/>
      <c r="S1078" s="60"/>
      <c r="T1078" s="60"/>
      <c r="U1078" s="60"/>
      <c r="V1078" s="37" t="b">
        <v>0</v>
      </c>
      <c r="W1078" s="37" t="str">
        <f>"Character/Prefabs/"&amp;VLOOKUP($C1078,'#Data'!$B$3:$I$344,8,FALSE)</f>
        <v>Character/Prefabs/m_m_ranger_harbor_cannon_1</v>
      </c>
      <c r="X1078" s="37"/>
      <c r="Y1078" s="37" t="str">
        <f>VLOOKUP($C1078,'#Data'!$B$3:$I$344,8,FALSE)</f>
        <v>m_m_ranger_harbor_cannon_1</v>
      </c>
      <c r="Z1078" s="37"/>
      <c r="AA1078" s="37"/>
      <c r="AB1078" s="37"/>
      <c r="AC1078" s="84">
        <v>0.7</v>
      </c>
      <c r="AD1078" s="37"/>
      <c r="AE1078" s="37"/>
      <c r="AF1078" s="37"/>
      <c r="AG1078" s="37" t="s">
        <v>2758</v>
      </c>
      <c r="AH1078" s="85"/>
    </row>
    <row r="1079" spans="1:34" x14ac:dyDescent="0.3">
      <c r="A1079" s="51">
        <f t="shared" si="32"/>
        <v>1610205111</v>
      </c>
      <c r="B1079" s="51" t="s">
        <v>156</v>
      </c>
      <c r="C1079" s="51" t="s">
        <v>1280</v>
      </c>
      <c r="D1079" s="51" t="str">
        <f>"Monster.Name."&amp;VLOOKUP($C1079,'#Data'!$B$2:$J$344,2,FALSE)</f>
        <v>Monster.Name.killer_drone_6</v>
      </c>
      <c r="E1079" s="51" t="s">
        <v>43</v>
      </c>
      <c r="F1079" s="52" t="s">
        <v>44</v>
      </c>
      <c r="G1079" s="51" t="s">
        <v>45</v>
      </c>
      <c r="H1079" s="51" t="b">
        <f>IF(OR(VLOOKUP($C1079,'#Data'!$B$2:$J$344,4,FALSE)="보스",VLOOKUP($C1079,'#Data'!$B$2:$J$344,4,FALSE)="중간"),TRUE,FALSE)</f>
        <v>0</v>
      </c>
      <c r="I1079" s="51" t="b">
        <v>0</v>
      </c>
      <c r="J1079" s="51">
        <v>10</v>
      </c>
      <c r="K1079" s="51">
        <f t="shared" si="33"/>
        <v>10</v>
      </c>
      <c r="L1079" s="61" t="s">
        <v>1362</v>
      </c>
      <c r="M1079" s="61"/>
      <c r="N1079" s="61"/>
      <c r="O1079" s="131" t="s">
        <v>2031</v>
      </c>
      <c r="P1079" s="132" t="s">
        <v>1958</v>
      </c>
      <c r="Q1079" s="132"/>
      <c r="R1079" s="62"/>
      <c r="S1079" s="62"/>
      <c r="T1079" s="62"/>
      <c r="U1079" s="62"/>
      <c r="V1079" s="51" t="b">
        <v>0</v>
      </c>
      <c r="W1079" s="51" t="str">
        <f>"Character/Prefabs/"&amp;VLOOKUP($C1079,'#Data'!$B$3:$I$344,8,FALSE)</f>
        <v>Character/Prefabs/m_s_attacker_killer_drone_6</v>
      </c>
      <c r="X1079" s="51"/>
      <c r="Y1079" s="103" t="s">
        <v>1402</v>
      </c>
      <c r="Z1079" s="51"/>
      <c r="AA1079" s="51"/>
      <c r="AB1079" s="51"/>
      <c r="AC1079" s="86">
        <v>0.7</v>
      </c>
      <c r="AD1079" s="51"/>
      <c r="AE1079" s="51"/>
      <c r="AF1079" s="51"/>
      <c r="AG1079" s="51" t="s">
        <v>2758</v>
      </c>
      <c r="AH1079" s="85"/>
    </row>
    <row r="1080" spans="1:34" x14ac:dyDescent="0.3">
      <c r="A1080" s="51">
        <f t="shared" si="32"/>
        <v>1610205112</v>
      </c>
      <c r="B1080" s="51" t="s">
        <v>156</v>
      </c>
      <c r="C1080" s="51" t="s">
        <v>1282</v>
      </c>
      <c r="D1080" s="51" t="str">
        <f>"Monster.Name."&amp;VLOOKUP($C1080,'#Data'!$B$2:$J$344,2,FALSE)</f>
        <v>Monster.Name.killer_drone_5</v>
      </c>
      <c r="E1080" s="51" t="s">
        <v>43</v>
      </c>
      <c r="F1080" s="52" t="s">
        <v>44</v>
      </c>
      <c r="G1080" s="51" t="s">
        <v>45</v>
      </c>
      <c r="H1080" s="51" t="b">
        <f>IF(OR(VLOOKUP($C1080,'#Data'!$B$2:$J$344,4,FALSE)="보스",VLOOKUP($C1080,'#Data'!$B$2:$J$344,4,FALSE)="중간"),TRUE,FALSE)</f>
        <v>0</v>
      </c>
      <c r="I1080" s="51" t="b">
        <v>0</v>
      </c>
      <c r="J1080" s="51">
        <v>10</v>
      </c>
      <c r="K1080" s="51">
        <f t="shared" si="33"/>
        <v>10</v>
      </c>
      <c r="L1080" s="61" t="s">
        <v>1363</v>
      </c>
      <c r="M1080" s="61"/>
      <c r="N1080" s="61"/>
      <c r="O1080" s="131" t="s">
        <v>2032</v>
      </c>
      <c r="P1080" s="132" t="s">
        <v>1958</v>
      </c>
      <c r="Q1080" s="132"/>
      <c r="R1080" s="62"/>
      <c r="S1080" s="62"/>
      <c r="T1080" s="62"/>
      <c r="U1080" s="62"/>
      <c r="V1080" s="51" t="b">
        <v>0</v>
      </c>
      <c r="W1080" s="51" t="str">
        <f>"Character/Prefabs/"&amp;VLOOKUP($C1080,'#Data'!$B$3:$I$344,8,FALSE)</f>
        <v>Character/Prefabs/m_s_attacker_killer_drone_5</v>
      </c>
      <c r="X1080" s="51"/>
      <c r="Y1080" s="104" t="s">
        <v>1403</v>
      </c>
      <c r="Z1080" s="51"/>
      <c r="AA1080" s="51"/>
      <c r="AB1080" s="51"/>
      <c r="AC1080" s="86">
        <v>0.7</v>
      </c>
      <c r="AD1080" s="51"/>
      <c r="AE1080" s="51"/>
      <c r="AF1080" s="51"/>
      <c r="AG1080" s="51" t="s">
        <v>2758</v>
      </c>
      <c r="AH1080" s="85"/>
    </row>
    <row r="1081" spans="1:34" x14ac:dyDescent="0.3">
      <c r="A1081" s="51">
        <f t="shared" si="32"/>
        <v>1610205113</v>
      </c>
      <c r="B1081" s="51" t="s">
        <v>156</v>
      </c>
      <c r="C1081" s="51" t="s">
        <v>1284</v>
      </c>
      <c r="D1081" s="51" t="str">
        <f>"Monster.Name."&amp;VLOOKUP($C1081,'#Data'!$B$2:$J$344,2,FALSE)</f>
        <v>Monster.Name.terminate_drone_4</v>
      </c>
      <c r="E1081" s="51" t="s">
        <v>43</v>
      </c>
      <c r="F1081" s="52" t="s">
        <v>44</v>
      </c>
      <c r="G1081" s="51" t="s">
        <v>45</v>
      </c>
      <c r="H1081" s="51" t="b">
        <f>IF(OR(VLOOKUP($C1081,'#Data'!$B$2:$J$344,4,FALSE)="보스",VLOOKUP($C1081,'#Data'!$B$2:$J$344,4,FALSE)="중간"),TRUE,FALSE)</f>
        <v>0</v>
      </c>
      <c r="I1081" s="51" t="b">
        <v>0</v>
      </c>
      <c r="J1081" s="51">
        <v>10</v>
      </c>
      <c r="K1081" s="51">
        <f t="shared" si="33"/>
        <v>10</v>
      </c>
      <c r="L1081" s="61" t="s">
        <v>1364</v>
      </c>
      <c r="M1081" s="61"/>
      <c r="N1081" s="61"/>
      <c r="O1081" s="131" t="s">
        <v>2033</v>
      </c>
      <c r="P1081" s="132" t="s">
        <v>1958</v>
      </c>
      <c r="Q1081" s="132"/>
      <c r="R1081" s="62"/>
      <c r="S1081" s="62"/>
      <c r="T1081" s="62"/>
      <c r="U1081" s="62"/>
      <c r="V1081" s="51" t="b">
        <v>0</v>
      </c>
      <c r="W1081" s="51" t="str">
        <f>"Character/Prefabs/"&amp;VLOOKUP($C1081,'#Data'!$B$3:$I$344,8,FALSE)</f>
        <v>Character/Prefabs/m_s_attacker_terminate_drone_4</v>
      </c>
      <c r="X1081" s="51"/>
      <c r="Y1081" s="104" t="s">
        <v>1404</v>
      </c>
      <c r="Z1081" s="51"/>
      <c r="AA1081" s="51"/>
      <c r="AB1081" s="51"/>
      <c r="AC1081" s="86">
        <v>0.7</v>
      </c>
      <c r="AD1081" s="51"/>
      <c r="AE1081" s="51"/>
      <c r="AF1081" s="51"/>
      <c r="AG1081" s="51" t="s">
        <v>2758</v>
      </c>
      <c r="AH1081" s="85"/>
    </row>
    <row r="1082" spans="1:34" x14ac:dyDescent="0.3">
      <c r="A1082" s="51">
        <f t="shared" si="32"/>
        <v>1610205114</v>
      </c>
      <c r="B1082" s="51" t="s">
        <v>156</v>
      </c>
      <c r="C1082" s="51" t="s">
        <v>1286</v>
      </c>
      <c r="D1082" s="51" t="str">
        <f>"Monster.Name."&amp;VLOOKUP($C1082,'#Data'!$B$2:$J$344,2,FALSE)</f>
        <v>Monster.Name.clock_thunderdog_2</v>
      </c>
      <c r="E1082" s="51" t="s">
        <v>43</v>
      </c>
      <c r="F1082" s="52" t="s">
        <v>44</v>
      </c>
      <c r="G1082" s="51" t="s">
        <v>45</v>
      </c>
      <c r="H1082" s="51" t="b">
        <f>IF(OR(VLOOKUP($C1082,'#Data'!$B$2:$J$344,4,FALSE)="보스",VLOOKUP($C1082,'#Data'!$B$2:$J$344,4,FALSE)="중간"),TRUE,FALSE)</f>
        <v>0</v>
      </c>
      <c r="I1082" s="51" t="b">
        <v>0</v>
      </c>
      <c r="J1082" s="51">
        <v>10</v>
      </c>
      <c r="K1082" s="51">
        <f t="shared" si="33"/>
        <v>10</v>
      </c>
      <c r="L1082" s="61" t="s">
        <v>1365</v>
      </c>
      <c r="M1082" s="61"/>
      <c r="N1082" s="61"/>
      <c r="O1082" s="131" t="s">
        <v>2034</v>
      </c>
      <c r="P1082" s="132" t="s">
        <v>1958</v>
      </c>
      <c r="Q1082" s="132"/>
      <c r="R1082" s="62"/>
      <c r="S1082" s="62"/>
      <c r="T1082" s="62"/>
      <c r="U1082" s="62"/>
      <c r="V1082" s="51" t="b">
        <v>0</v>
      </c>
      <c r="W1082" s="51" t="str">
        <f>"Character/Prefabs/"&amp;VLOOKUP($C1082,'#Data'!$B$3:$I$344,8,FALSE)</f>
        <v>Character/Prefabs/m_s_attacker_clock_thunderdog_2</v>
      </c>
      <c r="X1082" s="51"/>
      <c r="Y1082" s="104" t="s">
        <v>1405</v>
      </c>
      <c r="Z1082" s="51"/>
      <c r="AA1082" s="51"/>
      <c r="AB1082" s="51"/>
      <c r="AC1082" s="86">
        <v>0.9</v>
      </c>
      <c r="AD1082" s="51"/>
      <c r="AE1082" s="51"/>
      <c r="AF1082" s="51"/>
      <c r="AG1082" s="51" t="s">
        <v>2758</v>
      </c>
      <c r="AH1082" s="85"/>
    </row>
    <row r="1083" spans="1:34" x14ac:dyDescent="0.3">
      <c r="A1083" s="51">
        <f t="shared" si="32"/>
        <v>1610205115</v>
      </c>
      <c r="B1083" s="51" t="s">
        <v>156</v>
      </c>
      <c r="C1083" s="51" t="s">
        <v>1288</v>
      </c>
      <c r="D1083" s="51" t="str">
        <f>"Monster.Name."&amp;VLOOKUP($C1083,'#Data'!$B$2:$J$344,2,FALSE)</f>
        <v>Monster.Name.labtrooper_rifle_2</v>
      </c>
      <c r="E1083" s="51" t="s">
        <v>47</v>
      </c>
      <c r="F1083" s="52" t="s">
        <v>44</v>
      </c>
      <c r="G1083" s="51" t="s">
        <v>45</v>
      </c>
      <c r="H1083" s="51" t="b">
        <f>IF(OR(VLOOKUP($C1083,'#Data'!$B$2:$J$344,4,FALSE)="보스",VLOOKUP($C1083,'#Data'!$B$2:$J$344,4,FALSE)="중간"),TRUE,FALSE)</f>
        <v>0</v>
      </c>
      <c r="I1083" s="51" t="b">
        <v>0</v>
      </c>
      <c r="J1083" s="51">
        <v>10</v>
      </c>
      <c r="K1083" s="51">
        <f t="shared" si="33"/>
        <v>10</v>
      </c>
      <c r="L1083" s="61" t="s">
        <v>1366</v>
      </c>
      <c r="M1083" s="61"/>
      <c r="N1083" s="61"/>
      <c r="O1083" s="132" t="s">
        <v>1372</v>
      </c>
      <c r="P1083" s="131" t="s">
        <v>2035</v>
      </c>
      <c r="Q1083" s="132" t="s">
        <v>1958</v>
      </c>
      <c r="R1083" s="62"/>
      <c r="S1083" s="62"/>
      <c r="T1083" s="62"/>
      <c r="U1083" s="62"/>
      <c r="V1083" s="51" t="b">
        <v>0</v>
      </c>
      <c r="W1083" s="51" t="str">
        <f>"Character/Prefabs/"&amp;VLOOKUP($C1083,'#Data'!$B$3:$I$344,8,FALSE)</f>
        <v>Character/Prefabs/m_m_ranger_labtrooper_rifle_2</v>
      </c>
      <c r="X1083" s="51"/>
      <c r="Y1083" s="104" t="s">
        <v>1406</v>
      </c>
      <c r="Z1083" s="51"/>
      <c r="AA1083" s="51"/>
      <c r="AB1083" s="51"/>
      <c r="AC1083" s="86">
        <v>0.6</v>
      </c>
      <c r="AD1083" s="51"/>
      <c r="AE1083" s="51"/>
      <c r="AF1083" s="51"/>
      <c r="AG1083" s="51" t="s">
        <v>2758</v>
      </c>
      <c r="AH1083" s="85"/>
    </row>
    <row r="1084" spans="1:34" x14ac:dyDescent="0.3">
      <c r="A1084" s="51">
        <f t="shared" si="32"/>
        <v>1610205116</v>
      </c>
      <c r="B1084" s="51" t="s">
        <v>156</v>
      </c>
      <c r="C1084" s="51" t="s">
        <v>1290</v>
      </c>
      <c r="D1084" s="51" t="str">
        <f>"Monster.Name."&amp;VLOOKUP($C1084,'#Data'!$B$2:$J$344,2,FALSE)</f>
        <v>Monster.Name.labtrooper_shield_2</v>
      </c>
      <c r="E1084" s="51" t="s">
        <v>58</v>
      </c>
      <c r="F1084" s="52" t="s">
        <v>44</v>
      </c>
      <c r="G1084" s="51" t="s">
        <v>45</v>
      </c>
      <c r="H1084" s="51" t="b">
        <f>IF(OR(VLOOKUP($C1084,'#Data'!$B$2:$J$344,4,FALSE)="보스",VLOOKUP($C1084,'#Data'!$B$2:$J$344,4,FALSE)="중간"),TRUE,FALSE)</f>
        <v>0</v>
      </c>
      <c r="I1084" s="51" t="b">
        <v>0</v>
      </c>
      <c r="J1084" s="51">
        <v>10</v>
      </c>
      <c r="K1084" s="51">
        <f t="shared" si="33"/>
        <v>10</v>
      </c>
      <c r="L1084" s="61" t="s">
        <v>1367</v>
      </c>
      <c r="M1084" s="61"/>
      <c r="N1084" s="61"/>
      <c r="O1084" s="132" t="s">
        <v>1373</v>
      </c>
      <c r="P1084" s="131" t="s">
        <v>2036</v>
      </c>
      <c r="Q1084" s="132" t="s">
        <v>1958</v>
      </c>
      <c r="R1084" s="62"/>
      <c r="S1084" s="62"/>
      <c r="T1084" s="62"/>
      <c r="U1084" s="62"/>
      <c r="V1084" s="51" t="b">
        <v>0</v>
      </c>
      <c r="W1084" s="51" t="str">
        <f>"Character/Prefabs/"&amp;VLOOKUP($C1084,'#Data'!$B$3:$I$344,8,FALSE)</f>
        <v>Character/Prefabs/m_m_tanker_labtrooper_shield_2</v>
      </c>
      <c r="X1084" s="51"/>
      <c r="Y1084" s="104" t="s">
        <v>1407</v>
      </c>
      <c r="Z1084" s="51"/>
      <c r="AA1084" s="51"/>
      <c r="AB1084" s="51"/>
      <c r="AC1084" s="86">
        <v>0.6</v>
      </c>
      <c r="AD1084" s="51"/>
      <c r="AE1084" s="51"/>
      <c r="AF1084" s="51"/>
      <c r="AG1084" s="51" t="s">
        <v>2758</v>
      </c>
      <c r="AH1084" s="85"/>
    </row>
    <row r="1085" spans="1:34" x14ac:dyDescent="0.3">
      <c r="A1085" s="51">
        <f t="shared" si="32"/>
        <v>1610205117</v>
      </c>
      <c r="B1085" s="51" t="s">
        <v>156</v>
      </c>
      <c r="C1085" s="51" t="s">
        <v>1292</v>
      </c>
      <c r="D1085" s="51" t="str">
        <f>"Monster.Name."&amp;VLOOKUP($C1085,'#Data'!$B$2:$J$344,2,FALSE)</f>
        <v>Monster.Name.labtrooper_flame_2</v>
      </c>
      <c r="E1085" s="51" t="s">
        <v>43</v>
      </c>
      <c r="F1085" s="52" t="s">
        <v>44</v>
      </c>
      <c r="G1085" s="51" t="s">
        <v>45</v>
      </c>
      <c r="H1085" s="51" t="b">
        <f>IF(OR(VLOOKUP($C1085,'#Data'!$B$2:$J$344,4,FALSE)="보스",VLOOKUP($C1085,'#Data'!$B$2:$J$344,4,FALSE)="중간"),TRUE,FALSE)</f>
        <v>0</v>
      </c>
      <c r="I1085" s="51" t="b">
        <v>0</v>
      </c>
      <c r="J1085" s="51">
        <v>10</v>
      </c>
      <c r="K1085" s="51">
        <f t="shared" si="33"/>
        <v>10</v>
      </c>
      <c r="L1085" s="61" t="s">
        <v>1368</v>
      </c>
      <c r="M1085" s="61"/>
      <c r="N1085" s="61"/>
      <c r="O1085" s="132" t="s">
        <v>1374</v>
      </c>
      <c r="P1085" s="131" t="s">
        <v>2037</v>
      </c>
      <c r="Q1085" s="132" t="s">
        <v>1958</v>
      </c>
      <c r="R1085" s="62"/>
      <c r="S1085" s="62"/>
      <c r="T1085" s="62"/>
      <c r="U1085" s="62"/>
      <c r="V1085" s="51" t="b">
        <v>0</v>
      </c>
      <c r="W1085" s="51" t="str">
        <f>"Character/Prefabs/"&amp;VLOOKUP($C1085,'#Data'!$B$3:$I$344,8,FALSE)</f>
        <v>Character/Prefabs/m_m_attacker_labtrooper_flame_2</v>
      </c>
      <c r="X1085" s="51"/>
      <c r="Y1085" s="104" t="s">
        <v>1408</v>
      </c>
      <c r="Z1085" s="51"/>
      <c r="AA1085" s="51"/>
      <c r="AB1085" s="51"/>
      <c r="AC1085" s="86">
        <v>0.6</v>
      </c>
      <c r="AD1085" s="51"/>
      <c r="AE1085" s="51"/>
      <c r="AF1085" s="51"/>
      <c r="AG1085" s="51" t="s">
        <v>2758</v>
      </c>
      <c r="AH1085" s="85"/>
    </row>
    <row r="1086" spans="1:34" x14ac:dyDescent="0.3">
      <c r="A1086" s="51">
        <f t="shared" si="32"/>
        <v>1610205118</v>
      </c>
      <c r="B1086" s="51" t="s">
        <v>156</v>
      </c>
      <c r="C1086" s="51" t="s">
        <v>1294</v>
      </c>
      <c r="D1086" s="51" t="str">
        <f>"Monster.Name."&amp;VLOOKUP($C1086,'#Data'!$B$2:$J$344,2,FALSE)</f>
        <v>Monster.Name.labtrooper_launcher_2</v>
      </c>
      <c r="E1086" s="51" t="s">
        <v>47</v>
      </c>
      <c r="F1086" s="52" t="s">
        <v>44</v>
      </c>
      <c r="G1086" s="51" t="s">
        <v>45</v>
      </c>
      <c r="H1086" s="51" t="b">
        <f>IF(OR(VLOOKUP($C1086,'#Data'!$B$2:$J$344,4,FALSE)="보스",VLOOKUP($C1086,'#Data'!$B$2:$J$344,4,FALSE)="중간"),TRUE,FALSE)</f>
        <v>0</v>
      </c>
      <c r="I1086" s="51" t="b">
        <v>0</v>
      </c>
      <c r="J1086" s="51">
        <v>10</v>
      </c>
      <c r="K1086" s="51">
        <f t="shared" si="33"/>
        <v>10</v>
      </c>
      <c r="L1086" s="61" t="s">
        <v>1369</v>
      </c>
      <c r="M1086" s="61"/>
      <c r="N1086" s="61"/>
      <c r="O1086" s="132" t="s">
        <v>1375</v>
      </c>
      <c r="P1086" s="131" t="s">
        <v>2038</v>
      </c>
      <c r="Q1086" s="132" t="s">
        <v>1958</v>
      </c>
      <c r="R1086" s="62"/>
      <c r="S1086" s="62"/>
      <c r="T1086" s="62"/>
      <c r="U1086" s="62"/>
      <c r="V1086" s="51" t="b">
        <v>0</v>
      </c>
      <c r="W1086" s="51" t="str">
        <f>"Character/Prefabs/"&amp;VLOOKUP($C1086,'#Data'!$B$3:$I$344,8,FALSE)</f>
        <v>Character/Prefabs/m_m_ranger_labtrooper_launcher_2</v>
      </c>
      <c r="X1086" s="51"/>
      <c r="Y1086" s="104" t="s">
        <v>1409</v>
      </c>
      <c r="Z1086" s="51"/>
      <c r="AA1086" s="51"/>
      <c r="AB1086" s="51"/>
      <c r="AC1086" s="86">
        <v>0.6</v>
      </c>
      <c r="AD1086" s="51"/>
      <c r="AE1086" s="51"/>
      <c r="AF1086" s="51"/>
      <c r="AG1086" s="51" t="s">
        <v>2758</v>
      </c>
      <c r="AH1086" s="85"/>
    </row>
    <row r="1087" spans="1:34" x14ac:dyDescent="0.3">
      <c r="A1087" s="51">
        <f t="shared" si="32"/>
        <v>1610205119</v>
      </c>
      <c r="B1087" s="51" t="s">
        <v>156</v>
      </c>
      <c r="C1087" s="51" t="s">
        <v>1296</v>
      </c>
      <c r="D1087" s="51" t="str">
        <f>"Monster.Name."&amp;VLOOKUP($C1087,'#Data'!$B$2:$J$344,2,FALSE)</f>
        <v>Monster.Name.silhouette_flyer_4</v>
      </c>
      <c r="E1087" s="51" t="s">
        <v>143</v>
      </c>
      <c r="F1087" s="52" t="s">
        <v>44</v>
      </c>
      <c r="G1087" s="51" t="s">
        <v>45</v>
      </c>
      <c r="H1087" s="51" t="b">
        <f>IF(OR(VLOOKUP($C1087,'#Data'!$B$2:$J$344,4,FALSE)="보스",VLOOKUP($C1087,'#Data'!$B$2:$J$344,4,FALSE)="중간"),TRUE,FALSE)</f>
        <v>0</v>
      </c>
      <c r="I1087" s="51" t="b">
        <v>0</v>
      </c>
      <c r="J1087" s="51">
        <v>10</v>
      </c>
      <c r="K1087" s="51">
        <f t="shared" si="33"/>
        <v>10</v>
      </c>
      <c r="L1087" s="61" t="s">
        <v>1370</v>
      </c>
      <c r="M1087" s="61"/>
      <c r="N1087" s="61"/>
      <c r="O1087" s="132" t="s">
        <v>1376</v>
      </c>
      <c r="P1087" s="131" t="s">
        <v>2039</v>
      </c>
      <c r="Q1087" s="132" t="s">
        <v>1958</v>
      </c>
      <c r="R1087" s="62"/>
      <c r="S1087" s="62"/>
      <c r="T1087" s="62"/>
      <c r="U1087" s="62"/>
      <c r="V1087" s="51" t="b">
        <v>0</v>
      </c>
      <c r="W1087" s="51" t="str">
        <f>"Character/Prefabs/"&amp;VLOOKUP($C1087,'#Data'!$B$3:$I$344,8,FALSE)</f>
        <v>Character/Prefabs/m_m_supporter_silhouette_flyer_4</v>
      </c>
      <c r="X1087" s="51"/>
      <c r="Y1087" s="104" t="s">
        <v>1410</v>
      </c>
      <c r="Z1087" s="51"/>
      <c r="AA1087" s="51"/>
      <c r="AB1087" s="51"/>
      <c r="AC1087" s="86">
        <v>0.8</v>
      </c>
      <c r="AD1087" s="51"/>
      <c r="AE1087" s="51"/>
      <c r="AF1087" s="51"/>
      <c r="AG1087" s="51" t="s">
        <v>2758</v>
      </c>
      <c r="AH1087" s="85"/>
    </row>
    <row r="1088" spans="1:34" x14ac:dyDescent="0.3">
      <c r="A1088" s="51">
        <f t="shared" si="32"/>
        <v>1610205120</v>
      </c>
      <c r="B1088" s="51" t="s">
        <v>156</v>
      </c>
      <c r="C1088" s="51" t="s">
        <v>1298</v>
      </c>
      <c r="D1088" s="51" t="str">
        <f>"Monster.Name."&amp;VLOOKUP($C1088,'#Data'!$B$2:$J$344,2,FALSE)</f>
        <v>Monster.Name.harbor_cannon_2</v>
      </c>
      <c r="E1088" s="51" t="s">
        <v>47</v>
      </c>
      <c r="F1088" s="52" t="s">
        <v>44</v>
      </c>
      <c r="G1088" s="51" t="s">
        <v>45</v>
      </c>
      <c r="H1088" s="51" t="b">
        <f>IF(OR(VLOOKUP($C1088,'#Data'!$B$2:$J$344,4,FALSE)="보스",VLOOKUP($C1088,'#Data'!$B$2:$J$344,4,FALSE)="중간"),TRUE,FALSE)</f>
        <v>0</v>
      </c>
      <c r="I1088" s="51" t="b">
        <v>0</v>
      </c>
      <c r="J1088" s="51">
        <v>10</v>
      </c>
      <c r="K1088" s="51">
        <f t="shared" si="33"/>
        <v>20</v>
      </c>
      <c r="L1088" s="61" t="s">
        <v>1371</v>
      </c>
      <c r="M1088" s="61"/>
      <c r="N1088" s="61"/>
      <c r="O1088" s="132" t="s">
        <v>1377</v>
      </c>
      <c r="P1088" s="131" t="s">
        <v>2040</v>
      </c>
      <c r="Q1088" s="132" t="s">
        <v>1958</v>
      </c>
      <c r="R1088" s="62"/>
      <c r="S1088" s="62"/>
      <c r="T1088" s="62"/>
      <c r="U1088" s="62"/>
      <c r="V1088" s="51" t="b">
        <v>0</v>
      </c>
      <c r="W1088" s="51" t="str">
        <f>"Character/Prefabs/"&amp;VLOOKUP($C1088,'#Data'!$B$3:$I$344,8,FALSE)</f>
        <v>Character/Prefabs/m_m_ranger_harbor_cannon_2</v>
      </c>
      <c r="X1088" s="51"/>
      <c r="Y1088" s="104" t="s">
        <v>1411</v>
      </c>
      <c r="Z1088" s="51"/>
      <c r="AA1088" s="51"/>
      <c r="AB1088" s="51"/>
      <c r="AC1088" s="86">
        <v>0.7</v>
      </c>
      <c r="AD1088" s="51"/>
      <c r="AE1088" s="51"/>
      <c r="AF1088" s="51"/>
      <c r="AG1088" s="51" t="s">
        <v>2758</v>
      </c>
      <c r="AH1088" s="85"/>
    </row>
    <row r="1089" spans="1:34" x14ac:dyDescent="0.3">
      <c r="A1089" s="37">
        <f t="shared" si="32"/>
        <v>1610205201</v>
      </c>
      <c r="B1089" s="37" t="s">
        <v>156</v>
      </c>
      <c r="C1089" s="37" t="s">
        <v>167</v>
      </c>
      <c r="D1089" s="37" t="str">
        <f>"Monster.Name."&amp;VLOOKUP($C1089,'#Data'!$B$2:$J$344,2,FALSE)</f>
        <v>Monster.Name.labsuit_gun_1</v>
      </c>
      <c r="E1089" s="37" t="s">
        <v>47</v>
      </c>
      <c r="F1089" s="38" t="s">
        <v>44</v>
      </c>
      <c r="G1089" s="37" t="s">
        <v>45</v>
      </c>
      <c r="H1089" s="37" t="b">
        <f>IF(OR(VLOOKUP($C1089,'#Data'!$B$2:$J$344,4,FALSE)="보스",VLOOKUP($C1089,'#Data'!$B$2:$J$344,4,FALSE)="중간"),TRUE,FALSE)</f>
        <v>1</v>
      </c>
      <c r="I1089" s="37" t="b">
        <v>1</v>
      </c>
      <c r="J1089" s="37">
        <v>10</v>
      </c>
      <c r="K1089" s="37">
        <f t="shared" si="33"/>
        <v>10</v>
      </c>
      <c r="L1089" s="59" t="str">
        <f>$B1089&amp;"."&amp;VLOOKUP($C1089,'#Data'!$B$2:$J$344,2,FALSE)&amp;".attack0"&amp;RIGHT(L$1,1)</f>
        <v>Sector05.labsuit_gun_1.attack01</v>
      </c>
      <c r="M1089" s="59"/>
      <c r="N1089" s="59"/>
      <c r="O1089" s="131" t="str">
        <f>$B1089&amp;"."&amp;VLOOKUP($C1089,'#Data'!$B$2:$J$344,2,FALSE)&amp;".skill0"&amp;RIGHT(O$1,1)</f>
        <v>Sector05.labsuit_gun_1.skill01</v>
      </c>
      <c r="P1089" s="131" t="str">
        <f>$B1089&amp;"."&amp;VLOOKUP($C1089,'#Data'!$B$2:$J$344,2,FALSE)&amp;".skill0"&amp;RIGHT(P$1,1)</f>
        <v>Sector05.labsuit_gun_1.skill02</v>
      </c>
      <c r="Q1089" s="131" t="str">
        <f>$B1089&amp;"."&amp;VLOOKUP($C1089,'#Data'!$B$2:$J$344,2,FALSE)&amp;".skill0"&amp;RIGHT(Q$1,1)</f>
        <v>Sector05.labsuit_gun_1.skill03</v>
      </c>
      <c r="R1089" s="60" t="s">
        <v>1958</v>
      </c>
      <c r="S1089" s="60" t="s">
        <v>2078</v>
      </c>
      <c r="T1089" s="60"/>
      <c r="U1089" s="60"/>
      <c r="V1089" s="37" t="b">
        <v>0</v>
      </c>
      <c r="W1089" s="37" t="str">
        <f>"Character/Prefabs/"&amp;VLOOKUP($C1089,'#Data'!$B$3:$I$344,8,FALSE)</f>
        <v>Character/Prefabs/m_l_ranger_labsuit_gun_1</v>
      </c>
      <c r="X1089" s="37"/>
      <c r="Y1089" s="37" t="str">
        <f>VLOOKUP($C1089,'#Data'!$B$3:$I$344,8,FALSE)</f>
        <v>m_l_ranger_labsuit_gun_1</v>
      </c>
      <c r="Z1089" s="37"/>
      <c r="AA1089" s="37"/>
      <c r="AB1089" s="37"/>
      <c r="AC1089" s="84">
        <v>1.2</v>
      </c>
      <c r="AD1089" s="37"/>
      <c r="AE1089" s="37"/>
      <c r="AF1089" s="37"/>
      <c r="AG1089" s="37" t="s">
        <v>2758</v>
      </c>
      <c r="AH1089" s="85"/>
    </row>
    <row r="1090" spans="1:34" x14ac:dyDescent="0.3">
      <c r="A1090" s="37">
        <f t="shared" si="32"/>
        <v>1610205202</v>
      </c>
      <c r="B1090" s="37" t="s">
        <v>156</v>
      </c>
      <c r="C1090" s="37" t="s">
        <v>168</v>
      </c>
      <c r="D1090" s="37" t="str">
        <f>"Monster.Name."&amp;VLOOKUP($C1090,'#Data'!$B$2:$J$344,2,FALSE)</f>
        <v>Monster.Name.labmecha_punch_1</v>
      </c>
      <c r="E1090" s="37" t="s">
        <v>58</v>
      </c>
      <c r="F1090" s="38" t="s">
        <v>44</v>
      </c>
      <c r="G1090" s="37" t="s">
        <v>45</v>
      </c>
      <c r="H1090" s="37" t="b">
        <f>IF(OR(VLOOKUP($C1090,'#Data'!$B$2:$J$344,4,FALSE)="보스",VLOOKUP($C1090,'#Data'!$B$2:$J$344,4,FALSE)="중간"),TRUE,FALSE)</f>
        <v>1</v>
      </c>
      <c r="I1090" s="37" t="b">
        <v>1</v>
      </c>
      <c r="J1090" s="37">
        <v>20</v>
      </c>
      <c r="K1090" s="37">
        <f t="shared" si="33"/>
        <v>10</v>
      </c>
      <c r="L1090" s="59" t="str">
        <f>$B1090&amp;"."&amp;VLOOKUP($C1090,'#Data'!$B$2:$J$344,2,FALSE)&amp;".attack0"&amp;RIGHT(L$1,1)</f>
        <v>Sector05.labmecha_punch_1.attack01</v>
      </c>
      <c r="M1090" s="59"/>
      <c r="N1090" s="59"/>
      <c r="O1090" s="131" t="str">
        <f>$B1090&amp;"."&amp;VLOOKUP($C1090,'#Data'!$B$2:$J$344,2,FALSE)&amp;".skill0"&amp;RIGHT(O$1,1)</f>
        <v>Sector05.labmecha_punch_1.skill01</v>
      </c>
      <c r="P1090" s="131" t="str">
        <f>$B1090&amp;"."&amp;VLOOKUP($C1090,'#Data'!$B$2:$J$344,2,FALSE)&amp;".skill0"&amp;RIGHT(P$1,1)</f>
        <v>Sector05.labmecha_punch_1.skill02</v>
      </c>
      <c r="Q1090" s="131" t="str">
        <f>$B1090&amp;"."&amp;VLOOKUP($C1090,'#Data'!$B$2:$J$344,2,FALSE)&amp;".skill0"&amp;RIGHT(Q$1,1)</f>
        <v>Sector05.labmecha_punch_1.skill03</v>
      </c>
      <c r="R1090" s="60" t="s">
        <v>1958</v>
      </c>
      <c r="S1090" s="60" t="s">
        <v>2078</v>
      </c>
      <c r="T1090" s="60"/>
      <c r="U1090" s="60"/>
      <c r="V1090" s="37" t="b">
        <v>0</v>
      </c>
      <c r="W1090" s="37" t="str">
        <f>"Character/Prefabs/"&amp;VLOOKUP($C1090,'#Data'!$B$3:$I$344,8,FALSE)</f>
        <v>Character/Prefabs/m_l_tanker_labmecha_punch_1</v>
      </c>
      <c r="X1090" s="37"/>
      <c r="Y1090" s="37" t="str">
        <f>VLOOKUP($C1090,'#Data'!$B$3:$I$344,8,FALSE)</f>
        <v>m_l_tanker_labmecha_punch_1</v>
      </c>
      <c r="Z1090" s="37"/>
      <c r="AA1090" s="37"/>
      <c r="AB1090" s="37"/>
      <c r="AC1090" s="84">
        <v>0.9</v>
      </c>
      <c r="AD1090" s="37"/>
      <c r="AE1090" s="37"/>
      <c r="AF1090" s="37"/>
      <c r="AG1090" s="37" t="s">
        <v>2758</v>
      </c>
      <c r="AH1090" s="85"/>
    </row>
    <row r="1091" spans="1:34" x14ac:dyDescent="0.3">
      <c r="A1091" s="37">
        <f t="shared" si="32"/>
        <v>1610205203</v>
      </c>
      <c r="B1091" s="37" t="s">
        <v>156</v>
      </c>
      <c r="C1091" s="37" t="s">
        <v>169</v>
      </c>
      <c r="D1091" s="37" t="str">
        <f>"Monster.Name."&amp;VLOOKUP($C1091,'#Data'!$B$2:$J$344,2,FALSE)</f>
        <v>Monster.Name.labsuit_cannon_1</v>
      </c>
      <c r="E1091" s="37" t="s">
        <v>47</v>
      </c>
      <c r="F1091" s="38" t="s">
        <v>44</v>
      </c>
      <c r="G1091" s="37" t="s">
        <v>45</v>
      </c>
      <c r="H1091" s="37" t="b">
        <f>IF(OR(VLOOKUP($C1091,'#Data'!$B$2:$J$344,4,FALSE)="보스",VLOOKUP($C1091,'#Data'!$B$2:$J$344,4,FALSE)="중간"),TRUE,FALSE)</f>
        <v>1</v>
      </c>
      <c r="I1091" s="37" t="b">
        <v>1</v>
      </c>
      <c r="J1091" s="37">
        <v>10</v>
      </c>
      <c r="K1091" s="37">
        <f t="shared" si="33"/>
        <v>10</v>
      </c>
      <c r="L1091" s="59" t="str">
        <f>$B1091&amp;"."&amp;VLOOKUP($C1091,'#Data'!$B$2:$J$344,2,FALSE)&amp;".attack0"&amp;RIGHT(L$1,1)</f>
        <v>Sector05.labsuit_cannon_1.attack01</v>
      </c>
      <c r="M1091" s="59"/>
      <c r="N1091" s="59"/>
      <c r="O1091" s="131" t="str">
        <f>$B1091&amp;"."&amp;VLOOKUP($C1091,'#Data'!$B$2:$J$344,2,FALSE)&amp;".skill0"&amp;RIGHT(O$1,1)</f>
        <v>Sector05.labsuit_cannon_1.skill01</v>
      </c>
      <c r="P1091" s="131" t="str">
        <f>$B1091&amp;"."&amp;VLOOKUP($C1091,'#Data'!$B$2:$J$344,2,FALSE)&amp;".skill0"&amp;RIGHT(P$1,1)</f>
        <v>Sector05.labsuit_cannon_1.skill02</v>
      </c>
      <c r="Q1091" s="131" t="str">
        <f>$B1091&amp;"."&amp;VLOOKUP($C1091,'#Data'!$B$2:$J$344,2,FALSE)&amp;".skill0"&amp;RIGHT(Q$1,1)</f>
        <v>Sector05.labsuit_cannon_1.skill03</v>
      </c>
      <c r="R1091" s="60" t="s">
        <v>1958</v>
      </c>
      <c r="S1091" s="60" t="s">
        <v>2078</v>
      </c>
      <c r="T1091" s="60"/>
      <c r="U1091" s="60"/>
      <c r="V1091" s="37" t="b">
        <v>0</v>
      </c>
      <c r="W1091" s="37" t="str">
        <f>"Character/Prefabs/"&amp;VLOOKUP($C1091,'#Data'!$B$3:$I$344,8,FALSE)</f>
        <v>Character/Prefabs/m_l_ranger_labsuit_cannon_1</v>
      </c>
      <c r="X1091" s="37"/>
      <c r="Y1091" s="37" t="str">
        <f>VLOOKUP($C1091,'#Data'!$B$3:$I$344,8,FALSE)</f>
        <v>m_l_ranger_labsuit_cannon_1</v>
      </c>
      <c r="Z1091" s="37"/>
      <c r="AA1091" s="37"/>
      <c r="AB1091" s="37"/>
      <c r="AC1091" s="84">
        <v>0.9</v>
      </c>
      <c r="AD1091" s="37"/>
      <c r="AE1091" s="37"/>
      <c r="AF1091" s="37"/>
      <c r="AG1091" s="37" t="s">
        <v>2758</v>
      </c>
      <c r="AH1091" s="85"/>
    </row>
    <row r="1092" spans="1:34" x14ac:dyDescent="0.3">
      <c r="A1092" s="77">
        <f t="shared" si="32"/>
        <v>1610205301</v>
      </c>
      <c r="B1092" s="77" t="s">
        <v>156</v>
      </c>
      <c r="C1092" s="77" t="s">
        <v>170</v>
      </c>
      <c r="D1092" s="77" t="str">
        <f>"Monster.Name."&amp;VLOOKUP($C1092,'#Data'!$B$2:$J$344,2,FALSE)</f>
        <v>Monster.Name.goliath_1</v>
      </c>
      <c r="E1092" s="77" t="s">
        <v>43</v>
      </c>
      <c r="F1092" s="78" t="s">
        <v>44</v>
      </c>
      <c r="G1092" s="77" t="s">
        <v>45</v>
      </c>
      <c r="H1092" s="77" t="b">
        <f>IF(OR(VLOOKUP($C1092,'#Data'!$B$2:$J$344,4,FALSE)="보스",VLOOKUP($C1092,'#Data'!$B$2:$J$344,4,FALSE)="중간"),TRUE,FALSE)</f>
        <v>1</v>
      </c>
      <c r="I1092" s="77" t="b">
        <v>1</v>
      </c>
      <c r="J1092" s="77">
        <v>20</v>
      </c>
      <c r="K1092" s="77">
        <f t="shared" si="33"/>
        <v>10</v>
      </c>
      <c r="L1092" s="79" t="str">
        <f>$B1092&amp;"."&amp;VLOOKUP($C1092,'#Data'!$B$2:$J$344,2,FALSE)&amp;".attack0"&amp;RIGHT(L$1,1)</f>
        <v>Sector05.goliath_1.attack01</v>
      </c>
      <c r="M1092" s="79" t="str">
        <f>$B1092&amp;"."&amp;VLOOKUP($C1092,'#Data'!$B$2:$J$344,2,FALSE)&amp;".attack0"&amp;RIGHT(M$1,1)</f>
        <v>Sector05.goliath_1.attack02</v>
      </c>
      <c r="N1092" s="79"/>
      <c r="O1092" s="133" t="str">
        <f>$B1092&amp;"."&amp;VLOOKUP($C1092,'#Data'!$B$2:$J$344,2,FALSE)&amp;".skill0"&amp;RIGHT(O$1,1)</f>
        <v>Sector05.goliath_1.skill01</v>
      </c>
      <c r="P1092" s="133" t="str">
        <f>$B1092&amp;"."&amp;VLOOKUP($C1092,'#Data'!$B$2:$J$344,2,FALSE)&amp;".skill0"&amp;RIGHT(P$1,1)</f>
        <v>Sector05.goliath_1.skill02</v>
      </c>
      <c r="Q1092" s="133" t="str">
        <f>$B1092&amp;"."&amp;VLOOKUP($C1092,'#Data'!$B$2:$J$344,2,FALSE)&amp;".skill0"&amp;RIGHT(Q$1,1)</f>
        <v>Sector05.goliath_1.skill03</v>
      </c>
      <c r="R1092" s="80" t="s">
        <v>171</v>
      </c>
      <c r="S1092" s="80" t="s">
        <v>1973</v>
      </c>
      <c r="T1092" s="80"/>
      <c r="U1092" s="80"/>
      <c r="V1092" s="77" t="b">
        <v>0</v>
      </c>
      <c r="W1092" s="164" t="str">
        <f>"Character/Prefabs/"&amp;VLOOKUP($C1092,'#Data'!$B$3:$I$344,8,FALSE)</f>
        <v>Character/Prefabs/m_boss_attacker_goliath_1</v>
      </c>
      <c r="X1092" s="164"/>
      <c r="Y1092" s="164" t="str">
        <f>VLOOKUP($C1092,'#Data'!$B$3:$I$344,8,FALSE)</f>
        <v>m_boss_attacker_goliath_1</v>
      </c>
      <c r="Z1092" s="77"/>
      <c r="AA1092" s="77"/>
      <c r="AB1092" s="77"/>
      <c r="AC1092" s="87">
        <v>1.4</v>
      </c>
      <c r="AD1092" s="77"/>
      <c r="AE1092" s="77" t="s">
        <v>172</v>
      </c>
      <c r="AF1092" s="77" t="s">
        <v>173</v>
      </c>
      <c r="AG1092" s="77" t="s">
        <v>2758</v>
      </c>
      <c r="AH1092" s="85"/>
    </row>
    <row r="1093" spans="1:34" x14ac:dyDescent="0.3">
      <c r="A1093" s="77">
        <f t="shared" si="32"/>
        <v>1610205302</v>
      </c>
      <c r="B1093" s="77" t="s">
        <v>156</v>
      </c>
      <c r="C1093" s="77" t="s">
        <v>1971</v>
      </c>
      <c r="D1093" s="77" t="str">
        <f>"Monster.Name."&amp;VLOOKUP($C1093,'#Data'!$B$2:$J$344,2,FALSE)</f>
        <v>Monster.Name.goliath_4</v>
      </c>
      <c r="E1093" s="77" t="s">
        <v>43</v>
      </c>
      <c r="F1093" s="78" t="s">
        <v>44</v>
      </c>
      <c r="G1093" s="77" t="s">
        <v>45</v>
      </c>
      <c r="H1093" s="77" t="b">
        <f>IF(OR(VLOOKUP($C1093,'#Data'!$B$2:$J$344,4,FALSE)="보스",VLOOKUP($C1093,'#Data'!$B$2:$J$344,4,FALSE)="중간"),TRUE,FALSE)</f>
        <v>1</v>
      </c>
      <c r="I1093" s="77" t="b">
        <v>1</v>
      </c>
      <c r="J1093" s="77">
        <v>20</v>
      </c>
      <c r="K1093" s="77">
        <f t="shared" si="33"/>
        <v>10</v>
      </c>
      <c r="L1093" s="79" t="str">
        <f>$B1093&amp;"."&amp;VLOOKUP($C1093,'#Data'!$B$2:$J$344,2,FALSE)&amp;".attack0"&amp;RIGHT(L$1,1)</f>
        <v>Sector05.goliath_4.attack01</v>
      </c>
      <c r="M1093" s="79" t="str">
        <f>$B1093&amp;"."&amp;VLOOKUP($C1093,'#Data'!$B$2:$J$344,2,FALSE)&amp;".attack0"&amp;RIGHT(M$1,1)</f>
        <v>Sector05.goliath_4.attack02</v>
      </c>
      <c r="N1093" s="79"/>
      <c r="O1093" s="133" t="str">
        <f>$B1093&amp;"."&amp;VLOOKUP($C1093,'#Data'!$B$2:$J$344,2,FALSE)&amp;".skill0"&amp;RIGHT(O$1,1)</f>
        <v>Sector05.goliath_4.skill01</v>
      </c>
      <c r="P1093" s="133" t="str">
        <f>$B1093&amp;"."&amp;VLOOKUP($C1093,'#Data'!$B$2:$J$344,2,FALSE)&amp;".skill0"&amp;RIGHT(P$1,1)</f>
        <v>Sector05.goliath_4.skill02</v>
      </c>
      <c r="Q1093" s="133" t="str">
        <f>$B1093&amp;"."&amp;VLOOKUP($C1093,'#Data'!$B$2:$J$344,2,FALSE)&amp;".skill0"&amp;RIGHT(Q$1,1)</f>
        <v>Sector05.goliath_4.skill03</v>
      </c>
      <c r="R1093" s="80" t="s">
        <v>2084</v>
      </c>
      <c r="S1093" s="80" t="s">
        <v>2085</v>
      </c>
      <c r="T1093" s="80"/>
      <c r="U1093" s="80"/>
      <c r="V1093" s="77" t="b">
        <v>0</v>
      </c>
      <c r="W1093" s="164" t="str">
        <f>"Character/Prefabs/"&amp;VLOOKUP($C1093,'#Data'!$B$3:$I$344,8,FALSE)</f>
        <v>Character/Prefabs/m_boss_attacker_goliath_4</v>
      </c>
      <c r="X1093" s="164"/>
      <c r="Y1093" s="164" t="str">
        <f>VLOOKUP($C1093,'#Data'!$B$3:$I$344,8,FALSE)</f>
        <v>m_boss_attacker_goliath_4</v>
      </c>
      <c r="Z1093" s="77"/>
      <c r="AA1093" s="77"/>
      <c r="AB1093" s="77"/>
      <c r="AC1093" s="87">
        <v>1.4</v>
      </c>
      <c r="AD1093" s="77"/>
      <c r="AE1093" s="77" t="s">
        <v>2081</v>
      </c>
      <c r="AF1093" s="77" t="s">
        <v>2097</v>
      </c>
      <c r="AG1093" s="77" t="s">
        <v>2758</v>
      </c>
      <c r="AH1093" s="85"/>
    </row>
    <row r="1094" spans="1:34" x14ac:dyDescent="0.3">
      <c r="A1094" s="12">
        <f t="shared" si="32"/>
        <v>1610206101</v>
      </c>
      <c r="B1094" s="12" t="s">
        <v>174</v>
      </c>
      <c r="C1094" s="12" t="s">
        <v>175</v>
      </c>
      <c r="D1094" s="12" t="str">
        <f>"Monster.Name."&amp;VLOOKUP($C1094,'#Data'!$B$2:$J$344,2,FALSE)</f>
        <v>Monster.Name.polluter_patrol_1</v>
      </c>
      <c r="E1094" s="12" t="s">
        <v>43</v>
      </c>
      <c r="F1094" s="39" t="s">
        <v>44</v>
      </c>
      <c r="G1094" s="12" t="s">
        <v>45</v>
      </c>
      <c r="H1094" s="12" t="b">
        <f>IF(OR(VLOOKUP($C1094,'#Data'!$B$2:$J$344,4,FALSE)="보스",VLOOKUP($C1094,'#Data'!$B$2:$J$344,4,FALSE)="중간"),TRUE,FALSE)</f>
        <v>0</v>
      </c>
      <c r="I1094" s="12" t="b">
        <v>0</v>
      </c>
      <c r="J1094" s="12">
        <v>10</v>
      </c>
      <c r="K1094" s="12">
        <f t="shared" si="33"/>
        <v>10</v>
      </c>
      <c r="L1094" s="63" t="str">
        <f>$B1094&amp;"."&amp;VLOOKUP($C1094,'#Data'!$B$2:$J$344,2,FALSE)&amp;".attack0"&amp;RIGHT(L$1,1)</f>
        <v>Sector06.polluter_patrol_1.attack01</v>
      </c>
      <c r="M1094" s="63"/>
      <c r="N1094" s="63"/>
      <c r="O1094" s="134" t="s">
        <v>2041</v>
      </c>
      <c r="P1094" s="134"/>
      <c r="Q1094" s="134"/>
      <c r="R1094" s="64"/>
      <c r="S1094" s="64"/>
      <c r="T1094" s="64"/>
      <c r="U1094" s="64"/>
      <c r="V1094" s="12" t="b">
        <v>0</v>
      </c>
      <c r="W1094" s="12" t="str">
        <f>"Character/Prefabs/"&amp;VLOOKUP($C1094,'#Data'!$B$3:$I$344,8,FALSE)</f>
        <v>Character/Prefabs/m_s_attacker_polluter_patrol_1</v>
      </c>
      <c r="X1094" s="12"/>
      <c r="Y1094" s="12" t="str">
        <f>VLOOKUP($C1094,'#Data'!$B$3:$I$344,8,FALSE)</f>
        <v>m_s_attacker_polluter_patrol_1</v>
      </c>
      <c r="Z1094" s="12"/>
      <c r="AA1094" s="12"/>
      <c r="AB1094" s="12"/>
      <c r="AC1094" s="88">
        <v>0.9</v>
      </c>
      <c r="AD1094" s="12"/>
      <c r="AE1094" s="12"/>
      <c r="AF1094" s="12"/>
      <c r="AG1094" s="12" t="s">
        <v>2758</v>
      </c>
      <c r="AH1094" s="85"/>
    </row>
    <row r="1095" spans="1:34" x14ac:dyDescent="0.3">
      <c r="A1095" s="12">
        <f t="shared" si="32"/>
        <v>1610206102</v>
      </c>
      <c r="B1095" s="12" t="s">
        <v>174</v>
      </c>
      <c r="C1095" s="12" t="s">
        <v>176</v>
      </c>
      <c r="D1095" s="12" t="str">
        <f>"Monster.Name."&amp;VLOOKUP($C1095,'#Data'!$B$2:$J$344,2,FALSE)</f>
        <v>Monster.Name.polluter_eyeball_1</v>
      </c>
      <c r="E1095" s="12" t="s">
        <v>47</v>
      </c>
      <c r="F1095" s="39" t="s">
        <v>44</v>
      </c>
      <c r="G1095" s="12" t="s">
        <v>45</v>
      </c>
      <c r="H1095" s="12" t="b">
        <f>IF(OR(VLOOKUP($C1095,'#Data'!$B$2:$J$344,4,FALSE)="보스",VLOOKUP($C1095,'#Data'!$B$2:$J$344,4,FALSE)="중간"),TRUE,FALSE)</f>
        <v>0</v>
      </c>
      <c r="I1095" s="12" t="b">
        <v>0</v>
      </c>
      <c r="J1095" s="12">
        <v>10</v>
      </c>
      <c r="K1095" s="12">
        <f t="shared" si="33"/>
        <v>10</v>
      </c>
      <c r="L1095" s="63" t="str">
        <f>$B1095&amp;"."&amp;VLOOKUP($C1095,'#Data'!$B$2:$J$344,2,FALSE)&amp;".attack0"&amp;RIGHT(L$1,1)</f>
        <v>Sector06.polluter_eyeball_1.attack01</v>
      </c>
      <c r="M1095" s="63"/>
      <c r="N1095" s="63"/>
      <c r="O1095" s="134" t="s">
        <v>2042</v>
      </c>
      <c r="P1095" s="134"/>
      <c r="Q1095" s="134"/>
      <c r="R1095" s="64"/>
      <c r="S1095" s="64"/>
      <c r="T1095" s="64"/>
      <c r="U1095" s="64"/>
      <c r="V1095" s="12" t="b">
        <v>0</v>
      </c>
      <c r="W1095" s="12" t="str">
        <f>"Character/Prefabs/"&amp;VLOOKUP($C1095,'#Data'!$B$3:$I$344,8,FALSE)</f>
        <v>Character/Prefabs/m_s_ranger_polluter_eyeball_1</v>
      </c>
      <c r="X1095" s="12"/>
      <c r="Y1095" s="12" t="str">
        <f>VLOOKUP($C1095,'#Data'!$B$3:$I$344,8,FALSE)</f>
        <v>m_s_ranger_polluter_eyeball_1</v>
      </c>
      <c r="Z1095" s="12"/>
      <c r="AA1095" s="12"/>
      <c r="AB1095" s="12"/>
      <c r="AC1095" s="88">
        <v>0.9</v>
      </c>
      <c r="AD1095" s="12"/>
      <c r="AE1095" s="12"/>
      <c r="AF1095" s="12"/>
      <c r="AG1095" s="12" t="s">
        <v>2758</v>
      </c>
      <c r="AH1095" s="85"/>
    </row>
    <row r="1096" spans="1:34" x14ac:dyDescent="0.3">
      <c r="A1096" s="12">
        <f t="shared" si="32"/>
        <v>1610206103</v>
      </c>
      <c r="B1096" s="12" t="s">
        <v>174</v>
      </c>
      <c r="C1096" s="12" t="s">
        <v>177</v>
      </c>
      <c r="D1096" s="12" t="str">
        <f>"Monster.Name."&amp;VLOOKUP($C1096,'#Data'!$B$2:$J$344,2,FALSE)</f>
        <v>Monster.Name.polluter_exploder_1</v>
      </c>
      <c r="E1096" s="12" t="s">
        <v>43</v>
      </c>
      <c r="F1096" s="39" t="s">
        <v>44</v>
      </c>
      <c r="G1096" s="12" t="s">
        <v>45</v>
      </c>
      <c r="H1096" s="12" t="b">
        <f>IF(OR(VLOOKUP($C1096,'#Data'!$B$2:$J$344,4,FALSE)="보스",VLOOKUP($C1096,'#Data'!$B$2:$J$344,4,FALSE)="중간"),TRUE,FALSE)</f>
        <v>0</v>
      </c>
      <c r="I1096" s="12" t="b">
        <v>0</v>
      </c>
      <c r="J1096" s="12">
        <v>10</v>
      </c>
      <c r="K1096" s="12">
        <f t="shared" si="33"/>
        <v>10</v>
      </c>
      <c r="L1096" s="63" t="str">
        <f>$B1096&amp;"."&amp;VLOOKUP($C1096,'#Data'!$B$2:$J$344,2,FALSE)&amp;".attack0"&amp;RIGHT(L$1,1)</f>
        <v>Sector06.polluter_exploder_1.attack01</v>
      </c>
      <c r="M1096" s="63"/>
      <c r="N1096" s="63"/>
      <c r="O1096" s="134" t="str">
        <f>$B1096&amp;"."&amp;VLOOKUP($C1096,'#Data'!$B$2:$J$344,2,FALSE)&amp;".skill0"&amp;RIGHT(O$1,1)</f>
        <v>Sector06.polluter_exploder_1.skill01</v>
      </c>
      <c r="P1096" s="134" t="s">
        <v>2043</v>
      </c>
      <c r="Q1096" s="134"/>
      <c r="R1096" s="64"/>
      <c r="S1096" s="64"/>
      <c r="T1096" s="64"/>
      <c r="U1096" s="64"/>
      <c r="V1096" s="12" t="b">
        <v>0</v>
      </c>
      <c r="W1096" s="12" t="str">
        <f>"Character/Prefabs/"&amp;VLOOKUP($C1096,'#Data'!$B$3:$I$344,8,FALSE)</f>
        <v>Character/Prefabs/m_s_attacker_polluter_exploder_1</v>
      </c>
      <c r="X1096" s="12"/>
      <c r="Y1096" s="12" t="str">
        <f>VLOOKUP($C1096,'#Data'!$B$3:$I$344,8,FALSE)</f>
        <v>m_s_attacker_polluter_exploder_1</v>
      </c>
      <c r="Z1096" s="12"/>
      <c r="AA1096" s="12"/>
      <c r="AB1096" s="12"/>
      <c r="AC1096" s="88">
        <v>0.9</v>
      </c>
      <c r="AD1096" s="12"/>
      <c r="AE1096" s="12"/>
      <c r="AF1096" s="12"/>
      <c r="AG1096" s="12" t="s">
        <v>2758</v>
      </c>
      <c r="AH1096" s="85"/>
    </row>
    <row r="1097" spans="1:34" x14ac:dyDescent="0.3">
      <c r="A1097" s="12">
        <f t="shared" si="32"/>
        <v>1610206104</v>
      </c>
      <c r="B1097" s="12" t="s">
        <v>174</v>
      </c>
      <c r="C1097" s="12" t="s">
        <v>178</v>
      </c>
      <c r="D1097" s="12" t="str">
        <f>"Monster.Name."&amp;VLOOKUP($C1097,'#Data'!$B$2:$J$344,2,FALSE)</f>
        <v>Monster.Name.polluter_1</v>
      </c>
      <c r="E1097" s="12" t="s">
        <v>43</v>
      </c>
      <c r="F1097" s="39" t="s">
        <v>44</v>
      </c>
      <c r="G1097" s="12" t="s">
        <v>45</v>
      </c>
      <c r="H1097" s="12" t="b">
        <f>IF(OR(VLOOKUP($C1097,'#Data'!$B$2:$J$344,4,FALSE)="보스",VLOOKUP($C1097,'#Data'!$B$2:$J$344,4,FALSE)="중간"),TRUE,FALSE)</f>
        <v>0</v>
      </c>
      <c r="I1097" s="12" t="b">
        <v>0</v>
      </c>
      <c r="J1097" s="12">
        <v>10</v>
      </c>
      <c r="K1097" s="12">
        <f t="shared" si="33"/>
        <v>10</v>
      </c>
      <c r="L1097" s="63" t="str">
        <f>$B1097&amp;"."&amp;VLOOKUP($C1097,'#Data'!$B$2:$J$344,2,FALSE)&amp;".attack0"&amp;RIGHT(L$1,1)</f>
        <v>Sector06.polluter_1.attack01</v>
      </c>
      <c r="M1097" s="63"/>
      <c r="N1097" s="63"/>
      <c r="O1097" s="134" t="str">
        <f>$B1097&amp;"."&amp;VLOOKUP($C1097,'#Data'!$B$2:$J$344,2,FALSE)&amp;".skill0"&amp;RIGHT(O$1,1)</f>
        <v>Sector06.polluter_1.skill01</v>
      </c>
      <c r="P1097" s="134" t="s">
        <v>2044</v>
      </c>
      <c r="Q1097" s="134"/>
      <c r="R1097" s="64"/>
      <c r="S1097" s="64"/>
      <c r="T1097" s="64"/>
      <c r="U1097" s="64"/>
      <c r="V1097" s="12" t="b">
        <v>0</v>
      </c>
      <c r="W1097" s="12" t="str">
        <f>"Character/Prefabs/"&amp;VLOOKUP($C1097,'#Data'!$B$3:$I$344,8,FALSE)</f>
        <v>Character/Prefabs/m_m_attacker_polluter_1</v>
      </c>
      <c r="X1097" s="12"/>
      <c r="Y1097" s="12" t="str">
        <f>VLOOKUP($C1097,'#Data'!$B$3:$I$344,8,FALSE)</f>
        <v>m_m_attacker_polluter_1</v>
      </c>
      <c r="Z1097" s="12"/>
      <c r="AA1097" s="12"/>
      <c r="AB1097" s="12"/>
      <c r="AC1097" s="88">
        <v>0.6</v>
      </c>
      <c r="AD1097" s="12"/>
      <c r="AE1097" s="12"/>
      <c r="AF1097" s="12"/>
      <c r="AG1097" s="12" t="s">
        <v>2758</v>
      </c>
      <c r="AH1097" s="85"/>
    </row>
    <row r="1098" spans="1:34" x14ac:dyDescent="0.3">
      <c r="A1098" s="12">
        <f t="shared" si="32"/>
        <v>1610206105</v>
      </c>
      <c r="B1098" s="12" t="s">
        <v>174</v>
      </c>
      <c r="C1098" s="12" t="s">
        <v>179</v>
      </c>
      <c r="D1098" s="12" t="str">
        <f>"Monster.Name."&amp;VLOOKUP($C1098,'#Data'!$B$2:$J$344,2,FALSE)</f>
        <v>Monster.Name.polluter_edge_1</v>
      </c>
      <c r="E1098" s="12" t="s">
        <v>43</v>
      </c>
      <c r="F1098" s="39" t="s">
        <v>44</v>
      </c>
      <c r="G1098" s="12" t="s">
        <v>45</v>
      </c>
      <c r="H1098" s="12" t="b">
        <f>IF(OR(VLOOKUP($C1098,'#Data'!$B$2:$J$344,4,FALSE)="보스",VLOOKUP($C1098,'#Data'!$B$2:$J$344,4,FALSE)="중간"),TRUE,FALSE)</f>
        <v>0</v>
      </c>
      <c r="I1098" s="12" t="b">
        <v>0</v>
      </c>
      <c r="J1098" s="12">
        <v>10</v>
      </c>
      <c r="K1098" s="12">
        <f t="shared" si="33"/>
        <v>10</v>
      </c>
      <c r="L1098" s="63" t="str">
        <f>$B1098&amp;"."&amp;VLOOKUP($C1098,'#Data'!$B$2:$J$344,2,FALSE)&amp;".attack0"&amp;RIGHT(L$1,1)</f>
        <v>Sector06.polluter_edge_1.attack01</v>
      </c>
      <c r="M1098" s="63"/>
      <c r="N1098" s="63"/>
      <c r="O1098" s="134" t="str">
        <f>$B1098&amp;"."&amp;VLOOKUP($C1098,'#Data'!$B$2:$J$344,2,FALSE)&amp;".skill0"&amp;RIGHT(O$1,1)</f>
        <v>Sector06.polluter_edge_1.skill01</v>
      </c>
      <c r="P1098" s="134" t="s">
        <v>2045</v>
      </c>
      <c r="Q1098" s="134"/>
      <c r="R1098" s="64"/>
      <c r="S1098" s="64"/>
      <c r="T1098" s="64"/>
      <c r="U1098" s="64"/>
      <c r="V1098" s="12" t="b">
        <v>0</v>
      </c>
      <c r="W1098" s="12" t="str">
        <f>"Character/Prefabs/"&amp;VLOOKUP($C1098,'#Data'!$B$3:$I$344,8,FALSE)</f>
        <v>Character/Prefabs/m_m_attacker_polluter_edge_1</v>
      </c>
      <c r="X1098" s="12"/>
      <c r="Y1098" s="12" t="str">
        <f>VLOOKUP($C1098,'#Data'!$B$3:$I$344,8,FALSE)</f>
        <v>m_m_attacker_polluter_edge_1</v>
      </c>
      <c r="Z1098" s="12"/>
      <c r="AA1098" s="12"/>
      <c r="AB1098" s="12"/>
      <c r="AC1098" s="88">
        <v>0.6</v>
      </c>
      <c r="AD1098" s="12"/>
      <c r="AE1098" s="12"/>
      <c r="AF1098" s="12"/>
      <c r="AG1098" s="12" t="s">
        <v>2758</v>
      </c>
      <c r="AH1098" s="85"/>
    </row>
    <row r="1099" spans="1:34" x14ac:dyDescent="0.3">
      <c r="A1099" s="12">
        <f t="shared" si="32"/>
        <v>1610206106</v>
      </c>
      <c r="B1099" s="12" t="s">
        <v>174</v>
      </c>
      <c r="C1099" s="12" t="s">
        <v>180</v>
      </c>
      <c r="D1099" s="12" t="str">
        <f>"Monster.Name."&amp;VLOOKUP($C1099,'#Data'!$B$2:$J$344,2,FALSE)</f>
        <v>Monster.Name.polluter_fluid_1</v>
      </c>
      <c r="E1099" s="12" t="s">
        <v>47</v>
      </c>
      <c r="F1099" s="39" t="s">
        <v>44</v>
      </c>
      <c r="G1099" s="12" t="s">
        <v>45</v>
      </c>
      <c r="H1099" s="12" t="b">
        <f>IF(OR(VLOOKUP($C1099,'#Data'!$B$2:$J$344,4,FALSE)="보스",VLOOKUP($C1099,'#Data'!$B$2:$J$344,4,FALSE)="중간"),TRUE,FALSE)</f>
        <v>0</v>
      </c>
      <c r="I1099" s="12" t="b">
        <v>0</v>
      </c>
      <c r="J1099" s="12">
        <v>10</v>
      </c>
      <c r="K1099" s="12">
        <f t="shared" si="33"/>
        <v>10</v>
      </c>
      <c r="L1099" s="63" t="str">
        <f>$B1099&amp;"."&amp;VLOOKUP($C1099,'#Data'!$B$2:$J$344,2,FALSE)&amp;".attack0"&amp;RIGHT(L$1,1)</f>
        <v>Sector06.polluter_fluid_1.attack01</v>
      </c>
      <c r="M1099" s="63"/>
      <c r="N1099" s="63"/>
      <c r="O1099" s="134" t="str">
        <f>$B1099&amp;"."&amp;VLOOKUP($C1099,'#Data'!$B$2:$J$344,2,FALSE)&amp;".skill0"&amp;RIGHT(O$1,1)</f>
        <v>Sector06.polluter_fluid_1.skill01</v>
      </c>
      <c r="P1099" s="134" t="s">
        <v>2046</v>
      </c>
      <c r="Q1099" s="134"/>
      <c r="R1099" s="64"/>
      <c r="S1099" s="64"/>
      <c r="T1099" s="64"/>
      <c r="U1099" s="64"/>
      <c r="V1099" s="12" t="b">
        <v>0</v>
      </c>
      <c r="W1099" s="12" t="str">
        <f>"Character/Prefabs/"&amp;VLOOKUP($C1099,'#Data'!$B$3:$I$344,8,FALSE)</f>
        <v>Character/Prefabs/m_m_ranger_polluter_fluid_1</v>
      </c>
      <c r="X1099" s="12"/>
      <c r="Y1099" s="12" t="str">
        <f>VLOOKUP($C1099,'#Data'!$B$3:$I$344,8,FALSE)</f>
        <v>m_m_ranger_polluter_fluid_1</v>
      </c>
      <c r="Z1099" s="12"/>
      <c r="AA1099" s="12"/>
      <c r="AB1099" s="12"/>
      <c r="AC1099" s="88">
        <v>0.6</v>
      </c>
      <c r="AD1099" s="12"/>
      <c r="AE1099" s="12"/>
      <c r="AF1099" s="12"/>
      <c r="AG1099" s="12" t="s">
        <v>2758</v>
      </c>
      <c r="AH1099" s="85"/>
    </row>
    <row r="1100" spans="1:34" x14ac:dyDescent="0.3">
      <c r="A1100" s="12">
        <f t="shared" ref="A1100:A1162" si="34">A907+100000000</f>
        <v>1610206107</v>
      </c>
      <c r="B1100" s="12" t="s">
        <v>174</v>
      </c>
      <c r="C1100" s="12" t="s">
        <v>181</v>
      </c>
      <c r="D1100" s="12" t="str">
        <f>"Monster.Name."&amp;VLOOKUP($C1100,'#Data'!$B$2:$J$344,2,FALSE)</f>
        <v>Monster.Name.polluter_liquid_1</v>
      </c>
      <c r="E1100" s="12" t="s">
        <v>47</v>
      </c>
      <c r="F1100" s="39" t="s">
        <v>44</v>
      </c>
      <c r="G1100" s="12" t="s">
        <v>45</v>
      </c>
      <c r="H1100" s="12" t="b">
        <f>IF(OR(VLOOKUP($C1100,'#Data'!$B$2:$J$344,4,FALSE)="보스",VLOOKUP($C1100,'#Data'!$B$2:$J$344,4,FALSE)="중간"),TRUE,FALSE)</f>
        <v>0</v>
      </c>
      <c r="I1100" s="12" t="b">
        <v>0</v>
      </c>
      <c r="J1100" s="12">
        <v>10</v>
      </c>
      <c r="K1100" s="12">
        <f t="shared" ref="K1100:K1162" si="35">K907</f>
        <v>10</v>
      </c>
      <c r="L1100" s="63" t="str">
        <f>$B1100&amp;"."&amp;VLOOKUP($C1100,'#Data'!$B$2:$J$344,2,FALSE)&amp;".attack0"&amp;RIGHT(L$1,1)</f>
        <v>Sector06.polluter_liquid_1.attack01</v>
      </c>
      <c r="M1100" s="63"/>
      <c r="N1100" s="63"/>
      <c r="O1100" s="134" t="str">
        <f>$B1100&amp;"."&amp;VLOOKUP($C1100,'#Data'!$B$2:$J$344,2,FALSE)&amp;".skill0"&amp;RIGHT(O$1,1)</f>
        <v>Sector06.polluter_liquid_1.skill01</v>
      </c>
      <c r="P1100" s="134" t="s">
        <v>2047</v>
      </c>
      <c r="Q1100" s="134"/>
      <c r="R1100" s="64"/>
      <c r="S1100" s="64"/>
      <c r="T1100" s="64"/>
      <c r="U1100" s="64"/>
      <c r="V1100" s="12" t="b">
        <v>0</v>
      </c>
      <c r="W1100" s="12" t="str">
        <f>"Character/Prefabs/"&amp;VLOOKUP($C1100,'#Data'!$B$3:$I$344,8,FALSE)</f>
        <v>Character/Prefabs/m_m_ranger_polluter_liquid_1</v>
      </c>
      <c r="X1100" s="12"/>
      <c r="Y1100" s="12" t="str">
        <f>VLOOKUP($C1100,'#Data'!$B$3:$I$344,8,FALSE)</f>
        <v>m_m_ranger_polluter_liquid_1</v>
      </c>
      <c r="Z1100" s="12"/>
      <c r="AA1100" s="12"/>
      <c r="AB1100" s="12"/>
      <c r="AC1100" s="88">
        <v>0.6</v>
      </c>
      <c r="AD1100" s="12"/>
      <c r="AE1100" s="12"/>
      <c r="AF1100" s="12"/>
      <c r="AG1100" s="12" t="s">
        <v>2758</v>
      </c>
      <c r="AH1100" s="85"/>
    </row>
    <row r="1101" spans="1:34" x14ac:dyDescent="0.3">
      <c r="A1101" s="12">
        <f t="shared" si="34"/>
        <v>1610206108</v>
      </c>
      <c r="B1101" s="12" t="s">
        <v>174</v>
      </c>
      <c r="C1101" s="12" t="s">
        <v>182</v>
      </c>
      <c r="D1101" s="12" t="str">
        <f>"Monster.Name."&amp;VLOOKUP($C1101,'#Data'!$B$2:$J$344,2,FALSE)</f>
        <v>Monster.Name.polluter_fog_1</v>
      </c>
      <c r="E1101" s="12" t="s">
        <v>143</v>
      </c>
      <c r="F1101" s="39" t="s">
        <v>44</v>
      </c>
      <c r="G1101" s="12" t="s">
        <v>45</v>
      </c>
      <c r="H1101" s="12" t="b">
        <f>IF(OR(VLOOKUP($C1101,'#Data'!$B$2:$J$344,4,FALSE)="보스",VLOOKUP($C1101,'#Data'!$B$2:$J$344,4,FALSE)="중간"),TRUE,FALSE)</f>
        <v>0</v>
      </c>
      <c r="I1101" s="12" t="b">
        <v>0</v>
      </c>
      <c r="J1101" s="12">
        <v>10</v>
      </c>
      <c r="K1101" s="12">
        <f t="shared" si="35"/>
        <v>10</v>
      </c>
      <c r="L1101" s="63" t="str">
        <f>$B1101&amp;"."&amp;VLOOKUP($C1101,'#Data'!$B$2:$J$344,2,FALSE)&amp;".attack0"&amp;RIGHT(L$1,1)</f>
        <v>Sector06.polluter_fog_1.attack01</v>
      </c>
      <c r="M1101" s="63"/>
      <c r="N1101" s="63"/>
      <c r="O1101" s="134" t="str">
        <f>$B1101&amp;"."&amp;VLOOKUP($C1101,'#Data'!$B$2:$J$344,2,FALSE)&amp;".skill0"&amp;RIGHT(O$1,1)</f>
        <v>Sector06.polluter_fog_1.skill01</v>
      </c>
      <c r="P1101" s="134" t="s">
        <v>2048</v>
      </c>
      <c r="Q1101" s="134"/>
      <c r="R1101" s="64"/>
      <c r="S1101" s="64"/>
      <c r="T1101" s="64"/>
      <c r="U1101" s="64"/>
      <c r="V1101" s="12" t="b">
        <v>0</v>
      </c>
      <c r="W1101" s="12" t="str">
        <f>"Character/Prefabs/"&amp;VLOOKUP($C1101,'#Data'!$B$3:$I$344,8,FALSE)</f>
        <v>Character/Prefabs/m_m_supporter_polluter_fog_1</v>
      </c>
      <c r="X1101" s="12"/>
      <c r="Y1101" s="12" t="str">
        <f>VLOOKUP($C1101,'#Data'!$B$3:$I$344,8,FALSE)</f>
        <v>m_m_supporter_polluter_fog_1</v>
      </c>
      <c r="Z1101" s="12"/>
      <c r="AA1101" s="12"/>
      <c r="AB1101" s="12"/>
      <c r="AC1101" s="88">
        <v>0.6</v>
      </c>
      <c r="AD1101" s="12"/>
      <c r="AE1101" s="12"/>
      <c r="AF1101" s="12"/>
      <c r="AG1101" s="12" t="s">
        <v>2758</v>
      </c>
      <c r="AH1101" s="85"/>
    </row>
    <row r="1102" spans="1:34" x14ac:dyDescent="0.3">
      <c r="A1102" s="12">
        <f t="shared" si="34"/>
        <v>1610206109</v>
      </c>
      <c r="B1102" s="12" t="s">
        <v>174</v>
      </c>
      <c r="C1102" s="12" t="s">
        <v>183</v>
      </c>
      <c r="D1102" s="12" t="str">
        <f>"Monster.Name."&amp;VLOOKUP($C1102,'#Data'!$B$2:$J$344,2,FALSE)</f>
        <v>Monster.Name.polluter_haze_1</v>
      </c>
      <c r="E1102" s="12" t="s">
        <v>143</v>
      </c>
      <c r="F1102" s="39" t="s">
        <v>44</v>
      </c>
      <c r="G1102" s="12" t="s">
        <v>45</v>
      </c>
      <c r="H1102" s="12" t="b">
        <f>IF(OR(VLOOKUP($C1102,'#Data'!$B$2:$J$344,4,FALSE)="보스",VLOOKUP($C1102,'#Data'!$B$2:$J$344,4,FALSE)="중간"),TRUE,FALSE)</f>
        <v>0</v>
      </c>
      <c r="I1102" s="12" t="b">
        <v>0</v>
      </c>
      <c r="J1102" s="12">
        <v>10</v>
      </c>
      <c r="K1102" s="12">
        <f t="shared" si="35"/>
        <v>10</v>
      </c>
      <c r="L1102" s="63" t="str">
        <f>$B1102&amp;"."&amp;VLOOKUP($C1102,'#Data'!$B$2:$J$344,2,FALSE)&amp;".attack0"&amp;RIGHT(L$1,1)</f>
        <v>Sector06.polluter_haze_1.attack01</v>
      </c>
      <c r="M1102" s="63"/>
      <c r="N1102" s="63"/>
      <c r="O1102" s="134" t="str">
        <f>$B1102&amp;"."&amp;VLOOKUP($C1102,'#Data'!$B$2:$J$344,2,FALSE)&amp;".skill0"&amp;RIGHT(O$1,1)</f>
        <v>Sector06.polluter_haze_1.skill01</v>
      </c>
      <c r="P1102" s="134" t="s">
        <v>2049</v>
      </c>
      <c r="Q1102" s="134"/>
      <c r="R1102" s="64"/>
      <c r="S1102" s="64"/>
      <c r="T1102" s="64"/>
      <c r="U1102" s="64"/>
      <c r="V1102" s="12" t="b">
        <v>0</v>
      </c>
      <c r="W1102" s="12" t="str">
        <f>"Character/Prefabs/"&amp;VLOOKUP($C1102,'#Data'!$B$3:$I$344,8,FALSE)</f>
        <v>Character/Prefabs/m_m_supporter_polluter_haze_1</v>
      </c>
      <c r="X1102" s="12"/>
      <c r="Y1102" s="12" t="str">
        <f>VLOOKUP($C1102,'#Data'!$B$3:$I$344,8,FALSE)</f>
        <v>m_m_supporter_polluter_haze_1</v>
      </c>
      <c r="Z1102" s="12"/>
      <c r="AA1102" s="12"/>
      <c r="AB1102" s="12"/>
      <c r="AC1102" s="88">
        <v>0.6</v>
      </c>
      <c r="AD1102" s="12"/>
      <c r="AE1102" s="12"/>
      <c r="AF1102" s="12"/>
      <c r="AG1102" s="12" t="s">
        <v>2758</v>
      </c>
      <c r="AH1102" s="85"/>
    </row>
    <row r="1103" spans="1:34" x14ac:dyDescent="0.3">
      <c r="A1103" s="49">
        <f t="shared" si="34"/>
        <v>1610206110</v>
      </c>
      <c r="B1103" s="49" t="s">
        <v>174</v>
      </c>
      <c r="C1103" s="49" t="s">
        <v>1300</v>
      </c>
      <c r="D1103" s="49" t="str">
        <f>"Monster.Name."&amp;VLOOKUP($C1103,'#Data'!$B$2:$J$344,2,FALSE)</f>
        <v>Monster.Name.polluter_patrol_2</v>
      </c>
      <c r="E1103" s="49" t="s">
        <v>43</v>
      </c>
      <c r="F1103" s="50" t="s">
        <v>44</v>
      </c>
      <c r="G1103" s="49" t="s">
        <v>45</v>
      </c>
      <c r="H1103" s="49" t="b">
        <f>IF(OR(VLOOKUP($C1103,'#Data'!$B$2:$J$344,4,FALSE)="보스",VLOOKUP($C1103,'#Data'!$B$2:$J$344,4,FALSE)="중간"),TRUE,FALSE)</f>
        <v>0</v>
      </c>
      <c r="I1103" s="49" t="b">
        <v>0</v>
      </c>
      <c r="J1103" s="49">
        <v>10</v>
      </c>
      <c r="K1103" s="49">
        <f t="shared" si="35"/>
        <v>10</v>
      </c>
      <c r="L1103" s="65" t="s">
        <v>1378</v>
      </c>
      <c r="M1103" s="65"/>
      <c r="N1103" s="65"/>
      <c r="O1103" s="134" t="s">
        <v>2041</v>
      </c>
      <c r="P1103" s="135"/>
      <c r="Q1103" s="135"/>
      <c r="R1103" s="66"/>
      <c r="S1103" s="66"/>
      <c r="T1103" s="66"/>
      <c r="U1103" s="66"/>
      <c r="V1103" s="49" t="b">
        <v>0</v>
      </c>
      <c r="W1103" s="49" t="str">
        <f>"Character/Prefabs/"&amp;VLOOKUP($C1103,'#Data'!$B$3:$I$344,8,FALSE)</f>
        <v>Character/Prefabs/m_s_attacker_polluter_patrol_2</v>
      </c>
      <c r="X1103" s="49"/>
      <c r="Y1103" s="49" t="str">
        <f>VLOOKUP($C1103,'#Data'!$B$3:$I$344,8,FALSE)</f>
        <v>m_s_attacker_polluter_patrol_2</v>
      </c>
      <c r="Z1103" s="49"/>
      <c r="AA1103" s="49"/>
      <c r="AB1103" s="49"/>
      <c r="AC1103" s="89">
        <v>0.9</v>
      </c>
      <c r="AD1103" s="49"/>
      <c r="AE1103" s="49"/>
      <c r="AF1103" s="49"/>
      <c r="AG1103" s="49" t="s">
        <v>2758</v>
      </c>
      <c r="AH1103" s="85"/>
    </row>
    <row r="1104" spans="1:34" x14ac:dyDescent="0.3">
      <c r="A1104" s="49">
        <f t="shared" si="34"/>
        <v>1610206111</v>
      </c>
      <c r="B1104" s="49" t="s">
        <v>174</v>
      </c>
      <c r="C1104" s="49" t="s">
        <v>1302</v>
      </c>
      <c r="D1104" s="49" t="str">
        <f>"Monster.Name."&amp;VLOOKUP($C1104,'#Data'!$B$2:$J$344,2,FALSE)</f>
        <v>Monster.Name.polluter_eyeball_2</v>
      </c>
      <c r="E1104" s="49" t="s">
        <v>47</v>
      </c>
      <c r="F1104" s="50" t="s">
        <v>44</v>
      </c>
      <c r="G1104" s="49" t="s">
        <v>45</v>
      </c>
      <c r="H1104" s="49" t="b">
        <f>IF(OR(VLOOKUP($C1104,'#Data'!$B$2:$J$344,4,FALSE)="보스",VLOOKUP($C1104,'#Data'!$B$2:$J$344,4,FALSE)="중간"),TRUE,FALSE)</f>
        <v>0</v>
      </c>
      <c r="I1104" s="49" t="b">
        <v>0</v>
      </c>
      <c r="J1104" s="49">
        <v>10</v>
      </c>
      <c r="K1104" s="49">
        <f t="shared" si="35"/>
        <v>10</v>
      </c>
      <c r="L1104" s="65" t="s">
        <v>1379</v>
      </c>
      <c r="M1104" s="65"/>
      <c r="N1104" s="65"/>
      <c r="O1104" s="134" t="s">
        <v>2042</v>
      </c>
      <c r="P1104" s="135"/>
      <c r="Q1104" s="135"/>
      <c r="R1104" s="66"/>
      <c r="S1104" s="66"/>
      <c r="T1104" s="66"/>
      <c r="U1104" s="66"/>
      <c r="V1104" s="49" t="b">
        <v>0</v>
      </c>
      <c r="W1104" s="49" t="str">
        <f>"Character/Prefabs/"&amp;VLOOKUP($C1104,'#Data'!$B$3:$I$344,8,FALSE)</f>
        <v>Character/Prefabs/m_s_ranger_polluter_eyeball_2</v>
      </c>
      <c r="X1104" s="49"/>
      <c r="Y1104" s="49" t="str">
        <f>VLOOKUP($C1104,'#Data'!$B$3:$I$344,8,FALSE)</f>
        <v>m_s_ranger_polluter_eyeball_2</v>
      </c>
      <c r="Z1104" s="49"/>
      <c r="AA1104" s="49"/>
      <c r="AB1104" s="49"/>
      <c r="AC1104" s="89">
        <v>0.9</v>
      </c>
      <c r="AD1104" s="49"/>
      <c r="AE1104" s="49"/>
      <c r="AF1104" s="49"/>
      <c r="AG1104" s="49" t="s">
        <v>2758</v>
      </c>
      <c r="AH1104" s="85"/>
    </row>
    <row r="1105" spans="1:34" x14ac:dyDescent="0.3">
      <c r="A1105" s="49">
        <f t="shared" si="34"/>
        <v>1610206112</v>
      </c>
      <c r="B1105" s="49" t="s">
        <v>174</v>
      </c>
      <c r="C1105" s="49" t="s">
        <v>1304</v>
      </c>
      <c r="D1105" s="49" t="str">
        <f>"Monster.Name."&amp;VLOOKUP($C1105,'#Data'!$B$2:$J$344,2,FALSE)</f>
        <v>Monster.Name.polluter_exploder_2</v>
      </c>
      <c r="E1105" s="49" t="s">
        <v>43</v>
      </c>
      <c r="F1105" s="50" t="s">
        <v>44</v>
      </c>
      <c r="G1105" s="49" t="s">
        <v>45</v>
      </c>
      <c r="H1105" s="49" t="b">
        <f>IF(OR(VLOOKUP($C1105,'#Data'!$B$2:$J$344,4,FALSE)="보스",VLOOKUP($C1105,'#Data'!$B$2:$J$344,4,FALSE)="중간"),TRUE,FALSE)</f>
        <v>0</v>
      </c>
      <c r="I1105" s="49" t="b">
        <v>0</v>
      </c>
      <c r="J1105" s="49">
        <v>10</v>
      </c>
      <c r="K1105" s="49">
        <f t="shared" si="35"/>
        <v>10</v>
      </c>
      <c r="L1105" s="65" t="s">
        <v>1380</v>
      </c>
      <c r="M1105" s="65"/>
      <c r="N1105" s="65"/>
      <c r="O1105" s="135" t="s">
        <v>1387</v>
      </c>
      <c r="P1105" s="134" t="s">
        <v>2043</v>
      </c>
      <c r="Q1105" s="135"/>
      <c r="R1105" s="66"/>
      <c r="S1105" s="66"/>
      <c r="T1105" s="66"/>
      <c r="U1105" s="66"/>
      <c r="V1105" s="49" t="b">
        <v>0</v>
      </c>
      <c r="W1105" s="49" t="str">
        <f>"Character/Prefabs/"&amp;VLOOKUP($C1105,'#Data'!$B$3:$I$344,8,FALSE)</f>
        <v>Character/Prefabs/m_s_attacker_polluter_exploder_2</v>
      </c>
      <c r="X1105" s="49"/>
      <c r="Y1105" s="49" t="str">
        <f>VLOOKUP($C1105,'#Data'!$B$3:$I$344,8,FALSE)</f>
        <v>m_s_attacker_polluter_exploder_2</v>
      </c>
      <c r="Z1105" s="49"/>
      <c r="AA1105" s="49"/>
      <c r="AB1105" s="49"/>
      <c r="AC1105" s="89">
        <v>0.9</v>
      </c>
      <c r="AD1105" s="49"/>
      <c r="AE1105" s="49"/>
      <c r="AF1105" s="49"/>
      <c r="AG1105" s="49" t="s">
        <v>2758</v>
      </c>
      <c r="AH1105" s="85"/>
    </row>
    <row r="1106" spans="1:34" x14ac:dyDescent="0.3">
      <c r="A1106" s="49">
        <f t="shared" si="34"/>
        <v>1610206113</v>
      </c>
      <c r="B1106" s="49" t="s">
        <v>174</v>
      </c>
      <c r="C1106" s="49" t="s">
        <v>1306</v>
      </c>
      <c r="D1106" s="49" t="str">
        <f>"Monster.Name."&amp;VLOOKUP($C1106,'#Data'!$B$2:$J$344,2,FALSE)</f>
        <v>Monster.Name.polluter_2</v>
      </c>
      <c r="E1106" s="49" t="s">
        <v>43</v>
      </c>
      <c r="F1106" s="50" t="s">
        <v>44</v>
      </c>
      <c r="G1106" s="49" t="s">
        <v>45</v>
      </c>
      <c r="H1106" s="49" t="b">
        <f>IF(OR(VLOOKUP($C1106,'#Data'!$B$2:$J$344,4,FALSE)="보스",VLOOKUP($C1106,'#Data'!$B$2:$J$344,4,FALSE)="중간"),TRUE,FALSE)</f>
        <v>0</v>
      </c>
      <c r="I1106" s="49" t="b">
        <v>0</v>
      </c>
      <c r="J1106" s="49">
        <v>10</v>
      </c>
      <c r="K1106" s="49">
        <f t="shared" si="35"/>
        <v>10</v>
      </c>
      <c r="L1106" s="65" t="s">
        <v>1381</v>
      </c>
      <c r="M1106" s="65"/>
      <c r="N1106" s="65"/>
      <c r="O1106" s="135" t="s">
        <v>1388</v>
      </c>
      <c r="P1106" s="134" t="s">
        <v>2044</v>
      </c>
      <c r="Q1106" s="135"/>
      <c r="R1106" s="66"/>
      <c r="S1106" s="66"/>
      <c r="T1106" s="66"/>
      <c r="U1106" s="66"/>
      <c r="V1106" s="49" t="b">
        <v>0</v>
      </c>
      <c r="W1106" s="49" t="str">
        <f>"Character/Prefabs/"&amp;VLOOKUP($C1106,'#Data'!$B$3:$I$344,8,FALSE)</f>
        <v>Character/Prefabs/m_m_attacker_polluter_2</v>
      </c>
      <c r="X1106" s="49"/>
      <c r="Y1106" s="49" t="str">
        <f>VLOOKUP($C1106,'#Data'!$B$3:$I$344,8,FALSE)</f>
        <v>m_m_attacker_polluter_2</v>
      </c>
      <c r="Z1106" s="49"/>
      <c r="AA1106" s="49"/>
      <c r="AB1106" s="49"/>
      <c r="AC1106" s="89">
        <v>0.6</v>
      </c>
      <c r="AD1106" s="49"/>
      <c r="AE1106" s="49"/>
      <c r="AF1106" s="49"/>
      <c r="AG1106" s="49" t="s">
        <v>2758</v>
      </c>
      <c r="AH1106" s="85"/>
    </row>
    <row r="1107" spans="1:34" x14ac:dyDescent="0.3">
      <c r="A1107" s="49">
        <f t="shared" si="34"/>
        <v>1610206114</v>
      </c>
      <c r="B1107" s="49" t="s">
        <v>174</v>
      </c>
      <c r="C1107" s="49" t="s">
        <v>1308</v>
      </c>
      <c r="D1107" s="49" t="str">
        <f>"Monster.Name."&amp;VLOOKUP($C1107,'#Data'!$B$2:$J$344,2,FALSE)</f>
        <v>Monster.Name.polluter_edge_2</v>
      </c>
      <c r="E1107" s="49" t="s">
        <v>43</v>
      </c>
      <c r="F1107" s="50" t="s">
        <v>44</v>
      </c>
      <c r="G1107" s="49" t="s">
        <v>45</v>
      </c>
      <c r="H1107" s="49" t="b">
        <f>IF(OR(VLOOKUP($C1107,'#Data'!$B$2:$J$344,4,FALSE)="보스",VLOOKUP($C1107,'#Data'!$B$2:$J$344,4,FALSE)="중간"),TRUE,FALSE)</f>
        <v>0</v>
      </c>
      <c r="I1107" s="49" t="b">
        <v>0</v>
      </c>
      <c r="J1107" s="49">
        <v>10</v>
      </c>
      <c r="K1107" s="49">
        <f t="shared" si="35"/>
        <v>10</v>
      </c>
      <c r="L1107" s="65" t="s">
        <v>1382</v>
      </c>
      <c r="M1107" s="65"/>
      <c r="N1107" s="65"/>
      <c r="O1107" s="135" t="s">
        <v>1389</v>
      </c>
      <c r="P1107" s="134" t="s">
        <v>2045</v>
      </c>
      <c r="Q1107" s="135"/>
      <c r="R1107" s="66"/>
      <c r="S1107" s="66"/>
      <c r="T1107" s="66"/>
      <c r="U1107" s="66"/>
      <c r="V1107" s="49" t="b">
        <v>0</v>
      </c>
      <c r="W1107" s="49" t="str">
        <f>"Character/Prefabs/"&amp;VLOOKUP($C1107,'#Data'!$B$3:$I$344,8,FALSE)</f>
        <v>Character/Prefabs/m_m_attacker_polluter_edge_2</v>
      </c>
      <c r="X1107" s="49"/>
      <c r="Y1107" s="49" t="str">
        <f>VLOOKUP($C1107,'#Data'!$B$3:$I$344,8,FALSE)</f>
        <v>m_m_attacker_polluter_edge_2</v>
      </c>
      <c r="Z1107" s="49"/>
      <c r="AA1107" s="49"/>
      <c r="AB1107" s="49"/>
      <c r="AC1107" s="89">
        <v>0.6</v>
      </c>
      <c r="AD1107" s="49"/>
      <c r="AE1107" s="49"/>
      <c r="AF1107" s="49"/>
      <c r="AG1107" s="49" t="s">
        <v>2758</v>
      </c>
      <c r="AH1107" s="85"/>
    </row>
    <row r="1108" spans="1:34" x14ac:dyDescent="0.3">
      <c r="A1108" s="49">
        <f t="shared" si="34"/>
        <v>1610206115</v>
      </c>
      <c r="B1108" s="49" t="s">
        <v>174</v>
      </c>
      <c r="C1108" s="49" t="s">
        <v>1310</v>
      </c>
      <c r="D1108" s="49" t="str">
        <f>"Monster.Name."&amp;VLOOKUP($C1108,'#Data'!$B$2:$J$344,2,FALSE)</f>
        <v>Monster.Name.polluter_fluid_2</v>
      </c>
      <c r="E1108" s="49" t="s">
        <v>47</v>
      </c>
      <c r="F1108" s="50" t="s">
        <v>44</v>
      </c>
      <c r="G1108" s="49" t="s">
        <v>45</v>
      </c>
      <c r="H1108" s="49" t="b">
        <f>IF(OR(VLOOKUP($C1108,'#Data'!$B$2:$J$344,4,FALSE)="보스",VLOOKUP($C1108,'#Data'!$B$2:$J$344,4,FALSE)="중간"),TRUE,FALSE)</f>
        <v>0</v>
      </c>
      <c r="I1108" s="49" t="b">
        <v>0</v>
      </c>
      <c r="J1108" s="49">
        <v>10</v>
      </c>
      <c r="K1108" s="49">
        <f t="shared" si="35"/>
        <v>10</v>
      </c>
      <c r="L1108" s="65" t="s">
        <v>1383</v>
      </c>
      <c r="M1108" s="65"/>
      <c r="N1108" s="65"/>
      <c r="O1108" s="135" t="s">
        <v>1390</v>
      </c>
      <c r="P1108" s="134" t="s">
        <v>2046</v>
      </c>
      <c r="Q1108" s="135"/>
      <c r="R1108" s="66"/>
      <c r="S1108" s="66"/>
      <c r="T1108" s="66"/>
      <c r="U1108" s="66"/>
      <c r="V1108" s="49" t="b">
        <v>0</v>
      </c>
      <c r="W1108" s="49" t="str">
        <f>"Character/Prefabs/"&amp;VLOOKUP($C1108,'#Data'!$B$3:$I$344,8,FALSE)</f>
        <v>Character/Prefabs/m_m_ranger_polluter_fluid_2</v>
      </c>
      <c r="X1108" s="49"/>
      <c r="Y1108" s="49" t="str">
        <f>VLOOKUP($C1108,'#Data'!$B$3:$I$344,8,FALSE)</f>
        <v>m_m_ranger_polluter_fluid_2</v>
      </c>
      <c r="Z1108" s="49"/>
      <c r="AA1108" s="49"/>
      <c r="AB1108" s="49"/>
      <c r="AC1108" s="89">
        <v>0.6</v>
      </c>
      <c r="AD1108" s="49"/>
      <c r="AE1108" s="49"/>
      <c r="AF1108" s="49"/>
      <c r="AG1108" s="49" t="s">
        <v>2758</v>
      </c>
      <c r="AH1108" s="85"/>
    </row>
    <row r="1109" spans="1:34" x14ac:dyDescent="0.3">
      <c r="A1109" s="49">
        <f t="shared" si="34"/>
        <v>1610206116</v>
      </c>
      <c r="B1109" s="49" t="s">
        <v>174</v>
      </c>
      <c r="C1109" s="49" t="s">
        <v>1312</v>
      </c>
      <c r="D1109" s="49" t="str">
        <f>"Monster.Name."&amp;VLOOKUP($C1109,'#Data'!$B$2:$J$344,2,FALSE)</f>
        <v>Monster.Name.polluter_liquid_2</v>
      </c>
      <c r="E1109" s="49" t="s">
        <v>47</v>
      </c>
      <c r="F1109" s="50" t="s">
        <v>44</v>
      </c>
      <c r="G1109" s="49" t="s">
        <v>45</v>
      </c>
      <c r="H1109" s="49" t="b">
        <f>IF(OR(VLOOKUP($C1109,'#Data'!$B$2:$J$344,4,FALSE)="보스",VLOOKUP($C1109,'#Data'!$B$2:$J$344,4,FALSE)="중간"),TRUE,FALSE)</f>
        <v>0</v>
      </c>
      <c r="I1109" s="49" t="b">
        <v>0</v>
      </c>
      <c r="J1109" s="49">
        <v>10</v>
      </c>
      <c r="K1109" s="49">
        <f t="shared" si="35"/>
        <v>10</v>
      </c>
      <c r="L1109" s="65" t="s">
        <v>1384</v>
      </c>
      <c r="M1109" s="65"/>
      <c r="N1109" s="65"/>
      <c r="O1109" s="135" t="s">
        <v>1391</v>
      </c>
      <c r="P1109" s="134" t="s">
        <v>2047</v>
      </c>
      <c r="Q1109" s="135"/>
      <c r="R1109" s="66"/>
      <c r="S1109" s="66"/>
      <c r="T1109" s="66"/>
      <c r="U1109" s="66"/>
      <c r="V1109" s="49" t="b">
        <v>0</v>
      </c>
      <c r="W1109" s="49" t="str">
        <f>"Character/Prefabs/"&amp;VLOOKUP($C1109,'#Data'!$B$3:$I$344,8,FALSE)</f>
        <v>Character/Prefabs/m_m_ranger_polluter_liquid_2</v>
      </c>
      <c r="X1109" s="49"/>
      <c r="Y1109" s="49" t="str">
        <f>VLOOKUP($C1109,'#Data'!$B$3:$I$344,8,FALSE)</f>
        <v>m_m_ranger_polluter_liquid_2</v>
      </c>
      <c r="Z1109" s="49"/>
      <c r="AA1109" s="49"/>
      <c r="AB1109" s="49"/>
      <c r="AC1109" s="89">
        <v>0.6</v>
      </c>
      <c r="AD1109" s="49"/>
      <c r="AE1109" s="49"/>
      <c r="AF1109" s="49"/>
      <c r="AG1109" s="49" t="s">
        <v>2758</v>
      </c>
      <c r="AH1109" s="85"/>
    </row>
    <row r="1110" spans="1:34" x14ac:dyDescent="0.3">
      <c r="A1110" s="49">
        <f t="shared" si="34"/>
        <v>1610206117</v>
      </c>
      <c r="B1110" s="49" t="s">
        <v>174</v>
      </c>
      <c r="C1110" s="49" t="s">
        <v>1314</v>
      </c>
      <c r="D1110" s="49" t="str">
        <f>"Monster.Name."&amp;VLOOKUP($C1110,'#Data'!$B$2:$J$344,2,FALSE)</f>
        <v>Monster.Name.polluter_fog_2</v>
      </c>
      <c r="E1110" s="49" t="s">
        <v>143</v>
      </c>
      <c r="F1110" s="50" t="s">
        <v>44</v>
      </c>
      <c r="G1110" s="49" t="s">
        <v>45</v>
      </c>
      <c r="H1110" s="49" t="b">
        <f>IF(OR(VLOOKUP($C1110,'#Data'!$B$2:$J$344,4,FALSE)="보스",VLOOKUP($C1110,'#Data'!$B$2:$J$344,4,FALSE)="중간"),TRUE,FALSE)</f>
        <v>0</v>
      </c>
      <c r="I1110" s="49" t="b">
        <v>0</v>
      </c>
      <c r="J1110" s="49">
        <v>10</v>
      </c>
      <c r="K1110" s="49">
        <f t="shared" si="35"/>
        <v>10</v>
      </c>
      <c r="L1110" s="65" t="s">
        <v>1385</v>
      </c>
      <c r="M1110" s="65"/>
      <c r="N1110" s="65"/>
      <c r="O1110" s="135" t="s">
        <v>1392</v>
      </c>
      <c r="P1110" s="134" t="s">
        <v>2048</v>
      </c>
      <c r="Q1110" s="135"/>
      <c r="R1110" s="66"/>
      <c r="S1110" s="66"/>
      <c r="T1110" s="66"/>
      <c r="U1110" s="66"/>
      <c r="V1110" s="49" t="b">
        <v>0</v>
      </c>
      <c r="W1110" s="49" t="str">
        <f>"Character/Prefabs/"&amp;VLOOKUP($C1110,'#Data'!$B$3:$I$344,8,FALSE)</f>
        <v>Character/Prefabs/m_m_supporter_polluter_fog_2</v>
      </c>
      <c r="X1110" s="49"/>
      <c r="Y1110" s="49" t="str">
        <f>VLOOKUP($C1110,'#Data'!$B$3:$I$344,8,FALSE)</f>
        <v>m_m_supporter_polluter_fog_2</v>
      </c>
      <c r="Z1110" s="49"/>
      <c r="AA1110" s="49"/>
      <c r="AB1110" s="49"/>
      <c r="AC1110" s="89">
        <v>0.6</v>
      </c>
      <c r="AD1110" s="49"/>
      <c r="AE1110" s="49"/>
      <c r="AF1110" s="49"/>
      <c r="AG1110" s="49" t="s">
        <v>2758</v>
      </c>
      <c r="AH1110" s="85"/>
    </row>
    <row r="1111" spans="1:34" x14ac:dyDescent="0.3">
      <c r="A1111" s="49">
        <f t="shared" si="34"/>
        <v>1610206118</v>
      </c>
      <c r="B1111" s="49" t="s">
        <v>174</v>
      </c>
      <c r="C1111" s="49" t="s">
        <v>1316</v>
      </c>
      <c r="D1111" s="49" t="str">
        <f>"Monster.Name."&amp;VLOOKUP($C1111,'#Data'!$B$2:$J$344,2,FALSE)</f>
        <v>Monster.Name.polluter_haze_2</v>
      </c>
      <c r="E1111" s="49" t="s">
        <v>143</v>
      </c>
      <c r="F1111" s="50" t="s">
        <v>44</v>
      </c>
      <c r="G1111" s="49" t="s">
        <v>45</v>
      </c>
      <c r="H1111" s="49" t="b">
        <f>IF(OR(VLOOKUP($C1111,'#Data'!$B$2:$J$344,4,FALSE)="보스",VLOOKUP($C1111,'#Data'!$B$2:$J$344,4,FALSE)="중간"),TRUE,FALSE)</f>
        <v>0</v>
      </c>
      <c r="I1111" s="49" t="b">
        <v>0</v>
      </c>
      <c r="J1111" s="49">
        <v>10</v>
      </c>
      <c r="K1111" s="49">
        <f t="shared" si="35"/>
        <v>10</v>
      </c>
      <c r="L1111" s="65" t="s">
        <v>1386</v>
      </c>
      <c r="M1111" s="65"/>
      <c r="N1111" s="65"/>
      <c r="O1111" s="135" t="s">
        <v>1393</v>
      </c>
      <c r="P1111" s="134" t="s">
        <v>2049</v>
      </c>
      <c r="Q1111" s="135"/>
      <c r="R1111" s="66"/>
      <c r="S1111" s="66"/>
      <c r="T1111" s="66"/>
      <c r="U1111" s="66"/>
      <c r="V1111" s="49" t="b">
        <v>0</v>
      </c>
      <c r="W1111" s="49" t="str">
        <f>"Character/Prefabs/"&amp;VLOOKUP($C1111,'#Data'!$B$3:$I$344,8,FALSE)</f>
        <v>Character/Prefabs/m_m_supporter_polluter_haze_2</v>
      </c>
      <c r="X1111" s="49"/>
      <c r="Y1111" s="49" t="str">
        <f>VLOOKUP($C1111,'#Data'!$B$3:$I$344,8,FALSE)</f>
        <v>m_m_supporter_polluter_haze_2</v>
      </c>
      <c r="Z1111" s="49"/>
      <c r="AA1111" s="49"/>
      <c r="AB1111" s="49"/>
      <c r="AC1111" s="89">
        <v>0.6</v>
      </c>
      <c r="AD1111" s="49"/>
      <c r="AE1111" s="49"/>
      <c r="AF1111" s="49"/>
      <c r="AG1111" s="49" t="s">
        <v>2758</v>
      </c>
      <c r="AH1111" s="85"/>
    </row>
    <row r="1112" spans="1:34" x14ac:dyDescent="0.3">
      <c r="A1112" s="12">
        <f t="shared" si="34"/>
        <v>1610206201</v>
      </c>
      <c r="B1112" s="12" t="s">
        <v>174</v>
      </c>
      <c r="C1112" s="12" t="s">
        <v>184</v>
      </c>
      <c r="D1112" s="12" t="str">
        <f>"Monster.Name."&amp;VLOOKUP($C1112,'#Data'!$B$2:$J$344,2,FALSE)</f>
        <v>Monster.Name.polluter_chunk_1</v>
      </c>
      <c r="E1112" s="12" t="s">
        <v>43</v>
      </c>
      <c r="F1112" s="39" t="s">
        <v>44</v>
      </c>
      <c r="G1112" s="12" t="s">
        <v>45</v>
      </c>
      <c r="H1112" s="12" t="b">
        <f>IF(OR(VLOOKUP($C1112,'#Data'!$B$2:$J$344,4,FALSE)="보스",VLOOKUP($C1112,'#Data'!$B$2:$J$344,4,FALSE)="중간"),TRUE,FALSE)</f>
        <v>1</v>
      </c>
      <c r="I1112" s="12" t="b">
        <v>1</v>
      </c>
      <c r="J1112" s="12">
        <v>10</v>
      </c>
      <c r="K1112" s="12">
        <f t="shared" si="35"/>
        <v>10</v>
      </c>
      <c r="L1112" s="63" t="str">
        <f>$B1112&amp;"."&amp;VLOOKUP($C1112,'#Data'!$B$2:$J$344,2,FALSE)&amp;".attack0"&amp;RIGHT(L$1,1)</f>
        <v>Sector06.polluter_chunk_1.attack01</v>
      </c>
      <c r="M1112" s="63"/>
      <c r="N1112" s="63"/>
      <c r="O1112" s="134" t="str">
        <f>$B1112&amp;"."&amp;VLOOKUP($C1112,'#Data'!$B$2:$J$344,2,FALSE)&amp;".skill0"&amp;RIGHT(O$1,1)</f>
        <v>Sector06.polluter_chunk_1.skill01</v>
      </c>
      <c r="P1112" s="134" t="str">
        <f>$B1112&amp;"."&amp;VLOOKUP($C1112,'#Data'!$B$2:$J$344,2,FALSE)&amp;".skill0"&amp;RIGHT(P$1,1)</f>
        <v>Sector06.polluter_chunk_1.skill02</v>
      </c>
      <c r="Q1112" s="134" t="str">
        <f>$B1112&amp;"."&amp;VLOOKUP($C1112,'#Data'!$B$2:$J$344,2,FALSE)&amp;".skill0"&amp;RIGHT(Q$1,1)</f>
        <v>Sector06.polluter_chunk_1.skill03</v>
      </c>
      <c r="R1112" s="64"/>
      <c r="S1112" s="64" t="s">
        <v>2078</v>
      </c>
      <c r="T1112" s="64"/>
      <c r="U1112" s="64"/>
      <c r="V1112" s="12" t="b">
        <v>0</v>
      </c>
      <c r="W1112" s="12" t="str">
        <f>"Character/Prefabs/"&amp;VLOOKUP($C1112,'#Data'!$B$3:$I$344,8,FALSE)</f>
        <v>Character/Prefabs/m_l_attacker_polluter_chunk_1</v>
      </c>
      <c r="X1112" s="12"/>
      <c r="Y1112" s="12" t="str">
        <f>VLOOKUP($C1112,'#Data'!$B$3:$I$344,8,FALSE)</f>
        <v>m_l_attacker_polluter_chunk_1</v>
      </c>
      <c r="Z1112" s="12"/>
      <c r="AA1112" s="12"/>
      <c r="AB1112" s="12"/>
      <c r="AC1112" s="88">
        <v>1</v>
      </c>
      <c r="AD1112" s="12"/>
      <c r="AE1112" s="12"/>
      <c r="AF1112" s="12"/>
      <c r="AG1112" s="12" t="s">
        <v>2758</v>
      </c>
      <c r="AH1112" s="85"/>
    </row>
    <row r="1113" spans="1:34" x14ac:dyDescent="0.3">
      <c r="A1113" s="12">
        <f t="shared" si="34"/>
        <v>1610206202</v>
      </c>
      <c r="B1113" s="12" t="s">
        <v>174</v>
      </c>
      <c r="C1113" s="12" t="s">
        <v>185</v>
      </c>
      <c r="D1113" s="12" t="str">
        <f>"Monster.Name."&amp;VLOOKUP($C1113,'#Data'!$B$2:$J$344,2,FALSE)</f>
        <v>Monster.Name.polluter_spike_1</v>
      </c>
      <c r="E1113" s="12" t="s">
        <v>43</v>
      </c>
      <c r="F1113" s="39" t="s">
        <v>44</v>
      </c>
      <c r="G1113" s="12" t="s">
        <v>45</v>
      </c>
      <c r="H1113" s="12" t="b">
        <f>IF(OR(VLOOKUP($C1113,'#Data'!$B$2:$J$344,4,FALSE)="보스",VLOOKUP($C1113,'#Data'!$B$2:$J$344,4,FALSE)="중간"),TRUE,FALSE)</f>
        <v>1</v>
      </c>
      <c r="I1113" s="12" t="b">
        <v>1</v>
      </c>
      <c r="J1113" s="12">
        <v>10</v>
      </c>
      <c r="K1113" s="12">
        <f t="shared" si="35"/>
        <v>10</v>
      </c>
      <c r="L1113" s="63" t="str">
        <f>$B1113&amp;"."&amp;VLOOKUP($C1113,'#Data'!$B$2:$J$344,2,FALSE)&amp;".attack0"&amp;RIGHT(L$1,1)</f>
        <v>Sector06.polluter_spike_1.attack01</v>
      </c>
      <c r="M1113" s="63"/>
      <c r="N1113" s="63"/>
      <c r="O1113" s="134" t="str">
        <f>$B1113&amp;"."&amp;VLOOKUP($C1113,'#Data'!$B$2:$J$344,2,FALSE)&amp;".skill0"&amp;RIGHT(O$1,1)</f>
        <v>Sector06.polluter_spike_1.skill01</v>
      </c>
      <c r="P1113" s="134" t="str">
        <f>$B1113&amp;"."&amp;VLOOKUP($C1113,'#Data'!$B$2:$J$344,2,FALSE)&amp;".skill0"&amp;RIGHT(P$1,1)</f>
        <v>Sector06.polluter_spike_1.skill02</v>
      </c>
      <c r="Q1113" s="134" t="str">
        <f>$B1113&amp;"."&amp;VLOOKUP($C1113,'#Data'!$B$2:$J$344,2,FALSE)&amp;".skill0"&amp;RIGHT(Q$1,1)</f>
        <v>Sector06.polluter_spike_1.skill03</v>
      </c>
      <c r="R1113" s="64"/>
      <c r="S1113" s="64" t="s">
        <v>2078</v>
      </c>
      <c r="T1113" s="64"/>
      <c r="U1113" s="64"/>
      <c r="V1113" s="12" t="b">
        <v>0</v>
      </c>
      <c r="W1113" s="12" t="str">
        <f>"Character/Prefabs/"&amp;VLOOKUP($C1113,'#Data'!$B$3:$I$344,8,FALSE)</f>
        <v>Character/Prefabs/m_l_attacker_polluter_spike_1</v>
      </c>
      <c r="X1113" s="12"/>
      <c r="Y1113" s="12" t="str">
        <f>VLOOKUP($C1113,'#Data'!$B$3:$I$344,8,FALSE)</f>
        <v>m_l_attacker_polluter_spike_1</v>
      </c>
      <c r="Z1113" s="12"/>
      <c r="AA1113" s="12"/>
      <c r="AB1113" s="12"/>
      <c r="AC1113" s="88">
        <v>0.7</v>
      </c>
      <c r="AD1113" s="12"/>
      <c r="AE1113" s="12"/>
      <c r="AF1113" s="12"/>
      <c r="AG1113" s="12" t="s">
        <v>2758</v>
      </c>
      <c r="AH1113" s="85"/>
    </row>
    <row r="1114" spans="1:34" x14ac:dyDescent="0.3">
      <c r="A1114" s="12">
        <f t="shared" si="34"/>
        <v>1610206203</v>
      </c>
      <c r="B1114" s="12" t="s">
        <v>174</v>
      </c>
      <c r="C1114" s="12" t="s">
        <v>186</v>
      </c>
      <c r="D1114" s="12" t="str">
        <f>"Monster.Name."&amp;VLOOKUP($C1114,'#Data'!$B$2:$J$344,2,FALSE)</f>
        <v>Monster.Name.polluter_bloblauncher_1</v>
      </c>
      <c r="E1114" s="12" t="s">
        <v>47</v>
      </c>
      <c r="F1114" s="39" t="s">
        <v>44</v>
      </c>
      <c r="G1114" s="12" t="s">
        <v>45</v>
      </c>
      <c r="H1114" s="12" t="b">
        <f>IF(OR(VLOOKUP($C1114,'#Data'!$B$2:$J$344,4,FALSE)="보스",VLOOKUP($C1114,'#Data'!$B$2:$J$344,4,FALSE)="중간"),TRUE,FALSE)</f>
        <v>1</v>
      </c>
      <c r="I1114" s="12" t="b">
        <v>1</v>
      </c>
      <c r="J1114" s="12">
        <v>10</v>
      </c>
      <c r="K1114" s="12">
        <f t="shared" si="35"/>
        <v>10</v>
      </c>
      <c r="L1114" s="63" t="str">
        <f>$B1114&amp;"."&amp;VLOOKUP($C1114,'#Data'!$B$2:$J$344,2,FALSE)&amp;".attack0"&amp;RIGHT(L$1,1)</f>
        <v>Sector06.polluter_bloblauncher_1.attack01</v>
      </c>
      <c r="M1114" s="63"/>
      <c r="N1114" s="63"/>
      <c r="O1114" s="134" t="str">
        <f>$B1114&amp;"."&amp;VLOOKUP($C1114,'#Data'!$B$2:$J$344,2,FALSE)&amp;".skill0"&amp;RIGHT(O$1,1)</f>
        <v>Sector06.polluter_bloblauncher_1.skill01</v>
      </c>
      <c r="P1114" s="134" t="str">
        <f>$B1114&amp;"."&amp;VLOOKUP($C1114,'#Data'!$B$2:$J$344,2,FALSE)&amp;".skill0"&amp;RIGHT(P$1,1)</f>
        <v>Sector06.polluter_bloblauncher_1.skill02</v>
      </c>
      <c r="Q1114" s="134" t="str">
        <f>$B1114&amp;"."&amp;VLOOKUP($C1114,'#Data'!$B$2:$J$344,2,FALSE)&amp;".skill0"&amp;RIGHT(Q$1,1)</f>
        <v>Sector06.polluter_bloblauncher_1.skill03</v>
      </c>
      <c r="R1114" s="64"/>
      <c r="S1114" s="64" t="s">
        <v>2078</v>
      </c>
      <c r="T1114" s="64"/>
      <c r="U1114" s="64"/>
      <c r="V1114" s="12" t="b">
        <v>0</v>
      </c>
      <c r="W1114" s="12" t="str">
        <f>"Character/Prefabs/"&amp;VLOOKUP($C1114,'#Data'!$B$3:$I$344,8,FALSE)</f>
        <v>Character/Prefabs/m_l_ranger_polluter_bloblauncher_1</v>
      </c>
      <c r="X1114" s="12"/>
      <c r="Y1114" s="12" t="str">
        <f>VLOOKUP($C1114,'#Data'!$B$3:$I$344,8,FALSE)</f>
        <v>m_l_ranger_polluter_bloblauncher_1</v>
      </c>
      <c r="Z1114" s="12"/>
      <c r="AA1114" s="12"/>
      <c r="AB1114" s="12"/>
      <c r="AC1114" s="88">
        <v>0.9</v>
      </c>
      <c r="AD1114" s="12"/>
      <c r="AE1114" s="12"/>
      <c r="AF1114" s="12"/>
      <c r="AG1114" s="12" t="s">
        <v>2758</v>
      </c>
      <c r="AH1114" s="85"/>
    </row>
    <row r="1115" spans="1:34" x14ac:dyDescent="0.3">
      <c r="A1115" s="108">
        <f t="shared" si="34"/>
        <v>1610206301</v>
      </c>
      <c r="B1115" s="108" t="s">
        <v>174</v>
      </c>
      <c r="C1115" s="108" t="s">
        <v>187</v>
      </c>
      <c r="D1115" s="108" t="str">
        <f>"Monster.Name."&amp;VLOOKUP($C1115,'#Data'!$B$2:$J$344,2,FALSE)</f>
        <v>Monster.Name.toxic_1</v>
      </c>
      <c r="E1115" s="108" t="s">
        <v>43</v>
      </c>
      <c r="F1115" s="109" t="s">
        <v>44</v>
      </c>
      <c r="G1115" s="108" t="s">
        <v>45</v>
      </c>
      <c r="H1115" s="108" t="b">
        <f>IF(OR(VLOOKUP($C1115,'#Data'!$B$2:$J$344,4,FALSE)="보스",VLOOKUP($C1115,'#Data'!$B$2:$J$344,4,FALSE)="중간"),TRUE,FALSE)</f>
        <v>1</v>
      </c>
      <c r="I1115" s="108" t="b">
        <v>1</v>
      </c>
      <c r="J1115" s="108">
        <v>30</v>
      </c>
      <c r="K1115" s="108">
        <f t="shared" si="35"/>
        <v>10</v>
      </c>
      <c r="L1115" s="113" t="str">
        <f>$B1115&amp;"."&amp;VLOOKUP($C1115,'#Data'!$B$2:$J$344,2,FALSE)&amp;".attack0"&amp;RIGHT(L$1,1)</f>
        <v>Sector06.toxic_1.attack01</v>
      </c>
      <c r="M1115" s="113" t="str">
        <f>$B1115&amp;"."&amp;VLOOKUP($C1115,'#Data'!$B$2:$J$344,2,FALSE)&amp;".attack0"&amp;RIGHT(M$1,1)</f>
        <v>Sector06.toxic_1.attack02</v>
      </c>
      <c r="N1115" s="113"/>
      <c r="O1115" s="136" t="str">
        <f>$B1115&amp;"."&amp;VLOOKUP($C1115,'#Data'!$B$2:$J$344,2,FALSE)&amp;".skill0"&amp;RIGHT(O$1,1)</f>
        <v>Sector06.toxic_1.skill01</v>
      </c>
      <c r="P1115" s="136" t="str">
        <f>$B1115&amp;"."&amp;VLOOKUP($C1115,'#Data'!$B$2:$J$344,2,FALSE)&amp;".skill0"&amp;RIGHT(P$1,1)</f>
        <v>Sector06.toxic_1.skill02</v>
      </c>
      <c r="Q1115" s="136" t="str">
        <f>$B1115&amp;"."&amp;VLOOKUP($C1115,'#Data'!$B$2:$J$344,2,FALSE)&amp;".skill0"&amp;RIGHT(Q$1,1)</f>
        <v>Sector06.toxic_1.skill03</v>
      </c>
      <c r="R1115" s="114" t="s">
        <v>1400</v>
      </c>
      <c r="S1115" s="114" t="s">
        <v>1401</v>
      </c>
      <c r="T1115" s="114"/>
      <c r="U1115" s="114"/>
      <c r="V1115" s="108" t="b">
        <v>0</v>
      </c>
      <c r="W1115" s="108" t="str">
        <f>"Character/Prefabs/"&amp;VLOOKUP($C1115,'#Data'!$B$3:$I$344,8,FALSE)</f>
        <v>Character/Prefabs/m_boss_attacker_toxic_1</v>
      </c>
      <c r="X1115" s="108"/>
      <c r="Y1115" s="108" t="str">
        <f>VLOOKUP($C1115,'#Data'!$B$3:$I$344,8,FALSE)</f>
        <v>m_boss_attacker_toxic_1</v>
      </c>
      <c r="Z1115" s="108"/>
      <c r="AA1115" s="108"/>
      <c r="AB1115" s="108"/>
      <c r="AC1115" s="111">
        <v>0.9</v>
      </c>
      <c r="AD1115" s="108"/>
      <c r="AE1115" s="108" t="s">
        <v>188</v>
      </c>
      <c r="AF1115" s="108" t="s">
        <v>189</v>
      </c>
      <c r="AG1115" s="108" t="s">
        <v>2758</v>
      </c>
      <c r="AH1115" s="85"/>
    </row>
    <row r="1116" spans="1:34" x14ac:dyDescent="0.3">
      <c r="A1116" s="108">
        <f t="shared" si="34"/>
        <v>1610206302</v>
      </c>
      <c r="B1116" s="108" t="s">
        <v>174</v>
      </c>
      <c r="C1116" s="108" t="s">
        <v>1399</v>
      </c>
      <c r="D1116" s="108" t="str">
        <f>"Monster.Name."&amp;VLOOKUP($C1116,'#Data'!$B$2:$J$344,2,FALSE)</f>
        <v>Monster.Name.toxic_3</v>
      </c>
      <c r="E1116" s="108" t="s">
        <v>43</v>
      </c>
      <c r="F1116" s="109" t="s">
        <v>44</v>
      </c>
      <c r="G1116" s="108" t="s">
        <v>45</v>
      </c>
      <c r="H1116" s="108" t="b">
        <f>IF(OR(VLOOKUP($C1116,'#Data'!$B$2:$J$344,4,FALSE)="보스",VLOOKUP($C1116,'#Data'!$B$2:$J$344,4,FALSE)="중간"),TRUE,FALSE)</f>
        <v>1</v>
      </c>
      <c r="I1116" s="108" t="b">
        <v>1</v>
      </c>
      <c r="J1116" s="108">
        <v>30</v>
      </c>
      <c r="K1116" s="108">
        <f t="shared" si="35"/>
        <v>10</v>
      </c>
      <c r="L1116" s="113" t="str">
        <f>$B1116&amp;"."&amp;VLOOKUP($C1116,'#Data'!$B$2:$J$344,2,FALSE)&amp;".attack0"&amp;RIGHT(L$1,1)</f>
        <v>Sector06.toxic_3.attack01</v>
      </c>
      <c r="M1116" s="113" t="str">
        <f>$B1116&amp;"."&amp;VLOOKUP($C1116,'#Data'!$B$2:$J$344,2,FALSE)&amp;".attack0"&amp;RIGHT(M$1,1)</f>
        <v>Sector06.toxic_3.attack02</v>
      </c>
      <c r="N1116" s="113"/>
      <c r="O1116" s="136" t="str">
        <f>$B1116&amp;"."&amp;VLOOKUP($C1116,'#Data'!$B$2:$J$344,2,FALSE)&amp;".skill0"&amp;RIGHT(O$1,1)</f>
        <v>Sector06.toxic_3.skill01</v>
      </c>
      <c r="P1116" s="136" t="str">
        <f>$B1116&amp;"."&amp;VLOOKUP($C1116,'#Data'!$B$2:$J$344,2,FALSE)&amp;".skill0"&amp;RIGHT(P$1,1)</f>
        <v>Sector06.toxic_3.skill02</v>
      </c>
      <c r="Q1116" s="136" t="str">
        <f>$B1116&amp;"."&amp;VLOOKUP($C1116,'#Data'!$B$2:$J$344,2,FALSE)&amp;".skill0"&amp;RIGHT(Q$1,1)</f>
        <v>Sector06.toxic_3.skill03</v>
      </c>
      <c r="R1116" s="114" t="s">
        <v>1413</v>
      </c>
      <c r="S1116" s="114" t="s">
        <v>1414</v>
      </c>
      <c r="T1116" s="114"/>
      <c r="U1116" s="114"/>
      <c r="V1116" s="108" t="b">
        <v>0</v>
      </c>
      <c r="W1116" s="165" t="str">
        <f>"Character/Prefabs/"&amp;VLOOKUP($C1116,'#Data'!$B$3:$I$344,8,FALSE)</f>
        <v>Character/Prefabs/m_boss_attacker_toxic_3</v>
      </c>
      <c r="X1116" s="165"/>
      <c r="Y1116" s="165" t="str">
        <f>VLOOKUP($C1116,'#Data'!$B$3:$I$344,8,FALSE)</f>
        <v>m_boss_attacker_toxic_3</v>
      </c>
      <c r="Z1116" s="108"/>
      <c r="AA1116" s="108"/>
      <c r="AB1116" s="108"/>
      <c r="AC1116" s="111">
        <v>1.1000000000000001</v>
      </c>
      <c r="AD1116" s="108"/>
      <c r="AE1116" s="108" t="s">
        <v>2082</v>
      </c>
      <c r="AF1116" s="108" t="s">
        <v>2099</v>
      </c>
      <c r="AG1116" s="108" t="s">
        <v>2758</v>
      </c>
      <c r="AH1116" s="85"/>
    </row>
    <row r="1117" spans="1:34" x14ac:dyDescent="0.3">
      <c r="A1117" s="41">
        <f t="shared" si="34"/>
        <v>1610207101</v>
      </c>
      <c r="B1117" s="41" t="s">
        <v>190</v>
      </c>
      <c r="C1117" s="41" t="s">
        <v>191</v>
      </c>
      <c r="D1117" s="41" t="str">
        <f>"Monster.Name."&amp;VLOOKUP($C1117,'#Data'!$B$2:$J$344,2,FALSE)</f>
        <v>Monster.Name.clock_clawdog_1</v>
      </c>
      <c r="E1117" s="41" t="s">
        <v>43</v>
      </c>
      <c r="F1117" s="42" t="s">
        <v>44</v>
      </c>
      <c r="G1117" s="41" t="s">
        <v>45</v>
      </c>
      <c r="H1117" s="41" t="b">
        <f>IF(OR(VLOOKUP($C1117,'#Data'!$B$2:$J$344,4,FALSE)="보스",VLOOKUP($C1117,'#Data'!$B$2:$J$344,4,FALSE)="중간"),TRUE,FALSE)</f>
        <v>0</v>
      </c>
      <c r="I1117" s="41" t="b">
        <v>0</v>
      </c>
      <c r="J1117" s="41">
        <v>10</v>
      </c>
      <c r="K1117" s="41">
        <f t="shared" si="35"/>
        <v>10</v>
      </c>
      <c r="L1117" s="67" t="str">
        <f>$B1117&amp;"."&amp;VLOOKUP($C1117,'#Data'!$B$2:$J$344,2,FALSE)&amp;".attack0"&amp;RIGHT(L$1,1)</f>
        <v>Sector07.clock_clawdog_1.attack01</v>
      </c>
      <c r="M1117" s="67"/>
      <c r="N1117" s="67"/>
      <c r="O1117" s="137" t="s">
        <v>2050</v>
      </c>
      <c r="P1117" s="137"/>
      <c r="Q1117" s="137"/>
      <c r="R1117" s="68"/>
      <c r="S1117" s="68"/>
      <c r="T1117" s="68"/>
      <c r="U1117" s="68"/>
      <c r="V1117" s="41" t="b">
        <v>0</v>
      </c>
      <c r="W1117" s="41" t="str">
        <f>"Character/Prefabs/"&amp;VLOOKUP($C1117,'#Data'!$B$3:$I$344,8,FALSE)</f>
        <v>Character/Prefabs/m_s_attacker_clock_clawdog_1</v>
      </c>
      <c r="X1117" s="41"/>
      <c r="Y1117" s="41" t="str">
        <f>VLOOKUP($C1117,'#Data'!$B$3:$I$344,8,FALSE)</f>
        <v>m_s_attacker_clock_clawdog_1</v>
      </c>
      <c r="Z1117" s="41"/>
      <c r="AA1117" s="41"/>
      <c r="AB1117" s="41"/>
      <c r="AC1117" s="90">
        <v>0.9</v>
      </c>
      <c r="AD1117" s="41"/>
      <c r="AE1117" s="41"/>
      <c r="AF1117" s="41"/>
      <c r="AG1117" s="41" t="s">
        <v>2758</v>
      </c>
      <c r="AH1117" s="85"/>
    </row>
    <row r="1118" spans="1:34" x14ac:dyDescent="0.3">
      <c r="A1118" s="41">
        <f t="shared" si="34"/>
        <v>1610207102</v>
      </c>
      <c r="B1118" s="41" t="s">
        <v>190</v>
      </c>
      <c r="C1118" s="41" t="s">
        <v>192</v>
      </c>
      <c r="D1118" s="41" t="str">
        <f>"Monster.Name."&amp;VLOOKUP($C1118,'#Data'!$B$2:$J$344,2,FALSE)</f>
        <v>Monster.Name.clock_flamedog_1</v>
      </c>
      <c r="E1118" s="41" t="s">
        <v>47</v>
      </c>
      <c r="F1118" s="42" t="s">
        <v>44</v>
      </c>
      <c r="G1118" s="41" t="s">
        <v>45</v>
      </c>
      <c r="H1118" s="41" t="b">
        <f>IF(OR(VLOOKUP($C1118,'#Data'!$B$2:$J$344,4,FALSE)="보스",VLOOKUP($C1118,'#Data'!$B$2:$J$344,4,FALSE)="중간"),TRUE,FALSE)</f>
        <v>0</v>
      </c>
      <c r="I1118" s="41" t="b">
        <v>0</v>
      </c>
      <c r="J1118" s="41">
        <v>10</v>
      </c>
      <c r="K1118" s="41">
        <f t="shared" si="35"/>
        <v>10</v>
      </c>
      <c r="L1118" s="67" t="str">
        <f>$B1118&amp;"."&amp;VLOOKUP($C1118,'#Data'!$B$2:$J$344,2,FALSE)&amp;".attack0"&amp;RIGHT(L$1,1)</f>
        <v>Sector07.clock_flamedog_1.attack01</v>
      </c>
      <c r="M1118" s="67"/>
      <c r="N1118" s="67"/>
      <c r="O1118" s="137" t="s">
        <v>2051</v>
      </c>
      <c r="P1118" s="137"/>
      <c r="Q1118" s="137"/>
      <c r="R1118" s="68"/>
      <c r="S1118" s="68"/>
      <c r="T1118" s="68"/>
      <c r="U1118" s="68"/>
      <c r="V1118" s="41" t="b">
        <v>0</v>
      </c>
      <c r="W1118" s="41" t="str">
        <f>"Character/Prefabs/"&amp;VLOOKUP($C1118,'#Data'!$B$3:$I$344,8,FALSE)</f>
        <v>Character/Prefabs/m_s_ranger_clock_flamedog_1</v>
      </c>
      <c r="X1118" s="41"/>
      <c r="Y1118" s="41" t="str">
        <f>VLOOKUP($C1118,'#Data'!$B$3:$I$344,8,FALSE)</f>
        <v>m_s_ranger_clock_flamedog_1</v>
      </c>
      <c r="Z1118" s="41"/>
      <c r="AA1118" s="41"/>
      <c r="AB1118" s="41"/>
      <c r="AC1118" s="90">
        <v>0.9</v>
      </c>
      <c r="AD1118" s="41"/>
      <c r="AE1118" s="41"/>
      <c r="AF1118" s="41"/>
      <c r="AG1118" s="41" t="s">
        <v>2758</v>
      </c>
      <c r="AH1118" s="85"/>
    </row>
    <row r="1119" spans="1:34" x14ac:dyDescent="0.3">
      <c r="A1119" s="41">
        <f t="shared" si="34"/>
        <v>1610207103</v>
      </c>
      <c r="B1119" s="41" t="s">
        <v>190</v>
      </c>
      <c r="C1119" s="41" t="s">
        <v>193</v>
      </c>
      <c r="D1119" s="41" t="str">
        <f>"Monster.Name."&amp;VLOOKUP($C1119,'#Data'!$B$2:$J$344,2,FALSE)</f>
        <v>Monster.Name.clock_spear_1</v>
      </c>
      <c r="E1119" s="41" t="s">
        <v>43</v>
      </c>
      <c r="F1119" s="42" t="s">
        <v>44</v>
      </c>
      <c r="G1119" s="41" t="s">
        <v>45</v>
      </c>
      <c r="H1119" s="41" t="b">
        <f>IF(OR(VLOOKUP($C1119,'#Data'!$B$2:$J$344,4,FALSE)="보스",VLOOKUP($C1119,'#Data'!$B$2:$J$344,4,FALSE)="중간"),TRUE,FALSE)</f>
        <v>0</v>
      </c>
      <c r="I1119" s="41" t="b">
        <v>0</v>
      </c>
      <c r="J1119" s="41">
        <v>10</v>
      </c>
      <c r="K1119" s="41">
        <f t="shared" si="35"/>
        <v>10</v>
      </c>
      <c r="L1119" s="67" t="str">
        <f>$B1119&amp;"."&amp;VLOOKUP($C1119,'#Data'!$B$2:$J$344,2,FALSE)&amp;".attack0"&amp;RIGHT(L$1,1)</f>
        <v>Sector07.clock_spear_1.attack01</v>
      </c>
      <c r="M1119" s="67"/>
      <c r="N1119" s="67"/>
      <c r="O1119" s="137" t="str">
        <f>$B1119&amp;"."&amp;VLOOKUP($C1119,'#Data'!$B$2:$J$344,2,FALSE)&amp;".skill0"&amp;RIGHT(O$1,1)</f>
        <v>Sector07.clock_spear_1.skill01</v>
      </c>
      <c r="P1119" s="137" t="s">
        <v>2052</v>
      </c>
      <c r="Q1119" s="137"/>
      <c r="R1119" s="68"/>
      <c r="S1119" s="68"/>
      <c r="T1119" s="68"/>
      <c r="U1119" s="68"/>
      <c r="V1119" s="41" t="b">
        <v>0</v>
      </c>
      <c r="W1119" s="41" t="str">
        <f>"Character/Prefabs/"&amp;VLOOKUP($C1119,'#Data'!$B$3:$I$344,8,FALSE)</f>
        <v>Character/Prefabs/m_m_attacker_clock_spear_1</v>
      </c>
      <c r="X1119" s="41"/>
      <c r="Y1119" s="41" t="str">
        <f>VLOOKUP($C1119,'#Data'!$B$3:$I$344,8,FALSE)</f>
        <v>m_m_attacker_clock_spear_1</v>
      </c>
      <c r="Z1119" s="41"/>
      <c r="AA1119" s="41"/>
      <c r="AB1119" s="41"/>
      <c r="AC1119" s="90">
        <v>0.9</v>
      </c>
      <c r="AD1119" s="41"/>
      <c r="AE1119" s="41"/>
      <c r="AF1119" s="41"/>
      <c r="AG1119" s="41" t="s">
        <v>2758</v>
      </c>
      <c r="AH1119" s="85"/>
    </row>
    <row r="1120" spans="1:34" x14ac:dyDescent="0.3">
      <c r="A1120" s="41">
        <f t="shared" si="34"/>
        <v>1610207104</v>
      </c>
      <c r="B1120" s="41" t="s">
        <v>190</v>
      </c>
      <c r="C1120" s="41" t="s">
        <v>194</v>
      </c>
      <c r="D1120" s="41" t="str">
        <f>"Monster.Name."&amp;VLOOKUP($C1120,'#Data'!$B$2:$J$344,2,FALSE)</f>
        <v>Monster.Name.clock_squire_1</v>
      </c>
      <c r="E1120" s="41" t="s">
        <v>47</v>
      </c>
      <c r="F1120" s="42" t="s">
        <v>44</v>
      </c>
      <c r="G1120" s="41" t="s">
        <v>45</v>
      </c>
      <c r="H1120" s="41" t="b">
        <f>IF(OR(VLOOKUP($C1120,'#Data'!$B$2:$J$344,4,FALSE)="보스",VLOOKUP($C1120,'#Data'!$B$2:$J$344,4,FALSE)="중간"),TRUE,FALSE)</f>
        <v>0</v>
      </c>
      <c r="I1120" s="41" t="b">
        <v>0</v>
      </c>
      <c r="J1120" s="41">
        <v>10</v>
      </c>
      <c r="K1120" s="41">
        <f t="shared" si="35"/>
        <v>10</v>
      </c>
      <c r="L1120" s="67" t="str">
        <f>$B1120&amp;"."&amp;VLOOKUP($C1120,'#Data'!$B$2:$J$344,2,FALSE)&amp;".attack0"&amp;RIGHT(L$1,1)</f>
        <v>Sector07.clock_squire_1.attack01</v>
      </c>
      <c r="M1120" s="67"/>
      <c r="N1120" s="67"/>
      <c r="O1120" s="137" t="str">
        <f>$B1120&amp;"."&amp;VLOOKUP($C1120,'#Data'!$B$2:$J$344,2,FALSE)&amp;".skill0"&amp;RIGHT(O$1,1)</f>
        <v>Sector07.clock_squire_1.skill01</v>
      </c>
      <c r="P1120" s="137" t="s">
        <v>2053</v>
      </c>
      <c r="Q1120" s="137"/>
      <c r="R1120" s="68"/>
      <c r="S1120" s="68"/>
      <c r="T1120" s="68"/>
      <c r="U1120" s="68"/>
      <c r="V1120" s="41" t="b">
        <v>0</v>
      </c>
      <c r="W1120" s="41" t="str">
        <f>"Character/Prefabs/"&amp;VLOOKUP($C1120,'#Data'!$B$3:$I$344,8,FALSE)</f>
        <v>Character/Prefabs/m_m_ranger_clock_squire_1</v>
      </c>
      <c r="X1120" s="41"/>
      <c r="Y1120" s="41" t="str">
        <f>VLOOKUP($C1120,'#Data'!$B$3:$I$344,8,FALSE)</f>
        <v>m_m_ranger_clock_squire_1</v>
      </c>
      <c r="Z1120" s="41"/>
      <c r="AA1120" s="41"/>
      <c r="AB1120" s="41"/>
      <c r="AC1120" s="90">
        <v>0.9</v>
      </c>
      <c r="AD1120" s="41"/>
      <c r="AE1120" s="41"/>
      <c r="AF1120" s="41"/>
      <c r="AG1120" s="41" t="s">
        <v>2758</v>
      </c>
      <c r="AH1120" s="85"/>
    </row>
    <row r="1121" spans="1:34" x14ac:dyDescent="0.3">
      <c r="A1121" s="41">
        <f t="shared" si="34"/>
        <v>1610207105</v>
      </c>
      <c r="B1121" s="41" t="s">
        <v>190</v>
      </c>
      <c r="C1121" s="41" t="s">
        <v>195</v>
      </c>
      <c r="D1121" s="41" t="str">
        <f>"Monster.Name."&amp;VLOOKUP($C1121,'#Data'!$B$2:$J$344,2,FALSE)</f>
        <v>Monster.Name.clock_crossbow_1</v>
      </c>
      <c r="E1121" s="41" t="s">
        <v>47</v>
      </c>
      <c r="F1121" s="42" t="s">
        <v>44</v>
      </c>
      <c r="G1121" s="41" t="s">
        <v>45</v>
      </c>
      <c r="H1121" s="41" t="b">
        <f>IF(OR(VLOOKUP($C1121,'#Data'!$B$2:$J$344,4,FALSE)="보스",VLOOKUP($C1121,'#Data'!$B$2:$J$344,4,FALSE)="중간"),TRUE,FALSE)</f>
        <v>0</v>
      </c>
      <c r="I1121" s="41" t="b">
        <v>0</v>
      </c>
      <c r="J1121" s="41">
        <v>10</v>
      </c>
      <c r="K1121" s="41">
        <f t="shared" si="35"/>
        <v>10</v>
      </c>
      <c r="L1121" s="67" t="str">
        <f>$B1121&amp;"."&amp;VLOOKUP($C1121,'#Data'!$B$2:$J$344,2,FALSE)&amp;".attack0"&amp;RIGHT(L$1,1)</f>
        <v>Sector07.clock_crossbow_1.attack01</v>
      </c>
      <c r="M1121" s="67"/>
      <c r="N1121" s="67"/>
      <c r="O1121" s="137" t="str">
        <f>$B1121&amp;"."&amp;VLOOKUP($C1121,'#Data'!$B$2:$J$344,2,FALSE)&amp;".skill0"&amp;RIGHT(O$1,1)</f>
        <v>Sector07.clock_crossbow_1.skill01</v>
      </c>
      <c r="P1121" s="137" t="s">
        <v>2054</v>
      </c>
      <c r="Q1121" s="137"/>
      <c r="R1121" s="68"/>
      <c r="S1121" s="68"/>
      <c r="T1121" s="68"/>
      <c r="U1121" s="68"/>
      <c r="V1121" s="41" t="b">
        <v>0</v>
      </c>
      <c r="W1121" s="41" t="str">
        <f>"Character/Prefabs/"&amp;VLOOKUP($C1121,'#Data'!$B$3:$I$344,8,FALSE)</f>
        <v>Character/Prefabs/m_m_ranger_clock_crossbow_1</v>
      </c>
      <c r="X1121" s="41"/>
      <c r="Y1121" s="41" t="str">
        <f>VLOOKUP($C1121,'#Data'!$B$3:$I$344,8,FALSE)</f>
        <v>m_m_ranger_clock_crossbow_1</v>
      </c>
      <c r="Z1121" s="41"/>
      <c r="AA1121" s="41"/>
      <c r="AB1121" s="41"/>
      <c r="AC1121" s="90">
        <v>0.9</v>
      </c>
      <c r="AD1121" s="41"/>
      <c r="AE1121" s="41"/>
      <c r="AF1121" s="41"/>
      <c r="AG1121" s="41" t="s">
        <v>2758</v>
      </c>
      <c r="AH1121" s="85"/>
    </row>
    <row r="1122" spans="1:34" x14ac:dyDescent="0.3">
      <c r="A1122" s="41">
        <f t="shared" si="34"/>
        <v>1610207106</v>
      </c>
      <c r="B1122" s="41" t="s">
        <v>190</v>
      </c>
      <c r="C1122" s="41" t="s">
        <v>196</v>
      </c>
      <c r="D1122" s="41" t="str">
        <f>"Monster.Name."&amp;VLOOKUP($C1122,'#Data'!$B$2:$J$344,2,FALSE)</f>
        <v>Monster.Name.clock_shield_1</v>
      </c>
      <c r="E1122" s="41" t="s">
        <v>43</v>
      </c>
      <c r="F1122" s="42" t="s">
        <v>44</v>
      </c>
      <c r="G1122" s="41" t="s">
        <v>45</v>
      </c>
      <c r="H1122" s="41" t="b">
        <f>IF(OR(VLOOKUP($C1122,'#Data'!$B$2:$J$344,4,FALSE)="보스",VLOOKUP($C1122,'#Data'!$B$2:$J$344,4,FALSE)="중간"),TRUE,FALSE)</f>
        <v>0</v>
      </c>
      <c r="I1122" s="41" t="b">
        <v>0</v>
      </c>
      <c r="J1122" s="41">
        <v>10</v>
      </c>
      <c r="K1122" s="41">
        <f t="shared" si="35"/>
        <v>10</v>
      </c>
      <c r="L1122" s="67" t="str">
        <f>$B1122&amp;"."&amp;VLOOKUP($C1122,'#Data'!$B$2:$J$344,2,FALSE)&amp;".attack0"&amp;RIGHT(L$1,1)</f>
        <v>Sector07.clock_shield_1.attack01</v>
      </c>
      <c r="M1122" s="67"/>
      <c r="N1122" s="67"/>
      <c r="O1122" s="137" t="str">
        <f>$B1122&amp;"."&amp;VLOOKUP($C1122,'#Data'!$B$2:$J$344,2,FALSE)&amp;".skill0"&amp;RIGHT(O$1,1)</f>
        <v>Sector07.clock_shield_1.skill01</v>
      </c>
      <c r="P1122" s="137" t="s">
        <v>2055</v>
      </c>
      <c r="Q1122" s="137"/>
      <c r="R1122" s="68"/>
      <c r="S1122" s="68"/>
      <c r="T1122" s="68"/>
      <c r="U1122" s="68"/>
      <c r="V1122" s="41" t="b">
        <v>0</v>
      </c>
      <c r="W1122" s="41" t="str">
        <f>"Character/Prefabs/"&amp;VLOOKUP($C1122,'#Data'!$B$3:$I$344,8,FALSE)</f>
        <v>Character/Prefabs/m_m_attacker_clock_shield_1</v>
      </c>
      <c r="X1122" s="41"/>
      <c r="Y1122" s="41" t="str">
        <f>VLOOKUP($C1122,'#Data'!$B$3:$I$344,8,FALSE)</f>
        <v>m_m_attacker_clock_shield_1</v>
      </c>
      <c r="Z1122" s="41"/>
      <c r="AA1122" s="41"/>
      <c r="AB1122" s="41"/>
      <c r="AC1122" s="90">
        <v>0.9</v>
      </c>
      <c r="AD1122" s="41"/>
      <c r="AE1122" s="41"/>
      <c r="AF1122" s="41"/>
      <c r="AG1122" s="41" t="s">
        <v>2758</v>
      </c>
      <c r="AH1122" s="85"/>
    </row>
    <row r="1123" spans="1:34" x14ac:dyDescent="0.3">
      <c r="A1123" s="41">
        <f t="shared" si="34"/>
        <v>1610207107</v>
      </c>
      <c r="B1123" s="41" t="s">
        <v>190</v>
      </c>
      <c r="C1123" s="41" t="s">
        <v>197</v>
      </c>
      <c r="D1123" s="41" t="str">
        <f>"Monster.Name."&amp;VLOOKUP($C1123,'#Data'!$B$2:$J$344,2,FALSE)</f>
        <v>Monster.Name.clock_clown_1</v>
      </c>
      <c r="E1123" s="41" t="s">
        <v>47</v>
      </c>
      <c r="F1123" s="42" t="s">
        <v>44</v>
      </c>
      <c r="G1123" s="41" t="s">
        <v>45</v>
      </c>
      <c r="H1123" s="41" t="b">
        <f>IF(OR(VLOOKUP($C1123,'#Data'!$B$2:$J$344,4,FALSE)="보스",VLOOKUP($C1123,'#Data'!$B$2:$J$344,4,FALSE)="중간"),TRUE,FALSE)</f>
        <v>0</v>
      </c>
      <c r="I1123" s="41" t="b">
        <v>0</v>
      </c>
      <c r="J1123" s="41">
        <v>10</v>
      </c>
      <c r="K1123" s="41">
        <f t="shared" si="35"/>
        <v>10</v>
      </c>
      <c r="L1123" s="67" t="str">
        <f>$B1123&amp;"."&amp;VLOOKUP($C1123,'#Data'!$B$2:$J$344,2,FALSE)&amp;".attack0"&amp;RIGHT(L$1,1)</f>
        <v>Sector07.clock_clown_1.attack01</v>
      </c>
      <c r="M1123" s="67"/>
      <c r="N1123" s="67"/>
      <c r="O1123" s="137" t="str">
        <f>$B1123&amp;"."&amp;VLOOKUP($C1123,'#Data'!$B$2:$J$344,2,FALSE)&amp;".skill0"&amp;RIGHT(O$1,1)</f>
        <v>Sector07.clock_clown_1.skill01</v>
      </c>
      <c r="P1123" s="137" t="s">
        <v>2056</v>
      </c>
      <c r="Q1123" s="137"/>
      <c r="R1123" s="68"/>
      <c r="S1123" s="68"/>
      <c r="T1123" s="68"/>
      <c r="U1123" s="68"/>
      <c r="V1123" s="41" t="b">
        <v>0</v>
      </c>
      <c r="W1123" s="41" t="str">
        <f>"Character/Prefabs/"&amp;VLOOKUP($C1123,'#Data'!$B$3:$I$344,8,FALSE)</f>
        <v>Character/Prefabs/m_m_ranger_clock_clown_1</v>
      </c>
      <c r="X1123" s="41"/>
      <c r="Y1123" s="41" t="str">
        <f>VLOOKUP($C1123,'#Data'!$B$3:$I$344,8,FALSE)</f>
        <v>m_m_ranger_clock_clown_1</v>
      </c>
      <c r="Z1123" s="41"/>
      <c r="AA1123" s="41"/>
      <c r="AB1123" s="41"/>
      <c r="AC1123" s="90">
        <v>0.9</v>
      </c>
      <c r="AD1123" s="41"/>
      <c r="AE1123" s="41"/>
      <c r="AF1123" s="41"/>
      <c r="AG1123" s="41" t="s">
        <v>2758</v>
      </c>
      <c r="AH1123" s="85"/>
    </row>
    <row r="1124" spans="1:34" x14ac:dyDescent="0.3">
      <c r="A1124" s="41">
        <f t="shared" si="34"/>
        <v>1610207108</v>
      </c>
      <c r="B1124" s="41" t="s">
        <v>190</v>
      </c>
      <c r="C1124" s="41" t="s">
        <v>198</v>
      </c>
      <c r="D1124" s="41" t="str">
        <f>"Monster.Name."&amp;VLOOKUP($C1124,'#Data'!$B$2:$J$344,2,FALSE)</f>
        <v>Monster.Name.clock_draftee_1</v>
      </c>
      <c r="E1124" s="41" t="s">
        <v>43</v>
      </c>
      <c r="F1124" s="42" t="s">
        <v>44</v>
      </c>
      <c r="G1124" s="41" t="s">
        <v>45</v>
      </c>
      <c r="H1124" s="41" t="b">
        <f>IF(OR(VLOOKUP($C1124,'#Data'!$B$2:$J$344,4,FALSE)="보스",VLOOKUP($C1124,'#Data'!$B$2:$J$344,4,FALSE)="중간"),TRUE,FALSE)</f>
        <v>0</v>
      </c>
      <c r="I1124" s="41" t="b">
        <v>0</v>
      </c>
      <c r="J1124" s="41">
        <v>10</v>
      </c>
      <c r="K1124" s="41">
        <f t="shared" si="35"/>
        <v>10</v>
      </c>
      <c r="L1124" s="67"/>
      <c r="M1124" s="67"/>
      <c r="N1124" s="67"/>
      <c r="O1124" s="137" t="str">
        <f>$B1124&amp;"."&amp;VLOOKUP($C1124,'#Data'!$B$2:$J$344,2,FALSE)&amp;".skill0"&amp;RIGHT(O$1,1)</f>
        <v>Sector07.clock_draftee_1.skill01</v>
      </c>
      <c r="P1124" s="137"/>
      <c r="Q1124" s="137"/>
      <c r="R1124" s="68"/>
      <c r="S1124" s="68" t="s">
        <v>199</v>
      </c>
      <c r="T1124" s="68"/>
      <c r="U1124" s="68"/>
      <c r="V1124" s="41" t="b">
        <v>0</v>
      </c>
      <c r="W1124" s="41" t="str">
        <f>"Character/Prefabs/"&amp;VLOOKUP($C1124,'#Data'!$B$3:$I$344,8,FALSE)</f>
        <v>Character/Prefabs/m_m_attacker_clock_draftee_1</v>
      </c>
      <c r="X1124" s="41"/>
      <c r="Y1124" s="41" t="str">
        <f>VLOOKUP($C1124,'#Data'!$B$3:$I$344,8,FALSE)</f>
        <v>m_m_attacker_clock_draftee_1</v>
      </c>
      <c r="Z1124" s="41"/>
      <c r="AA1124" s="41"/>
      <c r="AB1124" s="41"/>
      <c r="AC1124" s="90">
        <v>0.9</v>
      </c>
      <c r="AD1124" s="41"/>
      <c r="AE1124" s="41"/>
      <c r="AF1124" s="41"/>
      <c r="AG1124" s="41" t="s">
        <v>2758</v>
      </c>
      <c r="AH1124" s="85"/>
    </row>
    <row r="1125" spans="1:34" x14ac:dyDescent="0.3">
      <c r="A1125" s="41">
        <f t="shared" si="34"/>
        <v>1610207109</v>
      </c>
      <c r="B1125" s="41" t="s">
        <v>190</v>
      </c>
      <c r="C1125" s="41" t="s">
        <v>200</v>
      </c>
      <c r="D1125" s="41" t="str">
        <f>"Monster.Name."&amp;VLOOKUP($C1125,'#Data'!$B$2:$J$344,2,FALSE)</f>
        <v>Monster.Name.clock_honor_knight_1</v>
      </c>
      <c r="E1125" s="41" t="s">
        <v>43</v>
      </c>
      <c r="F1125" s="42" t="s">
        <v>44</v>
      </c>
      <c r="G1125" s="41" t="s">
        <v>45</v>
      </c>
      <c r="H1125" s="41" t="b">
        <f>IF(OR(VLOOKUP($C1125,'#Data'!$B$2:$J$344,4,FALSE)="보스",VLOOKUP($C1125,'#Data'!$B$2:$J$344,4,FALSE)="중간"),TRUE,FALSE)</f>
        <v>0</v>
      </c>
      <c r="I1125" s="41" t="b">
        <v>0</v>
      </c>
      <c r="J1125" s="41">
        <v>10</v>
      </c>
      <c r="K1125" s="41">
        <f t="shared" si="35"/>
        <v>10</v>
      </c>
      <c r="L1125" s="67" t="str">
        <f>$B1125&amp;"."&amp;VLOOKUP($C1125,'#Data'!$B$2:$J$344,2,FALSE)&amp;".attack0"&amp;RIGHT(L$1,1)</f>
        <v>Sector07.clock_honor_knight_1.attack01</v>
      </c>
      <c r="M1125" s="67" t="str">
        <f>$B1125&amp;"."&amp;VLOOKUP($C1125,'#Data'!$B$2:$J$344,2,FALSE)&amp;".attack0"&amp;RIGHT(M$1,1)</f>
        <v>Sector07.clock_honor_knight_1.attack02</v>
      </c>
      <c r="N1125" s="67"/>
      <c r="O1125" s="137" t="str">
        <f>$B1125&amp;"."&amp;VLOOKUP($C1125,'#Data'!$B$2:$J$344,2,FALSE)&amp;".skill0"&amp;RIGHT(O$1,1)</f>
        <v>Sector07.clock_honor_knight_1.skill01</v>
      </c>
      <c r="P1125" s="137"/>
      <c r="Q1125" s="137"/>
      <c r="R1125" s="68"/>
      <c r="S1125" s="68" t="s">
        <v>1970</v>
      </c>
      <c r="T1125" s="68"/>
      <c r="U1125" s="68"/>
      <c r="V1125" s="41" t="b">
        <v>0</v>
      </c>
      <c r="W1125" s="41" t="str">
        <f>"Character/Prefabs/"&amp;VLOOKUP($C1125,'#Data'!$B$3:$I$344,8,FALSE)</f>
        <v>Character/Prefabs/m_l_attacker_clock_honor_knight_1</v>
      </c>
      <c r="X1125" s="41"/>
      <c r="Y1125" s="41" t="str">
        <f>VLOOKUP($C1125,'#Data'!$B$3:$I$344,8,FALSE)</f>
        <v>m_l_attacker_clock_honor_knight_1</v>
      </c>
      <c r="Z1125" s="41"/>
      <c r="AA1125" s="41"/>
      <c r="AB1125" s="41"/>
      <c r="AC1125" s="90">
        <v>0.9</v>
      </c>
      <c r="AD1125" s="41"/>
      <c r="AE1125" s="41"/>
      <c r="AF1125" s="41"/>
      <c r="AG1125" s="41" t="s">
        <v>2758</v>
      </c>
      <c r="AH1125" s="85"/>
    </row>
    <row r="1126" spans="1:34" x14ac:dyDescent="0.3">
      <c r="A1126" s="19">
        <f t="shared" si="34"/>
        <v>1610207110</v>
      </c>
      <c r="B1126" s="19" t="s">
        <v>190</v>
      </c>
      <c r="C1126" s="19" t="s">
        <v>1418</v>
      </c>
      <c r="D1126" s="19" t="str">
        <f>"Monster.Name."&amp;VLOOKUP($C1126,'#Data'!$B$2:$J$344,2,FALSE)</f>
        <v>Monster.Name.clock_clawdog_2</v>
      </c>
      <c r="E1126" s="19" t="s">
        <v>43</v>
      </c>
      <c r="F1126" s="48" t="s">
        <v>44</v>
      </c>
      <c r="G1126" s="19" t="s">
        <v>45</v>
      </c>
      <c r="H1126" s="41" t="b">
        <f>IF(OR(VLOOKUP($C1126,'#Data'!$B$2:$J$344,4,FALSE)="보스",VLOOKUP($C1126,'#Data'!$B$2:$J$344,4,FALSE)="중간"),TRUE,FALSE)</f>
        <v>0</v>
      </c>
      <c r="I1126" s="41" t="b">
        <v>0</v>
      </c>
      <c r="J1126" s="19">
        <v>10</v>
      </c>
      <c r="K1126" s="19">
        <f t="shared" si="35"/>
        <v>10</v>
      </c>
      <c r="L1126" s="69" t="s">
        <v>1434</v>
      </c>
      <c r="M1126" s="69"/>
      <c r="N1126" s="69"/>
      <c r="O1126" s="138" t="s">
        <v>2050</v>
      </c>
      <c r="P1126" s="138"/>
      <c r="Q1126" s="138"/>
      <c r="R1126" s="70"/>
      <c r="S1126" s="70"/>
      <c r="T1126" s="70"/>
      <c r="U1126" s="70"/>
      <c r="V1126" s="19" t="b">
        <v>0</v>
      </c>
      <c r="W1126" s="19" t="str">
        <f>"Character/Prefabs/"&amp;VLOOKUP($C1126,'#Data'!$B$3:$I$344,8,FALSE)</f>
        <v>Character/Prefabs/m_s_attacker_clock_clawdog_2</v>
      </c>
      <c r="X1126" s="19"/>
      <c r="Y1126" s="19" t="str">
        <f>VLOOKUP($C1126,'#Data'!$B$3:$I$344,8,FALSE)</f>
        <v>m_s_attacker_clock_clawdog_2</v>
      </c>
      <c r="Z1126" s="19"/>
      <c r="AA1126" s="19"/>
      <c r="AB1126" s="19"/>
      <c r="AC1126" s="91">
        <v>0.9</v>
      </c>
      <c r="AD1126" s="19"/>
      <c r="AE1126" s="19"/>
      <c r="AF1126" s="19"/>
      <c r="AG1126" s="19" t="s">
        <v>2758</v>
      </c>
      <c r="AH1126" s="85"/>
    </row>
    <row r="1127" spans="1:34" x14ac:dyDescent="0.3">
      <c r="A1127" s="19">
        <f t="shared" si="34"/>
        <v>1610207111</v>
      </c>
      <c r="B1127" s="19" t="s">
        <v>190</v>
      </c>
      <c r="C1127" s="19" t="s">
        <v>1419</v>
      </c>
      <c r="D1127" s="19" t="str">
        <f>"Monster.Name."&amp;VLOOKUP($C1127,'#Data'!$B$2:$J$344,2,FALSE)</f>
        <v>Monster.Name.clock_flamedog_2</v>
      </c>
      <c r="E1127" s="19" t="s">
        <v>47</v>
      </c>
      <c r="F1127" s="48" t="s">
        <v>44</v>
      </c>
      <c r="G1127" s="19" t="s">
        <v>45</v>
      </c>
      <c r="H1127" s="41" t="b">
        <f>IF(OR(VLOOKUP($C1127,'#Data'!$B$2:$J$344,4,FALSE)="보스",VLOOKUP($C1127,'#Data'!$B$2:$J$344,4,FALSE)="중간"),TRUE,FALSE)</f>
        <v>0</v>
      </c>
      <c r="I1127" s="41" t="b">
        <v>0</v>
      </c>
      <c r="J1127" s="19">
        <v>10</v>
      </c>
      <c r="K1127" s="19">
        <f t="shared" si="35"/>
        <v>10</v>
      </c>
      <c r="L1127" s="69" t="s">
        <v>1435</v>
      </c>
      <c r="M1127" s="69"/>
      <c r="N1127" s="69"/>
      <c r="O1127" s="138" t="s">
        <v>2051</v>
      </c>
      <c r="P1127" s="138"/>
      <c r="Q1127" s="138"/>
      <c r="R1127" s="70"/>
      <c r="S1127" s="70"/>
      <c r="T1127" s="70"/>
      <c r="U1127" s="70"/>
      <c r="V1127" s="19" t="b">
        <v>0</v>
      </c>
      <c r="W1127" s="19" t="str">
        <f>"Character/Prefabs/"&amp;VLOOKUP($C1127,'#Data'!$B$3:$I$344,8,FALSE)</f>
        <v>Character/Prefabs/m_s_ranger_clock_flamedog_2</v>
      </c>
      <c r="X1127" s="19"/>
      <c r="Y1127" s="19" t="str">
        <f>VLOOKUP($C1127,'#Data'!$B$3:$I$344,8,FALSE)</f>
        <v>m_s_ranger_clock_flamedog_2</v>
      </c>
      <c r="Z1127" s="19"/>
      <c r="AA1127" s="19"/>
      <c r="AB1127" s="19"/>
      <c r="AC1127" s="91">
        <v>0.9</v>
      </c>
      <c r="AD1127" s="19"/>
      <c r="AE1127" s="19"/>
      <c r="AF1127" s="19"/>
      <c r="AG1127" s="19" t="s">
        <v>2758</v>
      </c>
      <c r="AH1127" s="85"/>
    </row>
    <row r="1128" spans="1:34" x14ac:dyDescent="0.3">
      <c r="A1128" s="19">
        <f t="shared" si="34"/>
        <v>1610207112</v>
      </c>
      <c r="B1128" s="19" t="s">
        <v>190</v>
      </c>
      <c r="C1128" s="19" t="s">
        <v>1420</v>
      </c>
      <c r="D1128" s="19" t="str">
        <f>"Monster.Name."&amp;VLOOKUP($C1128,'#Data'!$B$2:$J$344,2,FALSE)</f>
        <v>Monster.Name.clock_spear_2</v>
      </c>
      <c r="E1128" s="19" t="s">
        <v>43</v>
      </c>
      <c r="F1128" s="48" t="s">
        <v>44</v>
      </c>
      <c r="G1128" s="19" t="s">
        <v>45</v>
      </c>
      <c r="H1128" s="41" t="b">
        <f>IF(OR(VLOOKUP($C1128,'#Data'!$B$2:$J$344,4,FALSE)="보스",VLOOKUP($C1128,'#Data'!$B$2:$J$344,4,FALSE)="중간"),TRUE,FALSE)</f>
        <v>0</v>
      </c>
      <c r="I1128" s="41" t="b">
        <v>0</v>
      </c>
      <c r="J1128" s="19">
        <v>10</v>
      </c>
      <c r="K1128" s="19">
        <f t="shared" si="35"/>
        <v>10</v>
      </c>
      <c r="L1128" s="69" t="s">
        <v>1436</v>
      </c>
      <c r="M1128" s="69"/>
      <c r="N1128" s="69"/>
      <c r="O1128" s="138" t="s">
        <v>1441</v>
      </c>
      <c r="P1128" s="138" t="s">
        <v>2052</v>
      </c>
      <c r="Q1128" s="138"/>
      <c r="R1128" s="70"/>
      <c r="S1128" s="70"/>
      <c r="T1128" s="70"/>
      <c r="U1128" s="70"/>
      <c r="V1128" s="19" t="b">
        <v>0</v>
      </c>
      <c r="W1128" s="19" t="str">
        <f>"Character/Prefabs/"&amp;VLOOKUP($C1128,'#Data'!$B$3:$I$344,8,FALSE)</f>
        <v>Character/Prefabs/m_m_attacker_clock_spear_2</v>
      </c>
      <c r="X1128" s="19"/>
      <c r="Y1128" s="19" t="str">
        <f>VLOOKUP($C1128,'#Data'!$B$3:$I$344,8,FALSE)</f>
        <v>m_m_attacker_clock_spear_2</v>
      </c>
      <c r="Z1128" s="19"/>
      <c r="AA1128" s="19"/>
      <c r="AB1128" s="19"/>
      <c r="AC1128" s="91">
        <v>0.9</v>
      </c>
      <c r="AD1128" s="19"/>
      <c r="AE1128" s="19"/>
      <c r="AF1128" s="19"/>
      <c r="AG1128" s="19" t="s">
        <v>2758</v>
      </c>
      <c r="AH1128" s="85"/>
    </row>
    <row r="1129" spans="1:34" x14ac:dyDescent="0.3">
      <c r="A1129" s="19">
        <f t="shared" si="34"/>
        <v>1610207113</v>
      </c>
      <c r="B1129" s="19" t="s">
        <v>190</v>
      </c>
      <c r="C1129" s="19" t="s">
        <v>1421</v>
      </c>
      <c r="D1129" s="19" t="str">
        <f>"Monster.Name."&amp;VLOOKUP($C1129,'#Data'!$B$2:$J$344,2,FALSE)</f>
        <v>Monster.Name.clock_squire_2</v>
      </c>
      <c r="E1129" s="19" t="s">
        <v>47</v>
      </c>
      <c r="F1129" s="48" t="s">
        <v>44</v>
      </c>
      <c r="G1129" s="19" t="s">
        <v>45</v>
      </c>
      <c r="H1129" s="41" t="b">
        <f>IF(OR(VLOOKUP($C1129,'#Data'!$B$2:$J$344,4,FALSE)="보스",VLOOKUP($C1129,'#Data'!$B$2:$J$344,4,FALSE)="중간"),TRUE,FALSE)</f>
        <v>0</v>
      </c>
      <c r="I1129" s="41" t="b">
        <v>0</v>
      </c>
      <c r="J1129" s="19">
        <v>10</v>
      </c>
      <c r="K1129" s="19">
        <f t="shared" si="35"/>
        <v>10</v>
      </c>
      <c r="L1129" s="69" t="s">
        <v>1437</v>
      </c>
      <c r="M1129" s="69"/>
      <c r="N1129" s="69"/>
      <c r="O1129" s="138" t="s">
        <v>1442</v>
      </c>
      <c r="P1129" s="138" t="s">
        <v>2053</v>
      </c>
      <c r="Q1129" s="138"/>
      <c r="R1129" s="70"/>
      <c r="S1129" s="70"/>
      <c r="T1129" s="70"/>
      <c r="U1129" s="70"/>
      <c r="V1129" s="19" t="b">
        <v>0</v>
      </c>
      <c r="W1129" s="19" t="str">
        <f>"Character/Prefabs/"&amp;VLOOKUP($C1129,'#Data'!$B$3:$I$344,8,FALSE)</f>
        <v>Character/Prefabs/m_m_ranger_clock_squire_2</v>
      </c>
      <c r="X1129" s="19"/>
      <c r="Y1129" s="19" t="str">
        <f>VLOOKUP($C1129,'#Data'!$B$3:$I$344,8,FALSE)</f>
        <v>m_m_ranger_clock_squire_2</v>
      </c>
      <c r="Z1129" s="19"/>
      <c r="AA1129" s="19"/>
      <c r="AB1129" s="19"/>
      <c r="AC1129" s="91">
        <v>0.9</v>
      </c>
      <c r="AD1129" s="19"/>
      <c r="AE1129" s="19"/>
      <c r="AF1129" s="19"/>
      <c r="AG1129" s="19" t="s">
        <v>2758</v>
      </c>
      <c r="AH1129" s="85"/>
    </row>
    <row r="1130" spans="1:34" x14ac:dyDescent="0.3">
      <c r="A1130" s="19">
        <f t="shared" si="34"/>
        <v>1610207114</v>
      </c>
      <c r="B1130" s="19" t="s">
        <v>190</v>
      </c>
      <c r="C1130" s="19" t="s">
        <v>1422</v>
      </c>
      <c r="D1130" s="19" t="str">
        <f>"Monster.Name."&amp;VLOOKUP($C1130,'#Data'!$B$2:$J$344,2,FALSE)</f>
        <v>Monster.Name.clock_crossbow_2</v>
      </c>
      <c r="E1130" s="19" t="s">
        <v>47</v>
      </c>
      <c r="F1130" s="48" t="s">
        <v>44</v>
      </c>
      <c r="G1130" s="19" t="s">
        <v>45</v>
      </c>
      <c r="H1130" s="41" t="b">
        <f>IF(OR(VLOOKUP($C1130,'#Data'!$B$2:$J$344,4,FALSE)="보스",VLOOKUP($C1130,'#Data'!$B$2:$J$344,4,FALSE)="중간"),TRUE,FALSE)</f>
        <v>0</v>
      </c>
      <c r="I1130" s="41" t="b">
        <v>0</v>
      </c>
      <c r="J1130" s="19">
        <v>10</v>
      </c>
      <c r="K1130" s="19">
        <f t="shared" si="35"/>
        <v>10</v>
      </c>
      <c r="L1130" s="69" t="s">
        <v>1438</v>
      </c>
      <c r="M1130" s="69"/>
      <c r="N1130" s="69"/>
      <c r="O1130" s="138" t="s">
        <v>1443</v>
      </c>
      <c r="P1130" s="138" t="s">
        <v>2054</v>
      </c>
      <c r="Q1130" s="138"/>
      <c r="R1130" s="70"/>
      <c r="S1130" s="70"/>
      <c r="T1130" s="70"/>
      <c r="U1130" s="70"/>
      <c r="V1130" s="19" t="b">
        <v>0</v>
      </c>
      <c r="W1130" s="19" t="str">
        <f>"Character/Prefabs/"&amp;VLOOKUP($C1130,'#Data'!$B$3:$I$344,8,FALSE)</f>
        <v>Character/Prefabs/m_m_ranger_clock_crossbow_2</v>
      </c>
      <c r="X1130" s="19"/>
      <c r="Y1130" s="19" t="str">
        <f>VLOOKUP($C1130,'#Data'!$B$3:$I$344,8,FALSE)</f>
        <v>m_m_ranger_clock_crossbow_2</v>
      </c>
      <c r="Z1130" s="19"/>
      <c r="AA1130" s="19"/>
      <c r="AB1130" s="19"/>
      <c r="AC1130" s="91">
        <v>0.9</v>
      </c>
      <c r="AD1130" s="19"/>
      <c r="AE1130" s="19"/>
      <c r="AF1130" s="19"/>
      <c r="AG1130" s="19" t="s">
        <v>2758</v>
      </c>
      <c r="AH1130" s="85"/>
    </row>
    <row r="1131" spans="1:34" x14ac:dyDescent="0.3">
      <c r="A1131" s="19">
        <f t="shared" si="34"/>
        <v>1610207115</v>
      </c>
      <c r="B1131" s="19" t="s">
        <v>190</v>
      </c>
      <c r="C1131" s="19" t="s">
        <v>1423</v>
      </c>
      <c r="D1131" s="19" t="str">
        <f>"Monster.Name."&amp;VLOOKUP($C1131,'#Data'!$B$2:$J$344,2,FALSE)</f>
        <v>Monster.Name.clock_shield_2</v>
      </c>
      <c r="E1131" s="19" t="s">
        <v>43</v>
      </c>
      <c r="F1131" s="48" t="s">
        <v>44</v>
      </c>
      <c r="G1131" s="19" t="s">
        <v>45</v>
      </c>
      <c r="H1131" s="41" t="b">
        <f>IF(OR(VLOOKUP($C1131,'#Data'!$B$2:$J$344,4,FALSE)="보스",VLOOKUP($C1131,'#Data'!$B$2:$J$344,4,FALSE)="중간"),TRUE,FALSE)</f>
        <v>0</v>
      </c>
      <c r="I1131" s="41" t="b">
        <v>0</v>
      </c>
      <c r="J1131" s="19">
        <v>10</v>
      </c>
      <c r="K1131" s="19">
        <f t="shared" si="35"/>
        <v>10</v>
      </c>
      <c r="L1131" s="69" t="s">
        <v>1439</v>
      </c>
      <c r="M1131" s="69"/>
      <c r="N1131" s="69"/>
      <c r="O1131" s="138" t="s">
        <v>1444</v>
      </c>
      <c r="P1131" s="138" t="s">
        <v>2055</v>
      </c>
      <c r="Q1131" s="138"/>
      <c r="R1131" s="70"/>
      <c r="S1131" s="70"/>
      <c r="T1131" s="70"/>
      <c r="U1131" s="70"/>
      <c r="V1131" s="19" t="b">
        <v>0</v>
      </c>
      <c r="W1131" s="19" t="str">
        <f>"Character/Prefabs/"&amp;VLOOKUP($C1131,'#Data'!$B$3:$I$344,8,FALSE)</f>
        <v>Character/Prefabs/m_m_attacker_clock_shield_2</v>
      </c>
      <c r="X1131" s="19"/>
      <c r="Y1131" s="19" t="str">
        <f>VLOOKUP($C1131,'#Data'!$B$3:$I$344,8,FALSE)</f>
        <v>m_m_attacker_clock_shield_2</v>
      </c>
      <c r="Z1131" s="19"/>
      <c r="AA1131" s="19"/>
      <c r="AB1131" s="19"/>
      <c r="AC1131" s="91">
        <v>0.9</v>
      </c>
      <c r="AD1131" s="19"/>
      <c r="AE1131" s="19"/>
      <c r="AF1131" s="19"/>
      <c r="AG1131" s="19" t="s">
        <v>2758</v>
      </c>
      <c r="AH1131" s="85"/>
    </row>
    <row r="1132" spans="1:34" x14ac:dyDescent="0.3">
      <c r="A1132" s="19">
        <f t="shared" si="34"/>
        <v>1610207116</v>
      </c>
      <c r="B1132" s="19" t="s">
        <v>190</v>
      </c>
      <c r="C1132" s="19" t="s">
        <v>1424</v>
      </c>
      <c r="D1132" s="19" t="str">
        <f>"Monster.Name."&amp;VLOOKUP($C1132,'#Data'!$B$2:$J$344,2,FALSE)</f>
        <v>Monster.Name.clock_clown_2</v>
      </c>
      <c r="E1132" s="19" t="s">
        <v>47</v>
      </c>
      <c r="F1132" s="48" t="s">
        <v>44</v>
      </c>
      <c r="G1132" s="19" t="s">
        <v>45</v>
      </c>
      <c r="H1132" s="41" t="b">
        <f>IF(OR(VLOOKUP($C1132,'#Data'!$B$2:$J$344,4,FALSE)="보스",VLOOKUP($C1132,'#Data'!$B$2:$J$344,4,FALSE)="중간"),TRUE,FALSE)</f>
        <v>0</v>
      </c>
      <c r="I1132" s="41" t="b">
        <v>0</v>
      </c>
      <c r="J1132" s="19">
        <v>10</v>
      </c>
      <c r="K1132" s="19">
        <f t="shared" si="35"/>
        <v>10</v>
      </c>
      <c r="L1132" s="69" t="s">
        <v>1440</v>
      </c>
      <c r="M1132" s="69"/>
      <c r="N1132" s="69"/>
      <c r="O1132" s="138" t="s">
        <v>1445</v>
      </c>
      <c r="P1132" s="138" t="s">
        <v>2056</v>
      </c>
      <c r="Q1132" s="138"/>
      <c r="R1132" s="70"/>
      <c r="S1132" s="70"/>
      <c r="T1132" s="70"/>
      <c r="U1132" s="70"/>
      <c r="V1132" s="19" t="b">
        <v>0</v>
      </c>
      <c r="W1132" s="19" t="str">
        <f>"Character/Prefabs/"&amp;VLOOKUP($C1132,'#Data'!$B$3:$I$344,8,FALSE)</f>
        <v>Character/Prefabs/m_m_ranger_clock_clown_2</v>
      </c>
      <c r="X1132" s="19"/>
      <c r="Y1132" s="19" t="str">
        <f>VLOOKUP($C1132,'#Data'!$B$3:$I$344,8,FALSE)</f>
        <v>m_m_ranger_clock_clown_2</v>
      </c>
      <c r="Z1132" s="19"/>
      <c r="AA1132" s="19"/>
      <c r="AB1132" s="19"/>
      <c r="AC1132" s="91">
        <v>0.9</v>
      </c>
      <c r="AD1132" s="19"/>
      <c r="AE1132" s="19"/>
      <c r="AF1132" s="19"/>
      <c r="AG1132" s="19" t="s">
        <v>2758</v>
      </c>
      <c r="AH1132" s="85"/>
    </row>
    <row r="1133" spans="1:34" x14ac:dyDescent="0.3">
      <c r="A1133" s="19">
        <f t="shared" si="34"/>
        <v>1610207117</v>
      </c>
      <c r="B1133" s="19" t="s">
        <v>190</v>
      </c>
      <c r="C1133" s="19" t="s">
        <v>1425</v>
      </c>
      <c r="D1133" s="19" t="str">
        <f>"Monster.Name."&amp;VLOOKUP($C1133,'#Data'!$B$2:$J$344,2,FALSE)</f>
        <v>Monster.Name.clock_draftee_2</v>
      </c>
      <c r="E1133" s="19" t="s">
        <v>43</v>
      </c>
      <c r="F1133" s="48" t="s">
        <v>44</v>
      </c>
      <c r="G1133" s="19" t="s">
        <v>45</v>
      </c>
      <c r="H1133" s="41" t="b">
        <f>IF(OR(VLOOKUP($C1133,'#Data'!$B$2:$J$344,4,FALSE)="보스",VLOOKUP($C1133,'#Data'!$B$2:$J$344,4,FALSE)="중간"),TRUE,FALSE)</f>
        <v>0</v>
      </c>
      <c r="I1133" s="41" t="b">
        <v>0</v>
      </c>
      <c r="J1133" s="19">
        <v>10</v>
      </c>
      <c r="K1133" s="19">
        <f t="shared" si="35"/>
        <v>10</v>
      </c>
      <c r="L1133" s="69"/>
      <c r="M1133" s="69"/>
      <c r="N1133" s="69"/>
      <c r="O1133" s="138" t="s">
        <v>1446</v>
      </c>
      <c r="P1133" s="138"/>
      <c r="Q1133" s="138"/>
      <c r="R1133" s="70"/>
      <c r="S1133" s="70" t="s">
        <v>199</v>
      </c>
      <c r="T1133" s="70"/>
      <c r="U1133" s="70"/>
      <c r="V1133" s="19" t="b">
        <v>0</v>
      </c>
      <c r="W1133" s="19" t="str">
        <f>"Character/Prefabs/"&amp;VLOOKUP($C1133,'#Data'!$B$3:$I$344,8,FALSE)</f>
        <v>Character/Prefabs/m_m_attacker_clock_draftee_2</v>
      </c>
      <c r="X1133" s="19"/>
      <c r="Y1133" s="19" t="str">
        <f>VLOOKUP($C1133,'#Data'!$B$3:$I$344,8,FALSE)</f>
        <v>m_m_attacker_clock_draftee_2</v>
      </c>
      <c r="Z1133" s="19"/>
      <c r="AA1133" s="19"/>
      <c r="AB1133" s="19"/>
      <c r="AC1133" s="91">
        <v>0.9</v>
      </c>
      <c r="AD1133" s="19"/>
      <c r="AE1133" s="19"/>
      <c r="AF1133" s="19"/>
      <c r="AG1133" s="19" t="s">
        <v>2758</v>
      </c>
      <c r="AH1133" s="85"/>
    </row>
    <row r="1134" spans="1:34" x14ac:dyDescent="0.3">
      <c r="A1134" s="19">
        <f t="shared" si="34"/>
        <v>1610207118</v>
      </c>
      <c r="B1134" s="19" t="s">
        <v>190</v>
      </c>
      <c r="C1134" s="19" t="s">
        <v>2065</v>
      </c>
      <c r="D1134" s="19" t="str">
        <f>"Monster.Name."&amp;VLOOKUP($C1134,'#Data'!$B$2:$J$344,2,FALSE)</f>
        <v>Monster.Name.clock_honor_knight_2</v>
      </c>
      <c r="E1134" s="19" t="s">
        <v>43</v>
      </c>
      <c r="F1134" s="48" t="s">
        <v>44</v>
      </c>
      <c r="G1134" s="19" t="s">
        <v>45</v>
      </c>
      <c r="H1134" s="41" t="b">
        <f>IF(OR(VLOOKUP($C1134,'#Data'!$B$2:$J$344,4,FALSE)="보스",VLOOKUP($C1134,'#Data'!$B$2:$J$344,4,FALSE)="중간"),TRUE,FALSE)</f>
        <v>0</v>
      </c>
      <c r="I1134" s="41" t="b">
        <v>0</v>
      </c>
      <c r="J1134" s="19">
        <v>10</v>
      </c>
      <c r="K1134" s="19">
        <f t="shared" si="35"/>
        <v>10</v>
      </c>
      <c r="L1134" s="69" t="str">
        <f>$B1134&amp;"."&amp;VLOOKUP($C1134,'#Data'!$B$2:$J$344,2,FALSE)&amp;".attack0"&amp;RIGHT(L$1,1)</f>
        <v>Sector07.clock_honor_knight_2.attack01</v>
      </c>
      <c r="M1134" s="69" t="str">
        <f>$B1134&amp;"."&amp;VLOOKUP($C1134,'#Data'!$B$2:$J$344,2,FALSE)&amp;".attack0"&amp;RIGHT(M$1,1)</f>
        <v>Sector07.clock_honor_knight_2.attack02</v>
      </c>
      <c r="N1134" s="69"/>
      <c r="O1134" s="138" t="str">
        <f>$B1134&amp;"."&amp;VLOOKUP($C1134,'#Data'!$B$2:$J$344,2,FALSE)&amp;".skill0"&amp;RIGHT(O$1,1)</f>
        <v>Sector07.clock_honor_knight_2.skill01</v>
      </c>
      <c r="P1134" s="138"/>
      <c r="Q1134" s="138"/>
      <c r="R1134" s="70"/>
      <c r="S1134" s="70" t="s">
        <v>2069</v>
      </c>
      <c r="T1134" s="70"/>
      <c r="U1134" s="70"/>
      <c r="V1134" s="19" t="b">
        <v>0</v>
      </c>
      <c r="W1134" s="168" t="s">
        <v>2086</v>
      </c>
      <c r="X1134" s="167"/>
      <c r="Y1134" s="168" t="s">
        <v>2087</v>
      </c>
      <c r="Z1134" s="19"/>
      <c r="AA1134" s="19"/>
      <c r="AB1134" s="19"/>
      <c r="AC1134" s="91">
        <v>0.9</v>
      </c>
      <c r="AD1134" s="19"/>
      <c r="AE1134" s="19"/>
      <c r="AF1134" s="19"/>
      <c r="AG1134" s="19" t="s">
        <v>2758</v>
      </c>
      <c r="AH1134" s="85"/>
    </row>
    <row r="1135" spans="1:34" x14ac:dyDescent="0.3">
      <c r="A1135" s="41">
        <f t="shared" si="34"/>
        <v>1610207201</v>
      </c>
      <c r="B1135" s="41" t="s">
        <v>190</v>
      </c>
      <c r="C1135" s="41" t="s">
        <v>201</v>
      </c>
      <c r="D1135" s="41" t="str">
        <f>"Monster.Name."&amp;VLOOKUP($C1135,'#Data'!$B$2:$J$344,2,FALSE)</f>
        <v>Monster.Name.clock_noble_knight_1</v>
      </c>
      <c r="E1135" s="41" t="s">
        <v>43</v>
      </c>
      <c r="F1135" s="42" t="s">
        <v>44</v>
      </c>
      <c r="G1135" s="41" t="s">
        <v>45</v>
      </c>
      <c r="H1135" s="41" t="b">
        <f>IF(OR(VLOOKUP($C1135,'#Data'!$B$2:$J$344,4,FALSE)="보스",VLOOKUP($C1135,'#Data'!$B$2:$J$344,4,FALSE)="중간"),TRUE,FALSE)</f>
        <v>1</v>
      </c>
      <c r="I1135" s="41" t="b">
        <v>1</v>
      </c>
      <c r="J1135" s="41">
        <v>10</v>
      </c>
      <c r="K1135" s="41">
        <f t="shared" si="35"/>
        <v>10</v>
      </c>
      <c r="L1135" s="67" t="str">
        <f>$B1135&amp;"."&amp;VLOOKUP($C1135,'#Data'!$B$2:$J$344,2,FALSE)&amp;".attack0"&amp;RIGHT(L$1,1)</f>
        <v>Sector07.clock_noble_knight_1.attack01</v>
      </c>
      <c r="M1135" s="67" t="str">
        <f>$B1135&amp;"."&amp;VLOOKUP($C1135,'#Data'!$B$2:$J$344,2,FALSE)&amp;".attack0"&amp;RIGHT(M$1,1)</f>
        <v>Sector07.clock_noble_knight_1.attack02</v>
      </c>
      <c r="N1135" s="67"/>
      <c r="O1135" s="137" t="str">
        <f>$B1135&amp;"."&amp;VLOOKUP($C1135,'#Data'!$B$2:$J$344,2,FALSE)&amp;".skill0"&amp;RIGHT(O$1,1)</f>
        <v>Sector07.clock_noble_knight_1.skill01</v>
      </c>
      <c r="P1135" s="137" t="str">
        <f>$B1135&amp;"."&amp;VLOOKUP($C1135,'#Data'!$B$2:$J$344,2,FALSE)&amp;".skill0"&amp;RIGHT(P$1,1)</f>
        <v>Sector07.clock_noble_knight_1.skill02</v>
      </c>
      <c r="Q1135" s="137" t="str">
        <f>$B1135&amp;"."&amp;VLOOKUP($C1135,'#Data'!$B$2:$J$344,2,FALSE)&amp;".skill0"&amp;RIGHT(Q$1,1)</f>
        <v>Sector07.clock_noble_knight_1.skill03</v>
      </c>
      <c r="R1135" s="68" t="s">
        <v>202</v>
      </c>
      <c r="S1135" s="68" t="s">
        <v>2077</v>
      </c>
      <c r="T1135" s="68"/>
      <c r="U1135" s="68"/>
      <c r="V1135" s="41" t="b">
        <v>0</v>
      </c>
      <c r="W1135" s="41" t="str">
        <f>"Character/Prefabs/"&amp;VLOOKUP($C1135,'#Data'!$B$3:$I$344,8,FALSE)</f>
        <v>Character/Prefabs/m_l_attacker_clock_noble_knight_1</v>
      </c>
      <c r="X1135" s="41"/>
      <c r="Y1135" s="41" t="str">
        <f>VLOOKUP($C1135,'#Data'!$B$3:$I$344,8,FALSE)</f>
        <v>m_l_attacker_clock_noble_knight_1</v>
      </c>
      <c r="Z1135" s="41"/>
      <c r="AA1135" s="41"/>
      <c r="AB1135" s="41"/>
      <c r="AC1135" s="90">
        <v>0.9</v>
      </c>
      <c r="AD1135" s="41"/>
      <c r="AE1135" s="41"/>
      <c r="AF1135" s="41"/>
      <c r="AG1135" s="41" t="s">
        <v>2758</v>
      </c>
      <c r="AH1135" s="85"/>
    </row>
    <row r="1136" spans="1:34" x14ac:dyDescent="0.3">
      <c r="A1136" s="41">
        <f t="shared" si="34"/>
        <v>1610207202</v>
      </c>
      <c r="B1136" s="41" t="s">
        <v>190</v>
      </c>
      <c r="C1136" s="41" t="s">
        <v>203</v>
      </c>
      <c r="D1136" s="41" t="str">
        <f>"Monster.Name."&amp;VLOOKUP($C1136,'#Data'!$B$2:$J$344,2,FALSE)</f>
        <v>Monster.Name.clock_noble_bishop_1</v>
      </c>
      <c r="E1136" s="41" t="s">
        <v>47</v>
      </c>
      <c r="F1136" s="42" t="s">
        <v>44</v>
      </c>
      <c r="G1136" s="41" t="s">
        <v>45</v>
      </c>
      <c r="H1136" s="41" t="b">
        <f>IF(OR(VLOOKUP($C1136,'#Data'!$B$2:$J$344,4,FALSE)="보스",VLOOKUP($C1136,'#Data'!$B$2:$J$344,4,FALSE)="중간"),TRUE,FALSE)</f>
        <v>1</v>
      </c>
      <c r="I1136" s="41" t="b">
        <v>1</v>
      </c>
      <c r="J1136" s="41">
        <v>10</v>
      </c>
      <c r="K1136" s="41">
        <f t="shared" si="35"/>
        <v>10</v>
      </c>
      <c r="L1136" s="67" t="str">
        <f>$B1136&amp;"."&amp;VLOOKUP($C1136,'#Data'!$B$2:$J$344,2,FALSE)&amp;".attack0"&amp;RIGHT(L$1,1)</f>
        <v>Sector07.clock_noble_bishop_1.attack01</v>
      </c>
      <c r="M1136" s="67"/>
      <c r="N1136" s="67"/>
      <c r="O1136" s="137" t="str">
        <f>$B1136&amp;"."&amp;VLOOKUP($C1136,'#Data'!$B$2:$J$344,2,FALSE)&amp;".skill0"&amp;RIGHT(O$1,1)</f>
        <v>Sector07.clock_noble_bishop_1.skill01</v>
      </c>
      <c r="P1136" s="137" t="str">
        <f>$B1136&amp;"."&amp;VLOOKUP($C1136,'#Data'!$B$2:$J$344,2,FALSE)&amp;".skill0"&amp;RIGHT(P$1,1)</f>
        <v>Sector07.clock_noble_bishop_1.skill02</v>
      </c>
      <c r="Q1136" s="137" t="str">
        <f>$B1136&amp;"."&amp;VLOOKUP($C1136,'#Data'!$B$2:$J$344,2,FALSE)&amp;".skill0"&amp;RIGHT(Q$1,1)</f>
        <v>Sector07.clock_noble_bishop_1.skill03</v>
      </c>
      <c r="R1136" s="68"/>
      <c r="S1136" s="68" t="s">
        <v>2076</v>
      </c>
      <c r="T1136" s="68"/>
      <c r="U1136" s="68"/>
      <c r="V1136" s="41" t="b">
        <v>0</v>
      </c>
      <c r="W1136" s="41" t="str">
        <f>"Character/Prefabs/"&amp;VLOOKUP($C1136,'#Data'!$B$3:$I$344,8,FALSE)</f>
        <v>Character/Prefabs/m_l_ranger_clock_noble_bishop_1</v>
      </c>
      <c r="X1136" s="41"/>
      <c r="Y1136" s="41" t="str">
        <f>VLOOKUP($C1136,'#Data'!$B$3:$I$344,8,FALSE)</f>
        <v>m_l_ranger_clock_noble_bishop_1</v>
      </c>
      <c r="Z1136" s="41"/>
      <c r="AA1136" s="41"/>
      <c r="AB1136" s="41"/>
      <c r="AC1136" s="90">
        <v>0.9</v>
      </c>
      <c r="AD1136" s="41"/>
      <c r="AE1136" s="41"/>
      <c r="AF1136" s="41"/>
      <c r="AG1136" s="41" t="s">
        <v>2758</v>
      </c>
      <c r="AH1136" s="85"/>
    </row>
    <row r="1137" spans="1:34" x14ac:dyDescent="0.3">
      <c r="A1137" s="41">
        <f t="shared" si="34"/>
        <v>1610207203</v>
      </c>
      <c r="B1137" s="41" t="s">
        <v>190</v>
      </c>
      <c r="C1137" s="41" t="s">
        <v>204</v>
      </c>
      <c r="D1137" s="41" t="str">
        <f>"Monster.Name."&amp;VLOOKUP($C1137,'#Data'!$B$2:$J$344,2,FALSE)</f>
        <v>Monster.Name.clock_noble_keeper_1</v>
      </c>
      <c r="E1137" s="41" t="s">
        <v>43</v>
      </c>
      <c r="F1137" s="42" t="s">
        <v>44</v>
      </c>
      <c r="G1137" s="41" t="s">
        <v>45</v>
      </c>
      <c r="H1137" s="41" t="b">
        <f>IF(OR(VLOOKUP($C1137,'#Data'!$B$2:$J$344,4,FALSE)="보스",VLOOKUP($C1137,'#Data'!$B$2:$J$344,4,FALSE)="중간"),TRUE,FALSE)</f>
        <v>1</v>
      </c>
      <c r="I1137" s="41" t="b">
        <v>1</v>
      </c>
      <c r="J1137" s="41">
        <v>10</v>
      </c>
      <c r="K1137" s="41">
        <f t="shared" si="35"/>
        <v>10</v>
      </c>
      <c r="L1137" s="67" t="str">
        <f>$B1137&amp;"."&amp;VLOOKUP($C1137,'#Data'!$B$2:$J$344,2,FALSE)&amp;".attack0"&amp;RIGHT(L$1,1)</f>
        <v>Sector07.clock_noble_keeper_1.attack01</v>
      </c>
      <c r="M1137" s="67"/>
      <c r="N1137" s="67"/>
      <c r="O1137" s="137" t="str">
        <f>$B1137&amp;"."&amp;VLOOKUP($C1137,'#Data'!$B$2:$J$344,2,FALSE)&amp;".skill0"&amp;RIGHT(O$1,1)</f>
        <v>Sector07.clock_noble_keeper_1.skill01</v>
      </c>
      <c r="P1137" s="137" t="str">
        <f>$B1137&amp;"."&amp;VLOOKUP($C1137,'#Data'!$B$2:$J$344,2,FALSE)&amp;".skill0"&amp;RIGHT(P$1,1)</f>
        <v>Sector07.clock_noble_keeper_1.skill02</v>
      </c>
      <c r="Q1137" s="137" t="str">
        <f>$B1137&amp;"."&amp;VLOOKUP($C1137,'#Data'!$B$2:$J$344,2,FALSE)&amp;".skill0"&amp;RIGHT(Q$1,1)</f>
        <v>Sector07.clock_noble_keeper_1.skill03</v>
      </c>
      <c r="R1137" s="68"/>
      <c r="S1137" s="68" t="s">
        <v>2076</v>
      </c>
      <c r="T1137" s="68"/>
      <c r="U1137" s="68"/>
      <c r="V1137" s="41" t="b">
        <v>0</v>
      </c>
      <c r="W1137" s="41" t="str">
        <f>"Character/Prefabs/"&amp;VLOOKUP($C1137,'#Data'!$B$3:$I$344,8,FALSE)</f>
        <v>Character/Prefabs/m_l_attacker_clock_noble_keeper_1</v>
      </c>
      <c r="X1137" s="41"/>
      <c r="Y1137" s="41" t="str">
        <f>VLOOKUP($C1137,'#Data'!$B$3:$I$344,8,FALSE)</f>
        <v>m_l_attacker_clock_noble_keeper_1</v>
      </c>
      <c r="Z1137" s="41"/>
      <c r="AA1137" s="41"/>
      <c r="AB1137" s="41"/>
      <c r="AC1137" s="90">
        <v>0.9</v>
      </c>
      <c r="AD1137" s="41"/>
      <c r="AE1137" s="41"/>
      <c r="AF1137" s="41"/>
      <c r="AG1137" s="41" t="s">
        <v>2758</v>
      </c>
      <c r="AH1137" s="85"/>
    </row>
    <row r="1138" spans="1:34" x14ac:dyDescent="0.3">
      <c r="A1138" s="23">
        <f t="shared" si="34"/>
        <v>1610207301</v>
      </c>
      <c r="B1138" s="23" t="s">
        <v>190</v>
      </c>
      <c r="C1138" s="23" t="s">
        <v>205</v>
      </c>
      <c r="D1138" s="23" t="str">
        <f>"Monster.Name."&amp;VLOOKUP($C1138,'#Data'!$B$2:$J$344,2,FALSE)</f>
        <v>Monster.Name.clock_royal_queen_1</v>
      </c>
      <c r="E1138" s="23" t="s">
        <v>1833</v>
      </c>
      <c r="F1138" s="24" t="s">
        <v>44</v>
      </c>
      <c r="G1138" s="23" t="s">
        <v>45</v>
      </c>
      <c r="H1138" s="23" t="b">
        <f>IF(OR(VLOOKUP($C1138,'#Data'!$B$2:$J$344,4,FALSE)="보스",VLOOKUP($C1138,'#Data'!$B$2:$J$344,4,FALSE)="중간"),TRUE,FALSE)</f>
        <v>1</v>
      </c>
      <c r="I1138" s="23" t="b">
        <v>1</v>
      </c>
      <c r="J1138" s="23">
        <v>20</v>
      </c>
      <c r="K1138" s="23">
        <f t="shared" si="35"/>
        <v>10</v>
      </c>
      <c r="L1138" s="115" t="str">
        <f>$B1138&amp;"."&amp;VLOOKUP($C1138,'#Data'!$B$2:$J$344,2,FALSE)&amp;".attack0"&amp;RIGHT(L$1,1)</f>
        <v>Sector07.clock_royal_queen_1.attack01</v>
      </c>
      <c r="M1138" s="115" t="str">
        <f>$B1138&amp;"."&amp;VLOOKUP($C1138,'#Data'!$B$2:$J$344,2,FALSE)&amp;".attack0"&amp;RIGHT(M$1,1)</f>
        <v>Sector07.clock_royal_queen_1.attack02</v>
      </c>
      <c r="N1138" s="115"/>
      <c r="O1138" s="139" t="str">
        <f>$B1138&amp;"."&amp;VLOOKUP($C1138,'#Data'!$B$2:$J$344,2,FALSE)&amp;".skill0"&amp;RIGHT(O$1,1)</f>
        <v>Sector07.clock_royal_queen_1.skill01</v>
      </c>
      <c r="P1138" s="139" t="str">
        <f>$B1138&amp;"."&amp;VLOOKUP($C1138,'#Data'!$B$2:$J$344,2,FALSE)&amp;".skill0"&amp;RIGHT(P$1,1)</f>
        <v>Sector07.clock_royal_queen_1.skill02</v>
      </c>
      <c r="Q1138" s="139" t="str">
        <f>$B1138&amp;"."&amp;VLOOKUP($C1138,'#Data'!$B$2:$J$344,2,FALSE)&amp;".skill0"&amp;RIGHT(Q$1,1)</f>
        <v>Sector07.clock_royal_queen_1.skill03</v>
      </c>
      <c r="R1138" s="116" t="s">
        <v>206</v>
      </c>
      <c r="S1138" s="116" t="s">
        <v>76</v>
      </c>
      <c r="T1138" s="116"/>
      <c r="U1138" s="116"/>
      <c r="V1138" s="23" t="b">
        <v>0</v>
      </c>
      <c r="W1138" s="23" t="str">
        <f>"Character/Prefabs/"&amp;VLOOKUP($C1138,'#Data'!$B$3:$I$344,8,FALSE)</f>
        <v>Character/Prefabs/m_boss_attacker_clock_royal_queen_1</v>
      </c>
      <c r="X1138" s="23"/>
      <c r="Y1138" s="23" t="str">
        <f>VLOOKUP($C1138,'#Data'!$B$3:$I$344,8,FALSE)</f>
        <v>m_boss_attacker_clock_royal_queen_1</v>
      </c>
      <c r="Z1138" s="23"/>
      <c r="AA1138" s="23"/>
      <c r="AB1138" s="23"/>
      <c r="AC1138" s="98">
        <v>0.9</v>
      </c>
      <c r="AD1138" s="23"/>
      <c r="AE1138" s="23" t="s">
        <v>207</v>
      </c>
      <c r="AF1138" s="23" t="s">
        <v>208</v>
      </c>
      <c r="AG1138" s="23" t="s">
        <v>2758</v>
      </c>
      <c r="AH1138" s="85"/>
    </row>
    <row r="1139" spans="1:34" x14ac:dyDescent="0.3">
      <c r="A1139" s="23">
        <f t="shared" si="34"/>
        <v>1610207302</v>
      </c>
      <c r="B1139" s="23" t="s">
        <v>190</v>
      </c>
      <c r="C1139" s="23" t="s">
        <v>209</v>
      </c>
      <c r="D1139" s="23" t="str">
        <f>"Monster.Name."&amp;VLOOKUP($C1139,'#Data'!$B$2:$J$344,2,FALSE)</f>
        <v>Monster.Name.clock_royal_queen_2</v>
      </c>
      <c r="E1139" s="23" t="s">
        <v>1833</v>
      </c>
      <c r="F1139" s="24" t="s">
        <v>44</v>
      </c>
      <c r="G1139" s="23" t="s">
        <v>45</v>
      </c>
      <c r="H1139" s="23" t="b">
        <f>IF(OR(VLOOKUP($C1139,'#Data'!$B$2:$J$344,4,FALSE)="보스",VLOOKUP($C1139,'#Data'!$B$2:$J$344,4,FALSE)="중간"),TRUE,FALSE)</f>
        <v>1</v>
      </c>
      <c r="I1139" s="23" t="b">
        <v>1</v>
      </c>
      <c r="J1139" s="23">
        <v>20</v>
      </c>
      <c r="K1139" s="23">
        <f t="shared" si="35"/>
        <v>10</v>
      </c>
      <c r="L1139" s="115" t="str">
        <f>$B1139&amp;"."&amp;VLOOKUP($C1139,'#Data'!$B$2:$J$344,2,FALSE)&amp;".attack0"&amp;RIGHT(L$1,1)</f>
        <v>Sector07.clock_royal_queen_2.attack01</v>
      </c>
      <c r="M1139" s="115" t="str">
        <f>$B1139&amp;"."&amp;VLOOKUP($C1139,'#Data'!$B$2:$J$344,2,FALSE)&amp;".attack0"&amp;RIGHT(M$1,1)</f>
        <v>Sector07.clock_royal_queen_2.attack02</v>
      </c>
      <c r="N1139" s="115"/>
      <c r="O1139" s="139" t="str">
        <f>$B1139&amp;"."&amp;VLOOKUP($C1139,'#Data'!$B$2:$J$344,2,FALSE)&amp;".skill0"&amp;RIGHT(O$1,1)</f>
        <v>Sector07.clock_royal_queen_2.skill01</v>
      </c>
      <c r="P1139" s="139" t="str">
        <f>$B1139&amp;"."&amp;VLOOKUP($C1139,'#Data'!$B$2:$J$344,2,FALSE)&amp;".skill0"&amp;RIGHT(P$1,1)</f>
        <v>Sector07.clock_royal_queen_2.skill02</v>
      </c>
      <c r="Q1139" s="139" t="str">
        <f>$B1139&amp;"."&amp;VLOOKUP($C1139,'#Data'!$B$2:$J$344,2,FALSE)&amp;".skill0"&amp;RIGHT(Q$1,1)</f>
        <v>Sector07.clock_royal_queen_2.skill03</v>
      </c>
      <c r="R1139" s="116" t="s">
        <v>206</v>
      </c>
      <c r="S1139" s="116" t="s">
        <v>76</v>
      </c>
      <c r="T1139" s="116"/>
      <c r="U1139" s="116"/>
      <c r="V1139" s="23" t="b">
        <v>0</v>
      </c>
      <c r="W1139" s="166" t="str">
        <f>"Character/Prefabs/"&amp;VLOOKUP($C1139,'#Data'!$B$3:$I$344,8,FALSE)</f>
        <v>Character/Prefabs/m_boss_attacker_clock_royal_queen_2</v>
      </c>
      <c r="X1139" s="166"/>
      <c r="Y1139" s="166" t="str">
        <f>VLOOKUP($C1139,'#Data'!$B$3:$I$344,8,FALSE)</f>
        <v>m_boss_attacker_clock_royal_queen_2</v>
      </c>
      <c r="Z1139" s="23"/>
      <c r="AA1139" s="23"/>
      <c r="AB1139" s="23"/>
      <c r="AC1139" s="98">
        <v>1.1000000000000001</v>
      </c>
      <c r="AD1139" s="23"/>
      <c r="AE1139" s="23" t="s">
        <v>2083</v>
      </c>
      <c r="AF1139" s="23" t="s">
        <v>2101</v>
      </c>
      <c r="AG1139" s="23" t="s">
        <v>2758</v>
      </c>
      <c r="AH1139" s="85"/>
    </row>
    <row r="1140" spans="1:34" x14ac:dyDescent="0.3">
      <c r="A1140" s="13">
        <f t="shared" si="34"/>
        <v>1610208101</v>
      </c>
      <c r="B1140" s="13" t="s">
        <v>210</v>
      </c>
      <c r="C1140" s="13" t="s">
        <v>211</v>
      </c>
      <c r="D1140" s="13" t="str">
        <f>"Monster.Name."&amp;VLOOKUP($C1140,'#Data'!$B$2:$J$344,2,FALSE)</f>
        <v>Monster.Name.plants_sticky_1</v>
      </c>
      <c r="E1140" s="13" t="s">
        <v>43</v>
      </c>
      <c r="F1140" s="44" t="s">
        <v>44</v>
      </c>
      <c r="G1140" s="13" t="s">
        <v>45</v>
      </c>
      <c r="H1140" s="13" t="b">
        <f>IF(OR(VLOOKUP($C1140,'#Data'!$B$2:$J$344,4,FALSE)="보스",VLOOKUP($C1140,'#Data'!$B$2:$J$344,4,FALSE)="중간"),TRUE,FALSE)</f>
        <v>0</v>
      </c>
      <c r="I1140" s="13" t="b">
        <v>0</v>
      </c>
      <c r="J1140" s="13">
        <v>10</v>
      </c>
      <c r="K1140" s="13">
        <f t="shared" si="35"/>
        <v>10</v>
      </c>
      <c r="L1140" s="71" t="str">
        <f>$B1140&amp;"."&amp;VLOOKUP($C1140,'#Data'!$B$2:$J$344,2,FALSE)&amp;".attack0"&amp;RIGHT(L$1,1)</f>
        <v>Sector08.plants_sticky_1.attack01</v>
      </c>
      <c r="M1140" s="71"/>
      <c r="N1140" s="71"/>
      <c r="O1140" s="140" t="s">
        <v>2057</v>
      </c>
      <c r="P1140" s="140" t="s">
        <v>1959</v>
      </c>
      <c r="Q1140" s="140"/>
      <c r="R1140" s="72"/>
      <c r="S1140" s="72"/>
      <c r="T1140" s="72"/>
      <c r="U1140" s="72"/>
      <c r="V1140" s="13" t="b">
        <v>0</v>
      </c>
      <c r="W1140" s="13" t="str">
        <f>"Character/Prefabs/"&amp;VLOOKUP($C1140,'#Data'!$B$3:$I$344,8,FALSE)</f>
        <v>Character/Prefabs/m_s_attacker_plants_sticky_1</v>
      </c>
      <c r="X1140" s="13"/>
      <c r="Y1140" s="13" t="str">
        <f>VLOOKUP($C1140,'#Data'!$B$3:$I$344,8,FALSE)</f>
        <v>m_s_attacker_plants_sticky_1</v>
      </c>
      <c r="Z1140" s="13"/>
      <c r="AA1140" s="13"/>
      <c r="AB1140" s="13"/>
      <c r="AC1140" s="92">
        <v>0.9</v>
      </c>
      <c r="AD1140" s="13"/>
      <c r="AE1140" s="13"/>
      <c r="AF1140" s="13"/>
      <c r="AG1140" s="13" t="s">
        <v>2758</v>
      </c>
      <c r="AH1140" s="85"/>
    </row>
    <row r="1141" spans="1:34" x14ac:dyDescent="0.3">
      <c r="A1141" s="13">
        <f t="shared" si="34"/>
        <v>1610208102</v>
      </c>
      <c r="B1141" s="13" t="s">
        <v>210</v>
      </c>
      <c r="C1141" s="13" t="s">
        <v>212</v>
      </c>
      <c r="D1141" s="13" t="str">
        <f>"Monster.Name."&amp;VLOOKUP($C1141,'#Data'!$B$2:$J$344,2,FALSE)</f>
        <v>Monster.Name.plants_stinger_1</v>
      </c>
      <c r="E1141" s="13" t="s">
        <v>1216</v>
      </c>
      <c r="F1141" s="44" t="s">
        <v>44</v>
      </c>
      <c r="G1141" s="13" t="s">
        <v>45</v>
      </c>
      <c r="H1141" s="13" t="b">
        <f>IF(OR(VLOOKUP($C1141,'#Data'!$B$2:$J$344,4,FALSE)="보스",VLOOKUP($C1141,'#Data'!$B$2:$J$344,4,FALSE)="중간"),TRUE,FALSE)</f>
        <v>0</v>
      </c>
      <c r="I1141" s="13" t="b">
        <v>0</v>
      </c>
      <c r="J1141" s="13">
        <v>10</v>
      </c>
      <c r="K1141" s="13">
        <f t="shared" si="35"/>
        <v>10</v>
      </c>
      <c r="L1141" s="71" t="str">
        <f>$B1141&amp;"."&amp;VLOOKUP($C1141,'#Data'!$B$2:$J$344,2,FALSE)&amp;".attack0"&amp;RIGHT(L$1,1)</f>
        <v>Sector08.plants_stinger_1.attack01</v>
      </c>
      <c r="M1141" s="71"/>
      <c r="N1141" s="71"/>
      <c r="O1141" s="140" t="s">
        <v>2058</v>
      </c>
      <c r="P1141" s="140" t="s">
        <v>1959</v>
      </c>
      <c r="Q1141" s="140"/>
      <c r="R1141" s="72"/>
      <c r="S1141" s="72"/>
      <c r="T1141" s="72"/>
      <c r="U1141" s="72"/>
      <c r="V1141" s="13" t="b">
        <v>0</v>
      </c>
      <c r="W1141" s="13" t="str">
        <f>"Character/Prefabs/"&amp;VLOOKUP($C1141,'#Data'!$B$3:$I$344,8,FALSE)</f>
        <v>Character/Prefabs/m_s_ranger_plants_stinger_1</v>
      </c>
      <c r="X1141" s="13"/>
      <c r="Y1141" s="13" t="str">
        <f>VLOOKUP($C1141,'#Data'!$B$3:$I$344,8,FALSE)</f>
        <v>m_s_ranger_plants_stinger_1</v>
      </c>
      <c r="Z1141" s="13"/>
      <c r="AA1141" s="13"/>
      <c r="AB1141" s="13"/>
      <c r="AC1141" s="92">
        <v>0.5</v>
      </c>
      <c r="AD1141" s="13"/>
      <c r="AE1141" s="13"/>
      <c r="AF1141" s="13"/>
      <c r="AG1141" s="13" t="s">
        <v>2758</v>
      </c>
      <c r="AH1141" s="85"/>
    </row>
    <row r="1142" spans="1:34" x14ac:dyDescent="0.3">
      <c r="A1142" s="13">
        <f t="shared" si="34"/>
        <v>1610208103</v>
      </c>
      <c r="B1142" s="13" t="s">
        <v>210</v>
      </c>
      <c r="C1142" s="13" t="s">
        <v>213</v>
      </c>
      <c r="D1142" s="13" t="str">
        <f>"Monster.Name."&amp;VLOOKUP($C1142,'#Data'!$B$2:$J$344,2,FALSE)</f>
        <v>Monster.Name.plants_bark_1</v>
      </c>
      <c r="E1142" s="13" t="s">
        <v>43</v>
      </c>
      <c r="F1142" s="44" t="s">
        <v>44</v>
      </c>
      <c r="G1142" s="13" t="s">
        <v>45</v>
      </c>
      <c r="H1142" s="13" t="b">
        <f>IF(OR(VLOOKUP($C1142,'#Data'!$B$2:$J$344,4,FALSE)="보스",VLOOKUP($C1142,'#Data'!$B$2:$J$344,4,FALSE)="중간"),TRUE,FALSE)</f>
        <v>0</v>
      </c>
      <c r="I1142" s="13" t="b">
        <v>0</v>
      </c>
      <c r="J1142" s="13">
        <v>10</v>
      </c>
      <c r="K1142" s="13">
        <f t="shared" si="35"/>
        <v>10</v>
      </c>
      <c r="L1142" s="71" t="str">
        <f>$B1142&amp;"."&amp;VLOOKUP($C1142,'#Data'!$B$2:$J$344,2,FALSE)&amp;".attack0"&amp;RIGHT(L$1,1)</f>
        <v>Sector08.plants_bark_1.attack01</v>
      </c>
      <c r="M1142" s="71"/>
      <c r="N1142" s="71"/>
      <c r="O1142" s="140" t="str">
        <f>$B1142&amp;"."&amp;VLOOKUP($C1142,'#Data'!$B$2:$J$344,2,FALSE)&amp;".skill0"&amp;RIGHT(O$1,1)</f>
        <v>Sector08.plants_bark_1.skill01</v>
      </c>
      <c r="P1142" s="140" t="s">
        <v>2059</v>
      </c>
      <c r="Q1142" s="140" t="s">
        <v>1959</v>
      </c>
      <c r="R1142" s="72"/>
      <c r="S1142" s="72"/>
      <c r="T1142" s="72"/>
      <c r="U1142" s="72"/>
      <c r="V1142" s="13" t="b">
        <v>0</v>
      </c>
      <c r="W1142" s="13" t="str">
        <f>"Character/Prefabs/"&amp;VLOOKUP($C1142,'#Data'!$B$3:$I$344,8,FALSE)</f>
        <v>Character/Prefabs/m_m_attacker_plants_bark_1</v>
      </c>
      <c r="X1142" s="13"/>
      <c r="Y1142" s="13" t="str">
        <f>VLOOKUP($C1142,'#Data'!$B$3:$I$344,8,FALSE)</f>
        <v>m_m_attacker_plants_bark_1</v>
      </c>
      <c r="Z1142" s="13"/>
      <c r="AA1142" s="13"/>
      <c r="AB1142" s="13"/>
      <c r="AC1142" s="92">
        <v>0.7</v>
      </c>
      <c r="AD1142" s="13"/>
      <c r="AE1142" s="13"/>
      <c r="AF1142" s="13"/>
      <c r="AG1142" s="13" t="s">
        <v>2758</v>
      </c>
      <c r="AH1142" s="85"/>
    </row>
    <row r="1143" spans="1:34" x14ac:dyDescent="0.3">
      <c r="A1143" s="13">
        <f t="shared" si="34"/>
        <v>1610208104</v>
      </c>
      <c r="B1143" s="13" t="s">
        <v>210</v>
      </c>
      <c r="C1143" s="13" t="s">
        <v>214</v>
      </c>
      <c r="D1143" s="13" t="str">
        <f>"Monster.Name."&amp;VLOOKUP($C1143,'#Data'!$B$2:$J$344,2,FALSE)</f>
        <v>Monster.Name.plants_branch_1</v>
      </c>
      <c r="E1143" s="13" t="s">
        <v>43</v>
      </c>
      <c r="F1143" s="44" t="s">
        <v>44</v>
      </c>
      <c r="G1143" s="13" t="s">
        <v>45</v>
      </c>
      <c r="H1143" s="13" t="b">
        <f>IF(OR(VLOOKUP($C1143,'#Data'!$B$2:$J$344,4,FALSE)="보스",VLOOKUP($C1143,'#Data'!$B$2:$J$344,4,FALSE)="중간"),TRUE,FALSE)</f>
        <v>0</v>
      </c>
      <c r="I1143" s="13" t="b">
        <v>0</v>
      </c>
      <c r="J1143" s="13">
        <v>10</v>
      </c>
      <c r="K1143" s="13">
        <f t="shared" si="35"/>
        <v>10</v>
      </c>
      <c r="L1143" s="71" t="str">
        <f>$B1143&amp;"."&amp;VLOOKUP($C1143,'#Data'!$B$2:$J$344,2,FALSE)&amp;".attack0"&amp;RIGHT(L$1,1)</f>
        <v>Sector08.plants_branch_1.attack01</v>
      </c>
      <c r="M1143" s="71"/>
      <c r="N1143" s="71"/>
      <c r="O1143" s="140" t="str">
        <f>$B1143&amp;"."&amp;VLOOKUP($C1143,'#Data'!$B$2:$J$344,2,FALSE)&amp;".skill0"&amp;RIGHT(O$1,1)</f>
        <v>Sector08.plants_branch_1.skill01</v>
      </c>
      <c r="P1143" s="140" t="s">
        <v>2060</v>
      </c>
      <c r="Q1143" s="140" t="s">
        <v>1959</v>
      </c>
      <c r="R1143" s="72"/>
      <c r="S1143" s="72"/>
      <c r="T1143" s="72"/>
      <c r="U1143" s="72"/>
      <c r="V1143" s="13" t="b">
        <v>0</v>
      </c>
      <c r="W1143" s="13" t="str">
        <f>"Character/Prefabs/"&amp;VLOOKUP($C1143,'#Data'!$B$3:$I$344,8,FALSE)</f>
        <v>Character/Prefabs/m_m_attacker_plants_branch_1</v>
      </c>
      <c r="X1143" s="13"/>
      <c r="Y1143" s="13" t="str">
        <f>VLOOKUP($C1143,'#Data'!$B$3:$I$344,8,FALSE)</f>
        <v>m_m_attacker_plants_branch_1</v>
      </c>
      <c r="Z1143" s="13"/>
      <c r="AA1143" s="13"/>
      <c r="AB1143" s="13"/>
      <c r="AC1143" s="92">
        <v>0.7</v>
      </c>
      <c r="AD1143" s="13"/>
      <c r="AE1143" s="13"/>
      <c r="AF1143" s="13"/>
      <c r="AG1143" s="13" t="s">
        <v>2758</v>
      </c>
      <c r="AH1143" s="85"/>
    </row>
    <row r="1144" spans="1:34" x14ac:dyDescent="0.3">
      <c r="A1144" s="13">
        <f t="shared" si="34"/>
        <v>1610208105</v>
      </c>
      <c r="B1144" s="13" t="s">
        <v>210</v>
      </c>
      <c r="C1144" s="13" t="s">
        <v>215</v>
      </c>
      <c r="D1144" s="13" t="str">
        <f>"Monster.Name."&amp;VLOOKUP($C1144,'#Data'!$B$2:$J$344,2,FALSE)</f>
        <v>Monster.Name.plants_shooter_1</v>
      </c>
      <c r="E1144" s="13" t="s">
        <v>47</v>
      </c>
      <c r="F1144" s="44" t="s">
        <v>44</v>
      </c>
      <c r="G1144" s="13" t="s">
        <v>45</v>
      </c>
      <c r="H1144" s="13" t="b">
        <f>IF(OR(VLOOKUP($C1144,'#Data'!$B$2:$J$344,4,FALSE)="보스",VLOOKUP($C1144,'#Data'!$B$2:$J$344,4,FALSE)="중간"),TRUE,FALSE)</f>
        <v>0</v>
      </c>
      <c r="I1144" s="13" t="b">
        <v>0</v>
      </c>
      <c r="J1144" s="13">
        <v>10</v>
      </c>
      <c r="K1144" s="13">
        <f t="shared" si="35"/>
        <v>10</v>
      </c>
      <c r="L1144" s="71" t="str">
        <f>$B1144&amp;"."&amp;VLOOKUP($C1144,'#Data'!$B$2:$J$344,2,FALSE)&amp;".attack0"&amp;RIGHT(L$1,1)</f>
        <v>Sector08.plants_shooter_1.attack01</v>
      </c>
      <c r="M1144" s="71"/>
      <c r="N1144" s="71"/>
      <c r="O1144" s="140" t="str">
        <f>$B1144&amp;"."&amp;VLOOKUP($C1144,'#Data'!$B$2:$J$344,2,FALSE)&amp;".skill0"&amp;RIGHT(O$1,1)</f>
        <v>Sector08.plants_shooter_1.skill01</v>
      </c>
      <c r="P1144" s="140" t="s">
        <v>2061</v>
      </c>
      <c r="Q1144" s="140" t="s">
        <v>1959</v>
      </c>
      <c r="R1144" s="72"/>
      <c r="S1144" s="72"/>
      <c r="T1144" s="72"/>
      <c r="U1144" s="72"/>
      <c r="V1144" s="13" t="b">
        <v>0</v>
      </c>
      <c r="W1144" s="13" t="str">
        <f>"Character/Prefabs/"&amp;VLOOKUP($C1144,'#Data'!$B$3:$I$344,8,FALSE)</f>
        <v>Character/Prefabs/m_m_ranger_plants_shooter_1</v>
      </c>
      <c r="X1144" s="13"/>
      <c r="Y1144" s="13" t="str">
        <f>VLOOKUP($C1144,'#Data'!$B$3:$I$344,8,FALSE)</f>
        <v>m_m_ranger_plants_shooter_1</v>
      </c>
      <c r="Z1144" s="13"/>
      <c r="AA1144" s="13"/>
      <c r="AB1144" s="13"/>
      <c r="AC1144" s="92">
        <v>0.9</v>
      </c>
      <c r="AD1144" s="13"/>
      <c r="AE1144" s="13"/>
      <c r="AF1144" s="13"/>
      <c r="AG1144" s="13" t="s">
        <v>2758</v>
      </c>
      <c r="AH1144" s="85"/>
    </row>
    <row r="1145" spans="1:34" x14ac:dyDescent="0.3">
      <c r="A1145" s="13">
        <f t="shared" si="34"/>
        <v>1610208106</v>
      </c>
      <c r="B1145" s="13" t="s">
        <v>210</v>
      </c>
      <c r="C1145" s="13" t="s">
        <v>216</v>
      </c>
      <c r="D1145" s="13" t="str">
        <f>"Monster.Name."&amp;VLOOKUP($C1145,'#Data'!$B$2:$J$344,2,FALSE)</f>
        <v>Monster.Name.plants_cannon_1</v>
      </c>
      <c r="E1145" s="13" t="s">
        <v>47</v>
      </c>
      <c r="F1145" s="44" t="s">
        <v>44</v>
      </c>
      <c r="G1145" s="13" t="s">
        <v>45</v>
      </c>
      <c r="H1145" s="13" t="b">
        <f>IF(OR(VLOOKUP($C1145,'#Data'!$B$2:$J$344,4,FALSE)="보스",VLOOKUP($C1145,'#Data'!$B$2:$J$344,4,FALSE)="중간"),TRUE,FALSE)</f>
        <v>0</v>
      </c>
      <c r="I1145" s="13" t="b">
        <v>0</v>
      </c>
      <c r="J1145" s="13">
        <v>10</v>
      </c>
      <c r="K1145" s="13">
        <f t="shared" si="35"/>
        <v>10</v>
      </c>
      <c r="L1145" s="71" t="str">
        <f>$B1145&amp;"."&amp;VLOOKUP($C1145,'#Data'!$B$2:$J$344,2,FALSE)&amp;".attack0"&amp;RIGHT(L$1,1)</f>
        <v>Sector08.plants_cannon_1.attack01</v>
      </c>
      <c r="M1145" s="71"/>
      <c r="N1145" s="71"/>
      <c r="O1145" s="140" t="str">
        <f>$B1145&amp;"."&amp;VLOOKUP($C1145,'#Data'!$B$2:$J$344,2,FALSE)&amp;".skill0"&amp;RIGHT(O$1,1)</f>
        <v>Sector08.plants_cannon_1.skill01</v>
      </c>
      <c r="P1145" s="140" t="s">
        <v>2062</v>
      </c>
      <c r="Q1145" s="140" t="s">
        <v>1959</v>
      </c>
      <c r="R1145" s="72"/>
      <c r="S1145" s="72"/>
      <c r="T1145" s="72"/>
      <c r="U1145" s="72"/>
      <c r="V1145" s="13" t="b">
        <v>0</v>
      </c>
      <c r="W1145" s="13" t="str">
        <f>"Character/Prefabs/"&amp;VLOOKUP($C1145,'#Data'!$B$3:$I$344,8,FALSE)</f>
        <v>Character/Prefabs/m_m_ranger_plants_cannon_1</v>
      </c>
      <c r="X1145" s="13"/>
      <c r="Y1145" s="13" t="str">
        <f>VLOOKUP($C1145,'#Data'!$B$3:$I$344,8,FALSE)</f>
        <v>m_m_ranger_plants_cannon_1</v>
      </c>
      <c r="Z1145" s="13"/>
      <c r="AA1145" s="13"/>
      <c r="AB1145" s="13"/>
      <c r="AC1145" s="92">
        <v>0.9</v>
      </c>
      <c r="AD1145" s="13"/>
      <c r="AE1145" s="13"/>
      <c r="AF1145" s="13"/>
      <c r="AG1145" s="13" t="s">
        <v>2758</v>
      </c>
      <c r="AH1145" s="85"/>
    </row>
    <row r="1146" spans="1:34" x14ac:dyDescent="0.3">
      <c r="A1146" s="13">
        <f t="shared" si="34"/>
        <v>1610208107</v>
      </c>
      <c r="B1146" s="13" t="s">
        <v>210</v>
      </c>
      <c r="C1146" s="13" t="s">
        <v>217</v>
      </c>
      <c r="D1146" s="13" t="str">
        <f>"Monster.Name."&amp;VLOOKUP($C1146,'#Data'!$B$2:$J$344,2,FALSE)</f>
        <v>Monster.Name.creeper_seed_1</v>
      </c>
      <c r="E1146" s="13" t="s">
        <v>58</v>
      </c>
      <c r="F1146" s="44" t="s">
        <v>44</v>
      </c>
      <c r="G1146" s="13" t="s">
        <v>45</v>
      </c>
      <c r="H1146" s="13" t="b">
        <f>IF(OR(VLOOKUP($C1146,'#Data'!$B$2:$J$344,4,FALSE)="보스",VLOOKUP($C1146,'#Data'!$B$2:$J$344,4,FALSE)="중간"),TRUE,FALSE)</f>
        <v>0</v>
      </c>
      <c r="I1146" s="13" t="b">
        <v>0</v>
      </c>
      <c r="J1146" s="13">
        <v>20</v>
      </c>
      <c r="K1146" s="13">
        <f t="shared" si="35"/>
        <v>10</v>
      </c>
      <c r="L1146" s="71" t="str">
        <f>$B1146&amp;"."&amp;VLOOKUP($C1146,'#Data'!$B$2:$J$344,2,FALSE)&amp;".attack0"&amp;RIGHT(L$1,1)</f>
        <v>Sector08.creeper_seed_1.attack01</v>
      </c>
      <c r="M1146" s="71"/>
      <c r="N1146" s="71"/>
      <c r="O1146" s="140" t="str">
        <f>$B1146&amp;"."&amp;VLOOKUP($C1146,'#Data'!$B$2:$J$344,2,FALSE)&amp;".skill0"&amp;RIGHT(O$1,1)</f>
        <v>Sector08.creeper_seed_1.skill01</v>
      </c>
      <c r="P1146" s="140" t="s">
        <v>2063</v>
      </c>
      <c r="Q1146" s="140" t="s">
        <v>1959</v>
      </c>
      <c r="R1146" s="72"/>
      <c r="S1146" s="72"/>
      <c r="T1146" s="72"/>
      <c r="U1146" s="72"/>
      <c r="V1146" s="13" t="b">
        <v>0</v>
      </c>
      <c r="W1146" s="13" t="str">
        <f>"Character/Prefabs/"&amp;VLOOKUP($C1146,'#Data'!$B$3:$I$344,8,FALSE)</f>
        <v>Character/Prefabs/m_m_tanker_creeper_seed_1</v>
      </c>
      <c r="X1146" s="13"/>
      <c r="Y1146" s="13" t="str">
        <f>VLOOKUP($C1146,'#Data'!$B$3:$I$344,8,FALSE)</f>
        <v>m_m_tanker_creeper_seed_1</v>
      </c>
      <c r="Z1146" s="13"/>
      <c r="AA1146" s="13"/>
      <c r="AB1146" s="13"/>
      <c r="AC1146" s="92">
        <v>0.6</v>
      </c>
      <c r="AD1146" s="13"/>
      <c r="AE1146" s="13"/>
      <c r="AF1146" s="13"/>
      <c r="AG1146" s="13" t="s">
        <v>2758</v>
      </c>
      <c r="AH1146" s="85"/>
    </row>
    <row r="1147" spans="1:34" x14ac:dyDescent="0.3">
      <c r="A1147" s="13">
        <f t="shared" si="34"/>
        <v>1610208108</v>
      </c>
      <c r="B1147" s="13" t="s">
        <v>210</v>
      </c>
      <c r="C1147" s="13" t="s">
        <v>218</v>
      </c>
      <c r="D1147" s="13" t="str">
        <f>"Monster.Name."&amp;VLOOKUP($C1147,'#Data'!$B$2:$J$344,2,FALSE)</f>
        <v>Monster.Name.plants_garden_1</v>
      </c>
      <c r="E1147" s="13" t="s">
        <v>47</v>
      </c>
      <c r="F1147" s="44" t="s">
        <v>44</v>
      </c>
      <c r="G1147" s="13" t="s">
        <v>45</v>
      </c>
      <c r="H1147" s="13" t="b">
        <f>IF(OR(VLOOKUP($C1147,'#Data'!$B$2:$J$344,4,FALSE)="보스",VLOOKUP($C1147,'#Data'!$B$2:$J$344,4,FALSE)="중간"),TRUE,FALSE)</f>
        <v>0</v>
      </c>
      <c r="I1147" s="13" t="b">
        <v>0</v>
      </c>
      <c r="J1147" s="13">
        <v>10</v>
      </c>
      <c r="K1147" s="13">
        <f t="shared" si="35"/>
        <v>10</v>
      </c>
      <c r="L1147" s="71" t="str">
        <f>$B1147&amp;"."&amp;VLOOKUP($C1147,'#Data'!$B$2:$J$344,2,FALSE)&amp;".attack0"&amp;RIGHT(L$1,1)</f>
        <v>Sector08.plants_garden_1.attack01</v>
      </c>
      <c r="M1147" s="71"/>
      <c r="N1147" s="71"/>
      <c r="O1147" s="140" t="str">
        <f>$B1147&amp;"."&amp;VLOOKUP($C1147,'#Data'!$B$2:$J$344,2,FALSE)&amp;".skill0"&amp;RIGHT(O$1,1)</f>
        <v>Sector08.plants_garden_1.skill01</v>
      </c>
      <c r="P1147" s="140" t="s">
        <v>2064</v>
      </c>
      <c r="Q1147" s="140" t="s">
        <v>1959</v>
      </c>
      <c r="R1147" s="72"/>
      <c r="S1147" s="72"/>
      <c r="T1147" s="72"/>
      <c r="U1147" s="72"/>
      <c r="V1147" s="13" t="b">
        <v>0</v>
      </c>
      <c r="W1147" s="13" t="str">
        <f>"Character/Prefabs/"&amp;VLOOKUP($C1147,'#Data'!$B$3:$I$344,8,FALSE)</f>
        <v>Character/Prefabs/m_m_ranger_plants_garden_1</v>
      </c>
      <c r="X1147" s="13"/>
      <c r="Y1147" s="13" t="str">
        <f>VLOOKUP($C1147,'#Data'!$B$3:$I$344,8,FALSE)</f>
        <v>m_m_ranger_plants_garden_1</v>
      </c>
      <c r="Z1147" s="13"/>
      <c r="AA1147" s="13"/>
      <c r="AB1147" s="13"/>
      <c r="AC1147" s="92">
        <v>0.5</v>
      </c>
      <c r="AD1147" s="13"/>
      <c r="AE1147" s="13"/>
      <c r="AF1147" s="13"/>
      <c r="AG1147" s="13" t="s">
        <v>2758</v>
      </c>
      <c r="AH1147" s="85"/>
    </row>
    <row r="1148" spans="1:34" x14ac:dyDescent="0.3">
      <c r="A1148" s="45">
        <f t="shared" si="34"/>
        <v>1610208109</v>
      </c>
      <c r="B1148" s="45" t="s">
        <v>210</v>
      </c>
      <c r="C1148" s="45" t="s">
        <v>1891</v>
      </c>
      <c r="D1148" s="45" t="str">
        <f>"Monster.Name."&amp;VLOOKUP($C1148,'#Data'!$B$2:$J$344,2,FALSE)</f>
        <v>Monster.Name.plants_sticky_2</v>
      </c>
      <c r="E1148" s="45" t="s">
        <v>43</v>
      </c>
      <c r="F1148" s="46" t="s">
        <v>44</v>
      </c>
      <c r="G1148" s="45" t="s">
        <v>45</v>
      </c>
      <c r="H1148" s="45" t="b">
        <f>IF(OR(VLOOKUP($C1148,'#Data'!$B$2:$J$344,4,FALSE)="보스",VLOOKUP($C1148,'#Data'!$B$2:$J$344,4,FALSE)="중간"),TRUE,FALSE)</f>
        <v>0</v>
      </c>
      <c r="I1148" s="45" t="b">
        <v>0</v>
      </c>
      <c r="J1148" s="45">
        <v>10</v>
      </c>
      <c r="K1148" s="45">
        <f t="shared" si="35"/>
        <v>10</v>
      </c>
      <c r="L1148" s="73" t="s">
        <v>1906</v>
      </c>
      <c r="M1148" s="73"/>
      <c r="N1148" s="73"/>
      <c r="O1148" s="141" t="s">
        <v>2057</v>
      </c>
      <c r="P1148" s="141" t="s">
        <v>1959</v>
      </c>
      <c r="Q1148" s="141"/>
      <c r="R1148" s="74"/>
      <c r="S1148" s="74"/>
      <c r="T1148" s="74"/>
      <c r="U1148" s="74"/>
      <c r="V1148" s="45" t="b">
        <v>0</v>
      </c>
      <c r="W1148" s="45" t="str">
        <f>"Character/Prefabs/"&amp;VLOOKUP($C1148,'#Data'!$B$3:$I$344,8,FALSE)</f>
        <v>Character/Prefabs/m_s_attacker_plants_sticky_2</v>
      </c>
      <c r="X1148" s="45"/>
      <c r="Y1148" s="45" t="str">
        <f>VLOOKUP($C1148,'#Data'!$B$3:$I$344,8,FALSE)</f>
        <v>m_s_attacker_plants_sticky_2</v>
      </c>
      <c r="Z1148" s="45"/>
      <c r="AA1148" s="45"/>
      <c r="AB1148" s="45"/>
      <c r="AC1148" s="93">
        <v>0.9</v>
      </c>
      <c r="AD1148" s="45"/>
      <c r="AE1148" s="45"/>
      <c r="AF1148" s="45"/>
      <c r="AG1148" s="45" t="s">
        <v>2758</v>
      </c>
      <c r="AH1148" s="85"/>
    </row>
    <row r="1149" spans="1:34" x14ac:dyDescent="0.3">
      <c r="A1149" s="45">
        <f t="shared" si="34"/>
        <v>1610208110</v>
      </c>
      <c r="B1149" s="45" t="s">
        <v>210</v>
      </c>
      <c r="C1149" s="45" t="s">
        <v>1892</v>
      </c>
      <c r="D1149" s="45" t="str">
        <f>"Monster.Name."&amp;VLOOKUP($C1149,'#Data'!$B$2:$J$344,2,FALSE)</f>
        <v>Monster.Name.plants_stinger_2</v>
      </c>
      <c r="E1149" s="45" t="s">
        <v>43</v>
      </c>
      <c r="F1149" s="46" t="s">
        <v>44</v>
      </c>
      <c r="G1149" s="45" t="s">
        <v>45</v>
      </c>
      <c r="H1149" s="45" t="b">
        <f>IF(OR(VLOOKUP($C1149,'#Data'!$B$2:$J$344,4,FALSE)="보스",VLOOKUP($C1149,'#Data'!$B$2:$J$344,4,FALSE)="중간"),TRUE,FALSE)</f>
        <v>0</v>
      </c>
      <c r="I1149" s="45" t="b">
        <v>0</v>
      </c>
      <c r="J1149" s="45">
        <v>10</v>
      </c>
      <c r="K1149" s="45">
        <f t="shared" si="35"/>
        <v>10</v>
      </c>
      <c r="L1149" s="73" t="s">
        <v>1966</v>
      </c>
      <c r="M1149" s="73"/>
      <c r="N1149" s="73"/>
      <c r="O1149" s="141" t="s">
        <v>2058</v>
      </c>
      <c r="P1149" s="141" t="s">
        <v>1959</v>
      </c>
      <c r="Q1149" s="141"/>
      <c r="R1149" s="74"/>
      <c r="S1149" s="74"/>
      <c r="T1149" s="74"/>
      <c r="U1149" s="74"/>
      <c r="V1149" s="45" t="b">
        <v>0</v>
      </c>
      <c r="W1149" s="45" t="str">
        <f>"Character/Prefabs/"&amp;VLOOKUP($C1149,'#Data'!$B$3:$I$344,8,FALSE)</f>
        <v>Character/Prefabs/m_s_ranger_plants_stinger_2</v>
      </c>
      <c r="X1149" s="45"/>
      <c r="Y1149" s="45" t="str">
        <f>VLOOKUP($C1149,'#Data'!$B$3:$I$344,8,FALSE)</f>
        <v>m_s_ranger_plants_stinger_2</v>
      </c>
      <c r="Z1149" s="45"/>
      <c r="AA1149" s="45"/>
      <c r="AB1149" s="45"/>
      <c r="AC1149" s="93">
        <v>0.5</v>
      </c>
      <c r="AD1149" s="45"/>
      <c r="AE1149" s="45"/>
      <c r="AF1149" s="45"/>
      <c r="AG1149" s="45" t="s">
        <v>2758</v>
      </c>
      <c r="AH1149" s="85"/>
    </row>
    <row r="1150" spans="1:34" x14ac:dyDescent="0.3">
      <c r="A1150" s="45">
        <f t="shared" si="34"/>
        <v>1610208111</v>
      </c>
      <c r="B1150" s="45" t="s">
        <v>210</v>
      </c>
      <c r="C1150" s="45" t="s">
        <v>1893</v>
      </c>
      <c r="D1150" s="45" t="str">
        <f>"Monster.Name."&amp;VLOOKUP($C1150,'#Data'!$B$2:$J$344,2,FALSE)</f>
        <v>Monster.Name.plants_bark_2</v>
      </c>
      <c r="E1150" s="45" t="s">
        <v>43</v>
      </c>
      <c r="F1150" s="46" t="s">
        <v>44</v>
      </c>
      <c r="G1150" s="45" t="s">
        <v>45</v>
      </c>
      <c r="H1150" s="45" t="b">
        <f>IF(OR(VLOOKUP($C1150,'#Data'!$B$2:$J$344,4,FALSE)="보스",VLOOKUP($C1150,'#Data'!$B$2:$J$344,4,FALSE)="중간"),TRUE,FALSE)</f>
        <v>0</v>
      </c>
      <c r="I1150" s="45" t="b">
        <v>0</v>
      </c>
      <c r="J1150" s="45">
        <v>10</v>
      </c>
      <c r="K1150" s="45">
        <f t="shared" si="35"/>
        <v>10</v>
      </c>
      <c r="L1150" s="73" t="s">
        <v>1907</v>
      </c>
      <c r="M1150" s="73"/>
      <c r="N1150" s="73"/>
      <c r="O1150" s="141" t="s">
        <v>1913</v>
      </c>
      <c r="P1150" s="141" t="s">
        <v>2059</v>
      </c>
      <c r="Q1150" s="141" t="s">
        <v>1959</v>
      </c>
      <c r="R1150" s="74"/>
      <c r="S1150" s="74"/>
      <c r="T1150" s="74"/>
      <c r="U1150" s="74"/>
      <c r="V1150" s="45" t="b">
        <v>0</v>
      </c>
      <c r="W1150" s="45" t="str">
        <f>"Character/Prefabs/"&amp;VLOOKUP($C1150,'#Data'!$B$3:$I$344,8,FALSE)</f>
        <v>Character/Prefabs/m_m_attacker_plants_bark_2</v>
      </c>
      <c r="X1150" s="45"/>
      <c r="Y1150" s="45" t="str">
        <f>VLOOKUP($C1150,'#Data'!$B$3:$I$344,8,FALSE)</f>
        <v>m_m_attacker_plants_bark_2</v>
      </c>
      <c r="Z1150" s="45"/>
      <c r="AA1150" s="45"/>
      <c r="AB1150" s="45"/>
      <c r="AC1150" s="93">
        <v>0.7</v>
      </c>
      <c r="AD1150" s="45"/>
      <c r="AE1150" s="45"/>
      <c r="AF1150" s="45"/>
      <c r="AG1150" s="45" t="s">
        <v>2758</v>
      </c>
      <c r="AH1150" s="85"/>
    </row>
    <row r="1151" spans="1:34" x14ac:dyDescent="0.3">
      <c r="A1151" s="45">
        <f t="shared" si="34"/>
        <v>1610208112</v>
      </c>
      <c r="B1151" s="45" t="s">
        <v>210</v>
      </c>
      <c r="C1151" s="45" t="s">
        <v>1894</v>
      </c>
      <c r="D1151" s="45" t="str">
        <f>"Monster.Name."&amp;VLOOKUP($C1151,'#Data'!$B$2:$J$344,2,FALSE)</f>
        <v>Monster.Name.plants_branch_2</v>
      </c>
      <c r="E1151" s="45" t="s">
        <v>43</v>
      </c>
      <c r="F1151" s="46" t="s">
        <v>44</v>
      </c>
      <c r="G1151" s="45" t="s">
        <v>45</v>
      </c>
      <c r="H1151" s="45" t="b">
        <f>IF(OR(VLOOKUP($C1151,'#Data'!$B$2:$J$344,4,FALSE)="보스",VLOOKUP($C1151,'#Data'!$B$2:$J$344,4,FALSE)="중간"),TRUE,FALSE)</f>
        <v>0</v>
      </c>
      <c r="I1151" s="45" t="b">
        <v>0</v>
      </c>
      <c r="J1151" s="45">
        <v>10</v>
      </c>
      <c r="K1151" s="45">
        <f t="shared" si="35"/>
        <v>10</v>
      </c>
      <c r="L1151" s="73" t="s">
        <v>1908</v>
      </c>
      <c r="M1151" s="73"/>
      <c r="N1151" s="73"/>
      <c r="O1151" s="141" t="s">
        <v>1914</v>
      </c>
      <c r="P1151" s="141" t="s">
        <v>2060</v>
      </c>
      <c r="Q1151" s="141" t="s">
        <v>1959</v>
      </c>
      <c r="R1151" s="74"/>
      <c r="S1151" s="74"/>
      <c r="T1151" s="74"/>
      <c r="U1151" s="74"/>
      <c r="V1151" s="45" t="b">
        <v>0</v>
      </c>
      <c r="W1151" s="45" t="str">
        <f>"Character/Prefabs/"&amp;VLOOKUP($C1151,'#Data'!$B$3:$I$344,8,FALSE)</f>
        <v>Character/Prefabs/m_m_attacker_plants_branch_2</v>
      </c>
      <c r="X1151" s="45"/>
      <c r="Y1151" s="45" t="str">
        <f>VLOOKUP($C1151,'#Data'!$B$3:$I$344,8,FALSE)</f>
        <v>m_m_attacker_plants_branch_2</v>
      </c>
      <c r="Z1151" s="45"/>
      <c r="AA1151" s="45"/>
      <c r="AB1151" s="45"/>
      <c r="AC1151" s="93">
        <v>0.7</v>
      </c>
      <c r="AD1151" s="45"/>
      <c r="AE1151" s="45"/>
      <c r="AF1151" s="45"/>
      <c r="AG1151" s="45" t="s">
        <v>2758</v>
      </c>
      <c r="AH1151" s="85"/>
    </row>
    <row r="1152" spans="1:34" x14ac:dyDescent="0.3">
      <c r="A1152" s="45">
        <f t="shared" si="34"/>
        <v>1610208113</v>
      </c>
      <c r="B1152" s="45" t="s">
        <v>210</v>
      </c>
      <c r="C1152" s="45" t="s">
        <v>1895</v>
      </c>
      <c r="D1152" s="45" t="str">
        <f>"Monster.Name."&amp;VLOOKUP($C1152,'#Data'!$B$2:$J$344,2,FALSE)</f>
        <v>Monster.Name.plants_shooter_2</v>
      </c>
      <c r="E1152" s="45" t="s">
        <v>47</v>
      </c>
      <c r="F1152" s="46" t="s">
        <v>44</v>
      </c>
      <c r="G1152" s="45" t="s">
        <v>45</v>
      </c>
      <c r="H1152" s="45" t="b">
        <f>IF(OR(VLOOKUP($C1152,'#Data'!$B$2:$J$344,4,FALSE)="보스",VLOOKUP($C1152,'#Data'!$B$2:$J$344,4,FALSE)="중간"),TRUE,FALSE)</f>
        <v>0</v>
      </c>
      <c r="I1152" s="45" t="b">
        <v>0</v>
      </c>
      <c r="J1152" s="45">
        <v>10</v>
      </c>
      <c r="K1152" s="45">
        <f t="shared" si="35"/>
        <v>10</v>
      </c>
      <c r="L1152" s="73" t="s">
        <v>1909</v>
      </c>
      <c r="M1152" s="73"/>
      <c r="N1152" s="73"/>
      <c r="O1152" s="141" t="s">
        <v>1915</v>
      </c>
      <c r="P1152" s="141" t="s">
        <v>2061</v>
      </c>
      <c r="Q1152" s="141" t="s">
        <v>1959</v>
      </c>
      <c r="R1152" s="74"/>
      <c r="S1152" s="74"/>
      <c r="T1152" s="74"/>
      <c r="U1152" s="74"/>
      <c r="V1152" s="45" t="b">
        <v>0</v>
      </c>
      <c r="W1152" s="45" t="str">
        <f>"Character/Prefabs/"&amp;VLOOKUP($C1152,'#Data'!$B$3:$I$344,8,FALSE)</f>
        <v>Character/Prefabs/m_m_ranger_plants_shooter_2</v>
      </c>
      <c r="X1152" s="45"/>
      <c r="Y1152" s="45" t="str">
        <f>VLOOKUP($C1152,'#Data'!$B$3:$I$344,8,FALSE)</f>
        <v>m_m_ranger_plants_shooter_2</v>
      </c>
      <c r="Z1152" s="45"/>
      <c r="AA1152" s="45"/>
      <c r="AB1152" s="45"/>
      <c r="AC1152" s="93">
        <v>0.9</v>
      </c>
      <c r="AD1152" s="45"/>
      <c r="AE1152" s="45"/>
      <c r="AF1152" s="45"/>
      <c r="AG1152" s="45" t="s">
        <v>2758</v>
      </c>
      <c r="AH1152" s="85"/>
    </row>
    <row r="1153" spans="1:34" x14ac:dyDescent="0.3">
      <c r="A1153" s="45">
        <f t="shared" si="34"/>
        <v>1610208114</v>
      </c>
      <c r="B1153" s="45" t="s">
        <v>210</v>
      </c>
      <c r="C1153" s="45" t="s">
        <v>1896</v>
      </c>
      <c r="D1153" s="45" t="str">
        <f>"Monster.Name."&amp;VLOOKUP($C1153,'#Data'!$B$2:$J$344,2,FALSE)</f>
        <v>Monster.Name.plants_cannon_2</v>
      </c>
      <c r="E1153" s="45" t="s">
        <v>47</v>
      </c>
      <c r="F1153" s="46" t="s">
        <v>44</v>
      </c>
      <c r="G1153" s="45" t="s">
        <v>45</v>
      </c>
      <c r="H1153" s="45" t="b">
        <f>IF(OR(VLOOKUP($C1153,'#Data'!$B$2:$J$344,4,FALSE)="보스",VLOOKUP($C1153,'#Data'!$B$2:$J$344,4,FALSE)="중간"),TRUE,FALSE)</f>
        <v>0</v>
      </c>
      <c r="I1153" s="45" t="b">
        <v>0</v>
      </c>
      <c r="J1153" s="45">
        <v>10</v>
      </c>
      <c r="K1153" s="45">
        <f t="shared" si="35"/>
        <v>10</v>
      </c>
      <c r="L1153" s="73" t="s">
        <v>1910</v>
      </c>
      <c r="M1153" s="73"/>
      <c r="N1153" s="73"/>
      <c r="O1153" s="141" t="s">
        <v>1917</v>
      </c>
      <c r="P1153" s="141" t="s">
        <v>2062</v>
      </c>
      <c r="Q1153" s="141" t="s">
        <v>1959</v>
      </c>
      <c r="R1153" s="74"/>
      <c r="S1153" s="74"/>
      <c r="T1153" s="74"/>
      <c r="U1153" s="74"/>
      <c r="V1153" s="45" t="b">
        <v>0</v>
      </c>
      <c r="W1153" s="45" t="str">
        <f>"Character/Prefabs/"&amp;VLOOKUP($C1153,'#Data'!$B$3:$I$344,8,FALSE)</f>
        <v>Character/Prefabs/m_m_ranger_plants_cannon_2</v>
      </c>
      <c r="X1153" s="45"/>
      <c r="Y1153" s="45" t="str">
        <f>VLOOKUP($C1153,'#Data'!$B$3:$I$344,8,FALSE)</f>
        <v>m_m_ranger_plants_cannon_2</v>
      </c>
      <c r="Z1153" s="45"/>
      <c r="AA1153" s="45"/>
      <c r="AB1153" s="45"/>
      <c r="AC1153" s="93">
        <v>0.9</v>
      </c>
      <c r="AD1153" s="45"/>
      <c r="AE1153" s="45"/>
      <c r="AF1153" s="45"/>
      <c r="AG1153" s="45" t="s">
        <v>2758</v>
      </c>
      <c r="AH1153" s="85"/>
    </row>
    <row r="1154" spans="1:34" x14ac:dyDescent="0.3">
      <c r="A1154" s="45">
        <f t="shared" si="34"/>
        <v>1610208115</v>
      </c>
      <c r="B1154" s="45" t="s">
        <v>210</v>
      </c>
      <c r="C1154" s="45" t="s">
        <v>1897</v>
      </c>
      <c r="D1154" s="45" t="str">
        <f>"Monster.Name."&amp;VLOOKUP($C1154,'#Data'!$B$2:$J$344,2,FALSE)</f>
        <v>Monster.Name.creeper_seed_2</v>
      </c>
      <c r="E1154" s="45" t="s">
        <v>58</v>
      </c>
      <c r="F1154" s="46" t="s">
        <v>44</v>
      </c>
      <c r="G1154" s="45" t="s">
        <v>45</v>
      </c>
      <c r="H1154" s="45" t="b">
        <f>IF(OR(VLOOKUP($C1154,'#Data'!$B$2:$J$344,4,FALSE)="보스",VLOOKUP($C1154,'#Data'!$B$2:$J$344,4,FALSE)="중간"),TRUE,FALSE)</f>
        <v>0</v>
      </c>
      <c r="I1154" s="45" t="b">
        <v>0</v>
      </c>
      <c r="J1154" s="45">
        <v>10</v>
      </c>
      <c r="K1154" s="45">
        <f t="shared" si="35"/>
        <v>10</v>
      </c>
      <c r="L1154" s="73" t="s">
        <v>1911</v>
      </c>
      <c r="M1154" s="73"/>
      <c r="N1154" s="73"/>
      <c r="O1154" s="141" t="s">
        <v>1918</v>
      </c>
      <c r="P1154" s="141" t="s">
        <v>2063</v>
      </c>
      <c r="Q1154" s="141" t="s">
        <v>1959</v>
      </c>
      <c r="R1154" s="74"/>
      <c r="S1154" s="74"/>
      <c r="T1154" s="74"/>
      <c r="U1154" s="74"/>
      <c r="V1154" s="45" t="b">
        <v>0</v>
      </c>
      <c r="W1154" s="45" t="str">
        <f>"Character/Prefabs/"&amp;VLOOKUP($C1154,'#Data'!$B$3:$I$344,8,FALSE)</f>
        <v>Character/Prefabs/m_m_tanker_creeper_seed_2</v>
      </c>
      <c r="X1154" s="45"/>
      <c r="Y1154" s="45" t="str">
        <f>VLOOKUP($C1154,'#Data'!$B$3:$I$344,8,FALSE)</f>
        <v>m_m_tanker_creeper_seed_2</v>
      </c>
      <c r="Z1154" s="45"/>
      <c r="AA1154" s="45"/>
      <c r="AB1154" s="45"/>
      <c r="AC1154" s="93">
        <v>0.6</v>
      </c>
      <c r="AD1154" s="45"/>
      <c r="AE1154" s="45"/>
      <c r="AF1154" s="45"/>
      <c r="AG1154" s="45" t="s">
        <v>2758</v>
      </c>
      <c r="AH1154" s="85"/>
    </row>
    <row r="1155" spans="1:34" x14ac:dyDescent="0.3">
      <c r="A1155" s="45">
        <f t="shared" si="34"/>
        <v>1610208116</v>
      </c>
      <c r="B1155" s="45" t="s">
        <v>210</v>
      </c>
      <c r="C1155" s="45" t="s">
        <v>1898</v>
      </c>
      <c r="D1155" s="45" t="str">
        <f>"Monster.Name."&amp;VLOOKUP($C1155,'#Data'!$B$2:$J$344,2,FALSE)</f>
        <v>Monster.Name.plants_garden_2</v>
      </c>
      <c r="E1155" s="45" t="s">
        <v>47</v>
      </c>
      <c r="F1155" s="46" t="s">
        <v>44</v>
      </c>
      <c r="G1155" s="45" t="s">
        <v>45</v>
      </c>
      <c r="H1155" s="45" t="b">
        <f>IF(OR(VLOOKUP($C1155,'#Data'!$B$2:$J$344,4,FALSE)="보스",VLOOKUP($C1155,'#Data'!$B$2:$J$344,4,FALSE)="중간"),TRUE,FALSE)</f>
        <v>0</v>
      </c>
      <c r="I1155" s="45" t="b">
        <v>0</v>
      </c>
      <c r="J1155" s="45">
        <v>10</v>
      </c>
      <c r="K1155" s="45">
        <f t="shared" si="35"/>
        <v>10</v>
      </c>
      <c r="L1155" s="73" t="s">
        <v>1912</v>
      </c>
      <c r="M1155" s="73"/>
      <c r="N1155" s="73"/>
      <c r="O1155" s="141" t="s">
        <v>1916</v>
      </c>
      <c r="P1155" s="141" t="s">
        <v>2064</v>
      </c>
      <c r="Q1155" s="141" t="s">
        <v>1959</v>
      </c>
      <c r="R1155" s="74"/>
      <c r="S1155" s="74"/>
      <c r="T1155" s="74"/>
      <c r="U1155" s="74"/>
      <c r="V1155" s="45" t="b">
        <v>0</v>
      </c>
      <c r="W1155" s="45" t="str">
        <f>"Character/Prefabs/"&amp;VLOOKUP($C1155,'#Data'!$B$3:$I$344,8,FALSE)</f>
        <v>Character/Prefabs/m_m_ranger_plants_garden_2</v>
      </c>
      <c r="X1155" s="45"/>
      <c r="Y1155" s="45" t="str">
        <f>VLOOKUP($C1155,'#Data'!$B$3:$I$344,8,FALSE)</f>
        <v>m_m_ranger_plants_garden_2</v>
      </c>
      <c r="Z1155" s="45"/>
      <c r="AA1155" s="45"/>
      <c r="AB1155" s="45"/>
      <c r="AC1155" s="93">
        <v>0.5</v>
      </c>
      <c r="AD1155" s="45"/>
      <c r="AE1155" s="45"/>
      <c r="AF1155" s="45"/>
      <c r="AG1155" s="45" t="s">
        <v>2758</v>
      </c>
      <c r="AH1155" s="85"/>
    </row>
    <row r="1156" spans="1:34" x14ac:dyDescent="0.3">
      <c r="A1156" s="45">
        <f t="shared" si="34"/>
        <v>1610208117</v>
      </c>
      <c r="B1156" s="45" t="s">
        <v>210</v>
      </c>
      <c r="C1156" s="45" t="s">
        <v>1925</v>
      </c>
      <c r="D1156" s="13" t="s">
        <v>1919</v>
      </c>
      <c r="E1156" s="13" t="s">
        <v>43</v>
      </c>
      <c r="F1156" s="44" t="s">
        <v>44</v>
      </c>
      <c r="G1156" s="13" t="s">
        <v>45</v>
      </c>
      <c r="H1156" s="13" t="b">
        <v>0</v>
      </c>
      <c r="I1156" s="13" t="b">
        <v>0</v>
      </c>
      <c r="J1156" s="13">
        <v>10</v>
      </c>
      <c r="K1156" s="13">
        <f t="shared" si="35"/>
        <v>10</v>
      </c>
      <c r="L1156" s="71" t="s">
        <v>1946</v>
      </c>
      <c r="M1156" s="71"/>
      <c r="N1156" s="71"/>
      <c r="O1156" s="141" t="s">
        <v>1948</v>
      </c>
      <c r="P1156" s="140"/>
      <c r="Q1156" s="140"/>
      <c r="R1156" s="72"/>
      <c r="S1156" s="72"/>
      <c r="T1156" s="72"/>
      <c r="U1156" s="72"/>
      <c r="V1156" s="13" t="b">
        <v>0</v>
      </c>
      <c r="W1156" s="13" t="s">
        <v>1920</v>
      </c>
      <c r="X1156" s="13"/>
      <c r="Y1156" s="13" t="s">
        <v>1921</v>
      </c>
      <c r="Z1156" s="13"/>
      <c r="AA1156" s="13"/>
      <c r="AB1156" s="13"/>
      <c r="AC1156" s="92">
        <v>0.7</v>
      </c>
      <c r="AD1156" s="13"/>
      <c r="AE1156" s="13"/>
      <c r="AF1156" s="13"/>
      <c r="AG1156" s="13" t="s">
        <v>2758</v>
      </c>
      <c r="AH1156" s="85"/>
    </row>
    <row r="1157" spans="1:34" x14ac:dyDescent="0.3">
      <c r="A1157" s="45">
        <f t="shared" si="34"/>
        <v>1610208118</v>
      </c>
      <c r="B1157" s="45" t="s">
        <v>210</v>
      </c>
      <c r="C1157" s="45" t="s">
        <v>1926</v>
      </c>
      <c r="D1157" s="13" t="s">
        <v>1922</v>
      </c>
      <c r="E1157" s="13" t="s">
        <v>43</v>
      </c>
      <c r="F1157" s="44" t="s">
        <v>44</v>
      </c>
      <c r="G1157" s="13" t="s">
        <v>45</v>
      </c>
      <c r="H1157" s="13" t="b">
        <v>0</v>
      </c>
      <c r="I1157" s="13" t="b">
        <v>0</v>
      </c>
      <c r="J1157" s="13">
        <v>10</v>
      </c>
      <c r="K1157" s="13">
        <f t="shared" si="35"/>
        <v>10</v>
      </c>
      <c r="L1157" s="71" t="s">
        <v>1947</v>
      </c>
      <c r="M1157" s="71"/>
      <c r="N1157" s="71"/>
      <c r="O1157" s="141" t="s">
        <v>1949</v>
      </c>
      <c r="P1157" s="140"/>
      <c r="Q1157" s="140"/>
      <c r="R1157" s="72"/>
      <c r="S1157" s="72"/>
      <c r="T1157" s="72"/>
      <c r="U1157" s="72"/>
      <c r="V1157" s="13" t="b">
        <v>0</v>
      </c>
      <c r="W1157" s="13" t="s">
        <v>1923</v>
      </c>
      <c r="X1157" s="13"/>
      <c r="Y1157" s="13" t="s">
        <v>1924</v>
      </c>
      <c r="Z1157" s="13"/>
      <c r="AA1157" s="13"/>
      <c r="AB1157" s="13"/>
      <c r="AC1157" s="92">
        <v>0.7</v>
      </c>
      <c r="AD1157" s="13"/>
      <c r="AE1157" s="13"/>
      <c r="AF1157" s="13"/>
      <c r="AG1157" s="13" t="s">
        <v>2758</v>
      </c>
      <c r="AH1157" s="85"/>
    </row>
    <row r="1158" spans="1:34" x14ac:dyDescent="0.3">
      <c r="A1158" s="45">
        <f t="shared" si="34"/>
        <v>1610208201</v>
      </c>
      <c r="B1158" s="45" t="s">
        <v>210</v>
      </c>
      <c r="C1158" s="45" t="s">
        <v>219</v>
      </c>
      <c r="D1158" s="45" t="str">
        <f>"Monster.Name."&amp;VLOOKUP($C1158,'#Data'!$B$2:$J$344,2,FALSE)</f>
        <v>Monster.Name.plants_mortor_1</v>
      </c>
      <c r="E1158" s="45" t="s">
        <v>47</v>
      </c>
      <c r="F1158" s="46" t="s">
        <v>44</v>
      </c>
      <c r="G1158" s="45" t="s">
        <v>45</v>
      </c>
      <c r="H1158" s="45" t="b">
        <f>IF(OR(VLOOKUP($C1158,'#Data'!$B$2:$J$344,4,FALSE)="보스",VLOOKUP($C1158,'#Data'!$B$2:$J$344,4,FALSE)="중간"),TRUE,FALSE)</f>
        <v>1</v>
      </c>
      <c r="I1158" s="45" t="b">
        <v>1</v>
      </c>
      <c r="J1158" s="45">
        <v>10</v>
      </c>
      <c r="K1158" s="45">
        <f t="shared" si="35"/>
        <v>10</v>
      </c>
      <c r="L1158" s="73" t="str">
        <f>$B1158&amp;"."&amp;VLOOKUP($C1158,'#Data'!$B$2:$J$344,2,FALSE)&amp;".attack0"&amp;RIGHT(L$1,1)</f>
        <v>Sector08.plants_mortor_1.attack01</v>
      </c>
      <c r="M1158" s="73"/>
      <c r="N1158" s="73"/>
      <c r="O1158" s="141" t="str">
        <f>$B1158&amp;"."&amp;VLOOKUP($C1158,'#Data'!$B$2:$J$344,2,FALSE)&amp;".skill0"&amp;RIGHT(O$1,1)</f>
        <v>Sector08.plants_mortor_1.skill01</v>
      </c>
      <c r="P1158" s="141" t="str">
        <f>$B1158&amp;"."&amp;VLOOKUP($C1158,'#Data'!$B$2:$J$344,2,FALSE)&amp;".skill0"&amp;RIGHT(P$1,1)</f>
        <v>Sector08.plants_mortor_1.skill02</v>
      </c>
      <c r="Q1158" s="141" t="str">
        <f>$B1158&amp;"."&amp;VLOOKUP($C1158,'#Data'!$B$2:$J$344,2,FALSE)&amp;".skill0"&amp;RIGHT(Q$1,1)</f>
        <v>Sector08.plants_mortor_1.skill03</v>
      </c>
      <c r="R1158" s="74" t="s">
        <v>1959</v>
      </c>
      <c r="S1158" s="74" t="s">
        <v>2078</v>
      </c>
      <c r="T1158" s="74"/>
      <c r="U1158" s="74"/>
      <c r="V1158" s="45" t="b">
        <v>0</v>
      </c>
      <c r="W1158" s="45" t="str">
        <f>"Character/Prefabs/"&amp;VLOOKUP($C1158,'#Data'!$B$3:$I$344,8,FALSE)</f>
        <v>Character/Prefabs/m_l_ranger_plants_mortor_1</v>
      </c>
      <c r="X1158" s="45"/>
      <c r="Y1158" s="45" t="str">
        <f>VLOOKUP($C1158,'#Data'!$B$3:$I$344,8,FALSE)</f>
        <v>m_l_ranger_plants_mortor_1</v>
      </c>
      <c r="Z1158" s="45"/>
      <c r="AA1158" s="45"/>
      <c r="AB1158" s="45"/>
      <c r="AC1158" s="93">
        <v>1.1000000000000001</v>
      </c>
      <c r="AD1158" s="45"/>
      <c r="AE1158" s="45"/>
      <c r="AF1158" s="45"/>
      <c r="AG1158" s="45" t="s">
        <v>2758</v>
      </c>
      <c r="AH1158" s="85"/>
    </row>
    <row r="1159" spans="1:34" x14ac:dyDescent="0.3">
      <c r="A1159" s="45">
        <f t="shared" si="34"/>
        <v>1610208202</v>
      </c>
      <c r="B1159" s="45" t="s">
        <v>210</v>
      </c>
      <c r="C1159" s="45" t="s">
        <v>220</v>
      </c>
      <c r="D1159" s="45" t="str">
        <f>"Monster.Name."&amp;VLOOKUP($C1159,'#Data'!$B$2:$J$344,2,FALSE)</f>
        <v>Monster.Name.plants_robust_1</v>
      </c>
      <c r="E1159" s="45" t="s">
        <v>58</v>
      </c>
      <c r="F1159" s="46" t="s">
        <v>44</v>
      </c>
      <c r="G1159" s="45" t="s">
        <v>45</v>
      </c>
      <c r="H1159" s="45" t="b">
        <f>IF(OR(VLOOKUP($C1159,'#Data'!$B$2:$J$344,4,FALSE)="보스",VLOOKUP($C1159,'#Data'!$B$2:$J$344,4,FALSE)="중간"),TRUE,FALSE)</f>
        <v>1</v>
      </c>
      <c r="I1159" s="45" t="b">
        <v>1</v>
      </c>
      <c r="J1159" s="45">
        <v>10</v>
      </c>
      <c r="K1159" s="45">
        <f t="shared" si="35"/>
        <v>10</v>
      </c>
      <c r="L1159" s="73" t="str">
        <f>$B1159&amp;"."&amp;VLOOKUP($C1159,'#Data'!$B$2:$J$344,2,FALSE)&amp;".attack0"&amp;RIGHT(L$1,1)</f>
        <v>Sector08.plants_robust_1.attack01</v>
      </c>
      <c r="M1159" s="73"/>
      <c r="N1159" s="73"/>
      <c r="O1159" s="141" t="str">
        <f>$B1159&amp;"."&amp;VLOOKUP($C1159,'#Data'!$B$2:$J$344,2,FALSE)&amp;".skill0"&amp;RIGHT(O$1,1)</f>
        <v>Sector08.plants_robust_1.skill01</v>
      </c>
      <c r="P1159" s="141" t="str">
        <f>$B1159&amp;"."&amp;VLOOKUP($C1159,'#Data'!$B$2:$J$344,2,FALSE)&amp;".skill0"&amp;RIGHT(P$1,1)</f>
        <v>Sector08.plants_robust_1.skill02</v>
      </c>
      <c r="Q1159" s="141" t="str">
        <f>$B1159&amp;"."&amp;VLOOKUP($C1159,'#Data'!$B$2:$J$344,2,FALSE)&amp;".skill0"&amp;RIGHT(Q$1,1)</f>
        <v>Sector08.plants_robust_1.skill03</v>
      </c>
      <c r="R1159" s="74" t="s">
        <v>1959</v>
      </c>
      <c r="S1159" s="74" t="s">
        <v>2078</v>
      </c>
      <c r="T1159" s="74"/>
      <c r="U1159" s="74"/>
      <c r="V1159" s="45" t="b">
        <v>0</v>
      </c>
      <c r="W1159" s="45" t="str">
        <f>"Character/Prefabs/"&amp;VLOOKUP($C1159,'#Data'!$B$3:$I$344,8,FALSE)</f>
        <v>Character/Prefabs/m_l_tanker_plants_robust_1</v>
      </c>
      <c r="X1159" s="45"/>
      <c r="Y1159" s="45" t="str">
        <f>VLOOKUP($C1159,'#Data'!$B$3:$I$344,8,FALSE)</f>
        <v>m_l_tanker_plants_robust_1</v>
      </c>
      <c r="Z1159" s="45"/>
      <c r="AA1159" s="45"/>
      <c r="AB1159" s="45"/>
      <c r="AC1159" s="93">
        <v>0.9</v>
      </c>
      <c r="AD1159" s="45"/>
      <c r="AE1159" s="45"/>
      <c r="AF1159" s="45"/>
      <c r="AG1159" s="45" t="s">
        <v>2758</v>
      </c>
      <c r="AH1159" s="85"/>
    </row>
    <row r="1160" spans="1:34" x14ac:dyDescent="0.3">
      <c r="A1160" s="45">
        <f t="shared" si="34"/>
        <v>1610208203</v>
      </c>
      <c r="B1160" s="45" t="s">
        <v>210</v>
      </c>
      <c r="C1160" s="45" t="s">
        <v>221</v>
      </c>
      <c r="D1160" s="45" t="str">
        <f>"Monster.Name."&amp;VLOOKUP($C1160,'#Data'!$B$2:$J$344,2,FALSE)</f>
        <v>Monster.Name.plants_decay_1</v>
      </c>
      <c r="E1160" s="45" t="s">
        <v>43</v>
      </c>
      <c r="F1160" s="46" t="s">
        <v>44</v>
      </c>
      <c r="G1160" s="45" t="s">
        <v>45</v>
      </c>
      <c r="H1160" s="45" t="b">
        <f>IF(OR(VLOOKUP($C1160,'#Data'!$B$2:$J$344,4,FALSE)="보스",VLOOKUP($C1160,'#Data'!$B$2:$J$344,4,FALSE)="중간"),TRUE,FALSE)</f>
        <v>1</v>
      </c>
      <c r="I1160" s="45" t="b">
        <v>1</v>
      </c>
      <c r="J1160" s="45">
        <v>20</v>
      </c>
      <c r="K1160" s="45">
        <f t="shared" si="35"/>
        <v>10</v>
      </c>
      <c r="L1160" s="73" t="str">
        <f>$B1160&amp;"."&amp;VLOOKUP($C1160,'#Data'!$B$2:$J$344,2,FALSE)&amp;".attack0"&amp;RIGHT(L$1,1)</f>
        <v>Sector08.plants_decay_1.attack01</v>
      </c>
      <c r="M1160" s="73"/>
      <c r="N1160" s="73"/>
      <c r="O1160" s="141" t="str">
        <f>$B1160&amp;"."&amp;VLOOKUP($C1160,'#Data'!$B$2:$J$344,2,FALSE)&amp;".skill0"&amp;RIGHT(O$1,1)</f>
        <v>Sector08.plants_decay_1.skill01</v>
      </c>
      <c r="P1160" s="141" t="str">
        <f>$B1160&amp;"."&amp;VLOOKUP($C1160,'#Data'!$B$2:$J$344,2,FALSE)&amp;".skill0"&amp;RIGHT(P$1,1)</f>
        <v>Sector08.plants_decay_1.skill02</v>
      </c>
      <c r="Q1160" s="141" t="str">
        <f>$B1160&amp;"."&amp;VLOOKUP($C1160,'#Data'!$B$2:$J$344,2,FALSE)&amp;".skill0"&amp;RIGHT(Q$1,1)</f>
        <v>Sector08.plants_decay_1.skill03</v>
      </c>
      <c r="R1160" s="74" t="s">
        <v>1959</v>
      </c>
      <c r="S1160" s="74" t="s">
        <v>2077</v>
      </c>
      <c r="T1160" s="74"/>
      <c r="U1160" s="74"/>
      <c r="V1160" s="45" t="b">
        <v>0</v>
      </c>
      <c r="W1160" s="45" t="str">
        <f>"Character/Prefabs/"&amp;VLOOKUP($C1160,'#Data'!$B$3:$I$344,8,FALSE)</f>
        <v>Character/Prefabs/m_l_attacker_plants_decay_1</v>
      </c>
      <c r="X1160" s="45"/>
      <c r="Y1160" s="45" t="str">
        <f>VLOOKUP($C1160,'#Data'!$B$3:$I$344,8,FALSE)</f>
        <v>m_l_attacker_plants_decay_1</v>
      </c>
      <c r="Z1160" s="45"/>
      <c r="AA1160" s="45"/>
      <c r="AB1160" s="45"/>
      <c r="AC1160" s="93">
        <v>1.1000000000000001</v>
      </c>
      <c r="AD1160" s="45"/>
      <c r="AE1160" s="45"/>
      <c r="AF1160" s="45"/>
      <c r="AG1160" s="45" t="s">
        <v>2758</v>
      </c>
      <c r="AH1160" s="85"/>
    </row>
    <row r="1161" spans="1:34" x14ac:dyDescent="0.3">
      <c r="A1161" s="45">
        <f t="shared" si="34"/>
        <v>1610208301</v>
      </c>
      <c r="B1161" s="45" t="s">
        <v>210</v>
      </c>
      <c r="C1161" s="45" t="s">
        <v>222</v>
      </c>
      <c r="D1161" s="45" t="str">
        <f>"Monster.Name."&amp;VLOOKUP($C1161,'#Data'!$B$2:$J$344,2,FALSE)</f>
        <v>Monster.Name.crawler_1</v>
      </c>
      <c r="E1161" s="45" t="s">
        <v>43</v>
      </c>
      <c r="F1161" s="46" t="s">
        <v>44</v>
      </c>
      <c r="G1161" s="45" t="s">
        <v>45</v>
      </c>
      <c r="H1161" s="45" t="b">
        <f>IF(OR(VLOOKUP($C1161,'#Data'!$B$2:$J$344,4,FALSE)="보스",VLOOKUP($C1161,'#Data'!$B$2:$J$344,4,FALSE)="중간"),TRUE,FALSE)</f>
        <v>1</v>
      </c>
      <c r="I1161" s="45" t="b">
        <v>1</v>
      </c>
      <c r="J1161" s="45">
        <v>20</v>
      </c>
      <c r="K1161" s="45">
        <f t="shared" si="35"/>
        <v>10</v>
      </c>
      <c r="L1161" s="73" t="str">
        <f>$B1161&amp;"."&amp;VLOOKUP($C1161,'#Data'!$B$2:$J$344,2,FALSE)&amp;".attack0"&amp;RIGHT(L$1,1)</f>
        <v>Sector08.crawler_1.attack01</v>
      </c>
      <c r="M1161" s="73" t="str">
        <f>$B1161&amp;"."&amp;VLOOKUP($C1161,'#Data'!$B$2:$J$344,2,FALSE)&amp;".attack0"&amp;RIGHT(M$1,1)</f>
        <v>Sector08.crawler_1.attack02</v>
      </c>
      <c r="N1161" s="73"/>
      <c r="O1161" s="141" t="str">
        <f>$B1161&amp;"."&amp;VLOOKUP($C1161,'#Data'!$B$2:$J$344,2,FALSE)&amp;".skill0"&amp;RIGHT(O$1,1)</f>
        <v>Sector08.crawler_1.skill01</v>
      </c>
      <c r="P1161" s="141" t="str">
        <f>$B1161&amp;"."&amp;VLOOKUP($C1161,'#Data'!$B$2:$J$344,2,FALSE)&amp;".skill0"&amp;RIGHT(P$1,1)</f>
        <v>Sector08.crawler_1.skill02</v>
      </c>
      <c r="Q1161" s="141" t="str">
        <f>$B1161&amp;"."&amp;VLOOKUP($C1161,'#Data'!$B$2:$J$344,2,FALSE)&amp;".skill0"&amp;RIGHT(Q$1,1)</f>
        <v>Sector08.crawler_1.skill03</v>
      </c>
      <c r="R1161" s="74" t="s">
        <v>1927</v>
      </c>
      <c r="S1161" s="74" t="s">
        <v>76</v>
      </c>
      <c r="T1161" s="74"/>
      <c r="U1161" s="74"/>
      <c r="V1161" s="45" t="b">
        <v>0</v>
      </c>
      <c r="W1161" s="45" t="str">
        <f>"Character/Prefabs/"&amp;VLOOKUP($C1161,'#Data'!$B$3:$I$344,8,FALSE)</f>
        <v>Character/Prefabs/m_boss_attacker_crawler_1</v>
      </c>
      <c r="X1161" s="45"/>
      <c r="Y1161" s="45" t="str">
        <f>VLOOKUP($C1161,'#Data'!$B$3:$I$344,8,FALSE)</f>
        <v>m_boss_attacker_crawler_1</v>
      </c>
      <c r="Z1161" s="45"/>
      <c r="AA1161" s="45"/>
      <c r="AB1161" s="45"/>
      <c r="AC1161" s="93">
        <v>1.2</v>
      </c>
      <c r="AD1161" s="45"/>
      <c r="AE1161" s="45" t="s">
        <v>1950</v>
      </c>
      <c r="AF1161" s="45" t="s">
        <v>1952</v>
      </c>
      <c r="AG1161" s="45" t="s">
        <v>2758</v>
      </c>
      <c r="AH1161" s="85"/>
    </row>
    <row r="1162" spans="1:34" x14ac:dyDescent="0.3">
      <c r="A1162" s="117">
        <f t="shared" si="34"/>
        <v>1610208302</v>
      </c>
      <c r="B1162" s="117" t="s">
        <v>210</v>
      </c>
      <c r="C1162" s="117" t="s">
        <v>2088</v>
      </c>
      <c r="D1162" s="117" t="str">
        <f>"Monster.Name."&amp;VLOOKUP($C1162,'#Data'!$B$2:$J$344,2,FALSE)</f>
        <v>Monster.Name.skull_crawler_1</v>
      </c>
      <c r="E1162" s="117" t="s">
        <v>43</v>
      </c>
      <c r="F1162" s="118" t="s">
        <v>44</v>
      </c>
      <c r="G1162" s="117" t="s">
        <v>45</v>
      </c>
      <c r="H1162" s="117" t="b">
        <f>IF(OR(VLOOKUP($C1162,'#Data'!$B$2:$J$344,4,FALSE)="보스",VLOOKUP($C1162,'#Data'!$B$2:$J$344,4,FALSE)="중간"),TRUE,FALSE)</f>
        <v>1</v>
      </c>
      <c r="I1162" s="117" t="b">
        <v>1</v>
      </c>
      <c r="J1162" s="117">
        <v>20</v>
      </c>
      <c r="K1162" s="117">
        <f t="shared" si="35"/>
        <v>10</v>
      </c>
      <c r="L1162" s="119" t="str">
        <f>$B1162&amp;"."&amp;VLOOKUP($C1162,'#Data'!$B$2:$J$344,2,FALSE)&amp;".attack0"&amp;RIGHT(L$1,1)</f>
        <v>Sector08.skull_crawler_1.attack01</v>
      </c>
      <c r="M1162" s="119" t="str">
        <f>$B1162&amp;"."&amp;VLOOKUP($C1162,'#Data'!$B$2:$J$344,2,FALSE)&amp;".attack0"&amp;RIGHT(M$1,1)</f>
        <v>Sector08.skull_crawler_1.attack02</v>
      </c>
      <c r="N1162" s="119"/>
      <c r="O1162" s="142" t="str">
        <f>$B1162&amp;"."&amp;VLOOKUP($C1162,'#Data'!$B$2:$J$344,2,FALSE)&amp;".skill0"&amp;RIGHT(O$1,1)</f>
        <v>Sector08.skull_crawler_1.skill01</v>
      </c>
      <c r="P1162" s="142" t="str">
        <f>$B1162&amp;"."&amp;VLOOKUP($C1162,'#Data'!$B$2:$J$344,2,FALSE)&amp;".skill0"&amp;RIGHT(P$1,1)</f>
        <v>Sector08.skull_crawler_1.skill02</v>
      </c>
      <c r="Q1162" s="142" t="str">
        <f>$B1162&amp;"."&amp;VLOOKUP($C1162,'#Data'!$B$2:$J$344,2,FALSE)&amp;".skill0"&amp;RIGHT(Q$1,1)</f>
        <v>Sector08.skull_crawler_1.skill03</v>
      </c>
      <c r="R1162" s="120" t="s">
        <v>1927</v>
      </c>
      <c r="S1162" s="120" t="s">
        <v>76</v>
      </c>
      <c r="T1162" s="120"/>
      <c r="U1162" s="120"/>
      <c r="V1162" s="117" t="b">
        <v>0</v>
      </c>
      <c r="W1162" s="117" t="str">
        <f>"Character/Prefabs/"&amp;VLOOKUP($C1162,'#Data'!$B$3:$I$344,8,FALSE)</f>
        <v>Character/Prefabs/m_boss_attacker_skull_crawler_1</v>
      </c>
      <c r="X1162" s="117"/>
      <c r="Y1162" s="117" t="str">
        <f>VLOOKUP($C1162,'#Data'!$B$3:$I$344,8,FALSE)</f>
        <v>m_boss_attacker_skull_crawler_1</v>
      </c>
      <c r="Z1162" s="117"/>
      <c r="AA1162" s="117"/>
      <c r="AB1162" s="117"/>
      <c r="AC1162" s="121">
        <v>1.2</v>
      </c>
      <c r="AD1162" s="117"/>
      <c r="AE1162" s="117" t="s">
        <v>2090</v>
      </c>
      <c r="AF1162" s="117" t="s">
        <v>2103</v>
      </c>
      <c r="AG1162" s="117" t="s">
        <v>2758</v>
      </c>
      <c r="AH1162" s="85"/>
    </row>
  </sheetData>
  <phoneticPr fontId="1" type="noConversion"/>
  <conditionalFormatting sqref="A26">
    <cfRule type="duplicateValues" dxfId="59" priority="76"/>
  </conditionalFormatting>
  <conditionalFormatting sqref="A49">
    <cfRule type="duplicateValues" dxfId="58" priority="73"/>
  </conditionalFormatting>
  <conditionalFormatting sqref="A221">
    <cfRule type="duplicateValues" dxfId="57" priority="52"/>
  </conditionalFormatting>
  <conditionalFormatting sqref="A244">
    <cfRule type="duplicateValues" dxfId="56" priority="51"/>
  </conditionalFormatting>
  <conditionalFormatting sqref="A245:A390 A199:A220 A222:A243">
    <cfRule type="duplicateValues" dxfId="55" priority="53"/>
  </conditionalFormatting>
  <conditionalFormatting sqref="A391 A50:A198 A1:A25 A27:A48 A584 A777 A970 A1163:A1048576">
    <cfRule type="duplicateValues" dxfId="54" priority="97"/>
  </conditionalFormatting>
  <conditionalFormatting sqref="A414">
    <cfRule type="duplicateValues" dxfId="53" priority="47"/>
  </conditionalFormatting>
  <conditionalFormatting sqref="A437">
    <cfRule type="duplicateValues" dxfId="52" priority="46"/>
  </conditionalFormatting>
  <conditionalFormatting sqref="A438:A583 A392:A413 A415:A436">
    <cfRule type="duplicateValues" dxfId="51" priority="48"/>
  </conditionalFormatting>
  <conditionalFormatting sqref="A607">
    <cfRule type="duplicateValues" dxfId="50" priority="42"/>
  </conditionalFormatting>
  <conditionalFormatting sqref="A630">
    <cfRule type="duplicateValues" dxfId="49" priority="41"/>
  </conditionalFormatting>
  <conditionalFormatting sqref="A631:A776 A585:A606 A608:A629">
    <cfRule type="duplicateValues" dxfId="48" priority="43"/>
  </conditionalFormatting>
  <conditionalFormatting sqref="A800">
    <cfRule type="duplicateValues" dxfId="47" priority="19"/>
  </conditionalFormatting>
  <conditionalFormatting sqref="A823">
    <cfRule type="duplicateValues" dxfId="46" priority="18"/>
  </conditionalFormatting>
  <conditionalFormatting sqref="A824:A969 A778:A799 A801:A822">
    <cfRule type="duplicateValues" dxfId="45" priority="20"/>
  </conditionalFormatting>
  <conditionalFormatting sqref="A993">
    <cfRule type="duplicateValues" dxfId="44" priority="14"/>
  </conditionalFormatting>
  <conditionalFormatting sqref="A1016">
    <cfRule type="duplicateValues" dxfId="43" priority="13"/>
  </conditionalFormatting>
  <conditionalFormatting sqref="A1017:A1162 A971:A992 A994:A1015">
    <cfRule type="duplicateValues" dxfId="42" priority="15"/>
  </conditionalFormatting>
  <conditionalFormatting sqref="A392:J583">
    <cfRule type="containsText" dxfId="41" priority="44" operator="containsText" text="FALSE">
      <formula>NOT(ISERROR(SEARCH("FALSE",A392)))</formula>
    </cfRule>
    <cfRule type="containsBlanks" dxfId="40" priority="45">
      <formula>LEN(TRIM(A392))=0</formula>
    </cfRule>
  </conditionalFormatting>
  <conditionalFormatting sqref="A1:AG390">
    <cfRule type="containsText" dxfId="39" priority="7" operator="containsText" text="FALSE">
      <formula>NOT(ISERROR(SEARCH("FALSE",A1)))</formula>
    </cfRule>
    <cfRule type="containsBlanks" dxfId="38" priority="8">
      <formula>LEN(TRIM(A1))=0</formula>
    </cfRule>
  </conditionalFormatting>
  <conditionalFormatting sqref="A585:AG776">
    <cfRule type="containsText" dxfId="37" priority="5" operator="containsText" text="FALSE">
      <formula>NOT(ISERROR(SEARCH("FALSE",A585)))</formula>
    </cfRule>
    <cfRule type="containsBlanks" dxfId="36" priority="6">
      <formula>LEN(TRIM(A585))=0</formula>
    </cfRule>
  </conditionalFormatting>
  <conditionalFormatting sqref="A778:AG969">
    <cfRule type="containsText" dxfId="35" priority="3" operator="containsText" text="FALSE">
      <formula>NOT(ISERROR(SEARCH("FALSE",A778)))</formula>
    </cfRule>
    <cfRule type="containsBlanks" dxfId="34" priority="4">
      <formula>LEN(TRIM(A778))=0</formula>
    </cfRule>
  </conditionalFormatting>
  <conditionalFormatting sqref="A971:AG1162">
    <cfRule type="containsText" dxfId="33" priority="1" operator="containsText" text="FALSE">
      <formula>NOT(ISERROR(SEARCH("FALSE",A971)))</formula>
    </cfRule>
    <cfRule type="containsBlanks" dxfId="32" priority="2">
      <formula>LEN(TRIM(A971))=0</formula>
    </cfRule>
  </conditionalFormatting>
  <conditionalFormatting sqref="K391:K583">
    <cfRule type="containsText" dxfId="31" priority="33" operator="containsText" text="FALSE">
      <formula>NOT(ISERROR(SEARCH("FALSE",K391)))</formula>
    </cfRule>
    <cfRule type="containsBlanks" dxfId="30" priority="34">
      <formula>LEN(TRIM(K391))=0</formula>
    </cfRule>
  </conditionalFormatting>
  <conditionalFormatting sqref="L392:AG583">
    <cfRule type="containsText" dxfId="29" priority="9" operator="containsText" text="FALSE">
      <formula>NOT(ISERROR(SEARCH("FALSE",L392)))</formula>
    </cfRule>
    <cfRule type="containsBlanks" dxfId="28" priority="10">
      <formula>LEN(TRIM(L392))=0</formula>
    </cfRule>
  </conditionalFormatting>
  <dataValidations disablePrompts="1" count="1">
    <dataValidation showInputMessage="1" showErrorMessage="1" prompt="크리티컬 피격 시 이펙트 추가 출력_x000a_프리팹 경로 입력_x000a_사용 안할 시 공백_x000a_null 허용" sqref="AD1:AG1"/>
  </dataValidations>
  <pageMargins left="0.75" right="0.75" top="1" bottom="1" header="0.5" footer="0.5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J79"/>
  <sheetViews>
    <sheetView tabSelected="1" zoomScale="85" zoomScaleNormal="85" workbookViewId="0">
      <pane xSplit="3" ySplit="3" topLeftCell="AA46" activePane="bottomRight" state="frozen"/>
      <selection pane="topRight" activeCell="D1" sqref="D1"/>
      <selection pane="bottomLeft" activeCell="A4" sqref="A4"/>
      <selection pane="bottomRight" activeCell="AE62" sqref="AE62"/>
    </sheetView>
  </sheetViews>
  <sheetFormatPr defaultColWidth="9" defaultRowHeight="16.5" x14ac:dyDescent="0.3"/>
  <cols>
    <col min="1" max="1" width="26.375" style="1" bestFit="1" customWidth="1"/>
    <col min="2" max="2" width="11" style="1" bestFit="1" customWidth="1"/>
    <col min="3" max="3" width="20.75" style="1" bestFit="1" customWidth="1"/>
    <col min="4" max="4" width="25.375" style="1" bestFit="1" customWidth="1"/>
    <col min="5" max="5" width="9.875" style="1" bestFit="1" customWidth="1"/>
    <col min="6" max="6" width="13.625" style="1" bestFit="1" customWidth="1"/>
    <col min="7" max="7" width="9.625" style="1" bestFit="1" customWidth="1"/>
    <col min="8" max="10" width="8.375" style="1" bestFit="1" customWidth="1"/>
    <col min="11" max="11" width="10" style="1" bestFit="1" customWidth="1"/>
    <col min="12" max="12" width="28.25" style="1" bestFit="1" customWidth="1"/>
    <col min="13" max="14" width="28.25" style="1" customWidth="1"/>
    <col min="15" max="15" width="27.875" style="144" bestFit="1" customWidth="1"/>
    <col min="16" max="16" width="27.75" style="1" bestFit="1" customWidth="1"/>
    <col min="17" max="17" width="19.5" style="1" bestFit="1" customWidth="1"/>
    <col min="18" max="18" width="21.625" style="1" bestFit="1" customWidth="1"/>
    <col min="19" max="19" width="11.25" style="1" bestFit="1" customWidth="1"/>
    <col min="20" max="20" width="15.625" style="1" bestFit="1" customWidth="1"/>
    <col min="21" max="21" width="16.875" style="1" bestFit="1" customWidth="1"/>
    <col min="22" max="22" width="6" style="1" bestFit="1" customWidth="1"/>
    <col min="23" max="23" width="48.375" style="1" bestFit="1" customWidth="1"/>
    <col min="24" max="24" width="48.375" style="1" customWidth="1"/>
    <col min="25" max="25" width="33.125" style="1" bestFit="1" customWidth="1"/>
    <col min="26" max="26" width="41.25" style="1" bestFit="1" customWidth="1"/>
    <col min="27" max="27" width="44.75" style="1" bestFit="1" customWidth="1"/>
    <col min="28" max="28" width="25" style="1" bestFit="1" customWidth="1"/>
    <col min="29" max="29" width="5.75" style="1" bestFit="1" customWidth="1"/>
    <col min="30" max="30" width="10.875" style="1" bestFit="1" customWidth="1"/>
    <col min="31" max="31" width="37.5" style="1" customWidth="1"/>
    <col min="32" max="32" width="30.875" style="1" customWidth="1"/>
    <col min="33" max="33" width="12.625" bestFit="1" customWidth="1"/>
    <col min="34" max="36" width="9" customWidth="1"/>
    <col min="37" max="38" width="9" style="1" customWidth="1"/>
    <col min="39" max="16384" width="9" style="1"/>
  </cols>
  <sheetData>
    <row r="1" spans="1:34" ht="27" x14ac:dyDescent="0.3">
      <c r="A1" s="6" t="s">
        <v>0</v>
      </c>
      <c r="B1" s="6" t="s">
        <v>1</v>
      </c>
      <c r="C1" s="6" t="s">
        <v>1</v>
      </c>
      <c r="D1" s="6" t="s">
        <v>2</v>
      </c>
      <c r="E1" s="6" t="s">
        <v>3</v>
      </c>
      <c r="F1" s="7" t="s">
        <v>4</v>
      </c>
      <c r="G1" s="6" t="s">
        <v>5</v>
      </c>
      <c r="H1" s="6" t="s">
        <v>6</v>
      </c>
      <c r="I1" s="6" t="s">
        <v>1988</v>
      </c>
      <c r="J1" s="6" t="s">
        <v>7</v>
      </c>
      <c r="K1" s="6" t="s">
        <v>1394</v>
      </c>
      <c r="L1" s="8" t="s">
        <v>8</v>
      </c>
      <c r="M1" s="8" t="s">
        <v>9</v>
      </c>
      <c r="N1" s="8" t="s">
        <v>10</v>
      </c>
      <c r="O1" s="9" t="s">
        <v>11</v>
      </c>
      <c r="P1" s="10" t="s">
        <v>12</v>
      </c>
      <c r="Q1" s="10" t="s">
        <v>13</v>
      </c>
      <c r="R1" s="11" t="s">
        <v>14</v>
      </c>
      <c r="S1" s="11" t="s">
        <v>15</v>
      </c>
      <c r="T1" s="11" t="s">
        <v>16</v>
      </c>
      <c r="U1" s="11" t="s">
        <v>2767</v>
      </c>
      <c r="V1" s="11" t="s">
        <v>17</v>
      </c>
      <c r="W1" s="6" t="s">
        <v>18</v>
      </c>
      <c r="X1" s="75" t="s">
        <v>19</v>
      </c>
      <c r="Y1" s="6" t="s">
        <v>20</v>
      </c>
      <c r="Z1" s="6" t="s">
        <v>21</v>
      </c>
      <c r="AA1" s="6" t="s">
        <v>22</v>
      </c>
      <c r="AB1" s="6" t="s">
        <v>23</v>
      </c>
      <c r="AC1" s="6" t="s">
        <v>24</v>
      </c>
      <c r="AD1" s="6" t="s">
        <v>25</v>
      </c>
      <c r="AE1" s="6" t="s">
        <v>26</v>
      </c>
      <c r="AF1" s="6" t="s">
        <v>27</v>
      </c>
      <c r="AG1" s="169" t="s">
        <v>2091</v>
      </c>
    </row>
    <row r="2" spans="1:34" x14ac:dyDescent="0.3">
      <c r="A2" s="6" t="s">
        <v>28</v>
      </c>
      <c r="B2" s="6" t="s">
        <v>29</v>
      </c>
      <c r="C2" s="6" t="s">
        <v>29</v>
      </c>
      <c r="D2" s="6" t="s">
        <v>30</v>
      </c>
      <c r="E2" s="6" t="s">
        <v>31</v>
      </c>
      <c r="F2" s="7" t="s">
        <v>32</v>
      </c>
      <c r="G2" s="6" t="s">
        <v>33</v>
      </c>
      <c r="H2" s="6" t="s">
        <v>33</v>
      </c>
      <c r="I2" s="6" t="s">
        <v>33</v>
      </c>
      <c r="J2" s="6" t="s">
        <v>34</v>
      </c>
      <c r="K2" s="6" t="s">
        <v>34</v>
      </c>
      <c r="L2" s="8" t="s">
        <v>35</v>
      </c>
      <c r="M2" s="8" t="s">
        <v>35</v>
      </c>
      <c r="N2" s="8" t="s">
        <v>35</v>
      </c>
      <c r="O2" s="9" t="s">
        <v>35</v>
      </c>
      <c r="P2" s="10" t="s">
        <v>35</v>
      </c>
      <c r="Q2" s="10" t="s">
        <v>35</v>
      </c>
      <c r="R2" s="11" t="s">
        <v>35</v>
      </c>
      <c r="S2" s="11" t="s">
        <v>35</v>
      </c>
      <c r="T2" s="11" t="s">
        <v>35</v>
      </c>
      <c r="U2" s="11" t="s">
        <v>35</v>
      </c>
      <c r="V2" s="11" t="s">
        <v>33</v>
      </c>
      <c r="W2" s="6" t="s">
        <v>30</v>
      </c>
      <c r="X2" s="75" t="s">
        <v>30</v>
      </c>
      <c r="Y2" s="6" t="s">
        <v>30</v>
      </c>
      <c r="Z2" s="6" t="s">
        <v>30</v>
      </c>
      <c r="AA2" s="6" t="s">
        <v>30</v>
      </c>
      <c r="AB2" s="6" t="s">
        <v>30</v>
      </c>
      <c r="AC2" s="6" t="s">
        <v>36</v>
      </c>
      <c r="AD2" s="6" t="s">
        <v>30</v>
      </c>
      <c r="AE2" s="6" t="s">
        <v>30</v>
      </c>
      <c r="AF2" s="6" t="s">
        <v>30</v>
      </c>
      <c r="AG2" s="169" t="s">
        <v>2092</v>
      </c>
    </row>
    <row r="3" spans="1:34" x14ac:dyDescent="0.3">
      <c r="A3" s="6" t="s">
        <v>37</v>
      </c>
      <c r="B3" s="6" t="s">
        <v>38</v>
      </c>
      <c r="C3" s="6" t="s">
        <v>39</v>
      </c>
      <c r="D3" s="6" t="s">
        <v>40</v>
      </c>
      <c r="E3" s="6" t="s">
        <v>37</v>
      </c>
      <c r="F3" s="7" t="s">
        <v>37</v>
      </c>
      <c r="G3" s="6" t="s">
        <v>37</v>
      </c>
      <c r="H3" s="6" t="s">
        <v>37</v>
      </c>
      <c r="I3" s="6" t="s">
        <v>1989</v>
      </c>
      <c r="J3" s="6" t="s">
        <v>37</v>
      </c>
      <c r="K3" s="6" t="s">
        <v>37</v>
      </c>
      <c r="L3" s="8" t="s">
        <v>37</v>
      </c>
      <c r="M3" s="8" t="s">
        <v>37</v>
      </c>
      <c r="N3" s="8" t="s">
        <v>37</v>
      </c>
      <c r="O3" s="9" t="s">
        <v>37</v>
      </c>
      <c r="P3" s="10" t="s">
        <v>37</v>
      </c>
      <c r="Q3" s="10" t="s">
        <v>37</v>
      </c>
      <c r="R3" s="11" t="s">
        <v>37</v>
      </c>
      <c r="S3" s="11" t="s">
        <v>37</v>
      </c>
      <c r="T3" s="11" t="s">
        <v>37</v>
      </c>
      <c r="U3" s="11" t="s">
        <v>37</v>
      </c>
      <c r="V3" s="11" t="s">
        <v>40</v>
      </c>
      <c r="W3" s="6" t="s">
        <v>40</v>
      </c>
      <c r="X3" s="75" t="s">
        <v>40</v>
      </c>
      <c r="Y3" s="6" t="s">
        <v>40</v>
      </c>
      <c r="Z3" s="6" t="s">
        <v>40</v>
      </c>
      <c r="AA3" s="6" t="s">
        <v>40</v>
      </c>
      <c r="AB3" s="6" t="s">
        <v>40</v>
      </c>
      <c r="AC3" s="6" t="s">
        <v>40</v>
      </c>
      <c r="AD3" s="6" t="s">
        <v>40</v>
      </c>
      <c r="AE3" s="6" t="s">
        <v>37</v>
      </c>
      <c r="AF3" s="6" t="s">
        <v>37</v>
      </c>
      <c r="AG3" s="169" t="s">
        <v>1954</v>
      </c>
    </row>
    <row r="4" spans="1:34" x14ac:dyDescent="0.3">
      <c r="A4" s="19">
        <v>1110101001</v>
      </c>
      <c r="B4" s="19" t="s">
        <v>475</v>
      </c>
      <c r="C4" s="19" t="s">
        <v>476</v>
      </c>
      <c r="D4" s="19" t="s">
        <v>271</v>
      </c>
      <c r="E4" s="19" t="s">
        <v>47</v>
      </c>
      <c r="F4" s="48" t="s">
        <v>272</v>
      </c>
      <c r="G4" s="19" t="s">
        <v>45</v>
      </c>
      <c r="H4" s="19" t="s">
        <v>477</v>
      </c>
      <c r="I4" s="19" t="s">
        <v>477</v>
      </c>
      <c r="J4" s="19">
        <v>10</v>
      </c>
      <c r="K4" s="19">
        <f>VLOOKUP($A4,쿼리1[[ID]:[열1]],3,FALSE)</f>
        <v>10</v>
      </c>
      <c r="L4" s="19" t="s">
        <v>478</v>
      </c>
      <c r="M4" s="19" t="s">
        <v>479</v>
      </c>
      <c r="N4" s="19" t="s">
        <v>480</v>
      </c>
      <c r="O4" s="127" t="s">
        <v>276</v>
      </c>
      <c r="P4" s="128" t="s">
        <v>277</v>
      </c>
      <c r="Q4" s="128" t="s">
        <v>278</v>
      </c>
      <c r="R4" s="128"/>
      <c r="S4" s="128"/>
      <c r="T4" s="127" t="s">
        <v>279</v>
      </c>
      <c r="U4" s="127"/>
      <c r="V4" s="19" t="b">
        <v>1</v>
      </c>
      <c r="W4" s="19" t="s">
        <v>280</v>
      </c>
      <c r="X4" s="19" t="s">
        <v>2754</v>
      </c>
      <c r="Y4" s="19" t="s">
        <v>281</v>
      </c>
      <c r="Z4" s="19" t="s">
        <v>282</v>
      </c>
      <c r="AA4" s="19"/>
      <c r="AB4" s="19" t="s">
        <v>481</v>
      </c>
      <c r="AC4" s="91">
        <v>0.9</v>
      </c>
      <c r="AD4" s="19"/>
      <c r="AE4" s="19"/>
      <c r="AF4" s="19"/>
      <c r="AG4" s="1" t="s">
        <v>2105</v>
      </c>
      <c r="AH4" s="85"/>
    </row>
    <row r="5" spans="1:34" x14ac:dyDescent="0.3">
      <c r="A5" s="19">
        <v>1110101002</v>
      </c>
      <c r="B5" s="19" t="s">
        <v>475</v>
      </c>
      <c r="C5" s="19" t="s">
        <v>482</v>
      </c>
      <c r="D5" s="19" t="s">
        <v>483</v>
      </c>
      <c r="E5" s="19" t="s">
        <v>43</v>
      </c>
      <c r="F5" s="48" t="s">
        <v>484</v>
      </c>
      <c r="G5" s="19" t="s">
        <v>45</v>
      </c>
      <c r="H5" s="19" t="s">
        <v>477</v>
      </c>
      <c r="I5" s="19" t="s">
        <v>477</v>
      </c>
      <c r="J5" s="19">
        <v>10</v>
      </c>
      <c r="K5" s="19">
        <f>VLOOKUP($A5,쿼리1[[ID]:[열1]],3,FALSE)</f>
        <v>10</v>
      </c>
      <c r="L5" s="19" t="s">
        <v>485</v>
      </c>
      <c r="M5" s="19" t="s">
        <v>486</v>
      </c>
      <c r="N5" s="19" t="s">
        <v>487</v>
      </c>
      <c r="O5" s="127" t="s">
        <v>488</v>
      </c>
      <c r="P5" s="128" t="s">
        <v>489</v>
      </c>
      <c r="Q5" s="128" t="s">
        <v>490</v>
      </c>
      <c r="R5" s="128"/>
      <c r="S5" s="128"/>
      <c r="T5" s="127" t="s">
        <v>491</v>
      </c>
      <c r="U5" s="127" t="s">
        <v>2797</v>
      </c>
      <c r="V5" s="19" t="b">
        <v>1</v>
      </c>
      <c r="W5" s="19" t="s">
        <v>492</v>
      </c>
      <c r="X5" s="19" t="s">
        <v>2755</v>
      </c>
      <c r="Y5" s="19" t="s">
        <v>493</v>
      </c>
      <c r="Z5" s="19" t="s">
        <v>494</v>
      </c>
      <c r="AA5" s="19"/>
      <c r="AB5" s="19" t="s">
        <v>495</v>
      </c>
      <c r="AC5" s="91">
        <v>0.9</v>
      </c>
      <c r="AD5" s="19"/>
      <c r="AE5" s="19"/>
      <c r="AF5" s="19"/>
      <c r="AG5" s="1" t="s">
        <v>2106</v>
      </c>
      <c r="AH5" s="85"/>
    </row>
    <row r="6" spans="1:34" x14ac:dyDescent="0.3">
      <c r="A6" s="19">
        <v>1110101003</v>
      </c>
      <c r="B6" s="19" t="s">
        <v>475</v>
      </c>
      <c r="C6" s="19" t="s">
        <v>496</v>
      </c>
      <c r="D6" s="19" t="s">
        <v>497</v>
      </c>
      <c r="E6" s="19" t="s">
        <v>47</v>
      </c>
      <c r="F6" s="48" t="s">
        <v>272</v>
      </c>
      <c r="G6" s="19" t="s">
        <v>45</v>
      </c>
      <c r="H6" s="19" t="s">
        <v>477</v>
      </c>
      <c r="I6" s="19" t="s">
        <v>477</v>
      </c>
      <c r="J6" s="19">
        <v>10</v>
      </c>
      <c r="K6" s="19">
        <f>VLOOKUP($A6,쿼리1[[ID]:[열1]],3,FALSE)</f>
        <v>10</v>
      </c>
      <c r="L6" s="19" t="s">
        <v>498</v>
      </c>
      <c r="M6" s="19" t="s">
        <v>499</v>
      </c>
      <c r="N6" s="19" t="s">
        <v>500</v>
      </c>
      <c r="O6" s="127" t="s">
        <v>501</v>
      </c>
      <c r="P6" s="128" t="s">
        <v>502</v>
      </c>
      <c r="Q6" s="128" t="s">
        <v>503</v>
      </c>
      <c r="R6" s="128"/>
      <c r="S6" s="128"/>
      <c r="T6" s="127" t="s">
        <v>504</v>
      </c>
      <c r="U6" s="127"/>
      <c r="V6" s="19" t="b">
        <v>1</v>
      </c>
      <c r="W6" s="19" t="s">
        <v>505</v>
      </c>
      <c r="X6" s="19" t="s">
        <v>2756</v>
      </c>
      <c r="Y6" s="19" t="s">
        <v>506</v>
      </c>
      <c r="Z6" s="19" t="s">
        <v>507</v>
      </c>
      <c r="AA6" s="19"/>
      <c r="AB6" s="19" t="s">
        <v>508</v>
      </c>
      <c r="AC6" s="91">
        <v>0.9</v>
      </c>
      <c r="AD6" s="19"/>
      <c r="AE6" s="19"/>
      <c r="AF6" s="19"/>
      <c r="AG6" s="1" t="s">
        <v>2093</v>
      </c>
      <c r="AH6" s="85"/>
    </row>
    <row r="7" spans="1:34" x14ac:dyDescent="0.3">
      <c r="A7" s="19">
        <v>1110101004</v>
      </c>
      <c r="B7" s="19" t="s">
        <v>475</v>
      </c>
      <c r="C7" s="19" t="s">
        <v>95</v>
      </c>
      <c r="D7" s="19" t="s">
        <v>509</v>
      </c>
      <c r="E7" s="19" t="s">
        <v>47</v>
      </c>
      <c r="F7" s="48" t="s">
        <v>44</v>
      </c>
      <c r="G7" s="19" t="s">
        <v>45</v>
      </c>
      <c r="H7" s="19" t="s">
        <v>45</v>
      </c>
      <c r="I7" s="19" t="s">
        <v>45</v>
      </c>
      <c r="J7" s="19">
        <v>20</v>
      </c>
      <c r="K7" s="19">
        <f>VLOOKUP($A7,쿼리1[[ID]:[열1]],3,FALSE)</f>
        <v>10</v>
      </c>
      <c r="L7" s="127" t="s">
        <v>510</v>
      </c>
      <c r="M7" s="127"/>
      <c r="N7" s="127"/>
      <c r="O7" s="146" t="s">
        <v>511</v>
      </c>
      <c r="P7" s="127" t="s">
        <v>512</v>
      </c>
      <c r="Q7" s="128"/>
      <c r="R7" s="128" t="s">
        <v>513</v>
      </c>
      <c r="S7" s="128"/>
      <c r="T7" s="128"/>
      <c r="U7" s="128"/>
      <c r="V7" s="19" t="b">
        <v>0</v>
      </c>
      <c r="W7" s="19" t="s">
        <v>97</v>
      </c>
      <c r="X7" s="19"/>
      <c r="Y7" s="19" t="s">
        <v>98</v>
      </c>
      <c r="Z7" s="19"/>
      <c r="AA7" s="19"/>
      <c r="AB7" s="19" t="s">
        <v>226</v>
      </c>
      <c r="AC7" s="91">
        <v>0.9</v>
      </c>
      <c r="AD7" s="19"/>
      <c r="AE7" s="19"/>
      <c r="AF7" s="19"/>
      <c r="AG7" s="1" t="s">
        <v>2104</v>
      </c>
      <c r="AH7" s="85"/>
    </row>
    <row r="8" spans="1:34" x14ac:dyDescent="0.3">
      <c r="A8" s="19">
        <v>1110101005</v>
      </c>
      <c r="B8" s="19" t="s">
        <v>475</v>
      </c>
      <c r="C8" s="19" t="s">
        <v>48</v>
      </c>
      <c r="D8" s="19" t="s">
        <v>49</v>
      </c>
      <c r="E8" s="19" t="s">
        <v>43</v>
      </c>
      <c r="F8" s="48" t="s">
        <v>44</v>
      </c>
      <c r="G8" s="19" t="s">
        <v>45</v>
      </c>
      <c r="H8" s="19" t="b">
        <v>0</v>
      </c>
      <c r="I8" s="19" t="b">
        <v>0</v>
      </c>
      <c r="J8" s="19">
        <v>10</v>
      </c>
      <c r="K8" s="19">
        <f>VLOOKUP($A8,쿼리1[[ID]:[열1]],3,FALSE)</f>
        <v>10</v>
      </c>
      <c r="L8" s="127" t="s">
        <v>514</v>
      </c>
      <c r="M8" s="127"/>
      <c r="N8" s="127"/>
      <c r="O8" s="146"/>
      <c r="P8" s="127"/>
      <c r="Q8" s="128"/>
      <c r="R8" s="128"/>
      <c r="S8" s="128"/>
      <c r="T8" s="128"/>
      <c r="U8" s="128"/>
      <c r="V8" s="19" t="b">
        <v>0</v>
      </c>
      <c r="W8" s="19" t="s">
        <v>50</v>
      </c>
      <c r="X8" s="19"/>
      <c r="Y8" s="19" t="s">
        <v>51</v>
      </c>
      <c r="Z8" s="19"/>
      <c r="AA8" s="19"/>
      <c r="AB8" s="19"/>
      <c r="AC8" s="91">
        <v>0.7</v>
      </c>
      <c r="AD8" s="19"/>
      <c r="AE8" s="19"/>
      <c r="AF8" s="19"/>
      <c r="AG8" s="1" t="s">
        <v>2104</v>
      </c>
      <c r="AH8" s="85"/>
    </row>
    <row r="9" spans="1:34" x14ac:dyDescent="0.3">
      <c r="A9" s="19">
        <v>1110101006</v>
      </c>
      <c r="B9" s="19" t="s">
        <v>475</v>
      </c>
      <c r="C9" s="19" t="s">
        <v>52</v>
      </c>
      <c r="D9" s="19" t="s">
        <v>53</v>
      </c>
      <c r="E9" s="19" t="s">
        <v>47</v>
      </c>
      <c r="F9" s="48" t="s">
        <v>44</v>
      </c>
      <c r="G9" s="19" t="s">
        <v>45</v>
      </c>
      <c r="H9" s="19" t="b">
        <v>0</v>
      </c>
      <c r="I9" s="19" t="b">
        <v>0</v>
      </c>
      <c r="J9" s="19">
        <v>10</v>
      </c>
      <c r="K9" s="19">
        <f>VLOOKUP($A9,쿼리1[[ID]:[열1]],3,FALSE)</f>
        <v>10</v>
      </c>
      <c r="L9" s="127" t="s">
        <v>515</v>
      </c>
      <c r="M9" s="127"/>
      <c r="N9" s="127"/>
      <c r="O9" s="146"/>
      <c r="P9" s="127"/>
      <c r="Q9" s="128"/>
      <c r="R9" s="128"/>
      <c r="S9" s="128"/>
      <c r="T9" s="128"/>
      <c r="U9" s="128"/>
      <c r="V9" s="19" t="b">
        <v>0</v>
      </c>
      <c r="W9" s="19" t="s">
        <v>54</v>
      </c>
      <c r="X9" s="19"/>
      <c r="Y9" s="19" t="s">
        <v>55</v>
      </c>
      <c r="Z9" s="19"/>
      <c r="AA9" s="19"/>
      <c r="AB9" s="19"/>
      <c r="AC9" s="91">
        <v>0.6</v>
      </c>
      <c r="AD9" s="19"/>
      <c r="AE9" s="19"/>
      <c r="AF9" s="19"/>
      <c r="AG9" s="1" t="s">
        <v>2104</v>
      </c>
      <c r="AH9" s="85"/>
    </row>
    <row r="10" spans="1:34" x14ac:dyDescent="0.3">
      <c r="A10" s="19">
        <v>1110101007</v>
      </c>
      <c r="B10" s="19" t="s">
        <v>1417</v>
      </c>
      <c r="C10" s="19" t="s">
        <v>62</v>
      </c>
      <c r="D10" s="19" t="str">
        <f>"Monster.Name."&amp;VLOOKUP($C10,'#Data'!$B$2:$J$344,2,FALSE)</f>
        <v>Monster.Name.labmecha_launcher_1</v>
      </c>
      <c r="E10" s="19" t="str">
        <f>VLOOKUP($C10,'#Data'!$B$3:$J$344,6,FALSE)</f>
        <v>Ranger</v>
      </c>
      <c r="F10" s="48" t="s">
        <v>44</v>
      </c>
      <c r="G10" s="19" t="s">
        <v>45</v>
      </c>
      <c r="H10" s="19" t="b">
        <f>IF(OR(VLOOKUP($C10,'#Data'!$B$2:$J$344,4,FALSE)="보스",VLOOKUP($C10,'#Data'!$B$2:$J$344,4,FALSE)="중간"),TRUE,FALSE)</f>
        <v>1</v>
      </c>
      <c r="I10" s="19" t="b">
        <v>1</v>
      </c>
      <c r="J10" s="19">
        <v>10</v>
      </c>
      <c r="K10" s="19">
        <f>VLOOKUP($A10,쿼리1[[ID]:[열1]],3,FALSE)</f>
        <v>10</v>
      </c>
      <c r="L10" s="127" t="str">
        <f>$B10&amp;"."&amp;VLOOKUP($C10,'#Data'!$B$2:$J$344,2,FALSE)&amp;".attack0"&amp;RIGHT(L$1,1)</f>
        <v>tuto.labmecha_launcher_1.attack01</v>
      </c>
      <c r="M10" s="127"/>
      <c r="N10" s="127"/>
      <c r="O10" s="146" t="str">
        <f>$B10&amp;"."&amp;VLOOKUP($C10,'#Data'!$B$2:$J$344,2,FALSE)&amp;".skill0"&amp;RIGHT(O$1,1)</f>
        <v>tuto.labmecha_launcher_1.skill01</v>
      </c>
      <c r="P10" s="127" t="str">
        <f>$B10&amp;"."&amp;VLOOKUP($C10,'#Data'!$B$2:$J$344,2,FALSE)&amp;".skill0"&amp;RIGHT(P$1,1)</f>
        <v>tuto.labmecha_launcher_1.skill02</v>
      </c>
      <c r="Q10" s="128"/>
      <c r="R10" s="128"/>
      <c r="S10" s="128"/>
      <c r="T10" s="128"/>
      <c r="U10" s="128"/>
      <c r="V10" s="19" t="b">
        <v>0</v>
      </c>
      <c r="W10" s="19" t="str">
        <f>"Character/Prefabs/"&amp;VLOOKUP($C10,'#Data'!$B$3:$I$344,8,FALSE)</f>
        <v>Character/Prefabs/m_m_ranger_labmecha_launcher_1</v>
      </c>
      <c r="X10" s="19"/>
      <c r="Y10" s="19" t="str">
        <f>VLOOKUP($C10,'#Data'!$B$3:$I$344,8,FALSE)</f>
        <v>m_m_ranger_labmecha_launcher_1</v>
      </c>
      <c r="Z10" s="19"/>
      <c r="AA10" s="19"/>
      <c r="AB10" s="19"/>
      <c r="AC10" s="91">
        <v>0.7</v>
      </c>
      <c r="AD10" s="19"/>
      <c r="AE10" s="19"/>
      <c r="AF10" s="19"/>
      <c r="AG10" s="1" t="s">
        <v>2104</v>
      </c>
      <c r="AH10" s="85"/>
    </row>
    <row r="11" spans="1:34" x14ac:dyDescent="0.3">
      <c r="A11" s="23">
        <v>1110101008</v>
      </c>
      <c r="B11" s="23" t="s">
        <v>475</v>
      </c>
      <c r="C11" s="23" t="s">
        <v>476</v>
      </c>
      <c r="D11" s="23" t="s">
        <v>271</v>
      </c>
      <c r="E11" s="23" t="s">
        <v>47</v>
      </c>
      <c r="F11" s="24" t="s">
        <v>272</v>
      </c>
      <c r="G11" s="23" t="s">
        <v>45</v>
      </c>
      <c r="H11" s="23" t="s">
        <v>477</v>
      </c>
      <c r="I11" s="23" t="s">
        <v>477</v>
      </c>
      <c r="J11" s="23">
        <v>10</v>
      </c>
      <c r="K11" s="23">
        <f>VLOOKUP($A11,쿼리1[[ID]:[열1]],3,FALSE)</f>
        <v>10</v>
      </c>
      <c r="L11" s="25" t="s">
        <v>478</v>
      </c>
      <c r="M11" s="25" t="s">
        <v>479</v>
      </c>
      <c r="N11" s="25" t="s">
        <v>480</v>
      </c>
      <c r="O11" s="147" t="s">
        <v>1822</v>
      </c>
      <c r="P11" s="25" t="s">
        <v>1823</v>
      </c>
      <c r="Q11" s="26" t="s">
        <v>278</v>
      </c>
      <c r="R11" s="26"/>
      <c r="S11" s="26"/>
      <c r="T11" s="26" t="s">
        <v>279</v>
      </c>
      <c r="U11" s="26"/>
      <c r="V11" s="23" t="b">
        <v>1</v>
      </c>
      <c r="W11" s="23" t="s">
        <v>280</v>
      </c>
      <c r="X11" s="23" t="s">
        <v>2754</v>
      </c>
      <c r="Y11" s="23" t="s">
        <v>281</v>
      </c>
      <c r="Z11" s="23" t="s">
        <v>282</v>
      </c>
      <c r="AA11" s="23"/>
      <c r="AB11" s="23" t="s">
        <v>481</v>
      </c>
      <c r="AC11" s="98">
        <v>0.9</v>
      </c>
      <c r="AD11" s="23"/>
      <c r="AE11" s="23"/>
      <c r="AF11" s="23"/>
      <c r="AG11" s="1" t="s">
        <v>2105</v>
      </c>
      <c r="AH11" s="85"/>
    </row>
    <row r="12" spans="1:34" x14ac:dyDescent="0.3">
      <c r="A12" s="23">
        <v>1110101009</v>
      </c>
      <c r="B12" s="23" t="s">
        <v>475</v>
      </c>
      <c r="C12" s="23" t="s">
        <v>482</v>
      </c>
      <c r="D12" s="23" t="s">
        <v>483</v>
      </c>
      <c r="E12" s="23" t="s">
        <v>43</v>
      </c>
      <c r="F12" s="24" t="s">
        <v>484</v>
      </c>
      <c r="G12" s="23" t="s">
        <v>45</v>
      </c>
      <c r="H12" s="23" t="s">
        <v>477</v>
      </c>
      <c r="I12" s="23" t="s">
        <v>477</v>
      </c>
      <c r="J12" s="23">
        <v>10</v>
      </c>
      <c r="K12" s="23">
        <f>VLOOKUP($A12,쿼리1[[ID]:[열1]],3,FALSE)</f>
        <v>10</v>
      </c>
      <c r="L12" s="25" t="s">
        <v>485</v>
      </c>
      <c r="M12" s="25" t="s">
        <v>486</v>
      </c>
      <c r="N12" s="25" t="s">
        <v>487</v>
      </c>
      <c r="O12" s="147" t="s">
        <v>1824</v>
      </c>
      <c r="P12" s="25" t="s">
        <v>1825</v>
      </c>
      <c r="Q12" s="26" t="s">
        <v>490</v>
      </c>
      <c r="R12" s="26"/>
      <c r="S12" s="26"/>
      <c r="T12" s="26" t="s">
        <v>491</v>
      </c>
      <c r="U12" s="26" t="s">
        <v>2798</v>
      </c>
      <c r="V12" s="23" t="b">
        <v>1</v>
      </c>
      <c r="W12" s="23" t="s">
        <v>492</v>
      </c>
      <c r="X12" s="23" t="s">
        <v>2755</v>
      </c>
      <c r="Y12" s="23" t="s">
        <v>493</v>
      </c>
      <c r="Z12" s="23" t="s">
        <v>494</v>
      </c>
      <c r="AA12" s="23"/>
      <c r="AB12" s="23" t="s">
        <v>495</v>
      </c>
      <c r="AC12" s="98">
        <v>0.9</v>
      </c>
      <c r="AD12" s="23"/>
      <c r="AE12" s="23"/>
      <c r="AF12" s="23"/>
      <c r="AG12" s="1" t="s">
        <v>2093</v>
      </c>
      <c r="AH12" s="85"/>
    </row>
    <row r="13" spans="1:34" x14ac:dyDescent="0.3">
      <c r="A13" s="23">
        <v>1110101010</v>
      </c>
      <c r="B13" s="23" t="s">
        <v>475</v>
      </c>
      <c r="C13" s="23" t="s">
        <v>496</v>
      </c>
      <c r="D13" s="23" t="s">
        <v>497</v>
      </c>
      <c r="E13" s="23" t="s">
        <v>47</v>
      </c>
      <c r="F13" s="24" t="s">
        <v>272</v>
      </c>
      <c r="G13" s="23" t="s">
        <v>45</v>
      </c>
      <c r="H13" s="23" t="s">
        <v>477</v>
      </c>
      <c r="I13" s="23" t="s">
        <v>477</v>
      </c>
      <c r="J13" s="23">
        <v>10</v>
      </c>
      <c r="K13" s="23">
        <f>VLOOKUP($A13,쿼리1[[ID]:[열1]],3,FALSE)</f>
        <v>10</v>
      </c>
      <c r="L13" s="25" t="s">
        <v>498</v>
      </c>
      <c r="M13" s="25" t="s">
        <v>499</v>
      </c>
      <c r="N13" s="25" t="s">
        <v>500</v>
      </c>
      <c r="O13" s="147" t="s">
        <v>1826</v>
      </c>
      <c r="P13" s="25" t="s">
        <v>1827</v>
      </c>
      <c r="Q13" s="26" t="s">
        <v>503</v>
      </c>
      <c r="R13" s="26"/>
      <c r="S13" s="26"/>
      <c r="T13" s="26" t="s">
        <v>504</v>
      </c>
      <c r="U13" s="26"/>
      <c r="V13" s="23" t="b">
        <v>1</v>
      </c>
      <c r="W13" s="23" t="s">
        <v>505</v>
      </c>
      <c r="X13" s="23" t="s">
        <v>2756</v>
      </c>
      <c r="Y13" s="23" t="s">
        <v>506</v>
      </c>
      <c r="Z13" s="23" t="s">
        <v>507</v>
      </c>
      <c r="AA13" s="23"/>
      <c r="AB13" s="23" t="s">
        <v>508</v>
      </c>
      <c r="AC13" s="98">
        <v>0.9</v>
      </c>
      <c r="AD13" s="23"/>
      <c r="AE13" s="23"/>
      <c r="AF13" s="23"/>
      <c r="AG13" s="1" t="s">
        <v>2106</v>
      </c>
      <c r="AH13" s="85"/>
    </row>
    <row r="14" spans="1:34" x14ac:dyDescent="0.3">
      <c r="A14" s="23">
        <v>1110101011</v>
      </c>
      <c r="B14" s="23" t="s">
        <v>475</v>
      </c>
      <c r="C14" s="23" t="s">
        <v>68</v>
      </c>
      <c r="D14" s="23" t="s">
        <v>1809</v>
      </c>
      <c r="E14" s="23" t="s">
        <v>43</v>
      </c>
      <c r="F14" s="24" t="s">
        <v>44</v>
      </c>
      <c r="G14" s="23" t="s">
        <v>45</v>
      </c>
      <c r="H14" s="23" t="b">
        <v>0</v>
      </c>
      <c r="I14" s="23" t="b">
        <v>0</v>
      </c>
      <c r="J14" s="23">
        <v>10</v>
      </c>
      <c r="K14" s="23">
        <f>VLOOKUP($A14,쿼리1[[ID]:[열1]],3,FALSE)</f>
        <v>10</v>
      </c>
      <c r="L14" s="25" t="s">
        <v>514</v>
      </c>
      <c r="M14" s="25"/>
      <c r="N14" s="25"/>
      <c r="O14" s="147"/>
      <c r="P14" s="25"/>
      <c r="Q14" s="26"/>
      <c r="R14" s="26"/>
      <c r="S14" s="26"/>
      <c r="T14" s="26"/>
      <c r="U14" s="26"/>
      <c r="V14" s="23" t="b">
        <v>0</v>
      </c>
      <c r="W14" s="23" t="s">
        <v>1197</v>
      </c>
      <c r="X14" s="23"/>
      <c r="Y14" s="23" t="s">
        <v>1199</v>
      </c>
      <c r="Z14" s="23"/>
      <c r="AA14" s="23"/>
      <c r="AB14" s="23"/>
      <c r="AC14" s="98">
        <v>0.7</v>
      </c>
      <c r="AD14" s="23"/>
      <c r="AE14" s="23"/>
      <c r="AF14" s="23"/>
      <c r="AG14" s="1" t="s">
        <v>2104</v>
      </c>
      <c r="AH14" s="85"/>
    </row>
    <row r="15" spans="1:34" x14ac:dyDescent="0.3">
      <c r="A15" s="23">
        <v>1110101012</v>
      </c>
      <c r="B15" s="23" t="s">
        <v>475</v>
      </c>
      <c r="C15" s="23" t="s">
        <v>57</v>
      </c>
      <c r="D15" s="23" t="s">
        <v>1810</v>
      </c>
      <c r="E15" s="23" t="s">
        <v>58</v>
      </c>
      <c r="F15" s="24" t="s">
        <v>44</v>
      </c>
      <c r="G15" s="23" t="s">
        <v>45</v>
      </c>
      <c r="H15" s="23" t="b">
        <v>0</v>
      </c>
      <c r="I15" s="23" t="b">
        <v>0</v>
      </c>
      <c r="J15" s="23">
        <v>10</v>
      </c>
      <c r="K15" s="23">
        <f>VLOOKUP($A15,쿼리1[[ID]:[열1]],3,FALSE)</f>
        <v>10</v>
      </c>
      <c r="L15" s="25" t="s">
        <v>1187</v>
      </c>
      <c r="M15" s="25"/>
      <c r="N15" s="25"/>
      <c r="O15" s="147" t="s">
        <v>1188</v>
      </c>
      <c r="P15" s="25"/>
      <c r="Q15" s="26"/>
      <c r="R15" s="26"/>
      <c r="S15" s="26"/>
      <c r="T15" s="26"/>
      <c r="U15" s="26"/>
      <c r="V15" s="23" t="b">
        <v>0</v>
      </c>
      <c r="W15" s="23" t="s">
        <v>1811</v>
      </c>
      <c r="X15" s="23"/>
      <c r="Y15" s="23" t="s">
        <v>1812</v>
      </c>
      <c r="Z15" s="23"/>
      <c r="AA15" s="23"/>
      <c r="AB15" s="23"/>
      <c r="AC15" s="98">
        <v>0.8</v>
      </c>
      <c r="AD15" s="23"/>
      <c r="AE15" s="23"/>
      <c r="AF15" s="23"/>
      <c r="AG15" s="1" t="s">
        <v>2104</v>
      </c>
      <c r="AH15" s="85"/>
    </row>
    <row r="16" spans="1:34" x14ac:dyDescent="0.3">
      <c r="A16" s="23">
        <v>1110101013</v>
      </c>
      <c r="B16" s="23" t="s">
        <v>475</v>
      </c>
      <c r="C16" s="23" t="s">
        <v>62</v>
      </c>
      <c r="D16" s="23" t="s">
        <v>1813</v>
      </c>
      <c r="E16" s="23" t="s">
        <v>47</v>
      </c>
      <c r="F16" s="24" t="s">
        <v>44</v>
      </c>
      <c r="G16" s="23" t="s">
        <v>45</v>
      </c>
      <c r="H16" s="23" t="b">
        <v>1</v>
      </c>
      <c r="I16" s="23" t="b">
        <v>1</v>
      </c>
      <c r="J16" s="23">
        <v>10</v>
      </c>
      <c r="K16" s="23">
        <f>VLOOKUP($A16,쿼리1[[ID]:[열1]],3,FALSE)</f>
        <v>10</v>
      </c>
      <c r="L16" s="25" t="s">
        <v>1828</v>
      </c>
      <c r="M16" s="25"/>
      <c r="N16" s="25"/>
      <c r="O16" s="147" t="s">
        <v>1829</v>
      </c>
      <c r="P16" s="25" t="s">
        <v>1830</v>
      </c>
      <c r="Q16" s="26"/>
      <c r="R16" s="26"/>
      <c r="S16" s="26"/>
      <c r="T16" s="26"/>
      <c r="U16" s="26"/>
      <c r="V16" s="23" t="b">
        <v>0</v>
      </c>
      <c r="W16" s="23" t="s">
        <v>1814</v>
      </c>
      <c r="X16" s="23"/>
      <c r="Y16" s="23" t="s">
        <v>1196</v>
      </c>
      <c r="Z16" s="23"/>
      <c r="AA16" s="23"/>
      <c r="AB16" s="23"/>
      <c r="AC16" s="98">
        <v>0.7</v>
      </c>
      <c r="AD16" s="23"/>
      <c r="AE16" s="23"/>
      <c r="AF16" s="23"/>
      <c r="AG16" s="1" t="s">
        <v>2104</v>
      </c>
      <c r="AH16" s="85"/>
    </row>
    <row r="17" spans="1:34" x14ac:dyDescent="0.3">
      <c r="A17" s="27">
        <v>1110001001</v>
      </c>
      <c r="B17" s="27" t="s">
        <v>516</v>
      </c>
      <c r="C17" s="27" t="s">
        <v>496</v>
      </c>
      <c r="D17" s="27" t="s">
        <v>517</v>
      </c>
      <c r="E17" s="27" t="s">
        <v>47</v>
      </c>
      <c r="F17" s="28" t="s">
        <v>272</v>
      </c>
      <c r="G17" s="15" t="s">
        <v>45</v>
      </c>
      <c r="H17" s="15" t="s">
        <v>477</v>
      </c>
      <c r="I17" s="15" t="s">
        <v>477</v>
      </c>
      <c r="J17" s="27">
        <v>10</v>
      </c>
      <c r="K17" s="27">
        <f>VLOOKUP($A17,쿼리1[[ID]:[열1]],3,FALSE)</f>
        <v>10</v>
      </c>
      <c r="L17" s="27" t="s">
        <v>518</v>
      </c>
      <c r="M17" s="27" t="s">
        <v>519</v>
      </c>
      <c r="N17" s="27" t="s">
        <v>520</v>
      </c>
      <c r="O17" s="29"/>
      <c r="P17" s="30"/>
      <c r="Q17" s="30"/>
      <c r="R17" s="30"/>
      <c r="S17" s="30"/>
      <c r="T17" s="29"/>
      <c r="U17" s="29"/>
      <c r="V17" s="27" t="b">
        <v>1</v>
      </c>
      <c r="W17" s="27" t="s">
        <v>505</v>
      </c>
      <c r="X17" s="15"/>
      <c r="Y17" s="27" t="s">
        <v>506</v>
      </c>
      <c r="Z17" s="27"/>
      <c r="AA17" s="27"/>
      <c r="AB17" s="27"/>
      <c r="AC17" s="99">
        <v>0.9</v>
      </c>
      <c r="AD17" s="27"/>
      <c r="AE17" s="27"/>
      <c r="AF17" s="27"/>
      <c r="AG17" s="1" t="s">
        <v>2093</v>
      </c>
      <c r="AH17" s="85"/>
    </row>
    <row r="18" spans="1:34" x14ac:dyDescent="0.3">
      <c r="A18" s="27">
        <v>1110001002</v>
      </c>
      <c r="B18" s="27" t="s">
        <v>516</v>
      </c>
      <c r="C18" s="27" t="s">
        <v>521</v>
      </c>
      <c r="D18" s="27" t="s">
        <v>517</v>
      </c>
      <c r="E18" s="27" t="s">
        <v>47</v>
      </c>
      <c r="F18" s="28" t="s">
        <v>272</v>
      </c>
      <c r="G18" s="15" t="s">
        <v>45</v>
      </c>
      <c r="H18" s="15" t="s">
        <v>477</v>
      </c>
      <c r="I18" s="15" t="s">
        <v>477</v>
      </c>
      <c r="J18" s="27">
        <v>10</v>
      </c>
      <c r="K18" s="27">
        <f>VLOOKUP($A18,쿼리1[[ID]:[열1]],3,FALSE)</f>
        <v>10</v>
      </c>
      <c r="L18" s="27" t="s">
        <v>522</v>
      </c>
      <c r="M18" s="27" t="s">
        <v>523</v>
      </c>
      <c r="N18" s="27" t="s">
        <v>524</v>
      </c>
      <c r="O18" s="29"/>
      <c r="P18" s="30"/>
      <c r="Q18" s="30"/>
      <c r="R18" s="30"/>
      <c r="S18" s="30"/>
      <c r="T18" s="29"/>
      <c r="U18" s="29"/>
      <c r="V18" s="27" t="b">
        <v>1</v>
      </c>
      <c r="W18" s="27" t="s">
        <v>525</v>
      </c>
      <c r="X18" s="15"/>
      <c r="Y18" s="27" t="s">
        <v>506</v>
      </c>
      <c r="Z18" s="27"/>
      <c r="AA18" s="27"/>
      <c r="AB18" s="27"/>
      <c r="AC18" s="99">
        <v>0.9</v>
      </c>
      <c r="AD18" s="27"/>
      <c r="AE18" s="27"/>
      <c r="AF18" s="27"/>
      <c r="AG18" s="1" t="s">
        <v>2106</v>
      </c>
      <c r="AH18" s="85"/>
    </row>
    <row r="19" spans="1:34" x14ac:dyDescent="0.3">
      <c r="A19" s="31">
        <v>1110001003</v>
      </c>
      <c r="B19" s="31" t="s">
        <v>516</v>
      </c>
      <c r="C19" s="31" t="s">
        <v>130</v>
      </c>
      <c r="D19" s="31" t="s">
        <v>526</v>
      </c>
      <c r="E19" s="31" t="s">
        <v>43</v>
      </c>
      <c r="F19" s="32" t="s">
        <v>44</v>
      </c>
      <c r="G19" s="15" t="s">
        <v>45</v>
      </c>
      <c r="H19" s="15" t="s">
        <v>477</v>
      </c>
      <c r="I19" s="15" t="s">
        <v>477</v>
      </c>
      <c r="J19" s="31">
        <v>10</v>
      </c>
      <c r="K19" s="31">
        <f>VLOOKUP($A19,쿼리1[[ID]:[열1]],3,FALSE)</f>
        <v>10</v>
      </c>
      <c r="L19" s="31" t="s">
        <v>131</v>
      </c>
      <c r="M19" s="31"/>
      <c r="N19" s="31"/>
      <c r="O19" s="33"/>
      <c r="P19" s="34"/>
      <c r="Q19" s="34"/>
      <c r="R19" s="34"/>
      <c r="S19" s="34" t="s">
        <v>527</v>
      </c>
      <c r="T19" s="33"/>
      <c r="U19" s="33"/>
      <c r="V19" s="31" t="b">
        <v>0</v>
      </c>
      <c r="W19" s="31" t="s">
        <v>132</v>
      </c>
      <c r="X19" s="15"/>
      <c r="Y19" s="31" t="s">
        <v>133</v>
      </c>
      <c r="Z19" s="31"/>
      <c r="AA19" s="31"/>
      <c r="AB19" s="31" t="s">
        <v>226</v>
      </c>
      <c r="AC19" s="100">
        <v>1</v>
      </c>
      <c r="AD19" s="31"/>
      <c r="AE19" s="31"/>
      <c r="AF19" s="31"/>
      <c r="AG19" s="1" t="s">
        <v>2104</v>
      </c>
      <c r="AH19" s="85"/>
    </row>
    <row r="20" spans="1:34" x14ac:dyDescent="0.3">
      <c r="A20" s="31">
        <v>1110001004</v>
      </c>
      <c r="B20" s="31" t="s">
        <v>516</v>
      </c>
      <c r="C20" s="31" t="s">
        <v>126</v>
      </c>
      <c r="D20" s="31" t="s">
        <v>526</v>
      </c>
      <c r="E20" s="31" t="s">
        <v>47</v>
      </c>
      <c r="F20" s="32" t="s">
        <v>44</v>
      </c>
      <c r="G20" s="15" t="s">
        <v>45</v>
      </c>
      <c r="H20" s="15" t="s">
        <v>477</v>
      </c>
      <c r="I20" s="15" t="s">
        <v>477</v>
      </c>
      <c r="J20" s="31">
        <v>10</v>
      </c>
      <c r="K20" s="31">
        <f>VLOOKUP($A20,쿼리1[[ID]:[열1]],3,FALSE)</f>
        <v>10</v>
      </c>
      <c r="L20" s="31" t="s">
        <v>127</v>
      </c>
      <c r="M20" s="31"/>
      <c r="N20" s="31"/>
      <c r="O20" s="33"/>
      <c r="P20" s="34"/>
      <c r="Q20" s="34"/>
      <c r="R20" s="34"/>
      <c r="S20" s="34" t="s">
        <v>527</v>
      </c>
      <c r="T20" s="33"/>
      <c r="U20" s="33"/>
      <c r="V20" s="31" t="b">
        <v>0</v>
      </c>
      <c r="W20" s="31" t="s">
        <v>128</v>
      </c>
      <c r="X20" s="15"/>
      <c r="Y20" s="31" t="s">
        <v>129</v>
      </c>
      <c r="Z20" s="31"/>
      <c r="AA20" s="31"/>
      <c r="AB20" s="31" t="s">
        <v>226</v>
      </c>
      <c r="AC20" s="100">
        <v>1</v>
      </c>
      <c r="AD20" s="31"/>
      <c r="AE20" s="31"/>
      <c r="AF20" s="31"/>
      <c r="AG20" s="1" t="s">
        <v>2104</v>
      </c>
      <c r="AH20" s="85"/>
    </row>
    <row r="21" spans="1:34" x14ac:dyDescent="0.3">
      <c r="A21" s="31">
        <v>1110001005</v>
      </c>
      <c r="B21" s="31" t="s">
        <v>516</v>
      </c>
      <c r="C21" s="31" t="s">
        <v>134</v>
      </c>
      <c r="D21" s="31" t="s">
        <v>526</v>
      </c>
      <c r="E21" s="31" t="s">
        <v>47</v>
      </c>
      <c r="F21" s="32" t="s">
        <v>44</v>
      </c>
      <c r="G21" s="15" t="s">
        <v>45</v>
      </c>
      <c r="H21" s="15" t="s">
        <v>477</v>
      </c>
      <c r="I21" s="15" t="s">
        <v>477</v>
      </c>
      <c r="J21" s="31">
        <v>10</v>
      </c>
      <c r="K21" s="31">
        <f>VLOOKUP($A21,쿼리1[[ID]:[열1]],3,FALSE)</f>
        <v>10</v>
      </c>
      <c r="L21" s="31" t="s">
        <v>135</v>
      </c>
      <c r="M21" s="31"/>
      <c r="N21" s="31"/>
      <c r="O21" s="33"/>
      <c r="P21" s="34"/>
      <c r="Q21" s="34"/>
      <c r="R21" s="34"/>
      <c r="S21" s="34" t="s">
        <v>527</v>
      </c>
      <c r="T21" s="33"/>
      <c r="U21" s="33"/>
      <c r="V21" s="31" t="b">
        <v>0</v>
      </c>
      <c r="W21" s="31" t="s">
        <v>136</v>
      </c>
      <c r="X21" s="15"/>
      <c r="Y21" s="31" t="s">
        <v>137</v>
      </c>
      <c r="Z21" s="31"/>
      <c r="AA21" s="31"/>
      <c r="AB21" s="31" t="s">
        <v>226</v>
      </c>
      <c r="AC21" s="100">
        <v>1</v>
      </c>
      <c r="AD21" s="31"/>
      <c r="AE21" s="31"/>
      <c r="AF21" s="31"/>
      <c r="AG21" s="1" t="s">
        <v>2104</v>
      </c>
      <c r="AH21" s="85"/>
    </row>
    <row r="22" spans="1:34" x14ac:dyDescent="0.3">
      <c r="A22" s="12">
        <v>1110701001</v>
      </c>
      <c r="B22" s="12" t="s">
        <v>528</v>
      </c>
      <c r="C22" s="12" t="s">
        <v>529</v>
      </c>
      <c r="D22" s="12" t="s">
        <v>530</v>
      </c>
      <c r="E22" s="12" t="s">
        <v>58</v>
      </c>
      <c r="F22" s="12" t="s">
        <v>531</v>
      </c>
      <c r="G22" s="124" t="s">
        <v>45</v>
      </c>
      <c r="H22" s="124" t="s">
        <v>477</v>
      </c>
      <c r="I22" s="124" t="s">
        <v>477</v>
      </c>
      <c r="J22" s="12">
        <v>10</v>
      </c>
      <c r="K22" s="12">
        <f>VLOOKUP($A22,쿼리1[[ID]:[열1]],3,FALSE)</f>
        <v>10</v>
      </c>
      <c r="L22" s="12" t="s">
        <v>532</v>
      </c>
      <c r="M22" s="12" t="s">
        <v>533</v>
      </c>
      <c r="N22" s="12" t="s">
        <v>534</v>
      </c>
      <c r="O22" s="12" t="s">
        <v>3832</v>
      </c>
      <c r="P22" s="12" t="s">
        <v>3833</v>
      </c>
      <c r="Q22" s="12" t="s">
        <v>3834</v>
      </c>
      <c r="R22" s="12"/>
      <c r="S22" s="12"/>
      <c r="T22" s="12" t="s">
        <v>3835</v>
      </c>
      <c r="U22" s="12"/>
      <c r="V22" s="12" t="b">
        <v>1</v>
      </c>
      <c r="W22" s="12" t="s">
        <v>535</v>
      </c>
      <c r="X22" s="12"/>
      <c r="Y22" s="12" t="s">
        <v>536</v>
      </c>
      <c r="Z22" s="12"/>
      <c r="AA22" s="12"/>
      <c r="AB22" s="12"/>
      <c r="AC22" s="12">
        <v>0.9</v>
      </c>
      <c r="AD22" s="12"/>
      <c r="AE22" s="40"/>
      <c r="AF22" s="40"/>
      <c r="AG22" s="1" t="s">
        <v>2105</v>
      </c>
    </row>
    <row r="23" spans="1:34" x14ac:dyDescent="0.3">
      <c r="A23" s="12">
        <v>1110701002</v>
      </c>
      <c r="B23" s="12" t="s">
        <v>482</v>
      </c>
      <c r="C23" s="12" t="s">
        <v>537</v>
      </c>
      <c r="D23" s="12" t="s">
        <v>483</v>
      </c>
      <c r="E23" s="12" t="s">
        <v>43</v>
      </c>
      <c r="F23" s="12" t="s">
        <v>484</v>
      </c>
      <c r="G23" s="124" t="s">
        <v>45</v>
      </c>
      <c r="H23" s="124" t="s">
        <v>477</v>
      </c>
      <c r="I23" s="124" t="s">
        <v>477</v>
      </c>
      <c r="J23" s="12">
        <v>10</v>
      </c>
      <c r="K23" s="12">
        <f>VLOOKUP($A23,쿼리1[[ID]:[열1]],3,FALSE)</f>
        <v>10</v>
      </c>
      <c r="L23" s="12" t="s">
        <v>538</v>
      </c>
      <c r="M23" s="12" t="s">
        <v>539</v>
      </c>
      <c r="N23" s="12" t="s">
        <v>540</v>
      </c>
      <c r="O23" s="12" t="s">
        <v>488</v>
      </c>
      <c r="P23" s="12" t="s">
        <v>489</v>
      </c>
      <c r="Q23" s="12" t="s">
        <v>3723</v>
      </c>
      <c r="R23" s="12" t="s">
        <v>3724</v>
      </c>
      <c r="S23" s="12"/>
      <c r="T23" s="12" t="s">
        <v>491</v>
      </c>
      <c r="U23" s="12" t="s">
        <v>2796</v>
      </c>
      <c r="V23" s="12" t="b">
        <v>1</v>
      </c>
      <c r="W23" s="12" t="s">
        <v>541</v>
      </c>
      <c r="X23" s="12"/>
      <c r="Y23" s="12" t="s">
        <v>493</v>
      </c>
      <c r="Z23" s="12"/>
      <c r="AA23" s="12"/>
      <c r="AB23" s="12"/>
      <c r="AC23" s="12">
        <v>0.9</v>
      </c>
      <c r="AD23" s="12"/>
      <c r="AE23" s="40"/>
      <c r="AF23" s="40"/>
      <c r="AG23" s="1" t="s">
        <v>2093</v>
      </c>
    </row>
    <row r="24" spans="1:34" x14ac:dyDescent="0.3">
      <c r="A24" s="12">
        <v>1110701003</v>
      </c>
      <c r="B24" s="12" t="s">
        <v>542</v>
      </c>
      <c r="C24" s="12" t="s">
        <v>543</v>
      </c>
      <c r="D24" s="12" t="s">
        <v>544</v>
      </c>
      <c r="E24" s="12" t="s">
        <v>143</v>
      </c>
      <c r="F24" s="12" t="s">
        <v>545</v>
      </c>
      <c r="G24" s="124" t="s">
        <v>45</v>
      </c>
      <c r="H24" s="124" t="s">
        <v>477</v>
      </c>
      <c r="I24" s="124" t="s">
        <v>477</v>
      </c>
      <c r="J24" s="12">
        <v>10</v>
      </c>
      <c r="K24" s="12">
        <f>VLOOKUP($A24,쿼리1[[ID]:[열1]],3,FALSE)</f>
        <v>10</v>
      </c>
      <c r="L24" s="12" t="s">
        <v>546</v>
      </c>
      <c r="M24" s="12" t="s">
        <v>547</v>
      </c>
      <c r="N24" s="12" t="s">
        <v>548</v>
      </c>
      <c r="O24" s="12" t="s">
        <v>3836</v>
      </c>
      <c r="P24" s="12" t="s">
        <v>3837</v>
      </c>
      <c r="Q24" s="12" t="s">
        <v>3838</v>
      </c>
      <c r="R24" s="12"/>
      <c r="S24" s="12"/>
      <c r="T24" s="12" t="s">
        <v>3839</v>
      </c>
      <c r="U24" s="12"/>
      <c r="V24" s="12" t="b">
        <v>1</v>
      </c>
      <c r="W24" s="12" t="s">
        <v>549</v>
      </c>
      <c r="X24" s="12"/>
      <c r="Y24" s="12" t="s">
        <v>550</v>
      </c>
      <c r="Z24" s="12"/>
      <c r="AA24" s="12"/>
      <c r="AB24" s="12"/>
      <c r="AC24" s="12">
        <v>0.9</v>
      </c>
      <c r="AD24" s="12"/>
      <c r="AE24" s="40"/>
      <c r="AF24" s="40"/>
      <c r="AG24" s="1" t="s">
        <v>2093</v>
      </c>
    </row>
    <row r="25" spans="1:34" x14ac:dyDescent="0.3">
      <c r="A25" s="12">
        <v>1110701004</v>
      </c>
      <c r="B25" s="12" t="s">
        <v>476</v>
      </c>
      <c r="C25" s="12" t="s">
        <v>270</v>
      </c>
      <c r="D25" s="12" t="s">
        <v>271</v>
      </c>
      <c r="E25" s="12" t="s">
        <v>47</v>
      </c>
      <c r="F25" s="12" t="s">
        <v>272</v>
      </c>
      <c r="G25" s="124" t="s">
        <v>45</v>
      </c>
      <c r="H25" s="124" t="s">
        <v>477</v>
      </c>
      <c r="I25" s="124" t="s">
        <v>477</v>
      </c>
      <c r="J25" s="12">
        <v>10</v>
      </c>
      <c r="K25" s="12">
        <f>VLOOKUP($A25,쿼리1[[ID]:[열1]],3,FALSE)</f>
        <v>10</v>
      </c>
      <c r="L25" s="12" t="s">
        <v>273</v>
      </c>
      <c r="M25" s="12" t="s">
        <v>274</v>
      </c>
      <c r="N25" s="12" t="s">
        <v>275</v>
      </c>
      <c r="O25" s="12" t="s">
        <v>3840</v>
      </c>
      <c r="P25" s="12" t="s">
        <v>3841</v>
      </c>
      <c r="Q25" s="12" t="s">
        <v>3842</v>
      </c>
      <c r="R25" s="12"/>
      <c r="S25" s="12"/>
      <c r="T25" s="12" t="s">
        <v>3843</v>
      </c>
      <c r="U25" s="12"/>
      <c r="V25" s="12" t="b">
        <v>1</v>
      </c>
      <c r="W25" s="12" t="s">
        <v>551</v>
      </c>
      <c r="X25" s="12"/>
      <c r="Y25" s="12" t="s">
        <v>281</v>
      </c>
      <c r="Z25" s="12"/>
      <c r="AA25" s="12"/>
      <c r="AB25" s="12"/>
      <c r="AC25" s="12">
        <v>0.9</v>
      </c>
      <c r="AD25" s="12"/>
      <c r="AE25" s="40"/>
      <c r="AF25" s="40"/>
      <c r="AG25" s="1" t="s">
        <v>2105</v>
      </c>
    </row>
    <row r="26" spans="1:34" x14ac:dyDescent="0.3">
      <c r="A26" s="12">
        <v>1110701005</v>
      </c>
      <c r="B26" s="12" t="s">
        <v>496</v>
      </c>
      <c r="C26" s="12" t="s">
        <v>552</v>
      </c>
      <c r="D26" s="12" t="s">
        <v>497</v>
      </c>
      <c r="E26" s="12" t="s">
        <v>47</v>
      </c>
      <c r="F26" s="12" t="s">
        <v>272</v>
      </c>
      <c r="G26" s="124" t="s">
        <v>45</v>
      </c>
      <c r="H26" s="124" t="s">
        <v>477</v>
      </c>
      <c r="I26" s="124" t="s">
        <v>477</v>
      </c>
      <c r="J26" s="12">
        <v>10</v>
      </c>
      <c r="K26" s="12">
        <f>VLOOKUP($A26,쿼리1[[ID]:[열1]],3,FALSE)</f>
        <v>10</v>
      </c>
      <c r="L26" s="12" t="s">
        <v>518</v>
      </c>
      <c r="M26" s="12" t="s">
        <v>519</v>
      </c>
      <c r="N26" s="12" t="s">
        <v>520</v>
      </c>
      <c r="O26" s="12" t="s">
        <v>3844</v>
      </c>
      <c r="P26" s="12" t="s">
        <v>3845</v>
      </c>
      <c r="Q26" s="12" t="s">
        <v>3846</v>
      </c>
      <c r="R26" s="12"/>
      <c r="S26" s="12"/>
      <c r="T26" s="12" t="s">
        <v>3847</v>
      </c>
      <c r="U26" s="12"/>
      <c r="V26" s="12" t="b">
        <v>1</v>
      </c>
      <c r="W26" s="12" t="s">
        <v>553</v>
      </c>
      <c r="X26" s="12"/>
      <c r="Y26" s="12" t="s">
        <v>506</v>
      </c>
      <c r="Z26" s="12"/>
      <c r="AA26" s="12"/>
      <c r="AB26" s="12"/>
      <c r="AC26" s="12">
        <v>0.9</v>
      </c>
      <c r="AD26" s="12"/>
      <c r="AE26" s="40"/>
      <c r="AF26" s="40"/>
      <c r="AG26" s="1" t="s">
        <v>2106</v>
      </c>
    </row>
    <row r="27" spans="1:34" x14ac:dyDescent="0.3">
      <c r="A27" s="125">
        <v>1110701006</v>
      </c>
      <c r="B27" s="125" t="s">
        <v>554</v>
      </c>
      <c r="C27" s="125" t="s">
        <v>555</v>
      </c>
      <c r="D27" s="125" t="s">
        <v>556</v>
      </c>
      <c r="E27" s="125" t="s">
        <v>58</v>
      </c>
      <c r="F27" s="125" t="s">
        <v>557</v>
      </c>
      <c r="G27" s="124" t="s">
        <v>45</v>
      </c>
      <c r="H27" s="124" t="s">
        <v>477</v>
      </c>
      <c r="I27" s="124" t="s">
        <v>477</v>
      </c>
      <c r="J27" s="125">
        <v>10</v>
      </c>
      <c r="K27" s="125">
        <f>VLOOKUP($A27,쿼리1[[ID]:[열1]],3,FALSE)</f>
        <v>10</v>
      </c>
      <c r="L27" s="125" t="s">
        <v>558</v>
      </c>
      <c r="M27" s="125" t="s">
        <v>559</v>
      </c>
      <c r="N27" s="125" t="s">
        <v>560</v>
      </c>
      <c r="O27" s="125" t="s">
        <v>561</v>
      </c>
      <c r="P27" s="125" t="s">
        <v>562</v>
      </c>
      <c r="Q27" s="125" t="s">
        <v>563</v>
      </c>
      <c r="R27" s="125"/>
      <c r="S27" s="125"/>
      <c r="T27" s="125" t="s">
        <v>564</v>
      </c>
      <c r="U27" s="125" t="s">
        <v>2769</v>
      </c>
      <c r="V27" s="125" t="b">
        <v>1</v>
      </c>
      <c r="W27" s="125" t="s">
        <v>565</v>
      </c>
      <c r="X27" s="125"/>
      <c r="Y27" s="125" t="s">
        <v>566</v>
      </c>
      <c r="Z27" s="125"/>
      <c r="AA27" s="125"/>
      <c r="AB27" s="125"/>
      <c r="AC27" s="125">
        <v>0.9</v>
      </c>
      <c r="AD27" s="125"/>
      <c r="AE27" s="125"/>
      <c r="AF27" s="125"/>
      <c r="AG27" s="1" t="s">
        <v>2105</v>
      </c>
    </row>
    <row r="28" spans="1:34" x14ac:dyDescent="0.3">
      <c r="A28" s="125">
        <v>1110701007</v>
      </c>
      <c r="B28" s="125" t="s">
        <v>567</v>
      </c>
      <c r="C28" s="125" t="s">
        <v>568</v>
      </c>
      <c r="D28" s="125" t="s">
        <v>569</v>
      </c>
      <c r="E28" s="125" t="s">
        <v>43</v>
      </c>
      <c r="F28" s="125" t="s">
        <v>570</v>
      </c>
      <c r="G28" s="124" t="s">
        <v>45</v>
      </c>
      <c r="H28" s="124" t="s">
        <v>477</v>
      </c>
      <c r="I28" s="124" t="s">
        <v>477</v>
      </c>
      <c r="J28" s="125">
        <v>10</v>
      </c>
      <c r="K28" s="125">
        <f>VLOOKUP($A28,쿼리1[[ID]:[열1]],3,FALSE)</f>
        <v>10</v>
      </c>
      <c r="L28" s="125" t="s">
        <v>571</v>
      </c>
      <c r="M28" s="125" t="s">
        <v>572</v>
      </c>
      <c r="N28" s="125" t="s">
        <v>573</v>
      </c>
      <c r="O28" s="125" t="s">
        <v>3848</v>
      </c>
      <c r="P28" s="125" t="s">
        <v>3849</v>
      </c>
      <c r="Q28" s="125" t="s">
        <v>3850</v>
      </c>
      <c r="R28" s="125" t="s">
        <v>3851</v>
      </c>
      <c r="S28" s="125"/>
      <c r="T28" s="125" t="s">
        <v>3852</v>
      </c>
      <c r="U28" s="125" t="s">
        <v>3853</v>
      </c>
      <c r="V28" s="125" t="b">
        <v>1</v>
      </c>
      <c r="W28" s="125" t="s">
        <v>574</v>
      </c>
      <c r="X28" s="125"/>
      <c r="Y28" s="125" t="s">
        <v>575</v>
      </c>
      <c r="Z28" s="125"/>
      <c r="AA28" s="125"/>
      <c r="AB28" s="125"/>
      <c r="AC28" s="125">
        <v>0.9</v>
      </c>
      <c r="AD28" s="125"/>
      <c r="AE28" s="125"/>
      <c r="AF28" s="125"/>
      <c r="AG28" s="1" t="s">
        <v>2105</v>
      </c>
    </row>
    <row r="29" spans="1:34" x14ac:dyDescent="0.3">
      <c r="A29" s="125">
        <v>1110701008</v>
      </c>
      <c r="B29" s="125" t="s">
        <v>576</v>
      </c>
      <c r="C29" s="125" t="s">
        <v>577</v>
      </c>
      <c r="D29" s="125" t="s">
        <v>578</v>
      </c>
      <c r="E29" s="125" t="s">
        <v>47</v>
      </c>
      <c r="F29" s="125" t="s">
        <v>531</v>
      </c>
      <c r="G29" s="124" t="s">
        <v>45</v>
      </c>
      <c r="H29" s="124" t="s">
        <v>477</v>
      </c>
      <c r="I29" s="124" t="s">
        <v>477</v>
      </c>
      <c r="J29" s="125">
        <v>10</v>
      </c>
      <c r="K29" s="125">
        <f>VLOOKUP($A29,쿼리1[[ID]:[열1]],3,FALSE)</f>
        <v>10</v>
      </c>
      <c r="L29" s="125" t="s">
        <v>579</v>
      </c>
      <c r="M29" s="125" t="s">
        <v>580</v>
      </c>
      <c r="N29" s="125" t="s">
        <v>581</v>
      </c>
      <c r="O29" s="125" t="s">
        <v>582</v>
      </c>
      <c r="P29" s="125" t="s">
        <v>583</v>
      </c>
      <c r="Q29" s="125" t="s">
        <v>584</v>
      </c>
      <c r="R29" s="125" t="s">
        <v>3726</v>
      </c>
      <c r="S29" s="125"/>
      <c r="T29" s="125" t="s">
        <v>585</v>
      </c>
      <c r="U29" s="125" t="s">
        <v>2770</v>
      </c>
      <c r="V29" s="125" t="b">
        <v>1</v>
      </c>
      <c r="W29" s="125" t="s">
        <v>586</v>
      </c>
      <c r="X29" s="125"/>
      <c r="Y29" s="125" t="s">
        <v>587</v>
      </c>
      <c r="Z29" s="125"/>
      <c r="AA29" s="125"/>
      <c r="AB29" s="125"/>
      <c r="AC29" s="125">
        <v>0.9</v>
      </c>
      <c r="AD29" s="125"/>
      <c r="AE29" s="125"/>
      <c r="AF29" s="125"/>
      <c r="AG29" s="1" t="s">
        <v>2105</v>
      </c>
    </row>
    <row r="30" spans="1:34" x14ac:dyDescent="0.3">
      <c r="A30" s="125">
        <v>1110701009</v>
      </c>
      <c r="B30" s="125" t="s">
        <v>588</v>
      </c>
      <c r="C30" s="125" t="s">
        <v>589</v>
      </c>
      <c r="D30" s="125" t="s">
        <v>590</v>
      </c>
      <c r="E30" s="125" t="s">
        <v>47</v>
      </c>
      <c r="F30" s="125" t="s">
        <v>591</v>
      </c>
      <c r="G30" s="124" t="s">
        <v>45</v>
      </c>
      <c r="H30" s="124" t="s">
        <v>477</v>
      </c>
      <c r="I30" s="124" t="s">
        <v>477</v>
      </c>
      <c r="J30" s="125">
        <v>10</v>
      </c>
      <c r="K30" s="125">
        <f>VLOOKUP($A30,쿼리1[[ID]:[열1]],3,FALSE)</f>
        <v>10</v>
      </c>
      <c r="L30" s="125" t="s">
        <v>3925</v>
      </c>
      <c r="M30" s="125" t="s">
        <v>3926</v>
      </c>
      <c r="N30" s="125" t="s">
        <v>3927</v>
      </c>
      <c r="O30" s="125" t="s">
        <v>3928</v>
      </c>
      <c r="P30" s="125" t="s">
        <v>3929</v>
      </c>
      <c r="Q30" s="125" t="s">
        <v>3930</v>
      </c>
      <c r="R30" s="125" t="s">
        <v>3931</v>
      </c>
      <c r="S30" s="125"/>
      <c r="T30" s="125" t="s">
        <v>3932</v>
      </c>
      <c r="U30" s="125" t="s">
        <v>3933</v>
      </c>
      <c r="V30" s="125" t="b">
        <v>1</v>
      </c>
      <c r="W30" s="125" t="s">
        <v>592</v>
      </c>
      <c r="X30" s="125"/>
      <c r="Y30" s="125" t="s">
        <v>593</v>
      </c>
      <c r="Z30" s="125"/>
      <c r="AA30" s="125"/>
      <c r="AB30" s="125"/>
      <c r="AC30" s="125">
        <v>0.9</v>
      </c>
      <c r="AD30" s="125"/>
      <c r="AE30" s="125"/>
      <c r="AF30" s="125"/>
      <c r="AG30" s="1" t="s">
        <v>2093</v>
      </c>
    </row>
    <row r="31" spans="1:34" x14ac:dyDescent="0.3">
      <c r="A31" s="125">
        <v>1110701010</v>
      </c>
      <c r="B31" s="125" t="s">
        <v>594</v>
      </c>
      <c r="C31" s="125" t="s">
        <v>595</v>
      </c>
      <c r="D31" s="125" t="s">
        <v>596</v>
      </c>
      <c r="E31" s="125" t="s">
        <v>47</v>
      </c>
      <c r="F31" s="125" t="s">
        <v>272</v>
      </c>
      <c r="G31" s="124" t="s">
        <v>45</v>
      </c>
      <c r="H31" s="124" t="s">
        <v>477</v>
      </c>
      <c r="I31" s="124" t="s">
        <v>477</v>
      </c>
      <c r="J31" s="125">
        <v>10</v>
      </c>
      <c r="K31" s="125">
        <f>VLOOKUP($A31,쿼리1[[ID]:[열1]],3,FALSE)</f>
        <v>10</v>
      </c>
      <c r="L31" s="125" t="s">
        <v>597</v>
      </c>
      <c r="M31" s="125" t="s">
        <v>598</v>
      </c>
      <c r="N31" s="125" t="s">
        <v>599</v>
      </c>
      <c r="O31" s="125" t="s">
        <v>600</v>
      </c>
      <c r="P31" s="125" t="s">
        <v>601</v>
      </c>
      <c r="Q31" s="125" t="s">
        <v>602</v>
      </c>
      <c r="R31" s="125" t="s">
        <v>3727</v>
      </c>
      <c r="S31" s="125"/>
      <c r="T31" s="125" t="s">
        <v>603</v>
      </c>
      <c r="U31" s="125" t="s">
        <v>2771</v>
      </c>
      <c r="V31" s="125" t="b">
        <v>1</v>
      </c>
      <c r="W31" s="125" t="s">
        <v>604</v>
      </c>
      <c r="X31" s="125"/>
      <c r="Y31" s="125" t="s">
        <v>605</v>
      </c>
      <c r="Z31" s="125"/>
      <c r="AA31" s="125"/>
      <c r="AB31" s="125"/>
      <c r="AC31" s="125">
        <v>0.9</v>
      </c>
      <c r="AD31" s="125"/>
      <c r="AE31" s="125"/>
      <c r="AF31" s="125"/>
      <c r="AG31" s="1" t="s">
        <v>2106</v>
      </c>
    </row>
    <row r="32" spans="1:34" x14ac:dyDescent="0.3">
      <c r="A32" s="12">
        <v>1110701011</v>
      </c>
      <c r="B32" s="12" t="s">
        <v>606</v>
      </c>
      <c r="C32" s="12" t="s">
        <v>607</v>
      </c>
      <c r="D32" s="12" t="s">
        <v>608</v>
      </c>
      <c r="E32" s="12" t="s">
        <v>58</v>
      </c>
      <c r="F32" s="12" t="s">
        <v>609</v>
      </c>
      <c r="G32" s="124" t="s">
        <v>45</v>
      </c>
      <c r="H32" s="124" t="s">
        <v>477</v>
      </c>
      <c r="I32" s="124" t="s">
        <v>477</v>
      </c>
      <c r="J32" s="12">
        <v>10</v>
      </c>
      <c r="K32" s="12">
        <f>VLOOKUP($A32,쿼리1[[ID]:[열1]],3,FALSE)</f>
        <v>10</v>
      </c>
      <c r="L32" s="12" t="s">
        <v>610</v>
      </c>
      <c r="M32" s="12" t="s">
        <v>611</v>
      </c>
      <c r="N32" s="12" t="s">
        <v>612</v>
      </c>
      <c r="O32" s="12" t="s">
        <v>613</v>
      </c>
      <c r="P32" s="12" t="s">
        <v>614</v>
      </c>
      <c r="Q32" s="12" t="s">
        <v>615</v>
      </c>
      <c r="R32" s="12" t="s">
        <v>3728</v>
      </c>
      <c r="S32" s="12"/>
      <c r="T32" s="12" t="s">
        <v>616</v>
      </c>
      <c r="U32" s="12" t="s">
        <v>2772</v>
      </c>
      <c r="V32" s="12" t="b">
        <v>1</v>
      </c>
      <c r="W32" s="12" t="s">
        <v>617</v>
      </c>
      <c r="X32" s="12"/>
      <c r="Y32" s="12" t="s">
        <v>618</v>
      </c>
      <c r="Z32" s="12"/>
      <c r="AA32" s="12"/>
      <c r="AB32" s="12"/>
      <c r="AC32" s="12">
        <v>0.9</v>
      </c>
      <c r="AD32" s="12"/>
      <c r="AE32" s="40"/>
      <c r="AF32" s="40"/>
      <c r="AG32" s="1" t="s">
        <v>2106</v>
      </c>
    </row>
    <row r="33" spans="1:33" x14ac:dyDescent="0.3">
      <c r="A33" s="12">
        <v>1110701012</v>
      </c>
      <c r="B33" s="12" t="s">
        <v>619</v>
      </c>
      <c r="C33" s="12" t="s">
        <v>285</v>
      </c>
      <c r="D33" s="12" t="s">
        <v>286</v>
      </c>
      <c r="E33" s="12" t="s">
        <v>43</v>
      </c>
      <c r="F33" s="12" t="s">
        <v>287</v>
      </c>
      <c r="G33" s="124" t="s">
        <v>45</v>
      </c>
      <c r="H33" s="124" t="s">
        <v>477</v>
      </c>
      <c r="I33" s="124" t="s">
        <v>477</v>
      </c>
      <c r="J33" s="12">
        <v>10</v>
      </c>
      <c r="K33" s="12">
        <f>VLOOKUP($A33,쿼리1[[ID]:[열1]],3,FALSE)</f>
        <v>10</v>
      </c>
      <c r="L33" s="12" t="s">
        <v>3934</v>
      </c>
      <c r="M33" s="12" t="s">
        <v>3935</v>
      </c>
      <c r="N33" s="12" t="s">
        <v>3936</v>
      </c>
      <c r="O33" s="12" t="s">
        <v>3937</v>
      </c>
      <c r="P33" s="12" t="s">
        <v>3938</v>
      </c>
      <c r="Q33" s="12" t="s">
        <v>3939</v>
      </c>
      <c r="R33" s="12" t="s">
        <v>3940</v>
      </c>
      <c r="S33" s="12"/>
      <c r="T33" s="12" t="s">
        <v>3941</v>
      </c>
      <c r="U33" s="12" t="s">
        <v>3942</v>
      </c>
      <c r="V33" s="12" t="b">
        <v>1</v>
      </c>
      <c r="W33" s="12" t="s">
        <v>620</v>
      </c>
      <c r="X33" s="12"/>
      <c r="Y33" s="12" t="s">
        <v>296</v>
      </c>
      <c r="Z33" s="12"/>
      <c r="AA33" s="12"/>
      <c r="AB33" s="12"/>
      <c r="AC33" s="12">
        <v>0.9</v>
      </c>
      <c r="AD33" s="12"/>
      <c r="AE33" s="40"/>
      <c r="AF33" s="40"/>
      <c r="AG33" s="1" t="s">
        <v>2105</v>
      </c>
    </row>
    <row r="34" spans="1:33" x14ac:dyDescent="0.3">
      <c r="A34" s="12">
        <v>1110701013</v>
      </c>
      <c r="B34" s="12" t="s">
        <v>621</v>
      </c>
      <c r="C34" s="12" t="s">
        <v>622</v>
      </c>
      <c r="D34" s="12" t="s">
        <v>623</v>
      </c>
      <c r="E34" s="12" t="s">
        <v>143</v>
      </c>
      <c r="F34" s="12" t="s">
        <v>624</v>
      </c>
      <c r="G34" s="124" t="s">
        <v>45</v>
      </c>
      <c r="H34" s="124" t="s">
        <v>477</v>
      </c>
      <c r="I34" s="124" t="s">
        <v>477</v>
      </c>
      <c r="J34" s="12">
        <v>10</v>
      </c>
      <c r="K34" s="12">
        <f>VLOOKUP($A34,쿼리1[[ID]:[열1]],3,FALSE)</f>
        <v>10</v>
      </c>
      <c r="L34" s="12" t="s">
        <v>625</v>
      </c>
      <c r="M34" s="12" t="s">
        <v>626</v>
      </c>
      <c r="N34" s="12" t="s">
        <v>627</v>
      </c>
      <c r="O34" s="12" t="s">
        <v>3854</v>
      </c>
      <c r="P34" s="12" t="s">
        <v>3855</v>
      </c>
      <c r="Q34" s="12" t="s">
        <v>3856</v>
      </c>
      <c r="R34" s="12" t="s">
        <v>3857</v>
      </c>
      <c r="S34" s="12"/>
      <c r="T34" s="12" t="s">
        <v>3858</v>
      </c>
      <c r="U34" s="12" t="s">
        <v>3859</v>
      </c>
      <c r="V34" s="12" t="b">
        <v>1</v>
      </c>
      <c r="W34" s="12" t="s">
        <v>628</v>
      </c>
      <c r="X34" s="12"/>
      <c r="Y34" s="12" t="s">
        <v>629</v>
      </c>
      <c r="Z34" s="12"/>
      <c r="AA34" s="12"/>
      <c r="AB34" s="12"/>
      <c r="AC34" s="12">
        <v>0.9</v>
      </c>
      <c r="AD34" s="12"/>
      <c r="AE34" s="40"/>
      <c r="AF34" s="40"/>
      <c r="AG34" s="1" t="s">
        <v>2093</v>
      </c>
    </row>
    <row r="35" spans="1:33" x14ac:dyDescent="0.3">
      <c r="A35" s="12">
        <v>1110701014</v>
      </c>
      <c r="B35" s="12" t="s">
        <v>630</v>
      </c>
      <c r="C35" s="12" t="s">
        <v>631</v>
      </c>
      <c r="D35" s="12" t="s">
        <v>632</v>
      </c>
      <c r="E35" s="12" t="s">
        <v>43</v>
      </c>
      <c r="F35" s="12" t="s">
        <v>633</v>
      </c>
      <c r="G35" s="124" t="s">
        <v>45</v>
      </c>
      <c r="H35" s="124" t="s">
        <v>477</v>
      </c>
      <c r="I35" s="124" t="s">
        <v>477</v>
      </c>
      <c r="J35" s="12">
        <v>10</v>
      </c>
      <c r="K35" s="12">
        <f>VLOOKUP($A35,쿼리1[[ID]:[열1]],3,FALSE)</f>
        <v>10</v>
      </c>
      <c r="L35" s="12" t="s">
        <v>634</v>
      </c>
      <c r="M35" s="12" t="s">
        <v>635</v>
      </c>
      <c r="N35" s="12" t="s">
        <v>636</v>
      </c>
      <c r="O35" s="12" t="s">
        <v>637</v>
      </c>
      <c r="P35" s="12" t="s">
        <v>638</v>
      </c>
      <c r="Q35" s="12" t="s">
        <v>3725</v>
      </c>
      <c r="R35" s="12" t="s">
        <v>3729</v>
      </c>
      <c r="S35" s="12"/>
      <c r="T35" s="12" t="s">
        <v>639</v>
      </c>
      <c r="U35" s="12" t="s">
        <v>2773</v>
      </c>
      <c r="V35" s="12" t="b">
        <v>1</v>
      </c>
      <c r="W35" s="12" t="s">
        <v>640</v>
      </c>
      <c r="X35" s="12"/>
      <c r="Y35" s="12" t="s">
        <v>641</v>
      </c>
      <c r="Z35" s="12"/>
      <c r="AA35" s="12"/>
      <c r="AB35" s="12"/>
      <c r="AC35" s="12">
        <v>0.9</v>
      </c>
      <c r="AD35" s="12"/>
      <c r="AE35" s="40"/>
      <c r="AF35" s="40"/>
      <c r="AG35" s="1" t="s">
        <v>2106</v>
      </c>
    </row>
    <row r="36" spans="1:33" x14ac:dyDescent="0.3">
      <c r="A36" s="12">
        <v>1110701015</v>
      </c>
      <c r="B36" s="12" t="s">
        <v>642</v>
      </c>
      <c r="C36" s="12" t="s">
        <v>643</v>
      </c>
      <c r="D36" s="12" t="s">
        <v>644</v>
      </c>
      <c r="E36" s="12" t="s">
        <v>47</v>
      </c>
      <c r="F36" s="12" t="s">
        <v>591</v>
      </c>
      <c r="G36" s="124" t="s">
        <v>45</v>
      </c>
      <c r="H36" s="124" t="s">
        <v>477</v>
      </c>
      <c r="I36" s="124" t="s">
        <v>477</v>
      </c>
      <c r="J36" s="12">
        <v>10</v>
      </c>
      <c r="K36" s="12">
        <f>VLOOKUP($A36,쿼리1[[ID]:[열1]],3,FALSE)</f>
        <v>10</v>
      </c>
      <c r="L36" s="12" t="s">
        <v>645</v>
      </c>
      <c r="M36" s="12" t="s">
        <v>646</v>
      </c>
      <c r="N36" s="12" t="s">
        <v>647</v>
      </c>
      <c r="O36" s="12" t="s">
        <v>3860</v>
      </c>
      <c r="P36" s="12" t="s">
        <v>3861</v>
      </c>
      <c r="Q36" s="12" t="s">
        <v>3862</v>
      </c>
      <c r="R36" s="12"/>
      <c r="S36" s="12"/>
      <c r="T36" s="12" t="s">
        <v>3863</v>
      </c>
      <c r="U36" s="12"/>
      <c r="V36" s="12" t="b">
        <v>1</v>
      </c>
      <c r="W36" s="12" t="s">
        <v>648</v>
      </c>
      <c r="X36" s="12"/>
      <c r="Y36" s="12" t="s">
        <v>649</v>
      </c>
      <c r="Z36" s="12"/>
      <c r="AA36" s="12"/>
      <c r="AB36" s="12"/>
      <c r="AC36" s="12">
        <v>0.9</v>
      </c>
      <c r="AD36" s="12"/>
      <c r="AE36" s="40"/>
      <c r="AF36" s="40"/>
      <c r="AG36" s="1" t="s">
        <v>2093</v>
      </c>
    </row>
    <row r="37" spans="1:33" x14ac:dyDescent="0.3">
      <c r="A37" s="125">
        <v>1110701016</v>
      </c>
      <c r="B37" s="125" t="s">
        <v>650</v>
      </c>
      <c r="C37" s="125" t="s">
        <v>651</v>
      </c>
      <c r="D37" s="125" t="s">
        <v>652</v>
      </c>
      <c r="E37" s="125" t="s">
        <v>58</v>
      </c>
      <c r="F37" s="125" t="s">
        <v>624</v>
      </c>
      <c r="G37" s="124" t="s">
        <v>45</v>
      </c>
      <c r="H37" s="124" t="s">
        <v>477</v>
      </c>
      <c r="I37" s="124" t="s">
        <v>477</v>
      </c>
      <c r="J37" s="125">
        <v>10</v>
      </c>
      <c r="K37" s="125">
        <f>VLOOKUP($A37,쿼리1[[ID]:[열1]],3,FALSE)</f>
        <v>10</v>
      </c>
      <c r="L37" s="125" t="s">
        <v>653</v>
      </c>
      <c r="M37" s="125" t="s">
        <v>654</v>
      </c>
      <c r="N37" s="125" t="s">
        <v>655</v>
      </c>
      <c r="O37" s="125" t="s">
        <v>656</v>
      </c>
      <c r="P37" s="125" t="s">
        <v>657</v>
      </c>
      <c r="Q37" s="125" t="s">
        <v>658</v>
      </c>
      <c r="R37" s="125" t="s">
        <v>3730</v>
      </c>
      <c r="S37" s="125"/>
      <c r="T37" s="125" t="s">
        <v>659</v>
      </c>
      <c r="U37" s="125" t="s">
        <v>2774</v>
      </c>
      <c r="V37" s="125" t="b">
        <v>1</v>
      </c>
      <c r="W37" s="125" t="s">
        <v>660</v>
      </c>
      <c r="X37" s="125"/>
      <c r="Y37" s="125" t="s">
        <v>661</v>
      </c>
      <c r="Z37" s="125"/>
      <c r="AA37" s="125"/>
      <c r="AB37" s="125"/>
      <c r="AC37" s="125">
        <v>0.9</v>
      </c>
      <c r="AD37" s="125"/>
      <c r="AE37" s="125"/>
      <c r="AF37" s="125"/>
      <c r="AG37" s="1" t="s">
        <v>2105</v>
      </c>
    </row>
    <row r="38" spans="1:33" x14ac:dyDescent="0.3">
      <c r="A38" s="125">
        <v>1110701017</v>
      </c>
      <c r="B38" s="125" t="s">
        <v>662</v>
      </c>
      <c r="C38" s="125" t="s">
        <v>663</v>
      </c>
      <c r="D38" s="125" t="s">
        <v>664</v>
      </c>
      <c r="E38" s="125" t="s">
        <v>43</v>
      </c>
      <c r="F38" s="125" t="s">
        <v>557</v>
      </c>
      <c r="G38" s="124" t="s">
        <v>45</v>
      </c>
      <c r="H38" s="124" t="s">
        <v>477</v>
      </c>
      <c r="I38" s="124" t="s">
        <v>477</v>
      </c>
      <c r="J38" s="125">
        <v>10</v>
      </c>
      <c r="K38" s="125">
        <f>VLOOKUP($A38,쿼리1[[ID]:[열1]],3,FALSE)</f>
        <v>10</v>
      </c>
      <c r="L38" s="125" t="s">
        <v>665</v>
      </c>
      <c r="M38" s="125" t="s">
        <v>666</v>
      </c>
      <c r="N38" s="125" t="s">
        <v>667</v>
      </c>
      <c r="O38" s="125" t="s">
        <v>668</v>
      </c>
      <c r="P38" s="125" t="s">
        <v>669</v>
      </c>
      <c r="Q38" s="125" t="s">
        <v>670</v>
      </c>
      <c r="R38" s="125"/>
      <c r="S38" s="125"/>
      <c r="T38" s="125" t="s">
        <v>671</v>
      </c>
      <c r="U38" s="125" t="s">
        <v>2775</v>
      </c>
      <c r="V38" s="125" t="b">
        <v>1</v>
      </c>
      <c r="W38" s="125" t="s">
        <v>672</v>
      </c>
      <c r="X38" s="125"/>
      <c r="Y38" s="125" t="s">
        <v>673</v>
      </c>
      <c r="Z38" s="125"/>
      <c r="AA38" s="125"/>
      <c r="AB38" s="125"/>
      <c r="AC38" s="125">
        <v>0.9</v>
      </c>
      <c r="AD38" s="125"/>
      <c r="AE38" s="125"/>
      <c r="AF38" s="125"/>
      <c r="AG38" s="1" t="s">
        <v>2105</v>
      </c>
    </row>
    <row r="39" spans="1:33" x14ac:dyDescent="0.3">
      <c r="A39" s="125">
        <v>1110701018</v>
      </c>
      <c r="B39" s="125" t="s">
        <v>674</v>
      </c>
      <c r="C39" s="125" t="s">
        <v>675</v>
      </c>
      <c r="D39" s="125" t="s">
        <v>676</v>
      </c>
      <c r="E39" s="125" t="s">
        <v>47</v>
      </c>
      <c r="F39" s="125" t="s">
        <v>677</v>
      </c>
      <c r="G39" s="124" t="s">
        <v>45</v>
      </c>
      <c r="H39" s="124" t="s">
        <v>477</v>
      </c>
      <c r="I39" s="124" t="s">
        <v>477</v>
      </c>
      <c r="J39" s="125">
        <v>10</v>
      </c>
      <c r="K39" s="125">
        <f>VLOOKUP($A39,쿼리1[[ID]:[열1]],3,FALSE)</f>
        <v>10</v>
      </c>
      <c r="L39" s="125" t="s">
        <v>678</v>
      </c>
      <c r="M39" s="125" t="s">
        <v>679</v>
      </c>
      <c r="N39" s="125" t="s">
        <v>680</v>
      </c>
      <c r="O39" s="125" t="s">
        <v>681</v>
      </c>
      <c r="P39" s="125" t="s">
        <v>682</v>
      </c>
      <c r="Q39" s="125" t="s">
        <v>683</v>
      </c>
      <c r="R39" s="125"/>
      <c r="S39" s="125"/>
      <c r="T39" s="125" t="s">
        <v>684</v>
      </c>
      <c r="U39" s="125" t="s">
        <v>2776</v>
      </c>
      <c r="V39" s="125" t="b">
        <v>1</v>
      </c>
      <c r="W39" s="125" t="s">
        <v>685</v>
      </c>
      <c r="X39" s="125"/>
      <c r="Y39" s="125" t="s">
        <v>686</v>
      </c>
      <c r="Z39" s="125"/>
      <c r="AA39" s="125"/>
      <c r="AB39" s="125"/>
      <c r="AC39" s="125">
        <v>0.9</v>
      </c>
      <c r="AD39" s="125"/>
      <c r="AE39" s="125"/>
      <c r="AF39" s="125"/>
      <c r="AG39" s="1" t="s">
        <v>2106</v>
      </c>
    </row>
    <row r="40" spans="1:33" x14ac:dyDescent="0.3">
      <c r="A40" s="125">
        <v>1110701019</v>
      </c>
      <c r="B40" s="125" t="s">
        <v>687</v>
      </c>
      <c r="C40" s="125" t="s">
        <v>688</v>
      </c>
      <c r="D40" s="125" t="s">
        <v>689</v>
      </c>
      <c r="E40" s="125" t="s">
        <v>143</v>
      </c>
      <c r="F40" s="125" t="s">
        <v>260</v>
      </c>
      <c r="G40" s="124" t="s">
        <v>45</v>
      </c>
      <c r="H40" s="124" t="s">
        <v>477</v>
      </c>
      <c r="I40" s="124" t="s">
        <v>477</v>
      </c>
      <c r="J40" s="125">
        <v>10</v>
      </c>
      <c r="K40" s="125">
        <f>VLOOKUP($A40,쿼리1[[ID]:[열1]],3,FALSE)</f>
        <v>10</v>
      </c>
      <c r="L40" s="125" t="s">
        <v>690</v>
      </c>
      <c r="M40" s="125" t="s">
        <v>691</v>
      </c>
      <c r="N40" s="125" t="s">
        <v>692</v>
      </c>
      <c r="O40" s="125" t="s">
        <v>3864</v>
      </c>
      <c r="P40" s="125" t="s">
        <v>3865</v>
      </c>
      <c r="Q40" s="125" t="s">
        <v>3866</v>
      </c>
      <c r="R40" s="125" t="s">
        <v>3867</v>
      </c>
      <c r="S40" s="125"/>
      <c r="T40" s="125" t="s">
        <v>3868</v>
      </c>
      <c r="U40" s="125" t="s">
        <v>3869</v>
      </c>
      <c r="V40" s="125" t="b">
        <v>1</v>
      </c>
      <c r="W40" s="125" t="s">
        <v>693</v>
      </c>
      <c r="X40" s="125"/>
      <c r="Y40" s="125" t="s">
        <v>694</v>
      </c>
      <c r="Z40" s="125"/>
      <c r="AA40" s="125"/>
      <c r="AB40" s="125"/>
      <c r="AC40" s="125">
        <v>0.9</v>
      </c>
      <c r="AD40" s="125"/>
      <c r="AE40" s="125"/>
      <c r="AF40" s="125"/>
      <c r="AG40" s="1" t="s">
        <v>2757</v>
      </c>
    </row>
    <row r="41" spans="1:33" x14ac:dyDescent="0.3">
      <c r="A41" s="125">
        <v>1110701020</v>
      </c>
      <c r="B41" s="125" t="s">
        <v>695</v>
      </c>
      <c r="C41" s="125" t="s">
        <v>696</v>
      </c>
      <c r="D41" s="125" t="s">
        <v>697</v>
      </c>
      <c r="E41" s="125" t="s">
        <v>47</v>
      </c>
      <c r="F41" s="125" t="s">
        <v>698</v>
      </c>
      <c r="G41" s="124" t="s">
        <v>45</v>
      </c>
      <c r="H41" s="124" t="s">
        <v>477</v>
      </c>
      <c r="I41" s="124" t="s">
        <v>477</v>
      </c>
      <c r="J41" s="125">
        <v>10</v>
      </c>
      <c r="K41" s="125">
        <f>VLOOKUP($A41,쿼리1[[ID]:[열1]],3,FALSE)</f>
        <v>10</v>
      </c>
      <c r="L41" s="125" t="s">
        <v>3907</v>
      </c>
      <c r="M41" s="125" t="s">
        <v>3908</v>
      </c>
      <c r="N41" s="125" t="s">
        <v>3909</v>
      </c>
      <c r="O41" s="125" t="s">
        <v>3910</v>
      </c>
      <c r="P41" s="125" t="s">
        <v>3911</v>
      </c>
      <c r="Q41" s="125" t="s">
        <v>3912</v>
      </c>
      <c r="R41" s="125" t="s">
        <v>3913</v>
      </c>
      <c r="S41" s="125"/>
      <c r="T41" s="125" t="s">
        <v>3914</v>
      </c>
      <c r="U41" s="125" t="s">
        <v>3915</v>
      </c>
      <c r="V41" s="125" t="b">
        <v>1</v>
      </c>
      <c r="W41" s="125" t="s">
        <v>699</v>
      </c>
      <c r="X41" s="125"/>
      <c r="Y41" s="125" t="s">
        <v>700</v>
      </c>
      <c r="Z41" s="125"/>
      <c r="AA41" s="125"/>
      <c r="AB41" s="125"/>
      <c r="AC41" s="125">
        <v>0.9</v>
      </c>
      <c r="AD41" s="125"/>
      <c r="AE41" s="125"/>
      <c r="AF41" s="125"/>
      <c r="AG41" s="1" t="s">
        <v>2105</v>
      </c>
    </row>
    <row r="42" spans="1:33" x14ac:dyDescent="0.3">
      <c r="A42" s="12">
        <v>1110701021</v>
      </c>
      <c r="B42" s="12" t="s">
        <v>701</v>
      </c>
      <c r="C42" s="12" t="s">
        <v>702</v>
      </c>
      <c r="D42" s="12" t="s">
        <v>703</v>
      </c>
      <c r="E42" s="12" t="s">
        <v>58</v>
      </c>
      <c r="F42" s="12" t="s">
        <v>698</v>
      </c>
      <c r="G42" s="124" t="s">
        <v>45</v>
      </c>
      <c r="H42" s="124" t="s">
        <v>477</v>
      </c>
      <c r="I42" s="124" t="s">
        <v>477</v>
      </c>
      <c r="J42" s="12">
        <v>10</v>
      </c>
      <c r="K42" s="12">
        <f>VLOOKUP($A42,쿼리1[[ID]:[열1]],3,FALSE)</f>
        <v>10</v>
      </c>
      <c r="L42" s="12" t="s">
        <v>704</v>
      </c>
      <c r="M42" s="12" t="s">
        <v>705</v>
      </c>
      <c r="N42" s="12" t="s">
        <v>706</v>
      </c>
      <c r="O42" s="145" t="s">
        <v>707</v>
      </c>
      <c r="P42" s="12" t="s">
        <v>708</v>
      </c>
      <c r="Q42" s="12" t="s">
        <v>709</v>
      </c>
      <c r="R42" s="12" t="s">
        <v>3731</v>
      </c>
      <c r="S42" s="12"/>
      <c r="T42" s="12" t="s">
        <v>710</v>
      </c>
      <c r="U42" s="12" t="s">
        <v>2777</v>
      </c>
      <c r="V42" s="12" t="b">
        <v>1</v>
      </c>
      <c r="W42" s="12" t="s">
        <v>711</v>
      </c>
      <c r="X42" s="12"/>
      <c r="Y42" s="12" t="s">
        <v>712</v>
      </c>
      <c r="Z42" s="12"/>
      <c r="AA42" s="12"/>
      <c r="AB42" s="12"/>
      <c r="AC42" s="12">
        <v>0.9</v>
      </c>
      <c r="AD42" s="12"/>
      <c r="AE42" s="40"/>
      <c r="AF42" s="40"/>
      <c r="AG42" s="1" t="s">
        <v>2105</v>
      </c>
    </row>
    <row r="43" spans="1:33" x14ac:dyDescent="0.3">
      <c r="A43" s="12">
        <v>1110701022</v>
      </c>
      <c r="B43" s="12" t="s">
        <v>713</v>
      </c>
      <c r="C43" s="12" t="s">
        <v>714</v>
      </c>
      <c r="D43" s="12" t="s">
        <v>715</v>
      </c>
      <c r="E43" s="12" t="s">
        <v>58</v>
      </c>
      <c r="F43" s="12" t="s">
        <v>531</v>
      </c>
      <c r="G43" s="124" t="s">
        <v>45</v>
      </c>
      <c r="H43" s="124" t="s">
        <v>477</v>
      </c>
      <c r="I43" s="124" t="s">
        <v>477</v>
      </c>
      <c r="J43" s="12">
        <v>10</v>
      </c>
      <c r="K43" s="12">
        <f>VLOOKUP($A43,쿼리1[[ID]:[열1]],3,FALSE)</f>
        <v>10</v>
      </c>
      <c r="L43" s="12" t="s">
        <v>716</v>
      </c>
      <c r="M43" s="12" t="s">
        <v>717</v>
      </c>
      <c r="N43" s="12" t="s">
        <v>718</v>
      </c>
      <c r="O43" s="145" t="s">
        <v>719</v>
      </c>
      <c r="P43" s="12" t="s">
        <v>720</v>
      </c>
      <c r="Q43" s="12" t="s">
        <v>721</v>
      </c>
      <c r="R43" s="12" t="s">
        <v>3732</v>
      </c>
      <c r="S43" s="12"/>
      <c r="T43" s="12" t="s">
        <v>722</v>
      </c>
      <c r="U43" s="12" t="s">
        <v>2778</v>
      </c>
      <c r="V43" s="12" t="b">
        <v>1</v>
      </c>
      <c r="W43" s="12" t="s">
        <v>723</v>
      </c>
      <c r="X43" s="12"/>
      <c r="Y43" s="12" t="s">
        <v>724</v>
      </c>
      <c r="Z43" s="12"/>
      <c r="AA43" s="12"/>
      <c r="AB43" s="12"/>
      <c r="AC43" s="12">
        <v>0.9</v>
      </c>
      <c r="AD43" s="12"/>
      <c r="AE43" s="40"/>
      <c r="AF43" s="40"/>
      <c r="AG43" s="1" t="s">
        <v>2106</v>
      </c>
    </row>
    <row r="44" spans="1:33" x14ac:dyDescent="0.3">
      <c r="A44" s="12">
        <v>1110701023</v>
      </c>
      <c r="B44" s="12" t="s">
        <v>725</v>
      </c>
      <c r="C44" s="12" t="s">
        <v>726</v>
      </c>
      <c r="D44" s="12" t="s">
        <v>727</v>
      </c>
      <c r="E44" s="12" t="s">
        <v>58</v>
      </c>
      <c r="F44" s="12" t="s">
        <v>557</v>
      </c>
      <c r="G44" s="124" t="s">
        <v>45</v>
      </c>
      <c r="H44" s="124" t="s">
        <v>477</v>
      </c>
      <c r="I44" s="124" t="s">
        <v>477</v>
      </c>
      <c r="J44" s="12">
        <v>10</v>
      </c>
      <c r="K44" s="12">
        <f>VLOOKUP($A44,쿼리1[[ID]:[열1]],3,FALSE)</f>
        <v>10</v>
      </c>
      <c r="L44" s="12" t="s">
        <v>728</v>
      </c>
      <c r="M44" s="12" t="s">
        <v>729</v>
      </c>
      <c r="N44" s="12" t="s">
        <v>730</v>
      </c>
      <c r="O44" s="145" t="s">
        <v>731</v>
      </c>
      <c r="P44" s="12" t="s">
        <v>732</v>
      </c>
      <c r="Q44" s="12" t="s">
        <v>733</v>
      </c>
      <c r="R44" s="12" t="s">
        <v>3733</v>
      </c>
      <c r="S44" s="12"/>
      <c r="T44" s="12" t="s">
        <v>734</v>
      </c>
      <c r="U44" s="12" t="s">
        <v>2779</v>
      </c>
      <c r="V44" s="12" t="b">
        <v>1</v>
      </c>
      <c r="W44" s="12" t="s">
        <v>735</v>
      </c>
      <c r="X44" s="12"/>
      <c r="Y44" s="12" t="s">
        <v>736</v>
      </c>
      <c r="Z44" s="12"/>
      <c r="AA44" s="12"/>
      <c r="AB44" s="12"/>
      <c r="AC44" s="12">
        <v>0.9</v>
      </c>
      <c r="AD44" s="12"/>
      <c r="AE44" s="40"/>
      <c r="AF44" s="40"/>
      <c r="AG44" s="1" t="s">
        <v>2105</v>
      </c>
    </row>
    <row r="45" spans="1:33" x14ac:dyDescent="0.3">
      <c r="A45" s="125">
        <v>1110701024</v>
      </c>
      <c r="B45" s="125" t="s">
        <v>737</v>
      </c>
      <c r="C45" s="125" t="s">
        <v>738</v>
      </c>
      <c r="D45" s="125" t="s">
        <v>739</v>
      </c>
      <c r="E45" s="125" t="s">
        <v>43</v>
      </c>
      <c r="F45" s="125" t="s">
        <v>698</v>
      </c>
      <c r="G45" s="124" t="s">
        <v>45</v>
      </c>
      <c r="H45" s="124" t="s">
        <v>477</v>
      </c>
      <c r="I45" s="124" t="s">
        <v>477</v>
      </c>
      <c r="J45" s="125">
        <v>10</v>
      </c>
      <c r="K45" s="125">
        <f>VLOOKUP($A45,쿼리1[[ID]:[열1]],3,FALSE)</f>
        <v>10</v>
      </c>
      <c r="L45" s="125" t="s">
        <v>740</v>
      </c>
      <c r="M45" s="125" t="s">
        <v>741</v>
      </c>
      <c r="N45" s="125" t="s">
        <v>742</v>
      </c>
      <c r="O45" s="148" t="s">
        <v>3870</v>
      </c>
      <c r="P45" s="125" t="s">
        <v>3871</v>
      </c>
      <c r="Q45" s="125" t="s">
        <v>3872</v>
      </c>
      <c r="R45" s="125" t="s">
        <v>3873</v>
      </c>
      <c r="S45" s="125"/>
      <c r="T45" s="125" t="s">
        <v>3874</v>
      </c>
      <c r="U45" s="125" t="s">
        <v>3875</v>
      </c>
      <c r="V45" s="125" t="b">
        <v>1</v>
      </c>
      <c r="W45" s="125" t="s">
        <v>743</v>
      </c>
      <c r="X45" s="125"/>
      <c r="Y45" s="125" t="s">
        <v>744</v>
      </c>
      <c r="Z45" s="125"/>
      <c r="AA45" s="125"/>
      <c r="AB45" s="125"/>
      <c r="AC45" s="125">
        <v>0.9</v>
      </c>
      <c r="AD45" s="125"/>
      <c r="AE45" s="125"/>
      <c r="AF45" s="125"/>
      <c r="AG45" s="1" t="s">
        <v>2105</v>
      </c>
    </row>
    <row r="46" spans="1:33" x14ac:dyDescent="0.3">
      <c r="A46" s="125">
        <v>1110701025</v>
      </c>
      <c r="B46" s="125" t="s">
        <v>745</v>
      </c>
      <c r="C46" s="125" t="s">
        <v>746</v>
      </c>
      <c r="D46" s="125" t="s">
        <v>747</v>
      </c>
      <c r="E46" s="125" t="s">
        <v>43</v>
      </c>
      <c r="F46" s="125" t="s">
        <v>624</v>
      </c>
      <c r="G46" s="124" t="s">
        <v>45</v>
      </c>
      <c r="H46" s="124" t="s">
        <v>477</v>
      </c>
      <c r="I46" s="124" t="s">
        <v>477</v>
      </c>
      <c r="J46" s="125">
        <v>10</v>
      </c>
      <c r="K46" s="125">
        <f>VLOOKUP($A46,쿼리1[[ID]:[열1]],3,FALSE)</f>
        <v>10</v>
      </c>
      <c r="L46" s="125" t="s">
        <v>748</v>
      </c>
      <c r="M46" s="125" t="s">
        <v>749</v>
      </c>
      <c r="N46" s="125" t="s">
        <v>750</v>
      </c>
      <c r="O46" s="148" t="s">
        <v>751</v>
      </c>
      <c r="P46" s="125" t="s">
        <v>752</v>
      </c>
      <c r="Q46" s="125" t="s">
        <v>753</v>
      </c>
      <c r="R46" s="125" t="s">
        <v>3734</v>
      </c>
      <c r="S46" s="125"/>
      <c r="T46" s="125" t="s">
        <v>754</v>
      </c>
      <c r="U46" s="125" t="s">
        <v>2780</v>
      </c>
      <c r="V46" s="125" t="b">
        <v>1</v>
      </c>
      <c r="W46" s="125" t="s">
        <v>755</v>
      </c>
      <c r="X46" s="125"/>
      <c r="Y46" s="125" t="s">
        <v>756</v>
      </c>
      <c r="Z46" s="125"/>
      <c r="AA46" s="125"/>
      <c r="AB46" s="125"/>
      <c r="AC46" s="125">
        <v>0.9</v>
      </c>
      <c r="AD46" s="125"/>
      <c r="AE46" s="125"/>
      <c r="AF46" s="125"/>
      <c r="AG46" s="1" t="s">
        <v>2106</v>
      </c>
    </row>
    <row r="47" spans="1:33" x14ac:dyDescent="0.3">
      <c r="A47" s="125">
        <v>1110701026</v>
      </c>
      <c r="B47" s="125" t="s">
        <v>759</v>
      </c>
      <c r="C47" s="125" t="s">
        <v>760</v>
      </c>
      <c r="D47" s="125" t="s">
        <v>761</v>
      </c>
      <c r="E47" s="125" t="s">
        <v>58</v>
      </c>
      <c r="F47" s="125" t="s">
        <v>287</v>
      </c>
      <c r="G47" s="124" t="s">
        <v>45</v>
      </c>
      <c r="H47" s="124" t="s">
        <v>477</v>
      </c>
      <c r="I47" s="124" t="s">
        <v>477</v>
      </c>
      <c r="J47" s="125">
        <v>10</v>
      </c>
      <c r="K47" s="125">
        <f>VLOOKUP($A47,쿼리1[[ID]:[열1]],3,FALSE)</f>
        <v>10</v>
      </c>
      <c r="L47" s="125" t="s">
        <v>762</v>
      </c>
      <c r="M47" s="125" t="s">
        <v>763</v>
      </c>
      <c r="N47" s="125" t="s">
        <v>764</v>
      </c>
      <c r="O47" s="148" t="s">
        <v>765</v>
      </c>
      <c r="P47" s="125" t="s">
        <v>766</v>
      </c>
      <c r="Q47" s="125" t="s">
        <v>767</v>
      </c>
      <c r="R47" s="125" t="s">
        <v>3735</v>
      </c>
      <c r="S47" s="125"/>
      <c r="T47" s="125" t="s">
        <v>768</v>
      </c>
      <c r="U47" s="125" t="s">
        <v>2781</v>
      </c>
      <c r="V47" s="125" t="b">
        <v>1</v>
      </c>
      <c r="W47" s="125" t="s">
        <v>769</v>
      </c>
      <c r="X47" s="125"/>
      <c r="Y47" s="125" t="s">
        <v>770</v>
      </c>
      <c r="Z47" s="125"/>
      <c r="AA47" s="125"/>
      <c r="AB47" s="125"/>
      <c r="AC47" s="125">
        <v>0.9</v>
      </c>
      <c r="AD47" s="125"/>
      <c r="AE47" s="125"/>
      <c r="AF47" s="125"/>
      <c r="AG47" s="1" t="s">
        <v>2093</v>
      </c>
    </row>
    <row r="48" spans="1:33" x14ac:dyDescent="0.3">
      <c r="A48" s="125">
        <v>1110701027</v>
      </c>
      <c r="B48" s="125" t="s">
        <v>771</v>
      </c>
      <c r="C48" s="125" t="s">
        <v>772</v>
      </c>
      <c r="D48" s="125" t="s">
        <v>773</v>
      </c>
      <c r="E48" s="125" t="s">
        <v>43</v>
      </c>
      <c r="F48" s="125" t="s">
        <v>774</v>
      </c>
      <c r="G48" s="124" t="s">
        <v>45</v>
      </c>
      <c r="H48" s="124" t="s">
        <v>477</v>
      </c>
      <c r="I48" s="124" t="s">
        <v>477</v>
      </c>
      <c r="J48" s="125">
        <v>10</v>
      </c>
      <c r="K48" s="125">
        <f>VLOOKUP($A48,쿼리1[[ID]:[열1]],3,FALSE)</f>
        <v>10</v>
      </c>
      <c r="L48" s="125" t="s">
        <v>775</v>
      </c>
      <c r="M48" s="125" t="s">
        <v>776</v>
      </c>
      <c r="N48" s="125" t="s">
        <v>777</v>
      </c>
      <c r="O48" s="148" t="s">
        <v>778</v>
      </c>
      <c r="P48" s="125" t="s">
        <v>779</v>
      </c>
      <c r="Q48" s="125" t="s">
        <v>780</v>
      </c>
      <c r="R48" s="125" t="s">
        <v>3736</v>
      </c>
      <c r="S48" s="125"/>
      <c r="T48" s="125" t="s">
        <v>781</v>
      </c>
      <c r="U48" s="125" t="s">
        <v>2782</v>
      </c>
      <c r="V48" s="125" t="b">
        <v>1</v>
      </c>
      <c r="W48" s="125" t="s">
        <v>782</v>
      </c>
      <c r="X48" s="125"/>
      <c r="Y48" s="125" t="s">
        <v>783</v>
      </c>
      <c r="Z48" s="125"/>
      <c r="AA48" s="125"/>
      <c r="AB48" s="125"/>
      <c r="AC48" s="125">
        <v>0.9</v>
      </c>
      <c r="AD48" s="125"/>
      <c r="AE48" s="125"/>
      <c r="AF48" s="125"/>
      <c r="AG48" s="1" t="s">
        <v>2758</v>
      </c>
    </row>
    <row r="49" spans="1:33" x14ac:dyDescent="0.3">
      <c r="A49" s="125">
        <v>1110701028</v>
      </c>
      <c r="B49" s="125" t="s">
        <v>784</v>
      </c>
      <c r="C49" s="125" t="s">
        <v>785</v>
      </c>
      <c r="D49" s="125" t="s">
        <v>786</v>
      </c>
      <c r="E49" s="125" t="s">
        <v>43</v>
      </c>
      <c r="F49" s="125" t="s">
        <v>591</v>
      </c>
      <c r="G49" s="124" t="s">
        <v>45</v>
      </c>
      <c r="H49" s="124" t="s">
        <v>477</v>
      </c>
      <c r="I49" s="124" t="s">
        <v>477</v>
      </c>
      <c r="J49" s="125">
        <v>10</v>
      </c>
      <c r="K49" s="125">
        <f>VLOOKUP($A49,쿼리1[[ID]:[열1]],3,FALSE)</f>
        <v>10</v>
      </c>
      <c r="L49" s="125" t="s">
        <v>787</v>
      </c>
      <c r="M49" s="125" t="s">
        <v>788</v>
      </c>
      <c r="N49" s="125" t="s">
        <v>789</v>
      </c>
      <c r="O49" s="148" t="s">
        <v>790</v>
      </c>
      <c r="P49" s="125" t="s">
        <v>791</v>
      </c>
      <c r="Q49" s="125" t="s">
        <v>792</v>
      </c>
      <c r="R49" s="125"/>
      <c r="S49" s="125"/>
      <c r="T49" s="125" t="s">
        <v>793</v>
      </c>
      <c r="U49" s="125" t="s">
        <v>2783</v>
      </c>
      <c r="V49" s="125" t="b">
        <v>1</v>
      </c>
      <c r="W49" s="125" t="s">
        <v>794</v>
      </c>
      <c r="X49" s="125"/>
      <c r="Y49" s="125" t="s">
        <v>795</v>
      </c>
      <c r="Z49" s="125"/>
      <c r="AA49" s="125"/>
      <c r="AB49" s="125"/>
      <c r="AC49" s="125">
        <v>0.9</v>
      </c>
      <c r="AD49" s="125"/>
      <c r="AE49" s="125"/>
      <c r="AF49" s="125"/>
      <c r="AG49" s="1" t="s">
        <v>2105</v>
      </c>
    </row>
    <row r="50" spans="1:33" x14ac:dyDescent="0.3">
      <c r="A50" s="125">
        <v>1110701029</v>
      </c>
      <c r="B50" s="125" t="s">
        <v>796</v>
      </c>
      <c r="C50" s="125" t="s">
        <v>797</v>
      </c>
      <c r="D50" s="125" t="s">
        <v>798</v>
      </c>
      <c r="E50" s="125" t="s">
        <v>43</v>
      </c>
      <c r="F50" s="125" t="s">
        <v>545</v>
      </c>
      <c r="G50" s="124" t="s">
        <v>45</v>
      </c>
      <c r="H50" s="124" t="s">
        <v>477</v>
      </c>
      <c r="I50" s="124" t="s">
        <v>477</v>
      </c>
      <c r="J50" s="125">
        <v>10</v>
      </c>
      <c r="K50" s="125">
        <f>VLOOKUP($A50,쿼리1[[ID]:[열1]],3,FALSE)</f>
        <v>10</v>
      </c>
      <c r="L50" s="125" t="s">
        <v>3963</v>
      </c>
      <c r="M50" s="125" t="s">
        <v>3964</v>
      </c>
      <c r="N50" s="125" t="s">
        <v>3965</v>
      </c>
      <c r="O50" s="148" t="s">
        <v>3969</v>
      </c>
      <c r="P50" s="125" t="s">
        <v>3970</v>
      </c>
      <c r="Q50" s="125" t="s">
        <v>3971</v>
      </c>
      <c r="R50" s="125" t="s">
        <v>3972</v>
      </c>
      <c r="S50" s="125"/>
      <c r="T50" s="125" t="s">
        <v>3973</v>
      </c>
      <c r="U50" s="125" t="s">
        <v>3974</v>
      </c>
      <c r="V50" s="125" t="b">
        <v>1</v>
      </c>
      <c r="W50" s="125" t="s">
        <v>802</v>
      </c>
      <c r="X50" s="125"/>
      <c r="Y50" s="125" t="s">
        <v>803</v>
      </c>
      <c r="Z50" s="125"/>
      <c r="AA50" s="125"/>
      <c r="AB50" s="125"/>
      <c r="AC50" s="125">
        <v>0.9</v>
      </c>
      <c r="AD50" s="125"/>
      <c r="AE50" s="125"/>
      <c r="AF50" s="125"/>
      <c r="AG50" s="1" t="s">
        <v>2105</v>
      </c>
    </row>
    <row r="51" spans="1:33" x14ac:dyDescent="0.3">
      <c r="A51" s="125">
        <v>1110701030</v>
      </c>
      <c r="B51" s="125" t="s">
        <v>804</v>
      </c>
      <c r="C51" s="125" t="s">
        <v>805</v>
      </c>
      <c r="D51" s="125" t="s">
        <v>806</v>
      </c>
      <c r="E51" s="125" t="s">
        <v>43</v>
      </c>
      <c r="F51" s="125" t="s">
        <v>807</v>
      </c>
      <c r="G51" s="124" t="s">
        <v>45</v>
      </c>
      <c r="H51" s="124" t="s">
        <v>477</v>
      </c>
      <c r="I51" s="124" t="s">
        <v>477</v>
      </c>
      <c r="J51" s="125">
        <v>10</v>
      </c>
      <c r="K51" s="125">
        <f>VLOOKUP($A51,쿼리1[[ID]:[열1]],3,FALSE)</f>
        <v>10</v>
      </c>
      <c r="L51" s="125" t="s">
        <v>808</v>
      </c>
      <c r="M51" s="125" t="s">
        <v>809</v>
      </c>
      <c r="N51" s="125" t="s">
        <v>810</v>
      </c>
      <c r="O51" s="148" t="s">
        <v>811</v>
      </c>
      <c r="P51" s="125" t="s">
        <v>812</v>
      </c>
      <c r="Q51" s="125" t="s">
        <v>813</v>
      </c>
      <c r="R51" s="125" t="s">
        <v>3737</v>
      </c>
      <c r="S51" s="125"/>
      <c r="T51" s="125" t="s">
        <v>814</v>
      </c>
      <c r="U51" s="125" t="s">
        <v>2784</v>
      </c>
      <c r="V51" s="125" t="b">
        <v>1</v>
      </c>
      <c r="W51" s="125" t="s">
        <v>815</v>
      </c>
      <c r="X51" s="125"/>
      <c r="Y51" s="125" t="s">
        <v>816</v>
      </c>
      <c r="Z51" s="125"/>
      <c r="AA51" s="125"/>
      <c r="AB51" s="125"/>
      <c r="AC51" s="125">
        <v>0.9</v>
      </c>
      <c r="AD51" s="125"/>
      <c r="AE51" s="125"/>
      <c r="AF51" s="125"/>
      <c r="AG51" s="1" t="s">
        <v>2093</v>
      </c>
    </row>
    <row r="52" spans="1:33" x14ac:dyDescent="0.3">
      <c r="A52" s="125">
        <v>1110701031</v>
      </c>
      <c r="B52" s="125" t="s">
        <v>817</v>
      </c>
      <c r="C52" s="125" t="s">
        <v>818</v>
      </c>
      <c r="D52" s="125" t="s">
        <v>819</v>
      </c>
      <c r="E52" s="125" t="s">
        <v>43</v>
      </c>
      <c r="F52" s="125" t="s">
        <v>807</v>
      </c>
      <c r="G52" s="124" t="s">
        <v>45</v>
      </c>
      <c r="H52" s="124" t="s">
        <v>477</v>
      </c>
      <c r="I52" s="124" t="s">
        <v>477</v>
      </c>
      <c r="J52" s="125">
        <v>10</v>
      </c>
      <c r="K52" s="125">
        <f>VLOOKUP($A52,쿼리1[[ID]:[열1]],3,FALSE)</f>
        <v>10</v>
      </c>
      <c r="L52" s="125" t="s">
        <v>820</v>
      </c>
      <c r="M52" s="125" t="s">
        <v>821</v>
      </c>
      <c r="N52" s="125" t="s">
        <v>822</v>
      </c>
      <c r="O52" s="148" t="s">
        <v>823</v>
      </c>
      <c r="P52" s="125" t="s">
        <v>824</v>
      </c>
      <c r="Q52" s="125" t="s">
        <v>825</v>
      </c>
      <c r="R52" s="125" t="s">
        <v>3738</v>
      </c>
      <c r="S52" s="125"/>
      <c r="T52" s="125" t="s">
        <v>826</v>
      </c>
      <c r="U52" s="125" t="s">
        <v>2785</v>
      </c>
      <c r="V52" s="125" t="b">
        <v>1</v>
      </c>
      <c r="W52" s="125" t="s">
        <v>827</v>
      </c>
      <c r="X52" s="125"/>
      <c r="Y52" s="125" t="s">
        <v>828</v>
      </c>
      <c r="Z52" s="125"/>
      <c r="AA52" s="125"/>
      <c r="AB52" s="125"/>
      <c r="AC52" s="125">
        <v>0.9</v>
      </c>
      <c r="AD52" s="125"/>
      <c r="AE52" s="125"/>
      <c r="AF52" s="125"/>
      <c r="AG52" s="1" t="s">
        <v>2093</v>
      </c>
    </row>
    <row r="53" spans="1:33" x14ac:dyDescent="0.3">
      <c r="A53" s="125">
        <v>1110701032</v>
      </c>
      <c r="B53" s="125" t="s">
        <v>829</v>
      </c>
      <c r="C53" s="125" t="s">
        <v>830</v>
      </c>
      <c r="D53" s="125" t="s">
        <v>831</v>
      </c>
      <c r="E53" s="125" t="s">
        <v>43</v>
      </c>
      <c r="F53" s="125" t="s">
        <v>591</v>
      </c>
      <c r="G53" s="124" t="s">
        <v>45</v>
      </c>
      <c r="H53" s="124" t="s">
        <v>477</v>
      </c>
      <c r="I53" s="124" t="s">
        <v>477</v>
      </c>
      <c r="J53" s="125">
        <v>10</v>
      </c>
      <c r="K53" s="125">
        <f>VLOOKUP($A53,쿼리1[[ID]:[열1]],3,FALSE)</f>
        <v>10</v>
      </c>
      <c r="L53" s="125" t="s">
        <v>832</v>
      </c>
      <c r="M53" s="125" t="s">
        <v>833</v>
      </c>
      <c r="N53" s="125" t="s">
        <v>834</v>
      </c>
      <c r="O53" s="148" t="s">
        <v>3876</v>
      </c>
      <c r="P53" s="125" t="s">
        <v>3877</v>
      </c>
      <c r="Q53" s="125" t="s">
        <v>3878</v>
      </c>
      <c r="R53" s="125"/>
      <c r="S53" s="125"/>
      <c r="T53" s="125" t="s">
        <v>3879</v>
      </c>
      <c r="U53" s="125"/>
      <c r="V53" s="125" t="b">
        <v>1</v>
      </c>
      <c r="W53" s="125" t="s">
        <v>835</v>
      </c>
      <c r="X53" s="125"/>
      <c r="Y53" s="125" t="s">
        <v>836</v>
      </c>
      <c r="Z53" s="125"/>
      <c r="AA53" s="125"/>
      <c r="AB53" s="125"/>
      <c r="AC53" s="125">
        <v>0.9</v>
      </c>
      <c r="AD53" s="125"/>
      <c r="AE53" s="125"/>
      <c r="AF53" s="125"/>
      <c r="AG53" s="1" t="s">
        <v>2106</v>
      </c>
    </row>
    <row r="54" spans="1:33" x14ac:dyDescent="0.3">
      <c r="A54" s="125">
        <v>1110701033</v>
      </c>
      <c r="B54" s="125" t="s">
        <v>837</v>
      </c>
      <c r="C54" s="125" t="s">
        <v>838</v>
      </c>
      <c r="D54" s="125" t="s">
        <v>839</v>
      </c>
      <c r="E54" s="125" t="s">
        <v>43</v>
      </c>
      <c r="F54" s="125" t="s">
        <v>272</v>
      </c>
      <c r="G54" s="124" t="s">
        <v>45</v>
      </c>
      <c r="H54" s="124" t="s">
        <v>477</v>
      </c>
      <c r="I54" s="124" t="s">
        <v>477</v>
      </c>
      <c r="J54" s="125">
        <v>10</v>
      </c>
      <c r="K54" s="125">
        <f>VLOOKUP($A54,쿼리1[[ID]:[열1]],3,FALSE)</f>
        <v>10</v>
      </c>
      <c r="L54" s="125" t="s">
        <v>840</v>
      </c>
      <c r="M54" s="125" t="s">
        <v>841</v>
      </c>
      <c r="N54" s="125" t="s">
        <v>842</v>
      </c>
      <c r="O54" s="148" t="s">
        <v>843</v>
      </c>
      <c r="P54" s="125" t="s">
        <v>844</v>
      </c>
      <c r="Q54" s="125" t="s">
        <v>845</v>
      </c>
      <c r="R54" s="125" t="s">
        <v>3739</v>
      </c>
      <c r="S54" s="125"/>
      <c r="T54" s="125" t="s">
        <v>846</v>
      </c>
      <c r="U54" s="125" t="s">
        <v>2786</v>
      </c>
      <c r="V54" s="125" t="b">
        <v>1</v>
      </c>
      <c r="W54" s="125" t="s">
        <v>847</v>
      </c>
      <c r="X54" s="125"/>
      <c r="Y54" s="125" t="s">
        <v>848</v>
      </c>
      <c r="Z54" s="125"/>
      <c r="AA54" s="125"/>
      <c r="AB54" s="125"/>
      <c r="AC54" s="125">
        <v>0.9</v>
      </c>
      <c r="AD54" s="125"/>
      <c r="AE54" s="125"/>
      <c r="AF54" s="125"/>
      <c r="AG54" s="1" t="s">
        <v>2093</v>
      </c>
    </row>
    <row r="55" spans="1:33" x14ac:dyDescent="0.3">
      <c r="A55" s="125">
        <v>1110701034</v>
      </c>
      <c r="B55" s="125" t="s">
        <v>849</v>
      </c>
      <c r="C55" s="125" t="s">
        <v>850</v>
      </c>
      <c r="D55" s="125" t="s">
        <v>851</v>
      </c>
      <c r="E55" s="125" t="s">
        <v>43</v>
      </c>
      <c r="F55" s="125" t="s">
        <v>545</v>
      </c>
      <c r="G55" s="124" t="s">
        <v>45</v>
      </c>
      <c r="H55" s="124" t="s">
        <v>477</v>
      </c>
      <c r="I55" s="124" t="s">
        <v>477</v>
      </c>
      <c r="J55" s="125">
        <v>10</v>
      </c>
      <c r="K55" s="125">
        <f>VLOOKUP($A55,쿼리1[[ID]:[열1]],3,FALSE)</f>
        <v>10</v>
      </c>
      <c r="L55" s="125" t="s">
        <v>3952</v>
      </c>
      <c r="M55" s="125" t="s">
        <v>3953</v>
      </c>
      <c r="N55" s="125" t="s">
        <v>3954</v>
      </c>
      <c r="O55" s="148" t="s">
        <v>3955</v>
      </c>
      <c r="P55" s="125" t="s">
        <v>3956</v>
      </c>
      <c r="Q55" s="125" t="s">
        <v>3957</v>
      </c>
      <c r="R55" s="125" t="s">
        <v>3958</v>
      </c>
      <c r="S55" s="125"/>
      <c r="T55" s="125" t="s">
        <v>3959</v>
      </c>
      <c r="U55" s="125" t="s">
        <v>3960</v>
      </c>
      <c r="V55" s="125" t="b">
        <v>1</v>
      </c>
      <c r="W55" s="125" t="s">
        <v>852</v>
      </c>
      <c r="X55" s="125"/>
      <c r="Y55" s="125" t="s">
        <v>853</v>
      </c>
      <c r="Z55" s="125"/>
      <c r="AA55" s="125"/>
      <c r="AB55" s="125"/>
      <c r="AC55" s="125">
        <v>0.9</v>
      </c>
      <c r="AD55" s="125"/>
      <c r="AE55" s="125"/>
      <c r="AF55" s="125"/>
      <c r="AG55" s="1" t="s">
        <v>2106</v>
      </c>
    </row>
    <row r="56" spans="1:33" x14ac:dyDescent="0.3">
      <c r="A56" s="125">
        <v>1110701035</v>
      </c>
      <c r="B56" s="125" t="s">
        <v>854</v>
      </c>
      <c r="C56" s="125" t="s">
        <v>855</v>
      </c>
      <c r="D56" s="125" t="s">
        <v>856</v>
      </c>
      <c r="E56" s="125" t="s">
        <v>43</v>
      </c>
      <c r="F56" s="125" t="s">
        <v>545</v>
      </c>
      <c r="G56" s="124" t="s">
        <v>45</v>
      </c>
      <c r="H56" s="124" t="s">
        <v>477</v>
      </c>
      <c r="I56" s="124" t="s">
        <v>477</v>
      </c>
      <c r="J56" s="125">
        <v>10</v>
      </c>
      <c r="K56" s="125">
        <f>VLOOKUP($A56,쿼리1[[ID]:[열1]],3,FALSE)</f>
        <v>10</v>
      </c>
      <c r="L56" s="125" t="s">
        <v>857</v>
      </c>
      <c r="M56" s="125" t="s">
        <v>858</v>
      </c>
      <c r="N56" s="125" t="s">
        <v>859</v>
      </c>
      <c r="O56" s="148" t="s">
        <v>860</v>
      </c>
      <c r="P56" s="125" t="s">
        <v>861</v>
      </c>
      <c r="Q56" s="125" t="s">
        <v>862</v>
      </c>
      <c r="R56" s="125" t="s">
        <v>3740</v>
      </c>
      <c r="S56" s="125"/>
      <c r="T56" s="125" t="s">
        <v>863</v>
      </c>
      <c r="U56" s="125" t="s">
        <v>2787</v>
      </c>
      <c r="V56" s="125" t="b">
        <v>1</v>
      </c>
      <c r="W56" s="125" t="s">
        <v>864</v>
      </c>
      <c r="X56" s="125"/>
      <c r="Y56" s="125" t="s">
        <v>865</v>
      </c>
      <c r="Z56" s="125"/>
      <c r="AA56" s="125"/>
      <c r="AB56" s="125"/>
      <c r="AC56" s="125">
        <v>0.9</v>
      </c>
      <c r="AD56" s="125"/>
      <c r="AE56" s="125"/>
      <c r="AF56" s="125"/>
      <c r="AG56" s="1" t="s">
        <v>2093</v>
      </c>
    </row>
    <row r="57" spans="1:33" x14ac:dyDescent="0.3">
      <c r="A57" s="125">
        <v>1110701036</v>
      </c>
      <c r="B57" s="125" t="s">
        <v>866</v>
      </c>
      <c r="C57" s="125" t="s">
        <v>867</v>
      </c>
      <c r="D57" s="125" t="s">
        <v>868</v>
      </c>
      <c r="E57" s="125" t="s">
        <v>43</v>
      </c>
      <c r="F57" s="125" t="s">
        <v>545</v>
      </c>
      <c r="G57" s="124" t="s">
        <v>45</v>
      </c>
      <c r="H57" s="124" t="s">
        <v>477</v>
      </c>
      <c r="I57" s="124" t="s">
        <v>477</v>
      </c>
      <c r="J57" s="125">
        <v>10</v>
      </c>
      <c r="K57" s="125">
        <f>VLOOKUP($A57,쿼리1[[ID]:[열1]],3,FALSE)</f>
        <v>10</v>
      </c>
      <c r="L57" s="125" t="s">
        <v>3943</v>
      </c>
      <c r="M57" s="125" t="s">
        <v>3944</v>
      </c>
      <c r="N57" s="125" t="s">
        <v>3945</v>
      </c>
      <c r="O57" s="148" t="s">
        <v>3946</v>
      </c>
      <c r="P57" s="125" t="s">
        <v>3947</v>
      </c>
      <c r="Q57" s="125" t="s">
        <v>3948</v>
      </c>
      <c r="R57" s="125" t="s">
        <v>3949</v>
      </c>
      <c r="S57" s="125"/>
      <c r="T57" s="125" t="s">
        <v>3950</v>
      </c>
      <c r="U57" s="125" t="s">
        <v>3951</v>
      </c>
      <c r="V57" s="125" t="b">
        <v>1</v>
      </c>
      <c r="W57" s="125" t="s">
        <v>869</v>
      </c>
      <c r="X57" s="125"/>
      <c r="Y57" s="125" t="s">
        <v>870</v>
      </c>
      <c r="Z57" s="125"/>
      <c r="AA57" s="125"/>
      <c r="AB57" s="125"/>
      <c r="AC57" s="125">
        <v>0.9</v>
      </c>
      <c r="AD57" s="125"/>
      <c r="AE57" s="125"/>
      <c r="AF57" s="125"/>
      <c r="AG57" s="1" t="s">
        <v>2093</v>
      </c>
    </row>
    <row r="58" spans="1:33" x14ac:dyDescent="0.3">
      <c r="A58" s="12">
        <v>1110701037</v>
      </c>
      <c r="B58" s="12" t="s">
        <v>871</v>
      </c>
      <c r="C58" s="12" t="s">
        <v>258</v>
      </c>
      <c r="D58" s="12" t="s">
        <v>259</v>
      </c>
      <c r="E58" s="12" t="s">
        <v>47</v>
      </c>
      <c r="F58" s="12" t="s">
        <v>260</v>
      </c>
      <c r="G58" s="124" t="s">
        <v>45</v>
      </c>
      <c r="H58" s="124" t="s">
        <v>477</v>
      </c>
      <c r="I58" s="124" t="s">
        <v>477</v>
      </c>
      <c r="J58" s="12">
        <v>10</v>
      </c>
      <c r="K58" s="12">
        <f>VLOOKUP($A58,쿼리1[[ID]:[열1]],3,FALSE)</f>
        <v>10</v>
      </c>
      <c r="L58" s="12" t="s">
        <v>261</v>
      </c>
      <c r="M58" s="12" t="s">
        <v>262</v>
      </c>
      <c r="N58" s="12" t="s">
        <v>263</v>
      </c>
      <c r="O58" s="145" t="s">
        <v>264</v>
      </c>
      <c r="P58" s="12" t="s">
        <v>265</v>
      </c>
      <c r="Q58" s="12" t="s">
        <v>266</v>
      </c>
      <c r="R58" s="12"/>
      <c r="S58" s="12"/>
      <c r="T58" s="12" t="s">
        <v>267</v>
      </c>
      <c r="U58" s="12" t="s">
        <v>2788</v>
      </c>
      <c r="V58" s="12" t="b">
        <v>1</v>
      </c>
      <c r="W58" s="12" t="s">
        <v>872</v>
      </c>
      <c r="X58" s="12"/>
      <c r="Y58" s="12" t="s">
        <v>268</v>
      </c>
      <c r="Z58" s="12"/>
      <c r="AA58" s="12"/>
      <c r="AB58" s="12"/>
      <c r="AC58" s="12">
        <v>0.9</v>
      </c>
      <c r="AD58" s="12"/>
      <c r="AE58" s="40"/>
      <c r="AF58" s="40"/>
      <c r="AG58" s="1" t="s">
        <v>2105</v>
      </c>
    </row>
    <row r="59" spans="1:33" x14ac:dyDescent="0.3">
      <c r="A59" s="12">
        <v>1110701038</v>
      </c>
      <c r="B59" s="12" t="s">
        <v>873</v>
      </c>
      <c r="C59" s="12" t="s">
        <v>874</v>
      </c>
      <c r="D59" s="12" t="s">
        <v>875</v>
      </c>
      <c r="E59" s="12" t="s">
        <v>47</v>
      </c>
      <c r="F59" s="12" t="s">
        <v>807</v>
      </c>
      <c r="G59" s="124" t="s">
        <v>45</v>
      </c>
      <c r="H59" s="124" t="s">
        <v>477</v>
      </c>
      <c r="I59" s="124" t="s">
        <v>477</v>
      </c>
      <c r="J59" s="12">
        <v>10</v>
      </c>
      <c r="K59" s="12">
        <f>VLOOKUP($A59,쿼리1[[ID]:[열1]],3,FALSE)</f>
        <v>10</v>
      </c>
      <c r="L59" s="12" t="s">
        <v>876</v>
      </c>
      <c r="M59" s="12" t="s">
        <v>877</v>
      </c>
      <c r="N59" s="12" t="s">
        <v>878</v>
      </c>
      <c r="O59" s="145" t="s">
        <v>879</v>
      </c>
      <c r="P59" s="12" t="s">
        <v>880</v>
      </c>
      <c r="Q59" s="12" t="s">
        <v>881</v>
      </c>
      <c r="R59" s="12"/>
      <c r="S59" s="12"/>
      <c r="T59" s="12" t="s">
        <v>882</v>
      </c>
      <c r="U59" s="12" t="s">
        <v>2789</v>
      </c>
      <c r="V59" s="12" t="b">
        <v>1</v>
      </c>
      <c r="W59" s="12" t="s">
        <v>883</v>
      </c>
      <c r="X59" s="12"/>
      <c r="Y59" s="12" t="s">
        <v>884</v>
      </c>
      <c r="Z59" s="12"/>
      <c r="AA59" s="12"/>
      <c r="AB59" s="12"/>
      <c r="AC59" s="12">
        <v>0.9</v>
      </c>
      <c r="AD59" s="12"/>
      <c r="AE59" s="40"/>
      <c r="AF59" s="40"/>
      <c r="AG59" s="1" t="s">
        <v>2757</v>
      </c>
    </row>
    <row r="60" spans="1:33" x14ac:dyDescent="0.3">
      <c r="A60" s="12">
        <v>1110701039</v>
      </c>
      <c r="B60" s="12" t="s">
        <v>885</v>
      </c>
      <c r="C60" s="12" t="s">
        <v>886</v>
      </c>
      <c r="D60" s="12" t="s">
        <v>887</v>
      </c>
      <c r="E60" s="12" t="s">
        <v>47</v>
      </c>
      <c r="F60" s="12" t="s">
        <v>570</v>
      </c>
      <c r="G60" s="124" t="s">
        <v>45</v>
      </c>
      <c r="H60" s="124" t="s">
        <v>477</v>
      </c>
      <c r="I60" s="124" t="s">
        <v>477</v>
      </c>
      <c r="J60" s="12">
        <v>10</v>
      </c>
      <c r="K60" s="12">
        <f>VLOOKUP($A60,쿼리1[[ID]:[열1]],3,FALSE)</f>
        <v>10</v>
      </c>
      <c r="L60" s="12" t="s">
        <v>888</v>
      </c>
      <c r="M60" s="12" t="s">
        <v>889</v>
      </c>
      <c r="N60" s="12" t="s">
        <v>890</v>
      </c>
      <c r="O60" s="145" t="s">
        <v>891</v>
      </c>
      <c r="P60" s="12" t="s">
        <v>892</v>
      </c>
      <c r="Q60" s="12" t="s">
        <v>893</v>
      </c>
      <c r="R60" s="12" t="s">
        <v>3741</v>
      </c>
      <c r="S60" s="12"/>
      <c r="T60" s="12" t="s">
        <v>894</v>
      </c>
      <c r="U60" s="12" t="s">
        <v>2790</v>
      </c>
      <c r="V60" s="12" t="b">
        <v>1</v>
      </c>
      <c r="W60" s="12" t="s">
        <v>895</v>
      </c>
      <c r="X60" s="12"/>
      <c r="Y60" s="12" t="s">
        <v>896</v>
      </c>
      <c r="Z60" s="12"/>
      <c r="AA60" s="12"/>
      <c r="AB60" s="12"/>
      <c r="AC60" s="12">
        <v>0.9</v>
      </c>
      <c r="AD60" s="12"/>
      <c r="AE60" s="40"/>
      <c r="AF60" s="40"/>
      <c r="AG60" s="1" t="s">
        <v>2093</v>
      </c>
    </row>
    <row r="61" spans="1:33" x14ac:dyDescent="0.3">
      <c r="A61" s="12">
        <v>1110701040</v>
      </c>
      <c r="B61" s="12" t="s">
        <v>897</v>
      </c>
      <c r="C61" s="12" t="s">
        <v>898</v>
      </c>
      <c r="D61" s="12" t="s">
        <v>899</v>
      </c>
      <c r="E61" s="12" t="s">
        <v>47</v>
      </c>
      <c r="F61" s="12" t="s">
        <v>557</v>
      </c>
      <c r="G61" s="124" t="s">
        <v>45</v>
      </c>
      <c r="H61" s="124" t="s">
        <v>477</v>
      </c>
      <c r="I61" s="124" t="s">
        <v>477</v>
      </c>
      <c r="J61" s="12">
        <v>10</v>
      </c>
      <c r="K61" s="12">
        <f>VLOOKUP($A61,쿼리1[[ID]:[열1]],3,FALSE)</f>
        <v>10</v>
      </c>
      <c r="L61" s="12" t="s">
        <v>900</v>
      </c>
      <c r="M61" s="12" t="s">
        <v>901</v>
      </c>
      <c r="N61" s="12" t="s">
        <v>902</v>
      </c>
      <c r="O61" s="145" t="s">
        <v>903</v>
      </c>
      <c r="P61" s="12" t="s">
        <v>904</v>
      </c>
      <c r="Q61" s="12" t="s">
        <v>905</v>
      </c>
      <c r="R61" s="12" t="s">
        <v>3742</v>
      </c>
      <c r="S61" s="12"/>
      <c r="T61" s="12" t="s">
        <v>906</v>
      </c>
      <c r="U61" s="12" t="s">
        <v>2791</v>
      </c>
      <c r="V61" s="12" t="b">
        <v>1</v>
      </c>
      <c r="W61" s="12" t="s">
        <v>907</v>
      </c>
      <c r="X61" s="12"/>
      <c r="Y61" s="12" t="s">
        <v>908</v>
      </c>
      <c r="Z61" s="12"/>
      <c r="AA61" s="12"/>
      <c r="AB61" s="12"/>
      <c r="AC61" s="12">
        <v>0.9</v>
      </c>
      <c r="AD61" s="12"/>
      <c r="AE61" s="40"/>
      <c r="AF61" s="40"/>
      <c r="AG61" s="1" t="s">
        <v>2106</v>
      </c>
    </row>
    <row r="62" spans="1:33" x14ac:dyDescent="0.3">
      <c r="A62" s="12">
        <v>1110701041</v>
      </c>
      <c r="B62" s="12" t="s">
        <v>909</v>
      </c>
      <c r="C62" s="12" t="s">
        <v>910</v>
      </c>
      <c r="D62" s="12" t="s">
        <v>911</v>
      </c>
      <c r="E62" s="12" t="s">
        <v>47</v>
      </c>
      <c r="F62" s="12" t="s">
        <v>912</v>
      </c>
      <c r="G62" s="124" t="s">
        <v>45</v>
      </c>
      <c r="H62" s="124" t="s">
        <v>477</v>
      </c>
      <c r="I62" s="124" t="s">
        <v>477</v>
      </c>
      <c r="J62" s="12">
        <v>10</v>
      </c>
      <c r="K62" s="12">
        <f>VLOOKUP($A62,쿼리1[[ID]:[열1]],3,FALSE)</f>
        <v>10</v>
      </c>
      <c r="L62" s="12" t="s">
        <v>913</v>
      </c>
      <c r="M62" s="12" t="s">
        <v>914</v>
      </c>
      <c r="N62" s="12" t="s">
        <v>915</v>
      </c>
      <c r="O62" s="145" t="s">
        <v>916</v>
      </c>
      <c r="P62" s="12" t="s">
        <v>917</v>
      </c>
      <c r="Q62" s="12" t="s">
        <v>918</v>
      </c>
      <c r="R62" s="12" t="s">
        <v>3743</v>
      </c>
      <c r="S62" s="12"/>
      <c r="T62" s="12" t="s">
        <v>919</v>
      </c>
      <c r="U62" s="12" t="s">
        <v>2792</v>
      </c>
      <c r="V62" s="12" t="b">
        <v>1</v>
      </c>
      <c r="W62" s="12" t="s">
        <v>920</v>
      </c>
      <c r="X62" s="12"/>
      <c r="Y62" s="12" t="s">
        <v>921</v>
      </c>
      <c r="Z62" s="12"/>
      <c r="AA62" s="12"/>
      <c r="AB62" s="12"/>
      <c r="AC62" s="12">
        <v>0.9</v>
      </c>
      <c r="AD62" s="12"/>
      <c r="AE62" s="40"/>
      <c r="AF62" s="40"/>
      <c r="AG62" s="1" t="s">
        <v>2106</v>
      </c>
    </row>
    <row r="63" spans="1:33" x14ac:dyDescent="0.3">
      <c r="A63" s="12">
        <v>1110701042</v>
      </c>
      <c r="B63" s="12" t="s">
        <v>922</v>
      </c>
      <c r="C63" s="12" t="s">
        <v>923</v>
      </c>
      <c r="D63" s="12" t="s">
        <v>924</v>
      </c>
      <c r="E63" s="12" t="s">
        <v>47</v>
      </c>
      <c r="F63" s="12" t="s">
        <v>570</v>
      </c>
      <c r="G63" s="124" t="s">
        <v>45</v>
      </c>
      <c r="H63" s="124" t="s">
        <v>477</v>
      </c>
      <c r="I63" s="124" t="s">
        <v>477</v>
      </c>
      <c r="J63" s="12">
        <v>10</v>
      </c>
      <c r="K63" s="12">
        <f>VLOOKUP($A63,쿼리1[[ID]:[열1]],3,FALSE)</f>
        <v>10</v>
      </c>
      <c r="L63" s="12" t="s">
        <v>925</v>
      </c>
      <c r="M63" s="12" t="s">
        <v>3916</v>
      </c>
      <c r="N63" s="12" t="s">
        <v>3917</v>
      </c>
      <c r="O63" s="145" t="s">
        <v>3918</v>
      </c>
      <c r="P63" s="12" t="s">
        <v>3919</v>
      </c>
      <c r="Q63" s="12" t="s">
        <v>3920</v>
      </c>
      <c r="R63" s="12" t="s">
        <v>3921</v>
      </c>
      <c r="S63" s="12"/>
      <c r="T63" s="12" t="s">
        <v>3922</v>
      </c>
      <c r="U63" s="12" t="s">
        <v>3923</v>
      </c>
      <c r="V63" s="12" t="b">
        <v>1</v>
      </c>
      <c r="W63" s="12" t="s">
        <v>926</v>
      </c>
      <c r="X63" s="12"/>
      <c r="Y63" s="12" t="s">
        <v>927</v>
      </c>
      <c r="Z63" s="12"/>
      <c r="AA63" s="12"/>
      <c r="AB63" s="12"/>
      <c r="AC63" s="12">
        <v>0.9</v>
      </c>
      <c r="AD63" s="12"/>
      <c r="AE63" s="40"/>
      <c r="AF63" s="40"/>
      <c r="AG63" s="1" t="s">
        <v>2105</v>
      </c>
    </row>
    <row r="64" spans="1:33" x14ac:dyDescent="0.3">
      <c r="A64" s="12">
        <v>1110701043</v>
      </c>
      <c r="B64" s="12" t="s">
        <v>928</v>
      </c>
      <c r="C64" s="12" t="s">
        <v>929</v>
      </c>
      <c r="D64" s="12" t="s">
        <v>930</v>
      </c>
      <c r="E64" s="12" t="s">
        <v>47</v>
      </c>
      <c r="F64" s="12" t="s">
        <v>260</v>
      </c>
      <c r="G64" s="124" t="s">
        <v>45</v>
      </c>
      <c r="H64" s="124" t="s">
        <v>477</v>
      </c>
      <c r="I64" s="124" t="s">
        <v>477</v>
      </c>
      <c r="J64" s="12">
        <v>10</v>
      </c>
      <c r="K64" s="12">
        <f>VLOOKUP($A64,쿼리1[[ID]:[열1]],3,FALSE)</f>
        <v>10</v>
      </c>
      <c r="L64" s="12" t="s">
        <v>931</v>
      </c>
      <c r="M64" s="12" t="s">
        <v>932</v>
      </c>
      <c r="N64" s="12" t="s">
        <v>933</v>
      </c>
      <c r="O64" s="145" t="s">
        <v>934</v>
      </c>
      <c r="P64" s="12" t="s">
        <v>935</v>
      </c>
      <c r="Q64" s="12" t="s">
        <v>936</v>
      </c>
      <c r="R64" s="12" t="s">
        <v>3744</v>
      </c>
      <c r="S64" s="12"/>
      <c r="T64" s="12" t="s">
        <v>937</v>
      </c>
      <c r="U64" s="12" t="s">
        <v>2793</v>
      </c>
      <c r="V64" s="12" t="b">
        <v>1</v>
      </c>
      <c r="W64" s="12" t="s">
        <v>938</v>
      </c>
      <c r="X64" s="12"/>
      <c r="Y64" s="12" t="s">
        <v>939</v>
      </c>
      <c r="Z64" s="12"/>
      <c r="AA64" s="12"/>
      <c r="AB64" s="12"/>
      <c r="AC64" s="12">
        <v>0.9</v>
      </c>
      <c r="AD64" s="12"/>
      <c r="AE64" s="40"/>
      <c r="AF64" s="40"/>
      <c r="AG64" s="1" t="s">
        <v>2106</v>
      </c>
    </row>
    <row r="65" spans="1:33" x14ac:dyDescent="0.3">
      <c r="A65" s="12">
        <v>1110701044</v>
      </c>
      <c r="B65" s="12" t="s">
        <v>940</v>
      </c>
      <c r="C65" s="12" t="s">
        <v>941</v>
      </c>
      <c r="D65" s="12" t="s">
        <v>942</v>
      </c>
      <c r="E65" s="12" t="s">
        <v>47</v>
      </c>
      <c r="F65" s="12" t="s">
        <v>677</v>
      </c>
      <c r="G65" s="124" t="s">
        <v>45</v>
      </c>
      <c r="H65" s="124" t="s">
        <v>477</v>
      </c>
      <c r="I65" s="124" t="s">
        <v>477</v>
      </c>
      <c r="J65" s="12">
        <v>10</v>
      </c>
      <c r="K65" s="12">
        <f>VLOOKUP($A65,쿼리1[[ID]:[열1]],3,FALSE)</f>
        <v>10</v>
      </c>
      <c r="L65" s="12" t="s">
        <v>943</v>
      </c>
      <c r="M65" s="12" t="s">
        <v>944</v>
      </c>
      <c r="N65" s="12" t="s">
        <v>945</v>
      </c>
      <c r="O65" s="145" t="s">
        <v>946</v>
      </c>
      <c r="P65" s="12" t="s">
        <v>947</v>
      </c>
      <c r="Q65" s="12" t="s">
        <v>948</v>
      </c>
      <c r="R65" s="12" t="s">
        <v>3745</v>
      </c>
      <c r="S65" s="12"/>
      <c r="T65" s="12" t="s">
        <v>949</v>
      </c>
      <c r="U65" s="12" t="s">
        <v>2794</v>
      </c>
      <c r="V65" s="12" t="b">
        <v>1</v>
      </c>
      <c r="W65" s="12" t="s">
        <v>950</v>
      </c>
      <c r="X65" s="12"/>
      <c r="Y65" s="12" t="s">
        <v>951</v>
      </c>
      <c r="Z65" s="12"/>
      <c r="AA65" s="12"/>
      <c r="AB65" s="12"/>
      <c r="AC65" s="12">
        <v>0.9</v>
      </c>
      <c r="AD65" s="12"/>
      <c r="AE65" s="40"/>
      <c r="AF65" s="40"/>
      <c r="AG65" s="1" t="s">
        <v>2093</v>
      </c>
    </row>
    <row r="66" spans="1:33" x14ac:dyDescent="0.3">
      <c r="A66" s="125">
        <v>1110701045</v>
      </c>
      <c r="B66" s="125" t="s">
        <v>952</v>
      </c>
      <c r="C66" s="125" t="s">
        <v>953</v>
      </c>
      <c r="D66" s="125" t="s">
        <v>954</v>
      </c>
      <c r="E66" s="125" t="s">
        <v>143</v>
      </c>
      <c r="F66" s="125" t="s">
        <v>570</v>
      </c>
      <c r="G66" s="124" t="s">
        <v>45</v>
      </c>
      <c r="H66" s="124" t="s">
        <v>477</v>
      </c>
      <c r="I66" s="124" t="s">
        <v>477</v>
      </c>
      <c r="J66" s="125">
        <v>10</v>
      </c>
      <c r="K66" s="125">
        <f>VLOOKUP($A66,쿼리1[[ID]:[열1]],3,FALSE)</f>
        <v>10</v>
      </c>
      <c r="L66" s="125" t="s">
        <v>955</v>
      </c>
      <c r="M66" s="125" t="s">
        <v>956</v>
      </c>
      <c r="N66" s="125" t="s">
        <v>957</v>
      </c>
      <c r="O66" s="148" t="s">
        <v>3880</v>
      </c>
      <c r="P66" s="125" t="s">
        <v>3881</v>
      </c>
      <c r="Q66" s="125" t="s">
        <v>3882</v>
      </c>
      <c r="R66" s="125" t="s">
        <v>3883</v>
      </c>
      <c r="S66" s="125"/>
      <c r="T66" s="125" t="s">
        <v>3884</v>
      </c>
      <c r="U66" s="125" t="s">
        <v>3885</v>
      </c>
      <c r="V66" s="125" t="b">
        <v>1</v>
      </c>
      <c r="W66" s="125" t="s">
        <v>958</v>
      </c>
      <c r="X66" s="125"/>
      <c r="Y66" s="125" t="s">
        <v>959</v>
      </c>
      <c r="Z66" s="125"/>
      <c r="AA66" s="125"/>
      <c r="AB66" s="125"/>
      <c r="AC66" s="125">
        <v>0.9</v>
      </c>
      <c r="AD66" s="125"/>
      <c r="AE66" s="125"/>
      <c r="AF66" s="125"/>
      <c r="AG66" s="1" t="s">
        <v>2093</v>
      </c>
    </row>
    <row r="67" spans="1:33" x14ac:dyDescent="0.3">
      <c r="A67" s="125">
        <v>1110701046</v>
      </c>
      <c r="B67" s="125" t="s">
        <v>521</v>
      </c>
      <c r="C67" s="125" t="s">
        <v>960</v>
      </c>
      <c r="D67" s="125" t="s">
        <v>961</v>
      </c>
      <c r="E67" s="125" t="s">
        <v>143</v>
      </c>
      <c r="F67" s="125" t="s">
        <v>807</v>
      </c>
      <c r="G67" s="124" t="s">
        <v>45</v>
      </c>
      <c r="H67" s="124" t="s">
        <v>477</v>
      </c>
      <c r="I67" s="124" t="s">
        <v>477</v>
      </c>
      <c r="J67" s="125">
        <v>10</v>
      </c>
      <c r="K67" s="125">
        <f>VLOOKUP($A67,쿼리1[[ID]:[열1]],3,FALSE)</f>
        <v>10</v>
      </c>
      <c r="L67" s="125" t="s">
        <v>522</v>
      </c>
      <c r="M67" s="125" t="s">
        <v>523</v>
      </c>
      <c r="N67" s="125" t="s">
        <v>524</v>
      </c>
      <c r="O67" s="148" t="s">
        <v>3886</v>
      </c>
      <c r="P67" s="125" t="s">
        <v>3887</v>
      </c>
      <c r="Q67" s="125" t="s">
        <v>3888</v>
      </c>
      <c r="R67" s="125" t="s">
        <v>3889</v>
      </c>
      <c r="S67" s="125"/>
      <c r="T67" s="125" t="s">
        <v>3890</v>
      </c>
      <c r="U67" s="125" t="s">
        <v>3891</v>
      </c>
      <c r="V67" s="125" t="b">
        <v>1</v>
      </c>
      <c r="W67" s="125" t="s">
        <v>962</v>
      </c>
      <c r="X67" s="125"/>
      <c r="Y67" s="125" t="s">
        <v>963</v>
      </c>
      <c r="Z67" s="125"/>
      <c r="AA67" s="125"/>
      <c r="AB67" s="125"/>
      <c r="AC67" s="125">
        <v>0.9</v>
      </c>
      <c r="AD67" s="125"/>
      <c r="AE67" s="125"/>
      <c r="AF67" s="125"/>
      <c r="AG67" s="1" t="s">
        <v>2105</v>
      </c>
    </row>
    <row r="68" spans="1:33" x14ac:dyDescent="0.3">
      <c r="A68" s="125">
        <v>1110701047</v>
      </c>
      <c r="B68" s="125" t="s">
        <v>964</v>
      </c>
      <c r="C68" s="125" t="s">
        <v>965</v>
      </c>
      <c r="D68" s="125" t="s">
        <v>966</v>
      </c>
      <c r="E68" s="125" t="s">
        <v>143</v>
      </c>
      <c r="F68" s="125" t="s">
        <v>531</v>
      </c>
      <c r="G68" s="124" t="s">
        <v>45</v>
      </c>
      <c r="H68" s="124" t="s">
        <v>477</v>
      </c>
      <c r="I68" s="124" t="s">
        <v>477</v>
      </c>
      <c r="J68" s="125">
        <v>10</v>
      </c>
      <c r="K68" s="125">
        <f>VLOOKUP($A68,쿼리1[[ID]:[열1]],3,FALSE)</f>
        <v>10</v>
      </c>
      <c r="L68" s="125" t="s">
        <v>967</v>
      </c>
      <c r="M68" s="125" t="s">
        <v>968</v>
      </c>
      <c r="N68" s="125" t="s">
        <v>969</v>
      </c>
      <c r="O68" s="148" t="s">
        <v>970</v>
      </c>
      <c r="P68" s="125" t="s">
        <v>971</v>
      </c>
      <c r="Q68" s="125" t="s">
        <v>972</v>
      </c>
      <c r="R68" s="125" t="s">
        <v>3746</v>
      </c>
      <c r="S68" s="125"/>
      <c r="T68" s="125" t="s">
        <v>973</v>
      </c>
      <c r="U68" s="125" t="s">
        <v>2795</v>
      </c>
      <c r="V68" s="125" t="b">
        <v>1</v>
      </c>
      <c r="W68" s="125" t="s">
        <v>974</v>
      </c>
      <c r="X68" s="125"/>
      <c r="Y68" s="125" t="s">
        <v>975</v>
      </c>
      <c r="Z68" s="125"/>
      <c r="AA68" s="125"/>
      <c r="AB68" s="125"/>
      <c r="AC68" s="125">
        <v>0.9</v>
      </c>
      <c r="AD68" s="125"/>
      <c r="AE68" s="125"/>
      <c r="AF68" s="125"/>
      <c r="AG68" s="1" t="s">
        <v>2105</v>
      </c>
    </row>
    <row r="69" spans="1:33" x14ac:dyDescent="0.3">
      <c r="A69" s="40">
        <v>1110701048</v>
      </c>
      <c r="B69" s="40" t="s">
        <v>1928</v>
      </c>
      <c r="C69" s="40" t="s">
        <v>1932</v>
      </c>
      <c r="D69" s="40" t="s">
        <v>1936</v>
      </c>
      <c r="E69" s="40" t="s">
        <v>58</v>
      </c>
      <c r="F69" s="40" t="s">
        <v>531</v>
      </c>
      <c r="G69" s="40" t="s">
        <v>45</v>
      </c>
      <c r="H69" s="40" t="s">
        <v>477</v>
      </c>
      <c r="I69" s="40" t="s">
        <v>477</v>
      </c>
      <c r="J69" s="40">
        <v>10</v>
      </c>
      <c r="K69" s="40">
        <v>10</v>
      </c>
      <c r="L69" s="40" t="s">
        <v>3892</v>
      </c>
      <c r="M69" s="40"/>
      <c r="N69" s="40"/>
      <c r="O69" s="145" t="s">
        <v>3893</v>
      </c>
      <c r="P69" s="40"/>
      <c r="Q69" s="40"/>
      <c r="R69" s="40"/>
      <c r="S69" s="40"/>
      <c r="T69" s="40"/>
      <c r="U69" s="40"/>
      <c r="V69" s="40" t="b">
        <v>1</v>
      </c>
      <c r="W69" s="40" t="s">
        <v>1982</v>
      </c>
      <c r="X69" s="40"/>
      <c r="Y69" s="40" t="s">
        <v>1940</v>
      </c>
      <c r="Z69" s="40"/>
      <c r="AA69" s="40"/>
      <c r="AB69" s="40"/>
      <c r="AC69" s="40">
        <v>0.9</v>
      </c>
      <c r="AD69" s="40"/>
      <c r="AE69" s="40"/>
      <c r="AF69" s="40"/>
      <c r="AG69" s="1" t="s">
        <v>2106</v>
      </c>
    </row>
    <row r="70" spans="1:33" x14ac:dyDescent="0.3">
      <c r="A70" s="40">
        <v>1110701049</v>
      </c>
      <c r="B70" s="40" t="s">
        <v>1929</v>
      </c>
      <c r="C70" s="40" t="s">
        <v>1933</v>
      </c>
      <c r="D70" s="40" t="s">
        <v>1937</v>
      </c>
      <c r="E70" s="40" t="s">
        <v>43</v>
      </c>
      <c r="F70" s="40" t="s">
        <v>591</v>
      </c>
      <c r="G70" s="40" t="s">
        <v>45</v>
      </c>
      <c r="H70" s="40" t="s">
        <v>477</v>
      </c>
      <c r="I70" s="40" t="s">
        <v>477</v>
      </c>
      <c r="J70" s="40">
        <v>10</v>
      </c>
      <c r="K70" s="40">
        <v>10</v>
      </c>
      <c r="L70" s="40" t="s">
        <v>3894</v>
      </c>
      <c r="M70" s="40"/>
      <c r="N70" s="40"/>
      <c r="O70" s="145" t="s">
        <v>3895</v>
      </c>
      <c r="P70" s="40"/>
      <c r="Q70" s="40"/>
      <c r="R70" s="40"/>
      <c r="S70" s="40"/>
      <c r="T70" s="40"/>
      <c r="U70" s="40"/>
      <c r="V70" s="40" t="b">
        <v>1</v>
      </c>
      <c r="W70" s="40" t="s">
        <v>1983</v>
      </c>
      <c r="X70" s="40"/>
      <c r="Y70" s="40" t="s">
        <v>1941</v>
      </c>
      <c r="Z70" s="40"/>
      <c r="AA70" s="40"/>
      <c r="AB70" s="40"/>
      <c r="AC70" s="40">
        <v>0.9</v>
      </c>
      <c r="AD70" s="40"/>
      <c r="AE70" s="40"/>
      <c r="AF70" s="5"/>
      <c r="AG70" s="1" t="s">
        <v>2093</v>
      </c>
    </row>
    <row r="71" spans="1:33" x14ac:dyDescent="0.3">
      <c r="A71" s="40">
        <v>1110701050</v>
      </c>
      <c r="B71" s="40" t="s">
        <v>1930</v>
      </c>
      <c r="C71" s="40" t="s">
        <v>1934</v>
      </c>
      <c r="D71" s="40" t="s">
        <v>1938</v>
      </c>
      <c r="E71" s="40" t="s">
        <v>47</v>
      </c>
      <c r="F71" s="40" t="s">
        <v>287</v>
      </c>
      <c r="G71" s="40" t="s">
        <v>45</v>
      </c>
      <c r="H71" s="40" t="s">
        <v>477</v>
      </c>
      <c r="I71" s="40" t="s">
        <v>477</v>
      </c>
      <c r="J71" s="40">
        <v>10</v>
      </c>
      <c r="K71" s="40">
        <v>10</v>
      </c>
      <c r="L71" s="40" t="s">
        <v>3896</v>
      </c>
      <c r="M71" s="40"/>
      <c r="N71" s="40"/>
      <c r="O71" s="145" t="s">
        <v>3897</v>
      </c>
      <c r="P71" s="40"/>
      <c r="Q71" s="40"/>
      <c r="R71" s="40"/>
      <c r="S71" s="40"/>
      <c r="T71" s="40"/>
      <c r="U71" s="40"/>
      <c r="V71" s="40" t="b">
        <v>1</v>
      </c>
      <c r="W71" s="40" t="s">
        <v>1984</v>
      </c>
      <c r="X71" s="40"/>
      <c r="Y71" s="40" t="s">
        <v>1942</v>
      </c>
      <c r="Z71" s="40"/>
      <c r="AA71" s="40"/>
      <c r="AB71" s="40"/>
      <c r="AC71" s="40">
        <v>0.9</v>
      </c>
      <c r="AD71" s="40"/>
      <c r="AE71" s="40"/>
      <c r="AF71" s="40"/>
      <c r="AG71" s="1" t="s">
        <v>2093</v>
      </c>
    </row>
    <row r="72" spans="1:33" x14ac:dyDescent="0.3">
      <c r="A72" s="40">
        <v>1110701051</v>
      </c>
      <c r="B72" s="40" t="s">
        <v>1931</v>
      </c>
      <c r="C72" s="40" t="s">
        <v>1935</v>
      </c>
      <c r="D72" s="40" t="s">
        <v>1939</v>
      </c>
      <c r="E72" s="40" t="s">
        <v>143</v>
      </c>
      <c r="F72" s="40" t="s">
        <v>545</v>
      </c>
      <c r="G72" s="40" t="s">
        <v>45</v>
      </c>
      <c r="H72" s="40" t="s">
        <v>477</v>
      </c>
      <c r="I72" s="40" t="s">
        <v>477</v>
      </c>
      <c r="J72" s="40">
        <v>10</v>
      </c>
      <c r="K72" s="40">
        <v>10</v>
      </c>
      <c r="L72" s="40" t="s">
        <v>3898</v>
      </c>
      <c r="M72" s="40"/>
      <c r="N72" s="40"/>
      <c r="O72" s="145" t="s">
        <v>3899</v>
      </c>
      <c r="P72" s="40"/>
      <c r="Q72" s="40"/>
      <c r="R72" s="40"/>
      <c r="S72" s="40"/>
      <c r="T72" s="40"/>
      <c r="U72" s="40"/>
      <c r="V72" s="40" t="b">
        <v>1</v>
      </c>
      <c r="W72" s="40" t="s">
        <v>1985</v>
      </c>
      <c r="X72" s="40"/>
      <c r="Y72" s="40" t="s">
        <v>1943</v>
      </c>
      <c r="Z72" s="40"/>
      <c r="AA72" s="40"/>
      <c r="AB72" s="40"/>
      <c r="AC72" s="40">
        <v>0.9</v>
      </c>
      <c r="AD72" s="40"/>
      <c r="AE72" s="40"/>
      <c r="AF72" s="40"/>
      <c r="AG72" s="1" t="s">
        <v>2105</v>
      </c>
    </row>
    <row r="73" spans="1:33" x14ac:dyDescent="0.3">
      <c r="A73" s="40">
        <v>1110701052</v>
      </c>
      <c r="B73" s="40" t="s">
        <v>1976</v>
      </c>
      <c r="C73" s="40" t="s">
        <v>1977</v>
      </c>
      <c r="D73" s="40" t="s">
        <v>1978</v>
      </c>
      <c r="E73" s="40" t="s">
        <v>143</v>
      </c>
      <c r="F73" s="40" t="s">
        <v>677</v>
      </c>
      <c r="G73" s="40" t="s">
        <v>45</v>
      </c>
      <c r="H73" s="40" t="s">
        <v>477</v>
      </c>
      <c r="I73" s="40" t="s">
        <v>477</v>
      </c>
      <c r="J73" s="40">
        <v>10</v>
      </c>
      <c r="K73" s="40">
        <v>10</v>
      </c>
      <c r="L73" s="40" t="s">
        <v>1979</v>
      </c>
      <c r="M73" s="40" t="s">
        <v>1980</v>
      </c>
      <c r="N73" s="40" t="s">
        <v>1981</v>
      </c>
      <c r="O73" s="145" t="s">
        <v>3900</v>
      </c>
      <c r="P73" s="40" t="s">
        <v>3901</v>
      </c>
      <c r="Q73" s="40" t="s">
        <v>3902</v>
      </c>
      <c r="R73" s="40" t="s">
        <v>3903</v>
      </c>
      <c r="S73" s="40"/>
      <c r="T73" s="40" t="s">
        <v>3904</v>
      </c>
      <c r="U73" s="12" t="s">
        <v>3905</v>
      </c>
      <c r="V73" s="40" t="b">
        <v>1</v>
      </c>
      <c r="W73" s="40" t="s">
        <v>1986</v>
      </c>
      <c r="X73" s="40"/>
      <c r="Y73" s="40" t="s">
        <v>1987</v>
      </c>
      <c r="Z73" s="40"/>
      <c r="AA73" s="40"/>
      <c r="AB73" s="40"/>
      <c r="AC73" s="40">
        <v>0.9</v>
      </c>
      <c r="AD73" s="40"/>
      <c r="AE73" s="40"/>
      <c r="AF73" s="40"/>
      <c r="AG73" s="1" t="s">
        <v>2106</v>
      </c>
    </row>
    <row r="74" spans="1:33" x14ac:dyDescent="0.3">
      <c r="A74" s="40">
        <v>1110701053</v>
      </c>
      <c r="B74" s="40" t="s">
        <v>3755</v>
      </c>
      <c r="C74" s="40" t="s">
        <v>3757</v>
      </c>
      <c r="D74" s="40" t="s">
        <v>3758</v>
      </c>
      <c r="E74" s="40" t="s">
        <v>58</v>
      </c>
      <c r="F74" s="171" t="s">
        <v>698</v>
      </c>
      <c r="G74" s="40" t="s">
        <v>45</v>
      </c>
      <c r="H74" s="40" t="s">
        <v>477</v>
      </c>
      <c r="I74" s="40" t="s">
        <v>477</v>
      </c>
      <c r="J74" s="40">
        <v>10</v>
      </c>
      <c r="K74" s="40">
        <v>10</v>
      </c>
      <c r="L74" s="40" t="s">
        <v>3759</v>
      </c>
      <c r="M74" s="40" t="s">
        <v>3760</v>
      </c>
      <c r="N74" s="40" t="s">
        <v>3761</v>
      </c>
      <c r="O74" s="145" t="s">
        <v>3762</v>
      </c>
      <c r="P74" s="40" t="s">
        <v>3763</v>
      </c>
      <c r="Q74" s="40" t="s">
        <v>3764</v>
      </c>
      <c r="R74" s="40"/>
      <c r="S74" s="40"/>
      <c r="T74" s="40" t="s">
        <v>3765</v>
      </c>
      <c r="U74" s="12" t="s">
        <v>3766</v>
      </c>
      <c r="V74" s="40" t="b">
        <v>1</v>
      </c>
      <c r="W74" s="40" t="s">
        <v>3756</v>
      </c>
      <c r="X74" s="40"/>
      <c r="Y74" s="40" t="s">
        <v>3767</v>
      </c>
      <c r="Z74" s="40"/>
      <c r="AA74" s="40"/>
      <c r="AB74" s="40"/>
      <c r="AC74" s="40">
        <v>0.9</v>
      </c>
      <c r="AD74" s="40"/>
      <c r="AE74" s="40"/>
      <c r="AF74" s="40"/>
      <c r="AG74" s="1" t="s">
        <v>2106</v>
      </c>
    </row>
    <row r="75" spans="1:33" x14ac:dyDescent="0.3">
      <c r="A75" s="125"/>
      <c r="B75" s="125"/>
      <c r="C75" s="125"/>
      <c r="D75" s="125"/>
      <c r="E75" s="125"/>
      <c r="F75" s="125"/>
      <c r="G75" s="124"/>
      <c r="H75" s="124"/>
      <c r="I75" s="124"/>
      <c r="J75" s="125"/>
      <c r="K75" s="125"/>
      <c r="L75" s="125"/>
      <c r="M75" s="125"/>
      <c r="N75" s="125"/>
      <c r="O75" s="148"/>
      <c r="P75" s="125"/>
      <c r="Q75" s="125"/>
      <c r="R75" s="125"/>
      <c r="S75" s="125"/>
      <c r="T75" s="125"/>
      <c r="U75" s="125"/>
      <c r="V75" s="125"/>
      <c r="W75" s="125"/>
      <c r="X75" s="125"/>
      <c r="Y75" s="125"/>
      <c r="Z75" s="125"/>
      <c r="AA75" s="125"/>
      <c r="AB75" s="125"/>
      <c r="AC75" s="125"/>
      <c r="AD75" s="125"/>
      <c r="AE75" s="125"/>
      <c r="AF75" s="125"/>
    </row>
    <row r="76" spans="1:33" x14ac:dyDescent="0.3">
      <c r="A76" s="126"/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43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Z76" s="126"/>
      <c r="AA76" s="126"/>
      <c r="AB76" s="126"/>
      <c r="AC76" s="126"/>
      <c r="AD76" s="126"/>
      <c r="AE76" s="126"/>
      <c r="AF76" s="126"/>
    </row>
    <row r="77" spans="1:33" x14ac:dyDescent="0.3">
      <c r="A77" s="126"/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43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Z77" s="126"/>
      <c r="AA77" s="126"/>
      <c r="AB77" s="126"/>
      <c r="AC77" s="126"/>
      <c r="AD77" s="126"/>
      <c r="AE77" s="126"/>
      <c r="AF77" s="126"/>
    </row>
    <row r="78" spans="1:33" x14ac:dyDescent="0.3">
      <c r="A78" s="126"/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43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Z78" s="126"/>
      <c r="AA78" s="126"/>
      <c r="AB78" s="126"/>
      <c r="AC78" s="126"/>
      <c r="AD78" s="126"/>
      <c r="AE78" s="126"/>
      <c r="AF78" s="126"/>
    </row>
    <row r="79" spans="1:33" x14ac:dyDescent="0.3">
      <c r="A79" s="126"/>
      <c r="B79" s="126"/>
      <c r="C79" s="126"/>
      <c r="D79" s="126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43"/>
      <c r="P79" s="126"/>
      <c r="Q79" s="126"/>
      <c r="R79" s="126"/>
      <c r="S79" s="126"/>
      <c r="T79" s="126"/>
      <c r="U79" s="126"/>
      <c r="V79" s="126"/>
      <c r="W79" s="126"/>
      <c r="X79" s="126"/>
      <c r="Y79" s="126"/>
      <c r="Z79" s="126"/>
      <c r="AA79" s="126"/>
      <c r="AB79" s="126"/>
      <c r="AC79" s="126"/>
      <c r="AD79" s="126"/>
      <c r="AE79" s="126"/>
      <c r="AF79" s="126"/>
    </row>
  </sheetData>
  <phoneticPr fontId="1" type="noConversion"/>
  <conditionalFormatting sqref="A1:A1048576">
    <cfRule type="duplicateValues" dxfId="27" priority="14"/>
  </conditionalFormatting>
  <conditionalFormatting sqref="A1:T75">
    <cfRule type="containsBlanks" dxfId="26" priority="15">
      <formula>LEN(TRIM(A1))=0</formula>
    </cfRule>
  </conditionalFormatting>
  <conditionalFormatting sqref="A1:AF75">
    <cfRule type="containsText" dxfId="25" priority="1" operator="containsText" text="FALSE">
      <formula>NOT(ISERROR(SEARCH("FALSE",A1)))</formula>
    </cfRule>
  </conditionalFormatting>
  <conditionalFormatting sqref="U1:AF75">
    <cfRule type="containsBlanks" dxfId="24" priority="2">
      <formula>LEN(TRIM(U1))=0</formula>
    </cfRule>
  </conditionalFormatting>
  <dataValidations disablePrompts="1" count="1">
    <dataValidation showInputMessage="1" showErrorMessage="1" prompt="크리티컬 피격 시 이펙트 추가 출력_x000a_프리팹 경로 입력_x000a_사용 안할 시 공백_x000a_null 허용" sqref="AD1:AF1"/>
  </dataValidations>
  <pageMargins left="0.75" right="0.75" top="1" bottom="1" header="0.5" footer="0.5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G674"/>
  <sheetViews>
    <sheetView zoomScale="85" zoomScaleNormal="85" workbookViewId="0">
      <pane xSplit="3" ySplit="3" topLeftCell="L111" activePane="bottomRight" state="frozen"/>
      <selection pane="topRight" activeCell="D1" sqref="D1"/>
      <selection pane="bottomLeft" activeCell="A4" sqref="A4"/>
      <selection pane="bottomRight" activeCell="C133" sqref="C133"/>
    </sheetView>
  </sheetViews>
  <sheetFormatPr defaultRowHeight="16.5" x14ac:dyDescent="0.3"/>
  <cols>
    <col min="1" max="1" width="10.625" style="1" bestFit="1" customWidth="1"/>
    <col min="2" max="2" width="15.75" style="1" bestFit="1" customWidth="1"/>
    <col min="3" max="3" width="19.375" style="1" bestFit="1" customWidth="1"/>
    <col min="4" max="4" width="37" style="1" bestFit="1" customWidth="1"/>
    <col min="5" max="5" width="11.375" style="1" customWidth="1"/>
    <col min="6" max="6" width="20.625" style="1" customWidth="1"/>
    <col min="7" max="7" width="10.375" style="1" bestFit="1" customWidth="1"/>
    <col min="8" max="9" width="12.625" style="1" bestFit="1" customWidth="1"/>
    <col min="10" max="10" width="9.375" style="1" bestFit="1" customWidth="1"/>
    <col min="11" max="11" width="9.375" style="1" customWidth="1"/>
    <col min="12" max="12" width="38.5" style="1" bestFit="1" customWidth="1"/>
    <col min="13" max="13" width="35.875" style="1" bestFit="1" customWidth="1"/>
    <col min="14" max="14" width="28.5" style="1" bestFit="1" customWidth="1"/>
    <col min="15" max="15" width="36.75" style="144" bestFit="1" customWidth="1"/>
    <col min="16" max="16" width="37.875" style="1" bestFit="1" customWidth="1"/>
    <col min="17" max="17" width="36.625" style="1" bestFit="1" customWidth="1"/>
    <col min="18" max="18" width="38.5" style="1" bestFit="1" customWidth="1"/>
    <col min="19" max="19" width="28.625" style="1" bestFit="1" customWidth="1"/>
    <col min="20" max="22" width="17" style="1" customWidth="1"/>
    <col min="23" max="23" width="48" style="1" bestFit="1" customWidth="1"/>
    <col min="24" max="24" width="10.625" style="1" bestFit="1" customWidth="1"/>
    <col min="25" max="25" width="30.375" style="1" bestFit="1" customWidth="1"/>
    <col min="26" max="26" width="32.75" style="1" bestFit="1" customWidth="1"/>
    <col min="27" max="27" width="13.375" style="1" bestFit="1" customWidth="1"/>
    <col min="28" max="28" width="27.375" style="1" bestFit="1" customWidth="1"/>
    <col min="29" max="29" width="6.375" style="1" bestFit="1" customWidth="1"/>
    <col min="30" max="30" width="56.5" style="1" bestFit="1" customWidth="1"/>
    <col min="31" max="31" width="46.5" style="1" bestFit="1" customWidth="1"/>
    <col min="32" max="32" width="39.375" style="1" bestFit="1" customWidth="1"/>
    <col min="33" max="33" width="12.625" bestFit="1" customWidth="1"/>
  </cols>
  <sheetData>
    <row r="1" spans="1:33" x14ac:dyDescent="0.3">
      <c r="A1" s="6" t="s">
        <v>0</v>
      </c>
      <c r="B1" s="6" t="s">
        <v>1</v>
      </c>
      <c r="C1" s="6" t="s">
        <v>1</v>
      </c>
      <c r="D1" s="6" t="s">
        <v>2</v>
      </c>
      <c r="E1" s="6" t="s">
        <v>3</v>
      </c>
      <c r="F1" s="7" t="s">
        <v>4</v>
      </c>
      <c r="G1" s="6" t="s">
        <v>5</v>
      </c>
      <c r="H1" s="6" t="s">
        <v>6</v>
      </c>
      <c r="I1" s="6" t="s">
        <v>1988</v>
      </c>
      <c r="J1" s="6" t="s">
        <v>7</v>
      </c>
      <c r="K1" s="6" t="s">
        <v>1394</v>
      </c>
      <c r="L1" s="8" t="s">
        <v>8</v>
      </c>
      <c r="M1" s="8" t="s">
        <v>9</v>
      </c>
      <c r="N1" s="8" t="s">
        <v>10</v>
      </c>
      <c r="O1" s="9" t="s">
        <v>11</v>
      </c>
      <c r="P1" s="10" t="s">
        <v>12</v>
      </c>
      <c r="Q1" s="10" t="s">
        <v>13</v>
      </c>
      <c r="R1" s="11" t="s">
        <v>14</v>
      </c>
      <c r="S1" s="11" t="s">
        <v>15</v>
      </c>
      <c r="T1" s="11" t="s">
        <v>16</v>
      </c>
      <c r="U1" s="11" t="s">
        <v>2766</v>
      </c>
      <c r="V1" s="11" t="s">
        <v>17</v>
      </c>
      <c r="W1" s="6" t="s">
        <v>18</v>
      </c>
      <c r="X1" s="6" t="s">
        <v>19</v>
      </c>
      <c r="Y1" s="6" t="s">
        <v>20</v>
      </c>
      <c r="Z1" s="6" t="s">
        <v>21</v>
      </c>
      <c r="AA1" s="6" t="s">
        <v>22</v>
      </c>
      <c r="AB1" s="6" t="s">
        <v>23</v>
      </c>
      <c r="AC1" s="6" t="s">
        <v>24</v>
      </c>
      <c r="AD1" s="6" t="s">
        <v>25</v>
      </c>
      <c r="AE1" s="6" t="s">
        <v>26</v>
      </c>
      <c r="AF1" s="6" t="s">
        <v>27</v>
      </c>
      <c r="AG1" s="75" t="s">
        <v>2091</v>
      </c>
    </row>
    <row r="2" spans="1:33" x14ac:dyDescent="0.3">
      <c r="A2" s="6" t="s">
        <v>28</v>
      </c>
      <c r="B2" s="6" t="s">
        <v>29</v>
      </c>
      <c r="C2" s="6" t="s">
        <v>29</v>
      </c>
      <c r="D2" s="6" t="s">
        <v>30</v>
      </c>
      <c r="E2" s="6" t="s">
        <v>31</v>
      </c>
      <c r="F2" s="7" t="s">
        <v>32</v>
      </c>
      <c r="G2" s="6" t="s">
        <v>33</v>
      </c>
      <c r="H2" s="6" t="s">
        <v>33</v>
      </c>
      <c r="I2" s="6" t="s">
        <v>33</v>
      </c>
      <c r="J2" s="6" t="s">
        <v>34</v>
      </c>
      <c r="K2" s="6" t="s">
        <v>34</v>
      </c>
      <c r="L2" s="8" t="s">
        <v>35</v>
      </c>
      <c r="M2" s="8" t="s">
        <v>35</v>
      </c>
      <c r="N2" s="8" t="s">
        <v>35</v>
      </c>
      <c r="O2" s="9" t="s">
        <v>35</v>
      </c>
      <c r="P2" s="10" t="s">
        <v>35</v>
      </c>
      <c r="Q2" s="10" t="s">
        <v>35</v>
      </c>
      <c r="R2" s="11" t="s">
        <v>35</v>
      </c>
      <c r="S2" s="11" t="s">
        <v>35</v>
      </c>
      <c r="T2" s="11" t="s">
        <v>35</v>
      </c>
      <c r="U2" s="11" t="s">
        <v>35</v>
      </c>
      <c r="V2" s="11" t="s">
        <v>33</v>
      </c>
      <c r="W2" s="6" t="s">
        <v>30</v>
      </c>
      <c r="X2" s="6" t="s">
        <v>30</v>
      </c>
      <c r="Y2" s="6" t="s">
        <v>30</v>
      </c>
      <c r="Z2" s="6" t="s">
        <v>30</v>
      </c>
      <c r="AA2" s="6" t="s">
        <v>30</v>
      </c>
      <c r="AB2" s="6" t="s">
        <v>30</v>
      </c>
      <c r="AC2" s="6" t="s">
        <v>36</v>
      </c>
      <c r="AD2" s="6" t="s">
        <v>30</v>
      </c>
      <c r="AE2" s="6" t="s">
        <v>30</v>
      </c>
      <c r="AF2" s="6" t="s">
        <v>30</v>
      </c>
      <c r="AG2" s="75" t="s">
        <v>2092</v>
      </c>
    </row>
    <row r="3" spans="1:33" x14ac:dyDescent="0.3">
      <c r="A3" s="6" t="s">
        <v>37</v>
      </c>
      <c r="B3" s="6" t="s">
        <v>38</v>
      </c>
      <c r="C3" s="6" t="s">
        <v>39</v>
      </c>
      <c r="D3" s="6" t="s">
        <v>40</v>
      </c>
      <c r="E3" s="6" t="s">
        <v>37</v>
      </c>
      <c r="F3" s="7" t="s">
        <v>37</v>
      </c>
      <c r="G3" s="6" t="s">
        <v>37</v>
      </c>
      <c r="H3" s="6" t="s">
        <v>37</v>
      </c>
      <c r="I3" s="6" t="s">
        <v>1989</v>
      </c>
      <c r="J3" s="6" t="s">
        <v>37</v>
      </c>
      <c r="K3" s="6" t="s">
        <v>37</v>
      </c>
      <c r="L3" s="8" t="s">
        <v>37</v>
      </c>
      <c r="M3" s="8" t="s">
        <v>37</v>
      </c>
      <c r="N3" s="8" t="s">
        <v>37</v>
      </c>
      <c r="O3" s="9" t="s">
        <v>37</v>
      </c>
      <c r="P3" s="10" t="s">
        <v>37</v>
      </c>
      <c r="Q3" s="10" t="s">
        <v>37</v>
      </c>
      <c r="R3" s="11" t="s">
        <v>37</v>
      </c>
      <c r="S3" s="11" t="s">
        <v>37</v>
      </c>
      <c r="T3" s="11" t="s">
        <v>37</v>
      </c>
      <c r="U3" s="11" t="s">
        <v>37</v>
      </c>
      <c r="V3" s="11" t="s">
        <v>40</v>
      </c>
      <c r="W3" s="6" t="s">
        <v>40</v>
      </c>
      <c r="X3" s="6" t="s">
        <v>40</v>
      </c>
      <c r="Y3" s="6" t="s">
        <v>40</v>
      </c>
      <c r="Z3" s="6" t="s">
        <v>40</v>
      </c>
      <c r="AA3" s="6" t="s">
        <v>40</v>
      </c>
      <c r="AB3" s="6" t="s">
        <v>40</v>
      </c>
      <c r="AC3" s="6" t="s">
        <v>40</v>
      </c>
      <c r="AD3" s="6" t="s">
        <v>40</v>
      </c>
      <c r="AE3" s="6" t="s">
        <v>37</v>
      </c>
      <c r="AF3" s="6" t="s">
        <v>37</v>
      </c>
      <c r="AG3" s="75" t="s">
        <v>1954</v>
      </c>
    </row>
    <row r="4" spans="1:33" x14ac:dyDescent="0.3">
      <c r="A4" s="22">
        <v>1110601001</v>
      </c>
      <c r="B4" s="22" t="s">
        <v>223</v>
      </c>
      <c r="C4" s="22" t="s">
        <v>224</v>
      </c>
      <c r="D4" s="22" t="str">
        <f>"Monster.Name."&amp;VLOOKUP($C4,'#Data'!$B$2:$J$344,2,FALSE)</f>
        <v>Monster.Name.eperiusunit_1</v>
      </c>
      <c r="E4" s="22" t="s">
        <v>1833</v>
      </c>
      <c r="F4" s="53" t="s">
        <v>44</v>
      </c>
      <c r="G4" s="22" t="s">
        <v>45</v>
      </c>
      <c r="H4" s="22" t="b">
        <f>IF(VLOOKUP($C4,'#Data'!$B$2:$J$344,4,FALSE)="보스",TRUE,FALSE)</f>
        <v>1</v>
      </c>
      <c r="I4" s="22" t="b">
        <v>1</v>
      </c>
      <c r="J4" s="22">
        <v>40</v>
      </c>
      <c r="K4" s="22">
        <v>10</v>
      </c>
      <c r="L4" s="22" t="str">
        <f>$B4&amp;"."&amp;VLOOKUP($C4,'#Data'!$B$2:$J$344,2,FALSE)&amp;".attack0"&amp;RIGHT(L$1,1)</f>
        <v>WorldRaid.eperiusunit_1.attack01</v>
      </c>
      <c r="M4" s="22" t="str">
        <f>$B4&amp;"."&amp;VLOOKUP($C4,'#Data'!$B$2:$J$344,2,FALSE)&amp;".attack0"&amp;RIGHT(M$1,1)</f>
        <v>WorldRaid.eperiusunit_1.attack02</v>
      </c>
      <c r="N4" s="22" t="str">
        <f>$B4&amp;"."&amp;VLOOKUP($C4,'#Data'!$B$2:$J$344,2,FALSE)&amp;".attack0"&amp;RIGHT(N$1,1)</f>
        <v>WorldRaid.eperiusunit_1.attack03</v>
      </c>
      <c r="O4" s="172" t="str">
        <f>$B4&amp;"."&amp;VLOOKUP($C4,'#Data'!$B$2:$J$344,2,FALSE)&amp;".skill0"&amp;RIGHT(O$1,1)</f>
        <v>WorldRaid.eperiusunit_1.skill01</v>
      </c>
      <c r="P4" s="54" t="str">
        <f>$B4&amp;"."&amp;VLOOKUP($C4,'#Data'!$B$2:$J$344,2,FALSE)&amp;".skill0"&amp;RIGHT(P$1,1)</f>
        <v>WorldRaid.eperiusunit_1.skill02</v>
      </c>
      <c r="Q4" s="54" t="str">
        <f>$B4&amp;"."&amp;VLOOKUP($C4,'#Data'!$B$2:$J$344,2,FALSE)&amp;".skill0"&amp;RIGHT(Q$1,1)</f>
        <v>WorldRaid.eperiusunit_1.skill03</v>
      </c>
      <c r="R4" s="54" t="str">
        <f>$B4&amp;"."&amp;VLOOKUP($C4,'#Data'!$B$2:$J$344,2,FALSE)&amp;".skill0"&amp;RIGHT(R$1,1)</f>
        <v>WorldRaid.eperiusunit_1.skill04</v>
      </c>
      <c r="S4" s="54" t="s">
        <v>225</v>
      </c>
      <c r="T4" s="54"/>
      <c r="U4" s="54"/>
      <c r="V4" s="22" t="b">
        <v>0</v>
      </c>
      <c r="W4" s="22" t="str">
        <f>"Character/Prefabs/"&amp;VLOOKUP($C4,'#Data'!$B$3:$I$344,8,FALSE)</f>
        <v>Character/Prefabs/m_boss_ranger_eperiusunit_1</v>
      </c>
      <c r="X4" s="22"/>
      <c r="Y4" s="22" t="str">
        <f>VLOOKUP($C4,'#Data'!$B$3:$I$344,8,FALSE)</f>
        <v>m_boss_ranger_eperiusunit_1</v>
      </c>
      <c r="Z4" s="22"/>
      <c r="AA4" s="22"/>
      <c r="AB4" s="22" t="s">
        <v>226</v>
      </c>
      <c r="AC4" s="95">
        <v>1.4</v>
      </c>
      <c r="AD4" s="22"/>
      <c r="AE4" s="22" t="s">
        <v>227</v>
      </c>
      <c r="AF4" s="22" t="s">
        <v>228</v>
      </c>
      <c r="AG4" s="173" t="s">
        <v>2104</v>
      </c>
    </row>
    <row r="5" spans="1:33" x14ac:dyDescent="0.3">
      <c r="A5" s="45">
        <v>1111201001</v>
      </c>
      <c r="B5" s="45" t="s">
        <v>229</v>
      </c>
      <c r="C5" s="45" t="s">
        <v>230</v>
      </c>
      <c r="D5" s="45" t="str">
        <f>"Monster.Name."&amp;VLOOKUP($C5,'#Data'!$B$2:$J$344,2,FALSE)</f>
        <v>Monster.Name.toxic_2</v>
      </c>
      <c r="E5" s="45" t="s">
        <v>43</v>
      </c>
      <c r="F5" s="46" t="s">
        <v>44</v>
      </c>
      <c r="G5" s="45" t="s">
        <v>45</v>
      </c>
      <c r="H5" s="45" t="b">
        <v>1</v>
      </c>
      <c r="I5" s="45" t="b">
        <v>1</v>
      </c>
      <c r="J5" s="45">
        <v>30</v>
      </c>
      <c r="K5" s="45">
        <v>10</v>
      </c>
      <c r="L5" s="45" t="s">
        <v>231</v>
      </c>
      <c r="M5" s="45" t="s">
        <v>232</v>
      </c>
      <c r="N5" s="45"/>
      <c r="O5" s="174" t="s">
        <v>233</v>
      </c>
      <c r="P5" s="47" t="s">
        <v>234</v>
      </c>
      <c r="Q5" s="47" t="s">
        <v>235</v>
      </c>
      <c r="R5" s="47" t="s">
        <v>236</v>
      </c>
      <c r="S5" s="47"/>
      <c r="T5" s="47"/>
      <c r="U5" s="47"/>
      <c r="V5" s="45" t="b">
        <v>0</v>
      </c>
      <c r="W5" s="45" t="str">
        <f>"Character/Prefabs/"&amp;VLOOKUP($C5,'#Data'!$B$3:$I$344,8,FALSE)</f>
        <v>Character/Prefabs/m_boss_attacker_toxic_2</v>
      </c>
      <c r="X5" s="45"/>
      <c r="Y5" s="45" t="str">
        <f>VLOOKUP($C5,'#Data'!$B$3:$I$344,8,FALSE)</f>
        <v>m_boss_attacker_toxic_2</v>
      </c>
      <c r="Z5" s="45"/>
      <c r="AA5" s="45"/>
      <c r="AB5" s="45" t="s">
        <v>226</v>
      </c>
      <c r="AC5" s="93">
        <v>1.2</v>
      </c>
      <c r="AD5" s="45"/>
      <c r="AE5" s="45" t="s">
        <v>2752</v>
      </c>
      <c r="AF5" s="45"/>
      <c r="AG5" s="173" t="s">
        <v>2104</v>
      </c>
    </row>
    <row r="6" spans="1:33" x14ac:dyDescent="0.3">
      <c r="A6" s="45">
        <v>1111202001</v>
      </c>
      <c r="B6" s="45" t="s">
        <v>237</v>
      </c>
      <c r="C6" s="45" t="s">
        <v>238</v>
      </c>
      <c r="D6" s="45" t="str">
        <f>"Monster.Name."&amp;VLOOKUP($C6,'#Data'!$B$2:$J$344,2,FALSE)</f>
        <v>Monster.Name.goliath_2</v>
      </c>
      <c r="E6" s="45" t="s">
        <v>58</v>
      </c>
      <c r="F6" s="46" t="s">
        <v>44</v>
      </c>
      <c r="G6" s="45" t="s">
        <v>45</v>
      </c>
      <c r="H6" s="45" t="b">
        <v>1</v>
      </c>
      <c r="I6" s="45" t="b">
        <v>1</v>
      </c>
      <c r="J6" s="45">
        <v>20</v>
      </c>
      <c r="K6" s="45">
        <v>10</v>
      </c>
      <c r="L6" s="45" t="s">
        <v>239</v>
      </c>
      <c r="M6" s="45"/>
      <c r="N6" s="45"/>
      <c r="O6" s="174" t="s">
        <v>240</v>
      </c>
      <c r="P6" s="47" t="s">
        <v>241</v>
      </c>
      <c r="Q6" s="47" t="s">
        <v>242</v>
      </c>
      <c r="R6" s="47" t="s">
        <v>243</v>
      </c>
      <c r="S6" s="47" t="s">
        <v>244</v>
      </c>
      <c r="T6" s="47"/>
      <c r="U6" s="47"/>
      <c r="V6" s="45" t="b">
        <v>0</v>
      </c>
      <c r="W6" s="45" t="str">
        <f>"Character/Prefabs/"&amp;VLOOKUP($C6,'#Data'!$B$3:$I$344,8,FALSE)</f>
        <v>Character/Prefabs/m_boss_attacker_goliath_2</v>
      </c>
      <c r="X6" s="45"/>
      <c r="Y6" s="45" t="str">
        <f>VLOOKUP($C6,'#Data'!$B$3:$I$344,8,FALSE)</f>
        <v>m_boss_attacker_goliath_2</v>
      </c>
      <c r="Z6" s="45"/>
      <c r="AA6" s="45"/>
      <c r="AB6" s="45" t="s">
        <v>226</v>
      </c>
      <c r="AC6" s="93">
        <v>2</v>
      </c>
      <c r="AD6" s="45"/>
      <c r="AE6" s="45" t="s">
        <v>2753</v>
      </c>
      <c r="AF6" s="45"/>
      <c r="AG6" s="173" t="s">
        <v>2104</v>
      </c>
    </row>
    <row r="7" spans="1:33" x14ac:dyDescent="0.3">
      <c r="A7" s="45">
        <v>1111202002</v>
      </c>
      <c r="B7" s="45" t="s">
        <v>237</v>
      </c>
      <c r="C7" s="45" t="s">
        <v>238</v>
      </c>
      <c r="D7" s="45" t="str">
        <f>"Monster.Name."&amp;VLOOKUP($C7,'#Data'!$B$2:$J$344,2,FALSE)</f>
        <v>Monster.Name.goliath_2</v>
      </c>
      <c r="E7" s="45" t="s">
        <v>58</v>
      </c>
      <c r="F7" s="46" t="s">
        <v>44</v>
      </c>
      <c r="G7" s="45" t="s">
        <v>45</v>
      </c>
      <c r="H7" s="45" t="b">
        <v>0</v>
      </c>
      <c r="I7" s="45" t="b">
        <v>0</v>
      </c>
      <c r="J7" s="45">
        <v>10</v>
      </c>
      <c r="K7" s="45">
        <v>10</v>
      </c>
      <c r="L7" s="45" t="s">
        <v>245</v>
      </c>
      <c r="M7" s="45"/>
      <c r="N7" s="45"/>
      <c r="O7" s="174" t="s">
        <v>246</v>
      </c>
      <c r="P7" s="47"/>
      <c r="Q7" s="47"/>
      <c r="R7" s="47"/>
      <c r="S7" s="47"/>
      <c r="T7" s="47"/>
      <c r="U7" s="47"/>
      <c r="V7" s="45" t="b">
        <v>0</v>
      </c>
      <c r="W7" s="45" t="str">
        <f>"Character/Prefabs/"&amp;VLOOKUP($C7,'#Data'!$B$3:$I$344,8,FALSE)</f>
        <v>Character/Prefabs/m_boss_attacker_goliath_2</v>
      </c>
      <c r="X7" s="45"/>
      <c r="Y7" s="45" t="str">
        <f>VLOOKUP($C7,'#Data'!$B$3:$I$344,8,FALSE)</f>
        <v>m_boss_attacker_goliath_2</v>
      </c>
      <c r="Z7" s="45"/>
      <c r="AA7" s="45"/>
      <c r="AB7" s="45" t="s">
        <v>226</v>
      </c>
      <c r="AC7" s="93">
        <v>0.5</v>
      </c>
      <c r="AD7" s="45"/>
      <c r="AE7" s="45"/>
      <c r="AF7" s="45"/>
      <c r="AG7" s="173" t="s">
        <v>2104</v>
      </c>
    </row>
    <row r="8" spans="1:33" x14ac:dyDescent="0.3">
      <c r="A8" s="108">
        <v>1111401001</v>
      </c>
      <c r="B8" s="108" t="s">
        <v>1207</v>
      </c>
      <c r="C8" s="108" t="s">
        <v>1217</v>
      </c>
      <c r="D8" s="108" t="str">
        <f>"Monster.Name."&amp;VLOOKUP($C8,'#Data'!$B$2:$J$344,2,FALSE)</f>
        <v>Monster.Name.marionne_1</v>
      </c>
      <c r="E8" s="108" t="s">
        <v>1834</v>
      </c>
      <c r="F8" s="109" t="s">
        <v>44</v>
      </c>
      <c r="G8" s="108" t="s">
        <v>45</v>
      </c>
      <c r="H8" s="108" t="b">
        <v>1</v>
      </c>
      <c r="I8" s="108" t="b">
        <v>1</v>
      </c>
      <c r="J8" s="108">
        <v>10</v>
      </c>
      <c r="K8" s="108">
        <f>VLOOKUP($A8,쿼리1[[ID]:[열1]],3,FALSE)</f>
        <v>10</v>
      </c>
      <c r="L8" s="108" t="str">
        <f>$A8&amp;".attack0"&amp;RIGHT(L$1,1)</f>
        <v>1111401001.attack01</v>
      </c>
      <c r="M8" s="108" t="str">
        <f>$A8&amp;".attack0"&amp;RIGHT(M$1,1)</f>
        <v>1111401001.attack02</v>
      </c>
      <c r="N8" s="108" t="str">
        <f>$A8&amp;".attack0"&amp;RIGHT(N$1,1)</f>
        <v>1111401001.attack03</v>
      </c>
      <c r="O8" s="175" t="str">
        <f>$A8&amp;".skill0"&amp;RIGHT(O$1,1)</f>
        <v>1111401001.skill01</v>
      </c>
      <c r="P8" s="110" t="str">
        <f t="shared" ref="P8:Q8" si="0">$A8&amp;".skill0"&amp;RIGHT(P$1,1)</f>
        <v>1111401001.skill02</v>
      </c>
      <c r="Q8" s="110" t="str">
        <f t="shared" si="0"/>
        <v>1111401001.skill03</v>
      </c>
      <c r="R8" s="110" t="s">
        <v>1209</v>
      </c>
      <c r="S8" s="110" t="s">
        <v>1208</v>
      </c>
      <c r="T8" s="110"/>
      <c r="U8" s="110"/>
      <c r="V8" s="108" t="b">
        <v>0</v>
      </c>
      <c r="W8" s="108" t="str">
        <f>"Character/Prefabs/"&amp;VLOOKUP($C8,'#Data'!$B$3:$I$344,8,FALSE)</f>
        <v>Character/Prefabs/m_boss_ranger_marionne_1</v>
      </c>
      <c r="X8" s="108"/>
      <c r="Y8" s="108" t="str">
        <f>VLOOKUP($C8,'#Data'!$B$3:$I$344,8,FALSE)</f>
        <v>m_boss_ranger_marionne_1</v>
      </c>
      <c r="Z8" s="108"/>
      <c r="AA8" s="108"/>
      <c r="AB8" s="108" t="s">
        <v>226</v>
      </c>
      <c r="AC8" s="111">
        <v>1</v>
      </c>
      <c r="AD8" s="108"/>
      <c r="AE8" s="108" t="s">
        <v>1854</v>
      </c>
      <c r="AF8" s="108" t="s">
        <v>1855</v>
      </c>
      <c r="AG8" s="173" t="s">
        <v>2104</v>
      </c>
    </row>
    <row r="9" spans="1:33" x14ac:dyDescent="0.3">
      <c r="A9" s="108">
        <v>1111401002</v>
      </c>
      <c r="B9" s="108" t="s">
        <v>1206</v>
      </c>
      <c r="C9" s="108" t="s">
        <v>1856</v>
      </c>
      <c r="D9" s="108" t="str">
        <f>"Monster.Name."&amp;VLOOKUP($C9,'#Data'!$B$2:$J$344,2,FALSE)</f>
        <v>Monster.Name.marionne_puppet_1</v>
      </c>
      <c r="E9" s="108" t="s">
        <v>43</v>
      </c>
      <c r="F9" s="109" t="s">
        <v>44</v>
      </c>
      <c r="G9" s="108" t="s">
        <v>45</v>
      </c>
      <c r="H9" s="108" t="b">
        <v>0</v>
      </c>
      <c r="I9" s="108" t="b">
        <v>0</v>
      </c>
      <c r="J9" s="108">
        <v>10</v>
      </c>
      <c r="K9" s="108">
        <f>VLOOKUP($A9,쿼리1[[ID]:[열1]],3,FALSE)</f>
        <v>10</v>
      </c>
      <c r="L9" s="108" t="str">
        <f>$A9&amp;".attack0"&amp;RIGHT(L$1,1)</f>
        <v>1111401002.attack01</v>
      </c>
      <c r="M9" s="108"/>
      <c r="N9" s="108"/>
      <c r="O9" s="175" t="s">
        <v>1210</v>
      </c>
      <c r="P9" s="110"/>
      <c r="Q9" s="110"/>
      <c r="R9" s="110"/>
      <c r="S9" s="110"/>
      <c r="T9" s="110"/>
      <c r="U9" s="110"/>
      <c r="V9" s="108" t="b">
        <v>0</v>
      </c>
      <c r="W9" s="108" t="str">
        <f>"Character/Prefabs/"&amp;VLOOKUP($C9,'#Data'!$B$3:$I$344,8,FALSE)</f>
        <v>Character/Prefabs/m_m_attacker_marionne_puppet_1</v>
      </c>
      <c r="X9" s="108"/>
      <c r="Y9" s="108" t="str">
        <f>VLOOKUP($C9,'#Data'!$B$3:$I$344,8,FALSE)</f>
        <v>m_m_attacker_marionne_puppet_1</v>
      </c>
      <c r="Z9" s="108"/>
      <c r="AA9" s="108"/>
      <c r="AB9" s="108" t="s">
        <v>226</v>
      </c>
      <c r="AC9" s="111">
        <v>1</v>
      </c>
      <c r="AD9" s="108"/>
      <c r="AE9" s="108"/>
      <c r="AF9" s="108"/>
      <c r="AG9" s="173" t="s">
        <v>2104</v>
      </c>
    </row>
    <row r="10" spans="1:33" x14ac:dyDescent="0.3">
      <c r="A10" s="108">
        <v>1111401003</v>
      </c>
      <c r="B10" s="108" t="s">
        <v>1206</v>
      </c>
      <c r="C10" s="108" t="s">
        <v>1856</v>
      </c>
      <c r="D10" s="108" t="str">
        <f>"Monster.Name."&amp;VLOOKUP($C10,'#Data'!$B$2:$J$344,2,FALSE)</f>
        <v>Monster.Name.marionne_puppet_1</v>
      </c>
      <c r="E10" s="108" t="s">
        <v>43</v>
      </c>
      <c r="F10" s="109" t="s">
        <v>44</v>
      </c>
      <c r="G10" s="108" t="s">
        <v>45</v>
      </c>
      <c r="H10" s="108" t="b">
        <v>0</v>
      </c>
      <c r="I10" s="108" t="b">
        <v>0</v>
      </c>
      <c r="J10" s="108">
        <v>10</v>
      </c>
      <c r="K10" s="108">
        <f>VLOOKUP($A10,쿼리1[[ID]:[열1]],3,FALSE)</f>
        <v>10</v>
      </c>
      <c r="L10" s="108" t="str">
        <f t="shared" ref="L10" si="1">$A10&amp;".attack0"&amp;RIGHT(L$1,1)</f>
        <v>1111401003.attack01</v>
      </c>
      <c r="M10" s="108"/>
      <c r="N10" s="108"/>
      <c r="O10" s="175" t="s">
        <v>1875</v>
      </c>
      <c r="P10" s="110"/>
      <c r="Q10" s="110"/>
      <c r="R10" s="110"/>
      <c r="S10" s="110"/>
      <c r="T10" s="110"/>
      <c r="U10" s="110"/>
      <c r="V10" s="108" t="b">
        <v>0</v>
      </c>
      <c r="W10" s="108" t="str">
        <f>"Character/Prefabs/"&amp;VLOOKUP($C10,'#Data'!$B$3:$I$344,8,FALSE)</f>
        <v>Character/Prefabs/m_m_attacker_marionne_puppet_1</v>
      </c>
      <c r="X10" s="108"/>
      <c r="Y10" s="108" t="str">
        <f>VLOOKUP($C10,'#Data'!$B$3:$I$344,8,FALSE)</f>
        <v>m_m_attacker_marionne_puppet_1</v>
      </c>
      <c r="Z10" s="108"/>
      <c r="AA10" s="108"/>
      <c r="AB10" s="108" t="s">
        <v>226</v>
      </c>
      <c r="AC10" s="111">
        <v>1</v>
      </c>
      <c r="AD10" s="108"/>
      <c r="AE10" s="108"/>
      <c r="AF10" s="108"/>
      <c r="AG10" s="173" t="s">
        <v>2104</v>
      </c>
    </row>
    <row r="11" spans="1:33" x14ac:dyDescent="0.3">
      <c r="A11" s="108">
        <v>1111401004</v>
      </c>
      <c r="B11" s="108" t="s">
        <v>1206</v>
      </c>
      <c r="C11" s="108" t="s">
        <v>1856</v>
      </c>
      <c r="D11" s="108" t="str">
        <f>"Monster.Name."&amp;VLOOKUP($C11,'#Data'!$B$2:$J$344,2,FALSE)</f>
        <v>Monster.Name.marionne_puppet_1</v>
      </c>
      <c r="E11" s="108" t="s">
        <v>43</v>
      </c>
      <c r="F11" s="109" t="s">
        <v>44</v>
      </c>
      <c r="G11" s="108" t="s">
        <v>45</v>
      </c>
      <c r="H11" s="108" t="b">
        <v>0</v>
      </c>
      <c r="I11" s="108" t="b">
        <v>0</v>
      </c>
      <c r="J11" s="108">
        <v>10</v>
      </c>
      <c r="K11" s="108">
        <f>VLOOKUP($A11,쿼리1[[ID]:[열1]],3,FALSE)</f>
        <v>10</v>
      </c>
      <c r="L11" s="108"/>
      <c r="M11" s="108"/>
      <c r="N11" s="108"/>
      <c r="O11" s="175" t="str">
        <f>$A11&amp;".skill0"&amp;RIGHT(O$1,1)</f>
        <v>1111401004.skill01</v>
      </c>
      <c r="P11" s="110" t="s">
        <v>1963</v>
      </c>
      <c r="Q11" s="110"/>
      <c r="R11" s="110"/>
      <c r="S11" s="110"/>
      <c r="T11" s="110"/>
      <c r="U11" s="110"/>
      <c r="V11" s="108" t="b">
        <v>0</v>
      </c>
      <c r="W11" s="108" t="str">
        <f>"Character/Prefabs/"&amp;VLOOKUP($C11,'#Data'!$B$3:$I$344,8,FALSE)</f>
        <v>Character/Prefabs/m_m_attacker_marionne_puppet_1</v>
      </c>
      <c r="X11" s="108"/>
      <c r="Y11" s="108" t="str">
        <f>VLOOKUP($C11,'#Data'!$B$3:$I$344,8,FALSE)</f>
        <v>m_m_attacker_marionne_puppet_1</v>
      </c>
      <c r="Z11" s="108"/>
      <c r="AA11" s="108"/>
      <c r="AB11" s="108" t="s">
        <v>226</v>
      </c>
      <c r="AC11" s="111">
        <v>1</v>
      </c>
      <c r="AD11" s="108"/>
      <c r="AE11" s="108"/>
      <c r="AF11" s="108"/>
      <c r="AG11" s="173" t="s">
        <v>2104</v>
      </c>
    </row>
    <row r="12" spans="1:33" x14ac:dyDescent="0.3">
      <c r="A12" s="108">
        <v>1111401005</v>
      </c>
      <c r="B12" s="108" t="s">
        <v>1206</v>
      </c>
      <c r="C12" s="108" t="s">
        <v>1961</v>
      </c>
      <c r="D12" s="108"/>
      <c r="E12" s="108" t="s">
        <v>58</v>
      </c>
      <c r="F12" s="109" t="s">
        <v>44</v>
      </c>
      <c r="G12" s="108" t="b">
        <v>1</v>
      </c>
      <c r="H12" s="108" t="s">
        <v>477</v>
      </c>
      <c r="I12" s="108" t="s">
        <v>477</v>
      </c>
      <c r="J12" s="108">
        <v>10</v>
      </c>
      <c r="K12" s="108">
        <v>10</v>
      </c>
      <c r="L12" s="108"/>
      <c r="M12" s="108"/>
      <c r="N12" s="108"/>
      <c r="O12" s="175"/>
      <c r="P12" s="110"/>
      <c r="Q12" s="110"/>
      <c r="R12" s="110"/>
      <c r="S12" s="110"/>
      <c r="T12" s="110"/>
      <c r="U12" s="110"/>
      <c r="V12" s="108" t="b">
        <v>1</v>
      </c>
      <c r="W12" s="108" t="s">
        <v>1960</v>
      </c>
      <c r="X12" s="108"/>
      <c r="Y12" s="108"/>
      <c r="Z12" s="108"/>
      <c r="AA12" s="108"/>
      <c r="AB12" s="108" t="s">
        <v>226</v>
      </c>
      <c r="AC12" s="111">
        <v>0.9</v>
      </c>
      <c r="AD12" s="108"/>
      <c r="AE12" s="108"/>
      <c r="AF12" s="108"/>
      <c r="AG12" s="173" t="s">
        <v>2104</v>
      </c>
    </row>
    <row r="13" spans="1:33" x14ac:dyDescent="0.3">
      <c r="A13" s="41">
        <v>1110501001</v>
      </c>
      <c r="B13" s="41" t="s">
        <v>247</v>
      </c>
      <c r="C13" s="41" t="s">
        <v>255</v>
      </c>
      <c r="D13" s="41" t="str">
        <f>"Monster.Name."&amp;VLOOKUP($C13,'#Data'!$B$2:$J$344,2,FALSE)</f>
        <v>Monster.Name.kara_1</v>
      </c>
      <c r="E13" s="41" t="str">
        <f>VLOOKUP(C13,'#Data'!$B:$I, 6,FALSE)</f>
        <v>Attacker</v>
      </c>
      <c r="F13" s="42" t="s">
        <v>44</v>
      </c>
      <c r="G13" s="41" t="s">
        <v>45</v>
      </c>
      <c r="H13" s="41" t="b">
        <v>1</v>
      </c>
      <c r="I13" s="41" t="b">
        <v>1</v>
      </c>
      <c r="J13" s="41">
        <v>20</v>
      </c>
      <c r="K13" s="41">
        <f>VLOOKUP($A13,쿼리1[[ID]:[열1]],3,FALSE)</f>
        <v>10</v>
      </c>
      <c r="L13" s="41" t="str">
        <f>$B13&amp;"."&amp;VLOOKUP($C13,'#Data'!$B$2:$J$344,2,FALSE)&amp;".attack0"&amp;RIGHT(L$1,1)</f>
        <v>Raid1001.kara_1.attack01</v>
      </c>
      <c r="M13" s="41" t="str">
        <f>$B13&amp;"."&amp;VLOOKUP($C13,'#Data'!$B$2:$J$344,2,FALSE)&amp;".attack0"&amp;RIGHT(M$1,1)</f>
        <v>Raid1001.kara_1.attack02</v>
      </c>
      <c r="N13" s="41"/>
      <c r="O13" s="176" t="str">
        <f>$B13&amp;"."&amp;VLOOKUP($C13,'#Data'!$B$2:$J$344,2,FALSE)&amp;".skill0"&amp;RIGHT(O$1,1)</f>
        <v>Raid1001.kara_1.skill01</v>
      </c>
      <c r="P13" s="43" t="str">
        <f>$B13&amp;"."&amp;VLOOKUP($C13,'#Data'!$B$2:$J$344,2,FALSE)&amp;".skill0"&amp;RIGHT(P$1,1)</f>
        <v>Raid1001.kara_1.skill02</v>
      </c>
      <c r="Q13" s="43" t="str">
        <f>$B13&amp;"."&amp;VLOOKUP($C13,'#Data'!$B$2:$J$344,2,FALSE)&amp;".skill0"&amp;RIGHT(Q$1,1)</f>
        <v>Raid1001.kara_1.skill03</v>
      </c>
      <c r="R13" s="43" t="str">
        <f>$B13&amp;"."&amp;VLOOKUP($C13,'#Data'!$B$2:$J$344,2,FALSE)&amp;".skill0"&amp;RIGHT(R$1,1)</f>
        <v>Raid1001.kara_1.skill04</v>
      </c>
      <c r="S13" s="43" t="s">
        <v>3797</v>
      </c>
      <c r="T13" s="43"/>
      <c r="U13" s="43"/>
      <c r="V13" s="41" t="b">
        <v>0</v>
      </c>
      <c r="W13" s="41" t="str">
        <f>"Character/Prefabs/"&amp;VLOOKUP($C13,'#Data'!$B$3:$I$344,8,FALSE)</f>
        <v>Character/Prefabs/m_boss_attacker_kara_1</v>
      </c>
      <c r="X13" s="41"/>
      <c r="Y13" s="41" t="str">
        <f>VLOOKUP($C13,'#Data'!$B$3:$I$344,8,FALSE)</f>
        <v>m_boss_attacker_kara_1</v>
      </c>
      <c r="Z13" s="41"/>
      <c r="AA13" s="41"/>
      <c r="AB13" s="41"/>
      <c r="AC13" s="90">
        <v>1.7</v>
      </c>
      <c r="AD13" s="41"/>
      <c r="AE13" s="41" t="s">
        <v>3802</v>
      </c>
      <c r="AF13" s="41" t="s">
        <v>256</v>
      </c>
      <c r="AG13" s="173" t="s">
        <v>2104</v>
      </c>
    </row>
    <row r="14" spans="1:33" x14ac:dyDescent="0.3">
      <c r="A14" s="41">
        <v>1110501002</v>
      </c>
      <c r="B14" s="41" t="s">
        <v>247</v>
      </c>
      <c r="C14" s="41" t="s">
        <v>3790</v>
      </c>
      <c r="D14" s="41" t="str">
        <f>"Monster.Name."&amp;VLOOKUP($C14,'#Data'!$B$2:$J$344,2,FALSE)</f>
        <v>Monster.Name.kara_2</v>
      </c>
      <c r="E14" s="41" t="str">
        <f>VLOOKUP(C14,'#Data'!$B:$I, 6,FALSE)</f>
        <v>Attacker</v>
      </c>
      <c r="F14" s="42" t="s">
        <v>44</v>
      </c>
      <c r="G14" s="41" t="s">
        <v>45</v>
      </c>
      <c r="H14" s="41" t="b">
        <v>1</v>
      </c>
      <c r="I14" s="41" t="b">
        <v>1</v>
      </c>
      <c r="J14" s="41">
        <v>20</v>
      </c>
      <c r="K14" s="41">
        <f>VLOOKUP($A14,쿼리1[[ID]:[열1]],3,FALSE)</f>
        <v>10</v>
      </c>
      <c r="L14" s="41" t="str">
        <f>$B14&amp;"."&amp;VLOOKUP($C14,'#Data'!$B$2:$J$344,2,FALSE)&amp;".attack0"&amp;RIGHT(L$1,1)</f>
        <v>Raid1001.kara_2.attack01</v>
      </c>
      <c r="M14" s="41" t="str">
        <f>$B14&amp;"."&amp;VLOOKUP($C14,'#Data'!$B$2:$J$344,2,FALSE)&amp;".attack0"&amp;RIGHT(M$1,1)</f>
        <v>Raid1001.kara_2.attack02</v>
      </c>
      <c r="N14" s="41"/>
      <c r="O14" s="176" t="str">
        <f>$B14&amp;"."&amp;VLOOKUP($C14,'#Data'!$B$2:$J$344,2,FALSE)&amp;".skill0"&amp;RIGHT(O$1,1)</f>
        <v>Raid1001.kara_2.skill01</v>
      </c>
      <c r="P14" s="43" t="str">
        <f>$B14&amp;"."&amp;VLOOKUP($C14,'#Data'!$B$2:$J$344,2,FALSE)&amp;".skill0"&amp;RIGHT(P$1,1)</f>
        <v>Raid1001.kara_2.skill02</v>
      </c>
      <c r="Q14" s="43" t="str">
        <f>$B14&amp;"."&amp;VLOOKUP($C14,'#Data'!$B$2:$J$344,2,FALSE)&amp;".skill0"&amp;RIGHT(Q$1,1)</f>
        <v>Raid1001.kara_2.skill03</v>
      </c>
      <c r="R14" s="43" t="str">
        <f>$B14&amp;"."&amp;VLOOKUP($C14,'#Data'!$B$2:$J$344,2,FALSE)&amp;".skill0"&amp;RIGHT(R$1,1)</f>
        <v>Raid1001.kara_2.skill04</v>
      </c>
      <c r="S14" s="43" t="s">
        <v>3798</v>
      </c>
      <c r="T14" s="43"/>
      <c r="U14" s="43"/>
      <c r="V14" s="41" t="b">
        <v>0</v>
      </c>
      <c r="W14" s="41" t="str">
        <f>"Character/Prefabs/"&amp;VLOOKUP($C14,'#Data'!$B$3:$I$344,8,FALSE)</f>
        <v>Character/Prefabs/m_boss_attacker_kara_2</v>
      </c>
      <c r="X14" s="41"/>
      <c r="Y14" s="41" t="str">
        <f>VLOOKUP($C14,'#Data'!$B$3:$I$344,8,FALSE)</f>
        <v>m_boss_attacker_kara_2</v>
      </c>
      <c r="Z14" s="41"/>
      <c r="AA14" s="41"/>
      <c r="AB14" s="41"/>
      <c r="AC14" s="90">
        <v>1.7</v>
      </c>
      <c r="AD14" s="41"/>
      <c r="AE14" s="41" t="s">
        <v>3795</v>
      </c>
      <c r="AF14" s="41" t="s">
        <v>3796</v>
      </c>
      <c r="AG14" s="173" t="s">
        <v>2104</v>
      </c>
    </row>
    <row r="15" spans="1:33" x14ac:dyDescent="0.3">
      <c r="A15" s="41">
        <v>1110502001</v>
      </c>
      <c r="B15" s="41" t="s">
        <v>254</v>
      </c>
      <c r="C15" s="41" t="s">
        <v>3794</v>
      </c>
      <c r="D15" s="41" t="str">
        <f>"Monster.Name."&amp;VLOOKUP($C15,'#Data'!$B$2:$J$344,2,FALSE)</f>
        <v>Monster.Name.barnacle_builder_1</v>
      </c>
      <c r="E15" s="41" t="str">
        <f>VLOOKUP(C15,'#Data'!$B:$I, 6,FALSE)</f>
        <v>Tanker</v>
      </c>
      <c r="F15" s="42" t="s">
        <v>44</v>
      </c>
      <c r="G15" s="41" t="s">
        <v>45</v>
      </c>
      <c r="H15" s="41" t="b">
        <v>1</v>
      </c>
      <c r="I15" s="41" t="b">
        <v>1</v>
      </c>
      <c r="J15" s="41">
        <v>20</v>
      </c>
      <c r="K15" s="41">
        <f>VLOOKUP($A15,쿼리1[[ID]:[열1]],3,FALSE)</f>
        <v>10</v>
      </c>
      <c r="L15" s="41" t="str">
        <f>$B15&amp;"."&amp;VLOOKUP($C15,'#Data'!$B$2:$J$344,2,FALSE)&amp;".attack0"&amp;RIGHT(L$1,1)</f>
        <v>Raid2001.barnacle_builder_1.attack01</v>
      </c>
      <c r="M15" s="41" t="str">
        <f>$B15&amp;"."&amp;VLOOKUP($C15,'#Data'!$B$2:$J$344,2,FALSE)&amp;".attack0"&amp;RIGHT(M$1,1)</f>
        <v>Raid2001.barnacle_builder_1.attack02</v>
      </c>
      <c r="N15" s="41"/>
      <c r="O15" s="176" t="str">
        <f>$B15&amp;"."&amp;VLOOKUP($C15,'#Data'!$B$2:$J$344,2,FALSE)&amp;".skill0"&amp;RIGHT(O$1,1)</f>
        <v>Raid2001.barnacle_builder_1.skill01</v>
      </c>
      <c r="P15" s="43" t="str">
        <f>$B15&amp;"."&amp;VLOOKUP($C15,'#Data'!$B$2:$J$344,2,FALSE)&amp;".skill0"&amp;RIGHT(P$1,1)</f>
        <v>Raid2001.barnacle_builder_1.skill02</v>
      </c>
      <c r="Q15" s="43" t="str">
        <f>$B15&amp;"."&amp;VLOOKUP($C15,'#Data'!$B$2:$J$344,2,FALSE)&amp;".skill0"&amp;RIGHT(Q$1,1)</f>
        <v>Raid2001.barnacle_builder_1.skill03</v>
      </c>
      <c r="R15" s="43" t="s">
        <v>3799</v>
      </c>
      <c r="S15" s="43" t="s">
        <v>76</v>
      </c>
      <c r="T15" s="43"/>
      <c r="U15" s="43"/>
      <c r="V15" s="41" t="b">
        <v>0</v>
      </c>
      <c r="W15" s="41" t="str">
        <f>"Character/Prefabs/"&amp;VLOOKUP($C15,'#Data'!$B$3:$I$344,8,FALSE)</f>
        <v>Character/Prefabs/m_boss_tanker_barnacle_builder_1</v>
      </c>
      <c r="X15" s="41"/>
      <c r="Y15" s="41" t="str">
        <f>VLOOKUP($C15,'#Data'!$B$3:$I$344,8,FALSE)</f>
        <v>m_boss_tanker_barnacle_builder_1</v>
      </c>
      <c r="Z15" s="41"/>
      <c r="AA15" s="41"/>
      <c r="AB15" s="41"/>
      <c r="AC15" s="90">
        <v>1</v>
      </c>
      <c r="AD15" s="41"/>
      <c r="AE15" s="41" t="s">
        <v>2801</v>
      </c>
      <c r="AF15" s="41" t="s">
        <v>2802</v>
      </c>
      <c r="AG15" s="173" t="s">
        <v>2104</v>
      </c>
    </row>
    <row r="16" spans="1:33" x14ac:dyDescent="0.3">
      <c r="A16" s="41">
        <v>1110503001</v>
      </c>
      <c r="B16" s="41" t="s">
        <v>3791</v>
      </c>
      <c r="C16" s="41" t="s">
        <v>2732</v>
      </c>
      <c r="D16" s="41" t="str">
        <f>"Monster.Name."&amp;VLOOKUP($C16,'#Data'!$B$2:$J$344,2,FALSE)</f>
        <v>Monster.Name.mindloader_1</v>
      </c>
      <c r="E16" s="41" t="str">
        <f>VLOOKUP(C16,'#Data'!$B:$I, 6,FALSE)</f>
        <v>Attacker</v>
      </c>
      <c r="F16" s="42" t="s">
        <v>44</v>
      </c>
      <c r="G16" s="41" t="s">
        <v>45</v>
      </c>
      <c r="H16" s="41" t="b">
        <v>1</v>
      </c>
      <c r="I16" s="41" t="b">
        <v>1</v>
      </c>
      <c r="J16" s="41">
        <v>20</v>
      </c>
      <c r="K16" s="41">
        <v>10</v>
      </c>
      <c r="L16" s="41" t="str">
        <f>$B16&amp;"."&amp;VLOOKUP($C16,'#Data'!$B$2:$J$344,2,FALSE)&amp;".attack0"&amp;RIGHT(L$1,1)</f>
        <v>Raid3001.mindloader_1.attack01</v>
      </c>
      <c r="M16" s="41" t="str">
        <f>$B16&amp;"."&amp;VLOOKUP($C16,'#Data'!$B$2:$J$344,2,FALSE)&amp;".attack0"&amp;RIGHT(M$1,1)</f>
        <v>Raid3001.mindloader_1.attack02</v>
      </c>
      <c r="N16" s="41"/>
      <c r="O16" s="176" t="str">
        <f>$B16&amp;"."&amp;VLOOKUP($C16,'#Data'!$B$2:$J$344,2,FALSE)&amp;".skill0"&amp;RIGHT(O$1,1)</f>
        <v>Raid3001.mindloader_1.skill01</v>
      </c>
      <c r="P16" s="43" t="str">
        <f>$B16&amp;"."&amp;VLOOKUP($C16,'#Data'!$B$2:$J$344,2,FALSE)&amp;".skill0"&amp;RIGHT(P$1,1)</f>
        <v>Raid3001.mindloader_1.skill02</v>
      </c>
      <c r="Q16" s="43" t="str">
        <f>$B16&amp;"."&amp;VLOOKUP($C16,'#Data'!$B$2:$J$344,2,FALSE)&amp;".skill0"&amp;RIGHT(Q$1,1)</f>
        <v>Raid3001.mindloader_1.skill03</v>
      </c>
      <c r="R16" s="43" t="str">
        <f>$B16&amp;"."&amp;VLOOKUP($C16,'#Data'!$B$2:$J$344,2,FALSE)&amp;".skill0"&amp;RIGHT(R$1,1)</f>
        <v>Raid3001.mindloader_1.skill04</v>
      </c>
      <c r="S16" s="43" t="s">
        <v>3800</v>
      </c>
      <c r="T16" s="43"/>
      <c r="U16" s="43"/>
      <c r="V16" s="41" t="b">
        <v>0</v>
      </c>
      <c r="W16" s="41" t="str">
        <f>"Character/Prefabs/"&amp;VLOOKUP($C16,'#Data'!$B$3:$I$344,8,FALSE)</f>
        <v>Character/Prefabs/m_boss_attacker_mindloader_1</v>
      </c>
      <c r="X16" s="41"/>
      <c r="Y16" s="41" t="str">
        <f>VLOOKUP($C16,'#Data'!$B$3:$I$344,8,FALSE)</f>
        <v>m_boss_attacker_mindloader_1</v>
      </c>
      <c r="Z16" s="41"/>
      <c r="AA16" s="41"/>
      <c r="AB16" s="41"/>
      <c r="AC16" s="90">
        <v>1.5</v>
      </c>
      <c r="AD16" s="41"/>
      <c r="AE16" s="41" t="s">
        <v>2803</v>
      </c>
      <c r="AF16" s="41" t="s">
        <v>2804</v>
      </c>
      <c r="AG16" s="173" t="s">
        <v>2104</v>
      </c>
    </row>
    <row r="17" spans="1:33" x14ac:dyDescent="0.3">
      <c r="A17" s="41">
        <v>1110504001</v>
      </c>
      <c r="B17" s="41" t="s">
        <v>3793</v>
      </c>
      <c r="C17" s="41" t="s">
        <v>248</v>
      </c>
      <c r="D17" s="41" t="str">
        <f>"Monster.Name."&amp;VLOOKUP($C17,'#Data'!$B$2:$J$344,2,FALSE)</f>
        <v>Monster.Name.gigantooth_1</v>
      </c>
      <c r="E17" s="41" t="str">
        <f>VLOOKUP(C17,'#Data'!$B:$I, 6,FALSE)</f>
        <v>Attacker</v>
      </c>
      <c r="F17" s="42" t="s">
        <v>44</v>
      </c>
      <c r="G17" s="41" t="s">
        <v>45</v>
      </c>
      <c r="H17" s="41" t="b">
        <v>1</v>
      </c>
      <c r="I17" s="41" t="b">
        <v>1</v>
      </c>
      <c r="J17" s="41">
        <v>20</v>
      </c>
      <c r="K17" s="41">
        <v>10</v>
      </c>
      <c r="L17" s="41" t="str">
        <f>$B17&amp;"."&amp;VLOOKUP($C17,'#Data'!$B$2:$J$344,2,FALSE)&amp;".attack0"&amp;RIGHT(L$1,1)</f>
        <v>Raid4001.gigantooth_1.attack01</v>
      </c>
      <c r="M17" s="41" t="str">
        <f>$B17&amp;"."&amp;VLOOKUP($C17,'#Data'!$B$2:$J$344,2,FALSE)&amp;".attack0"&amp;RIGHT(M$1,1)</f>
        <v>Raid4001.gigantooth_1.attack02</v>
      </c>
      <c r="N17" s="41"/>
      <c r="O17" s="176" t="str">
        <f>$B17&amp;"."&amp;VLOOKUP($C17,'#Data'!$B$2:$J$344,2,FALSE)&amp;".skill0"&amp;RIGHT(O$1,1)</f>
        <v>Raid4001.gigantooth_1.skill01</v>
      </c>
      <c r="P17" s="43" t="str">
        <f>$B17&amp;"."&amp;VLOOKUP($C17,'#Data'!$B$2:$J$344,2,FALSE)&amp;".skill0"&amp;RIGHT(P$1,1)</f>
        <v>Raid4001.gigantooth_1.skill02</v>
      </c>
      <c r="Q17" s="43" t="str">
        <f>$B17&amp;"."&amp;VLOOKUP($C17,'#Data'!$B$2:$J$344,2,FALSE)&amp;".skill0"&amp;RIGHT(Q$1,1)</f>
        <v>Raid4001.gigantooth_1.skill03</v>
      </c>
      <c r="R17" s="43" t="str">
        <f>$B17&amp;"."&amp;VLOOKUP($C17,'#Data'!$B$2:$J$344,2,FALSE)&amp;".skill0"&amp;RIGHT(R$1,1)</f>
        <v>Raid4001.gigantooth_1.skill04</v>
      </c>
      <c r="S17" s="43" t="s">
        <v>3801</v>
      </c>
      <c r="T17" s="43"/>
      <c r="U17" s="43"/>
      <c r="V17" s="41" t="b">
        <v>0</v>
      </c>
      <c r="W17" s="41" t="str">
        <f>"Character/Prefabs/"&amp;VLOOKUP($C17,'#Data'!$B$3:$I$344,8,FALSE)</f>
        <v>Character/Prefabs/m_boss_attacker_gigantooth_1</v>
      </c>
      <c r="X17" s="41"/>
      <c r="Y17" s="41" t="str">
        <f>VLOOKUP($C17,'#Data'!$B$3:$I$344,8,FALSE)</f>
        <v>m_boss_attacker_gigantooth_1</v>
      </c>
      <c r="Z17" s="41"/>
      <c r="AA17" s="41"/>
      <c r="AB17" s="41"/>
      <c r="AC17" s="90">
        <v>0.9</v>
      </c>
      <c r="AD17" s="41"/>
      <c r="AE17" s="41" t="s">
        <v>249</v>
      </c>
      <c r="AF17" s="41" t="s">
        <v>250</v>
      </c>
      <c r="AG17" s="173" t="s">
        <v>2104</v>
      </c>
    </row>
    <row r="18" spans="1:33" x14ac:dyDescent="0.3">
      <c r="A18" s="41">
        <v>1110504002</v>
      </c>
      <c r="B18" s="41" t="s">
        <v>3792</v>
      </c>
      <c r="C18" s="41" t="s">
        <v>251</v>
      </c>
      <c r="D18" s="41" t="str">
        <f>"Monster.Name."&amp;VLOOKUP($C18,'#Data'!$B$2:$J$344,2,FALSE)</f>
        <v>Monster.Name.gigantooth_2</v>
      </c>
      <c r="E18" s="41" t="str">
        <f>VLOOKUP(C18,'#Data'!$B:$I, 6,FALSE)</f>
        <v>Attacker</v>
      </c>
      <c r="F18" s="42" t="s">
        <v>44</v>
      </c>
      <c r="G18" s="41" t="s">
        <v>45</v>
      </c>
      <c r="H18" s="41" t="b">
        <v>1</v>
      </c>
      <c r="I18" s="41" t="b">
        <v>1</v>
      </c>
      <c r="J18" s="41">
        <v>20</v>
      </c>
      <c r="K18" s="41">
        <v>10</v>
      </c>
      <c r="L18" s="41" t="str">
        <f>$B18&amp;"."&amp;VLOOKUP($C18,'#Data'!$B$2:$J$344,2,FALSE)&amp;".attack0"&amp;RIGHT(L$1,1)</f>
        <v>Raid4001.gigantooth_2.attack01</v>
      </c>
      <c r="M18" s="41" t="str">
        <f>$B18&amp;"."&amp;VLOOKUP($C18,'#Data'!$B$2:$J$344,2,FALSE)&amp;".attack0"&amp;RIGHT(M$1,1)</f>
        <v>Raid4001.gigantooth_2.attack02</v>
      </c>
      <c r="N18" s="41"/>
      <c r="O18" s="176" t="str">
        <f>$B18&amp;"."&amp;VLOOKUP($C18,'#Data'!$B$2:$J$344,2,FALSE)&amp;".skill0"&amp;RIGHT(O$1,1)</f>
        <v>Raid4001.gigantooth_2.skill01</v>
      </c>
      <c r="P18" s="43" t="str">
        <f>$B18&amp;"."&amp;VLOOKUP($C18,'#Data'!$B$2:$J$344,2,FALSE)&amp;".skill0"&amp;RIGHT(P$1,1)</f>
        <v>Raid4001.gigantooth_2.skill02</v>
      </c>
      <c r="Q18" s="43" t="str">
        <f>$B18&amp;"."&amp;VLOOKUP($C18,'#Data'!$B$2:$J$344,2,FALSE)&amp;".skill0"&amp;RIGHT(Q$1,1)</f>
        <v>Raid4001.gigantooth_2.skill03</v>
      </c>
      <c r="R18" s="43" t="str">
        <f>$B18&amp;"."&amp;VLOOKUP($C18,'#Data'!$B$2:$J$344,2,FALSE)&amp;".skill0"&amp;RIGHT(R$1,1)</f>
        <v>Raid4001.gigantooth_2.skill04</v>
      </c>
      <c r="S18" s="43" t="s">
        <v>3803</v>
      </c>
      <c r="T18" s="43"/>
      <c r="U18" s="43"/>
      <c r="V18" s="41" t="b">
        <v>0</v>
      </c>
      <c r="W18" s="41" t="str">
        <f>"Character/Prefabs/"&amp;VLOOKUP($C18,'#Data'!$B$3:$I$344,8,FALSE)</f>
        <v>Character/Prefabs/m_boss_attacker_gigantooth_2</v>
      </c>
      <c r="X18" s="41"/>
      <c r="Y18" s="41" t="str">
        <f>VLOOKUP($C18,'#Data'!$B$3:$I$344,8,FALSE)</f>
        <v>m_boss_attacker_gigantooth_2</v>
      </c>
      <c r="Z18" s="41"/>
      <c r="AA18" s="41"/>
      <c r="AB18" s="41"/>
      <c r="AC18" s="90">
        <v>0.9</v>
      </c>
      <c r="AD18" s="41"/>
      <c r="AE18" s="41" t="s">
        <v>252</v>
      </c>
      <c r="AF18" s="41" t="s">
        <v>253</v>
      </c>
      <c r="AG18" s="173" t="s">
        <v>2104</v>
      </c>
    </row>
    <row r="19" spans="1:33" x14ac:dyDescent="0.3">
      <c r="A19" s="12">
        <v>1111101001</v>
      </c>
      <c r="B19" s="12" t="s">
        <v>257</v>
      </c>
      <c r="C19" s="12" t="s">
        <v>258</v>
      </c>
      <c r="D19" s="76" t="s">
        <v>259</v>
      </c>
      <c r="E19" s="12" t="s">
        <v>47</v>
      </c>
      <c r="F19" s="39" t="s">
        <v>260</v>
      </c>
      <c r="G19" s="12" t="s">
        <v>45</v>
      </c>
      <c r="H19" s="12" t="b">
        <v>1</v>
      </c>
      <c r="I19" s="12" t="b">
        <v>1</v>
      </c>
      <c r="J19" s="12">
        <v>10</v>
      </c>
      <c r="K19" s="12">
        <f>VLOOKUP($A19,쿼리1[[ID]:[열1]],3,FALSE)</f>
        <v>10</v>
      </c>
      <c r="L19" s="12" t="s">
        <v>261</v>
      </c>
      <c r="M19" s="12" t="s">
        <v>262</v>
      </c>
      <c r="N19" s="12" t="s">
        <v>263</v>
      </c>
      <c r="O19" s="145" t="s">
        <v>264</v>
      </c>
      <c r="P19" s="40" t="s">
        <v>265</v>
      </c>
      <c r="Q19" s="40" t="s">
        <v>266</v>
      </c>
      <c r="R19" s="40"/>
      <c r="S19" s="40" t="s">
        <v>76</v>
      </c>
      <c r="T19" s="40" t="s">
        <v>267</v>
      </c>
      <c r="U19" s="40" t="s">
        <v>267</v>
      </c>
      <c r="V19" s="12" t="b">
        <v>1</v>
      </c>
      <c r="W19" s="12" t="str">
        <f t="shared" ref="W19" si="2">"Character/Prefabs/c_"&amp;LOWER(E19)&amp;"_"&amp;C19&amp;"_1"</f>
        <v>Character/Prefabs/c_ranger_freyja_1</v>
      </c>
      <c r="X19" s="12"/>
      <c r="Y19" s="12" t="str">
        <f t="shared" ref="Y19" si="3">"character_"&amp;C19&amp;"_01"</f>
        <v>character_freyja_01</v>
      </c>
      <c r="Z19" s="12" t="str">
        <f t="shared" ref="Z19" si="4">"Character/Timeline/01_CHA/ult_c_"&amp;LOWER(E19)&amp;"_"&amp;C19&amp;"_1"</f>
        <v>Character/Timeline/01_CHA/ult_c_ranger_freyja_1</v>
      </c>
      <c r="AA19" s="12" t="str">
        <f t="shared" ref="AA19" si="5">"Character/Timeline/01_CHA/victory_c_"&amp;LOWER(E19)&amp;"_"&amp;C19&amp;"_1"</f>
        <v>Character/Timeline/01_CHA/victory_c_ranger_freyja_1</v>
      </c>
      <c r="AB19" s="12"/>
      <c r="AC19" s="88">
        <v>1.4</v>
      </c>
      <c r="AD19" s="12"/>
      <c r="AE19" s="12"/>
      <c r="AF19" s="12"/>
      <c r="AG19" s="173" t="s">
        <v>2104</v>
      </c>
    </row>
    <row r="20" spans="1:33" x14ac:dyDescent="0.3">
      <c r="A20" s="12">
        <v>1111101002</v>
      </c>
      <c r="B20" s="12" t="s">
        <v>269</v>
      </c>
      <c r="C20" s="12" t="s">
        <v>270</v>
      </c>
      <c r="D20" s="76" t="s">
        <v>271</v>
      </c>
      <c r="E20" s="12" t="s">
        <v>47</v>
      </c>
      <c r="F20" s="39" t="s">
        <v>272</v>
      </c>
      <c r="G20" s="12" t="s">
        <v>45</v>
      </c>
      <c r="H20" s="12" t="b">
        <v>1</v>
      </c>
      <c r="I20" s="12" t="b">
        <v>1</v>
      </c>
      <c r="J20" s="12">
        <v>10</v>
      </c>
      <c r="K20" s="12">
        <f>VLOOKUP($A20,쿼리1[[ID]:[열1]],3,FALSE)</f>
        <v>10</v>
      </c>
      <c r="L20" s="12" t="s">
        <v>273</v>
      </c>
      <c r="M20" s="12" t="s">
        <v>274</v>
      </c>
      <c r="N20" s="12" t="s">
        <v>275</v>
      </c>
      <c r="O20" s="145" t="s">
        <v>276</v>
      </c>
      <c r="P20" s="40" t="s">
        <v>277</v>
      </c>
      <c r="Q20" s="40" t="s">
        <v>278</v>
      </c>
      <c r="R20" s="40"/>
      <c r="S20" s="40" t="s">
        <v>76</v>
      </c>
      <c r="T20" s="40" t="s">
        <v>279</v>
      </c>
      <c r="U20" s="40" t="s">
        <v>279</v>
      </c>
      <c r="V20" s="12" t="b">
        <v>1</v>
      </c>
      <c r="W20" s="12" t="s">
        <v>280</v>
      </c>
      <c r="X20" s="12"/>
      <c r="Y20" s="12" t="s">
        <v>281</v>
      </c>
      <c r="Z20" s="12" t="s">
        <v>282</v>
      </c>
      <c r="AA20" s="12" t="s">
        <v>283</v>
      </c>
      <c r="AB20" s="12"/>
      <c r="AC20" s="88">
        <v>1.4</v>
      </c>
      <c r="AD20" s="12"/>
      <c r="AE20" s="12"/>
      <c r="AF20" s="12"/>
      <c r="AG20" s="173" t="s">
        <v>2104</v>
      </c>
    </row>
    <row r="21" spans="1:33" x14ac:dyDescent="0.3">
      <c r="A21" s="12">
        <v>1111101003</v>
      </c>
      <c r="B21" s="12" t="s">
        <v>284</v>
      </c>
      <c r="C21" s="12" t="s">
        <v>285</v>
      </c>
      <c r="D21" s="76" t="s">
        <v>286</v>
      </c>
      <c r="E21" s="12" t="s">
        <v>43</v>
      </c>
      <c r="F21" s="39" t="s">
        <v>287</v>
      </c>
      <c r="G21" s="12" t="s">
        <v>45</v>
      </c>
      <c r="H21" s="12" t="b">
        <v>1</v>
      </c>
      <c r="I21" s="12" t="b">
        <v>1</v>
      </c>
      <c r="J21" s="12">
        <v>10</v>
      </c>
      <c r="K21" s="12">
        <f>VLOOKUP($A21,쿼리1[[ID]:[열1]],3,FALSE)</f>
        <v>10</v>
      </c>
      <c r="L21" s="12" t="s">
        <v>288</v>
      </c>
      <c r="M21" s="12" t="s">
        <v>289</v>
      </c>
      <c r="N21" s="12" t="s">
        <v>290</v>
      </c>
      <c r="O21" s="145" t="s">
        <v>291</v>
      </c>
      <c r="P21" s="40" t="s">
        <v>292</v>
      </c>
      <c r="Q21" s="40" t="s">
        <v>293</v>
      </c>
      <c r="R21" s="40"/>
      <c r="S21" s="40" t="s">
        <v>76</v>
      </c>
      <c r="T21" s="40" t="s">
        <v>294</v>
      </c>
      <c r="U21" s="40" t="s">
        <v>294</v>
      </c>
      <c r="V21" s="12" t="b">
        <v>1</v>
      </c>
      <c r="W21" s="12" t="s">
        <v>295</v>
      </c>
      <c r="X21" s="12"/>
      <c r="Y21" s="12" t="s">
        <v>296</v>
      </c>
      <c r="Z21" s="12" t="s">
        <v>297</v>
      </c>
      <c r="AA21" s="12" t="s">
        <v>298</v>
      </c>
      <c r="AB21" s="12"/>
      <c r="AC21" s="88">
        <v>1.4</v>
      </c>
      <c r="AD21" s="12"/>
      <c r="AE21" s="12"/>
      <c r="AF21" s="12"/>
      <c r="AG21" s="173" t="s">
        <v>2104</v>
      </c>
    </row>
    <row r="22" spans="1:33" x14ac:dyDescent="0.3">
      <c r="A22" s="81">
        <v>1111301001</v>
      </c>
      <c r="B22" s="81" t="s">
        <v>3768</v>
      </c>
      <c r="C22" s="81" t="s">
        <v>1831</v>
      </c>
      <c r="D22" s="81" t="str">
        <f>"Monster.Name."&amp;VLOOKUP($C22,'#Data'!$B$2:$J$344,2,FALSE)</f>
        <v>Monster.Name.gallius_1</v>
      </c>
      <c r="E22" s="81" t="str">
        <f>VLOOKUP($C22,'#Data'!$B$2:$J$249,6,FALSE)</f>
        <v>Tanker</v>
      </c>
      <c r="F22" s="82" t="s">
        <v>44</v>
      </c>
      <c r="G22" s="81" t="s">
        <v>45</v>
      </c>
      <c r="H22" s="81" t="b">
        <v>1</v>
      </c>
      <c r="I22" s="81" t="b">
        <v>1</v>
      </c>
      <c r="J22" s="81">
        <v>10</v>
      </c>
      <c r="K22" s="81">
        <f>VLOOKUP($A22,쿼리1[[ID]:[열1]],3,FALSE)</f>
        <v>10</v>
      </c>
      <c r="L22" s="81" t="str">
        <f>$B22&amp;"."&amp;VLOOKUP($C22,'#Data'!$B$2:$J$344,2,FALSE)&amp;".attack0"&amp;RIGHT(L$1,1)</f>
        <v>BossChallenge.gallius_1.attack01</v>
      </c>
      <c r="M22" s="81"/>
      <c r="N22" s="81"/>
      <c r="O22" s="177" t="str">
        <f>$B22&amp;"."&amp;VLOOKUP($C22,'#Data'!$B$2:$J$344,2,FALSE)&amp;".skill0"&amp;RIGHT(O$1,1)</f>
        <v>BossChallenge.gallius_1.skill01</v>
      </c>
      <c r="P22" s="83" t="str">
        <f>$B22&amp;"."&amp;VLOOKUP($C22,'#Data'!$B$2:$J$344,2,FALSE)&amp;".skill0"&amp;RIGHT(P$1,1)</f>
        <v>BossChallenge.gallius_1.skill02</v>
      </c>
      <c r="Q22" s="83" t="s">
        <v>3769</v>
      </c>
      <c r="R22" s="83"/>
      <c r="S22" s="83" t="s">
        <v>76</v>
      </c>
      <c r="T22" s="83"/>
      <c r="U22" s="83"/>
      <c r="V22" s="81" t="b">
        <v>0</v>
      </c>
      <c r="W22" s="81" t="str">
        <f>"Character/Prefabs/"&amp;VLOOKUP($C22,'#Data'!$B$3:$I$344,8,FALSE)</f>
        <v>Character/Prefabs/m_boss_tanker_gallius_1</v>
      </c>
      <c r="X22" s="81"/>
      <c r="Y22" s="81" t="str">
        <f>VLOOKUP($C22,'#Data'!$B$3:$I$344,8,FALSE)</f>
        <v>m_boss_tanker_gallius_1</v>
      </c>
      <c r="Z22" s="81"/>
      <c r="AA22" s="81"/>
      <c r="AB22" s="81"/>
      <c r="AC22" s="96">
        <v>1.3</v>
      </c>
      <c r="AD22" s="81"/>
      <c r="AE22" s="81" t="s">
        <v>77</v>
      </c>
      <c r="AF22" s="81" t="s">
        <v>78</v>
      </c>
      <c r="AG22" s="173" t="s">
        <v>2104</v>
      </c>
    </row>
    <row r="23" spans="1:33" x14ac:dyDescent="0.3">
      <c r="A23" s="81">
        <v>1111301002</v>
      </c>
      <c r="B23" s="81" t="s">
        <v>3768</v>
      </c>
      <c r="C23" s="81" t="s">
        <v>1861</v>
      </c>
      <c r="D23" s="81" t="str">
        <f>"Monster.Name."&amp;VLOOKUP($C23,'#Data'!$B$2:$J$344,2,FALSE)</f>
        <v>Monster.Name.gallius_2</v>
      </c>
      <c r="E23" s="81" t="str">
        <f>VLOOKUP($C23,'#Data'!$B$2:$J$249,6,FALSE)</f>
        <v>Tanker</v>
      </c>
      <c r="F23" s="82" t="s">
        <v>44</v>
      </c>
      <c r="G23" s="81" t="s">
        <v>45</v>
      </c>
      <c r="H23" s="81" t="b">
        <v>1</v>
      </c>
      <c r="I23" s="81" t="b">
        <v>1</v>
      </c>
      <c r="J23" s="81">
        <v>10</v>
      </c>
      <c r="K23" s="81">
        <f>VLOOKUP($A23,쿼리1[[ID]:[열1]],3,FALSE)</f>
        <v>10</v>
      </c>
      <c r="L23" s="81" t="str">
        <f>$B23&amp;"."&amp;VLOOKUP($C23,'#Data'!$B$2:$J$344,2,FALSE)&amp;".attack0"&amp;RIGHT(L$1,1)</f>
        <v>BossChallenge.gallius_2.attack01</v>
      </c>
      <c r="M23" s="81"/>
      <c r="N23" s="81"/>
      <c r="O23" s="177" t="str">
        <f>$B23&amp;"."&amp;VLOOKUP($C23,'#Data'!$B$2:$J$344,2,FALSE)&amp;".skill0"&amp;RIGHT(O$1,1)</f>
        <v>BossChallenge.gallius_2.skill01</v>
      </c>
      <c r="P23" s="83" t="str">
        <f>$B23&amp;"."&amp;VLOOKUP($C23,'#Data'!$B$2:$J$344,2,FALSE)&amp;".skill0"&amp;RIGHT(P$1,1)</f>
        <v>BossChallenge.gallius_2.skill02</v>
      </c>
      <c r="Q23" s="83" t="str">
        <f>$B23&amp;"."&amp;VLOOKUP($C23,'#Data'!$B$2:$J$344,2,FALSE)&amp;".skill0"&amp;RIGHT(Q$1,1)</f>
        <v>BossChallenge.gallius_2.skill03</v>
      </c>
      <c r="R23" s="83" t="s">
        <v>3770</v>
      </c>
      <c r="S23" s="83" t="s">
        <v>76</v>
      </c>
      <c r="T23" s="83"/>
      <c r="U23" s="83"/>
      <c r="V23" s="81" t="b">
        <v>0</v>
      </c>
      <c r="W23" s="81" t="str">
        <f>"Character/Prefabs/"&amp;VLOOKUP($C23,'#Data'!$B$3:$I$344,8,FALSE)</f>
        <v>Character/Prefabs/m_boss_tanker_gallius_2</v>
      </c>
      <c r="X23" s="81"/>
      <c r="Y23" s="81" t="str">
        <f>VLOOKUP($C23,'#Data'!$B$3:$I$344,8,FALSE)</f>
        <v>m_boss_tanker_gallius_2</v>
      </c>
      <c r="Z23" s="81"/>
      <c r="AA23" s="81"/>
      <c r="AB23" s="81"/>
      <c r="AC23" s="96">
        <v>1.3</v>
      </c>
      <c r="AD23" s="81"/>
      <c r="AE23" s="81" t="s">
        <v>80</v>
      </c>
      <c r="AF23" s="81" t="s">
        <v>81</v>
      </c>
      <c r="AG23" s="173" t="s">
        <v>2104</v>
      </c>
    </row>
    <row r="24" spans="1:33" x14ac:dyDescent="0.3">
      <c r="A24" s="81">
        <f>A22+10</f>
        <v>1111301011</v>
      </c>
      <c r="B24" s="81" t="s">
        <v>3768</v>
      </c>
      <c r="C24" s="81" t="s">
        <v>1862</v>
      </c>
      <c r="D24" s="81" t="str">
        <f>"Monster.Name."&amp;VLOOKUP($C24,'#Data'!$B$2:$J$344,2,FALSE)</f>
        <v>Monster.Name.cassandra_1</v>
      </c>
      <c r="E24" s="81" t="str">
        <f>VLOOKUP($C24,'#Data'!$B$2:$J$249,6,FALSE)</f>
        <v>Ranger</v>
      </c>
      <c r="F24" s="82" t="s">
        <v>44</v>
      </c>
      <c r="G24" s="81" t="s">
        <v>45</v>
      </c>
      <c r="H24" s="81" t="b">
        <v>1</v>
      </c>
      <c r="I24" s="81" t="b">
        <v>1</v>
      </c>
      <c r="J24" s="81">
        <v>20</v>
      </c>
      <c r="K24" s="81">
        <f>VLOOKUP($A24,쿼리1[[ID]:[열1]],3,FALSE)</f>
        <v>10</v>
      </c>
      <c r="L24" s="81" t="str">
        <f>$B24&amp;"."&amp;VLOOKUP($C24,'#Data'!$B$2:$J$344,2,FALSE)&amp;".attack0"&amp;RIGHT(L$1,1)</f>
        <v>BossChallenge.cassandra_1.attack01</v>
      </c>
      <c r="M24" s="81"/>
      <c r="N24" s="81"/>
      <c r="O24" s="177" t="str">
        <f>$B24&amp;"."&amp;VLOOKUP($C24,'#Data'!$B$2:$J$344,2,FALSE)&amp;".skill0"&amp;RIGHT(O$1,1)</f>
        <v>BossChallenge.cassandra_1.skill01</v>
      </c>
      <c r="P24" s="83" t="str">
        <f>$B24&amp;"."&amp;VLOOKUP($C24,'#Data'!$B$2:$J$344,2,FALSE)&amp;".skill0"&amp;RIGHT(P$1,1)</f>
        <v>BossChallenge.cassandra_1.skill02</v>
      </c>
      <c r="Q24" s="83" t="s">
        <v>3771</v>
      </c>
      <c r="R24" s="83"/>
      <c r="S24" s="83" t="s">
        <v>76</v>
      </c>
      <c r="T24" s="83"/>
      <c r="U24" s="83"/>
      <c r="V24" s="81" t="b">
        <v>0</v>
      </c>
      <c r="W24" s="81" t="str">
        <f>"Character/Prefabs/"&amp;VLOOKUP($C24,'#Data'!$B$3:$I$344,8,FALSE)</f>
        <v>Character/Prefabs/m_boss_ranger_cassandra_1</v>
      </c>
      <c r="X24" s="81"/>
      <c r="Y24" s="81" t="str">
        <f>VLOOKUP($C24,'#Data'!$B$3:$I$344,8,FALSE)</f>
        <v>m_boss_ranger_cassandra_1</v>
      </c>
      <c r="Z24" s="81"/>
      <c r="AA24" s="81"/>
      <c r="AB24" s="81"/>
      <c r="AC24" s="96">
        <v>0.9</v>
      </c>
      <c r="AD24" s="81"/>
      <c r="AE24" s="81" t="s">
        <v>99</v>
      </c>
      <c r="AF24" s="81" t="s">
        <v>100</v>
      </c>
      <c r="AG24" s="173" t="s">
        <v>2104</v>
      </c>
    </row>
    <row r="25" spans="1:33" x14ac:dyDescent="0.3">
      <c r="A25" s="81">
        <f t="shared" ref="A25:A33" si="6">A23+10</f>
        <v>1111301012</v>
      </c>
      <c r="B25" s="81" t="s">
        <v>3768</v>
      </c>
      <c r="C25" s="81" t="s">
        <v>1863</v>
      </c>
      <c r="D25" s="81" t="str">
        <f>"Monster.Name."&amp;VLOOKUP($C25,'#Data'!$B$2:$J$344,2,FALSE)</f>
        <v>Monster.Name.cassandra_2</v>
      </c>
      <c r="E25" s="81" t="str">
        <f>VLOOKUP($C25,'#Data'!$B$2:$J$249,6,FALSE)</f>
        <v>Ranger</v>
      </c>
      <c r="F25" s="82" t="s">
        <v>44</v>
      </c>
      <c r="G25" s="81" t="s">
        <v>45</v>
      </c>
      <c r="H25" s="81" t="b">
        <v>1</v>
      </c>
      <c r="I25" s="81" t="b">
        <v>1</v>
      </c>
      <c r="J25" s="81">
        <v>20</v>
      </c>
      <c r="K25" s="81">
        <f>VLOOKUP($A25,쿼리1[[ID]:[열1]],3,FALSE)</f>
        <v>10</v>
      </c>
      <c r="L25" s="81" t="str">
        <f>$B25&amp;"."&amp;VLOOKUP($C25,'#Data'!$B$2:$J$344,2,FALSE)&amp;".attack0"&amp;RIGHT(L$1,1)</f>
        <v>BossChallenge.cassandra_2.attack01</v>
      </c>
      <c r="M25" s="81"/>
      <c r="N25" s="81"/>
      <c r="O25" s="177" t="str">
        <f>$B25&amp;"."&amp;VLOOKUP($C25,'#Data'!$B$2:$J$344,2,FALSE)&amp;".skill0"&amp;RIGHT(O$1,1)</f>
        <v>BossChallenge.cassandra_2.skill01</v>
      </c>
      <c r="P25" s="83" t="str">
        <f>$B25&amp;"."&amp;VLOOKUP($C25,'#Data'!$B$2:$J$344,2,FALSE)&amp;".skill0"&amp;RIGHT(P$1,1)</f>
        <v>BossChallenge.cassandra_2.skill02</v>
      </c>
      <c r="Q25" s="83" t="str">
        <f>$B25&amp;"."&amp;VLOOKUP($C25,'#Data'!$B$2:$J$344,2,FALSE)&amp;".skill0"&amp;RIGHT(Q$1,1)</f>
        <v>BossChallenge.cassandra_2.skill03</v>
      </c>
      <c r="R25" s="83" t="s">
        <v>3772</v>
      </c>
      <c r="S25" s="83" t="s">
        <v>76</v>
      </c>
      <c r="T25" s="83"/>
      <c r="U25" s="83"/>
      <c r="V25" s="81" t="b">
        <v>0</v>
      </c>
      <c r="W25" s="81" t="str">
        <f>"Character/Prefabs/"&amp;VLOOKUP($C25,'#Data'!$B$3:$I$344,8,FALSE)</f>
        <v>Character/Prefabs/m_boss_ranger_cassandra_2</v>
      </c>
      <c r="X25" s="81"/>
      <c r="Y25" s="81" t="str">
        <f>VLOOKUP($C25,'#Data'!$B$3:$I$344,8,FALSE)</f>
        <v>m_boss_ranger_cassandra_2</v>
      </c>
      <c r="Z25" s="81"/>
      <c r="AA25" s="81"/>
      <c r="AB25" s="81"/>
      <c r="AC25" s="96">
        <v>0.9</v>
      </c>
      <c r="AD25" s="81"/>
      <c r="AE25" s="81" t="s">
        <v>103</v>
      </c>
      <c r="AF25" s="81" t="s">
        <v>104</v>
      </c>
      <c r="AG25" s="173" t="s">
        <v>2104</v>
      </c>
    </row>
    <row r="26" spans="1:33" x14ac:dyDescent="0.3">
      <c r="A26" s="81">
        <f t="shared" si="6"/>
        <v>1111301021</v>
      </c>
      <c r="B26" s="81" t="s">
        <v>3768</v>
      </c>
      <c r="C26" s="81" t="s">
        <v>1864</v>
      </c>
      <c r="D26" s="81" t="str">
        <f>"Monster.Name."&amp;VLOOKUP($C26,'#Data'!$B$2:$J$344,2,FALSE)</f>
        <v>Monster.Name.theomega_1</v>
      </c>
      <c r="E26" s="81" t="str">
        <f>VLOOKUP($C26,'#Data'!$B$2:$J$249,6,FALSE)</f>
        <v>Attacker</v>
      </c>
      <c r="F26" s="82" t="s">
        <v>44</v>
      </c>
      <c r="G26" s="81" t="s">
        <v>45</v>
      </c>
      <c r="H26" s="81" t="b">
        <v>1</v>
      </c>
      <c r="I26" s="81" t="b">
        <v>1</v>
      </c>
      <c r="J26" s="81">
        <v>20</v>
      </c>
      <c r="K26" s="81">
        <f>VLOOKUP($A26,쿼리1[[ID]:[열1]],3,FALSE)</f>
        <v>10</v>
      </c>
      <c r="L26" s="81" t="str">
        <f>$B26&amp;"."&amp;VLOOKUP($C26,'#Data'!$B$2:$J$344,2,FALSE)&amp;".attack0"&amp;RIGHT(L$1,1)</f>
        <v>BossChallenge.theomega_1.attack01</v>
      </c>
      <c r="M26" s="81"/>
      <c r="N26" s="81"/>
      <c r="O26" s="177" t="str">
        <f>$B26&amp;"."&amp;VLOOKUP($C26,'#Data'!$B$2:$J$344,2,FALSE)&amp;".skill0"&amp;RIGHT(O$1,1)</f>
        <v>BossChallenge.theomega_1.skill01</v>
      </c>
      <c r="P26" s="83" t="str">
        <f>$B26&amp;"."&amp;VLOOKUP($C26,'#Data'!$B$2:$J$344,2,FALSE)&amp;".skill0"&amp;RIGHT(P$1,1)</f>
        <v>BossChallenge.theomega_1.skill02</v>
      </c>
      <c r="Q26" s="83" t="str">
        <f>$B26&amp;"."&amp;VLOOKUP($C26,'#Data'!$B$2:$J$344,2,FALSE)&amp;".skill0"&amp;RIGHT(Q$1,1)</f>
        <v>BossChallenge.theomega_1.skill03</v>
      </c>
      <c r="R26" s="83" t="s">
        <v>3773</v>
      </c>
      <c r="S26" s="83" t="s">
        <v>76</v>
      </c>
      <c r="T26" s="83"/>
      <c r="U26" s="83"/>
      <c r="V26" s="81" t="b">
        <v>0</v>
      </c>
      <c r="W26" s="81" t="str">
        <f>"Character/Prefabs/"&amp;VLOOKUP($C26,'#Data'!$B$3:$I$344,8,FALSE)</f>
        <v>Character/Prefabs/m_boss_attacker_theomega_1</v>
      </c>
      <c r="X26" s="81"/>
      <c r="Y26" s="81" t="str">
        <f>VLOOKUP($C26,'#Data'!$B$3:$I$344,8,FALSE)</f>
        <v>m_boss_attacker_theomega_1</v>
      </c>
      <c r="Z26" s="81"/>
      <c r="AA26" s="81"/>
      <c r="AB26" s="81"/>
      <c r="AC26" s="96">
        <v>0.9</v>
      </c>
      <c r="AD26" s="81"/>
      <c r="AE26" s="81" t="s">
        <v>121</v>
      </c>
      <c r="AF26" s="81" t="s">
        <v>122</v>
      </c>
      <c r="AG26" s="173" t="s">
        <v>2104</v>
      </c>
    </row>
    <row r="27" spans="1:33" x14ac:dyDescent="0.3">
      <c r="A27" s="81">
        <f t="shared" si="6"/>
        <v>1111301022</v>
      </c>
      <c r="B27" s="81" t="s">
        <v>3768</v>
      </c>
      <c r="C27" s="81" t="s">
        <v>1865</v>
      </c>
      <c r="D27" s="81" t="str">
        <f>"Monster.Name."&amp;VLOOKUP($C27,'#Data'!$B$2:$J$344,2,FALSE)</f>
        <v>Monster.Name.theomega_3</v>
      </c>
      <c r="E27" s="81" t="str">
        <f>VLOOKUP($C27,'#Data'!$B$2:$J$249,6,FALSE)</f>
        <v>Attacker</v>
      </c>
      <c r="F27" s="82" t="s">
        <v>44</v>
      </c>
      <c r="G27" s="81" t="s">
        <v>45</v>
      </c>
      <c r="H27" s="81" t="b">
        <v>1</v>
      </c>
      <c r="I27" s="81" t="b">
        <v>1</v>
      </c>
      <c r="J27" s="81">
        <v>20</v>
      </c>
      <c r="K27" s="81">
        <f>VLOOKUP($A27,쿼리1[[ID]:[열1]],3,FALSE)</f>
        <v>10</v>
      </c>
      <c r="L27" s="81" t="str">
        <f>$B27&amp;"."&amp;VLOOKUP($C27,'#Data'!$B$2:$J$344,2,FALSE)&amp;".attack0"&amp;RIGHT(L$1,1)</f>
        <v>BossChallenge.theomega_3.attack01</v>
      </c>
      <c r="M27" s="81" t="str">
        <f>$B27&amp;"."&amp;VLOOKUP($C27,'#Data'!$B$2:$J$344,2,FALSE)&amp;".attack0"&amp;RIGHT(M$1,1)</f>
        <v>BossChallenge.theomega_3.attack02</v>
      </c>
      <c r="N27" s="81"/>
      <c r="O27" s="177" t="str">
        <f>$B27&amp;"."&amp;VLOOKUP($C27,'#Data'!$B$2:$J$344,2,FALSE)&amp;".skill0"&amp;RIGHT(O$1,1)</f>
        <v>BossChallenge.theomega_3.skill01</v>
      </c>
      <c r="P27" s="83" t="str">
        <f>$B27&amp;"."&amp;VLOOKUP($C27,'#Data'!$B$2:$J$344,2,FALSE)&amp;".skill0"&amp;RIGHT(P$1,1)</f>
        <v>BossChallenge.theomega_3.skill02</v>
      </c>
      <c r="Q27" s="83" t="str">
        <f>$B27&amp;"."&amp;VLOOKUP($C27,'#Data'!$B$2:$J$344,2,FALSE)&amp;".skill0"&amp;RIGHT(Q$1,1)</f>
        <v>BossChallenge.theomega_3.skill03</v>
      </c>
      <c r="R27" s="83" t="str">
        <f>$B27&amp;"."&amp;VLOOKUP($C27,'#Data'!$B$2:$J$344,2,FALSE)&amp;".skill0"&amp;RIGHT(R$1,1)</f>
        <v>BossChallenge.theomega_3.skill04</v>
      </c>
      <c r="S27" s="83" t="s">
        <v>3774</v>
      </c>
      <c r="T27" s="83"/>
      <c r="U27" s="83"/>
      <c r="V27" s="81" t="b">
        <v>0</v>
      </c>
      <c r="W27" s="81" t="str">
        <f>"Character/Prefabs/"&amp;VLOOKUP($C27,'#Data'!$B$3:$I$344,8,FALSE)</f>
        <v>Character/Prefabs/m_boss_attacker_theomega_3</v>
      </c>
      <c r="X27" s="81"/>
      <c r="Y27" s="81" t="str">
        <f>VLOOKUP($C27,'#Data'!$B$3:$I$344,8,FALSE)</f>
        <v>m_boss_attacker_theomega_3</v>
      </c>
      <c r="Z27" s="81"/>
      <c r="AA27" s="81"/>
      <c r="AB27" s="81"/>
      <c r="AC27" s="96">
        <v>0.9</v>
      </c>
      <c r="AD27" s="81"/>
      <c r="AE27" s="81" t="s">
        <v>1870</v>
      </c>
      <c r="AF27" s="81" t="s">
        <v>1871</v>
      </c>
      <c r="AG27" s="173" t="s">
        <v>2104</v>
      </c>
    </row>
    <row r="28" spans="1:33" x14ac:dyDescent="0.3">
      <c r="A28" s="81">
        <f t="shared" si="6"/>
        <v>1111301031</v>
      </c>
      <c r="B28" s="81" t="s">
        <v>3768</v>
      </c>
      <c r="C28" s="81" t="s">
        <v>1866</v>
      </c>
      <c r="D28" s="81" t="str">
        <f>"Monster.Name."&amp;VLOOKUP($C28,'#Data'!$B$2:$J$344,2,FALSE)</f>
        <v>Monster.Name.nullaxe_1</v>
      </c>
      <c r="E28" s="81" t="str">
        <f>VLOOKUP($C28,'#Data'!$B$2:$J$249,6,FALSE)</f>
        <v>Attacker</v>
      </c>
      <c r="F28" s="82" t="s">
        <v>44</v>
      </c>
      <c r="G28" s="81" t="s">
        <v>45</v>
      </c>
      <c r="H28" s="81" t="b">
        <v>1</v>
      </c>
      <c r="I28" s="81" t="b">
        <v>1</v>
      </c>
      <c r="J28" s="81">
        <v>10</v>
      </c>
      <c r="K28" s="81">
        <f>VLOOKUP($A28,쿼리1[[ID]:[열1]],3,FALSE)</f>
        <v>10</v>
      </c>
      <c r="L28" s="81" t="str">
        <f>$B28&amp;"."&amp;VLOOKUP($C28,'#Data'!$B$2:$J$344,2,FALSE)&amp;".attack0"&amp;RIGHT(L$1,1)</f>
        <v>BossChallenge.nullaxe_1.attack01</v>
      </c>
      <c r="M28" s="81" t="str">
        <f>$B28&amp;"."&amp;VLOOKUP($C28,'#Data'!$B$2:$J$344,2,FALSE)&amp;".attack0"&amp;RIGHT(M$1,1)</f>
        <v>BossChallenge.nullaxe_1.attack02</v>
      </c>
      <c r="N28" s="81"/>
      <c r="O28" s="177" t="str">
        <f>$B28&amp;"."&amp;VLOOKUP($C28,'#Data'!$B$2:$J$344,2,FALSE)&amp;".skill0"&amp;RIGHT(O$1,1)</f>
        <v>BossChallenge.nullaxe_1.skill01</v>
      </c>
      <c r="P28" s="83" t="str">
        <f>$B28&amp;"."&amp;VLOOKUP($C28,'#Data'!$B$2:$J$344,2,FALSE)&amp;".skill0"&amp;RIGHT(P$1,1)</f>
        <v>BossChallenge.nullaxe_1.skill02</v>
      </c>
      <c r="Q28" s="83" t="str">
        <f>$B28&amp;"."&amp;VLOOKUP($C28,'#Data'!$B$2:$J$344,2,FALSE)&amp;".skill0"&amp;RIGHT(Q$1,1)</f>
        <v>BossChallenge.nullaxe_1.skill03</v>
      </c>
      <c r="R28" s="83" t="s">
        <v>3775</v>
      </c>
      <c r="S28" s="83" t="s">
        <v>76</v>
      </c>
      <c r="T28" s="83"/>
      <c r="U28" s="83"/>
      <c r="V28" s="81" t="b">
        <v>0</v>
      </c>
      <c r="W28" s="81" t="str">
        <f>"Character/Prefabs/"&amp;VLOOKUP($C28,'#Data'!$B$3:$I$344,8,FALSE)</f>
        <v>Character/Prefabs/m_boss_attacker_nullaxe_1</v>
      </c>
      <c r="X28" s="81"/>
      <c r="Y28" s="81" t="str">
        <f>VLOOKUP($C28,'#Data'!$B$3:$I$344,8,FALSE)</f>
        <v>m_boss_attacker_nullaxe_1</v>
      </c>
      <c r="Z28" s="81"/>
      <c r="AA28" s="81"/>
      <c r="AB28" s="81"/>
      <c r="AC28" s="96">
        <v>1.6</v>
      </c>
      <c r="AD28" s="81"/>
      <c r="AE28" s="81" t="s">
        <v>1872</v>
      </c>
      <c r="AF28" s="81" t="s">
        <v>153</v>
      </c>
      <c r="AG28" s="173" t="s">
        <v>2104</v>
      </c>
    </row>
    <row r="29" spans="1:33" x14ac:dyDescent="0.3">
      <c r="A29" s="81">
        <f t="shared" si="6"/>
        <v>1111301032</v>
      </c>
      <c r="B29" s="81" t="s">
        <v>3768</v>
      </c>
      <c r="C29" s="81" t="s">
        <v>1867</v>
      </c>
      <c r="D29" s="81" t="str">
        <f>"Monster.Name."&amp;VLOOKUP($C29,'#Data'!$B$2:$J$344,2,FALSE)</f>
        <v>Monster.Name.nullaxe_2</v>
      </c>
      <c r="E29" s="81" t="str">
        <f>VLOOKUP($C29,'#Data'!$B$2:$J$249,6,FALSE)</f>
        <v>Attacker</v>
      </c>
      <c r="F29" s="82" t="s">
        <v>44</v>
      </c>
      <c r="G29" s="81" t="s">
        <v>45</v>
      </c>
      <c r="H29" s="81" t="b">
        <v>1</v>
      </c>
      <c r="I29" s="81" t="b">
        <v>1</v>
      </c>
      <c r="J29" s="81">
        <v>10</v>
      </c>
      <c r="K29" s="81">
        <f>VLOOKUP($A29,쿼리1[[ID]:[열1]],3,FALSE)</f>
        <v>10</v>
      </c>
      <c r="L29" s="81" t="str">
        <f>$B29&amp;"."&amp;VLOOKUP($C29,'#Data'!$B$2:$J$344,2,FALSE)&amp;".attack0"&amp;RIGHT(L$1,1)</f>
        <v>BossChallenge.nullaxe_2.attack01</v>
      </c>
      <c r="M29" s="81" t="str">
        <f>$B29&amp;"."&amp;VLOOKUP($C29,'#Data'!$B$2:$J$344,2,FALSE)&amp;".attack0"&amp;RIGHT(M$1,1)</f>
        <v>BossChallenge.nullaxe_2.attack02</v>
      </c>
      <c r="N29" s="81"/>
      <c r="O29" s="177" t="str">
        <f>$B29&amp;"."&amp;VLOOKUP($C29,'#Data'!$B$2:$J$344,2,FALSE)&amp;".skill0"&amp;RIGHT(O$1,1)</f>
        <v>BossChallenge.nullaxe_2.skill01</v>
      </c>
      <c r="P29" s="83" t="str">
        <f>$B29&amp;"."&amp;VLOOKUP($C29,'#Data'!$B$2:$J$344,2,FALSE)&amp;".skill0"&amp;RIGHT(P$1,1)</f>
        <v>BossChallenge.nullaxe_2.skill02</v>
      </c>
      <c r="Q29" s="83" t="str">
        <f>$B29&amp;"."&amp;VLOOKUP($C29,'#Data'!$B$2:$J$344,2,FALSE)&amp;".skill0"&amp;RIGHT(Q$1,1)</f>
        <v>BossChallenge.nullaxe_2.skill03</v>
      </c>
      <c r="R29" s="83" t="s">
        <v>3776</v>
      </c>
      <c r="S29" s="83" t="s">
        <v>3777</v>
      </c>
      <c r="T29" s="83"/>
      <c r="U29" s="83"/>
      <c r="V29" s="81" t="b">
        <v>0</v>
      </c>
      <c r="W29" s="81" t="str">
        <f>"Character/Prefabs/"&amp;VLOOKUP($C29,'#Data'!$B$3:$I$344,8,FALSE)</f>
        <v>Character/Prefabs/m_boss_attacker_nullaxe_2</v>
      </c>
      <c r="X29" s="81"/>
      <c r="Y29" s="81" t="str">
        <f>VLOOKUP($C29,'#Data'!$B$3:$I$344,8,FALSE)</f>
        <v>m_boss_attacker_nullaxe_2</v>
      </c>
      <c r="Z29" s="81"/>
      <c r="AA29" s="81"/>
      <c r="AB29" s="81"/>
      <c r="AC29" s="96">
        <v>1.6</v>
      </c>
      <c r="AD29" s="81"/>
      <c r="AE29" s="81" t="s">
        <v>1873</v>
      </c>
      <c r="AF29" s="81" t="s">
        <v>1874</v>
      </c>
      <c r="AG29" s="173" t="s">
        <v>2104</v>
      </c>
    </row>
    <row r="30" spans="1:33" x14ac:dyDescent="0.3">
      <c r="A30" s="81">
        <f t="shared" si="6"/>
        <v>1111301041</v>
      </c>
      <c r="B30" s="81" t="s">
        <v>3768</v>
      </c>
      <c r="C30" s="81" t="s">
        <v>1868</v>
      </c>
      <c r="D30" s="81" t="str">
        <f>"Monster.Name."&amp;VLOOKUP($C30,'#Data'!$B$2:$J$344,2,FALSE)</f>
        <v>Monster.Name.clock_royal_queen_1</v>
      </c>
      <c r="E30" s="81" t="str">
        <f>VLOOKUP($C30,'#Data'!$B$2:$J$249,6,FALSE)</f>
        <v>Attacker</v>
      </c>
      <c r="F30" s="82" t="s">
        <v>44</v>
      </c>
      <c r="G30" s="81" t="s">
        <v>45</v>
      </c>
      <c r="H30" s="81" t="b">
        <v>1</v>
      </c>
      <c r="I30" s="81" t="b">
        <v>1</v>
      </c>
      <c r="J30" s="81">
        <v>10</v>
      </c>
      <c r="K30" s="81">
        <f>VLOOKUP($A30,쿼리1[[ID]:[열1]],3,FALSE)</f>
        <v>10</v>
      </c>
      <c r="L30" s="81" t="str">
        <f>$B30&amp;"."&amp;VLOOKUP($C30,'#Data'!$B$2:$J$344,2,FALSE)&amp;".attack0"&amp;RIGHT(L$1,1)</f>
        <v>BossChallenge.clock_royal_queen_1.attack01</v>
      </c>
      <c r="M30" s="81" t="str">
        <f>$B30&amp;"."&amp;VLOOKUP($C30,'#Data'!$B$2:$J$344,2,FALSE)&amp;".attack0"&amp;RIGHT(M$1,1)</f>
        <v>BossChallenge.clock_royal_queen_1.attack02</v>
      </c>
      <c r="N30" s="81"/>
      <c r="O30" s="177" t="str">
        <f>$B30&amp;"."&amp;VLOOKUP($C30,'#Data'!$B$2:$J$344,2,FALSE)&amp;".skill0"&amp;RIGHT(O$1,1)</f>
        <v>BossChallenge.clock_royal_queen_1.skill01</v>
      </c>
      <c r="P30" s="83" t="str">
        <f>$B30&amp;"."&amp;VLOOKUP($C30,'#Data'!$B$2:$J$344,2,FALSE)&amp;".skill0"&amp;RIGHT(P$1,1)</f>
        <v>BossChallenge.clock_royal_queen_1.skill02</v>
      </c>
      <c r="Q30" s="83" t="str">
        <f>$B30&amp;"."&amp;VLOOKUP($C30,'#Data'!$B$2:$J$344,2,FALSE)&amp;".skill0"&amp;RIGHT(Q$1,1)</f>
        <v>BossChallenge.clock_royal_queen_1.skill03</v>
      </c>
      <c r="R30" s="83" t="s">
        <v>3778</v>
      </c>
      <c r="S30" s="83" t="s">
        <v>76</v>
      </c>
      <c r="T30" s="83"/>
      <c r="U30" s="83"/>
      <c r="V30" s="81" t="b">
        <v>0</v>
      </c>
      <c r="W30" s="170" t="str">
        <f>"Character/Prefabs/"&amp;VLOOKUP($C30,'#Data'!$B$3:$I$344,8,FALSE)</f>
        <v>Character/Prefabs/m_boss_attacker_clock_royal_queen_1</v>
      </c>
      <c r="X30" s="81"/>
      <c r="Y30" s="81" t="str">
        <f>VLOOKUP($C30,'#Data'!$B$3:$I$344,8,FALSE)</f>
        <v>m_boss_attacker_clock_royal_queen_1</v>
      </c>
      <c r="Z30" s="81"/>
      <c r="AA30" s="81"/>
      <c r="AB30" s="81"/>
      <c r="AC30" s="96">
        <v>0.9</v>
      </c>
      <c r="AD30" s="81"/>
      <c r="AE30" s="81" t="s">
        <v>207</v>
      </c>
      <c r="AF30" s="81" t="s">
        <v>208</v>
      </c>
      <c r="AG30" s="173" t="s">
        <v>2104</v>
      </c>
    </row>
    <row r="31" spans="1:33" x14ac:dyDescent="0.3">
      <c r="A31" s="81">
        <f t="shared" si="6"/>
        <v>1111301042</v>
      </c>
      <c r="B31" s="81" t="s">
        <v>3768</v>
      </c>
      <c r="C31" s="81" t="s">
        <v>1869</v>
      </c>
      <c r="D31" s="81" t="str">
        <f>"Monster.Name."&amp;VLOOKUP($C31,'#Data'!$B$2:$J$344,2,FALSE)</f>
        <v>Monster.Name.clock_royal_queen_2</v>
      </c>
      <c r="E31" s="81" t="str">
        <f>VLOOKUP($C31,'#Data'!$B$2:$J$249,6,FALSE)</f>
        <v>Attacker</v>
      </c>
      <c r="F31" s="82" t="s">
        <v>44</v>
      </c>
      <c r="G31" s="81" t="s">
        <v>45</v>
      </c>
      <c r="H31" s="81" t="b">
        <v>1</v>
      </c>
      <c r="I31" s="81" t="b">
        <v>1</v>
      </c>
      <c r="J31" s="81">
        <v>10</v>
      </c>
      <c r="K31" s="81">
        <f>VLOOKUP($A31,쿼리1[[ID]:[열1]],3,FALSE)</f>
        <v>10</v>
      </c>
      <c r="L31" s="81" t="str">
        <f>$B31&amp;"."&amp;VLOOKUP($C31,'#Data'!$B$2:$J$344,2,FALSE)&amp;".attack0"&amp;RIGHT(L$1,1)</f>
        <v>BossChallenge.clock_royal_queen_2.attack01</v>
      </c>
      <c r="M31" s="81" t="str">
        <f>$B31&amp;"."&amp;VLOOKUP($C31,'#Data'!$B$2:$J$344,2,FALSE)&amp;".attack0"&amp;RIGHT(M$1,1)</f>
        <v>BossChallenge.clock_royal_queen_2.attack02</v>
      </c>
      <c r="N31" s="81"/>
      <c r="O31" s="177" t="str">
        <f>$B31&amp;"."&amp;VLOOKUP($C31,'#Data'!$B$2:$J$344,2,FALSE)&amp;".skill0"&amp;RIGHT(O$1,1)</f>
        <v>BossChallenge.clock_royal_queen_2.skill01</v>
      </c>
      <c r="P31" s="83" t="str">
        <f>$B31&amp;"."&amp;VLOOKUP($C31,'#Data'!$B$2:$J$344,2,FALSE)&amp;".skill0"&amp;RIGHT(P$1,1)</f>
        <v>BossChallenge.clock_royal_queen_2.skill02</v>
      </c>
      <c r="Q31" s="83" t="str">
        <f>$B31&amp;"."&amp;VLOOKUP($C31,'#Data'!$B$2:$J$344,2,FALSE)&amp;".skill0"&amp;RIGHT(Q$1,1)</f>
        <v>BossChallenge.clock_royal_queen_2.skill03</v>
      </c>
      <c r="R31" s="83" t="s">
        <v>3778</v>
      </c>
      <c r="S31" s="83" t="s">
        <v>76</v>
      </c>
      <c r="T31" s="83"/>
      <c r="U31" s="83"/>
      <c r="V31" s="81" t="b">
        <v>0</v>
      </c>
      <c r="W31" s="170" t="str">
        <f>"Character/Prefabs/"&amp;VLOOKUP($C31,'#Data'!$B$3:$I$344,8,FALSE)</f>
        <v>Character/Prefabs/m_boss_attacker_clock_royal_queen_2</v>
      </c>
      <c r="X31" s="163"/>
      <c r="Y31" s="163" t="s">
        <v>1212</v>
      </c>
      <c r="Z31" s="81"/>
      <c r="AA31" s="81"/>
      <c r="AB31" s="81"/>
      <c r="AC31" s="96">
        <v>1.3</v>
      </c>
      <c r="AD31" s="81"/>
      <c r="AE31" s="81" t="s">
        <v>2100</v>
      </c>
      <c r="AF31" s="81" t="s">
        <v>2101</v>
      </c>
      <c r="AG31" s="173" t="s">
        <v>2104</v>
      </c>
    </row>
    <row r="32" spans="1:33" x14ac:dyDescent="0.3">
      <c r="A32" s="81">
        <f t="shared" si="6"/>
        <v>1111301051</v>
      </c>
      <c r="B32" s="81" t="s">
        <v>3768</v>
      </c>
      <c r="C32" s="81" t="s">
        <v>187</v>
      </c>
      <c r="D32" s="81" t="str">
        <f>"Monster.Name."&amp;VLOOKUP($C32,'#Data'!$B$2:$J$344,2,FALSE)</f>
        <v>Monster.Name.toxic_1</v>
      </c>
      <c r="E32" s="81" t="str">
        <f>VLOOKUP($C32,'#Data'!$B$2:$J$249,6,FALSE)</f>
        <v>Attacker</v>
      </c>
      <c r="F32" s="82" t="s">
        <v>44</v>
      </c>
      <c r="G32" s="81" t="s">
        <v>45</v>
      </c>
      <c r="H32" s="81" t="b">
        <v>1</v>
      </c>
      <c r="I32" s="81" t="b">
        <v>1</v>
      </c>
      <c r="J32" s="81">
        <v>20</v>
      </c>
      <c r="K32" s="81">
        <f>VLOOKUP($A32,쿼리1[[ID]:[열1]],3,FALSE)</f>
        <v>10</v>
      </c>
      <c r="L32" s="81" t="str">
        <f>$B32&amp;"."&amp;VLOOKUP($C32,'#Data'!$B$2:$J$344,2,FALSE)&amp;".attack0"&amp;RIGHT(L$1,1)</f>
        <v>BossChallenge.toxic_1.attack01</v>
      </c>
      <c r="M32" s="81" t="str">
        <f>$B32&amp;"."&amp;VLOOKUP($C32,'#Data'!$B$2:$J$344,2,FALSE)&amp;".attack0"&amp;RIGHT(M$1,1)</f>
        <v>BossChallenge.toxic_1.attack02</v>
      </c>
      <c r="N32" s="81"/>
      <c r="O32" s="177" t="str">
        <f>$B32&amp;"."&amp;VLOOKUP($C32,'#Data'!$B$2:$J$344,2,FALSE)&amp;".skill0"&amp;RIGHT(O$1,1)</f>
        <v>BossChallenge.toxic_1.skill01</v>
      </c>
      <c r="P32" s="83" t="str">
        <f>$B32&amp;"."&amp;VLOOKUP($C32,'#Data'!$B$2:$J$344,2,FALSE)&amp;".skill0"&amp;RIGHT(P$1,1)</f>
        <v>BossChallenge.toxic_1.skill02</v>
      </c>
      <c r="Q32" s="83" t="str">
        <f>$B32&amp;"."&amp;VLOOKUP($C32,'#Data'!$B$2:$J$344,2,FALSE)&amp;".skill0"&amp;RIGHT(Q$1,1)</f>
        <v>BossChallenge.toxic_1.skill03</v>
      </c>
      <c r="R32" s="83" t="s">
        <v>3779</v>
      </c>
      <c r="S32" s="83" t="s">
        <v>3780</v>
      </c>
      <c r="T32" s="83"/>
      <c r="U32" s="83"/>
      <c r="V32" s="81" t="b">
        <v>0</v>
      </c>
      <c r="W32" s="170" t="str">
        <f>"Character/Prefabs/"&amp;VLOOKUP($C32,'#Data'!$B$3:$I$344,8,FALSE)</f>
        <v>Character/Prefabs/m_boss_attacker_toxic_1</v>
      </c>
      <c r="X32" s="81"/>
      <c r="Y32" s="81" t="str">
        <f>VLOOKUP($C32,'#Data'!$B$3:$I$344,8,FALSE)</f>
        <v>m_boss_attacker_toxic_1</v>
      </c>
      <c r="Z32" s="81"/>
      <c r="AA32" s="81"/>
      <c r="AB32" s="81"/>
      <c r="AC32" s="96">
        <v>1.1000000000000001</v>
      </c>
      <c r="AD32" s="81"/>
      <c r="AE32" s="81" t="s">
        <v>188</v>
      </c>
      <c r="AF32" s="81" t="s">
        <v>189</v>
      </c>
      <c r="AG32" s="173" t="s">
        <v>2104</v>
      </c>
    </row>
    <row r="33" spans="1:33" x14ac:dyDescent="0.3">
      <c r="A33" s="81">
        <f t="shared" si="6"/>
        <v>1111301052</v>
      </c>
      <c r="B33" s="81" t="s">
        <v>3768</v>
      </c>
      <c r="C33" s="81" t="s">
        <v>1945</v>
      </c>
      <c r="D33" s="81" t="str">
        <f>"Monster.Name."&amp;VLOOKUP($C33,'#Data'!$B$2:$J$344,2,FALSE)</f>
        <v>Monster.Name.toxic_3</v>
      </c>
      <c r="E33" s="81" t="str">
        <f>VLOOKUP($C33,'#Data'!$B$2:$J$249,6,FALSE)</f>
        <v>Attacker</v>
      </c>
      <c r="F33" s="82" t="s">
        <v>44</v>
      </c>
      <c r="G33" s="81" t="s">
        <v>45</v>
      </c>
      <c r="H33" s="81" t="b">
        <v>1</v>
      </c>
      <c r="I33" s="81" t="b">
        <v>1</v>
      </c>
      <c r="J33" s="81">
        <v>20</v>
      </c>
      <c r="K33" s="81">
        <f>VLOOKUP($A33,쿼리1[[ID]:[열1]],3,FALSE)</f>
        <v>10</v>
      </c>
      <c r="L33" s="81" t="str">
        <f>$B33&amp;"."&amp;VLOOKUP($C33,'#Data'!$B$2:$J$344,2,FALSE)&amp;".attack0"&amp;RIGHT(L$1,1)</f>
        <v>BossChallenge.toxic_3.attack01</v>
      </c>
      <c r="M33" s="81" t="str">
        <f>$B33&amp;"."&amp;VLOOKUP($C33,'#Data'!$B$2:$J$344,2,FALSE)&amp;".attack0"&amp;RIGHT(M$1,1)</f>
        <v>BossChallenge.toxic_3.attack02</v>
      </c>
      <c r="N33" s="81"/>
      <c r="O33" s="177" t="str">
        <f>$B33&amp;"."&amp;VLOOKUP($C33,'#Data'!$B$2:$J$344,2,FALSE)&amp;".skill0"&amp;RIGHT(O$1,1)</f>
        <v>BossChallenge.toxic_3.skill01</v>
      </c>
      <c r="P33" s="83" t="str">
        <f>$B33&amp;"."&amp;VLOOKUP($C33,'#Data'!$B$2:$J$344,2,FALSE)&amp;".skill0"&amp;RIGHT(P$1,1)</f>
        <v>BossChallenge.toxic_3.skill02</v>
      </c>
      <c r="Q33" s="83" t="str">
        <f>$B33&amp;"."&amp;VLOOKUP($C33,'#Data'!$B$2:$J$344,2,FALSE)&amp;".skill0"&amp;RIGHT(Q$1,1)</f>
        <v>BossChallenge.toxic_3.skill03</v>
      </c>
      <c r="R33" s="83" t="s">
        <v>3781</v>
      </c>
      <c r="S33" s="83" t="s">
        <v>3782</v>
      </c>
      <c r="T33" s="83"/>
      <c r="U33" s="83"/>
      <c r="V33" s="81" t="b">
        <v>0</v>
      </c>
      <c r="W33" s="170" t="str">
        <f>"Character/Prefabs/"&amp;VLOOKUP($C33,'#Data'!$B$3:$I$344,8,FALSE)</f>
        <v>Character/Prefabs/m_boss_attacker_toxic_3</v>
      </c>
      <c r="X33" s="163"/>
      <c r="Y33" s="163" t="s">
        <v>1448</v>
      </c>
      <c r="Z33" s="81"/>
      <c r="AA33" s="81"/>
      <c r="AB33" s="81"/>
      <c r="AC33" s="96">
        <v>1.1000000000000001</v>
      </c>
      <c r="AD33" s="81"/>
      <c r="AE33" s="81" t="s">
        <v>2098</v>
      </c>
      <c r="AF33" s="81" t="s">
        <v>2099</v>
      </c>
      <c r="AG33" s="173" t="s">
        <v>2104</v>
      </c>
    </row>
    <row r="34" spans="1:33" x14ac:dyDescent="0.3">
      <c r="A34" s="81">
        <v>1111301061</v>
      </c>
      <c r="B34" s="81" t="s">
        <v>3768</v>
      </c>
      <c r="C34" s="81" t="s">
        <v>170</v>
      </c>
      <c r="D34" s="81" t="str">
        <f>"Monster.Name."&amp;VLOOKUP($C34,'#Data'!$B$2:$J$344,2,FALSE)</f>
        <v>Monster.Name.goliath_1</v>
      </c>
      <c r="E34" s="81" t="str">
        <f>VLOOKUP($C34,'#Data'!$B$2:$J$249,6,FALSE)</f>
        <v>Attacker</v>
      </c>
      <c r="F34" s="82" t="s">
        <v>44</v>
      </c>
      <c r="G34" s="81" t="s">
        <v>45</v>
      </c>
      <c r="H34" s="81" t="b">
        <v>1</v>
      </c>
      <c r="I34" s="81" t="b">
        <v>1</v>
      </c>
      <c r="J34" s="81">
        <v>10</v>
      </c>
      <c r="K34" s="81">
        <f>VLOOKUP($A34,쿼리1[[ID]:[열1]],3,FALSE)</f>
        <v>10</v>
      </c>
      <c r="L34" s="81" t="str">
        <f>$B34&amp;"."&amp;VLOOKUP($C34,'#Data'!$B$2:$J$344,2,FALSE)&amp;".attack0"&amp;RIGHT(L$1,1)</f>
        <v>BossChallenge.goliath_1.attack01</v>
      </c>
      <c r="M34" s="81" t="str">
        <f>$B34&amp;"."&amp;VLOOKUP($C34,'#Data'!$B$2:$J$344,2,FALSE)&amp;".attack0"&amp;RIGHT(M$1,1)</f>
        <v>BossChallenge.goliath_1.attack02</v>
      </c>
      <c r="N34" s="81"/>
      <c r="O34" s="177" t="str">
        <f>$B34&amp;"."&amp;VLOOKUP($C34,'#Data'!$B$2:$J$344,2,FALSE)&amp;".skill0"&amp;RIGHT(O$1,1)</f>
        <v>BossChallenge.goliath_1.skill01</v>
      </c>
      <c r="P34" s="83" t="str">
        <f>$B34&amp;"."&amp;VLOOKUP($C34,'#Data'!$B$2:$J$344,2,FALSE)&amp;".skill0"&amp;RIGHT(P$1,1)</f>
        <v>BossChallenge.goliath_1.skill02</v>
      </c>
      <c r="Q34" s="83" t="str">
        <f>$B34&amp;"."&amp;VLOOKUP($C34,'#Data'!$B$2:$J$344,2,FALSE)&amp;".skill0"&amp;RIGHT(Q$1,1)</f>
        <v>BossChallenge.goliath_1.skill03</v>
      </c>
      <c r="R34" s="83" t="s">
        <v>3783</v>
      </c>
      <c r="S34" s="83" t="s">
        <v>3784</v>
      </c>
      <c r="T34" s="83"/>
      <c r="U34" s="83"/>
      <c r="V34" s="81" t="b">
        <v>0</v>
      </c>
      <c r="W34" s="170" t="str">
        <f>"Character/Prefabs/"&amp;VLOOKUP($C34,'#Data'!$B$3:$I$344,8,FALSE)</f>
        <v>Character/Prefabs/m_boss_attacker_goliath_1</v>
      </c>
      <c r="X34" s="81"/>
      <c r="Y34" s="81" t="str">
        <f>VLOOKUP($C34,'#Data'!$B$3:$I$344,8,FALSE)</f>
        <v>m_boss_attacker_goliath_1</v>
      </c>
      <c r="Z34" s="81"/>
      <c r="AA34" s="81"/>
      <c r="AB34" s="81"/>
      <c r="AC34" s="96">
        <v>1.4</v>
      </c>
      <c r="AD34" s="81"/>
      <c r="AE34" s="81" t="s">
        <v>172</v>
      </c>
      <c r="AF34" s="81" t="s">
        <v>173</v>
      </c>
      <c r="AG34" s="173" t="s">
        <v>2104</v>
      </c>
    </row>
    <row r="35" spans="1:33" x14ac:dyDescent="0.3">
      <c r="A35" s="81">
        <v>1111301062</v>
      </c>
      <c r="B35" s="81" t="s">
        <v>3768</v>
      </c>
      <c r="C35" s="81" t="s">
        <v>2072</v>
      </c>
      <c r="D35" s="81" t="str">
        <f>"Monster.Name."&amp;VLOOKUP($C35,'#Data'!$B$2:$J$344,2,FALSE)</f>
        <v>Monster.Name.goliath_4</v>
      </c>
      <c r="E35" s="81" t="str">
        <f>VLOOKUP($C35,'#Data'!$B$2:$J$249,6,FALSE)</f>
        <v>Attacker</v>
      </c>
      <c r="F35" s="82" t="s">
        <v>44</v>
      </c>
      <c r="G35" s="81" t="s">
        <v>45</v>
      </c>
      <c r="H35" s="81" t="b">
        <v>1</v>
      </c>
      <c r="I35" s="81" t="b">
        <v>1</v>
      </c>
      <c r="J35" s="81">
        <v>10</v>
      </c>
      <c r="K35" s="81">
        <f>VLOOKUP($A35,쿼리1[[ID]:[열1]],3,FALSE)</f>
        <v>10</v>
      </c>
      <c r="L35" s="81" t="str">
        <f>$B35&amp;"."&amp;VLOOKUP($C35,'#Data'!$B$2:$J$344,2,FALSE)&amp;".attack0"&amp;RIGHT(L$1,1)</f>
        <v>BossChallenge.goliath_4.attack01</v>
      </c>
      <c r="M35" s="81" t="str">
        <f>$B35&amp;"."&amp;VLOOKUP($C35,'#Data'!$B$2:$J$344,2,FALSE)&amp;".attack0"&amp;RIGHT(M$1,1)</f>
        <v>BossChallenge.goliath_4.attack02</v>
      </c>
      <c r="N35" s="81"/>
      <c r="O35" s="177" t="str">
        <f>$B35&amp;"."&amp;VLOOKUP($C35,'#Data'!$B$2:$J$344,2,FALSE)&amp;".skill0"&amp;RIGHT(O$1,1)</f>
        <v>BossChallenge.goliath_4.skill01</v>
      </c>
      <c r="P35" s="83" t="str">
        <f>$B35&amp;"."&amp;VLOOKUP($C35,'#Data'!$B$2:$J$344,2,FALSE)&amp;".skill0"&amp;RIGHT(P$1,1)</f>
        <v>BossChallenge.goliath_4.skill02</v>
      </c>
      <c r="Q35" s="83" t="str">
        <f>$B35&amp;"."&amp;VLOOKUP($C35,'#Data'!$B$2:$J$344,2,FALSE)&amp;".skill0"&amp;RIGHT(Q$1,1)</f>
        <v>BossChallenge.goliath_4.skill03</v>
      </c>
      <c r="R35" s="83" t="s">
        <v>3785</v>
      </c>
      <c r="S35" s="83" t="s">
        <v>3786</v>
      </c>
      <c r="T35" s="83"/>
      <c r="U35" s="83"/>
      <c r="V35" s="81" t="b">
        <v>0</v>
      </c>
      <c r="W35" s="170" t="str">
        <f>"Character/Prefabs/"&amp;VLOOKUP($C35,'#Data'!$B$3:$I$344,8,FALSE)</f>
        <v>Character/Prefabs/m_boss_attacker_goliath_4</v>
      </c>
      <c r="X35" s="163"/>
      <c r="Y35" s="163" t="s">
        <v>1972</v>
      </c>
      <c r="Z35" s="81"/>
      <c r="AA35" s="81"/>
      <c r="AB35" s="81"/>
      <c r="AC35" s="96">
        <v>1.7</v>
      </c>
      <c r="AD35" s="81"/>
      <c r="AE35" s="81" t="s">
        <v>2096</v>
      </c>
      <c r="AF35" s="81" t="s">
        <v>2097</v>
      </c>
      <c r="AG35" s="173" t="s">
        <v>2104</v>
      </c>
    </row>
    <row r="36" spans="1:33" x14ac:dyDescent="0.3">
      <c r="A36" s="81">
        <v>1111301071</v>
      </c>
      <c r="B36" s="81" t="s">
        <v>3768</v>
      </c>
      <c r="C36" s="81" t="s">
        <v>222</v>
      </c>
      <c r="D36" s="81" t="str">
        <f>"Monster.Name."&amp;VLOOKUP($C36,'#Data'!$B$2:$J$344,2,FALSE)</f>
        <v>Monster.Name.crawler_1</v>
      </c>
      <c r="E36" s="81" t="str">
        <f>VLOOKUP($C36,'#Data'!$B$2:$J$249,6,FALSE)</f>
        <v>Attacker</v>
      </c>
      <c r="F36" s="82" t="s">
        <v>44</v>
      </c>
      <c r="G36" s="81" t="s">
        <v>45</v>
      </c>
      <c r="H36" s="81" t="b">
        <v>1</v>
      </c>
      <c r="I36" s="81" t="b">
        <v>1</v>
      </c>
      <c r="J36" s="81">
        <v>10</v>
      </c>
      <c r="K36" s="81">
        <f>VLOOKUP($A36,쿼리1[[ID]:[열1]],3,FALSE)</f>
        <v>10</v>
      </c>
      <c r="L36" s="81" t="str">
        <f>$B36&amp;"."&amp;VLOOKUP($C36,'#Data'!$B$2:$J$344,2,FALSE)&amp;".attack0"&amp;RIGHT(L$1,1)</f>
        <v>BossChallenge.crawler_1.attack01</v>
      </c>
      <c r="M36" s="81" t="str">
        <f>$B36&amp;"."&amp;VLOOKUP($C36,'#Data'!$B$2:$J$344,2,FALSE)&amp;".attack0"&amp;RIGHT(M$1,1)</f>
        <v>BossChallenge.crawler_1.attack02</v>
      </c>
      <c r="N36" s="81"/>
      <c r="O36" s="177" t="str">
        <f>$B36&amp;"."&amp;VLOOKUP($C36,'#Data'!$B$2:$J$344,2,FALSE)&amp;".skill0"&amp;RIGHT(O$1,1)</f>
        <v>BossChallenge.crawler_1.skill01</v>
      </c>
      <c r="P36" s="83" t="str">
        <f>$B36&amp;"."&amp;VLOOKUP($C36,'#Data'!$B$2:$J$344,2,FALSE)&amp;".skill0"&amp;RIGHT(P$1,1)</f>
        <v>BossChallenge.crawler_1.skill02</v>
      </c>
      <c r="Q36" s="83" t="str">
        <f>$B36&amp;"."&amp;VLOOKUP($C36,'#Data'!$B$2:$J$344,2,FALSE)&amp;".skill0"&amp;RIGHT(Q$1,1)</f>
        <v>BossChallenge.crawler_1.skill03</v>
      </c>
      <c r="R36" s="83" t="s">
        <v>3787</v>
      </c>
      <c r="S36" s="83" t="s">
        <v>76</v>
      </c>
      <c r="T36" s="83"/>
      <c r="U36" s="83"/>
      <c r="V36" s="81" t="b">
        <v>0</v>
      </c>
      <c r="W36" s="170" t="str">
        <f>"Character/Prefabs/"&amp;VLOOKUP($C36,'#Data'!$B$3:$I$344,8,FALSE)</f>
        <v>Character/Prefabs/m_boss_attacker_crawler_1</v>
      </c>
      <c r="X36" s="81"/>
      <c r="Y36" s="81" t="str">
        <f>VLOOKUP($C36,'#Data'!$B$3:$I$344,8,FALSE)</f>
        <v>m_boss_attacker_crawler_1</v>
      </c>
      <c r="Z36" s="81"/>
      <c r="AA36" s="81"/>
      <c r="AB36" s="81"/>
      <c r="AC36" s="96">
        <v>1.2</v>
      </c>
      <c r="AD36" s="81"/>
      <c r="AE36" s="81" t="s">
        <v>1951</v>
      </c>
      <c r="AF36" s="81" t="s">
        <v>1953</v>
      </c>
      <c r="AG36" s="173" t="s">
        <v>2104</v>
      </c>
    </row>
    <row r="37" spans="1:33" x14ac:dyDescent="0.3">
      <c r="A37" s="81">
        <v>1111301072</v>
      </c>
      <c r="B37" s="81" t="s">
        <v>3768</v>
      </c>
      <c r="C37" s="81" t="s">
        <v>2094</v>
      </c>
      <c r="D37" s="81" t="str">
        <f>"Monster.Name."&amp;VLOOKUP($C37,'#Data'!$B$2:$J$344,2,FALSE)</f>
        <v>Monster.Name.skull_crawler_1</v>
      </c>
      <c r="E37" s="81" t="str">
        <f>VLOOKUP($C37,'#Data'!$B$2:$J$249,6,FALSE)</f>
        <v>Attacker</v>
      </c>
      <c r="F37" s="82" t="s">
        <v>44</v>
      </c>
      <c r="G37" s="81" t="s">
        <v>45</v>
      </c>
      <c r="H37" s="81" t="b">
        <v>1</v>
      </c>
      <c r="I37" s="81" t="b">
        <v>1</v>
      </c>
      <c r="J37" s="81">
        <v>10</v>
      </c>
      <c r="K37" s="81">
        <f>VLOOKUP($A37,쿼리1[[ID]:[열1]],3,FALSE)</f>
        <v>10</v>
      </c>
      <c r="L37" s="81" t="str">
        <f>$B37&amp;"."&amp;VLOOKUP($C37,'#Data'!$B$2:$J$344,2,FALSE)&amp;".attack0"&amp;RIGHT(L$1,1)</f>
        <v>BossChallenge.skull_crawler_1.attack01</v>
      </c>
      <c r="M37" s="81" t="str">
        <f>$B37&amp;"."&amp;VLOOKUP($C37,'#Data'!$B$2:$J$344,2,FALSE)&amp;".attack0"&amp;RIGHT(M$1,1)</f>
        <v>BossChallenge.skull_crawler_1.attack02</v>
      </c>
      <c r="N37" s="81"/>
      <c r="O37" s="177" t="str">
        <f>$B37&amp;"."&amp;VLOOKUP($C37,'#Data'!$B$2:$J$344,2,FALSE)&amp;".skill0"&amp;RIGHT(O$1,1)</f>
        <v>BossChallenge.skull_crawler_1.skill01</v>
      </c>
      <c r="P37" s="83" t="str">
        <f>$B37&amp;"."&amp;VLOOKUP($C37,'#Data'!$B$2:$J$344,2,FALSE)&amp;".skill0"&amp;RIGHT(P$1,1)</f>
        <v>BossChallenge.skull_crawler_1.skill02</v>
      </c>
      <c r="Q37" s="83" t="str">
        <f>$B37&amp;"."&amp;VLOOKUP($C37,'#Data'!$B$2:$J$344,2,FALSE)&amp;".skill0"&amp;RIGHT(Q$1,1)</f>
        <v>BossChallenge.skull_crawler_1.skill03</v>
      </c>
      <c r="R37" s="83" t="s">
        <v>3787</v>
      </c>
      <c r="S37" s="83" t="s">
        <v>76</v>
      </c>
      <c r="T37" s="83"/>
      <c r="U37" s="83"/>
      <c r="V37" s="81" t="b">
        <v>0</v>
      </c>
      <c r="W37" s="170" t="str">
        <f>"Character/Prefabs/"&amp;VLOOKUP($C37,'#Data'!$B$3:$I$344,8,FALSE)</f>
        <v>Character/Prefabs/m_boss_attacker_skull_crawler_1</v>
      </c>
      <c r="X37" s="81"/>
      <c r="Y37" s="162" t="s">
        <v>2095</v>
      </c>
      <c r="Z37" s="81"/>
      <c r="AA37" s="81"/>
      <c r="AB37" s="81"/>
      <c r="AC37" s="96">
        <v>1.4</v>
      </c>
      <c r="AD37" s="81"/>
      <c r="AE37" s="81" t="s">
        <v>2102</v>
      </c>
      <c r="AF37" s="81" t="s">
        <v>2103</v>
      </c>
      <c r="AG37" s="173" t="s">
        <v>2104</v>
      </c>
    </row>
    <row r="38" spans="1:33" x14ac:dyDescent="0.3">
      <c r="A38" s="13">
        <v>1110301001</v>
      </c>
      <c r="B38" s="13" t="s">
        <v>299</v>
      </c>
      <c r="C38" s="5" t="s">
        <v>42</v>
      </c>
      <c r="D38" s="5" t="str">
        <f>"Monster.Name."&amp;VLOOKUP($C38,'#Data'!$B$2:$J$344,2,FALSE)</f>
        <v>Monster.Name.solid_turretmk1_1</v>
      </c>
      <c r="E38" s="5" t="s">
        <v>43</v>
      </c>
      <c r="F38" s="17" t="s">
        <v>44</v>
      </c>
      <c r="G38" s="5" t="s">
        <v>45</v>
      </c>
      <c r="H38" s="5" t="b">
        <v>0</v>
      </c>
      <c r="I38" s="5" t="b">
        <v>0</v>
      </c>
      <c r="J38" s="5">
        <v>10</v>
      </c>
      <c r="K38" s="5">
        <f>VLOOKUP($A38,쿼리1[[ID]:[열1]],3,FALSE)</f>
        <v>10</v>
      </c>
      <c r="L38" s="2" t="s">
        <v>300</v>
      </c>
      <c r="M38" s="2"/>
      <c r="N38" s="2"/>
      <c r="O38" s="178"/>
      <c r="P38" s="14"/>
      <c r="Q38" s="14"/>
      <c r="R38" s="14"/>
      <c r="S38" s="14"/>
      <c r="T38" s="14"/>
      <c r="U38" s="14"/>
      <c r="V38" s="5" t="b">
        <v>0</v>
      </c>
      <c r="W38" s="5" t="str">
        <f>"Character/Prefabs/"&amp;VLOOKUP($C38,'#Data'!$B$3:$I$344,8,FALSE)</f>
        <v>Character/Prefabs/m_s_attacker_solid_turretmk1_1</v>
      </c>
      <c r="X38" s="5"/>
      <c r="Y38" s="5" t="str">
        <f>VLOOKUP($C38,'#Data'!$B$3:$I$344,8,FALSE)</f>
        <v>m_s_attacker_solid_turretmk1_1</v>
      </c>
      <c r="Z38" s="5"/>
      <c r="AA38" s="5"/>
      <c r="AB38" s="5"/>
      <c r="AC38" s="97">
        <v>0.7</v>
      </c>
      <c r="AD38" s="5"/>
      <c r="AE38" s="5"/>
      <c r="AF38" s="5"/>
      <c r="AG38" s="173" t="s">
        <v>2104</v>
      </c>
    </row>
    <row r="39" spans="1:33" x14ac:dyDescent="0.3">
      <c r="A39" s="13">
        <v>1110301002</v>
      </c>
      <c r="B39" s="13" t="s">
        <v>299</v>
      </c>
      <c r="C39" s="5" t="s">
        <v>46</v>
      </c>
      <c r="D39" s="5" t="str">
        <f>"Monster.Name."&amp;VLOOKUP($C39,'#Data'!$B$2:$J$344,2,FALSE)</f>
        <v>Monster.Name.spider_turret_prototype_1</v>
      </c>
      <c r="E39" s="5" t="s">
        <v>47</v>
      </c>
      <c r="F39" s="17" t="s">
        <v>44</v>
      </c>
      <c r="G39" s="5" t="s">
        <v>45</v>
      </c>
      <c r="H39" s="5" t="b">
        <v>0</v>
      </c>
      <c r="I39" s="5" t="b">
        <v>0</v>
      </c>
      <c r="J39" s="5">
        <v>10</v>
      </c>
      <c r="K39" s="5">
        <f>VLOOKUP($A39,쿼리1[[ID]:[열1]],3,FALSE)</f>
        <v>30</v>
      </c>
      <c r="L39" s="2" t="s">
        <v>301</v>
      </c>
      <c r="M39" s="2"/>
      <c r="N39" s="2"/>
      <c r="O39" s="178"/>
      <c r="P39" s="14"/>
      <c r="Q39" s="14"/>
      <c r="R39" s="14"/>
      <c r="S39" s="14"/>
      <c r="T39" s="14"/>
      <c r="U39" s="14"/>
      <c r="V39" s="5" t="b">
        <v>0</v>
      </c>
      <c r="W39" s="5" t="str">
        <f>"Character/Prefabs/"&amp;VLOOKUP($C39,'#Data'!$B$3:$I$344,8,FALSE)</f>
        <v>Character/Prefabs/m_s_ranger_spider_turret_prototype_1</v>
      </c>
      <c r="X39" s="5"/>
      <c r="Y39" s="5" t="str">
        <f>VLOOKUP($C39,'#Data'!$B$3:$I$344,8,FALSE)</f>
        <v>m_s_ranger_spider_turret_prototype_1</v>
      </c>
      <c r="Z39" s="5"/>
      <c r="AA39" s="5"/>
      <c r="AB39" s="5"/>
      <c r="AC39" s="97">
        <v>0.7</v>
      </c>
      <c r="AD39" s="5"/>
      <c r="AE39" s="5"/>
      <c r="AF39" s="5"/>
      <c r="AG39" s="173" t="s">
        <v>2104</v>
      </c>
    </row>
    <row r="40" spans="1:33" x14ac:dyDescent="0.3">
      <c r="A40" s="13">
        <v>1110301003</v>
      </c>
      <c r="B40" s="13" t="s">
        <v>299</v>
      </c>
      <c r="C40" s="5" t="s">
        <v>302</v>
      </c>
      <c r="D40" s="5" t="str">
        <f>"Monster.Name."&amp;VLOOKUP($C40,'#Data'!$B$2:$J$344,2,FALSE)</f>
        <v>Monster.Name.turtle_mechamk1_1</v>
      </c>
      <c r="E40" s="5" t="s">
        <v>43</v>
      </c>
      <c r="F40" s="17" t="s">
        <v>44</v>
      </c>
      <c r="G40" s="5" t="s">
        <v>45</v>
      </c>
      <c r="H40" s="5" t="b">
        <v>0</v>
      </c>
      <c r="I40" s="5" t="b">
        <v>0</v>
      </c>
      <c r="J40" s="5">
        <v>10</v>
      </c>
      <c r="K40" s="5">
        <f>VLOOKUP($A40,쿼리1[[ID]:[열1]],3,FALSE)</f>
        <v>10</v>
      </c>
      <c r="L40" s="2" t="s">
        <v>303</v>
      </c>
      <c r="M40" s="2"/>
      <c r="N40" s="2"/>
      <c r="O40" s="178"/>
      <c r="P40" s="14"/>
      <c r="Q40" s="14"/>
      <c r="R40" s="14"/>
      <c r="S40" s="14"/>
      <c r="T40" s="14"/>
      <c r="U40" s="14"/>
      <c r="V40" s="5" t="b">
        <v>0</v>
      </c>
      <c r="W40" s="5" t="str">
        <f>"Character/Prefabs/"&amp;VLOOKUP($C40,'#Data'!$B$3:$I$344,8,FALSE)</f>
        <v>Character/Prefabs/m_s_attacker_turtle_mechamk1_1</v>
      </c>
      <c r="X40" s="5"/>
      <c r="Y40" s="5" t="str">
        <f>VLOOKUP($C40,'#Data'!$B$3:$I$344,8,FALSE)</f>
        <v>m_s_attacker_turtle_mechamk1_1</v>
      </c>
      <c r="Z40" s="5"/>
      <c r="AA40" s="5"/>
      <c r="AB40" s="5"/>
      <c r="AC40" s="97">
        <v>0.7</v>
      </c>
      <c r="AD40" s="5"/>
      <c r="AE40" s="5"/>
      <c r="AF40" s="5"/>
      <c r="AG40" s="173" t="s">
        <v>2104</v>
      </c>
    </row>
    <row r="41" spans="1:33" x14ac:dyDescent="0.3">
      <c r="A41" s="13">
        <v>1110301004</v>
      </c>
      <c r="B41" s="13" t="s">
        <v>299</v>
      </c>
      <c r="C41" s="5" t="s">
        <v>83</v>
      </c>
      <c r="D41" s="5" t="str">
        <f>"Monster.Name."&amp;VLOOKUP($C41,'#Data'!$B$2:$J$344,2,FALSE)</f>
        <v>Monster.Name.turtle_mechamk3_3</v>
      </c>
      <c r="E41" s="5" t="s">
        <v>43</v>
      </c>
      <c r="F41" s="17" t="s">
        <v>44</v>
      </c>
      <c r="G41" s="5" t="s">
        <v>45</v>
      </c>
      <c r="H41" s="5" t="b">
        <v>0</v>
      </c>
      <c r="I41" s="5" t="b">
        <v>0</v>
      </c>
      <c r="J41" s="5">
        <v>10</v>
      </c>
      <c r="K41" s="5">
        <f>VLOOKUP($A41,쿼리1[[ID]:[열1]],3,FALSE)</f>
        <v>10</v>
      </c>
      <c r="L41" s="2" t="s">
        <v>304</v>
      </c>
      <c r="M41" s="2"/>
      <c r="N41" s="2"/>
      <c r="O41" s="178"/>
      <c r="P41" s="14"/>
      <c r="Q41" s="14"/>
      <c r="R41" s="14"/>
      <c r="S41" s="14"/>
      <c r="T41" s="14"/>
      <c r="U41" s="14"/>
      <c r="V41" s="5" t="b">
        <v>0</v>
      </c>
      <c r="W41" s="5" t="str">
        <f>"Character/Prefabs/"&amp;VLOOKUP($C41,'#Data'!$B$3:$I$344,8,FALSE)</f>
        <v>Character/Prefabs/m_s_attacker_turtle_mechamk3_3</v>
      </c>
      <c r="X41" s="5"/>
      <c r="Y41" s="5" t="str">
        <f>VLOOKUP($C41,'#Data'!$B$3:$I$344,8,FALSE)</f>
        <v>m_s_attacker_turtle_mechamk3_3</v>
      </c>
      <c r="Z41" s="5"/>
      <c r="AA41" s="5"/>
      <c r="AB41" s="5"/>
      <c r="AC41" s="97">
        <v>0.7</v>
      </c>
      <c r="AD41" s="5"/>
      <c r="AE41" s="5"/>
      <c r="AF41" s="5"/>
      <c r="AG41" s="173" t="s">
        <v>2104</v>
      </c>
    </row>
    <row r="42" spans="1:33" x14ac:dyDescent="0.3">
      <c r="A42" s="13">
        <v>1110301005</v>
      </c>
      <c r="B42" s="13" t="s">
        <v>299</v>
      </c>
      <c r="C42" s="5" t="s">
        <v>84</v>
      </c>
      <c r="D42" s="5" t="str">
        <f>"Monster.Name."&amp;VLOOKUP($C42,'#Data'!$B$2:$J$344,2,FALSE)</f>
        <v>Monster.Name.scorpion_turretmk2_3</v>
      </c>
      <c r="E42" s="5" t="s">
        <v>47</v>
      </c>
      <c r="F42" s="17" t="s">
        <v>44</v>
      </c>
      <c r="G42" s="5" t="s">
        <v>45</v>
      </c>
      <c r="H42" s="5" t="b">
        <v>0</v>
      </c>
      <c r="I42" s="5" t="b">
        <v>0</v>
      </c>
      <c r="J42" s="5">
        <v>10</v>
      </c>
      <c r="K42" s="5">
        <f>VLOOKUP($A42,쿼리1[[ID]:[열1]],3,FALSE)</f>
        <v>10</v>
      </c>
      <c r="L42" s="2" t="s">
        <v>305</v>
      </c>
      <c r="M42" s="2"/>
      <c r="N42" s="2"/>
      <c r="O42" s="178"/>
      <c r="P42" s="14"/>
      <c r="Q42" s="14"/>
      <c r="R42" s="14"/>
      <c r="S42" s="14"/>
      <c r="T42" s="14"/>
      <c r="U42" s="14"/>
      <c r="V42" s="5" t="b">
        <v>0</v>
      </c>
      <c r="W42" s="5" t="str">
        <f>"Character/Prefabs/"&amp;VLOOKUP($C42,'#Data'!$B$3:$I$344,8,FALSE)</f>
        <v>Character/Prefabs/m_s_ranger_scorpion_turretmk2_3</v>
      </c>
      <c r="X42" s="5"/>
      <c r="Y42" s="5" t="str">
        <f>VLOOKUP($C42,'#Data'!$B$3:$I$344,8,FALSE)</f>
        <v>m_s_ranger_scorpion_turretmk2_3</v>
      </c>
      <c r="Z42" s="5"/>
      <c r="AA42" s="5"/>
      <c r="AB42" s="5"/>
      <c r="AC42" s="97">
        <v>0.7</v>
      </c>
      <c r="AD42" s="5"/>
      <c r="AE42" s="5"/>
      <c r="AF42" s="5"/>
      <c r="AG42" s="173" t="s">
        <v>2104</v>
      </c>
    </row>
    <row r="43" spans="1:33" x14ac:dyDescent="0.3">
      <c r="A43" s="13">
        <v>1110301006</v>
      </c>
      <c r="B43" s="13" t="s">
        <v>299</v>
      </c>
      <c r="C43" s="5" t="s">
        <v>85</v>
      </c>
      <c r="D43" s="5" t="str">
        <f>"Monster.Name."&amp;VLOOKUP($C43,'#Data'!$B$2:$J$344,2,FALSE)</f>
        <v>Monster.Name.rhino_mechamk3_3</v>
      </c>
      <c r="E43" s="5" t="s">
        <v>43</v>
      </c>
      <c r="F43" s="17" t="s">
        <v>44</v>
      </c>
      <c r="G43" s="5" t="s">
        <v>45</v>
      </c>
      <c r="H43" s="5" t="b">
        <v>0</v>
      </c>
      <c r="I43" s="5" t="b">
        <v>0</v>
      </c>
      <c r="J43" s="5">
        <v>10</v>
      </c>
      <c r="K43" s="5">
        <f>VLOOKUP($A43,쿼리1[[ID]:[열1]],3,FALSE)</f>
        <v>10</v>
      </c>
      <c r="L43" s="2" t="s">
        <v>306</v>
      </c>
      <c r="M43" s="2"/>
      <c r="N43" s="2"/>
      <c r="O43" s="178"/>
      <c r="P43" s="14"/>
      <c r="Q43" s="14"/>
      <c r="R43" s="14"/>
      <c r="S43" s="14"/>
      <c r="T43" s="14"/>
      <c r="U43" s="14"/>
      <c r="V43" s="5" t="b">
        <v>0</v>
      </c>
      <c r="W43" s="5" t="str">
        <f>"Character/Prefabs/"&amp;VLOOKUP($C43,'#Data'!$B$3:$I$344,8,FALSE)</f>
        <v>Character/Prefabs/m_s_attacker_rhino_mechamk3_3</v>
      </c>
      <c r="X43" s="5"/>
      <c r="Y43" s="5" t="str">
        <f>VLOOKUP($C43,'#Data'!$B$3:$I$344,8,FALSE)</f>
        <v>m_s_attacker_rhino_mechamk3_3</v>
      </c>
      <c r="Z43" s="5"/>
      <c r="AA43" s="5"/>
      <c r="AB43" s="5"/>
      <c r="AC43" s="97">
        <v>0.7</v>
      </c>
      <c r="AD43" s="5"/>
      <c r="AE43" s="5"/>
      <c r="AF43" s="5"/>
      <c r="AG43" s="173" t="s">
        <v>2104</v>
      </c>
    </row>
    <row r="44" spans="1:33" x14ac:dyDescent="0.3">
      <c r="A44" s="37">
        <v>1110302001</v>
      </c>
      <c r="B44" s="37" t="s">
        <v>307</v>
      </c>
      <c r="C44" s="5" t="s">
        <v>308</v>
      </c>
      <c r="D44" s="5" t="str">
        <f>"Monster.Name."&amp;VLOOKUP($C44,'#Data'!$B$2:$J$344,2,FALSE)</f>
        <v>Monster.Name.hellfire_drone_2</v>
      </c>
      <c r="E44" s="5" t="s">
        <v>47</v>
      </c>
      <c r="F44" s="17" t="s">
        <v>44</v>
      </c>
      <c r="G44" s="5" t="s">
        <v>45</v>
      </c>
      <c r="H44" s="5" t="b">
        <v>0</v>
      </c>
      <c r="I44" s="5" t="b">
        <v>0</v>
      </c>
      <c r="J44" s="5">
        <v>10</v>
      </c>
      <c r="K44" s="5">
        <f>VLOOKUP($A44,쿼리1[[ID]:[열1]],3,FALSE)</f>
        <v>10</v>
      </c>
      <c r="L44" s="2" t="s">
        <v>309</v>
      </c>
      <c r="M44" s="2"/>
      <c r="N44" s="2"/>
      <c r="O44" s="178" t="s">
        <v>310</v>
      </c>
      <c r="P44" s="14"/>
      <c r="Q44" s="14"/>
      <c r="R44" s="14"/>
      <c r="S44" s="14" t="s">
        <v>311</v>
      </c>
      <c r="T44" s="14"/>
      <c r="U44" s="14"/>
      <c r="V44" s="5" t="b">
        <v>0</v>
      </c>
      <c r="W44" s="5" t="str">
        <f>"Character/Prefabs/"&amp;VLOOKUP($C44,'#Data'!$B$3:$I$344,8,FALSE)</f>
        <v>Character/Prefabs/m_s_ranger_hellfire_drone_2</v>
      </c>
      <c r="X44" s="5"/>
      <c r="Y44" s="5" t="str">
        <f>VLOOKUP($C44,'#Data'!$B$3:$I$344,8,FALSE)</f>
        <v>m_s_ranger_hellfire_drone_2</v>
      </c>
      <c r="Z44" s="5"/>
      <c r="AA44" s="5"/>
      <c r="AB44" s="5"/>
      <c r="AC44" s="97">
        <v>0.7</v>
      </c>
      <c r="AD44" s="5"/>
      <c r="AE44" s="5"/>
      <c r="AF44" s="5"/>
      <c r="AG44" s="173" t="s">
        <v>2104</v>
      </c>
    </row>
    <row r="45" spans="1:33" x14ac:dyDescent="0.3">
      <c r="A45" s="37">
        <v>1110302002</v>
      </c>
      <c r="B45" s="37" t="s">
        <v>312</v>
      </c>
      <c r="C45" s="5" t="s">
        <v>308</v>
      </c>
      <c r="D45" s="5" t="str">
        <f>"Monster.Name."&amp;VLOOKUP($C45,'#Data'!$B$2:$J$344,2,FALSE)</f>
        <v>Monster.Name.hellfire_drone_2</v>
      </c>
      <c r="E45" s="5" t="s">
        <v>47</v>
      </c>
      <c r="F45" s="17" t="s">
        <v>44</v>
      </c>
      <c r="G45" s="5" t="s">
        <v>45</v>
      </c>
      <c r="H45" s="5" t="b">
        <v>0</v>
      </c>
      <c r="I45" s="5" t="b">
        <v>0</v>
      </c>
      <c r="J45" s="5">
        <v>10</v>
      </c>
      <c r="K45" s="5">
        <f>VLOOKUP($A45,쿼리1[[ID]:[열1]],3,FALSE)</f>
        <v>10</v>
      </c>
      <c r="L45" s="2" t="s">
        <v>313</v>
      </c>
      <c r="M45" s="2"/>
      <c r="N45" s="2"/>
      <c r="O45" s="178" t="s">
        <v>314</v>
      </c>
      <c r="P45" s="14"/>
      <c r="Q45" s="14"/>
      <c r="R45" s="14"/>
      <c r="S45" s="14" t="s">
        <v>315</v>
      </c>
      <c r="T45" s="14"/>
      <c r="U45" s="14"/>
      <c r="V45" s="5" t="b">
        <v>0</v>
      </c>
      <c r="W45" s="5" t="str">
        <f>"Character/Prefabs/"&amp;VLOOKUP($C45,'#Data'!$B$3:$I$344,8,FALSE)</f>
        <v>Character/Prefabs/m_s_ranger_hellfire_drone_2</v>
      </c>
      <c r="X45" s="5"/>
      <c r="Y45" s="5" t="str">
        <f>VLOOKUP($C45,'#Data'!$B$3:$I$344,8,FALSE)</f>
        <v>m_s_ranger_hellfire_drone_2</v>
      </c>
      <c r="Z45" s="5"/>
      <c r="AA45" s="5"/>
      <c r="AB45" s="5"/>
      <c r="AC45" s="97">
        <v>0.7</v>
      </c>
      <c r="AD45" s="5"/>
      <c r="AE45" s="5"/>
      <c r="AF45" s="5"/>
      <c r="AG45" s="173" t="s">
        <v>2104</v>
      </c>
    </row>
    <row r="46" spans="1:33" x14ac:dyDescent="0.3">
      <c r="A46" s="51">
        <v>1110302003</v>
      </c>
      <c r="B46" s="51" t="s">
        <v>316</v>
      </c>
      <c r="C46" s="5" t="s">
        <v>317</v>
      </c>
      <c r="D46" s="5" t="str">
        <f>"Monster.Name."&amp;VLOOKUP($C46,'#Data'!$B$2:$J$344,2,FALSE)</f>
        <v>Monster.Name.heavy_trooper_launcher_1</v>
      </c>
      <c r="E46" s="5" t="s">
        <v>47</v>
      </c>
      <c r="F46" s="17" t="s">
        <v>44</v>
      </c>
      <c r="G46" s="5" t="s">
        <v>45</v>
      </c>
      <c r="H46" s="5" t="b">
        <v>1</v>
      </c>
      <c r="I46" s="5" t="b">
        <v>1</v>
      </c>
      <c r="J46" s="5">
        <v>10</v>
      </c>
      <c r="K46" s="5">
        <f>VLOOKUP($A46,쿼리1[[ID]:[열1]],3,FALSE)</f>
        <v>10</v>
      </c>
      <c r="L46" s="2" t="s">
        <v>318</v>
      </c>
      <c r="M46" s="2"/>
      <c r="N46" s="2"/>
      <c r="O46" s="178" t="s">
        <v>319</v>
      </c>
      <c r="P46" s="14" t="s">
        <v>320</v>
      </c>
      <c r="Q46" s="14" t="s">
        <v>321</v>
      </c>
      <c r="R46" s="14"/>
      <c r="S46" s="14"/>
      <c r="T46" s="14"/>
      <c r="U46" s="14"/>
      <c r="V46" s="5" t="b">
        <v>0</v>
      </c>
      <c r="W46" s="5" t="str">
        <f>"Character/Prefabs/"&amp;VLOOKUP($C46,'#Data'!$B$3:$I$344,8,FALSE)</f>
        <v>Character/Prefabs/m_m_ranger_heavy_trooper_launcher_1</v>
      </c>
      <c r="X46" s="5"/>
      <c r="Y46" s="5" t="str">
        <f>VLOOKUP($C46,'#Data'!$B$3:$I$344,8,FALSE)</f>
        <v>m_m_ranger_heavy_trooper_launcher_1</v>
      </c>
      <c r="Z46" s="5"/>
      <c r="AA46" s="5"/>
      <c r="AB46" s="5"/>
      <c r="AC46" s="97">
        <v>1</v>
      </c>
      <c r="AD46" s="5"/>
      <c r="AE46" s="5"/>
      <c r="AF46" s="5"/>
      <c r="AG46" s="173" t="s">
        <v>2104</v>
      </c>
    </row>
    <row r="47" spans="1:33" x14ac:dyDescent="0.3">
      <c r="A47" s="37">
        <v>1110302004</v>
      </c>
      <c r="B47" s="37" t="s">
        <v>316</v>
      </c>
      <c r="C47" s="5" t="s">
        <v>322</v>
      </c>
      <c r="D47" s="5" t="str">
        <f>"Monster.Name."&amp;VLOOKUP($C47,'#Data'!$B$2:$J$344,2,FALSE)</f>
        <v>Monster.Name.heavy_trooper_rifle_1</v>
      </c>
      <c r="E47" s="5" t="s">
        <v>47</v>
      </c>
      <c r="F47" s="17" t="s">
        <v>44</v>
      </c>
      <c r="G47" s="5" t="s">
        <v>45</v>
      </c>
      <c r="H47" s="5" t="b">
        <v>0</v>
      </c>
      <c r="I47" s="5" t="b">
        <v>0</v>
      </c>
      <c r="J47" s="5">
        <v>10</v>
      </c>
      <c r="K47" s="5">
        <f>VLOOKUP($A47,쿼리1[[ID]:[열1]],3,FALSE)</f>
        <v>10</v>
      </c>
      <c r="L47" s="2" t="s">
        <v>323</v>
      </c>
      <c r="M47" s="2"/>
      <c r="N47" s="2"/>
      <c r="O47" s="178" t="s">
        <v>324</v>
      </c>
      <c r="P47" s="14"/>
      <c r="Q47" s="14"/>
      <c r="R47" s="14"/>
      <c r="S47" s="14"/>
      <c r="T47" s="14"/>
      <c r="U47" s="14"/>
      <c r="V47" s="5" t="b">
        <v>0</v>
      </c>
      <c r="W47" s="5" t="str">
        <f>"Character/Prefabs/"&amp;VLOOKUP($C47,'#Data'!$B$3:$I$344,8,FALSE)</f>
        <v>Character/Prefabs/m_m_ranger_heavy_trooper_rifle_1</v>
      </c>
      <c r="X47" s="5"/>
      <c r="Y47" s="5" t="str">
        <f>VLOOKUP($C47,'#Data'!$B$3:$I$344,8,FALSE)</f>
        <v>m_m_ranger_heavy_trooper_rifle_1</v>
      </c>
      <c r="Z47" s="5"/>
      <c r="AA47" s="5"/>
      <c r="AB47" s="5"/>
      <c r="AC47" s="97">
        <v>0.7</v>
      </c>
      <c r="AD47" s="5"/>
      <c r="AE47" s="5"/>
      <c r="AF47" s="5"/>
      <c r="AG47" s="173" t="s">
        <v>2104</v>
      </c>
    </row>
    <row r="48" spans="1:33" x14ac:dyDescent="0.3">
      <c r="A48" s="37">
        <v>1110302005</v>
      </c>
      <c r="B48" s="37" t="s">
        <v>316</v>
      </c>
      <c r="C48" s="5" t="s">
        <v>325</v>
      </c>
      <c r="D48" s="5" t="str">
        <f>"Monster.Name."&amp;VLOOKUP($C48,'#Data'!$B$2:$J$344,2,FALSE)</f>
        <v>Monster.Name.heavy_trooper_flame_1</v>
      </c>
      <c r="E48" s="5" t="s">
        <v>43</v>
      </c>
      <c r="F48" s="17" t="s">
        <v>44</v>
      </c>
      <c r="G48" s="5" t="s">
        <v>45</v>
      </c>
      <c r="H48" s="5" t="b">
        <v>0</v>
      </c>
      <c r="I48" s="5" t="b">
        <v>0</v>
      </c>
      <c r="J48" s="5">
        <v>10</v>
      </c>
      <c r="K48" s="5">
        <f>VLOOKUP($A48,쿼리1[[ID]:[열1]],3,FALSE)</f>
        <v>10</v>
      </c>
      <c r="L48" s="2" t="s">
        <v>326</v>
      </c>
      <c r="M48" s="2"/>
      <c r="N48" s="2"/>
      <c r="O48" s="178"/>
      <c r="P48" s="14"/>
      <c r="Q48" s="14"/>
      <c r="R48" s="14"/>
      <c r="S48" s="14"/>
      <c r="T48" s="14"/>
      <c r="U48" s="14"/>
      <c r="V48" s="5" t="b">
        <v>0</v>
      </c>
      <c r="W48" s="5" t="str">
        <f>"Character/Prefabs/"&amp;VLOOKUP($C48,'#Data'!$B$3:$I$344,8,FALSE)</f>
        <v>Character/Prefabs/m_m_attacker_heavy_trooper_flame_1</v>
      </c>
      <c r="X48" s="5"/>
      <c r="Y48" s="5" t="str">
        <f>VLOOKUP($C48,'#Data'!$B$3:$I$344,8,FALSE)</f>
        <v>m_m_attacker_heavy_trooper_flame_1</v>
      </c>
      <c r="Z48" s="5"/>
      <c r="AA48" s="5"/>
      <c r="AB48" s="5"/>
      <c r="AC48" s="97">
        <v>0.7</v>
      </c>
      <c r="AD48" s="5"/>
      <c r="AE48" s="5"/>
      <c r="AF48" s="5"/>
      <c r="AG48" s="173" t="s">
        <v>2104</v>
      </c>
    </row>
    <row r="49" spans="1:33" x14ac:dyDescent="0.3">
      <c r="A49" s="37">
        <v>1110302006</v>
      </c>
      <c r="B49" s="37" t="s">
        <v>316</v>
      </c>
      <c r="C49" s="5" t="s">
        <v>116</v>
      </c>
      <c r="D49" s="5" t="str">
        <f>"Monster.Name."&amp;VLOOKUP($C49,'#Data'!$B$2:$J$344,2,FALSE)</f>
        <v>Monster.Name.grima_alpha_1</v>
      </c>
      <c r="E49" s="5" t="s">
        <v>43</v>
      </c>
      <c r="F49" s="17" t="s">
        <v>44</v>
      </c>
      <c r="G49" s="5" t="s">
        <v>45</v>
      </c>
      <c r="H49" s="5" t="b">
        <v>0</v>
      </c>
      <c r="I49" s="5" t="b">
        <v>0</v>
      </c>
      <c r="J49" s="5">
        <v>10</v>
      </c>
      <c r="K49" s="5">
        <f>VLOOKUP($A49,쿼리1[[ID]:[열1]],3,FALSE)</f>
        <v>10</v>
      </c>
      <c r="L49" s="2" t="s">
        <v>327</v>
      </c>
      <c r="M49" s="2"/>
      <c r="N49" s="2"/>
      <c r="O49" s="178" t="s">
        <v>328</v>
      </c>
      <c r="P49" s="14" t="s">
        <v>329</v>
      </c>
      <c r="Q49" s="14"/>
      <c r="R49" s="14"/>
      <c r="S49" s="14"/>
      <c r="T49" s="14"/>
      <c r="U49" s="14"/>
      <c r="V49" s="5" t="b">
        <v>0</v>
      </c>
      <c r="W49" s="5" t="str">
        <f>"Character/Prefabs/"&amp;VLOOKUP($C49,'#Data'!$B$3:$I$344,8,FALSE)</f>
        <v>Character/Prefabs/m_l_attacker_grima_alpha_1</v>
      </c>
      <c r="X49" s="5"/>
      <c r="Y49" s="5" t="str">
        <f>VLOOKUP($C49,'#Data'!$B$3:$I$344,8,FALSE)</f>
        <v>m_l_attacker_grima_alpha_1</v>
      </c>
      <c r="Z49" s="5"/>
      <c r="AA49" s="5"/>
      <c r="AB49" s="5"/>
      <c r="AC49" s="97">
        <v>0.6</v>
      </c>
      <c r="AD49" s="5"/>
      <c r="AE49" s="5"/>
      <c r="AF49" s="5"/>
      <c r="AG49" s="173" t="s">
        <v>2104</v>
      </c>
    </row>
    <row r="50" spans="1:33" x14ac:dyDescent="0.3">
      <c r="A50" s="37">
        <v>1110302007</v>
      </c>
      <c r="B50" s="37" t="s">
        <v>316</v>
      </c>
      <c r="C50" s="5" t="s">
        <v>117</v>
      </c>
      <c r="D50" s="5" t="str">
        <f>"Monster.Name."&amp;VLOOKUP($C50,'#Data'!$B$2:$J$344,2,FALSE)</f>
        <v>Monster.Name.draindermis_1</v>
      </c>
      <c r="E50" s="5" t="s">
        <v>47</v>
      </c>
      <c r="F50" s="17" t="s">
        <v>44</v>
      </c>
      <c r="G50" s="5" t="s">
        <v>45</v>
      </c>
      <c r="H50" s="5" t="b">
        <v>0</v>
      </c>
      <c r="I50" s="5" t="b">
        <v>0</v>
      </c>
      <c r="J50" s="5">
        <v>10</v>
      </c>
      <c r="K50" s="5">
        <f>VLOOKUP($A50,쿼리1[[ID]:[열1]],3,FALSE)</f>
        <v>10</v>
      </c>
      <c r="L50" s="2" t="s">
        <v>330</v>
      </c>
      <c r="M50" s="2"/>
      <c r="N50" s="2"/>
      <c r="O50" s="178" t="s">
        <v>331</v>
      </c>
      <c r="P50" s="14" t="s">
        <v>332</v>
      </c>
      <c r="Q50" s="14"/>
      <c r="R50" s="14"/>
      <c r="S50" s="14"/>
      <c r="T50" s="14"/>
      <c r="U50" s="14"/>
      <c r="V50" s="5" t="b">
        <v>0</v>
      </c>
      <c r="W50" s="5" t="str">
        <f>"Character/Prefabs/"&amp;VLOOKUP($C50,'#Data'!$B$3:$I$344,8,FALSE)</f>
        <v>Character/Prefabs/m_l_ranger_draindermis_1</v>
      </c>
      <c r="X50" s="5"/>
      <c r="Y50" s="5" t="str">
        <f>VLOOKUP($C50,'#Data'!$B$3:$I$344,8,FALSE)</f>
        <v>m_l_ranger_draindermis_1</v>
      </c>
      <c r="Z50" s="5"/>
      <c r="AA50" s="5"/>
      <c r="AB50" s="5"/>
      <c r="AC50" s="97">
        <v>0.7</v>
      </c>
      <c r="AD50" s="5"/>
      <c r="AE50" s="5"/>
      <c r="AF50" s="5"/>
      <c r="AG50" s="173" t="s">
        <v>2104</v>
      </c>
    </row>
    <row r="51" spans="1:33" x14ac:dyDescent="0.3">
      <c r="A51" s="37">
        <v>1110302008</v>
      </c>
      <c r="B51" s="37" t="s">
        <v>316</v>
      </c>
      <c r="C51" s="5" t="s">
        <v>118</v>
      </c>
      <c r="D51" s="5" t="str">
        <f>"Monster.Name."&amp;VLOOKUP($C51,'#Data'!$B$2:$J$344,2,FALSE)</f>
        <v>Monster.Name.grima_beta_1</v>
      </c>
      <c r="E51" s="5" t="s">
        <v>43</v>
      </c>
      <c r="F51" s="17" t="s">
        <v>44</v>
      </c>
      <c r="G51" s="5" t="s">
        <v>45</v>
      </c>
      <c r="H51" s="5" t="b">
        <v>0</v>
      </c>
      <c r="I51" s="5" t="b">
        <v>0</v>
      </c>
      <c r="J51" s="5">
        <v>10</v>
      </c>
      <c r="K51" s="5">
        <f>VLOOKUP($A51,쿼리1[[ID]:[열1]],3,FALSE)</f>
        <v>10</v>
      </c>
      <c r="L51" s="2" t="s">
        <v>333</v>
      </c>
      <c r="M51" s="2"/>
      <c r="N51" s="2"/>
      <c r="O51" s="178" t="s">
        <v>334</v>
      </c>
      <c r="P51" s="14" t="s">
        <v>335</v>
      </c>
      <c r="Q51" s="14"/>
      <c r="R51" s="14"/>
      <c r="S51" s="14"/>
      <c r="T51" s="14"/>
      <c r="U51" s="14"/>
      <c r="V51" s="5" t="b">
        <v>0</v>
      </c>
      <c r="W51" s="5" t="str">
        <f>"Character/Prefabs/"&amp;VLOOKUP($C51,'#Data'!$B$3:$I$344,8,FALSE)</f>
        <v>Character/Prefabs/m_l_attacker_grima_beta_1</v>
      </c>
      <c r="X51" s="5"/>
      <c r="Y51" s="5" t="str">
        <f>VLOOKUP($C51,'#Data'!$B$3:$I$344,8,FALSE)</f>
        <v>m_l_attacker_grima_beta_1</v>
      </c>
      <c r="Z51" s="5"/>
      <c r="AA51" s="5"/>
      <c r="AB51" s="5"/>
      <c r="AC51" s="97">
        <v>0.6</v>
      </c>
      <c r="AD51" s="5"/>
      <c r="AE51" s="5"/>
      <c r="AF51" s="5"/>
      <c r="AG51" s="173" t="s">
        <v>2104</v>
      </c>
    </row>
    <row r="52" spans="1:33" x14ac:dyDescent="0.3">
      <c r="A52" s="37">
        <v>1110302009</v>
      </c>
      <c r="B52" s="37" t="s">
        <v>316</v>
      </c>
      <c r="C52" s="5" t="s">
        <v>168</v>
      </c>
      <c r="D52" s="5" t="str">
        <f>"Monster.Name."&amp;VLOOKUP($C52,'#Data'!$B$2:$J$344,2,FALSE)</f>
        <v>Monster.Name.labmecha_punch_1</v>
      </c>
      <c r="E52" s="5" t="s">
        <v>58</v>
      </c>
      <c r="F52" s="17" t="s">
        <v>44</v>
      </c>
      <c r="G52" s="5" t="s">
        <v>45</v>
      </c>
      <c r="H52" s="5" t="b">
        <v>0</v>
      </c>
      <c r="I52" s="5" t="b">
        <v>0</v>
      </c>
      <c r="J52" s="5">
        <v>10</v>
      </c>
      <c r="K52" s="5">
        <f>VLOOKUP($A52,쿼리1[[ID]:[열1]],3,FALSE)</f>
        <v>10</v>
      </c>
      <c r="L52" s="2" t="s">
        <v>336</v>
      </c>
      <c r="M52" s="2"/>
      <c r="N52" s="2"/>
      <c r="O52" s="178" t="s">
        <v>337</v>
      </c>
      <c r="P52" s="14"/>
      <c r="Q52" s="14"/>
      <c r="R52" s="14"/>
      <c r="S52" s="14"/>
      <c r="T52" s="14"/>
      <c r="U52" s="14"/>
      <c r="V52" s="5" t="b">
        <v>0</v>
      </c>
      <c r="W52" s="5" t="str">
        <f>"Character/Prefabs/"&amp;VLOOKUP($C52,'#Data'!$B$3:$I$344,8,FALSE)</f>
        <v>Character/Prefabs/m_l_tanker_labmecha_punch_1</v>
      </c>
      <c r="X52" s="5"/>
      <c r="Y52" s="5" t="str">
        <f>VLOOKUP($C52,'#Data'!$B$3:$I$344,8,FALSE)</f>
        <v>m_l_tanker_labmecha_punch_1</v>
      </c>
      <c r="Z52" s="5"/>
      <c r="AA52" s="5"/>
      <c r="AB52" s="5"/>
      <c r="AC52" s="97">
        <v>0.7</v>
      </c>
      <c r="AD52" s="5"/>
      <c r="AE52" s="5"/>
      <c r="AF52" s="5"/>
      <c r="AG52" s="173" t="s">
        <v>2104</v>
      </c>
    </row>
    <row r="53" spans="1:33" x14ac:dyDescent="0.3">
      <c r="A53" s="37">
        <v>1110302010</v>
      </c>
      <c r="B53" s="37" t="s">
        <v>316</v>
      </c>
      <c r="C53" s="5" t="s">
        <v>166</v>
      </c>
      <c r="D53" s="5" t="str">
        <f>"Monster.Name."&amp;VLOOKUP($C53,'#Data'!$B$2:$J$344,2,FALSE)</f>
        <v>Monster.Name.harbor_cannon_1</v>
      </c>
      <c r="E53" s="5" t="s">
        <v>47</v>
      </c>
      <c r="F53" s="17" t="s">
        <v>44</v>
      </c>
      <c r="G53" s="5" t="s">
        <v>45</v>
      </c>
      <c r="H53" s="5" t="b">
        <v>0</v>
      </c>
      <c r="I53" s="5" t="b">
        <v>0</v>
      </c>
      <c r="J53" s="5">
        <v>10</v>
      </c>
      <c r="K53" s="5">
        <f>VLOOKUP($A53,쿼리1[[ID]:[열1]],3,FALSE)</f>
        <v>20</v>
      </c>
      <c r="L53" s="2" t="s">
        <v>338</v>
      </c>
      <c r="M53" s="2"/>
      <c r="N53" s="2"/>
      <c r="O53" s="178"/>
      <c r="P53" s="14"/>
      <c r="Q53" s="14"/>
      <c r="R53" s="14"/>
      <c r="S53" s="14"/>
      <c r="T53" s="14"/>
      <c r="U53" s="14"/>
      <c r="V53" s="5" t="b">
        <v>0</v>
      </c>
      <c r="W53" s="5" t="str">
        <f>"Character/Prefabs/"&amp;VLOOKUP($C53,'#Data'!$B$3:$I$344,8,FALSE)</f>
        <v>Character/Prefabs/m_m_ranger_harbor_cannon_1</v>
      </c>
      <c r="X53" s="5"/>
      <c r="Y53" s="5" t="str">
        <f>VLOOKUP($C53,'#Data'!$B$3:$I$344,8,FALSE)</f>
        <v>m_m_ranger_harbor_cannon_1</v>
      </c>
      <c r="Z53" s="5"/>
      <c r="AA53" s="5"/>
      <c r="AB53" s="5"/>
      <c r="AC53" s="97">
        <v>0.6</v>
      </c>
      <c r="AD53" s="5"/>
      <c r="AE53" s="5"/>
      <c r="AF53" s="5"/>
      <c r="AG53" s="173" t="s">
        <v>2104</v>
      </c>
    </row>
    <row r="54" spans="1:33" x14ac:dyDescent="0.3">
      <c r="A54" s="12">
        <v>1110303001</v>
      </c>
      <c r="B54" s="12" t="s">
        <v>339</v>
      </c>
      <c r="C54" s="5" t="s">
        <v>87</v>
      </c>
      <c r="D54" s="76" t="s">
        <v>340</v>
      </c>
      <c r="E54" s="5" t="s">
        <v>1833</v>
      </c>
      <c r="F54" s="17" t="s">
        <v>44</v>
      </c>
      <c r="G54" s="5" t="s">
        <v>45</v>
      </c>
      <c r="H54" s="5" t="b">
        <v>0</v>
      </c>
      <c r="I54" s="5" t="b">
        <v>0</v>
      </c>
      <c r="J54" s="5">
        <v>10</v>
      </c>
      <c r="K54" s="5">
        <f>VLOOKUP($A54,쿼리1[[ID]:[열1]],3,FALSE)</f>
        <v>10</v>
      </c>
      <c r="L54" s="2" t="s">
        <v>341</v>
      </c>
      <c r="M54" s="2"/>
      <c r="N54" s="2"/>
      <c r="O54" s="178" t="s">
        <v>342</v>
      </c>
      <c r="P54" s="14"/>
      <c r="Q54" s="14"/>
      <c r="R54" s="14"/>
      <c r="S54" s="14"/>
      <c r="T54" s="14"/>
      <c r="U54" s="14"/>
      <c r="V54" s="5" t="b">
        <v>0</v>
      </c>
      <c r="W54" s="5" t="str">
        <f>"Character/Prefabs/"&amp;VLOOKUP($C54,'#Data'!$B$3:$I$344,8,FALSE)</f>
        <v>Character/Prefabs/m_s_ranger_hellfire_drone_3</v>
      </c>
      <c r="X54" s="5"/>
      <c r="Y54" s="5" t="str">
        <f>VLOOKUP($C54,'#Data'!$B$3:$I$344,8,FALSE)</f>
        <v>m_s_ranger_hellfire_drone_3</v>
      </c>
      <c r="Z54" s="5"/>
      <c r="AA54" s="5"/>
      <c r="AB54" s="5"/>
      <c r="AC54" s="97">
        <v>0.7</v>
      </c>
      <c r="AD54" s="5"/>
      <c r="AE54" s="5"/>
      <c r="AF54" s="5"/>
      <c r="AG54" s="173" t="s">
        <v>2104</v>
      </c>
    </row>
    <row r="55" spans="1:33" x14ac:dyDescent="0.3">
      <c r="A55" s="12">
        <v>1110303002</v>
      </c>
      <c r="B55" s="12" t="s">
        <v>339</v>
      </c>
      <c r="C55" s="5" t="s">
        <v>343</v>
      </c>
      <c r="D55" s="76" t="s">
        <v>344</v>
      </c>
      <c r="E55" s="5" t="s">
        <v>1833</v>
      </c>
      <c r="F55" s="17" t="s">
        <v>44</v>
      </c>
      <c r="G55" s="5" t="s">
        <v>45</v>
      </c>
      <c r="H55" s="5" t="b">
        <v>0</v>
      </c>
      <c r="I55" s="5" t="b">
        <v>0</v>
      </c>
      <c r="J55" s="5">
        <v>10</v>
      </c>
      <c r="K55" s="5">
        <f>VLOOKUP($A55,쿼리1[[ID]:[열1]],3,FALSE)</f>
        <v>10</v>
      </c>
      <c r="L55" s="2" t="s">
        <v>345</v>
      </c>
      <c r="M55" s="2"/>
      <c r="N55" s="2"/>
      <c r="O55" s="178" t="s">
        <v>346</v>
      </c>
      <c r="P55" s="14"/>
      <c r="Q55" s="14"/>
      <c r="R55" s="14"/>
      <c r="S55" s="14"/>
      <c r="T55" s="14"/>
      <c r="U55" s="14"/>
      <c r="V55" s="5" t="b">
        <v>0</v>
      </c>
      <c r="W55" s="5" t="str">
        <f>"Character/Prefabs/"&amp;VLOOKUP($C55,'#Data'!$B$3:$I$344,8,FALSE)</f>
        <v>Character/Prefabs/m_s_supporter_regeneration_drone_3</v>
      </c>
      <c r="X55" s="5"/>
      <c r="Y55" s="5" t="str">
        <f>VLOOKUP($C55,'#Data'!$B$3:$I$344,8,FALSE)</f>
        <v>m_s_supporter_regeneration_drone_3</v>
      </c>
      <c r="Z55" s="5"/>
      <c r="AA55" s="5"/>
      <c r="AB55" s="5"/>
      <c r="AC55" s="97">
        <v>0.7</v>
      </c>
      <c r="AD55" s="5"/>
      <c r="AE55" s="5"/>
      <c r="AF55" s="5"/>
      <c r="AG55" s="173" t="s">
        <v>2104</v>
      </c>
    </row>
    <row r="56" spans="1:33" x14ac:dyDescent="0.3">
      <c r="A56" s="12">
        <v>1110303003</v>
      </c>
      <c r="B56" s="12" t="s">
        <v>339</v>
      </c>
      <c r="C56" s="5" t="s">
        <v>94</v>
      </c>
      <c r="D56" s="5" t="str">
        <f>"Monster.Name."&amp;VLOOKUP($C56,'#Data'!$B$2:$J$344,2,FALSE)</f>
        <v>Monster.Name.shelter_sweeper_g_1</v>
      </c>
      <c r="E56" s="5" t="s">
        <v>58</v>
      </c>
      <c r="F56" s="17" t="s">
        <v>44</v>
      </c>
      <c r="G56" s="5" t="s">
        <v>45</v>
      </c>
      <c r="H56" s="5" t="b">
        <v>1</v>
      </c>
      <c r="I56" s="5" t="b">
        <v>1</v>
      </c>
      <c r="J56" s="5">
        <v>20</v>
      </c>
      <c r="K56" s="5">
        <f>VLOOKUP($A56,쿼리1[[ID]:[열1]],3,FALSE)</f>
        <v>10</v>
      </c>
      <c r="L56" s="2" t="s">
        <v>347</v>
      </c>
      <c r="M56" s="2"/>
      <c r="N56" s="2"/>
      <c r="O56" s="178" t="s">
        <v>348</v>
      </c>
      <c r="P56" s="14" t="s">
        <v>349</v>
      </c>
      <c r="Q56" s="14" t="s">
        <v>2074</v>
      </c>
      <c r="R56" s="14"/>
      <c r="S56" s="14" t="s">
        <v>350</v>
      </c>
      <c r="T56" s="14"/>
      <c r="U56" s="14"/>
      <c r="V56" s="5" t="b">
        <v>0</v>
      </c>
      <c r="W56" s="5" t="str">
        <f>"Character/Prefabs/"&amp;VLOOKUP($C56,'#Data'!$B$3:$I$344,8,FALSE)</f>
        <v>Character/Prefabs/m_m_tanker_shelter_sweeper_g_1</v>
      </c>
      <c r="X56" s="5"/>
      <c r="Y56" s="5" t="str">
        <f>VLOOKUP($C56,'#Data'!$B$3:$I$344,8,FALSE)</f>
        <v>m_m_tanker_shelter_sweeper_g_1</v>
      </c>
      <c r="Z56" s="5"/>
      <c r="AA56" s="5"/>
      <c r="AB56" s="5"/>
      <c r="AC56" s="97">
        <v>1</v>
      </c>
      <c r="AD56" s="5"/>
      <c r="AE56" s="5"/>
      <c r="AF56" s="5"/>
      <c r="AG56" s="173" t="s">
        <v>2104</v>
      </c>
    </row>
    <row r="57" spans="1:33" x14ac:dyDescent="0.3">
      <c r="A57" s="37">
        <v>1110304001</v>
      </c>
      <c r="B57" s="37" t="s">
        <v>351</v>
      </c>
      <c r="C57" s="5" t="s">
        <v>106</v>
      </c>
      <c r="D57" s="5" t="str">
        <f>"Monster.Name."&amp;VLOOKUP($C57,'#Data'!$B$2:$J$344,2,FALSE)</f>
        <v>Monster.Name.brain_hunter_1</v>
      </c>
      <c r="E57" s="5" t="s">
        <v>43</v>
      </c>
      <c r="F57" s="17" t="s">
        <v>44</v>
      </c>
      <c r="G57" s="5" t="s">
        <v>45</v>
      </c>
      <c r="H57" s="5" t="b">
        <v>0</v>
      </c>
      <c r="I57" s="5" t="b">
        <v>0</v>
      </c>
      <c r="J57" s="5">
        <v>10</v>
      </c>
      <c r="K57" s="5">
        <f>VLOOKUP($A57,쿼리1[[ID]:[열1]],3,FALSE)</f>
        <v>10</v>
      </c>
      <c r="L57" s="2" t="s">
        <v>352</v>
      </c>
      <c r="M57" s="2"/>
      <c r="N57" s="2"/>
      <c r="O57" s="178" t="s">
        <v>353</v>
      </c>
      <c r="P57" s="14" t="s">
        <v>354</v>
      </c>
      <c r="Q57" s="14"/>
      <c r="R57" s="14"/>
      <c r="S57" s="14"/>
      <c r="T57" s="14"/>
      <c r="U57" s="14"/>
      <c r="V57" s="5" t="b">
        <v>0</v>
      </c>
      <c r="W57" s="5" t="str">
        <f>"Character/Prefabs/"&amp;VLOOKUP($C57,'#Data'!$B$3:$I$344,8,FALSE)</f>
        <v>Character/Prefabs/m_s_attacker_brain_hunter_1</v>
      </c>
      <c r="X57" s="5"/>
      <c r="Y57" s="5" t="str">
        <f>VLOOKUP($C57,'#Data'!$B$3:$I$344,8,FALSE)</f>
        <v>m_s_attacker_brain_hunter_1</v>
      </c>
      <c r="Z57" s="5"/>
      <c r="AA57" s="5"/>
      <c r="AB57" s="5"/>
      <c r="AC57" s="97">
        <v>1</v>
      </c>
      <c r="AD57" s="5"/>
      <c r="AE57" s="5"/>
      <c r="AF57" s="5"/>
      <c r="AG57" s="173" t="s">
        <v>2104</v>
      </c>
    </row>
    <row r="58" spans="1:33" x14ac:dyDescent="0.3">
      <c r="A58" s="37">
        <v>1110304002</v>
      </c>
      <c r="B58" s="37" t="s">
        <v>351</v>
      </c>
      <c r="C58" s="5" t="s">
        <v>177</v>
      </c>
      <c r="D58" s="5" t="str">
        <f>"Monster.Name."&amp;VLOOKUP($C58,'#Data'!$B$2:$J$344,2,FALSE)</f>
        <v>Monster.Name.polluter_exploder_1</v>
      </c>
      <c r="E58" s="5" t="s">
        <v>43</v>
      </c>
      <c r="F58" s="17" t="s">
        <v>44</v>
      </c>
      <c r="G58" s="5" t="s">
        <v>45</v>
      </c>
      <c r="H58" s="5" t="b">
        <v>0</v>
      </c>
      <c r="I58" s="5" t="b">
        <v>0</v>
      </c>
      <c r="J58" s="5">
        <v>10</v>
      </c>
      <c r="K58" s="5">
        <f>VLOOKUP($A58,쿼리1[[ID]:[열1]],3,FALSE)</f>
        <v>10</v>
      </c>
      <c r="L58" s="2" t="s">
        <v>355</v>
      </c>
      <c r="M58" s="2"/>
      <c r="N58" s="2"/>
      <c r="O58" s="178" t="s">
        <v>356</v>
      </c>
      <c r="P58" s="14" t="s">
        <v>354</v>
      </c>
      <c r="Q58" s="14"/>
      <c r="R58" s="14"/>
      <c r="S58" s="14"/>
      <c r="T58" s="14"/>
      <c r="U58" s="14"/>
      <c r="V58" s="5" t="b">
        <v>0</v>
      </c>
      <c r="W58" s="5" t="str">
        <f>"Character/Prefabs/"&amp;VLOOKUP($C58,'#Data'!$B$3:$I$344,8,FALSE)</f>
        <v>Character/Prefabs/m_s_attacker_polluter_exploder_1</v>
      </c>
      <c r="X58" s="5"/>
      <c r="Y58" s="5" t="str">
        <f>VLOOKUP($C58,'#Data'!$B$3:$I$344,8,FALSE)</f>
        <v>m_s_attacker_polluter_exploder_1</v>
      </c>
      <c r="Z58" s="5"/>
      <c r="AA58" s="5"/>
      <c r="AB58" s="5"/>
      <c r="AC58" s="97">
        <v>1.5</v>
      </c>
      <c r="AD58" s="5"/>
      <c r="AE58" s="5"/>
      <c r="AF58" s="5"/>
      <c r="AG58" s="173" t="s">
        <v>2104</v>
      </c>
    </row>
    <row r="59" spans="1:33" x14ac:dyDescent="0.3">
      <c r="A59" s="13">
        <v>1110305001</v>
      </c>
      <c r="B59" s="13" t="s">
        <v>357</v>
      </c>
      <c r="C59" s="5" t="s">
        <v>325</v>
      </c>
      <c r="D59" s="5" t="str">
        <f>"Monster.Name."&amp;VLOOKUP($C59,'#Data'!$B$2:$J$344,2,FALSE)</f>
        <v>Monster.Name.heavy_trooper_flame_1</v>
      </c>
      <c r="E59" s="5" t="s">
        <v>43</v>
      </c>
      <c r="F59" s="17" t="s">
        <v>44</v>
      </c>
      <c r="G59" s="5" t="s">
        <v>45</v>
      </c>
      <c r="H59" s="5" t="b">
        <v>0</v>
      </c>
      <c r="I59" s="5" t="b">
        <v>0</v>
      </c>
      <c r="J59" s="5">
        <v>10</v>
      </c>
      <c r="K59" s="5">
        <f>VLOOKUP($A59,쿼리1[[ID]:[열1]],3,FALSE)</f>
        <v>10</v>
      </c>
      <c r="L59" s="2" t="s">
        <v>358</v>
      </c>
      <c r="M59" s="2"/>
      <c r="N59" s="2"/>
      <c r="O59" s="178" t="s">
        <v>359</v>
      </c>
      <c r="P59" s="14"/>
      <c r="Q59" s="14"/>
      <c r="R59" s="14"/>
      <c r="S59" s="14"/>
      <c r="T59" s="14"/>
      <c r="U59" s="14"/>
      <c r="V59" s="5" t="b">
        <v>0</v>
      </c>
      <c r="W59" s="5" t="str">
        <f>"Character/Prefabs/"&amp;VLOOKUP($C59,'#Data'!$B$3:$I$344,8,FALSE)</f>
        <v>Character/Prefabs/m_m_attacker_heavy_trooper_flame_1</v>
      </c>
      <c r="X59" s="5"/>
      <c r="Y59" s="5" t="str">
        <f>VLOOKUP($C59,'#Data'!$B$3:$I$344,8,FALSE)</f>
        <v>m_m_attacker_heavy_trooper_flame_1</v>
      </c>
      <c r="Z59" s="5"/>
      <c r="AA59" s="5"/>
      <c r="AB59" s="5"/>
      <c r="AC59" s="97">
        <v>0.7</v>
      </c>
      <c r="AD59" s="5"/>
      <c r="AE59" s="5"/>
      <c r="AF59" s="5"/>
      <c r="AG59" s="173" t="s">
        <v>2104</v>
      </c>
    </row>
    <row r="60" spans="1:33" x14ac:dyDescent="0.3">
      <c r="A60" s="13">
        <v>1110305002</v>
      </c>
      <c r="B60" s="13" t="s">
        <v>357</v>
      </c>
      <c r="C60" s="5" t="s">
        <v>322</v>
      </c>
      <c r="D60" s="5" t="str">
        <f>"Monster.Name."&amp;VLOOKUP($C60,'#Data'!$B$2:$J$344,2,FALSE)</f>
        <v>Monster.Name.heavy_trooper_rifle_1</v>
      </c>
      <c r="E60" s="5" t="s">
        <v>47</v>
      </c>
      <c r="F60" s="17" t="s">
        <v>44</v>
      </c>
      <c r="G60" s="5" t="s">
        <v>45</v>
      </c>
      <c r="H60" s="5" t="b">
        <v>0</v>
      </c>
      <c r="I60" s="5" t="b">
        <v>0</v>
      </c>
      <c r="J60" s="5">
        <v>10</v>
      </c>
      <c r="K60" s="5">
        <f>VLOOKUP($A60,쿼리1[[ID]:[열1]],3,FALSE)</f>
        <v>10</v>
      </c>
      <c r="L60" s="2" t="s">
        <v>360</v>
      </c>
      <c r="M60" s="2"/>
      <c r="N60" s="2"/>
      <c r="O60" s="178" t="s">
        <v>361</v>
      </c>
      <c r="P60" s="14"/>
      <c r="Q60" s="14"/>
      <c r="R60" s="14"/>
      <c r="S60" s="14"/>
      <c r="T60" s="14"/>
      <c r="U60" s="14"/>
      <c r="V60" s="5" t="b">
        <v>0</v>
      </c>
      <c r="W60" s="5" t="str">
        <f>"Character/Prefabs/"&amp;VLOOKUP($C60,'#Data'!$B$3:$I$344,8,FALSE)</f>
        <v>Character/Prefabs/m_m_ranger_heavy_trooper_rifle_1</v>
      </c>
      <c r="X60" s="5"/>
      <c r="Y60" s="5" t="str">
        <f>VLOOKUP($C60,'#Data'!$B$3:$I$344,8,FALSE)</f>
        <v>m_m_ranger_heavy_trooper_rifle_1</v>
      </c>
      <c r="Z60" s="5"/>
      <c r="AA60" s="5"/>
      <c r="AB60" s="5"/>
      <c r="AC60" s="97">
        <v>0.7</v>
      </c>
      <c r="AD60" s="5"/>
      <c r="AE60" s="5"/>
      <c r="AF60" s="5"/>
      <c r="AG60" s="173" t="s">
        <v>2104</v>
      </c>
    </row>
    <row r="61" spans="1:33" x14ac:dyDescent="0.3">
      <c r="A61" s="13">
        <v>1110305003</v>
      </c>
      <c r="B61" s="13" t="s">
        <v>357</v>
      </c>
      <c r="C61" s="5" t="s">
        <v>362</v>
      </c>
      <c r="D61" s="5" t="str">
        <f>"Monster.Name."&amp;VLOOKUP($C61,'#Data'!$B$2:$J$344,2,FALSE)</f>
        <v>Monster.Name.heavy_trooper_guantlet_1</v>
      </c>
      <c r="E61" s="5" t="s">
        <v>43</v>
      </c>
      <c r="F61" s="17" t="s">
        <v>44</v>
      </c>
      <c r="G61" s="5" t="s">
        <v>45</v>
      </c>
      <c r="H61" s="5" t="b">
        <v>0</v>
      </c>
      <c r="I61" s="5" t="b">
        <v>0</v>
      </c>
      <c r="J61" s="5">
        <v>10</v>
      </c>
      <c r="K61" s="5">
        <f>VLOOKUP($A61,쿼리1[[ID]:[열1]],3,FALSE)</f>
        <v>10</v>
      </c>
      <c r="L61" s="2" t="s">
        <v>363</v>
      </c>
      <c r="M61" s="2"/>
      <c r="N61" s="2"/>
      <c r="O61" s="178" t="s">
        <v>364</v>
      </c>
      <c r="P61" s="14" t="s">
        <v>365</v>
      </c>
      <c r="Q61" s="14"/>
      <c r="R61" s="14"/>
      <c r="S61" s="14"/>
      <c r="T61" s="14"/>
      <c r="U61" s="14"/>
      <c r="V61" s="5" t="b">
        <v>0</v>
      </c>
      <c r="W61" s="5" t="str">
        <f>"Character/Prefabs/"&amp;VLOOKUP($C61,'#Data'!$B$3:$I$344,8,FALSE)</f>
        <v>Character/Prefabs/m_m_attacker_heavy_trooper_guantlet_1</v>
      </c>
      <c r="X61" s="5"/>
      <c r="Y61" s="5" t="str">
        <f>VLOOKUP($C61,'#Data'!$B$3:$I$344,8,FALSE)</f>
        <v>m_m_attacker_heavy_trooper_guantlet_1</v>
      </c>
      <c r="Z61" s="5"/>
      <c r="AA61" s="5"/>
      <c r="AB61" s="5"/>
      <c r="AC61" s="97">
        <v>0.7</v>
      </c>
      <c r="AD61" s="5"/>
      <c r="AE61" s="5"/>
      <c r="AF61" s="5"/>
      <c r="AG61" s="173" t="s">
        <v>2104</v>
      </c>
    </row>
    <row r="62" spans="1:33" x14ac:dyDescent="0.3">
      <c r="A62" s="13">
        <v>1110305004</v>
      </c>
      <c r="B62" s="13" t="s">
        <v>357</v>
      </c>
      <c r="C62" s="5" t="s">
        <v>366</v>
      </c>
      <c r="D62" s="5" t="str">
        <f>"Monster.Name."&amp;VLOOKUP($C62,'#Data'!$B$2:$J$344,2,FALSE)</f>
        <v>Monster.Name.heavy_trooper_shield_1</v>
      </c>
      <c r="E62" s="5" t="s">
        <v>58</v>
      </c>
      <c r="F62" s="17" t="s">
        <v>44</v>
      </c>
      <c r="G62" s="5" t="s">
        <v>45</v>
      </c>
      <c r="H62" s="5" t="b">
        <v>0</v>
      </c>
      <c r="I62" s="5" t="b">
        <v>0</v>
      </c>
      <c r="J62" s="5">
        <v>10</v>
      </c>
      <c r="K62" s="5">
        <f>VLOOKUP($A62,쿼리1[[ID]:[열1]],3,FALSE)</f>
        <v>10</v>
      </c>
      <c r="L62" s="2" t="s">
        <v>367</v>
      </c>
      <c r="M62" s="2"/>
      <c r="N62" s="2"/>
      <c r="O62" s="178" t="s">
        <v>368</v>
      </c>
      <c r="P62" s="14"/>
      <c r="Q62" s="14"/>
      <c r="R62" s="14"/>
      <c r="S62" s="14"/>
      <c r="T62" s="14"/>
      <c r="U62" s="14"/>
      <c r="V62" s="5" t="b">
        <v>0</v>
      </c>
      <c r="W62" s="5" t="str">
        <f>"Character/Prefabs/"&amp;VLOOKUP($C62,'#Data'!$B$3:$I$344,8,FALSE)</f>
        <v>Character/Prefabs/m_m_tanker_heavy_trooper_shield_1</v>
      </c>
      <c r="X62" s="5"/>
      <c r="Y62" s="5" t="str">
        <f>VLOOKUP($C62,'#Data'!$B$3:$I$344,8,FALSE)</f>
        <v>m_m_tanker_heavy_trooper_shield_1</v>
      </c>
      <c r="Z62" s="5"/>
      <c r="AA62" s="5"/>
      <c r="AB62" s="5"/>
      <c r="AC62" s="97">
        <v>0.8</v>
      </c>
      <c r="AD62" s="5"/>
      <c r="AE62" s="5"/>
      <c r="AF62" s="5"/>
      <c r="AG62" s="173" t="s">
        <v>2104</v>
      </c>
    </row>
    <row r="63" spans="1:33" x14ac:dyDescent="0.3">
      <c r="A63" s="45">
        <v>1110305005</v>
      </c>
      <c r="B63" s="45" t="s">
        <v>357</v>
      </c>
      <c r="C63" s="5" t="s">
        <v>139</v>
      </c>
      <c r="D63" s="5" t="str">
        <f>"Monster.Name."&amp;VLOOKUP($C63,'#Data'!$B$2:$J$344,2,FALSE)</f>
        <v>Monster.Name.friendly_edge_eyeball_1</v>
      </c>
      <c r="E63" s="5" t="s">
        <v>43</v>
      </c>
      <c r="F63" s="17" t="s">
        <v>44</v>
      </c>
      <c r="G63" s="5" t="s">
        <v>45</v>
      </c>
      <c r="H63" s="5" t="b">
        <v>1</v>
      </c>
      <c r="I63" s="5" t="b">
        <v>1</v>
      </c>
      <c r="J63" s="5">
        <v>10</v>
      </c>
      <c r="K63" s="5">
        <f>VLOOKUP($A63,쿼리1[[ID]:[열1]],3,FALSE)</f>
        <v>10</v>
      </c>
      <c r="L63" s="2" t="s">
        <v>369</v>
      </c>
      <c r="M63" s="2"/>
      <c r="N63" s="2"/>
      <c r="O63" s="178" t="s">
        <v>370</v>
      </c>
      <c r="P63" s="14" t="s">
        <v>371</v>
      </c>
      <c r="Q63" s="14"/>
      <c r="R63" s="14"/>
      <c r="S63" s="14"/>
      <c r="T63" s="14"/>
      <c r="U63" s="14"/>
      <c r="V63" s="5" t="b">
        <v>0</v>
      </c>
      <c r="W63" s="5" t="str">
        <f>"Character/Prefabs/"&amp;VLOOKUP($C63,'#Data'!$B$3:$I$344,8,FALSE)</f>
        <v>Character/Prefabs/m_m_attacker_friendly_edge_eyeball_1</v>
      </c>
      <c r="X63" s="5"/>
      <c r="Y63" s="5" t="str">
        <f>VLOOKUP($C63,'#Data'!$B$3:$I$344,8,FALSE)</f>
        <v>m_m_attacker_friendly_edge_eyeball_1</v>
      </c>
      <c r="Z63" s="5"/>
      <c r="AA63" s="5"/>
      <c r="AB63" s="5"/>
      <c r="AC63" s="97">
        <v>1.5</v>
      </c>
      <c r="AD63" s="5"/>
      <c r="AE63" s="5"/>
      <c r="AF63" s="5"/>
      <c r="AG63" s="173" t="s">
        <v>2104</v>
      </c>
    </row>
    <row r="64" spans="1:33" x14ac:dyDescent="0.3">
      <c r="A64" s="13">
        <v>1110305006</v>
      </c>
      <c r="B64" s="13" t="s">
        <v>357</v>
      </c>
      <c r="C64" s="5" t="s">
        <v>140</v>
      </c>
      <c r="D64" s="5" t="str">
        <f>"Monster.Name."&amp;VLOOKUP($C64,'#Data'!$B$2:$J$344,2,FALSE)</f>
        <v>Monster.Name.friendly_electric_eyeball_1</v>
      </c>
      <c r="E64" s="5" t="s">
        <v>47</v>
      </c>
      <c r="F64" s="17" t="s">
        <v>44</v>
      </c>
      <c r="G64" s="5" t="s">
        <v>45</v>
      </c>
      <c r="H64" s="5" t="b">
        <v>0</v>
      </c>
      <c r="I64" s="5" t="b">
        <v>0</v>
      </c>
      <c r="J64" s="5">
        <v>10</v>
      </c>
      <c r="K64" s="5">
        <f>VLOOKUP($A64,쿼리1[[ID]:[열1]],3,FALSE)</f>
        <v>10</v>
      </c>
      <c r="L64" s="2" t="s">
        <v>372</v>
      </c>
      <c r="M64" s="2"/>
      <c r="N64" s="2"/>
      <c r="O64" s="178" t="s">
        <v>373</v>
      </c>
      <c r="P64" s="14"/>
      <c r="Q64" s="14"/>
      <c r="R64" s="14"/>
      <c r="S64" s="14"/>
      <c r="T64" s="14"/>
      <c r="U64" s="14"/>
      <c r="V64" s="5" t="b">
        <v>0</v>
      </c>
      <c r="W64" s="5" t="str">
        <f>"Character/Prefabs/"&amp;VLOOKUP($C64,'#Data'!$B$3:$I$344,8,FALSE)</f>
        <v>Character/Prefabs/m_m_ranger_friendly_electric_eyeball_1</v>
      </c>
      <c r="X64" s="5"/>
      <c r="Y64" s="5" t="str">
        <f>VLOOKUP($C64,'#Data'!$B$3:$I$344,8,FALSE)</f>
        <v>m_m_ranger_friendly_electric_eyeball_1</v>
      </c>
      <c r="Z64" s="5"/>
      <c r="AA64" s="5"/>
      <c r="AB64" s="5"/>
      <c r="AC64" s="97">
        <v>0.9</v>
      </c>
      <c r="AD64" s="5"/>
      <c r="AE64" s="5"/>
      <c r="AF64" s="5"/>
      <c r="AG64" s="173" t="s">
        <v>2104</v>
      </c>
    </row>
    <row r="65" spans="1:33" x14ac:dyDescent="0.3">
      <c r="A65" s="13">
        <v>1110305007</v>
      </c>
      <c r="B65" s="13" t="s">
        <v>357</v>
      </c>
      <c r="C65" s="5" t="s">
        <v>147</v>
      </c>
      <c r="D65" s="5" t="str">
        <f>"Monster.Name."&amp;VLOOKUP($C65,'#Data'!$B$2:$J$344,2,FALSE)</f>
        <v>Monster.Name.friendly_gun_1</v>
      </c>
      <c r="E65" s="5" t="s">
        <v>47</v>
      </c>
      <c r="F65" s="17" t="s">
        <v>44</v>
      </c>
      <c r="G65" s="5" t="s">
        <v>45</v>
      </c>
      <c r="H65" s="5" t="b">
        <v>0</v>
      </c>
      <c r="I65" s="5" t="b">
        <v>0</v>
      </c>
      <c r="J65" s="5">
        <v>10</v>
      </c>
      <c r="K65" s="5">
        <f>VLOOKUP($A65,쿼리1[[ID]:[열1]],3,FALSE)</f>
        <v>10</v>
      </c>
      <c r="L65" s="2" t="s">
        <v>374</v>
      </c>
      <c r="M65" s="2"/>
      <c r="N65" s="2"/>
      <c r="O65" s="178" t="s">
        <v>375</v>
      </c>
      <c r="P65" s="14"/>
      <c r="Q65" s="14"/>
      <c r="R65" s="14"/>
      <c r="S65" s="14"/>
      <c r="T65" s="14"/>
      <c r="U65" s="14"/>
      <c r="V65" s="5" t="b">
        <v>0</v>
      </c>
      <c r="W65" s="5" t="str">
        <f>"Character/Prefabs/"&amp;VLOOKUP($C65,'#Data'!$B$3:$I$344,8,FALSE)</f>
        <v>Character/Prefabs/m_m_ranger_friendly_gun_1</v>
      </c>
      <c r="X65" s="5"/>
      <c r="Y65" s="5" t="str">
        <f>VLOOKUP($C65,'#Data'!$B$3:$I$344,8,FALSE)</f>
        <v>m_m_ranger_friendly_gun_1</v>
      </c>
      <c r="Z65" s="5"/>
      <c r="AA65" s="5"/>
      <c r="AB65" s="5"/>
      <c r="AC65" s="97">
        <v>0.9</v>
      </c>
      <c r="AD65" s="5"/>
      <c r="AE65" s="5"/>
      <c r="AF65" s="5"/>
      <c r="AG65" s="173" t="s">
        <v>2104</v>
      </c>
    </row>
    <row r="66" spans="1:33" x14ac:dyDescent="0.3">
      <c r="A66" s="13">
        <v>1110305008</v>
      </c>
      <c r="B66" s="13" t="s">
        <v>357</v>
      </c>
      <c r="C66" s="5" t="s">
        <v>150</v>
      </c>
      <c r="D66" s="5" t="str">
        <f>"Monster.Name."&amp;VLOOKUP($C66,'#Data'!$B$2:$J$344,2,FALSE)</f>
        <v>Monster.Name.friendly_pincers_1</v>
      </c>
      <c r="E66" s="5" t="s">
        <v>43</v>
      </c>
      <c r="F66" s="17" t="s">
        <v>44</v>
      </c>
      <c r="G66" s="5" t="s">
        <v>45</v>
      </c>
      <c r="H66" s="5" t="b">
        <v>0</v>
      </c>
      <c r="I66" s="5" t="b">
        <v>0</v>
      </c>
      <c r="J66" s="5">
        <v>10</v>
      </c>
      <c r="K66" s="5">
        <f>VLOOKUP($A66,쿼리1[[ID]:[열1]],3,FALSE)</f>
        <v>10</v>
      </c>
      <c r="L66" s="2" t="s">
        <v>376</v>
      </c>
      <c r="M66" s="2"/>
      <c r="N66" s="2"/>
      <c r="O66" s="178" t="s">
        <v>377</v>
      </c>
      <c r="P66" s="14"/>
      <c r="Q66" s="14"/>
      <c r="R66" s="14"/>
      <c r="S66" s="14"/>
      <c r="T66" s="14"/>
      <c r="U66" s="14"/>
      <c r="V66" s="5" t="b">
        <v>0</v>
      </c>
      <c r="W66" s="5" t="str">
        <f>"Character/Prefabs/"&amp;VLOOKUP($C66,'#Data'!$B$3:$I$344,8,FALSE)</f>
        <v>Character/Prefabs/m_l_attacker_friendly_pincers_1</v>
      </c>
      <c r="X66" s="5"/>
      <c r="Y66" s="5" t="str">
        <f>VLOOKUP($C66,'#Data'!$B$3:$I$344,8,FALSE)</f>
        <v>m_l_attacker_friendly_pincers_1</v>
      </c>
      <c r="Z66" s="5"/>
      <c r="AA66" s="5"/>
      <c r="AB66" s="5"/>
      <c r="AC66" s="97">
        <v>0.9</v>
      </c>
      <c r="AD66" s="5"/>
      <c r="AE66" s="5"/>
      <c r="AF66" s="5"/>
      <c r="AG66" s="173" t="s">
        <v>2104</v>
      </c>
    </row>
    <row r="67" spans="1:33" x14ac:dyDescent="0.3">
      <c r="A67" s="13">
        <v>1110305009</v>
      </c>
      <c r="B67" s="13" t="s">
        <v>357</v>
      </c>
      <c r="C67" s="5" t="s">
        <v>149</v>
      </c>
      <c r="D67" s="5" t="str">
        <f>"Monster.Name."&amp;VLOOKUP($C67,'#Data'!$B$2:$J$344,2,FALSE)</f>
        <v>Monster.Name.friendly_punch_1</v>
      </c>
      <c r="E67" s="5" t="s">
        <v>58</v>
      </c>
      <c r="F67" s="17" t="s">
        <v>44</v>
      </c>
      <c r="G67" s="5" t="s">
        <v>45</v>
      </c>
      <c r="H67" s="5" t="b">
        <v>0</v>
      </c>
      <c r="I67" s="5" t="b">
        <v>0</v>
      </c>
      <c r="J67" s="5">
        <v>10</v>
      </c>
      <c r="K67" s="5">
        <f>VLOOKUP($A67,쿼리1[[ID]:[열1]],3,FALSE)</f>
        <v>10</v>
      </c>
      <c r="L67" s="2" t="s">
        <v>378</v>
      </c>
      <c r="M67" s="2"/>
      <c r="N67" s="2"/>
      <c r="O67" s="178" t="s">
        <v>379</v>
      </c>
      <c r="P67" s="14" t="s">
        <v>380</v>
      </c>
      <c r="Q67" s="14"/>
      <c r="R67" s="14"/>
      <c r="S67" s="14"/>
      <c r="T67" s="14"/>
      <c r="U67" s="14"/>
      <c r="V67" s="5" t="b">
        <v>0</v>
      </c>
      <c r="W67" s="5" t="str">
        <f>"Character/Prefabs/"&amp;VLOOKUP($C67,'#Data'!$B$3:$I$344,8,FALSE)</f>
        <v>Character/Prefabs/m_l_tanker_friendly_punch_1</v>
      </c>
      <c r="X67" s="5"/>
      <c r="Y67" s="5" t="str">
        <f>VLOOKUP($C67,'#Data'!$B$3:$I$344,8,FALSE)</f>
        <v>m_l_tanker_friendly_punch_1</v>
      </c>
      <c r="Z67" s="5"/>
      <c r="AA67" s="5"/>
      <c r="AB67" s="5"/>
      <c r="AC67" s="97">
        <v>0.6</v>
      </c>
      <c r="AD67" s="5"/>
      <c r="AE67" s="5"/>
      <c r="AF67" s="5"/>
      <c r="AG67" s="173" t="s">
        <v>2104</v>
      </c>
    </row>
    <row r="68" spans="1:33" x14ac:dyDescent="0.3">
      <c r="A68" s="45">
        <v>1110305010</v>
      </c>
      <c r="B68" s="45" t="s">
        <v>357</v>
      </c>
      <c r="C68" s="5" t="s">
        <v>186</v>
      </c>
      <c r="D68" s="5" t="str">
        <f>"Monster.Name."&amp;VLOOKUP($C68,'#Data'!$B$2:$J$344,2,FALSE)</f>
        <v>Monster.Name.polluter_bloblauncher_1</v>
      </c>
      <c r="E68" s="5" t="s">
        <v>47</v>
      </c>
      <c r="F68" s="17" t="s">
        <v>44</v>
      </c>
      <c r="G68" s="5" t="s">
        <v>45</v>
      </c>
      <c r="H68" s="5" t="b">
        <v>0</v>
      </c>
      <c r="I68" s="5" t="b">
        <v>0</v>
      </c>
      <c r="J68" s="5">
        <v>10</v>
      </c>
      <c r="K68" s="5">
        <f>VLOOKUP($A68,쿼리1[[ID]:[열1]],3,FALSE)</f>
        <v>10</v>
      </c>
      <c r="L68" s="2" t="s">
        <v>381</v>
      </c>
      <c r="M68" s="2"/>
      <c r="N68" s="2"/>
      <c r="O68" s="178" t="s">
        <v>382</v>
      </c>
      <c r="P68" s="14"/>
      <c r="Q68" s="14"/>
      <c r="R68" s="14"/>
      <c r="S68" s="14"/>
      <c r="T68" s="14"/>
      <c r="U68" s="14"/>
      <c r="V68" s="5" t="b">
        <v>0</v>
      </c>
      <c r="W68" s="5" t="str">
        <f>"Character/Prefabs/"&amp;VLOOKUP($C68,'#Data'!$B$3:$I$344,8,FALSE)</f>
        <v>Character/Prefabs/m_l_ranger_polluter_bloblauncher_1</v>
      </c>
      <c r="X68" s="5"/>
      <c r="Y68" s="5" t="str">
        <f>VLOOKUP($C68,'#Data'!$B$3:$I$344,8,FALSE)</f>
        <v>m_l_ranger_polluter_bloblauncher_1</v>
      </c>
      <c r="Z68" s="5"/>
      <c r="AA68" s="5"/>
      <c r="AB68" s="5"/>
      <c r="AC68" s="97">
        <v>1.1000000000000001</v>
      </c>
      <c r="AD68" s="5"/>
      <c r="AE68" s="5"/>
      <c r="AF68" s="5"/>
      <c r="AG68" s="173" t="s">
        <v>2104</v>
      </c>
    </row>
    <row r="69" spans="1:33" x14ac:dyDescent="0.3">
      <c r="A69" s="13">
        <v>1110305011</v>
      </c>
      <c r="B69" s="13" t="s">
        <v>357</v>
      </c>
      <c r="C69" s="5" t="s">
        <v>181</v>
      </c>
      <c r="D69" s="5" t="str">
        <f>"Monster.Name."&amp;VLOOKUP($C69,'#Data'!$B$2:$J$344,2,FALSE)</f>
        <v>Monster.Name.polluter_liquid_1</v>
      </c>
      <c r="E69" s="5" t="s">
        <v>47</v>
      </c>
      <c r="F69" s="17" t="s">
        <v>44</v>
      </c>
      <c r="G69" s="5" t="s">
        <v>45</v>
      </c>
      <c r="H69" s="5" t="b">
        <v>0</v>
      </c>
      <c r="I69" s="5" t="b">
        <v>0</v>
      </c>
      <c r="J69" s="5">
        <v>10</v>
      </c>
      <c r="K69" s="5">
        <f>VLOOKUP($A69,쿼리1[[ID]:[열1]],3,FALSE)</f>
        <v>10</v>
      </c>
      <c r="L69" s="2" t="s">
        <v>383</v>
      </c>
      <c r="M69" s="2"/>
      <c r="N69" s="2"/>
      <c r="O69" s="178" t="s">
        <v>384</v>
      </c>
      <c r="P69" s="14"/>
      <c r="Q69" s="14"/>
      <c r="R69" s="14"/>
      <c r="S69" s="14"/>
      <c r="T69" s="14"/>
      <c r="U69" s="14"/>
      <c r="V69" s="5" t="b">
        <v>0</v>
      </c>
      <c r="W69" s="5" t="str">
        <f>"Character/Prefabs/"&amp;VLOOKUP($C69,'#Data'!$B$3:$I$344,8,FALSE)</f>
        <v>Character/Prefabs/m_m_ranger_polluter_liquid_1</v>
      </c>
      <c r="X69" s="5"/>
      <c r="Y69" s="5" t="str">
        <f>VLOOKUP($C69,'#Data'!$B$3:$I$344,8,FALSE)</f>
        <v>m_m_ranger_polluter_liquid_1</v>
      </c>
      <c r="Z69" s="5"/>
      <c r="AA69" s="5"/>
      <c r="AB69" s="5"/>
      <c r="AC69" s="97">
        <v>0.6</v>
      </c>
      <c r="AD69" s="5"/>
      <c r="AE69" s="5"/>
      <c r="AF69" s="5"/>
      <c r="AG69" s="173" t="s">
        <v>2104</v>
      </c>
    </row>
    <row r="70" spans="1:33" x14ac:dyDescent="0.3">
      <c r="A70" s="13">
        <v>1110305012</v>
      </c>
      <c r="B70" s="13" t="s">
        <v>357</v>
      </c>
      <c r="C70" s="5" t="s">
        <v>182</v>
      </c>
      <c r="D70" s="5" t="str">
        <f>"Monster.Name."&amp;VLOOKUP($C70,'#Data'!$B$2:$J$344,2,FALSE)</f>
        <v>Monster.Name.polluter_fog_1</v>
      </c>
      <c r="E70" s="5" t="s">
        <v>143</v>
      </c>
      <c r="F70" s="17" t="s">
        <v>44</v>
      </c>
      <c r="G70" s="5" t="s">
        <v>45</v>
      </c>
      <c r="H70" s="5" t="b">
        <v>0</v>
      </c>
      <c r="I70" s="5" t="b">
        <v>0</v>
      </c>
      <c r="J70" s="5">
        <v>10</v>
      </c>
      <c r="K70" s="5">
        <f>VLOOKUP($A70,쿼리1[[ID]:[열1]],3,FALSE)</f>
        <v>10</v>
      </c>
      <c r="L70" s="2" t="s">
        <v>385</v>
      </c>
      <c r="M70" s="2"/>
      <c r="N70" s="2"/>
      <c r="O70" s="178" t="s">
        <v>386</v>
      </c>
      <c r="P70" s="14"/>
      <c r="Q70" s="14"/>
      <c r="R70" s="14"/>
      <c r="S70" s="14"/>
      <c r="T70" s="14"/>
      <c r="U70" s="14"/>
      <c r="V70" s="5" t="b">
        <v>0</v>
      </c>
      <c r="W70" s="5" t="str">
        <f>"Character/Prefabs/"&amp;VLOOKUP($C70,'#Data'!$B$3:$I$344,8,FALSE)</f>
        <v>Character/Prefabs/m_m_supporter_polluter_fog_1</v>
      </c>
      <c r="X70" s="5"/>
      <c r="Y70" s="5" t="str">
        <f>VLOOKUP($C70,'#Data'!$B$3:$I$344,8,FALSE)</f>
        <v>m_m_supporter_polluter_fog_1</v>
      </c>
      <c r="Z70" s="5"/>
      <c r="AA70" s="5"/>
      <c r="AB70" s="5"/>
      <c r="AC70" s="97">
        <v>0.6</v>
      </c>
      <c r="AD70" s="5"/>
      <c r="AE70" s="5"/>
      <c r="AF70" s="5"/>
      <c r="AG70" s="173" t="s">
        <v>2104</v>
      </c>
    </row>
    <row r="71" spans="1:33" x14ac:dyDescent="0.3">
      <c r="A71" s="13">
        <v>1110305013</v>
      </c>
      <c r="B71" s="13" t="s">
        <v>357</v>
      </c>
      <c r="C71" s="5" t="s">
        <v>185</v>
      </c>
      <c r="D71" s="5" t="str">
        <f>"Monster.Name."&amp;VLOOKUP($C71,'#Data'!$B$2:$J$344,2,FALSE)</f>
        <v>Monster.Name.polluter_spike_1</v>
      </c>
      <c r="E71" s="5" t="s">
        <v>43</v>
      </c>
      <c r="F71" s="17" t="s">
        <v>44</v>
      </c>
      <c r="G71" s="5" t="s">
        <v>45</v>
      </c>
      <c r="H71" s="5" t="b">
        <v>0</v>
      </c>
      <c r="I71" s="5" t="b">
        <v>0</v>
      </c>
      <c r="J71" s="5">
        <v>10</v>
      </c>
      <c r="K71" s="5">
        <f>VLOOKUP($A71,쿼리1[[ID]:[열1]],3,FALSE)</f>
        <v>10</v>
      </c>
      <c r="L71" s="2" t="s">
        <v>387</v>
      </c>
      <c r="M71" s="2"/>
      <c r="N71" s="2"/>
      <c r="O71" s="178" t="s">
        <v>388</v>
      </c>
      <c r="P71" s="14" t="s">
        <v>389</v>
      </c>
      <c r="Q71" s="14" t="s">
        <v>390</v>
      </c>
      <c r="R71" s="14"/>
      <c r="S71" s="14"/>
      <c r="T71" s="14"/>
      <c r="U71" s="14"/>
      <c r="V71" s="5" t="b">
        <v>0</v>
      </c>
      <c r="W71" s="5" t="str">
        <f>"Character/Prefabs/"&amp;VLOOKUP($C71,'#Data'!$B$3:$I$344,8,FALSE)</f>
        <v>Character/Prefabs/m_l_attacker_polluter_spike_1</v>
      </c>
      <c r="X71" s="5"/>
      <c r="Y71" s="5" t="str">
        <f>VLOOKUP($C71,'#Data'!$B$3:$I$344,8,FALSE)</f>
        <v>m_l_attacker_polluter_spike_1</v>
      </c>
      <c r="Z71" s="5"/>
      <c r="AA71" s="5"/>
      <c r="AB71" s="5"/>
      <c r="AC71" s="97">
        <v>0.5</v>
      </c>
      <c r="AD71" s="5"/>
      <c r="AE71" s="5"/>
      <c r="AF71" s="5"/>
      <c r="AG71" s="173" t="s">
        <v>2104</v>
      </c>
    </row>
    <row r="72" spans="1:33" x14ac:dyDescent="0.3">
      <c r="A72" s="13">
        <v>1110305014</v>
      </c>
      <c r="B72" s="13" t="s">
        <v>357</v>
      </c>
      <c r="C72" s="5" t="s">
        <v>184</v>
      </c>
      <c r="D72" s="5" t="str">
        <f>"Monster.Name."&amp;VLOOKUP($C72,'#Data'!$B$2:$J$344,2,FALSE)</f>
        <v>Monster.Name.polluter_chunk_1</v>
      </c>
      <c r="E72" s="5" t="s">
        <v>43</v>
      </c>
      <c r="F72" s="17" t="s">
        <v>44</v>
      </c>
      <c r="G72" s="5" t="s">
        <v>45</v>
      </c>
      <c r="H72" s="5" t="b">
        <v>0</v>
      </c>
      <c r="I72" s="5" t="b">
        <v>0</v>
      </c>
      <c r="J72" s="5">
        <v>10</v>
      </c>
      <c r="K72" s="5">
        <f>VLOOKUP($A72,쿼리1[[ID]:[열1]],3,FALSE)</f>
        <v>10</v>
      </c>
      <c r="L72" s="2" t="s">
        <v>391</v>
      </c>
      <c r="M72" s="2"/>
      <c r="N72" s="2"/>
      <c r="O72" s="178" t="s">
        <v>392</v>
      </c>
      <c r="P72" s="14"/>
      <c r="Q72" s="14"/>
      <c r="R72" s="14"/>
      <c r="S72" s="14"/>
      <c r="T72" s="14"/>
      <c r="U72" s="14"/>
      <c r="V72" s="5" t="b">
        <v>0</v>
      </c>
      <c r="W72" s="5" t="str">
        <f>"Character/Prefabs/"&amp;VLOOKUP($C72,'#Data'!$B$3:$I$344,8,FALSE)</f>
        <v>Character/Prefabs/m_l_attacker_polluter_chunk_1</v>
      </c>
      <c r="X72" s="5"/>
      <c r="Y72" s="5" t="str">
        <f>VLOOKUP($C72,'#Data'!$B$3:$I$344,8,FALSE)</f>
        <v>m_l_attacker_polluter_chunk_1</v>
      </c>
      <c r="Z72" s="5"/>
      <c r="AA72" s="5"/>
      <c r="AB72" s="5"/>
      <c r="AC72" s="97">
        <v>0.7</v>
      </c>
      <c r="AD72" s="5"/>
      <c r="AE72" s="5"/>
      <c r="AF72" s="5"/>
      <c r="AG72" s="173" t="s">
        <v>2104</v>
      </c>
    </row>
    <row r="73" spans="1:33" x14ac:dyDescent="0.3">
      <c r="A73" s="14">
        <v>1110401001</v>
      </c>
      <c r="B73" s="14" t="s">
        <v>393</v>
      </c>
      <c r="C73" s="14" t="s">
        <v>394</v>
      </c>
      <c r="D73" s="14" t="s">
        <v>395</v>
      </c>
      <c r="E73" s="5" t="s">
        <v>1833</v>
      </c>
      <c r="F73" s="17" t="s">
        <v>44</v>
      </c>
      <c r="G73" s="14" t="s">
        <v>45</v>
      </c>
      <c r="H73" s="14" t="s">
        <v>45</v>
      </c>
      <c r="I73" s="14" t="b">
        <v>0</v>
      </c>
      <c r="J73" s="14">
        <v>20</v>
      </c>
      <c r="K73" s="14">
        <f>VLOOKUP($A73,쿼리1[[ID]:[열1]],3,FALSE)</f>
        <v>10</v>
      </c>
      <c r="L73" s="14"/>
      <c r="M73" s="14"/>
      <c r="N73" s="14"/>
      <c r="O73" s="17" t="s">
        <v>396</v>
      </c>
      <c r="P73" s="14"/>
      <c r="Q73" s="14" t="s">
        <v>397</v>
      </c>
      <c r="R73" s="14"/>
      <c r="S73" s="14"/>
      <c r="T73" s="14"/>
      <c r="U73" s="14"/>
      <c r="V73" s="14" t="b">
        <v>0</v>
      </c>
      <c r="W73" s="14" t="str">
        <f>"Character/Prefabs/"&amp;VLOOKUP($C73,'#Data'!$B$3:$I$344,8,FALSE)</f>
        <v>Character/Prefabs/m_m_tanker_cube_tier01_01</v>
      </c>
      <c r="X73" s="14"/>
      <c r="Y73" s="14" t="str">
        <f>VLOOKUP($C73,'#Data'!$B$3:$I$344,8,FALSE)</f>
        <v>m_m_tanker_cube_tier01_01</v>
      </c>
      <c r="Z73" s="14"/>
      <c r="AA73" s="14"/>
      <c r="AB73" s="14" t="s">
        <v>226</v>
      </c>
      <c r="AC73" s="94">
        <v>1</v>
      </c>
      <c r="AD73" s="14" t="s">
        <v>398</v>
      </c>
      <c r="AE73" s="14"/>
      <c r="AF73" s="14"/>
      <c r="AG73" s="173" t="s">
        <v>2104</v>
      </c>
    </row>
    <row r="74" spans="1:33" x14ac:dyDescent="0.3">
      <c r="A74" s="14">
        <v>1110401002</v>
      </c>
      <c r="B74" s="14" t="s">
        <v>393</v>
      </c>
      <c r="C74" s="14" t="s">
        <v>399</v>
      </c>
      <c r="D74" s="14" t="s">
        <v>395</v>
      </c>
      <c r="E74" s="5" t="s">
        <v>1833</v>
      </c>
      <c r="F74" s="17" t="s">
        <v>44</v>
      </c>
      <c r="G74" s="14" t="s">
        <v>45</v>
      </c>
      <c r="H74" s="14" t="s">
        <v>45</v>
      </c>
      <c r="I74" s="14" t="b">
        <v>0</v>
      </c>
      <c r="J74" s="14">
        <v>20</v>
      </c>
      <c r="K74" s="14">
        <f>VLOOKUP($A74,쿼리1[[ID]:[열1]],3,FALSE)</f>
        <v>10</v>
      </c>
      <c r="L74" s="14"/>
      <c r="M74" s="14"/>
      <c r="N74" s="14"/>
      <c r="O74" s="17" t="s">
        <v>400</v>
      </c>
      <c r="P74" s="14"/>
      <c r="Q74" s="14" t="s">
        <v>401</v>
      </c>
      <c r="R74" s="14"/>
      <c r="S74" s="14"/>
      <c r="T74" s="14"/>
      <c r="U74" s="14"/>
      <c r="V74" s="14" t="b">
        <v>0</v>
      </c>
      <c r="W74" s="14" t="str">
        <f>"Character/Prefabs/"&amp;VLOOKUP($C74,'#Data'!$B$3:$I$344,8,FALSE)</f>
        <v>Character/Prefabs/m_m_tanker_cube_tier01_02</v>
      </c>
      <c r="X74" s="14"/>
      <c r="Y74" s="14" t="str">
        <f>VLOOKUP($C74,'#Data'!$B$3:$I$344,8,FALSE)</f>
        <v>m_m_tanker_cube_tier01_02</v>
      </c>
      <c r="Z74" s="14"/>
      <c r="AA74" s="14"/>
      <c r="AB74" s="14" t="s">
        <v>226</v>
      </c>
      <c r="AC74" s="94">
        <v>1</v>
      </c>
      <c r="AD74" s="14" t="s">
        <v>398</v>
      </c>
      <c r="AE74" s="14"/>
      <c r="AF74" s="14"/>
      <c r="AG74" s="173" t="s">
        <v>2104</v>
      </c>
    </row>
    <row r="75" spans="1:33" x14ac:dyDescent="0.3">
      <c r="A75" s="14">
        <v>1110401003</v>
      </c>
      <c r="B75" s="14" t="s">
        <v>393</v>
      </c>
      <c r="C75" s="14" t="s">
        <v>402</v>
      </c>
      <c r="D75" s="14" t="s">
        <v>395</v>
      </c>
      <c r="E75" s="5" t="s">
        <v>1833</v>
      </c>
      <c r="F75" s="17" t="s">
        <v>44</v>
      </c>
      <c r="G75" s="14" t="s">
        <v>45</v>
      </c>
      <c r="H75" s="14" t="s">
        <v>45</v>
      </c>
      <c r="I75" s="14" t="b">
        <v>0</v>
      </c>
      <c r="J75" s="14">
        <v>20</v>
      </c>
      <c r="K75" s="14">
        <f>VLOOKUP($A75,쿼리1[[ID]:[열1]],3,FALSE)</f>
        <v>10</v>
      </c>
      <c r="L75" s="14"/>
      <c r="M75" s="14"/>
      <c r="N75" s="14"/>
      <c r="O75" s="17" t="s">
        <v>403</v>
      </c>
      <c r="P75" s="14"/>
      <c r="Q75" s="14" t="s">
        <v>404</v>
      </c>
      <c r="R75" s="14"/>
      <c r="S75" s="14"/>
      <c r="T75" s="14"/>
      <c r="U75" s="14"/>
      <c r="V75" s="14" t="b">
        <v>0</v>
      </c>
      <c r="W75" s="14" t="str">
        <f>"Character/Prefabs/"&amp;VLOOKUP($C75,'#Data'!$B$3:$I$344,8,FALSE)</f>
        <v>Character/Prefabs/m_m_tanker_cube_tier01_03</v>
      </c>
      <c r="X75" s="14"/>
      <c r="Y75" s="14" t="str">
        <f>VLOOKUP($C75,'#Data'!$B$3:$I$344,8,FALSE)</f>
        <v>m_m_tanker_cube_tier01_03</v>
      </c>
      <c r="Z75" s="14"/>
      <c r="AA75" s="14"/>
      <c r="AB75" s="14" t="s">
        <v>226</v>
      </c>
      <c r="AC75" s="94">
        <v>1</v>
      </c>
      <c r="AD75" s="14" t="s">
        <v>398</v>
      </c>
      <c r="AE75" s="14"/>
      <c r="AF75" s="14"/>
      <c r="AG75" s="173" t="s">
        <v>2104</v>
      </c>
    </row>
    <row r="76" spans="1:33" x14ac:dyDescent="0.3">
      <c r="A76" s="14">
        <v>1110401004</v>
      </c>
      <c r="B76" s="14" t="s">
        <v>393</v>
      </c>
      <c r="C76" s="14" t="s">
        <v>405</v>
      </c>
      <c r="D76" s="14" t="s">
        <v>395</v>
      </c>
      <c r="E76" s="5" t="s">
        <v>1833</v>
      </c>
      <c r="F76" s="17" t="s">
        <v>44</v>
      </c>
      <c r="G76" s="14" t="s">
        <v>45</v>
      </c>
      <c r="H76" s="14" t="s">
        <v>45</v>
      </c>
      <c r="I76" s="14" t="b">
        <v>0</v>
      </c>
      <c r="J76" s="14">
        <v>20</v>
      </c>
      <c r="K76" s="14">
        <f>VLOOKUP($A76,쿼리1[[ID]:[열1]],3,FALSE)</f>
        <v>10</v>
      </c>
      <c r="L76" s="14"/>
      <c r="M76" s="14"/>
      <c r="N76" s="14"/>
      <c r="O76" s="17" t="s">
        <v>406</v>
      </c>
      <c r="P76" s="14"/>
      <c r="Q76" s="14" t="s">
        <v>407</v>
      </c>
      <c r="R76" s="14"/>
      <c r="S76" s="14"/>
      <c r="T76" s="14"/>
      <c r="U76" s="14"/>
      <c r="V76" s="14" t="b">
        <v>0</v>
      </c>
      <c r="W76" s="14" t="str">
        <f>"Character/Prefabs/"&amp;VLOOKUP($C76,'#Data'!$B$3:$I$344,8,FALSE)</f>
        <v>Character/Prefabs/m_m_tanker_cube_tier01_04</v>
      </c>
      <c r="X76" s="14"/>
      <c r="Y76" s="14" t="str">
        <f>VLOOKUP($C76,'#Data'!$B$3:$I$344,8,FALSE)</f>
        <v>m_m_tanker_cube_tier01_04</v>
      </c>
      <c r="Z76" s="14"/>
      <c r="AA76" s="14"/>
      <c r="AB76" s="14" t="s">
        <v>226</v>
      </c>
      <c r="AC76" s="94">
        <v>1</v>
      </c>
      <c r="AD76" s="14" t="s">
        <v>398</v>
      </c>
      <c r="AE76" s="14"/>
      <c r="AF76" s="14"/>
      <c r="AG76" s="173" t="s">
        <v>2104</v>
      </c>
    </row>
    <row r="77" spans="1:33" x14ac:dyDescent="0.3">
      <c r="A77" s="14">
        <v>1110401005</v>
      </c>
      <c r="B77" s="14" t="s">
        <v>393</v>
      </c>
      <c r="C77" s="14" t="s">
        <v>408</v>
      </c>
      <c r="D77" s="14" t="s">
        <v>395</v>
      </c>
      <c r="E77" s="5" t="s">
        <v>1833</v>
      </c>
      <c r="F77" s="17" t="s">
        <v>44</v>
      </c>
      <c r="G77" s="14" t="s">
        <v>45</v>
      </c>
      <c r="H77" s="14" t="s">
        <v>45</v>
      </c>
      <c r="I77" s="14" t="b">
        <v>0</v>
      </c>
      <c r="J77" s="14">
        <v>20</v>
      </c>
      <c r="K77" s="14">
        <f>VLOOKUP($A77,쿼리1[[ID]:[열1]],3,FALSE)</f>
        <v>10</v>
      </c>
      <c r="L77" s="14"/>
      <c r="M77" s="14"/>
      <c r="N77" s="14"/>
      <c r="O77" s="17" t="s">
        <v>409</v>
      </c>
      <c r="P77" s="14"/>
      <c r="Q77" s="14" t="s">
        <v>410</v>
      </c>
      <c r="R77" s="14"/>
      <c r="S77" s="14"/>
      <c r="T77" s="14"/>
      <c r="U77" s="14"/>
      <c r="V77" s="14" t="b">
        <v>0</v>
      </c>
      <c r="W77" s="14" t="str">
        <f>"Character/Prefabs/"&amp;VLOOKUP($C77,'#Data'!$B$3:$I$344,8,FALSE)</f>
        <v>Character/Prefabs/m_m_tanker_cube_tier01_05</v>
      </c>
      <c r="X77" s="14"/>
      <c r="Y77" s="14" t="str">
        <f>VLOOKUP($C77,'#Data'!$B$3:$I$344,8,FALSE)</f>
        <v>m_m_tanker_cube_tier01_05</v>
      </c>
      <c r="Z77" s="14"/>
      <c r="AA77" s="14"/>
      <c r="AB77" s="14" t="s">
        <v>226</v>
      </c>
      <c r="AC77" s="94">
        <v>1</v>
      </c>
      <c r="AD77" s="14" t="s">
        <v>398</v>
      </c>
      <c r="AE77" s="14"/>
      <c r="AF77" s="14"/>
      <c r="AG77" s="173" t="s">
        <v>2104</v>
      </c>
    </row>
    <row r="78" spans="1:33" x14ac:dyDescent="0.3">
      <c r="A78" s="14">
        <v>1110401006</v>
      </c>
      <c r="B78" s="14" t="s">
        <v>393</v>
      </c>
      <c r="C78" s="14" t="s">
        <v>411</v>
      </c>
      <c r="D78" s="14" t="s">
        <v>412</v>
      </c>
      <c r="E78" s="5" t="s">
        <v>1833</v>
      </c>
      <c r="F78" s="17" t="s">
        <v>44</v>
      </c>
      <c r="G78" s="14" t="s">
        <v>45</v>
      </c>
      <c r="H78" s="14" t="s">
        <v>45</v>
      </c>
      <c r="I78" s="14" t="b">
        <v>0</v>
      </c>
      <c r="J78" s="14">
        <v>20</v>
      </c>
      <c r="K78" s="14">
        <f>VLOOKUP($A78,쿼리1[[ID]:[열1]],3,FALSE)</f>
        <v>10</v>
      </c>
      <c r="L78" s="14"/>
      <c r="M78" s="14"/>
      <c r="N78" s="14"/>
      <c r="O78" s="17" t="s">
        <v>413</v>
      </c>
      <c r="P78" s="14"/>
      <c r="Q78" s="14" t="s">
        <v>414</v>
      </c>
      <c r="R78" s="14"/>
      <c r="S78" s="14"/>
      <c r="T78" s="14"/>
      <c r="U78" s="14"/>
      <c r="V78" s="14" t="b">
        <v>0</v>
      </c>
      <c r="W78" s="14" t="str">
        <f>"Character/Prefabs/"&amp;VLOOKUP($C78,'#Data'!$B$3:$I$344,8,FALSE)</f>
        <v>Character/Prefabs/m_m_tanker_cube_tier02_01</v>
      </c>
      <c r="X78" s="14"/>
      <c r="Y78" s="14" t="str">
        <f>VLOOKUP($C78,'#Data'!$B$3:$I$344,8,FALSE)</f>
        <v>m_m_tanker_cube_tier02_01</v>
      </c>
      <c r="Z78" s="14"/>
      <c r="AA78" s="14"/>
      <c r="AB78" s="14" t="s">
        <v>226</v>
      </c>
      <c r="AC78" s="94">
        <v>1</v>
      </c>
      <c r="AD78" s="14" t="s">
        <v>398</v>
      </c>
      <c r="AE78" s="14"/>
      <c r="AF78" s="14"/>
      <c r="AG78" s="173" t="s">
        <v>2104</v>
      </c>
    </row>
    <row r="79" spans="1:33" x14ac:dyDescent="0.3">
      <c r="A79" s="14">
        <v>1110401007</v>
      </c>
      <c r="B79" s="14" t="s">
        <v>393</v>
      </c>
      <c r="C79" s="14" t="s">
        <v>415</v>
      </c>
      <c r="D79" s="14" t="s">
        <v>412</v>
      </c>
      <c r="E79" s="5" t="s">
        <v>1833</v>
      </c>
      <c r="F79" s="17" t="s">
        <v>44</v>
      </c>
      <c r="G79" s="14" t="s">
        <v>45</v>
      </c>
      <c r="H79" s="14" t="s">
        <v>45</v>
      </c>
      <c r="I79" s="14" t="b">
        <v>0</v>
      </c>
      <c r="J79" s="14">
        <v>20</v>
      </c>
      <c r="K79" s="14">
        <f>VLOOKUP($A79,쿼리1[[ID]:[열1]],3,FALSE)</f>
        <v>10</v>
      </c>
      <c r="L79" s="14"/>
      <c r="M79" s="14"/>
      <c r="N79" s="14"/>
      <c r="O79" s="17" t="s">
        <v>416</v>
      </c>
      <c r="P79" s="14"/>
      <c r="Q79" s="14" t="s">
        <v>417</v>
      </c>
      <c r="R79" s="14"/>
      <c r="S79" s="14"/>
      <c r="T79" s="14"/>
      <c r="U79" s="14"/>
      <c r="V79" s="14" t="b">
        <v>0</v>
      </c>
      <c r="W79" s="14" t="str">
        <f>"Character/Prefabs/"&amp;VLOOKUP($C79,'#Data'!$B$3:$I$344,8,FALSE)</f>
        <v>Character/Prefabs/m_m_tanker_cube_tier02_02</v>
      </c>
      <c r="X79" s="14"/>
      <c r="Y79" s="14" t="str">
        <f>VLOOKUP($C79,'#Data'!$B$3:$I$344,8,FALSE)</f>
        <v>m_m_tanker_cube_tier02_02</v>
      </c>
      <c r="Z79" s="14"/>
      <c r="AA79" s="14"/>
      <c r="AB79" s="14" t="s">
        <v>226</v>
      </c>
      <c r="AC79" s="94">
        <v>1</v>
      </c>
      <c r="AD79" s="14" t="s">
        <v>398</v>
      </c>
      <c r="AE79" s="14"/>
      <c r="AF79" s="14"/>
      <c r="AG79" s="173" t="s">
        <v>2104</v>
      </c>
    </row>
    <row r="80" spans="1:33" x14ac:dyDescent="0.3">
      <c r="A80" s="14">
        <v>1110401008</v>
      </c>
      <c r="B80" s="14" t="s">
        <v>393</v>
      </c>
      <c r="C80" s="14" t="s">
        <v>418</v>
      </c>
      <c r="D80" s="14" t="s">
        <v>412</v>
      </c>
      <c r="E80" s="5" t="s">
        <v>1833</v>
      </c>
      <c r="F80" s="17" t="s">
        <v>44</v>
      </c>
      <c r="G80" s="14" t="s">
        <v>45</v>
      </c>
      <c r="H80" s="14" t="s">
        <v>45</v>
      </c>
      <c r="I80" s="14" t="b">
        <v>0</v>
      </c>
      <c r="J80" s="14">
        <v>20</v>
      </c>
      <c r="K80" s="14">
        <f>VLOOKUP($A80,쿼리1[[ID]:[열1]],3,FALSE)</f>
        <v>10</v>
      </c>
      <c r="L80" s="14"/>
      <c r="M80" s="14"/>
      <c r="N80" s="14"/>
      <c r="O80" s="17" t="s">
        <v>419</v>
      </c>
      <c r="P80" s="14"/>
      <c r="Q80" s="14" t="s">
        <v>420</v>
      </c>
      <c r="R80" s="14"/>
      <c r="S80" s="14"/>
      <c r="T80" s="14"/>
      <c r="U80" s="14"/>
      <c r="V80" s="14" t="b">
        <v>0</v>
      </c>
      <c r="W80" s="14" t="str">
        <f>"Character/Prefabs/"&amp;VLOOKUP($C80,'#Data'!$B$3:$I$344,8,FALSE)</f>
        <v>Character/Prefabs/m_m_tanker_cube_tier02_03</v>
      </c>
      <c r="X80" s="14"/>
      <c r="Y80" s="14" t="str">
        <f>VLOOKUP($C80,'#Data'!$B$3:$I$344,8,FALSE)</f>
        <v>m_m_tanker_cube_tier02_03</v>
      </c>
      <c r="Z80" s="14"/>
      <c r="AA80" s="14"/>
      <c r="AB80" s="14" t="s">
        <v>226</v>
      </c>
      <c r="AC80" s="94">
        <v>1</v>
      </c>
      <c r="AD80" s="14" t="s">
        <v>398</v>
      </c>
      <c r="AE80" s="14"/>
      <c r="AF80" s="14"/>
      <c r="AG80" s="173" t="s">
        <v>2104</v>
      </c>
    </row>
    <row r="81" spans="1:33" x14ac:dyDescent="0.3">
      <c r="A81" s="14">
        <v>1110401009</v>
      </c>
      <c r="B81" s="14" t="s">
        <v>393</v>
      </c>
      <c r="C81" s="14" t="s">
        <v>421</v>
      </c>
      <c r="D81" s="14" t="s">
        <v>412</v>
      </c>
      <c r="E81" s="5" t="s">
        <v>1833</v>
      </c>
      <c r="F81" s="17" t="s">
        <v>44</v>
      </c>
      <c r="G81" s="14" t="s">
        <v>45</v>
      </c>
      <c r="H81" s="14" t="s">
        <v>45</v>
      </c>
      <c r="I81" s="14" t="b">
        <v>0</v>
      </c>
      <c r="J81" s="14">
        <v>20</v>
      </c>
      <c r="K81" s="14">
        <f>VLOOKUP($A81,쿼리1[[ID]:[열1]],3,FALSE)</f>
        <v>10</v>
      </c>
      <c r="L81" s="14"/>
      <c r="M81" s="14"/>
      <c r="N81" s="14"/>
      <c r="O81" s="17" t="s">
        <v>422</v>
      </c>
      <c r="P81" s="14"/>
      <c r="Q81" s="14" t="s">
        <v>423</v>
      </c>
      <c r="R81" s="14"/>
      <c r="S81" s="14"/>
      <c r="T81" s="14"/>
      <c r="U81" s="14"/>
      <c r="V81" s="14" t="b">
        <v>0</v>
      </c>
      <c r="W81" s="14" t="str">
        <f>"Character/Prefabs/"&amp;VLOOKUP($C81,'#Data'!$B$3:$I$344,8,FALSE)</f>
        <v>Character/Prefabs/m_m_tanker_cube_tier02_04</v>
      </c>
      <c r="X81" s="14"/>
      <c r="Y81" s="14" t="str">
        <f>VLOOKUP($C81,'#Data'!$B$3:$I$344,8,FALSE)</f>
        <v>m_m_tanker_cube_tier02_04</v>
      </c>
      <c r="Z81" s="14"/>
      <c r="AA81" s="14"/>
      <c r="AB81" s="14" t="s">
        <v>226</v>
      </c>
      <c r="AC81" s="94">
        <v>1</v>
      </c>
      <c r="AD81" s="14" t="s">
        <v>398</v>
      </c>
      <c r="AE81" s="14"/>
      <c r="AF81" s="14"/>
      <c r="AG81" s="173" t="s">
        <v>2104</v>
      </c>
    </row>
    <row r="82" spans="1:33" x14ac:dyDescent="0.3">
      <c r="A82" s="14">
        <v>1110401010</v>
      </c>
      <c r="B82" s="14" t="s">
        <v>393</v>
      </c>
      <c r="C82" s="14" t="s">
        <v>424</v>
      </c>
      <c r="D82" s="14" t="s">
        <v>412</v>
      </c>
      <c r="E82" s="5" t="s">
        <v>1833</v>
      </c>
      <c r="F82" s="17" t="s">
        <v>44</v>
      </c>
      <c r="G82" s="14" t="s">
        <v>45</v>
      </c>
      <c r="H82" s="14" t="s">
        <v>45</v>
      </c>
      <c r="I82" s="14" t="b">
        <v>0</v>
      </c>
      <c r="J82" s="14">
        <v>20</v>
      </c>
      <c r="K82" s="14">
        <f>VLOOKUP($A82,쿼리1[[ID]:[열1]],3,FALSE)</f>
        <v>10</v>
      </c>
      <c r="L82" s="14"/>
      <c r="M82" s="14"/>
      <c r="N82" s="14"/>
      <c r="O82" s="17" t="s">
        <v>425</v>
      </c>
      <c r="P82" s="14"/>
      <c r="Q82" s="14" t="s">
        <v>426</v>
      </c>
      <c r="R82" s="14"/>
      <c r="S82" s="14"/>
      <c r="T82" s="14"/>
      <c r="U82" s="14"/>
      <c r="V82" s="14" t="b">
        <v>0</v>
      </c>
      <c r="W82" s="14" t="str">
        <f>"Character/Prefabs/"&amp;VLOOKUP($C82,'#Data'!$B$3:$I$344,8,FALSE)</f>
        <v>Character/Prefabs/m_m_tanker_cube_tier02_05</v>
      </c>
      <c r="X82" s="14"/>
      <c r="Y82" s="14" t="str">
        <f>VLOOKUP($C82,'#Data'!$B$3:$I$344,8,FALSE)</f>
        <v>m_m_tanker_cube_tier02_05</v>
      </c>
      <c r="Z82" s="14"/>
      <c r="AA82" s="14"/>
      <c r="AB82" s="14" t="s">
        <v>226</v>
      </c>
      <c r="AC82" s="94">
        <v>1</v>
      </c>
      <c r="AD82" s="14" t="s">
        <v>398</v>
      </c>
      <c r="AE82" s="14"/>
      <c r="AF82" s="14"/>
      <c r="AG82" s="173" t="s">
        <v>2104</v>
      </c>
    </row>
    <row r="83" spans="1:33" x14ac:dyDescent="0.3">
      <c r="A83" s="14">
        <v>1110401011</v>
      </c>
      <c r="B83" s="14" t="s">
        <v>393</v>
      </c>
      <c r="C83" s="14" t="s">
        <v>427</v>
      </c>
      <c r="D83" s="14" t="s">
        <v>428</v>
      </c>
      <c r="E83" s="5" t="s">
        <v>1833</v>
      </c>
      <c r="F83" s="17" t="s">
        <v>44</v>
      </c>
      <c r="G83" s="14" t="s">
        <v>45</v>
      </c>
      <c r="H83" s="14" t="s">
        <v>45</v>
      </c>
      <c r="I83" s="14" t="b">
        <v>0</v>
      </c>
      <c r="J83" s="14">
        <v>20</v>
      </c>
      <c r="K83" s="14">
        <f>VLOOKUP($A83,쿼리1[[ID]:[열1]],3,FALSE)</f>
        <v>10</v>
      </c>
      <c r="L83" s="14"/>
      <c r="M83" s="14"/>
      <c r="N83" s="14"/>
      <c r="O83" s="17" t="s">
        <v>429</v>
      </c>
      <c r="P83" s="14"/>
      <c r="Q83" s="14" t="s">
        <v>430</v>
      </c>
      <c r="R83" s="14"/>
      <c r="S83" s="14"/>
      <c r="T83" s="14"/>
      <c r="U83" s="14"/>
      <c r="V83" s="14" t="b">
        <v>0</v>
      </c>
      <c r="W83" s="14" t="str">
        <f>"Character/Prefabs/"&amp;VLOOKUP($C83,'#Data'!$B$3:$I$344,8,FALSE)</f>
        <v>Character/Prefabs/m_m_tanker_cube_tier03_01</v>
      </c>
      <c r="X83" s="14"/>
      <c r="Y83" s="14" t="str">
        <f>VLOOKUP($C83,'#Data'!$B$3:$I$344,8,FALSE)</f>
        <v>m_m_tanker_cube_tier03_01</v>
      </c>
      <c r="Z83" s="14"/>
      <c r="AA83" s="14"/>
      <c r="AB83" s="14" t="s">
        <v>226</v>
      </c>
      <c r="AC83" s="94">
        <v>1</v>
      </c>
      <c r="AD83" s="14" t="s">
        <v>398</v>
      </c>
      <c r="AE83" s="14"/>
      <c r="AF83" s="14"/>
      <c r="AG83" s="173" t="s">
        <v>2104</v>
      </c>
    </row>
    <row r="84" spans="1:33" x14ac:dyDescent="0.3">
      <c r="A84" s="14">
        <v>1110401012</v>
      </c>
      <c r="B84" s="14" t="s">
        <v>393</v>
      </c>
      <c r="C84" s="14" t="s">
        <v>431</v>
      </c>
      <c r="D84" s="14" t="s">
        <v>428</v>
      </c>
      <c r="E84" s="5" t="s">
        <v>1833</v>
      </c>
      <c r="F84" s="17" t="s">
        <v>44</v>
      </c>
      <c r="G84" s="14" t="s">
        <v>45</v>
      </c>
      <c r="H84" s="14" t="s">
        <v>45</v>
      </c>
      <c r="I84" s="14" t="b">
        <v>0</v>
      </c>
      <c r="J84" s="14">
        <v>20</v>
      </c>
      <c r="K84" s="14">
        <f>VLOOKUP($A84,쿼리1[[ID]:[열1]],3,FALSE)</f>
        <v>10</v>
      </c>
      <c r="L84" s="14"/>
      <c r="M84" s="14"/>
      <c r="N84" s="14"/>
      <c r="O84" s="17" t="s">
        <v>432</v>
      </c>
      <c r="P84" s="14"/>
      <c r="Q84" s="14" t="s">
        <v>433</v>
      </c>
      <c r="R84" s="14"/>
      <c r="S84" s="14"/>
      <c r="T84" s="14"/>
      <c r="U84" s="14"/>
      <c r="V84" s="14" t="b">
        <v>0</v>
      </c>
      <c r="W84" s="14" t="str">
        <f>"Character/Prefabs/"&amp;VLOOKUP($C84,'#Data'!$B$3:$I$344,8,FALSE)</f>
        <v>Character/Prefabs/m_m_tanker_cube_tier03_02</v>
      </c>
      <c r="X84" s="14"/>
      <c r="Y84" s="14" t="str">
        <f>VLOOKUP($C84,'#Data'!$B$3:$I$344,8,FALSE)</f>
        <v>m_m_tanker_cube_tier03_02</v>
      </c>
      <c r="Z84" s="14"/>
      <c r="AA84" s="14"/>
      <c r="AB84" s="14" t="s">
        <v>226</v>
      </c>
      <c r="AC84" s="94">
        <v>1</v>
      </c>
      <c r="AD84" s="14" t="s">
        <v>398</v>
      </c>
      <c r="AE84" s="14"/>
      <c r="AF84" s="14"/>
      <c r="AG84" s="173" t="s">
        <v>2104</v>
      </c>
    </row>
    <row r="85" spans="1:33" x14ac:dyDescent="0.3">
      <c r="A85" s="14">
        <v>1110401013</v>
      </c>
      <c r="B85" s="14" t="s">
        <v>393</v>
      </c>
      <c r="C85" s="14" t="s">
        <v>434</v>
      </c>
      <c r="D85" s="14" t="s">
        <v>428</v>
      </c>
      <c r="E85" s="5" t="s">
        <v>1833</v>
      </c>
      <c r="F85" s="17" t="s">
        <v>44</v>
      </c>
      <c r="G85" s="14" t="s">
        <v>45</v>
      </c>
      <c r="H85" s="14" t="s">
        <v>45</v>
      </c>
      <c r="I85" s="14" t="b">
        <v>0</v>
      </c>
      <c r="J85" s="14">
        <v>20</v>
      </c>
      <c r="K85" s="14">
        <f>VLOOKUP($A85,쿼리1[[ID]:[열1]],3,FALSE)</f>
        <v>10</v>
      </c>
      <c r="L85" s="14"/>
      <c r="M85" s="14"/>
      <c r="N85" s="14"/>
      <c r="O85" s="17" t="s">
        <v>435</v>
      </c>
      <c r="P85" s="14"/>
      <c r="Q85" s="14" t="s">
        <v>436</v>
      </c>
      <c r="R85" s="14"/>
      <c r="S85" s="14"/>
      <c r="T85" s="14"/>
      <c r="U85" s="14"/>
      <c r="V85" s="14" t="b">
        <v>0</v>
      </c>
      <c r="W85" s="14" t="str">
        <f>"Character/Prefabs/"&amp;VLOOKUP($C85,'#Data'!$B$3:$I$344,8,FALSE)</f>
        <v>Character/Prefabs/m_m_tanker_cube_tier03_03</v>
      </c>
      <c r="X85" s="14"/>
      <c r="Y85" s="14" t="str">
        <f>VLOOKUP($C85,'#Data'!$B$3:$I$344,8,FALSE)</f>
        <v>m_m_tanker_cube_tier03_03</v>
      </c>
      <c r="Z85" s="14"/>
      <c r="AA85" s="14"/>
      <c r="AB85" s="14" t="s">
        <v>226</v>
      </c>
      <c r="AC85" s="94">
        <v>1</v>
      </c>
      <c r="AD85" s="14" t="s">
        <v>398</v>
      </c>
      <c r="AE85" s="14"/>
      <c r="AF85" s="14"/>
      <c r="AG85" s="173" t="s">
        <v>2104</v>
      </c>
    </row>
    <row r="86" spans="1:33" x14ac:dyDescent="0.3">
      <c r="A86" s="14">
        <v>1110401014</v>
      </c>
      <c r="B86" s="14" t="s">
        <v>393</v>
      </c>
      <c r="C86" s="14" t="s">
        <v>437</v>
      </c>
      <c r="D86" s="14" t="s">
        <v>428</v>
      </c>
      <c r="E86" s="5" t="s">
        <v>1833</v>
      </c>
      <c r="F86" s="17" t="s">
        <v>44</v>
      </c>
      <c r="G86" s="14" t="s">
        <v>45</v>
      </c>
      <c r="H86" s="14" t="s">
        <v>45</v>
      </c>
      <c r="I86" s="14" t="b">
        <v>0</v>
      </c>
      <c r="J86" s="14">
        <v>20</v>
      </c>
      <c r="K86" s="14">
        <f>VLOOKUP($A86,쿼리1[[ID]:[열1]],3,FALSE)</f>
        <v>10</v>
      </c>
      <c r="L86" s="14"/>
      <c r="M86" s="14"/>
      <c r="N86" s="14"/>
      <c r="O86" s="17" t="s">
        <v>438</v>
      </c>
      <c r="P86" s="14"/>
      <c r="Q86" s="14" t="s">
        <v>439</v>
      </c>
      <c r="R86" s="14"/>
      <c r="S86" s="14"/>
      <c r="T86" s="14"/>
      <c r="U86" s="14"/>
      <c r="V86" s="14" t="b">
        <v>0</v>
      </c>
      <c r="W86" s="14" t="str">
        <f>"Character/Prefabs/"&amp;VLOOKUP($C86,'#Data'!$B$3:$I$344,8,FALSE)</f>
        <v>Character/Prefabs/m_m_tanker_cube_tier03_04</v>
      </c>
      <c r="X86" s="14"/>
      <c r="Y86" s="14" t="str">
        <f>VLOOKUP($C86,'#Data'!$B$3:$I$344,8,FALSE)</f>
        <v>m_m_tanker_cube_tier03_04</v>
      </c>
      <c r="Z86" s="14"/>
      <c r="AA86" s="14"/>
      <c r="AB86" s="14" t="s">
        <v>226</v>
      </c>
      <c r="AC86" s="94">
        <v>1</v>
      </c>
      <c r="AD86" s="14" t="s">
        <v>398</v>
      </c>
      <c r="AE86" s="14"/>
      <c r="AF86" s="14"/>
      <c r="AG86" s="173" t="s">
        <v>2104</v>
      </c>
    </row>
    <row r="87" spans="1:33" x14ac:dyDescent="0.3">
      <c r="A87" s="14">
        <v>1110401015</v>
      </c>
      <c r="B87" s="14" t="s">
        <v>393</v>
      </c>
      <c r="C87" s="14" t="s">
        <v>440</v>
      </c>
      <c r="D87" s="14" t="s">
        <v>428</v>
      </c>
      <c r="E87" s="5" t="s">
        <v>1833</v>
      </c>
      <c r="F87" s="17" t="s">
        <v>44</v>
      </c>
      <c r="G87" s="14" t="s">
        <v>45</v>
      </c>
      <c r="H87" s="14" t="s">
        <v>45</v>
      </c>
      <c r="I87" s="14" t="b">
        <v>0</v>
      </c>
      <c r="J87" s="14">
        <v>20</v>
      </c>
      <c r="K87" s="14">
        <f>VLOOKUP($A87,쿼리1[[ID]:[열1]],3,FALSE)</f>
        <v>10</v>
      </c>
      <c r="L87" s="14"/>
      <c r="M87" s="14"/>
      <c r="N87" s="14"/>
      <c r="O87" s="17" t="s">
        <v>441</v>
      </c>
      <c r="P87" s="14"/>
      <c r="Q87" s="14" t="s">
        <v>442</v>
      </c>
      <c r="R87" s="14"/>
      <c r="S87" s="14"/>
      <c r="T87" s="14"/>
      <c r="U87" s="14"/>
      <c r="V87" s="14" t="b">
        <v>0</v>
      </c>
      <c r="W87" s="14" t="str">
        <f>"Character/Prefabs/"&amp;VLOOKUP($C87,'#Data'!$B$3:$I$344,8,FALSE)</f>
        <v>Character/Prefabs/m_m_tanker_cube_tier03_05</v>
      </c>
      <c r="X87" s="14"/>
      <c r="Y87" s="14" t="str">
        <f>VLOOKUP($C87,'#Data'!$B$3:$I$344,8,FALSE)</f>
        <v>m_m_tanker_cube_tier03_05</v>
      </c>
      <c r="Z87" s="14"/>
      <c r="AA87" s="14"/>
      <c r="AB87" s="14" t="s">
        <v>226</v>
      </c>
      <c r="AC87" s="94">
        <v>1</v>
      </c>
      <c r="AD87" s="14" t="s">
        <v>398</v>
      </c>
      <c r="AE87" s="14"/>
      <c r="AF87" s="14"/>
      <c r="AG87" s="173" t="s">
        <v>2104</v>
      </c>
    </row>
    <row r="88" spans="1:33" x14ac:dyDescent="0.3">
      <c r="A88" s="14">
        <v>1110401016</v>
      </c>
      <c r="B88" s="14" t="s">
        <v>393</v>
      </c>
      <c r="C88" s="14" t="s">
        <v>443</v>
      </c>
      <c r="D88" s="14" t="s">
        <v>444</v>
      </c>
      <c r="E88" s="5" t="s">
        <v>1833</v>
      </c>
      <c r="F88" s="17" t="s">
        <v>44</v>
      </c>
      <c r="G88" s="14" t="s">
        <v>45</v>
      </c>
      <c r="H88" s="14" t="s">
        <v>45</v>
      </c>
      <c r="I88" s="14" t="b">
        <v>0</v>
      </c>
      <c r="J88" s="14">
        <v>20</v>
      </c>
      <c r="K88" s="14">
        <f>VLOOKUP($A88,쿼리1[[ID]:[열1]],3,FALSE)</f>
        <v>10</v>
      </c>
      <c r="L88" s="14"/>
      <c r="M88" s="14"/>
      <c r="N88" s="14"/>
      <c r="O88" s="17" t="s">
        <v>445</v>
      </c>
      <c r="P88" s="14"/>
      <c r="Q88" s="14" t="s">
        <v>446</v>
      </c>
      <c r="R88" s="14"/>
      <c r="S88" s="14"/>
      <c r="T88" s="14"/>
      <c r="U88" s="14"/>
      <c r="V88" s="14" t="b">
        <v>0</v>
      </c>
      <c r="W88" s="14" t="str">
        <f>"Character/Prefabs/"&amp;VLOOKUP($C88,'#Data'!$B$3:$I$344,8,FALSE)</f>
        <v>Character/Prefabs/m_m_tanker_cube_tier04_01</v>
      </c>
      <c r="X88" s="14"/>
      <c r="Y88" s="14" t="str">
        <f>VLOOKUP($C88,'#Data'!$B$3:$I$344,8,FALSE)</f>
        <v>m_m_tanker_cube_tier04_01</v>
      </c>
      <c r="Z88" s="14"/>
      <c r="AA88" s="14"/>
      <c r="AB88" s="14" t="s">
        <v>226</v>
      </c>
      <c r="AC88" s="94">
        <v>1</v>
      </c>
      <c r="AD88" s="14" t="s">
        <v>398</v>
      </c>
      <c r="AE88" s="14"/>
      <c r="AF88" s="14"/>
      <c r="AG88" s="173" t="s">
        <v>2104</v>
      </c>
    </row>
    <row r="89" spans="1:33" x14ac:dyDescent="0.3">
      <c r="A89" s="14">
        <v>1110401017</v>
      </c>
      <c r="B89" s="14" t="s">
        <v>393</v>
      </c>
      <c r="C89" s="14" t="s">
        <v>447</v>
      </c>
      <c r="D89" s="14" t="s">
        <v>444</v>
      </c>
      <c r="E89" s="5" t="s">
        <v>1833</v>
      </c>
      <c r="F89" s="17" t="s">
        <v>44</v>
      </c>
      <c r="G89" s="14" t="s">
        <v>45</v>
      </c>
      <c r="H89" s="14" t="s">
        <v>45</v>
      </c>
      <c r="I89" s="14" t="b">
        <v>0</v>
      </c>
      <c r="J89" s="14">
        <v>20</v>
      </c>
      <c r="K89" s="14">
        <f>VLOOKUP($A89,쿼리1[[ID]:[열1]],3,FALSE)</f>
        <v>10</v>
      </c>
      <c r="L89" s="14"/>
      <c r="M89" s="14"/>
      <c r="N89" s="14"/>
      <c r="O89" s="17" t="s">
        <v>448</v>
      </c>
      <c r="P89" s="14"/>
      <c r="Q89" s="14" t="s">
        <v>449</v>
      </c>
      <c r="R89" s="14"/>
      <c r="S89" s="14"/>
      <c r="T89" s="14"/>
      <c r="U89" s="14"/>
      <c r="V89" s="14" t="b">
        <v>0</v>
      </c>
      <c r="W89" s="14" t="str">
        <f>"Character/Prefabs/"&amp;VLOOKUP($C89,'#Data'!$B$3:$I$344,8,FALSE)</f>
        <v>Character/Prefabs/m_m_tanker_cube_tier04_02</v>
      </c>
      <c r="X89" s="14"/>
      <c r="Y89" s="14" t="str">
        <f>VLOOKUP($C89,'#Data'!$B$3:$I$344,8,FALSE)</f>
        <v>m_m_tanker_cube_tier04_02</v>
      </c>
      <c r="Z89" s="14"/>
      <c r="AA89" s="14"/>
      <c r="AB89" s="14" t="s">
        <v>226</v>
      </c>
      <c r="AC89" s="94">
        <v>1</v>
      </c>
      <c r="AD89" s="14" t="s">
        <v>398</v>
      </c>
      <c r="AE89" s="14"/>
      <c r="AF89" s="14"/>
      <c r="AG89" s="173" t="s">
        <v>2104</v>
      </c>
    </row>
    <row r="90" spans="1:33" x14ac:dyDescent="0.3">
      <c r="A90" s="14">
        <v>1110401018</v>
      </c>
      <c r="B90" s="14" t="s">
        <v>393</v>
      </c>
      <c r="C90" s="14" t="s">
        <v>450</v>
      </c>
      <c r="D90" s="14" t="s">
        <v>444</v>
      </c>
      <c r="E90" s="5" t="s">
        <v>1833</v>
      </c>
      <c r="F90" s="17" t="s">
        <v>44</v>
      </c>
      <c r="G90" s="14" t="s">
        <v>45</v>
      </c>
      <c r="H90" s="14" t="s">
        <v>45</v>
      </c>
      <c r="I90" s="14" t="b">
        <v>0</v>
      </c>
      <c r="J90" s="14">
        <v>20</v>
      </c>
      <c r="K90" s="14">
        <f>VLOOKUP($A90,쿼리1[[ID]:[열1]],3,FALSE)</f>
        <v>10</v>
      </c>
      <c r="L90" s="14"/>
      <c r="M90" s="14"/>
      <c r="N90" s="14"/>
      <c r="O90" s="17" t="s">
        <v>451</v>
      </c>
      <c r="P90" s="14"/>
      <c r="Q90" s="14" t="s">
        <v>452</v>
      </c>
      <c r="R90" s="14"/>
      <c r="S90" s="14"/>
      <c r="T90" s="14"/>
      <c r="U90" s="14"/>
      <c r="V90" s="14" t="b">
        <v>0</v>
      </c>
      <c r="W90" s="14" t="str">
        <f>"Character/Prefabs/"&amp;VLOOKUP($C90,'#Data'!$B$3:$I$344,8,FALSE)</f>
        <v>Character/Prefabs/m_m_tanker_cube_tier04_03</v>
      </c>
      <c r="X90" s="14"/>
      <c r="Y90" s="14" t="str">
        <f>VLOOKUP($C90,'#Data'!$B$3:$I$344,8,FALSE)</f>
        <v>m_m_tanker_cube_tier04_03</v>
      </c>
      <c r="Z90" s="14"/>
      <c r="AA90" s="14"/>
      <c r="AB90" s="14" t="s">
        <v>226</v>
      </c>
      <c r="AC90" s="94">
        <v>1</v>
      </c>
      <c r="AD90" s="14" t="s">
        <v>398</v>
      </c>
      <c r="AE90" s="14"/>
      <c r="AF90" s="14"/>
      <c r="AG90" s="173" t="s">
        <v>2104</v>
      </c>
    </row>
    <row r="91" spans="1:33" x14ac:dyDescent="0.3">
      <c r="A91" s="14">
        <v>1110401019</v>
      </c>
      <c r="B91" s="14" t="s">
        <v>393</v>
      </c>
      <c r="C91" s="14" t="s">
        <v>453</v>
      </c>
      <c r="D91" s="14" t="s">
        <v>444</v>
      </c>
      <c r="E91" s="5" t="s">
        <v>1833</v>
      </c>
      <c r="F91" s="17" t="s">
        <v>44</v>
      </c>
      <c r="G91" s="14" t="s">
        <v>45</v>
      </c>
      <c r="H91" s="14" t="s">
        <v>45</v>
      </c>
      <c r="I91" s="14" t="b">
        <v>0</v>
      </c>
      <c r="J91" s="14">
        <v>20</v>
      </c>
      <c r="K91" s="14">
        <f>VLOOKUP($A91,쿼리1[[ID]:[열1]],3,FALSE)</f>
        <v>10</v>
      </c>
      <c r="L91" s="14"/>
      <c r="M91" s="14"/>
      <c r="N91" s="14"/>
      <c r="O91" s="17" t="s">
        <v>454</v>
      </c>
      <c r="P91" s="14"/>
      <c r="Q91" s="14" t="s">
        <v>455</v>
      </c>
      <c r="R91" s="14"/>
      <c r="S91" s="14"/>
      <c r="T91" s="14"/>
      <c r="U91" s="14"/>
      <c r="V91" s="14" t="b">
        <v>0</v>
      </c>
      <c r="W91" s="14" t="str">
        <f>"Character/Prefabs/"&amp;VLOOKUP($C91,'#Data'!$B$3:$I$344,8,FALSE)</f>
        <v>Character/Prefabs/m_m_tanker_cube_tier04_04</v>
      </c>
      <c r="X91" s="14"/>
      <c r="Y91" s="14" t="str">
        <f>VLOOKUP($C91,'#Data'!$B$3:$I$344,8,FALSE)</f>
        <v>m_m_tanker_cube_tier04_04</v>
      </c>
      <c r="Z91" s="14"/>
      <c r="AA91" s="14"/>
      <c r="AB91" s="14" t="s">
        <v>226</v>
      </c>
      <c r="AC91" s="94">
        <v>1</v>
      </c>
      <c r="AD91" s="14" t="s">
        <v>398</v>
      </c>
      <c r="AE91" s="14"/>
      <c r="AF91" s="14"/>
      <c r="AG91" s="173" t="s">
        <v>2104</v>
      </c>
    </row>
    <row r="92" spans="1:33" x14ac:dyDescent="0.3">
      <c r="A92" s="14">
        <v>1110401020</v>
      </c>
      <c r="B92" s="14" t="s">
        <v>393</v>
      </c>
      <c r="C92" s="14" t="s">
        <v>456</v>
      </c>
      <c r="D92" s="14" t="s">
        <v>444</v>
      </c>
      <c r="E92" s="5" t="s">
        <v>1833</v>
      </c>
      <c r="F92" s="17" t="s">
        <v>44</v>
      </c>
      <c r="G92" s="14" t="s">
        <v>45</v>
      </c>
      <c r="H92" s="14" t="s">
        <v>45</v>
      </c>
      <c r="I92" s="14" t="b">
        <v>0</v>
      </c>
      <c r="J92" s="14">
        <v>20</v>
      </c>
      <c r="K92" s="14">
        <f>VLOOKUP($A92,쿼리1[[ID]:[열1]],3,FALSE)</f>
        <v>10</v>
      </c>
      <c r="L92" s="14"/>
      <c r="M92" s="14"/>
      <c r="N92" s="14"/>
      <c r="O92" s="17" t="s">
        <v>457</v>
      </c>
      <c r="P92" s="14"/>
      <c r="Q92" s="14" t="s">
        <v>458</v>
      </c>
      <c r="R92" s="14"/>
      <c r="S92" s="14"/>
      <c r="T92" s="14"/>
      <c r="U92" s="14"/>
      <c r="V92" s="14" t="b">
        <v>0</v>
      </c>
      <c r="W92" s="14" t="str">
        <f>"Character/Prefabs/"&amp;VLOOKUP($C92,'#Data'!$B$3:$I$344,8,FALSE)</f>
        <v>Character/Prefabs/m_m_tanker_cube_tier04_05</v>
      </c>
      <c r="X92" s="14"/>
      <c r="Y92" s="14" t="str">
        <f>VLOOKUP($C92,'#Data'!$B$3:$I$344,8,FALSE)</f>
        <v>m_m_tanker_cube_tier04_05</v>
      </c>
      <c r="Z92" s="14"/>
      <c r="AA92" s="14"/>
      <c r="AB92" s="14" t="s">
        <v>226</v>
      </c>
      <c r="AC92" s="94">
        <v>1</v>
      </c>
      <c r="AD92" s="14" t="s">
        <v>398</v>
      </c>
      <c r="AE92" s="14"/>
      <c r="AF92" s="14"/>
      <c r="AG92" s="173" t="s">
        <v>2104</v>
      </c>
    </row>
    <row r="93" spans="1:33" x14ac:dyDescent="0.3">
      <c r="A93" s="14">
        <v>1110401021</v>
      </c>
      <c r="B93" s="14" t="s">
        <v>393</v>
      </c>
      <c r="C93" s="14" t="s">
        <v>459</v>
      </c>
      <c r="D93" s="14" t="s">
        <v>460</v>
      </c>
      <c r="E93" s="5" t="s">
        <v>1833</v>
      </c>
      <c r="F93" s="17" t="s">
        <v>44</v>
      </c>
      <c r="G93" s="14" t="s">
        <v>45</v>
      </c>
      <c r="H93" s="14" t="s">
        <v>45</v>
      </c>
      <c r="I93" s="14" t="b">
        <v>0</v>
      </c>
      <c r="J93" s="14">
        <v>20</v>
      </c>
      <c r="K93" s="14">
        <f>VLOOKUP($A93,쿼리1[[ID]:[열1]],3,FALSE)</f>
        <v>10</v>
      </c>
      <c r="L93" s="14"/>
      <c r="M93" s="14"/>
      <c r="N93" s="14"/>
      <c r="O93" s="17" t="s">
        <v>461</v>
      </c>
      <c r="P93" s="14"/>
      <c r="Q93" s="14" t="s">
        <v>462</v>
      </c>
      <c r="R93" s="14"/>
      <c r="S93" s="14"/>
      <c r="T93" s="14"/>
      <c r="U93" s="14"/>
      <c r="V93" s="14" t="b">
        <v>0</v>
      </c>
      <c r="W93" s="14" t="str">
        <f>"Character/Prefabs/"&amp;VLOOKUP($C93,'#Data'!$B$3:$I$344,8,FALSE)</f>
        <v>Character/Prefabs/m_m_tanker_cube_tier05_01</v>
      </c>
      <c r="X93" s="14"/>
      <c r="Y93" s="14" t="str">
        <f>VLOOKUP($C93,'#Data'!$B$3:$I$344,8,FALSE)</f>
        <v>m_m_tanker_cube_tier05_01</v>
      </c>
      <c r="Z93" s="14"/>
      <c r="AA93" s="14"/>
      <c r="AB93" s="14" t="s">
        <v>226</v>
      </c>
      <c r="AC93" s="94">
        <v>1</v>
      </c>
      <c r="AD93" s="14" t="s">
        <v>398</v>
      </c>
      <c r="AE93" s="14"/>
      <c r="AF93" s="14"/>
      <c r="AG93" s="173" t="s">
        <v>2104</v>
      </c>
    </row>
    <row r="94" spans="1:33" x14ac:dyDescent="0.3">
      <c r="A94" s="14">
        <v>1110401022</v>
      </c>
      <c r="B94" s="14" t="s">
        <v>393</v>
      </c>
      <c r="C94" s="14" t="s">
        <v>463</v>
      </c>
      <c r="D94" s="14" t="s">
        <v>460</v>
      </c>
      <c r="E94" s="5" t="s">
        <v>1833</v>
      </c>
      <c r="F94" s="17" t="s">
        <v>44</v>
      </c>
      <c r="G94" s="14" t="s">
        <v>45</v>
      </c>
      <c r="H94" s="14" t="s">
        <v>45</v>
      </c>
      <c r="I94" s="14" t="b">
        <v>0</v>
      </c>
      <c r="J94" s="14">
        <v>20</v>
      </c>
      <c r="K94" s="14">
        <f>VLOOKUP($A94,쿼리1[[ID]:[열1]],3,FALSE)</f>
        <v>10</v>
      </c>
      <c r="L94" s="14"/>
      <c r="M94" s="14"/>
      <c r="N94" s="14"/>
      <c r="O94" s="17" t="s">
        <v>464</v>
      </c>
      <c r="P94" s="14"/>
      <c r="Q94" s="14" t="s">
        <v>465</v>
      </c>
      <c r="R94" s="14"/>
      <c r="S94" s="14"/>
      <c r="T94" s="14"/>
      <c r="U94" s="14"/>
      <c r="V94" s="14" t="b">
        <v>0</v>
      </c>
      <c r="W94" s="14" t="str">
        <f>"Character/Prefabs/"&amp;VLOOKUP($C94,'#Data'!$B$3:$I$344,8,FALSE)</f>
        <v>Character/Prefabs/m_m_tanker_cube_tier05_02</v>
      </c>
      <c r="X94" s="14"/>
      <c r="Y94" s="14" t="str">
        <f>VLOOKUP($C94,'#Data'!$B$3:$I$344,8,FALSE)</f>
        <v>m_m_tanker_cube_tier05_02</v>
      </c>
      <c r="Z94" s="14"/>
      <c r="AA94" s="14"/>
      <c r="AB94" s="14" t="s">
        <v>226</v>
      </c>
      <c r="AC94" s="94">
        <v>1</v>
      </c>
      <c r="AD94" s="14" t="s">
        <v>398</v>
      </c>
      <c r="AE94" s="14"/>
      <c r="AF94" s="14"/>
      <c r="AG94" s="173" t="s">
        <v>2104</v>
      </c>
    </row>
    <row r="95" spans="1:33" x14ac:dyDescent="0.3">
      <c r="A95" s="14">
        <v>1110401023</v>
      </c>
      <c r="B95" s="14" t="s">
        <v>393</v>
      </c>
      <c r="C95" s="14" t="s">
        <v>466</v>
      </c>
      <c r="D95" s="14" t="s">
        <v>460</v>
      </c>
      <c r="E95" s="5" t="s">
        <v>1833</v>
      </c>
      <c r="F95" s="17" t="s">
        <v>44</v>
      </c>
      <c r="G95" s="14" t="s">
        <v>45</v>
      </c>
      <c r="H95" s="14" t="s">
        <v>45</v>
      </c>
      <c r="I95" s="14" t="b">
        <v>0</v>
      </c>
      <c r="J95" s="14">
        <v>20</v>
      </c>
      <c r="K95" s="14">
        <f>VLOOKUP($A95,쿼리1[[ID]:[열1]],3,FALSE)</f>
        <v>10</v>
      </c>
      <c r="L95" s="14"/>
      <c r="M95" s="14"/>
      <c r="N95" s="14"/>
      <c r="O95" s="17" t="s">
        <v>467</v>
      </c>
      <c r="P95" s="14"/>
      <c r="Q95" s="14" t="s">
        <v>468</v>
      </c>
      <c r="R95" s="14"/>
      <c r="S95" s="14"/>
      <c r="T95" s="14"/>
      <c r="U95" s="14"/>
      <c r="V95" s="14" t="b">
        <v>0</v>
      </c>
      <c r="W95" s="14" t="str">
        <f>"Character/Prefabs/"&amp;VLOOKUP($C95,'#Data'!$B$3:$I$344,8,FALSE)</f>
        <v>Character/Prefabs/m_m_tanker_cube_tier05_03</v>
      </c>
      <c r="X95" s="14"/>
      <c r="Y95" s="14" t="str">
        <f>VLOOKUP($C95,'#Data'!$B$3:$I$344,8,FALSE)</f>
        <v>m_m_tanker_cube_tier05_03</v>
      </c>
      <c r="Z95" s="14"/>
      <c r="AA95" s="14"/>
      <c r="AB95" s="14" t="s">
        <v>226</v>
      </c>
      <c r="AC95" s="94">
        <v>1</v>
      </c>
      <c r="AD95" s="14" t="s">
        <v>398</v>
      </c>
      <c r="AE95" s="14"/>
      <c r="AF95" s="14"/>
      <c r="AG95" s="173" t="s">
        <v>2104</v>
      </c>
    </row>
    <row r="96" spans="1:33" x14ac:dyDescent="0.3">
      <c r="A96" s="14">
        <v>1110401024</v>
      </c>
      <c r="B96" s="14" t="s">
        <v>393</v>
      </c>
      <c r="C96" s="14" t="s">
        <v>469</v>
      </c>
      <c r="D96" s="14" t="s">
        <v>460</v>
      </c>
      <c r="E96" s="5" t="s">
        <v>1833</v>
      </c>
      <c r="F96" s="17" t="s">
        <v>44</v>
      </c>
      <c r="G96" s="14" t="s">
        <v>45</v>
      </c>
      <c r="H96" s="14" t="s">
        <v>45</v>
      </c>
      <c r="I96" s="14" t="b">
        <v>0</v>
      </c>
      <c r="J96" s="14">
        <v>20</v>
      </c>
      <c r="K96" s="14">
        <f>VLOOKUP($A96,쿼리1[[ID]:[열1]],3,FALSE)</f>
        <v>10</v>
      </c>
      <c r="L96" s="14"/>
      <c r="M96" s="14"/>
      <c r="N96" s="14"/>
      <c r="O96" s="17" t="s">
        <v>470</v>
      </c>
      <c r="P96" s="14"/>
      <c r="Q96" s="14" t="s">
        <v>471</v>
      </c>
      <c r="R96" s="14"/>
      <c r="S96" s="14"/>
      <c r="T96" s="14"/>
      <c r="U96" s="14"/>
      <c r="V96" s="14" t="b">
        <v>0</v>
      </c>
      <c r="W96" s="14" t="str">
        <f>"Character/Prefabs/"&amp;VLOOKUP($C96,'#Data'!$B$3:$I$344,8,FALSE)</f>
        <v>Character/Prefabs/m_m_tanker_cube_tier05_04</v>
      </c>
      <c r="X96" s="14"/>
      <c r="Y96" s="14" t="str">
        <f>VLOOKUP($C96,'#Data'!$B$3:$I$344,8,FALSE)</f>
        <v>m_m_tanker_cube_tier05_04</v>
      </c>
      <c r="Z96" s="14"/>
      <c r="AA96" s="14"/>
      <c r="AB96" s="14" t="s">
        <v>226</v>
      </c>
      <c r="AC96" s="94">
        <v>1</v>
      </c>
      <c r="AD96" s="14" t="s">
        <v>398</v>
      </c>
      <c r="AE96" s="14"/>
      <c r="AF96" s="14"/>
      <c r="AG96" s="173" t="s">
        <v>2104</v>
      </c>
    </row>
    <row r="97" spans="1:33" x14ac:dyDescent="0.3">
      <c r="A97" s="14">
        <v>1110401025</v>
      </c>
      <c r="B97" s="14" t="s">
        <v>393</v>
      </c>
      <c r="C97" s="14" t="s">
        <v>472</v>
      </c>
      <c r="D97" s="14" t="s">
        <v>460</v>
      </c>
      <c r="E97" s="5" t="s">
        <v>1833</v>
      </c>
      <c r="F97" s="17" t="s">
        <v>44</v>
      </c>
      <c r="G97" s="14" t="s">
        <v>45</v>
      </c>
      <c r="H97" s="14" t="s">
        <v>45</v>
      </c>
      <c r="I97" s="14" t="b">
        <v>0</v>
      </c>
      <c r="J97" s="14">
        <v>20</v>
      </c>
      <c r="K97" s="14">
        <f>VLOOKUP($A97,쿼리1[[ID]:[열1]],3,FALSE)</f>
        <v>10</v>
      </c>
      <c r="L97" s="14"/>
      <c r="M97" s="14"/>
      <c r="N97" s="14"/>
      <c r="O97" s="17" t="s">
        <v>473</v>
      </c>
      <c r="P97" s="14"/>
      <c r="Q97" s="14" t="s">
        <v>474</v>
      </c>
      <c r="R97" s="14"/>
      <c r="S97" s="14"/>
      <c r="T97" s="14"/>
      <c r="U97" s="14"/>
      <c r="V97" s="14" t="b">
        <v>0</v>
      </c>
      <c r="W97" s="14" t="str">
        <f>"Character/Prefabs/"&amp;VLOOKUP($C97,'#Data'!$B$3:$I$344,8,FALSE)</f>
        <v>Character/Prefabs/m_m_tanker_cube_tier05_05</v>
      </c>
      <c r="X97" s="14"/>
      <c r="Y97" s="14" t="str">
        <f>VLOOKUP($C97,'#Data'!$B$3:$I$344,8,FALSE)</f>
        <v>m_m_tanker_cube_tier05_05</v>
      </c>
      <c r="Z97" s="14"/>
      <c r="AA97" s="14"/>
      <c r="AB97" s="14" t="s">
        <v>226</v>
      </c>
      <c r="AC97" s="94">
        <v>1</v>
      </c>
      <c r="AD97" s="14" t="s">
        <v>398</v>
      </c>
      <c r="AE97" s="14"/>
      <c r="AF97" s="14"/>
      <c r="AG97" s="173" t="s">
        <v>2104</v>
      </c>
    </row>
    <row r="98" spans="1:33" x14ac:dyDescent="0.3">
      <c r="A98" s="149">
        <v>1110401101</v>
      </c>
      <c r="B98" s="149" t="s">
        <v>1974</v>
      </c>
      <c r="C98" s="149" t="s">
        <v>2111</v>
      </c>
      <c r="D98" s="149" t="str">
        <f>"Monster.Name."&amp;VLOOKUP($C98,'#Data'!$B$2:$J$344,2,FALSE)</f>
        <v>Monster.Name.trapburger_1</v>
      </c>
      <c r="E98" s="150" t="s">
        <v>1833</v>
      </c>
      <c r="F98" s="151" t="s">
        <v>44</v>
      </c>
      <c r="G98" s="149" t="s">
        <v>45</v>
      </c>
      <c r="H98" s="149" t="s">
        <v>45</v>
      </c>
      <c r="I98" s="149" t="b">
        <v>0</v>
      </c>
      <c r="J98" s="149">
        <v>20</v>
      </c>
      <c r="K98" s="149">
        <f>VLOOKUP($A98,쿼리1[[ID]:[열1]],3,FALSE)</f>
        <v>10</v>
      </c>
      <c r="L98" s="149"/>
      <c r="M98" s="149"/>
      <c r="N98" s="149"/>
      <c r="O98" s="151" t="s">
        <v>1975</v>
      </c>
      <c r="P98" s="149" t="s">
        <v>3975</v>
      </c>
      <c r="Q98" s="149"/>
      <c r="R98" s="149"/>
      <c r="S98" s="149"/>
      <c r="T98" s="149"/>
      <c r="U98" s="149"/>
      <c r="V98" s="149" t="b">
        <v>0</v>
      </c>
      <c r="W98" s="149" t="str">
        <f>"Character/Prefabs/"&amp;VLOOKUP($C98,'#Data'!$B$3:$I$344,8,FALSE)</f>
        <v>Character/Prefabs/m_m_tanker_trapburger_1</v>
      </c>
      <c r="X98" s="149"/>
      <c r="Y98" s="149" t="str">
        <f>VLOOKUP($C98,'#Data'!$B$3:$I$344,8,FALSE)</f>
        <v>m_m_tanker_trapburger_1</v>
      </c>
      <c r="Z98" s="149"/>
      <c r="AA98" s="149"/>
      <c r="AB98" s="149" t="s">
        <v>226</v>
      </c>
      <c r="AC98" s="152">
        <v>1</v>
      </c>
      <c r="AD98" s="149"/>
      <c r="AE98" s="149"/>
      <c r="AF98" s="149"/>
      <c r="AG98" s="180" t="s">
        <v>2104</v>
      </c>
    </row>
    <row r="99" spans="1:33" x14ac:dyDescent="0.3">
      <c r="A99" s="149">
        <v>1110401102</v>
      </c>
      <c r="B99" s="149" t="s">
        <v>1944</v>
      </c>
      <c r="C99" s="149" t="s">
        <v>2112</v>
      </c>
      <c r="D99" s="149" t="str">
        <f>"Monster.Name."&amp;VLOOKUP($C99,'#Data'!$B$2:$J$344,2,FALSE)</f>
        <v>Monster.Name.trapburger_2</v>
      </c>
      <c r="E99" s="150" t="s">
        <v>1833</v>
      </c>
      <c r="F99" s="151" t="s">
        <v>44</v>
      </c>
      <c r="G99" s="149" t="s">
        <v>45</v>
      </c>
      <c r="H99" s="149" t="s">
        <v>45</v>
      </c>
      <c r="I99" s="149" t="b">
        <v>0</v>
      </c>
      <c r="J99" s="149">
        <v>20</v>
      </c>
      <c r="K99" s="149">
        <f>VLOOKUP($A99,쿼리1[[ID]:[열1]],3,FALSE)</f>
        <v>10</v>
      </c>
      <c r="L99" s="149"/>
      <c r="M99" s="149"/>
      <c r="N99" s="149"/>
      <c r="O99" s="151" t="s">
        <v>2110</v>
      </c>
      <c r="P99" s="149" t="s">
        <v>3975</v>
      </c>
      <c r="Q99" s="149"/>
      <c r="R99" s="149"/>
      <c r="S99" s="149"/>
      <c r="T99" s="149"/>
      <c r="U99" s="149"/>
      <c r="V99" s="149" t="b">
        <v>0</v>
      </c>
      <c r="W99" s="149" t="str">
        <f>"Character/Prefabs/"&amp;VLOOKUP($C99,'#Data'!$B$3:$I$344,8,FALSE)</f>
        <v>Character/Prefabs/m_m_tanker_trapburger_2</v>
      </c>
      <c r="X99" s="149"/>
      <c r="Y99" s="149" t="str">
        <f>VLOOKUP($C99,'#Data'!$B$3:$I$344,8,FALSE)</f>
        <v>m_m_tanker_trapburger_2</v>
      </c>
      <c r="Z99" s="149"/>
      <c r="AA99" s="149"/>
      <c r="AB99" s="149" t="s">
        <v>226</v>
      </c>
      <c r="AC99" s="152">
        <v>1</v>
      </c>
      <c r="AD99" s="149"/>
      <c r="AE99" s="149"/>
      <c r="AF99" s="149"/>
      <c r="AG99" s="180" t="s">
        <v>2104</v>
      </c>
    </row>
    <row r="100" spans="1:33" x14ac:dyDescent="0.3">
      <c r="A100" s="14">
        <v>1110200101</v>
      </c>
      <c r="B100" s="14" t="s">
        <v>1835</v>
      </c>
      <c r="C100" s="14" t="s">
        <v>1836</v>
      </c>
      <c r="D100" s="14" t="s">
        <v>1837</v>
      </c>
      <c r="E100" s="14" t="s">
        <v>43</v>
      </c>
      <c r="F100" s="17" t="s">
        <v>44</v>
      </c>
      <c r="G100" s="14" t="b">
        <v>1</v>
      </c>
      <c r="H100" s="14" t="b">
        <v>0</v>
      </c>
      <c r="I100" s="14" t="b">
        <v>0</v>
      </c>
      <c r="J100" s="14">
        <v>10</v>
      </c>
      <c r="K100" s="14">
        <f>VLOOKUP($A100,쿼리1[[ID]:[열1]],3,FALSE)</f>
        <v>10</v>
      </c>
      <c r="L100" s="14" t="s">
        <v>1838</v>
      </c>
      <c r="M100" s="14"/>
      <c r="N100" s="14"/>
      <c r="O100" s="17" t="s">
        <v>1839</v>
      </c>
      <c r="P100" s="14"/>
      <c r="Q100" s="14"/>
      <c r="R100" s="14"/>
      <c r="S100" s="14"/>
      <c r="T100" s="14"/>
      <c r="U100" s="14"/>
      <c r="V100" s="14" t="b">
        <v>0</v>
      </c>
      <c r="W100" s="14" t="s">
        <v>1840</v>
      </c>
      <c r="X100" s="14"/>
      <c r="Y100" s="14" t="s">
        <v>1841</v>
      </c>
      <c r="Z100" s="14"/>
      <c r="AA100" s="14"/>
      <c r="AB100" s="14"/>
      <c r="AC100" s="94">
        <v>1</v>
      </c>
      <c r="AD100" s="14"/>
      <c r="AE100" s="14"/>
      <c r="AF100" s="14"/>
      <c r="AG100" s="173" t="s">
        <v>2104</v>
      </c>
    </row>
    <row r="101" spans="1:33" x14ac:dyDescent="0.3">
      <c r="A101" s="14">
        <v>1110200102</v>
      </c>
      <c r="B101" s="14" t="s">
        <v>1835</v>
      </c>
      <c r="C101" s="14" t="s">
        <v>1842</v>
      </c>
      <c r="D101" s="14" t="s">
        <v>1843</v>
      </c>
      <c r="E101" s="14" t="s">
        <v>43</v>
      </c>
      <c r="F101" s="17" t="s">
        <v>44</v>
      </c>
      <c r="G101" s="14" t="b">
        <v>1</v>
      </c>
      <c r="H101" s="14" t="b">
        <v>0</v>
      </c>
      <c r="I101" s="14" t="b">
        <v>0</v>
      </c>
      <c r="J101" s="14">
        <v>10</v>
      </c>
      <c r="K101" s="14">
        <f>VLOOKUP($A101,쿼리1[[ID]:[열1]],3,FALSE)</f>
        <v>10</v>
      </c>
      <c r="L101" s="14" t="s">
        <v>1844</v>
      </c>
      <c r="M101" s="14"/>
      <c r="N101" s="14"/>
      <c r="O101" s="17" t="s">
        <v>1845</v>
      </c>
      <c r="P101" s="14"/>
      <c r="Q101" s="14"/>
      <c r="R101" s="14"/>
      <c r="S101" s="14"/>
      <c r="T101" s="14"/>
      <c r="U101" s="14"/>
      <c r="V101" s="14" t="b">
        <v>0</v>
      </c>
      <c r="W101" s="14" t="s">
        <v>1846</v>
      </c>
      <c r="X101" s="14"/>
      <c r="Y101" s="14" t="s">
        <v>1847</v>
      </c>
      <c r="Z101" s="14"/>
      <c r="AA101" s="14"/>
      <c r="AB101" s="14"/>
      <c r="AC101" s="94">
        <v>1</v>
      </c>
      <c r="AD101" s="14"/>
      <c r="AE101" s="14"/>
      <c r="AF101" s="14"/>
      <c r="AG101" s="173" t="s">
        <v>2104</v>
      </c>
    </row>
    <row r="102" spans="1:33" x14ac:dyDescent="0.3">
      <c r="A102" s="14">
        <v>1110200103</v>
      </c>
      <c r="B102" s="14" t="s">
        <v>1835</v>
      </c>
      <c r="C102" s="14" t="s">
        <v>1848</v>
      </c>
      <c r="D102" s="14" t="s">
        <v>1849</v>
      </c>
      <c r="E102" s="14" t="s">
        <v>143</v>
      </c>
      <c r="F102" s="17" t="s">
        <v>44</v>
      </c>
      <c r="G102" s="14" t="b">
        <v>1</v>
      </c>
      <c r="H102" s="14" t="b">
        <v>0</v>
      </c>
      <c r="I102" s="14" t="b">
        <v>0</v>
      </c>
      <c r="J102" s="14">
        <v>10</v>
      </c>
      <c r="K102" s="14">
        <f>VLOOKUP($A102,쿼리1[[ID]:[열1]],3,FALSE)</f>
        <v>10</v>
      </c>
      <c r="L102" s="14" t="s">
        <v>1850</v>
      </c>
      <c r="M102" s="14"/>
      <c r="N102" s="14"/>
      <c r="O102" s="17" t="s">
        <v>1851</v>
      </c>
      <c r="P102" s="14"/>
      <c r="Q102" s="14"/>
      <c r="R102" s="14"/>
      <c r="S102" s="14"/>
      <c r="T102" s="14"/>
      <c r="U102" s="14"/>
      <c r="V102" s="14" t="b">
        <v>0</v>
      </c>
      <c r="W102" s="14" t="s">
        <v>1852</v>
      </c>
      <c r="X102" s="14"/>
      <c r="Y102" s="14" t="s">
        <v>1853</v>
      </c>
      <c r="Z102" s="14"/>
      <c r="AA102" s="14"/>
      <c r="AB102" s="14"/>
      <c r="AC102" s="94">
        <v>0.6</v>
      </c>
      <c r="AD102" s="14"/>
      <c r="AE102" s="14"/>
      <c r="AF102" s="14"/>
      <c r="AG102" s="173" t="s">
        <v>2104</v>
      </c>
    </row>
    <row r="103" spans="1:33" x14ac:dyDescent="0.3">
      <c r="A103" s="14">
        <v>1111601301</v>
      </c>
      <c r="B103" s="14" t="s">
        <v>2810</v>
      </c>
      <c r="C103" s="14" t="s">
        <v>2805</v>
      </c>
      <c r="D103" s="14" t="str">
        <f>"Monster.Name."&amp;VLOOKUP($C103,'#Data'!$B$2:$J$344,2,FALSE)</f>
        <v>Monster.Name.gamemaster_1</v>
      </c>
      <c r="E103" s="14" t="s">
        <v>1833</v>
      </c>
      <c r="F103" s="17" t="s">
        <v>44</v>
      </c>
      <c r="G103" s="14" t="s">
        <v>45</v>
      </c>
      <c r="H103" s="14" t="b">
        <f>IF(VLOOKUP($C103,'#Data'!$B$2:$J$344,4,FALSE)="보스",TRUE,FALSE)</f>
        <v>1</v>
      </c>
      <c r="I103" s="14" t="b">
        <v>1</v>
      </c>
      <c r="J103" s="14">
        <v>10</v>
      </c>
      <c r="K103" s="14">
        <v>10</v>
      </c>
      <c r="L103" s="14" t="str">
        <f>$B103&amp;"."&amp;VLOOKUP($C103,'#Data'!$B$2:$J$344,2,FALSE)&amp;".attack0"&amp;RIGHT(L$1,1)</f>
        <v>EventStory.gamemaster_1.attack01</v>
      </c>
      <c r="M103" s="14" t="str">
        <f>$B103&amp;"."&amp;VLOOKUP($C103,'#Data'!$B$2:$J$344,2,FALSE)&amp;".attack0"&amp;RIGHT(M$1,1)</f>
        <v>EventStory.gamemaster_1.attack02</v>
      </c>
      <c r="N103" s="14"/>
      <c r="O103" s="17" t="str">
        <f>$B103&amp;"."&amp;VLOOKUP($C103,'#Data'!$B$2:$J$344,2,FALSE)&amp;".skill0"&amp;RIGHT(O$1,1)</f>
        <v>EventStory.gamemaster_1.skill01</v>
      </c>
      <c r="P103" s="14" t="s">
        <v>3804</v>
      </c>
      <c r="Q103" s="14"/>
      <c r="R103" s="14"/>
      <c r="S103" s="14"/>
      <c r="T103" s="14"/>
      <c r="U103" s="14"/>
      <c r="V103" s="14" t="b">
        <v>0</v>
      </c>
      <c r="W103" s="14" t="str">
        <f>"Character/Prefabs/"&amp;VLOOKUP($C103,'#Data'!$B$3:$I$344,8,FALSE)</f>
        <v>Character/Prefabs/m_boss_ranger_gamemaster_1</v>
      </c>
      <c r="X103" s="14"/>
      <c r="Y103" s="14" t="str">
        <f>VLOOKUP($C103,'#Data'!$B$3:$I$344,8,FALSE)</f>
        <v>m_boss_ranger_gamemaster_1</v>
      </c>
      <c r="Z103" s="14"/>
      <c r="AA103" s="14"/>
      <c r="AB103" s="14"/>
      <c r="AC103" s="94">
        <v>1</v>
      </c>
      <c r="AD103" s="14"/>
      <c r="AE103" s="14"/>
      <c r="AF103" s="14"/>
      <c r="AG103" s="173" t="s">
        <v>2104</v>
      </c>
    </row>
    <row r="104" spans="1:33" x14ac:dyDescent="0.3">
      <c r="A104" s="14">
        <v>1111601302</v>
      </c>
      <c r="B104" s="14" t="s">
        <v>2809</v>
      </c>
      <c r="C104" s="14" t="s">
        <v>3747</v>
      </c>
      <c r="D104" s="14" t="str">
        <f>"Monster.Name."&amp;VLOOKUP($C104,'#Data'!$B$2:$J$344,2,FALSE)</f>
        <v>Monster.Name.mechatoa_1</v>
      </c>
      <c r="E104" s="14" t="s">
        <v>1833</v>
      </c>
      <c r="F104" s="17" t="s">
        <v>44</v>
      </c>
      <c r="G104" s="14" t="s">
        <v>45</v>
      </c>
      <c r="H104" s="14" t="b">
        <f>IF(VLOOKUP($C104,'#Data'!$B$2:$J$344,4,FALSE)="보스",TRUE,FALSE)</f>
        <v>1</v>
      </c>
      <c r="I104" s="14" t="b">
        <v>1</v>
      </c>
      <c r="J104" s="14">
        <v>20</v>
      </c>
      <c r="K104" s="14">
        <v>10</v>
      </c>
      <c r="L104" s="14" t="str">
        <f>$B104&amp;"."&amp;VLOOKUP($C104,'#Data'!$B$2:$J$344,2,FALSE)&amp;".attack0"&amp;RIGHT(L$1,1)</f>
        <v>EventStory.mechatoa_1.attack01</v>
      </c>
      <c r="M104" s="14" t="str">
        <f>$B104&amp;"."&amp;VLOOKUP($C104,'#Data'!$B$2:$J$344,2,FALSE)&amp;".attack0"&amp;RIGHT(M$1,1)</f>
        <v>EventStory.mechatoa_1.attack02</v>
      </c>
      <c r="N104" s="14"/>
      <c r="O104" s="17" t="str">
        <f>$B104&amp;"."&amp;VLOOKUP($C104,'#Data'!$B$2:$J$344,2,FALSE)&amp;".skill0"&amp;RIGHT(O$1,1)</f>
        <v>EventStory.mechatoa_1.skill01</v>
      </c>
      <c r="P104" s="14" t="s">
        <v>3805</v>
      </c>
      <c r="Q104" s="14"/>
      <c r="R104" s="14"/>
      <c r="S104" s="14"/>
      <c r="T104" s="14"/>
      <c r="U104" s="14"/>
      <c r="V104" s="14" t="b">
        <v>0</v>
      </c>
      <c r="W104" s="14" t="str">
        <f>"Character/Prefabs/"&amp;VLOOKUP($C104,'#Data'!$B$3:$I$344,8,FALSE)</f>
        <v>Character/Prefabs/m_boss_attacker_mechatoa_1</v>
      </c>
      <c r="X104" s="14"/>
      <c r="Y104" s="14" t="str">
        <f>VLOOKUP($C104,'#Data'!$B$3:$I$344,8,FALSE)</f>
        <v>m_boss_attacker_mechatoa_1</v>
      </c>
      <c r="Z104" s="14"/>
      <c r="AA104" s="14"/>
      <c r="AB104" s="14"/>
      <c r="AC104" s="94">
        <v>1</v>
      </c>
      <c r="AD104" s="14"/>
      <c r="AE104" s="14"/>
      <c r="AF104" s="14"/>
      <c r="AG104" s="173" t="s">
        <v>2104</v>
      </c>
    </row>
    <row r="105" spans="1:33" x14ac:dyDescent="0.3">
      <c r="A105" s="14">
        <v>1111601303</v>
      </c>
      <c r="B105" s="14" t="s">
        <v>2809</v>
      </c>
      <c r="C105" s="14" t="s">
        <v>3825</v>
      </c>
      <c r="D105" s="14" t="str">
        <f>"Monster.Name."&amp;VLOOKUP($C105,'#Data'!$B$2:$J$344,2,FALSE)</f>
        <v>Monster.Name.pandahappy_1</v>
      </c>
      <c r="E105" s="14" t="s">
        <v>1833</v>
      </c>
      <c r="F105" s="14" t="s">
        <v>44</v>
      </c>
      <c r="G105" s="14" t="s">
        <v>45</v>
      </c>
      <c r="H105" s="14" t="b">
        <f>IF(VLOOKUP($C105,'#Data'!$B$2:$J$344,4,FALSE)="보스",TRUE,FALSE)</f>
        <v>1</v>
      </c>
      <c r="I105" s="14" t="b">
        <v>1</v>
      </c>
      <c r="J105" s="14">
        <v>20</v>
      </c>
      <c r="K105" s="14">
        <v>10</v>
      </c>
      <c r="L105" s="14" t="str">
        <f>$B105&amp;"."&amp;VLOOKUP($C105,'#Data'!$B$2:$J$344,2,FALSE)&amp;".attack0"&amp;RIGHT(L$1,1)</f>
        <v>EventStory.pandahappy_1.attack01</v>
      </c>
      <c r="M105" s="14" t="str">
        <f>$B105&amp;"."&amp;VLOOKUP($C105,'#Data'!$B$2:$J$344,2,FALSE)&amp;".attack0"&amp;RIGHT(M$1,1)</f>
        <v>EventStory.pandahappy_1.attack02</v>
      </c>
      <c r="N105" s="14"/>
      <c r="O105" s="178" t="str">
        <f>$B105&amp;"."&amp;VLOOKUP($C105,'#Data'!$B$2:$J$344,2,FALSE)&amp;".skill0"&amp;RIGHT(O$1,1)</f>
        <v>EventStory.pandahappy_1.skill01</v>
      </c>
      <c r="P105" s="14" t="s">
        <v>3831</v>
      </c>
      <c r="Q105" s="14"/>
      <c r="R105" s="14"/>
      <c r="S105" s="14"/>
      <c r="T105" s="14"/>
      <c r="U105" s="14"/>
      <c r="V105" s="14" t="b">
        <v>0</v>
      </c>
      <c r="W105" s="14" t="str">
        <f>"Character/Prefabs/"&amp;VLOOKUP($C105,'#Data'!$B$3:$I$344,8,FALSE)</f>
        <v>Character/Prefabs/m_boss_attacker_pandahappy_1</v>
      </c>
      <c r="X105" s="14"/>
      <c r="Y105" s="14" t="str">
        <f>VLOOKUP($C105,'#Data'!$B$3:$I$344,8,FALSE)</f>
        <v>m_boss_attacker_pandahappy_1</v>
      </c>
      <c r="Z105" s="14"/>
      <c r="AA105" s="14"/>
      <c r="AB105" s="14"/>
      <c r="AC105" s="94">
        <v>1.3</v>
      </c>
      <c r="AD105" s="14"/>
      <c r="AE105" s="14"/>
      <c r="AF105" s="14"/>
      <c r="AG105" s="173" t="s">
        <v>2104</v>
      </c>
    </row>
    <row r="106" spans="1:33" x14ac:dyDescent="0.3">
      <c r="A106" s="14">
        <v>1111601304</v>
      </c>
      <c r="B106" s="14" t="s">
        <v>2809</v>
      </c>
      <c r="C106" s="14" t="s">
        <v>3806</v>
      </c>
      <c r="D106" s="14" t="str">
        <f>"Monster.Name."&amp;VLOOKUP($C106,'#Data'!$B$2:$J$344,2,FALSE)</f>
        <v>Monster.Name.oldguardian_1</v>
      </c>
      <c r="E106" s="14" t="s">
        <v>1833</v>
      </c>
      <c r="F106" s="14" t="s">
        <v>44</v>
      </c>
      <c r="G106" s="14" t="s">
        <v>45</v>
      </c>
      <c r="H106" s="14" t="b">
        <f>IF(VLOOKUP($C106,'#Data'!$B$2:$J$344,4,FALSE)="보스",TRUE,FALSE)</f>
        <v>1</v>
      </c>
      <c r="I106" s="14" t="b">
        <v>1</v>
      </c>
      <c r="J106" s="14">
        <v>20</v>
      </c>
      <c r="K106" s="14">
        <v>10</v>
      </c>
      <c r="L106" s="14" t="str">
        <f>$B106&amp;"."&amp;VLOOKUP($C106,'#Data'!$B$2:$J$344,2,FALSE)&amp;".attack0"&amp;RIGHT(L$1,1)</f>
        <v>EventStory.oldguardian_1.attack01</v>
      </c>
      <c r="M106" s="14" t="str">
        <f>$B106&amp;"."&amp;VLOOKUP($C106,'#Data'!$B$2:$J$344,2,FALSE)&amp;".attack0"&amp;RIGHT(M$1,1)</f>
        <v>EventStory.oldguardian_1.attack02</v>
      </c>
      <c r="N106" s="14"/>
      <c r="O106" s="178" t="str">
        <f>$B106&amp;"."&amp;VLOOKUP($C106,'#Data'!$B$2:$J$344,2,FALSE)&amp;".skill0"&amp;RIGHT(O$1,1)</f>
        <v>EventStory.oldguardian_1.skill01</v>
      </c>
      <c r="P106" s="14" t="s">
        <v>3906</v>
      </c>
      <c r="Q106" s="14"/>
      <c r="R106" s="14"/>
      <c r="S106" s="14"/>
      <c r="T106" s="14"/>
      <c r="U106" s="14"/>
      <c r="V106" s="14" t="b">
        <v>0</v>
      </c>
      <c r="W106" s="14" t="str">
        <f>"Character/Prefabs/"&amp;VLOOKUP($C106,'#Data'!$B$3:$I$344,8,FALSE)</f>
        <v>Character/Prefabs/m_boss_ranger_oldguardian_1</v>
      </c>
      <c r="X106" s="14"/>
      <c r="Y106" s="14" t="str">
        <f>VLOOKUP($C106,'#Data'!$B$3:$I$344,8,FALSE)</f>
        <v>m_boss_ranger_oldguardian_1</v>
      </c>
      <c r="Z106" s="14"/>
      <c r="AA106" s="14"/>
      <c r="AB106" s="14"/>
      <c r="AC106" s="94">
        <v>0.8</v>
      </c>
      <c r="AD106" s="14"/>
      <c r="AE106" s="14"/>
      <c r="AF106" s="14"/>
      <c r="AG106" s="173" t="s">
        <v>2104</v>
      </c>
    </row>
    <row r="107" spans="1:33" x14ac:dyDescent="0.3">
      <c r="A107" s="14">
        <v>1111601305</v>
      </c>
      <c r="B107" s="14" t="s">
        <v>2809</v>
      </c>
      <c r="C107" s="14" t="s">
        <v>3808</v>
      </c>
      <c r="D107" s="14" t="str">
        <f>"Monster.Name."&amp;VLOOKUP($C107,'#Data'!$B$2:$J$344,2,FALSE)</f>
        <v>Monster.Name.sibiurobot_1</v>
      </c>
      <c r="E107" s="14" t="s">
        <v>1833</v>
      </c>
      <c r="F107" s="14" t="s">
        <v>44</v>
      </c>
      <c r="G107" s="14" t="s">
        <v>45</v>
      </c>
      <c r="H107" s="14" t="b">
        <f>IF(VLOOKUP($C107,'#Data'!$B$2:$J$344,4,FALSE)="보스",TRUE,FALSE)</f>
        <v>1</v>
      </c>
      <c r="I107" s="14" t="b">
        <v>1</v>
      </c>
      <c r="J107" s="14">
        <v>10</v>
      </c>
      <c r="K107" s="14">
        <v>10</v>
      </c>
      <c r="L107" s="14" t="str">
        <f>$B107&amp;"."&amp;VLOOKUP($C107,'#Data'!$B$2:$J$344,2,FALSE)&amp;".attack0"&amp;RIGHT(L$1,1)</f>
        <v>EventStory.sibiurobot_1.attack01</v>
      </c>
      <c r="M107" s="14" t="str">
        <f>$B107&amp;"."&amp;VLOOKUP($C107,'#Data'!$B$2:$J$344,2,FALSE)&amp;".attack0"&amp;RIGHT(M$1,1)</f>
        <v>EventStory.sibiurobot_1.attack02</v>
      </c>
      <c r="N107" s="14"/>
      <c r="O107" s="178" t="str">
        <f>$B107&amp;"."&amp;VLOOKUP($C107,'#Data'!$B$2:$J$344,2,FALSE)&amp;".skill0"&amp;RIGHT(O$1,1)</f>
        <v>EventStory.sibiurobot_1.skill01</v>
      </c>
      <c r="P107" s="14" t="s">
        <v>3924</v>
      </c>
      <c r="Q107" s="14"/>
      <c r="R107" s="14"/>
      <c r="S107" s="14"/>
      <c r="T107" s="14"/>
      <c r="U107" s="14"/>
      <c r="V107" s="14" t="b">
        <v>0</v>
      </c>
      <c r="W107" s="14" t="str">
        <f>"Character/Prefabs/"&amp;VLOOKUP($C107,'#Data'!$B$3:$I$344,8,FALSE)</f>
        <v>Character/Prefabs/m_boss_ranger_sibiurobot_1</v>
      </c>
      <c r="X107" s="14"/>
      <c r="Y107" s="14" t="str">
        <f>VLOOKUP($C107,'#Data'!$B$3:$I$344,8,FALSE)</f>
        <v>m_boss_ranger_sibiurobot_1</v>
      </c>
      <c r="Z107" s="14"/>
      <c r="AA107" s="14"/>
      <c r="AB107" s="14"/>
      <c r="AC107" s="94">
        <v>1</v>
      </c>
      <c r="AD107" s="14"/>
      <c r="AE107" s="14"/>
      <c r="AF107" s="14"/>
      <c r="AG107" s="173" t="s">
        <v>2104</v>
      </c>
    </row>
    <row r="108" spans="1:33" x14ac:dyDescent="0.3">
      <c r="A108" s="14">
        <v>1111601306</v>
      </c>
      <c r="B108" s="14" t="s">
        <v>2809</v>
      </c>
      <c r="C108" s="14" t="s">
        <v>3810</v>
      </c>
      <c r="D108" s="14" t="str">
        <f>"Monster.Name."&amp;VLOOKUP($C108,'#Data'!$B$2:$J$344,2,FALSE)</f>
        <v>Monster.Name.dronenest_1</v>
      </c>
      <c r="E108" s="14" t="s">
        <v>1833</v>
      </c>
      <c r="F108" s="14" t="s">
        <v>44</v>
      </c>
      <c r="G108" s="14" t="s">
        <v>45</v>
      </c>
      <c r="H108" s="14" t="b">
        <f>IF(VLOOKUP($C108,'#Data'!$B$2:$J$344,4,FALSE)="보스",TRUE,FALSE)</f>
        <v>1</v>
      </c>
      <c r="I108" s="14" t="b">
        <v>1</v>
      </c>
      <c r="J108" s="14">
        <v>20</v>
      </c>
      <c r="K108" s="14">
        <v>10</v>
      </c>
      <c r="L108" s="14" t="str">
        <f>$B108&amp;"."&amp;VLOOKUP($C108,'#Data'!$B$2:$J$344,2,FALSE)&amp;".attack0"&amp;RIGHT(L$1,1)</f>
        <v>EventStory.dronenest_1.attack01</v>
      </c>
      <c r="M108" s="14" t="str">
        <f>$B108&amp;"."&amp;VLOOKUP($C108,'#Data'!$B$2:$J$344,2,FALSE)&amp;".attack0"&amp;RIGHT(M$1,1)</f>
        <v>EventStory.dronenest_1.attack02</v>
      </c>
      <c r="N108" s="14"/>
      <c r="O108" s="178" t="str">
        <f>$B108&amp;"."&amp;VLOOKUP($C108,'#Data'!$B$2:$J$344,2,FALSE)&amp;".skill0"&amp;RIGHT(O$1,1)</f>
        <v>EventStory.dronenest_1.skill01</v>
      </c>
      <c r="P108" s="14"/>
      <c r="Q108" s="14"/>
      <c r="R108" s="14"/>
      <c r="S108" s="14"/>
      <c r="T108" s="14"/>
      <c r="U108" s="14"/>
      <c r="V108" s="14" t="b">
        <v>0</v>
      </c>
      <c r="W108" s="14" t="str">
        <f>"Character/Prefabs/"&amp;VLOOKUP($C108,'#Data'!$B$3:$I$344,8,FALSE)</f>
        <v>Character/Prefabs/m_boss_supporter_dronenest_1</v>
      </c>
      <c r="X108" s="14"/>
      <c r="Y108" s="14" t="str">
        <f>VLOOKUP($C108,'#Data'!$B$3:$I$344,8,FALSE)</f>
        <v>m_boss_supporter_dronenest_1</v>
      </c>
      <c r="Z108" s="14"/>
      <c r="AA108" s="14"/>
      <c r="AB108" s="14"/>
      <c r="AC108" s="94">
        <v>0.8</v>
      </c>
      <c r="AD108" s="14"/>
      <c r="AE108" s="14"/>
      <c r="AF108" s="14"/>
      <c r="AG108" s="173" t="s">
        <v>2104</v>
      </c>
    </row>
    <row r="109" spans="1:33" x14ac:dyDescent="0.3">
      <c r="A109" s="14">
        <v>1111601307</v>
      </c>
      <c r="B109" s="14" t="s">
        <v>2809</v>
      </c>
      <c r="C109" s="14" t="s">
        <v>3829</v>
      </c>
      <c r="D109" s="14" t="str">
        <f>"Monster.Name."&amp;VLOOKUP($C109,'#Data'!$B$2:$J$344,2,FALSE)</f>
        <v>Monster.Name.Interceptor_1</v>
      </c>
      <c r="E109" s="14" t="s">
        <v>1833</v>
      </c>
      <c r="F109" s="14" t="s">
        <v>44</v>
      </c>
      <c r="G109" s="14" t="s">
        <v>45</v>
      </c>
      <c r="H109" s="14" t="b">
        <f>IF(VLOOKUP($C109,'#Data'!$B$2:$J$344,4,FALSE)="보스",TRUE,FALSE)</f>
        <v>0</v>
      </c>
      <c r="I109" s="14" t="b">
        <v>0</v>
      </c>
      <c r="J109" s="14">
        <v>10</v>
      </c>
      <c r="K109" s="14">
        <v>10</v>
      </c>
      <c r="L109" s="14" t="str">
        <f>$B109&amp;"."&amp;VLOOKUP($C109,'#Data'!$B$2:$J$344,2,FALSE)&amp;".attack0"&amp;RIGHT(L$1,1)</f>
        <v>EventStory.Interceptor_1.attack01</v>
      </c>
      <c r="M109" s="14"/>
      <c r="N109" s="14"/>
      <c r="O109" s="178"/>
      <c r="P109" s="14"/>
      <c r="Q109" s="14"/>
      <c r="R109" s="14"/>
      <c r="S109" s="14"/>
      <c r="T109" s="14"/>
      <c r="U109" s="14"/>
      <c r="V109" s="14" t="b">
        <v>0</v>
      </c>
      <c r="W109" s="14" t="str">
        <f>"Character/Prefabs/"&amp;VLOOKUP($C109,'#Data'!$B$3:$I$344,8,FALSE)</f>
        <v>Character/Prefabs/m_s_ranger_interceptor_1</v>
      </c>
      <c r="X109" s="14"/>
      <c r="Y109" s="14" t="str">
        <f>VLOOKUP($C109,'#Data'!$B$3:$I$344,8,FALSE)</f>
        <v>m_s_ranger_interceptor_1</v>
      </c>
      <c r="Z109" s="14"/>
      <c r="AA109" s="14"/>
      <c r="AB109" s="14"/>
      <c r="AC109" s="94">
        <v>1</v>
      </c>
      <c r="AD109" s="14"/>
      <c r="AE109" s="14"/>
      <c r="AF109" s="14"/>
      <c r="AG109" s="173" t="s">
        <v>2104</v>
      </c>
    </row>
    <row r="110" spans="1:33" x14ac:dyDescent="0.3">
      <c r="A110" s="14">
        <v>1111601308</v>
      </c>
      <c r="B110" s="14" t="s">
        <v>1944</v>
      </c>
      <c r="C110" s="14" t="s">
        <v>3824</v>
      </c>
      <c r="D110" s="14" t="s">
        <v>3826</v>
      </c>
      <c r="E110" s="14" t="s">
        <v>43</v>
      </c>
      <c r="F110" s="14" t="s">
        <v>624</v>
      </c>
      <c r="G110" s="14" t="s">
        <v>45</v>
      </c>
      <c r="H110" s="14" t="b">
        <v>0</v>
      </c>
      <c r="I110" s="14" t="b">
        <v>0</v>
      </c>
      <c r="J110" s="14">
        <v>10</v>
      </c>
      <c r="K110" s="14">
        <v>10</v>
      </c>
      <c r="L110" s="14" t="s">
        <v>748</v>
      </c>
      <c r="M110" s="14" t="s">
        <v>749</v>
      </c>
      <c r="N110" s="14" t="s">
        <v>750</v>
      </c>
      <c r="O110" s="178" t="s">
        <v>751</v>
      </c>
      <c r="P110" s="14" t="s">
        <v>752</v>
      </c>
      <c r="Q110" s="14" t="s">
        <v>753</v>
      </c>
      <c r="R110" s="14" t="s">
        <v>2079</v>
      </c>
      <c r="S110" s="14"/>
      <c r="T110" s="14" t="s">
        <v>754</v>
      </c>
      <c r="U110" s="14" t="s">
        <v>754</v>
      </c>
      <c r="V110" s="14" t="b">
        <v>1</v>
      </c>
      <c r="W110" s="14" t="s">
        <v>755</v>
      </c>
      <c r="X110" s="14"/>
      <c r="Y110" s="14" t="s">
        <v>756</v>
      </c>
      <c r="Z110" s="14" t="s">
        <v>757</v>
      </c>
      <c r="AA110" s="14" t="s">
        <v>758</v>
      </c>
      <c r="AB110" s="14"/>
      <c r="AC110" s="94">
        <v>0.7</v>
      </c>
      <c r="AD110" s="14"/>
      <c r="AE110" s="14"/>
      <c r="AF110" s="14"/>
      <c r="AG110" s="173" t="s">
        <v>2104</v>
      </c>
    </row>
    <row r="111" spans="1:33" x14ac:dyDescent="0.3">
      <c r="A111" s="14">
        <v>1111601309</v>
      </c>
      <c r="B111" s="14" t="s">
        <v>2809</v>
      </c>
      <c r="C111" s="14" t="s">
        <v>2811</v>
      </c>
      <c r="D111" s="14" t="s">
        <v>3826</v>
      </c>
      <c r="E111" s="14" t="s">
        <v>1833</v>
      </c>
      <c r="F111" s="14" t="s">
        <v>44</v>
      </c>
      <c r="G111" s="14" t="s">
        <v>45</v>
      </c>
      <c r="H111" s="14" t="b">
        <v>1</v>
      </c>
      <c r="I111" s="14" t="b">
        <v>1</v>
      </c>
      <c r="J111" s="14">
        <v>10</v>
      </c>
      <c r="K111" s="14">
        <v>10</v>
      </c>
      <c r="L111" s="14" t="str">
        <f>$B111&amp;"."&amp;VLOOKUP($C111,'#Data'!$B$2:$J$344,2,FALSE)&amp;".attack0"&amp;RIGHT(L$1,1)</f>
        <v>EventStory.mechakanata_1.attack01</v>
      </c>
      <c r="M111" s="14" t="str">
        <f>$B111&amp;"."&amp;VLOOKUP($C111,'#Data'!$B$2:$J$344,2,FALSE)&amp;".attack0"&amp;RIGHT(M$1,1)</f>
        <v>EventStory.mechakanata_1.attack02</v>
      </c>
      <c r="N111" s="14" t="str">
        <f>$B111&amp;"."&amp;VLOOKUP($C111,'#Data'!$B$2:$J$344,2,FALSE)&amp;".attack0"&amp;RIGHT(N$1,1)</f>
        <v>EventStory.mechakanata_1.attack03</v>
      </c>
      <c r="O111" s="178" t="str">
        <f>$B111&amp;"."&amp;VLOOKUP($C111,'#Data'!$B$2:$J$344,2,FALSE)&amp;".skill0"&amp;RIGHT(O$1,1)</f>
        <v>EventStory.mechakanata_1.skill01</v>
      </c>
      <c r="P111" s="14"/>
      <c r="Q111" s="14"/>
      <c r="R111" s="14"/>
      <c r="S111" s="14"/>
      <c r="T111" s="14"/>
      <c r="U111" s="14"/>
      <c r="V111" s="14" t="b">
        <v>0</v>
      </c>
      <c r="W111" s="14" t="str">
        <f>"Character/Prefabs/"&amp;VLOOKUP($C111,'#Data'!$B$3:$I$344,8,FALSE)</f>
        <v>Character/Prefabs/m_m_attacker_mechakanata_1</v>
      </c>
      <c r="X111" s="14"/>
      <c r="Y111" s="14" t="str">
        <f>VLOOKUP($C111,'#Data'!$B$3:$I$344,8,FALSE)</f>
        <v>m_m_attacker_mechakanata_1</v>
      </c>
      <c r="Z111" s="14"/>
      <c r="AA111" s="14"/>
      <c r="AB111" s="14"/>
      <c r="AC111" s="94">
        <v>1</v>
      </c>
      <c r="AD111" s="14"/>
      <c r="AE111" s="14"/>
      <c r="AF111" s="14"/>
      <c r="AG111" s="173" t="s">
        <v>2104</v>
      </c>
    </row>
    <row r="112" spans="1:33" x14ac:dyDescent="0.3">
      <c r="A112" s="43">
        <v>1111501001</v>
      </c>
      <c r="B112" s="43" t="s">
        <v>3976</v>
      </c>
      <c r="C112" s="43" t="s">
        <v>1861</v>
      </c>
      <c r="D112" s="43" t="s">
        <v>3977</v>
      </c>
      <c r="E112" s="43" t="s">
        <v>58</v>
      </c>
      <c r="F112" s="43" t="s">
        <v>44</v>
      </c>
      <c r="G112" s="43" t="s">
        <v>45</v>
      </c>
      <c r="H112" s="43" t="b">
        <v>1</v>
      </c>
      <c r="I112" s="43" t="b">
        <v>1</v>
      </c>
      <c r="J112" s="43">
        <v>10</v>
      </c>
      <c r="K112" s="43">
        <v>10</v>
      </c>
      <c r="L112" s="43" t="s">
        <v>3983</v>
      </c>
      <c r="M112" s="43"/>
      <c r="N112" s="43"/>
      <c r="O112" s="176" t="s">
        <v>3984</v>
      </c>
      <c r="P112" s="43" t="s">
        <v>3985</v>
      </c>
      <c r="Q112" s="43" t="s">
        <v>3986</v>
      </c>
      <c r="R112" s="43" t="s">
        <v>3991</v>
      </c>
      <c r="S112" s="43" t="s">
        <v>76</v>
      </c>
      <c r="T112" s="43"/>
      <c r="U112" s="43"/>
      <c r="V112" s="43" t="b">
        <v>0</v>
      </c>
      <c r="W112" s="43" t="s">
        <v>3978</v>
      </c>
      <c r="X112" s="43"/>
      <c r="Y112" s="43" t="s">
        <v>3979</v>
      </c>
      <c r="Z112" s="43"/>
      <c r="AA112" s="43"/>
      <c r="AB112" s="43"/>
      <c r="AC112" s="181">
        <v>1.3</v>
      </c>
      <c r="AD112" s="43"/>
      <c r="AE112" s="43" t="s">
        <v>80</v>
      </c>
      <c r="AF112" s="43" t="s">
        <v>81</v>
      </c>
      <c r="AG112" s="182" t="s">
        <v>2104</v>
      </c>
    </row>
    <row r="113" spans="1:33" x14ac:dyDescent="0.3">
      <c r="A113" s="43">
        <v>1111501002</v>
      </c>
      <c r="B113" s="43" t="s">
        <v>3976</v>
      </c>
      <c r="C113" s="43" t="s">
        <v>1863</v>
      </c>
      <c r="D113" s="43" t="s">
        <v>3980</v>
      </c>
      <c r="E113" s="43" t="s">
        <v>47</v>
      </c>
      <c r="F113" s="43" t="s">
        <v>44</v>
      </c>
      <c r="G113" s="43" t="s">
        <v>45</v>
      </c>
      <c r="H113" s="43" t="b">
        <v>1</v>
      </c>
      <c r="I113" s="43" t="b">
        <v>1</v>
      </c>
      <c r="J113" s="43">
        <v>20</v>
      </c>
      <c r="K113" s="43">
        <v>10</v>
      </c>
      <c r="L113" s="43" t="s">
        <v>3992</v>
      </c>
      <c r="M113" s="43"/>
      <c r="N113" s="43"/>
      <c r="O113" s="176" t="s">
        <v>3987</v>
      </c>
      <c r="P113" s="43" t="s">
        <v>3988</v>
      </c>
      <c r="Q113" s="43" t="s">
        <v>3989</v>
      </c>
      <c r="R113" s="43" t="s">
        <v>3990</v>
      </c>
      <c r="S113" s="43" t="s">
        <v>76</v>
      </c>
      <c r="T113" s="43"/>
      <c r="U113" s="43"/>
      <c r="V113" s="43" t="b">
        <v>0</v>
      </c>
      <c r="W113" s="43" t="s">
        <v>3981</v>
      </c>
      <c r="X113" s="43"/>
      <c r="Y113" s="43" t="s">
        <v>3982</v>
      </c>
      <c r="Z113" s="43"/>
      <c r="AA113" s="43"/>
      <c r="AB113" s="43"/>
      <c r="AC113" s="181">
        <v>0.9</v>
      </c>
      <c r="AD113" s="43"/>
      <c r="AE113" s="43" t="s">
        <v>103</v>
      </c>
      <c r="AF113" s="43" t="s">
        <v>104</v>
      </c>
      <c r="AG113" s="182" t="s">
        <v>2104</v>
      </c>
    </row>
    <row r="114" spans="1:33" x14ac:dyDescent="0.3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78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94"/>
      <c r="AD114" s="14"/>
      <c r="AE114" s="14"/>
      <c r="AF114" s="14"/>
      <c r="AG114" s="173"/>
    </row>
    <row r="115" spans="1:33" x14ac:dyDescent="0.3">
      <c r="A115" s="22">
        <f t="shared" ref="A115:A146" si="7">A4+100000000</f>
        <v>1210601001</v>
      </c>
      <c r="B115" s="22" t="str">
        <f t="shared" ref="B115:AF115" si="8">IF(B4 &lt;&gt; "", B4, "")</f>
        <v>WorldRaid</v>
      </c>
      <c r="C115" s="22" t="str">
        <f t="shared" si="8"/>
        <v>에페리우스</v>
      </c>
      <c r="D115" s="22" t="str">
        <f t="shared" si="8"/>
        <v>Monster.Name.eperiusunit_1</v>
      </c>
      <c r="E115" s="22" t="str">
        <f t="shared" si="8"/>
        <v>None</v>
      </c>
      <c r="F115" s="53" t="str">
        <f t="shared" si="8"/>
        <v>Fac_nul_ind</v>
      </c>
      <c r="G115" s="22" t="str">
        <f t="shared" si="8"/>
        <v>TRUE</v>
      </c>
      <c r="H115" s="22" t="b">
        <f t="shared" si="8"/>
        <v>1</v>
      </c>
      <c r="I115" s="22" t="b">
        <f t="shared" si="8"/>
        <v>1</v>
      </c>
      <c r="J115" s="22">
        <f t="shared" si="8"/>
        <v>40</v>
      </c>
      <c r="K115" s="22">
        <f t="shared" si="8"/>
        <v>10</v>
      </c>
      <c r="L115" s="22" t="str">
        <f t="shared" si="8"/>
        <v>WorldRaid.eperiusunit_1.attack01</v>
      </c>
      <c r="M115" s="22" t="str">
        <f t="shared" si="8"/>
        <v>WorldRaid.eperiusunit_1.attack02</v>
      </c>
      <c r="N115" s="22" t="str">
        <f t="shared" si="8"/>
        <v>WorldRaid.eperiusunit_1.attack03</v>
      </c>
      <c r="O115" s="172" t="str">
        <f t="shared" si="8"/>
        <v>WorldRaid.eperiusunit_1.skill01</v>
      </c>
      <c r="P115" s="54" t="str">
        <f t="shared" si="8"/>
        <v>WorldRaid.eperiusunit_1.skill02</v>
      </c>
      <c r="Q115" s="54" t="str">
        <f t="shared" si="8"/>
        <v>WorldRaid.eperiusunit_1.skill03</v>
      </c>
      <c r="R115" s="54" t="str">
        <f t="shared" si="8"/>
        <v>WorldRaid.eperiusunit_1.skill04</v>
      </c>
      <c r="S115" s="54" t="str">
        <f t="shared" si="8"/>
        <v>WorldRaid.eperiusunit_1.passive01</v>
      </c>
      <c r="T115" s="54" t="str">
        <f t="shared" si="8"/>
        <v/>
      </c>
      <c r="U115" s="54" t="str">
        <f t="shared" si="8"/>
        <v/>
      </c>
      <c r="V115" s="22" t="b">
        <f t="shared" si="8"/>
        <v>0</v>
      </c>
      <c r="W115" s="22" t="str">
        <f t="shared" si="8"/>
        <v>Character/Prefabs/m_boss_ranger_eperiusunit_1</v>
      </c>
      <c r="X115" s="22" t="str">
        <f t="shared" si="8"/>
        <v/>
      </c>
      <c r="Y115" s="22" t="str">
        <f t="shared" si="8"/>
        <v>m_boss_ranger_eperiusunit_1</v>
      </c>
      <c r="Z115" s="22" t="str">
        <f t="shared" si="8"/>
        <v/>
      </c>
      <c r="AA115" s="22" t="str">
        <f t="shared" si="8"/>
        <v/>
      </c>
      <c r="AB115" s="22" t="str">
        <f t="shared" si="8"/>
        <v>Die_machine</v>
      </c>
      <c r="AC115" s="95">
        <f t="shared" si="8"/>
        <v>1.4</v>
      </c>
      <c r="AD115" s="22" t="str">
        <f t="shared" si="8"/>
        <v/>
      </c>
      <c r="AE115" s="22" t="str">
        <f t="shared" si="8"/>
        <v>Character/Timeline/02_MON/eperiusunit_1/appearance</v>
      </c>
      <c r="AF115" s="22" t="str">
        <f t="shared" si="8"/>
        <v>Character/Timeline/02_MON/eperiusunit_1/die</v>
      </c>
      <c r="AG115" s="173" t="s">
        <v>2761</v>
      </c>
    </row>
    <row r="116" spans="1:33" x14ac:dyDescent="0.3">
      <c r="A116" s="45">
        <f t="shared" si="7"/>
        <v>1211201001</v>
      </c>
      <c r="B116" s="45" t="str">
        <f t="shared" ref="B116:AF116" si="9">IF(B5 &lt;&gt; "", B5, "")</f>
        <v>GuildOperation01</v>
      </c>
      <c r="C116" s="45" t="str">
        <f t="shared" si="9"/>
        <v>톡식베리</v>
      </c>
      <c r="D116" s="45" t="str">
        <f t="shared" si="9"/>
        <v>Monster.Name.toxic_2</v>
      </c>
      <c r="E116" s="45" t="str">
        <f t="shared" si="9"/>
        <v>Attacker</v>
      </c>
      <c r="F116" s="46" t="str">
        <f t="shared" si="9"/>
        <v>Fac_nul_ind</v>
      </c>
      <c r="G116" s="45" t="str">
        <f t="shared" si="9"/>
        <v>TRUE</v>
      </c>
      <c r="H116" s="45" t="b">
        <f t="shared" si="9"/>
        <v>1</v>
      </c>
      <c r="I116" s="45" t="b">
        <f t="shared" si="9"/>
        <v>1</v>
      </c>
      <c r="J116" s="45">
        <f t="shared" si="9"/>
        <v>30</v>
      </c>
      <c r="K116" s="45">
        <f t="shared" si="9"/>
        <v>10</v>
      </c>
      <c r="L116" s="45" t="str">
        <f t="shared" si="9"/>
        <v>GuildOperation01.toxic_2.attack01</v>
      </c>
      <c r="M116" s="45" t="str">
        <f t="shared" si="9"/>
        <v>GuildOperation01.toxic_2.attack02</v>
      </c>
      <c r="N116" s="45" t="str">
        <f t="shared" si="9"/>
        <v/>
      </c>
      <c r="O116" s="174" t="str">
        <f t="shared" si="9"/>
        <v>GuildOperation01.toxic_2.skill01</v>
      </c>
      <c r="P116" s="47" t="str">
        <f t="shared" si="9"/>
        <v>GuildOperation01.toxic_2.skill02</v>
      </c>
      <c r="Q116" s="47" t="str">
        <f t="shared" si="9"/>
        <v>GuildOperation01.toxic_2.skill03</v>
      </c>
      <c r="R116" s="47" t="str">
        <f t="shared" si="9"/>
        <v>GuildOperation.Normal</v>
      </c>
      <c r="S116" s="47" t="str">
        <f t="shared" si="9"/>
        <v/>
      </c>
      <c r="T116" s="47" t="str">
        <f t="shared" si="9"/>
        <v/>
      </c>
      <c r="U116" s="47" t="str">
        <f t="shared" si="9"/>
        <v/>
      </c>
      <c r="V116" s="45" t="b">
        <f t="shared" si="9"/>
        <v>0</v>
      </c>
      <c r="W116" s="45" t="str">
        <f t="shared" si="9"/>
        <v>Character/Prefabs/m_boss_attacker_toxic_2</v>
      </c>
      <c r="X116" s="45" t="str">
        <f t="shared" si="9"/>
        <v/>
      </c>
      <c r="Y116" s="45" t="str">
        <f t="shared" si="9"/>
        <v>m_boss_attacker_toxic_2</v>
      </c>
      <c r="Z116" s="45" t="str">
        <f t="shared" si="9"/>
        <v/>
      </c>
      <c r="AA116" s="45" t="str">
        <f t="shared" si="9"/>
        <v/>
      </c>
      <c r="AB116" s="45" t="str">
        <f t="shared" si="9"/>
        <v>Die_machine</v>
      </c>
      <c r="AC116" s="93">
        <f t="shared" si="9"/>
        <v>1.2</v>
      </c>
      <c r="AD116" s="45" t="str">
        <f t="shared" si="9"/>
        <v/>
      </c>
      <c r="AE116" s="45" t="str">
        <f t="shared" si="9"/>
        <v>Character/Timeline/02_MON/toxic_1/m_boss_attacker_toxic_2_appearance</v>
      </c>
      <c r="AF116" s="45" t="str">
        <f t="shared" si="9"/>
        <v/>
      </c>
      <c r="AG116" s="173" t="s">
        <v>2761</v>
      </c>
    </row>
    <row r="117" spans="1:33" x14ac:dyDescent="0.3">
      <c r="A117" s="45">
        <f t="shared" si="7"/>
        <v>1211202001</v>
      </c>
      <c r="B117" s="45" t="str">
        <f t="shared" ref="B117:AF117" si="10">IF(B6 &lt;&gt; "", B6, "")</f>
        <v>GuildOperation02</v>
      </c>
      <c r="C117" s="45" t="str">
        <f t="shared" si="10"/>
        <v>골리앗베리</v>
      </c>
      <c r="D117" s="45" t="str">
        <f t="shared" si="10"/>
        <v>Monster.Name.goliath_2</v>
      </c>
      <c r="E117" s="45" t="str">
        <f t="shared" si="10"/>
        <v>Tanker</v>
      </c>
      <c r="F117" s="46" t="str">
        <f t="shared" si="10"/>
        <v>Fac_nul_ind</v>
      </c>
      <c r="G117" s="45" t="str">
        <f t="shared" si="10"/>
        <v>TRUE</v>
      </c>
      <c r="H117" s="45" t="b">
        <f t="shared" si="10"/>
        <v>1</v>
      </c>
      <c r="I117" s="45" t="b">
        <f t="shared" si="10"/>
        <v>1</v>
      </c>
      <c r="J117" s="45">
        <f t="shared" si="10"/>
        <v>20</v>
      </c>
      <c r="K117" s="45">
        <f t="shared" si="10"/>
        <v>10</v>
      </c>
      <c r="L117" s="45" t="str">
        <f t="shared" si="10"/>
        <v>GuildOperation02.goliath_2.attack01</v>
      </c>
      <c r="M117" s="45" t="str">
        <f t="shared" si="10"/>
        <v/>
      </c>
      <c r="N117" s="45" t="str">
        <f t="shared" si="10"/>
        <v/>
      </c>
      <c r="O117" s="174" t="str">
        <f t="shared" si="10"/>
        <v>GuildOperation02.goliath_2.skill01</v>
      </c>
      <c r="P117" s="47" t="str">
        <f t="shared" si="10"/>
        <v>GuildOperation02.goliath_2.skill02</v>
      </c>
      <c r="Q117" s="47" t="str">
        <f t="shared" si="10"/>
        <v>GuildOperation02.goliath_2.skill03</v>
      </c>
      <c r="R117" s="47" t="str">
        <f t="shared" si="10"/>
        <v>GuildOperation02.goliath_2.passive01</v>
      </c>
      <c r="S117" s="47" t="str">
        <f t="shared" si="10"/>
        <v>GuildOperation.Hard</v>
      </c>
      <c r="T117" s="47" t="str">
        <f t="shared" si="10"/>
        <v/>
      </c>
      <c r="U117" s="47" t="str">
        <f t="shared" si="10"/>
        <v/>
      </c>
      <c r="V117" s="45" t="b">
        <f t="shared" si="10"/>
        <v>0</v>
      </c>
      <c r="W117" s="45" t="str">
        <f t="shared" si="10"/>
        <v>Character/Prefabs/m_boss_attacker_goliath_2</v>
      </c>
      <c r="X117" s="45" t="str">
        <f t="shared" si="10"/>
        <v/>
      </c>
      <c r="Y117" s="45" t="str">
        <f t="shared" si="10"/>
        <v>m_boss_attacker_goliath_2</v>
      </c>
      <c r="Z117" s="45" t="str">
        <f t="shared" si="10"/>
        <v/>
      </c>
      <c r="AA117" s="45" t="str">
        <f t="shared" si="10"/>
        <v/>
      </c>
      <c r="AB117" s="45" t="str">
        <f t="shared" si="10"/>
        <v>Die_machine</v>
      </c>
      <c r="AC117" s="93">
        <f t="shared" si="10"/>
        <v>2</v>
      </c>
      <c r="AD117" s="45" t="str">
        <f t="shared" si="10"/>
        <v/>
      </c>
      <c r="AE117" s="45" t="str">
        <f t="shared" si="10"/>
        <v>Character/Timeline/02_MON/goliath_2/m_boss_attacker_goliath_2@appearance</v>
      </c>
      <c r="AF117" s="45" t="str">
        <f t="shared" si="10"/>
        <v/>
      </c>
      <c r="AG117" s="173" t="s">
        <v>2761</v>
      </c>
    </row>
    <row r="118" spans="1:33" x14ac:dyDescent="0.3">
      <c r="A118" s="45">
        <f t="shared" si="7"/>
        <v>1211202002</v>
      </c>
      <c r="B118" s="45" t="str">
        <f t="shared" ref="B118:AF118" si="11">IF(B7 &lt;&gt; "", B7, "")</f>
        <v>GuildOperation02</v>
      </c>
      <c r="C118" s="45" t="str">
        <f t="shared" si="11"/>
        <v>골리앗베리</v>
      </c>
      <c r="D118" s="45" t="str">
        <f t="shared" si="11"/>
        <v>Monster.Name.goliath_2</v>
      </c>
      <c r="E118" s="45" t="str">
        <f t="shared" si="11"/>
        <v>Tanker</v>
      </c>
      <c r="F118" s="46" t="str">
        <f t="shared" si="11"/>
        <v>Fac_nul_ind</v>
      </c>
      <c r="G118" s="45" t="str">
        <f t="shared" si="11"/>
        <v>TRUE</v>
      </c>
      <c r="H118" s="45" t="b">
        <f t="shared" si="11"/>
        <v>0</v>
      </c>
      <c r="I118" s="45" t="b">
        <f t="shared" si="11"/>
        <v>0</v>
      </c>
      <c r="J118" s="45">
        <f t="shared" si="11"/>
        <v>10</v>
      </c>
      <c r="K118" s="45">
        <f t="shared" si="11"/>
        <v>10</v>
      </c>
      <c r="L118" s="45" t="str">
        <f t="shared" si="11"/>
        <v>GuildOperation02.mini_1.attack01</v>
      </c>
      <c r="M118" s="45" t="str">
        <f t="shared" si="11"/>
        <v/>
      </c>
      <c r="N118" s="45" t="str">
        <f t="shared" si="11"/>
        <v/>
      </c>
      <c r="O118" s="174" t="str">
        <f t="shared" si="11"/>
        <v>GuildOperation02.mini_1.passive01</v>
      </c>
      <c r="P118" s="47" t="str">
        <f t="shared" si="11"/>
        <v/>
      </c>
      <c r="Q118" s="47" t="str">
        <f t="shared" si="11"/>
        <v/>
      </c>
      <c r="R118" s="47" t="str">
        <f t="shared" si="11"/>
        <v/>
      </c>
      <c r="S118" s="47" t="str">
        <f t="shared" si="11"/>
        <v/>
      </c>
      <c r="T118" s="47" t="str">
        <f t="shared" si="11"/>
        <v/>
      </c>
      <c r="U118" s="47" t="str">
        <f t="shared" si="11"/>
        <v/>
      </c>
      <c r="V118" s="45" t="b">
        <f t="shared" si="11"/>
        <v>0</v>
      </c>
      <c r="W118" s="45" t="str">
        <f t="shared" si="11"/>
        <v>Character/Prefabs/m_boss_attacker_goliath_2</v>
      </c>
      <c r="X118" s="45" t="str">
        <f t="shared" si="11"/>
        <v/>
      </c>
      <c r="Y118" s="45" t="str">
        <f t="shared" si="11"/>
        <v>m_boss_attacker_goliath_2</v>
      </c>
      <c r="Z118" s="45" t="str">
        <f t="shared" si="11"/>
        <v/>
      </c>
      <c r="AA118" s="45" t="str">
        <f t="shared" si="11"/>
        <v/>
      </c>
      <c r="AB118" s="45" t="str">
        <f t="shared" si="11"/>
        <v>Die_machine</v>
      </c>
      <c r="AC118" s="93">
        <f t="shared" si="11"/>
        <v>0.5</v>
      </c>
      <c r="AD118" s="45" t="str">
        <f t="shared" si="11"/>
        <v/>
      </c>
      <c r="AE118" s="45" t="str">
        <f t="shared" si="11"/>
        <v/>
      </c>
      <c r="AF118" s="45" t="str">
        <f t="shared" si="11"/>
        <v/>
      </c>
      <c r="AG118" s="173" t="s">
        <v>2761</v>
      </c>
    </row>
    <row r="119" spans="1:33" x14ac:dyDescent="0.3">
      <c r="A119" s="108">
        <f t="shared" si="7"/>
        <v>1211401001</v>
      </c>
      <c r="B119" s="108" t="str">
        <f t="shared" ref="B119:AF119" si="12">IF(B8 &lt;&gt; "", B8, "")</f>
        <v>GuildAssault</v>
      </c>
      <c r="C119" s="108" t="str">
        <f t="shared" si="12"/>
        <v>마리오네</v>
      </c>
      <c r="D119" s="108" t="str">
        <f t="shared" si="12"/>
        <v>Monster.Name.marionne_1</v>
      </c>
      <c r="E119" s="108" t="str">
        <f t="shared" si="12"/>
        <v>None</v>
      </c>
      <c r="F119" s="109" t="str">
        <f t="shared" si="12"/>
        <v>Fac_nul_ind</v>
      </c>
      <c r="G119" s="108" t="str">
        <f t="shared" si="12"/>
        <v>TRUE</v>
      </c>
      <c r="H119" s="108" t="b">
        <f t="shared" si="12"/>
        <v>1</v>
      </c>
      <c r="I119" s="108" t="b">
        <f t="shared" si="12"/>
        <v>1</v>
      </c>
      <c r="J119" s="108">
        <f t="shared" si="12"/>
        <v>10</v>
      </c>
      <c r="K119" s="108">
        <f t="shared" si="12"/>
        <v>10</v>
      </c>
      <c r="L119" s="108" t="str">
        <f t="shared" si="12"/>
        <v>1111401001.attack01</v>
      </c>
      <c r="M119" s="108" t="str">
        <f t="shared" si="12"/>
        <v>1111401001.attack02</v>
      </c>
      <c r="N119" s="108" t="str">
        <f t="shared" si="12"/>
        <v>1111401001.attack03</v>
      </c>
      <c r="O119" s="175" t="str">
        <f t="shared" si="12"/>
        <v>1111401001.skill01</v>
      </c>
      <c r="P119" s="110" t="str">
        <f t="shared" si="12"/>
        <v>1111401001.skill02</v>
      </c>
      <c r="Q119" s="110" t="str">
        <f t="shared" si="12"/>
        <v>1111401001.skill03</v>
      </c>
      <c r="R119" s="110" t="str">
        <f t="shared" si="12"/>
        <v>1111401001.Passive</v>
      </c>
      <c r="S119" s="110" t="str">
        <f t="shared" si="12"/>
        <v>GuildAssault.Passive</v>
      </c>
      <c r="T119" s="110" t="str">
        <f t="shared" si="12"/>
        <v/>
      </c>
      <c r="U119" s="110" t="str">
        <f t="shared" si="12"/>
        <v/>
      </c>
      <c r="V119" s="108" t="b">
        <f t="shared" si="12"/>
        <v>0</v>
      </c>
      <c r="W119" s="108" t="str">
        <f t="shared" si="12"/>
        <v>Character/Prefabs/m_boss_ranger_marionne_1</v>
      </c>
      <c r="X119" s="108" t="str">
        <f t="shared" si="12"/>
        <v/>
      </c>
      <c r="Y119" s="108" t="str">
        <f t="shared" si="12"/>
        <v>m_boss_ranger_marionne_1</v>
      </c>
      <c r="Z119" s="108" t="str">
        <f t="shared" si="12"/>
        <v/>
      </c>
      <c r="AA119" s="108" t="str">
        <f t="shared" si="12"/>
        <v/>
      </c>
      <c r="AB119" s="108" t="str">
        <f t="shared" si="12"/>
        <v>Die_machine</v>
      </c>
      <c r="AC119" s="111">
        <f t="shared" si="12"/>
        <v>1</v>
      </c>
      <c r="AD119" s="108" t="str">
        <f t="shared" si="12"/>
        <v/>
      </c>
      <c r="AE119" s="108" t="str">
        <f t="shared" si="12"/>
        <v>Character/Timeline/02_MON/marionne/m_boss_ranger_marionne_1@enter_timeline</v>
      </c>
      <c r="AF119" s="108" t="str">
        <f t="shared" si="12"/>
        <v>Character/Timeline/02_MON/marionne/m_boss_ranger_marionne_1@die_timeline</v>
      </c>
      <c r="AG119" s="173" t="s">
        <v>2761</v>
      </c>
    </row>
    <row r="120" spans="1:33" x14ac:dyDescent="0.3">
      <c r="A120" s="108">
        <f t="shared" si="7"/>
        <v>1211401002</v>
      </c>
      <c r="B120" s="108" t="str">
        <f t="shared" ref="B120:AF120" si="13">IF(B9 &lt;&gt; "", B9, "")</f>
        <v>GuildAssault</v>
      </c>
      <c r="C120" s="108" t="str">
        <f t="shared" si="13"/>
        <v>마리오네_퍼펫</v>
      </c>
      <c r="D120" s="108" t="str">
        <f t="shared" si="13"/>
        <v>Monster.Name.marionne_puppet_1</v>
      </c>
      <c r="E120" s="108" t="str">
        <f t="shared" si="13"/>
        <v>Attacker</v>
      </c>
      <c r="F120" s="109" t="str">
        <f t="shared" si="13"/>
        <v>Fac_nul_ind</v>
      </c>
      <c r="G120" s="108" t="str">
        <f t="shared" si="13"/>
        <v>TRUE</v>
      </c>
      <c r="H120" s="108" t="b">
        <f t="shared" si="13"/>
        <v>0</v>
      </c>
      <c r="I120" s="108" t="b">
        <f t="shared" si="13"/>
        <v>0</v>
      </c>
      <c r="J120" s="108">
        <f t="shared" si="13"/>
        <v>10</v>
      </c>
      <c r="K120" s="108">
        <f t="shared" si="13"/>
        <v>10</v>
      </c>
      <c r="L120" s="108" t="str">
        <f t="shared" si="13"/>
        <v>1111401002.attack01</v>
      </c>
      <c r="M120" s="108" t="str">
        <f t="shared" si="13"/>
        <v/>
      </c>
      <c r="N120" s="108" t="str">
        <f t="shared" si="13"/>
        <v/>
      </c>
      <c r="O120" s="175" t="str">
        <f t="shared" si="13"/>
        <v>1111401002.Passive</v>
      </c>
      <c r="P120" s="110" t="str">
        <f t="shared" si="13"/>
        <v/>
      </c>
      <c r="Q120" s="110" t="str">
        <f t="shared" si="13"/>
        <v/>
      </c>
      <c r="R120" s="110" t="str">
        <f t="shared" si="13"/>
        <v/>
      </c>
      <c r="S120" s="110" t="str">
        <f t="shared" si="13"/>
        <v/>
      </c>
      <c r="T120" s="110" t="str">
        <f t="shared" si="13"/>
        <v/>
      </c>
      <c r="U120" s="110" t="str">
        <f t="shared" si="13"/>
        <v/>
      </c>
      <c r="V120" s="108" t="b">
        <f t="shared" si="13"/>
        <v>0</v>
      </c>
      <c r="W120" s="108" t="str">
        <f t="shared" si="13"/>
        <v>Character/Prefabs/m_m_attacker_marionne_puppet_1</v>
      </c>
      <c r="X120" s="108" t="str">
        <f t="shared" si="13"/>
        <v/>
      </c>
      <c r="Y120" s="108" t="str">
        <f t="shared" si="13"/>
        <v>m_m_attacker_marionne_puppet_1</v>
      </c>
      <c r="Z120" s="108" t="str">
        <f t="shared" si="13"/>
        <v/>
      </c>
      <c r="AA120" s="108" t="str">
        <f t="shared" si="13"/>
        <v/>
      </c>
      <c r="AB120" s="108" t="str">
        <f t="shared" si="13"/>
        <v>Die_machine</v>
      </c>
      <c r="AC120" s="111">
        <f t="shared" si="13"/>
        <v>1</v>
      </c>
      <c r="AD120" s="108" t="str">
        <f t="shared" si="13"/>
        <v/>
      </c>
      <c r="AE120" s="108" t="str">
        <f t="shared" si="13"/>
        <v/>
      </c>
      <c r="AF120" s="108" t="str">
        <f t="shared" si="13"/>
        <v/>
      </c>
      <c r="AG120" s="173" t="s">
        <v>2761</v>
      </c>
    </row>
    <row r="121" spans="1:33" x14ac:dyDescent="0.3">
      <c r="A121" s="108">
        <f t="shared" si="7"/>
        <v>1211401003</v>
      </c>
      <c r="B121" s="108" t="str">
        <f t="shared" ref="B121:AF121" si="14">IF(B10 &lt;&gt; "", B10, "")</f>
        <v>GuildAssault</v>
      </c>
      <c r="C121" s="108" t="str">
        <f t="shared" si="14"/>
        <v>마리오네_퍼펫</v>
      </c>
      <c r="D121" s="108" t="str">
        <f t="shared" si="14"/>
        <v>Monster.Name.marionne_puppet_1</v>
      </c>
      <c r="E121" s="108" t="str">
        <f t="shared" si="14"/>
        <v>Attacker</v>
      </c>
      <c r="F121" s="109" t="str">
        <f t="shared" si="14"/>
        <v>Fac_nul_ind</v>
      </c>
      <c r="G121" s="108" t="str">
        <f t="shared" si="14"/>
        <v>TRUE</v>
      </c>
      <c r="H121" s="108" t="b">
        <f t="shared" si="14"/>
        <v>0</v>
      </c>
      <c r="I121" s="108" t="b">
        <f t="shared" si="14"/>
        <v>0</v>
      </c>
      <c r="J121" s="108">
        <f t="shared" si="14"/>
        <v>10</v>
      </c>
      <c r="K121" s="108">
        <f t="shared" si="14"/>
        <v>10</v>
      </c>
      <c r="L121" s="108" t="str">
        <f t="shared" si="14"/>
        <v>1111401003.attack01</v>
      </c>
      <c r="M121" s="108" t="str">
        <f t="shared" si="14"/>
        <v/>
      </c>
      <c r="N121" s="108" t="str">
        <f t="shared" si="14"/>
        <v/>
      </c>
      <c r="O121" s="175" t="str">
        <f t="shared" si="14"/>
        <v>1111401003.Passive</v>
      </c>
      <c r="P121" s="110" t="str">
        <f t="shared" si="14"/>
        <v/>
      </c>
      <c r="Q121" s="110" t="str">
        <f t="shared" si="14"/>
        <v/>
      </c>
      <c r="R121" s="110" t="str">
        <f t="shared" si="14"/>
        <v/>
      </c>
      <c r="S121" s="110" t="str">
        <f t="shared" si="14"/>
        <v/>
      </c>
      <c r="T121" s="110" t="str">
        <f t="shared" si="14"/>
        <v/>
      </c>
      <c r="U121" s="110" t="str">
        <f t="shared" si="14"/>
        <v/>
      </c>
      <c r="V121" s="108" t="b">
        <f t="shared" si="14"/>
        <v>0</v>
      </c>
      <c r="W121" s="108" t="str">
        <f t="shared" si="14"/>
        <v>Character/Prefabs/m_m_attacker_marionne_puppet_1</v>
      </c>
      <c r="X121" s="108" t="str">
        <f t="shared" si="14"/>
        <v/>
      </c>
      <c r="Y121" s="108" t="str">
        <f t="shared" si="14"/>
        <v>m_m_attacker_marionne_puppet_1</v>
      </c>
      <c r="Z121" s="108" t="str">
        <f t="shared" si="14"/>
        <v/>
      </c>
      <c r="AA121" s="108" t="str">
        <f t="shared" si="14"/>
        <v/>
      </c>
      <c r="AB121" s="108" t="str">
        <f t="shared" si="14"/>
        <v>Die_machine</v>
      </c>
      <c r="AC121" s="111">
        <f t="shared" si="14"/>
        <v>1</v>
      </c>
      <c r="AD121" s="108" t="str">
        <f t="shared" si="14"/>
        <v/>
      </c>
      <c r="AE121" s="108" t="str">
        <f t="shared" si="14"/>
        <v/>
      </c>
      <c r="AF121" s="108" t="str">
        <f t="shared" si="14"/>
        <v/>
      </c>
      <c r="AG121" s="173" t="s">
        <v>2761</v>
      </c>
    </row>
    <row r="122" spans="1:33" x14ac:dyDescent="0.3">
      <c r="A122" s="108">
        <f t="shared" si="7"/>
        <v>1211401004</v>
      </c>
      <c r="B122" s="108" t="str">
        <f t="shared" ref="B122:AF122" si="15">IF(B11 &lt;&gt; "", B11, "")</f>
        <v>GuildAssault</v>
      </c>
      <c r="C122" s="108" t="str">
        <f t="shared" si="15"/>
        <v>마리오네_퍼펫</v>
      </c>
      <c r="D122" s="108" t="str">
        <f t="shared" si="15"/>
        <v>Monster.Name.marionne_puppet_1</v>
      </c>
      <c r="E122" s="108" t="str">
        <f t="shared" si="15"/>
        <v>Attacker</v>
      </c>
      <c r="F122" s="109" t="str">
        <f t="shared" si="15"/>
        <v>Fac_nul_ind</v>
      </c>
      <c r="G122" s="108" t="str">
        <f t="shared" si="15"/>
        <v>TRUE</v>
      </c>
      <c r="H122" s="108" t="b">
        <f t="shared" si="15"/>
        <v>0</v>
      </c>
      <c r="I122" s="108" t="b">
        <f t="shared" si="15"/>
        <v>0</v>
      </c>
      <c r="J122" s="108">
        <f t="shared" si="15"/>
        <v>10</v>
      </c>
      <c r="K122" s="108">
        <f t="shared" si="15"/>
        <v>10</v>
      </c>
      <c r="L122" s="108" t="str">
        <f t="shared" si="15"/>
        <v/>
      </c>
      <c r="M122" s="108" t="str">
        <f t="shared" si="15"/>
        <v/>
      </c>
      <c r="N122" s="108" t="str">
        <f t="shared" si="15"/>
        <v/>
      </c>
      <c r="O122" s="175" t="str">
        <f t="shared" si="15"/>
        <v>1111401004.skill01</v>
      </c>
      <c r="P122" s="110" t="str">
        <f t="shared" si="15"/>
        <v>1111401004.Passive</v>
      </c>
      <c r="Q122" s="110" t="str">
        <f t="shared" si="15"/>
        <v/>
      </c>
      <c r="R122" s="110" t="str">
        <f t="shared" si="15"/>
        <v/>
      </c>
      <c r="S122" s="110" t="str">
        <f t="shared" si="15"/>
        <v/>
      </c>
      <c r="T122" s="110" t="str">
        <f t="shared" si="15"/>
        <v/>
      </c>
      <c r="U122" s="110" t="str">
        <f t="shared" si="15"/>
        <v/>
      </c>
      <c r="V122" s="108" t="b">
        <f t="shared" si="15"/>
        <v>0</v>
      </c>
      <c r="W122" s="108" t="str">
        <f t="shared" si="15"/>
        <v>Character/Prefabs/m_m_attacker_marionne_puppet_1</v>
      </c>
      <c r="X122" s="108" t="str">
        <f t="shared" si="15"/>
        <v/>
      </c>
      <c r="Y122" s="108" t="str">
        <f t="shared" si="15"/>
        <v>m_m_attacker_marionne_puppet_1</v>
      </c>
      <c r="Z122" s="108" t="str">
        <f t="shared" si="15"/>
        <v/>
      </c>
      <c r="AA122" s="108" t="str">
        <f t="shared" si="15"/>
        <v/>
      </c>
      <c r="AB122" s="108" t="str">
        <f t="shared" si="15"/>
        <v>Die_machine</v>
      </c>
      <c r="AC122" s="111">
        <f t="shared" si="15"/>
        <v>1</v>
      </c>
      <c r="AD122" s="108" t="str">
        <f t="shared" si="15"/>
        <v/>
      </c>
      <c r="AE122" s="108" t="str">
        <f t="shared" si="15"/>
        <v/>
      </c>
      <c r="AF122" s="108" t="str">
        <f t="shared" si="15"/>
        <v/>
      </c>
      <c r="AG122" s="173" t="s">
        <v>2761</v>
      </c>
    </row>
    <row r="123" spans="1:33" x14ac:dyDescent="0.3">
      <c r="A123" s="108">
        <f t="shared" si="7"/>
        <v>1211401005</v>
      </c>
      <c r="B123" s="108" t="str">
        <f t="shared" ref="B123:AF123" si="16">IF(B12 &lt;&gt; "", B12, "")</f>
        <v>GuildAssault</v>
      </c>
      <c r="C123" s="108" t="str">
        <f t="shared" si="16"/>
        <v>마리오네_스킬5</v>
      </c>
      <c r="D123" s="108" t="str">
        <f t="shared" si="16"/>
        <v/>
      </c>
      <c r="E123" s="108" t="str">
        <f t="shared" si="16"/>
        <v>Tanker</v>
      </c>
      <c r="F123" s="109" t="str">
        <f t="shared" si="16"/>
        <v>Fac_nul_ind</v>
      </c>
      <c r="G123" s="108" t="b">
        <f t="shared" si="16"/>
        <v>1</v>
      </c>
      <c r="H123" s="108" t="str">
        <f t="shared" si="16"/>
        <v>FALSE</v>
      </c>
      <c r="I123" s="108" t="str">
        <f t="shared" si="16"/>
        <v>FALSE</v>
      </c>
      <c r="J123" s="108">
        <f t="shared" si="16"/>
        <v>10</v>
      </c>
      <c r="K123" s="108">
        <f t="shared" si="16"/>
        <v>10</v>
      </c>
      <c r="L123" s="108" t="str">
        <f t="shared" si="16"/>
        <v/>
      </c>
      <c r="M123" s="108" t="str">
        <f t="shared" si="16"/>
        <v/>
      </c>
      <c r="N123" s="108" t="str">
        <f t="shared" si="16"/>
        <v/>
      </c>
      <c r="O123" s="175" t="str">
        <f t="shared" si="16"/>
        <v/>
      </c>
      <c r="P123" s="110" t="str">
        <f t="shared" si="16"/>
        <v/>
      </c>
      <c r="Q123" s="110" t="str">
        <f t="shared" si="16"/>
        <v/>
      </c>
      <c r="R123" s="110" t="str">
        <f t="shared" si="16"/>
        <v/>
      </c>
      <c r="S123" s="110" t="str">
        <f t="shared" si="16"/>
        <v/>
      </c>
      <c r="T123" s="110" t="str">
        <f t="shared" si="16"/>
        <v/>
      </c>
      <c r="U123" s="110" t="str">
        <f t="shared" si="16"/>
        <v/>
      </c>
      <c r="V123" s="108" t="b">
        <f t="shared" si="16"/>
        <v>1</v>
      </c>
      <c r="W123" s="108" t="str">
        <f t="shared" si="16"/>
        <v>Character/Prefabs/m_boss_ranger_marionne_1_abn</v>
      </c>
      <c r="X123" s="108" t="str">
        <f t="shared" si="16"/>
        <v/>
      </c>
      <c r="Y123" s="108" t="str">
        <f t="shared" si="16"/>
        <v/>
      </c>
      <c r="Z123" s="108" t="str">
        <f t="shared" si="16"/>
        <v/>
      </c>
      <c r="AA123" s="108" t="str">
        <f t="shared" si="16"/>
        <v/>
      </c>
      <c r="AB123" s="108" t="str">
        <f t="shared" si="16"/>
        <v>Die_machine</v>
      </c>
      <c r="AC123" s="111">
        <f t="shared" si="16"/>
        <v>0.9</v>
      </c>
      <c r="AD123" s="108" t="str">
        <f t="shared" si="16"/>
        <v/>
      </c>
      <c r="AE123" s="108" t="str">
        <f t="shared" si="16"/>
        <v/>
      </c>
      <c r="AF123" s="108" t="str">
        <f t="shared" si="16"/>
        <v/>
      </c>
      <c r="AG123" s="173" t="s">
        <v>2761</v>
      </c>
    </row>
    <row r="124" spans="1:33" x14ac:dyDescent="0.3">
      <c r="A124" s="41">
        <f t="shared" si="7"/>
        <v>1210501001</v>
      </c>
      <c r="B124" s="41" t="str">
        <f t="shared" ref="B124:AF124" si="17">IF(B13 &lt;&gt; "", B13, "")</f>
        <v>Raid1001</v>
      </c>
      <c r="C124" s="41" t="str">
        <f t="shared" si="17"/>
        <v>카라</v>
      </c>
      <c r="D124" s="41" t="str">
        <f t="shared" si="17"/>
        <v>Monster.Name.kara_1</v>
      </c>
      <c r="E124" s="41" t="str">
        <f t="shared" si="17"/>
        <v>Attacker</v>
      </c>
      <c r="F124" s="42" t="str">
        <f t="shared" si="17"/>
        <v>Fac_nul_ind</v>
      </c>
      <c r="G124" s="41" t="str">
        <f t="shared" si="17"/>
        <v>TRUE</v>
      </c>
      <c r="H124" s="41" t="b">
        <f t="shared" si="17"/>
        <v>1</v>
      </c>
      <c r="I124" s="41" t="b">
        <f t="shared" si="17"/>
        <v>1</v>
      </c>
      <c r="J124" s="41">
        <f t="shared" si="17"/>
        <v>20</v>
      </c>
      <c r="K124" s="41">
        <f t="shared" si="17"/>
        <v>10</v>
      </c>
      <c r="L124" s="41" t="str">
        <f t="shared" si="17"/>
        <v>Raid1001.kara_1.attack01</v>
      </c>
      <c r="M124" s="41" t="str">
        <f t="shared" si="17"/>
        <v>Raid1001.kara_1.attack02</v>
      </c>
      <c r="N124" s="41" t="str">
        <f t="shared" si="17"/>
        <v/>
      </c>
      <c r="O124" s="176" t="str">
        <f t="shared" si="17"/>
        <v>Raid1001.kara_1.skill01</v>
      </c>
      <c r="P124" s="43" t="str">
        <f t="shared" si="17"/>
        <v>Raid1001.kara_1.skill02</v>
      </c>
      <c r="Q124" s="43" t="str">
        <f t="shared" si="17"/>
        <v>Raid1001.kara_1.skill03</v>
      </c>
      <c r="R124" s="43" t="str">
        <f t="shared" si="17"/>
        <v>Raid1001.kara_1.skill04</v>
      </c>
      <c r="S124" s="43" t="str">
        <f t="shared" si="17"/>
        <v>Raid1001.kara_1.passive01</v>
      </c>
      <c r="T124" s="43" t="str">
        <f t="shared" si="17"/>
        <v/>
      </c>
      <c r="U124" s="43" t="str">
        <f t="shared" si="17"/>
        <v/>
      </c>
      <c r="V124" s="41" t="b">
        <f t="shared" si="17"/>
        <v>0</v>
      </c>
      <c r="W124" s="41" t="str">
        <f t="shared" si="17"/>
        <v>Character/Prefabs/m_boss_attacker_kara_1</v>
      </c>
      <c r="X124" s="41" t="str">
        <f t="shared" si="17"/>
        <v/>
      </c>
      <c r="Y124" s="41" t="str">
        <f t="shared" si="17"/>
        <v>m_boss_attacker_kara_1</v>
      </c>
      <c r="Z124" s="41" t="str">
        <f t="shared" si="17"/>
        <v/>
      </c>
      <c r="AA124" s="41" t="str">
        <f t="shared" si="17"/>
        <v/>
      </c>
      <c r="AB124" s="41" t="str">
        <f t="shared" si="17"/>
        <v/>
      </c>
      <c r="AC124" s="90">
        <f t="shared" si="17"/>
        <v>1.7</v>
      </c>
      <c r="AD124" s="41" t="str">
        <f t="shared" si="17"/>
        <v/>
      </c>
      <c r="AE124" s="41" t="str">
        <f t="shared" si="17"/>
        <v>Character/Timeline/02_MON/kara/appearance</v>
      </c>
      <c r="AF124" s="41" t="str">
        <f t="shared" si="17"/>
        <v>Character/Timeline/02_MON/kara/die</v>
      </c>
      <c r="AG124" s="173" t="s">
        <v>2761</v>
      </c>
    </row>
    <row r="125" spans="1:33" x14ac:dyDescent="0.3">
      <c r="A125" s="41">
        <f t="shared" si="7"/>
        <v>1210501002</v>
      </c>
      <c r="B125" s="41" t="str">
        <f t="shared" ref="B125:AF125" si="18">IF(B14 &lt;&gt; "", B14, "")</f>
        <v>Raid1001</v>
      </c>
      <c r="C125" s="41" t="str">
        <f t="shared" si="18"/>
        <v>카라베리</v>
      </c>
      <c r="D125" s="41" t="str">
        <f t="shared" si="18"/>
        <v>Monster.Name.kara_2</v>
      </c>
      <c r="E125" s="41" t="str">
        <f t="shared" si="18"/>
        <v>Attacker</v>
      </c>
      <c r="F125" s="42" t="str">
        <f t="shared" si="18"/>
        <v>Fac_nul_ind</v>
      </c>
      <c r="G125" s="41" t="str">
        <f t="shared" si="18"/>
        <v>TRUE</v>
      </c>
      <c r="H125" s="41" t="b">
        <f t="shared" si="18"/>
        <v>1</v>
      </c>
      <c r="I125" s="41" t="b">
        <f t="shared" si="18"/>
        <v>1</v>
      </c>
      <c r="J125" s="41">
        <f t="shared" si="18"/>
        <v>20</v>
      </c>
      <c r="K125" s="41">
        <f t="shared" si="18"/>
        <v>10</v>
      </c>
      <c r="L125" s="41" t="str">
        <f t="shared" si="18"/>
        <v>Raid1001.kara_2.attack01</v>
      </c>
      <c r="M125" s="41" t="str">
        <f t="shared" si="18"/>
        <v>Raid1001.kara_2.attack02</v>
      </c>
      <c r="N125" s="41" t="str">
        <f t="shared" si="18"/>
        <v/>
      </c>
      <c r="O125" s="176" t="str">
        <f t="shared" si="18"/>
        <v>Raid1001.kara_2.skill01</v>
      </c>
      <c r="P125" s="43" t="str">
        <f t="shared" si="18"/>
        <v>Raid1001.kara_2.skill02</v>
      </c>
      <c r="Q125" s="43" t="str">
        <f t="shared" si="18"/>
        <v>Raid1001.kara_2.skill03</v>
      </c>
      <c r="R125" s="43" t="str">
        <f t="shared" si="18"/>
        <v>Raid1001.kara_2.skill04</v>
      </c>
      <c r="S125" s="43" t="str">
        <f t="shared" si="18"/>
        <v>Raid1001.kara_2.passive01</v>
      </c>
      <c r="T125" s="43" t="str">
        <f t="shared" si="18"/>
        <v/>
      </c>
      <c r="U125" s="43" t="str">
        <f t="shared" si="18"/>
        <v/>
      </c>
      <c r="V125" s="41" t="b">
        <f t="shared" si="18"/>
        <v>0</v>
      </c>
      <c r="W125" s="41" t="str">
        <f t="shared" si="18"/>
        <v>Character/Prefabs/m_boss_attacker_kara_2</v>
      </c>
      <c r="X125" s="41" t="str">
        <f t="shared" si="18"/>
        <v/>
      </c>
      <c r="Y125" s="41" t="str">
        <f t="shared" si="18"/>
        <v>m_boss_attacker_kara_2</v>
      </c>
      <c r="Z125" s="41" t="str">
        <f t="shared" si="18"/>
        <v/>
      </c>
      <c r="AA125" s="41" t="str">
        <f t="shared" si="18"/>
        <v/>
      </c>
      <c r="AB125" s="41" t="str">
        <f t="shared" si="18"/>
        <v/>
      </c>
      <c r="AC125" s="90">
        <f t="shared" si="18"/>
        <v>1.7</v>
      </c>
      <c r="AD125" s="41" t="str">
        <f t="shared" si="18"/>
        <v/>
      </c>
      <c r="AE125" s="41" t="str">
        <f t="shared" si="18"/>
        <v>Character/Timeline/02_MON/kara/appearance_2</v>
      </c>
      <c r="AF125" s="41" t="str">
        <f t="shared" si="18"/>
        <v>Character/Timeline/02_MON/kara/die_2</v>
      </c>
      <c r="AG125" s="173" t="s">
        <v>2093</v>
      </c>
    </row>
    <row r="126" spans="1:33" x14ac:dyDescent="0.3">
      <c r="A126" s="41">
        <f t="shared" si="7"/>
        <v>1210502001</v>
      </c>
      <c r="B126" s="41" t="str">
        <f t="shared" ref="B126:AF126" si="19">IF(B15 &lt;&gt; "", B15, "")</f>
        <v>Raid2001</v>
      </c>
      <c r="C126" s="41" t="str">
        <f t="shared" si="19"/>
        <v>바나클빌더</v>
      </c>
      <c r="D126" s="41" t="str">
        <f t="shared" si="19"/>
        <v>Monster.Name.barnacle_builder_1</v>
      </c>
      <c r="E126" s="41" t="str">
        <f t="shared" si="19"/>
        <v>Tanker</v>
      </c>
      <c r="F126" s="42" t="str">
        <f t="shared" si="19"/>
        <v>Fac_nul_ind</v>
      </c>
      <c r="G126" s="41" t="str">
        <f t="shared" si="19"/>
        <v>TRUE</v>
      </c>
      <c r="H126" s="41" t="b">
        <f t="shared" si="19"/>
        <v>1</v>
      </c>
      <c r="I126" s="41" t="b">
        <f t="shared" si="19"/>
        <v>1</v>
      </c>
      <c r="J126" s="41">
        <f t="shared" si="19"/>
        <v>20</v>
      </c>
      <c r="K126" s="41">
        <f t="shared" si="19"/>
        <v>10</v>
      </c>
      <c r="L126" s="41" t="str">
        <f t="shared" si="19"/>
        <v>Raid2001.barnacle_builder_1.attack01</v>
      </c>
      <c r="M126" s="41" t="str">
        <f t="shared" si="19"/>
        <v>Raid2001.barnacle_builder_1.attack02</v>
      </c>
      <c r="N126" s="41" t="str">
        <f t="shared" si="19"/>
        <v/>
      </c>
      <c r="O126" s="176" t="str">
        <f t="shared" si="19"/>
        <v>Raid2001.barnacle_builder_1.skill01</v>
      </c>
      <c r="P126" s="43" t="str">
        <f t="shared" si="19"/>
        <v>Raid2001.barnacle_builder_1.skill02</v>
      </c>
      <c r="Q126" s="43" t="str">
        <f t="shared" si="19"/>
        <v>Raid2001.barnacle_builder_1.skill03</v>
      </c>
      <c r="R126" s="43" t="str">
        <f t="shared" si="19"/>
        <v>Raid2001.barnacle_builder_1.passive01</v>
      </c>
      <c r="S126" s="43" t="str">
        <f t="shared" si="19"/>
        <v>Boss.Common.Immun</v>
      </c>
      <c r="T126" s="43" t="str">
        <f t="shared" si="19"/>
        <v/>
      </c>
      <c r="U126" s="43" t="str">
        <f t="shared" si="19"/>
        <v/>
      </c>
      <c r="V126" s="41" t="b">
        <f t="shared" si="19"/>
        <v>0</v>
      </c>
      <c r="W126" s="41" t="str">
        <f t="shared" si="19"/>
        <v>Character/Prefabs/m_boss_tanker_barnacle_builder_1</v>
      </c>
      <c r="X126" s="41" t="str">
        <f t="shared" si="19"/>
        <v/>
      </c>
      <c r="Y126" s="41" t="str">
        <f t="shared" si="19"/>
        <v>m_boss_tanker_barnacle_builder_1</v>
      </c>
      <c r="Z126" s="41" t="str">
        <f t="shared" si="19"/>
        <v/>
      </c>
      <c r="AA126" s="41" t="str">
        <f t="shared" si="19"/>
        <v/>
      </c>
      <c r="AB126" s="41" t="str">
        <f t="shared" si="19"/>
        <v/>
      </c>
      <c r="AC126" s="90">
        <f t="shared" si="19"/>
        <v>1</v>
      </c>
      <c r="AD126" s="41" t="str">
        <f t="shared" si="19"/>
        <v/>
      </c>
      <c r="AE126" s="41" t="str">
        <f t="shared" si="19"/>
        <v>Character/Timeline/02_MON/barnacle_builder_1/appearance</v>
      </c>
      <c r="AF126" s="41" t="str">
        <f t="shared" si="19"/>
        <v>Character/Timeline/02_MON/barnacle_builder_1/die</v>
      </c>
      <c r="AG126" s="173" t="s">
        <v>2093</v>
      </c>
    </row>
    <row r="127" spans="1:33" x14ac:dyDescent="0.3">
      <c r="A127" s="41">
        <f t="shared" si="7"/>
        <v>1210503001</v>
      </c>
      <c r="B127" s="41" t="str">
        <f t="shared" ref="B127:AF127" si="20">IF(B16 &lt;&gt; "", B16, "")</f>
        <v>Raid3001</v>
      </c>
      <c r="C127" s="41" t="str">
        <f t="shared" si="20"/>
        <v>마인드로더</v>
      </c>
      <c r="D127" s="41" t="str">
        <f t="shared" si="20"/>
        <v>Monster.Name.mindloader_1</v>
      </c>
      <c r="E127" s="41" t="str">
        <f t="shared" si="20"/>
        <v>Attacker</v>
      </c>
      <c r="F127" s="42" t="str">
        <f t="shared" si="20"/>
        <v>Fac_nul_ind</v>
      </c>
      <c r="G127" s="41" t="str">
        <f t="shared" si="20"/>
        <v>TRUE</v>
      </c>
      <c r="H127" s="41" t="b">
        <f t="shared" si="20"/>
        <v>1</v>
      </c>
      <c r="I127" s="41" t="b">
        <f t="shared" si="20"/>
        <v>1</v>
      </c>
      <c r="J127" s="41">
        <f t="shared" si="20"/>
        <v>20</v>
      </c>
      <c r="K127" s="41">
        <f t="shared" si="20"/>
        <v>10</v>
      </c>
      <c r="L127" s="41" t="str">
        <f t="shared" si="20"/>
        <v>Raid3001.mindloader_1.attack01</v>
      </c>
      <c r="M127" s="41" t="str">
        <f t="shared" si="20"/>
        <v>Raid3001.mindloader_1.attack02</v>
      </c>
      <c r="N127" s="41" t="str">
        <f t="shared" si="20"/>
        <v/>
      </c>
      <c r="O127" s="176" t="str">
        <f t="shared" si="20"/>
        <v>Raid3001.mindloader_1.skill01</v>
      </c>
      <c r="P127" s="43" t="str">
        <f t="shared" si="20"/>
        <v>Raid3001.mindloader_1.skill02</v>
      </c>
      <c r="Q127" s="43" t="str">
        <f t="shared" si="20"/>
        <v>Raid3001.mindloader_1.skill03</v>
      </c>
      <c r="R127" s="43" t="str">
        <f t="shared" si="20"/>
        <v>Raid3001.mindloader_1.skill04</v>
      </c>
      <c r="S127" s="43" t="str">
        <f t="shared" si="20"/>
        <v>Raid3001.mindloader_1.passive01</v>
      </c>
      <c r="T127" s="43" t="str">
        <f t="shared" si="20"/>
        <v/>
      </c>
      <c r="U127" s="43" t="str">
        <f t="shared" si="20"/>
        <v/>
      </c>
      <c r="V127" s="41" t="b">
        <f t="shared" si="20"/>
        <v>0</v>
      </c>
      <c r="W127" s="41" t="str">
        <f t="shared" si="20"/>
        <v>Character/Prefabs/m_boss_attacker_mindloader_1</v>
      </c>
      <c r="X127" s="41" t="str">
        <f t="shared" si="20"/>
        <v/>
      </c>
      <c r="Y127" s="41" t="str">
        <f t="shared" si="20"/>
        <v>m_boss_attacker_mindloader_1</v>
      </c>
      <c r="Z127" s="41" t="str">
        <f t="shared" si="20"/>
        <v/>
      </c>
      <c r="AA127" s="41" t="str">
        <f t="shared" si="20"/>
        <v/>
      </c>
      <c r="AB127" s="41" t="str">
        <f t="shared" si="20"/>
        <v/>
      </c>
      <c r="AC127" s="90">
        <f t="shared" si="20"/>
        <v>1.5</v>
      </c>
      <c r="AD127" s="41" t="str">
        <f t="shared" si="20"/>
        <v/>
      </c>
      <c r="AE127" s="41" t="str">
        <f t="shared" si="20"/>
        <v>Character/Timeline/02_MON/mindloader/appearance</v>
      </c>
      <c r="AF127" s="41" t="str">
        <f t="shared" si="20"/>
        <v>Character/Timeline/02_MON/mindloader/die</v>
      </c>
      <c r="AG127" s="173" t="s">
        <v>2093</v>
      </c>
    </row>
    <row r="128" spans="1:33" x14ac:dyDescent="0.3">
      <c r="A128" s="41">
        <f t="shared" si="7"/>
        <v>1210504001</v>
      </c>
      <c r="B128" s="41" t="str">
        <f t="shared" ref="B128:AF128" si="21">IF(B17 &lt;&gt; "", B17, "")</f>
        <v>Raid4001</v>
      </c>
      <c r="C128" s="41" t="str">
        <f t="shared" si="21"/>
        <v>기간투스</v>
      </c>
      <c r="D128" s="41" t="str">
        <f t="shared" si="21"/>
        <v>Monster.Name.gigantooth_1</v>
      </c>
      <c r="E128" s="41" t="str">
        <f t="shared" si="21"/>
        <v>Attacker</v>
      </c>
      <c r="F128" s="42" t="str">
        <f t="shared" si="21"/>
        <v>Fac_nul_ind</v>
      </c>
      <c r="G128" s="41" t="str">
        <f t="shared" si="21"/>
        <v>TRUE</v>
      </c>
      <c r="H128" s="41" t="b">
        <f t="shared" si="21"/>
        <v>1</v>
      </c>
      <c r="I128" s="41" t="b">
        <f t="shared" si="21"/>
        <v>1</v>
      </c>
      <c r="J128" s="41">
        <f t="shared" si="21"/>
        <v>20</v>
      </c>
      <c r="K128" s="41">
        <f t="shared" si="21"/>
        <v>10</v>
      </c>
      <c r="L128" s="41" t="str">
        <f t="shared" si="21"/>
        <v>Raid4001.gigantooth_1.attack01</v>
      </c>
      <c r="M128" s="41" t="str">
        <f t="shared" si="21"/>
        <v>Raid4001.gigantooth_1.attack02</v>
      </c>
      <c r="N128" s="41" t="str">
        <f t="shared" si="21"/>
        <v/>
      </c>
      <c r="O128" s="176" t="str">
        <f t="shared" si="21"/>
        <v>Raid4001.gigantooth_1.skill01</v>
      </c>
      <c r="P128" s="43" t="str">
        <f t="shared" si="21"/>
        <v>Raid4001.gigantooth_1.skill02</v>
      </c>
      <c r="Q128" s="43" t="str">
        <f t="shared" si="21"/>
        <v>Raid4001.gigantooth_1.skill03</v>
      </c>
      <c r="R128" s="43" t="str">
        <f t="shared" si="21"/>
        <v>Raid4001.gigantooth_1.skill04</v>
      </c>
      <c r="S128" s="43" t="str">
        <f t="shared" si="21"/>
        <v>Raid4001.gigantooth_1.passive01</v>
      </c>
      <c r="T128" s="43" t="str">
        <f t="shared" si="21"/>
        <v/>
      </c>
      <c r="U128" s="43" t="str">
        <f t="shared" si="21"/>
        <v/>
      </c>
      <c r="V128" s="41" t="b">
        <f t="shared" si="21"/>
        <v>0</v>
      </c>
      <c r="W128" s="41" t="str">
        <f t="shared" si="21"/>
        <v>Character/Prefabs/m_boss_attacker_gigantooth_1</v>
      </c>
      <c r="X128" s="41" t="str">
        <f t="shared" si="21"/>
        <v/>
      </c>
      <c r="Y128" s="41" t="str">
        <f t="shared" si="21"/>
        <v>m_boss_attacker_gigantooth_1</v>
      </c>
      <c r="Z128" s="41" t="str">
        <f t="shared" si="21"/>
        <v/>
      </c>
      <c r="AA128" s="41" t="str">
        <f t="shared" si="21"/>
        <v/>
      </c>
      <c r="AB128" s="41" t="str">
        <f t="shared" si="21"/>
        <v/>
      </c>
      <c r="AC128" s="90">
        <f t="shared" si="21"/>
        <v>0.9</v>
      </c>
      <c r="AD128" s="41" t="str">
        <f t="shared" si="21"/>
        <v/>
      </c>
      <c r="AE128" s="41" t="str">
        <f t="shared" si="21"/>
        <v>Character/Timeline/02_MON/boss2/appearance_1</v>
      </c>
      <c r="AF128" s="41" t="str">
        <f t="shared" si="21"/>
        <v>Character/Timeline/02_MON/boss2/die_1</v>
      </c>
      <c r="AG128" s="173" t="s">
        <v>2093</v>
      </c>
    </row>
    <row r="129" spans="1:33" x14ac:dyDescent="0.3">
      <c r="A129" s="41">
        <f t="shared" si="7"/>
        <v>1210504002</v>
      </c>
      <c r="B129" s="41" t="str">
        <f t="shared" ref="B129:AF129" si="22">IF(B18 &lt;&gt; "", B18, "")</f>
        <v>Raid4001</v>
      </c>
      <c r="C129" s="41" t="str">
        <f t="shared" si="22"/>
        <v>기간투스베리</v>
      </c>
      <c r="D129" s="41" t="str">
        <f t="shared" si="22"/>
        <v>Monster.Name.gigantooth_2</v>
      </c>
      <c r="E129" s="41" t="str">
        <f t="shared" si="22"/>
        <v>Attacker</v>
      </c>
      <c r="F129" s="42" t="str">
        <f t="shared" si="22"/>
        <v>Fac_nul_ind</v>
      </c>
      <c r="G129" s="41" t="str">
        <f t="shared" si="22"/>
        <v>TRUE</v>
      </c>
      <c r="H129" s="41" t="b">
        <f t="shared" si="22"/>
        <v>1</v>
      </c>
      <c r="I129" s="41" t="b">
        <f t="shared" si="22"/>
        <v>1</v>
      </c>
      <c r="J129" s="41">
        <f t="shared" si="22"/>
        <v>20</v>
      </c>
      <c r="K129" s="41">
        <f t="shared" si="22"/>
        <v>10</v>
      </c>
      <c r="L129" s="41" t="str">
        <f t="shared" si="22"/>
        <v>Raid4001.gigantooth_2.attack01</v>
      </c>
      <c r="M129" s="41" t="str">
        <f t="shared" si="22"/>
        <v>Raid4001.gigantooth_2.attack02</v>
      </c>
      <c r="N129" s="41" t="str">
        <f t="shared" si="22"/>
        <v/>
      </c>
      <c r="O129" s="176" t="str">
        <f t="shared" si="22"/>
        <v>Raid4001.gigantooth_2.skill01</v>
      </c>
      <c r="P129" s="43" t="str">
        <f t="shared" si="22"/>
        <v>Raid4001.gigantooth_2.skill02</v>
      </c>
      <c r="Q129" s="43" t="str">
        <f t="shared" si="22"/>
        <v>Raid4001.gigantooth_2.skill03</v>
      </c>
      <c r="R129" s="43" t="str">
        <f t="shared" si="22"/>
        <v>Raid4001.gigantooth_2.skill04</v>
      </c>
      <c r="S129" s="43" t="str">
        <f t="shared" si="22"/>
        <v>Raid4001.gigantooth_2.passive01</v>
      </c>
      <c r="T129" s="43" t="str">
        <f t="shared" si="22"/>
        <v/>
      </c>
      <c r="U129" s="43" t="str">
        <f t="shared" si="22"/>
        <v/>
      </c>
      <c r="V129" s="41" t="b">
        <f t="shared" si="22"/>
        <v>0</v>
      </c>
      <c r="W129" s="41" t="str">
        <f t="shared" si="22"/>
        <v>Character/Prefabs/m_boss_attacker_gigantooth_2</v>
      </c>
      <c r="X129" s="41" t="str">
        <f t="shared" si="22"/>
        <v/>
      </c>
      <c r="Y129" s="41" t="str">
        <f t="shared" si="22"/>
        <v>m_boss_attacker_gigantooth_2</v>
      </c>
      <c r="Z129" s="41" t="str">
        <f t="shared" si="22"/>
        <v/>
      </c>
      <c r="AA129" s="41" t="str">
        <f t="shared" si="22"/>
        <v/>
      </c>
      <c r="AB129" s="41" t="str">
        <f t="shared" si="22"/>
        <v/>
      </c>
      <c r="AC129" s="90">
        <f t="shared" si="22"/>
        <v>0.9</v>
      </c>
      <c r="AD129" s="41" t="str">
        <f t="shared" si="22"/>
        <v/>
      </c>
      <c r="AE129" s="41" t="str">
        <f t="shared" si="22"/>
        <v>Character/Timeline/02_MON/boss2/appearance_2</v>
      </c>
      <c r="AF129" s="41" t="str">
        <f t="shared" si="22"/>
        <v>Character/Timeline/02_MON/boss2/die_2</v>
      </c>
      <c r="AG129" s="173" t="s">
        <v>2093</v>
      </c>
    </row>
    <row r="130" spans="1:33" x14ac:dyDescent="0.3">
      <c r="A130" s="12">
        <f t="shared" si="7"/>
        <v>1211101001</v>
      </c>
      <c r="B130" s="12" t="str">
        <f t="shared" ref="B130:AF130" si="23">IF(B19 &lt;&gt; "", B19, "")</f>
        <v>GuildRaid1001</v>
      </c>
      <c r="C130" s="12" t="str">
        <f t="shared" si="23"/>
        <v>freyja</v>
      </c>
      <c r="D130" s="76" t="str">
        <f t="shared" si="23"/>
        <v>Name.Character.freyja</v>
      </c>
      <c r="E130" s="12" t="str">
        <f t="shared" si="23"/>
        <v>Ranger</v>
      </c>
      <c r="F130" s="39" t="str">
        <f t="shared" si="23"/>
        <v>Fac_sti_ast</v>
      </c>
      <c r="G130" s="12" t="str">
        <f t="shared" si="23"/>
        <v>TRUE</v>
      </c>
      <c r="H130" s="12" t="b">
        <f t="shared" si="23"/>
        <v>1</v>
      </c>
      <c r="I130" s="12" t="b">
        <f t="shared" si="23"/>
        <v>1</v>
      </c>
      <c r="J130" s="12">
        <f t="shared" si="23"/>
        <v>10</v>
      </c>
      <c r="K130" s="12">
        <f t="shared" si="23"/>
        <v>10</v>
      </c>
      <c r="L130" s="12" t="str">
        <f t="shared" si="23"/>
        <v>freyja.attack1</v>
      </c>
      <c r="M130" s="12" t="str">
        <f t="shared" si="23"/>
        <v>freyja.attack2</v>
      </c>
      <c r="N130" s="12" t="str">
        <f t="shared" si="23"/>
        <v>freyja.attack3</v>
      </c>
      <c r="O130" s="145" t="str">
        <f t="shared" si="23"/>
        <v>freyja.active1</v>
      </c>
      <c r="P130" s="40" t="str">
        <f t="shared" si="23"/>
        <v>freyja.active2</v>
      </c>
      <c r="Q130" s="40" t="str">
        <f t="shared" si="23"/>
        <v>freyja.passive</v>
      </c>
      <c r="R130" s="40" t="str">
        <f t="shared" si="23"/>
        <v/>
      </c>
      <c r="S130" s="40" t="str">
        <f t="shared" si="23"/>
        <v>Boss.Common.Immun</v>
      </c>
      <c r="T130" s="40" t="str">
        <f t="shared" si="23"/>
        <v>freyja.ult</v>
      </c>
      <c r="U130" s="40" t="str">
        <f t="shared" si="23"/>
        <v>freyja.ult</v>
      </c>
      <c r="V130" s="12" t="b">
        <f t="shared" si="23"/>
        <v>1</v>
      </c>
      <c r="W130" s="12" t="str">
        <f t="shared" si="23"/>
        <v>Character/Prefabs/c_ranger_freyja_1</v>
      </c>
      <c r="X130" s="12" t="str">
        <f t="shared" si="23"/>
        <v/>
      </c>
      <c r="Y130" s="12" t="str">
        <f t="shared" si="23"/>
        <v>character_freyja_01</v>
      </c>
      <c r="Z130" s="12" t="str">
        <f t="shared" si="23"/>
        <v>Character/Timeline/01_CHA/ult_c_ranger_freyja_1</v>
      </c>
      <c r="AA130" s="12" t="str">
        <f t="shared" si="23"/>
        <v>Character/Timeline/01_CHA/victory_c_ranger_freyja_1</v>
      </c>
      <c r="AB130" s="12" t="str">
        <f t="shared" si="23"/>
        <v/>
      </c>
      <c r="AC130" s="88">
        <f t="shared" si="23"/>
        <v>1.4</v>
      </c>
      <c r="AD130" s="12" t="str">
        <f t="shared" si="23"/>
        <v/>
      </c>
      <c r="AE130" s="12" t="str">
        <f t="shared" si="23"/>
        <v/>
      </c>
      <c r="AF130" s="12" t="str">
        <f t="shared" si="23"/>
        <v/>
      </c>
      <c r="AG130" s="173" t="s">
        <v>2761</v>
      </c>
    </row>
    <row r="131" spans="1:33" x14ac:dyDescent="0.3">
      <c r="A131" s="12">
        <f t="shared" si="7"/>
        <v>1211101002</v>
      </c>
      <c r="B131" s="12" t="str">
        <f t="shared" ref="B131:AF131" si="24">IF(B20 &lt;&gt; "", B20, "")</f>
        <v>GuildRaid1002</v>
      </c>
      <c r="C131" s="12" t="str">
        <f t="shared" si="24"/>
        <v>mana</v>
      </c>
      <c r="D131" s="76" t="str">
        <f t="shared" si="24"/>
        <v>Name.Character.mana</v>
      </c>
      <c r="E131" s="12" t="str">
        <f t="shared" si="24"/>
        <v>Ranger</v>
      </c>
      <c r="F131" s="39" t="str">
        <f t="shared" si="24"/>
        <v>Fac_rim_aki</v>
      </c>
      <c r="G131" s="12" t="str">
        <f t="shared" si="24"/>
        <v>TRUE</v>
      </c>
      <c r="H131" s="12" t="b">
        <f t="shared" si="24"/>
        <v>1</v>
      </c>
      <c r="I131" s="12" t="b">
        <f t="shared" si="24"/>
        <v>1</v>
      </c>
      <c r="J131" s="12">
        <f t="shared" si="24"/>
        <v>10</v>
      </c>
      <c r="K131" s="12">
        <f t="shared" si="24"/>
        <v>10</v>
      </c>
      <c r="L131" s="12" t="str">
        <f t="shared" si="24"/>
        <v>mana.attack1</v>
      </c>
      <c r="M131" s="12" t="str">
        <f t="shared" si="24"/>
        <v>mana.attack2</v>
      </c>
      <c r="N131" s="12" t="str">
        <f t="shared" si="24"/>
        <v>mana.attack3</v>
      </c>
      <c r="O131" s="145" t="str">
        <f t="shared" si="24"/>
        <v>mana.active1</v>
      </c>
      <c r="P131" s="40" t="str">
        <f t="shared" si="24"/>
        <v>mana.active2</v>
      </c>
      <c r="Q131" s="40" t="str">
        <f t="shared" si="24"/>
        <v>mana.passive</v>
      </c>
      <c r="R131" s="40" t="str">
        <f t="shared" si="24"/>
        <v/>
      </c>
      <c r="S131" s="40" t="str">
        <f t="shared" si="24"/>
        <v>Boss.Common.Immun</v>
      </c>
      <c r="T131" s="40" t="str">
        <f t="shared" si="24"/>
        <v>mana.ult</v>
      </c>
      <c r="U131" s="40" t="str">
        <f t="shared" si="24"/>
        <v>mana.ult</v>
      </c>
      <c r="V131" s="12" t="b">
        <f t="shared" si="24"/>
        <v>1</v>
      </c>
      <c r="W131" s="12" t="str">
        <f t="shared" si="24"/>
        <v>Character/Prefabs/c_ranger_mana_1</v>
      </c>
      <c r="X131" s="12" t="str">
        <f t="shared" si="24"/>
        <v/>
      </c>
      <c r="Y131" s="12" t="str">
        <f t="shared" si="24"/>
        <v>character_mana_01</v>
      </c>
      <c r="Z131" s="12" t="str">
        <f t="shared" si="24"/>
        <v>Character/Timeline/01_CHA/ult_c_ranger_mana_1</v>
      </c>
      <c r="AA131" s="12" t="str">
        <f t="shared" si="24"/>
        <v>Character/Timeline/01_CHA/victory_c_ranger_mana_1</v>
      </c>
      <c r="AB131" s="12" t="str">
        <f t="shared" si="24"/>
        <v/>
      </c>
      <c r="AC131" s="88">
        <f t="shared" si="24"/>
        <v>1.4</v>
      </c>
      <c r="AD131" s="12" t="str">
        <f t="shared" si="24"/>
        <v/>
      </c>
      <c r="AE131" s="12" t="str">
        <f t="shared" si="24"/>
        <v/>
      </c>
      <c r="AF131" s="12" t="str">
        <f t="shared" si="24"/>
        <v/>
      </c>
      <c r="AG131" s="173" t="s">
        <v>2761</v>
      </c>
    </row>
    <row r="132" spans="1:33" x14ac:dyDescent="0.3">
      <c r="A132" s="12">
        <f t="shared" si="7"/>
        <v>1211101003</v>
      </c>
      <c r="B132" s="12" t="str">
        <f t="shared" ref="B132:AF132" si="25">IF(B21 &lt;&gt; "", B21, "")</f>
        <v>GuildRaid1003</v>
      </c>
      <c r="C132" s="12" t="str">
        <f t="shared" si="25"/>
        <v>balencia</v>
      </c>
      <c r="D132" s="76" t="str">
        <f t="shared" si="25"/>
        <v>Name.Character.balencia</v>
      </c>
      <c r="E132" s="12" t="str">
        <f t="shared" si="25"/>
        <v>Attacker</v>
      </c>
      <c r="F132" s="39" t="str">
        <f t="shared" si="25"/>
        <v>Fac_sti_ars</v>
      </c>
      <c r="G132" s="12" t="str">
        <f t="shared" si="25"/>
        <v>TRUE</v>
      </c>
      <c r="H132" s="12" t="b">
        <f t="shared" si="25"/>
        <v>1</v>
      </c>
      <c r="I132" s="12" t="b">
        <f t="shared" si="25"/>
        <v>1</v>
      </c>
      <c r="J132" s="12">
        <f t="shared" si="25"/>
        <v>10</v>
      </c>
      <c r="K132" s="12">
        <f t="shared" si="25"/>
        <v>10</v>
      </c>
      <c r="L132" s="12" t="str">
        <f t="shared" si="25"/>
        <v>balencia.attack1</v>
      </c>
      <c r="M132" s="12" t="str">
        <f t="shared" si="25"/>
        <v>balencia.attack2</v>
      </c>
      <c r="N132" s="12" t="str">
        <f t="shared" si="25"/>
        <v>balencia.attack3</v>
      </c>
      <c r="O132" s="145" t="str">
        <f t="shared" si="25"/>
        <v>balencia.active1</v>
      </c>
      <c r="P132" s="40" t="str">
        <f t="shared" si="25"/>
        <v>balencia.active2</v>
      </c>
      <c r="Q132" s="40" t="str">
        <f t="shared" si="25"/>
        <v>balencia.passive</v>
      </c>
      <c r="R132" s="40" t="str">
        <f t="shared" si="25"/>
        <v/>
      </c>
      <c r="S132" s="40" t="str">
        <f t="shared" si="25"/>
        <v>Boss.Common.Immun</v>
      </c>
      <c r="T132" s="40" t="str">
        <f t="shared" si="25"/>
        <v>balencia.ult</v>
      </c>
      <c r="U132" s="40" t="str">
        <f t="shared" si="25"/>
        <v>balencia.ult</v>
      </c>
      <c r="V132" s="12" t="b">
        <f t="shared" si="25"/>
        <v>1</v>
      </c>
      <c r="W132" s="12" t="str">
        <f t="shared" si="25"/>
        <v>Character/Prefabs/c_attacker_balencia_1</v>
      </c>
      <c r="X132" s="12" t="str">
        <f t="shared" si="25"/>
        <v/>
      </c>
      <c r="Y132" s="12" t="str">
        <f t="shared" si="25"/>
        <v>character_balencia_01</v>
      </c>
      <c r="Z132" s="12" t="str">
        <f t="shared" si="25"/>
        <v>Character/Timeline/01_CHA/ult_c_attacker_balencia_1</v>
      </c>
      <c r="AA132" s="12" t="str">
        <f t="shared" si="25"/>
        <v>Character/Timeline/01_CHA/victory_c_attacker_balencia_1</v>
      </c>
      <c r="AB132" s="12" t="str">
        <f t="shared" si="25"/>
        <v/>
      </c>
      <c r="AC132" s="88">
        <f t="shared" si="25"/>
        <v>1.4</v>
      </c>
      <c r="AD132" s="12" t="str">
        <f t="shared" si="25"/>
        <v/>
      </c>
      <c r="AE132" s="12" t="str">
        <f t="shared" si="25"/>
        <v/>
      </c>
      <c r="AF132" s="12" t="str">
        <f t="shared" si="25"/>
        <v/>
      </c>
      <c r="AG132" s="173" t="s">
        <v>2761</v>
      </c>
    </row>
    <row r="133" spans="1:33" x14ac:dyDescent="0.3">
      <c r="A133" s="81">
        <f t="shared" si="7"/>
        <v>1211301001</v>
      </c>
      <c r="B133" s="81" t="str">
        <f t="shared" ref="B133:AF133" si="26">IF(B22 &lt;&gt; "", B22, "")</f>
        <v>BossChallenge</v>
      </c>
      <c r="C133" s="81" t="str">
        <f t="shared" si="26"/>
        <v>갤리어스</v>
      </c>
      <c r="D133" s="81" t="str">
        <f t="shared" si="26"/>
        <v>Monster.Name.gallius_1</v>
      </c>
      <c r="E133" s="81" t="str">
        <f t="shared" si="26"/>
        <v>Tanker</v>
      </c>
      <c r="F133" s="82" t="str">
        <f t="shared" si="26"/>
        <v>Fac_nul_ind</v>
      </c>
      <c r="G133" s="81" t="str">
        <f t="shared" si="26"/>
        <v>TRUE</v>
      </c>
      <c r="H133" s="81" t="b">
        <f t="shared" si="26"/>
        <v>1</v>
      </c>
      <c r="I133" s="81" t="b">
        <f t="shared" si="26"/>
        <v>1</v>
      </c>
      <c r="J133" s="81">
        <f t="shared" si="26"/>
        <v>10</v>
      </c>
      <c r="K133" s="81">
        <f t="shared" si="26"/>
        <v>10</v>
      </c>
      <c r="L133" s="81" t="str">
        <f t="shared" si="26"/>
        <v>BossChallenge.gallius_1.attack01</v>
      </c>
      <c r="M133" s="81" t="str">
        <f t="shared" si="26"/>
        <v/>
      </c>
      <c r="N133" s="81" t="str">
        <f t="shared" si="26"/>
        <v/>
      </c>
      <c r="O133" s="177" t="str">
        <f t="shared" si="26"/>
        <v>BossChallenge.gallius_1.skill01</v>
      </c>
      <c r="P133" s="83" t="str">
        <f t="shared" si="26"/>
        <v>BossChallenge.gallius_1.skill02</v>
      </c>
      <c r="Q133" s="83" t="str">
        <f t="shared" si="26"/>
        <v>BossChallenge.gallius_1.passive01</v>
      </c>
      <c r="R133" s="83" t="str">
        <f t="shared" si="26"/>
        <v/>
      </c>
      <c r="S133" s="83" t="str">
        <f t="shared" si="26"/>
        <v>Boss.Common.Immun</v>
      </c>
      <c r="T133" s="83" t="str">
        <f t="shared" si="26"/>
        <v/>
      </c>
      <c r="U133" s="83" t="str">
        <f t="shared" si="26"/>
        <v/>
      </c>
      <c r="V133" s="81" t="b">
        <f t="shared" si="26"/>
        <v>0</v>
      </c>
      <c r="W133" s="81" t="str">
        <f t="shared" si="26"/>
        <v>Character/Prefabs/m_boss_tanker_gallius_1</v>
      </c>
      <c r="X133" s="81" t="str">
        <f t="shared" si="26"/>
        <v/>
      </c>
      <c r="Y133" s="81" t="str">
        <f t="shared" si="26"/>
        <v>m_boss_tanker_gallius_1</v>
      </c>
      <c r="Z133" s="81" t="str">
        <f t="shared" si="26"/>
        <v/>
      </c>
      <c r="AA133" s="81" t="str">
        <f t="shared" si="26"/>
        <v/>
      </c>
      <c r="AB133" s="81" t="str">
        <f t="shared" si="26"/>
        <v/>
      </c>
      <c r="AC133" s="96">
        <f t="shared" si="26"/>
        <v>1.3</v>
      </c>
      <c r="AD133" s="81" t="str">
        <f t="shared" si="26"/>
        <v/>
      </c>
      <c r="AE133" s="81" t="str">
        <f t="shared" si="26"/>
        <v>Character/Timeline/02_MON/trooper_boss/appearance</v>
      </c>
      <c r="AF133" s="81" t="str">
        <f t="shared" si="26"/>
        <v>Character/Timeline/02_MON/trooper_boss/die</v>
      </c>
      <c r="AG133" s="173" t="s">
        <v>2761</v>
      </c>
    </row>
    <row r="134" spans="1:33" x14ac:dyDescent="0.3">
      <c r="A134" s="81">
        <f t="shared" si="7"/>
        <v>1211301002</v>
      </c>
      <c r="B134" s="81" t="str">
        <f t="shared" ref="B134:AF134" si="27">IF(B23 &lt;&gt; "", B23, "")</f>
        <v>BossChallenge</v>
      </c>
      <c r="C134" s="81" t="str">
        <f t="shared" si="27"/>
        <v>강화갤리어스</v>
      </c>
      <c r="D134" s="81" t="str">
        <f t="shared" si="27"/>
        <v>Monster.Name.gallius_2</v>
      </c>
      <c r="E134" s="81" t="str">
        <f t="shared" si="27"/>
        <v>Tanker</v>
      </c>
      <c r="F134" s="82" t="str">
        <f t="shared" si="27"/>
        <v>Fac_nul_ind</v>
      </c>
      <c r="G134" s="81" t="str">
        <f t="shared" si="27"/>
        <v>TRUE</v>
      </c>
      <c r="H134" s="81" t="b">
        <f t="shared" si="27"/>
        <v>1</v>
      </c>
      <c r="I134" s="81" t="b">
        <f t="shared" si="27"/>
        <v>1</v>
      </c>
      <c r="J134" s="81">
        <f t="shared" si="27"/>
        <v>10</v>
      </c>
      <c r="K134" s="81">
        <f t="shared" si="27"/>
        <v>10</v>
      </c>
      <c r="L134" s="81" t="str">
        <f t="shared" si="27"/>
        <v>BossChallenge.gallius_2.attack01</v>
      </c>
      <c r="M134" s="81" t="str">
        <f t="shared" si="27"/>
        <v/>
      </c>
      <c r="N134" s="81" t="str">
        <f t="shared" si="27"/>
        <v/>
      </c>
      <c r="O134" s="177" t="str">
        <f t="shared" si="27"/>
        <v>BossChallenge.gallius_2.skill01</v>
      </c>
      <c r="P134" s="83" t="str">
        <f t="shared" si="27"/>
        <v>BossChallenge.gallius_2.skill02</v>
      </c>
      <c r="Q134" s="83" t="str">
        <f t="shared" si="27"/>
        <v>BossChallenge.gallius_2.skill03</v>
      </c>
      <c r="R134" s="83" t="str">
        <f t="shared" si="27"/>
        <v>BossChallenge.gallius_2.passive01</v>
      </c>
      <c r="S134" s="83" t="str">
        <f t="shared" si="27"/>
        <v>Boss.Common.Immun</v>
      </c>
      <c r="T134" s="83" t="str">
        <f t="shared" si="27"/>
        <v/>
      </c>
      <c r="U134" s="83" t="str">
        <f t="shared" si="27"/>
        <v/>
      </c>
      <c r="V134" s="81" t="b">
        <f t="shared" si="27"/>
        <v>0</v>
      </c>
      <c r="W134" s="81" t="str">
        <f t="shared" si="27"/>
        <v>Character/Prefabs/m_boss_tanker_gallius_2</v>
      </c>
      <c r="X134" s="81" t="str">
        <f t="shared" si="27"/>
        <v/>
      </c>
      <c r="Y134" s="81" t="str">
        <f t="shared" si="27"/>
        <v>m_boss_tanker_gallius_2</v>
      </c>
      <c r="Z134" s="81" t="str">
        <f t="shared" si="27"/>
        <v/>
      </c>
      <c r="AA134" s="81" t="str">
        <f t="shared" si="27"/>
        <v/>
      </c>
      <c r="AB134" s="81" t="str">
        <f t="shared" si="27"/>
        <v/>
      </c>
      <c r="AC134" s="96">
        <f t="shared" si="27"/>
        <v>1.3</v>
      </c>
      <c r="AD134" s="81" t="str">
        <f t="shared" si="27"/>
        <v/>
      </c>
      <c r="AE134" s="81" t="str">
        <f t="shared" si="27"/>
        <v>Character/Timeline/02_MON/gallius_2/trooper_boss_appearance_2</v>
      </c>
      <c r="AF134" s="81" t="str">
        <f t="shared" si="27"/>
        <v>Character/Timeline/02_MON/gallius_2/trooper_boss_die_2</v>
      </c>
      <c r="AG134" s="173" t="s">
        <v>2761</v>
      </c>
    </row>
    <row r="135" spans="1:33" x14ac:dyDescent="0.3">
      <c r="A135" s="81">
        <f t="shared" si="7"/>
        <v>1211301011</v>
      </c>
      <c r="B135" s="81" t="str">
        <f t="shared" ref="B135:AF135" si="28">IF(B24 &lt;&gt; "", B24, "")</f>
        <v>BossChallenge</v>
      </c>
      <c r="C135" s="81" t="str">
        <f t="shared" si="28"/>
        <v>카산드라</v>
      </c>
      <c r="D135" s="81" t="str">
        <f t="shared" si="28"/>
        <v>Monster.Name.cassandra_1</v>
      </c>
      <c r="E135" s="81" t="str">
        <f t="shared" si="28"/>
        <v>Ranger</v>
      </c>
      <c r="F135" s="82" t="str">
        <f t="shared" si="28"/>
        <v>Fac_nul_ind</v>
      </c>
      <c r="G135" s="81" t="str">
        <f t="shared" si="28"/>
        <v>TRUE</v>
      </c>
      <c r="H135" s="81" t="b">
        <f t="shared" si="28"/>
        <v>1</v>
      </c>
      <c r="I135" s="81" t="b">
        <f t="shared" si="28"/>
        <v>1</v>
      </c>
      <c r="J135" s="81">
        <f t="shared" si="28"/>
        <v>20</v>
      </c>
      <c r="K135" s="81">
        <f t="shared" si="28"/>
        <v>10</v>
      </c>
      <c r="L135" s="81" t="str">
        <f t="shared" si="28"/>
        <v>BossChallenge.cassandra_1.attack01</v>
      </c>
      <c r="M135" s="81" t="str">
        <f t="shared" si="28"/>
        <v/>
      </c>
      <c r="N135" s="81" t="str">
        <f t="shared" si="28"/>
        <v/>
      </c>
      <c r="O135" s="177" t="str">
        <f t="shared" si="28"/>
        <v>BossChallenge.cassandra_1.skill01</v>
      </c>
      <c r="P135" s="83" t="str">
        <f t="shared" si="28"/>
        <v>BossChallenge.cassandra_1.skill02</v>
      </c>
      <c r="Q135" s="83" t="str">
        <f t="shared" si="28"/>
        <v>BossChallenge.cassandra_1.passive01</v>
      </c>
      <c r="R135" s="83" t="str">
        <f t="shared" si="28"/>
        <v/>
      </c>
      <c r="S135" s="83" t="str">
        <f t="shared" si="28"/>
        <v>Boss.Common.Immun</v>
      </c>
      <c r="T135" s="83" t="str">
        <f t="shared" si="28"/>
        <v/>
      </c>
      <c r="U135" s="83" t="str">
        <f t="shared" si="28"/>
        <v/>
      </c>
      <c r="V135" s="81" t="b">
        <f t="shared" si="28"/>
        <v>0</v>
      </c>
      <c r="W135" s="81" t="str">
        <f t="shared" si="28"/>
        <v>Character/Prefabs/m_boss_ranger_cassandra_1</v>
      </c>
      <c r="X135" s="81" t="str">
        <f t="shared" si="28"/>
        <v/>
      </c>
      <c r="Y135" s="81" t="str">
        <f t="shared" si="28"/>
        <v>m_boss_ranger_cassandra_1</v>
      </c>
      <c r="Z135" s="81" t="str">
        <f t="shared" si="28"/>
        <v/>
      </c>
      <c r="AA135" s="81" t="str">
        <f t="shared" si="28"/>
        <v/>
      </c>
      <c r="AB135" s="81" t="str">
        <f t="shared" si="28"/>
        <v/>
      </c>
      <c r="AC135" s="96">
        <f t="shared" si="28"/>
        <v>0.9</v>
      </c>
      <c r="AD135" s="81" t="str">
        <f t="shared" si="28"/>
        <v/>
      </c>
      <c r="AE135" s="81" t="str">
        <f t="shared" si="28"/>
        <v>Character/Timeline/02_MON/cassandra/appearance</v>
      </c>
      <c r="AF135" s="81" t="str">
        <f t="shared" si="28"/>
        <v>Character/Timeline/02_MON/cassandra/die</v>
      </c>
      <c r="AG135" s="173" t="s">
        <v>2761</v>
      </c>
    </row>
    <row r="136" spans="1:33" x14ac:dyDescent="0.3">
      <c r="A136" s="81">
        <f t="shared" si="7"/>
        <v>1211301012</v>
      </c>
      <c r="B136" s="81" t="str">
        <f t="shared" ref="B136:AF136" si="29">IF(B25 &lt;&gt; "", B25, "")</f>
        <v>BossChallenge</v>
      </c>
      <c r="C136" s="81" t="str">
        <f t="shared" si="29"/>
        <v>강화카산드라</v>
      </c>
      <c r="D136" s="81" t="str">
        <f t="shared" si="29"/>
        <v>Monster.Name.cassandra_2</v>
      </c>
      <c r="E136" s="81" t="str">
        <f t="shared" si="29"/>
        <v>Ranger</v>
      </c>
      <c r="F136" s="82" t="str">
        <f t="shared" si="29"/>
        <v>Fac_nul_ind</v>
      </c>
      <c r="G136" s="81" t="str">
        <f t="shared" si="29"/>
        <v>TRUE</v>
      </c>
      <c r="H136" s="81" t="b">
        <f t="shared" si="29"/>
        <v>1</v>
      </c>
      <c r="I136" s="81" t="b">
        <f t="shared" si="29"/>
        <v>1</v>
      </c>
      <c r="J136" s="81">
        <f t="shared" si="29"/>
        <v>20</v>
      </c>
      <c r="K136" s="81">
        <f t="shared" si="29"/>
        <v>10</v>
      </c>
      <c r="L136" s="81" t="str">
        <f t="shared" si="29"/>
        <v>BossChallenge.cassandra_2.attack01</v>
      </c>
      <c r="M136" s="81" t="str">
        <f t="shared" si="29"/>
        <v/>
      </c>
      <c r="N136" s="81" t="str">
        <f t="shared" si="29"/>
        <v/>
      </c>
      <c r="O136" s="177" t="str">
        <f t="shared" si="29"/>
        <v>BossChallenge.cassandra_2.skill01</v>
      </c>
      <c r="P136" s="83" t="str">
        <f t="shared" si="29"/>
        <v>BossChallenge.cassandra_2.skill02</v>
      </c>
      <c r="Q136" s="83" t="str">
        <f t="shared" si="29"/>
        <v>BossChallenge.cassandra_2.skill03</v>
      </c>
      <c r="R136" s="83" t="str">
        <f t="shared" si="29"/>
        <v>BossChallenge.cassandra_2.passive01</v>
      </c>
      <c r="S136" s="83" t="str">
        <f t="shared" si="29"/>
        <v>Boss.Common.Immun</v>
      </c>
      <c r="T136" s="83" t="str">
        <f t="shared" si="29"/>
        <v/>
      </c>
      <c r="U136" s="83" t="str">
        <f t="shared" si="29"/>
        <v/>
      </c>
      <c r="V136" s="81" t="b">
        <f t="shared" si="29"/>
        <v>0</v>
      </c>
      <c r="W136" s="81" t="str">
        <f t="shared" si="29"/>
        <v>Character/Prefabs/m_boss_ranger_cassandra_2</v>
      </c>
      <c r="X136" s="81" t="str">
        <f t="shared" si="29"/>
        <v/>
      </c>
      <c r="Y136" s="81" t="str">
        <f t="shared" si="29"/>
        <v>m_boss_ranger_cassandra_2</v>
      </c>
      <c r="Z136" s="81" t="str">
        <f t="shared" si="29"/>
        <v/>
      </c>
      <c r="AA136" s="81" t="str">
        <f t="shared" si="29"/>
        <v/>
      </c>
      <c r="AB136" s="81" t="str">
        <f t="shared" si="29"/>
        <v/>
      </c>
      <c r="AC136" s="96">
        <f t="shared" si="29"/>
        <v>0.9</v>
      </c>
      <c r="AD136" s="81" t="str">
        <f t="shared" si="29"/>
        <v/>
      </c>
      <c r="AE136" s="81" t="str">
        <f t="shared" si="29"/>
        <v>Character/Timeline/02_MON/cassandra/appearance2</v>
      </c>
      <c r="AF136" s="81" t="str">
        <f t="shared" si="29"/>
        <v>Character/Timeline/02_MON/cassandra/die2</v>
      </c>
      <c r="AG136" s="173" t="s">
        <v>2761</v>
      </c>
    </row>
    <row r="137" spans="1:33" x14ac:dyDescent="0.3">
      <c r="A137" s="81">
        <f t="shared" si="7"/>
        <v>1211301021</v>
      </c>
      <c r="B137" s="81" t="str">
        <f t="shared" ref="B137:AF137" si="30">IF(B26 &lt;&gt; "", B26, "")</f>
        <v>BossChallenge</v>
      </c>
      <c r="C137" s="81" t="str">
        <f t="shared" si="30"/>
        <v>디오메가</v>
      </c>
      <c r="D137" s="81" t="str">
        <f t="shared" si="30"/>
        <v>Monster.Name.theomega_1</v>
      </c>
      <c r="E137" s="81" t="str">
        <f t="shared" si="30"/>
        <v>Attacker</v>
      </c>
      <c r="F137" s="82" t="str">
        <f t="shared" si="30"/>
        <v>Fac_nul_ind</v>
      </c>
      <c r="G137" s="81" t="str">
        <f t="shared" si="30"/>
        <v>TRUE</v>
      </c>
      <c r="H137" s="81" t="b">
        <f t="shared" si="30"/>
        <v>1</v>
      </c>
      <c r="I137" s="81" t="b">
        <f t="shared" si="30"/>
        <v>1</v>
      </c>
      <c r="J137" s="81">
        <f t="shared" si="30"/>
        <v>20</v>
      </c>
      <c r="K137" s="81">
        <f t="shared" si="30"/>
        <v>10</v>
      </c>
      <c r="L137" s="81" t="str">
        <f t="shared" si="30"/>
        <v>BossChallenge.theomega_1.attack01</v>
      </c>
      <c r="M137" s="81" t="str">
        <f t="shared" si="30"/>
        <v/>
      </c>
      <c r="N137" s="81" t="str">
        <f t="shared" si="30"/>
        <v/>
      </c>
      <c r="O137" s="177" t="str">
        <f t="shared" si="30"/>
        <v>BossChallenge.theomega_1.skill01</v>
      </c>
      <c r="P137" s="83" t="str">
        <f t="shared" si="30"/>
        <v>BossChallenge.theomega_1.skill02</v>
      </c>
      <c r="Q137" s="83" t="str">
        <f t="shared" si="30"/>
        <v>BossChallenge.theomega_1.skill03</v>
      </c>
      <c r="R137" s="83" t="str">
        <f t="shared" si="30"/>
        <v>BossChallenge.theomega_1.passive01</v>
      </c>
      <c r="S137" s="83" t="str">
        <f t="shared" si="30"/>
        <v>Boss.Common.Immun</v>
      </c>
      <c r="T137" s="83" t="str">
        <f t="shared" si="30"/>
        <v/>
      </c>
      <c r="U137" s="83" t="str">
        <f t="shared" si="30"/>
        <v/>
      </c>
      <c r="V137" s="81" t="b">
        <f t="shared" si="30"/>
        <v>0</v>
      </c>
      <c r="W137" s="81" t="str">
        <f t="shared" si="30"/>
        <v>Character/Prefabs/m_boss_attacker_theomega_1</v>
      </c>
      <c r="X137" s="81" t="str">
        <f t="shared" si="30"/>
        <v/>
      </c>
      <c r="Y137" s="81" t="str">
        <f t="shared" si="30"/>
        <v>m_boss_attacker_theomega_1</v>
      </c>
      <c r="Z137" s="81" t="str">
        <f t="shared" si="30"/>
        <v/>
      </c>
      <c r="AA137" s="81" t="str">
        <f t="shared" si="30"/>
        <v/>
      </c>
      <c r="AB137" s="81" t="str">
        <f t="shared" si="30"/>
        <v/>
      </c>
      <c r="AC137" s="96">
        <f t="shared" si="30"/>
        <v>0.9</v>
      </c>
      <c r="AD137" s="81" t="str">
        <f t="shared" si="30"/>
        <v/>
      </c>
      <c r="AE137" s="81" t="str">
        <f t="shared" si="30"/>
        <v>Character/Timeline/02_MON/boss3/appearance</v>
      </c>
      <c r="AF137" s="81" t="str">
        <f t="shared" si="30"/>
        <v>Character/Timeline/02_MON/boss3/die</v>
      </c>
      <c r="AG137" s="173" t="s">
        <v>2761</v>
      </c>
    </row>
    <row r="138" spans="1:33" x14ac:dyDescent="0.3">
      <c r="A138" s="81">
        <f t="shared" si="7"/>
        <v>1211301022</v>
      </c>
      <c r="B138" s="81" t="str">
        <f t="shared" ref="B138:AF138" si="31">IF(B27 &lt;&gt; "", B27, "")</f>
        <v>BossChallenge</v>
      </c>
      <c r="C138" s="81" t="str">
        <f t="shared" si="31"/>
        <v>강화디오메가</v>
      </c>
      <c r="D138" s="81" t="str">
        <f t="shared" si="31"/>
        <v>Monster.Name.theomega_3</v>
      </c>
      <c r="E138" s="81" t="str">
        <f t="shared" si="31"/>
        <v>Attacker</v>
      </c>
      <c r="F138" s="82" t="str">
        <f t="shared" si="31"/>
        <v>Fac_nul_ind</v>
      </c>
      <c r="G138" s="81" t="str">
        <f t="shared" si="31"/>
        <v>TRUE</v>
      </c>
      <c r="H138" s="81" t="b">
        <f t="shared" si="31"/>
        <v>1</v>
      </c>
      <c r="I138" s="81" t="b">
        <f t="shared" si="31"/>
        <v>1</v>
      </c>
      <c r="J138" s="81">
        <f t="shared" si="31"/>
        <v>20</v>
      </c>
      <c r="K138" s="81">
        <f t="shared" si="31"/>
        <v>10</v>
      </c>
      <c r="L138" s="81" t="str">
        <f t="shared" si="31"/>
        <v>BossChallenge.theomega_3.attack01</v>
      </c>
      <c r="M138" s="81" t="str">
        <f t="shared" si="31"/>
        <v>BossChallenge.theomega_3.attack02</v>
      </c>
      <c r="N138" s="81" t="str">
        <f t="shared" si="31"/>
        <v/>
      </c>
      <c r="O138" s="177" t="str">
        <f t="shared" si="31"/>
        <v>BossChallenge.theomega_3.skill01</v>
      </c>
      <c r="P138" s="83" t="str">
        <f t="shared" si="31"/>
        <v>BossChallenge.theomega_3.skill02</v>
      </c>
      <c r="Q138" s="83" t="str">
        <f t="shared" si="31"/>
        <v>BossChallenge.theomega_3.skill03</v>
      </c>
      <c r="R138" s="83" t="str">
        <f t="shared" si="31"/>
        <v>BossChallenge.theomega_3.skill04</v>
      </c>
      <c r="S138" s="83" t="str">
        <f t="shared" si="31"/>
        <v>BossChallenge.theomega_3.passive01</v>
      </c>
      <c r="T138" s="83" t="str">
        <f t="shared" si="31"/>
        <v/>
      </c>
      <c r="U138" s="83" t="str">
        <f t="shared" si="31"/>
        <v/>
      </c>
      <c r="V138" s="81" t="b">
        <f t="shared" si="31"/>
        <v>0</v>
      </c>
      <c r="W138" s="81" t="str">
        <f t="shared" si="31"/>
        <v>Character/Prefabs/m_boss_attacker_theomega_3</v>
      </c>
      <c r="X138" s="81" t="str">
        <f t="shared" si="31"/>
        <v/>
      </c>
      <c r="Y138" s="81" t="str">
        <f t="shared" si="31"/>
        <v>m_boss_attacker_theomega_3</v>
      </c>
      <c r="Z138" s="81" t="str">
        <f t="shared" si="31"/>
        <v/>
      </c>
      <c r="AA138" s="81" t="str">
        <f t="shared" si="31"/>
        <v/>
      </c>
      <c r="AB138" s="81" t="str">
        <f t="shared" si="31"/>
        <v/>
      </c>
      <c r="AC138" s="96">
        <f t="shared" si="31"/>
        <v>0.9</v>
      </c>
      <c r="AD138" s="81" t="str">
        <f t="shared" si="31"/>
        <v/>
      </c>
      <c r="AE138" s="81" t="str">
        <f t="shared" si="31"/>
        <v>Character/Timeline/02_MON/boss3/appearance_2</v>
      </c>
      <c r="AF138" s="81" t="str">
        <f t="shared" si="31"/>
        <v>Character/Timeline/02_MON/boss3/die_2</v>
      </c>
      <c r="AG138" s="173" t="s">
        <v>2761</v>
      </c>
    </row>
    <row r="139" spans="1:33" x14ac:dyDescent="0.3">
      <c r="A139" s="81">
        <f t="shared" si="7"/>
        <v>1211301031</v>
      </c>
      <c r="B139" s="81" t="str">
        <f t="shared" ref="B139:AF139" si="32">IF(B28 &lt;&gt; "", B28, "")</f>
        <v>BossChallenge</v>
      </c>
      <c r="C139" s="81" t="str">
        <f t="shared" si="32"/>
        <v>널엑스</v>
      </c>
      <c r="D139" s="81" t="str">
        <f t="shared" si="32"/>
        <v>Monster.Name.nullaxe_1</v>
      </c>
      <c r="E139" s="81" t="str">
        <f t="shared" si="32"/>
        <v>Attacker</v>
      </c>
      <c r="F139" s="82" t="str">
        <f t="shared" si="32"/>
        <v>Fac_nul_ind</v>
      </c>
      <c r="G139" s="81" t="str">
        <f t="shared" si="32"/>
        <v>TRUE</v>
      </c>
      <c r="H139" s="81" t="b">
        <f t="shared" si="32"/>
        <v>1</v>
      </c>
      <c r="I139" s="81" t="b">
        <f t="shared" si="32"/>
        <v>1</v>
      </c>
      <c r="J139" s="81">
        <f t="shared" si="32"/>
        <v>10</v>
      </c>
      <c r="K139" s="81">
        <f t="shared" si="32"/>
        <v>10</v>
      </c>
      <c r="L139" s="81" t="str">
        <f t="shared" si="32"/>
        <v>BossChallenge.nullaxe_1.attack01</v>
      </c>
      <c r="M139" s="81" t="str">
        <f t="shared" si="32"/>
        <v>BossChallenge.nullaxe_1.attack02</v>
      </c>
      <c r="N139" s="81" t="str">
        <f t="shared" si="32"/>
        <v/>
      </c>
      <c r="O139" s="177" t="str">
        <f t="shared" si="32"/>
        <v>BossChallenge.nullaxe_1.skill01</v>
      </c>
      <c r="P139" s="83" t="str">
        <f t="shared" si="32"/>
        <v>BossChallenge.nullaxe_1.skill02</v>
      </c>
      <c r="Q139" s="83" t="str">
        <f t="shared" si="32"/>
        <v>BossChallenge.nullaxe_1.skill03</v>
      </c>
      <c r="R139" s="83" t="str">
        <f t="shared" si="32"/>
        <v>BossChallenge.nullaxe_1.passive01</v>
      </c>
      <c r="S139" s="83" t="str">
        <f t="shared" si="32"/>
        <v>Boss.Common.Immun</v>
      </c>
      <c r="T139" s="83" t="str">
        <f t="shared" si="32"/>
        <v/>
      </c>
      <c r="U139" s="83" t="str">
        <f t="shared" si="32"/>
        <v/>
      </c>
      <c r="V139" s="81" t="b">
        <f t="shared" si="32"/>
        <v>0</v>
      </c>
      <c r="W139" s="81" t="str">
        <f t="shared" si="32"/>
        <v>Character/Prefabs/m_boss_attacker_nullaxe_1</v>
      </c>
      <c r="X139" s="81" t="str">
        <f t="shared" si="32"/>
        <v/>
      </c>
      <c r="Y139" s="81" t="str">
        <f t="shared" si="32"/>
        <v>m_boss_attacker_nullaxe_1</v>
      </c>
      <c r="Z139" s="81" t="str">
        <f t="shared" si="32"/>
        <v/>
      </c>
      <c r="AA139" s="81" t="str">
        <f t="shared" si="32"/>
        <v/>
      </c>
      <c r="AB139" s="81" t="str">
        <f t="shared" si="32"/>
        <v/>
      </c>
      <c r="AC139" s="96">
        <f t="shared" si="32"/>
        <v>1.6</v>
      </c>
      <c r="AD139" s="81" t="str">
        <f t="shared" si="32"/>
        <v/>
      </c>
      <c r="AE139" s="81" t="str">
        <f t="shared" si="32"/>
        <v>Character/Timeline/02_MON/nullaxe/appearance</v>
      </c>
      <c r="AF139" s="81" t="str">
        <f t="shared" si="32"/>
        <v>Character/Timeline/02_MON/nullaxe/die</v>
      </c>
      <c r="AG139" s="173" t="s">
        <v>2761</v>
      </c>
    </row>
    <row r="140" spans="1:33" x14ac:dyDescent="0.3">
      <c r="A140" s="81">
        <f t="shared" si="7"/>
        <v>1211301032</v>
      </c>
      <c r="B140" s="81" t="str">
        <f t="shared" ref="B140:AF140" si="33">IF(B29 &lt;&gt; "", B29, "")</f>
        <v>BossChallenge</v>
      </c>
      <c r="C140" s="81" t="str">
        <f t="shared" si="33"/>
        <v>강화널엑스</v>
      </c>
      <c r="D140" s="81" t="str">
        <f t="shared" si="33"/>
        <v>Monster.Name.nullaxe_2</v>
      </c>
      <c r="E140" s="81" t="str">
        <f t="shared" si="33"/>
        <v>Attacker</v>
      </c>
      <c r="F140" s="82" t="str">
        <f t="shared" si="33"/>
        <v>Fac_nul_ind</v>
      </c>
      <c r="G140" s="81" t="str">
        <f t="shared" si="33"/>
        <v>TRUE</v>
      </c>
      <c r="H140" s="81" t="b">
        <f t="shared" si="33"/>
        <v>1</v>
      </c>
      <c r="I140" s="81" t="b">
        <f t="shared" si="33"/>
        <v>1</v>
      </c>
      <c r="J140" s="81">
        <f t="shared" si="33"/>
        <v>10</v>
      </c>
      <c r="K140" s="81">
        <f t="shared" si="33"/>
        <v>10</v>
      </c>
      <c r="L140" s="81" t="str">
        <f t="shared" si="33"/>
        <v>BossChallenge.nullaxe_2.attack01</v>
      </c>
      <c r="M140" s="81" t="str">
        <f t="shared" si="33"/>
        <v>BossChallenge.nullaxe_2.attack02</v>
      </c>
      <c r="N140" s="81" t="str">
        <f t="shared" si="33"/>
        <v/>
      </c>
      <c r="O140" s="177" t="str">
        <f t="shared" si="33"/>
        <v>BossChallenge.nullaxe_2.skill01</v>
      </c>
      <c r="P140" s="83" t="str">
        <f t="shared" si="33"/>
        <v>BossChallenge.nullaxe_2.skill02</v>
      </c>
      <c r="Q140" s="83" t="str">
        <f t="shared" si="33"/>
        <v>BossChallenge.nullaxe_2.skill03</v>
      </c>
      <c r="R140" s="83" t="str">
        <f t="shared" si="33"/>
        <v>BossChallenge.nullaxe_2.passive01</v>
      </c>
      <c r="S140" s="83" t="str">
        <f t="shared" si="33"/>
        <v>BossChallenge.nullaxe_2.passive02</v>
      </c>
      <c r="T140" s="83" t="str">
        <f t="shared" si="33"/>
        <v/>
      </c>
      <c r="U140" s="83" t="str">
        <f t="shared" si="33"/>
        <v/>
      </c>
      <c r="V140" s="81" t="b">
        <f t="shared" si="33"/>
        <v>0</v>
      </c>
      <c r="W140" s="81" t="str">
        <f t="shared" si="33"/>
        <v>Character/Prefabs/m_boss_attacker_nullaxe_2</v>
      </c>
      <c r="X140" s="81" t="str">
        <f t="shared" si="33"/>
        <v/>
      </c>
      <c r="Y140" s="81" t="str">
        <f t="shared" si="33"/>
        <v>m_boss_attacker_nullaxe_2</v>
      </c>
      <c r="Z140" s="81" t="str">
        <f t="shared" si="33"/>
        <v/>
      </c>
      <c r="AA140" s="81" t="str">
        <f t="shared" si="33"/>
        <v/>
      </c>
      <c r="AB140" s="81" t="str">
        <f t="shared" si="33"/>
        <v/>
      </c>
      <c r="AC140" s="96">
        <f t="shared" si="33"/>
        <v>1.6</v>
      </c>
      <c r="AD140" s="81" t="str">
        <f t="shared" si="33"/>
        <v/>
      </c>
      <c r="AE140" s="81" t="str">
        <f t="shared" si="33"/>
        <v>Character/Timeline/02_MON/nullaxe/appearance_2new</v>
      </c>
      <c r="AF140" s="81" t="str">
        <f t="shared" si="33"/>
        <v>Character/Timeline/02_MON/nullaxe/die_2new</v>
      </c>
      <c r="AG140" s="173" t="s">
        <v>2761</v>
      </c>
    </row>
    <row r="141" spans="1:33" x14ac:dyDescent="0.3">
      <c r="A141" s="81">
        <f t="shared" si="7"/>
        <v>1211301041</v>
      </c>
      <c r="B141" s="81" t="str">
        <f t="shared" ref="B141:AF141" si="34">IF(B30 &lt;&gt; "", B30, "")</f>
        <v>BossChallenge</v>
      </c>
      <c r="C141" s="81" t="str">
        <f t="shared" si="34"/>
        <v>로열퀸</v>
      </c>
      <c r="D141" s="81" t="str">
        <f t="shared" si="34"/>
        <v>Monster.Name.clock_royal_queen_1</v>
      </c>
      <c r="E141" s="81" t="str">
        <f t="shared" si="34"/>
        <v>Attacker</v>
      </c>
      <c r="F141" s="82" t="str">
        <f t="shared" si="34"/>
        <v>Fac_nul_ind</v>
      </c>
      <c r="G141" s="81" t="str">
        <f t="shared" si="34"/>
        <v>TRUE</v>
      </c>
      <c r="H141" s="81" t="b">
        <f t="shared" si="34"/>
        <v>1</v>
      </c>
      <c r="I141" s="81" t="b">
        <f t="shared" si="34"/>
        <v>1</v>
      </c>
      <c r="J141" s="81">
        <f t="shared" si="34"/>
        <v>10</v>
      </c>
      <c r="K141" s="81">
        <f t="shared" si="34"/>
        <v>10</v>
      </c>
      <c r="L141" s="81" t="str">
        <f t="shared" si="34"/>
        <v>BossChallenge.clock_royal_queen_1.attack01</v>
      </c>
      <c r="M141" s="81" t="str">
        <f t="shared" si="34"/>
        <v>BossChallenge.clock_royal_queen_1.attack02</v>
      </c>
      <c r="N141" s="81" t="str">
        <f t="shared" si="34"/>
        <v/>
      </c>
      <c r="O141" s="177" t="str">
        <f t="shared" si="34"/>
        <v>BossChallenge.clock_royal_queen_1.skill01</v>
      </c>
      <c r="P141" s="83" t="str">
        <f t="shared" si="34"/>
        <v>BossChallenge.clock_royal_queen_1.skill02</v>
      </c>
      <c r="Q141" s="83" t="str">
        <f t="shared" si="34"/>
        <v>BossChallenge.clock_royal_queen_1.skill03</v>
      </c>
      <c r="R141" s="83" t="str">
        <f t="shared" si="34"/>
        <v>BossChallenge.clock_royal_queen_1.passive01</v>
      </c>
      <c r="S141" s="83" t="str">
        <f t="shared" si="34"/>
        <v>Boss.Common.Immun</v>
      </c>
      <c r="T141" s="83" t="str">
        <f t="shared" si="34"/>
        <v/>
      </c>
      <c r="U141" s="83" t="str">
        <f t="shared" si="34"/>
        <v/>
      </c>
      <c r="V141" s="81" t="b">
        <f t="shared" si="34"/>
        <v>0</v>
      </c>
      <c r="W141" s="170" t="str">
        <f t="shared" si="34"/>
        <v>Character/Prefabs/m_boss_attacker_clock_royal_queen_1</v>
      </c>
      <c r="X141" s="81" t="str">
        <f t="shared" si="34"/>
        <v/>
      </c>
      <c r="Y141" s="81" t="str">
        <f t="shared" si="34"/>
        <v>m_boss_attacker_clock_royal_queen_1</v>
      </c>
      <c r="Z141" s="81" t="str">
        <f t="shared" si="34"/>
        <v/>
      </c>
      <c r="AA141" s="81" t="str">
        <f t="shared" si="34"/>
        <v/>
      </c>
      <c r="AB141" s="81" t="str">
        <f t="shared" si="34"/>
        <v/>
      </c>
      <c r="AC141" s="96">
        <f t="shared" si="34"/>
        <v>0.9</v>
      </c>
      <c r="AD141" s="81" t="str">
        <f t="shared" si="34"/>
        <v/>
      </c>
      <c r="AE141" s="81" t="str">
        <f t="shared" si="34"/>
        <v>Character/Timeline/02_MON/royal_queen_1/appearance</v>
      </c>
      <c r="AF141" s="81" t="str">
        <f t="shared" si="34"/>
        <v>Character/Timeline/02_MON/royal_queen_1/die</v>
      </c>
      <c r="AG141" s="173" t="s">
        <v>2761</v>
      </c>
    </row>
    <row r="142" spans="1:33" x14ac:dyDescent="0.3">
      <c r="A142" s="81">
        <f t="shared" si="7"/>
        <v>1211301042</v>
      </c>
      <c r="B142" s="81" t="str">
        <f t="shared" ref="B142:AF142" si="35">IF(B31 &lt;&gt; "", B31, "")</f>
        <v>BossChallenge</v>
      </c>
      <c r="C142" s="81" t="str">
        <f t="shared" si="35"/>
        <v>강화로열퀸</v>
      </c>
      <c r="D142" s="81" t="str">
        <f t="shared" si="35"/>
        <v>Monster.Name.clock_royal_queen_2</v>
      </c>
      <c r="E142" s="81" t="str">
        <f t="shared" si="35"/>
        <v>Attacker</v>
      </c>
      <c r="F142" s="82" t="str">
        <f t="shared" si="35"/>
        <v>Fac_nul_ind</v>
      </c>
      <c r="G142" s="81" t="str">
        <f t="shared" si="35"/>
        <v>TRUE</v>
      </c>
      <c r="H142" s="81" t="b">
        <f t="shared" si="35"/>
        <v>1</v>
      </c>
      <c r="I142" s="81" t="b">
        <f t="shared" si="35"/>
        <v>1</v>
      </c>
      <c r="J142" s="81">
        <f t="shared" si="35"/>
        <v>10</v>
      </c>
      <c r="K142" s="81">
        <f t="shared" si="35"/>
        <v>10</v>
      </c>
      <c r="L142" s="81" t="str">
        <f t="shared" si="35"/>
        <v>BossChallenge.clock_royal_queen_2.attack01</v>
      </c>
      <c r="M142" s="81" t="str">
        <f t="shared" si="35"/>
        <v>BossChallenge.clock_royal_queen_2.attack02</v>
      </c>
      <c r="N142" s="81" t="str">
        <f t="shared" si="35"/>
        <v/>
      </c>
      <c r="O142" s="177" t="str">
        <f t="shared" si="35"/>
        <v>BossChallenge.clock_royal_queen_2.skill01</v>
      </c>
      <c r="P142" s="83" t="str">
        <f t="shared" si="35"/>
        <v>BossChallenge.clock_royal_queen_2.skill02</v>
      </c>
      <c r="Q142" s="83" t="str">
        <f t="shared" si="35"/>
        <v>BossChallenge.clock_royal_queen_2.skill03</v>
      </c>
      <c r="R142" s="83" t="str">
        <f t="shared" si="35"/>
        <v>BossChallenge.clock_royal_queen_1.passive01</v>
      </c>
      <c r="S142" s="83" t="str">
        <f t="shared" si="35"/>
        <v>Boss.Common.Immun</v>
      </c>
      <c r="T142" s="83" t="str">
        <f t="shared" si="35"/>
        <v/>
      </c>
      <c r="U142" s="83" t="str">
        <f t="shared" si="35"/>
        <v/>
      </c>
      <c r="V142" s="81" t="b">
        <f t="shared" si="35"/>
        <v>0</v>
      </c>
      <c r="W142" s="170" t="str">
        <f t="shared" si="35"/>
        <v>Character/Prefabs/m_boss_attacker_clock_royal_queen_2</v>
      </c>
      <c r="X142" s="163" t="str">
        <f t="shared" si="35"/>
        <v/>
      </c>
      <c r="Y142" s="163" t="str">
        <f t="shared" si="35"/>
        <v>m_boss_attacker_clock_royal_queen_1</v>
      </c>
      <c r="Z142" s="81" t="str">
        <f t="shared" si="35"/>
        <v/>
      </c>
      <c r="AA142" s="81" t="str">
        <f t="shared" si="35"/>
        <v/>
      </c>
      <c r="AB142" s="81" t="str">
        <f t="shared" si="35"/>
        <v/>
      </c>
      <c r="AC142" s="96">
        <f t="shared" si="35"/>
        <v>1.3</v>
      </c>
      <c r="AD142" s="81" t="str">
        <f t="shared" si="35"/>
        <v/>
      </c>
      <c r="AE142" s="81" t="str">
        <f t="shared" si="35"/>
        <v>Character/Timeline/02_MON/royal_queen_2/appearance2</v>
      </c>
      <c r="AF142" s="81" t="str">
        <f t="shared" si="35"/>
        <v>Character/Timeline/02_MON/royal_queen_2/die2</v>
      </c>
      <c r="AG142" s="173" t="s">
        <v>2761</v>
      </c>
    </row>
    <row r="143" spans="1:33" x14ac:dyDescent="0.3">
      <c r="A143" s="81">
        <f t="shared" si="7"/>
        <v>1211301051</v>
      </c>
      <c r="B143" s="81" t="str">
        <f t="shared" ref="B143:AF143" si="36">IF(B32 &lt;&gt; "", B32, "")</f>
        <v>BossChallenge</v>
      </c>
      <c r="C143" s="81" t="str">
        <f t="shared" si="36"/>
        <v>톡식</v>
      </c>
      <c r="D143" s="81" t="str">
        <f t="shared" si="36"/>
        <v>Monster.Name.toxic_1</v>
      </c>
      <c r="E143" s="81" t="str">
        <f t="shared" si="36"/>
        <v>Attacker</v>
      </c>
      <c r="F143" s="82" t="str">
        <f t="shared" si="36"/>
        <v>Fac_nul_ind</v>
      </c>
      <c r="G143" s="81" t="str">
        <f t="shared" si="36"/>
        <v>TRUE</v>
      </c>
      <c r="H143" s="81" t="b">
        <f t="shared" si="36"/>
        <v>1</v>
      </c>
      <c r="I143" s="81" t="b">
        <f t="shared" si="36"/>
        <v>1</v>
      </c>
      <c r="J143" s="81">
        <f t="shared" si="36"/>
        <v>20</v>
      </c>
      <c r="K143" s="81">
        <f t="shared" si="36"/>
        <v>10</v>
      </c>
      <c r="L143" s="81" t="str">
        <f t="shared" si="36"/>
        <v>BossChallenge.toxic_1.attack01</v>
      </c>
      <c r="M143" s="81" t="str">
        <f t="shared" si="36"/>
        <v>BossChallenge.toxic_1.attack02</v>
      </c>
      <c r="N143" s="81" t="str">
        <f t="shared" si="36"/>
        <v/>
      </c>
      <c r="O143" s="177" t="str">
        <f t="shared" si="36"/>
        <v>BossChallenge.toxic_1.skill01</v>
      </c>
      <c r="P143" s="83" t="str">
        <f t="shared" si="36"/>
        <v>BossChallenge.toxic_1.skill02</v>
      </c>
      <c r="Q143" s="83" t="str">
        <f t="shared" si="36"/>
        <v>BossChallenge.toxic_1.skill03</v>
      </c>
      <c r="R143" s="83" t="str">
        <f t="shared" si="36"/>
        <v>BossChallenge.toxic_1.passive01</v>
      </c>
      <c r="S143" s="83" t="str">
        <f t="shared" si="36"/>
        <v>BossChallenge.toxic_1.passive02</v>
      </c>
      <c r="T143" s="83" t="str">
        <f t="shared" si="36"/>
        <v/>
      </c>
      <c r="U143" s="83" t="str">
        <f t="shared" si="36"/>
        <v/>
      </c>
      <c r="V143" s="81" t="b">
        <f t="shared" si="36"/>
        <v>0</v>
      </c>
      <c r="W143" s="170" t="str">
        <f t="shared" si="36"/>
        <v>Character/Prefabs/m_boss_attacker_toxic_1</v>
      </c>
      <c r="X143" s="81" t="str">
        <f t="shared" si="36"/>
        <v/>
      </c>
      <c r="Y143" s="81" t="str">
        <f t="shared" si="36"/>
        <v>m_boss_attacker_toxic_1</v>
      </c>
      <c r="Z143" s="81" t="str">
        <f t="shared" si="36"/>
        <v/>
      </c>
      <c r="AA143" s="81" t="str">
        <f t="shared" si="36"/>
        <v/>
      </c>
      <c r="AB143" s="81" t="str">
        <f t="shared" si="36"/>
        <v/>
      </c>
      <c r="AC143" s="96">
        <f t="shared" si="36"/>
        <v>1.1000000000000001</v>
      </c>
      <c r="AD143" s="81" t="str">
        <f t="shared" si="36"/>
        <v/>
      </c>
      <c r="AE143" s="81" t="str">
        <f t="shared" si="36"/>
        <v>Character/Timeline/02_MON/toxic_1/m_boss_attacker_toxic_1@appearance</v>
      </c>
      <c r="AF143" s="81" t="str">
        <f t="shared" si="36"/>
        <v>Character/Timeline/02_MON/toxic_1/m_boss_attacker_toxic_1@die</v>
      </c>
      <c r="AG143" s="173" t="s">
        <v>2761</v>
      </c>
    </row>
    <row r="144" spans="1:33" x14ac:dyDescent="0.3">
      <c r="A144" s="81">
        <f t="shared" si="7"/>
        <v>1211301052</v>
      </c>
      <c r="B144" s="81" t="str">
        <f t="shared" ref="B144:AF144" si="37">IF(B33 &lt;&gt; "", B33, "")</f>
        <v>BossChallenge</v>
      </c>
      <c r="C144" s="81" t="str">
        <f t="shared" si="37"/>
        <v>강화톡식</v>
      </c>
      <c r="D144" s="81" t="str">
        <f t="shared" si="37"/>
        <v>Monster.Name.toxic_3</v>
      </c>
      <c r="E144" s="81" t="str">
        <f t="shared" si="37"/>
        <v>Attacker</v>
      </c>
      <c r="F144" s="82" t="str">
        <f t="shared" si="37"/>
        <v>Fac_nul_ind</v>
      </c>
      <c r="G144" s="81" t="str">
        <f t="shared" si="37"/>
        <v>TRUE</v>
      </c>
      <c r="H144" s="81" t="b">
        <f t="shared" si="37"/>
        <v>1</v>
      </c>
      <c r="I144" s="81" t="b">
        <f t="shared" si="37"/>
        <v>1</v>
      </c>
      <c r="J144" s="81">
        <f t="shared" si="37"/>
        <v>20</v>
      </c>
      <c r="K144" s="81">
        <f t="shared" si="37"/>
        <v>10</v>
      </c>
      <c r="L144" s="81" t="str">
        <f t="shared" si="37"/>
        <v>BossChallenge.toxic_3.attack01</v>
      </c>
      <c r="M144" s="81" t="str">
        <f t="shared" si="37"/>
        <v>BossChallenge.toxic_3.attack02</v>
      </c>
      <c r="N144" s="81" t="str">
        <f t="shared" si="37"/>
        <v/>
      </c>
      <c r="O144" s="177" t="str">
        <f t="shared" si="37"/>
        <v>BossChallenge.toxic_3.skill01</v>
      </c>
      <c r="P144" s="83" t="str">
        <f t="shared" si="37"/>
        <v>BossChallenge.toxic_3.skill02</v>
      </c>
      <c r="Q144" s="83" t="str">
        <f t="shared" si="37"/>
        <v>BossChallenge.toxic_3.skill03</v>
      </c>
      <c r="R144" s="83" t="str">
        <f t="shared" si="37"/>
        <v>BossChallenge.toxic_3.passive01</v>
      </c>
      <c r="S144" s="83" t="str">
        <f t="shared" si="37"/>
        <v>BossChallenge.toxic_3.passive02</v>
      </c>
      <c r="T144" s="83" t="str">
        <f t="shared" si="37"/>
        <v/>
      </c>
      <c r="U144" s="83" t="str">
        <f t="shared" si="37"/>
        <v/>
      </c>
      <c r="V144" s="81" t="b">
        <f t="shared" si="37"/>
        <v>0</v>
      </c>
      <c r="W144" s="170" t="str">
        <f t="shared" si="37"/>
        <v>Character/Prefabs/m_boss_attacker_toxic_3</v>
      </c>
      <c r="X144" s="163" t="str">
        <f t="shared" si="37"/>
        <v/>
      </c>
      <c r="Y144" s="163" t="str">
        <f t="shared" si="37"/>
        <v>m_boss_attacker_toxic_1</v>
      </c>
      <c r="Z144" s="81" t="str">
        <f t="shared" si="37"/>
        <v/>
      </c>
      <c r="AA144" s="81" t="str">
        <f t="shared" si="37"/>
        <v/>
      </c>
      <c r="AB144" s="81" t="str">
        <f t="shared" si="37"/>
        <v/>
      </c>
      <c r="AC144" s="96">
        <f t="shared" si="37"/>
        <v>1.1000000000000001</v>
      </c>
      <c r="AD144" s="81" t="str">
        <f t="shared" si="37"/>
        <v/>
      </c>
      <c r="AE144" s="81" t="str">
        <f t="shared" si="37"/>
        <v>Character/Timeline/02_MON/toxic_3/appearance3</v>
      </c>
      <c r="AF144" s="81" t="str">
        <f t="shared" si="37"/>
        <v>Character/Timeline/02_MON/toxic_3/die3</v>
      </c>
      <c r="AG144" s="173" t="s">
        <v>2761</v>
      </c>
    </row>
    <row r="145" spans="1:33" x14ac:dyDescent="0.3">
      <c r="A145" s="81">
        <f t="shared" si="7"/>
        <v>1211301061</v>
      </c>
      <c r="B145" s="81" t="str">
        <f t="shared" ref="B145:AF145" si="38">IF(B34 &lt;&gt; "", B34, "")</f>
        <v>BossChallenge</v>
      </c>
      <c r="C145" s="81" t="str">
        <f t="shared" si="38"/>
        <v>연구소골리앗</v>
      </c>
      <c r="D145" s="81" t="str">
        <f t="shared" si="38"/>
        <v>Monster.Name.goliath_1</v>
      </c>
      <c r="E145" s="81" t="str">
        <f t="shared" si="38"/>
        <v>Attacker</v>
      </c>
      <c r="F145" s="82" t="str">
        <f t="shared" si="38"/>
        <v>Fac_nul_ind</v>
      </c>
      <c r="G145" s="81" t="str">
        <f t="shared" si="38"/>
        <v>TRUE</v>
      </c>
      <c r="H145" s="81" t="b">
        <f t="shared" si="38"/>
        <v>1</v>
      </c>
      <c r="I145" s="81" t="b">
        <f t="shared" si="38"/>
        <v>1</v>
      </c>
      <c r="J145" s="81">
        <f t="shared" si="38"/>
        <v>10</v>
      </c>
      <c r="K145" s="81">
        <f t="shared" si="38"/>
        <v>10</v>
      </c>
      <c r="L145" s="81" t="str">
        <f t="shared" si="38"/>
        <v>BossChallenge.goliath_1.attack01</v>
      </c>
      <c r="M145" s="81" t="str">
        <f t="shared" si="38"/>
        <v>BossChallenge.goliath_1.attack02</v>
      </c>
      <c r="N145" s="81" t="str">
        <f t="shared" si="38"/>
        <v/>
      </c>
      <c r="O145" s="177" t="str">
        <f t="shared" si="38"/>
        <v>BossChallenge.goliath_1.skill01</v>
      </c>
      <c r="P145" s="83" t="str">
        <f t="shared" si="38"/>
        <v>BossChallenge.goliath_1.skill02</v>
      </c>
      <c r="Q145" s="83" t="str">
        <f t="shared" si="38"/>
        <v>BossChallenge.goliath_1.skill03</v>
      </c>
      <c r="R145" s="83" t="str">
        <f t="shared" si="38"/>
        <v>BossChallenge.goliath_1.passive01</v>
      </c>
      <c r="S145" s="83" t="str">
        <f t="shared" si="38"/>
        <v>BossChallenge.goliath_1.passive02</v>
      </c>
      <c r="T145" s="83" t="str">
        <f t="shared" si="38"/>
        <v/>
      </c>
      <c r="U145" s="83" t="str">
        <f t="shared" si="38"/>
        <v/>
      </c>
      <c r="V145" s="81" t="b">
        <f t="shared" si="38"/>
        <v>0</v>
      </c>
      <c r="W145" s="170" t="str">
        <f t="shared" si="38"/>
        <v>Character/Prefabs/m_boss_attacker_goliath_1</v>
      </c>
      <c r="X145" s="81" t="str">
        <f t="shared" si="38"/>
        <v/>
      </c>
      <c r="Y145" s="81" t="str">
        <f t="shared" si="38"/>
        <v>m_boss_attacker_goliath_1</v>
      </c>
      <c r="Z145" s="81" t="str">
        <f t="shared" si="38"/>
        <v/>
      </c>
      <c r="AA145" s="81" t="str">
        <f t="shared" si="38"/>
        <v/>
      </c>
      <c r="AB145" s="81" t="str">
        <f t="shared" si="38"/>
        <v/>
      </c>
      <c r="AC145" s="96">
        <f t="shared" si="38"/>
        <v>1.4</v>
      </c>
      <c r="AD145" s="81" t="str">
        <f t="shared" si="38"/>
        <v/>
      </c>
      <c r="AE145" s="81" t="str">
        <f t="shared" si="38"/>
        <v>Character/Timeline/02_MON/goliath_1/m_boss_attacker_goliath_1@appearance</v>
      </c>
      <c r="AF145" s="81" t="str">
        <f t="shared" si="38"/>
        <v>Character/Timeline/02_MON/goliath_1/m_boss_attacker_goliath_1@die</v>
      </c>
      <c r="AG145" s="173" t="s">
        <v>2761</v>
      </c>
    </row>
    <row r="146" spans="1:33" x14ac:dyDescent="0.3">
      <c r="A146" s="81">
        <f t="shared" si="7"/>
        <v>1211301062</v>
      </c>
      <c r="B146" s="81" t="str">
        <f t="shared" ref="B146:AF146" si="39">IF(B35 &lt;&gt; "", B35, "")</f>
        <v>BossChallenge</v>
      </c>
      <c r="C146" s="81" t="str">
        <f t="shared" si="39"/>
        <v>강화골리앗</v>
      </c>
      <c r="D146" s="81" t="str">
        <f t="shared" si="39"/>
        <v>Monster.Name.goliath_4</v>
      </c>
      <c r="E146" s="81" t="str">
        <f t="shared" si="39"/>
        <v>Attacker</v>
      </c>
      <c r="F146" s="82" t="str">
        <f t="shared" si="39"/>
        <v>Fac_nul_ind</v>
      </c>
      <c r="G146" s="81" t="str">
        <f t="shared" si="39"/>
        <v>TRUE</v>
      </c>
      <c r="H146" s="81" t="b">
        <f t="shared" si="39"/>
        <v>1</v>
      </c>
      <c r="I146" s="81" t="b">
        <f t="shared" si="39"/>
        <v>1</v>
      </c>
      <c r="J146" s="81">
        <f t="shared" si="39"/>
        <v>10</v>
      </c>
      <c r="K146" s="81">
        <f t="shared" si="39"/>
        <v>10</v>
      </c>
      <c r="L146" s="81" t="str">
        <f t="shared" si="39"/>
        <v>BossChallenge.goliath_4.attack01</v>
      </c>
      <c r="M146" s="81" t="str">
        <f t="shared" si="39"/>
        <v>BossChallenge.goliath_4.attack02</v>
      </c>
      <c r="N146" s="81" t="str">
        <f t="shared" si="39"/>
        <v/>
      </c>
      <c r="O146" s="177" t="str">
        <f t="shared" si="39"/>
        <v>BossChallenge.goliath_4.skill01</v>
      </c>
      <c r="P146" s="83" t="str">
        <f t="shared" si="39"/>
        <v>BossChallenge.goliath_4.skill02</v>
      </c>
      <c r="Q146" s="83" t="str">
        <f t="shared" si="39"/>
        <v>BossChallenge.goliath_4.skill03</v>
      </c>
      <c r="R146" s="83" t="str">
        <f t="shared" si="39"/>
        <v>BossChallenge.goliath_4.passive01</v>
      </c>
      <c r="S146" s="83" t="str">
        <f t="shared" si="39"/>
        <v>BossChallenge.goliath_4.passive02</v>
      </c>
      <c r="T146" s="83" t="str">
        <f t="shared" si="39"/>
        <v/>
      </c>
      <c r="U146" s="83" t="str">
        <f t="shared" si="39"/>
        <v/>
      </c>
      <c r="V146" s="81" t="b">
        <f t="shared" si="39"/>
        <v>0</v>
      </c>
      <c r="W146" s="170" t="str">
        <f t="shared" si="39"/>
        <v>Character/Prefabs/m_boss_attacker_goliath_4</v>
      </c>
      <c r="X146" s="163" t="str">
        <f t="shared" si="39"/>
        <v/>
      </c>
      <c r="Y146" s="163" t="str">
        <f t="shared" si="39"/>
        <v>m_boss_attacker_goliath_1</v>
      </c>
      <c r="Z146" s="81" t="str">
        <f t="shared" si="39"/>
        <v/>
      </c>
      <c r="AA146" s="81" t="str">
        <f t="shared" si="39"/>
        <v/>
      </c>
      <c r="AB146" s="81" t="str">
        <f t="shared" si="39"/>
        <v/>
      </c>
      <c r="AC146" s="96">
        <f t="shared" si="39"/>
        <v>1.7</v>
      </c>
      <c r="AD146" s="81" t="str">
        <f t="shared" si="39"/>
        <v/>
      </c>
      <c r="AE146" s="81" t="str">
        <f t="shared" si="39"/>
        <v>Character/Timeline/02_MON/goliath_4/appearance4</v>
      </c>
      <c r="AF146" s="81" t="str">
        <f t="shared" si="39"/>
        <v>Character/Timeline/02_MON/goliath_4/die4</v>
      </c>
      <c r="AG146" s="173" t="s">
        <v>2761</v>
      </c>
    </row>
    <row r="147" spans="1:33" x14ac:dyDescent="0.3">
      <c r="A147" s="81">
        <f t="shared" ref="A147:A178" si="40">A36+100000000</f>
        <v>1211301071</v>
      </c>
      <c r="B147" s="81" t="str">
        <f t="shared" ref="B147:AF147" si="41">IF(B36 &lt;&gt; "", B36, "")</f>
        <v>BossChallenge</v>
      </c>
      <c r="C147" s="81" t="str">
        <f t="shared" si="41"/>
        <v>크로울러</v>
      </c>
      <c r="D147" s="81" t="str">
        <f t="shared" si="41"/>
        <v>Monster.Name.crawler_1</v>
      </c>
      <c r="E147" s="81" t="str">
        <f t="shared" si="41"/>
        <v>Attacker</v>
      </c>
      <c r="F147" s="82" t="str">
        <f t="shared" si="41"/>
        <v>Fac_nul_ind</v>
      </c>
      <c r="G147" s="81" t="str">
        <f t="shared" si="41"/>
        <v>TRUE</v>
      </c>
      <c r="H147" s="81" t="b">
        <f t="shared" si="41"/>
        <v>1</v>
      </c>
      <c r="I147" s="81" t="b">
        <f t="shared" si="41"/>
        <v>1</v>
      </c>
      <c r="J147" s="81">
        <f t="shared" si="41"/>
        <v>10</v>
      </c>
      <c r="K147" s="81">
        <f t="shared" si="41"/>
        <v>10</v>
      </c>
      <c r="L147" s="81" t="str">
        <f t="shared" si="41"/>
        <v>BossChallenge.crawler_1.attack01</v>
      </c>
      <c r="M147" s="81" t="str">
        <f t="shared" si="41"/>
        <v>BossChallenge.crawler_1.attack02</v>
      </c>
      <c r="N147" s="81" t="str">
        <f t="shared" si="41"/>
        <v/>
      </c>
      <c r="O147" s="177" t="str">
        <f t="shared" si="41"/>
        <v>BossChallenge.crawler_1.skill01</v>
      </c>
      <c r="P147" s="83" t="str">
        <f t="shared" si="41"/>
        <v>BossChallenge.crawler_1.skill02</v>
      </c>
      <c r="Q147" s="83" t="str">
        <f t="shared" si="41"/>
        <v>BossChallenge.crawler_1.skill03</v>
      </c>
      <c r="R147" s="83" t="str">
        <f t="shared" si="41"/>
        <v>BossChallenge.crawler_1.passive01</v>
      </c>
      <c r="S147" s="83" t="str">
        <f t="shared" si="41"/>
        <v>Boss.Common.Immun</v>
      </c>
      <c r="T147" s="83" t="str">
        <f t="shared" si="41"/>
        <v/>
      </c>
      <c r="U147" s="83" t="str">
        <f t="shared" si="41"/>
        <v/>
      </c>
      <c r="V147" s="81" t="b">
        <f t="shared" si="41"/>
        <v>0</v>
      </c>
      <c r="W147" s="170" t="str">
        <f t="shared" si="41"/>
        <v>Character/Prefabs/m_boss_attacker_crawler_1</v>
      </c>
      <c r="X147" s="81" t="str">
        <f t="shared" si="41"/>
        <v/>
      </c>
      <c r="Y147" s="81" t="str">
        <f t="shared" si="41"/>
        <v>m_boss_attacker_crawler_1</v>
      </c>
      <c r="Z147" s="81" t="str">
        <f t="shared" si="41"/>
        <v/>
      </c>
      <c r="AA147" s="81" t="str">
        <f t="shared" si="41"/>
        <v/>
      </c>
      <c r="AB147" s="81" t="str">
        <f t="shared" si="41"/>
        <v/>
      </c>
      <c r="AC147" s="96">
        <f t="shared" si="41"/>
        <v>1.2</v>
      </c>
      <c r="AD147" s="81" t="str">
        <f t="shared" si="41"/>
        <v/>
      </c>
      <c r="AE147" s="81" t="str">
        <f t="shared" si="41"/>
        <v>Character/Timeline/02_MON/crawler/appearance</v>
      </c>
      <c r="AF147" s="81" t="str">
        <f t="shared" si="41"/>
        <v>Character/Timeline/02_MON/crawler/die</v>
      </c>
      <c r="AG147" s="173" t="s">
        <v>2761</v>
      </c>
    </row>
    <row r="148" spans="1:33" x14ac:dyDescent="0.3">
      <c r="A148" s="81">
        <f t="shared" si="40"/>
        <v>1211301072</v>
      </c>
      <c r="B148" s="81" t="str">
        <f t="shared" ref="B148:AF148" si="42">IF(B37 &lt;&gt; "", B37, "")</f>
        <v>BossChallenge</v>
      </c>
      <c r="C148" s="81" t="str">
        <f t="shared" si="42"/>
        <v>강화크로울러</v>
      </c>
      <c r="D148" s="81" t="str">
        <f t="shared" si="42"/>
        <v>Monster.Name.skull_crawler_1</v>
      </c>
      <c r="E148" s="81" t="str">
        <f t="shared" si="42"/>
        <v>Attacker</v>
      </c>
      <c r="F148" s="82" t="str">
        <f t="shared" si="42"/>
        <v>Fac_nul_ind</v>
      </c>
      <c r="G148" s="81" t="str">
        <f t="shared" si="42"/>
        <v>TRUE</v>
      </c>
      <c r="H148" s="81" t="b">
        <f t="shared" si="42"/>
        <v>1</v>
      </c>
      <c r="I148" s="81" t="b">
        <f t="shared" si="42"/>
        <v>1</v>
      </c>
      <c r="J148" s="81">
        <f t="shared" si="42"/>
        <v>10</v>
      </c>
      <c r="K148" s="81">
        <f t="shared" si="42"/>
        <v>10</v>
      </c>
      <c r="L148" s="81" t="str">
        <f t="shared" si="42"/>
        <v>BossChallenge.skull_crawler_1.attack01</v>
      </c>
      <c r="M148" s="81" t="str">
        <f t="shared" si="42"/>
        <v>BossChallenge.skull_crawler_1.attack02</v>
      </c>
      <c r="N148" s="81" t="str">
        <f t="shared" si="42"/>
        <v/>
      </c>
      <c r="O148" s="177" t="str">
        <f t="shared" si="42"/>
        <v>BossChallenge.skull_crawler_1.skill01</v>
      </c>
      <c r="P148" s="83" t="str">
        <f t="shared" si="42"/>
        <v>BossChallenge.skull_crawler_1.skill02</v>
      </c>
      <c r="Q148" s="83" t="str">
        <f t="shared" si="42"/>
        <v>BossChallenge.skull_crawler_1.skill03</v>
      </c>
      <c r="R148" s="83" t="str">
        <f t="shared" si="42"/>
        <v>BossChallenge.crawler_1.passive01</v>
      </c>
      <c r="S148" s="83" t="str">
        <f t="shared" si="42"/>
        <v>Boss.Common.Immun</v>
      </c>
      <c r="T148" s="83" t="str">
        <f t="shared" si="42"/>
        <v/>
      </c>
      <c r="U148" s="83" t="str">
        <f t="shared" si="42"/>
        <v/>
      </c>
      <c r="V148" s="81" t="b">
        <f t="shared" si="42"/>
        <v>0</v>
      </c>
      <c r="W148" s="170" t="str">
        <f t="shared" si="42"/>
        <v>Character/Prefabs/m_boss_attacker_skull_crawler_1</v>
      </c>
      <c r="X148" s="81" t="str">
        <f t="shared" si="42"/>
        <v/>
      </c>
      <c r="Y148" s="162" t="str">
        <f t="shared" si="42"/>
        <v>m_boss_attacker_crawler_1</v>
      </c>
      <c r="Z148" s="81" t="str">
        <f t="shared" si="42"/>
        <v/>
      </c>
      <c r="AA148" s="81" t="str">
        <f t="shared" si="42"/>
        <v/>
      </c>
      <c r="AB148" s="81" t="str">
        <f t="shared" si="42"/>
        <v/>
      </c>
      <c r="AC148" s="96">
        <f t="shared" si="42"/>
        <v>1.4</v>
      </c>
      <c r="AD148" s="81" t="str">
        <f t="shared" si="42"/>
        <v/>
      </c>
      <c r="AE148" s="81" t="str">
        <f t="shared" si="42"/>
        <v>Character/Timeline/02_MON/crawler/appearance2</v>
      </c>
      <c r="AF148" s="81" t="str">
        <f t="shared" si="42"/>
        <v>Character/Timeline/02_MON/crawler/die2</v>
      </c>
      <c r="AG148" s="173" t="s">
        <v>2761</v>
      </c>
    </row>
    <row r="149" spans="1:33" x14ac:dyDescent="0.3">
      <c r="A149" s="13">
        <f t="shared" si="40"/>
        <v>1210301001</v>
      </c>
      <c r="B149" s="13" t="str">
        <f t="shared" ref="B149:AF149" si="43">IF(B38 &lt;&gt; "", B38, "")</f>
        <v>Daily.Exp</v>
      </c>
      <c r="C149" s="5" t="str">
        <f t="shared" si="43"/>
        <v>솔리드메카mk1</v>
      </c>
      <c r="D149" s="5" t="str">
        <f t="shared" si="43"/>
        <v>Monster.Name.solid_turretmk1_1</v>
      </c>
      <c r="E149" s="5" t="str">
        <f t="shared" si="43"/>
        <v>Attacker</v>
      </c>
      <c r="F149" s="17" t="str">
        <f t="shared" si="43"/>
        <v>Fac_nul_ind</v>
      </c>
      <c r="G149" s="5" t="str">
        <f t="shared" si="43"/>
        <v>TRUE</v>
      </c>
      <c r="H149" s="5" t="b">
        <f t="shared" si="43"/>
        <v>0</v>
      </c>
      <c r="I149" s="5" t="b">
        <f t="shared" si="43"/>
        <v>0</v>
      </c>
      <c r="J149" s="5">
        <f t="shared" si="43"/>
        <v>10</v>
      </c>
      <c r="K149" s="5">
        <f t="shared" si="43"/>
        <v>10</v>
      </c>
      <c r="L149" s="2" t="str">
        <f t="shared" si="43"/>
        <v>Daily.Exp.solid_turretmk1_1.attack01</v>
      </c>
      <c r="M149" s="2" t="str">
        <f t="shared" si="43"/>
        <v/>
      </c>
      <c r="N149" s="2" t="str">
        <f t="shared" si="43"/>
        <v/>
      </c>
      <c r="O149" s="178" t="str">
        <f t="shared" si="43"/>
        <v/>
      </c>
      <c r="P149" s="14" t="str">
        <f t="shared" si="43"/>
        <v/>
      </c>
      <c r="Q149" s="14" t="str">
        <f t="shared" si="43"/>
        <v/>
      </c>
      <c r="R149" s="14" t="str">
        <f t="shared" si="43"/>
        <v/>
      </c>
      <c r="S149" s="14" t="str">
        <f t="shared" si="43"/>
        <v/>
      </c>
      <c r="T149" s="14" t="str">
        <f t="shared" si="43"/>
        <v/>
      </c>
      <c r="U149" s="14" t="str">
        <f t="shared" si="43"/>
        <v/>
      </c>
      <c r="V149" s="5" t="b">
        <f t="shared" si="43"/>
        <v>0</v>
      </c>
      <c r="W149" s="5" t="str">
        <f t="shared" si="43"/>
        <v>Character/Prefabs/m_s_attacker_solid_turretmk1_1</v>
      </c>
      <c r="X149" s="5" t="str">
        <f t="shared" si="43"/>
        <v/>
      </c>
      <c r="Y149" s="5" t="str">
        <f t="shared" si="43"/>
        <v>m_s_attacker_solid_turretmk1_1</v>
      </c>
      <c r="Z149" s="5" t="str">
        <f t="shared" si="43"/>
        <v/>
      </c>
      <c r="AA149" s="5" t="str">
        <f t="shared" si="43"/>
        <v/>
      </c>
      <c r="AB149" s="5" t="str">
        <f t="shared" si="43"/>
        <v/>
      </c>
      <c r="AC149" s="97">
        <f t="shared" si="43"/>
        <v>0.7</v>
      </c>
      <c r="AD149" s="5" t="str">
        <f t="shared" si="43"/>
        <v/>
      </c>
      <c r="AE149" s="5" t="str">
        <f t="shared" si="43"/>
        <v/>
      </c>
      <c r="AF149" s="5" t="str">
        <f t="shared" si="43"/>
        <v/>
      </c>
      <c r="AG149" s="173" t="s">
        <v>2761</v>
      </c>
    </row>
    <row r="150" spans="1:33" x14ac:dyDescent="0.3">
      <c r="A150" s="13">
        <f t="shared" si="40"/>
        <v>1210301002</v>
      </c>
      <c r="B150" s="13" t="str">
        <f t="shared" ref="B150:AF150" si="44">IF(B39 &lt;&gt; "", B39, "")</f>
        <v>Daily.Exp</v>
      </c>
      <c r="C150" s="5" t="str">
        <f t="shared" si="44"/>
        <v>터렛프로토</v>
      </c>
      <c r="D150" s="5" t="str">
        <f t="shared" si="44"/>
        <v>Monster.Name.spider_turret_prototype_1</v>
      </c>
      <c r="E150" s="5" t="str">
        <f t="shared" si="44"/>
        <v>Ranger</v>
      </c>
      <c r="F150" s="17" t="str">
        <f t="shared" si="44"/>
        <v>Fac_nul_ind</v>
      </c>
      <c r="G150" s="5" t="str">
        <f t="shared" si="44"/>
        <v>TRUE</v>
      </c>
      <c r="H150" s="5" t="b">
        <f t="shared" si="44"/>
        <v>0</v>
      </c>
      <c r="I150" s="5" t="b">
        <f t="shared" si="44"/>
        <v>0</v>
      </c>
      <c r="J150" s="5">
        <f t="shared" si="44"/>
        <v>10</v>
      </c>
      <c r="K150" s="5">
        <f t="shared" si="44"/>
        <v>30</v>
      </c>
      <c r="L150" s="2" t="str">
        <f t="shared" si="44"/>
        <v>Daily.Exp.spider_turret_prototype_1.attack01</v>
      </c>
      <c r="M150" s="2" t="str">
        <f t="shared" si="44"/>
        <v/>
      </c>
      <c r="N150" s="2" t="str">
        <f t="shared" si="44"/>
        <v/>
      </c>
      <c r="O150" s="178" t="str">
        <f t="shared" si="44"/>
        <v/>
      </c>
      <c r="P150" s="14" t="str">
        <f t="shared" si="44"/>
        <v/>
      </c>
      <c r="Q150" s="14" t="str">
        <f t="shared" si="44"/>
        <v/>
      </c>
      <c r="R150" s="14" t="str">
        <f t="shared" si="44"/>
        <v/>
      </c>
      <c r="S150" s="14" t="str">
        <f t="shared" si="44"/>
        <v/>
      </c>
      <c r="T150" s="14" t="str">
        <f t="shared" si="44"/>
        <v/>
      </c>
      <c r="U150" s="14" t="str">
        <f t="shared" si="44"/>
        <v/>
      </c>
      <c r="V150" s="5" t="b">
        <f t="shared" si="44"/>
        <v>0</v>
      </c>
      <c r="W150" s="5" t="str">
        <f t="shared" si="44"/>
        <v>Character/Prefabs/m_s_ranger_spider_turret_prototype_1</v>
      </c>
      <c r="X150" s="5" t="str">
        <f t="shared" si="44"/>
        <v/>
      </c>
      <c r="Y150" s="5" t="str">
        <f t="shared" si="44"/>
        <v>m_s_ranger_spider_turret_prototype_1</v>
      </c>
      <c r="Z150" s="5" t="str">
        <f t="shared" si="44"/>
        <v/>
      </c>
      <c r="AA150" s="5" t="str">
        <f t="shared" si="44"/>
        <v/>
      </c>
      <c r="AB150" s="5" t="str">
        <f t="shared" si="44"/>
        <v/>
      </c>
      <c r="AC150" s="97">
        <f t="shared" si="44"/>
        <v>0.7</v>
      </c>
      <c r="AD150" s="5" t="str">
        <f t="shared" si="44"/>
        <v/>
      </c>
      <c r="AE150" s="5" t="str">
        <f t="shared" si="44"/>
        <v/>
      </c>
      <c r="AF150" s="5" t="str">
        <f t="shared" si="44"/>
        <v/>
      </c>
      <c r="AG150" s="173" t="s">
        <v>2761</v>
      </c>
    </row>
    <row r="151" spans="1:33" x14ac:dyDescent="0.3">
      <c r="A151" s="13">
        <f t="shared" si="40"/>
        <v>1210301003</v>
      </c>
      <c r="B151" s="13" t="str">
        <f t="shared" ref="B151:AF151" si="45">IF(B40 &lt;&gt; "", B40, "")</f>
        <v>Daily.Exp</v>
      </c>
      <c r="C151" s="5" t="str">
        <f t="shared" si="45"/>
        <v>터틀메카mk1</v>
      </c>
      <c r="D151" s="5" t="str">
        <f t="shared" si="45"/>
        <v>Monster.Name.turtle_mechamk1_1</v>
      </c>
      <c r="E151" s="5" t="str">
        <f t="shared" si="45"/>
        <v>Attacker</v>
      </c>
      <c r="F151" s="17" t="str">
        <f t="shared" si="45"/>
        <v>Fac_nul_ind</v>
      </c>
      <c r="G151" s="5" t="str">
        <f t="shared" si="45"/>
        <v>TRUE</v>
      </c>
      <c r="H151" s="5" t="b">
        <f t="shared" si="45"/>
        <v>0</v>
      </c>
      <c r="I151" s="5" t="b">
        <f t="shared" si="45"/>
        <v>0</v>
      </c>
      <c r="J151" s="5">
        <f t="shared" si="45"/>
        <v>10</v>
      </c>
      <c r="K151" s="5">
        <f t="shared" si="45"/>
        <v>10</v>
      </c>
      <c r="L151" s="2" t="str">
        <f t="shared" si="45"/>
        <v>Daily.Exp.turtle_mechamk1_1.attack01</v>
      </c>
      <c r="M151" s="2" t="str">
        <f t="shared" si="45"/>
        <v/>
      </c>
      <c r="N151" s="2" t="str">
        <f t="shared" si="45"/>
        <v/>
      </c>
      <c r="O151" s="178" t="str">
        <f t="shared" si="45"/>
        <v/>
      </c>
      <c r="P151" s="14" t="str">
        <f t="shared" si="45"/>
        <v/>
      </c>
      <c r="Q151" s="14" t="str">
        <f t="shared" si="45"/>
        <v/>
      </c>
      <c r="R151" s="14" t="str">
        <f t="shared" si="45"/>
        <v/>
      </c>
      <c r="S151" s="14" t="str">
        <f t="shared" si="45"/>
        <v/>
      </c>
      <c r="T151" s="14" t="str">
        <f t="shared" si="45"/>
        <v/>
      </c>
      <c r="U151" s="14" t="str">
        <f t="shared" si="45"/>
        <v/>
      </c>
      <c r="V151" s="5" t="b">
        <f t="shared" si="45"/>
        <v>0</v>
      </c>
      <c r="W151" s="5" t="str">
        <f t="shared" si="45"/>
        <v>Character/Prefabs/m_s_attacker_turtle_mechamk1_1</v>
      </c>
      <c r="X151" s="5" t="str">
        <f t="shared" si="45"/>
        <v/>
      </c>
      <c r="Y151" s="5" t="str">
        <f t="shared" si="45"/>
        <v>m_s_attacker_turtle_mechamk1_1</v>
      </c>
      <c r="Z151" s="5" t="str">
        <f t="shared" si="45"/>
        <v/>
      </c>
      <c r="AA151" s="5" t="str">
        <f t="shared" si="45"/>
        <v/>
      </c>
      <c r="AB151" s="5" t="str">
        <f t="shared" si="45"/>
        <v/>
      </c>
      <c r="AC151" s="97">
        <f t="shared" si="45"/>
        <v>0.7</v>
      </c>
      <c r="AD151" s="5" t="str">
        <f t="shared" si="45"/>
        <v/>
      </c>
      <c r="AE151" s="5" t="str">
        <f t="shared" si="45"/>
        <v/>
      </c>
      <c r="AF151" s="5" t="str">
        <f t="shared" si="45"/>
        <v/>
      </c>
      <c r="AG151" s="173" t="s">
        <v>2761</v>
      </c>
    </row>
    <row r="152" spans="1:33" x14ac:dyDescent="0.3">
      <c r="A152" s="13">
        <f t="shared" si="40"/>
        <v>1210301004</v>
      </c>
      <c r="B152" s="13" t="str">
        <f t="shared" ref="B152:AF152" si="46">IF(B41 &lt;&gt; "", B41, "")</f>
        <v>Daily.Exp</v>
      </c>
      <c r="C152" s="5" t="str">
        <f t="shared" si="46"/>
        <v>터틀메카mk3</v>
      </c>
      <c r="D152" s="5" t="str">
        <f t="shared" si="46"/>
        <v>Monster.Name.turtle_mechamk3_3</v>
      </c>
      <c r="E152" s="5" t="str">
        <f t="shared" si="46"/>
        <v>Attacker</v>
      </c>
      <c r="F152" s="17" t="str">
        <f t="shared" si="46"/>
        <v>Fac_nul_ind</v>
      </c>
      <c r="G152" s="5" t="str">
        <f t="shared" si="46"/>
        <v>TRUE</v>
      </c>
      <c r="H152" s="5" t="b">
        <f t="shared" si="46"/>
        <v>0</v>
      </c>
      <c r="I152" s="5" t="b">
        <f t="shared" si="46"/>
        <v>0</v>
      </c>
      <c r="J152" s="5">
        <f t="shared" si="46"/>
        <v>10</v>
      </c>
      <c r="K152" s="5">
        <f t="shared" si="46"/>
        <v>10</v>
      </c>
      <c r="L152" s="2" t="str">
        <f t="shared" si="46"/>
        <v>Daily.Exp.turtle_mechamk3_3.attack01</v>
      </c>
      <c r="M152" s="2" t="str">
        <f t="shared" si="46"/>
        <v/>
      </c>
      <c r="N152" s="2" t="str">
        <f t="shared" si="46"/>
        <v/>
      </c>
      <c r="O152" s="178" t="str">
        <f t="shared" si="46"/>
        <v/>
      </c>
      <c r="P152" s="14" t="str">
        <f t="shared" si="46"/>
        <v/>
      </c>
      <c r="Q152" s="14" t="str">
        <f t="shared" si="46"/>
        <v/>
      </c>
      <c r="R152" s="14" t="str">
        <f t="shared" si="46"/>
        <v/>
      </c>
      <c r="S152" s="14" t="str">
        <f t="shared" si="46"/>
        <v/>
      </c>
      <c r="T152" s="14" t="str">
        <f t="shared" si="46"/>
        <v/>
      </c>
      <c r="U152" s="14" t="str">
        <f t="shared" si="46"/>
        <v/>
      </c>
      <c r="V152" s="5" t="b">
        <f t="shared" si="46"/>
        <v>0</v>
      </c>
      <c r="W152" s="5" t="str">
        <f t="shared" si="46"/>
        <v>Character/Prefabs/m_s_attacker_turtle_mechamk3_3</v>
      </c>
      <c r="X152" s="5" t="str">
        <f t="shared" si="46"/>
        <v/>
      </c>
      <c r="Y152" s="5" t="str">
        <f t="shared" si="46"/>
        <v>m_s_attacker_turtle_mechamk3_3</v>
      </c>
      <c r="Z152" s="5" t="str">
        <f t="shared" si="46"/>
        <v/>
      </c>
      <c r="AA152" s="5" t="str">
        <f t="shared" si="46"/>
        <v/>
      </c>
      <c r="AB152" s="5" t="str">
        <f t="shared" si="46"/>
        <v/>
      </c>
      <c r="AC152" s="97">
        <f t="shared" si="46"/>
        <v>0.7</v>
      </c>
      <c r="AD152" s="5" t="str">
        <f t="shared" si="46"/>
        <v/>
      </c>
      <c r="AE152" s="5" t="str">
        <f t="shared" si="46"/>
        <v/>
      </c>
      <c r="AF152" s="5" t="str">
        <f t="shared" si="46"/>
        <v/>
      </c>
      <c r="AG152" s="173" t="s">
        <v>2761</v>
      </c>
    </row>
    <row r="153" spans="1:33" x14ac:dyDescent="0.3">
      <c r="A153" s="13">
        <f t="shared" si="40"/>
        <v>1210301005</v>
      </c>
      <c r="B153" s="13" t="str">
        <f t="shared" ref="B153:AF153" si="47">IF(B42 &lt;&gt; "", B42, "")</f>
        <v>Daily.Exp</v>
      </c>
      <c r="C153" s="5" t="str">
        <f t="shared" si="47"/>
        <v>스콜피온터렛mk2</v>
      </c>
      <c r="D153" s="5" t="str">
        <f t="shared" si="47"/>
        <v>Monster.Name.scorpion_turretmk2_3</v>
      </c>
      <c r="E153" s="5" t="str">
        <f t="shared" si="47"/>
        <v>Ranger</v>
      </c>
      <c r="F153" s="17" t="str">
        <f t="shared" si="47"/>
        <v>Fac_nul_ind</v>
      </c>
      <c r="G153" s="5" t="str">
        <f t="shared" si="47"/>
        <v>TRUE</v>
      </c>
      <c r="H153" s="5" t="b">
        <f t="shared" si="47"/>
        <v>0</v>
      </c>
      <c r="I153" s="5" t="b">
        <f t="shared" si="47"/>
        <v>0</v>
      </c>
      <c r="J153" s="5">
        <f t="shared" si="47"/>
        <v>10</v>
      </c>
      <c r="K153" s="5">
        <f t="shared" si="47"/>
        <v>10</v>
      </c>
      <c r="L153" s="2" t="str">
        <f t="shared" si="47"/>
        <v>Daily.Exp.scorpion_turretmk2_3.attack01</v>
      </c>
      <c r="M153" s="2" t="str">
        <f t="shared" si="47"/>
        <v/>
      </c>
      <c r="N153" s="2" t="str">
        <f t="shared" si="47"/>
        <v/>
      </c>
      <c r="O153" s="178" t="str">
        <f t="shared" si="47"/>
        <v/>
      </c>
      <c r="P153" s="14" t="str">
        <f t="shared" si="47"/>
        <v/>
      </c>
      <c r="Q153" s="14" t="str">
        <f t="shared" si="47"/>
        <v/>
      </c>
      <c r="R153" s="14" t="str">
        <f t="shared" si="47"/>
        <v/>
      </c>
      <c r="S153" s="14" t="str">
        <f t="shared" si="47"/>
        <v/>
      </c>
      <c r="T153" s="14" t="str">
        <f t="shared" si="47"/>
        <v/>
      </c>
      <c r="U153" s="14" t="str">
        <f t="shared" si="47"/>
        <v/>
      </c>
      <c r="V153" s="5" t="b">
        <f t="shared" si="47"/>
        <v>0</v>
      </c>
      <c r="W153" s="5" t="str">
        <f t="shared" si="47"/>
        <v>Character/Prefabs/m_s_ranger_scorpion_turretmk2_3</v>
      </c>
      <c r="X153" s="5" t="str">
        <f t="shared" si="47"/>
        <v/>
      </c>
      <c r="Y153" s="5" t="str">
        <f t="shared" si="47"/>
        <v>m_s_ranger_scorpion_turretmk2_3</v>
      </c>
      <c r="Z153" s="5" t="str">
        <f t="shared" si="47"/>
        <v/>
      </c>
      <c r="AA153" s="5" t="str">
        <f t="shared" si="47"/>
        <v/>
      </c>
      <c r="AB153" s="5" t="str">
        <f t="shared" si="47"/>
        <v/>
      </c>
      <c r="AC153" s="97">
        <f t="shared" si="47"/>
        <v>0.7</v>
      </c>
      <c r="AD153" s="5" t="str">
        <f t="shared" si="47"/>
        <v/>
      </c>
      <c r="AE153" s="5" t="str">
        <f t="shared" si="47"/>
        <v/>
      </c>
      <c r="AF153" s="5" t="str">
        <f t="shared" si="47"/>
        <v/>
      </c>
      <c r="AG153" s="173" t="s">
        <v>2761</v>
      </c>
    </row>
    <row r="154" spans="1:33" x14ac:dyDescent="0.3">
      <c r="A154" s="13">
        <f t="shared" si="40"/>
        <v>1210301006</v>
      </c>
      <c r="B154" s="13" t="str">
        <f t="shared" ref="B154:AF154" si="48">IF(B43 &lt;&gt; "", B43, "")</f>
        <v>Daily.Exp</v>
      </c>
      <c r="C154" s="5" t="str">
        <f t="shared" si="48"/>
        <v>라이노메카mk3</v>
      </c>
      <c r="D154" s="5" t="str">
        <f t="shared" si="48"/>
        <v>Monster.Name.rhino_mechamk3_3</v>
      </c>
      <c r="E154" s="5" t="str">
        <f t="shared" si="48"/>
        <v>Attacker</v>
      </c>
      <c r="F154" s="17" t="str">
        <f t="shared" si="48"/>
        <v>Fac_nul_ind</v>
      </c>
      <c r="G154" s="5" t="str">
        <f t="shared" si="48"/>
        <v>TRUE</v>
      </c>
      <c r="H154" s="5" t="b">
        <f t="shared" si="48"/>
        <v>0</v>
      </c>
      <c r="I154" s="5" t="b">
        <f t="shared" si="48"/>
        <v>0</v>
      </c>
      <c r="J154" s="5">
        <f t="shared" si="48"/>
        <v>10</v>
      </c>
      <c r="K154" s="5">
        <f t="shared" si="48"/>
        <v>10</v>
      </c>
      <c r="L154" s="2" t="str">
        <f t="shared" si="48"/>
        <v>Daily.Exp.rhino_mechamk3_3.attack01</v>
      </c>
      <c r="M154" s="2" t="str">
        <f t="shared" si="48"/>
        <v/>
      </c>
      <c r="N154" s="2" t="str">
        <f t="shared" si="48"/>
        <v/>
      </c>
      <c r="O154" s="178" t="str">
        <f t="shared" si="48"/>
        <v/>
      </c>
      <c r="P154" s="14" t="str">
        <f t="shared" si="48"/>
        <v/>
      </c>
      <c r="Q154" s="14" t="str">
        <f t="shared" si="48"/>
        <v/>
      </c>
      <c r="R154" s="14" t="str">
        <f t="shared" si="48"/>
        <v/>
      </c>
      <c r="S154" s="14" t="str">
        <f t="shared" si="48"/>
        <v/>
      </c>
      <c r="T154" s="14" t="str">
        <f t="shared" si="48"/>
        <v/>
      </c>
      <c r="U154" s="14" t="str">
        <f t="shared" si="48"/>
        <v/>
      </c>
      <c r="V154" s="5" t="b">
        <f t="shared" si="48"/>
        <v>0</v>
      </c>
      <c r="W154" s="5" t="str">
        <f t="shared" si="48"/>
        <v>Character/Prefabs/m_s_attacker_rhino_mechamk3_3</v>
      </c>
      <c r="X154" s="5" t="str">
        <f t="shared" si="48"/>
        <v/>
      </c>
      <c r="Y154" s="5" t="str">
        <f t="shared" si="48"/>
        <v>m_s_attacker_rhino_mechamk3_3</v>
      </c>
      <c r="Z154" s="5" t="str">
        <f t="shared" si="48"/>
        <v/>
      </c>
      <c r="AA154" s="5" t="str">
        <f t="shared" si="48"/>
        <v/>
      </c>
      <c r="AB154" s="5" t="str">
        <f t="shared" si="48"/>
        <v/>
      </c>
      <c r="AC154" s="97">
        <f t="shared" si="48"/>
        <v>0.7</v>
      </c>
      <c r="AD154" s="5" t="str">
        <f t="shared" si="48"/>
        <v/>
      </c>
      <c r="AE154" s="5" t="str">
        <f t="shared" si="48"/>
        <v/>
      </c>
      <c r="AF154" s="5" t="str">
        <f t="shared" si="48"/>
        <v/>
      </c>
      <c r="AG154" s="173" t="s">
        <v>2761</v>
      </c>
    </row>
    <row r="155" spans="1:33" x14ac:dyDescent="0.3">
      <c r="A155" s="37">
        <f t="shared" si="40"/>
        <v>1210302001</v>
      </c>
      <c r="B155" s="37" t="str">
        <f t="shared" ref="B155:AF155" si="49">IF(B44 &lt;&gt; "", B44, "")</f>
        <v>Daily.Gold1</v>
      </c>
      <c r="C155" s="5" t="str">
        <f t="shared" si="49"/>
        <v>더스트드론</v>
      </c>
      <c r="D155" s="5" t="str">
        <f t="shared" si="49"/>
        <v>Monster.Name.hellfire_drone_2</v>
      </c>
      <c r="E155" s="5" t="str">
        <f t="shared" si="49"/>
        <v>Ranger</v>
      </c>
      <c r="F155" s="17" t="str">
        <f t="shared" si="49"/>
        <v>Fac_nul_ind</v>
      </c>
      <c r="G155" s="5" t="str">
        <f t="shared" si="49"/>
        <v>TRUE</v>
      </c>
      <c r="H155" s="5" t="b">
        <f t="shared" si="49"/>
        <v>0</v>
      </c>
      <c r="I155" s="5" t="b">
        <f t="shared" si="49"/>
        <v>0</v>
      </c>
      <c r="J155" s="5">
        <f t="shared" si="49"/>
        <v>10</v>
      </c>
      <c r="K155" s="5">
        <f t="shared" si="49"/>
        <v>10</v>
      </c>
      <c r="L155" s="2" t="str">
        <f t="shared" si="49"/>
        <v>Daily.Gold1.hellfire_drone_3.attack01</v>
      </c>
      <c r="M155" s="2" t="str">
        <f t="shared" si="49"/>
        <v/>
      </c>
      <c r="N155" s="2" t="str">
        <f t="shared" si="49"/>
        <v/>
      </c>
      <c r="O155" s="178" t="str">
        <f t="shared" si="49"/>
        <v>Daily.Gold1.hellfire_drone_3.skill01</v>
      </c>
      <c r="P155" s="14" t="str">
        <f t="shared" si="49"/>
        <v/>
      </c>
      <c r="Q155" s="14" t="str">
        <f t="shared" si="49"/>
        <v/>
      </c>
      <c r="R155" s="14" t="str">
        <f t="shared" si="49"/>
        <v/>
      </c>
      <c r="S155" s="14" t="str">
        <f t="shared" si="49"/>
        <v>Daily.Gold1.hellfire_drone_3.passive01</v>
      </c>
      <c r="T155" s="14" t="str">
        <f t="shared" si="49"/>
        <v/>
      </c>
      <c r="U155" s="14" t="str">
        <f t="shared" si="49"/>
        <v/>
      </c>
      <c r="V155" s="5" t="b">
        <f t="shared" si="49"/>
        <v>0</v>
      </c>
      <c r="W155" s="5" t="str">
        <f t="shared" si="49"/>
        <v>Character/Prefabs/m_s_ranger_hellfire_drone_2</v>
      </c>
      <c r="X155" s="5" t="str">
        <f t="shared" si="49"/>
        <v/>
      </c>
      <c r="Y155" s="5" t="str">
        <f t="shared" si="49"/>
        <v>m_s_ranger_hellfire_drone_2</v>
      </c>
      <c r="Z155" s="5" t="str">
        <f t="shared" si="49"/>
        <v/>
      </c>
      <c r="AA155" s="5" t="str">
        <f t="shared" si="49"/>
        <v/>
      </c>
      <c r="AB155" s="5" t="str">
        <f t="shared" si="49"/>
        <v/>
      </c>
      <c r="AC155" s="97">
        <f t="shared" si="49"/>
        <v>0.7</v>
      </c>
      <c r="AD155" s="5" t="str">
        <f t="shared" si="49"/>
        <v/>
      </c>
      <c r="AE155" s="5" t="str">
        <f t="shared" si="49"/>
        <v/>
      </c>
      <c r="AF155" s="5" t="str">
        <f t="shared" si="49"/>
        <v/>
      </c>
      <c r="AG155" s="173" t="s">
        <v>2761</v>
      </c>
    </row>
    <row r="156" spans="1:33" x14ac:dyDescent="0.3">
      <c r="A156" s="37">
        <f t="shared" si="40"/>
        <v>1210302002</v>
      </c>
      <c r="B156" s="37" t="str">
        <f t="shared" ref="B156:AF156" si="50">IF(B45 &lt;&gt; "", B45, "")</f>
        <v>Daily.Gold2</v>
      </c>
      <c r="C156" s="5" t="str">
        <f t="shared" si="50"/>
        <v>더스트드론</v>
      </c>
      <c r="D156" s="5" t="str">
        <f t="shared" si="50"/>
        <v>Monster.Name.hellfire_drone_2</v>
      </c>
      <c r="E156" s="5" t="str">
        <f t="shared" si="50"/>
        <v>Ranger</v>
      </c>
      <c r="F156" s="17" t="str">
        <f t="shared" si="50"/>
        <v>Fac_nul_ind</v>
      </c>
      <c r="G156" s="5" t="str">
        <f t="shared" si="50"/>
        <v>TRUE</v>
      </c>
      <c r="H156" s="5" t="b">
        <f t="shared" si="50"/>
        <v>0</v>
      </c>
      <c r="I156" s="5" t="b">
        <f t="shared" si="50"/>
        <v>0</v>
      </c>
      <c r="J156" s="5">
        <f t="shared" si="50"/>
        <v>10</v>
      </c>
      <c r="K156" s="5">
        <f t="shared" si="50"/>
        <v>10</v>
      </c>
      <c r="L156" s="2" t="str">
        <f t="shared" si="50"/>
        <v>Daily.Gold2.hellfire_drone_3.attack01</v>
      </c>
      <c r="M156" s="2" t="str">
        <f t="shared" si="50"/>
        <v/>
      </c>
      <c r="N156" s="2" t="str">
        <f t="shared" si="50"/>
        <v/>
      </c>
      <c r="O156" s="178" t="str">
        <f t="shared" si="50"/>
        <v>Daily.Gold2.hellfire_drone_3.skill01</v>
      </c>
      <c r="P156" s="14" t="str">
        <f t="shared" si="50"/>
        <v/>
      </c>
      <c r="Q156" s="14" t="str">
        <f t="shared" si="50"/>
        <v/>
      </c>
      <c r="R156" s="14" t="str">
        <f t="shared" si="50"/>
        <v/>
      </c>
      <c r="S156" s="14" t="str">
        <f t="shared" si="50"/>
        <v>Daily.Gold2.hellfire_drone_3.passive01</v>
      </c>
      <c r="T156" s="14" t="str">
        <f t="shared" si="50"/>
        <v/>
      </c>
      <c r="U156" s="14" t="str">
        <f t="shared" si="50"/>
        <v/>
      </c>
      <c r="V156" s="5" t="b">
        <f t="shared" si="50"/>
        <v>0</v>
      </c>
      <c r="W156" s="5" t="str">
        <f t="shared" si="50"/>
        <v>Character/Prefabs/m_s_ranger_hellfire_drone_2</v>
      </c>
      <c r="X156" s="5" t="str">
        <f t="shared" si="50"/>
        <v/>
      </c>
      <c r="Y156" s="5" t="str">
        <f t="shared" si="50"/>
        <v>m_s_ranger_hellfire_drone_2</v>
      </c>
      <c r="Z156" s="5" t="str">
        <f t="shared" si="50"/>
        <v/>
      </c>
      <c r="AA156" s="5" t="str">
        <f t="shared" si="50"/>
        <v/>
      </c>
      <c r="AB156" s="5" t="str">
        <f t="shared" si="50"/>
        <v/>
      </c>
      <c r="AC156" s="97">
        <f t="shared" si="50"/>
        <v>0.7</v>
      </c>
      <c r="AD156" s="5" t="str">
        <f t="shared" si="50"/>
        <v/>
      </c>
      <c r="AE156" s="5" t="str">
        <f t="shared" si="50"/>
        <v/>
      </c>
      <c r="AF156" s="5" t="str">
        <f t="shared" si="50"/>
        <v/>
      </c>
      <c r="AG156" s="173" t="s">
        <v>2761</v>
      </c>
    </row>
    <row r="157" spans="1:33" x14ac:dyDescent="0.3">
      <c r="A157" s="51">
        <f t="shared" si="40"/>
        <v>1210302003</v>
      </c>
      <c r="B157" s="51" t="str">
        <f t="shared" ref="B157:AF157" si="51">IF(B46 &lt;&gt; "", B46, "")</f>
        <v>Daily.Gold</v>
      </c>
      <c r="C157" s="5" t="str">
        <f t="shared" si="51"/>
        <v>헤비트루퍼런처</v>
      </c>
      <c r="D157" s="5" t="str">
        <f t="shared" si="51"/>
        <v>Monster.Name.heavy_trooper_launcher_1</v>
      </c>
      <c r="E157" s="5" t="str">
        <f t="shared" si="51"/>
        <v>Ranger</v>
      </c>
      <c r="F157" s="17" t="str">
        <f t="shared" si="51"/>
        <v>Fac_nul_ind</v>
      </c>
      <c r="G157" s="5" t="str">
        <f t="shared" si="51"/>
        <v>TRUE</v>
      </c>
      <c r="H157" s="5" t="b">
        <f t="shared" si="51"/>
        <v>1</v>
      </c>
      <c r="I157" s="5" t="b">
        <f t="shared" si="51"/>
        <v>1</v>
      </c>
      <c r="J157" s="5">
        <f t="shared" si="51"/>
        <v>10</v>
      </c>
      <c r="K157" s="5">
        <f t="shared" si="51"/>
        <v>10</v>
      </c>
      <c r="L157" s="2" t="str">
        <f t="shared" si="51"/>
        <v>Daily.Gold.trooper_demolisher_1.attack01</v>
      </c>
      <c r="M157" s="2" t="str">
        <f t="shared" si="51"/>
        <v/>
      </c>
      <c r="N157" s="2" t="str">
        <f t="shared" si="51"/>
        <v/>
      </c>
      <c r="O157" s="178" t="str">
        <f t="shared" si="51"/>
        <v>Daily.Gold.trooper_demolisher_1.skill01</v>
      </c>
      <c r="P157" s="14" t="str">
        <f t="shared" si="51"/>
        <v>Daily.Gold.trooper_demolisher_1.skill02</v>
      </c>
      <c r="Q157" s="14" t="str">
        <f t="shared" si="51"/>
        <v>Daily.Gold.trooper_demolisher_1.passive01</v>
      </c>
      <c r="R157" s="14" t="str">
        <f t="shared" si="51"/>
        <v/>
      </c>
      <c r="S157" s="14" t="str">
        <f t="shared" si="51"/>
        <v/>
      </c>
      <c r="T157" s="14" t="str">
        <f t="shared" si="51"/>
        <v/>
      </c>
      <c r="U157" s="14" t="str">
        <f t="shared" si="51"/>
        <v/>
      </c>
      <c r="V157" s="5" t="b">
        <f t="shared" si="51"/>
        <v>0</v>
      </c>
      <c r="W157" s="5" t="str">
        <f t="shared" si="51"/>
        <v>Character/Prefabs/m_m_ranger_heavy_trooper_launcher_1</v>
      </c>
      <c r="X157" s="5" t="str">
        <f t="shared" si="51"/>
        <v/>
      </c>
      <c r="Y157" s="5" t="str">
        <f t="shared" si="51"/>
        <v>m_m_ranger_heavy_trooper_launcher_1</v>
      </c>
      <c r="Z157" s="5" t="str">
        <f t="shared" si="51"/>
        <v/>
      </c>
      <c r="AA157" s="5" t="str">
        <f t="shared" si="51"/>
        <v/>
      </c>
      <c r="AB157" s="5" t="str">
        <f t="shared" si="51"/>
        <v/>
      </c>
      <c r="AC157" s="97">
        <f t="shared" si="51"/>
        <v>1</v>
      </c>
      <c r="AD157" s="5" t="str">
        <f t="shared" si="51"/>
        <v/>
      </c>
      <c r="AE157" s="5" t="str">
        <f t="shared" si="51"/>
        <v/>
      </c>
      <c r="AF157" s="5" t="str">
        <f t="shared" si="51"/>
        <v/>
      </c>
      <c r="AG157" s="173" t="s">
        <v>2761</v>
      </c>
    </row>
    <row r="158" spans="1:33" x14ac:dyDescent="0.3">
      <c r="A158" s="37">
        <f t="shared" si="40"/>
        <v>1210302004</v>
      </c>
      <c r="B158" s="37" t="str">
        <f t="shared" ref="B158:AF158" si="52">IF(B47 &lt;&gt; "", B47, "")</f>
        <v>Daily.Gold</v>
      </c>
      <c r="C158" s="5" t="str">
        <f t="shared" si="52"/>
        <v>헤비트루퍼라이플</v>
      </c>
      <c r="D158" s="5" t="str">
        <f t="shared" si="52"/>
        <v>Monster.Name.heavy_trooper_rifle_1</v>
      </c>
      <c r="E158" s="5" t="str">
        <f t="shared" si="52"/>
        <v>Ranger</v>
      </c>
      <c r="F158" s="17" t="str">
        <f t="shared" si="52"/>
        <v>Fac_nul_ind</v>
      </c>
      <c r="G158" s="5" t="str">
        <f t="shared" si="52"/>
        <v>TRUE</v>
      </c>
      <c r="H158" s="5" t="b">
        <f t="shared" si="52"/>
        <v>0</v>
      </c>
      <c r="I158" s="5" t="b">
        <f t="shared" si="52"/>
        <v>0</v>
      </c>
      <c r="J158" s="5">
        <f t="shared" si="52"/>
        <v>10</v>
      </c>
      <c r="K158" s="5">
        <f t="shared" si="52"/>
        <v>10</v>
      </c>
      <c r="L158" s="2" t="str">
        <f t="shared" si="52"/>
        <v>Daily.Gold.trooper_sniper_1.attack01</v>
      </c>
      <c r="M158" s="2" t="str">
        <f t="shared" si="52"/>
        <v/>
      </c>
      <c r="N158" s="2" t="str">
        <f t="shared" si="52"/>
        <v/>
      </c>
      <c r="O158" s="178" t="str">
        <f t="shared" si="52"/>
        <v>Daily.Gold.trooper_sniper_1.skill01</v>
      </c>
      <c r="P158" s="14" t="str">
        <f t="shared" si="52"/>
        <v/>
      </c>
      <c r="Q158" s="14" t="str">
        <f t="shared" si="52"/>
        <v/>
      </c>
      <c r="R158" s="14" t="str">
        <f t="shared" si="52"/>
        <v/>
      </c>
      <c r="S158" s="14" t="str">
        <f t="shared" si="52"/>
        <v/>
      </c>
      <c r="T158" s="14" t="str">
        <f t="shared" si="52"/>
        <v/>
      </c>
      <c r="U158" s="14" t="str">
        <f t="shared" si="52"/>
        <v/>
      </c>
      <c r="V158" s="5" t="b">
        <f t="shared" si="52"/>
        <v>0</v>
      </c>
      <c r="W158" s="5" t="str">
        <f t="shared" si="52"/>
        <v>Character/Prefabs/m_m_ranger_heavy_trooper_rifle_1</v>
      </c>
      <c r="X158" s="5" t="str">
        <f t="shared" si="52"/>
        <v/>
      </c>
      <c r="Y158" s="5" t="str">
        <f t="shared" si="52"/>
        <v>m_m_ranger_heavy_trooper_rifle_1</v>
      </c>
      <c r="Z158" s="5" t="str">
        <f t="shared" si="52"/>
        <v/>
      </c>
      <c r="AA158" s="5" t="str">
        <f t="shared" si="52"/>
        <v/>
      </c>
      <c r="AB158" s="5" t="str">
        <f t="shared" si="52"/>
        <v/>
      </c>
      <c r="AC158" s="97">
        <f t="shared" si="52"/>
        <v>0.7</v>
      </c>
      <c r="AD158" s="5" t="str">
        <f t="shared" si="52"/>
        <v/>
      </c>
      <c r="AE158" s="5" t="str">
        <f t="shared" si="52"/>
        <v/>
      </c>
      <c r="AF158" s="5" t="str">
        <f t="shared" si="52"/>
        <v/>
      </c>
      <c r="AG158" s="173" t="s">
        <v>2761</v>
      </c>
    </row>
    <row r="159" spans="1:33" x14ac:dyDescent="0.3">
      <c r="A159" s="37">
        <f t="shared" si="40"/>
        <v>1210302005</v>
      </c>
      <c r="B159" s="37" t="str">
        <f t="shared" ref="B159:AF159" si="53">IF(B48 &lt;&gt; "", B48, "")</f>
        <v>Daily.Gold</v>
      </c>
      <c r="C159" s="5" t="str">
        <f t="shared" si="53"/>
        <v>헤비트루퍼플레임</v>
      </c>
      <c r="D159" s="5" t="str">
        <f t="shared" si="53"/>
        <v>Monster.Name.heavy_trooper_flame_1</v>
      </c>
      <c r="E159" s="5" t="str">
        <f t="shared" si="53"/>
        <v>Attacker</v>
      </c>
      <c r="F159" s="17" t="str">
        <f t="shared" si="53"/>
        <v>Fac_nul_ind</v>
      </c>
      <c r="G159" s="5" t="str">
        <f t="shared" si="53"/>
        <v>TRUE</v>
      </c>
      <c r="H159" s="5" t="b">
        <f t="shared" si="53"/>
        <v>0</v>
      </c>
      <c r="I159" s="5" t="b">
        <f t="shared" si="53"/>
        <v>0</v>
      </c>
      <c r="J159" s="5">
        <f t="shared" si="53"/>
        <v>10</v>
      </c>
      <c r="K159" s="5">
        <f t="shared" si="53"/>
        <v>10</v>
      </c>
      <c r="L159" s="2" t="str">
        <f t="shared" si="53"/>
        <v>Daily.Gold.trooper_inferno_1.attack01</v>
      </c>
      <c r="M159" s="2" t="str">
        <f t="shared" si="53"/>
        <v/>
      </c>
      <c r="N159" s="2" t="str">
        <f t="shared" si="53"/>
        <v/>
      </c>
      <c r="O159" s="178" t="str">
        <f t="shared" si="53"/>
        <v/>
      </c>
      <c r="P159" s="14" t="str">
        <f t="shared" si="53"/>
        <v/>
      </c>
      <c r="Q159" s="14" t="str">
        <f t="shared" si="53"/>
        <v/>
      </c>
      <c r="R159" s="14" t="str">
        <f t="shared" si="53"/>
        <v/>
      </c>
      <c r="S159" s="14" t="str">
        <f t="shared" si="53"/>
        <v/>
      </c>
      <c r="T159" s="14" t="str">
        <f t="shared" si="53"/>
        <v/>
      </c>
      <c r="U159" s="14" t="str">
        <f t="shared" si="53"/>
        <v/>
      </c>
      <c r="V159" s="5" t="b">
        <f t="shared" si="53"/>
        <v>0</v>
      </c>
      <c r="W159" s="5" t="str">
        <f t="shared" si="53"/>
        <v>Character/Prefabs/m_m_attacker_heavy_trooper_flame_1</v>
      </c>
      <c r="X159" s="5" t="str">
        <f t="shared" si="53"/>
        <v/>
      </c>
      <c r="Y159" s="5" t="str">
        <f t="shared" si="53"/>
        <v>m_m_attacker_heavy_trooper_flame_1</v>
      </c>
      <c r="Z159" s="5" t="str">
        <f t="shared" si="53"/>
        <v/>
      </c>
      <c r="AA159" s="5" t="str">
        <f t="shared" si="53"/>
        <v/>
      </c>
      <c r="AB159" s="5" t="str">
        <f t="shared" si="53"/>
        <v/>
      </c>
      <c r="AC159" s="97">
        <f t="shared" si="53"/>
        <v>0.7</v>
      </c>
      <c r="AD159" s="5" t="str">
        <f t="shared" si="53"/>
        <v/>
      </c>
      <c r="AE159" s="5" t="str">
        <f t="shared" si="53"/>
        <v/>
      </c>
      <c r="AF159" s="5" t="str">
        <f t="shared" si="53"/>
        <v/>
      </c>
      <c r="AG159" s="173" t="s">
        <v>2761</v>
      </c>
    </row>
    <row r="160" spans="1:33" x14ac:dyDescent="0.3">
      <c r="A160" s="37">
        <f t="shared" si="40"/>
        <v>1210302006</v>
      </c>
      <c r="B160" s="37" t="str">
        <f t="shared" ref="B160:AF160" si="54">IF(B49 &lt;&gt; "", B49, "")</f>
        <v>Daily.Gold</v>
      </c>
      <c r="C160" s="5" t="str">
        <f t="shared" si="54"/>
        <v>그리마알파</v>
      </c>
      <c r="D160" s="5" t="str">
        <f t="shared" si="54"/>
        <v>Monster.Name.grima_alpha_1</v>
      </c>
      <c r="E160" s="5" t="str">
        <f t="shared" si="54"/>
        <v>Attacker</v>
      </c>
      <c r="F160" s="17" t="str">
        <f t="shared" si="54"/>
        <v>Fac_nul_ind</v>
      </c>
      <c r="G160" s="5" t="str">
        <f t="shared" si="54"/>
        <v>TRUE</v>
      </c>
      <c r="H160" s="5" t="b">
        <f t="shared" si="54"/>
        <v>0</v>
      </c>
      <c r="I160" s="5" t="b">
        <f t="shared" si="54"/>
        <v>0</v>
      </c>
      <c r="J160" s="5">
        <f t="shared" si="54"/>
        <v>10</v>
      </c>
      <c r="K160" s="5">
        <f t="shared" si="54"/>
        <v>10</v>
      </c>
      <c r="L160" s="2" t="str">
        <f t="shared" si="54"/>
        <v>Daily.Gold.grima_alpha_1.attack01</v>
      </c>
      <c r="M160" s="2" t="str">
        <f t="shared" si="54"/>
        <v/>
      </c>
      <c r="N160" s="2" t="str">
        <f t="shared" si="54"/>
        <v/>
      </c>
      <c r="O160" s="178" t="str">
        <f t="shared" si="54"/>
        <v>Daily.Gold.grima_alpha_1.skill01</v>
      </c>
      <c r="P160" s="14" t="str">
        <f t="shared" si="54"/>
        <v>Daily.Gold.grima_alpha_1.skill02</v>
      </c>
      <c r="Q160" s="14" t="str">
        <f t="shared" si="54"/>
        <v/>
      </c>
      <c r="R160" s="14" t="str">
        <f t="shared" si="54"/>
        <v/>
      </c>
      <c r="S160" s="14" t="str">
        <f t="shared" si="54"/>
        <v/>
      </c>
      <c r="T160" s="14" t="str">
        <f t="shared" si="54"/>
        <v/>
      </c>
      <c r="U160" s="14" t="str">
        <f t="shared" si="54"/>
        <v/>
      </c>
      <c r="V160" s="5" t="b">
        <f t="shared" si="54"/>
        <v>0</v>
      </c>
      <c r="W160" s="5" t="str">
        <f t="shared" si="54"/>
        <v>Character/Prefabs/m_l_attacker_grima_alpha_1</v>
      </c>
      <c r="X160" s="5" t="str">
        <f t="shared" si="54"/>
        <v/>
      </c>
      <c r="Y160" s="5" t="str">
        <f t="shared" si="54"/>
        <v>m_l_attacker_grima_alpha_1</v>
      </c>
      <c r="Z160" s="5" t="str">
        <f t="shared" si="54"/>
        <v/>
      </c>
      <c r="AA160" s="5" t="str">
        <f t="shared" si="54"/>
        <v/>
      </c>
      <c r="AB160" s="5" t="str">
        <f t="shared" si="54"/>
        <v/>
      </c>
      <c r="AC160" s="97">
        <f t="shared" si="54"/>
        <v>0.6</v>
      </c>
      <c r="AD160" s="5" t="str">
        <f t="shared" si="54"/>
        <v/>
      </c>
      <c r="AE160" s="5" t="str">
        <f t="shared" si="54"/>
        <v/>
      </c>
      <c r="AF160" s="5" t="str">
        <f t="shared" si="54"/>
        <v/>
      </c>
      <c r="AG160" s="173" t="s">
        <v>2761</v>
      </c>
    </row>
    <row r="161" spans="1:33" x14ac:dyDescent="0.3">
      <c r="A161" s="37">
        <f t="shared" si="40"/>
        <v>1210302007</v>
      </c>
      <c r="B161" s="37" t="str">
        <f t="shared" ref="B161:AF161" si="55">IF(B50 &lt;&gt; "", B50, "")</f>
        <v>Daily.Gold</v>
      </c>
      <c r="C161" s="5" t="str">
        <f t="shared" si="55"/>
        <v>드레인데미스</v>
      </c>
      <c r="D161" s="5" t="str">
        <f t="shared" si="55"/>
        <v>Monster.Name.draindermis_1</v>
      </c>
      <c r="E161" s="5" t="str">
        <f t="shared" si="55"/>
        <v>Ranger</v>
      </c>
      <c r="F161" s="17" t="str">
        <f t="shared" si="55"/>
        <v>Fac_nul_ind</v>
      </c>
      <c r="G161" s="5" t="str">
        <f t="shared" si="55"/>
        <v>TRUE</v>
      </c>
      <c r="H161" s="5" t="b">
        <f t="shared" si="55"/>
        <v>0</v>
      </c>
      <c r="I161" s="5" t="b">
        <f t="shared" si="55"/>
        <v>0</v>
      </c>
      <c r="J161" s="5">
        <f t="shared" si="55"/>
        <v>10</v>
      </c>
      <c r="K161" s="5">
        <f t="shared" si="55"/>
        <v>10</v>
      </c>
      <c r="L161" s="2" t="str">
        <f t="shared" si="55"/>
        <v>Daily.Gold.draindermis_1.attack01</v>
      </c>
      <c r="M161" s="2" t="str">
        <f t="shared" si="55"/>
        <v/>
      </c>
      <c r="N161" s="2" t="str">
        <f t="shared" si="55"/>
        <v/>
      </c>
      <c r="O161" s="178" t="str">
        <f t="shared" si="55"/>
        <v>Daily.Gold.draindermis_1.skill01</v>
      </c>
      <c r="P161" s="14" t="str">
        <f t="shared" si="55"/>
        <v>Daily.Gold.draindermis_1.skill02</v>
      </c>
      <c r="Q161" s="14" t="str">
        <f t="shared" si="55"/>
        <v/>
      </c>
      <c r="R161" s="14" t="str">
        <f t="shared" si="55"/>
        <v/>
      </c>
      <c r="S161" s="14" t="str">
        <f t="shared" si="55"/>
        <v/>
      </c>
      <c r="T161" s="14" t="str">
        <f t="shared" si="55"/>
        <v/>
      </c>
      <c r="U161" s="14" t="str">
        <f t="shared" si="55"/>
        <v/>
      </c>
      <c r="V161" s="5" t="b">
        <f t="shared" si="55"/>
        <v>0</v>
      </c>
      <c r="W161" s="5" t="str">
        <f t="shared" si="55"/>
        <v>Character/Prefabs/m_l_ranger_draindermis_1</v>
      </c>
      <c r="X161" s="5" t="str">
        <f t="shared" si="55"/>
        <v/>
      </c>
      <c r="Y161" s="5" t="str">
        <f t="shared" si="55"/>
        <v>m_l_ranger_draindermis_1</v>
      </c>
      <c r="Z161" s="5" t="str">
        <f t="shared" si="55"/>
        <v/>
      </c>
      <c r="AA161" s="5" t="str">
        <f t="shared" si="55"/>
        <v/>
      </c>
      <c r="AB161" s="5" t="str">
        <f t="shared" si="55"/>
        <v/>
      </c>
      <c r="AC161" s="97">
        <f t="shared" si="55"/>
        <v>0.7</v>
      </c>
      <c r="AD161" s="5" t="str">
        <f t="shared" si="55"/>
        <v/>
      </c>
      <c r="AE161" s="5" t="str">
        <f t="shared" si="55"/>
        <v/>
      </c>
      <c r="AF161" s="5" t="str">
        <f t="shared" si="55"/>
        <v/>
      </c>
      <c r="AG161" s="173" t="s">
        <v>2761</v>
      </c>
    </row>
    <row r="162" spans="1:33" x14ac:dyDescent="0.3">
      <c r="A162" s="37">
        <f t="shared" si="40"/>
        <v>1210302008</v>
      </c>
      <c r="B162" s="37" t="str">
        <f t="shared" ref="B162:AF162" si="56">IF(B51 &lt;&gt; "", B51, "")</f>
        <v>Daily.Gold</v>
      </c>
      <c r="C162" s="5" t="str">
        <f t="shared" si="56"/>
        <v>그리마베타</v>
      </c>
      <c r="D162" s="5" t="str">
        <f t="shared" si="56"/>
        <v>Monster.Name.grima_beta_1</v>
      </c>
      <c r="E162" s="5" t="str">
        <f t="shared" si="56"/>
        <v>Attacker</v>
      </c>
      <c r="F162" s="17" t="str">
        <f t="shared" si="56"/>
        <v>Fac_nul_ind</v>
      </c>
      <c r="G162" s="5" t="str">
        <f t="shared" si="56"/>
        <v>TRUE</v>
      </c>
      <c r="H162" s="5" t="b">
        <f t="shared" si="56"/>
        <v>0</v>
      </c>
      <c r="I162" s="5" t="b">
        <f t="shared" si="56"/>
        <v>0</v>
      </c>
      <c r="J162" s="5">
        <f t="shared" si="56"/>
        <v>10</v>
      </c>
      <c r="K162" s="5">
        <f t="shared" si="56"/>
        <v>10</v>
      </c>
      <c r="L162" s="2" t="str">
        <f t="shared" si="56"/>
        <v>Daily.Gold.grima_beta_1.attack01</v>
      </c>
      <c r="M162" s="2" t="str">
        <f t="shared" si="56"/>
        <v/>
      </c>
      <c r="N162" s="2" t="str">
        <f t="shared" si="56"/>
        <v/>
      </c>
      <c r="O162" s="178" t="str">
        <f t="shared" si="56"/>
        <v>Daily.Gold.grima_beta_1.skill01</v>
      </c>
      <c r="P162" s="14" t="str">
        <f t="shared" si="56"/>
        <v>Daily.Gold.grima_beta_1.skill02</v>
      </c>
      <c r="Q162" s="14" t="str">
        <f t="shared" si="56"/>
        <v/>
      </c>
      <c r="R162" s="14" t="str">
        <f t="shared" si="56"/>
        <v/>
      </c>
      <c r="S162" s="14" t="str">
        <f t="shared" si="56"/>
        <v/>
      </c>
      <c r="T162" s="14" t="str">
        <f t="shared" si="56"/>
        <v/>
      </c>
      <c r="U162" s="14" t="str">
        <f t="shared" si="56"/>
        <v/>
      </c>
      <c r="V162" s="5" t="b">
        <f t="shared" si="56"/>
        <v>0</v>
      </c>
      <c r="W162" s="5" t="str">
        <f t="shared" si="56"/>
        <v>Character/Prefabs/m_l_attacker_grima_beta_1</v>
      </c>
      <c r="X162" s="5" t="str">
        <f t="shared" si="56"/>
        <v/>
      </c>
      <c r="Y162" s="5" t="str">
        <f t="shared" si="56"/>
        <v>m_l_attacker_grima_beta_1</v>
      </c>
      <c r="Z162" s="5" t="str">
        <f t="shared" si="56"/>
        <v/>
      </c>
      <c r="AA162" s="5" t="str">
        <f t="shared" si="56"/>
        <v/>
      </c>
      <c r="AB162" s="5" t="str">
        <f t="shared" si="56"/>
        <v/>
      </c>
      <c r="AC162" s="97">
        <f t="shared" si="56"/>
        <v>0.6</v>
      </c>
      <c r="AD162" s="5" t="str">
        <f t="shared" si="56"/>
        <v/>
      </c>
      <c r="AE162" s="5" t="str">
        <f t="shared" si="56"/>
        <v/>
      </c>
      <c r="AF162" s="5" t="str">
        <f t="shared" si="56"/>
        <v/>
      </c>
      <c r="AG162" s="173" t="s">
        <v>2761</v>
      </c>
    </row>
    <row r="163" spans="1:33" x14ac:dyDescent="0.3">
      <c r="A163" s="37">
        <f t="shared" si="40"/>
        <v>1210302009</v>
      </c>
      <c r="B163" s="37" t="str">
        <f t="shared" ref="B163:AF163" si="57">IF(B52 &lt;&gt; "", B52, "")</f>
        <v>Daily.Gold</v>
      </c>
      <c r="C163" s="5" t="str">
        <f t="shared" si="57"/>
        <v>연구소임팩트</v>
      </c>
      <c r="D163" s="5" t="str">
        <f t="shared" si="57"/>
        <v>Monster.Name.labmecha_punch_1</v>
      </c>
      <c r="E163" s="5" t="str">
        <f t="shared" si="57"/>
        <v>Tanker</v>
      </c>
      <c r="F163" s="17" t="str">
        <f t="shared" si="57"/>
        <v>Fac_nul_ind</v>
      </c>
      <c r="G163" s="5" t="str">
        <f t="shared" si="57"/>
        <v>TRUE</v>
      </c>
      <c r="H163" s="5" t="b">
        <f t="shared" si="57"/>
        <v>0</v>
      </c>
      <c r="I163" s="5" t="b">
        <f t="shared" si="57"/>
        <v>0</v>
      </c>
      <c r="J163" s="5">
        <f t="shared" si="57"/>
        <v>10</v>
      </c>
      <c r="K163" s="5">
        <f t="shared" si="57"/>
        <v>10</v>
      </c>
      <c r="L163" s="2" t="str">
        <f t="shared" si="57"/>
        <v>Daily.Gold.labmecha_punch_1.attack01</v>
      </c>
      <c r="M163" s="2" t="str">
        <f t="shared" si="57"/>
        <v/>
      </c>
      <c r="N163" s="2" t="str">
        <f t="shared" si="57"/>
        <v/>
      </c>
      <c r="O163" s="178" t="str">
        <f t="shared" si="57"/>
        <v>Daily.Gold.labmecha_punch_1.skill01</v>
      </c>
      <c r="P163" s="14" t="str">
        <f t="shared" si="57"/>
        <v/>
      </c>
      <c r="Q163" s="14" t="str">
        <f t="shared" si="57"/>
        <v/>
      </c>
      <c r="R163" s="14" t="str">
        <f t="shared" si="57"/>
        <v/>
      </c>
      <c r="S163" s="14" t="str">
        <f t="shared" si="57"/>
        <v/>
      </c>
      <c r="T163" s="14" t="str">
        <f t="shared" si="57"/>
        <v/>
      </c>
      <c r="U163" s="14" t="str">
        <f t="shared" si="57"/>
        <v/>
      </c>
      <c r="V163" s="5" t="b">
        <f t="shared" si="57"/>
        <v>0</v>
      </c>
      <c r="W163" s="5" t="str">
        <f t="shared" si="57"/>
        <v>Character/Prefabs/m_l_tanker_labmecha_punch_1</v>
      </c>
      <c r="X163" s="5" t="str">
        <f t="shared" si="57"/>
        <v/>
      </c>
      <c r="Y163" s="5" t="str">
        <f t="shared" si="57"/>
        <v>m_l_tanker_labmecha_punch_1</v>
      </c>
      <c r="Z163" s="5" t="str">
        <f t="shared" si="57"/>
        <v/>
      </c>
      <c r="AA163" s="5" t="str">
        <f t="shared" si="57"/>
        <v/>
      </c>
      <c r="AB163" s="5" t="str">
        <f t="shared" si="57"/>
        <v/>
      </c>
      <c r="AC163" s="97">
        <f t="shared" si="57"/>
        <v>0.7</v>
      </c>
      <c r="AD163" s="5" t="str">
        <f t="shared" si="57"/>
        <v/>
      </c>
      <c r="AE163" s="5" t="str">
        <f t="shared" si="57"/>
        <v/>
      </c>
      <c r="AF163" s="5" t="str">
        <f t="shared" si="57"/>
        <v/>
      </c>
      <c r="AG163" s="173" t="s">
        <v>2761</v>
      </c>
    </row>
    <row r="164" spans="1:33" x14ac:dyDescent="0.3">
      <c r="A164" s="37">
        <f t="shared" si="40"/>
        <v>1210302010</v>
      </c>
      <c r="B164" s="37" t="str">
        <f t="shared" ref="B164:AF164" si="58">IF(B53 &lt;&gt; "", B53, "")</f>
        <v>Daily.Gold</v>
      </c>
      <c r="C164" s="5" t="str">
        <f t="shared" si="58"/>
        <v>연구소캐논</v>
      </c>
      <c r="D164" s="5" t="str">
        <f t="shared" si="58"/>
        <v>Monster.Name.harbor_cannon_1</v>
      </c>
      <c r="E164" s="5" t="str">
        <f t="shared" si="58"/>
        <v>Ranger</v>
      </c>
      <c r="F164" s="17" t="str">
        <f t="shared" si="58"/>
        <v>Fac_nul_ind</v>
      </c>
      <c r="G164" s="5" t="str">
        <f t="shared" si="58"/>
        <v>TRUE</v>
      </c>
      <c r="H164" s="5" t="b">
        <f t="shared" si="58"/>
        <v>0</v>
      </c>
      <c r="I164" s="5" t="b">
        <f t="shared" si="58"/>
        <v>0</v>
      </c>
      <c r="J164" s="5">
        <f t="shared" si="58"/>
        <v>10</v>
      </c>
      <c r="K164" s="5">
        <f t="shared" si="58"/>
        <v>20</v>
      </c>
      <c r="L164" s="2" t="str">
        <f t="shared" si="58"/>
        <v>Daily.Gold.harbor_cannon_1.attack01</v>
      </c>
      <c r="M164" s="2" t="str">
        <f t="shared" si="58"/>
        <v/>
      </c>
      <c r="N164" s="2" t="str">
        <f t="shared" si="58"/>
        <v/>
      </c>
      <c r="O164" s="178" t="str">
        <f t="shared" si="58"/>
        <v/>
      </c>
      <c r="P164" s="14" t="str">
        <f t="shared" si="58"/>
        <v/>
      </c>
      <c r="Q164" s="14" t="str">
        <f t="shared" si="58"/>
        <v/>
      </c>
      <c r="R164" s="14" t="str">
        <f t="shared" si="58"/>
        <v/>
      </c>
      <c r="S164" s="14" t="str">
        <f t="shared" si="58"/>
        <v/>
      </c>
      <c r="T164" s="14" t="str">
        <f t="shared" si="58"/>
        <v/>
      </c>
      <c r="U164" s="14" t="str">
        <f t="shared" si="58"/>
        <v/>
      </c>
      <c r="V164" s="5" t="b">
        <f t="shared" si="58"/>
        <v>0</v>
      </c>
      <c r="W164" s="5" t="str">
        <f t="shared" si="58"/>
        <v>Character/Prefabs/m_m_ranger_harbor_cannon_1</v>
      </c>
      <c r="X164" s="5" t="str">
        <f t="shared" si="58"/>
        <v/>
      </c>
      <c r="Y164" s="5" t="str">
        <f t="shared" si="58"/>
        <v>m_m_ranger_harbor_cannon_1</v>
      </c>
      <c r="Z164" s="5" t="str">
        <f t="shared" si="58"/>
        <v/>
      </c>
      <c r="AA164" s="5" t="str">
        <f t="shared" si="58"/>
        <v/>
      </c>
      <c r="AB164" s="5" t="str">
        <f t="shared" si="58"/>
        <v/>
      </c>
      <c r="AC164" s="97">
        <f t="shared" si="58"/>
        <v>0.6</v>
      </c>
      <c r="AD164" s="5" t="str">
        <f t="shared" si="58"/>
        <v/>
      </c>
      <c r="AE164" s="5" t="str">
        <f t="shared" si="58"/>
        <v/>
      </c>
      <c r="AF164" s="5" t="str">
        <f t="shared" si="58"/>
        <v/>
      </c>
      <c r="AG164" s="173" t="s">
        <v>2761</v>
      </c>
    </row>
    <row r="165" spans="1:33" x14ac:dyDescent="0.3">
      <c r="A165" s="12">
        <f t="shared" si="40"/>
        <v>1210303001</v>
      </c>
      <c r="B165" s="12" t="str">
        <f t="shared" ref="B165:AF165" si="59">IF(B54 &lt;&gt; "", B54, "")</f>
        <v>Daily.Atk</v>
      </c>
      <c r="C165" s="5" t="str">
        <f t="shared" si="59"/>
        <v>헬파이어드론</v>
      </c>
      <c r="D165" s="76" t="str">
        <f t="shared" si="59"/>
        <v>Monster.Name.Atk.Sub.drone_1</v>
      </c>
      <c r="E165" s="5" t="str">
        <f t="shared" si="59"/>
        <v>None</v>
      </c>
      <c r="F165" s="17" t="str">
        <f t="shared" si="59"/>
        <v>Fac_nul_ind</v>
      </c>
      <c r="G165" s="5" t="str">
        <f t="shared" si="59"/>
        <v>TRUE</v>
      </c>
      <c r="H165" s="5" t="b">
        <f t="shared" si="59"/>
        <v>0</v>
      </c>
      <c r="I165" s="5" t="b">
        <f t="shared" si="59"/>
        <v>0</v>
      </c>
      <c r="J165" s="5">
        <f t="shared" si="59"/>
        <v>10</v>
      </c>
      <c r="K165" s="5">
        <f t="shared" si="59"/>
        <v>10</v>
      </c>
      <c r="L165" s="2" t="str">
        <f t="shared" si="59"/>
        <v>Daily.Atk.hellfire_drone_3.attack01</v>
      </c>
      <c r="M165" s="2" t="str">
        <f t="shared" si="59"/>
        <v/>
      </c>
      <c r="N165" s="2" t="str">
        <f t="shared" si="59"/>
        <v/>
      </c>
      <c r="O165" s="178" t="str">
        <f t="shared" si="59"/>
        <v>Daily.Atk.hellfire_drone_3.passive01</v>
      </c>
      <c r="P165" s="14" t="str">
        <f t="shared" si="59"/>
        <v/>
      </c>
      <c r="Q165" s="14" t="str">
        <f t="shared" si="59"/>
        <v/>
      </c>
      <c r="R165" s="14" t="str">
        <f t="shared" si="59"/>
        <v/>
      </c>
      <c r="S165" s="14" t="str">
        <f t="shared" si="59"/>
        <v/>
      </c>
      <c r="T165" s="14" t="str">
        <f t="shared" si="59"/>
        <v/>
      </c>
      <c r="U165" s="14" t="str">
        <f t="shared" si="59"/>
        <v/>
      </c>
      <c r="V165" s="5" t="b">
        <f t="shared" si="59"/>
        <v>0</v>
      </c>
      <c r="W165" s="5" t="str">
        <f t="shared" si="59"/>
        <v>Character/Prefabs/m_s_ranger_hellfire_drone_3</v>
      </c>
      <c r="X165" s="5" t="str">
        <f t="shared" si="59"/>
        <v/>
      </c>
      <c r="Y165" s="5" t="str">
        <f t="shared" si="59"/>
        <v>m_s_ranger_hellfire_drone_3</v>
      </c>
      <c r="Z165" s="5" t="str">
        <f t="shared" si="59"/>
        <v/>
      </c>
      <c r="AA165" s="5" t="str">
        <f t="shared" si="59"/>
        <v/>
      </c>
      <c r="AB165" s="5" t="str">
        <f t="shared" si="59"/>
        <v/>
      </c>
      <c r="AC165" s="97">
        <f t="shared" si="59"/>
        <v>0.7</v>
      </c>
      <c r="AD165" s="5" t="str">
        <f t="shared" si="59"/>
        <v/>
      </c>
      <c r="AE165" s="5" t="str">
        <f t="shared" si="59"/>
        <v/>
      </c>
      <c r="AF165" s="5" t="str">
        <f t="shared" si="59"/>
        <v/>
      </c>
      <c r="AG165" s="173" t="s">
        <v>2761</v>
      </c>
    </row>
    <row r="166" spans="1:33" x14ac:dyDescent="0.3">
      <c r="A166" s="12">
        <f t="shared" si="40"/>
        <v>1210303002</v>
      </c>
      <c r="B166" s="12" t="str">
        <f t="shared" ref="B166:AF166" si="60">IF(B55 &lt;&gt; "", B55, "")</f>
        <v>Daily.Atk</v>
      </c>
      <c r="C166" s="5" t="str">
        <f t="shared" si="60"/>
        <v>리제네이션드론</v>
      </c>
      <c r="D166" s="76" t="str">
        <f t="shared" si="60"/>
        <v>Monster.Name.Atk.Sub.drone_2</v>
      </c>
      <c r="E166" s="5" t="str">
        <f t="shared" si="60"/>
        <v>None</v>
      </c>
      <c r="F166" s="17" t="str">
        <f t="shared" si="60"/>
        <v>Fac_nul_ind</v>
      </c>
      <c r="G166" s="5" t="str">
        <f t="shared" si="60"/>
        <v>TRUE</v>
      </c>
      <c r="H166" s="5" t="b">
        <f t="shared" si="60"/>
        <v>0</v>
      </c>
      <c r="I166" s="5" t="b">
        <f t="shared" si="60"/>
        <v>0</v>
      </c>
      <c r="J166" s="5">
        <f t="shared" si="60"/>
        <v>10</v>
      </c>
      <c r="K166" s="5">
        <f t="shared" si="60"/>
        <v>10</v>
      </c>
      <c r="L166" s="2" t="str">
        <f t="shared" si="60"/>
        <v>Daily.Atk.regeneration_drone_3.attack01</v>
      </c>
      <c r="M166" s="2" t="str">
        <f t="shared" si="60"/>
        <v/>
      </c>
      <c r="N166" s="2" t="str">
        <f t="shared" si="60"/>
        <v/>
      </c>
      <c r="O166" s="178" t="str">
        <f t="shared" si="60"/>
        <v>Daily.Atk.regeneration_drone_3.passive01</v>
      </c>
      <c r="P166" s="14" t="str">
        <f t="shared" si="60"/>
        <v/>
      </c>
      <c r="Q166" s="14" t="str">
        <f t="shared" si="60"/>
        <v/>
      </c>
      <c r="R166" s="14" t="str">
        <f t="shared" si="60"/>
        <v/>
      </c>
      <c r="S166" s="14" t="str">
        <f t="shared" si="60"/>
        <v/>
      </c>
      <c r="T166" s="14" t="str">
        <f t="shared" si="60"/>
        <v/>
      </c>
      <c r="U166" s="14" t="str">
        <f t="shared" si="60"/>
        <v/>
      </c>
      <c r="V166" s="5" t="b">
        <f t="shared" si="60"/>
        <v>0</v>
      </c>
      <c r="W166" s="5" t="str">
        <f t="shared" si="60"/>
        <v>Character/Prefabs/m_s_supporter_regeneration_drone_3</v>
      </c>
      <c r="X166" s="5" t="str">
        <f t="shared" si="60"/>
        <v/>
      </c>
      <c r="Y166" s="5" t="str">
        <f t="shared" si="60"/>
        <v>m_s_supporter_regeneration_drone_3</v>
      </c>
      <c r="Z166" s="5" t="str">
        <f t="shared" si="60"/>
        <v/>
      </c>
      <c r="AA166" s="5" t="str">
        <f t="shared" si="60"/>
        <v/>
      </c>
      <c r="AB166" s="5" t="str">
        <f t="shared" si="60"/>
        <v/>
      </c>
      <c r="AC166" s="97">
        <f t="shared" si="60"/>
        <v>0.7</v>
      </c>
      <c r="AD166" s="5" t="str">
        <f t="shared" si="60"/>
        <v/>
      </c>
      <c r="AE166" s="5" t="str">
        <f t="shared" si="60"/>
        <v/>
      </c>
      <c r="AF166" s="5" t="str">
        <f t="shared" si="60"/>
        <v/>
      </c>
      <c r="AG166" s="173" t="s">
        <v>2761</v>
      </c>
    </row>
    <row r="167" spans="1:33" x14ac:dyDescent="0.3">
      <c r="A167" s="12">
        <f t="shared" si="40"/>
        <v>1210303003</v>
      </c>
      <c r="B167" s="12" t="str">
        <f t="shared" ref="B167:AF167" si="61">IF(B56 &lt;&gt; "", B56, "")</f>
        <v>Daily.Atk</v>
      </c>
      <c r="C167" s="5" t="str">
        <f t="shared" si="61"/>
        <v>쉘터청소부g1</v>
      </c>
      <c r="D167" s="5" t="str">
        <f t="shared" si="61"/>
        <v>Monster.Name.shelter_sweeper_g_1</v>
      </c>
      <c r="E167" s="5" t="str">
        <f t="shared" si="61"/>
        <v>Tanker</v>
      </c>
      <c r="F167" s="17" t="str">
        <f t="shared" si="61"/>
        <v>Fac_nul_ind</v>
      </c>
      <c r="G167" s="5" t="str">
        <f t="shared" si="61"/>
        <v>TRUE</v>
      </c>
      <c r="H167" s="5" t="b">
        <f t="shared" si="61"/>
        <v>1</v>
      </c>
      <c r="I167" s="5" t="b">
        <f t="shared" si="61"/>
        <v>1</v>
      </c>
      <c r="J167" s="5">
        <f t="shared" si="61"/>
        <v>20</v>
      </c>
      <c r="K167" s="5">
        <f t="shared" si="61"/>
        <v>10</v>
      </c>
      <c r="L167" s="2" t="str">
        <f t="shared" si="61"/>
        <v>Daily.Atk.shelter_sweeper_g_1.attack01</v>
      </c>
      <c r="M167" s="2" t="str">
        <f t="shared" si="61"/>
        <v/>
      </c>
      <c r="N167" s="2" t="str">
        <f t="shared" si="61"/>
        <v/>
      </c>
      <c r="O167" s="178" t="str">
        <f t="shared" si="61"/>
        <v>Daily.Atk.shelter_sweeper_g_1.skill01</v>
      </c>
      <c r="P167" s="14" t="str">
        <f t="shared" si="61"/>
        <v>Daily.Atk.shelter_sweeper_g_1.skill02</v>
      </c>
      <c r="Q167" s="14" t="str">
        <f t="shared" si="61"/>
        <v>Daily.Atk.Boss.passive01</v>
      </c>
      <c r="R167" s="14" t="str">
        <f t="shared" si="61"/>
        <v/>
      </c>
      <c r="S167" s="14" t="str">
        <f t="shared" si="61"/>
        <v>Daily.Atk.Boss.End.passive01</v>
      </c>
      <c r="T167" s="14" t="str">
        <f t="shared" si="61"/>
        <v/>
      </c>
      <c r="U167" s="14" t="str">
        <f t="shared" si="61"/>
        <v/>
      </c>
      <c r="V167" s="5" t="b">
        <f t="shared" si="61"/>
        <v>0</v>
      </c>
      <c r="W167" s="5" t="str">
        <f t="shared" si="61"/>
        <v>Character/Prefabs/m_m_tanker_shelter_sweeper_g_1</v>
      </c>
      <c r="X167" s="5" t="str">
        <f t="shared" si="61"/>
        <v/>
      </c>
      <c r="Y167" s="5" t="str">
        <f t="shared" si="61"/>
        <v>m_m_tanker_shelter_sweeper_g_1</v>
      </c>
      <c r="Z167" s="5" t="str">
        <f t="shared" si="61"/>
        <v/>
      </c>
      <c r="AA167" s="5" t="str">
        <f t="shared" si="61"/>
        <v/>
      </c>
      <c r="AB167" s="5" t="str">
        <f t="shared" si="61"/>
        <v/>
      </c>
      <c r="AC167" s="97">
        <f t="shared" si="61"/>
        <v>1</v>
      </c>
      <c r="AD167" s="5" t="str">
        <f t="shared" si="61"/>
        <v/>
      </c>
      <c r="AE167" s="5" t="str">
        <f t="shared" si="61"/>
        <v/>
      </c>
      <c r="AF167" s="5" t="str">
        <f t="shared" si="61"/>
        <v/>
      </c>
      <c r="AG167" s="173" t="s">
        <v>2761</v>
      </c>
    </row>
    <row r="168" spans="1:33" x14ac:dyDescent="0.3">
      <c r="A168" s="37">
        <f t="shared" si="40"/>
        <v>1210304001</v>
      </c>
      <c r="B168" s="37" t="str">
        <f t="shared" ref="B168:AF168" si="62">IF(B57 &lt;&gt; "", B57, "")</f>
        <v>Daily.Def</v>
      </c>
      <c r="C168" s="5" t="str">
        <f t="shared" si="62"/>
        <v>브레인헌터</v>
      </c>
      <c r="D168" s="5" t="str">
        <f t="shared" si="62"/>
        <v>Monster.Name.brain_hunter_1</v>
      </c>
      <c r="E168" s="5" t="str">
        <f t="shared" si="62"/>
        <v>Attacker</v>
      </c>
      <c r="F168" s="17" t="str">
        <f t="shared" si="62"/>
        <v>Fac_nul_ind</v>
      </c>
      <c r="G168" s="5" t="str">
        <f t="shared" si="62"/>
        <v>TRUE</v>
      </c>
      <c r="H168" s="5" t="b">
        <f t="shared" si="62"/>
        <v>0</v>
      </c>
      <c r="I168" s="5" t="b">
        <f t="shared" si="62"/>
        <v>0</v>
      </c>
      <c r="J168" s="5">
        <f t="shared" si="62"/>
        <v>10</v>
      </c>
      <c r="K168" s="5">
        <f t="shared" si="62"/>
        <v>10</v>
      </c>
      <c r="L168" s="2" t="str">
        <f t="shared" si="62"/>
        <v>Daily.Def.brain_hunter_1.attack01</v>
      </c>
      <c r="M168" s="2" t="str">
        <f t="shared" si="62"/>
        <v/>
      </c>
      <c r="N168" s="2" t="str">
        <f t="shared" si="62"/>
        <v/>
      </c>
      <c r="O168" s="178" t="str">
        <f t="shared" si="62"/>
        <v>Daily.Def.brain_hunter_1.skill01</v>
      </c>
      <c r="P168" s="14" t="str">
        <f t="shared" si="62"/>
        <v>Daily.Def.DamageUp.passive01</v>
      </c>
      <c r="Q168" s="14" t="str">
        <f t="shared" si="62"/>
        <v/>
      </c>
      <c r="R168" s="14" t="str">
        <f t="shared" si="62"/>
        <v/>
      </c>
      <c r="S168" s="14" t="str">
        <f t="shared" si="62"/>
        <v/>
      </c>
      <c r="T168" s="14" t="str">
        <f t="shared" si="62"/>
        <v/>
      </c>
      <c r="U168" s="14" t="str">
        <f t="shared" si="62"/>
        <v/>
      </c>
      <c r="V168" s="5" t="b">
        <f t="shared" si="62"/>
        <v>0</v>
      </c>
      <c r="W168" s="5" t="str">
        <f t="shared" si="62"/>
        <v>Character/Prefabs/m_s_attacker_brain_hunter_1</v>
      </c>
      <c r="X168" s="5" t="str">
        <f t="shared" si="62"/>
        <v/>
      </c>
      <c r="Y168" s="5" t="str">
        <f t="shared" si="62"/>
        <v>m_s_attacker_brain_hunter_1</v>
      </c>
      <c r="Z168" s="5" t="str">
        <f t="shared" si="62"/>
        <v/>
      </c>
      <c r="AA168" s="5" t="str">
        <f t="shared" si="62"/>
        <v/>
      </c>
      <c r="AB168" s="5" t="str">
        <f t="shared" si="62"/>
        <v/>
      </c>
      <c r="AC168" s="97">
        <f t="shared" si="62"/>
        <v>1</v>
      </c>
      <c r="AD168" s="5" t="str">
        <f t="shared" si="62"/>
        <v/>
      </c>
      <c r="AE168" s="5" t="str">
        <f t="shared" si="62"/>
        <v/>
      </c>
      <c r="AF168" s="5" t="str">
        <f t="shared" si="62"/>
        <v/>
      </c>
      <c r="AG168" s="173" t="s">
        <v>2761</v>
      </c>
    </row>
    <row r="169" spans="1:33" x14ac:dyDescent="0.3">
      <c r="A169" s="37">
        <f t="shared" si="40"/>
        <v>1210304002</v>
      </c>
      <c r="B169" s="37" t="str">
        <f t="shared" ref="B169:AF169" si="63">IF(B58 &lt;&gt; "", B58, "")</f>
        <v>Daily.Def</v>
      </c>
      <c r="C169" s="5" t="str">
        <f t="shared" si="63"/>
        <v>오염체익스플로더</v>
      </c>
      <c r="D169" s="5" t="str">
        <f t="shared" si="63"/>
        <v>Monster.Name.polluter_exploder_1</v>
      </c>
      <c r="E169" s="5" t="str">
        <f t="shared" si="63"/>
        <v>Attacker</v>
      </c>
      <c r="F169" s="17" t="str">
        <f t="shared" si="63"/>
        <v>Fac_nul_ind</v>
      </c>
      <c r="G169" s="5" t="str">
        <f t="shared" si="63"/>
        <v>TRUE</v>
      </c>
      <c r="H169" s="5" t="b">
        <f t="shared" si="63"/>
        <v>0</v>
      </c>
      <c r="I169" s="5" t="b">
        <f t="shared" si="63"/>
        <v>0</v>
      </c>
      <c r="J169" s="5">
        <f t="shared" si="63"/>
        <v>10</v>
      </c>
      <c r="K169" s="5">
        <f t="shared" si="63"/>
        <v>10</v>
      </c>
      <c r="L169" s="2" t="str">
        <f t="shared" si="63"/>
        <v>Daily.Def.polluter_exploder_1.attack01</v>
      </c>
      <c r="M169" s="2" t="str">
        <f t="shared" si="63"/>
        <v/>
      </c>
      <c r="N169" s="2" t="str">
        <f t="shared" si="63"/>
        <v/>
      </c>
      <c r="O169" s="178" t="str">
        <f t="shared" si="63"/>
        <v>Daily.Def.polluter_exploder_1.skill01</v>
      </c>
      <c r="P169" s="14" t="str">
        <f t="shared" si="63"/>
        <v>Daily.Def.DamageUp.passive01</v>
      </c>
      <c r="Q169" s="14" t="str">
        <f t="shared" si="63"/>
        <v/>
      </c>
      <c r="R169" s="14" t="str">
        <f t="shared" si="63"/>
        <v/>
      </c>
      <c r="S169" s="14" t="str">
        <f t="shared" si="63"/>
        <v/>
      </c>
      <c r="T169" s="14" t="str">
        <f t="shared" si="63"/>
        <v/>
      </c>
      <c r="U169" s="14" t="str">
        <f t="shared" si="63"/>
        <v/>
      </c>
      <c r="V169" s="5" t="b">
        <f t="shared" si="63"/>
        <v>0</v>
      </c>
      <c r="W169" s="5" t="str">
        <f t="shared" si="63"/>
        <v>Character/Prefabs/m_s_attacker_polluter_exploder_1</v>
      </c>
      <c r="X169" s="5" t="str">
        <f t="shared" si="63"/>
        <v/>
      </c>
      <c r="Y169" s="5" t="str">
        <f t="shared" si="63"/>
        <v>m_s_attacker_polluter_exploder_1</v>
      </c>
      <c r="Z169" s="5" t="str">
        <f t="shared" si="63"/>
        <v/>
      </c>
      <c r="AA169" s="5" t="str">
        <f t="shared" si="63"/>
        <v/>
      </c>
      <c r="AB169" s="5" t="str">
        <f t="shared" si="63"/>
        <v/>
      </c>
      <c r="AC169" s="97">
        <f t="shared" si="63"/>
        <v>1.5</v>
      </c>
      <c r="AD169" s="5" t="str">
        <f t="shared" si="63"/>
        <v/>
      </c>
      <c r="AE169" s="5" t="str">
        <f t="shared" si="63"/>
        <v/>
      </c>
      <c r="AF169" s="5" t="str">
        <f t="shared" si="63"/>
        <v/>
      </c>
      <c r="AG169" s="173" t="s">
        <v>2761</v>
      </c>
    </row>
    <row r="170" spans="1:33" x14ac:dyDescent="0.3">
      <c r="A170" s="13">
        <f t="shared" si="40"/>
        <v>1210305001</v>
      </c>
      <c r="B170" s="13" t="str">
        <f t="shared" ref="B170:AF170" si="64">IF(B59 &lt;&gt; "", B59, "")</f>
        <v>Daily.Seed</v>
      </c>
      <c r="C170" s="5" t="str">
        <f t="shared" si="64"/>
        <v>헤비트루퍼플레임</v>
      </c>
      <c r="D170" s="5" t="str">
        <f t="shared" si="64"/>
        <v>Monster.Name.heavy_trooper_flame_1</v>
      </c>
      <c r="E170" s="5" t="str">
        <f t="shared" si="64"/>
        <v>Attacker</v>
      </c>
      <c r="F170" s="17" t="str">
        <f t="shared" si="64"/>
        <v>Fac_nul_ind</v>
      </c>
      <c r="G170" s="5" t="str">
        <f t="shared" si="64"/>
        <v>TRUE</v>
      </c>
      <c r="H170" s="5" t="b">
        <f t="shared" si="64"/>
        <v>0</v>
      </c>
      <c r="I170" s="5" t="b">
        <f t="shared" si="64"/>
        <v>0</v>
      </c>
      <c r="J170" s="5">
        <f t="shared" si="64"/>
        <v>10</v>
      </c>
      <c r="K170" s="5">
        <f t="shared" si="64"/>
        <v>10</v>
      </c>
      <c r="L170" s="2" t="str">
        <f t="shared" si="64"/>
        <v>Daily.Seed.trooper_inferno_1.attack01</v>
      </c>
      <c r="M170" s="2" t="str">
        <f t="shared" si="64"/>
        <v/>
      </c>
      <c r="N170" s="2" t="str">
        <f t="shared" si="64"/>
        <v/>
      </c>
      <c r="O170" s="178" t="str">
        <f t="shared" si="64"/>
        <v>Daily.Seed.trooper_inferno_1.skill01</v>
      </c>
      <c r="P170" s="14" t="str">
        <f t="shared" si="64"/>
        <v/>
      </c>
      <c r="Q170" s="14" t="str">
        <f t="shared" si="64"/>
        <v/>
      </c>
      <c r="R170" s="14" t="str">
        <f t="shared" si="64"/>
        <v/>
      </c>
      <c r="S170" s="14" t="str">
        <f t="shared" si="64"/>
        <v/>
      </c>
      <c r="T170" s="14" t="str">
        <f t="shared" si="64"/>
        <v/>
      </c>
      <c r="U170" s="14" t="str">
        <f t="shared" si="64"/>
        <v/>
      </c>
      <c r="V170" s="5" t="b">
        <f t="shared" si="64"/>
        <v>0</v>
      </c>
      <c r="W170" s="5" t="str">
        <f t="shared" si="64"/>
        <v>Character/Prefabs/m_m_attacker_heavy_trooper_flame_1</v>
      </c>
      <c r="X170" s="5" t="str">
        <f t="shared" si="64"/>
        <v/>
      </c>
      <c r="Y170" s="5" t="str">
        <f t="shared" si="64"/>
        <v>m_m_attacker_heavy_trooper_flame_1</v>
      </c>
      <c r="Z170" s="5" t="str">
        <f t="shared" si="64"/>
        <v/>
      </c>
      <c r="AA170" s="5" t="str">
        <f t="shared" si="64"/>
        <v/>
      </c>
      <c r="AB170" s="5" t="str">
        <f t="shared" si="64"/>
        <v/>
      </c>
      <c r="AC170" s="97">
        <f t="shared" si="64"/>
        <v>0.7</v>
      </c>
      <c r="AD170" s="5" t="str">
        <f t="shared" si="64"/>
        <v/>
      </c>
      <c r="AE170" s="5" t="str">
        <f t="shared" si="64"/>
        <v/>
      </c>
      <c r="AF170" s="5" t="str">
        <f t="shared" si="64"/>
        <v/>
      </c>
      <c r="AG170" s="173" t="s">
        <v>2761</v>
      </c>
    </row>
    <row r="171" spans="1:33" x14ac:dyDescent="0.3">
      <c r="A171" s="13">
        <f t="shared" si="40"/>
        <v>1210305002</v>
      </c>
      <c r="B171" s="13" t="str">
        <f t="shared" ref="B171:AF171" si="65">IF(B60 &lt;&gt; "", B60, "")</f>
        <v>Daily.Seed</v>
      </c>
      <c r="C171" s="5" t="str">
        <f t="shared" si="65"/>
        <v>헤비트루퍼라이플</v>
      </c>
      <c r="D171" s="5" t="str">
        <f t="shared" si="65"/>
        <v>Monster.Name.heavy_trooper_rifle_1</v>
      </c>
      <c r="E171" s="5" t="str">
        <f t="shared" si="65"/>
        <v>Ranger</v>
      </c>
      <c r="F171" s="17" t="str">
        <f t="shared" si="65"/>
        <v>Fac_nul_ind</v>
      </c>
      <c r="G171" s="5" t="str">
        <f t="shared" si="65"/>
        <v>TRUE</v>
      </c>
      <c r="H171" s="5" t="b">
        <f t="shared" si="65"/>
        <v>0</v>
      </c>
      <c r="I171" s="5" t="b">
        <f t="shared" si="65"/>
        <v>0</v>
      </c>
      <c r="J171" s="5">
        <f t="shared" si="65"/>
        <v>10</v>
      </c>
      <c r="K171" s="5">
        <f t="shared" si="65"/>
        <v>10</v>
      </c>
      <c r="L171" s="2" t="str">
        <f t="shared" si="65"/>
        <v>Daily.Seed.trooper_sniper_1.attack01</v>
      </c>
      <c r="M171" s="2" t="str">
        <f t="shared" si="65"/>
        <v/>
      </c>
      <c r="N171" s="2" t="str">
        <f t="shared" si="65"/>
        <v/>
      </c>
      <c r="O171" s="178" t="str">
        <f t="shared" si="65"/>
        <v>Daily.Seed.trooper_sniper_1.skill01</v>
      </c>
      <c r="P171" s="14" t="str">
        <f t="shared" si="65"/>
        <v/>
      </c>
      <c r="Q171" s="14" t="str">
        <f t="shared" si="65"/>
        <v/>
      </c>
      <c r="R171" s="14" t="str">
        <f t="shared" si="65"/>
        <v/>
      </c>
      <c r="S171" s="14" t="str">
        <f t="shared" si="65"/>
        <v/>
      </c>
      <c r="T171" s="14" t="str">
        <f t="shared" si="65"/>
        <v/>
      </c>
      <c r="U171" s="14" t="str">
        <f t="shared" si="65"/>
        <v/>
      </c>
      <c r="V171" s="5" t="b">
        <f t="shared" si="65"/>
        <v>0</v>
      </c>
      <c r="W171" s="5" t="str">
        <f t="shared" si="65"/>
        <v>Character/Prefabs/m_m_ranger_heavy_trooper_rifle_1</v>
      </c>
      <c r="X171" s="5" t="str">
        <f t="shared" si="65"/>
        <v/>
      </c>
      <c r="Y171" s="5" t="str">
        <f t="shared" si="65"/>
        <v>m_m_ranger_heavy_trooper_rifle_1</v>
      </c>
      <c r="Z171" s="5" t="str">
        <f t="shared" si="65"/>
        <v/>
      </c>
      <c r="AA171" s="5" t="str">
        <f t="shared" si="65"/>
        <v/>
      </c>
      <c r="AB171" s="5" t="str">
        <f t="shared" si="65"/>
        <v/>
      </c>
      <c r="AC171" s="97">
        <f t="shared" si="65"/>
        <v>0.7</v>
      </c>
      <c r="AD171" s="5" t="str">
        <f t="shared" si="65"/>
        <v/>
      </c>
      <c r="AE171" s="5" t="str">
        <f t="shared" si="65"/>
        <v/>
      </c>
      <c r="AF171" s="5" t="str">
        <f t="shared" si="65"/>
        <v/>
      </c>
      <c r="AG171" s="173" t="s">
        <v>2761</v>
      </c>
    </row>
    <row r="172" spans="1:33" x14ac:dyDescent="0.3">
      <c r="A172" s="13">
        <f t="shared" si="40"/>
        <v>1210305003</v>
      </c>
      <c r="B172" s="13" t="str">
        <f t="shared" ref="B172:AF172" si="66">IF(B61 &lt;&gt; "", B61, "")</f>
        <v>Daily.Seed</v>
      </c>
      <c r="C172" s="5" t="str">
        <f t="shared" si="66"/>
        <v>헤비트루퍼건틀릿</v>
      </c>
      <c r="D172" s="5" t="str">
        <f t="shared" si="66"/>
        <v>Monster.Name.heavy_trooper_guantlet_1</v>
      </c>
      <c r="E172" s="5" t="str">
        <f t="shared" si="66"/>
        <v>Attacker</v>
      </c>
      <c r="F172" s="17" t="str">
        <f t="shared" si="66"/>
        <v>Fac_nul_ind</v>
      </c>
      <c r="G172" s="5" t="str">
        <f t="shared" si="66"/>
        <v>TRUE</v>
      </c>
      <c r="H172" s="5" t="b">
        <f t="shared" si="66"/>
        <v>0</v>
      </c>
      <c r="I172" s="5" t="b">
        <f t="shared" si="66"/>
        <v>0</v>
      </c>
      <c r="J172" s="5">
        <f t="shared" si="66"/>
        <v>10</v>
      </c>
      <c r="K172" s="5">
        <f t="shared" si="66"/>
        <v>10</v>
      </c>
      <c r="L172" s="2" t="str">
        <f t="shared" si="66"/>
        <v>Daily.Seed.trooper_champion_1.attack01</v>
      </c>
      <c r="M172" s="2" t="str">
        <f t="shared" si="66"/>
        <v/>
      </c>
      <c r="N172" s="2" t="str">
        <f t="shared" si="66"/>
        <v/>
      </c>
      <c r="O172" s="178" t="str">
        <f t="shared" si="66"/>
        <v>Daily.Seed.trooper_champion_1.skill01</v>
      </c>
      <c r="P172" s="14" t="str">
        <f t="shared" si="66"/>
        <v>Daily.Seed.trooper_champion_1.skill02</v>
      </c>
      <c r="Q172" s="14" t="str">
        <f t="shared" si="66"/>
        <v/>
      </c>
      <c r="R172" s="14" t="str">
        <f t="shared" si="66"/>
        <v/>
      </c>
      <c r="S172" s="14" t="str">
        <f t="shared" si="66"/>
        <v/>
      </c>
      <c r="T172" s="14" t="str">
        <f t="shared" si="66"/>
        <v/>
      </c>
      <c r="U172" s="14" t="str">
        <f t="shared" si="66"/>
        <v/>
      </c>
      <c r="V172" s="5" t="b">
        <f t="shared" si="66"/>
        <v>0</v>
      </c>
      <c r="W172" s="5" t="str">
        <f t="shared" si="66"/>
        <v>Character/Prefabs/m_m_attacker_heavy_trooper_guantlet_1</v>
      </c>
      <c r="X172" s="5" t="str">
        <f t="shared" si="66"/>
        <v/>
      </c>
      <c r="Y172" s="5" t="str">
        <f t="shared" si="66"/>
        <v>m_m_attacker_heavy_trooper_guantlet_1</v>
      </c>
      <c r="Z172" s="5" t="str">
        <f t="shared" si="66"/>
        <v/>
      </c>
      <c r="AA172" s="5" t="str">
        <f t="shared" si="66"/>
        <v/>
      </c>
      <c r="AB172" s="5" t="str">
        <f t="shared" si="66"/>
        <v/>
      </c>
      <c r="AC172" s="97">
        <f t="shared" si="66"/>
        <v>0.7</v>
      </c>
      <c r="AD172" s="5" t="str">
        <f t="shared" si="66"/>
        <v/>
      </c>
      <c r="AE172" s="5" t="str">
        <f t="shared" si="66"/>
        <v/>
      </c>
      <c r="AF172" s="5" t="str">
        <f t="shared" si="66"/>
        <v/>
      </c>
      <c r="AG172" s="173" t="s">
        <v>2761</v>
      </c>
    </row>
    <row r="173" spans="1:33" x14ac:dyDescent="0.3">
      <c r="A173" s="13">
        <f t="shared" si="40"/>
        <v>1210305004</v>
      </c>
      <c r="B173" s="13" t="str">
        <f t="shared" ref="B173:AF173" si="67">IF(B62 &lt;&gt; "", B62, "")</f>
        <v>Daily.Seed</v>
      </c>
      <c r="C173" s="5" t="str">
        <f t="shared" si="67"/>
        <v>헤비트루퍼실드</v>
      </c>
      <c r="D173" s="5" t="str">
        <f t="shared" si="67"/>
        <v>Monster.Name.heavy_trooper_shield_1</v>
      </c>
      <c r="E173" s="5" t="str">
        <f t="shared" si="67"/>
        <v>Tanker</v>
      </c>
      <c r="F173" s="17" t="str">
        <f t="shared" si="67"/>
        <v>Fac_nul_ind</v>
      </c>
      <c r="G173" s="5" t="str">
        <f t="shared" si="67"/>
        <v>TRUE</v>
      </c>
      <c r="H173" s="5" t="b">
        <f t="shared" si="67"/>
        <v>0</v>
      </c>
      <c r="I173" s="5" t="b">
        <f t="shared" si="67"/>
        <v>0</v>
      </c>
      <c r="J173" s="5">
        <f t="shared" si="67"/>
        <v>10</v>
      </c>
      <c r="K173" s="5">
        <f t="shared" si="67"/>
        <v>10</v>
      </c>
      <c r="L173" s="2" t="str">
        <f t="shared" si="67"/>
        <v>Daily.Seed.trooper_guard_1.attack01</v>
      </c>
      <c r="M173" s="2" t="str">
        <f t="shared" si="67"/>
        <v/>
      </c>
      <c r="N173" s="2" t="str">
        <f t="shared" si="67"/>
        <v/>
      </c>
      <c r="O173" s="178" t="str">
        <f t="shared" si="67"/>
        <v>Daily.Seed.trooper_guard_1.skill01</v>
      </c>
      <c r="P173" s="14" t="str">
        <f t="shared" si="67"/>
        <v/>
      </c>
      <c r="Q173" s="14" t="str">
        <f t="shared" si="67"/>
        <v/>
      </c>
      <c r="R173" s="14" t="str">
        <f t="shared" si="67"/>
        <v/>
      </c>
      <c r="S173" s="14" t="str">
        <f t="shared" si="67"/>
        <v/>
      </c>
      <c r="T173" s="14" t="str">
        <f t="shared" si="67"/>
        <v/>
      </c>
      <c r="U173" s="14" t="str">
        <f t="shared" si="67"/>
        <v/>
      </c>
      <c r="V173" s="5" t="b">
        <f t="shared" si="67"/>
        <v>0</v>
      </c>
      <c r="W173" s="5" t="str">
        <f t="shared" si="67"/>
        <v>Character/Prefabs/m_m_tanker_heavy_trooper_shield_1</v>
      </c>
      <c r="X173" s="5" t="str">
        <f t="shared" si="67"/>
        <v/>
      </c>
      <c r="Y173" s="5" t="str">
        <f t="shared" si="67"/>
        <v>m_m_tanker_heavy_trooper_shield_1</v>
      </c>
      <c r="Z173" s="5" t="str">
        <f t="shared" si="67"/>
        <v/>
      </c>
      <c r="AA173" s="5" t="str">
        <f t="shared" si="67"/>
        <v/>
      </c>
      <c r="AB173" s="5" t="str">
        <f t="shared" si="67"/>
        <v/>
      </c>
      <c r="AC173" s="97">
        <f t="shared" si="67"/>
        <v>0.8</v>
      </c>
      <c r="AD173" s="5" t="str">
        <f t="shared" si="67"/>
        <v/>
      </c>
      <c r="AE173" s="5" t="str">
        <f t="shared" si="67"/>
        <v/>
      </c>
      <c r="AF173" s="5" t="str">
        <f t="shared" si="67"/>
        <v/>
      </c>
      <c r="AG173" s="173" t="s">
        <v>2761</v>
      </c>
    </row>
    <row r="174" spans="1:33" x14ac:dyDescent="0.3">
      <c r="A174" s="45">
        <f t="shared" si="40"/>
        <v>1210305005</v>
      </c>
      <c r="B174" s="45" t="str">
        <f t="shared" ref="B174:AF174" si="68">IF(B63 &lt;&gt; "", B63, "")</f>
        <v>Daily.Seed</v>
      </c>
      <c r="C174" s="5" t="str">
        <f t="shared" si="68"/>
        <v>친절한엣지아이볼</v>
      </c>
      <c r="D174" s="5" t="str">
        <f t="shared" si="68"/>
        <v>Monster.Name.friendly_edge_eyeball_1</v>
      </c>
      <c r="E174" s="5" t="str">
        <f t="shared" si="68"/>
        <v>Attacker</v>
      </c>
      <c r="F174" s="17" t="str">
        <f t="shared" si="68"/>
        <v>Fac_nul_ind</v>
      </c>
      <c r="G174" s="5" t="str">
        <f t="shared" si="68"/>
        <v>TRUE</v>
      </c>
      <c r="H174" s="5" t="b">
        <f t="shared" si="68"/>
        <v>1</v>
      </c>
      <c r="I174" s="5" t="b">
        <f t="shared" si="68"/>
        <v>1</v>
      </c>
      <c r="J174" s="5">
        <f t="shared" si="68"/>
        <v>10</v>
      </c>
      <c r="K174" s="5">
        <f t="shared" si="68"/>
        <v>10</v>
      </c>
      <c r="L174" s="2" t="str">
        <f t="shared" si="68"/>
        <v>Daily.Seed.friendly_edge_eyeball_1.attack01</v>
      </c>
      <c r="M174" s="2" t="str">
        <f t="shared" si="68"/>
        <v/>
      </c>
      <c r="N174" s="2" t="str">
        <f t="shared" si="68"/>
        <v/>
      </c>
      <c r="O174" s="178" t="str">
        <f t="shared" si="68"/>
        <v>Daily.Seed.friendly_edge_eyeball_1.skill01</v>
      </c>
      <c r="P174" s="14" t="str">
        <f t="shared" si="68"/>
        <v>Daily.Seed.friendly_edge_eyeball_1.passive01</v>
      </c>
      <c r="Q174" s="14" t="str">
        <f t="shared" si="68"/>
        <v/>
      </c>
      <c r="R174" s="14" t="str">
        <f t="shared" si="68"/>
        <v/>
      </c>
      <c r="S174" s="14" t="str">
        <f t="shared" si="68"/>
        <v/>
      </c>
      <c r="T174" s="14" t="str">
        <f t="shared" si="68"/>
        <v/>
      </c>
      <c r="U174" s="14" t="str">
        <f t="shared" si="68"/>
        <v/>
      </c>
      <c r="V174" s="5" t="b">
        <f t="shared" si="68"/>
        <v>0</v>
      </c>
      <c r="W174" s="5" t="str">
        <f t="shared" si="68"/>
        <v>Character/Prefabs/m_m_attacker_friendly_edge_eyeball_1</v>
      </c>
      <c r="X174" s="5" t="str">
        <f t="shared" si="68"/>
        <v/>
      </c>
      <c r="Y174" s="5" t="str">
        <f t="shared" si="68"/>
        <v>m_m_attacker_friendly_edge_eyeball_1</v>
      </c>
      <c r="Z174" s="5" t="str">
        <f t="shared" si="68"/>
        <v/>
      </c>
      <c r="AA174" s="5" t="str">
        <f t="shared" si="68"/>
        <v/>
      </c>
      <c r="AB174" s="5" t="str">
        <f t="shared" si="68"/>
        <v/>
      </c>
      <c r="AC174" s="97">
        <f t="shared" si="68"/>
        <v>1.5</v>
      </c>
      <c r="AD174" s="5" t="str">
        <f t="shared" si="68"/>
        <v/>
      </c>
      <c r="AE174" s="5" t="str">
        <f t="shared" si="68"/>
        <v/>
      </c>
      <c r="AF174" s="5" t="str">
        <f t="shared" si="68"/>
        <v/>
      </c>
      <c r="AG174" s="173" t="s">
        <v>2761</v>
      </c>
    </row>
    <row r="175" spans="1:33" x14ac:dyDescent="0.3">
      <c r="A175" s="13">
        <f t="shared" si="40"/>
        <v>1210305006</v>
      </c>
      <c r="B175" s="13" t="str">
        <f t="shared" ref="B175:AF175" si="69">IF(B64 &lt;&gt; "", B64, "")</f>
        <v>Daily.Seed</v>
      </c>
      <c r="C175" s="5" t="str">
        <f t="shared" si="69"/>
        <v>친절한전기아이볼</v>
      </c>
      <c r="D175" s="5" t="str">
        <f t="shared" si="69"/>
        <v>Monster.Name.friendly_electric_eyeball_1</v>
      </c>
      <c r="E175" s="5" t="str">
        <f t="shared" si="69"/>
        <v>Ranger</v>
      </c>
      <c r="F175" s="17" t="str">
        <f t="shared" si="69"/>
        <v>Fac_nul_ind</v>
      </c>
      <c r="G175" s="5" t="str">
        <f t="shared" si="69"/>
        <v>TRUE</v>
      </c>
      <c r="H175" s="5" t="b">
        <f t="shared" si="69"/>
        <v>0</v>
      </c>
      <c r="I175" s="5" t="b">
        <f t="shared" si="69"/>
        <v>0</v>
      </c>
      <c r="J175" s="5">
        <f t="shared" si="69"/>
        <v>10</v>
      </c>
      <c r="K175" s="5">
        <f t="shared" si="69"/>
        <v>10</v>
      </c>
      <c r="L175" s="2" t="str">
        <f t="shared" si="69"/>
        <v>Daily.Seed.friendly_electric_eyeball_1.attack01</v>
      </c>
      <c r="M175" s="2" t="str">
        <f t="shared" si="69"/>
        <v/>
      </c>
      <c r="N175" s="2" t="str">
        <f t="shared" si="69"/>
        <v/>
      </c>
      <c r="O175" s="178" t="str">
        <f t="shared" si="69"/>
        <v>Daily.Seed.friendly_electric_eyeball_1.skill01</v>
      </c>
      <c r="P175" s="14" t="str">
        <f t="shared" si="69"/>
        <v/>
      </c>
      <c r="Q175" s="14" t="str">
        <f t="shared" si="69"/>
        <v/>
      </c>
      <c r="R175" s="14" t="str">
        <f t="shared" si="69"/>
        <v/>
      </c>
      <c r="S175" s="14" t="str">
        <f t="shared" si="69"/>
        <v/>
      </c>
      <c r="T175" s="14" t="str">
        <f t="shared" si="69"/>
        <v/>
      </c>
      <c r="U175" s="14" t="str">
        <f t="shared" si="69"/>
        <v/>
      </c>
      <c r="V175" s="5" t="b">
        <f t="shared" si="69"/>
        <v>0</v>
      </c>
      <c r="W175" s="5" t="str">
        <f t="shared" si="69"/>
        <v>Character/Prefabs/m_m_ranger_friendly_electric_eyeball_1</v>
      </c>
      <c r="X175" s="5" t="str">
        <f t="shared" si="69"/>
        <v/>
      </c>
      <c r="Y175" s="5" t="str">
        <f t="shared" si="69"/>
        <v>m_m_ranger_friendly_electric_eyeball_1</v>
      </c>
      <c r="Z175" s="5" t="str">
        <f t="shared" si="69"/>
        <v/>
      </c>
      <c r="AA175" s="5" t="str">
        <f t="shared" si="69"/>
        <v/>
      </c>
      <c r="AB175" s="5" t="str">
        <f t="shared" si="69"/>
        <v/>
      </c>
      <c r="AC175" s="97">
        <f t="shared" si="69"/>
        <v>0.9</v>
      </c>
      <c r="AD175" s="5" t="str">
        <f t="shared" si="69"/>
        <v/>
      </c>
      <c r="AE175" s="5" t="str">
        <f t="shared" si="69"/>
        <v/>
      </c>
      <c r="AF175" s="5" t="str">
        <f t="shared" si="69"/>
        <v/>
      </c>
      <c r="AG175" s="173" t="s">
        <v>2761</v>
      </c>
    </row>
    <row r="176" spans="1:33" x14ac:dyDescent="0.3">
      <c r="A176" s="13">
        <f t="shared" si="40"/>
        <v>1210305007</v>
      </c>
      <c r="B176" s="13" t="str">
        <f t="shared" ref="B176:AF176" si="70">IF(B65 &lt;&gt; "", B65, "")</f>
        <v>Daily.Seed</v>
      </c>
      <c r="C176" s="5" t="str">
        <f t="shared" si="70"/>
        <v>친절한건</v>
      </c>
      <c r="D176" s="5" t="str">
        <f t="shared" si="70"/>
        <v>Monster.Name.friendly_gun_1</v>
      </c>
      <c r="E176" s="5" t="str">
        <f t="shared" si="70"/>
        <v>Ranger</v>
      </c>
      <c r="F176" s="17" t="str">
        <f t="shared" si="70"/>
        <v>Fac_nul_ind</v>
      </c>
      <c r="G176" s="5" t="str">
        <f t="shared" si="70"/>
        <v>TRUE</v>
      </c>
      <c r="H176" s="5" t="b">
        <f t="shared" si="70"/>
        <v>0</v>
      </c>
      <c r="I176" s="5" t="b">
        <f t="shared" si="70"/>
        <v>0</v>
      </c>
      <c r="J176" s="5">
        <f t="shared" si="70"/>
        <v>10</v>
      </c>
      <c r="K176" s="5">
        <f t="shared" si="70"/>
        <v>10</v>
      </c>
      <c r="L176" s="2" t="str">
        <f t="shared" si="70"/>
        <v>Daily.Seed.friendly_gun_1.attack01</v>
      </c>
      <c r="M176" s="2" t="str">
        <f t="shared" si="70"/>
        <v/>
      </c>
      <c r="N176" s="2" t="str">
        <f t="shared" si="70"/>
        <v/>
      </c>
      <c r="O176" s="178" t="str">
        <f t="shared" si="70"/>
        <v>Daily.Seed.friendly_gun_1.skill01</v>
      </c>
      <c r="P176" s="14" t="str">
        <f t="shared" si="70"/>
        <v/>
      </c>
      <c r="Q176" s="14" t="str">
        <f t="shared" si="70"/>
        <v/>
      </c>
      <c r="R176" s="14" t="str">
        <f t="shared" si="70"/>
        <v/>
      </c>
      <c r="S176" s="14" t="str">
        <f t="shared" si="70"/>
        <v/>
      </c>
      <c r="T176" s="14" t="str">
        <f t="shared" si="70"/>
        <v/>
      </c>
      <c r="U176" s="14" t="str">
        <f t="shared" si="70"/>
        <v/>
      </c>
      <c r="V176" s="5" t="b">
        <f t="shared" si="70"/>
        <v>0</v>
      </c>
      <c r="W176" s="5" t="str">
        <f t="shared" si="70"/>
        <v>Character/Prefabs/m_m_ranger_friendly_gun_1</v>
      </c>
      <c r="X176" s="5" t="str">
        <f t="shared" si="70"/>
        <v/>
      </c>
      <c r="Y176" s="5" t="str">
        <f t="shared" si="70"/>
        <v>m_m_ranger_friendly_gun_1</v>
      </c>
      <c r="Z176" s="5" t="str">
        <f t="shared" si="70"/>
        <v/>
      </c>
      <c r="AA176" s="5" t="str">
        <f t="shared" si="70"/>
        <v/>
      </c>
      <c r="AB176" s="5" t="str">
        <f t="shared" si="70"/>
        <v/>
      </c>
      <c r="AC176" s="97">
        <f t="shared" si="70"/>
        <v>0.9</v>
      </c>
      <c r="AD176" s="5" t="str">
        <f t="shared" si="70"/>
        <v/>
      </c>
      <c r="AE176" s="5" t="str">
        <f t="shared" si="70"/>
        <v/>
      </c>
      <c r="AF176" s="5" t="str">
        <f t="shared" si="70"/>
        <v/>
      </c>
      <c r="AG176" s="173" t="s">
        <v>2761</v>
      </c>
    </row>
    <row r="177" spans="1:33" x14ac:dyDescent="0.3">
      <c r="A177" s="13">
        <f t="shared" si="40"/>
        <v>1210305008</v>
      </c>
      <c r="B177" s="13" t="str">
        <f t="shared" ref="B177:AF177" si="71">IF(B66 &lt;&gt; "", B66, "")</f>
        <v>Daily.Seed</v>
      </c>
      <c r="C177" s="5" t="str">
        <f t="shared" si="71"/>
        <v>친절한핀서</v>
      </c>
      <c r="D177" s="5" t="str">
        <f t="shared" si="71"/>
        <v>Monster.Name.friendly_pincers_1</v>
      </c>
      <c r="E177" s="5" t="str">
        <f t="shared" si="71"/>
        <v>Attacker</v>
      </c>
      <c r="F177" s="17" t="str">
        <f t="shared" si="71"/>
        <v>Fac_nul_ind</v>
      </c>
      <c r="G177" s="5" t="str">
        <f t="shared" si="71"/>
        <v>TRUE</v>
      </c>
      <c r="H177" s="5" t="b">
        <f t="shared" si="71"/>
        <v>0</v>
      </c>
      <c r="I177" s="5" t="b">
        <f t="shared" si="71"/>
        <v>0</v>
      </c>
      <c r="J177" s="5">
        <f t="shared" si="71"/>
        <v>10</v>
      </c>
      <c r="K177" s="5">
        <f t="shared" si="71"/>
        <v>10</v>
      </c>
      <c r="L177" s="2" t="str">
        <f t="shared" si="71"/>
        <v>Daily.Seed.friendly_pincers_1.attack01</v>
      </c>
      <c r="M177" s="2" t="str">
        <f t="shared" si="71"/>
        <v/>
      </c>
      <c r="N177" s="2" t="str">
        <f t="shared" si="71"/>
        <v/>
      </c>
      <c r="O177" s="178" t="str">
        <f t="shared" si="71"/>
        <v>Daily.Seed.friendly_pincers_1.skill01</v>
      </c>
      <c r="P177" s="14" t="str">
        <f t="shared" si="71"/>
        <v/>
      </c>
      <c r="Q177" s="14" t="str">
        <f t="shared" si="71"/>
        <v/>
      </c>
      <c r="R177" s="14" t="str">
        <f t="shared" si="71"/>
        <v/>
      </c>
      <c r="S177" s="14" t="str">
        <f t="shared" si="71"/>
        <v/>
      </c>
      <c r="T177" s="14" t="str">
        <f t="shared" si="71"/>
        <v/>
      </c>
      <c r="U177" s="14" t="str">
        <f t="shared" si="71"/>
        <v/>
      </c>
      <c r="V177" s="5" t="b">
        <f t="shared" si="71"/>
        <v>0</v>
      </c>
      <c r="W177" s="5" t="str">
        <f t="shared" si="71"/>
        <v>Character/Prefabs/m_l_attacker_friendly_pincers_1</v>
      </c>
      <c r="X177" s="5" t="str">
        <f t="shared" si="71"/>
        <v/>
      </c>
      <c r="Y177" s="5" t="str">
        <f t="shared" si="71"/>
        <v>m_l_attacker_friendly_pincers_1</v>
      </c>
      <c r="Z177" s="5" t="str">
        <f t="shared" si="71"/>
        <v/>
      </c>
      <c r="AA177" s="5" t="str">
        <f t="shared" si="71"/>
        <v/>
      </c>
      <c r="AB177" s="5" t="str">
        <f t="shared" si="71"/>
        <v/>
      </c>
      <c r="AC177" s="97">
        <f t="shared" si="71"/>
        <v>0.9</v>
      </c>
      <c r="AD177" s="5" t="str">
        <f t="shared" si="71"/>
        <v/>
      </c>
      <c r="AE177" s="5" t="str">
        <f t="shared" si="71"/>
        <v/>
      </c>
      <c r="AF177" s="5" t="str">
        <f t="shared" si="71"/>
        <v/>
      </c>
      <c r="AG177" s="173" t="s">
        <v>2761</v>
      </c>
    </row>
    <row r="178" spans="1:33" x14ac:dyDescent="0.3">
      <c r="A178" s="13">
        <f t="shared" si="40"/>
        <v>1210305009</v>
      </c>
      <c r="B178" s="13" t="str">
        <f t="shared" ref="B178:AF178" si="72">IF(B67 &lt;&gt; "", B67, "")</f>
        <v>Daily.Seed</v>
      </c>
      <c r="C178" s="5" t="str">
        <f t="shared" si="72"/>
        <v>친절한펀치</v>
      </c>
      <c r="D178" s="5" t="str">
        <f t="shared" si="72"/>
        <v>Monster.Name.friendly_punch_1</v>
      </c>
      <c r="E178" s="5" t="str">
        <f t="shared" si="72"/>
        <v>Tanker</v>
      </c>
      <c r="F178" s="17" t="str">
        <f t="shared" si="72"/>
        <v>Fac_nul_ind</v>
      </c>
      <c r="G178" s="5" t="str">
        <f t="shared" si="72"/>
        <v>TRUE</v>
      </c>
      <c r="H178" s="5" t="b">
        <f t="shared" si="72"/>
        <v>0</v>
      </c>
      <c r="I178" s="5" t="b">
        <f t="shared" si="72"/>
        <v>0</v>
      </c>
      <c r="J178" s="5">
        <f t="shared" si="72"/>
        <v>10</v>
      </c>
      <c r="K178" s="5">
        <f t="shared" si="72"/>
        <v>10</v>
      </c>
      <c r="L178" s="2" t="str">
        <f t="shared" si="72"/>
        <v>Daily.Seed.friendly_punch_1.attack01</v>
      </c>
      <c r="M178" s="2" t="str">
        <f t="shared" si="72"/>
        <v/>
      </c>
      <c r="N178" s="2" t="str">
        <f t="shared" si="72"/>
        <v/>
      </c>
      <c r="O178" s="178" t="str">
        <f t="shared" si="72"/>
        <v>Daily.Seed.friendly_punch_1.skill01</v>
      </c>
      <c r="P178" s="14" t="str">
        <f t="shared" si="72"/>
        <v>Daily.Seed.friendly_punch_1.skill02</v>
      </c>
      <c r="Q178" s="14" t="str">
        <f t="shared" si="72"/>
        <v/>
      </c>
      <c r="R178" s="14" t="str">
        <f t="shared" si="72"/>
        <v/>
      </c>
      <c r="S178" s="14" t="str">
        <f t="shared" si="72"/>
        <v/>
      </c>
      <c r="T178" s="14" t="str">
        <f t="shared" si="72"/>
        <v/>
      </c>
      <c r="U178" s="14" t="str">
        <f t="shared" si="72"/>
        <v/>
      </c>
      <c r="V178" s="5" t="b">
        <f t="shared" si="72"/>
        <v>0</v>
      </c>
      <c r="W178" s="5" t="str">
        <f t="shared" si="72"/>
        <v>Character/Prefabs/m_l_tanker_friendly_punch_1</v>
      </c>
      <c r="X178" s="5" t="str">
        <f t="shared" si="72"/>
        <v/>
      </c>
      <c r="Y178" s="5" t="str">
        <f t="shared" si="72"/>
        <v>m_l_tanker_friendly_punch_1</v>
      </c>
      <c r="Z178" s="5" t="str">
        <f t="shared" si="72"/>
        <v/>
      </c>
      <c r="AA178" s="5" t="str">
        <f t="shared" si="72"/>
        <v/>
      </c>
      <c r="AB178" s="5" t="str">
        <f t="shared" si="72"/>
        <v/>
      </c>
      <c r="AC178" s="97">
        <f t="shared" si="72"/>
        <v>0.6</v>
      </c>
      <c r="AD178" s="5" t="str">
        <f t="shared" si="72"/>
        <v/>
      </c>
      <c r="AE178" s="5" t="str">
        <f t="shared" si="72"/>
        <v/>
      </c>
      <c r="AF178" s="5" t="str">
        <f t="shared" si="72"/>
        <v/>
      </c>
      <c r="AG178" s="173" t="s">
        <v>2761</v>
      </c>
    </row>
    <row r="179" spans="1:33" x14ac:dyDescent="0.3">
      <c r="A179" s="45">
        <f t="shared" ref="A179:A210" si="73">A68+100000000</f>
        <v>1210305010</v>
      </c>
      <c r="B179" s="45" t="str">
        <f t="shared" ref="B179:AF179" si="74">IF(B68 &lt;&gt; "", B68, "")</f>
        <v>Daily.Seed</v>
      </c>
      <c r="C179" s="5" t="str">
        <f t="shared" si="74"/>
        <v>오염체플루터블롭런처</v>
      </c>
      <c r="D179" s="5" t="str">
        <f t="shared" si="74"/>
        <v>Monster.Name.polluter_bloblauncher_1</v>
      </c>
      <c r="E179" s="5" t="str">
        <f t="shared" si="74"/>
        <v>Ranger</v>
      </c>
      <c r="F179" s="17" t="str">
        <f t="shared" si="74"/>
        <v>Fac_nul_ind</v>
      </c>
      <c r="G179" s="5" t="str">
        <f t="shared" si="74"/>
        <v>TRUE</v>
      </c>
      <c r="H179" s="5" t="b">
        <f t="shared" si="74"/>
        <v>0</v>
      </c>
      <c r="I179" s="5" t="b">
        <f t="shared" si="74"/>
        <v>0</v>
      </c>
      <c r="J179" s="5">
        <f t="shared" si="74"/>
        <v>10</v>
      </c>
      <c r="K179" s="5">
        <f t="shared" si="74"/>
        <v>10</v>
      </c>
      <c r="L179" s="2" t="str">
        <f t="shared" si="74"/>
        <v>Daily.Seed.polluter_bloblauncher_1.attack01</v>
      </c>
      <c r="M179" s="2" t="str">
        <f t="shared" si="74"/>
        <v/>
      </c>
      <c r="N179" s="2" t="str">
        <f t="shared" si="74"/>
        <v/>
      </c>
      <c r="O179" s="178" t="str">
        <f t="shared" si="74"/>
        <v>Daily.Seed.polluter_bloblauncher_1.skill01</v>
      </c>
      <c r="P179" s="14" t="str">
        <f t="shared" si="74"/>
        <v/>
      </c>
      <c r="Q179" s="14" t="str">
        <f t="shared" si="74"/>
        <v/>
      </c>
      <c r="R179" s="14" t="str">
        <f t="shared" si="74"/>
        <v/>
      </c>
      <c r="S179" s="14" t="str">
        <f t="shared" si="74"/>
        <v/>
      </c>
      <c r="T179" s="14" t="str">
        <f t="shared" si="74"/>
        <v/>
      </c>
      <c r="U179" s="14" t="str">
        <f t="shared" si="74"/>
        <v/>
      </c>
      <c r="V179" s="5" t="b">
        <f t="shared" si="74"/>
        <v>0</v>
      </c>
      <c r="W179" s="5" t="str">
        <f t="shared" si="74"/>
        <v>Character/Prefabs/m_l_ranger_polluter_bloblauncher_1</v>
      </c>
      <c r="X179" s="5" t="str">
        <f t="shared" si="74"/>
        <v/>
      </c>
      <c r="Y179" s="5" t="str">
        <f t="shared" si="74"/>
        <v>m_l_ranger_polluter_bloblauncher_1</v>
      </c>
      <c r="Z179" s="5" t="str">
        <f t="shared" si="74"/>
        <v/>
      </c>
      <c r="AA179" s="5" t="str">
        <f t="shared" si="74"/>
        <v/>
      </c>
      <c r="AB179" s="5" t="str">
        <f t="shared" si="74"/>
        <v/>
      </c>
      <c r="AC179" s="97">
        <f t="shared" si="74"/>
        <v>1.1000000000000001</v>
      </c>
      <c r="AD179" s="5" t="str">
        <f t="shared" si="74"/>
        <v/>
      </c>
      <c r="AE179" s="5" t="str">
        <f t="shared" si="74"/>
        <v/>
      </c>
      <c r="AF179" s="5" t="str">
        <f t="shared" si="74"/>
        <v/>
      </c>
      <c r="AG179" s="173" t="s">
        <v>2761</v>
      </c>
    </row>
    <row r="180" spans="1:33" x14ac:dyDescent="0.3">
      <c r="A180" s="13">
        <f t="shared" si="73"/>
        <v>1210305011</v>
      </c>
      <c r="B180" s="13" t="str">
        <f t="shared" ref="B180:AF180" si="75">IF(B69 &lt;&gt; "", B69, "")</f>
        <v>Daily.Seed</v>
      </c>
      <c r="C180" s="5" t="str">
        <f t="shared" si="75"/>
        <v>오염체플루터리퀴드</v>
      </c>
      <c r="D180" s="5" t="str">
        <f t="shared" si="75"/>
        <v>Monster.Name.polluter_liquid_1</v>
      </c>
      <c r="E180" s="5" t="str">
        <f t="shared" si="75"/>
        <v>Ranger</v>
      </c>
      <c r="F180" s="17" t="str">
        <f t="shared" si="75"/>
        <v>Fac_nul_ind</v>
      </c>
      <c r="G180" s="5" t="str">
        <f t="shared" si="75"/>
        <v>TRUE</v>
      </c>
      <c r="H180" s="5" t="b">
        <f t="shared" si="75"/>
        <v>0</v>
      </c>
      <c r="I180" s="5" t="b">
        <f t="shared" si="75"/>
        <v>0</v>
      </c>
      <c r="J180" s="5">
        <f t="shared" si="75"/>
        <v>10</v>
      </c>
      <c r="K180" s="5">
        <f t="shared" si="75"/>
        <v>10</v>
      </c>
      <c r="L180" s="2" t="str">
        <f t="shared" si="75"/>
        <v>Daily.Seed.polluter_liquid_1.attack01</v>
      </c>
      <c r="M180" s="2" t="str">
        <f t="shared" si="75"/>
        <v/>
      </c>
      <c r="N180" s="2" t="str">
        <f t="shared" si="75"/>
        <v/>
      </c>
      <c r="O180" s="178" t="str">
        <f t="shared" si="75"/>
        <v>Daily.Seed.polluter_liquid_1.skill01</v>
      </c>
      <c r="P180" s="14" t="str">
        <f t="shared" si="75"/>
        <v/>
      </c>
      <c r="Q180" s="14" t="str">
        <f t="shared" si="75"/>
        <v/>
      </c>
      <c r="R180" s="14" t="str">
        <f t="shared" si="75"/>
        <v/>
      </c>
      <c r="S180" s="14" t="str">
        <f t="shared" si="75"/>
        <v/>
      </c>
      <c r="T180" s="14" t="str">
        <f t="shared" si="75"/>
        <v/>
      </c>
      <c r="U180" s="14" t="str">
        <f t="shared" si="75"/>
        <v/>
      </c>
      <c r="V180" s="5" t="b">
        <f t="shared" si="75"/>
        <v>0</v>
      </c>
      <c r="W180" s="5" t="str">
        <f t="shared" si="75"/>
        <v>Character/Prefabs/m_m_ranger_polluter_liquid_1</v>
      </c>
      <c r="X180" s="5" t="str">
        <f t="shared" si="75"/>
        <v/>
      </c>
      <c r="Y180" s="5" t="str">
        <f t="shared" si="75"/>
        <v>m_m_ranger_polluter_liquid_1</v>
      </c>
      <c r="Z180" s="5" t="str">
        <f t="shared" si="75"/>
        <v/>
      </c>
      <c r="AA180" s="5" t="str">
        <f t="shared" si="75"/>
        <v/>
      </c>
      <c r="AB180" s="5" t="str">
        <f t="shared" si="75"/>
        <v/>
      </c>
      <c r="AC180" s="97">
        <f t="shared" si="75"/>
        <v>0.6</v>
      </c>
      <c r="AD180" s="5" t="str">
        <f t="shared" si="75"/>
        <v/>
      </c>
      <c r="AE180" s="5" t="str">
        <f t="shared" si="75"/>
        <v/>
      </c>
      <c r="AF180" s="5" t="str">
        <f t="shared" si="75"/>
        <v/>
      </c>
      <c r="AG180" s="173" t="s">
        <v>2761</v>
      </c>
    </row>
    <row r="181" spans="1:33" x14ac:dyDescent="0.3">
      <c r="A181" s="13">
        <f t="shared" si="73"/>
        <v>1210305012</v>
      </c>
      <c r="B181" s="13" t="str">
        <f t="shared" ref="B181:AF181" si="76">IF(B70 &lt;&gt; "", B70, "")</f>
        <v>Daily.Seed</v>
      </c>
      <c r="C181" s="5" t="str">
        <f t="shared" si="76"/>
        <v>오염체플루터포그</v>
      </c>
      <c r="D181" s="5" t="str">
        <f t="shared" si="76"/>
        <v>Monster.Name.polluter_fog_1</v>
      </c>
      <c r="E181" s="5" t="str">
        <f t="shared" si="76"/>
        <v>Supporter</v>
      </c>
      <c r="F181" s="17" t="str">
        <f t="shared" si="76"/>
        <v>Fac_nul_ind</v>
      </c>
      <c r="G181" s="5" t="str">
        <f t="shared" si="76"/>
        <v>TRUE</v>
      </c>
      <c r="H181" s="5" t="b">
        <f t="shared" si="76"/>
        <v>0</v>
      </c>
      <c r="I181" s="5" t="b">
        <f t="shared" si="76"/>
        <v>0</v>
      </c>
      <c r="J181" s="5">
        <f t="shared" si="76"/>
        <v>10</v>
      </c>
      <c r="K181" s="5">
        <f t="shared" si="76"/>
        <v>10</v>
      </c>
      <c r="L181" s="2" t="str">
        <f t="shared" si="76"/>
        <v>Daily.Seed.polluter_fog_1.attack01</v>
      </c>
      <c r="M181" s="2" t="str">
        <f t="shared" si="76"/>
        <v/>
      </c>
      <c r="N181" s="2" t="str">
        <f t="shared" si="76"/>
        <v/>
      </c>
      <c r="O181" s="178" t="str">
        <f t="shared" si="76"/>
        <v>Daily.Seed.polluter_fog_1.skill01</v>
      </c>
      <c r="P181" s="14" t="str">
        <f t="shared" si="76"/>
        <v/>
      </c>
      <c r="Q181" s="14" t="str">
        <f t="shared" si="76"/>
        <v/>
      </c>
      <c r="R181" s="14" t="str">
        <f t="shared" si="76"/>
        <v/>
      </c>
      <c r="S181" s="14" t="str">
        <f t="shared" si="76"/>
        <v/>
      </c>
      <c r="T181" s="14" t="str">
        <f t="shared" si="76"/>
        <v/>
      </c>
      <c r="U181" s="14" t="str">
        <f t="shared" si="76"/>
        <v/>
      </c>
      <c r="V181" s="5" t="b">
        <f t="shared" si="76"/>
        <v>0</v>
      </c>
      <c r="W181" s="5" t="str">
        <f t="shared" si="76"/>
        <v>Character/Prefabs/m_m_supporter_polluter_fog_1</v>
      </c>
      <c r="X181" s="5" t="str">
        <f t="shared" si="76"/>
        <v/>
      </c>
      <c r="Y181" s="5" t="str">
        <f t="shared" si="76"/>
        <v>m_m_supporter_polluter_fog_1</v>
      </c>
      <c r="Z181" s="5" t="str">
        <f t="shared" si="76"/>
        <v/>
      </c>
      <c r="AA181" s="5" t="str">
        <f t="shared" si="76"/>
        <v/>
      </c>
      <c r="AB181" s="5" t="str">
        <f t="shared" si="76"/>
        <v/>
      </c>
      <c r="AC181" s="97">
        <f t="shared" si="76"/>
        <v>0.6</v>
      </c>
      <c r="AD181" s="5" t="str">
        <f t="shared" si="76"/>
        <v/>
      </c>
      <c r="AE181" s="5" t="str">
        <f t="shared" si="76"/>
        <v/>
      </c>
      <c r="AF181" s="5" t="str">
        <f t="shared" si="76"/>
        <v/>
      </c>
      <c r="AG181" s="173" t="s">
        <v>2761</v>
      </c>
    </row>
    <row r="182" spans="1:33" x14ac:dyDescent="0.3">
      <c r="A182" s="13">
        <f t="shared" si="73"/>
        <v>1210305013</v>
      </c>
      <c r="B182" s="13" t="str">
        <f t="shared" ref="B182:AF182" si="77">IF(B71 &lt;&gt; "", B71, "")</f>
        <v>Daily.Seed</v>
      </c>
      <c r="C182" s="5" t="str">
        <f t="shared" si="77"/>
        <v>오염체플루터스파이크</v>
      </c>
      <c r="D182" s="5" t="str">
        <f t="shared" si="77"/>
        <v>Monster.Name.polluter_spike_1</v>
      </c>
      <c r="E182" s="5" t="str">
        <f t="shared" si="77"/>
        <v>Attacker</v>
      </c>
      <c r="F182" s="17" t="str">
        <f t="shared" si="77"/>
        <v>Fac_nul_ind</v>
      </c>
      <c r="G182" s="5" t="str">
        <f t="shared" si="77"/>
        <v>TRUE</v>
      </c>
      <c r="H182" s="5" t="b">
        <f t="shared" si="77"/>
        <v>0</v>
      </c>
      <c r="I182" s="5" t="b">
        <f t="shared" si="77"/>
        <v>0</v>
      </c>
      <c r="J182" s="5">
        <f t="shared" si="77"/>
        <v>10</v>
      </c>
      <c r="K182" s="5">
        <f t="shared" si="77"/>
        <v>10</v>
      </c>
      <c r="L182" s="2" t="str">
        <f t="shared" si="77"/>
        <v>Daily.Seed.polluter_spike_1.attack01</v>
      </c>
      <c r="M182" s="2" t="str">
        <f t="shared" si="77"/>
        <v/>
      </c>
      <c r="N182" s="2" t="str">
        <f t="shared" si="77"/>
        <v/>
      </c>
      <c r="O182" s="178" t="str">
        <f t="shared" si="77"/>
        <v>Daily.Seed.polluter_spike_1.skill01</v>
      </c>
      <c r="P182" s="14" t="str">
        <f t="shared" si="77"/>
        <v>Daily.Seed.polluter_spike_1.skill02</v>
      </c>
      <c r="Q182" s="14" t="str">
        <f t="shared" si="77"/>
        <v>Daily.Seed.polluter_spike_1.skill03</v>
      </c>
      <c r="R182" s="14" t="str">
        <f t="shared" si="77"/>
        <v/>
      </c>
      <c r="S182" s="14" t="str">
        <f t="shared" si="77"/>
        <v/>
      </c>
      <c r="T182" s="14" t="str">
        <f t="shared" si="77"/>
        <v/>
      </c>
      <c r="U182" s="14" t="str">
        <f t="shared" si="77"/>
        <v/>
      </c>
      <c r="V182" s="5" t="b">
        <f t="shared" si="77"/>
        <v>0</v>
      </c>
      <c r="W182" s="5" t="str">
        <f t="shared" si="77"/>
        <v>Character/Prefabs/m_l_attacker_polluter_spike_1</v>
      </c>
      <c r="X182" s="5" t="str">
        <f t="shared" si="77"/>
        <v/>
      </c>
      <c r="Y182" s="5" t="str">
        <f t="shared" si="77"/>
        <v>m_l_attacker_polluter_spike_1</v>
      </c>
      <c r="Z182" s="5" t="str">
        <f t="shared" si="77"/>
        <v/>
      </c>
      <c r="AA182" s="5" t="str">
        <f t="shared" si="77"/>
        <v/>
      </c>
      <c r="AB182" s="5" t="str">
        <f t="shared" si="77"/>
        <v/>
      </c>
      <c r="AC182" s="97">
        <f t="shared" si="77"/>
        <v>0.5</v>
      </c>
      <c r="AD182" s="5" t="str">
        <f t="shared" si="77"/>
        <v/>
      </c>
      <c r="AE182" s="5" t="str">
        <f t="shared" si="77"/>
        <v/>
      </c>
      <c r="AF182" s="5" t="str">
        <f t="shared" si="77"/>
        <v/>
      </c>
      <c r="AG182" s="173" t="s">
        <v>2761</v>
      </c>
    </row>
    <row r="183" spans="1:33" x14ac:dyDescent="0.3">
      <c r="A183" s="13">
        <f t="shared" si="73"/>
        <v>1210305014</v>
      </c>
      <c r="B183" s="13" t="str">
        <f t="shared" ref="B183:AF183" si="78">IF(B72 &lt;&gt; "", B72, "")</f>
        <v>Daily.Seed</v>
      </c>
      <c r="C183" s="5" t="str">
        <f t="shared" si="78"/>
        <v>오염체플루터청크</v>
      </c>
      <c r="D183" s="5" t="str">
        <f t="shared" si="78"/>
        <v>Monster.Name.polluter_chunk_1</v>
      </c>
      <c r="E183" s="5" t="str">
        <f t="shared" si="78"/>
        <v>Attacker</v>
      </c>
      <c r="F183" s="17" t="str">
        <f t="shared" si="78"/>
        <v>Fac_nul_ind</v>
      </c>
      <c r="G183" s="5" t="str">
        <f t="shared" si="78"/>
        <v>TRUE</v>
      </c>
      <c r="H183" s="5" t="b">
        <f t="shared" si="78"/>
        <v>0</v>
      </c>
      <c r="I183" s="5" t="b">
        <f t="shared" si="78"/>
        <v>0</v>
      </c>
      <c r="J183" s="5">
        <f t="shared" si="78"/>
        <v>10</v>
      </c>
      <c r="K183" s="5">
        <f t="shared" si="78"/>
        <v>10</v>
      </c>
      <c r="L183" s="2" t="str">
        <f t="shared" si="78"/>
        <v>Daily.Seed.polluter_chunk_1.attack01</v>
      </c>
      <c r="M183" s="2" t="str">
        <f t="shared" si="78"/>
        <v/>
      </c>
      <c r="N183" s="2" t="str">
        <f t="shared" si="78"/>
        <v/>
      </c>
      <c r="O183" s="178" t="str">
        <f t="shared" si="78"/>
        <v>Daily.Seed.polluter_chunk_1.skill01</v>
      </c>
      <c r="P183" s="14" t="str">
        <f t="shared" si="78"/>
        <v/>
      </c>
      <c r="Q183" s="14" t="str">
        <f t="shared" si="78"/>
        <v/>
      </c>
      <c r="R183" s="14" t="str">
        <f t="shared" si="78"/>
        <v/>
      </c>
      <c r="S183" s="14" t="str">
        <f t="shared" si="78"/>
        <v/>
      </c>
      <c r="T183" s="14" t="str">
        <f t="shared" si="78"/>
        <v/>
      </c>
      <c r="U183" s="14" t="str">
        <f t="shared" si="78"/>
        <v/>
      </c>
      <c r="V183" s="5" t="b">
        <f t="shared" si="78"/>
        <v>0</v>
      </c>
      <c r="W183" s="5" t="str">
        <f t="shared" si="78"/>
        <v>Character/Prefabs/m_l_attacker_polluter_chunk_1</v>
      </c>
      <c r="X183" s="5" t="str">
        <f t="shared" si="78"/>
        <v/>
      </c>
      <c r="Y183" s="5" t="str">
        <f t="shared" si="78"/>
        <v>m_l_attacker_polluter_chunk_1</v>
      </c>
      <c r="Z183" s="5" t="str">
        <f t="shared" si="78"/>
        <v/>
      </c>
      <c r="AA183" s="5" t="str">
        <f t="shared" si="78"/>
        <v/>
      </c>
      <c r="AB183" s="5" t="str">
        <f t="shared" si="78"/>
        <v/>
      </c>
      <c r="AC183" s="97">
        <f t="shared" si="78"/>
        <v>0.7</v>
      </c>
      <c r="AD183" s="5" t="str">
        <f t="shared" si="78"/>
        <v/>
      </c>
      <c r="AE183" s="5" t="str">
        <f t="shared" si="78"/>
        <v/>
      </c>
      <c r="AF183" s="5" t="str">
        <f t="shared" si="78"/>
        <v/>
      </c>
      <c r="AG183" s="173" t="s">
        <v>2761</v>
      </c>
    </row>
    <row r="184" spans="1:33" x14ac:dyDescent="0.3">
      <c r="A184" s="14">
        <f t="shared" si="73"/>
        <v>1210401001</v>
      </c>
      <c r="B184" s="14" t="str">
        <f t="shared" ref="B184:AF184" si="79">IF(B73 &lt;&gt; "", B73, "")</f>
        <v>Rotation</v>
      </c>
      <c r="C184" s="14" t="str">
        <f t="shared" si="79"/>
        <v>큐브01_01</v>
      </c>
      <c r="D184" s="14" t="str">
        <f t="shared" si="79"/>
        <v>Monster.Name.RotationCube.Tier1</v>
      </c>
      <c r="E184" s="5" t="str">
        <f t="shared" si="79"/>
        <v>None</v>
      </c>
      <c r="F184" s="17" t="str">
        <f t="shared" si="79"/>
        <v>Fac_nul_ind</v>
      </c>
      <c r="G184" s="14" t="str">
        <f t="shared" si="79"/>
        <v>TRUE</v>
      </c>
      <c r="H184" s="14" t="str">
        <f t="shared" si="79"/>
        <v>TRUE</v>
      </c>
      <c r="I184" s="14" t="b">
        <f t="shared" si="79"/>
        <v>0</v>
      </c>
      <c r="J184" s="14">
        <f t="shared" si="79"/>
        <v>20</v>
      </c>
      <c r="K184" s="14">
        <f t="shared" si="79"/>
        <v>10</v>
      </c>
      <c r="L184" s="14" t="str">
        <f t="shared" si="79"/>
        <v/>
      </c>
      <c r="M184" s="14" t="str">
        <f t="shared" si="79"/>
        <v/>
      </c>
      <c r="N184" s="14" t="str">
        <f t="shared" si="79"/>
        <v/>
      </c>
      <c r="O184" s="17" t="str">
        <f t="shared" si="79"/>
        <v>Rotation.cube_tier01_01.skill01</v>
      </c>
      <c r="P184" s="14" t="str">
        <f t="shared" si="79"/>
        <v/>
      </c>
      <c r="Q184" s="14" t="str">
        <f t="shared" si="79"/>
        <v>Rotation.cube_tier01_01.Immun</v>
      </c>
      <c r="R184" s="14" t="str">
        <f t="shared" si="79"/>
        <v/>
      </c>
      <c r="S184" s="14" t="str">
        <f t="shared" si="79"/>
        <v/>
      </c>
      <c r="T184" s="14" t="str">
        <f t="shared" si="79"/>
        <v/>
      </c>
      <c r="U184" s="14" t="str">
        <f t="shared" si="79"/>
        <v/>
      </c>
      <c r="V184" s="14" t="b">
        <f t="shared" si="79"/>
        <v>0</v>
      </c>
      <c r="W184" s="14" t="str">
        <f t="shared" si="79"/>
        <v>Character/Prefabs/m_m_tanker_cube_tier01_01</v>
      </c>
      <c r="X184" s="14" t="str">
        <f t="shared" si="79"/>
        <v/>
      </c>
      <c r="Y184" s="14" t="str">
        <f t="shared" si="79"/>
        <v>m_m_tanker_cube_tier01_01</v>
      </c>
      <c r="Z184" s="14" t="str">
        <f t="shared" si="79"/>
        <v/>
      </c>
      <c r="AA184" s="14" t="str">
        <f t="shared" si="79"/>
        <v/>
      </c>
      <c r="AB184" s="14" t="str">
        <f t="shared" si="79"/>
        <v>Die_machine</v>
      </c>
      <c r="AC184" s="94">
        <f t="shared" si="79"/>
        <v>1</v>
      </c>
      <c r="AD184" s="14" t="str">
        <f t="shared" si="79"/>
        <v>Effect/Prefab/02.mob/cube_military_01/EFF_cube_military_01_hit_01</v>
      </c>
      <c r="AE184" s="14" t="str">
        <f t="shared" si="79"/>
        <v/>
      </c>
      <c r="AF184" s="14" t="str">
        <f t="shared" si="79"/>
        <v/>
      </c>
      <c r="AG184" s="173" t="s">
        <v>2761</v>
      </c>
    </row>
    <row r="185" spans="1:33" x14ac:dyDescent="0.3">
      <c r="A185" s="14">
        <f t="shared" si="73"/>
        <v>1210401002</v>
      </c>
      <c r="B185" s="14" t="str">
        <f t="shared" ref="B185:AF185" si="80">IF(B74 &lt;&gt; "", B74, "")</f>
        <v>Rotation</v>
      </c>
      <c r="C185" s="14" t="str">
        <f t="shared" si="80"/>
        <v>큐브01_02</v>
      </c>
      <c r="D185" s="14" t="str">
        <f t="shared" si="80"/>
        <v>Monster.Name.RotationCube.Tier1</v>
      </c>
      <c r="E185" s="5" t="str">
        <f t="shared" si="80"/>
        <v>None</v>
      </c>
      <c r="F185" s="17" t="str">
        <f t="shared" si="80"/>
        <v>Fac_nul_ind</v>
      </c>
      <c r="G185" s="14" t="str">
        <f t="shared" si="80"/>
        <v>TRUE</v>
      </c>
      <c r="H185" s="14" t="str">
        <f t="shared" si="80"/>
        <v>TRUE</v>
      </c>
      <c r="I185" s="14" t="b">
        <f t="shared" si="80"/>
        <v>0</v>
      </c>
      <c r="J185" s="14">
        <f t="shared" si="80"/>
        <v>20</v>
      </c>
      <c r="K185" s="14">
        <f t="shared" si="80"/>
        <v>10</v>
      </c>
      <c r="L185" s="14" t="str">
        <f t="shared" si="80"/>
        <v/>
      </c>
      <c r="M185" s="14" t="str">
        <f t="shared" si="80"/>
        <v/>
      </c>
      <c r="N185" s="14" t="str">
        <f t="shared" si="80"/>
        <v/>
      </c>
      <c r="O185" s="17" t="str">
        <f t="shared" si="80"/>
        <v>Rotation.cube_tier01_02.skill01</v>
      </c>
      <c r="P185" s="14" t="str">
        <f t="shared" si="80"/>
        <v/>
      </c>
      <c r="Q185" s="14" t="str">
        <f t="shared" si="80"/>
        <v>Rotation.cube_tier01_02.Immun</v>
      </c>
      <c r="R185" s="14" t="str">
        <f t="shared" si="80"/>
        <v/>
      </c>
      <c r="S185" s="14" t="str">
        <f t="shared" si="80"/>
        <v/>
      </c>
      <c r="T185" s="14" t="str">
        <f t="shared" si="80"/>
        <v/>
      </c>
      <c r="U185" s="14" t="str">
        <f t="shared" si="80"/>
        <v/>
      </c>
      <c r="V185" s="14" t="b">
        <f t="shared" si="80"/>
        <v>0</v>
      </c>
      <c r="W185" s="14" t="str">
        <f t="shared" si="80"/>
        <v>Character/Prefabs/m_m_tanker_cube_tier01_02</v>
      </c>
      <c r="X185" s="14" t="str">
        <f t="shared" si="80"/>
        <v/>
      </c>
      <c r="Y185" s="14" t="str">
        <f t="shared" si="80"/>
        <v>m_m_tanker_cube_tier01_02</v>
      </c>
      <c r="Z185" s="14" t="str">
        <f t="shared" si="80"/>
        <v/>
      </c>
      <c r="AA185" s="14" t="str">
        <f t="shared" si="80"/>
        <v/>
      </c>
      <c r="AB185" s="14" t="str">
        <f t="shared" si="80"/>
        <v>Die_machine</v>
      </c>
      <c r="AC185" s="94">
        <f t="shared" si="80"/>
        <v>1</v>
      </c>
      <c r="AD185" s="14" t="str">
        <f t="shared" si="80"/>
        <v>Effect/Prefab/02.mob/cube_military_01/EFF_cube_military_01_hit_01</v>
      </c>
      <c r="AE185" s="14" t="str">
        <f t="shared" si="80"/>
        <v/>
      </c>
      <c r="AF185" s="14" t="str">
        <f t="shared" si="80"/>
        <v/>
      </c>
      <c r="AG185" s="173" t="s">
        <v>2761</v>
      </c>
    </row>
    <row r="186" spans="1:33" x14ac:dyDescent="0.3">
      <c r="A186" s="14">
        <f t="shared" si="73"/>
        <v>1210401003</v>
      </c>
      <c r="B186" s="14" t="str">
        <f t="shared" ref="B186:AF186" si="81">IF(B75 &lt;&gt; "", B75, "")</f>
        <v>Rotation</v>
      </c>
      <c r="C186" s="14" t="str">
        <f t="shared" si="81"/>
        <v>큐브01_03</v>
      </c>
      <c r="D186" s="14" t="str">
        <f t="shared" si="81"/>
        <v>Monster.Name.RotationCube.Tier1</v>
      </c>
      <c r="E186" s="5" t="str">
        <f t="shared" si="81"/>
        <v>None</v>
      </c>
      <c r="F186" s="17" t="str">
        <f t="shared" si="81"/>
        <v>Fac_nul_ind</v>
      </c>
      <c r="G186" s="14" t="str">
        <f t="shared" si="81"/>
        <v>TRUE</v>
      </c>
      <c r="H186" s="14" t="str">
        <f t="shared" si="81"/>
        <v>TRUE</v>
      </c>
      <c r="I186" s="14" t="b">
        <f t="shared" si="81"/>
        <v>0</v>
      </c>
      <c r="J186" s="14">
        <f t="shared" si="81"/>
        <v>20</v>
      </c>
      <c r="K186" s="14">
        <f t="shared" si="81"/>
        <v>10</v>
      </c>
      <c r="L186" s="14" t="str">
        <f t="shared" si="81"/>
        <v/>
      </c>
      <c r="M186" s="14" t="str">
        <f t="shared" si="81"/>
        <v/>
      </c>
      <c r="N186" s="14" t="str">
        <f t="shared" si="81"/>
        <v/>
      </c>
      <c r="O186" s="17" t="str">
        <f t="shared" si="81"/>
        <v>Rotation.cube_tier01_03.skill01</v>
      </c>
      <c r="P186" s="14" t="str">
        <f t="shared" si="81"/>
        <v/>
      </c>
      <c r="Q186" s="14" t="str">
        <f t="shared" si="81"/>
        <v>Rotation.cube_tier01_03.Immun</v>
      </c>
      <c r="R186" s="14" t="str">
        <f t="shared" si="81"/>
        <v/>
      </c>
      <c r="S186" s="14" t="str">
        <f t="shared" si="81"/>
        <v/>
      </c>
      <c r="T186" s="14" t="str">
        <f t="shared" si="81"/>
        <v/>
      </c>
      <c r="U186" s="14" t="str">
        <f t="shared" si="81"/>
        <v/>
      </c>
      <c r="V186" s="14" t="b">
        <f t="shared" si="81"/>
        <v>0</v>
      </c>
      <c r="W186" s="14" t="str">
        <f t="shared" si="81"/>
        <v>Character/Prefabs/m_m_tanker_cube_tier01_03</v>
      </c>
      <c r="X186" s="14" t="str">
        <f t="shared" si="81"/>
        <v/>
      </c>
      <c r="Y186" s="14" t="str">
        <f t="shared" si="81"/>
        <v>m_m_tanker_cube_tier01_03</v>
      </c>
      <c r="Z186" s="14" t="str">
        <f t="shared" si="81"/>
        <v/>
      </c>
      <c r="AA186" s="14" t="str">
        <f t="shared" si="81"/>
        <v/>
      </c>
      <c r="AB186" s="14" t="str">
        <f t="shared" si="81"/>
        <v>Die_machine</v>
      </c>
      <c r="AC186" s="94">
        <f t="shared" si="81"/>
        <v>1</v>
      </c>
      <c r="AD186" s="14" t="str">
        <f t="shared" si="81"/>
        <v>Effect/Prefab/02.mob/cube_military_01/EFF_cube_military_01_hit_01</v>
      </c>
      <c r="AE186" s="14" t="str">
        <f t="shared" si="81"/>
        <v/>
      </c>
      <c r="AF186" s="14" t="str">
        <f t="shared" si="81"/>
        <v/>
      </c>
      <c r="AG186" s="173" t="s">
        <v>2761</v>
      </c>
    </row>
    <row r="187" spans="1:33" x14ac:dyDescent="0.3">
      <c r="A187" s="14">
        <f t="shared" si="73"/>
        <v>1210401004</v>
      </c>
      <c r="B187" s="14" t="str">
        <f t="shared" ref="B187:AF187" si="82">IF(B76 &lt;&gt; "", B76, "")</f>
        <v>Rotation</v>
      </c>
      <c r="C187" s="14" t="str">
        <f t="shared" si="82"/>
        <v>큐브01_04</v>
      </c>
      <c r="D187" s="14" t="str">
        <f t="shared" si="82"/>
        <v>Monster.Name.RotationCube.Tier1</v>
      </c>
      <c r="E187" s="5" t="str">
        <f t="shared" si="82"/>
        <v>None</v>
      </c>
      <c r="F187" s="17" t="str">
        <f t="shared" si="82"/>
        <v>Fac_nul_ind</v>
      </c>
      <c r="G187" s="14" t="str">
        <f t="shared" si="82"/>
        <v>TRUE</v>
      </c>
      <c r="H187" s="14" t="str">
        <f t="shared" si="82"/>
        <v>TRUE</v>
      </c>
      <c r="I187" s="14" t="b">
        <f t="shared" si="82"/>
        <v>0</v>
      </c>
      <c r="J187" s="14">
        <f t="shared" si="82"/>
        <v>20</v>
      </c>
      <c r="K187" s="14">
        <f t="shared" si="82"/>
        <v>10</v>
      </c>
      <c r="L187" s="14" t="str">
        <f t="shared" si="82"/>
        <v/>
      </c>
      <c r="M187" s="14" t="str">
        <f t="shared" si="82"/>
        <v/>
      </c>
      <c r="N187" s="14" t="str">
        <f t="shared" si="82"/>
        <v/>
      </c>
      <c r="O187" s="17" t="str">
        <f t="shared" si="82"/>
        <v>Rotation.cube_tier01_04.skill01</v>
      </c>
      <c r="P187" s="14" t="str">
        <f t="shared" si="82"/>
        <v/>
      </c>
      <c r="Q187" s="14" t="str">
        <f t="shared" si="82"/>
        <v>Rotation.cube_tier01_04.Immun</v>
      </c>
      <c r="R187" s="14" t="str">
        <f t="shared" si="82"/>
        <v/>
      </c>
      <c r="S187" s="14" t="str">
        <f t="shared" si="82"/>
        <v/>
      </c>
      <c r="T187" s="14" t="str">
        <f t="shared" si="82"/>
        <v/>
      </c>
      <c r="U187" s="14" t="str">
        <f t="shared" si="82"/>
        <v/>
      </c>
      <c r="V187" s="14" t="b">
        <f t="shared" si="82"/>
        <v>0</v>
      </c>
      <c r="W187" s="14" t="str">
        <f t="shared" si="82"/>
        <v>Character/Prefabs/m_m_tanker_cube_tier01_04</v>
      </c>
      <c r="X187" s="14" t="str">
        <f t="shared" si="82"/>
        <v/>
      </c>
      <c r="Y187" s="14" t="str">
        <f t="shared" si="82"/>
        <v>m_m_tanker_cube_tier01_04</v>
      </c>
      <c r="Z187" s="14" t="str">
        <f t="shared" si="82"/>
        <v/>
      </c>
      <c r="AA187" s="14" t="str">
        <f t="shared" si="82"/>
        <v/>
      </c>
      <c r="AB187" s="14" t="str">
        <f t="shared" si="82"/>
        <v>Die_machine</v>
      </c>
      <c r="AC187" s="94">
        <f t="shared" si="82"/>
        <v>1</v>
      </c>
      <c r="AD187" s="14" t="str">
        <f t="shared" si="82"/>
        <v>Effect/Prefab/02.mob/cube_military_01/EFF_cube_military_01_hit_01</v>
      </c>
      <c r="AE187" s="14" t="str">
        <f t="shared" si="82"/>
        <v/>
      </c>
      <c r="AF187" s="14" t="str">
        <f t="shared" si="82"/>
        <v/>
      </c>
      <c r="AG187" s="173" t="s">
        <v>2761</v>
      </c>
    </row>
    <row r="188" spans="1:33" x14ac:dyDescent="0.3">
      <c r="A188" s="14">
        <f t="shared" si="73"/>
        <v>1210401005</v>
      </c>
      <c r="B188" s="14" t="str">
        <f t="shared" ref="B188:AF188" si="83">IF(B77 &lt;&gt; "", B77, "")</f>
        <v>Rotation</v>
      </c>
      <c r="C188" s="14" t="str">
        <f t="shared" si="83"/>
        <v>큐브01_05</v>
      </c>
      <c r="D188" s="14" t="str">
        <f t="shared" si="83"/>
        <v>Monster.Name.RotationCube.Tier1</v>
      </c>
      <c r="E188" s="5" t="str">
        <f t="shared" si="83"/>
        <v>None</v>
      </c>
      <c r="F188" s="17" t="str">
        <f t="shared" si="83"/>
        <v>Fac_nul_ind</v>
      </c>
      <c r="G188" s="14" t="str">
        <f t="shared" si="83"/>
        <v>TRUE</v>
      </c>
      <c r="H188" s="14" t="str">
        <f t="shared" si="83"/>
        <v>TRUE</v>
      </c>
      <c r="I188" s="14" t="b">
        <f t="shared" si="83"/>
        <v>0</v>
      </c>
      <c r="J188" s="14">
        <f t="shared" si="83"/>
        <v>20</v>
      </c>
      <c r="K188" s="14">
        <f t="shared" si="83"/>
        <v>10</v>
      </c>
      <c r="L188" s="14" t="str">
        <f t="shared" si="83"/>
        <v/>
      </c>
      <c r="M188" s="14" t="str">
        <f t="shared" si="83"/>
        <v/>
      </c>
      <c r="N188" s="14" t="str">
        <f t="shared" si="83"/>
        <v/>
      </c>
      <c r="O188" s="17" t="str">
        <f t="shared" si="83"/>
        <v>Rotation.cube_tier01_05.skill01</v>
      </c>
      <c r="P188" s="14" t="str">
        <f t="shared" si="83"/>
        <v/>
      </c>
      <c r="Q188" s="14" t="str">
        <f t="shared" si="83"/>
        <v>Rotation.cube_tier01_05.Immun</v>
      </c>
      <c r="R188" s="14" t="str">
        <f t="shared" si="83"/>
        <v/>
      </c>
      <c r="S188" s="14" t="str">
        <f t="shared" si="83"/>
        <v/>
      </c>
      <c r="T188" s="14" t="str">
        <f t="shared" si="83"/>
        <v/>
      </c>
      <c r="U188" s="14" t="str">
        <f t="shared" si="83"/>
        <v/>
      </c>
      <c r="V188" s="14" t="b">
        <f t="shared" si="83"/>
        <v>0</v>
      </c>
      <c r="W188" s="14" t="str">
        <f t="shared" si="83"/>
        <v>Character/Prefabs/m_m_tanker_cube_tier01_05</v>
      </c>
      <c r="X188" s="14" t="str">
        <f t="shared" si="83"/>
        <v/>
      </c>
      <c r="Y188" s="14" t="str">
        <f t="shared" si="83"/>
        <v>m_m_tanker_cube_tier01_05</v>
      </c>
      <c r="Z188" s="14" t="str">
        <f t="shared" si="83"/>
        <v/>
      </c>
      <c r="AA188" s="14" t="str">
        <f t="shared" si="83"/>
        <v/>
      </c>
      <c r="AB188" s="14" t="str">
        <f t="shared" si="83"/>
        <v>Die_machine</v>
      </c>
      <c r="AC188" s="94">
        <f t="shared" si="83"/>
        <v>1</v>
      </c>
      <c r="AD188" s="14" t="str">
        <f t="shared" si="83"/>
        <v>Effect/Prefab/02.mob/cube_military_01/EFF_cube_military_01_hit_01</v>
      </c>
      <c r="AE188" s="14" t="str">
        <f t="shared" si="83"/>
        <v/>
      </c>
      <c r="AF188" s="14" t="str">
        <f t="shared" si="83"/>
        <v/>
      </c>
      <c r="AG188" s="173" t="s">
        <v>2761</v>
      </c>
    </row>
    <row r="189" spans="1:33" x14ac:dyDescent="0.3">
      <c r="A189" s="14">
        <f t="shared" si="73"/>
        <v>1210401006</v>
      </c>
      <c r="B189" s="14" t="str">
        <f t="shared" ref="B189:AF189" si="84">IF(B78 &lt;&gt; "", B78, "")</f>
        <v>Rotation</v>
      </c>
      <c r="C189" s="14" t="str">
        <f t="shared" si="84"/>
        <v>큐브02_01</v>
      </c>
      <c r="D189" s="14" t="str">
        <f t="shared" si="84"/>
        <v>Monster.Name.RotationCube.Tier2</v>
      </c>
      <c r="E189" s="5" t="str">
        <f t="shared" si="84"/>
        <v>None</v>
      </c>
      <c r="F189" s="17" t="str">
        <f t="shared" si="84"/>
        <v>Fac_nul_ind</v>
      </c>
      <c r="G189" s="14" t="str">
        <f t="shared" si="84"/>
        <v>TRUE</v>
      </c>
      <c r="H189" s="14" t="str">
        <f t="shared" si="84"/>
        <v>TRUE</v>
      </c>
      <c r="I189" s="14" t="b">
        <f t="shared" si="84"/>
        <v>0</v>
      </c>
      <c r="J189" s="14">
        <f t="shared" si="84"/>
        <v>20</v>
      </c>
      <c r="K189" s="14">
        <f t="shared" si="84"/>
        <v>10</v>
      </c>
      <c r="L189" s="14" t="str">
        <f t="shared" si="84"/>
        <v/>
      </c>
      <c r="M189" s="14" t="str">
        <f t="shared" si="84"/>
        <v/>
      </c>
      <c r="N189" s="14" t="str">
        <f t="shared" si="84"/>
        <v/>
      </c>
      <c r="O189" s="17" t="str">
        <f t="shared" si="84"/>
        <v>Rotation.cube_tier02_01.skill01</v>
      </c>
      <c r="P189" s="14" t="str">
        <f t="shared" si="84"/>
        <v/>
      </c>
      <c r="Q189" s="14" t="str">
        <f t="shared" si="84"/>
        <v>Rotation.cube_tier02_01.Immun</v>
      </c>
      <c r="R189" s="14" t="str">
        <f t="shared" si="84"/>
        <v/>
      </c>
      <c r="S189" s="14" t="str">
        <f t="shared" si="84"/>
        <v/>
      </c>
      <c r="T189" s="14" t="str">
        <f t="shared" si="84"/>
        <v/>
      </c>
      <c r="U189" s="14" t="str">
        <f t="shared" si="84"/>
        <v/>
      </c>
      <c r="V189" s="14" t="b">
        <f t="shared" si="84"/>
        <v>0</v>
      </c>
      <c r="W189" s="14" t="str">
        <f t="shared" si="84"/>
        <v>Character/Prefabs/m_m_tanker_cube_tier02_01</v>
      </c>
      <c r="X189" s="14" t="str">
        <f t="shared" si="84"/>
        <v/>
      </c>
      <c r="Y189" s="14" t="str">
        <f t="shared" si="84"/>
        <v>m_m_tanker_cube_tier02_01</v>
      </c>
      <c r="Z189" s="14" t="str">
        <f t="shared" si="84"/>
        <v/>
      </c>
      <c r="AA189" s="14" t="str">
        <f t="shared" si="84"/>
        <v/>
      </c>
      <c r="AB189" s="14" t="str">
        <f t="shared" si="84"/>
        <v>Die_machine</v>
      </c>
      <c r="AC189" s="94">
        <f t="shared" si="84"/>
        <v>1</v>
      </c>
      <c r="AD189" s="14" t="str">
        <f t="shared" si="84"/>
        <v>Effect/Prefab/02.mob/cube_military_01/EFF_cube_military_01_hit_01</v>
      </c>
      <c r="AE189" s="14" t="str">
        <f t="shared" si="84"/>
        <v/>
      </c>
      <c r="AF189" s="14" t="str">
        <f t="shared" si="84"/>
        <v/>
      </c>
      <c r="AG189" s="173" t="s">
        <v>2761</v>
      </c>
    </row>
    <row r="190" spans="1:33" x14ac:dyDescent="0.3">
      <c r="A190" s="14">
        <f t="shared" si="73"/>
        <v>1210401007</v>
      </c>
      <c r="B190" s="14" t="str">
        <f t="shared" ref="B190:AF190" si="85">IF(B79 &lt;&gt; "", B79, "")</f>
        <v>Rotation</v>
      </c>
      <c r="C190" s="14" t="str">
        <f t="shared" si="85"/>
        <v>큐브02_02</v>
      </c>
      <c r="D190" s="14" t="str">
        <f t="shared" si="85"/>
        <v>Monster.Name.RotationCube.Tier2</v>
      </c>
      <c r="E190" s="5" t="str">
        <f t="shared" si="85"/>
        <v>None</v>
      </c>
      <c r="F190" s="17" t="str">
        <f t="shared" si="85"/>
        <v>Fac_nul_ind</v>
      </c>
      <c r="G190" s="14" t="str">
        <f t="shared" si="85"/>
        <v>TRUE</v>
      </c>
      <c r="H190" s="14" t="str">
        <f t="shared" si="85"/>
        <v>TRUE</v>
      </c>
      <c r="I190" s="14" t="b">
        <f t="shared" si="85"/>
        <v>0</v>
      </c>
      <c r="J190" s="14">
        <f t="shared" si="85"/>
        <v>20</v>
      </c>
      <c r="K190" s="14">
        <f t="shared" si="85"/>
        <v>10</v>
      </c>
      <c r="L190" s="14" t="str">
        <f t="shared" si="85"/>
        <v/>
      </c>
      <c r="M190" s="14" t="str">
        <f t="shared" si="85"/>
        <v/>
      </c>
      <c r="N190" s="14" t="str">
        <f t="shared" si="85"/>
        <v/>
      </c>
      <c r="O190" s="17" t="str">
        <f t="shared" si="85"/>
        <v>Rotation.cube_tier02_02.skill01</v>
      </c>
      <c r="P190" s="14" t="str">
        <f t="shared" si="85"/>
        <v/>
      </c>
      <c r="Q190" s="14" t="str">
        <f t="shared" si="85"/>
        <v>Rotation.cube_tier02_02.Immun</v>
      </c>
      <c r="R190" s="14" t="str">
        <f t="shared" si="85"/>
        <v/>
      </c>
      <c r="S190" s="14" t="str">
        <f t="shared" si="85"/>
        <v/>
      </c>
      <c r="T190" s="14" t="str">
        <f t="shared" si="85"/>
        <v/>
      </c>
      <c r="U190" s="14" t="str">
        <f t="shared" si="85"/>
        <v/>
      </c>
      <c r="V190" s="14" t="b">
        <f t="shared" si="85"/>
        <v>0</v>
      </c>
      <c r="W190" s="14" t="str">
        <f t="shared" si="85"/>
        <v>Character/Prefabs/m_m_tanker_cube_tier02_02</v>
      </c>
      <c r="X190" s="14" t="str">
        <f t="shared" si="85"/>
        <v/>
      </c>
      <c r="Y190" s="14" t="str">
        <f t="shared" si="85"/>
        <v>m_m_tanker_cube_tier02_02</v>
      </c>
      <c r="Z190" s="14" t="str">
        <f t="shared" si="85"/>
        <v/>
      </c>
      <c r="AA190" s="14" t="str">
        <f t="shared" si="85"/>
        <v/>
      </c>
      <c r="AB190" s="14" t="str">
        <f t="shared" si="85"/>
        <v>Die_machine</v>
      </c>
      <c r="AC190" s="94">
        <f t="shared" si="85"/>
        <v>1</v>
      </c>
      <c r="AD190" s="14" t="str">
        <f t="shared" si="85"/>
        <v>Effect/Prefab/02.mob/cube_military_01/EFF_cube_military_01_hit_01</v>
      </c>
      <c r="AE190" s="14" t="str">
        <f t="shared" si="85"/>
        <v/>
      </c>
      <c r="AF190" s="14" t="str">
        <f t="shared" si="85"/>
        <v/>
      </c>
      <c r="AG190" s="173" t="s">
        <v>2761</v>
      </c>
    </row>
    <row r="191" spans="1:33" x14ac:dyDescent="0.3">
      <c r="A191" s="14">
        <f t="shared" si="73"/>
        <v>1210401008</v>
      </c>
      <c r="B191" s="14" t="str">
        <f t="shared" ref="B191:AF191" si="86">IF(B80 &lt;&gt; "", B80, "")</f>
        <v>Rotation</v>
      </c>
      <c r="C191" s="14" t="str">
        <f t="shared" si="86"/>
        <v>큐브02_03</v>
      </c>
      <c r="D191" s="14" t="str">
        <f t="shared" si="86"/>
        <v>Monster.Name.RotationCube.Tier2</v>
      </c>
      <c r="E191" s="5" t="str">
        <f t="shared" si="86"/>
        <v>None</v>
      </c>
      <c r="F191" s="17" t="str">
        <f t="shared" si="86"/>
        <v>Fac_nul_ind</v>
      </c>
      <c r="G191" s="14" t="str">
        <f t="shared" si="86"/>
        <v>TRUE</v>
      </c>
      <c r="H191" s="14" t="str">
        <f t="shared" si="86"/>
        <v>TRUE</v>
      </c>
      <c r="I191" s="14" t="b">
        <f t="shared" si="86"/>
        <v>0</v>
      </c>
      <c r="J191" s="14">
        <f t="shared" si="86"/>
        <v>20</v>
      </c>
      <c r="K191" s="14">
        <f t="shared" si="86"/>
        <v>10</v>
      </c>
      <c r="L191" s="14" t="str">
        <f t="shared" si="86"/>
        <v/>
      </c>
      <c r="M191" s="14" t="str">
        <f t="shared" si="86"/>
        <v/>
      </c>
      <c r="N191" s="14" t="str">
        <f t="shared" si="86"/>
        <v/>
      </c>
      <c r="O191" s="17" t="str">
        <f t="shared" si="86"/>
        <v>Rotation.cube_tier02_03.skill01</v>
      </c>
      <c r="P191" s="14" t="str">
        <f t="shared" si="86"/>
        <v/>
      </c>
      <c r="Q191" s="14" t="str">
        <f t="shared" si="86"/>
        <v>Rotation.cube_tier02_03.Immun</v>
      </c>
      <c r="R191" s="14" t="str">
        <f t="shared" si="86"/>
        <v/>
      </c>
      <c r="S191" s="14" t="str">
        <f t="shared" si="86"/>
        <v/>
      </c>
      <c r="T191" s="14" t="str">
        <f t="shared" si="86"/>
        <v/>
      </c>
      <c r="U191" s="14" t="str">
        <f t="shared" si="86"/>
        <v/>
      </c>
      <c r="V191" s="14" t="b">
        <f t="shared" si="86"/>
        <v>0</v>
      </c>
      <c r="W191" s="14" t="str">
        <f t="shared" si="86"/>
        <v>Character/Prefabs/m_m_tanker_cube_tier02_03</v>
      </c>
      <c r="X191" s="14" t="str">
        <f t="shared" si="86"/>
        <v/>
      </c>
      <c r="Y191" s="14" t="str">
        <f t="shared" si="86"/>
        <v>m_m_tanker_cube_tier02_03</v>
      </c>
      <c r="Z191" s="14" t="str">
        <f t="shared" si="86"/>
        <v/>
      </c>
      <c r="AA191" s="14" t="str">
        <f t="shared" si="86"/>
        <v/>
      </c>
      <c r="AB191" s="14" t="str">
        <f t="shared" si="86"/>
        <v>Die_machine</v>
      </c>
      <c r="AC191" s="94">
        <f t="shared" si="86"/>
        <v>1</v>
      </c>
      <c r="AD191" s="14" t="str">
        <f t="shared" si="86"/>
        <v>Effect/Prefab/02.mob/cube_military_01/EFF_cube_military_01_hit_01</v>
      </c>
      <c r="AE191" s="14" t="str">
        <f t="shared" si="86"/>
        <v/>
      </c>
      <c r="AF191" s="14" t="str">
        <f t="shared" si="86"/>
        <v/>
      </c>
      <c r="AG191" s="173" t="s">
        <v>2761</v>
      </c>
    </row>
    <row r="192" spans="1:33" x14ac:dyDescent="0.3">
      <c r="A192" s="14">
        <f t="shared" si="73"/>
        <v>1210401009</v>
      </c>
      <c r="B192" s="14" t="str">
        <f t="shared" ref="B192:AF192" si="87">IF(B81 &lt;&gt; "", B81, "")</f>
        <v>Rotation</v>
      </c>
      <c r="C192" s="14" t="str">
        <f t="shared" si="87"/>
        <v>큐브02_04</v>
      </c>
      <c r="D192" s="14" t="str">
        <f t="shared" si="87"/>
        <v>Monster.Name.RotationCube.Tier2</v>
      </c>
      <c r="E192" s="5" t="str">
        <f t="shared" si="87"/>
        <v>None</v>
      </c>
      <c r="F192" s="17" t="str">
        <f t="shared" si="87"/>
        <v>Fac_nul_ind</v>
      </c>
      <c r="G192" s="14" t="str">
        <f t="shared" si="87"/>
        <v>TRUE</v>
      </c>
      <c r="H192" s="14" t="str">
        <f t="shared" si="87"/>
        <v>TRUE</v>
      </c>
      <c r="I192" s="14" t="b">
        <f t="shared" si="87"/>
        <v>0</v>
      </c>
      <c r="J192" s="14">
        <f t="shared" si="87"/>
        <v>20</v>
      </c>
      <c r="K192" s="14">
        <f t="shared" si="87"/>
        <v>10</v>
      </c>
      <c r="L192" s="14" t="str">
        <f t="shared" si="87"/>
        <v/>
      </c>
      <c r="M192" s="14" t="str">
        <f t="shared" si="87"/>
        <v/>
      </c>
      <c r="N192" s="14" t="str">
        <f t="shared" si="87"/>
        <v/>
      </c>
      <c r="O192" s="17" t="str">
        <f t="shared" si="87"/>
        <v>Rotation.cube_tier02_04.skill01</v>
      </c>
      <c r="P192" s="14" t="str">
        <f t="shared" si="87"/>
        <v/>
      </c>
      <c r="Q192" s="14" t="str">
        <f t="shared" si="87"/>
        <v>Rotation.cube_tier02_04.Immun</v>
      </c>
      <c r="R192" s="14" t="str">
        <f t="shared" si="87"/>
        <v/>
      </c>
      <c r="S192" s="14" t="str">
        <f t="shared" si="87"/>
        <v/>
      </c>
      <c r="T192" s="14" t="str">
        <f t="shared" si="87"/>
        <v/>
      </c>
      <c r="U192" s="14" t="str">
        <f t="shared" si="87"/>
        <v/>
      </c>
      <c r="V192" s="14" t="b">
        <f t="shared" si="87"/>
        <v>0</v>
      </c>
      <c r="W192" s="14" t="str">
        <f t="shared" si="87"/>
        <v>Character/Prefabs/m_m_tanker_cube_tier02_04</v>
      </c>
      <c r="X192" s="14" t="str">
        <f t="shared" si="87"/>
        <v/>
      </c>
      <c r="Y192" s="14" t="str">
        <f t="shared" si="87"/>
        <v>m_m_tanker_cube_tier02_04</v>
      </c>
      <c r="Z192" s="14" t="str">
        <f t="shared" si="87"/>
        <v/>
      </c>
      <c r="AA192" s="14" t="str">
        <f t="shared" si="87"/>
        <v/>
      </c>
      <c r="AB192" s="14" t="str">
        <f t="shared" si="87"/>
        <v>Die_machine</v>
      </c>
      <c r="AC192" s="94">
        <f t="shared" si="87"/>
        <v>1</v>
      </c>
      <c r="AD192" s="14" t="str">
        <f t="shared" si="87"/>
        <v>Effect/Prefab/02.mob/cube_military_01/EFF_cube_military_01_hit_01</v>
      </c>
      <c r="AE192" s="14" t="str">
        <f t="shared" si="87"/>
        <v/>
      </c>
      <c r="AF192" s="14" t="str">
        <f t="shared" si="87"/>
        <v/>
      </c>
      <c r="AG192" s="173" t="s">
        <v>2761</v>
      </c>
    </row>
    <row r="193" spans="1:33" x14ac:dyDescent="0.3">
      <c r="A193" s="14">
        <f t="shared" si="73"/>
        <v>1210401010</v>
      </c>
      <c r="B193" s="14" t="str">
        <f t="shared" ref="B193:AF193" si="88">IF(B82 &lt;&gt; "", B82, "")</f>
        <v>Rotation</v>
      </c>
      <c r="C193" s="14" t="str">
        <f t="shared" si="88"/>
        <v>큐브02_05</v>
      </c>
      <c r="D193" s="14" t="str">
        <f t="shared" si="88"/>
        <v>Monster.Name.RotationCube.Tier2</v>
      </c>
      <c r="E193" s="5" t="str">
        <f t="shared" si="88"/>
        <v>None</v>
      </c>
      <c r="F193" s="17" t="str">
        <f t="shared" si="88"/>
        <v>Fac_nul_ind</v>
      </c>
      <c r="G193" s="14" t="str">
        <f t="shared" si="88"/>
        <v>TRUE</v>
      </c>
      <c r="H193" s="14" t="str">
        <f t="shared" si="88"/>
        <v>TRUE</v>
      </c>
      <c r="I193" s="14" t="b">
        <f t="shared" si="88"/>
        <v>0</v>
      </c>
      <c r="J193" s="14">
        <f t="shared" si="88"/>
        <v>20</v>
      </c>
      <c r="K193" s="14">
        <f t="shared" si="88"/>
        <v>10</v>
      </c>
      <c r="L193" s="14" t="str">
        <f t="shared" si="88"/>
        <v/>
      </c>
      <c r="M193" s="14" t="str">
        <f t="shared" si="88"/>
        <v/>
      </c>
      <c r="N193" s="14" t="str">
        <f t="shared" si="88"/>
        <v/>
      </c>
      <c r="O193" s="17" t="str">
        <f t="shared" si="88"/>
        <v>Rotation.cube_tier02_05.skill01</v>
      </c>
      <c r="P193" s="14" t="str">
        <f t="shared" si="88"/>
        <v/>
      </c>
      <c r="Q193" s="14" t="str">
        <f t="shared" si="88"/>
        <v>Rotation.cube_tier02_05.Immun</v>
      </c>
      <c r="R193" s="14" t="str">
        <f t="shared" si="88"/>
        <v/>
      </c>
      <c r="S193" s="14" t="str">
        <f t="shared" si="88"/>
        <v/>
      </c>
      <c r="T193" s="14" t="str">
        <f t="shared" si="88"/>
        <v/>
      </c>
      <c r="U193" s="14" t="str">
        <f t="shared" si="88"/>
        <v/>
      </c>
      <c r="V193" s="14" t="b">
        <f t="shared" si="88"/>
        <v>0</v>
      </c>
      <c r="W193" s="14" t="str">
        <f t="shared" si="88"/>
        <v>Character/Prefabs/m_m_tanker_cube_tier02_05</v>
      </c>
      <c r="X193" s="14" t="str">
        <f t="shared" si="88"/>
        <v/>
      </c>
      <c r="Y193" s="14" t="str">
        <f t="shared" si="88"/>
        <v>m_m_tanker_cube_tier02_05</v>
      </c>
      <c r="Z193" s="14" t="str">
        <f t="shared" si="88"/>
        <v/>
      </c>
      <c r="AA193" s="14" t="str">
        <f t="shared" si="88"/>
        <v/>
      </c>
      <c r="AB193" s="14" t="str">
        <f t="shared" si="88"/>
        <v>Die_machine</v>
      </c>
      <c r="AC193" s="94">
        <f t="shared" si="88"/>
        <v>1</v>
      </c>
      <c r="AD193" s="14" t="str">
        <f t="shared" si="88"/>
        <v>Effect/Prefab/02.mob/cube_military_01/EFF_cube_military_01_hit_01</v>
      </c>
      <c r="AE193" s="14" t="str">
        <f t="shared" si="88"/>
        <v/>
      </c>
      <c r="AF193" s="14" t="str">
        <f t="shared" si="88"/>
        <v/>
      </c>
      <c r="AG193" s="173" t="s">
        <v>2761</v>
      </c>
    </row>
    <row r="194" spans="1:33" x14ac:dyDescent="0.3">
      <c r="A194" s="14">
        <f t="shared" si="73"/>
        <v>1210401011</v>
      </c>
      <c r="B194" s="14" t="str">
        <f t="shared" ref="B194:AF194" si="89">IF(B83 &lt;&gt; "", B83, "")</f>
        <v>Rotation</v>
      </c>
      <c r="C194" s="14" t="str">
        <f t="shared" si="89"/>
        <v>큐브03_01</v>
      </c>
      <c r="D194" s="14" t="str">
        <f t="shared" si="89"/>
        <v>Monster.Name.RotationCube.Tier3</v>
      </c>
      <c r="E194" s="5" t="str">
        <f t="shared" si="89"/>
        <v>None</v>
      </c>
      <c r="F194" s="17" t="str">
        <f t="shared" si="89"/>
        <v>Fac_nul_ind</v>
      </c>
      <c r="G194" s="14" t="str">
        <f t="shared" si="89"/>
        <v>TRUE</v>
      </c>
      <c r="H194" s="14" t="str">
        <f t="shared" si="89"/>
        <v>TRUE</v>
      </c>
      <c r="I194" s="14" t="b">
        <f t="shared" si="89"/>
        <v>0</v>
      </c>
      <c r="J194" s="14">
        <f t="shared" si="89"/>
        <v>20</v>
      </c>
      <c r="K194" s="14">
        <f t="shared" si="89"/>
        <v>10</v>
      </c>
      <c r="L194" s="14" t="str">
        <f t="shared" si="89"/>
        <v/>
      </c>
      <c r="M194" s="14" t="str">
        <f t="shared" si="89"/>
        <v/>
      </c>
      <c r="N194" s="14" t="str">
        <f t="shared" si="89"/>
        <v/>
      </c>
      <c r="O194" s="17" t="str">
        <f t="shared" si="89"/>
        <v>Rotation.cube_tier03_01.skill01</v>
      </c>
      <c r="P194" s="14" t="str">
        <f t="shared" si="89"/>
        <v/>
      </c>
      <c r="Q194" s="14" t="str">
        <f t="shared" si="89"/>
        <v>Rotation.cube_tier03_01.Immun</v>
      </c>
      <c r="R194" s="14" t="str">
        <f t="shared" si="89"/>
        <v/>
      </c>
      <c r="S194" s="14" t="str">
        <f t="shared" si="89"/>
        <v/>
      </c>
      <c r="T194" s="14" t="str">
        <f t="shared" si="89"/>
        <v/>
      </c>
      <c r="U194" s="14" t="str">
        <f t="shared" si="89"/>
        <v/>
      </c>
      <c r="V194" s="14" t="b">
        <f t="shared" si="89"/>
        <v>0</v>
      </c>
      <c r="W194" s="14" t="str">
        <f t="shared" si="89"/>
        <v>Character/Prefabs/m_m_tanker_cube_tier03_01</v>
      </c>
      <c r="X194" s="14" t="str">
        <f t="shared" si="89"/>
        <v/>
      </c>
      <c r="Y194" s="14" t="str">
        <f t="shared" si="89"/>
        <v>m_m_tanker_cube_tier03_01</v>
      </c>
      <c r="Z194" s="14" t="str">
        <f t="shared" si="89"/>
        <v/>
      </c>
      <c r="AA194" s="14" t="str">
        <f t="shared" si="89"/>
        <v/>
      </c>
      <c r="AB194" s="14" t="str">
        <f t="shared" si="89"/>
        <v>Die_machine</v>
      </c>
      <c r="AC194" s="94">
        <f t="shared" si="89"/>
        <v>1</v>
      </c>
      <c r="AD194" s="14" t="str">
        <f t="shared" si="89"/>
        <v>Effect/Prefab/02.mob/cube_military_01/EFF_cube_military_01_hit_01</v>
      </c>
      <c r="AE194" s="14" t="str">
        <f t="shared" si="89"/>
        <v/>
      </c>
      <c r="AF194" s="14" t="str">
        <f t="shared" si="89"/>
        <v/>
      </c>
      <c r="AG194" s="173" t="s">
        <v>2761</v>
      </c>
    </row>
    <row r="195" spans="1:33" x14ac:dyDescent="0.3">
      <c r="A195" s="14">
        <f t="shared" si="73"/>
        <v>1210401012</v>
      </c>
      <c r="B195" s="14" t="str">
        <f t="shared" ref="B195:AF195" si="90">IF(B84 &lt;&gt; "", B84, "")</f>
        <v>Rotation</v>
      </c>
      <c r="C195" s="14" t="str">
        <f t="shared" si="90"/>
        <v>큐브03_02</v>
      </c>
      <c r="D195" s="14" t="str">
        <f t="shared" si="90"/>
        <v>Monster.Name.RotationCube.Tier3</v>
      </c>
      <c r="E195" s="5" t="str">
        <f t="shared" si="90"/>
        <v>None</v>
      </c>
      <c r="F195" s="17" t="str">
        <f t="shared" si="90"/>
        <v>Fac_nul_ind</v>
      </c>
      <c r="G195" s="14" t="str">
        <f t="shared" si="90"/>
        <v>TRUE</v>
      </c>
      <c r="H195" s="14" t="str">
        <f t="shared" si="90"/>
        <v>TRUE</v>
      </c>
      <c r="I195" s="14" t="b">
        <f t="shared" si="90"/>
        <v>0</v>
      </c>
      <c r="J195" s="14">
        <f t="shared" si="90"/>
        <v>20</v>
      </c>
      <c r="K195" s="14">
        <f t="shared" si="90"/>
        <v>10</v>
      </c>
      <c r="L195" s="14" t="str">
        <f t="shared" si="90"/>
        <v/>
      </c>
      <c r="M195" s="14" t="str">
        <f t="shared" si="90"/>
        <v/>
      </c>
      <c r="N195" s="14" t="str">
        <f t="shared" si="90"/>
        <v/>
      </c>
      <c r="O195" s="17" t="str">
        <f t="shared" si="90"/>
        <v>Rotation.cube_tier03_02.skill01</v>
      </c>
      <c r="P195" s="14" t="str">
        <f t="shared" si="90"/>
        <v/>
      </c>
      <c r="Q195" s="14" t="str">
        <f t="shared" si="90"/>
        <v>Rotation.cube_tier03_02.Immun</v>
      </c>
      <c r="R195" s="14" t="str">
        <f t="shared" si="90"/>
        <v/>
      </c>
      <c r="S195" s="14" t="str">
        <f t="shared" si="90"/>
        <v/>
      </c>
      <c r="T195" s="14" t="str">
        <f t="shared" si="90"/>
        <v/>
      </c>
      <c r="U195" s="14" t="str">
        <f t="shared" si="90"/>
        <v/>
      </c>
      <c r="V195" s="14" t="b">
        <f t="shared" si="90"/>
        <v>0</v>
      </c>
      <c r="W195" s="14" t="str">
        <f t="shared" si="90"/>
        <v>Character/Prefabs/m_m_tanker_cube_tier03_02</v>
      </c>
      <c r="X195" s="14" t="str">
        <f t="shared" si="90"/>
        <v/>
      </c>
      <c r="Y195" s="14" t="str">
        <f t="shared" si="90"/>
        <v>m_m_tanker_cube_tier03_02</v>
      </c>
      <c r="Z195" s="14" t="str">
        <f t="shared" si="90"/>
        <v/>
      </c>
      <c r="AA195" s="14" t="str">
        <f t="shared" si="90"/>
        <v/>
      </c>
      <c r="AB195" s="14" t="str">
        <f t="shared" si="90"/>
        <v>Die_machine</v>
      </c>
      <c r="AC195" s="94">
        <f t="shared" si="90"/>
        <v>1</v>
      </c>
      <c r="AD195" s="14" t="str">
        <f t="shared" si="90"/>
        <v>Effect/Prefab/02.mob/cube_military_01/EFF_cube_military_01_hit_01</v>
      </c>
      <c r="AE195" s="14" t="str">
        <f t="shared" si="90"/>
        <v/>
      </c>
      <c r="AF195" s="14" t="str">
        <f t="shared" si="90"/>
        <v/>
      </c>
      <c r="AG195" s="173" t="s">
        <v>2761</v>
      </c>
    </row>
    <row r="196" spans="1:33" x14ac:dyDescent="0.3">
      <c r="A196" s="14">
        <f t="shared" si="73"/>
        <v>1210401013</v>
      </c>
      <c r="B196" s="14" t="str">
        <f t="shared" ref="B196:AF196" si="91">IF(B85 &lt;&gt; "", B85, "")</f>
        <v>Rotation</v>
      </c>
      <c r="C196" s="14" t="str">
        <f t="shared" si="91"/>
        <v>큐브03_03</v>
      </c>
      <c r="D196" s="14" t="str">
        <f t="shared" si="91"/>
        <v>Monster.Name.RotationCube.Tier3</v>
      </c>
      <c r="E196" s="5" t="str">
        <f t="shared" si="91"/>
        <v>None</v>
      </c>
      <c r="F196" s="17" t="str">
        <f t="shared" si="91"/>
        <v>Fac_nul_ind</v>
      </c>
      <c r="G196" s="14" t="str">
        <f t="shared" si="91"/>
        <v>TRUE</v>
      </c>
      <c r="H196" s="14" t="str">
        <f t="shared" si="91"/>
        <v>TRUE</v>
      </c>
      <c r="I196" s="14" t="b">
        <f t="shared" si="91"/>
        <v>0</v>
      </c>
      <c r="J196" s="14">
        <f t="shared" si="91"/>
        <v>20</v>
      </c>
      <c r="K196" s="14">
        <f t="shared" si="91"/>
        <v>10</v>
      </c>
      <c r="L196" s="14" t="str">
        <f t="shared" si="91"/>
        <v/>
      </c>
      <c r="M196" s="14" t="str">
        <f t="shared" si="91"/>
        <v/>
      </c>
      <c r="N196" s="14" t="str">
        <f t="shared" si="91"/>
        <v/>
      </c>
      <c r="O196" s="17" t="str">
        <f t="shared" si="91"/>
        <v>Rotation.cube_tier03_03.skill01</v>
      </c>
      <c r="P196" s="14" t="str">
        <f t="shared" si="91"/>
        <v/>
      </c>
      <c r="Q196" s="14" t="str">
        <f t="shared" si="91"/>
        <v>Rotation.cube_tier03_03.Immun</v>
      </c>
      <c r="R196" s="14" t="str">
        <f t="shared" si="91"/>
        <v/>
      </c>
      <c r="S196" s="14" t="str">
        <f t="shared" si="91"/>
        <v/>
      </c>
      <c r="T196" s="14" t="str">
        <f t="shared" si="91"/>
        <v/>
      </c>
      <c r="U196" s="14" t="str">
        <f t="shared" si="91"/>
        <v/>
      </c>
      <c r="V196" s="14" t="b">
        <f t="shared" si="91"/>
        <v>0</v>
      </c>
      <c r="W196" s="14" t="str">
        <f t="shared" si="91"/>
        <v>Character/Prefabs/m_m_tanker_cube_tier03_03</v>
      </c>
      <c r="X196" s="14" t="str">
        <f t="shared" si="91"/>
        <v/>
      </c>
      <c r="Y196" s="14" t="str">
        <f t="shared" si="91"/>
        <v>m_m_tanker_cube_tier03_03</v>
      </c>
      <c r="Z196" s="14" t="str">
        <f t="shared" si="91"/>
        <v/>
      </c>
      <c r="AA196" s="14" t="str">
        <f t="shared" si="91"/>
        <v/>
      </c>
      <c r="AB196" s="14" t="str">
        <f t="shared" si="91"/>
        <v>Die_machine</v>
      </c>
      <c r="AC196" s="94">
        <f t="shared" si="91"/>
        <v>1</v>
      </c>
      <c r="AD196" s="14" t="str">
        <f t="shared" si="91"/>
        <v>Effect/Prefab/02.mob/cube_military_01/EFF_cube_military_01_hit_01</v>
      </c>
      <c r="AE196" s="14" t="str">
        <f t="shared" si="91"/>
        <v/>
      </c>
      <c r="AF196" s="14" t="str">
        <f t="shared" si="91"/>
        <v/>
      </c>
      <c r="AG196" s="173" t="s">
        <v>2761</v>
      </c>
    </row>
    <row r="197" spans="1:33" x14ac:dyDescent="0.3">
      <c r="A197" s="14">
        <f t="shared" si="73"/>
        <v>1210401014</v>
      </c>
      <c r="B197" s="14" t="str">
        <f t="shared" ref="B197:AF197" si="92">IF(B86 &lt;&gt; "", B86, "")</f>
        <v>Rotation</v>
      </c>
      <c r="C197" s="14" t="str">
        <f t="shared" si="92"/>
        <v>큐브03_04</v>
      </c>
      <c r="D197" s="14" t="str">
        <f t="shared" si="92"/>
        <v>Monster.Name.RotationCube.Tier3</v>
      </c>
      <c r="E197" s="5" t="str">
        <f t="shared" si="92"/>
        <v>None</v>
      </c>
      <c r="F197" s="17" t="str">
        <f t="shared" si="92"/>
        <v>Fac_nul_ind</v>
      </c>
      <c r="G197" s="14" t="str">
        <f t="shared" si="92"/>
        <v>TRUE</v>
      </c>
      <c r="H197" s="14" t="str">
        <f t="shared" si="92"/>
        <v>TRUE</v>
      </c>
      <c r="I197" s="14" t="b">
        <f t="shared" si="92"/>
        <v>0</v>
      </c>
      <c r="J197" s="14">
        <f t="shared" si="92"/>
        <v>20</v>
      </c>
      <c r="K197" s="14">
        <f t="shared" si="92"/>
        <v>10</v>
      </c>
      <c r="L197" s="14" t="str">
        <f t="shared" si="92"/>
        <v/>
      </c>
      <c r="M197" s="14" t="str">
        <f t="shared" si="92"/>
        <v/>
      </c>
      <c r="N197" s="14" t="str">
        <f t="shared" si="92"/>
        <v/>
      </c>
      <c r="O197" s="17" t="str">
        <f t="shared" si="92"/>
        <v>Rotation.cube_tier03_04.skill01</v>
      </c>
      <c r="P197" s="14" t="str">
        <f t="shared" si="92"/>
        <v/>
      </c>
      <c r="Q197" s="14" t="str">
        <f t="shared" si="92"/>
        <v>Rotation.cube_tier03_04.Immun</v>
      </c>
      <c r="R197" s="14" t="str">
        <f t="shared" si="92"/>
        <v/>
      </c>
      <c r="S197" s="14" t="str">
        <f t="shared" si="92"/>
        <v/>
      </c>
      <c r="T197" s="14" t="str">
        <f t="shared" si="92"/>
        <v/>
      </c>
      <c r="U197" s="14" t="str">
        <f t="shared" si="92"/>
        <v/>
      </c>
      <c r="V197" s="14" t="b">
        <f t="shared" si="92"/>
        <v>0</v>
      </c>
      <c r="W197" s="14" t="str">
        <f t="shared" si="92"/>
        <v>Character/Prefabs/m_m_tanker_cube_tier03_04</v>
      </c>
      <c r="X197" s="14" t="str">
        <f t="shared" si="92"/>
        <v/>
      </c>
      <c r="Y197" s="14" t="str">
        <f t="shared" si="92"/>
        <v>m_m_tanker_cube_tier03_04</v>
      </c>
      <c r="Z197" s="14" t="str">
        <f t="shared" si="92"/>
        <v/>
      </c>
      <c r="AA197" s="14" t="str">
        <f t="shared" si="92"/>
        <v/>
      </c>
      <c r="AB197" s="14" t="str">
        <f t="shared" si="92"/>
        <v>Die_machine</v>
      </c>
      <c r="AC197" s="94">
        <f t="shared" si="92"/>
        <v>1</v>
      </c>
      <c r="AD197" s="14" t="str">
        <f t="shared" si="92"/>
        <v>Effect/Prefab/02.mob/cube_military_01/EFF_cube_military_01_hit_01</v>
      </c>
      <c r="AE197" s="14" t="str">
        <f t="shared" si="92"/>
        <v/>
      </c>
      <c r="AF197" s="14" t="str">
        <f t="shared" si="92"/>
        <v/>
      </c>
      <c r="AG197" s="173" t="s">
        <v>2761</v>
      </c>
    </row>
    <row r="198" spans="1:33" x14ac:dyDescent="0.3">
      <c r="A198" s="14">
        <f t="shared" si="73"/>
        <v>1210401015</v>
      </c>
      <c r="B198" s="14" t="str">
        <f t="shared" ref="B198:AF198" si="93">IF(B87 &lt;&gt; "", B87, "")</f>
        <v>Rotation</v>
      </c>
      <c r="C198" s="14" t="str">
        <f t="shared" si="93"/>
        <v>큐브03_05</v>
      </c>
      <c r="D198" s="14" t="str">
        <f t="shared" si="93"/>
        <v>Monster.Name.RotationCube.Tier3</v>
      </c>
      <c r="E198" s="5" t="str">
        <f t="shared" si="93"/>
        <v>None</v>
      </c>
      <c r="F198" s="17" t="str">
        <f t="shared" si="93"/>
        <v>Fac_nul_ind</v>
      </c>
      <c r="G198" s="14" t="str">
        <f t="shared" si="93"/>
        <v>TRUE</v>
      </c>
      <c r="H198" s="14" t="str">
        <f t="shared" si="93"/>
        <v>TRUE</v>
      </c>
      <c r="I198" s="14" t="b">
        <f t="shared" si="93"/>
        <v>0</v>
      </c>
      <c r="J198" s="14">
        <f t="shared" si="93"/>
        <v>20</v>
      </c>
      <c r="K198" s="14">
        <f t="shared" si="93"/>
        <v>10</v>
      </c>
      <c r="L198" s="14" t="str">
        <f t="shared" si="93"/>
        <v/>
      </c>
      <c r="M198" s="14" t="str">
        <f t="shared" si="93"/>
        <v/>
      </c>
      <c r="N198" s="14" t="str">
        <f t="shared" si="93"/>
        <v/>
      </c>
      <c r="O198" s="17" t="str">
        <f t="shared" si="93"/>
        <v>Rotation.cube_tier03_05.skill01</v>
      </c>
      <c r="P198" s="14" t="str">
        <f t="shared" si="93"/>
        <v/>
      </c>
      <c r="Q198" s="14" t="str">
        <f t="shared" si="93"/>
        <v>Rotation.cube_tier03_05.Immun</v>
      </c>
      <c r="R198" s="14" t="str">
        <f t="shared" si="93"/>
        <v/>
      </c>
      <c r="S198" s="14" t="str">
        <f t="shared" si="93"/>
        <v/>
      </c>
      <c r="T198" s="14" t="str">
        <f t="shared" si="93"/>
        <v/>
      </c>
      <c r="U198" s="14" t="str">
        <f t="shared" si="93"/>
        <v/>
      </c>
      <c r="V198" s="14" t="b">
        <f t="shared" si="93"/>
        <v>0</v>
      </c>
      <c r="W198" s="14" t="str">
        <f t="shared" si="93"/>
        <v>Character/Prefabs/m_m_tanker_cube_tier03_05</v>
      </c>
      <c r="X198" s="14" t="str">
        <f t="shared" si="93"/>
        <v/>
      </c>
      <c r="Y198" s="14" t="str">
        <f t="shared" si="93"/>
        <v>m_m_tanker_cube_tier03_05</v>
      </c>
      <c r="Z198" s="14" t="str">
        <f t="shared" si="93"/>
        <v/>
      </c>
      <c r="AA198" s="14" t="str">
        <f t="shared" si="93"/>
        <v/>
      </c>
      <c r="AB198" s="14" t="str">
        <f t="shared" si="93"/>
        <v>Die_machine</v>
      </c>
      <c r="AC198" s="94">
        <f t="shared" si="93"/>
        <v>1</v>
      </c>
      <c r="AD198" s="14" t="str">
        <f t="shared" si="93"/>
        <v>Effect/Prefab/02.mob/cube_military_01/EFF_cube_military_01_hit_01</v>
      </c>
      <c r="AE198" s="14" t="str">
        <f t="shared" si="93"/>
        <v/>
      </c>
      <c r="AF198" s="14" t="str">
        <f t="shared" si="93"/>
        <v/>
      </c>
      <c r="AG198" s="173" t="s">
        <v>2761</v>
      </c>
    </row>
    <row r="199" spans="1:33" x14ac:dyDescent="0.3">
      <c r="A199" s="14">
        <f t="shared" si="73"/>
        <v>1210401016</v>
      </c>
      <c r="B199" s="14" t="str">
        <f t="shared" ref="B199:AF199" si="94">IF(B88 &lt;&gt; "", B88, "")</f>
        <v>Rotation</v>
      </c>
      <c r="C199" s="14" t="str">
        <f t="shared" si="94"/>
        <v>큐브04_01</v>
      </c>
      <c r="D199" s="14" t="str">
        <f t="shared" si="94"/>
        <v>Monster.Name.RotationCube.Tier4</v>
      </c>
      <c r="E199" s="5" t="str">
        <f t="shared" si="94"/>
        <v>None</v>
      </c>
      <c r="F199" s="17" t="str">
        <f t="shared" si="94"/>
        <v>Fac_nul_ind</v>
      </c>
      <c r="G199" s="14" t="str">
        <f t="shared" si="94"/>
        <v>TRUE</v>
      </c>
      <c r="H199" s="14" t="str">
        <f t="shared" si="94"/>
        <v>TRUE</v>
      </c>
      <c r="I199" s="14" t="b">
        <f t="shared" si="94"/>
        <v>0</v>
      </c>
      <c r="J199" s="14">
        <f t="shared" si="94"/>
        <v>20</v>
      </c>
      <c r="K199" s="14">
        <f t="shared" si="94"/>
        <v>10</v>
      </c>
      <c r="L199" s="14" t="str">
        <f t="shared" si="94"/>
        <v/>
      </c>
      <c r="M199" s="14" t="str">
        <f t="shared" si="94"/>
        <v/>
      </c>
      <c r="N199" s="14" t="str">
        <f t="shared" si="94"/>
        <v/>
      </c>
      <c r="O199" s="17" t="str">
        <f t="shared" si="94"/>
        <v>Rotation.cube_tier04_01.skill01</v>
      </c>
      <c r="P199" s="14" t="str">
        <f t="shared" si="94"/>
        <v/>
      </c>
      <c r="Q199" s="14" t="str">
        <f t="shared" si="94"/>
        <v>Rotation.cube_tier04_01.Immun</v>
      </c>
      <c r="R199" s="14" t="str">
        <f t="shared" si="94"/>
        <v/>
      </c>
      <c r="S199" s="14" t="str">
        <f t="shared" si="94"/>
        <v/>
      </c>
      <c r="T199" s="14" t="str">
        <f t="shared" si="94"/>
        <v/>
      </c>
      <c r="U199" s="14" t="str">
        <f t="shared" si="94"/>
        <v/>
      </c>
      <c r="V199" s="14" t="b">
        <f t="shared" si="94"/>
        <v>0</v>
      </c>
      <c r="W199" s="14" t="str">
        <f t="shared" si="94"/>
        <v>Character/Prefabs/m_m_tanker_cube_tier04_01</v>
      </c>
      <c r="X199" s="14" t="str">
        <f t="shared" si="94"/>
        <v/>
      </c>
      <c r="Y199" s="14" t="str">
        <f t="shared" si="94"/>
        <v>m_m_tanker_cube_tier04_01</v>
      </c>
      <c r="Z199" s="14" t="str">
        <f t="shared" si="94"/>
        <v/>
      </c>
      <c r="AA199" s="14" t="str">
        <f t="shared" si="94"/>
        <v/>
      </c>
      <c r="AB199" s="14" t="str">
        <f t="shared" si="94"/>
        <v>Die_machine</v>
      </c>
      <c r="AC199" s="94">
        <f t="shared" si="94"/>
        <v>1</v>
      </c>
      <c r="AD199" s="14" t="str">
        <f t="shared" si="94"/>
        <v>Effect/Prefab/02.mob/cube_military_01/EFF_cube_military_01_hit_01</v>
      </c>
      <c r="AE199" s="14" t="str">
        <f t="shared" si="94"/>
        <v/>
      </c>
      <c r="AF199" s="14" t="str">
        <f t="shared" si="94"/>
        <v/>
      </c>
      <c r="AG199" s="173" t="s">
        <v>2761</v>
      </c>
    </row>
    <row r="200" spans="1:33" x14ac:dyDescent="0.3">
      <c r="A200" s="14">
        <f t="shared" si="73"/>
        <v>1210401017</v>
      </c>
      <c r="B200" s="14" t="str">
        <f t="shared" ref="B200:AF200" si="95">IF(B89 &lt;&gt; "", B89, "")</f>
        <v>Rotation</v>
      </c>
      <c r="C200" s="14" t="str">
        <f t="shared" si="95"/>
        <v>큐브04_02</v>
      </c>
      <c r="D200" s="14" t="str">
        <f t="shared" si="95"/>
        <v>Monster.Name.RotationCube.Tier4</v>
      </c>
      <c r="E200" s="5" t="str">
        <f t="shared" si="95"/>
        <v>None</v>
      </c>
      <c r="F200" s="17" t="str">
        <f t="shared" si="95"/>
        <v>Fac_nul_ind</v>
      </c>
      <c r="G200" s="14" t="str">
        <f t="shared" si="95"/>
        <v>TRUE</v>
      </c>
      <c r="H200" s="14" t="str">
        <f t="shared" si="95"/>
        <v>TRUE</v>
      </c>
      <c r="I200" s="14" t="b">
        <f t="shared" si="95"/>
        <v>0</v>
      </c>
      <c r="J200" s="14">
        <f t="shared" si="95"/>
        <v>20</v>
      </c>
      <c r="K200" s="14">
        <f t="shared" si="95"/>
        <v>10</v>
      </c>
      <c r="L200" s="14" t="str">
        <f t="shared" si="95"/>
        <v/>
      </c>
      <c r="M200" s="14" t="str">
        <f t="shared" si="95"/>
        <v/>
      </c>
      <c r="N200" s="14" t="str">
        <f t="shared" si="95"/>
        <v/>
      </c>
      <c r="O200" s="17" t="str">
        <f t="shared" si="95"/>
        <v>Rotation.cube_tier04_02.skill01</v>
      </c>
      <c r="P200" s="14" t="str">
        <f t="shared" si="95"/>
        <v/>
      </c>
      <c r="Q200" s="14" t="str">
        <f t="shared" si="95"/>
        <v>Rotation.cube_tier04_02.Immun</v>
      </c>
      <c r="R200" s="14" t="str">
        <f t="shared" si="95"/>
        <v/>
      </c>
      <c r="S200" s="14" t="str">
        <f t="shared" si="95"/>
        <v/>
      </c>
      <c r="T200" s="14" t="str">
        <f t="shared" si="95"/>
        <v/>
      </c>
      <c r="U200" s="14" t="str">
        <f t="shared" si="95"/>
        <v/>
      </c>
      <c r="V200" s="14" t="b">
        <f t="shared" si="95"/>
        <v>0</v>
      </c>
      <c r="W200" s="14" t="str">
        <f t="shared" si="95"/>
        <v>Character/Prefabs/m_m_tanker_cube_tier04_02</v>
      </c>
      <c r="X200" s="14" t="str">
        <f t="shared" si="95"/>
        <v/>
      </c>
      <c r="Y200" s="14" t="str">
        <f t="shared" si="95"/>
        <v>m_m_tanker_cube_tier04_02</v>
      </c>
      <c r="Z200" s="14" t="str">
        <f t="shared" si="95"/>
        <v/>
      </c>
      <c r="AA200" s="14" t="str">
        <f t="shared" si="95"/>
        <v/>
      </c>
      <c r="AB200" s="14" t="str">
        <f t="shared" si="95"/>
        <v>Die_machine</v>
      </c>
      <c r="AC200" s="94">
        <f t="shared" si="95"/>
        <v>1</v>
      </c>
      <c r="AD200" s="14" t="str">
        <f t="shared" si="95"/>
        <v>Effect/Prefab/02.mob/cube_military_01/EFF_cube_military_01_hit_01</v>
      </c>
      <c r="AE200" s="14" t="str">
        <f t="shared" si="95"/>
        <v/>
      </c>
      <c r="AF200" s="14" t="str">
        <f t="shared" si="95"/>
        <v/>
      </c>
      <c r="AG200" s="173" t="s">
        <v>2761</v>
      </c>
    </row>
    <row r="201" spans="1:33" x14ac:dyDescent="0.3">
      <c r="A201" s="14">
        <f t="shared" si="73"/>
        <v>1210401018</v>
      </c>
      <c r="B201" s="14" t="str">
        <f t="shared" ref="B201:AF201" si="96">IF(B90 &lt;&gt; "", B90, "")</f>
        <v>Rotation</v>
      </c>
      <c r="C201" s="14" t="str">
        <f t="shared" si="96"/>
        <v>큐브04_03</v>
      </c>
      <c r="D201" s="14" t="str">
        <f t="shared" si="96"/>
        <v>Monster.Name.RotationCube.Tier4</v>
      </c>
      <c r="E201" s="5" t="str">
        <f t="shared" si="96"/>
        <v>None</v>
      </c>
      <c r="F201" s="17" t="str">
        <f t="shared" si="96"/>
        <v>Fac_nul_ind</v>
      </c>
      <c r="G201" s="14" t="str">
        <f t="shared" si="96"/>
        <v>TRUE</v>
      </c>
      <c r="H201" s="14" t="str">
        <f t="shared" si="96"/>
        <v>TRUE</v>
      </c>
      <c r="I201" s="14" t="b">
        <f t="shared" si="96"/>
        <v>0</v>
      </c>
      <c r="J201" s="14">
        <f t="shared" si="96"/>
        <v>20</v>
      </c>
      <c r="K201" s="14">
        <f t="shared" si="96"/>
        <v>10</v>
      </c>
      <c r="L201" s="14" t="str">
        <f t="shared" si="96"/>
        <v/>
      </c>
      <c r="M201" s="14" t="str">
        <f t="shared" si="96"/>
        <v/>
      </c>
      <c r="N201" s="14" t="str">
        <f t="shared" si="96"/>
        <v/>
      </c>
      <c r="O201" s="17" t="str">
        <f t="shared" si="96"/>
        <v>Rotation.cube_tier04_03.skill01</v>
      </c>
      <c r="P201" s="14" t="str">
        <f t="shared" si="96"/>
        <v/>
      </c>
      <c r="Q201" s="14" t="str">
        <f t="shared" si="96"/>
        <v>Rotation.cube_tier04_03.Immun</v>
      </c>
      <c r="R201" s="14" t="str">
        <f t="shared" si="96"/>
        <v/>
      </c>
      <c r="S201" s="14" t="str">
        <f t="shared" si="96"/>
        <v/>
      </c>
      <c r="T201" s="14" t="str">
        <f t="shared" si="96"/>
        <v/>
      </c>
      <c r="U201" s="14" t="str">
        <f t="shared" si="96"/>
        <v/>
      </c>
      <c r="V201" s="14" t="b">
        <f t="shared" si="96"/>
        <v>0</v>
      </c>
      <c r="W201" s="14" t="str">
        <f t="shared" si="96"/>
        <v>Character/Prefabs/m_m_tanker_cube_tier04_03</v>
      </c>
      <c r="X201" s="14" t="str">
        <f t="shared" si="96"/>
        <v/>
      </c>
      <c r="Y201" s="14" t="str">
        <f t="shared" si="96"/>
        <v>m_m_tanker_cube_tier04_03</v>
      </c>
      <c r="Z201" s="14" t="str">
        <f t="shared" si="96"/>
        <v/>
      </c>
      <c r="AA201" s="14" t="str">
        <f t="shared" si="96"/>
        <v/>
      </c>
      <c r="AB201" s="14" t="str">
        <f t="shared" si="96"/>
        <v>Die_machine</v>
      </c>
      <c r="AC201" s="94">
        <f t="shared" si="96"/>
        <v>1</v>
      </c>
      <c r="AD201" s="14" t="str">
        <f t="shared" si="96"/>
        <v>Effect/Prefab/02.mob/cube_military_01/EFF_cube_military_01_hit_01</v>
      </c>
      <c r="AE201" s="14" t="str">
        <f t="shared" si="96"/>
        <v/>
      </c>
      <c r="AF201" s="14" t="str">
        <f t="shared" si="96"/>
        <v/>
      </c>
      <c r="AG201" s="173" t="s">
        <v>2761</v>
      </c>
    </row>
    <row r="202" spans="1:33" x14ac:dyDescent="0.3">
      <c r="A202" s="14">
        <f t="shared" si="73"/>
        <v>1210401019</v>
      </c>
      <c r="B202" s="14" t="str">
        <f t="shared" ref="B202:AF202" si="97">IF(B91 &lt;&gt; "", B91, "")</f>
        <v>Rotation</v>
      </c>
      <c r="C202" s="14" t="str">
        <f t="shared" si="97"/>
        <v>큐브04_04</v>
      </c>
      <c r="D202" s="14" t="str">
        <f t="shared" si="97"/>
        <v>Monster.Name.RotationCube.Tier4</v>
      </c>
      <c r="E202" s="5" t="str">
        <f t="shared" si="97"/>
        <v>None</v>
      </c>
      <c r="F202" s="17" t="str">
        <f t="shared" si="97"/>
        <v>Fac_nul_ind</v>
      </c>
      <c r="G202" s="14" t="str">
        <f t="shared" si="97"/>
        <v>TRUE</v>
      </c>
      <c r="H202" s="14" t="str">
        <f t="shared" si="97"/>
        <v>TRUE</v>
      </c>
      <c r="I202" s="14" t="b">
        <f t="shared" si="97"/>
        <v>0</v>
      </c>
      <c r="J202" s="14">
        <f t="shared" si="97"/>
        <v>20</v>
      </c>
      <c r="K202" s="14">
        <f t="shared" si="97"/>
        <v>10</v>
      </c>
      <c r="L202" s="14" t="str">
        <f t="shared" si="97"/>
        <v/>
      </c>
      <c r="M202" s="14" t="str">
        <f t="shared" si="97"/>
        <v/>
      </c>
      <c r="N202" s="14" t="str">
        <f t="shared" si="97"/>
        <v/>
      </c>
      <c r="O202" s="17" t="str">
        <f t="shared" si="97"/>
        <v>Rotation.cube_tier04_04.skill01</v>
      </c>
      <c r="P202" s="14" t="str">
        <f t="shared" si="97"/>
        <v/>
      </c>
      <c r="Q202" s="14" t="str">
        <f t="shared" si="97"/>
        <v>Rotation.cube_tier04_04.Immun</v>
      </c>
      <c r="R202" s="14" t="str">
        <f t="shared" si="97"/>
        <v/>
      </c>
      <c r="S202" s="14" t="str">
        <f t="shared" si="97"/>
        <v/>
      </c>
      <c r="T202" s="14" t="str">
        <f t="shared" si="97"/>
        <v/>
      </c>
      <c r="U202" s="14" t="str">
        <f t="shared" si="97"/>
        <v/>
      </c>
      <c r="V202" s="14" t="b">
        <f t="shared" si="97"/>
        <v>0</v>
      </c>
      <c r="W202" s="14" t="str">
        <f t="shared" si="97"/>
        <v>Character/Prefabs/m_m_tanker_cube_tier04_04</v>
      </c>
      <c r="X202" s="14" t="str">
        <f t="shared" si="97"/>
        <v/>
      </c>
      <c r="Y202" s="14" t="str">
        <f t="shared" si="97"/>
        <v>m_m_tanker_cube_tier04_04</v>
      </c>
      <c r="Z202" s="14" t="str">
        <f t="shared" si="97"/>
        <v/>
      </c>
      <c r="AA202" s="14" t="str">
        <f t="shared" si="97"/>
        <v/>
      </c>
      <c r="AB202" s="14" t="str">
        <f t="shared" si="97"/>
        <v>Die_machine</v>
      </c>
      <c r="AC202" s="94">
        <f t="shared" si="97"/>
        <v>1</v>
      </c>
      <c r="AD202" s="14" t="str">
        <f t="shared" si="97"/>
        <v>Effect/Prefab/02.mob/cube_military_01/EFF_cube_military_01_hit_01</v>
      </c>
      <c r="AE202" s="14" t="str">
        <f t="shared" si="97"/>
        <v/>
      </c>
      <c r="AF202" s="14" t="str">
        <f t="shared" si="97"/>
        <v/>
      </c>
      <c r="AG202" s="173" t="s">
        <v>2761</v>
      </c>
    </row>
    <row r="203" spans="1:33" x14ac:dyDescent="0.3">
      <c r="A203" s="14">
        <f t="shared" si="73"/>
        <v>1210401020</v>
      </c>
      <c r="B203" s="14" t="str">
        <f t="shared" ref="B203:AF203" si="98">IF(B92 &lt;&gt; "", B92, "")</f>
        <v>Rotation</v>
      </c>
      <c r="C203" s="14" t="str">
        <f t="shared" si="98"/>
        <v>큐브04_05</v>
      </c>
      <c r="D203" s="14" t="str">
        <f t="shared" si="98"/>
        <v>Monster.Name.RotationCube.Tier4</v>
      </c>
      <c r="E203" s="5" t="str">
        <f t="shared" si="98"/>
        <v>None</v>
      </c>
      <c r="F203" s="17" t="str">
        <f t="shared" si="98"/>
        <v>Fac_nul_ind</v>
      </c>
      <c r="G203" s="14" t="str">
        <f t="shared" si="98"/>
        <v>TRUE</v>
      </c>
      <c r="H203" s="14" t="str">
        <f t="shared" si="98"/>
        <v>TRUE</v>
      </c>
      <c r="I203" s="14" t="b">
        <f t="shared" si="98"/>
        <v>0</v>
      </c>
      <c r="J203" s="14">
        <f t="shared" si="98"/>
        <v>20</v>
      </c>
      <c r="K203" s="14">
        <f t="shared" si="98"/>
        <v>10</v>
      </c>
      <c r="L203" s="14" t="str">
        <f t="shared" si="98"/>
        <v/>
      </c>
      <c r="M203" s="14" t="str">
        <f t="shared" si="98"/>
        <v/>
      </c>
      <c r="N203" s="14" t="str">
        <f t="shared" si="98"/>
        <v/>
      </c>
      <c r="O203" s="17" t="str">
        <f t="shared" si="98"/>
        <v>Rotation.cube_tier04_05.skill01</v>
      </c>
      <c r="P203" s="14" t="str">
        <f t="shared" si="98"/>
        <v/>
      </c>
      <c r="Q203" s="14" t="str">
        <f t="shared" si="98"/>
        <v>Rotation.cube_tier04_05.Immun</v>
      </c>
      <c r="R203" s="14" t="str">
        <f t="shared" si="98"/>
        <v/>
      </c>
      <c r="S203" s="14" t="str">
        <f t="shared" si="98"/>
        <v/>
      </c>
      <c r="T203" s="14" t="str">
        <f t="shared" si="98"/>
        <v/>
      </c>
      <c r="U203" s="14" t="str">
        <f t="shared" si="98"/>
        <v/>
      </c>
      <c r="V203" s="14" t="b">
        <f t="shared" si="98"/>
        <v>0</v>
      </c>
      <c r="W203" s="14" t="str">
        <f t="shared" si="98"/>
        <v>Character/Prefabs/m_m_tanker_cube_tier04_05</v>
      </c>
      <c r="X203" s="14" t="str">
        <f t="shared" si="98"/>
        <v/>
      </c>
      <c r="Y203" s="14" t="str">
        <f t="shared" si="98"/>
        <v>m_m_tanker_cube_tier04_05</v>
      </c>
      <c r="Z203" s="14" t="str">
        <f t="shared" si="98"/>
        <v/>
      </c>
      <c r="AA203" s="14" t="str">
        <f t="shared" si="98"/>
        <v/>
      </c>
      <c r="AB203" s="14" t="str">
        <f t="shared" si="98"/>
        <v>Die_machine</v>
      </c>
      <c r="AC203" s="94">
        <f t="shared" si="98"/>
        <v>1</v>
      </c>
      <c r="AD203" s="14" t="str">
        <f t="shared" si="98"/>
        <v>Effect/Prefab/02.mob/cube_military_01/EFF_cube_military_01_hit_01</v>
      </c>
      <c r="AE203" s="14" t="str">
        <f t="shared" si="98"/>
        <v/>
      </c>
      <c r="AF203" s="14" t="str">
        <f t="shared" si="98"/>
        <v/>
      </c>
      <c r="AG203" s="173" t="s">
        <v>2761</v>
      </c>
    </row>
    <row r="204" spans="1:33" x14ac:dyDescent="0.3">
      <c r="A204" s="14">
        <f t="shared" si="73"/>
        <v>1210401021</v>
      </c>
      <c r="B204" s="14" t="str">
        <f t="shared" ref="B204:AF204" si="99">IF(B93 &lt;&gt; "", B93, "")</f>
        <v>Rotation</v>
      </c>
      <c r="C204" s="14" t="str">
        <f t="shared" si="99"/>
        <v>큐브05_01</v>
      </c>
      <c r="D204" s="14" t="str">
        <f t="shared" si="99"/>
        <v>Monster.Name.RotationCube.Tier5</v>
      </c>
      <c r="E204" s="5" t="str">
        <f t="shared" si="99"/>
        <v>None</v>
      </c>
      <c r="F204" s="17" t="str">
        <f t="shared" si="99"/>
        <v>Fac_nul_ind</v>
      </c>
      <c r="G204" s="14" t="str">
        <f t="shared" si="99"/>
        <v>TRUE</v>
      </c>
      <c r="H204" s="14" t="str">
        <f t="shared" si="99"/>
        <v>TRUE</v>
      </c>
      <c r="I204" s="14" t="b">
        <f t="shared" si="99"/>
        <v>0</v>
      </c>
      <c r="J204" s="14">
        <f t="shared" si="99"/>
        <v>20</v>
      </c>
      <c r="K204" s="14">
        <f t="shared" si="99"/>
        <v>10</v>
      </c>
      <c r="L204" s="14" t="str">
        <f t="shared" si="99"/>
        <v/>
      </c>
      <c r="M204" s="14" t="str">
        <f t="shared" si="99"/>
        <v/>
      </c>
      <c r="N204" s="14" t="str">
        <f t="shared" si="99"/>
        <v/>
      </c>
      <c r="O204" s="17" t="str">
        <f t="shared" si="99"/>
        <v>Rotation.cube_tier05_01.skill01</v>
      </c>
      <c r="P204" s="14" t="str">
        <f t="shared" si="99"/>
        <v/>
      </c>
      <c r="Q204" s="14" t="str">
        <f t="shared" si="99"/>
        <v>Rotation.cube_tier05_01.Immun</v>
      </c>
      <c r="R204" s="14" t="str">
        <f t="shared" si="99"/>
        <v/>
      </c>
      <c r="S204" s="14" t="str">
        <f t="shared" si="99"/>
        <v/>
      </c>
      <c r="T204" s="14" t="str">
        <f t="shared" si="99"/>
        <v/>
      </c>
      <c r="U204" s="14" t="str">
        <f t="shared" si="99"/>
        <v/>
      </c>
      <c r="V204" s="14" t="b">
        <f t="shared" si="99"/>
        <v>0</v>
      </c>
      <c r="W204" s="14" t="str">
        <f t="shared" si="99"/>
        <v>Character/Prefabs/m_m_tanker_cube_tier05_01</v>
      </c>
      <c r="X204" s="14" t="str">
        <f t="shared" si="99"/>
        <v/>
      </c>
      <c r="Y204" s="14" t="str">
        <f t="shared" si="99"/>
        <v>m_m_tanker_cube_tier05_01</v>
      </c>
      <c r="Z204" s="14" t="str">
        <f t="shared" si="99"/>
        <v/>
      </c>
      <c r="AA204" s="14" t="str">
        <f t="shared" si="99"/>
        <v/>
      </c>
      <c r="AB204" s="14" t="str">
        <f t="shared" si="99"/>
        <v>Die_machine</v>
      </c>
      <c r="AC204" s="94">
        <f t="shared" si="99"/>
        <v>1</v>
      </c>
      <c r="AD204" s="14" t="str">
        <f t="shared" si="99"/>
        <v>Effect/Prefab/02.mob/cube_military_01/EFF_cube_military_01_hit_01</v>
      </c>
      <c r="AE204" s="14" t="str">
        <f t="shared" si="99"/>
        <v/>
      </c>
      <c r="AF204" s="14" t="str">
        <f t="shared" si="99"/>
        <v/>
      </c>
      <c r="AG204" s="173" t="s">
        <v>2761</v>
      </c>
    </row>
    <row r="205" spans="1:33" x14ac:dyDescent="0.3">
      <c r="A205" s="14">
        <f t="shared" si="73"/>
        <v>1210401022</v>
      </c>
      <c r="B205" s="14" t="str">
        <f t="shared" ref="B205:AF205" si="100">IF(B94 &lt;&gt; "", B94, "")</f>
        <v>Rotation</v>
      </c>
      <c r="C205" s="14" t="str">
        <f t="shared" si="100"/>
        <v>큐브05_02</v>
      </c>
      <c r="D205" s="14" t="str">
        <f t="shared" si="100"/>
        <v>Monster.Name.RotationCube.Tier5</v>
      </c>
      <c r="E205" s="5" t="str">
        <f t="shared" si="100"/>
        <v>None</v>
      </c>
      <c r="F205" s="17" t="str">
        <f t="shared" si="100"/>
        <v>Fac_nul_ind</v>
      </c>
      <c r="G205" s="14" t="str">
        <f t="shared" si="100"/>
        <v>TRUE</v>
      </c>
      <c r="H205" s="14" t="str">
        <f t="shared" si="100"/>
        <v>TRUE</v>
      </c>
      <c r="I205" s="14" t="b">
        <f t="shared" si="100"/>
        <v>0</v>
      </c>
      <c r="J205" s="14">
        <f t="shared" si="100"/>
        <v>20</v>
      </c>
      <c r="K205" s="14">
        <f t="shared" si="100"/>
        <v>10</v>
      </c>
      <c r="L205" s="14" t="str">
        <f t="shared" si="100"/>
        <v/>
      </c>
      <c r="M205" s="14" t="str">
        <f t="shared" si="100"/>
        <v/>
      </c>
      <c r="N205" s="14" t="str">
        <f t="shared" si="100"/>
        <v/>
      </c>
      <c r="O205" s="17" t="str">
        <f t="shared" si="100"/>
        <v>Rotation.cube_tier05_02.skill01</v>
      </c>
      <c r="P205" s="14" t="str">
        <f t="shared" si="100"/>
        <v/>
      </c>
      <c r="Q205" s="14" t="str">
        <f t="shared" si="100"/>
        <v>Rotation.cube_tier05_02.Immun</v>
      </c>
      <c r="R205" s="14" t="str">
        <f t="shared" si="100"/>
        <v/>
      </c>
      <c r="S205" s="14" t="str">
        <f t="shared" si="100"/>
        <v/>
      </c>
      <c r="T205" s="14" t="str">
        <f t="shared" si="100"/>
        <v/>
      </c>
      <c r="U205" s="14" t="str">
        <f t="shared" si="100"/>
        <v/>
      </c>
      <c r="V205" s="14" t="b">
        <f t="shared" si="100"/>
        <v>0</v>
      </c>
      <c r="W205" s="14" t="str">
        <f t="shared" si="100"/>
        <v>Character/Prefabs/m_m_tanker_cube_tier05_02</v>
      </c>
      <c r="X205" s="14" t="str">
        <f t="shared" si="100"/>
        <v/>
      </c>
      <c r="Y205" s="14" t="str">
        <f t="shared" si="100"/>
        <v>m_m_tanker_cube_tier05_02</v>
      </c>
      <c r="Z205" s="14" t="str">
        <f t="shared" si="100"/>
        <v/>
      </c>
      <c r="AA205" s="14" t="str">
        <f t="shared" si="100"/>
        <v/>
      </c>
      <c r="AB205" s="14" t="str">
        <f t="shared" si="100"/>
        <v>Die_machine</v>
      </c>
      <c r="AC205" s="94">
        <f t="shared" si="100"/>
        <v>1</v>
      </c>
      <c r="AD205" s="14" t="str">
        <f t="shared" si="100"/>
        <v>Effect/Prefab/02.mob/cube_military_01/EFF_cube_military_01_hit_01</v>
      </c>
      <c r="AE205" s="14" t="str">
        <f t="shared" si="100"/>
        <v/>
      </c>
      <c r="AF205" s="14" t="str">
        <f t="shared" si="100"/>
        <v/>
      </c>
      <c r="AG205" s="173" t="s">
        <v>2761</v>
      </c>
    </row>
    <row r="206" spans="1:33" x14ac:dyDescent="0.3">
      <c r="A206" s="14">
        <f t="shared" si="73"/>
        <v>1210401023</v>
      </c>
      <c r="B206" s="14" t="str">
        <f t="shared" ref="B206:AF206" si="101">IF(B95 &lt;&gt; "", B95, "")</f>
        <v>Rotation</v>
      </c>
      <c r="C206" s="14" t="str">
        <f t="shared" si="101"/>
        <v>큐브05_03</v>
      </c>
      <c r="D206" s="14" t="str">
        <f t="shared" si="101"/>
        <v>Monster.Name.RotationCube.Tier5</v>
      </c>
      <c r="E206" s="5" t="str">
        <f t="shared" si="101"/>
        <v>None</v>
      </c>
      <c r="F206" s="17" t="str">
        <f t="shared" si="101"/>
        <v>Fac_nul_ind</v>
      </c>
      <c r="G206" s="14" t="str">
        <f t="shared" si="101"/>
        <v>TRUE</v>
      </c>
      <c r="H206" s="14" t="str">
        <f t="shared" si="101"/>
        <v>TRUE</v>
      </c>
      <c r="I206" s="14" t="b">
        <f t="shared" si="101"/>
        <v>0</v>
      </c>
      <c r="J206" s="14">
        <f t="shared" si="101"/>
        <v>20</v>
      </c>
      <c r="K206" s="14">
        <f t="shared" si="101"/>
        <v>10</v>
      </c>
      <c r="L206" s="14" t="str">
        <f t="shared" si="101"/>
        <v/>
      </c>
      <c r="M206" s="14" t="str">
        <f t="shared" si="101"/>
        <v/>
      </c>
      <c r="N206" s="14" t="str">
        <f t="shared" si="101"/>
        <v/>
      </c>
      <c r="O206" s="17" t="str">
        <f t="shared" si="101"/>
        <v>Rotation.cube_tier05_03.skill01</v>
      </c>
      <c r="P206" s="14" t="str">
        <f t="shared" si="101"/>
        <v/>
      </c>
      <c r="Q206" s="14" t="str">
        <f t="shared" si="101"/>
        <v>Rotation.cube_tier05_03.Immun</v>
      </c>
      <c r="R206" s="14" t="str">
        <f t="shared" si="101"/>
        <v/>
      </c>
      <c r="S206" s="14" t="str">
        <f t="shared" si="101"/>
        <v/>
      </c>
      <c r="T206" s="14" t="str">
        <f t="shared" si="101"/>
        <v/>
      </c>
      <c r="U206" s="14" t="str">
        <f t="shared" si="101"/>
        <v/>
      </c>
      <c r="V206" s="14" t="b">
        <f t="shared" si="101"/>
        <v>0</v>
      </c>
      <c r="W206" s="14" t="str">
        <f t="shared" si="101"/>
        <v>Character/Prefabs/m_m_tanker_cube_tier05_03</v>
      </c>
      <c r="X206" s="14" t="str">
        <f t="shared" si="101"/>
        <v/>
      </c>
      <c r="Y206" s="14" t="str">
        <f t="shared" si="101"/>
        <v>m_m_tanker_cube_tier05_03</v>
      </c>
      <c r="Z206" s="14" t="str">
        <f t="shared" si="101"/>
        <v/>
      </c>
      <c r="AA206" s="14" t="str">
        <f t="shared" si="101"/>
        <v/>
      </c>
      <c r="AB206" s="14" t="str">
        <f t="shared" si="101"/>
        <v>Die_machine</v>
      </c>
      <c r="AC206" s="94">
        <f t="shared" si="101"/>
        <v>1</v>
      </c>
      <c r="AD206" s="14" t="str">
        <f t="shared" si="101"/>
        <v>Effect/Prefab/02.mob/cube_military_01/EFF_cube_military_01_hit_01</v>
      </c>
      <c r="AE206" s="14" t="str">
        <f t="shared" si="101"/>
        <v/>
      </c>
      <c r="AF206" s="14" t="str">
        <f t="shared" si="101"/>
        <v/>
      </c>
      <c r="AG206" s="173" t="s">
        <v>2761</v>
      </c>
    </row>
    <row r="207" spans="1:33" x14ac:dyDescent="0.3">
      <c r="A207" s="14">
        <f t="shared" si="73"/>
        <v>1210401024</v>
      </c>
      <c r="B207" s="14" t="str">
        <f t="shared" ref="B207:AF207" si="102">IF(B96 &lt;&gt; "", B96, "")</f>
        <v>Rotation</v>
      </c>
      <c r="C207" s="14" t="str">
        <f t="shared" si="102"/>
        <v>큐브05_04</v>
      </c>
      <c r="D207" s="14" t="str">
        <f t="shared" si="102"/>
        <v>Monster.Name.RotationCube.Tier5</v>
      </c>
      <c r="E207" s="5" t="str">
        <f t="shared" si="102"/>
        <v>None</v>
      </c>
      <c r="F207" s="17" t="str">
        <f t="shared" si="102"/>
        <v>Fac_nul_ind</v>
      </c>
      <c r="G207" s="14" t="str">
        <f t="shared" si="102"/>
        <v>TRUE</v>
      </c>
      <c r="H207" s="14" t="str">
        <f t="shared" si="102"/>
        <v>TRUE</v>
      </c>
      <c r="I207" s="14" t="b">
        <f t="shared" si="102"/>
        <v>0</v>
      </c>
      <c r="J207" s="14">
        <f t="shared" si="102"/>
        <v>20</v>
      </c>
      <c r="K207" s="14">
        <f t="shared" si="102"/>
        <v>10</v>
      </c>
      <c r="L207" s="14" t="str">
        <f t="shared" si="102"/>
        <v/>
      </c>
      <c r="M207" s="14" t="str">
        <f t="shared" si="102"/>
        <v/>
      </c>
      <c r="N207" s="14" t="str">
        <f t="shared" si="102"/>
        <v/>
      </c>
      <c r="O207" s="17" t="str">
        <f t="shared" si="102"/>
        <v>Rotation.cube_tier05_04.skill01</v>
      </c>
      <c r="P207" s="14" t="str">
        <f t="shared" si="102"/>
        <v/>
      </c>
      <c r="Q207" s="14" t="str">
        <f t="shared" si="102"/>
        <v>Rotation.cube_tier05_04.Immun</v>
      </c>
      <c r="R207" s="14" t="str">
        <f t="shared" si="102"/>
        <v/>
      </c>
      <c r="S207" s="14" t="str">
        <f t="shared" si="102"/>
        <v/>
      </c>
      <c r="T207" s="14" t="str">
        <f t="shared" si="102"/>
        <v/>
      </c>
      <c r="U207" s="14" t="str">
        <f t="shared" si="102"/>
        <v/>
      </c>
      <c r="V207" s="14" t="b">
        <f t="shared" si="102"/>
        <v>0</v>
      </c>
      <c r="W207" s="14" t="str">
        <f t="shared" si="102"/>
        <v>Character/Prefabs/m_m_tanker_cube_tier05_04</v>
      </c>
      <c r="X207" s="14" t="str">
        <f t="shared" si="102"/>
        <v/>
      </c>
      <c r="Y207" s="14" t="str">
        <f t="shared" si="102"/>
        <v>m_m_tanker_cube_tier05_04</v>
      </c>
      <c r="Z207" s="14" t="str">
        <f t="shared" si="102"/>
        <v/>
      </c>
      <c r="AA207" s="14" t="str">
        <f t="shared" si="102"/>
        <v/>
      </c>
      <c r="AB207" s="14" t="str">
        <f t="shared" si="102"/>
        <v>Die_machine</v>
      </c>
      <c r="AC207" s="94">
        <f t="shared" si="102"/>
        <v>1</v>
      </c>
      <c r="AD207" s="14" t="str">
        <f t="shared" si="102"/>
        <v>Effect/Prefab/02.mob/cube_military_01/EFF_cube_military_01_hit_01</v>
      </c>
      <c r="AE207" s="14" t="str">
        <f t="shared" si="102"/>
        <v/>
      </c>
      <c r="AF207" s="14" t="str">
        <f t="shared" si="102"/>
        <v/>
      </c>
      <c r="AG207" s="173" t="s">
        <v>2761</v>
      </c>
    </row>
    <row r="208" spans="1:33" x14ac:dyDescent="0.3">
      <c r="A208" s="14">
        <f t="shared" si="73"/>
        <v>1210401025</v>
      </c>
      <c r="B208" s="14" t="str">
        <f t="shared" ref="B208:AF208" si="103">IF(B97 &lt;&gt; "", B97, "")</f>
        <v>Rotation</v>
      </c>
      <c r="C208" s="14" t="str">
        <f t="shared" si="103"/>
        <v>큐브05_05</v>
      </c>
      <c r="D208" s="14" t="str">
        <f t="shared" si="103"/>
        <v>Monster.Name.RotationCube.Tier5</v>
      </c>
      <c r="E208" s="5" t="str">
        <f t="shared" si="103"/>
        <v>None</v>
      </c>
      <c r="F208" s="17" t="str">
        <f t="shared" si="103"/>
        <v>Fac_nul_ind</v>
      </c>
      <c r="G208" s="14" t="str">
        <f t="shared" si="103"/>
        <v>TRUE</v>
      </c>
      <c r="H208" s="14" t="str">
        <f t="shared" si="103"/>
        <v>TRUE</v>
      </c>
      <c r="I208" s="14" t="b">
        <f t="shared" si="103"/>
        <v>0</v>
      </c>
      <c r="J208" s="14">
        <f t="shared" si="103"/>
        <v>20</v>
      </c>
      <c r="K208" s="14">
        <f t="shared" si="103"/>
        <v>10</v>
      </c>
      <c r="L208" s="14" t="str">
        <f t="shared" si="103"/>
        <v/>
      </c>
      <c r="M208" s="14" t="str">
        <f t="shared" si="103"/>
        <v/>
      </c>
      <c r="N208" s="14" t="str">
        <f t="shared" si="103"/>
        <v/>
      </c>
      <c r="O208" s="17" t="str">
        <f t="shared" si="103"/>
        <v>Rotation.cube_tier05_05.skill01</v>
      </c>
      <c r="P208" s="14" t="str">
        <f t="shared" si="103"/>
        <v/>
      </c>
      <c r="Q208" s="14" t="str">
        <f t="shared" si="103"/>
        <v>Rotation.cube_tier05_05.Immun</v>
      </c>
      <c r="R208" s="14" t="str">
        <f t="shared" si="103"/>
        <v/>
      </c>
      <c r="S208" s="14" t="str">
        <f t="shared" si="103"/>
        <v/>
      </c>
      <c r="T208" s="14" t="str">
        <f t="shared" si="103"/>
        <v/>
      </c>
      <c r="U208" s="14" t="str">
        <f t="shared" si="103"/>
        <v/>
      </c>
      <c r="V208" s="14" t="b">
        <f t="shared" si="103"/>
        <v>0</v>
      </c>
      <c r="W208" s="14" t="str">
        <f t="shared" si="103"/>
        <v>Character/Prefabs/m_m_tanker_cube_tier05_05</v>
      </c>
      <c r="X208" s="14" t="str">
        <f t="shared" si="103"/>
        <v/>
      </c>
      <c r="Y208" s="14" t="str">
        <f t="shared" si="103"/>
        <v>m_m_tanker_cube_tier05_05</v>
      </c>
      <c r="Z208" s="14" t="str">
        <f t="shared" si="103"/>
        <v/>
      </c>
      <c r="AA208" s="14" t="str">
        <f t="shared" si="103"/>
        <v/>
      </c>
      <c r="AB208" s="14" t="str">
        <f t="shared" si="103"/>
        <v>Die_machine</v>
      </c>
      <c r="AC208" s="94">
        <f t="shared" si="103"/>
        <v>1</v>
      </c>
      <c r="AD208" s="14" t="str">
        <f t="shared" si="103"/>
        <v>Effect/Prefab/02.mob/cube_military_01/EFF_cube_military_01_hit_01</v>
      </c>
      <c r="AE208" s="14" t="str">
        <f t="shared" si="103"/>
        <v/>
      </c>
      <c r="AF208" s="14" t="str">
        <f t="shared" si="103"/>
        <v/>
      </c>
      <c r="AG208" s="173" t="s">
        <v>2761</v>
      </c>
    </row>
    <row r="209" spans="1:33" s="153" customFormat="1" x14ac:dyDescent="0.3">
      <c r="A209" s="149">
        <f t="shared" si="73"/>
        <v>1210401101</v>
      </c>
      <c r="B209" s="149" t="str">
        <f t="shared" ref="B209:AF209" si="104">IF(B98 &lt;&gt; "", B98, "")</f>
        <v>이벤트보스</v>
      </c>
      <c r="C209" s="149" t="str">
        <f t="shared" si="104"/>
        <v>햄버거01</v>
      </c>
      <c r="D209" s="149" t="str">
        <f t="shared" si="104"/>
        <v>Monster.Name.trapburger_1</v>
      </c>
      <c r="E209" s="150" t="str">
        <f t="shared" si="104"/>
        <v>None</v>
      </c>
      <c r="F209" s="151" t="str">
        <f t="shared" si="104"/>
        <v>Fac_nul_ind</v>
      </c>
      <c r="G209" s="149" t="str">
        <f t="shared" si="104"/>
        <v>TRUE</v>
      </c>
      <c r="H209" s="149" t="str">
        <f t="shared" si="104"/>
        <v>TRUE</v>
      </c>
      <c r="I209" s="149" t="b">
        <f t="shared" si="104"/>
        <v>0</v>
      </c>
      <c r="J209" s="149">
        <f t="shared" si="104"/>
        <v>20</v>
      </c>
      <c r="K209" s="149">
        <f t="shared" si="104"/>
        <v>10</v>
      </c>
      <c r="L209" s="149" t="str">
        <f t="shared" si="104"/>
        <v/>
      </c>
      <c r="M209" s="149" t="str">
        <f t="shared" si="104"/>
        <v/>
      </c>
      <c r="N209" s="149" t="str">
        <f t="shared" si="104"/>
        <v/>
      </c>
      <c r="O209" s="151" t="str">
        <f t="shared" si="104"/>
        <v>Hamberger.skill01</v>
      </c>
      <c r="P209" s="149" t="str">
        <f t="shared" si="104"/>
        <v>Hamberger.passive</v>
      </c>
      <c r="Q209" s="149" t="str">
        <f t="shared" si="104"/>
        <v/>
      </c>
      <c r="R209" s="149" t="str">
        <f t="shared" si="104"/>
        <v/>
      </c>
      <c r="S209" s="149" t="str">
        <f t="shared" si="104"/>
        <v/>
      </c>
      <c r="T209" s="149" t="str">
        <f t="shared" si="104"/>
        <v/>
      </c>
      <c r="U209" s="149" t="str">
        <f t="shared" si="104"/>
        <v/>
      </c>
      <c r="V209" s="149" t="b">
        <f t="shared" si="104"/>
        <v>0</v>
      </c>
      <c r="W209" s="149" t="str">
        <f t="shared" si="104"/>
        <v>Character/Prefabs/m_m_tanker_trapburger_1</v>
      </c>
      <c r="X209" s="149" t="str">
        <f t="shared" si="104"/>
        <v/>
      </c>
      <c r="Y209" s="149" t="str">
        <f t="shared" si="104"/>
        <v>m_m_tanker_trapburger_1</v>
      </c>
      <c r="Z209" s="149" t="str">
        <f t="shared" si="104"/>
        <v/>
      </c>
      <c r="AA209" s="149" t="str">
        <f t="shared" si="104"/>
        <v/>
      </c>
      <c r="AB209" s="149" t="str">
        <f t="shared" si="104"/>
        <v>Die_machine</v>
      </c>
      <c r="AC209" s="152">
        <f t="shared" si="104"/>
        <v>1</v>
      </c>
      <c r="AD209" s="149" t="str">
        <f t="shared" si="104"/>
        <v/>
      </c>
      <c r="AE209" s="149" t="str">
        <f t="shared" si="104"/>
        <v/>
      </c>
      <c r="AF209" s="149" t="str">
        <f t="shared" si="104"/>
        <v/>
      </c>
      <c r="AG209" s="173" t="s">
        <v>2761</v>
      </c>
    </row>
    <row r="210" spans="1:33" s="153" customFormat="1" x14ac:dyDescent="0.3">
      <c r="A210" s="149">
        <f t="shared" si="73"/>
        <v>1210401102</v>
      </c>
      <c r="B210" s="149" t="str">
        <f t="shared" ref="B210:AF210" si="105">IF(B99 &lt;&gt; "", B99, "")</f>
        <v>이벤트보스</v>
      </c>
      <c r="C210" s="149" t="str">
        <f t="shared" si="105"/>
        <v>햄버거02</v>
      </c>
      <c r="D210" s="149" t="str">
        <f t="shared" si="105"/>
        <v>Monster.Name.trapburger_2</v>
      </c>
      <c r="E210" s="150" t="str">
        <f t="shared" si="105"/>
        <v>None</v>
      </c>
      <c r="F210" s="151" t="str">
        <f t="shared" si="105"/>
        <v>Fac_nul_ind</v>
      </c>
      <c r="G210" s="149" t="str">
        <f t="shared" si="105"/>
        <v>TRUE</v>
      </c>
      <c r="H210" s="149" t="str">
        <f t="shared" si="105"/>
        <v>TRUE</v>
      </c>
      <c r="I210" s="149" t="b">
        <f t="shared" si="105"/>
        <v>0</v>
      </c>
      <c r="J210" s="149">
        <f t="shared" si="105"/>
        <v>20</v>
      </c>
      <c r="K210" s="149">
        <f t="shared" si="105"/>
        <v>10</v>
      </c>
      <c r="L210" s="149" t="str">
        <f t="shared" si="105"/>
        <v/>
      </c>
      <c r="M210" s="149" t="str">
        <f t="shared" si="105"/>
        <v/>
      </c>
      <c r="N210" s="149" t="str">
        <f t="shared" si="105"/>
        <v/>
      </c>
      <c r="O210" s="151" t="str">
        <f t="shared" si="105"/>
        <v>Hamberger.skill01</v>
      </c>
      <c r="P210" s="149" t="str">
        <f t="shared" si="105"/>
        <v>Hamberger.passive</v>
      </c>
      <c r="Q210" s="149" t="str">
        <f t="shared" si="105"/>
        <v/>
      </c>
      <c r="R210" s="149" t="str">
        <f t="shared" si="105"/>
        <v/>
      </c>
      <c r="S210" s="149" t="str">
        <f t="shared" si="105"/>
        <v/>
      </c>
      <c r="T210" s="149" t="str">
        <f t="shared" si="105"/>
        <v/>
      </c>
      <c r="U210" s="149" t="str">
        <f t="shared" si="105"/>
        <v/>
      </c>
      <c r="V210" s="149" t="b">
        <f t="shared" si="105"/>
        <v>0</v>
      </c>
      <c r="W210" s="149" t="str">
        <f t="shared" si="105"/>
        <v>Character/Prefabs/m_m_tanker_trapburger_2</v>
      </c>
      <c r="X210" s="149" t="str">
        <f t="shared" si="105"/>
        <v/>
      </c>
      <c r="Y210" s="149" t="str">
        <f t="shared" si="105"/>
        <v>m_m_tanker_trapburger_2</v>
      </c>
      <c r="Z210" s="149" t="str">
        <f t="shared" si="105"/>
        <v/>
      </c>
      <c r="AA210" s="149" t="str">
        <f t="shared" si="105"/>
        <v/>
      </c>
      <c r="AB210" s="149" t="str">
        <f t="shared" si="105"/>
        <v>Die_machine</v>
      </c>
      <c r="AC210" s="152">
        <f t="shared" si="105"/>
        <v>1</v>
      </c>
      <c r="AD210" s="149" t="str">
        <f t="shared" si="105"/>
        <v/>
      </c>
      <c r="AE210" s="149" t="str">
        <f t="shared" si="105"/>
        <v/>
      </c>
      <c r="AF210" s="149" t="str">
        <f t="shared" si="105"/>
        <v/>
      </c>
      <c r="AG210" s="173" t="s">
        <v>2761</v>
      </c>
    </row>
    <row r="211" spans="1:33" x14ac:dyDescent="0.3">
      <c r="A211" s="14">
        <f t="shared" ref="A211:A242" si="106">A100+100000000</f>
        <v>1210200101</v>
      </c>
      <c r="B211" s="14" t="str">
        <f t="shared" ref="B211:AF211" si="107">IF(B100 &lt;&gt; "", B100, "")</f>
        <v>섹터공용</v>
      </c>
      <c r="C211" s="14" t="str">
        <f t="shared" si="107"/>
        <v>플랭커</v>
      </c>
      <c r="D211" s="14" t="str">
        <f t="shared" si="107"/>
        <v>Monster.Name.roamer_flanker_1</v>
      </c>
      <c r="E211" s="14" t="str">
        <f t="shared" si="107"/>
        <v>Attacker</v>
      </c>
      <c r="F211" s="17" t="str">
        <f t="shared" si="107"/>
        <v>Fac_nul_ind</v>
      </c>
      <c r="G211" s="14" t="b">
        <f t="shared" si="107"/>
        <v>1</v>
      </c>
      <c r="H211" s="14" t="b">
        <f t="shared" si="107"/>
        <v>0</v>
      </c>
      <c r="I211" s="14" t="b">
        <f t="shared" si="107"/>
        <v>0</v>
      </c>
      <c r="J211" s="14">
        <f t="shared" si="107"/>
        <v>10</v>
      </c>
      <c r="K211" s="14">
        <f t="shared" si="107"/>
        <v>10</v>
      </c>
      <c r="L211" s="14" t="str">
        <f t="shared" si="107"/>
        <v>roamer_flanker_1.attack01</v>
      </c>
      <c r="M211" s="14" t="str">
        <f t="shared" si="107"/>
        <v/>
      </c>
      <c r="N211" s="14" t="str">
        <f t="shared" si="107"/>
        <v/>
      </c>
      <c r="O211" s="17" t="str">
        <f t="shared" si="107"/>
        <v>roamer_flanker_1.skill01</v>
      </c>
      <c r="P211" s="14" t="str">
        <f t="shared" si="107"/>
        <v/>
      </c>
      <c r="Q211" s="14" t="str">
        <f t="shared" si="107"/>
        <v/>
      </c>
      <c r="R211" s="14" t="str">
        <f t="shared" si="107"/>
        <v/>
      </c>
      <c r="S211" s="14" t="str">
        <f t="shared" si="107"/>
        <v/>
      </c>
      <c r="T211" s="14" t="str">
        <f t="shared" si="107"/>
        <v/>
      </c>
      <c r="U211" s="14" t="str">
        <f t="shared" si="107"/>
        <v/>
      </c>
      <c r="V211" s="14" t="b">
        <f t="shared" si="107"/>
        <v>0</v>
      </c>
      <c r="W211" s="14" t="str">
        <f t="shared" si="107"/>
        <v>Character/Prefabs/m_m_attacker_roamer_flanker_1</v>
      </c>
      <c r="X211" s="14" t="str">
        <f t="shared" si="107"/>
        <v/>
      </c>
      <c r="Y211" s="14" t="str">
        <f t="shared" si="107"/>
        <v>m_m_attacker_roamer_flanker_1</v>
      </c>
      <c r="Z211" s="14" t="str">
        <f t="shared" si="107"/>
        <v/>
      </c>
      <c r="AA211" s="14" t="str">
        <f t="shared" si="107"/>
        <v/>
      </c>
      <c r="AB211" s="14" t="str">
        <f t="shared" si="107"/>
        <v/>
      </c>
      <c r="AC211" s="94">
        <f t="shared" si="107"/>
        <v>1</v>
      </c>
      <c r="AD211" s="14" t="str">
        <f t="shared" si="107"/>
        <v/>
      </c>
      <c r="AE211" s="14" t="str">
        <f t="shared" si="107"/>
        <v/>
      </c>
      <c r="AF211" s="14" t="str">
        <f t="shared" si="107"/>
        <v/>
      </c>
      <c r="AG211" s="173" t="s">
        <v>2761</v>
      </c>
    </row>
    <row r="212" spans="1:33" x14ac:dyDescent="0.3">
      <c r="A212" s="14">
        <f t="shared" si="106"/>
        <v>1210200102</v>
      </c>
      <c r="B212" s="14" t="str">
        <f t="shared" ref="B212:AF212" si="108">IF(B101 &lt;&gt; "", B101, "")</f>
        <v>섹터공용</v>
      </c>
      <c r="C212" s="14" t="str">
        <f t="shared" si="108"/>
        <v>볼트쇼커</v>
      </c>
      <c r="D212" s="14" t="str">
        <f t="shared" si="108"/>
        <v>Monster.Name.roamer_voltshocker_1</v>
      </c>
      <c r="E212" s="14" t="str">
        <f t="shared" si="108"/>
        <v>Attacker</v>
      </c>
      <c r="F212" s="17" t="str">
        <f t="shared" si="108"/>
        <v>Fac_nul_ind</v>
      </c>
      <c r="G212" s="14" t="b">
        <f t="shared" si="108"/>
        <v>1</v>
      </c>
      <c r="H212" s="14" t="b">
        <f t="shared" si="108"/>
        <v>0</v>
      </c>
      <c r="I212" s="14" t="b">
        <f t="shared" si="108"/>
        <v>0</v>
      </c>
      <c r="J212" s="14">
        <f t="shared" si="108"/>
        <v>10</v>
      </c>
      <c r="K212" s="14">
        <f t="shared" si="108"/>
        <v>10</v>
      </c>
      <c r="L212" s="14" t="str">
        <f t="shared" si="108"/>
        <v>roamer_voltshocker_1.attack01</v>
      </c>
      <c r="M212" s="14" t="str">
        <f t="shared" si="108"/>
        <v/>
      </c>
      <c r="N212" s="14" t="str">
        <f t="shared" si="108"/>
        <v/>
      </c>
      <c r="O212" s="17" t="str">
        <f t="shared" si="108"/>
        <v>roamer_voltshocker_1.skill01</v>
      </c>
      <c r="P212" s="14" t="str">
        <f t="shared" si="108"/>
        <v/>
      </c>
      <c r="Q212" s="14" t="str">
        <f t="shared" si="108"/>
        <v/>
      </c>
      <c r="R212" s="14" t="str">
        <f t="shared" si="108"/>
        <v/>
      </c>
      <c r="S212" s="14" t="str">
        <f t="shared" si="108"/>
        <v/>
      </c>
      <c r="T212" s="14" t="str">
        <f t="shared" si="108"/>
        <v/>
      </c>
      <c r="U212" s="14" t="str">
        <f t="shared" si="108"/>
        <v/>
      </c>
      <c r="V212" s="14" t="b">
        <f t="shared" si="108"/>
        <v>0</v>
      </c>
      <c r="W212" s="14" t="str">
        <f t="shared" si="108"/>
        <v>Character/Prefabs/m_m_attacker_roamer_voltshocker_1</v>
      </c>
      <c r="X212" s="14" t="str">
        <f t="shared" si="108"/>
        <v/>
      </c>
      <c r="Y212" s="14" t="str">
        <f t="shared" si="108"/>
        <v>m_m_attacker_roamer_voltshocker_1</v>
      </c>
      <c r="Z212" s="14" t="str">
        <f t="shared" si="108"/>
        <v/>
      </c>
      <c r="AA212" s="14" t="str">
        <f t="shared" si="108"/>
        <v/>
      </c>
      <c r="AB212" s="14" t="str">
        <f t="shared" si="108"/>
        <v/>
      </c>
      <c r="AC212" s="94">
        <f t="shared" si="108"/>
        <v>1</v>
      </c>
      <c r="AD212" s="14" t="str">
        <f t="shared" si="108"/>
        <v/>
      </c>
      <c r="AE212" s="14" t="str">
        <f t="shared" si="108"/>
        <v/>
      </c>
      <c r="AF212" s="14" t="str">
        <f t="shared" si="108"/>
        <v/>
      </c>
      <c r="AG212" s="173" t="s">
        <v>2761</v>
      </c>
    </row>
    <row r="213" spans="1:33" x14ac:dyDescent="0.3">
      <c r="A213" s="14">
        <f t="shared" si="106"/>
        <v>1210200103</v>
      </c>
      <c r="B213" s="14" t="str">
        <f t="shared" ref="B213:AF213" si="109">IF(B102 &lt;&gt; "", B102, "")</f>
        <v>섹터공용</v>
      </c>
      <c r="C213" s="14" t="str">
        <f t="shared" si="109"/>
        <v>플로터</v>
      </c>
      <c r="D213" s="14" t="str">
        <f t="shared" si="109"/>
        <v>Monster.Name.floater_1</v>
      </c>
      <c r="E213" s="14" t="str">
        <f t="shared" si="109"/>
        <v>Supporter</v>
      </c>
      <c r="F213" s="17" t="str">
        <f t="shared" si="109"/>
        <v>Fac_nul_ind</v>
      </c>
      <c r="G213" s="14" t="b">
        <f t="shared" si="109"/>
        <v>1</v>
      </c>
      <c r="H213" s="14" t="b">
        <f t="shared" si="109"/>
        <v>0</v>
      </c>
      <c r="I213" s="14" t="b">
        <f t="shared" si="109"/>
        <v>0</v>
      </c>
      <c r="J213" s="14">
        <f t="shared" si="109"/>
        <v>10</v>
      </c>
      <c r="K213" s="14">
        <f t="shared" si="109"/>
        <v>10</v>
      </c>
      <c r="L213" s="14" t="str">
        <f t="shared" si="109"/>
        <v>roamer_floater_1.attack01</v>
      </c>
      <c r="M213" s="14" t="str">
        <f t="shared" si="109"/>
        <v/>
      </c>
      <c r="N213" s="14" t="str">
        <f t="shared" si="109"/>
        <v/>
      </c>
      <c r="O213" s="17" t="str">
        <f t="shared" si="109"/>
        <v>roamer_floater_1.skill01</v>
      </c>
      <c r="P213" s="14" t="str">
        <f t="shared" si="109"/>
        <v/>
      </c>
      <c r="Q213" s="14" t="str">
        <f t="shared" si="109"/>
        <v/>
      </c>
      <c r="R213" s="14" t="str">
        <f t="shared" si="109"/>
        <v/>
      </c>
      <c r="S213" s="14" t="str">
        <f t="shared" si="109"/>
        <v/>
      </c>
      <c r="T213" s="14" t="str">
        <f t="shared" si="109"/>
        <v/>
      </c>
      <c r="U213" s="14" t="str">
        <f t="shared" si="109"/>
        <v/>
      </c>
      <c r="V213" s="14" t="b">
        <f t="shared" si="109"/>
        <v>0</v>
      </c>
      <c r="W213" s="14" t="str">
        <f t="shared" si="109"/>
        <v>Character/Prefabs/m_m_supporter_roamer_floater_1</v>
      </c>
      <c r="X213" s="14" t="str">
        <f t="shared" si="109"/>
        <v/>
      </c>
      <c r="Y213" s="14" t="str">
        <f t="shared" si="109"/>
        <v>m_m_supporter_roamer_floater_1</v>
      </c>
      <c r="Z213" s="14" t="str">
        <f t="shared" si="109"/>
        <v/>
      </c>
      <c r="AA213" s="14" t="str">
        <f t="shared" si="109"/>
        <v/>
      </c>
      <c r="AB213" s="14" t="str">
        <f t="shared" si="109"/>
        <v/>
      </c>
      <c r="AC213" s="94">
        <f t="shared" si="109"/>
        <v>0.6</v>
      </c>
      <c r="AD213" s="14" t="str">
        <f t="shared" si="109"/>
        <v/>
      </c>
      <c r="AE213" s="14" t="str">
        <f t="shared" si="109"/>
        <v/>
      </c>
      <c r="AF213" s="14" t="str">
        <f t="shared" si="109"/>
        <v/>
      </c>
      <c r="AG213" s="173" t="s">
        <v>2761</v>
      </c>
    </row>
    <row r="214" spans="1:33" x14ac:dyDescent="0.3">
      <c r="A214" s="14">
        <f t="shared" si="106"/>
        <v>1211601301</v>
      </c>
      <c r="B214" s="14" t="str">
        <f t="shared" ref="B214:AF214" si="110">IF(B103 &lt;&gt; "", B103, "")</f>
        <v>EventStory</v>
      </c>
      <c r="C214" s="14" t="str">
        <f t="shared" si="110"/>
        <v>게임마스터</v>
      </c>
      <c r="D214" s="14" t="str">
        <f t="shared" si="110"/>
        <v>Monster.Name.gamemaster_1</v>
      </c>
      <c r="E214" s="14" t="str">
        <f t="shared" si="110"/>
        <v>None</v>
      </c>
      <c r="F214" s="17" t="str">
        <f t="shared" si="110"/>
        <v>Fac_nul_ind</v>
      </c>
      <c r="G214" s="14" t="str">
        <f t="shared" si="110"/>
        <v>TRUE</v>
      </c>
      <c r="H214" s="14" t="b">
        <f t="shared" si="110"/>
        <v>1</v>
      </c>
      <c r="I214" s="14" t="b">
        <f t="shared" si="110"/>
        <v>1</v>
      </c>
      <c r="J214" s="14">
        <f t="shared" si="110"/>
        <v>10</v>
      </c>
      <c r="K214" s="14">
        <f t="shared" si="110"/>
        <v>10</v>
      </c>
      <c r="L214" s="14" t="str">
        <f t="shared" si="110"/>
        <v>EventStory.gamemaster_1.attack01</v>
      </c>
      <c r="M214" s="14" t="str">
        <f t="shared" si="110"/>
        <v>EventStory.gamemaster_1.attack02</v>
      </c>
      <c r="N214" s="14" t="str">
        <f t="shared" si="110"/>
        <v/>
      </c>
      <c r="O214" s="17" t="str">
        <f t="shared" si="110"/>
        <v>EventStory.gamemaster_1.skill01</v>
      </c>
      <c r="P214" s="14" t="str">
        <f t="shared" si="110"/>
        <v>EventStory.gamemaster_1.passive01</v>
      </c>
      <c r="Q214" s="14" t="str">
        <f t="shared" si="110"/>
        <v/>
      </c>
      <c r="R214" s="14" t="str">
        <f t="shared" si="110"/>
        <v/>
      </c>
      <c r="S214" s="14" t="str">
        <f t="shared" si="110"/>
        <v/>
      </c>
      <c r="T214" s="14" t="str">
        <f t="shared" si="110"/>
        <v/>
      </c>
      <c r="U214" s="14" t="str">
        <f t="shared" si="110"/>
        <v/>
      </c>
      <c r="V214" s="14" t="b">
        <f t="shared" si="110"/>
        <v>0</v>
      </c>
      <c r="W214" s="14" t="str">
        <f t="shared" si="110"/>
        <v>Character/Prefabs/m_boss_ranger_gamemaster_1</v>
      </c>
      <c r="X214" s="14" t="str">
        <f t="shared" si="110"/>
        <v/>
      </c>
      <c r="Y214" s="14" t="str">
        <f t="shared" si="110"/>
        <v>m_boss_ranger_gamemaster_1</v>
      </c>
      <c r="Z214" s="14" t="str">
        <f t="shared" si="110"/>
        <v/>
      </c>
      <c r="AA214" s="14" t="str">
        <f t="shared" si="110"/>
        <v/>
      </c>
      <c r="AB214" s="14" t="str">
        <f t="shared" si="110"/>
        <v/>
      </c>
      <c r="AC214" s="94">
        <f t="shared" si="110"/>
        <v>1</v>
      </c>
      <c r="AD214" s="14" t="str">
        <f t="shared" si="110"/>
        <v/>
      </c>
      <c r="AE214" s="14" t="str">
        <f t="shared" si="110"/>
        <v/>
      </c>
      <c r="AF214" s="14" t="str">
        <f t="shared" si="110"/>
        <v/>
      </c>
      <c r="AG214" s="173" t="s">
        <v>2761</v>
      </c>
    </row>
    <row r="215" spans="1:33" x14ac:dyDescent="0.3">
      <c r="A215" s="14">
        <f t="shared" si="106"/>
        <v>1211601302</v>
      </c>
      <c r="B215" s="14" t="str">
        <f t="shared" ref="B215:P215" si="111">IF(B104 &lt;&gt; "", B104, "")</f>
        <v>EventStory</v>
      </c>
      <c r="C215" s="14" t="str">
        <f t="shared" si="111"/>
        <v>메카토아</v>
      </c>
      <c r="D215" s="14" t="str">
        <f t="shared" si="111"/>
        <v>Monster.Name.mechatoa_1</v>
      </c>
      <c r="E215" s="14" t="str">
        <f t="shared" si="111"/>
        <v>None</v>
      </c>
      <c r="F215" s="17" t="str">
        <f t="shared" si="111"/>
        <v>Fac_nul_ind</v>
      </c>
      <c r="G215" s="14" t="str">
        <f t="shared" si="111"/>
        <v>TRUE</v>
      </c>
      <c r="H215" s="14" t="b">
        <f t="shared" si="111"/>
        <v>1</v>
      </c>
      <c r="I215" s="14" t="b">
        <f t="shared" si="111"/>
        <v>1</v>
      </c>
      <c r="J215" s="14">
        <f t="shared" si="111"/>
        <v>20</v>
      </c>
      <c r="K215" s="14">
        <f t="shared" si="111"/>
        <v>10</v>
      </c>
      <c r="L215" s="14" t="str">
        <f t="shared" si="111"/>
        <v>EventStory.mechatoa_1.attack01</v>
      </c>
      <c r="M215" s="14" t="str">
        <f t="shared" si="111"/>
        <v>EventStory.mechatoa_1.attack02</v>
      </c>
      <c r="N215" s="14" t="str">
        <f t="shared" si="111"/>
        <v/>
      </c>
      <c r="O215" s="17" t="str">
        <f t="shared" si="111"/>
        <v>EventStory.mechatoa_1.skill01</v>
      </c>
      <c r="P215" s="14" t="str">
        <f t="shared" si="111"/>
        <v>EventStory.mechatoa_1.passive01</v>
      </c>
      <c r="Q215" s="14"/>
      <c r="R215" s="14" t="str">
        <f t="shared" ref="R215:AF215" si="112">IF(R104 &lt;&gt; "", R104, "")</f>
        <v/>
      </c>
      <c r="S215" s="14" t="str">
        <f t="shared" si="112"/>
        <v/>
      </c>
      <c r="T215" s="14" t="str">
        <f t="shared" si="112"/>
        <v/>
      </c>
      <c r="U215" s="14" t="str">
        <f t="shared" si="112"/>
        <v/>
      </c>
      <c r="V215" s="14" t="b">
        <f t="shared" si="112"/>
        <v>0</v>
      </c>
      <c r="W215" s="14" t="str">
        <f t="shared" si="112"/>
        <v>Character/Prefabs/m_boss_attacker_mechatoa_1</v>
      </c>
      <c r="X215" s="14" t="str">
        <f t="shared" si="112"/>
        <v/>
      </c>
      <c r="Y215" s="14" t="str">
        <f t="shared" si="112"/>
        <v>m_boss_attacker_mechatoa_1</v>
      </c>
      <c r="Z215" s="14" t="str">
        <f t="shared" si="112"/>
        <v/>
      </c>
      <c r="AA215" s="14" t="str">
        <f t="shared" si="112"/>
        <v/>
      </c>
      <c r="AB215" s="14" t="str">
        <f t="shared" si="112"/>
        <v/>
      </c>
      <c r="AC215" s="94">
        <f t="shared" si="112"/>
        <v>1</v>
      </c>
      <c r="AD215" s="14" t="str">
        <f t="shared" si="112"/>
        <v/>
      </c>
      <c r="AE215" s="14" t="str">
        <f t="shared" si="112"/>
        <v/>
      </c>
      <c r="AF215" s="14" t="str">
        <f t="shared" si="112"/>
        <v/>
      </c>
      <c r="AG215" s="173" t="s">
        <v>2761</v>
      </c>
    </row>
    <row r="216" spans="1:33" x14ac:dyDescent="0.3">
      <c r="A216" s="14">
        <f t="shared" si="106"/>
        <v>1211601303</v>
      </c>
      <c r="B216" s="14" t="s">
        <v>2809</v>
      </c>
      <c r="C216" s="14" t="str">
        <f t="shared" ref="C216:Q216" si="113">IF(C105 &lt;&gt; "", C105, "")</f>
        <v>팬더해피</v>
      </c>
      <c r="D216" s="14" t="str">
        <f t="shared" si="113"/>
        <v>Monster.Name.pandahappy_1</v>
      </c>
      <c r="E216" s="14" t="str">
        <f t="shared" si="113"/>
        <v>None</v>
      </c>
      <c r="F216" s="14" t="str">
        <f t="shared" si="113"/>
        <v>Fac_nul_ind</v>
      </c>
      <c r="G216" s="14" t="str">
        <f t="shared" si="113"/>
        <v>TRUE</v>
      </c>
      <c r="H216" s="14" t="b">
        <f t="shared" si="113"/>
        <v>1</v>
      </c>
      <c r="I216" s="14" t="b">
        <f t="shared" si="113"/>
        <v>1</v>
      </c>
      <c r="J216" s="14">
        <f t="shared" si="113"/>
        <v>20</v>
      </c>
      <c r="K216" s="14">
        <f t="shared" si="113"/>
        <v>10</v>
      </c>
      <c r="L216" s="14" t="str">
        <f t="shared" si="113"/>
        <v>EventStory.pandahappy_1.attack01</v>
      </c>
      <c r="M216" s="14" t="str">
        <f t="shared" si="113"/>
        <v>EventStory.pandahappy_1.attack02</v>
      </c>
      <c r="N216" s="14" t="str">
        <f t="shared" si="113"/>
        <v/>
      </c>
      <c r="O216" s="178" t="str">
        <f t="shared" si="113"/>
        <v>EventStory.pandahappy_1.skill01</v>
      </c>
      <c r="P216" s="14" t="str">
        <f t="shared" si="113"/>
        <v>EventStory.pandahappy_1.passive01</v>
      </c>
      <c r="Q216" s="14" t="str">
        <f t="shared" si="113"/>
        <v/>
      </c>
      <c r="R216" s="14" t="str">
        <f t="shared" ref="R216:AF216" si="114">IF(R105 &lt;&gt; "", R105, "")</f>
        <v/>
      </c>
      <c r="S216" s="14" t="str">
        <f t="shared" si="114"/>
        <v/>
      </c>
      <c r="T216" s="14" t="str">
        <f t="shared" si="114"/>
        <v/>
      </c>
      <c r="U216" s="14" t="str">
        <f t="shared" si="114"/>
        <v/>
      </c>
      <c r="V216" s="14" t="b">
        <f t="shared" si="114"/>
        <v>0</v>
      </c>
      <c r="W216" s="14" t="str">
        <f t="shared" si="114"/>
        <v>Character/Prefabs/m_boss_attacker_pandahappy_1</v>
      </c>
      <c r="X216" s="14" t="str">
        <f t="shared" si="114"/>
        <v/>
      </c>
      <c r="Y216" s="14" t="str">
        <f t="shared" si="114"/>
        <v>m_boss_attacker_pandahappy_1</v>
      </c>
      <c r="Z216" s="14" t="str">
        <f t="shared" si="114"/>
        <v/>
      </c>
      <c r="AA216" s="14" t="str">
        <f t="shared" si="114"/>
        <v/>
      </c>
      <c r="AB216" s="14" t="str">
        <f t="shared" si="114"/>
        <v/>
      </c>
      <c r="AC216" s="94">
        <f t="shared" si="114"/>
        <v>1.3</v>
      </c>
      <c r="AD216" s="14" t="str">
        <f t="shared" si="114"/>
        <v/>
      </c>
      <c r="AE216" s="14" t="str">
        <f t="shared" si="114"/>
        <v/>
      </c>
      <c r="AF216" s="14" t="str">
        <f t="shared" si="114"/>
        <v/>
      </c>
      <c r="AG216" s="173" t="s">
        <v>2761</v>
      </c>
    </row>
    <row r="217" spans="1:33" x14ac:dyDescent="0.3">
      <c r="A217" s="14">
        <f t="shared" si="106"/>
        <v>1211601304</v>
      </c>
      <c r="B217" s="14" t="s">
        <v>2809</v>
      </c>
      <c r="C217" s="14" t="str">
        <f t="shared" ref="C217:Q217" si="115">IF(C106 &lt;&gt; "", C106, "")</f>
        <v>버려진수호자</v>
      </c>
      <c r="D217" s="14" t="str">
        <f t="shared" si="115"/>
        <v>Monster.Name.oldguardian_1</v>
      </c>
      <c r="E217" s="14" t="str">
        <f t="shared" si="115"/>
        <v>None</v>
      </c>
      <c r="F217" s="14" t="str">
        <f t="shared" si="115"/>
        <v>Fac_nul_ind</v>
      </c>
      <c r="G217" s="14" t="str">
        <f t="shared" si="115"/>
        <v>TRUE</v>
      </c>
      <c r="H217" s="14" t="b">
        <f t="shared" si="115"/>
        <v>1</v>
      </c>
      <c r="I217" s="14" t="b">
        <f t="shared" si="115"/>
        <v>1</v>
      </c>
      <c r="J217" s="14">
        <f t="shared" si="115"/>
        <v>20</v>
      </c>
      <c r="K217" s="14">
        <f t="shared" si="115"/>
        <v>10</v>
      </c>
      <c r="L217" s="14" t="str">
        <f t="shared" si="115"/>
        <v>EventStory.oldguardian_1.attack01</v>
      </c>
      <c r="M217" s="14" t="str">
        <f t="shared" si="115"/>
        <v>EventStory.oldguardian_1.attack02</v>
      </c>
      <c r="N217" s="14" t="str">
        <f t="shared" si="115"/>
        <v/>
      </c>
      <c r="O217" s="178" t="str">
        <f t="shared" si="115"/>
        <v>EventStory.oldguardian_1.skill01</v>
      </c>
      <c r="P217" s="14" t="str">
        <f t="shared" si="115"/>
        <v>EventStory.oldguardian_1.passive01</v>
      </c>
      <c r="Q217" s="14" t="str">
        <f t="shared" si="115"/>
        <v/>
      </c>
      <c r="R217" s="14" t="str">
        <f t="shared" ref="R217:AF217" si="116">IF(R106 &lt;&gt; "", R106, "")</f>
        <v/>
      </c>
      <c r="S217" s="14" t="str">
        <f t="shared" si="116"/>
        <v/>
      </c>
      <c r="T217" s="14" t="str">
        <f t="shared" si="116"/>
        <v/>
      </c>
      <c r="U217" s="14" t="str">
        <f t="shared" si="116"/>
        <v/>
      </c>
      <c r="V217" s="14" t="b">
        <f t="shared" si="116"/>
        <v>0</v>
      </c>
      <c r="W217" s="14" t="str">
        <f t="shared" si="116"/>
        <v>Character/Prefabs/m_boss_ranger_oldguardian_1</v>
      </c>
      <c r="X217" s="14" t="str">
        <f t="shared" si="116"/>
        <v/>
      </c>
      <c r="Y217" s="14" t="str">
        <f t="shared" si="116"/>
        <v>m_boss_ranger_oldguardian_1</v>
      </c>
      <c r="Z217" s="14" t="str">
        <f t="shared" si="116"/>
        <v/>
      </c>
      <c r="AA217" s="14" t="str">
        <f t="shared" si="116"/>
        <v/>
      </c>
      <c r="AB217" s="14" t="str">
        <f t="shared" si="116"/>
        <v/>
      </c>
      <c r="AC217" s="94">
        <f t="shared" si="116"/>
        <v>0.8</v>
      </c>
      <c r="AD217" s="14" t="str">
        <f t="shared" si="116"/>
        <v/>
      </c>
      <c r="AE217" s="14" t="str">
        <f t="shared" si="116"/>
        <v/>
      </c>
      <c r="AF217" s="14" t="str">
        <f t="shared" si="116"/>
        <v/>
      </c>
      <c r="AG217" s="173" t="s">
        <v>2761</v>
      </c>
    </row>
    <row r="218" spans="1:33" x14ac:dyDescent="0.3">
      <c r="A218" s="14">
        <f t="shared" si="106"/>
        <v>1211601305</v>
      </c>
      <c r="B218" s="14" t="s">
        <v>2809</v>
      </c>
      <c r="C218" s="14" t="str">
        <f t="shared" ref="C218:Q218" si="117">IF(C107 &lt;&gt; "", C107, "")</f>
        <v>시비우자동장치</v>
      </c>
      <c r="D218" s="14" t="str">
        <f t="shared" si="117"/>
        <v>Monster.Name.sibiurobot_1</v>
      </c>
      <c r="E218" s="14" t="str">
        <f t="shared" si="117"/>
        <v>None</v>
      </c>
      <c r="F218" s="14" t="str">
        <f t="shared" si="117"/>
        <v>Fac_nul_ind</v>
      </c>
      <c r="G218" s="14" t="str">
        <f t="shared" si="117"/>
        <v>TRUE</v>
      </c>
      <c r="H218" s="14" t="b">
        <f t="shared" si="117"/>
        <v>1</v>
      </c>
      <c r="I218" s="14" t="b">
        <f t="shared" si="117"/>
        <v>1</v>
      </c>
      <c r="J218" s="14">
        <f t="shared" si="117"/>
        <v>10</v>
      </c>
      <c r="K218" s="14">
        <f t="shared" si="117"/>
        <v>10</v>
      </c>
      <c r="L218" s="14" t="str">
        <f t="shared" si="117"/>
        <v>EventStory.sibiurobot_1.attack01</v>
      </c>
      <c r="M218" s="14" t="str">
        <f t="shared" si="117"/>
        <v>EventStory.sibiurobot_1.attack02</v>
      </c>
      <c r="N218" s="14" t="str">
        <f t="shared" si="117"/>
        <v/>
      </c>
      <c r="O218" s="178" t="str">
        <f t="shared" si="117"/>
        <v>EventStory.sibiurobot_1.skill01</v>
      </c>
      <c r="P218" s="14" t="str">
        <f t="shared" si="117"/>
        <v>EventStory.sibiurobot_1.passive01</v>
      </c>
      <c r="Q218" s="14" t="str">
        <f t="shared" si="117"/>
        <v/>
      </c>
      <c r="R218" s="14" t="str">
        <f t="shared" ref="R218:AF218" si="118">IF(R107 &lt;&gt; "", R107, "")</f>
        <v/>
      </c>
      <c r="S218" s="14" t="str">
        <f t="shared" si="118"/>
        <v/>
      </c>
      <c r="T218" s="14" t="str">
        <f t="shared" si="118"/>
        <v/>
      </c>
      <c r="U218" s="14" t="str">
        <f t="shared" si="118"/>
        <v/>
      </c>
      <c r="V218" s="14" t="b">
        <f t="shared" si="118"/>
        <v>0</v>
      </c>
      <c r="W218" s="14" t="str">
        <f t="shared" si="118"/>
        <v>Character/Prefabs/m_boss_ranger_sibiurobot_1</v>
      </c>
      <c r="X218" s="14" t="str">
        <f t="shared" si="118"/>
        <v/>
      </c>
      <c r="Y218" s="14" t="str">
        <f t="shared" si="118"/>
        <v>m_boss_ranger_sibiurobot_1</v>
      </c>
      <c r="Z218" s="14" t="str">
        <f t="shared" si="118"/>
        <v/>
      </c>
      <c r="AA218" s="14" t="str">
        <f t="shared" si="118"/>
        <v/>
      </c>
      <c r="AB218" s="14" t="str">
        <f t="shared" si="118"/>
        <v/>
      </c>
      <c r="AC218" s="94">
        <f t="shared" si="118"/>
        <v>1</v>
      </c>
      <c r="AD218" s="14" t="str">
        <f t="shared" si="118"/>
        <v/>
      </c>
      <c r="AE218" s="14" t="str">
        <f t="shared" si="118"/>
        <v/>
      </c>
      <c r="AF218" s="14" t="str">
        <f t="shared" si="118"/>
        <v/>
      </c>
      <c r="AG218" s="173" t="s">
        <v>2761</v>
      </c>
    </row>
    <row r="219" spans="1:33" x14ac:dyDescent="0.3">
      <c r="A219" s="14">
        <f t="shared" si="106"/>
        <v>1211601306</v>
      </c>
      <c r="B219" s="14" t="s">
        <v>2809</v>
      </c>
      <c r="C219" s="14" t="str">
        <f t="shared" ref="C219:Q219" si="119">IF(C108 &lt;&gt; "", C108, "")</f>
        <v>드론네스트</v>
      </c>
      <c r="D219" s="14" t="str">
        <f t="shared" si="119"/>
        <v>Monster.Name.dronenest_1</v>
      </c>
      <c r="E219" s="14" t="str">
        <f t="shared" si="119"/>
        <v>None</v>
      </c>
      <c r="F219" s="14" t="str">
        <f t="shared" si="119"/>
        <v>Fac_nul_ind</v>
      </c>
      <c r="G219" s="14" t="str">
        <f t="shared" si="119"/>
        <v>TRUE</v>
      </c>
      <c r="H219" s="14" t="b">
        <f t="shared" si="119"/>
        <v>1</v>
      </c>
      <c r="I219" s="14" t="b">
        <f t="shared" si="119"/>
        <v>1</v>
      </c>
      <c r="J219" s="14">
        <f t="shared" si="119"/>
        <v>20</v>
      </c>
      <c r="K219" s="14">
        <f t="shared" si="119"/>
        <v>10</v>
      </c>
      <c r="L219" s="14" t="str">
        <f t="shared" si="119"/>
        <v>EventStory.dronenest_1.attack01</v>
      </c>
      <c r="M219" s="14" t="str">
        <f t="shared" si="119"/>
        <v>EventStory.dronenest_1.attack02</v>
      </c>
      <c r="N219" s="14" t="str">
        <f t="shared" si="119"/>
        <v/>
      </c>
      <c r="O219" s="178" t="str">
        <f t="shared" si="119"/>
        <v>EventStory.dronenest_1.skill01</v>
      </c>
      <c r="P219" s="14" t="str">
        <f t="shared" si="119"/>
        <v/>
      </c>
      <c r="Q219" s="14" t="str">
        <f t="shared" si="119"/>
        <v/>
      </c>
      <c r="R219" s="14" t="str">
        <f t="shared" ref="R219:AF219" si="120">IF(R108 &lt;&gt; "", R108, "")</f>
        <v/>
      </c>
      <c r="S219" s="14" t="str">
        <f t="shared" si="120"/>
        <v/>
      </c>
      <c r="T219" s="14" t="str">
        <f t="shared" si="120"/>
        <v/>
      </c>
      <c r="U219" s="14" t="str">
        <f t="shared" si="120"/>
        <v/>
      </c>
      <c r="V219" s="14" t="b">
        <f t="shared" si="120"/>
        <v>0</v>
      </c>
      <c r="W219" s="14" t="str">
        <f t="shared" si="120"/>
        <v>Character/Prefabs/m_boss_supporter_dronenest_1</v>
      </c>
      <c r="X219" s="14" t="str">
        <f t="shared" si="120"/>
        <v/>
      </c>
      <c r="Y219" s="14" t="str">
        <f t="shared" si="120"/>
        <v>m_boss_supporter_dronenest_1</v>
      </c>
      <c r="Z219" s="14" t="str">
        <f t="shared" si="120"/>
        <v/>
      </c>
      <c r="AA219" s="14" t="str">
        <f t="shared" si="120"/>
        <v/>
      </c>
      <c r="AB219" s="14" t="str">
        <f t="shared" si="120"/>
        <v/>
      </c>
      <c r="AC219" s="94">
        <f t="shared" si="120"/>
        <v>0.8</v>
      </c>
      <c r="AD219" s="14" t="str">
        <f t="shared" si="120"/>
        <v/>
      </c>
      <c r="AE219" s="14" t="str">
        <f t="shared" si="120"/>
        <v/>
      </c>
      <c r="AF219" s="14" t="str">
        <f t="shared" si="120"/>
        <v/>
      </c>
      <c r="AG219" s="173" t="s">
        <v>2093</v>
      </c>
    </row>
    <row r="220" spans="1:33" x14ac:dyDescent="0.3">
      <c r="A220" s="14">
        <f t="shared" si="106"/>
        <v>1211601307</v>
      </c>
      <c r="B220" s="14" t="s">
        <v>2809</v>
      </c>
      <c r="C220" s="14" t="str">
        <f t="shared" ref="C220:Q220" si="121">IF(C109 &lt;&gt; "", C109, "")</f>
        <v>드론네스트_소환</v>
      </c>
      <c r="D220" s="14" t="str">
        <f t="shared" si="121"/>
        <v>Monster.Name.Interceptor_1</v>
      </c>
      <c r="E220" s="14" t="str">
        <f t="shared" si="121"/>
        <v>None</v>
      </c>
      <c r="F220" s="14" t="str">
        <f t="shared" si="121"/>
        <v>Fac_nul_ind</v>
      </c>
      <c r="G220" s="14" t="str">
        <f t="shared" si="121"/>
        <v>TRUE</v>
      </c>
      <c r="H220" s="14" t="b">
        <f t="shared" si="121"/>
        <v>0</v>
      </c>
      <c r="I220" s="14" t="b">
        <f t="shared" si="121"/>
        <v>0</v>
      </c>
      <c r="J220" s="14">
        <f t="shared" si="121"/>
        <v>10</v>
      </c>
      <c r="K220" s="14">
        <f t="shared" si="121"/>
        <v>10</v>
      </c>
      <c r="L220" s="14" t="str">
        <f t="shared" si="121"/>
        <v>EventStory.Interceptor_1.attack01</v>
      </c>
      <c r="M220" s="14" t="str">
        <f t="shared" si="121"/>
        <v/>
      </c>
      <c r="N220" s="14" t="str">
        <f t="shared" si="121"/>
        <v/>
      </c>
      <c r="O220" s="178" t="str">
        <f t="shared" si="121"/>
        <v/>
      </c>
      <c r="P220" s="14" t="str">
        <f t="shared" si="121"/>
        <v/>
      </c>
      <c r="Q220" s="14" t="str">
        <f t="shared" si="121"/>
        <v/>
      </c>
      <c r="R220" s="14" t="str">
        <f t="shared" ref="R220:AF220" si="122">IF(R109 &lt;&gt; "", R109, "")</f>
        <v/>
      </c>
      <c r="S220" s="14" t="str">
        <f t="shared" si="122"/>
        <v/>
      </c>
      <c r="T220" s="14" t="str">
        <f t="shared" si="122"/>
        <v/>
      </c>
      <c r="U220" s="14" t="str">
        <f t="shared" si="122"/>
        <v/>
      </c>
      <c r="V220" s="14" t="b">
        <f t="shared" si="122"/>
        <v>0</v>
      </c>
      <c r="W220" s="14" t="str">
        <f t="shared" si="122"/>
        <v>Character/Prefabs/m_s_ranger_interceptor_1</v>
      </c>
      <c r="X220" s="14" t="str">
        <f t="shared" si="122"/>
        <v/>
      </c>
      <c r="Y220" s="14" t="str">
        <f t="shared" si="122"/>
        <v>m_s_ranger_interceptor_1</v>
      </c>
      <c r="Z220" s="14" t="str">
        <f t="shared" si="122"/>
        <v/>
      </c>
      <c r="AA220" s="14" t="str">
        <f t="shared" si="122"/>
        <v/>
      </c>
      <c r="AB220" s="14" t="str">
        <f t="shared" si="122"/>
        <v/>
      </c>
      <c r="AC220" s="94">
        <f t="shared" si="122"/>
        <v>1</v>
      </c>
      <c r="AD220" s="14" t="str">
        <f t="shared" si="122"/>
        <v/>
      </c>
      <c r="AE220" s="14" t="str">
        <f t="shared" si="122"/>
        <v/>
      </c>
      <c r="AF220" s="14" t="str">
        <f t="shared" si="122"/>
        <v/>
      </c>
      <c r="AG220" s="173" t="s">
        <v>2093</v>
      </c>
    </row>
    <row r="221" spans="1:33" x14ac:dyDescent="0.3">
      <c r="A221" s="14">
        <f t="shared" si="106"/>
        <v>1211601308</v>
      </c>
      <c r="B221" s="14" t="s">
        <v>2809</v>
      </c>
      <c r="C221" s="14" t="str">
        <f t="shared" ref="C221:Q221" si="123">IF(C110 &lt;&gt; "", C110, "")</f>
        <v>아이라스(졸)</v>
      </c>
      <c r="D221" s="14" t="str">
        <f t="shared" si="123"/>
        <v>Monster.Name.mechakanata_1</v>
      </c>
      <c r="E221" s="14" t="str">
        <f t="shared" si="123"/>
        <v>Attacker</v>
      </c>
      <c r="F221" s="14" t="str">
        <f t="shared" si="123"/>
        <v>Fac_art_app</v>
      </c>
      <c r="G221" s="14" t="str">
        <f t="shared" si="123"/>
        <v>TRUE</v>
      </c>
      <c r="H221" s="14" t="b">
        <f t="shared" si="123"/>
        <v>0</v>
      </c>
      <c r="I221" s="14" t="b">
        <f t="shared" si="123"/>
        <v>0</v>
      </c>
      <c r="J221" s="14">
        <f t="shared" si="123"/>
        <v>10</v>
      </c>
      <c r="K221" s="14">
        <f t="shared" si="123"/>
        <v>10</v>
      </c>
      <c r="L221" s="14" t="str">
        <f t="shared" si="123"/>
        <v>iras.attack1</v>
      </c>
      <c r="M221" s="14" t="str">
        <f t="shared" si="123"/>
        <v>iras.attack2</v>
      </c>
      <c r="N221" s="14" t="str">
        <f t="shared" si="123"/>
        <v>iras.attack3</v>
      </c>
      <c r="O221" s="178" t="str">
        <f t="shared" si="123"/>
        <v>iras.active1</v>
      </c>
      <c r="P221" s="14" t="str">
        <f t="shared" si="123"/>
        <v>iras.active2</v>
      </c>
      <c r="Q221" s="14" t="str">
        <f t="shared" si="123"/>
        <v>iras.passive</v>
      </c>
      <c r="R221" s="14" t="str">
        <f t="shared" ref="R221:AF221" si="124">IF(R110 &lt;&gt; "", R110, "")</f>
        <v>109.Academy.01</v>
      </c>
      <c r="S221" s="14" t="str">
        <f t="shared" si="124"/>
        <v/>
      </c>
      <c r="T221" s="14" t="str">
        <f t="shared" si="124"/>
        <v>iras.ult</v>
      </c>
      <c r="U221" s="14" t="str">
        <f t="shared" si="124"/>
        <v>iras.ult</v>
      </c>
      <c r="V221" s="14" t="b">
        <f t="shared" si="124"/>
        <v>1</v>
      </c>
      <c r="W221" s="14" t="str">
        <f t="shared" si="124"/>
        <v>Character/Prefabs/m_attacker_iras_enemy_1</v>
      </c>
      <c r="X221" s="14" t="str">
        <f t="shared" si="124"/>
        <v/>
      </c>
      <c r="Y221" s="14" t="str">
        <f t="shared" si="124"/>
        <v>character_iras_01</v>
      </c>
      <c r="Z221" s="14" t="str">
        <f t="shared" si="124"/>
        <v>Character/Timeline/01_CHA/ult_c_attacker_iras_1</v>
      </c>
      <c r="AA221" s="14" t="str">
        <f t="shared" si="124"/>
        <v>Character/Timeline/01_CHA/victory_c_attacker_iras_1</v>
      </c>
      <c r="AB221" s="14" t="str">
        <f t="shared" si="124"/>
        <v/>
      </c>
      <c r="AC221" s="94">
        <f t="shared" si="124"/>
        <v>0.7</v>
      </c>
      <c r="AD221" s="14" t="str">
        <f t="shared" si="124"/>
        <v/>
      </c>
      <c r="AE221" s="14" t="str">
        <f t="shared" si="124"/>
        <v/>
      </c>
      <c r="AF221" s="14" t="str">
        <f t="shared" si="124"/>
        <v/>
      </c>
      <c r="AG221" s="173" t="s">
        <v>2093</v>
      </c>
    </row>
    <row r="222" spans="1:33" x14ac:dyDescent="0.3">
      <c r="A222" s="14">
        <f t="shared" si="106"/>
        <v>1211601309</v>
      </c>
      <c r="B222" s="14" t="s">
        <v>2809</v>
      </c>
      <c r="C222" s="14" t="str">
        <f t="shared" ref="C222:Q222" si="125">IF(C111 &lt;&gt; "", C111, "")</f>
        <v>메카카나타</v>
      </c>
      <c r="D222" s="14" t="str">
        <f t="shared" si="125"/>
        <v>Monster.Name.mechakanata_1</v>
      </c>
      <c r="E222" s="14" t="str">
        <f t="shared" si="125"/>
        <v>None</v>
      </c>
      <c r="F222" s="14" t="str">
        <f t="shared" si="125"/>
        <v>Fac_nul_ind</v>
      </c>
      <c r="G222" s="14" t="str">
        <f t="shared" si="125"/>
        <v>TRUE</v>
      </c>
      <c r="H222" s="14" t="b">
        <f t="shared" si="125"/>
        <v>1</v>
      </c>
      <c r="I222" s="14" t="b">
        <f t="shared" si="125"/>
        <v>1</v>
      </c>
      <c r="J222" s="14">
        <f t="shared" si="125"/>
        <v>10</v>
      </c>
      <c r="K222" s="14">
        <f t="shared" si="125"/>
        <v>10</v>
      </c>
      <c r="L222" s="14" t="str">
        <f t="shared" si="125"/>
        <v>EventStory.mechakanata_1.attack01</v>
      </c>
      <c r="M222" s="14" t="str">
        <f t="shared" si="125"/>
        <v>EventStory.mechakanata_1.attack02</v>
      </c>
      <c r="N222" s="14" t="str">
        <f t="shared" si="125"/>
        <v>EventStory.mechakanata_1.attack03</v>
      </c>
      <c r="O222" s="178" t="str">
        <f t="shared" si="125"/>
        <v>EventStory.mechakanata_1.skill01</v>
      </c>
      <c r="P222" s="14" t="str">
        <f t="shared" si="125"/>
        <v/>
      </c>
      <c r="Q222" s="14" t="str">
        <f t="shared" si="125"/>
        <v/>
      </c>
      <c r="R222" s="14" t="str">
        <f t="shared" ref="R222:AF222" si="126">IF(R111 &lt;&gt; "", R111, "")</f>
        <v/>
      </c>
      <c r="S222" s="14" t="str">
        <f t="shared" si="126"/>
        <v/>
      </c>
      <c r="T222" s="14" t="str">
        <f t="shared" si="126"/>
        <v/>
      </c>
      <c r="U222" s="14" t="str">
        <f t="shared" si="126"/>
        <v/>
      </c>
      <c r="V222" s="14" t="b">
        <f t="shared" si="126"/>
        <v>0</v>
      </c>
      <c r="W222" s="14" t="str">
        <f t="shared" si="126"/>
        <v>Character/Prefabs/m_m_attacker_mechakanata_1</v>
      </c>
      <c r="X222" s="14" t="str">
        <f t="shared" si="126"/>
        <v/>
      </c>
      <c r="Y222" s="14" t="str">
        <f t="shared" si="126"/>
        <v>m_m_attacker_mechakanata_1</v>
      </c>
      <c r="Z222" s="14" t="str">
        <f t="shared" si="126"/>
        <v/>
      </c>
      <c r="AA222" s="14" t="str">
        <f t="shared" si="126"/>
        <v/>
      </c>
      <c r="AB222" s="14" t="str">
        <f t="shared" si="126"/>
        <v/>
      </c>
      <c r="AC222" s="94">
        <f t="shared" si="126"/>
        <v>1</v>
      </c>
      <c r="AD222" s="14" t="str">
        <f t="shared" si="126"/>
        <v/>
      </c>
      <c r="AE222" s="14" t="str">
        <f t="shared" si="126"/>
        <v/>
      </c>
      <c r="AF222" s="14" t="str">
        <f t="shared" si="126"/>
        <v/>
      </c>
      <c r="AG222" s="173" t="s">
        <v>2093</v>
      </c>
    </row>
    <row r="223" spans="1:33" x14ac:dyDescent="0.3">
      <c r="A223" s="43">
        <v>1211501001</v>
      </c>
      <c r="B223" s="43" t="s">
        <v>3976</v>
      </c>
      <c r="C223" s="43" t="s">
        <v>1861</v>
      </c>
      <c r="D223" s="43" t="s">
        <v>3977</v>
      </c>
      <c r="E223" s="43" t="s">
        <v>58</v>
      </c>
      <c r="F223" s="43" t="s">
        <v>44</v>
      </c>
      <c r="G223" s="43" t="s">
        <v>45</v>
      </c>
      <c r="H223" s="43" t="b">
        <v>1</v>
      </c>
      <c r="I223" s="43" t="b">
        <v>1</v>
      </c>
      <c r="J223" s="43">
        <v>10</v>
      </c>
      <c r="K223" s="43">
        <v>10</v>
      </c>
      <c r="L223" s="43" t="s">
        <v>3983</v>
      </c>
      <c r="M223" s="43"/>
      <c r="N223" s="43"/>
      <c r="O223" s="176" t="s">
        <v>3984</v>
      </c>
      <c r="P223" s="43" t="s">
        <v>3985</v>
      </c>
      <c r="Q223" s="43" t="s">
        <v>3986</v>
      </c>
      <c r="R223" s="43" t="s">
        <v>3991</v>
      </c>
      <c r="S223" s="43" t="s">
        <v>76</v>
      </c>
      <c r="T223" s="43"/>
      <c r="U223" s="43"/>
      <c r="V223" s="43" t="b">
        <v>0</v>
      </c>
      <c r="W223" s="43" t="s">
        <v>3978</v>
      </c>
      <c r="X223" s="43"/>
      <c r="Y223" s="43" t="s">
        <v>3979</v>
      </c>
      <c r="Z223" s="43"/>
      <c r="AA223" s="43"/>
      <c r="AB223" s="43"/>
      <c r="AC223" s="181">
        <v>1.3</v>
      </c>
      <c r="AD223" s="43"/>
      <c r="AE223" s="43" t="s">
        <v>80</v>
      </c>
      <c r="AF223" s="43" t="s">
        <v>81</v>
      </c>
      <c r="AG223" s="182" t="s">
        <v>2093</v>
      </c>
    </row>
    <row r="224" spans="1:33" x14ac:dyDescent="0.3">
      <c r="A224" s="43">
        <v>1211501002</v>
      </c>
      <c r="B224" s="43" t="s">
        <v>3976</v>
      </c>
      <c r="C224" s="43" t="s">
        <v>1863</v>
      </c>
      <c r="D224" s="43" t="s">
        <v>3980</v>
      </c>
      <c r="E224" s="43" t="s">
        <v>47</v>
      </c>
      <c r="F224" s="43" t="s">
        <v>44</v>
      </c>
      <c r="G224" s="43" t="s">
        <v>45</v>
      </c>
      <c r="H224" s="43" t="b">
        <v>1</v>
      </c>
      <c r="I224" s="43" t="b">
        <v>1</v>
      </c>
      <c r="J224" s="43">
        <v>20</v>
      </c>
      <c r="K224" s="43">
        <v>10</v>
      </c>
      <c r="L224" s="43" t="s">
        <v>3992</v>
      </c>
      <c r="M224" s="43"/>
      <c r="N224" s="43"/>
      <c r="O224" s="176" t="s">
        <v>3987</v>
      </c>
      <c r="P224" s="43" t="s">
        <v>3988</v>
      </c>
      <c r="Q224" s="43" t="s">
        <v>3989</v>
      </c>
      <c r="R224" s="43" t="s">
        <v>3990</v>
      </c>
      <c r="S224" s="43" t="s">
        <v>76</v>
      </c>
      <c r="T224" s="43"/>
      <c r="U224" s="43"/>
      <c r="V224" s="43" t="b">
        <v>0</v>
      </c>
      <c r="W224" s="43" t="s">
        <v>3981</v>
      </c>
      <c r="X224" s="43"/>
      <c r="Y224" s="43" t="s">
        <v>3982</v>
      </c>
      <c r="Z224" s="43"/>
      <c r="AA224" s="43"/>
      <c r="AB224" s="43"/>
      <c r="AC224" s="181">
        <v>0.9</v>
      </c>
      <c r="AD224" s="43"/>
      <c r="AE224" s="43" t="s">
        <v>103</v>
      </c>
      <c r="AF224" s="43" t="s">
        <v>104</v>
      </c>
      <c r="AG224" s="182" t="s">
        <v>2093</v>
      </c>
    </row>
    <row r="225" spans="1:33" x14ac:dyDescent="0.3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78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94"/>
      <c r="AD225" s="14"/>
      <c r="AE225" s="14"/>
      <c r="AF225" s="14"/>
      <c r="AG225" s="173"/>
    </row>
    <row r="226" spans="1:33" x14ac:dyDescent="0.3">
      <c r="A226" s="22">
        <f t="shared" ref="A226:A257" si="127">A115+100000000</f>
        <v>1310601001</v>
      </c>
      <c r="B226" s="22" t="str">
        <f t="shared" ref="B226:AF226" si="128">IF(B115 &lt;&gt; "", B115, "")</f>
        <v>WorldRaid</v>
      </c>
      <c r="C226" s="22" t="str">
        <f t="shared" si="128"/>
        <v>에페리우스</v>
      </c>
      <c r="D226" s="22" t="str">
        <f t="shared" si="128"/>
        <v>Monster.Name.eperiusunit_1</v>
      </c>
      <c r="E226" s="22" t="str">
        <f t="shared" si="128"/>
        <v>None</v>
      </c>
      <c r="F226" s="53" t="str">
        <f t="shared" si="128"/>
        <v>Fac_nul_ind</v>
      </c>
      <c r="G226" s="22" t="str">
        <f t="shared" si="128"/>
        <v>TRUE</v>
      </c>
      <c r="H226" s="22" t="b">
        <f t="shared" si="128"/>
        <v>1</v>
      </c>
      <c r="I226" s="22" t="b">
        <f t="shared" si="128"/>
        <v>1</v>
      </c>
      <c r="J226" s="22">
        <f t="shared" si="128"/>
        <v>40</v>
      </c>
      <c r="K226" s="22">
        <f t="shared" si="128"/>
        <v>10</v>
      </c>
      <c r="L226" s="22" t="str">
        <f t="shared" si="128"/>
        <v>WorldRaid.eperiusunit_1.attack01</v>
      </c>
      <c r="M226" s="22" t="str">
        <f t="shared" si="128"/>
        <v>WorldRaid.eperiusunit_1.attack02</v>
      </c>
      <c r="N226" s="22" t="str">
        <f t="shared" si="128"/>
        <v>WorldRaid.eperiusunit_1.attack03</v>
      </c>
      <c r="O226" s="172" t="str">
        <f t="shared" si="128"/>
        <v>WorldRaid.eperiusunit_1.skill01</v>
      </c>
      <c r="P226" s="54" t="str">
        <f t="shared" si="128"/>
        <v>WorldRaid.eperiusunit_1.skill02</v>
      </c>
      <c r="Q226" s="54" t="str">
        <f t="shared" si="128"/>
        <v>WorldRaid.eperiusunit_1.skill03</v>
      </c>
      <c r="R226" s="54" t="str">
        <f t="shared" si="128"/>
        <v>WorldRaid.eperiusunit_1.skill04</v>
      </c>
      <c r="S226" s="54" t="str">
        <f t="shared" si="128"/>
        <v>WorldRaid.eperiusunit_1.passive01</v>
      </c>
      <c r="T226" s="54" t="str">
        <f t="shared" si="128"/>
        <v/>
      </c>
      <c r="U226" s="54" t="str">
        <f t="shared" si="128"/>
        <v/>
      </c>
      <c r="V226" s="22" t="b">
        <f t="shared" si="128"/>
        <v>0</v>
      </c>
      <c r="W226" s="22" t="str">
        <f t="shared" si="128"/>
        <v>Character/Prefabs/m_boss_ranger_eperiusunit_1</v>
      </c>
      <c r="X226" s="22" t="str">
        <f t="shared" si="128"/>
        <v/>
      </c>
      <c r="Y226" s="22" t="str">
        <f t="shared" si="128"/>
        <v>m_boss_ranger_eperiusunit_1</v>
      </c>
      <c r="Z226" s="22" t="str">
        <f t="shared" si="128"/>
        <v/>
      </c>
      <c r="AA226" s="22" t="str">
        <f t="shared" si="128"/>
        <v/>
      </c>
      <c r="AB226" s="22" t="str">
        <f t="shared" si="128"/>
        <v>Die_machine</v>
      </c>
      <c r="AC226" s="95">
        <f t="shared" si="128"/>
        <v>1.4</v>
      </c>
      <c r="AD226" s="22" t="str">
        <f t="shared" si="128"/>
        <v/>
      </c>
      <c r="AE226" s="22" t="str">
        <f t="shared" si="128"/>
        <v>Character/Timeline/02_MON/eperiusunit_1/appearance</v>
      </c>
      <c r="AF226" s="22" t="str">
        <f t="shared" si="128"/>
        <v>Character/Timeline/02_MON/eperiusunit_1/die</v>
      </c>
      <c r="AG226" s="173" t="s">
        <v>2762</v>
      </c>
    </row>
    <row r="227" spans="1:33" x14ac:dyDescent="0.3">
      <c r="A227" s="45">
        <f t="shared" si="127"/>
        <v>1311201001</v>
      </c>
      <c r="B227" s="45" t="str">
        <f t="shared" ref="B227:AF227" si="129">IF(B116 &lt;&gt; "", B116, "")</f>
        <v>GuildOperation01</v>
      </c>
      <c r="C227" s="45" t="str">
        <f t="shared" si="129"/>
        <v>톡식베리</v>
      </c>
      <c r="D227" s="45" t="str">
        <f t="shared" si="129"/>
        <v>Monster.Name.toxic_2</v>
      </c>
      <c r="E227" s="45" t="str">
        <f t="shared" si="129"/>
        <v>Attacker</v>
      </c>
      <c r="F227" s="46" t="str">
        <f t="shared" si="129"/>
        <v>Fac_nul_ind</v>
      </c>
      <c r="G227" s="45" t="str">
        <f t="shared" si="129"/>
        <v>TRUE</v>
      </c>
      <c r="H227" s="45" t="b">
        <f t="shared" si="129"/>
        <v>1</v>
      </c>
      <c r="I227" s="45" t="b">
        <f t="shared" si="129"/>
        <v>1</v>
      </c>
      <c r="J227" s="45">
        <f t="shared" si="129"/>
        <v>30</v>
      </c>
      <c r="K227" s="45">
        <f t="shared" si="129"/>
        <v>10</v>
      </c>
      <c r="L227" s="45" t="str">
        <f t="shared" si="129"/>
        <v>GuildOperation01.toxic_2.attack01</v>
      </c>
      <c r="M227" s="45" t="str">
        <f t="shared" si="129"/>
        <v>GuildOperation01.toxic_2.attack02</v>
      </c>
      <c r="N227" s="45" t="str">
        <f t="shared" si="129"/>
        <v/>
      </c>
      <c r="O227" s="174" t="str">
        <f t="shared" si="129"/>
        <v>GuildOperation01.toxic_2.skill01</v>
      </c>
      <c r="P227" s="47" t="str">
        <f t="shared" si="129"/>
        <v>GuildOperation01.toxic_2.skill02</v>
      </c>
      <c r="Q227" s="47" t="str">
        <f t="shared" si="129"/>
        <v>GuildOperation01.toxic_2.skill03</v>
      </c>
      <c r="R227" s="47" t="str">
        <f t="shared" si="129"/>
        <v>GuildOperation.Normal</v>
      </c>
      <c r="S227" s="47" t="str">
        <f t="shared" si="129"/>
        <v/>
      </c>
      <c r="T227" s="47" t="str">
        <f t="shared" si="129"/>
        <v/>
      </c>
      <c r="U227" s="47" t="str">
        <f t="shared" si="129"/>
        <v/>
      </c>
      <c r="V227" s="45" t="b">
        <f t="shared" si="129"/>
        <v>0</v>
      </c>
      <c r="W227" s="45" t="str">
        <f t="shared" si="129"/>
        <v>Character/Prefabs/m_boss_attacker_toxic_2</v>
      </c>
      <c r="X227" s="45" t="str">
        <f t="shared" si="129"/>
        <v/>
      </c>
      <c r="Y227" s="45" t="str">
        <f t="shared" si="129"/>
        <v>m_boss_attacker_toxic_2</v>
      </c>
      <c r="Z227" s="45" t="str">
        <f t="shared" si="129"/>
        <v/>
      </c>
      <c r="AA227" s="45" t="str">
        <f t="shared" si="129"/>
        <v/>
      </c>
      <c r="AB227" s="45" t="str">
        <f t="shared" si="129"/>
        <v>Die_machine</v>
      </c>
      <c r="AC227" s="93">
        <f t="shared" si="129"/>
        <v>1.2</v>
      </c>
      <c r="AD227" s="45" t="str">
        <f t="shared" si="129"/>
        <v/>
      </c>
      <c r="AE227" s="45" t="str">
        <f t="shared" si="129"/>
        <v>Character/Timeline/02_MON/toxic_1/m_boss_attacker_toxic_2_appearance</v>
      </c>
      <c r="AF227" s="45" t="str">
        <f t="shared" si="129"/>
        <v/>
      </c>
      <c r="AG227" s="173" t="s">
        <v>2762</v>
      </c>
    </row>
    <row r="228" spans="1:33" x14ac:dyDescent="0.3">
      <c r="A228" s="45">
        <f t="shared" si="127"/>
        <v>1311202001</v>
      </c>
      <c r="B228" s="45" t="str">
        <f t="shared" ref="B228:AF228" si="130">IF(B117 &lt;&gt; "", B117, "")</f>
        <v>GuildOperation02</v>
      </c>
      <c r="C228" s="45" t="str">
        <f t="shared" si="130"/>
        <v>골리앗베리</v>
      </c>
      <c r="D228" s="45" t="str">
        <f t="shared" si="130"/>
        <v>Monster.Name.goliath_2</v>
      </c>
      <c r="E228" s="45" t="str">
        <f t="shared" si="130"/>
        <v>Tanker</v>
      </c>
      <c r="F228" s="46" t="str">
        <f t="shared" si="130"/>
        <v>Fac_nul_ind</v>
      </c>
      <c r="G228" s="45" t="str">
        <f t="shared" si="130"/>
        <v>TRUE</v>
      </c>
      <c r="H228" s="45" t="b">
        <f t="shared" si="130"/>
        <v>1</v>
      </c>
      <c r="I228" s="45" t="b">
        <f t="shared" si="130"/>
        <v>1</v>
      </c>
      <c r="J228" s="45">
        <f t="shared" si="130"/>
        <v>20</v>
      </c>
      <c r="K228" s="45">
        <f t="shared" si="130"/>
        <v>10</v>
      </c>
      <c r="L228" s="45" t="str">
        <f t="shared" si="130"/>
        <v>GuildOperation02.goliath_2.attack01</v>
      </c>
      <c r="M228" s="45" t="str">
        <f t="shared" si="130"/>
        <v/>
      </c>
      <c r="N228" s="45" t="str">
        <f t="shared" si="130"/>
        <v/>
      </c>
      <c r="O228" s="174" t="str">
        <f t="shared" si="130"/>
        <v>GuildOperation02.goliath_2.skill01</v>
      </c>
      <c r="P228" s="47" t="str">
        <f t="shared" si="130"/>
        <v>GuildOperation02.goliath_2.skill02</v>
      </c>
      <c r="Q228" s="47" t="str">
        <f t="shared" si="130"/>
        <v>GuildOperation02.goliath_2.skill03</v>
      </c>
      <c r="R228" s="47" t="str">
        <f t="shared" si="130"/>
        <v>GuildOperation02.goliath_2.passive01</v>
      </c>
      <c r="S228" s="47" t="str">
        <f t="shared" si="130"/>
        <v>GuildOperation.Hard</v>
      </c>
      <c r="T228" s="47" t="str">
        <f t="shared" si="130"/>
        <v/>
      </c>
      <c r="U228" s="47" t="str">
        <f t="shared" si="130"/>
        <v/>
      </c>
      <c r="V228" s="45" t="b">
        <f t="shared" si="130"/>
        <v>0</v>
      </c>
      <c r="W228" s="45" t="str">
        <f t="shared" si="130"/>
        <v>Character/Prefabs/m_boss_attacker_goliath_2</v>
      </c>
      <c r="X228" s="45" t="str">
        <f t="shared" si="130"/>
        <v/>
      </c>
      <c r="Y228" s="45" t="str">
        <f t="shared" si="130"/>
        <v>m_boss_attacker_goliath_2</v>
      </c>
      <c r="Z228" s="45" t="str">
        <f t="shared" si="130"/>
        <v/>
      </c>
      <c r="AA228" s="45" t="str">
        <f t="shared" si="130"/>
        <v/>
      </c>
      <c r="AB228" s="45" t="str">
        <f t="shared" si="130"/>
        <v>Die_machine</v>
      </c>
      <c r="AC228" s="93">
        <f t="shared" si="130"/>
        <v>2</v>
      </c>
      <c r="AD228" s="45" t="str">
        <f t="shared" si="130"/>
        <v/>
      </c>
      <c r="AE228" s="45" t="str">
        <f t="shared" si="130"/>
        <v>Character/Timeline/02_MON/goliath_2/m_boss_attacker_goliath_2@appearance</v>
      </c>
      <c r="AF228" s="45" t="str">
        <f t="shared" si="130"/>
        <v/>
      </c>
      <c r="AG228" s="173" t="s">
        <v>2762</v>
      </c>
    </row>
    <row r="229" spans="1:33" x14ac:dyDescent="0.3">
      <c r="A229" s="45">
        <f t="shared" si="127"/>
        <v>1311202002</v>
      </c>
      <c r="B229" s="45" t="str">
        <f t="shared" ref="B229:AF229" si="131">IF(B118 &lt;&gt; "", B118, "")</f>
        <v>GuildOperation02</v>
      </c>
      <c r="C229" s="45" t="str">
        <f t="shared" si="131"/>
        <v>골리앗베리</v>
      </c>
      <c r="D229" s="45" t="str">
        <f t="shared" si="131"/>
        <v>Monster.Name.goliath_2</v>
      </c>
      <c r="E229" s="45" t="str">
        <f t="shared" si="131"/>
        <v>Tanker</v>
      </c>
      <c r="F229" s="46" t="str">
        <f t="shared" si="131"/>
        <v>Fac_nul_ind</v>
      </c>
      <c r="G229" s="45" t="str">
        <f t="shared" si="131"/>
        <v>TRUE</v>
      </c>
      <c r="H229" s="45" t="b">
        <f t="shared" si="131"/>
        <v>0</v>
      </c>
      <c r="I229" s="45" t="b">
        <f t="shared" si="131"/>
        <v>0</v>
      </c>
      <c r="J229" s="45">
        <f t="shared" si="131"/>
        <v>10</v>
      </c>
      <c r="K229" s="45">
        <f t="shared" si="131"/>
        <v>10</v>
      </c>
      <c r="L229" s="45" t="str">
        <f t="shared" si="131"/>
        <v>GuildOperation02.mini_1.attack01</v>
      </c>
      <c r="M229" s="45" t="str">
        <f t="shared" si="131"/>
        <v/>
      </c>
      <c r="N229" s="45" t="str">
        <f t="shared" si="131"/>
        <v/>
      </c>
      <c r="O229" s="174" t="str">
        <f t="shared" si="131"/>
        <v>GuildOperation02.mini_1.passive01</v>
      </c>
      <c r="P229" s="47" t="str">
        <f t="shared" si="131"/>
        <v/>
      </c>
      <c r="Q229" s="47" t="str">
        <f t="shared" si="131"/>
        <v/>
      </c>
      <c r="R229" s="47" t="str">
        <f t="shared" si="131"/>
        <v/>
      </c>
      <c r="S229" s="47" t="str">
        <f t="shared" si="131"/>
        <v/>
      </c>
      <c r="T229" s="47" t="str">
        <f t="shared" si="131"/>
        <v/>
      </c>
      <c r="U229" s="47" t="str">
        <f t="shared" si="131"/>
        <v/>
      </c>
      <c r="V229" s="45" t="b">
        <f t="shared" si="131"/>
        <v>0</v>
      </c>
      <c r="W229" s="45" t="str">
        <f t="shared" si="131"/>
        <v>Character/Prefabs/m_boss_attacker_goliath_2</v>
      </c>
      <c r="X229" s="45" t="str">
        <f t="shared" si="131"/>
        <v/>
      </c>
      <c r="Y229" s="45" t="str">
        <f t="shared" si="131"/>
        <v>m_boss_attacker_goliath_2</v>
      </c>
      <c r="Z229" s="45" t="str">
        <f t="shared" si="131"/>
        <v/>
      </c>
      <c r="AA229" s="45" t="str">
        <f t="shared" si="131"/>
        <v/>
      </c>
      <c r="AB229" s="45" t="str">
        <f t="shared" si="131"/>
        <v>Die_machine</v>
      </c>
      <c r="AC229" s="93">
        <f t="shared" si="131"/>
        <v>0.5</v>
      </c>
      <c r="AD229" s="45" t="str">
        <f t="shared" si="131"/>
        <v/>
      </c>
      <c r="AE229" s="45" t="str">
        <f t="shared" si="131"/>
        <v/>
      </c>
      <c r="AF229" s="45" t="str">
        <f t="shared" si="131"/>
        <v/>
      </c>
      <c r="AG229" s="173" t="s">
        <v>2762</v>
      </c>
    </row>
    <row r="230" spans="1:33" x14ac:dyDescent="0.3">
      <c r="A230" s="108">
        <f t="shared" si="127"/>
        <v>1311401001</v>
      </c>
      <c r="B230" s="108" t="str">
        <f t="shared" ref="B230:AF230" si="132">IF(B119 &lt;&gt; "", B119, "")</f>
        <v>GuildAssault</v>
      </c>
      <c r="C230" s="108" t="str">
        <f t="shared" si="132"/>
        <v>마리오네</v>
      </c>
      <c r="D230" s="108" t="str">
        <f t="shared" si="132"/>
        <v>Monster.Name.marionne_1</v>
      </c>
      <c r="E230" s="108" t="str">
        <f t="shared" si="132"/>
        <v>None</v>
      </c>
      <c r="F230" s="109" t="str">
        <f t="shared" si="132"/>
        <v>Fac_nul_ind</v>
      </c>
      <c r="G230" s="108" t="str">
        <f t="shared" si="132"/>
        <v>TRUE</v>
      </c>
      <c r="H230" s="108" t="b">
        <f t="shared" si="132"/>
        <v>1</v>
      </c>
      <c r="I230" s="108" t="b">
        <f t="shared" si="132"/>
        <v>1</v>
      </c>
      <c r="J230" s="108">
        <f t="shared" si="132"/>
        <v>10</v>
      </c>
      <c r="K230" s="108">
        <f t="shared" si="132"/>
        <v>10</v>
      </c>
      <c r="L230" s="108" t="str">
        <f t="shared" si="132"/>
        <v>1111401001.attack01</v>
      </c>
      <c r="M230" s="108" t="str">
        <f t="shared" si="132"/>
        <v>1111401001.attack02</v>
      </c>
      <c r="N230" s="108" t="str">
        <f t="shared" si="132"/>
        <v>1111401001.attack03</v>
      </c>
      <c r="O230" s="175" t="str">
        <f t="shared" si="132"/>
        <v>1111401001.skill01</v>
      </c>
      <c r="P230" s="110" t="str">
        <f t="shared" si="132"/>
        <v>1111401001.skill02</v>
      </c>
      <c r="Q230" s="110" t="str">
        <f t="shared" si="132"/>
        <v>1111401001.skill03</v>
      </c>
      <c r="R230" s="110" t="str">
        <f t="shared" si="132"/>
        <v>1111401001.Passive</v>
      </c>
      <c r="S230" s="110" t="str">
        <f t="shared" si="132"/>
        <v>GuildAssault.Passive</v>
      </c>
      <c r="T230" s="110" t="str">
        <f t="shared" si="132"/>
        <v/>
      </c>
      <c r="U230" s="110" t="str">
        <f t="shared" si="132"/>
        <v/>
      </c>
      <c r="V230" s="108" t="b">
        <f t="shared" si="132"/>
        <v>0</v>
      </c>
      <c r="W230" s="108" t="str">
        <f t="shared" si="132"/>
        <v>Character/Prefabs/m_boss_ranger_marionne_1</v>
      </c>
      <c r="X230" s="108" t="str">
        <f t="shared" si="132"/>
        <v/>
      </c>
      <c r="Y230" s="108" t="str">
        <f t="shared" si="132"/>
        <v>m_boss_ranger_marionne_1</v>
      </c>
      <c r="Z230" s="108" t="str">
        <f t="shared" si="132"/>
        <v/>
      </c>
      <c r="AA230" s="108" t="str">
        <f t="shared" si="132"/>
        <v/>
      </c>
      <c r="AB230" s="108" t="str">
        <f t="shared" si="132"/>
        <v>Die_machine</v>
      </c>
      <c r="AC230" s="111">
        <f t="shared" si="132"/>
        <v>1</v>
      </c>
      <c r="AD230" s="108" t="str">
        <f t="shared" si="132"/>
        <v/>
      </c>
      <c r="AE230" s="108" t="str">
        <f t="shared" si="132"/>
        <v>Character/Timeline/02_MON/marionne/m_boss_ranger_marionne_1@enter_timeline</v>
      </c>
      <c r="AF230" s="108" t="str">
        <f t="shared" si="132"/>
        <v>Character/Timeline/02_MON/marionne/m_boss_ranger_marionne_1@die_timeline</v>
      </c>
      <c r="AG230" s="173" t="s">
        <v>2762</v>
      </c>
    </row>
    <row r="231" spans="1:33" x14ac:dyDescent="0.3">
      <c r="A231" s="108">
        <f t="shared" si="127"/>
        <v>1311401002</v>
      </c>
      <c r="B231" s="108" t="str">
        <f t="shared" ref="B231:AF231" si="133">IF(B120 &lt;&gt; "", B120, "")</f>
        <v>GuildAssault</v>
      </c>
      <c r="C231" s="108" t="str">
        <f t="shared" si="133"/>
        <v>마리오네_퍼펫</v>
      </c>
      <c r="D231" s="108" t="str">
        <f t="shared" si="133"/>
        <v>Monster.Name.marionne_puppet_1</v>
      </c>
      <c r="E231" s="108" t="str">
        <f t="shared" si="133"/>
        <v>Attacker</v>
      </c>
      <c r="F231" s="109" t="str">
        <f t="shared" si="133"/>
        <v>Fac_nul_ind</v>
      </c>
      <c r="G231" s="108" t="str">
        <f t="shared" si="133"/>
        <v>TRUE</v>
      </c>
      <c r="H231" s="108" t="b">
        <f t="shared" si="133"/>
        <v>0</v>
      </c>
      <c r="I231" s="108" t="b">
        <f t="shared" si="133"/>
        <v>0</v>
      </c>
      <c r="J231" s="108">
        <f t="shared" si="133"/>
        <v>10</v>
      </c>
      <c r="K231" s="108">
        <f t="shared" si="133"/>
        <v>10</v>
      </c>
      <c r="L231" s="108" t="str">
        <f t="shared" si="133"/>
        <v>1111401002.attack01</v>
      </c>
      <c r="M231" s="108" t="str">
        <f t="shared" si="133"/>
        <v/>
      </c>
      <c r="N231" s="108" t="str">
        <f t="shared" si="133"/>
        <v/>
      </c>
      <c r="O231" s="175" t="str">
        <f t="shared" si="133"/>
        <v>1111401002.Passive</v>
      </c>
      <c r="P231" s="110" t="str">
        <f t="shared" si="133"/>
        <v/>
      </c>
      <c r="Q231" s="110" t="str">
        <f t="shared" si="133"/>
        <v/>
      </c>
      <c r="R231" s="110" t="str">
        <f t="shared" si="133"/>
        <v/>
      </c>
      <c r="S231" s="110" t="str">
        <f t="shared" si="133"/>
        <v/>
      </c>
      <c r="T231" s="110" t="str">
        <f t="shared" si="133"/>
        <v/>
      </c>
      <c r="U231" s="110" t="str">
        <f t="shared" si="133"/>
        <v/>
      </c>
      <c r="V231" s="108" t="b">
        <f t="shared" si="133"/>
        <v>0</v>
      </c>
      <c r="W231" s="108" t="str">
        <f t="shared" si="133"/>
        <v>Character/Prefabs/m_m_attacker_marionne_puppet_1</v>
      </c>
      <c r="X231" s="108" t="str">
        <f t="shared" si="133"/>
        <v/>
      </c>
      <c r="Y231" s="108" t="str">
        <f t="shared" si="133"/>
        <v>m_m_attacker_marionne_puppet_1</v>
      </c>
      <c r="Z231" s="108" t="str">
        <f t="shared" si="133"/>
        <v/>
      </c>
      <c r="AA231" s="108" t="str">
        <f t="shared" si="133"/>
        <v/>
      </c>
      <c r="AB231" s="108" t="str">
        <f t="shared" si="133"/>
        <v>Die_machine</v>
      </c>
      <c r="AC231" s="111">
        <f t="shared" si="133"/>
        <v>1</v>
      </c>
      <c r="AD231" s="108" t="str">
        <f t="shared" si="133"/>
        <v/>
      </c>
      <c r="AE231" s="108" t="str">
        <f t="shared" si="133"/>
        <v/>
      </c>
      <c r="AF231" s="108" t="str">
        <f t="shared" si="133"/>
        <v/>
      </c>
      <c r="AG231" s="173" t="s">
        <v>2762</v>
      </c>
    </row>
    <row r="232" spans="1:33" x14ac:dyDescent="0.3">
      <c r="A232" s="108">
        <f t="shared" si="127"/>
        <v>1311401003</v>
      </c>
      <c r="B232" s="108" t="str">
        <f t="shared" ref="B232:AF232" si="134">IF(B121 &lt;&gt; "", B121, "")</f>
        <v>GuildAssault</v>
      </c>
      <c r="C232" s="108" t="str">
        <f t="shared" si="134"/>
        <v>마리오네_퍼펫</v>
      </c>
      <c r="D232" s="108" t="str">
        <f t="shared" si="134"/>
        <v>Monster.Name.marionne_puppet_1</v>
      </c>
      <c r="E232" s="108" t="str">
        <f t="shared" si="134"/>
        <v>Attacker</v>
      </c>
      <c r="F232" s="109" t="str">
        <f t="shared" si="134"/>
        <v>Fac_nul_ind</v>
      </c>
      <c r="G232" s="108" t="str">
        <f t="shared" si="134"/>
        <v>TRUE</v>
      </c>
      <c r="H232" s="108" t="b">
        <f t="shared" si="134"/>
        <v>0</v>
      </c>
      <c r="I232" s="108" t="b">
        <f t="shared" si="134"/>
        <v>0</v>
      </c>
      <c r="J232" s="108">
        <f t="shared" si="134"/>
        <v>10</v>
      </c>
      <c r="K232" s="108">
        <f t="shared" si="134"/>
        <v>10</v>
      </c>
      <c r="L232" s="108" t="str">
        <f t="shared" si="134"/>
        <v>1111401003.attack01</v>
      </c>
      <c r="M232" s="108" t="str">
        <f t="shared" si="134"/>
        <v/>
      </c>
      <c r="N232" s="108" t="str">
        <f t="shared" si="134"/>
        <v/>
      </c>
      <c r="O232" s="175" t="str">
        <f t="shared" si="134"/>
        <v>1111401003.Passive</v>
      </c>
      <c r="P232" s="110" t="str">
        <f t="shared" si="134"/>
        <v/>
      </c>
      <c r="Q232" s="110" t="str">
        <f t="shared" si="134"/>
        <v/>
      </c>
      <c r="R232" s="110" t="str">
        <f t="shared" si="134"/>
        <v/>
      </c>
      <c r="S232" s="110" t="str">
        <f t="shared" si="134"/>
        <v/>
      </c>
      <c r="T232" s="110" t="str">
        <f t="shared" si="134"/>
        <v/>
      </c>
      <c r="U232" s="110" t="str">
        <f t="shared" si="134"/>
        <v/>
      </c>
      <c r="V232" s="108" t="b">
        <f t="shared" si="134"/>
        <v>0</v>
      </c>
      <c r="W232" s="108" t="str">
        <f t="shared" si="134"/>
        <v>Character/Prefabs/m_m_attacker_marionne_puppet_1</v>
      </c>
      <c r="X232" s="108" t="str">
        <f t="shared" si="134"/>
        <v/>
      </c>
      <c r="Y232" s="108" t="str">
        <f t="shared" si="134"/>
        <v>m_m_attacker_marionne_puppet_1</v>
      </c>
      <c r="Z232" s="108" t="str">
        <f t="shared" si="134"/>
        <v/>
      </c>
      <c r="AA232" s="108" t="str">
        <f t="shared" si="134"/>
        <v/>
      </c>
      <c r="AB232" s="108" t="str">
        <f t="shared" si="134"/>
        <v>Die_machine</v>
      </c>
      <c r="AC232" s="111">
        <f t="shared" si="134"/>
        <v>1</v>
      </c>
      <c r="AD232" s="108" t="str">
        <f t="shared" si="134"/>
        <v/>
      </c>
      <c r="AE232" s="108" t="str">
        <f t="shared" si="134"/>
        <v/>
      </c>
      <c r="AF232" s="108" t="str">
        <f t="shared" si="134"/>
        <v/>
      </c>
      <c r="AG232" s="173" t="s">
        <v>2762</v>
      </c>
    </row>
    <row r="233" spans="1:33" x14ac:dyDescent="0.3">
      <c r="A233" s="108">
        <f t="shared" si="127"/>
        <v>1311401004</v>
      </c>
      <c r="B233" s="108" t="str">
        <f t="shared" ref="B233:AF233" si="135">IF(B122 &lt;&gt; "", B122, "")</f>
        <v>GuildAssault</v>
      </c>
      <c r="C233" s="108" t="str">
        <f t="shared" si="135"/>
        <v>마리오네_퍼펫</v>
      </c>
      <c r="D233" s="108" t="str">
        <f t="shared" si="135"/>
        <v>Monster.Name.marionne_puppet_1</v>
      </c>
      <c r="E233" s="108" t="str">
        <f t="shared" si="135"/>
        <v>Attacker</v>
      </c>
      <c r="F233" s="109" t="str">
        <f t="shared" si="135"/>
        <v>Fac_nul_ind</v>
      </c>
      <c r="G233" s="108" t="str">
        <f t="shared" si="135"/>
        <v>TRUE</v>
      </c>
      <c r="H233" s="108" t="b">
        <f t="shared" si="135"/>
        <v>0</v>
      </c>
      <c r="I233" s="108" t="b">
        <f t="shared" si="135"/>
        <v>0</v>
      </c>
      <c r="J233" s="108">
        <f t="shared" si="135"/>
        <v>10</v>
      </c>
      <c r="K233" s="108">
        <f t="shared" si="135"/>
        <v>10</v>
      </c>
      <c r="L233" s="108" t="str">
        <f t="shared" si="135"/>
        <v/>
      </c>
      <c r="M233" s="108" t="str">
        <f t="shared" si="135"/>
        <v/>
      </c>
      <c r="N233" s="108" t="str">
        <f t="shared" si="135"/>
        <v/>
      </c>
      <c r="O233" s="175" t="str">
        <f t="shared" si="135"/>
        <v>1111401004.skill01</v>
      </c>
      <c r="P233" s="110" t="str">
        <f t="shared" si="135"/>
        <v>1111401004.Passive</v>
      </c>
      <c r="Q233" s="110" t="str">
        <f t="shared" si="135"/>
        <v/>
      </c>
      <c r="R233" s="110" t="str">
        <f t="shared" si="135"/>
        <v/>
      </c>
      <c r="S233" s="110" t="str">
        <f t="shared" si="135"/>
        <v/>
      </c>
      <c r="T233" s="110" t="str">
        <f t="shared" si="135"/>
        <v/>
      </c>
      <c r="U233" s="110" t="str">
        <f t="shared" si="135"/>
        <v/>
      </c>
      <c r="V233" s="108" t="b">
        <f t="shared" si="135"/>
        <v>0</v>
      </c>
      <c r="W233" s="108" t="str">
        <f t="shared" si="135"/>
        <v>Character/Prefabs/m_m_attacker_marionne_puppet_1</v>
      </c>
      <c r="X233" s="108" t="str">
        <f t="shared" si="135"/>
        <v/>
      </c>
      <c r="Y233" s="108" t="str">
        <f t="shared" si="135"/>
        <v>m_m_attacker_marionne_puppet_1</v>
      </c>
      <c r="Z233" s="108" t="str">
        <f t="shared" si="135"/>
        <v/>
      </c>
      <c r="AA233" s="108" t="str">
        <f t="shared" si="135"/>
        <v/>
      </c>
      <c r="AB233" s="108" t="str">
        <f t="shared" si="135"/>
        <v>Die_machine</v>
      </c>
      <c r="AC233" s="111">
        <f t="shared" si="135"/>
        <v>1</v>
      </c>
      <c r="AD233" s="108" t="str">
        <f t="shared" si="135"/>
        <v/>
      </c>
      <c r="AE233" s="108" t="str">
        <f t="shared" si="135"/>
        <v/>
      </c>
      <c r="AF233" s="108" t="str">
        <f t="shared" si="135"/>
        <v/>
      </c>
      <c r="AG233" s="173" t="s">
        <v>2762</v>
      </c>
    </row>
    <row r="234" spans="1:33" x14ac:dyDescent="0.3">
      <c r="A234" s="108">
        <f t="shared" si="127"/>
        <v>1311401005</v>
      </c>
      <c r="B234" s="108" t="str">
        <f t="shared" ref="B234:AF234" si="136">IF(B123 &lt;&gt; "", B123, "")</f>
        <v>GuildAssault</v>
      </c>
      <c r="C234" s="108" t="str">
        <f t="shared" si="136"/>
        <v>마리오네_스킬5</v>
      </c>
      <c r="D234" s="108" t="str">
        <f t="shared" si="136"/>
        <v/>
      </c>
      <c r="E234" s="108" t="str">
        <f t="shared" si="136"/>
        <v>Tanker</v>
      </c>
      <c r="F234" s="109" t="str">
        <f t="shared" si="136"/>
        <v>Fac_nul_ind</v>
      </c>
      <c r="G234" s="108" t="b">
        <f t="shared" si="136"/>
        <v>1</v>
      </c>
      <c r="H234" s="108" t="str">
        <f t="shared" si="136"/>
        <v>FALSE</v>
      </c>
      <c r="I234" s="108" t="str">
        <f t="shared" si="136"/>
        <v>FALSE</v>
      </c>
      <c r="J234" s="108">
        <f t="shared" si="136"/>
        <v>10</v>
      </c>
      <c r="K234" s="108">
        <f t="shared" si="136"/>
        <v>10</v>
      </c>
      <c r="L234" s="108" t="str">
        <f t="shared" si="136"/>
        <v/>
      </c>
      <c r="M234" s="108" t="str">
        <f t="shared" si="136"/>
        <v/>
      </c>
      <c r="N234" s="108" t="str">
        <f t="shared" si="136"/>
        <v/>
      </c>
      <c r="O234" s="175" t="str">
        <f t="shared" si="136"/>
        <v/>
      </c>
      <c r="P234" s="110" t="str">
        <f t="shared" si="136"/>
        <v/>
      </c>
      <c r="Q234" s="110" t="str">
        <f t="shared" si="136"/>
        <v/>
      </c>
      <c r="R234" s="110" t="str">
        <f t="shared" si="136"/>
        <v/>
      </c>
      <c r="S234" s="110" t="str">
        <f t="shared" si="136"/>
        <v/>
      </c>
      <c r="T234" s="110" t="str">
        <f t="shared" si="136"/>
        <v/>
      </c>
      <c r="U234" s="110" t="str">
        <f t="shared" si="136"/>
        <v/>
      </c>
      <c r="V234" s="108" t="b">
        <f t="shared" si="136"/>
        <v>1</v>
      </c>
      <c r="W234" s="108" t="str">
        <f t="shared" si="136"/>
        <v>Character/Prefabs/m_boss_ranger_marionne_1_abn</v>
      </c>
      <c r="X234" s="108" t="str">
        <f t="shared" si="136"/>
        <v/>
      </c>
      <c r="Y234" s="108" t="str">
        <f t="shared" si="136"/>
        <v/>
      </c>
      <c r="Z234" s="108" t="str">
        <f t="shared" si="136"/>
        <v/>
      </c>
      <c r="AA234" s="108" t="str">
        <f t="shared" si="136"/>
        <v/>
      </c>
      <c r="AB234" s="108" t="str">
        <f t="shared" si="136"/>
        <v>Die_machine</v>
      </c>
      <c r="AC234" s="111">
        <f t="shared" si="136"/>
        <v>0.9</v>
      </c>
      <c r="AD234" s="108" t="str">
        <f t="shared" si="136"/>
        <v/>
      </c>
      <c r="AE234" s="108" t="str">
        <f t="shared" si="136"/>
        <v/>
      </c>
      <c r="AF234" s="108" t="str">
        <f t="shared" si="136"/>
        <v/>
      </c>
      <c r="AG234" s="173" t="s">
        <v>2762</v>
      </c>
    </row>
    <row r="235" spans="1:33" x14ac:dyDescent="0.3">
      <c r="A235" s="41">
        <f t="shared" si="127"/>
        <v>1310501001</v>
      </c>
      <c r="B235" s="41" t="str">
        <f t="shared" ref="B235:AF235" si="137">IF(B124 &lt;&gt; "", B124, "")</f>
        <v>Raid1001</v>
      </c>
      <c r="C235" s="41" t="str">
        <f t="shared" si="137"/>
        <v>카라</v>
      </c>
      <c r="D235" s="41" t="str">
        <f t="shared" si="137"/>
        <v>Monster.Name.kara_1</v>
      </c>
      <c r="E235" s="41" t="str">
        <f t="shared" si="137"/>
        <v>Attacker</v>
      </c>
      <c r="F235" s="42" t="str">
        <f t="shared" si="137"/>
        <v>Fac_nul_ind</v>
      </c>
      <c r="G235" s="41" t="str">
        <f t="shared" si="137"/>
        <v>TRUE</v>
      </c>
      <c r="H235" s="41" t="b">
        <f t="shared" si="137"/>
        <v>1</v>
      </c>
      <c r="I235" s="41" t="b">
        <f t="shared" si="137"/>
        <v>1</v>
      </c>
      <c r="J235" s="41">
        <f t="shared" si="137"/>
        <v>20</v>
      </c>
      <c r="K235" s="41">
        <f t="shared" si="137"/>
        <v>10</v>
      </c>
      <c r="L235" s="41" t="str">
        <f t="shared" si="137"/>
        <v>Raid1001.kara_1.attack01</v>
      </c>
      <c r="M235" s="41" t="str">
        <f t="shared" si="137"/>
        <v>Raid1001.kara_1.attack02</v>
      </c>
      <c r="N235" s="41" t="str">
        <f t="shared" si="137"/>
        <v/>
      </c>
      <c r="O235" s="176" t="str">
        <f t="shared" si="137"/>
        <v>Raid1001.kara_1.skill01</v>
      </c>
      <c r="P235" s="43" t="str">
        <f t="shared" si="137"/>
        <v>Raid1001.kara_1.skill02</v>
      </c>
      <c r="Q235" s="43" t="str">
        <f t="shared" si="137"/>
        <v>Raid1001.kara_1.skill03</v>
      </c>
      <c r="R235" s="43" t="str">
        <f t="shared" si="137"/>
        <v>Raid1001.kara_1.skill04</v>
      </c>
      <c r="S235" s="43" t="str">
        <f t="shared" si="137"/>
        <v>Raid1001.kara_1.passive01</v>
      </c>
      <c r="T235" s="43" t="str">
        <f t="shared" si="137"/>
        <v/>
      </c>
      <c r="U235" s="43" t="str">
        <f t="shared" si="137"/>
        <v/>
      </c>
      <c r="V235" s="41" t="b">
        <f t="shared" si="137"/>
        <v>0</v>
      </c>
      <c r="W235" s="41" t="str">
        <f t="shared" si="137"/>
        <v>Character/Prefabs/m_boss_attacker_kara_1</v>
      </c>
      <c r="X235" s="41" t="str">
        <f t="shared" si="137"/>
        <v/>
      </c>
      <c r="Y235" s="41" t="str">
        <f t="shared" si="137"/>
        <v>m_boss_attacker_kara_1</v>
      </c>
      <c r="Z235" s="41" t="str">
        <f t="shared" si="137"/>
        <v/>
      </c>
      <c r="AA235" s="41" t="str">
        <f t="shared" si="137"/>
        <v/>
      </c>
      <c r="AB235" s="41" t="str">
        <f t="shared" si="137"/>
        <v/>
      </c>
      <c r="AC235" s="90">
        <f t="shared" si="137"/>
        <v>1.7</v>
      </c>
      <c r="AD235" s="41" t="str">
        <f t="shared" si="137"/>
        <v/>
      </c>
      <c r="AE235" s="41" t="str">
        <f t="shared" si="137"/>
        <v>Character/Timeline/02_MON/kara/appearance</v>
      </c>
      <c r="AF235" s="41" t="str">
        <f t="shared" si="137"/>
        <v>Character/Timeline/02_MON/kara/die</v>
      </c>
      <c r="AG235" s="173" t="s">
        <v>2762</v>
      </c>
    </row>
    <row r="236" spans="1:33" x14ac:dyDescent="0.3">
      <c r="A236" s="41">
        <f t="shared" si="127"/>
        <v>1310501002</v>
      </c>
      <c r="B236" s="41" t="str">
        <f t="shared" ref="B236:AF236" si="138">IF(B125 &lt;&gt; "", B125, "")</f>
        <v>Raid1001</v>
      </c>
      <c r="C236" s="41" t="str">
        <f t="shared" si="138"/>
        <v>카라베리</v>
      </c>
      <c r="D236" s="41" t="str">
        <f t="shared" si="138"/>
        <v>Monster.Name.kara_2</v>
      </c>
      <c r="E236" s="41" t="str">
        <f t="shared" si="138"/>
        <v>Attacker</v>
      </c>
      <c r="F236" s="42" t="str">
        <f t="shared" si="138"/>
        <v>Fac_nul_ind</v>
      </c>
      <c r="G236" s="41" t="str">
        <f t="shared" si="138"/>
        <v>TRUE</v>
      </c>
      <c r="H236" s="41" t="b">
        <f t="shared" si="138"/>
        <v>1</v>
      </c>
      <c r="I236" s="41" t="b">
        <f t="shared" si="138"/>
        <v>1</v>
      </c>
      <c r="J236" s="41">
        <f t="shared" si="138"/>
        <v>20</v>
      </c>
      <c r="K236" s="41">
        <f t="shared" si="138"/>
        <v>10</v>
      </c>
      <c r="L236" s="41" t="str">
        <f t="shared" si="138"/>
        <v>Raid1001.kara_2.attack01</v>
      </c>
      <c r="M236" s="41" t="str">
        <f t="shared" si="138"/>
        <v>Raid1001.kara_2.attack02</v>
      </c>
      <c r="N236" s="41" t="str">
        <f t="shared" si="138"/>
        <v/>
      </c>
      <c r="O236" s="176" t="str">
        <f t="shared" si="138"/>
        <v>Raid1001.kara_2.skill01</v>
      </c>
      <c r="P236" s="43" t="str">
        <f t="shared" si="138"/>
        <v>Raid1001.kara_2.skill02</v>
      </c>
      <c r="Q236" s="43" t="str">
        <f t="shared" si="138"/>
        <v>Raid1001.kara_2.skill03</v>
      </c>
      <c r="R236" s="43" t="str">
        <f t="shared" si="138"/>
        <v>Raid1001.kara_2.skill04</v>
      </c>
      <c r="S236" s="43" t="str">
        <f t="shared" si="138"/>
        <v>Raid1001.kara_2.passive01</v>
      </c>
      <c r="T236" s="43" t="str">
        <f t="shared" si="138"/>
        <v/>
      </c>
      <c r="U236" s="43" t="str">
        <f t="shared" si="138"/>
        <v/>
      </c>
      <c r="V236" s="41" t="b">
        <f t="shared" si="138"/>
        <v>0</v>
      </c>
      <c r="W236" s="41" t="str">
        <f t="shared" si="138"/>
        <v>Character/Prefabs/m_boss_attacker_kara_2</v>
      </c>
      <c r="X236" s="41" t="str">
        <f t="shared" si="138"/>
        <v/>
      </c>
      <c r="Y236" s="41" t="str">
        <f t="shared" si="138"/>
        <v>m_boss_attacker_kara_2</v>
      </c>
      <c r="Z236" s="41" t="str">
        <f t="shared" si="138"/>
        <v/>
      </c>
      <c r="AA236" s="41" t="str">
        <f t="shared" si="138"/>
        <v/>
      </c>
      <c r="AB236" s="41" t="str">
        <f t="shared" si="138"/>
        <v/>
      </c>
      <c r="AC236" s="90">
        <f t="shared" si="138"/>
        <v>1.7</v>
      </c>
      <c r="AD236" s="41" t="str">
        <f t="shared" si="138"/>
        <v/>
      </c>
      <c r="AE236" s="41" t="str">
        <f t="shared" si="138"/>
        <v>Character/Timeline/02_MON/kara/appearance_2</v>
      </c>
      <c r="AF236" s="41" t="str">
        <f t="shared" si="138"/>
        <v>Character/Timeline/02_MON/kara/die_2</v>
      </c>
      <c r="AG236" s="173" t="s">
        <v>2106</v>
      </c>
    </row>
    <row r="237" spans="1:33" x14ac:dyDescent="0.3">
      <c r="A237" s="41">
        <f t="shared" si="127"/>
        <v>1310502001</v>
      </c>
      <c r="B237" s="41" t="str">
        <f t="shared" ref="B237:AF237" si="139">IF(B126 &lt;&gt; "", B126, "")</f>
        <v>Raid2001</v>
      </c>
      <c r="C237" s="41" t="str">
        <f t="shared" si="139"/>
        <v>바나클빌더</v>
      </c>
      <c r="D237" s="41" t="str">
        <f t="shared" si="139"/>
        <v>Monster.Name.barnacle_builder_1</v>
      </c>
      <c r="E237" s="41" t="str">
        <f t="shared" si="139"/>
        <v>Tanker</v>
      </c>
      <c r="F237" s="42" t="str">
        <f t="shared" si="139"/>
        <v>Fac_nul_ind</v>
      </c>
      <c r="G237" s="41" t="str">
        <f t="shared" si="139"/>
        <v>TRUE</v>
      </c>
      <c r="H237" s="41" t="b">
        <f t="shared" si="139"/>
        <v>1</v>
      </c>
      <c r="I237" s="41" t="b">
        <f t="shared" si="139"/>
        <v>1</v>
      </c>
      <c r="J237" s="41">
        <f t="shared" si="139"/>
        <v>20</v>
      </c>
      <c r="K237" s="41">
        <f t="shared" si="139"/>
        <v>10</v>
      </c>
      <c r="L237" s="41" t="str">
        <f t="shared" si="139"/>
        <v>Raid2001.barnacle_builder_1.attack01</v>
      </c>
      <c r="M237" s="41" t="str">
        <f t="shared" si="139"/>
        <v>Raid2001.barnacle_builder_1.attack02</v>
      </c>
      <c r="N237" s="41" t="str">
        <f t="shared" si="139"/>
        <v/>
      </c>
      <c r="O237" s="176" t="str">
        <f t="shared" si="139"/>
        <v>Raid2001.barnacle_builder_1.skill01</v>
      </c>
      <c r="P237" s="43" t="str">
        <f t="shared" si="139"/>
        <v>Raid2001.barnacle_builder_1.skill02</v>
      </c>
      <c r="Q237" s="43" t="str">
        <f t="shared" si="139"/>
        <v>Raid2001.barnacle_builder_1.skill03</v>
      </c>
      <c r="R237" s="43" t="str">
        <f t="shared" si="139"/>
        <v>Raid2001.barnacle_builder_1.passive01</v>
      </c>
      <c r="S237" s="43" t="str">
        <f t="shared" si="139"/>
        <v>Boss.Common.Immun</v>
      </c>
      <c r="T237" s="43" t="str">
        <f t="shared" si="139"/>
        <v/>
      </c>
      <c r="U237" s="43" t="str">
        <f t="shared" si="139"/>
        <v/>
      </c>
      <c r="V237" s="41" t="b">
        <f t="shared" si="139"/>
        <v>0</v>
      </c>
      <c r="W237" s="41" t="str">
        <f t="shared" si="139"/>
        <v>Character/Prefabs/m_boss_tanker_barnacle_builder_1</v>
      </c>
      <c r="X237" s="41" t="str">
        <f t="shared" si="139"/>
        <v/>
      </c>
      <c r="Y237" s="41" t="str">
        <f t="shared" si="139"/>
        <v>m_boss_tanker_barnacle_builder_1</v>
      </c>
      <c r="Z237" s="41" t="str">
        <f t="shared" si="139"/>
        <v/>
      </c>
      <c r="AA237" s="41" t="str">
        <f t="shared" si="139"/>
        <v/>
      </c>
      <c r="AB237" s="41" t="str">
        <f t="shared" si="139"/>
        <v/>
      </c>
      <c r="AC237" s="90">
        <f t="shared" si="139"/>
        <v>1</v>
      </c>
      <c r="AD237" s="41" t="str">
        <f t="shared" si="139"/>
        <v/>
      </c>
      <c r="AE237" s="41" t="str">
        <f t="shared" si="139"/>
        <v>Character/Timeline/02_MON/barnacle_builder_1/appearance</v>
      </c>
      <c r="AF237" s="41" t="str">
        <f t="shared" si="139"/>
        <v>Character/Timeline/02_MON/barnacle_builder_1/die</v>
      </c>
      <c r="AG237" s="173" t="s">
        <v>2106</v>
      </c>
    </row>
    <row r="238" spans="1:33" x14ac:dyDescent="0.3">
      <c r="A238" s="41">
        <f t="shared" si="127"/>
        <v>1310503001</v>
      </c>
      <c r="B238" s="41" t="str">
        <f t="shared" ref="B238:AF238" si="140">IF(B127 &lt;&gt; "", B127, "")</f>
        <v>Raid3001</v>
      </c>
      <c r="C238" s="41" t="str">
        <f t="shared" si="140"/>
        <v>마인드로더</v>
      </c>
      <c r="D238" s="41" t="str">
        <f t="shared" si="140"/>
        <v>Monster.Name.mindloader_1</v>
      </c>
      <c r="E238" s="41" t="str">
        <f t="shared" si="140"/>
        <v>Attacker</v>
      </c>
      <c r="F238" s="42" t="str">
        <f t="shared" si="140"/>
        <v>Fac_nul_ind</v>
      </c>
      <c r="G238" s="41" t="str">
        <f t="shared" si="140"/>
        <v>TRUE</v>
      </c>
      <c r="H238" s="41" t="b">
        <f t="shared" si="140"/>
        <v>1</v>
      </c>
      <c r="I238" s="41" t="b">
        <f t="shared" si="140"/>
        <v>1</v>
      </c>
      <c r="J238" s="41">
        <f t="shared" si="140"/>
        <v>20</v>
      </c>
      <c r="K238" s="41">
        <f t="shared" si="140"/>
        <v>10</v>
      </c>
      <c r="L238" s="41" t="str">
        <f t="shared" si="140"/>
        <v>Raid3001.mindloader_1.attack01</v>
      </c>
      <c r="M238" s="41" t="str">
        <f t="shared" si="140"/>
        <v>Raid3001.mindloader_1.attack02</v>
      </c>
      <c r="N238" s="41" t="str">
        <f t="shared" si="140"/>
        <v/>
      </c>
      <c r="O238" s="176" t="str">
        <f t="shared" si="140"/>
        <v>Raid3001.mindloader_1.skill01</v>
      </c>
      <c r="P238" s="43" t="str">
        <f t="shared" si="140"/>
        <v>Raid3001.mindloader_1.skill02</v>
      </c>
      <c r="Q238" s="43" t="str">
        <f t="shared" si="140"/>
        <v>Raid3001.mindloader_1.skill03</v>
      </c>
      <c r="R238" s="43" t="str">
        <f t="shared" si="140"/>
        <v>Raid3001.mindloader_1.skill04</v>
      </c>
      <c r="S238" s="43" t="str">
        <f t="shared" si="140"/>
        <v>Raid3001.mindloader_1.passive01</v>
      </c>
      <c r="T238" s="43" t="str">
        <f t="shared" si="140"/>
        <v/>
      </c>
      <c r="U238" s="43" t="str">
        <f t="shared" si="140"/>
        <v/>
      </c>
      <c r="V238" s="41" t="b">
        <f t="shared" si="140"/>
        <v>0</v>
      </c>
      <c r="W238" s="41" t="str">
        <f t="shared" si="140"/>
        <v>Character/Prefabs/m_boss_attacker_mindloader_1</v>
      </c>
      <c r="X238" s="41" t="str">
        <f t="shared" si="140"/>
        <v/>
      </c>
      <c r="Y238" s="41" t="str">
        <f t="shared" si="140"/>
        <v>m_boss_attacker_mindloader_1</v>
      </c>
      <c r="Z238" s="41" t="str">
        <f t="shared" si="140"/>
        <v/>
      </c>
      <c r="AA238" s="41" t="str">
        <f t="shared" si="140"/>
        <v/>
      </c>
      <c r="AB238" s="41" t="str">
        <f t="shared" si="140"/>
        <v/>
      </c>
      <c r="AC238" s="90">
        <f t="shared" si="140"/>
        <v>1.5</v>
      </c>
      <c r="AD238" s="41" t="str">
        <f t="shared" si="140"/>
        <v/>
      </c>
      <c r="AE238" s="41" t="str">
        <f t="shared" si="140"/>
        <v>Character/Timeline/02_MON/mindloader/appearance</v>
      </c>
      <c r="AF238" s="41" t="str">
        <f t="shared" si="140"/>
        <v>Character/Timeline/02_MON/mindloader/die</v>
      </c>
      <c r="AG238" s="173" t="s">
        <v>2106</v>
      </c>
    </row>
    <row r="239" spans="1:33" x14ac:dyDescent="0.3">
      <c r="A239" s="41">
        <f t="shared" si="127"/>
        <v>1310504001</v>
      </c>
      <c r="B239" s="41" t="str">
        <f t="shared" ref="B239:AF239" si="141">IF(B128 &lt;&gt; "", B128, "")</f>
        <v>Raid4001</v>
      </c>
      <c r="C239" s="41" t="str">
        <f t="shared" si="141"/>
        <v>기간투스</v>
      </c>
      <c r="D239" s="41" t="str">
        <f t="shared" si="141"/>
        <v>Monster.Name.gigantooth_1</v>
      </c>
      <c r="E239" s="41" t="str">
        <f t="shared" si="141"/>
        <v>Attacker</v>
      </c>
      <c r="F239" s="42" t="str">
        <f t="shared" si="141"/>
        <v>Fac_nul_ind</v>
      </c>
      <c r="G239" s="41" t="str">
        <f t="shared" si="141"/>
        <v>TRUE</v>
      </c>
      <c r="H239" s="41" t="b">
        <f t="shared" si="141"/>
        <v>1</v>
      </c>
      <c r="I239" s="41" t="b">
        <f t="shared" si="141"/>
        <v>1</v>
      </c>
      <c r="J239" s="41">
        <f t="shared" si="141"/>
        <v>20</v>
      </c>
      <c r="K239" s="41">
        <f t="shared" si="141"/>
        <v>10</v>
      </c>
      <c r="L239" s="41" t="str">
        <f t="shared" si="141"/>
        <v>Raid4001.gigantooth_1.attack01</v>
      </c>
      <c r="M239" s="41" t="str">
        <f t="shared" si="141"/>
        <v>Raid4001.gigantooth_1.attack02</v>
      </c>
      <c r="N239" s="41" t="str">
        <f t="shared" si="141"/>
        <v/>
      </c>
      <c r="O239" s="176" t="str">
        <f t="shared" si="141"/>
        <v>Raid4001.gigantooth_1.skill01</v>
      </c>
      <c r="P239" s="43" t="str">
        <f t="shared" si="141"/>
        <v>Raid4001.gigantooth_1.skill02</v>
      </c>
      <c r="Q239" s="43" t="str">
        <f t="shared" si="141"/>
        <v>Raid4001.gigantooth_1.skill03</v>
      </c>
      <c r="R239" s="43" t="str">
        <f t="shared" si="141"/>
        <v>Raid4001.gigantooth_1.skill04</v>
      </c>
      <c r="S239" s="43" t="str">
        <f t="shared" si="141"/>
        <v>Raid4001.gigantooth_1.passive01</v>
      </c>
      <c r="T239" s="43" t="str">
        <f t="shared" si="141"/>
        <v/>
      </c>
      <c r="U239" s="43" t="str">
        <f t="shared" si="141"/>
        <v/>
      </c>
      <c r="V239" s="41" t="b">
        <f t="shared" si="141"/>
        <v>0</v>
      </c>
      <c r="W239" s="41" t="str">
        <f t="shared" si="141"/>
        <v>Character/Prefabs/m_boss_attacker_gigantooth_1</v>
      </c>
      <c r="X239" s="41" t="str">
        <f t="shared" si="141"/>
        <v/>
      </c>
      <c r="Y239" s="41" t="str">
        <f t="shared" si="141"/>
        <v>m_boss_attacker_gigantooth_1</v>
      </c>
      <c r="Z239" s="41" t="str">
        <f t="shared" si="141"/>
        <v/>
      </c>
      <c r="AA239" s="41" t="str">
        <f t="shared" si="141"/>
        <v/>
      </c>
      <c r="AB239" s="41" t="str">
        <f t="shared" si="141"/>
        <v/>
      </c>
      <c r="AC239" s="90">
        <f t="shared" si="141"/>
        <v>0.9</v>
      </c>
      <c r="AD239" s="41" t="str">
        <f t="shared" si="141"/>
        <v/>
      </c>
      <c r="AE239" s="41" t="str">
        <f t="shared" si="141"/>
        <v>Character/Timeline/02_MON/boss2/appearance_1</v>
      </c>
      <c r="AF239" s="41" t="str">
        <f t="shared" si="141"/>
        <v>Character/Timeline/02_MON/boss2/die_1</v>
      </c>
      <c r="AG239" s="173" t="s">
        <v>2106</v>
      </c>
    </row>
    <row r="240" spans="1:33" x14ac:dyDescent="0.3">
      <c r="A240" s="41">
        <f t="shared" si="127"/>
        <v>1310504002</v>
      </c>
      <c r="B240" s="41" t="str">
        <f t="shared" ref="B240:AF240" si="142">IF(B129 &lt;&gt; "", B129, "")</f>
        <v>Raid4001</v>
      </c>
      <c r="C240" s="41" t="str">
        <f t="shared" si="142"/>
        <v>기간투스베리</v>
      </c>
      <c r="D240" s="41" t="str">
        <f t="shared" si="142"/>
        <v>Monster.Name.gigantooth_2</v>
      </c>
      <c r="E240" s="41" t="str">
        <f t="shared" si="142"/>
        <v>Attacker</v>
      </c>
      <c r="F240" s="42" t="str">
        <f t="shared" si="142"/>
        <v>Fac_nul_ind</v>
      </c>
      <c r="G240" s="41" t="str">
        <f t="shared" si="142"/>
        <v>TRUE</v>
      </c>
      <c r="H240" s="41" t="b">
        <f t="shared" si="142"/>
        <v>1</v>
      </c>
      <c r="I240" s="41" t="b">
        <f t="shared" si="142"/>
        <v>1</v>
      </c>
      <c r="J240" s="41">
        <f t="shared" si="142"/>
        <v>20</v>
      </c>
      <c r="K240" s="41">
        <f t="shared" si="142"/>
        <v>10</v>
      </c>
      <c r="L240" s="41" t="str">
        <f t="shared" si="142"/>
        <v>Raid4001.gigantooth_2.attack01</v>
      </c>
      <c r="M240" s="41" t="str">
        <f t="shared" si="142"/>
        <v>Raid4001.gigantooth_2.attack02</v>
      </c>
      <c r="N240" s="41" t="str">
        <f t="shared" si="142"/>
        <v/>
      </c>
      <c r="O240" s="176" t="str">
        <f t="shared" si="142"/>
        <v>Raid4001.gigantooth_2.skill01</v>
      </c>
      <c r="P240" s="43" t="str">
        <f t="shared" si="142"/>
        <v>Raid4001.gigantooth_2.skill02</v>
      </c>
      <c r="Q240" s="43" t="str">
        <f t="shared" si="142"/>
        <v>Raid4001.gigantooth_2.skill03</v>
      </c>
      <c r="R240" s="43" t="str">
        <f t="shared" si="142"/>
        <v>Raid4001.gigantooth_2.skill04</v>
      </c>
      <c r="S240" s="43" t="str">
        <f t="shared" si="142"/>
        <v>Raid4001.gigantooth_2.passive01</v>
      </c>
      <c r="T240" s="43" t="str">
        <f t="shared" si="142"/>
        <v/>
      </c>
      <c r="U240" s="43" t="str">
        <f t="shared" si="142"/>
        <v/>
      </c>
      <c r="V240" s="41" t="b">
        <f t="shared" si="142"/>
        <v>0</v>
      </c>
      <c r="W240" s="41" t="str">
        <f t="shared" si="142"/>
        <v>Character/Prefabs/m_boss_attacker_gigantooth_2</v>
      </c>
      <c r="X240" s="41" t="str">
        <f t="shared" si="142"/>
        <v/>
      </c>
      <c r="Y240" s="41" t="str">
        <f t="shared" si="142"/>
        <v>m_boss_attacker_gigantooth_2</v>
      </c>
      <c r="Z240" s="41" t="str">
        <f t="shared" si="142"/>
        <v/>
      </c>
      <c r="AA240" s="41" t="str">
        <f t="shared" si="142"/>
        <v/>
      </c>
      <c r="AB240" s="41" t="str">
        <f t="shared" si="142"/>
        <v/>
      </c>
      <c r="AC240" s="90">
        <f t="shared" si="142"/>
        <v>0.9</v>
      </c>
      <c r="AD240" s="41" t="str">
        <f t="shared" si="142"/>
        <v/>
      </c>
      <c r="AE240" s="41" t="str">
        <f t="shared" si="142"/>
        <v>Character/Timeline/02_MON/boss2/appearance_2</v>
      </c>
      <c r="AF240" s="41" t="str">
        <f t="shared" si="142"/>
        <v>Character/Timeline/02_MON/boss2/die_2</v>
      </c>
      <c r="AG240" s="173" t="s">
        <v>2106</v>
      </c>
    </row>
    <row r="241" spans="1:33" x14ac:dyDescent="0.3">
      <c r="A241" s="12">
        <f t="shared" si="127"/>
        <v>1311101001</v>
      </c>
      <c r="B241" s="12" t="str">
        <f t="shared" ref="B241:AF241" si="143">IF(B130 &lt;&gt; "", B130, "")</f>
        <v>GuildRaid1001</v>
      </c>
      <c r="C241" s="12" t="str">
        <f t="shared" si="143"/>
        <v>freyja</v>
      </c>
      <c r="D241" s="76" t="str">
        <f t="shared" si="143"/>
        <v>Name.Character.freyja</v>
      </c>
      <c r="E241" s="12" t="str">
        <f t="shared" si="143"/>
        <v>Ranger</v>
      </c>
      <c r="F241" s="39" t="str">
        <f t="shared" si="143"/>
        <v>Fac_sti_ast</v>
      </c>
      <c r="G241" s="12" t="str">
        <f t="shared" si="143"/>
        <v>TRUE</v>
      </c>
      <c r="H241" s="12" t="b">
        <f t="shared" si="143"/>
        <v>1</v>
      </c>
      <c r="I241" s="12" t="b">
        <f t="shared" si="143"/>
        <v>1</v>
      </c>
      <c r="J241" s="12">
        <f t="shared" si="143"/>
        <v>10</v>
      </c>
      <c r="K241" s="12">
        <f t="shared" si="143"/>
        <v>10</v>
      </c>
      <c r="L241" s="12" t="str">
        <f t="shared" si="143"/>
        <v>freyja.attack1</v>
      </c>
      <c r="M241" s="12" t="str">
        <f t="shared" si="143"/>
        <v>freyja.attack2</v>
      </c>
      <c r="N241" s="12" t="str">
        <f t="shared" si="143"/>
        <v>freyja.attack3</v>
      </c>
      <c r="O241" s="145" t="str">
        <f t="shared" si="143"/>
        <v>freyja.active1</v>
      </c>
      <c r="P241" s="40" t="str">
        <f t="shared" si="143"/>
        <v>freyja.active2</v>
      </c>
      <c r="Q241" s="40" t="str">
        <f t="shared" si="143"/>
        <v>freyja.passive</v>
      </c>
      <c r="R241" s="40" t="str">
        <f t="shared" si="143"/>
        <v/>
      </c>
      <c r="S241" s="40" t="str">
        <f t="shared" si="143"/>
        <v>Boss.Common.Immun</v>
      </c>
      <c r="T241" s="40" t="str">
        <f t="shared" si="143"/>
        <v>freyja.ult</v>
      </c>
      <c r="U241" s="40" t="str">
        <f t="shared" si="143"/>
        <v>freyja.ult</v>
      </c>
      <c r="V241" s="12" t="b">
        <f t="shared" si="143"/>
        <v>1</v>
      </c>
      <c r="W241" s="12" t="str">
        <f t="shared" si="143"/>
        <v>Character/Prefabs/c_ranger_freyja_1</v>
      </c>
      <c r="X241" s="12" t="str">
        <f t="shared" si="143"/>
        <v/>
      </c>
      <c r="Y241" s="12" t="str">
        <f t="shared" si="143"/>
        <v>character_freyja_01</v>
      </c>
      <c r="Z241" s="12" t="str">
        <f t="shared" si="143"/>
        <v>Character/Timeline/01_CHA/ult_c_ranger_freyja_1</v>
      </c>
      <c r="AA241" s="12" t="str">
        <f t="shared" si="143"/>
        <v>Character/Timeline/01_CHA/victory_c_ranger_freyja_1</v>
      </c>
      <c r="AB241" s="12" t="str">
        <f t="shared" si="143"/>
        <v/>
      </c>
      <c r="AC241" s="88">
        <f t="shared" si="143"/>
        <v>1.4</v>
      </c>
      <c r="AD241" s="12" t="str">
        <f t="shared" si="143"/>
        <v/>
      </c>
      <c r="AE241" s="12" t="str">
        <f t="shared" si="143"/>
        <v/>
      </c>
      <c r="AF241" s="12" t="str">
        <f t="shared" si="143"/>
        <v/>
      </c>
      <c r="AG241" s="173" t="s">
        <v>2762</v>
      </c>
    </row>
    <row r="242" spans="1:33" x14ac:dyDescent="0.3">
      <c r="A242" s="12">
        <f t="shared" si="127"/>
        <v>1311101002</v>
      </c>
      <c r="B242" s="12" t="str">
        <f t="shared" ref="B242:AF242" si="144">IF(B131 &lt;&gt; "", B131, "")</f>
        <v>GuildRaid1002</v>
      </c>
      <c r="C242" s="12" t="str">
        <f t="shared" si="144"/>
        <v>mana</v>
      </c>
      <c r="D242" s="76" t="str">
        <f t="shared" si="144"/>
        <v>Name.Character.mana</v>
      </c>
      <c r="E242" s="12" t="str">
        <f t="shared" si="144"/>
        <v>Ranger</v>
      </c>
      <c r="F242" s="39" t="str">
        <f t="shared" si="144"/>
        <v>Fac_rim_aki</v>
      </c>
      <c r="G242" s="12" t="str">
        <f t="shared" si="144"/>
        <v>TRUE</v>
      </c>
      <c r="H242" s="12" t="b">
        <f t="shared" si="144"/>
        <v>1</v>
      </c>
      <c r="I242" s="12" t="b">
        <f t="shared" si="144"/>
        <v>1</v>
      </c>
      <c r="J242" s="12">
        <f t="shared" si="144"/>
        <v>10</v>
      </c>
      <c r="K242" s="12">
        <f t="shared" si="144"/>
        <v>10</v>
      </c>
      <c r="L242" s="12" t="str">
        <f t="shared" si="144"/>
        <v>mana.attack1</v>
      </c>
      <c r="M242" s="12" t="str">
        <f t="shared" si="144"/>
        <v>mana.attack2</v>
      </c>
      <c r="N242" s="12" t="str">
        <f t="shared" si="144"/>
        <v>mana.attack3</v>
      </c>
      <c r="O242" s="145" t="str">
        <f t="shared" si="144"/>
        <v>mana.active1</v>
      </c>
      <c r="P242" s="40" t="str">
        <f t="shared" si="144"/>
        <v>mana.active2</v>
      </c>
      <c r="Q242" s="40" t="str">
        <f t="shared" si="144"/>
        <v>mana.passive</v>
      </c>
      <c r="R242" s="40" t="str">
        <f t="shared" si="144"/>
        <v/>
      </c>
      <c r="S242" s="40" t="str">
        <f t="shared" si="144"/>
        <v>Boss.Common.Immun</v>
      </c>
      <c r="T242" s="40" t="str">
        <f t="shared" si="144"/>
        <v>mana.ult</v>
      </c>
      <c r="U242" s="40" t="str">
        <f t="shared" si="144"/>
        <v>mana.ult</v>
      </c>
      <c r="V242" s="12" t="b">
        <f t="shared" si="144"/>
        <v>1</v>
      </c>
      <c r="W242" s="12" t="str">
        <f t="shared" si="144"/>
        <v>Character/Prefabs/c_ranger_mana_1</v>
      </c>
      <c r="X242" s="12" t="str">
        <f t="shared" si="144"/>
        <v/>
      </c>
      <c r="Y242" s="12" t="str">
        <f t="shared" si="144"/>
        <v>character_mana_01</v>
      </c>
      <c r="Z242" s="12" t="str">
        <f t="shared" si="144"/>
        <v>Character/Timeline/01_CHA/ult_c_ranger_mana_1</v>
      </c>
      <c r="AA242" s="12" t="str">
        <f t="shared" si="144"/>
        <v>Character/Timeline/01_CHA/victory_c_ranger_mana_1</v>
      </c>
      <c r="AB242" s="12" t="str">
        <f t="shared" si="144"/>
        <v/>
      </c>
      <c r="AC242" s="88">
        <f t="shared" si="144"/>
        <v>1.4</v>
      </c>
      <c r="AD242" s="12" t="str">
        <f t="shared" si="144"/>
        <v/>
      </c>
      <c r="AE242" s="12" t="str">
        <f t="shared" si="144"/>
        <v/>
      </c>
      <c r="AF242" s="12" t="str">
        <f t="shared" si="144"/>
        <v/>
      </c>
      <c r="AG242" s="173" t="s">
        <v>2762</v>
      </c>
    </row>
    <row r="243" spans="1:33" x14ac:dyDescent="0.3">
      <c r="A243" s="12">
        <f t="shared" si="127"/>
        <v>1311101003</v>
      </c>
      <c r="B243" s="12" t="str">
        <f t="shared" ref="B243:AF243" si="145">IF(B132 &lt;&gt; "", B132, "")</f>
        <v>GuildRaid1003</v>
      </c>
      <c r="C243" s="12" t="str">
        <f t="shared" si="145"/>
        <v>balencia</v>
      </c>
      <c r="D243" s="76" t="str">
        <f t="shared" si="145"/>
        <v>Name.Character.balencia</v>
      </c>
      <c r="E243" s="12" t="str">
        <f t="shared" si="145"/>
        <v>Attacker</v>
      </c>
      <c r="F243" s="39" t="str">
        <f t="shared" si="145"/>
        <v>Fac_sti_ars</v>
      </c>
      <c r="G243" s="12" t="str">
        <f t="shared" si="145"/>
        <v>TRUE</v>
      </c>
      <c r="H243" s="12" t="b">
        <f t="shared" si="145"/>
        <v>1</v>
      </c>
      <c r="I243" s="12" t="b">
        <f t="shared" si="145"/>
        <v>1</v>
      </c>
      <c r="J243" s="12">
        <f t="shared" si="145"/>
        <v>10</v>
      </c>
      <c r="K243" s="12">
        <f t="shared" si="145"/>
        <v>10</v>
      </c>
      <c r="L243" s="12" t="str">
        <f t="shared" si="145"/>
        <v>balencia.attack1</v>
      </c>
      <c r="M243" s="12" t="str">
        <f t="shared" si="145"/>
        <v>balencia.attack2</v>
      </c>
      <c r="N243" s="12" t="str">
        <f t="shared" si="145"/>
        <v>balencia.attack3</v>
      </c>
      <c r="O243" s="145" t="str">
        <f t="shared" si="145"/>
        <v>balencia.active1</v>
      </c>
      <c r="P243" s="40" t="str">
        <f t="shared" si="145"/>
        <v>balencia.active2</v>
      </c>
      <c r="Q243" s="40" t="str">
        <f t="shared" si="145"/>
        <v>balencia.passive</v>
      </c>
      <c r="R243" s="40" t="str">
        <f t="shared" si="145"/>
        <v/>
      </c>
      <c r="S243" s="40" t="str">
        <f t="shared" si="145"/>
        <v>Boss.Common.Immun</v>
      </c>
      <c r="T243" s="40" t="str">
        <f t="shared" si="145"/>
        <v>balencia.ult</v>
      </c>
      <c r="U243" s="40" t="str">
        <f t="shared" si="145"/>
        <v>balencia.ult</v>
      </c>
      <c r="V243" s="12" t="b">
        <f t="shared" si="145"/>
        <v>1</v>
      </c>
      <c r="W243" s="12" t="str">
        <f t="shared" si="145"/>
        <v>Character/Prefabs/c_attacker_balencia_1</v>
      </c>
      <c r="X243" s="12" t="str">
        <f t="shared" si="145"/>
        <v/>
      </c>
      <c r="Y243" s="12" t="str">
        <f t="shared" si="145"/>
        <v>character_balencia_01</v>
      </c>
      <c r="Z243" s="12" t="str">
        <f t="shared" si="145"/>
        <v>Character/Timeline/01_CHA/ult_c_attacker_balencia_1</v>
      </c>
      <c r="AA243" s="12" t="str">
        <f t="shared" si="145"/>
        <v>Character/Timeline/01_CHA/victory_c_attacker_balencia_1</v>
      </c>
      <c r="AB243" s="12" t="str">
        <f t="shared" si="145"/>
        <v/>
      </c>
      <c r="AC243" s="88">
        <f t="shared" si="145"/>
        <v>1.4</v>
      </c>
      <c r="AD243" s="12" t="str">
        <f t="shared" si="145"/>
        <v/>
      </c>
      <c r="AE243" s="12" t="str">
        <f t="shared" si="145"/>
        <v/>
      </c>
      <c r="AF243" s="12" t="str">
        <f t="shared" si="145"/>
        <v/>
      </c>
      <c r="AG243" s="173" t="s">
        <v>2762</v>
      </c>
    </row>
    <row r="244" spans="1:33" x14ac:dyDescent="0.3">
      <c r="A244" s="81">
        <f t="shared" si="127"/>
        <v>1311301001</v>
      </c>
      <c r="B244" s="81" t="str">
        <f t="shared" ref="B244:AF244" si="146">IF(B133 &lt;&gt; "", B133, "")</f>
        <v>BossChallenge</v>
      </c>
      <c r="C244" s="81" t="str">
        <f t="shared" si="146"/>
        <v>갤리어스</v>
      </c>
      <c r="D244" s="81" t="str">
        <f t="shared" si="146"/>
        <v>Monster.Name.gallius_1</v>
      </c>
      <c r="E244" s="81" t="str">
        <f t="shared" si="146"/>
        <v>Tanker</v>
      </c>
      <c r="F244" s="82" t="str">
        <f t="shared" si="146"/>
        <v>Fac_nul_ind</v>
      </c>
      <c r="G244" s="81" t="str">
        <f t="shared" si="146"/>
        <v>TRUE</v>
      </c>
      <c r="H244" s="81" t="b">
        <f t="shared" si="146"/>
        <v>1</v>
      </c>
      <c r="I244" s="81" t="b">
        <f t="shared" si="146"/>
        <v>1</v>
      </c>
      <c r="J244" s="81">
        <f t="shared" si="146"/>
        <v>10</v>
      </c>
      <c r="K244" s="81">
        <f t="shared" si="146"/>
        <v>10</v>
      </c>
      <c r="L244" s="81" t="str">
        <f t="shared" si="146"/>
        <v>BossChallenge.gallius_1.attack01</v>
      </c>
      <c r="M244" s="81" t="str">
        <f t="shared" si="146"/>
        <v/>
      </c>
      <c r="N244" s="81" t="str">
        <f t="shared" si="146"/>
        <v/>
      </c>
      <c r="O244" s="177" t="str">
        <f t="shared" si="146"/>
        <v>BossChallenge.gallius_1.skill01</v>
      </c>
      <c r="P244" s="83" t="str">
        <f t="shared" si="146"/>
        <v>BossChallenge.gallius_1.skill02</v>
      </c>
      <c r="Q244" s="83" t="str">
        <f t="shared" si="146"/>
        <v>BossChallenge.gallius_1.passive01</v>
      </c>
      <c r="R244" s="83" t="str">
        <f t="shared" si="146"/>
        <v/>
      </c>
      <c r="S244" s="83" t="str">
        <f t="shared" si="146"/>
        <v>Boss.Common.Immun</v>
      </c>
      <c r="T244" s="83" t="str">
        <f t="shared" si="146"/>
        <v/>
      </c>
      <c r="U244" s="83" t="str">
        <f t="shared" si="146"/>
        <v/>
      </c>
      <c r="V244" s="81" t="b">
        <f t="shared" si="146"/>
        <v>0</v>
      </c>
      <c r="W244" s="81" t="str">
        <f t="shared" si="146"/>
        <v>Character/Prefabs/m_boss_tanker_gallius_1</v>
      </c>
      <c r="X244" s="81" t="str">
        <f t="shared" si="146"/>
        <v/>
      </c>
      <c r="Y244" s="81" t="str">
        <f t="shared" si="146"/>
        <v>m_boss_tanker_gallius_1</v>
      </c>
      <c r="Z244" s="81" t="str">
        <f t="shared" si="146"/>
        <v/>
      </c>
      <c r="AA244" s="81" t="str">
        <f t="shared" si="146"/>
        <v/>
      </c>
      <c r="AB244" s="81" t="str">
        <f t="shared" si="146"/>
        <v/>
      </c>
      <c r="AC244" s="96">
        <f t="shared" si="146"/>
        <v>1.3</v>
      </c>
      <c r="AD244" s="81" t="str">
        <f t="shared" si="146"/>
        <v/>
      </c>
      <c r="AE244" s="81" t="str">
        <f t="shared" si="146"/>
        <v>Character/Timeline/02_MON/trooper_boss/appearance</v>
      </c>
      <c r="AF244" s="81" t="str">
        <f t="shared" si="146"/>
        <v>Character/Timeline/02_MON/trooper_boss/die</v>
      </c>
      <c r="AG244" s="173" t="s">
        <v>2762</v>
      </c>
    </row>
    <row r="245" spans="1:33" x14ac:dyDescent="0.3">
      <c r="A245" s="81">
        <f t="shared" si="127"/>
        <v>1311301002</v>
      </c>
      <c r="B245" s="81" t="str">
        <f t="shared" ref="B245:AF245" si="147">IF(B134 &lt;&gt; "", B134, "")</f>
        <v>BossChallenge</v>
      </c>
      <c r="C245" s="81" t="str">
        <f t="shared" si="147"/>
        <v>강화갤리어스</v>
      </c>
      <c r="D245" s="81" t="str">
        <f t="shared" si="147"/>
        <v>Monster.Name.gallius_2</v>
      </c>
      <c r="E245" s="81" t="str">
        <f t="shared" si="147"/>
        <v>Tanker</v>
      </c>
      <c r="F245" s="82" t="str">
        <f t="shared" si="147"/>
        <v>Fac_nul_ind</v>
      </c>
      <c r="G245" s="81" t="str">
        <f t="shared" si="147"/>
        <v>TRUE</v>
      </c>
      <c r="H245" s="81" t="b">
        <f t="shared" si="147"/>
        <v>1</v>
      </c>
      <c r="I245" s="81" t="b">
        <f t="shared" si="147"/>
        <v>1</v>
      </c>
      <c r="J245" s="81">
        <f t="shared" si="147"/>
        <v>10</v>
      </c>
      <c r="K245" s="81">
        <f t="shared" si="147"/>
        <v>10</v>
      </c>
      <c r="L245" s="81" t="str">
        <f t="shared" si="147"/>
        <v>BossChallenge.gallius_2.attack01</v>
      </c>
      <c r="M245" s="81" t="str">
        <f t="shared" si="147"/>
        <v/>
      </c>
      <c r="N245" s="81" t="str">
        <f t="shared" si="147"/>
        <v/>
      </c>
      <c r="O245" s="177" t="str">
        <f t="shared" si="147"/>
        <v>BossChallenge.gallius_2.skill01</v>
      </c>
      <c r="P245" s="83" t="str">
        <f t="shared" si="147"/>
        <v>BossChallenge.gallius_2.skill02</v>
      </c>
      <c r="Q245" s="83" t="str">
        <f t="shared" si="147"/>
        <v>BossChallenge.gallius_2.skill03</v>
      </c>
      <c r="R245" s="83" t="str">
        <f t="shared" si="147"/>
        <v>BossChallenge.gallius_2.passive01</v>
      </c>
      <c r="S245" s="83" t="str">
        <f t="shared" si="147"/>
        <v>Boss.Common.Immun</v>
      </c>
      <c r="T245" s="83" t="str">
        <f t="shared" si="147"/>
        <v/>
      </c>
      <c r="U245" s="83" t="str">
        <f t="shared" si="147"/>
        <v/>
      </c>
      <c r="V245" s="81" t="b">
        <f t="shared" si="147"/>
        <v>0</v>
      </c>
      <c r="W245" s="81" t="str">
        <f t="shared" si="147"/>
        <v>Character/Prefabs/m_boss_tanker_gallius_2</v>
      </c>
      <c r="X245" s="81" t="str">
        <f t="shared" si="147"/>
        <v/>
      </c>
      <c r="Y245" s="81" t="str">
        <f t="shared" si="147"/>
        <v>m_boss_tanker_gallius_2</v>
      </c>
      <c r="Z245" s="81" t="str">
        <f t="shared" si="147"/>
        <v/>
      </c>
      <c r="AA245" s="81" t="str">
        <f t="shared" si="147"/>
        <v/>
      </c>
      <c r="AB245" s="81" t="str">
        <f t="shared" si="147"/>
        <v/>
      </c>
      <c r="AC245" s="96">
        <f t="shared" si="147"/>
        <v>1.3</v>
      </c>
      <c r="AD245" s="81" t="str">
        <f t="shared" si="147"/>
        <v/>
      </c>
      <c r="AE245" s="81" t="str">
        <f t="shared" si="147"/>
        <v>Character/Timeline/02_MON/gallius_2/trooper_boss_appearance_2</v>
      </c>
      <c r="AF245" s="81" t="str">
        <f t="shared" si="147"/>
        <v>Character/Timeline/02_MON/gallius_2/trooper_boss_die_2</v>
      </c>
      <c r="AG245" s="173" t="s">
        <v>2762</v>
      </c>
    </row>
    <row r="246" spans="1:33" x14ac:dyDescent="0.3">
      <c r="A246" s="81">
        <f t="shared" si="127"/>
        <v>1311301011</v>
      </c>
      <c r="B246" s="81" t="str">
        <f t="shared" ref="B246:AF246" si="148">IF(B135 &lt;&gt; "", B135, "")</f>
        <v>BossChallenge</v>
      </c>
      <c r="C246" s="81" t="str">
        <f t="shared" si="148"/>
        <v>카산드라</v>
      </c>
      <c r="D246" s="81" t="str">
        <f t="shared" si="148"/>
        <v>Monster.Name.cassandra_1</v>
      </c>
      <c r="E246" s="81" t="str">
        <f t="shared" si="148"/>
        <v>Ranger</v>
      </c>
      <c r="F246" s="82" t="str">
        <f t="shared" si="148"/>
        <v>Fac_nul_ind</v>
      </c>
      <c r="G246" s="81" t="str">
        <f t="shared" si="148"/>
        <v>TRUE</v>
      </c>
      <c r="H246" s="81" t="b">
        <f t="shared" si="148"/>
        <v>1</v>
      </c>
      <c r="I246" s="81" t="b">
        <f t="shared" si="148"/>
        <v>1</v>
      </c>
      <c r="J246" s="81">
        <f t="shared" si="148"/>
        <v>20</v>
      </c>
      <c r="K246" s="81">
        <f t="shared" si="148"/>
        <v>10</v>
      </c>
      <c r="L246" s="81" t="str">
        <f t="shared" si="148"/>
        <v>BossChallenge.cassandra_1.attack01</v>
      </c>
      <c r="M246" s="81" t="str">
        <f t="shared" si="148"/>
        <v/>
      </c>
      <c r="N246" s="81" t="str">
        <f t="shared" si="148"/>
        <v/>
      </c>
      <c r="O246" s="177" t="str">
        <f t="shared" si="148"/>
        <v>BossChallenge.cassandra_1.skill01</v>
      </c>
      <c r="P246" s="83" t="str">
        <f t="shared" si="148"/>
        <v>BossChallenge.cassandra_1.skill02</v>
      </c>
      <c r="Q246" s="83" t="str">
        <f t="shared" si="148"/>
        <v>BossChallenge.cassandra_1.passive01</v>
      </c>
      <c r="R246" s="83" t="str">
        <f t="shared" si="148"/>
        <v/>
      </c>
      <c r="S246" s="83" t="str">
        <f t="shared" si="148"/>
        <v>Boss.Common.Immun</v>
      </c>
      <c r="T246" s="83" t="str">
        <f t="shared" si="148"/>
        <v/>
      </c>
      <c r="U246" s="83" t="str">
        <f t="shared" si="148"/>
        <v/>
      </c>
      <c r="V246" s="81" t="b">
        <f t="shared" si="148"/>
        <v>0</v>
      </c>
      <c r="W246" s="81" t="str">
        <f t="shared" si="148"/>
        <v>Character/Prefabs/m_boss_ranger_cassandra_1</v>
      </c>
      <c r="X246" s="81" t="str">
        <f t="shared" si="148"/>
        <v/>
      </c>
      <c r="Y246" s="81" t="str">
        <f t="shared" si="148"/>
        <v>m_boss_ranger_cassandra_1</v>
      </c>
      <c r="Z246" s="81" t="str">
        <f t="shared" si="148"/>
        <v/>
      </c>
      <c r="AA246" s="81" t="str">
        <f t="shared" si="148"/>
        <v/>
      </c>
      <c r="AB246" s="81" t="str">
        <f t="shared" si="148"/>
        <v/>
      </c>
      <c r="AC246" s="96">
        <f t="shared" si="148"/>
        <v>0.9</v>
      </c>
      <c r="AD246" s="81" t="str">
        <f t="shared" si="148"/>
        <v/>
      </c>
      <c r="AE246" s="81" t="str">
        <f t="shared" si="148"/>
        <v>Character/Timeline/02_MON/cassandra/appearance</v>
      </c>
      <c r="AF246" s="81" t="str">
        <f t="shared" si="148"/>
        <v>Character/Timeline/02_MON/cassandra/die</v>
      </c>
      <c r="AG246" s="173" t="s">
        <v>2762</v>
      </c>
    </row>
    <row r="247" spans="1:33" x14ac:dyDescent="0.3">
      <c r="A247" s="81">
        <f t="shared" si="127"/>
        <v>1311301012</v>
      </c>
      <c r="B247" s="81" t="str">
        <f t="shared" ref="B247:AF247" si="149">IF(B136 &lt;&gt; "", B136, "")</f>
        <v>BossChallenge</v>
      </c>
      <c r="C247" s="81" t="str">
        <f t="shared" si="149"/>
        <v>강화카산드라</v>
      </c>
      <c r="D247" s="81" t="str">
        <f t="shared" si="149"/>
        <v>Monster.Name.cassandra_2</v>
      </c>
      <c r="E247" s="81" t="str">
        <f t="shared" si="149"/>
        <v>Ranger</v>
      </c>
      <c r="F247" s="82" t="str">
        <f t="shared" si="149"/>
        <v>Fac_nul_ind</v>
      </c>
      <c r="G247" s="81" t="str">
        <f t="shared" si="149"/>
        <v>TRUE</v>
      </c>
      <c r="H247" s="81" t="b">
        <f t="shared" si="149"/>
        <v>1</v>
      </c>
      <c r="I247" s="81" t="b">
        <f t="shared" si="149"/>
        <v>1</v>
      </c>
      <c r="J247" s="81">
        <f t="shared" si="149"/>
        <v>20</v>
      </c>
      <c r="K247" s="81">
        <f t="shared" si="149"/>
        <v>10</v>
      </c>
      <c r="L247" s="81" t="str">
        <f t="shared" si="149"/>
        <v>BossChallenge.cassandra_2.attack01</v>
      </c>
      <c r="M247" s="81" t="str">
        <f t="shared" si="149"/>
        <v/>
      </c>
      <c r="N247" s="81" t="str">
        <f t="shared" si="149"/>
        <v/>
      </c>
      <c r="O247" s="177" t="str">
        <f t="shared" si="149"/>
        <v>BossChallenge.cassandra_2.skill01</v>
      </c>
      <c r="P247" s="83" t="str">
        <f t="shared" si="149"/>
        <v>BossChallenge.cassandra_2.skill02</v>
      </c>
      <c r="Q247" s="83" t="str">
        <f t="shared" si="149"/>
        <v>BossChallenge.cassandra_2.skill03</v>
      </c>
      <c r="R247" s="83" t="str">
        <f t="shared" si="149"/>
        <v>BossChallenge.cassandra_2.passive01</v>
      </c>
      <c r="S247" s="83" t="str">
        <f t="shared" si="149"/>
        <v>Boss.Common.Immun</v>
      </c>
      <c r="T247" s="83" t="str">
        <f t="shared" si="149"/>
        <v/>
      </c>
      <c r="U247" s="83" t="str">
        <f t="shared" si="149"/>
        <v/>
      </c>
      <c r="V247" s="81" t="b">
        <f t="shared" si="149"/>
        <v>0</v>
      </c>
      <c r="W247" s="81" t="str">
        <f t="shared" si="149"/>
        <v>Character/Prefabs/m_boss_ranger_cassandra_2</v>
      </c>
      <c r="X247" s="81" t="str">
        <f t="shared" si="149"/>
        <v/>
      </c>
      <c r="Y247" s="81" t="str">
        <f t="shared" si="149"/>
        <v>m_boss_ranger_cassandra_2</v>
      </c>
      <c r="Z247" s="81" t="str">
        <f t="shared" si="149"/>
        <v/>
      </c>
      <c r="AA247" s="81" t="str">
        <f t="shared" si="149"/>
        <v/>
      </c>
      <c r="AB247" s="81" t="str">
        <f t="shared" si="149"/>
        <v/>
      </c>
      <c r="AC247" s="96">
        <f t="shared" si="149"/>
        <v>0.9</v>
      </c>
      <c r="AD247" s="81" t="str">
        <f t="shared" si="149"/>
        <v/>
      </c>
      <c r="AE247" s="81" t="str">
        <f t="shared" si="149"/>
        <v>Character/Timeline/02_MON/cassandra/appearance2</v>
      </c>
      <c r="AF247" s="81" t="str">
        <f t="shared" si="149"/>
        <v>Character/Timeline/02_MON/cassandra/die2</v>
      </c>
      <c r="AG247" s="173" t="s">
        <v>2762</v>
      </c>
    </row>
    <row r="248" spans="1:33" x14ac:dyDescent="0.3">
      <c r="A248" s="81">
        <f t="shared" si="127"/>
        <v>1311301021</v>
      </c>
      <c r="B248" s="81" t="str">
        <f t="shared" ref="B248:AF248" si="150">IF(B137 &lt;&gt; "", B137, "")</f>
        <v>BossChallenge</v>
      </c>
      <c r="C248" s="81" t="str">
        <f t="shared" si="150"/>
        <v>디오메가</v>
      </c>
      <c r="D248" s="81" t="str">
        <f t="shared" si="150"/>
        <v>Monster.Name.theomega_1</v>
      </c>
      <c r="E248" s="81" t="str">
        <f t="shared" si="150"/>
        <v>Attacker</v>
      </c>
      <c r="F248" s="82" t="str">
        <f t="shared" si="150"/>
        <v>Fac_nul_ind</v>
      </c>
      <c r="G248" s="81" t="str">
        <f t="shared" si="150"/>
        <v>TRUE</v>
      </c>
      <c r="H248" s="81" t="b">
        <f t="shared" si="150"/>
        <v>1</v>
      </c>
      <c r="I248" s="81" t="b">
        <f t="shared" si="150"/>
        <v>1</v>
      </c>
      <c r="J248" s="81">
        <f t="shared" si="150"/>
        <v>20</v>
      </c>
      <c r="K248" s="81">
        <f t="shared" si="150"/>
        <v>10</v>
      </c>
      <c r="L248" s="81" t="str">
        <f t="shared" si="150"/>
        <v>BossChallenge.theomega_1.attack01</v>
      </c>
      <c r="M248" s="81" t="str">
        <f t="shared" si="150"/>
        <v/>
      </c>
      <c r="N248" s="81" t="str">
        <f t="shared" si="150"/>
        <v/>
      </c>
      <c r="O248" s="177" t="str">
        <f t="shared" si="150"/>
        <v>BossChallenge.theomega_1.skill01</v>
      </c>
      <c r="P248" s="83" t="str">
        <f t="shared" si="150"/>
        <v>BossChallenge.theomega_1.skill02</v>
      </c>
      <c r="Q248" s="83" t="str">
        <f t="shared" si="150"/>
        <v>BossChallenge.theomega_1.skill03</v>
      </c>
      <c r="R248" s="83" t="str">
        <f t="shared" si="150"/>
        <v>BossChallenge.theomega_1.passive01</v>
      </c>
      <c r="S248" s="83" t="str">
        <f t="shared" si="150"/>
        <v>Boss.Common.Immun</v>
      </c>
      <c r="T248" s="83" t="str">
        <f t="shared" si="150"/>
        <v/>
      </c>
      <c r="U248" s="83" t="str">
        <f t="shared" si="150"/>
        <v/>
      </c>
      <c r="V248" s="81" t="b">
        <f t="shared" si="150"/>
        <v>0</v>
      </c>
      <c r="W248" s="81" t="str">
        <f t="shared" si="150"/>
        <v>Character/Prefabs/m_boss_attacker_theomega_1</v>
      </c>
      <c r="X248" s="81" t="str">
        <f t="shared" si="150"/>
        <v/>
      </c>
      <c r="Y248" s="81" t="str">
        <f t="shared" si="150"/>
        <v>m_boss_attacker_theomega_1</v>
      </c>
      <c r="Z248" s="81" t="str">
        <f t="shared" si="150"/>
        <v/>
      </c>
      <c r="AA248" s="81" t="str">
        <f t="shared" si="150"/>
        <v/>
      </c>
      <c r="AB248" s="81" t="str">
        <f t="shared" si="150"/>
        <v/>
      </c>
      <c r="AC248" s="96">
        <f t="shared" si="150"/>
        <v>0.9</v>
      </c>
      <c r="AD248" s="81" t="str">
        <f t="shared" si="150"/>
        <v/>
      </c>
      <c r="AE248" s="81" t="str">
        <f t="shared" si="150"/>
        <v>Character/Timeline/02_MON/boss3/appearance</v>
      </c>
      <c r="AF248" s="81" t="str">
        <f t="shared" si="150"/>
        <v>Character/Timeline/02_MON/boss3/die</v>
      </c>
      <c r="AG248" s="173" t="s">
        <v>2762</v>
      </c>
    </row>
    <row r="249" spans="1:33" x14ac:dyDescent="0.3">
      <c r="A249" s="81">
        <f t="shared" si="127"/>
        <v>1311301022</v>
      </c>
      <c r="B249" s="81" t="str">
        <f t="shared" ref="B249:AF249" si="151">IF(B138 &lt;&gt; "", B138, "")</f>
        <v>BossChallenge</v>
      </c>
      <c r="C249" s="81" t="str">
        <f t="shared" si="151"/>
        <v>강화디오메가</v>
      </c>
      <c r="D249" s="81" t="str">
        <f t="shared" si="151"/>
        <v>Monster.Name.theomega_3</v>
      </c>
      <c r="E249" s="81" t="str">
        <f t="shared" si="151"/>
        <v>Attacker</v>
      </c>
      <c r="F249" s="82" t="str">
        <f t="shared" si="151"/>
        <v>Fac_nul_ind</v>
      </c>
      <c r="G249" s="81" t="str">
        <f t="shared" si="151"/>
        <v>TRUE</v>
      </c>
      <c r="H249" s="81" t="b">
        <f t="shared" si="151"/>
        <v>1</v>
      </c>
      <c r="I249" s="81" t="b">
        <f t="shared" si="151"/>
        <v>1</v>
      </c>
      <c r="J249" s="81">
        <f t="shared" si="151"/>
        <v>20</v>
      </c>
      <c r="K249" s="81">
        <f t="shared" si="151"/>
        <v>10</v>
      </c>
      <c r="L249" s="81" t="str">
        <f t="shared" si="151"/>
        <v>BossChallenge.theomega_3.attack01</v>
      </c>
      <c r="M249" s="81" t="str">
        <f t="shared" si="151"/>
        <v>BossChallenge.theomega_3.attack02</v>
      </c>
      <c r="N249" s="81" t="str">
        <f t="shared" si="151"/>
        <v/>
      </c>
      <c r="O249" s="177" t="str">
        <f t="shared" si="151"/>
        <v>BossChallenge.theomega_3.skill01</v>
      </c>
      <c r="P249" s="83" t="str">
        <f t="shared" si="151"/>
        <v>BossChallenge.theomega_3.skill02</v>
      </c>
      <c r="Q249" s="83" t="str">
        <f t="shared" si="151"/>
        <v>BossChallenge.theomega_3.skill03</v>
      </c>
      <c r="R249" s="83" t="str">
        <f t="shared" si="151"/>
        <v>BossChallenge.theomega_3.skill04</v>
      </c>
      <c r="S249" s="83" t="str">
        <f t="shared" si="151"/>
        <v>BossChallenge.theomega_3.passive01</v>
      </c>
      <c r="T249" s="83" t="str">
        <f t="shared" si="151"/>
        <v/>
      </c>
      <c r="U249" s="83" t="str">
        <f t="shared" si="151"/>
        <v/>
      </c>
      <c r="V249" s="81" t="b">
        <f t="shared" si="151"/>
        <v>0</v>
      </c>
      <c r="W249" s="81" t="str">
        <f t="shared" si="151"/>
        <v>Character/Prefabs/m_boss_attacker_theomega_3</v>
      </c>
      <c r="X249" s="81" t="str">
        <f t="shared" si="151"/>
        <v/>
      </c>
      <c r="Y249" s="81" t="str">
        <f t="shared" si="151"/>
        <v>m_boss_attacker_theomega_3</v>
      </c>
      <c r="Z249" s="81" t="str">
        <f t="shared" si="151"/>
        <v/>
      </c>
      <c r="AA249" s="81" t="str">
        <f t="shared" si="151"/>
        <v/>
      </c>
      <c r="AB249" s="81" t="str">
        <f t="shared" si="151"/>
        <v/>
      </c>
      <c r="AC249" s="96">
        <f t="shared" si="151"/>
        <v>0.9</v>
      </c>
      <c r="AD249" s="81" t="str">
        <f t="shared" si="151"/>
        <v/>
      </c>
      <c r="AE249" s="81" t="str">
        <f t="shared" si="151"/>
        <v>Character/Timeline/02_MON/boss3/appearance_2</v>
      </c>
      <c r="AF249" s="81" t="str">
        <f t="shared" si="151"/>
        <v>Character/Timeline/02_MON/boss3/die_2</v>
      </c>
      <c r="AG249" s="173" t="s">
        <v>2762</v>
      </c>
    </row>
    <row r="250" spans="1:33" x14ac:dyDescent="0.3">
      <c r="A250" s="81">
        <f t="shared" si="127"/>
        <v>1311301031</v>
      </c>
      <c r="B250" s="81" t="str">
        <f t="shared" ref="B250:AF250" si="152">IF(B139 &lt;&gt; "", B139, "")</f>
        <v>BossChallenge</v>
      </c>
      <c r="C250" s="81" t="str">
        <f t="shared" si="152"/>
        <v>널엑스</v>
      </c>
      <c r="D250" s="81" t="str">
        <f t="shared" si="152"/>
        <v>Monster.Name.nullaxe_1</v>
      </c>
      <c r="E250" s="81" t="str">
        <f t="shared" si="152"/>
        <v>Attacker</v>
      </c>
      <c r="F250" s="82" t="str">
        <f t="shared" si="152"/>
        <v>Fac_nul_ind</v>
      </c>
      <c r="G250" s="81" t="str">
        <f t="shared" si="152"/>
        <v>TRUE</v>
      </c>
      <c r="H250" s="81" t="b">
        <f t="shared" si="152"/>
        <v>1</v>
      </c>
      <c r="I250" s="81" t="b">
        <f t="shared" si="152"/>
        <v>1</v>
      </c>
      <c r="J250" s="81">
        <f t="shared" si="152"/>
        <v>10</v>
      </c>
      <c r="K250" s="81">
        <f t="shared" si="152"/>
        <v>10</v>
      </c>
      <c r="L250" s="81" t="str">
        <f t="shared" si="152"/>
        <v>BossChallenge.nullaxe_1.attack01</v>
      </c>
      <c r="M250" s="81" t="str">
        <f t="shared" si="152"/>
        <v>BossChallenge.nullaxe_1.attack02</v>
      </c>
      <c r="N250" s="81" t="str">
        <f t="shared" si="152"/>
        <v/>
      </c>
      <c r="O250" s="177" t="str">
        <f t="shared" si="152"/>
        <v>BossChallenge.nullaxe_1.skill01</v>
      </c>
      <c r="P250" s="83" t="str">
        <f t="shared" si="152"/>
        <v>BossChallenge.nullaxe_1.skill02</v>
      </c>
      <c r="Q250" s="83" t="str">
        <f t="shared" si="152"/>
        <v>BossChallenge.nullaxe_1.skill03</v>
      </c>
      <c r="R250" s="83" t="str">
        <f t="shared" si="152"/>
        <v>BossChallenge.nullaxe_1.passive01</v>
      </c>
      <c r="S250" s="83" t="str">
        <f t="shared" si="152"/>
        <v>Boss.Common.Immun</v>
      </c>
      <c r="T250" s="83" t="str">
        <f t="shared" si="152"/>
        <v/>
      </c>
      <c r="U250" s="83" t="str">
        <f t="shared" si="152"/>
        <v/>
      </c>
      <c r="V250" s="81" t="b">
        <f t="shared" si="152"/>
        <v>0</v>
      </c>
      <c r="W250" s="81" t="str">
        <f t="shared" si="152"/>
        <v>Character/Prefabs/m_boss_attacker_nullaxe_1</v>
      </c>
      <c r="X250" s="81" t="str">
        <f t="shared" si="152"/>
        <v/>
      </c>
      <c r="Y250" s="81" t="str">
        <f t="shared" si="152"/>
        <v>m_boss_attacker_nullaxe_1</v>
      </c>
      <c r="Z250" s="81" t="str">
        <f t="shared" si="152"/>
        <v/>
      </c>
      <c r="AA250" s="81" t="str">
        <f t="shared" si="152"/>
        <v/>
      </c>
      <c r="AB250" s="81" t="str">
        <f t="shared" si="152"/>
        <v/>
      </c>
      <c r="AC250" s="96">
        <f t="shared" si="152"/>
        <v>1.6</v>
      </c>
      <c r="AD250" s="81" t="str">
        <f t="shared" si="152"/>
        <v/>
      </c>
      <c r="AE250" s="81" t="str">
        <f t="shared" si="152"/>
        <v>Character/Timeline/02_MON/nullaxe/appearance</v>
      </c>
      <c r="AF250" s="81" t="str">
        <f t="shared" si="152"/>
        <v>Character/Timeline/02_MON/nullaxe/die</v>
      </c>
      <c r="AG250" s="173" t="s">
        <v>2762</v>
      </c>
    </row>
    <row r="251" spans="1:33" x14ac:dyDescent="0.3">
      <c r="A251" s="81">
        <f t="shared" si="127"/>
        <v>1311301032</v>
      </c>
      <c r="B251" s="81" t="str">
        <f t="shared" ref="B251:AF251" si="153">IF(B140 &lt;&gt; "", B140, "")</f>
        <v>BossChallenge</v>
      </c>
      <c r="C251" s="81" t="str">
        <f t="shared" si="153"/>
        <v>강화널엑스</v>
      </c>
      <c r="D251" s="81" t="str">
        <f t="shared" si="153"/>
        <v>Monster.Name.nullaxe_2</v>
      </c>
      <c r="E251" s="81" t="str">
        <f t="shared" si="153"/>
        <v>Attacker</v>
      </c>
      <c r="F251" s="82" t="str">
        <f t="shared" si="153"/>
        <v>Fac_nul_ind</v>
      </c>
      <c r="G251" s="81" t="str">
        <f t="shared" si="153"/>
        <v>TRUE</v>
      </c>
      <c r="H251" s="81" t="b">
        <f t="shared" si="153"/>
        <v>1</v>
      </c>
      <c r="I251" s="81" t="b">
        <f t="shared" si="153"/>
        <v>1</v>
      </c>
      <c r="J251" s="81">
        <f t="shared" si="153"/>
        <v>10</v>
      </c>
      <c r="K251" s="81">
        <f t="shared" si="153"/>
        <v>10</v>
      </c>
      <c r="L251" s="81" t="str">
        <f t="shared" si="153"/>
        <v>BossChallenge.nullaxe_2.attack01</v>
      </c>
      <c r="M251" s="81" t="str">
        <f t="shared" si="153"/>
        <v>BossChallenge.nullaxe_2.attack02</v>
      </c>
      <c r="N251" s="81" t="str">
        <f t="shared" si="153"/>
        <v/>
      </c>
      <c r="O251" s="177" t="str">
        <f t="shared" si="153"/>
        <v>BossChallenge.nullaxe_2.skill01</v>
      </c>
      <c r="P251" s="83" t="str">
        <f t="shared" si="153"/>
        <v>BossChallenge.nullaxe_2.skill02</v>
      </c>
      <c r="Q251" s="83" t="str">
        <f t="shared" si="153"/>
        <v>BossChallenge.nullaxe_2.skill03</v>
      </c>
      <c r="R251" s="83" t="str">
        <f t="shared" si="153"/>
        <v>BossChallenge.nullaxe_2.passive01</v>
      </c>
      <c r="S251" s="83" t="str">
        <f t="shared" si="153"/>
        <v>BossChallenge.nullaxe_2.passive02</v>
      </c>
      <c r="T251" s="83" t="str">
        <f t="shared" si="153"/>
        <v/>
      </c>
      <c r="U251" s="83" t="str">
        <f t="shared" si="153"/>
        <v/>
      </c>
      <c r="V251" s="81" t="b">
        <f t="shared" si="153"/>
        <v>0</v>
      </c>
      <c r="W251" s="81" t="str">
        <f t="shared" si="153"/>
        <v>Character/Prefabs/m_boss_attacker_nullaxe_2</v>
      </c>
      <c r="X251" s="81" t="str">
        <f t="shared" si="153"/>
        <v/>
      </c>
      <c r="Y251" s="81" t="str">
        <f t="shared" si="153"/>
        <v>m_boss_attacker_nullaxe_2</v>
      </c>
      <c r="Z251" s="81" t="str">
        <f t="shared" si="153"/>
        <v/>
      </c>
      <c r="AA251" s="81" t="str">
        <f t="shared" si="153"/>
        <v/>
      </c>
      <c r="AB251" s="81" t="str">
        <f t="shared" si="153"/>
        <v/>
      </c>
      <c r="AC251" s="96">
        <f t="shared" si="153"/>
        <v>1.6</v>
      </c>
      <c r="AD251" s="81" t="str">
        <f t="shared" si="153"/>
        <v/>
      </c>
      <c r="AE251" s="81" t="str">
        <f t="shared" si="153"/>
        <v>Character/Timeline/02_MON/nullaxe/appearance_2new</v>
      </c>
      <c r="AF251" s="81" t="str">
        <f t="shared" si="153"/>
        <v>Character/Timeline/02_MON/nullaxe/die_2new</v>
      </c>
      <c r="AG251" s="173" t="s">
        <v>2762</v>
      </c>
    </row>
    <row r="252" spans="1:33" x14ac:dyDescent="0.3">
      <c r="A252" s="81">
        <f t="shared" si="127"/>
        <v>1311301041</v>
      </c>
      <c r="B252" s="81" t="str">
        <f t="shared" ref="B252:AF252" si="154">IF(B141 &lt;&gt; "", B141, "")</f>
        <v>BossChallenge</v>
      </c>
      <c r="C252" s="81" t="str">
        <f t="shared" si="154"/>
        <v>로열퀸</v>
      </c>
      <c r="D252" s="81" t="str">
        <f t="shared" si="154"/>
        <v>Monster.Name.clock_royal_queen_1</v>
      </c>
      <c r="E252" s="81" t="str">
        <f t="shared" si="154"/>
        <v>Attacker</v>
      </c>
      <c r="F252" s="82" t="str">
        <f t="shared" si="154"/>
        <v>Fac_nul_ind</v>
      </c>
      <c r="G252" s="81" t="str">
        <f t="shared" si="154"/>
        <v>TRUE</v>
      </c>
      <c r="H252" s="81" t="b">
        <f t="shared" si="154"/>
        <v>1</v>
      </c>
      <c r="I252" s="81" t="b">
        <f t="shared" si="154"/>
        <v>1</v>
      </c>
      <c r="J252" s="81">
        <f t="shared" si="154"/>
        <v>10</v>
      </c>
      <c r="K252" s="81">
        <f t="shared" si="154"/>
        <v>10</v>
      </c>
      <c r="L252" s="81" t="str">
        <f t="shared" si="154"/>
        <v>BossChallenge.clock_royal_queen_1.attack01</v>
      </c>
      <c r="M252" s="81" t="str">
        <f t="shared" si="154"/>
        <v>BossChallenge.clock_royal_queen_1.attack02</v>
      </c>
      <c r="N252" s="81" t="str">
        <f t="shared" si="154"/>
        <v/>
      </c>
      <c r="O252" s="177" t="str">
        <f t="shared" si="154"/>
        <v>BossChallenge.clock_royal_queen_1.skill01</v>
      </c>
      <c r="P252" s="83" t="str">
        <f t="shared" si="154"/>
        <v>BossChallenge.clock_royal_queen_1.skill02</v>
      </c>
      <c r="Q252" s="83" t="str">
        <f t="shared" si="154"/>
        <v>BossChallenge.clock_royal_queen_1.skill03</v>
      </c>
      <c r="R252" s="83" t="str">
        <f t="shared" si="154"/>
        <v>BossChallenge.clock_royal_queen_1.passive01</v>
      </c>
      <c r="S252" s="83" t="str">
        <f t="shared" si="154"/>
        <v>Boss.Common.Immun</v>
      </c>
      <c r="T252" s="83" t="str">
        <f t="shared" si="154"/>
        <v/>
      </c>
      <c r="U252" s="83" t="str">
        <f t="shared" si="154"/>
        <v/>
      </c>
      <c r="V252" s="81" t="b">
        <f t="shared" si="154"/>
        <v>0</v>
      </c>
      <c r="W252" s="170" t="str">
        <f t="shared" si="154"/>
        <v>Character/Prefabs/m_boss_attacker_clock_royal_queen_1</v>
      </c>
      <c r="X252" s="81" t="str">
        <f t="shared" si="154"/>
        <v/>
      </c>
      <c r="Y252" s="81" t="str">
        <f t="shared" si="154"/>
        <v>m_boss_attacker_clock_royal_queen_1</v>
      </c>
      <c r="Z252" s="81" t="str">
        <f t="shared" si="154"/>
        <v/>
      </c>
      <c r="AA252" s="81" t="str">
        <f t="shared" si="154"/>
        <v/>
      </c>
      <c r="AB252" s="81" t="str">
        <f t="shared" si="154"/>
        <v/>
      </c>
      <c r="AC252" s="96">
        <f t="shared" si="154"/>
        <v>0.9</v>
      </c>
      <c r="AD252" s="81" t="str">
        <f t="shared" si="154"/>
        <v/>
      </c>
      <c r="AE252" s="81" t="str">
        <f t="shared" si="154"/>
        <v>Character/Timeline/02_MON/royal_queen_1/appearance</v>
      </c>
      <c r="AF252" s="81" t="str">
        <f t="shared" si="154"/>
        <v>Character/Timeline/02_MON/royal_queen_1/die</v>
      </c>
      <c r="AG252" s="173" t="s">
        <v>2762</v>
      </c>
    </row>
    <row r="253" spans="1:33" x14ac:dyDescent="0.3">
      <c r="A253" s="81">
        <f t="shared" si="127"/>
        <v>1311301042</v>
      </c>
      <c r="B253" s="81" t="str">
        <f t="shared" ref="B253:AF253" si="155">IF(B142 &lt;&gt; "", B142, "")</f>
        <v>BossChallenge</v>
      </c>
      <c r="C253" s="81" t="str">
        <f t="shared" si="155"/>
        <v>강화로열퀸</v>
      </c>
      <c r="D253" s="81" t="str">
        <f t="shared" si="155"/>
        <v>Monster.Name.clock_royal_queen_2</v>
      </c>
      <c r="E253" s="81" t="str">
        <f t="shared" si="155"/>
        <v>Attacker</v>
      </c>
      <c r="F253" s="82" t="str">
        <f t="shared" si="155"/>
        <v>Fac_nul_ind</v>
      </c>
      <c r="G253" s="81" t="str">
        <f t="shared" si="155"/>
        <v>TRUE</v>
      </c>
      <c r="H253" s="81" t="b">
        <f t="shared" si="155"/>
        <v>1</v>
      </c>
      <c r="I253" s="81" t="b">
        <f t="shared" si="155"/>
        <v>1</v>
      </c>
      <c r="J253" s="81">
        <f t="shared" si="155"/>
        <v>10</v>
      </c>
      <c r="K253" s="81">
        <f t="shared" si="155"/>
        <v>10</v>
      </c>
      <c r="L253" s="81" t="str">
        <f t="shared" si="155"/>
        <v>BossChallenge.clock_royal_queen_2.attack01</v>
      </c>
      <c r="M253" s="81" t="str">
        <f t="shared" si="155"/>
        <v>BossChallenge.clock_royal_queen_2.attack02</v>
      </c>
      <c r="N253" s="81" t="str">
        <f t="shared" si="155"/>
        <v/>
      </c>
      <c r="O253" s="177" t="str">
        <f t="shared" si="155"/>
        <v>BossChallenge.clock_royal_queen_2.skill01</v>
      </c>
      <c r="P253" s="83" t="str">
        <f t="shared" si="155"/>
        <v>BossChallenge.clock_royal_queen_2.skill02</v>
      </c>
      <c r="Q253" s="83" t="str">
        <f t="shared" si="155"/>
        <v>BossChallenge.clock_royal_queen_2.skill03</v>
      </c>
      <c r="R253" s="83" t="str">
        <f t="shared" si="155"/>
        <v>BossChallenge.clock_royal_queen_1.passive01</v>
      </c>
      <c r="S253" s="83" t="str">
        <f t="shared" si="155"/>
        <v>Boss.Common.Immun</v>
      </c>
      <c r="T253" s="83" t="str">
        <f t="shared" si="155"/>
        <v/>
      </c>
      <c r="U253" s="83" t="str">
        <f t="shared" si="155"/>
        <v/>
      </c>
      <c r="V253" s="81" t="b">
        <f t="shared" si="155"/>
        <v>0</v>
      </c>
      <c r="W253" s="170" t="str">
        <f t="shared" si="155"/>
        <v>Character/Prefabs/m_boss_attacker_clock_royal_queen_2</v>
      </c>
      <c r="X253" s="163" t="str">
        <f t="shared" si="155"/>
        <v/>
      </c>
      <c r="Y253" s="163" t="str">
        <f t="shared" si="155"/>
        <v>m_boss_attacker_clock_royal_queen_1</v>
      </c>
      <c r="Z253" s="81" t="str">
        <f t="shared" si="155"/>
        <v/>
      </c>
      <c r="AA253" s="81" t="str">
        <f t="shared" si="155"/>
        <v/>
      </c>
      <c r="AB253" s="81" t="str">
        <f t="shared" si="155"/>
        <v/>
      </c>
      <c r="AC253" s="96">
        <f t="shared" si="155"/>
        <v>1.3</v>
      </c>
      <c r="AD253" s="81" t="str">
        <f t="shared" si="155"/>
        <v/>
      </c>
      <c r="AE253" s="81" t="str">
        <f t="shared" si="155"/>
        <v>Character/Timeline/02_MON/royal_queen_2/appearance2</v>
      </c>
      <c r="AF253" s="81" t="str">
        <f t="shared" si="155"/>
        <v>Character/Timeline/02_MON/royal_queen_2/die2</v>
      </c>
      <c r="AG253" s="173" t="s">
        <v>2762</v>
      </c>
    </row>
    <row r="254" spans="1:33" x14ac:dyDescent="0.3">
      <c r="A254" s="81">
        <f t="shared" si="127"/>
        <v>1311301051</v>
      </c>
      <c r="B254" s="81" t="str">
        <f t="shared" ref="B254:AF254" si="156">IF(B143 &lt;&gt; "", B143, "")</f>
        <v>BossChallenge</v>
      </c>
      <c r="C254" s="81" t="str">
        <f t="shared" si="156"/>
        <v>톡식</v>
      </c>
      <c r="D254" s="81" t="str">
        <f t="shared" si="156"/>
        <v>Monster.Name.toxic_1</v>
      </c>
      <c r="E254" s="81" t="str">
        <f t="shared" si="156"/>
        <v>Attacker</v>
      </c>
      <c r="F254" s="82" t="str">
        <f t="shared" si="156"/>
        <v>Fac_nul_ind</v>
      </c>
      <c r="G254" s="81" t="str">
        <f t="shared" si="156"/>
        <v>TRUE</v>
      </c>
      <c r="H254" s="81" t="b">
        <f t="shared" si="156"/>
        <v>1</v>
      </c>
      <c r="I254" s="81" t="b">
        <f t="shared" si="156"/>
        <v>1</v>
      </c>
      <c r="J254" s="81">
        <f t="shared" si="156"/>
        <v>20</v>
      </c>
      <c r="K254" s="81">
        <f t="shared" si="156"/>
        <v>10</v>
      </c>
      <c r="L254" s="81" t="str">
        <f t="shared" si="156"/>
        <v>BossChallenge.toxic_1.attack01</v>
      </c>
      <c r="M254" s="81" t="str">
        <f t="shared" si="156"/>
        <v>BossChallenge.toxic_1.attack02</v>
      </c>
      <c r="N254" s="81" t="str">
        <f t="shared" si="156"/>
        <v/>
      </c>
      <c r="O254" s="177" t="str">
        <f t="shared" si="156"/>
        <v>BossChallenge.toxic_1.skill01</v>
      </c>
      <c r="P254" s="83" t="str">
        <f t="shared" si="156"/>
        <v>BossChallenge.toxic_1.skill02</v>
      </c>
      <c r="Q254" s="83" t="str">
        <f t="shared" si="156"/>
        <v>BossChallenge.toxic_1.skill03</v>
      </c>
      <c r="R254" s="83" t="str">
        <f t="shared" si="156"/>
        <v>BossChallenge.toxic_1.passive01</v>
      </c>
      <c r="S254" s="83" t="str">
        <f t="shared" si="156"/>
        <v>BossChallenge.toxic_1.passive02</v>
      </c>
      <c r="T254" s="83" t="str">
        <f t="shared" si="156"/>
        <v/>
      </c>
      <c r="U254" s="83" t="str">
        <f t="shared" si="156"/>
        <v/>
      </c>
      <c r="V254" s="81" t="b">
        <f t="shared" si="156"/>
        <v>0</v>
      </c>
      <c r="W254" s="170" t="str">
        <f t="shared" si="156"/>
        <v>Character/Prefabs/m_boss_attacker_toxic_1</v>
      </c>
      <c r="X254" s="81" t="str">
        <f t="shared" si="156"/>
        <v/>
      </c>
      <c r="Y254" s="81" t="str">
        <f t="shared" si="156"/>
        <v>m_boss_attacker_toxic_1</v>
      </c>
      <c r="Z254" s="81" t="str">
        <f t="shared" si="156"/>
        <v/>
      </c>
      <c r="AA254" s="81" t="str">
        <f t="shared" si="156"/>
        <v/>
      </c>
      <c r="AB254" s="81" t="str">
        <f t="shared" si="156"/>
        <v/>
      </c>
      <c r="AC254" s="96">
        <f t="shared" si="156"/>
        <v>1.1000000000000001</v>
      </c>
      <c r="AD254" s="81" t="str">
        <f t="shared" si="156"/>
        <v/>
      </c>
      <c r="AE254" s="81" t="str">
        <f t="shared" si="156"/>
        <v>Character/Timeline/02_MON/toxic_1/m_boss_attacker_toxic_1@appearance</v>
      </c>
      <c r="AF254" s="81" t="str">
        <f t="shared" si="156"/>
        <v>Character/Timeline/02_MON/toxic_1/m_boss_attacker_toxic_1@die</v>
      </c>
      <c r="AG254" s="173" t="s">
        <v>2762</v>
      </c>
    </row>
    <row r="255" spans="1:33" x14ac:dyDescent="0.3">
      <c r="A255" s="81">
        <f t="shared" si="127"/>
        <v>1311301052</v>
      </c>
      <c r="B255" s="81" t="str">
        <f t="shared" ref="B255:AF255" si="157">IF(B144 &lt;&gt; "", B144, "")</f>
        <v>BossChallenge</v>
      </c>
      <c r="C255" s="81" t="str">
        <f t="shared" si="157"/>
        <v>강화톡식</v>
      </c>
      <c r="D255" s="81" t="str">
        <f t="shared" si="157"/>
        <v>Monster.Name.toxic_3</v>
      </c>
      <c r="E255" s="81" t="str">
        <f t="shared" si="157"/>
        <v>Attacker</v>
      </c>
      <c r="F255" s="82" t="str">
        <f t="shared" si="157"/>
        <v>Fac_nul_ind</v>
      </c>
      <c r="G255" s="81" t="str">
        <f t="shared" si="157"/>
        <v>TRUE</v>
      </c>
      <c r="H255" s="81" t="b">
        <f t="shared" si="157"/>
        <v>1</v>
      </c>
      <c r="I255" s="81" t="b">
        <f t="shared" si="157"/>
        <v>1</v>
      </c>
      <c r="J255" s="81">
        <f t="shared" si="157"/>
        <v>20</v>
      </c>
      <c r="K255" s="81">
        <f t="shared" si="157"/>
        <v>10</v>
      </c>
      <c r="L255" s="81" t="str">
        <f t="shared" si="157"/>
        <v>BossChallenge.toxic_3.attack01</v>
      </c>
      <c r="M255" s="81" t="str">
        <f t="shared" si="157"/>
        <v>BossChallenge.toxic_3.attack02</v>
      </c>
      <c r="N255" s="81" t="str">
        <f t="shared" si="157"/>
        <v/>
      </c>
      <c r="O255" s="177" t="str">
        <f t="shared" si="157"/>
        <v>BossChallenge.toxic_3.skill01</v>
      </c>
      <c r="P255" s="83" t="str">
        <f t="shared" si="157"/>
        <v>BossChallenge.toxic_3.skill02</v>
      </c>
      <c r="Q255" s="83" t="str">
        <f t="shared" si="157"/>
        <v>BossChallenge.toxic_3.skill03</v>
      </c>
      <c r="R255" s="83" t="str">
        <f t="shared" si="157"/>
        <v>BossChallenge.toxic_3.passive01</v>
      </c>
      <c r="S255" s="83" t="str">
        <f t="shared" si="157"/>
        <v>BossChallenge.toxic_3.passive02</v>
      </c>
      <c r="T255" s="83" t="str">
        <f t="shared" si="157"/>
        <v/>
      </c>
      <c r="U255" s="83" t="str">
        <f t="shared" si="157"/>
        <v/>
      </c>
      <c r="V255" s="81" t="b">
        <f t="shared" si="157"/>
        <v>0</v>
      </c>
      <c r="W255" s="170" t="str">
        <f t="shared" si="157"/>
        <v>Character/Prefabs/m_boss_attacker_toxic_3</v>
      </c>
      <c r="X255" s="163" t="str">
        <f t="shared" si="157"/>
        <v/>
      </c>
      <c r="Y255" s="163" t="str">
        <f t="shared" si="157"/>
        <v>m_boss_attacker_toxic_1</v>
      </c>
      <c r="Z255" s="81" t="str">
        <f t="shared" si="157"/>
        <v/>
      </c>
      <c r="AA255" s="81" t="str">
        <f t="shared" si="157"/>
        <v/>
      </c>
      <c r="AB255" s="81" t="str">
        <f t="shared" si="157"/>
        <v/>
      </c>
      <c r="AC255" s="96">
        <f t="shared" si="157"/>
        <v>1.1000000000000001</v>
      </c>
      <c r="AD255" s="81" t="str">
        <f t="shared" si="157"/>
        <v/>
      </c>
      <c r="AE255" s="81" t="str">
        <f t="shared" si="157"/>
        <v>Character/Timeline/02_MON/toxic_3/appearance3</v>
      </c>
      <c r="AF255" s="81" t="str">
        <f t="shared" si="157"/>
        <v>Character/Timeline/02_MON/toxic_3/die3</v>
      </c>
      <c r="AG255" s="173" t="s">
        <v>2762</v>
      </c>
    </row>
    <row r="256" spans="1:33" x14ac:dyDescent="0.3">
      <c r="A256" s="81">
        <f t="shared" si="127"/>
        <v>1311301061</v>
      </c>
      <c r="B256" s="81" t="str">
        <f t="shared" ref="B256:AF256" si="158">IF(B145 &lt;&gt; "", B145, "")</f>
        <v>BossChallenge</v>
      </c>
      <c r="C256" s="81" t="str">
        <f t="shared" si="158"/>
        <v>연구소골리앗</v>
      </c>
      <c r="D256" s="81" t="str">
        <f t="shared" si="158"/>
        <v>Monster.Name.goliath_1</v>
      </c>
      <c r="E256" s="81" t="str">
        <f t="shared" si="158"/>
        <v>Attacker</v>
      </c>
      <c r="F256" s="82" t="str">
        <f t="shared" si="158"/>
        <v>Fac_nul_ind</v>
      </c>
      <c r="G256" s="81" t="str">
        <f t="shared" si="158"/>
        <v>TRUE</v>
      </c>
      <c r="H256" s="81" t="b">
        <f t="shared" si="158"/>
        <v>1</v>
      </c>
      <c r="I256" s="81" t="b">
        <f t="shared" si="158"/>
        <v>1</v>
      </c>
      <c r="J256" s="81">
        <f t="shared" si="158"/>
        <v>10</v>
      </c>
      <c r="K256" s="81">
        <f t="shared" si="158"/>
        <v>10</v>
      </c>
      <c r="L256" s="81" t="str">
        <f t="shared" si="158"/>
        <v>BossChallenge.goliath_1.attack01</v>
      </c>
      <c r="M256" s="81" t="str">
        <f t="shared" si="158"/>
        <v>BossChallenge.goliath_1.attack02</v>
      </c>
      <c r="N256" s="81" t="str">
        <f t="shared" si="158"/>
        <v/>
      </c>
      <c r="O256" s="177" t="str">
        <f t="shared" si="158"/>
        <v>BossChallenge.goliath_1.skill01</v>
      </c>
      <c r="P256" s="83" t="str">
        <f t="shared" si="158"/>
        <v>BossChallenge.goliath_1.skill02</v>
      </c>
      <c r="Q256" s="83" t="str">
        <f t="shared" si="158"/>
        <v>BossChallenge.goliath_1.skill03</v>
      </c>
      <c r="R256" s="83" t="str">
        <f t="shared" si="158"/>
        <v>BossChallenge.goliath_1.passive01</v>
      </c>
      <c r="S256" s="83" t="str">
        <f t="shared" si="158"/>
        <v>BossChallenge.goliath_1.passive02</v>
      </c>
      <c r="T256" s="83" t="str">
        <f t="shared" si="158"/>
        <v/>
      </c>
      <c r="U256" s="83" t="str">
        <f t="shared" si="158"/>
        <v/>
      </c>
      <c r="V256" s="81" t="b">
        <f t="shared" si="158"/>
        <v>0</v>
      </c>
      <c r="W256" s="170" t="str">
        <f t="shared" si="158"/>
        <v>Character/Prefabs/m_boss_attacker_goliath_1</v>
      </c>
      <c r="X256" s="81" t="str">
        <f t="shared" si="158"/>
        <v/>
      </c>
      <c r="Y256" s="81" t="str">
        <f t="shared" si="158"/>
        <v>m_boss_attacker_goliath_1</v>
      </c>
      <c r="Z256" s="81" t="str">
        <f t="shared" si="158"/>
        <v/>
      </c>
      <c r="AA256" s="81" t="str">
        <f t="shared" si="158"/>
        <v/>
      </c>
      <c r="AB256" s="81" t="str">
        <f t="shared" si="158"/>
        <v/>
      </c>
      <c r="AC256" s="96">
        <f t="shared" si="158"/>
        <v>1.4</v>
      </c>
      <c r="AD256" s="81" t="str">
        <f t="shared" si="158"/>
        <v/>
      </c>
      <c r="AE256" s="81" t="str">
        <f t="shared" si="158"/>
        <v>Character/Timeline/02_MON/goliath_1/m_boss_attacker_goliath_1@appearance</v>
      </c>
      <c r="AF256" s="81" t="str">
        <f t="shared" si="158"/>
        <v>Character/Timeline/02_MON/goliath_1/m_boss_attacker_goliath_1@die</v>
      </c>
      <c r="AG256" s="173" t="s">
        <v>2762</v>
      </c>
    </row>
    <row r="257" spans="1:33" x14ac:dyDescent="0.3">
      <c r="A257" s="81">
        <f t="shared" si="127"/>
        <v>1311301062</v>
      </c>
      <c r="B257" s="81" t="str">
        <f t="shared" ref="B257:AF257" si="159">IF(B146 &lt;&gt; "", B146, "")</f>
        <v>BossChallenge</v>
      </c>
      <c r="C257" s="81" t="str">
        <f t="shared" si="159"/>
        <v>강화골리앗</v>
      </c>
      <c r="D257" s="81" t="str">
        <f t="shared" si="159"/>
        <v>Monster.Name.goliath_4</v>
      </c>
      <c r="E257" s="81" t="str">
        <f t="shared" si="159"/>
        <v>Attacker</v>
      </c>
      <c r="F257" s="82" t="str">
        <f t="shared" si="159"/>
        <v>Fac_nul_ind</v>
      </c>
      <c r="G257" s="81" t="str">
        <f t="shared" si="159"/>
        <v>TRUE</v>
      </c>
      <c r="H257" s="81" t="b">
        <f t="shared" si="159"/>
        <v>1</v>
      </c>
      <c r="I257" s="81" t="b">
        <f t="shared" si="159"/>
        <v>1</v>
      </c>
      <c r="J257" s="81">
        <f t="shared" si="159"/>
        <v>10</v>
      </c>
      <c r="K257" s="81">
        <f t="shared" si="159"/>
        <v>10</v>
      </c>
      <c r="L257" s="81" t="str">
        <f t="shared" si="159"/>
        <v>BossChallenge.goliath_4.attack01</v>
      </c>
      <c r="M257" s="81" t="str">
        <f t="shared" si="159"/>
        <v>BossChallenge.goliath_4.attack02</v>
      </c>
      <c r="N257" s="81" t="str">
        <f t="shared" si="159"/>
        <v/>
      </c>
      <c r="O257" s="177" t="str">
        <f t="shared" si="159"/>
        <v>BossChallenge.goliath_4.skill01</v>
      </c>
      <c r="P257" s="83" t="str">
        <f t="shared" si="159"/>
        <v>BossChallenge.goliath_4.skill02</v>
      </c>
      <c r="Q257" s="83" t="str">
        <f t="shared" si="159"/>
        <v>BossChallenge.goliath_4.skill03</v>
      </c>
      <c r="R257" s="83" t="str">
        <f t="shared" si="159"/>
        <v>BossChallenge.goliath_4.passive01</v>
      </c>
      <c r="S257" s="83" t="str">
        <f t="shared" si="159"/>
        <v>BossChallenge.goliath_4.passive02</v>
      </c>
      <c r="T257" s="83" t="str">
        <f t="shared" si="159"/>
        <v/>
      </c>
      <c r="U257" s="83" t="str">
        <f t="shared" si="159"/>
        <v/>
      </c>
      <c r="V257" s="81" t="b">
        <f t="shared" si="159"/>
        <v>0</v>
      </c>
      <c r="W257" s="170" t="str">
        <f t="shared" si="159"/>
        <v>Character/Prefabs/m_boss_attacker_goliath_4</v>
      </c>
      <c r="X257" s="163" t="str">
        <f t="shared" si="159"/>
        <v/>
      </c>
      <c r="Y257" s="163" t="str">
        <f t="shared" si="159"/>
        <v>m_boss_attacker_goliath_1</v>
      </c>
      <c r="Z257" s="81" t="str">
        <f t="shared" si="159"/>
        <v/>
      </c>
      <c r="AA257" s="81" t="str">
        <f t="shared" si="159"/>
        <v/>
      </c>
      <c r="AB257" s="81" t="str">
        <f t="shared" si="159"/>
        <v/>
      </c>
      <c r="AC257" s="96">
        <f t="shared" si="159"/>
        <v>1.7</v>
      </c>
      <c r="AD257" s="81" t="str">
        <f t="shared" si="159"/>
        <v/>
      </c>
      <c r="AE257" s="81" t="str">
        <f t="shared" si="159"/>
        <v>Character/Timeline/02_MON/goliath_4/appearance4</v>
      </c>
      <c r="AF257" s="81" t="str">
        <f t="shared" si="159"/>
        <v>Character/Timeline/02_MON/goliath_4/die4</v>
      </c>
      <c r="AG257" s="173" t="s">
        <v>2762</v>
      </c>
    </row>
    <row r="258" spans="1:33" x14ac:dyDescent="0.3">
      <c r="A258" s="81">
        <f t="shared" ref="A258:A289" si="160">A147+100000000</f>
        <v>1311301071</v>
      </c>
      <c r="B258" s="81" t="str">
        <f t="shared" ref="B258:AF258" si="161">IF(B147 &lt;&gt; "", B147, "")</f>
        <v>BossChallenge</v>
      </c>
      <c r="C258" s="81" t="str">
        <f t="shared" si="161"/>
        <v>크로울러</v>
      </c>
      <c r="D258" s="81" t="str">
        <f t="shared" si="161"/>
        <v>Monster.Name.crawler_1</v>
      </c>
      <c r="E258" s="81" t="str">
        <f t="shared" si="161"/>
        <v>Attacker</v>
      </c>
      <c r="F258" s="82" t="str">
        <f t="shared" si="161"/>
        <v>Fac_nul_ind</v>
      </c>
      <c r="G258" s="81" t="str">
        <f t="shared" si="161"/>
        <v>TRUE</v>
      </c>
      <c r="H258" s="81" t="b">
        <f t="shared" si="161"/>
        <v>1</v>
      </c>
      <c r="I258" s="81" t="b">
        <f t="shared" si="161"/>
        <v>1</v>
      </c>
      <c r="J258" s="81">
        <f t="shared" si="161"/>
        <v>10</v>
      </c>
      <c r="K258" s="81">
        <f t="shared" si="161"/>
        <v>10</v>
      </c>
      <c r="L258" s="81" t="str">
        <f t="shared" si="161"/>
        <v>BossChallenge.crawler_1.attack01</v>
      </c>
      <c r="M258" s="81" t="str">
        <f t="shared" si="161"/>
        <v>BossChallenge.crawler_1.attack02</v>
      </c>
      <c r="N258" s="81" t="str">
        <f t="shared" si="161"/>
        <v/>
      </c>
      <c r="O258" s="177" t="str">
        <f t="shared" si="161"/>
        <v>BossChallenge.crawler_1.skill01</v>
      </c>
      <c r="P258" s="83" t="str">
        <f t="shared" si="161"/>
        <v>BossChallenge.crawler_1.skill02</v>
      </c>
      <c r="Q258" s="83" t="str">
        <f t="shared" si="161"/>
        <v>BossChallenge.crawler_1.skill03</v>
      </c>
      <c r="R258" s="83" t="str">
        <f t="shared" si="161"/>
        <v>BossChallenge.crawler_1.passive01</v>
      </c>
      <c r="S258" s="83" t="str">
        <f t="shared" si="161"/>
        <v>Boss.Common.Immun</v>
      </c>
      <c r="T258" s="83" t="str">
        <f t="shared" si="161"/>
        <v/>
      </c>
      <c r="U258" s="83" t="str">
        <f t="shared" si="161"/>
        <v/>
      </c>
      <c r="V258" s="81" t="b">
        <f t="shared" si="161"/>
        <v>0</v>
      </c>
      <c r="W258" s="170" t="str">
        <f t="shared" si="161"/>
        <v>Character/Prefabs/m_boss_attacker_crawler_1</v>
      </c>
      <c r="X258" s="81" t="str">
        <f t="shared" si="161"/>
        <v/>
      </c>
      <c r="Y258" s="81" t="str">
        <f t="shared" si="161"/>
        <v>m_boss_attacker_crawler_1</v>
      </c>
      <c r="Z258" s="81" t="str">
        <f t="shared" si="161"/>
        <v/>
      </c>
      <c r="AA258" s="81" t="str">
        <f t="shared" si="161"/>
        <v/>
      </c>
      <c r="AB258" s="81" t="str">
        <f t="shared" si="161"/>
        <v/>
      </c>
      <c r="AC258" s="96">
        <f t="shared" si="161"/>
        <v>1.2</v>
      </c>
      <c r="AD258" s="81" t="str">
        <f t="shared" si="161"/>
        <v/>
      </c>
      <c r="AE258" s="81" t="str">
        <f t="shared" si="161"/>
        <v>Character/Timeline/02_MON/crawler/appearance</v>
      </c>
      <c r="AF258" s="81" t="str">
        <f t="shared" si="161"/>
        <v>Character/Timeline/02_MON/crawler/die</v>
      </c>
      <c r="AG258" s="173" t="s">
        <v>2762</v>
      </c>
    </row>
    <row r="259" spans="1:33" x14ac:dyDescent="0.3">
      <c r="A259" s="81">
        <f t="shared" si="160"/>
        <v>1311301072</v>
      </c>
      <c r="B259" s="81" t="str">
        <f t="shared" ref="B259:AF259" si="162">IF(B148 &lt;&gt; "", B148, "")</f>
        <v>BossChallenge</v>
      </c>
      <c r="C259" s="81" t="str">
        <f t="shared" si="162"/>
        <v>강화크로울러</v>
      </c>
      <c r="D259" s="81" t="str">
        <f t="shared" si="162"/>
        <v>Monster.Name.skull_crawler_1</v>
      </c>
      <c r="E259" s="81" t="str">
        <f t="shared" si="162"/>
        <v>Attacker</v>
      </c>
      <c r="F259" s="82" t="str">
        <f t="shared" si="162"/>
        <v>Fac_nul_ind</v>
      </c>
      <c r="G259" s="81" t="str">
        <f t="shared" si="162"/>
        <v>TRUE</v>
      </c>
      <c r="H259" s="81" t="b">
        <f t="shared" si="162"/>
        <v>1</v>
      </c>
      <c r="I259" s="81" t="b">
        <f t="shared" si="162"/>
        <v>1</v>
      </c>
      <c r="J259" s="81">
        <f t="shared" si="162"/>
        <v>10</v>
      </c>
      <c r="K259" s="81">
        <f t="shared" si="162"/>
        <v>10</v>
      </c>
      <c r="L259" s="81" t="str">
        <f t="shared" si="162"/>
        <v>BossChallenge.skull_crawler_1.attack01</v>
      </c>
      <c r="M259" s="81" t="str">
        <f t="shared" si="162"/>
        <v>BossChallenge.skull_crawler_1.attack02</v>
      </c>
      <c r="N259" s="81" t="str">
        <f t="shared" si="162"/>
        <v/>
      </c>
      <c r="O259" s="177" t="str">
        <f t="shared" si="162"/>
        <v>BossChallenge.skull_crawler_1.skill01</v>
      </c>
      <c r="P259" s="83" t="str">
        <f t="shared" si="162"/>
        <v>BossChallenge.skull_crawler_1.skill02</v>
      </c>
      <c r="Q259" s="83" t="str">
        <f t="shared" si="162"/>
        <v>BossChallenge.skull_crawler_1.skill03</v>
      </c>
      <c r="R259" s="83" t="str">
        <f t="shared" si="162"/>
        <v>BossChallenge.crawler_1.passive01</v>
      </c>
      <c r="S259" s="83" t="str">
        <f t="shared" si="162"/>
        <v>Boss.Common.Immun</v>
      </c>
      <c r="T259" s="83" t="str">
        <f t="shared" si="162"/>
        <v/>
      </c>
      <c r="U259" s="83" t="str">
        <f t="shared" si="162"/>
        <v/>
      </c>
      <c r="V259" s="81" t="b">
        <f t="shared" si="162"/>
        <v>0</v>
      </c>
      <c r="W259" s="170" t="str">
        <f t="shared" si="162"/>
        <v>Character/Prefabs/m_boss_attacker_skull_crawler_1</v>
      </c>
      <c r="X259" s="81" t="str">
        <f t="shared" si="162"/>
        <v/>
      </c>
      <c r="Y259" s="162" t="str">
        <f t="shared" si="162"/>
        <v>m_boss_attacker_crawler_1</v>
      </c>
      <c r="Z259" s="81" t="str">
        <f t="shared" si="162"/>
        <v/>
      </c>
      <c r="AA259" s="81" t="str">
        <f t="shared" si="162"/>
        <v/>
      </c>
      <c r="AB259" s="81" t="str">
        <f t="shared" si="162"/>
        <v/>
      </c>
      <c r="AC259" s="96">
        <f t="shared" si="162"/>
        <v>1.4</v>
      </c>
      <c r="AD259" s="81" t="str">
        <f t="shared" si="162"/>
        <v/>
      </c>
      <c r="AE259" s="81" t="str">
        <f t="shared" si="162"/>
        <v>Character/Timeline/02_MON/crawler/appearance2</v>
      </c>
      <c r="AF259" s="81" t="str">
        <f t="shared" si="162"/>
        <v>Character/Timeline/02_MON/crawler/die2</v>
      </c>
      <c r="AG259" s="173" t="s">
        <v>2762</v>
      </c>
    </row>
    <row r="260" spans="1:33" x14ac:dyDescent="0.3">
      <c r="A260" s="13">
        <f t="shared" si="160"/>
        <v>1310301001</v>
      </c>
      <c r="B260" s="13" t="str">
        <f t="shared" ref="B260:AF260" si="163">IF(B149 &lt;&gt; "", B149, "")</f>
        <v>Daily.Exp</v>
      </c>
      <c r="C260" s="5" t="str">
        <f t="shared" si="163"/>
        <v>솔리드메카mk1</v>
      </c>
      <c r="D260" s="5" t="str">
        <f t="shared" si="163"/>
        <v>Monster.Name.solid_turretmk1_1</v>
      </c>
      <c r="E260" s="5" t="str">
        <f t="shared" si="163"/>
        <v>Attacker</v>
      </c>
      <c r="F260" s="17" t="str">
        <f t="shared" si="163"/>
        <v>Fac_nul_ind</v>
      </c>
      <c r="G260" s="5" t="str">
        <f t="shared" si="163"/>
        <v>TRUE</v>
      </c>
      <c r="H260" s="5" t="b">
        <f t="shared" si="163"/>
        <v>0</v>
      </c>
      <c r="I260" s="5" t="b">
        <f t="shared" si="163"/>
        <v>0</v>
      </c>
      <c r="J260" s="5">
        <f t="shared" si="163"/>
        <v>10</v>
      </c>
      <c r="K260" s="5">
        <f t="shared" si="163"/>
        <v>10</v>
      </c>
      <c r="L260" s="2" t="str">
        <f t="shared" si="163"/>
        <v>Daily.Exp.solid_turretmk1_1.attack01</v>
      </c>
      <c r="M260" s="2" t="str">
        <f t="shared" si="163"/>
        <v/>
      </c>
      <c r="N260" s="2" t="str">
        <f t="shared" si="163"/>
        <v/>
      </c>
      <c r="O260" s="178" t="str">
        <f t="shared" si="163"/>
        <v/>
      </c>
      <c r="P260" s="14" t="str">
        <f t="shared" si="163"/>
        <v/>
      </c>
      <c r="Q260" s="14" t="str">
        <f t="shared" si="163"/>
        <v/>
      </c>
      <c r="R260" s="14" t="str">
        <f t="shared" si="163"/>
        <v/>
      </c>
      <c r="S260" s="14" t="str">
        <f t="shared" si="163"/>
        <v/>
      </c>
      <c r="T260" s="14" t="str">
        <f t="shared" si="163"/>
        <v/>
      </c>
      <c r="U260" s="14" t="str">
        <f t="shared" si="163"/>
        <v/>
      </c>
      <c r="V260" s="5" t="b">
        <f t="shared" si="163"/>
        <v>0</v>
      </c>
      <c r="W260" s="5" t="str">
        <f t="shared" si="163"/>
        <v>Character/Prefabs/m_s_attacker_solid_turretmk1_1</v>
      </c>
      <c r="X260" s="5" t="str">
        <f t="shared" si="163"/>
        <v/>
      </c>
      <c r="Y260" s="5" t="str">
        <f t="shared" si="163"/>
        <v>m_s_attacker_solid_turretmk1_1</v>
      </c>
      <c r="Z260" s="5" t="str">
        <f t="shared" si="163"/>
        <v/>
      </c>
      <c r="AA260" s="5" t="str">
        <f t="shared" si="163"/>
        <v/>
      </c>
      <c r="AB260" s="5" t="str">
        <f t="shared" si="163"/>
        <v/>
      </c>
      <c r="AC260" s="97">
        <f t="shared" si="163"/>
        <v>0.7</v>
      </c>
      <c r="AD260" s="5" t="str">
        <f t="shared" si="163"/>
        <v/>
      </c>
      <c r="AE260" s="5" t="str">
        <f t="shared" si="163"/>
        <v/>
      </c>
      <c r="AF260" s="5" t="str">
        <f t="shared" si="163"/>
        <v/>
      </c>
      <c r="AG260" s="173" t="s">
        <v>2762</v>
      </c>
    </row>
    <row r="261" spans="1:33" x14ac:dyDescent="0.3">
      <c r="A261" s="13">
        <f t="shared" si="160"/>
        <v>1310301002</v>
      </c>
      <c r="B261" s="13" t="str">
        <f t="shared" ref="B261:AF261" si="164">IF(B150 &lt;&gt; "", B150, "")</f>
        <v>Daily.Exp</v>
      </c>
      <c r="C261" s="5" t="str">
        <f t="shared" si="164"/>
        <v>터렛프로토</v>
      </c>
      <c r="D261" s="5" t="str">
        <f t="shared" si="164"/>
        <v>Monster.Name.spider_turret_prototype_1</v>
      </c>
      <c r="E261" s="5" t="str">
        <f t="shared" si="164"/>
        <v>Ranger</v>
      </c>
      <c r="F261" s="17" t="str">
        <f t="shared" si="164"/>
        <v>Fac_nul_ind</v>
      </c>
      <c r="G261" s="5" t="str">
        <f t="shared" si="164"/>
        <v>TRUE</v>
      </c>
      <c r="H261" s="5" t="b">
        <f t="shared" si="164"/>
        <v>0</v>
      </c>
      <c r="I261" s="5" t="b">
        <f t="shared" si="164"/>
        <v>0</v>
      </c>
      <c r="J261" s="5">
        <f t="shared" si="164"/>
        <v>10</v>
      </c>
      <c r="K261" s="5">
        <f t="shared" si="164"/>
        <v>30</v>
      </c>
      <c r="L261" s="2" t="str">
        <f t="shared" si="164"/>
        <v>Daily.Exp.spider_turret_prototype_1.attack01</v>
      </c>
      <c r="M261" s="2" t="str">
        <f t="shared" si="164"/>
        <v/>
      </c>
      <c r="N261" s="2" t="str">
        <f t="shared" si="164"/>
        <v/>
      </c>
      <c r="O261" s="178" t="str">
        <f t="shared" si="164"/>
        <v/>
      </c>
      <c r="P261" s="14" t="str">
        <f t="shared" si="164"/>
        <v/>
      </c>
      <c r="Q261" s="14" t="str">
        <f t="shared" si="164"/>
        <v/>
      </c>
      <c r="R261" s="14" t="str">
        <f t="shared" si="164"/>
        <v/>
      </c>
      <c r="S261" s="14" t="str">
        <f t="shared" si="164"/>
        <v/>
      </c>
      <c r="T261" s="14" t="str">
        <f t="shared" si="164"/>
        <v/>
      </c>
      <c r="U261" s="14" t="str">
        <f t="shared" si="164"/>
        <v/>
      </c>
      <c r="V261" s="5" t="b">
        <f t="shared" si="164"/>
        <v>0</v>
      </c>
      <c r="W261" s="5" t="str">
        <f t="shared" si="164"/>
        <v>Character/Prefabs/m_s_ranger_spider_turret_prototype_1</v>
      </c>
      <c r="X261" s="5" t="str">
        <f t="shared" si="164"/>
        <v/>
      </c>
      <c r="Y261" s="5" t="str">
        <f t="shared" si="164"/>
        <v>m_s_ranger_spider_turret_prototype_1</v>
      </c>
      <c r="Z261" s="5" t="str">
        <f t="shared" si="164"/>
        <v/>
      </c>
      <c r="AA261" s="5" t="str">
        <f t="shared" si="164"/>
        <v/>
      </c>
      <c r="AB261" s="5" t="str">
        <f t="shared" si="164"/>
        <v/>
      </c>
      <c r="AC261" s="97">
        <f t="shared" si="164"/>
        <v>0.7</v>
      </c>
      <c r="AD261" s="5" t="str">
        <f t="shared" si="164"/>
        <v/>
      </c>
      <c r="AE261" s="5" t="str">
        <f t="shared" si="164"/>
        <v/>
      </c>
      <c r="AF261" s="5" t="str">
        <f t="shared" si="164"/>
        <v/>
      </c>
      <c r="AG261" s="173" t="s">
        <v>2762</v>
      </c>
    </row>
    <row r="262" spans="1:33" x14ac:dyDescent="0.3">
      <c r="A262" s="13">
        <f t="shared" si="160"/>
        <v>1310301003</v>
      </c>
      <c r="B262" s="13" t="str">
        <f t="shared" ref="B262:AF262" si="165">IF(B151 &lt;&gt; "", B151, "")</f>
        <v>Daily.Exp</v>
      </c>
      <c r="C262" s="5" t="str">
        <f t="shared" si="165"/>
        <v>터틀메카mk1</v>
      </c>
      <c r="D262" s="5" t="str">
        <f t="shared" si="165"/>
        <v>Monster.Name.turtle_mechamk1_1</v>
      </c>
      <c r="E262" s="5" t="str">
        <f t="shared" si="165"/>
        <v>Attacker</v>
      </c>
      <c r="F262" s="17" t="str">
        <f t="shared" si="165"/>
        <v>Fac_nul_ind</v>
      </c>
      <c r="G262" s="5" t="str">
        <f t="shared" si="165"/>
        <v>TRUE</v>
      </c>
      <c r="H262" s="5" t="b">
        <f t="shared" si="165"/>
        <v>0</v>
      </c>
      <c r="I262" s="5" t="b">
        <f t="shared" si="165"/>
        <v>0</v>
      </c>
      <c r="J262" s="5">
        <f t="shared" si="165"/>
        <v>10</v>
      </c>
      <c r="K262" s="5">
        <f t="shared" si="165"/>
        <v>10</v>
      </c>
      <c r="L262" s="2" t="str">
        <f t="shared" si="165"/>
        <v>Daily.Exp.turtle_mechamk1_1.attack01</v>
      </c>
      <c r="M262" s="2" t="str">
        <f t="shared" si="165"/>
        <v/>
      </c>
      <c r="N262" s="2" t="str">
        <f t="shared" si="165"/>
        <v/>
      </c>
      <c r="O262" s="178" t="str">
        <f t="shared" si="165"/>
        <v/>
      </c>
      <c r="P262" s="14" t="str">
        <f t="shared" si="165"/>
        <v/>
      </c>
      <c r="Q262" s="14" t="str">
        <f t="shared" si="165"/>
        <v/>
      </c>
      <c r="R262" s="14" t="str">
        <f t="shared" si="165"/>
        <v/>
      </c>
      <c r="S262" s="14" t="str">
        <f t="shared" si="165"/>
        <v/>
      </c>
      <c r="T262" s="14" t="str">
        <f t="shared" si="165"/>
        <v/>
      </c>
      <c r="U262" s="14" t="str">
        <f t="shared" si="165"/>
        <v/>
      </c>
      <c r="V262" s="5" t="b">
        <f t="shared" si="165"/>
        <v>0</v>
      </c>
      <c r="W262" s="5" t="str">
        <f t="shared" si="165"/>
        <v>Character/Prefabs/m_s_attacker_turtle_mechamk1_1</v>
      </c>
      <c r="X262" s="5" t="str">
        <f t="shared" si="165"/>
        <v/>
      </c>
      <c r="Y262" s="5" t="str">
        <f t="shared" si="165"/>
        <v>m_s_attacker_turtle_mechamk1_1</v>
      </c>
      <c r="Z262" s="5" t="str">
        <f t="shared" si="165"/>
        <v/>
      </c>
      <c r="AA262" s="5" t="str">
        <f t="shared" si="165"/>
        <v/>
      </c>
      <c r="AB262" s="5" t="str">
        <f t="shared" si="165"/>
        <v/>
      </c>
      <c r="AC262" s="97">
        <f t="shared" si="165"/>
        <v>0.7</v>
      </c>
      <c r="AD262" s="5" t="str">
        <f t="shared" si="165"/>
        <v/>
      </c>
      <c r="AE262" s="5" t="str">
        <f t="shared" si="165"/>
        <v/>
      </c>
      <c r="AF262" s="5" t="str">
        <f t="shared" si="165"/>
        <v/>
      </c>
      <c r="AG262" s="173" t="s">
        <v>2762</v>
      </c>
    </row>
    <row r="263" spans="1:33" x14ac:dyDescent="0.3">
      <c r="A263" s="13">
        <f t="shared" si="160"/>
        <v>1310301004</v>
      </c>
      <c r="B263" s="13" t="str">
        <f t="shared" ref="B263:AF263" si="166">IF(B152 &lt;&gt; "", B152, "")</f>
        <v>Daily.Exp</v>
      </c>
      <c r="C263" s="5" t="str">
        <f t="shared" si="166"/>
        <v>터틀메카mk3</v>
      </c>
      <c r="D263" s="5" t="str">
        <f t="shared" si="166"/>
        <v>Monster.Name.turtle_mechamk3_3</v>
      </c>
      <c r="E263" s="5" t="str">
        <f t="shared" si="166"/>
        <v>Attacker</v>
      </c>
      <c r="F263" s="17" t="str">
        <f t="shared" si="166"/>
        <v>Fac_nul_ind</v>
      </c>
      <c r="G263" s="5" t="str">
        <f t="shared" si="166"/>
        <v>TRUE</v>
      </c>
      <c r="H263" s="5" t="b">
        <f t="shared" si="166"/>
        <v>0</v>
      </c>
      <c r="I263" s="5" t="b">
        <f t="shared" si="166"/>
        <v>0</v>
      </c>
      <c r="J263" s="5">
        <f t="shared" si="166"/>
        <v>10</v>
      </c>
      <c r="K263" s="5">
        <f t="shared" si="166"/>
        <v>10</v>
      </c>
      <c r="L263" s="2" t="str">
        <f t="shared" si="166"/>
        <v>Daily.Exp.turtle_mechamk3_3.attack01</v>
      </c>
      <c r="M263" s="2" t="str">
        <f t="shared" si="166"/>
        <v/>
      </c>
      <c r="N263" s="2" t="str">
        <f t="shared" si="166"/>
        <v/>
      </c>
      <c r="O263" s="178" t="str">
        <f t="shared" si="166"/>
        <v/>
      </c>
      <c r="P263" s="14" t="str">
        <f t="shared" si="166"/>
        <v/>
      </c>
      <c r="Q263" s="14" t="str">
        <f t="shared" si="166"/>
        <v/>
      </c>
      <c r="R263" s="14" t="str">
        <f t="shared" si="166"/>
        <v/>
      </c>
      <c r="S263" s="14" t="str">
        <f t="shared" si="166"/>
        <v/>
      </c>
      <c r="T263" s="14" t="str">
        <f t="shared" si="166"/>
        <v/>
      </c>
      <c r="U263" s="14" t="str">
        <f t="shared" si="166"/>
        <v/>
      </c>
      <c r="V263" s="5" t="b">
        <f t="shared" si="166"/>
        <v>0</v>
      </c>
      <c r="W263" s="5" t="str">
        <f t="shared" si="166"/>
        <v>Character/Prefabs/m_s_attacker_turtle_mechamk3_3</v>
      </c>
      <c r="X263" s="5" t="str">
        <f t="shared" si="166"/>
        <v/>
      </c>
      <c r="Y263" s="5" t="str">
        <f t="shared" si="166"/>
        <v>m_s_attacker_turtle_mechamk3_3</v>
      </c>
      <c r="Z263" s="5" t="str">
        <f t="shared" si="166"/>
        <v/>
      </c>
      <c r="AA263" s="5" t="str">
        <f t="shared" si="166"/>
        <v/>
      </c>
      <c r="AB263" s="5" t="str">
        <f t="shared" si="166"/>
        <v/>
      </c>
      <c r="AC263" s="97">
        <f t="shared" si="166"/>
        <v>0.7</v>
      </c>
      <c r="AD263" s="5" t="str">
        <f t="shared" si="166"/>
        <v/>
      </c>
      <c r="AE263" s="5" t="str">
        <f t="shared" si="166"/>
        <v/>
      </c>
      <c r="AF263" s="5" t="str">
        <f t="shared" si="166"/>
        <v/>
      </c>
      <c r="AG263" s="173" t="s">
        <v>2762</v>
      </c>
    </row>
    <row r="264" spans="1:33" x14ac:dyDescent="0.3">
      <c r="A264" s="13">
        <f t="shared" si="160"/>
        <v>1310301005</v>
      </c>
      <c r="B264" s="13" t="str">
        <f t="shared" ref="B264:AF264" si="167">IF(B153 &lt;&gt; "", B153, "")</f>
        <v>Daily.Exp</v>
      </c>
      <c r="C264" s="5" t="str">
        <f t="shared" si="167"/>
        <v>스콜피온터렛mk2</v>
      </c>
      <c r="D264" s="5" t="str">
        <f t="shared" si="167"/>
        <v>Monster.Name.scorpion_turretmk2_3</v>
      </c>
      <c r="E264" s="5" t="str">
        <f t="shared" si="167"/>
        <v>Ranger</v>
      </c>
      <c r="F264" s="17" t="str">
        <f t="shared" si="167"/>
        <v>Fac_nul_ind</v>
      </c>
      <c r="G264" s="5" t="str">
        <f t="shared" si="167"/>
        <v>TRUE</v>
      </c>
      <c r="H264" s="5" t="b">
        <f t="shared" si="167"/>
        <v>0</v>
      </c>
      <c r="I264" s="5" t="b">
        <f t="shared" si="167"/>
        <v>0</v>
      </c>
      <c r="J264" s="5">
        <f t="shared" si="167"/>
        <v>10</v>
      </c>
      <c r="K264" s="5">
        <f t="shared" si="167"/>
        <v>10</v>
      </c>
      <c r="L264" s="2" t="str">
        <f t="shared" si="167"/>
        <v>Daily.Exp.scorpion_turretmk2_3.attack01</v>
      </c>
      <c r="M264" s="2" t="str">
        <f t="shared" si="167"/>
        <v/>
      </c>
      <c r="N264" s="2" t="str">
        <f t="shared" si="167"/>
        <v/>
      </c>
      <c r="O264" s="178" t="str">
        <f t="shared" si="167"/>
        <v/>
      </c>
      <c r="P264" s="14" t="str">
        <f t="shared" si="167"/>
        <v/>
      </c>
      <c r="Q264" s="14" t="str">
        <f t="shared" si="167"/>
        <v/>
      </c>
      <c r="R264" s="14" t="str">
        <f t="shared" si="167"/>
        <v/>
      </c>
      <c r="S264" s="14" t="str">
        <f t="shared" si="167"/>
        <v/>
      </c>
      <c r="T264" s="14" t="str">
        <f t="shared" si="167"/>
        <v/>
      </c>
      <c r="U264" s="14" t="str">
        <f t="shared" si="167"/>
        <v/>
      </c>
      <c r="V264" s="5" t="b">
        <f t="shared" si="167"/>
        <v>0</v>
      </c>
      <c r="W264" s="5" t="str">
        <f t="shared" si="167"/>
        <v>Character/Prefabs/m_s_ranger_scorpion_turretmk2_3</v>
      </c>
      <c r="X264" s="5" t="str">
        <f t="shared" si="167"/>
        <v/>
      </c>
      <c r="Y264" s="5" t="str">
        <f t="shared" si="167"/>
        <v>m_s_ranger_scorpion_turretmk2_3</v>
      </c>
      <c r="Z264" s="5" t="str">
        <f t="shared" si="167"/>
        <v/>
      </c>
      <c r="AA264" s="5" t="str">
        <f t="shared" si="167"/>
        <v/>
      </c>
      <c r="AB264" s="5" t="str">
        <f t="shared" si="167"/>
        <v/>
      </c>
      <c r="AC264" s="97">
        <f t="shared" si="167"/>
        <v>0.7</v>
      </c>
      <c r="AD264" s="5" t="str">
        <f t="shared" si="167"/>
        <v/>
      </c>
      <c r="AE264" s="5" t="str">
        <f t="shared" si="167"/>
        <v/>
      </c>
      <c r="AF264" s="5" t="str">
        <f t="shared" si="167"/>
        <v/>
      </c>
      <c r="AG264" s="173" t="s">
        <v>2762</v>
      </c>
    </row>
    <row r="265" spans="1:33" x14ac:dyDescent="0.3">
      <c r="A265" s="13">
        <f t="shared" si="160"/>
        <v>1310301006</v>
      </c>
      <c r="B265" s="13" t="str">
        <f t="shared" ref="B265:AF265" si="168">IF(B154 &lt;&gt; "", B154, "")</f>
        <v>Daily.Exp</v>
      </c>
      <c r="C265" s="5" t="str">
        <f t="shared" si="168"/>
        <v>라이노메카mk3</v>
      </c>
      <c r="D265" s="5" t="str">
        <f t="shared" si="168"/>
        <v>Monster.Name.rhino_mechamk3_3</v>
      </c>
      <c r="E265" s="5" t="str">
        <f t="shared" si="168"/>
        <v>Attacker</v>
      </c>
      <c r="F265" s="17" t="str">
        <f t="shared" si="168"/>
        <v>Fac_nul_ind</v>
      </c>
      <c r="G265" s="5" t="str">
        <f t="shared" si="168"/>
        <v>TRUE</v>
      </c>
      <c r="H265" s="5" t="b">
        <f t="shared" si="168"/>
        <v>0</v>
      </c>
      <c r="I265" s="5" t="b">
        <f t="shared" si="168"/>
        <v>0</v>
      </c>
      <c r="J265" s="5">
        <f t="shared" si="168"/>
        <v>10</v>
      </c>
      <c r="K265" s="5">
        <f t="shared" si="168"/>
        <v>10</v>
      </c>
      <c r="L265" s="2" t="str">
        <f t="shared" si="168"/>
        <v>Daily.Exp.rhino_mechamk3_3.attack01</v>
      </c>
      <c r="M265" s="2" t="str">
        <f t="shared" si="168"/>
        <v/>
      </c>
      <c r="N265" s="2" t="str">
        <f t="shared" si="168"/>
        <v/>
      </c>
      <c r="O265" s="178" t="str">
        <f t="shared" si="168"/>
        <v/>
      </c>
      <c r="P265" s="14" t="str">
        <f t="shared" si="168"/>
        <v/>
      </c>
      <c r="Q265" s="14" t="str">
        <f t="shared" si="168"/>
        <v/>
      </c>
      <c r="R265" s="14" t="str">
        <f t="shared" si="168"/>
        <v/>
      </c>
      <c r="S265" s="14" t="str">
        <f t="shared" si="168"/>
        <v/>
      </c>
      <c r="T265" s="14" t="str">
        <f t="shared" si="168"/>
        <v/>
      </c>
      <c r="U265" s="14" t="str">
        <f t="shared" si="168"/>
        <v/>
      </c>
      <c r="V265" s="5" t="b">
        <f t="shared" si="168"/>
        <v>0</v>
      </c>
      <c r="W265" s="5" t="str">
        <f t="shared" si="168"/>
        <v>Character/Prefabs/m_s_attacker_rhino_mechamk3_3</v>
      </c>
      <c r="X265" s="5" t="str">
        <f t="shared" si="168"/>
        <v/>
      </c>
      <c r="Y265" s="5" t="str">
        <f t="shared" si="168"/>
        <v>m_s_attacker_rhino_mechamk3_3</v>
      </c>
      <c r="Z265" s="5" t="str">
        <f t="shared" si="168"/>
        <v/>
      </c>
      <c r="AA265" s="5" t="str">
        <f t="shared" si="168"/>
        <v/>
      </c>
      <c r="AB265" s="5" t="str">
        <f t="shared" si="168"/>
        <v/>
      </c>
      <c r="AC265" s="97">
        <f t="shared" si="168"/>
        <v>0.7</v>
      </c>
      <c r="AD265" s="5" t="str">
        <f t="shared" si="168"/>
        <v/>
      </c>
      <c r="AE265" s="5" t="str">
        <f t="shared" si="168"/>
        <v/>
      </c>
      <c r="AF265" s="5" t="str">
        <f t="shared" si="168"/>
        <v/>
      </c>
      <c r="AG265" s="173" t="s">
        <v>2762</v>
      </c>
    </row>
    <row r="266" spans="1:33" x14ac:dyDescent="0.3">
      <c r="A266" s="37">
        <f t="shared" si="160"/>
        <v>1310302001</v>
      </c>
      <c r="B266" s="37" t="str">
        <f t="shared" ref="B266:AF266" si="169">IF(B155 &lt;&gt; "", B155, "")</f>
        <v>Daily.Gold1</v>
      </c>
      <c r="C266" s="5" t="str">
        <f t="shared" si="169"/>
        <v>더스트드론</v>
      </c>
      <c r="D266" s="5" t="str">
        <f t="shared" si="169"/>
        <v>Monster.Name.hellfire_drone_2</v>
      </c>
      <c r="E266" s="5" t="str">
        <f t="shared" si="169"/>
        <v>Ranger</v>
      </c>
      <c r="F266" s="17" t="str">
        <f t="shared" si="169"/>
        <v>Fac_nul_ind</v>
      </c>
      <c r="G266" s="5" t="str">
        <f t="shared" si="169"/>
        <v>TRUE</v>
      </c>
      <c r="H266" s="5" t="b">
        <f t="shared" si="169"/>
        <v>0</v>
      </c>
      <c r="I266" s="5" t="b">
        <f t="shared" si="169"/>
        <v>0</v>
      </c>
      <c r="J266" s="5">
        <f t="shared" si="169"/>
        <v>10</v>
      </c>
      <c r="K266" s="5">
        <f t="shared" si="169"/>
        <v>10</v>
      </c>
      <c r="L266" s="2" t="str">
        <f t="shared" si="169"/>
        <v>Daily.Gold1.hellfire_drone_3.attack01</v>
      </c>
      <c r="M266" s="2" t="str">
        <f t="shared" si="169"/>
        <v/>
      </c>
      <c r="N266" s="2" t="str">
        <f t="shared" si="169"/>
        <v/>
      </c>
      <c r="O266" s="178" t="str">
        <f t="shared" si="169"/>
        <v>Daily.Gold1.hellfire_drone_3.skill01</v>
      </c>
      <c r="P266" s="14" t="str">
        <f t="shared" si="169"/>
        <v/>
      </c>
      <c r="Q266" s="14" t="str">
        <f t="shared" si="169"/>
        <v/>
      </c>
      <c r="R266" s="14" t="str">
        <f t="shared" si="169"/>
        <v/>
      </c>
      <c r="S266" s="14" t="str">
        <f t="shared" si="169"/>
        <v>Daily.Gold1.hellfire_drone_3.passive01</v>
      </c>
      <c r="T266" s="14" t="str">
        <f t="shared" si="169"/>
        <v/>
      </c>
      <c r="U266" s="14" t="str">
        <f t="shared" si="169"/>
        <v/>
      </c>
      <c r="V266" s="5" t="b">
        <f t="shared" si="169"/>
        <v>0</v>
      </c>
      <c r="W266" s="5" t="str">
        <f t="shared" si="169"/>
        <v>Character/Prefabs/m_s_ranger_hellfire_drone_2</v>
      </c>
      <c r="X266" s="5" t="str">
        <f t="shared" si="169"/>
        <v/>
      </c>
      <c r="Y266" s="5" t="str">
        <f t="shared" si="169"/>
        <v>m_s_ranger_hellfire_drone_2</v>
      </c>
      <c r="Z266" s="5" t="str">
        <f t="shared" si="169"/>
        <v/>
      </c>
      <c r="AA266" s="5" t="str">
        <f t="shared" si="169"/>
        <v/>
      </c>
      <c r="AB266" s="5" t="str">
        <f t="shared" si="169"/>
        <v/>
      </c>
      <c r="AC266" s="97">
        <f t="shared" si="169"/>
        <v>0.7</v>
      </c>
      <c r="AD266" s="5" t="str">
        <f t="shared" si="169"/>
        <v/>
      </c>
      <c r="AE266" s="5" t="str">
        <f t="shared" si="169"/>
        <v/>
      </c>
      <c r="AF266" s="5" t="str">
        <f t="shared" si="169"/>
        <v/>
      </c>
      <c r="AG266" s="173" t="s">
        <v>2762</v>
      </c>
    </row>
    <row r="267" spans="1:33" x14ac:dyDescent="0.3">
      <c r="A267" s="37">
        <f t="shared" si="160"/>
        <v>1310302002</v>
      </c>
      <c r="B267" s="37" t="str">
        <f t="shared" ref="B267:AF267" si="170">IF(B156 &lt;&gt; "", B156, "")</f>
        <v>Daily.Gold2</v>
      </c>
      <c r="C267" s="5" t="str">
        <f t="shared" si="170"/>
        <v>더스트드론</v>
      </c>
      <c r="D267" s="5" t="str">
        <f t="shared" si="170"/>
        <v>Monster.Name.hellfire_drone_2</v>
      </c>
      <c r="E267" s="5" t="str">
        <f t="shared" si="170"/>
        <v>Ranger</v>
      </c>
      <c r="F267" s="17" t="str">
        <f t="shared" si="170"/>
        <v>Fac_nul_ind</v>
      </c>
      <c r="G267" s="5" t="str">
        <f t="shared" si="170"/>
        <v>TRUE</v>
      </c>
      <c r="H267" s="5" t="b">
        <f t="shared" si="170"/>
        <v>0</v>
      </c>
      <c r="I267" s="5" t="b">
        <f t="shared" si="170"/>
        <v>0</v>
      </c>
      <c r="J267" s="5">
        <f t="shared" si="170"/>
        <v>10</v>
      </c>
      <c r="K267" s="5">
        <f t="shared" si="170"/>
        <v>10</v>
      </c>
      <c r="L267" s="2" t="str">
        <f t="shared" si="170"/>
        <v>Daily.Gold2.hellfire_drone_3.attack01</v>
      </c>
      <c r="M267" s="2" t="str">
        <f t="shared" si="170"/>
        <v/>
      </c>
      <c r="N267" s="2" t="str">
        <f t="shared" si="170"/>
        <v/>
      </c>
      <c r="O267" s="178" t="str">
        <f t="shared" si="170"/>
        <v>Daily.Gold2.hellfire_drone_3.skill01</v>
      </c>
      <c r="P267" s="14" t="str">
        <f t="shared" si="170"/>
        <v/>
      </c>
      <c r="Q267" s="14" t="str">
        <f t="shared" si="170"/>
        <v/>
      </c>
      <c r="R267" s="14" t="str">
        <f t="shared" si="170"/>
        <v/>
      </c>
      <c r="S267" s="14" t="str">
        <f t="shared" si="170"/>
        <v>Daily.Gold2.hellfire_drone_3.passive01</v>
      </c>
      <c r="T267" s="14" t="str">
        <f t="shared" si="170"/>
        <v/>
      </c>
      <c r="U267" s="14" t="str">
        <f t="shared" si="170"/>
        <v/>
      </c>
      <c r="V267" s="5" t="b">
        <f t="shared" si="170"/>
        <v>0</v>
      </c>
      <c r="W267" s="5" t="str">
        <f t="shared" si="170"/>
        <v>Character/Prefabs/m_s_ranger_hellfire_drone_2</v>
      </c>
      <c r="X267" s="5" t="str">
        <f t="shared" si="170"/>
        <v/>
      </c>
      <c r="Y267" s="5" t="str">
        <f t="shared" si="170"/>
        <v>m_s_ranger_hellfire_drone_2</v>
      </c>
      <c r="Z267" s="5" t="str">
        <f t="shared" si="170"/>
        <v/>
      </c>
      <c r="AA267" s="5" t="str">
        <f t="shared" si="170"/>
        <v/>
      </c>
      <c r="AB267" s="5" t="str">
        <f t="shared" si="170"/>
        <v/>
      </c>
      <c r="AC267" s="97">
        <f t="shared" si="170"/>
        <v>0.7</v>
      </c>
      <c r="AD267" s="5" t="str">
        <f t="shared" si="170"/>
        <v/>
      </c>
      <c r="AE267" s="5" t="str">
        <f t="shared" si="170"/>
        <v/>
      </c>
      <c r="AF267" s="5" t="str">
        <f t="shared" si="170"/>
        <v/>
      </c>
      <c r="AG267" s="173" t="s">
        <v>2762</v>
      </c>
    </row>
    <row r="268" spans="1:33" x14ac:dyDescent="0.3">
      <c r="A268" s="51">
        <f t="shared" si="160"/>
        <v>1310302003</v>
      </c>
      <c r="B268" s="51" t="str">
        <f t="shared" ref="B268:AF268" si="171">IF(B157 &lt;&gt; "", B157, "")</f>
        <v>Daily.Gold</v>
      </c>
      <c r="C268" s="5" t="str">
        <f t="shared" si="171"/>
        <v>헤비트루퍼런처</v>
      </c>
      <c r="D268" s="5" t="str">
        <f t="shared" si="171"/>
        <v>Monster.Name.heavy_trooper_launcher_1</v>
      </c>
      <c r="E268" s="5" t="str">
        <f t="shared" si="171"/>
        <v>Ranger</v>
      </c>
      <c r="F268" s="17" t="str">
        <f t="shared" si="171"/>
        <v>Fac_nul_ind</v>
      </c>
      <c r="G268" s="5" t="str">
        <f t="shared" si="171"/>
        <v>TRUE</v>
      </c>
      <c r="H268" s="5" t="b">
        <f t="shared" si="171"/>
        <v>1</v>
      </c>
      <c r="I268" s="5" t="b">
        <f t="shared" si="171"/>
        <v>1</v>
      </c>
      <c r="J268" s="5">
        <f t="shared" si="171"/>
        <v>10</v>
      </c>
      <c r="K268" s="5">
        <f t="shared" si="171"/>
        <v>10</v>
      </c>
      <c r="L268" s="2" t="str">
        <f t="shared" si="171"/>
        <v>Daily.Gold.trooper_demolisher_1.attack01</v>
      </c>
      <c r="M268" s="2" t="str">
        <f t="shared" si="171"/>
        <v/>
      </c>
      <c r="N268" s="2" t="str">
        <f t="shared" si="171"/>
        <v/>
      </c>
      <c r="O268" s="178" t="str">
        <f t="shared" si="171"/>
        <v>Daily.Gold.trooper_demolisher_1.skill01</v>
      </c>
      <c r="P268" s="14" t="str">
        <f t="shared" si="171"/>
        <v>Daily.Gold.trooper_demolisher_1.skill02</v>
      </c>
      <c r="Q268" s="14" t="str">
        <f t="shared" si="171"/>
        <v>Daily.Gold.trooper_demolisher_1.passive01</v>
      </c>
      <c r="R268" s="14" t="str">
        <f t="shared" si="171"/>
        <v/>
      </c>
      <c r="S268" s="14" t="str">
        <f t="shared" si="171"/>
        <v/>
      </c>
      <c r="T268" s="14" t="str">
        <f t="shared" si="171"/>
        <v/>
      </c>
      <c r="U268" s="14" t="str">
        <f t="shared" si="171"/>
        <v/>
      </c>
      <c r="V268" s="5" t="b">
        <f t="shared" si="171"/>
        <v>0</v>
      </c>
      <c r="W268" s="5" t="str">
        <f t="shared" si="171"/>
        <v>Character/Prefabs/m_m_ranger_heavy_trooper_launcher_1</v>
      </c>
      <c r="X268" s="5" t="str">
        <f t="shared" si="171"/>
        <v/>
      </c>
      <c r="Y268" s="5" t="str">
        <f t="shared" si="171"/>
        <v>m_m_ranger_heavy_trooper_launcher_1</v>
      </c>
      <c r="Z268" s="5" t="str">
        <f t="shared" si="171"/>
        <v/>
      </c>
      <c r="AA268" s="5" t="str">
        <f t="shared" si="171"/>
        <v/>
      </c>
      <c r="AB268" s="5" t="str">
        <f t="shared" si="171"/>
        <v/>
      </c>
      <c r="AC268" s="97">
        <f t="shared" si="171"/>
        <v>1</v>
      </c>
      <c r="AD268" s="5" t="str">
        <f t="shared" si="171"/>
        <v/>
      </c>
      <c r="AE268" s="5" t="str">
        <f t="shared" si="171"/>
        <v/>
      </c>
      <c r="AF268" s="5" t="str">
        <f t="shared" si="171"/>
        <v/>
      </c>
      <c r="AG268" s="173" t="s">
        <v>2762</v>
      </c>
    </row>
    <row r="269" spans="1:33" x14ac:dyDescent="0.3">
      <c r="A269" s="37">
        <f t="shared" si="160"/>
        <v>1310302004</v>
      </c>
      <c r="B269" s="37" t="str">
        <f t="shared" ref="B269:AF269" si="172">IF(B158 &lt;&gt; "", B158, "")</f>
        <v>Daily.Gold</v>
      </c>
      <c r="C269" s="5" t="str">
        <f t="shared" si="172"/>
        <v>헤비트루퍼라이플</v>
      </c>
      <c r="D269" s="5" t="str">
        <f t="shared" si="172"/>
        <v>Monster.Name.heavy_trooper_rifle_1</v>
      </c>
      <c r="E269" s="5" t="str">
        <f t="shared" si="172"/>
        <v>Ranger</v>
      </c>
      <c r="F269" s="17" t="str">
        <f t="shared" si="172"/>
        <v>Fac_nul_ind</v>
      </c>
      <c r="G269" s="5" t="str">
        <f t="shared" si="172"/>
        <v>TRUE</v>
      </c>
      <c r="H269" s="5" t="b">
        <f t="shared" si="172"/>
        <v>0</v>
      </c>
      <c r="I269" s="5" t="b">
        <f t="shared" si="172"/>
        <v>0</v>
      </c>
      <c r="J269" s="5">
        <f t="shared" si="172"/>
        <v>10</v>
      </c>
      <c r="K269" s="5">
        <f t="shared" si="172"/>
        <v>10</v>
      </c>
      <c r="L269" s="2" t="str">
        <f t="shared" si="172"/>
        <v>Daily.Gold.trooper_sniper_1.attack01</v>
      </c>
      <c r="M269" s="2" t="str">
        <f t="shared" si="172"/>
        <v/>
      </c>
      <c r="N269" s="2" t="str">
        <f t="shared" si="172"/>
        <v/>
      </c>
      <c r="O269" s="178" t="str">
        <f t="shared" si="172"/>
        <v>Daily.Gold.trooper_sniper_1.skill01</v>
      </c>
      <c r="P269" s="14" t="str">
        <f t="shared" si="172"/>
        <v/>
      </c>
      <c r="Q269" s="14" t="str">
        <f t="shared" si="172"/>
        <v/>
      </c>
      <c r="R269" s="14" t="str">
        <f t="shared" si="172"/>
        <v/>
      </c>
      <c r="S269" s="14" t="str">
        <f t="shared" si="172"/>
        <v/>
      </c>
      <c r="T269" s="14" t="str">
        <f t="shared" si="172"/>
        <v/>
      </c>
      <c r="U269" s="14" t="str">
        <f t="shared" si="172"/>
        <v/>
      </c>
      <c r="V269" s="5" t="b">
        <f t="shared" si="172"/>
        <v>0</v>
      </c>
      <c r="W269" s="5" t="str">
        <f t="shared" si="172"/>
        <v>Character/Prefabs/m_m_ranger_heavy_trooper_rifle_1</v>
      </c>
      <c r="X269" s="5" t="str">
        <f t="shared" si="172"/>
        <v/>
      </c>
      <c r="Y269" s="5" t="str">
        <f t="shared" si="172"/>
        <v>m_m_ranger_heavy_trooper_rifle_1</v>
      </c>
      <c r="Z269" s="5" t="str">
        <f t="shared" si="172"/>
        <v/>
      </c>
      <c r="AA269" s="5" t="str">
        <f t="shared" si="172"/>
        <v/>
      </c>
      <c r="AB269" s="5" t="str">
        <f t="shared" si="172"/>
        <v/>
      </c>
      <c r="AC269" s="97">
        <f t="shared" si="172"/>
        <v>0.7</v>
      </c>
      <c r="AD269" s="5" t="str">
        <f t="shared" si="172"/>
        <v/>
      </c>
      <c r="AE269" s="5" t="str">
        <f t="shared" si="172"/>
        <v/>
      </c>
      <c r="AF269" s="5" t="str">
        <f t="shared" si="172"/>
        <v/>
      </c>
      <c r="AG269" s="173" t="s">
        <v>2762</v>
      </c>
    </row>
    <row r="270" spans="1:33" x14ac:dyDescent="0.3">
      <c r="A270" s="37">
        <f t="shared" si="160"/>
        <v>1310302005</v>
      </c>
      <c r="B270" s="37" t="str">
        <f t="shared" ref="B270:AF270" si="173">IF(B159 &lt;&gt; "", B159, "")</f>
        <v>Daily.Gold</v>
      </c>
      <c r="C270" s="5" t="str">
        <f t="shared" si="173"/>
        <v>헤비트루퍼플레임</v>
      </c>
      <c r="D270" s="5" t="str">
        <f t="shared" si="173"/>
        <v>Monster.Name.heavy_trooper_flame_1</v>
      </c>
      <c r="E270" s="5" t="str">
        <f t="shared" si="173"/>
        <v>Attacker</v>
      </c>
      <c r="F270" s="17" t="str">
        <f t="shared" si="173"/>
        <v>Fac_nul_ind</v>
      </c>
      <c r="G270" s="5" t="str">
        <f t="shared" si="173"/>
        <v>TRUE</v>
      </c>
      <c r="H270" s="5" t="b">
        <f t="shared" si="173"/>
        <v>0</v>
      </c>
      <c r="I270" s="5" t="b">
        <f t="shared" si="173"/>
        <v>0</v>
      </c>
      <c r="J270" s="5">
        <f t="shared" si="173"/>
        <v>10</v>
      </c>
      <c r="K270" s="5">
        <f t="shared" si="173"/>
        <v>10</v>
      </c>
      <c r="L270" s="2" t="str">
        <f t="shared" si="173"/>
        <v>Daily.Gold.trooper_inferno_1.attack01</v>
      </c>
      <c r="M270" s="2" t="str">
        <f t="shared" si="173"/>
        <v/>
      </c>
      <c r="N270" s="2" t="str">
        <f t="shared" si="173"/>
        <v/>
      </c>
      <c r="O270" s="178" t="str">
        <f t="shared" si="173"/>
        <v/>
      </c>
      <c r="P270" s="14" t="str">
        <f t="shared" si="173"/>
        <v/>
      </c>
      <c r="Q270" s="14" t="str">
        <f t="shared" si="173"/>
        <v/>
      </c>
      <c r="R270" s="14" t="str">
        <f t="shared" si="173"/>
        <v/>
      </c>
      <c r="S270" s="14" t="str">
        <f t="shared" si="173"/>
        <v/>
      </c>
      <c r="T270" s="14" t="str">
        <f t="shared" si="173"/>
        <v/>
      </c>
      <c r="U270" s="14" t="str">
        <f t="shared" si="173"/>
        <v/>
      </c>
      <c r="V270" s="5" t="b">
        <f t="shared" si="173"/>
        <v>0</v>
      </c>
      <c r="W270" s="5" t="str">
        <f t="shared" si="173"/>
        <v>Character/Prefabs/m_m_attacker_heavy_trooper_flame_1</v>
      </c>
      <c r="X270" s="5" t="str">
        <f t="shared" si="173"/>
        <v/>
      </c>
      <c r="Y270" s="5" t="str">
        <f t="shared" si="173"/>
        <v>m_m_attacker_heavy_trooper_flame_1</v>
      </c>
      <c r="Z270" s="5" t="str">
        <f t="shared" si="173"/>
        <v/>
      </c>
      <c r="AA270" s="5" t="str">
        <f t="shared" si="173"/>
        <v/>
      </c>
      <c r="AB270" s="5" t="str">
        <f t="shared" si="173"/>
        <v/>
      </c>
      <c r="AC270" s="97">
        <f t="shared" si="173"/>
        <v>0.7</v>
      </c>
      <c r="AD270" s="5" t="str">
        <f t="shared" si="173"/>
        <v/>
      </c>
      <c r="AE270" s="5" t="str">
        <f t="shared" si="173"/>
        <v/>
      </c>
      <c r="AF270" s="5" t="str">
        <f t="shared" si="173"/>
        <v/>
      </c>
      <c r="AG270" s="173" t="s">
        <v>2762</v>
      </c>
    </row>
    <row r="271" spans="1:33" x14ac:dyDescent="0.3">
      <c r="A271" s="37">
        <f t="shared" si="160"/>
        <v>1310302006</v>
      </c>
      <c r="B271" s="37" t="str">
        <f t="shared" ref="B271:AF271" si="174">IF(B160 &lt;&gt; "", B160, "")</f>
        <v>Daily.Gold</v>
      </c>
      <c r="C271" s="5" t="str">
        <f t="shared" si="174"/>
        <v>그리마알파</v>
      </c>
      <c r="D271" s="5" t="str">
        <f t="shared" si="174"/>
        <v>Monster.Name.grima_alpha_1</v>
      </c>
      <c r="E271" s="5" t="str">
        <f t="shared" si="174"/>
        <v>Attacker</v>
      </c>
      <c r="F271" s="17" t="str">
        <f t="shared" si="174"/>
        <v>Fac_nul_ind</v>
      </c>
      <c r="G271" s="5" t="str">
        <f t="shared" si="174"/>
        <v>TRUE</v>
      </c>
      <c r="H271" s="5" t="b">
        <f t="shared" si="174"/>
        <v>0</v>
      </c>
      <c r="I271" s="5" t="b">
        <f t="shared" si="174"/>
        <v>0</v>
      </c>
      <c r="J271" s="5">
        <f t="shared" si="174"/>
        <v>10</v>
      </c>
      <c r="K271" s="5">
        <f t="shared" si="174"/>
        <v>10</v>
      </c>
      <c r="L271" s="2" t="str">
        <f t="shared" si="174"/>
        <v>Daily.Gold.grima_alpha_1.attack01</v>
      </c>
      <c r="M271" s="2" t="str">
        <f t="shared" si="174"/>
        <v/>
      </c>
      <c r="N271" s="2" t="str">
        <f t="shared" si="174"/>
        <v/>
      </c>
      <c r="O271" s="178" t="str">
        <f t="shared" si="174"/>
        <v>Daily.Gold.grima_alpha_1.skill01</v>
      </c>
      <c r="P271" s="14" t="str">
        <f t="shared" si="174"/>
        <v>Daily.Gold.grima_alpha_1.skill02</v>
      </c>
      <c r="Q271" s="14" t="str">
        <f t="shared" si="174"/>
        <v/>
      </c>
      <c r="R271" s="14" t="str">
        <f t="shared" si="174"/>
        <v/>
      </c>
      <c r="S271" s="14" t="str">
        <f t="shared" si="174"/>
        <v/>
      </c>
      <c r="T271" s="14" t="str">
        <f t="shared" si="174"/>
        <v/>
      </c>
      <c r="U271" s="14" t="str">
        <f t="shared" si="174"/>
        <v/>
      </c>
      <c r="V271" s="5" t="b">
        <f t="shared" si="174"/>
        <v>0</v>
      </c>
      <c r="W271" s="5" t="str">
        <f t="shared" si="174"/>
        <v>Character/Prefabs/m_l_attacker_grima_alpha_1</v>
      </c>
      <c r="X271" s="5" t="str">
        <f t="shared" si="174"/>
        <v/>
      </c>
      <c r="Y271" s="5" t="str">
        <f t="shared" si="174"/>
        <v>m_l_attacker_grima_alpha_1</v>
      </c>
      <c r="Z271" s="5" t="str">
        <f t="shared" si="174"/>
        <v/>
      </c>
      <c r="AA271" s="5" t="str">
        <f t="shared" si="174"/>
        <v/>
      </c>
      <c r="AB271" s="5" t="str">
        <f t="shared" si="174"/>
        <v/>
      </c>
      <c r="AC271" s="97">
        <f t="shared" si="174"/>
        <v>0.6</v>
      </c>
      <c r="AD271" s="5" t="str">
        <f t="shared" si="174"/>
        <v/>
      </c>
      <c r="AE271" s="5" t="str">
        <f t="shared" si="174"/>
        <v/>
      </c>
      <c r="AF271" s="5" t="str">
        <f t="shared" si="174"/>
        <v/>
      </c>
      <c r="AG271" s="173" t="s">
        <v>2762</v>
      </c>
    </row>
    <row r="272" spans="1:33" x14ac:dyDescent="0.3">
      <c r="A272" s="37">
        <f t="shared" si="160"/>
        <v>1310302007</v>
      </c>
      <c r="B272" s="37" t="str">
        <f t="shared" ref="B272:AF272" si="175">IF(B161 &lt;&gt; "", B161, "")</f>
        <v>Daily.Gold</v>
      </c>
      <c r="C272" s="5" t="str">
        <f t="shared" si="175"/>
        <v>드레인데미스</v>
      </c>
      <c r="D272" s="5" t="str">
        <f t="shared" si="175"/>
        <v>Monster.Name.draindermis_1</v>
      </c>
      <c r="E272" s="5" t="str">
        <f t="shared" si="175"/>
        <v>Ranger</v>
      </c>
      <c r="F272" s="17" t="str">
        <f t="shared" si="175"/>
        <v>Fac_nul_ind</v>
      </c>
      <c r="G272" s="5" t="str">
        <f t="shared" si="175"/>
        <v>TRUE</v>
      </c>
      <c r="H272" s="5" t="b">
        <f t="shared" si="175"/>
        <v>0</v>
      </c>
      <c r="I272" s="5" t="b">
        <f t="shared" si="175"/>
        <v>0</v>
      </c>
      <c r="J272" s="5">
        <f t="shared" si="175"/>
        <v>10</v>
      </c>
      <c r="K272" s="5">
        <f t="shared" si="175"/>
        <v>10</v>
      </c>
      <c r="L272" s="2" t="str">
        <f t="shared" si="175"/>
        <v>Daily.Gold.draindermis_1.attack01</v>
      </c>
      <c r="M272" s="2" t="str">
        <f t="shared" si="175"/>
        <v/>
      </c>
      <c r="N272" s="2" t="str">
        <f t="shared" si="175"/>
        <v/>
      </c>
      <c r="O272" s="178" t="str">
        <f t="shared" si="175"/>
        <v>Daily.Gold.draindermis_1.skill01</v>
      </c>
      <c r="P272" s="14" t="str">
        <f t="shared" si="175"/>
        <v>Daily.Gold.draindermis_1.skill02</v>
      </c>
      <c r="Q272" s="14" t="str">
        <f t="shared" si="175"/>
        <v/>
      </c>
      <c r="R272" s="14" t="str">
        <f t="shared" si="175"/>
        <v/>
      </c>
      <c r="S272" s="14" t="str">
        <f t="shared" si="175"/>
        <v/>
      </c>
      <c r="T272" s="14" t="str">
        <f t="shared" si="175"/>
        <v/>
      </c>
      <c r="U272" s="14" t="str">
        <f t="shared" si="175"/>
        <v/>
      </c>
      <c r="V272" s="5" t="b">
        <f t="shared" si="175"/>
        <v>0</v>
      </c>
      <c r="W272" s="5" t="str">
        <f t="shared" si="175"/>
        <v>Character/Prefabs/m_l_ranger_draindermis_1</v>
      </c>
      <c r="X272" s="5" t="str">
        <f t="shared" si="175"/>
        <v/>
      </c>
      <c r="Y272" s="5" t="str">
        <f t="shared" si="175"/>
        <v>m_l_ranger_draindermis_1</v>
      </c>
      <c r="Z272" s="5" t="str">
        <f t="shared" si="175"/>
        <v/>
      </c>
      <c r="AA272" s="5" t="str">
        <f t="shared" si="175"/>
        <v/>
      </c>
      <c r="AB272" s="5" t="str">
        <f t="shared" si="175"/>
        <v/>
      </c>
      <c r="AC272" s="97">
        <f t="shared" si="175"/>
        <v>0.7</v>
      </c>
      <c r="AD272" s="5" t="str">
        <f t="shared" si="175"/>
        <v/>
      </c>
      <c r="AE272" s="5" t="str">
        <f t="shared" si="175"/>
        <v/>
      </c>
      <c r="AF272" s="5" t="str">
        <f t="shared" si="175"/>
        <v/>
      </c>
      <c r="AG272" s="173" t="s">
        <v>2762</v>
      </c>
    </row>
    <row r="273" spans="1:33" x14ac:dyDescent="0.3">
      <c r="A273" s="37">
        <f t="shared" si="160"/>
        <v>1310302008</v>
      </c>
      <c r="B273" s="37" t="str">
        <f t="shared" ref="B273:AF273" si="176">IF(B162 &lt;&gt; "", B162, "")</f>
        <v>Daily.Gold</v>
      </c>
      <c r="C273" s="5" t="str">
        <f t="shared" si="176"/>
        <v>그리마베타</v>
      </c>
      <c r="D273" s="5" t="str">
        <f t="shared" si="176"/>
        <v>Monster.Name.grima_beta_1</v>
      </c>
      <c r="E273" s="5" t="str">
        <f t="shared" si="176"/>
        <v>Attacker</v>
      </c>
      <c r="F273" s="17" t="str">
        <f t="shared" si="176"/>
        <v>Fac_nul_ind</v>
      </c>
      <c r="G273" s="5" t="str">
        <f t="shared" si="176"/>
        <v>TRUE</v>
      </c>
      <c r="H273" s="5" t="b">
        <f t="shared" si="176"/>
        <v>0</v>
      </c>
      <c r="I273" s="5" t="b">
        <f t="shared" si="176"/>
        <v>0</v>
      </c>
      <c r="J273" s="5">
        <f t="shared" si="176"/>
        <v>10</v>
      </c>
      <c r="K273" s="5">
        <f t="shared" si="176"/>
        <v>10</v>
      </c>
      <c r="L273" s="2" t="str">
        <f t="shared" si="176"/>
        <v>Daily.Gold.grima_beta_1.attack01</v>
      </c>
      <c r="M273" s="2" t="str">
        <f t="shared" si="176"/>
        <v/>
      </c>
      <c r="N273" s="2" t="str">
        <f t="shared" si="176"/>
        <v/>
      </c>
      <c r="O273" s="178" t="str">
        <f t="shared" si="176"/>
        <v>Daily.Gold.grima_beta_1.skill01</v>
      </c>
      <c r="P273" s="14" t="str">
        <f t="shared" si="176"/>
        <v>Daily.Gold.grima_beta_1.skill02</v>
      </c>
      <c r="Q273" s="14" t="str">
        <f t="shared" si="176"/>
        <v/>
      </c>
      <c r="R273" s="14" t="str">
        <f t="shared" si="176"/>
        <v/>
      </c>
      <c r="S273" s="14" t="str">
        <f t="shared" si="176"/>
        <v/>
      </c>
      <c r="T273" s="14" t="str">
        <f t="shared" si="176"/>
        <v/>
      </c>
      <c r="U273" s="14" t="str">
        <f t="shared" si="176"/>
        <v/>
      </c>
      <c r="V273" s="5" t="b">
        <f t="shared" si="176"/>
        <v>0</v>
      </c>
      <c r="W273" s="5" t="str">
        <f t="shared" si="176"/>
        <v>Character/Prefabs/m_l_attacker_grima_beta_1</v>
      </c>
      <c r="X273" s="5" t="str">
        <f t="shared" si="176"/>
        <v/>
      </c>
      <c r="Y273" s="5" t="str">
        <f t="shared" si="176"/>
        <v>m_l_attacker_grima_beta_1</v>
      </c>
      <c r="Z273" s="5" t="str">
        <f t="shared" si="176"/>
        <v/>
      </c>
      <c r="AA273" s="5" t="str">
        <f t="shared" si="176"/>
        <v/>
      </c>
      <c r="AB273" s="5" t="str">
        <f t="shared" si="176"/>
        <v/>
      </c>
      <c r="AC273" s="97">
        <f t="shared" si="176"/>
        <v>0.6</v>
      </c>
      <c r="AD273" s="5" t="str">
        <f t="shared" si="176"/>
        <v/>
      </c>
      <c r="AE273" s="5" t="str">
        <f t="shared" si="176"/>
        <v/>
      </c>
      <c r="AF273" s="5" t="str">
        <f t="shared" si="176"/>
        <v/>
      </c>
      <c r="AG273" s="173" t="s">
        <v>2762</v>
      </c>
    </row>
    <row r="274" spans="1:33" x14ac:dyDescent="0.3">
      <c r="A274" s="37">
        <f t="shared" si="160"/>
        <v>1310302009</v>
      </c>
      <c r="B274" s="37" t="str">
        <f t="shared" ref="B274:AF274" si="177">IF(B163 &lt;&gt; "", B163, "")</f>
        <v>Daily.Gold</v>
      </c>
      <c r="C274" s="5" t="str">
        <f t="shared" si="177"/>
        <v>연구소임팩트</v>
      </c>
      <c r="D274" s="5" t="str">
        <f t="shared" si="177"/>
        <v>Monster.Name.labmecha_punch_1</v>
      </c>
      <c r="E274" s="5" t="str">
        <f t="shared" si="177"/>
        <v>Tanker</v>
      </c>
      <c r="F274" s="17" t="str">
        <f t="shared" si="177"/>
        <v>Fac_nul_ind</v>
      </c>
      <c r="G274" s="5" t="str">
        <f t="shared" si="177"/>
        <v>TRUE</v>
      </c>
      <c r="H274" s="5" t="b">
        <f t="shared" si="177"/>
        <v>0</v>
      </c>
      <c r="I274" s="5" t="b">
        <f t="shared" si="177"/>
        <v>0</v>
      </c>
      <c r="J274" s="5">
        <f t="shared" si="177"/>
        <v>10</v>
      </c>
      <c r="K274" s="5">
        <f t="shared" si="177"/>
        <v>10</v>
      </c>
      <c r="L274" s="2" t="str">
        <f t="shared" si="177"/>
        <v>Daily.Gold.labmecha_punch_1.attack01</v>
      </c>
      <c r="M274" s="2" t="str">
        <f t="shared" si="177"/>
        <v/>
      </c>
      <c r="N274" s="2" t="str">
        <f t="shared" si="177"/>
        <v/>
      </c>
      <c r="O274" s="178" t="str">
        <f t="shared" si="177"/>
        <v>Daily.Gold.labmecha_punch_1.skill01</v>
      </c>
      <c r="P274" s="14" t="str">
        <f t="shared" si="177"/>
        <v/>
      </c>
      <c r="Q274" s="14" t="str">
        <f t="shared" si="177"/>
        <v/>
      </c>
      <c r="R274" s="14" t="str">
        <f t="shared" si="177"/>
        <v/>
      </c>
      <c r="S274" s="14" t="str">
        <f t="shared" si="177"/>
        <v/>
      </c>
      <c r="T274" s="14" t="str">
        <f t="shared" si="177"/>
        <v/>
      </c>
      <c r="U274" s="14" t="str">
        <f t="shared" si="177"/>
        <v/>
      </c>
      <c r="V274" s="5" t="b">
        <f t="shared" si="177"/>
        <v>0</v>
      </c>
      <c r="W274" s="5" t="str">
        <f t="shared" si="177"/>
        <v>Character/Prefabs/m_l_tanker_labmecha_punch_1</v>
      </c>
      <c r="X274" s="5" t="str">
        <f t="shared" si="177"/>
        <v/>
      </c>
      <c r="Y274" s="5" t="str">
        <f t="shared" si="177"/>
        <v>m_l_tanker_labmecha_punch_1</v>
      </c>
      <c r="Z274" s="5" t="str">
        <f t="shared" si="177"/>
        <v/>
      </c>
      <c r="AA274" s="5" t="str">
        <f t="shared" si="177"/>
        <v/>
      </c>
      <c r="AB274" s="5" t="str">
        <f t="shared" si="177"/>
        <v/>
      </c>
      <c r="AC274" s="97">
        <f t="shared" si="177"/>
        <v>0.7</v>
      </c>
      <c r="AD274" s="5" t="str">
        <f t="shared" si="177"/>
        <v/>
      </c>
      <c r="AE274" s="5" t="str">
        <f t="shared" si="177"/>
        <v/>
      </c>
      <c r="AF274" s="5" t="str">
        <f t="shared" si="177"/>
        <v/>
      </c>
      <c r="AG274" s="173" t="s">
        <v>2762</v>
      </c>
    </row>
    <row r="275" spans="1:33" x14ac:dyDescent="0.3">
      <c r="A275" s="37">
        <f t="shared" si="160"/>
        <v>1310302010</v>
      </c>
      <c r="B275" s="37" t="str">
        <f t="shared" ref="B275:AF275" si="178">IF(B164 &lt;&gt; "", B164, "")</f>
        <v>Daily.Gold</v>
      </c>
      <c r="C275" s="5" t="str">
        <f t="shared" si="178"/>
        <v>연구소캐논</v>
      </c>
      <c r="D275" s="5" t="str">
        <f t="shared" si="178"/>
        <v>Monster.Name.harbor_cannon_1</v>
      </c>
      <c r="E275" s="5" t="str">
        <f t="shared" si="178"/>
        <v>Ranger</v>
      </c>
      <c r="F275" s="17" t="str">
        <f t="shared" si="178"/>
        <v>Fac_nul_ind</v>
      </c>
      <c r="G275" s="5" t="str">
        <f t="shared" si="178"/>
        <v>TRUE</v>
      </c>
      <c r="H275" s="5" t="b">
        <f t="shared" si="178"/>
        <v>0</v>
      </c>
      <c r="I275" s="5" t="b">
        <f t="shared" si="178"/>
        <v>0</v>
      </c>
      <c r="J275" s="5">
        <f t="shared" si="178"/>
        <v>10</v>
      </c>
      <c r="K275" s="5">
        <f t="shared" si="178"/>
        <v>20</v>
      </c>
      <c r="L275" s="2" t="str">
        <f t="shared" si="178"/>
        <v>Daily.Gold.harbor_cannon_1.attack01</v>
      </c>
      <c r="M275" s="2" t="str">
        <f t="shared" si="178"/>
        <v/>
      </c>
      <c r="N275" s="2" t="str">
        <f t="shared" si="178"/>
        <v/>
      </c>
      <c r="O275" s="178" t="str">
        <f t="shared" si="178"/>
        <v/>
      </c>
      <c r="P275" s="14" t="str">
        <f t="shared" si="178"/>
        <v/>
      </c>
      <c r="Q275" s="14" t="str">
        <f t="shared" si="178"/>
        <v/>
      </c>
      <c r="R275" s="14" t="str">
        <f t="shared" si="178"/>
        <v/>
      </c>
      <c r="S275" s="14" t="str">
        <f t="shared" si="178"/>
        <v/>
      </c>
      <c r="T275" s="14" t="str">
        <f t="shared" si="178"/>
        <v/>
      </c>
      <c r="U275" s="14" t="str">
        <f t="shared" si="178"/>
        <v/>
      </c>
      <c r="V275" s="5" t="b">
        <f t="shared" si="178"/>
        <v>0</v>
      </c>
      <c r="W275" s="5" t="str">
        <f t="shared" si="178"/>
        <v>Character/Prefabs/m_m_ranger_harbor_cannon_1</v>
      </c>
      <c r="X275" s="5" t="str">
        <f t="shared" si="178"/>
        <v/>
      </c>
      <c r="Y275" s="5" t="str">
        <f t="shared" si="178"/>
        <v>m_m_ranger_harbor_cannon_1</v>
      </c>
      <c r="Z275" s="5" t="str">
        <f t="shared" si="178"/>
        <v/>
      </c>
      <c r="AA275" s="5" t="str">
        <f t="shared" si="178"/>
        <v/>
      </c>
      <c r="AB275" s="5" t="str">
        <f t="shared" si="178"/>
        <v/>
      </c>
      <c r="AC275" s="97">
        <f t="shared" si="178"/>
        <v>0.6</v>
      </c>
      <c r="AD275" s="5" t="str">
        <f t="shared" si="178"/>
        <v/>
      </c>
      <c r="AE275" s="5" t="str">
        <f t="shared" si="178"/>
        <v/>
      </c>
      <c r="AF275" s="5" t="str">
        <f t="shared" si="178"/>
        <v/>
      </c>
      <c r="AG275" s="173" t="s">
        <v>2762</v>
      </c>
    </row>
    <row r="276" spans="1:33" x14ac:dyDescent="0.3">
      <c r="A276" s="12">
        <f t="shared" si="160"/>
        <v>1310303001</v>
      </c>
      <c r="B276" s="12" t="str">
        <f t="shared" ref="B276:AF276" si="179">IF(B165 &lt;&gt; "", B165, "")</f>
        <v>Daily.Atk</v>
      </c>
      <c r="C276" s="5" t="str">
        <f t="shared" si="179"/>
        <v>헬파이어드론</v>
      </c>
      <c r="D276" s="76" t="str">
        <f t="shared" si="179"/>
        <v>Monster.Name.Atk.Sub.drone_1</v>
      </c>
      <c r="E276" s="5" t="str">
        <f t="shared" si="179"/>
        <v>None</v>
      </c>
      <c r="F276" s="17" t="str">
        <f t="shared" si="179"/>
        <v>Fac_nul_ind</v>
      </c>
      <c r="G276" s="5" t="str">
        <f t="shared" si="179"/>
        <v>TRUE</v>
      </c>
      <c r="H276" s="5" t="b">
        <f t="shared" si="179"/>
        <v>0</v>
      </c>
      <c r="I276" s="5" t="b">
        <f t="shared" si="179"/>
        <v>0</v>
      </c>
      <c r="J276" s="5">
        <f t="shared" si="179"/>
        <v>10</v>
      </c>
      <c r="K276" s="5">
        <f t="shared" si="179"/>
        <v>10</v>
      </c>
      <c r="L276" s="2" t="str">
        <f t="shared" si="179"/>
        <v>Daily.Atk.hellfire_drone_3.attack01</v>
      </c>
      <c r="M276" s="2" t="str">
        <f t="shared" si="179"/>
        <v/>
      </c>
      <c r="N276" s="2" t="str">
        <f t="shared" si="179"/>
        <v/>
      </c>
      <c r="O276" s="178" t="str">
        <f t="shared" si="179"/>
        <v>Daily.Atk.hellfire_drone_3.passive01</v>
      </c>
      <c r="P276" s="14" t="str">
        <f t="shared" si="179"/>
        <v/>
      </c>
      <c r="Q276" s="14" t="str">
        <f t="shared" si="179"/>
        <v/>
      </c>
      <c r="R276" s="14" t="str">
        <f t="shared" si="179"/>
        <v/>
      </c>
      <c r="S276" s="14" t="str">
        <f t="shared" si="179"/>
        <v/>
      </c>
      <c r="T276" s="14" t="str">
        <f t="shared" si="179"/>
        <v/>
      </c>
      <c r="U276" s="14" t="str">
        <f t="shared" si="179"/>
        <v/>
      </c>
      <c r="V276" s="5" t="b">
        <f t="shared" si="179"/>
        <v>0</v>
      </c>
      <c r="W276" s="5" t="str">
        <f t="shared" si="179"/>
        <v>Character/Prefabs/m_s_ranger_hellfire_drone_3</v>
      </c>
      <c r="X276" s="5" t="str">
        <f t="shared" si="179"/>
        <v/>
      </c>
      <c r="Y276" s="5" t="str">
        <f t="shared" si="179"/>
        <v>m_s_ranger_hellfire_drone_3</v>
      </c>
      <c r="Z276" s="5" t="str">
        <f t="shared" si="179"/>
        <v/>
      </c>
      <c r="AA276" s="5" t="str">
        <f t="shared" si="179"/>
        <v/>
      </c>
      <c r="AB276" s="5" t="str">
        <f t="shared" si="179"/>
        <v/>
      </c>
      <c r="AC276" s="97">
        <f t="shared" si="179"/>
        <v>0.7</v>
      </c>
      <c r="AD276" s="5" t="str">
        <f t="shared" si="179"/>
        <v/>
      </c>
      <c r="AE276" s="5" t="str">
        <f t="shared" si="179"/>
        <v/>
      </c>
      <c r="AF276" s="5" t="str">
        <f t="shared" si="179"/>
        <v/>
      </c>
      <c r="AG276" s="173" t="s">
        <v>2762</v>
      </c>
    </row>
    <row r="277" spans="1:33" x14ac:dyDescent="0.3">
      <c r="A277" s="12">
        <f t="shared" si="160"/>
        <v>1310303002</v>
      </c>
      <c r="B277" s="12" t="str">
        <f t="shared" ref="B277:AF277" si="180">IF(B166 &lt;&gt; "", B166, "")</f>
        <v>Daily.Atk</v>
      </c>
      <c r="C277" s="5" t="str">
        <f t="shared" si="180"/>
        <v>리제네이션드론</v>
      </c>
      <c r="D277" s="76" t="str">
        <f t="shared" si="180"/>
        <v>Monster.Name.Atk.Sub.drone_2</v>
      </c>
      <c r="E277" s="5" t="str">
        <f t="shared" si="180"/>
        <v>None</v>
      </c>
      <c r="F277" s="17" t="str">
        <f t="shared" si="180"/>
        <v>Fac_nul_ind</v>
      </c>
      <c r="G277" s="5" t="str">
        <f t="shared" si="180"/>
        <v>TRUE</v>
      </c>
      <c r="H277" s="5" t="b">
        <f t="shared" si="180"/>
        <v>0</v>
      </c>
      <c r="I277" s="5" t="b">
        <f t="shared" si="180"/>
        <v>0</v>
      </c>
      <c r="J277" s="5">
        <f t="shared" si="180"/>
        <v>10</v>
      </c>
      <c r="K277" s="5">
        <f t="shared" si="180"/>
        <v>10</v>
      </c>
      <c r="L277" s="2" t="str">
        <f t="shared" si="180"/>
        <v>Daily.Atk.regeneration_drone_3.attack01</v>
      </c>
      <c r="M277" s="2" t="str">
        <f t="shared" si="180"/>
        <v/>
      </c>
      <c r="N277" s="2" t="str">
        <f t="shared" si="180"/>
        <v/>
      </c>
      <c r="O277" s="178" t="str">
        <f t="shared" si="180"/>
        <v>Daily.Atk.regeneration_drone_3.passive01</v>
      </c>
      <c r="P277" s="14" t="str">
        <f t="shared" si="180"/>
        <v/>
      </c>
      <c r="Q277" s="14" t="str">
        <f t="shared" si="180"/>
        <v/>
      </c>
      <c r="R277" s="14" t="str">
        <f t="shared" si="180"/>
        <v/>
      </c>
      <c r="S277" s="14" t="str">
        <f t="shared" si="180"/>
        <v/>
      </c>
      <c r="T277" s="14" t="str">
        <f t="shared" si="180"/>
        <v/>
      </c>
      <c r="U277" s="14" t="str">
        <f t="shared" si="180"/>
        <v/>
      </c>
      <c r="V277" s="5" t="b">
        <f t="shared" si="180"/>
        <v>0</v>
      </c>
      <c r="W277" s="5" t="str">
        <f t="shared" si="180"/>
        <v>Character/Prefabs/m_s_supporter_regeneration_drone_3</v>
      </c>
      <c r="X277" s="5" t="str">
        <f t="shared" si="180"/>
        <v/>
      </c>
      <c r="Y277" s="5" t="str">
        <f t="shared" si="180"/>
        <v>m_s_supporter_regeneration_drone_3</v>
      </c>
      <c r="Z277" s="5" t="str">
        <f t="shared" si="180"/>
        <v/>
      </c>
      <c r="AA277" s="5" t="str">
        <f t="shared" si="180"/>
        <v/>
      </c>
      <c r="AB277" s="5" t="str">
        <f t="shared" si="180"/>
        <v/>
      </c>
      <c r="AC277" s="97">
        <f t="shared" si="180"/>
        <v>0.7</v>
      </c>
      <c r="AD277" s="5" t="str">
        <f t="shared" si="180"/>
        <v/>
      </c>
      <c r="AE277" s="5" t="str">
        <f t="shared" si="180"/>
        <v/>
      </c>
      <c r="AF277" s="5" t="str">
        <f t="shared" si="180"/>
        <v/>
      </c>
      <c r="AG277" s="173" t="s">
        <v>2762</v>
      </c>
    </row>
    <row r="278" spans="1:33" x14ac:dyDescent="0.3">
      <c r="A278" s="12">
        <f t="shared" si="160"/>
        <v>1310303003</v>
      </c>
      <c r="B278" s="12" t="str">
        <f t="shared" ref="B278:AF278" si="181">IF(B167 &lt;&gt; "", B167, "")</f>
        <v>Daily.Atk</v>
      </c>
      <c r="C278" s="5" t="str">
        <f t="shared" si="181"/>
        <v>쉘터청소부g1</v>
      </c>
      <c r="D278" s="5" t="str">
        <f t="shared" si="181"/>
        <v>Monster.Name.shelter_sweeper_g_1</v>
      </c>
      <c r="E278" s="5" t="str">
        <f t="shared" si="181"/>
        <v>Tanker</v>
      </c>
      <c r="F278" s="17" t="str">
        <f t="shared" si="181"/>
        <v>Fac_nul_ind</v>
      </c>
      <c r="G278" s="5" t="str">
        <f t="shared" si="181"/>
        <v>TRUE</v>
      </c>
      <c r="H278" s="5" t="b">
        <f t="shared" si="181"/>
        <v>1</v>
      </c>
      <c r="I278" s="5" t="b">
        <f t="shared" si="181"/>
        <v>1</v>
      </c>
      <c r="J278" s="5">
        <f t="shared" si="181"/>
        <v>20</v>
      </c>
      <c r="K278" s="5">
        <f t="shared" si="181"/>
        <v>10</v>
      </c>
      <c r="L278" s="2" t="str">
        <f t="shared" si="181"/>
        <v>Daily.Atk.shelter_sweeper_g_1.attack01</v>
      </c>
      <c r="M278" s="2" t="str">
        <f t="shared" si="181"/>
        <v/>
      </c>
      <c r="N278" s="2" t="str">
        <f t="shared" si="181"/>
        <v/>
      </c>
      <c r="O278" s="178" t="str">
        <f t="shared" si="181"/>
        <v>Daily.Atk.shelter_sweeper_g_1.skill01</v>
      </c>
      <c r="P278" s="14" t="str">
        <f t="shared" si="181"/>
        <v>Daily.Atk.shelter_sweeper_g_1.skill02</v>
      </c>
      <c r="Q278" s="14" t="str">
        <f t="shared" si="181"/>
        <v>Daily.Atk.Boss.passive01</v>
      </c>
      <c r="R278" s="14" t="str">
        <f t="shared" si="181"/>
        <v/>
      </c>
      <c r="S278" s="14" t="str">
        <f t="shared" si="181"/>
        <v>Daily.Atk.Boss.End.passive01</v>
      </c>
      <c r="T278" s="14" t="str">
        <f t="shared" si="181"/>
        <v/>
      </c>
      <c r="U278" s="14" t="str">
        <f t="shared" si="181"/>
        <v/>
      </c>
      <c r="V278" s="5" t="b">
        <f t="shared" si="181"/>
        <v>0</v>
      </c>
      <c r="W278" s="5" t="str">
        <f t="shared" si="181"/>
        <v>Character/Prefabs/m_m_tanker_shelter_sweeper_g_1</v>
      </c>
      <c r="X278" s="5" t="str">
        <f t="shared" si="181"/>
        <v/>
      </c>
      <c r="Y278" s="5" t="str">
        <f t="shared" si="181"/>
        <v>m_m_tanker_shelter_sweeper_g_1</v>
      </c>
      <c r="Z278" s="5" t="str">
        <f t="shared" si="181"/>
        <v/>
      </c>
      <c r="AA278" s="5" t="str">
        <f t="shared" si="181"/>
        <v/>
      </c>
      <c r="AB278" s="5" t="str">
        <f t="shared" si="181"/>
        <v/>
      </c>
      <c r="AC278" s="97">
        <f t="shared" si="181"/>
        <v>1</v>
      </c>
      <c r="AD278" s="5" t="str">
        <f t="shared" si="181"/>
        <v/>
      </c>
      <c r="AE278" s="5" t="str">
        <f t="shared" si="181"/>
        <v/>
      </c>
      <c r="AF278" s="5" t="str">
        <f t="shared" si="181"/>
        <v/>
      </c>
      <c r="AG278" s="173" t="s">
        <v>2762</v>
      </c>
    </row>
    <row r="279" spans="1:33" x14ac:dyDescent="0.3">
      <c r="A279" s="37">
        <f t="shared" si="160"/>
        <v>1310304001</v>
      </c>
      <c r="B279" s="37" t="str">
        <f t="shared" ref="B279:AF279" si="182">IF(B168 &lt;&gt; "", B168, "")</f>
        <v>Daily.Def</v>
      </c>
      <c r="C279" s="5" t="str">
        <f t="shared" si="182"/>
        <v>브레인헌터</v>
      </c>
      <c r="D279" s="5" t="str">
        <f t="shared" si="182"/>
        <v>Monster.Name.brain_hunter_1</v>
      </c>
      <c r="E279" s="5" t="str">
        <f t="shared" si="182"/>
        <v>Attacker</v>
      </c>
      <c r="F279" s="17" t="str">
        <f t="shared" si="182"/>
        <v>Fac_nul_ind</v>
      </c>
      <c r="G279" s="5" t="str">
        <f t="shared" si="182"/>
        <v>TRUE</v>
      </c>
      <c r="H279" s="5" t="b">
        <f t="shared" si="182"/>
        <v>0</v>
      </c>
      <c r="I279" s="5" t="b">
        <f t="shared" si="182"/>
        <v>0</v>
      </c>
      <c r="J279" s="5">
        <f t="shared" si="182"/>
        <v>10</v>
      </c>
      <c r="K279" s="5">
        <f t="shared" si="182"/>
        <v>10</v>
      </c>
      <c r="L279" s="2" t="str">
        <f t="shared" si="182"/>
        <v>Daily.Def.brain_hunter_1.attack01</v>
      </c>
      <c r="M279" s="2" t="str">
        <f t="shared" si="182"/>
        <v/>
      </c>
      <c r="N279" s="2" t="str">
        <f t="shared" si="182"/>
        <v/>
      </c>
      <c r="O279" s="178" t="str">
        <f t="shared" si="182"/>
        <v>Daily.Def.brain_hunter_1.skill01</v>
      </c>
      <c r="P279" s="14" t="str">
        <f t="shared" si="182"/>
        <v>Daily.Def.DamageUp.passive01</v>
      </c>
      <c r="Q279" s="14" t="str">
        <f t="shared" si="182"/>
        <v/>
      </c>
      <c r="R279" s="14" t="str">
        <f t="shared" si="182"/>
        <v/>
      </c>
      <c r="S279" s="14" t="str">
        <f t="shared" si="182"/>
        <v/>
      </c>
      <c r="T279" s="14" t="str">
        <f t="shared" si="182"/>
        <v/>
      </c>
      <c r="U279" s="14" t="str">
        <f t="shared" si="182"/>
        <v/>
      </c>
      <c r="V279" s="5" t="b">
        <f t="shared" si="182"/>
        <v>0</v>
      </c>
      <c r="W279" s="5" t="str">
        <f t="shared" si="182"/>
        <v>Character/Prefabs/m_s_attacker_brain_hunter_1</v>
      </c>
      <c r="X279" s="5" t="str">
        <f t="shared" si="182"/>
        <v/>
      </c>
      <c r="Y279" s="5" t="str">
        <f t="shared" si="182"/>
        <v>m_s_attacker_brain_hunter_1</v>
      </c>
      <c r="Z279" s="5" t="str">
        <f t="shared" si="182"/>
        <v/>
      </c>
      <c r="AA279" s="5" t="str">
        <f t="shared" si="182"/>
        <v/>
      </c>
      <c r="AB279" s="5" t="str">
        <f t="shared" si="182"/>
        <v/>
      </c>
      <c r="AC279" s="97">
        <f t="shared" si="182"/>
        <v>1</v>
      </c>
      <c r="AD279" s="5" t="str">
        <f t="shared" si="182"/>
        <v/>
      </c>
      <c r="AE279" s="5" t="str">
        <f t="shared" si="182"/>
        <v/>
      </c>
      <c r="AF279" s="5" t="str">
        <f t="shared" si="182"/>
        <v/>
      </c>
      <c r="AG279" s="173" t="s">
        <v>2762</v>
      </c>
    </row>
    <row r="280" spans="1:33" x14ac:dyDescent="0.3">
      <c r="A280" s="37">
        <f t="shared" si="160"/>
        <v>1310304002</v>
      </c>
      <c r="B280" s="37" t="str">
        <f t="shared" ref="B280:AF280" si="183">IF(B169 &lt;&gt; "", B169, "")</f>
        <v>Daily.Def</v>
      </c>
      <c r="C280" s="5" t="str">
        <f t="shared" si="183"/>
        <v>오염체익스플로더</v>
      </c>
      <c r="D280" s="5" t="str">
        <f t="shared" si="183"/>
        <v>Monster.Name.polluter_exploder_1</v>
      </c>
      <c r="E280" s="5" t="str">
        <f t="shared" si="183"/>
        <v>Attacker</v>
      </c>
      <c r="F280" s="17" t="str">
        <f t="shared" si="183"/>
        <v>Fac_nul_ind</v>
      </c>
      <c r="G280" s="5" t="str">
        <f t="shared" si="183"/>
        <v>TRUE</v>
      </c>
      <c r="H280" s="5" t="b">
        <f t="shared" si="183"/>
        <v>0</v>
      </c>
      <c r="I280" s="5" t="b">
        <f t="shared" si="183"/>
        <v>0</v>
      </c>
      <c r="J280" s="5">
        <f t="shared" si="183"/>
        <v>10</v>
      </c>
      <c r="K280" s="5">
        <f t="shared" si="183"/>
        <v>10</v>
      </c>
      <c r="L280" s="2" t="str">
        <f t="shared" si="183"/>
        <v>Daily.Def.polluter_exploder_1.attack01</v>
      </c>
      <c r="M280" s="2" t="str">
        <f t="shared" si="183"/>
        <v/>
      </c>
      <c r="N280" s="2" t="str">
        <f t="shared" si="183"/>
        <v/>
      </c>
      <c r="O280" s="178" t="str">
        <f t="shared" si="183"/>
        <v>Daily.Def.polluter_exploder_1.skill01</v>
      </c>
      <c r="P280" s="14" t="str">
        <f t="shared" si="183"/>
        <v>Daily.Def.DamageUp.passive01</v>
      </c>
      <c r="Q280" s="14" t="str">
        <f t="shared" si="183"/>
        <v/>
      </c>
      <c r="R280" s="14" t="str">
        <f t="shared" si="183"/>
        <v/>
      </c>
      <c r="S280" s="14" t="str">
        <f t="shared" si="183"/>
        <v/>
      </c>
      <c r="T280" s="14" t="str">
        <f t="shared" si="183"/>
        <v/>
      </c>
      <c r="U280" s="14" t="str">
        <f t="shared" si="183"/>
        <v/>
      </c>
      <c r="V280" s="5" t="b">
        <f t="shared" si="183"/>
        <v>0</v>
      </c>
      <c r="W280" s="5" t="str">
        <f t="shared" si="183"/>
        <v>Character/Prefabs/m_s_attacker_polluter_exploder_1</v>
      </c>
      <c r="X280" s="5" t="str">
        <f t="shared" si="183"/>
        <v/>
      </c>
      <c r="Y280" s="5" t="str">
        <f t="shared" si="183"/>
        <v>m_s_attacker_polluter_exploder_1</v>
      </c>
      <c r="Z280" s="5" t="str">
        <f t="shared" si="183"/>
        <v/>
      </c>
      <c r="AA280" s="5" t="str">
        <f t="shared" si="183"/>
        <v/>
      </c>
      <c r="AB280" s="5" t="str">
        <f t="shared" si="183"/>
        <v/>
      </c>
      <c r="AC280" s="97">
        <f t="shared" si="183"/>
        <v>1.5</v>
      </c>
      <c r="AD280" s="5" t="str">
        <f t="shared" si="183"/>
        <v/>
      </c>
      <c r="AE280" s="5" t="str">
        <f t="shared" si="183"/>
        <v/>
      </c>
      <c r="AF280" s="5" t="str">
        <f t="shared" si="183"/>
        <v/>
      </c>
      <c r="AG280" s="173" t="s">
        <v>2762</v>
      </c>
    </row>
    <row r="281" spans="1:33" x14ac:dyDescent="0.3">
      <c r="A281" s="13">
        <f t="shared" si="160"/>
        <v>1310305001</v>
      </c>
      <c r="B281" s="13" t="str">
        <f t="shared" ref="B281:AF281" si="184">IF(B170 &lt;&gt; "", B170, "")</f>
        <v>Daily.Seed</v>
      </c>
      <c r="C281" s="5" t="str">
        <f t="shared" si="184"/>
        <v>헤비트루퍼플레임</v>
      </c>
      <c r="D281" s="5" t="str">
        <f t="shared" si="184"/>
        <v>Monster.Name.heavy_trooper_flame_1</v>
      </c>
      <c r="E281" s="5" t="str">
        <f t="shared" si="184"/>
        <v>Attacker</v>
      </c>
      <c r="F281" s="17" t="str">
        <f t="shared" si="184"/>
        <v>Fac_nul_ind</v>
      </c>
      <c r="G281" s="5" t="str">
        <f t="shared" si="184"/>
        <v>TRUE</v>
      </c>
      <c r="H281" s="5" t="b">
        <f t="shared" si="184"/>
        <v>0</v>
      </c>
      <c r="I281" s="5" t="b">
        <f t="shared" si="184"/>
        <v>0</v>
      </c>
      <c r="J281" s="5">
        <f t="shared" si="184"/>
        <v>10</v>
      </c>
      <c r="K281" s="5">
        <f t="shared" si="184"/>
        <v>10</v>
      </c>
      <c r="L281" s="2" t="str">
        <f t="shared" si="184"/>
        <v>Daily.Seed.trooper_inferno_1.attack01</v>
      </c>
      <c r="M281" s="2" t="str">
        <f t="shared" si="184"/>
        <v/>
      </c>
      <c r="N281" s="2" t="str">
        <f t="shared" si="184"/>
        <v/>
      </c>
      <c r="O281" s="178" t="str">
        <f t="shared" si="184"/>
        <v>Daily.Seed.trooper_inferno_1.skill01</v>
      </c>
      <c r="P281" s="14" t="str">
        <f t="shared" si="184"/>
        <v/>
      </c>
      <c r="Q281" s="14" t="str">
        <f t="shared" si="184"/>
        <v/>
      </c>
      <c r="R281" s="14" t="str">
        <f t="shared" si="184"/>
        <v/>
      </c>
      <c r="S281" s="14" t="str">
        <f t="shared" si="184"/>
        <v/>
      </c>
      <c r="T281" s="14" t="str">
        <f t="shared" si="184"/>
        <v/>
      </c>
      <c r="U281" s="14" t="str">
        <f t="shared" si="184"/>
        <v/>
      </c>
      <c r="V281" s="5" t="b">
        <f t="shared" si="184"/>
        <v>0</v>
      </c>
      <c r="W281" s="5" t="str">
        <f t="shared" si="184"/>
        <v>Character/Prefabs/m_m_attacker_heavy_trooper_flame_1</v>
      </c>
      <c r="X281" s="5" t="str">
        <f t="shared" si="184"/>
        <v/>
      </c>
      <c r="Y281" s="5" t="str">
        <f t="shared" si="184"/>
        <v>m_m_attacker_heavy_trooper_flame_1</v>
      </c>
      <c r="Z281" s="5" t="str">
        <f t="shared" si="184"/>
        <v/>
      </c>
      <c r="AA281" s="5" t="str">
        <f t="shared" si="184"/>
        <v/>
      </c>
      <c r="AB281" s="5" t="str">
        <f t="shared" si="184"/>
        <v/>
      </c>
      <c r="AC281" s="97">
        <f t="shared" si="184"/>
        <v>0.7</v>
      </c>
      <c r="AD281" s="5" t="str">
        <f t="shared" si="184"/>
        <v/>
      </c>
      <c r="AE281" s="5" t="str">
        <f t="shared" si="184"/>
        <v/>
      </c>
      <c r="AF281" s="5" t="str">
        <f t="shared" si="184"/>
        <v/>
      </c>
      <c r="AG281" s="173" t="s">
        <v>2762</v>
      </c>
    </row>
    <row r="282" spans="1:33" x14ac:dyDescent="0.3">
      <c r="A282" s="13">
        <f t="shared" si="160"/>
        <v>1310305002</v>
      </c>
      <c r="B282" s="13" t="str">
        <f t="shared" ref="B282:AF282" si="185">IF(B171 &lt;&gt; "", B171, "")</f>
        <v>Daily.Seed</v>
      </c>
      <c r="C282" s="5" t="str">
        <f t="shared" si="185"/>
        <v>헤비트루퍼라이플</v>
      </c>
      <c r="D282" s="5" t="str">
        <f t="shared" si="185"/>
        <v>Monster.Name.heavy_trooper_rifle_1</v>
      </c>
      <c r="E282" s="5" t="str">
        <f t="shared" si="185"/>
        <v>Ranger</v>
      </c>
      <c r="F282" s="17" t="str">
        <f t="shared" si="185"/>
        <v>Fac_nul_ind</v>
      </c>
      <c r="G282" s="5" t="str">
        <f t="shared" si="185"/>
        <v>TRUE</v>
      </c>
      <c r="H282" s="5" t="b">
        <f t="shared" si="185"/>
        <v>0</v>
      </c>
      <c r="I282" s="5" t="b">
        <f t="shared" si="185"/>
        <v>0</v>
      </c>
      <c r="J282" s="5">
        <f t="shared" si="185"/>
        <v>10</v>
      </c>
      <c r="K282" s="5">
        <f t="shared" si="185"/>
        <v>10</v>
      </c>
      <c r="L282" s="2" t="str">
        <f t="shared" si="185"/>
        <v>Daily.Seed.trooper_sniper_1.attack01</v>
      </c>
      <c r="M282" s="2" t="str">
        <f t="shared" si="185"/>
        <v/>
      </c>
      <c r="N282" s="2" t="str">
        <f t="shared" si="185"/>
        <v/>
      </c>
      <c r="O282" s="178" t="str">
        <f t="shared" si="185"/>
        <v>Daily.Seed.trooper_sniper_1.skill01</v>
      </c>
      <c r="P282" s="14" t="str">
        <f t="shared" si="185"/>
        <v/>
      </c>
      <c r="Q282" s="14" t="str">
        <f t="shared" si="185"/>
        <v/>
      </c>
      <c r="R282" s="14" t="str">
        <f t="shared" si="185"/>
        <v/>
      </c>
      <c r="S282" s="14" t="str">
        <f t="shared" si="185"/>
        <v/>
      </c>
      <c r="T282" s="14" t="str">
        <f t="shared" si="185"/>
        <v/>
      </c>
      <c r="U282" s="14" t="str">
        <f t="shared" si="185"/>
        <v/>
      </c>
      <c r="V282" s="5" t="b">
        <f t="shared" si="185"/>
        <v>0</v>
      </c>
      <c r="W282" s="5" t="str">
        <f t="shared" si="185"/>
        <v>Character/Prefabs/m_m_ranger_heavy_trooper_rifle_1</v>
      </c>
      <c r="X282" s="5" t="str">
        <f t="shared" si="185"/>
        <v/>
      </c>
      <c r="Y282" s="5" t="str">
        <f t="shared" si="185"/>
        <v>m_m_ranger_heavy_trooper_rifle_1</v>
      </c>
      <c r="Z282" s="5" t="str">
        <f t="shared" si="185"/>
        <v/>
      </c>
      <c r="AA282" s="5" t="str">
        <f t="shared" si="185"/>
        <v/>
      </c>
      <c r="AB282" s="5" t="str">
        <f t="shared" si="185"/>
        <v/>
      </c>
      <c r="AC282" s="97">
        <f t="shared" si="185"/>
        <v>0.7</v>
      </c>
      <c r="AD282" s="5" t="str">
        <f t="shared" si="185"/>
        <v/>
      </c>
      <c r="AE282" s="5" t="str">
        <f t="shared" si="185"/>
        <v/>
      </c>
      <c r="AF282" s="5" t="str">
        <f t="shared" si="185"/>
        <v/>
      </c>
      <c r="AG282" s="173" t="s">
        <v>2762</v>
      </c>
    </row>
    <row r="283" spans="1:33" x14ac:dyDescent="0.3">
      <c r="A283" s="13">
        <f t="shared" si="160"/>
        <v>1310305003</v>
      </c>
      <c r="B283" s="13" t="str">
        <f t="shared" ref="B283:AF283" si="186">IF(B172 &lt;&gt; "", B172, "")</f>
        <v>Daily.Seed</v>
      </c>
      <c r="C283" s="5" t="str">
        <f t="shared" si="186"/>
        <v>헤비트루퍼건틀릿</v>
      </c>
      <c r="D283" s="5" t="str">
        <f t="shared" si="186"/>
        <v>Monster.Name.heavy_trooper_guantlet_1</v>
      </c>
      <c r="E283" s="5" t="str">
        <f t="shared" si="186"/>
        <v>Attacker</v>
      </c>
      <c r="F283" s="17" t="str">
        <f t="shared" si="186"/>
        <v>Fac_nul_ind</v>
      </c>
      <c r="G283" s="5" t="str">
        <f t="shared" si="186"/>
        <v>TRUE</v>
      </c>
      <c r="H283" s="5" t="b">
        <f t="shared" si="186"/>
        <v>0</v>
      </c>
      <c r="I283" s="5" t="b">
        <f t="shared" si="186"/>
        <v>0</v>
      </c>
      <c r="J283" s="5">
        <f t="shared" si="186"/>
        <v>10</v>
      </c>
      <c r="K283" s="5">
        <f t="shared" si="186"/>
        <v>10</v>
      </c>
      <c r="L283" s="2" t="str">
        <f t="shared" si="186"/>
        <v>Daily.Seed.trooper_champion_1.attack01</v>
      </c>
      <c r="M283" s="2" t="str">
        <f t="shared" si="186"/>
        <v/>
      </c>
      <c r="N283" s="2" t="str">
        <f t="shared" si="186"/>
        <v/>
      </c>
      <c r="O283" s="178" t="str">
        <f t="shared" si="186"/>
        <v>Daily.Seed.trooper_champion_1.skill01</v>
      </c>
      <c r="P283" s="14" t="str">
        <f t="shared" si="186"/>
        <v>Daily.Seed.trooper_champion_1.skill02</v>
      </c>
      <c r="Q283" s="14" t="str">
        <f t="shared" si="186"/>
        <v/>
      </c>
      <c r="R283" s="14" t="str">
        <f t="shared" si="186"/>
        <v/>
      </c>
      <c r="S283" s="14" t="str">
        <f t="shared" si="186"/>
        <v/>
      </c>
      <c r="T283" s="14" t="str">
        <f t="shared" si="186"/>
        <v/>
      </c>
      <c r="U283" s="14" t="str">
        <f t="shared" si="186"/>
        <v/>
      </c>
      <c r="V283" s="5" t="b">
        <f t="shared" si="186"/>
        <v>0</v>
      </c>
      <c r="W283" s="5" t="str">
        <f t="shared" si="186"/>
        <v>Character/Prefabs/m_m_attacker_heavy_trooper_guantlet_1</v>
      </c>
      <c r="X283" s="5" t="str">
        <f t="shared" si="186"/>
        <v/>
      </c>
      <c r="Y283" s="5" t="str">
        <f t="shared" si="186"/>
        <v>m_m_attacker_heavy_trooper_guantlet_1</v>
      </c>
      <c r="Z283" s="5" t="str">
        <f t="shared" si="186"/>
        <v/>
      </c>
      <c r="AA283" s="5" t="str">
        <f t="shared" si="186"/>
        <v/>
      </c>
      <c r="AB283" s="5" t="str">
        <f t="shared" si="186"/>
        <v/>
      </c>
      <c r="AC283" s="97">
        <f t="shared" si="186"/>
        <v>0.7</v>
      </c>
      <c r="AD283" s="5" t="str">
        <f t="shared" si="186"/>
        <v/>
      </c>
      <c r="AE283" s="5" t="str">
        <f t="shared" si="186"/>
        <v/>
      </c>
      <c r="AF283" s="5" t="str">
        <f t="shared" si="186"/>
        <v/>
      </c>
      <c r="AG283" s="173" t="s">
        <v>2762</v>
      </c>
    </row>
    <row r="284" spans="1:33" x14ac:dyDescent="0.3">
      <c r="A284" s="13">
        <f t="shared" si="160"/>
        <v>1310305004</v>
      </c>
      <c r="B284" s="13" t="str">
        <f t="shared" ref="B284:AF284" si="187">IF(B173 &lt;&gt; "", B173, "")</f>
        <v>Daily.Seed</v>
      </c>
      <c r="C284" s="5" t="str">
        <f t="shared" si="187"/>
        <v>헤비트루퍼실드</v>
      </c>
      <c r="D284" s="5" t="str">
        <f t="shared" si="187"/>
        <v>Monster.Name.heavy_trooper_shield_1</v>
      </c>
      <c r="E284" s="5" t="str">
        <f t="shared" si="187"/>
        <v>Tanker</v>
      </c>
      <c r="F284" s="17" t="str">
        <f t="shared" si="187"/>
        <v>Fac_nul_ind</v>
      </c>
      <c r="G284" s="5" t="str">
        <f t="shared" si="187"/>
        <v>TRUE</v>
      </c>
      <c r="H284" s="5" t="b">
        <f t="shared" si="187"/>
        <v>0</v>
      </c>
      <c r="I284" s="5" t="b">
        <f t="shared" si="187"/>
        <v>0</v>
      </c>
      <c r="J284" s="5">
        <f t="shared" si="187"/>
        <v>10</v>
      </c>
      <c r="K284" s="5">
        <f t="shared" si="187"/>
        <v>10</v>
      </c>
      <c r="L284" s="2" t="str">
        <f t="shared" si="187"/>
        <v>Daily.Seed.trooper_guard_1.attack01</v>
      </c>
      <c r="M284" s="2" t="str">
        <f t="shared" si="187"/>
        <v/>
      </c>
      <c r="N284" s="2" t="str">
        <f t="shared" si="187"/>
        <v/>
      </c>
      <c r="O284" s="178" t="str">
        <f t="shared" si="187"/>
        <v>Daily.Seed.trooper_guard_1.skill01</v>
      </c>
      <c r="P284" s="14" t="str">
        <f t="shared" si="187"/>
        <v/>
      </c>
      <c r="Q284" s="14" t="str">
        <f t="shared" si="187"/>
        <v/>
      </c>
      <c r="R284" s="14" t="str">
        <f t="shared" si="187"/>
        <v/>
      </c>
      <c r="S284" s="14" t="str">
        <f t="shared" si="187"/>
        <v/>
      </c>
      <c r="T284" s="14" t="str">
        <f t="shared" si="187"/>
        <v/>
      </c>
      <c r="U284" s="14" t="str">
        <f t="shared" si="187"/>
        <v/>
      </c>
      <c r="V284" s="5" t="b">
        <f t="shared" si="187"/>
        <v>0</v>
      </c>
      <c r="W284" s="5" t="str">
        <f t="shared" si="187"/>
        <v>Character/Prefabs/m_m_tanker_heavy_trooper_shield_1</v>
      </c>
      <c r="X284" s="5" t="str">
        <f t="shared" si="187"/>
        <v/>
      </c>
      <c r="Y284" s="5" t="str">
        <f t="shared" si="187"/>
        <v>m_m_tanker_heavy_trooper_shield_1</v>
      </c>
      <c r="Z284" s="5" t="str">
        <f t="shared" si="187"/>
        <v/>
      </c>
      <c r="AA284" s="5" t="str">
        <f t="shared" si="187"/>
        <v/>
      </c>
      <c r="AB284" s="5" t="str">
        <f t="shared" si="187"/>
        <v/>
      </c>
      <c r="AC284" s="97">
        <f t="shared" si="187"/>
        <v>0.8</v>
      </c>
      <c r="AD284" s="5" t="str">
        <f t="shared" si="187"/>
        <v/>
      </c>
      <c r="AE284" s="5" t="str">
        <f t="shared" si="187"/>
        <v/>
      </c>
      <c r="AF284" s="5" t="str">
        <f t="shared" si="187"/>
        <v/>
      </c>
      <c r="AG284" s="173" t="s">
        <v>2762</v>
      </c>
    </row>
    <row r="285" spans="1:33" x14ac:dyDescent="0.3">
      <c r="A285" s="45">
        <f t="shared" si="160"/>
        <v>1310305005</v>
      </c>
      <c r="B285" s="45" t="str">
        <f t="shared" ref="B285:AF285" si="188">IF(B174 &lt;&gt; "", B174, "")</f>
        <v>Daily.Seed</v>
      </c>
      <c r="C285" s="5" t="str">
        <f t="shared" si="188"/>
        <v>친절한엣지아이볼</v>
      </c>
      <c r="D285" s="5" t="str">
        <f t="shared" si="188"/>
        <v>Monster.Name.friendly_edge_eyeball_1</v>
      </c>
      <c r="E285" s="5" t="str">
        <f t="shared" si="188"/>
        <v>Attacker</v>
      </c>
      <c r="F285" s="17" t="str">
        <f t="shared" si="188"/>
        <v>Fac_nul_ind</v>
      </c>
      <c r="G285" s="5" t="str">
        <f t="shared" si="188"/>
        <v>TRUE</v>
      </c>
      <c r="H285" s="5" t="b">
        <f t="shared" si="188"/>
        <v>1</v>
      </c>
      <c r="I285" s="5" t="b">
        <f t="shared" si="188"/>
        <v>1</v>
      </c>
      <c r="J285" s="5">
        <f t="shared" si="188"/>
        <v>10</v>
      </c>
      <c r="K285" s="5">
        <f t="shared" si="188"/>
        <v>10</v>
      </c>
      <c r="L285" s="2" t="str">
        <f t="shared" si="188"/>
        <v>Daily.Seed.friendly_edge_eyeball_1.attack01</v>
      </c>
      <c r="M285" s="2" t="str">
        <f t="shared" si="188"/>
        <v/>
      </c>
      <c r="N285" s="2" t="str">
        <f t="shared" si="188"/>
        <v/>
      </c>
      <c r="O285" s="178" t="str">
        <f t="shared" si="188"/>
        <v>Daily.Seed.friendly_edge_eyeball_1.skill01</v>
      </c>
      <c r="P285" s="14" t="str">
        <f t="shared" si="188"/>
        <v>Daily.Seed.friendly_edge_eyeball_1.passive01</v>
      </c>
      <c r="Q285" s="14" t="str">
        <f t="shared" si="188"/>
        <v/>
      </c>
      <c r="R285" s="14" t="str">
        <f t="shared" si="188"/>
        <v/>
      </c>
      <c r="S285" s="14" t="str">
        <f t="shared" si="188"/>
        <v/>
      </c>
      <c r="T285" s="14" t="str">
        <f t="shared" si="188"/>
        <v/>
      </c>
      <c r="U285" s="14" t="str">
        <f t="shared" si="188"/>
        <v/>
      </c>
      <c r="V285" s="5" t="b">
        <f t="shared" si="188"/>
        <v>0</v>
      </c>
      <c r="W285" s="5" t="str">
        <f t="shared" si="188"/>
        <v>Character/Prefabs/m_m_attacker_friendly_edge_eyeball_1</v>
      </c>
      <c r="X285" s="5" t="str">
        <f t="shared" si="188"/>
        <v/>
      </c>
      <c r="Y285" s="5" t="str">
        <f t="shared" si="188"/>
        <v>m_m_attacker_friendly_edge_eyeball_1</v>
      </c>
      <c r="Z285" s="5" t="str">
        <f t="shared" si="188"/>
        <v/>
      </c>
      <c r="AA285" s="5" t="str">
        <f t="shared" si="188"/>
        <v/>
      </c>
      <c r="AB285" s="5" t="str">
        <f t="shared" si="188"/>
        <v/>
      </c>
      <c r="AC285" s="97">
        <f t="shared" si="188"/>
        <v>1.5</v>
      </c>
      <c r="AD285" s="5" t="str">
        <f t="shared" si="188"/>
        <v/>
      </c>
      <c r="AE285" s="5" t="str">
        <f t="shared" si="188"/>
        <v/>
      </c>
      <c r="AF285" s="5" t="str">
        <f t="shared" si="188"/>
        <v/>
      </c>
      <c r="AG285" s="173" t="s">
        <v>2762</v>
      </c>
    </row>
    <row r="286" spans="1:33" x14ac:dyDescent="0.3">
      <c r="A286" s="13">
        <f t="shared" si="160"/>
        <v>1310305006</v>
      </c>
      <c r="B286" s="13" t="str">
        <f t="shared" ref="B286:AF286" si="189">IF(B175 &lt;&gt; "", B175, "")</f>
        <v>Daily.Seed</v>
      </c>
      <c r="C286" s="5" t="str">
        <f t="shared" si="189"/>
        <v>친절한전기아이볼</v>
      </c>
      <c r="D286" s="5" t="str">
        <f t="shared" si="189"/>
        <v>Monster.Name.friendly_electric_eyeball_1</v>
      </c>
      <c r="E286" s="5" t="str">
        <f t="shared" si="189"/>
        <v>Ranger</v>
      </c>
      <c r="F286" s="17" t="str">
        <f t="shared" si="189"/>
        <v>Fac_nul_ind</v>
      </c>
      <c r="G286" s="5" t="str">
        <f t="shared" si="189"/>
        <v>TRUE</v>
      </c>
      <c r="H286" s="5" t="b">
        <f t="shared" si="189"/>
        <v>0</v>
      </c>
      <c r="I286" s="5" t="b">
        <f t="shared" si="189"/>
        <v>0</v>
      </c>
      <c r="J286" s="5">
        <f t="shared" si="189"/>
        <v>10</v>
      </c>
      <c r="K286" s="5">
        <f t="shared" si="189"/>
        <v>10</v>
      </c>
      <c r="L286" s="2" t="str">
        <f t="shared" si="189"/>
        <v>Daily.Seed.friendly_electric_eyeball_1.attack01</v>
      </c>
      <c r="M286" s="2" t="str">
        <f t="shared" si="189"/>
        <v/>
      </c>
      <c r="N286" s="2" t="str">
        <f t="shared" si="189"/>
        <v/>
      </c>
      <c r="O286" s="178" t="str">
        <f t="shared" si="189"/>
        <v>Daily.Seed.friendly_electric_eyeball_1.skill01</v>
      </c>
      <c r="P286" s="14" t="str">
        <f t="shared" si="189"/>
        <v/>
      </c>
      <c r="Q286" s="14" t="str">
        <f t="shared" si="189"/>
        <v/>
      </c>
      <c r="R286" s="14" t="str">
        <f t="shared" si="189"/>
        <v/>
      </c>
      <c r="S286" s="14" t="str">
        <f t="shared" si="189"/>
        <v/>
      </c>
      <c r="T286" s="14" t="str">
        <f t="shared" si="189"/>
        <v/>
      </c>
      <c r="U286" s="14" t="str">
        <f t="shared" si="189"/>
        <v/>
      </c>
      <c r="V286" s="5" t="b">
        <f t="shared" si="189"/>
        <v>0</v>
      </c>
      <c r="W286" s="5" t="str">
        <f t="shared" si="189"/>
        <v>Character/Prefabs/m_m_ranger_friendly_electric_eyeball_1</v>
      </c>
      <c r="X286" s="5" t="str">
        <f t="shared" si="189"/>
        <v/>
      </c>
      <c r="Y286" s="5" t="str">
        <f t="shared" si="189"/>
        <v>m_m_ranger_friendly_electric_eyeball_1</v>
      </c>
      <c r="Z286" s="5" t="str">
        <f t="shared" si="189"/>
        <v/>
      </c>
      <c r="AA286" s="5" t="str">
        <f t="shared" si="189"/>
        <v/>
      </c>
      <c r="AB286" s="5" t="str">
        <f t="shared" si="189"/>
        <v/>
      </c>
      <c r="AC286" s="97">
        <f t="shared" si="189"/>
        <v>0.9</v>
      </c>
      <c r="AD286" s="5" t="str">
        <f t="shared" si="189"/>
        <v/>
      </c>
      <c r="AE286" s="5" t="str">
        <f t="shared" si="189"/>
        <v/>
      </c>
      <c r="AF286" s="5" t="str">
        <f t="shared" si="189"/>
        <v/>
      </c>
      <c r="AG286" s="173" t="s">
        <v>2762</v>
      </c>
    </row>
    <row r="287" spans="1:33" x14ac:dyDescent="0.3">
      <c r="A287" s="13">
        <f t="shared" si="160"/>
        <v>1310305007</v>
      </c>
      <c r="B287" s="13" t="str">
        <f t="shared" ref="B287:AF287" si="190">IF(B176 &lt;&gt; "", B176, "")</f>
        <v>Daily.Seed</v>
      </c>
      <c r="C287" s="5" t="str">
        <f t="shared" si="190"/>
        <v>친절한건</v>
      </c>
      <c r="D287" s="5" t="str">
        <f t="shared" si="190"/>
        <v>Monster.Name.friendly_gun_1</v>
      </c>
      <c r="E287" s="5" t="str">
        <f t="shared" si="190"/>
        <v>Ranger</v>
      </c>
      <c r="F287" s="17" t="str">
        <f t="shared" si="190"/>
        <v>Fac_nul_ind</v>
      </c>
      <c r="G287" s="5" t="str">
        <f t="shared" si="190"/>
        <v>TRUE</v>
      </c>
      <c r="H287" s="5" t="b">
        <f t="shared" si="190"/>
        <v>0</v>
      </c>
      <c r="I287" s="5" t="b">
        <f t="shared" si="190"/>
        <v>0</v>
      </c>
      <c r="J287" s="5">
        <f t="shared" si="190"/>
        <v>10</v>
      </c>
      <c r="K287" s="5">
        <f t="shared" si="190"/>
        <v>10</v>
      </c>
      <c r="L287" s="2" t="str">
        <f t="shared" si="190"/>
        <v>Daily.Seed.friendly_gun_1.attack01</v>
      </c>
      <c r="M287" s="2" t="str">
        <f t="shared" si="190"/>
        <v/>
      </c>
      <c r="N287" s="2" t="str">
        <f t="shared" si="190"/>
        <v/>
      </c>
      <c r="O287" s="178" t="str">
        <f t="shared" si="190"/>
        <v>Daily.Seed.friendly_gun_1.skill01</v>
      </c>
      <c r="P287" s="14" t="str">
        <f t="shared" si="190"/>
        <v/>
      </c>
      <c r="Q287" s="14" t="str">
        <f t="shared" si="190"/>
        <v/>
      </c>
      <c r="R287" s="14" t="str">
        <f t="shared" si="190"/>
        <v/>
      </c>
      <c r="S287" s="14" t="str">
        <f t="shared" si="190"/>
        <v/>
      </c>
      <c r="T287" s="14" t="str">
        <f t="shared" si="190"/>
        <v/>
      </c>
      <c r="U287" s="14" t="str">
        <f t="shared" si="190"/>
        <v/>
      </c>
      <c r="V287" s="5" t="b">
        <f t="shared" si="190"/>
        <v>0</v>
      </c>
      <c r="W287" s="5" t="str">
        <f t="shared" si="190"/>
        <v>Character/Prefabs/m_m_ranger_friendly_gun_1</v>
      </c>
      <c r="X287" s="5" t="str">
        <f t="shared" si="190"/>
        <v/>
      </c>
      <c r="Y287" s="5" t="str">
        <f t="shared" si="190"/>
        <v>m_m_ranger_friendly_gun_1</v>
      </c>
      <c r="Z287" s="5" t="str">
        <f t="shared" si="190"/>
        <v/>
      </c>
      <c r="AA287" s="5" t="str">
        <f t="shared" si="190"/>
        <v/>
      </c>
      <c r="AB287" s="5" t="str">
        <f t="shared" si="190"/>
        <v/>
      </c>
      <c r="AC287" s="97">
        <f t="shared" si="190"/>
        <v>0.9</v>
      </c>
      <c r="AD287" s="5" t="str">
        <f t="shared" si="190"/>
        <v/>
      </c>
      <c r="AE287" s="5" t="str">
        <f t="shared" si="190"/>
        <v/>
      </c>
      <c r="AF287" s="5" t="str">
        <f t="shared" si="190"/>
        <v/>
      </c>
      <c r="AG287" s="173" t="s">
        <v>2762</v>
      </c>
    </row>
    <row r="288" spans="1:33" x14ac:dyDescent="0.3">
      <c r="A288" s="13">
        <f t="shared" si="160"/>
        <v>1310305008</v>
      </c>
      <c r="B288" s="13" t="str">
        <f t="shared" ref="B288:AF288" si="191">IF(B177 &lt;&gt; "", B177, "")</f>
        <v>Daily.Seed</v>
      </c>
      <c r="C288" s="5" t="str">
        <f t="shared" si="191"/>
        <v>친절한핀서</v>
      </c>
      <c r="D288" s="5" t="str">
        <f t="shared" si="191"/>
        <v>Monster.Name.friendly_pincers_1</v>
      </c>
      <c r="E288" s="5" t="str">
        <f t="shared" si="191"/>
        <v>Attacker</v>
      </c>
      <c r="F288" s="17" t="str">
        <f t="shared" si="191"/>
        <v>Fac_nul_ind</v>
      </c>
      <c r="G288" s="5" t="str">
        <f t="shared" si="191"/>
        <v>TRUE</v>
      </c>
      <c r="H288" s="5" t="b">
        <f t="shared" si="191"/>
        <v>0</v>
      </c>
      <c r="I288" s="5" t="b">
        <f t="shared" si="191"/>
        <v>0</v>
      </c>
      <c r="J288" s="5">
        <f t="shared" si="191"/>
        <v>10</v>
      </c>
      <c r="K288" s="5">
        <f t="shared" si="191"/>
        <v>10</v>
      </c>
      <c r="L288" s="2" t="str">
        <f t="shared" si="191"/>
        <v>Daily.Seed.friendly_pincers_1.attack01</v>
      </c>
      <c r="M288" s="2" t="str">
        <f t="shared" si="191"/>
        <v/>
      </c>
      <c r="N288" s="2" t="str">
        <f t="shared" si="191"/>
        <v/>
      </c>
      <c r="O288" s="178" t="str">
        <f t="shared" si="191"/>
        <v>Daily.Seed.friendly_pincers_1.skill01</v>
      </c>
      <c r="P288" s="14" t="str">
        <f t="shared" si="191"/>
        <v/>
      </c>
      <c r="Q288" s="14" t="str">
        <f t="shared" si="191"/>
        <v/>
      </c>
      <c r="R288" s="14" t="str">
        <f t="shared" si="191"/>
        <v/>
      </c>
      <c r="S288" s="14" t="str">
        <f t="shared" si="191"/>
        <v/>
      </c>
      <c r="T288" s="14" t="str">
        <f t="shared" si="191"/>
        <v/>
      </c>
      <c r="U288" s="14" t="str">
        <f t="shared" si="191"/>
        <v/>
      </c>
      <c r="V288" s="5" t="b">
        <f t="shared" si="191"/>
        <v>0</v>
      </c>
      <c r="W288" s="5" t="str">
        <f t="shared" si="191"/>
        <v>Character/Prefabs/m_l_attacker_friendly_pincers_1</v>
      </c>
      <c r="X288" s="5" t="str">
        <f t="shared" si="191"/>
        <v/>
      </c>
      <c r="Y288" s="5" t="str">
        <f t="shared" si="191"/>
        <v>m_l_attacker_friendly_pincers_1</v>
      </c>
      <c r="Z288" s="5" t="str">
        <f t="shared" si="191"/>
        <v/>
      </c>
      <c r="AA288" s="5" t="str">
        <f t="shared" si="191"/>
        <v/>
      </c>
      <c r="AB288" s="5" t="str">
        <f t="shared" si="191"/>
        <v/>
      </c>
      <c r="AC288" s="97">
        <f t="shared" si="191"/>
        <v>0.9</v>
      </c>
      <c r="AD288" s="5" t="str">
        <f t="shared" si="191"/>
        <v/>
      </c>
      <c r="AE288" s="5" t="str">
        <f t="shared" si="191"/>
        <v/>
      </c>
      <c r="AF288" s="5" t="str">
        <f t="shared" si="191"/>
        <v/>
      </c>
      <c r="AG288" s="173" t="s">
        <v>2762</v>
      </c>
    </row>
    <row r="289" spans="1:33" x14ac:dyDescent="0.3">
      <c r="A289" s="13">
        <f t="shared" si="160"/>
        <v>1310305009</v>
      </c>
      <c r="B289" s="13" t="str">
        <f t="shared" ref="B289:AF289" si="192">IF(B178 &lt;&gt; "", B178, "")</f>
        <v>Daily.Seed</v>
      </c>
      <c r="C289" s="5" t="str">
        <f t="shared" si="192"/>
        <v>친절한펀치</v>
      </c>
      <c r="D289" s="5" t="str">
        <f t="shared" si="192"/>
        <v>Monster.Name.friendly_punch_1</v>
      </c>
      <c r="E289" s="5" t="str">
        <f t="shared" si="192"/>
        <v>Tanker</v>
      </c>
      <c r="F289" s="17" t="str">
        <f t="shared" si="192"/>
        <v>Fac_nul_ind</v>
      </c>
      <c r="G289" s="5" t="str">
        <f t="shared" si="192"/>
        <v>TRUE</v>
      </c>
      <c r="H289" s="5" t="b">
        <f t="shared" si="192"/>
        <v>0</v>
      </c>
      <c r="I289" s="5" t="b">
        <f t="shared" si="192"/>
        <v>0</v>
      </c>
      <c r="J289" s="5">
        <f t="shared" si="192"/>
        <v>10</v>
      </c>
      <c r="K289" s="5">
        <f t="shared" si="192"/>
        <v>10</v>
      </c>
      <c r="L289" s="2" t="str">
        <f t="shared" si="192"/>
        <v>Daily.Seed.friendly_punch_1.attack01</v>
      </c>
      <c r="M289" s="2" t="str">
        <f t="shared" si="192"/>
        <v/>
      </c>
      <c r="N289" s="2" t="str">
        <f t="shared" si="192"/>
        <v/>
      </c>
      <c r="O289" s="178" t="str">
        <f t="shared" si="192"/>
        <v>Daily.Seed.friendly_punch_1.skill01</v>
      </c>
      <c r="P289" s="14" t="str">
        <f t="shared" si="192"/>
        <v>Daily.Seed.friendly_punch_1.skill02</v>
      </c>
      <c r="Q289" s="14" t="str">
        <f t="shared" si="192"/>
        <v/>
      </c>
      <c r="R289" s="14" t="str">
        <f t="shared" si="192"/>
        <v/>
      </c>
      <c r="S289" s="14" t="str">
        <f t="shared" si="192"/>
        <v/>
      </c>
      <c r="T289" s="14" t="str">
        <f t="shared" si="192"/>
        <v/>
      </c>
      <c r="U289" s="14" t="str">
        <f t="shared" si="192"/>
        <v/>
      </c>
      <c r="V289" s="5" t="b">
        <f t="shared" si="192"/>
        <v>0</v>
      </c>
      <c r="W289" s="5" t="str">
        <f t="shared" si="192"/>
        <v>Character/Prefabs/m_l_tanker_friendly_punch_1</v>
      </c>
      <c r="X289" s="5" t="str">
        <f t="shared" si="192"/>
        <v/>
      </c>
      <c r="Y289" s="5" t="str">
        <f t="shared" si="192"/>
        <v>m_l_tanker_friendly_punch_1</v>
      </c>
      <c r="Z289" s="5" t="str">
        <f t="shared" si="192"/>
        <v/>
      </c>
      <c r="AA289" s="5" t="str">
        <f t="shared" si="192"/>
        <v/>
      </c>
      <c r="AB289" s="5" t="str">
        <f t="shared" si="192"/>
        <v/>
      </c>
      <c r="AC289" s="97">
        <f t="shared" si="192"/>
        <v>0.6</v>
      </c>
      <c r="AD289" s="5" t="str">
        <f t="shared" si="192"/>
        <v/>
      </c>
      <c r="AE289" s="5" t="str">
        <f t="shared" si="192"/>
        <v/>
      </c>
      <c r="AF289" s="5" t="str">
        <f t="shared" si="192"/>
        <v/>
      </c>
      <c r="AG289" s="173" t="s">
        <v>2762</v>
      </c>
    </row>
    <row r="290" spans="1:33" x14ac:dyDescent="0.3">
      <c r="A290" s="45">
        <f t="shared" ref="A290:A321" si="193">A179+100000000</f>
        <v>1310305010</v>
      </c>
      <c r="B290" s="45" t="str">
        <f t="shared" ref="B290:AF290" si="194">IF(B179 &lt;&gt; "", B179, "")</f>
        <v>Daily.Seed</v>
      </c>
      <c r="C290" s="5" t="str">
        <f t="shared" si="194"/>
        <v>오염체플루터블롭런처</v>
      </c>
      <c r="D290" s="5" t="str">
        <f t="shared" si="194"/>
        <v>Monster.Name.polluter_bloblauncher_1</v>
      </c>
      <c r="E290" s="5" t="str">
        <f t="shared" si="194"/>
        <v>Ranger</v>
      </c>
      <c r="F290" s="17" t="str">
        <f t="shared" si="194"/>
        <v>Fac_nul_ind</v>
      </c>
      <c r="G290" s="5" t="str">
        <f t="shared" si="194"/>
        <v>TRUE</v>
      </c>
      <c r="H290" s="5" t="b">
        <f t="shared" si="194"/>
        <v>0</v>
      </c>
      <c r="I290" s="5" t="b">
        <f t="shared" si="194"/>
        <v>0</v>
      </c>
      <c r="J290" s="5">
        <f t="shared" si="194"/>
        <v>10</v>
      </c>
      <c r="K290" s="5">
        <f t="shared" si="194"/>
        <v>10</v>
      </c>
      <c r="L290" s="2" t="str">
        <f t="shared" si="194"/>
        <v>Daily.Seed.polluter_bloblauncher_1.attack01</v>
      </c>
      <c r="M290" s="2" t="str">
        <f t="shared" si="194"/>
        <v/>
      </c>
      <c r="N290" s="2" t="str">
        <f t="shared" si="194"/>
        <v/>
      </c>
      <c r="O290" s="178" t="str">
        <f t="shared" si="194"/>
        <v>Daily.Seed.polluter_bloblauncher_1.skill01</v>
      </c>
      <c r="P290" s="14" t="str">
        <f t="shared" si="194"/>
        <v/>
      </c>
      <c r="Q290" s="14" t="str">
        <f t="shared" si="194"/>
        <v/>
      </c>
      <c r="R290" s="14" t="str">
        <f t="shared" si="194"/>
        <v/>
      </c>
      <c r="S290" s="14" t="str">
        <f t="shared" si="194"/>
        <v/>
      </c>
      <c r="T290" s="14" t="str">
        <f t="shared" si="194"/>
        <v/>
      </c>
      <c r="U290" s="14" t="str">
        <f t="shared" si="194"/>
        <v/>
      </c>
      <c r="V290" s="5" t="b">
        <f t="shared" si="194"/>
        <v>0</v>
      </c>
      <c r="W290" s="5" t="str">
        <f t="shared" si="194"/>
        <v>Character/Prefabs/m_l_ranger_polluter_bloblauncher_1</v>
      </c>
      <c r="X290" s="5" t="str">
        <f t="shared" si="194"/>
        <v/>
      </c>
      <c r="Y290" s="5" t="str">
        <f t="shared" si="194"/>
        <v>m_l_ranger_polluter_bloblauncher_1</v>
      </c>
      <c r="Z290" s="5" t="str">
        <f t="shared" si="194"/>
        <v/>
      </c>
      <c r="AA290" s="5" t="str">
        <f t="shared" si="194"/>
        <v/>
      </c>
      <c r="AB290" s="5" t="str">
        <f t="shared" si="194"/>
        <v/>
      </c>
      <c r="AC290" s="97">
        <f t="shared" si="194"/>
        <v>1.1000000000000001</v>
      </c>
      <c r="AD290" s="5" t="str">
        <f t="shared" si="194"/>
        <v/>
      </c>
      <c r="AE290" s="5" t="str">
        <f t="shared" si="194"/>
        <v/>
      </c>
      <c r="AF290" s="5" t="str">
        <f t="shared" si="194"/>
        <v/>
      </c>
      <c r="AG290" s="173" t="s">
        <v>2762</v>
      </c>
    </row>
    <row r="291" spans="1:33" x14ac:dyDescent="0.3">
      <c r="A291" s="13">
        <f t="shared" si="193"/>
        <v>1310305011</v>
      </c>
      <c r="B291" s="13" t="str">
        <f t="shared" ref="B291:AF291" si="195">IF(B180 &lt;&gt; "", B180, "")</f>
        <v>Daily.Seed</v>
      </c>
      <c r="C291" s="5" t="str">
        <f t="shared" si="195"/>
        <v>오염체플루터리퀴드</v>
      </c>
      <c r="D291" s="5" t="str">
        <f t="shared" si="195"/>
        <v>Monster.Name.polluter_liquid_1</v>
      </c>
      <c r="E291" s="5" t="str">
        <f t="shared" si="195"/>
        <v>Ranger</v>
      </c>
      <c r="F291" s="17" t="str">
        <f t="shared" si="195"/>
        <v>Fac_nul_ind</v>
      </c>
      <c r="G291" s="5" t="str">
        <f t="shared" si="195"/>
        <v>TRUE</v>
      </c>
      <c r="H291" s="5" t="b">
        <f t="shared" si="195"/>
        <v>0</v>
      </c>
      <c r="I291" s="5" t="b">
        <f t="shared" si="195"/>
        <v>0</v>
      </c>
      <c r="J291" s="5">
        <f t="shared" si="195"/>
        <v>10</v>
      </c>
      <c r="K291" s="5">
        <f t="shared" si="195"/>
        <v>10</v>
      </c>
      <c r="L291" s="2" t="str">
        <f t="shared" si="195"/>
        <v>Daily.Seed.polluter_liquid_1.attack01</v>
      </c>
      <c r="M291" s="2" t="str">
        <f t="shared" si="195"/>
        <v/>
      </c>
      <c r="N291" s="2" t="str">
        <f t="shared" si="195"/>
        <v/>
      </c>
      <c r="O291" s="178" t="str">
        <f t="shared" si="195"/>
        <v>Daily.Seed.polluter_liquid_1.skill01</v>
      </c>
      <c r="P291" s="14" t="str">
        <f t="shared" si="195"/>
        <v/>
      </c>
      <c r="Q291" s="14" t="str">
        <f t="shared" si="195"/>
        <v/>
      </c>
      <c r="R291" s="14" t="str">
        <f t="shared" si="195"/>
        <v/>
      </c>
      <c r="S291" s="14" t="str">
        <f t="shared" si="195"/>
        <v/>
      </c>
      <c r="T291" s="14" t="str">
        <f t="shared" si="195"/>
        <v/>
      </c>
      <c r="U291" s="14" t="str">
        <f t="shared" si="195"/>
        <v/>
      </c>
      <c r="V291" s="5" t="b">
        <f t="shared" si="195"/>
        <v>0</v>
      </c>
      <c r="W291" s="5" t="str">
        <f t="shared" si="195"/>
        <v>Character/Prefabs/m_m_ranger_polluter_liquid_1</v>
      </c>
      <c r="X291" s="5" t="str">
        <f t="shared" si="195"/>
        <v/>
      </c>
      <c r="Y291" s="5" t="str">
        <f t="shared" si="195"/>
        <v>m_m_ranger_polluter_liquid_1</v>
      </c>
      <c r="Z291" s="5" t="str">
        <f t="shared" si="195"/>
        <v/>
      </c>
      <c r="AA291" s="5" t="str">
        <f t="shared" si="195"/>
        <v/>
      </c>
      <c r="AB291" s="5" t="str">
        <f t="shared" si="195"/>
        <v/>
      </c>
      <c r="AC291" s="97">
        <f t="shared" si="195"/>
        <v>0.6</v>
      </c>
      <c r="AD291" s="5" t="str">
        <f t="shared" si="195"/>
        <v/>
      </c>
      <c r="AE291" s="5" t="str">
        <f t="shared" si="195"/>
        <v/>
      </c>
      <c r="AF291" s="5" t="str">
        <f t="shared" si="195"/>
        <v/>
      </c>
      <c r="AG291" s="173" t="s">
        <v>2762</v>
      </c>
    </row>
    <row r="292" spans="1:33" x14ac:dyDescent="0.3">
      <c r="A292" s="13">
        <f t="shared" si="193"/>
        <v>1310305012</v>
      </c>
      <c r="B292" s="13" t="str">
        <f t="shared" ref="B292:AF292" si="196">IF(B181 &lt;&gt; "", B181, "")</f>
        <v>Daily.Seed</v>
      </c>
      <c r="C292" s="5" t="str">
        <f t="shared" si="196"/>
        <v>오염체플루터포그</v>
      </c>
      <c r="D292" s="5" t="str">
        <f t="shared" si="196"/>
        <v>Monster.Name.polluter_fog_1</v>
      </c>
      <c r="E292" s="5" t="str">
        <f t="shared" si="196"/>
        <v>Supporter</v>
      </c>
      <c r="F292" s="17" t="str">
        <f t="shared" si="196"/>
        <v>Fac_nul_ind</v>
      </c>
      <c r="G292" s="5" t="str">
        <f t="shared" si="196"/>
        <v>TRUE</v>
      </c>
      <c r="H292" s="5" t="b">
        <f t="shared" si="196"/>
        <v>0</v>
      </c>
      <c r="I292" s="5" t="b">
        <f t="shared" si="196"/>
        <v>0</v>
      </c>
      <c r="J292" s="5">
        <f t="shared" si="196"/>
        <v>10</v>
      </c>
      <c r="K292" s="5">
        <f t="shared" si="196"/>
        <v>10</v>
      </c>
      <c r="L292" s="2" t="str">
        <f t="shared" si="196"/>
        <v>Daily.Seed.polluter_fog_1.attack01</v>
      </c>
      <c r="M292" s="2" t="str">
        <f t="shared" si="196"/>
        <v/>
      </c>
      <c r="N292" s="2" t="str">
        <f t="shared" si="196"/>
        <v/>
      </c>
      <c r="O292" s="178" t="str">
        <f t="shared" si="196"/>
        <v>Daily.Seed.polluter_fog_1.skill01</v>
      </c>
      <c r="P292" s="14" t="str">
        <f t="shared" si="196"/>
        <v/>
      </c>
      <c r="Q292" s="14" t="str">
        <f t="shared" si="196"/>
        <v/>
      </c>
      <c r="R292" s="14" t="str">
        <f t="shared" si="196"/>
        <v/>
      </c>
      <c r="S292" s="14" t="str">
        <f t="shared" si="196"/>
        <v/>
      </c>
      <c r="T292" s="14" t="str">
        <f t="shared" si="196"/>
        <v/>
      </c>
      <c r="U292" s="14" t="str">
        <f t="shared" si="196"/>
        <v/>
      </c>
      <c r="V292" s="5" t="b">
        <f t="shared" si="196"/>
        <v>0</v>
      </c>
      <c r="W292" s="5" t="str">
        <f t="shared" si="196"/>
        <v>Character/Prefabs/m_m_supporter_polluter_fog_1</v>
      </c>
      <c r="X292" s="5" t="str">
        <f t="shared" si="196"/>
        <v/>
      </c>
      <c r="Y292" s="5" t="str">
        <f t="shared" si="196"/>
        <v>m_m_supporter_polluter_fog_1</v>
      </c>
      <c r="Z292" s="5" t="str">
        <f t="shared" si="196"/>
        <v/>
      </c>
      <c r="AA292" s="5" t="str">
        <f t="shared" si="196"/>
        <v/>
      </c>
      <c r="AB292" s="5" t="str">
        <f t="shared" si="196"/>
        <v/>
      </c>
      <c r="AC292" s="97">
        <f t="shared" si="196"/>
        <v>0.6</v>
      </c>
      <c r="AD292" s="5" t="str">
        <f t="shared" si="196"/>
        <v/>
      </c>
      <c r="AE292" s="5" t="str">
        <f t="shared" si="196"/>
        <v/>
      </c>
      <c r="AF292" s="5" t="str">
        <f t="shared" si="196"/>
        <v/>
      </c>
      <c r="AG292" s="173" t="s">
        <v>2762</v>
      </c>
    </row>
    <row r="293" spans="1:33" x14ac:dyDescent="0.3">
      <c r="A293" s="13">
        <f t="shared" si="193"/>
        <v>1310305013</v>
      </c>
      <c r="B293" s="13" t="str">
        <f t="shared" ref="B293:AF293" si="197">IF(B182 &lt;&gt; "", B182, "")</f>
        <v>Daily.Seed</v>
      </c>
      <c r="C293" s="5" t="str">
        <f t="shared" si="197"/>
        <v>오염체플루터스파이크</v>
      </c>
      <c r="D293" s="5" t="str">
        <f t="shared" si="197"/>
        <v>Monster.Name.polluter_spike_1</v>
      </c>
      <c r="E293" s="5" t="str">
        <f t="shared" si="197"/>
        <v>Attacker</v>
      </c>
      <c r="F293" s="17" t="str">
        <f t="shared" si="197"/>
        <v>Fac_nul_ind</v>
      </c>
      <c r="G293" s="5" t="str">
        <f t="shared" si="197"/>
        <v>TRUE</v>
      </c>
      <c r="H293" s="5" t="b">
        <f t="shared" si="197"/>
        <v>0</v>
      </c>
      <c r="I293" s="5" t="b">
        <f t="shared" si="197"/>
        <v>0</v>
      </c>
      <c r="J293" s="5">
        <f t="shared" si="197"/>
        <v>10</v>
      </c>
      <c r="K293" s="5">
        <f t="shared" si="197"/>
        <v>10</v>
      </c>
      <c r="L293" s="2" t="str">
        <f t="shared" si="197"/>
        <v>Daily.Seed.polluter_spike_1.attack01</v>
      </c>
      <c r="M293" s="2" t="str">
        <f t="shared" si="197"/>
        <v/>
      </c>
      <c r="N293" s="2" t="str">
        <f t="shared" si="197"/>
        <v/>
      </c>
      <c r="O293" s="178" t="str">
        <f t="shared" si="197"/>
        <v>Daily.Seed.polluter_spike_1.skill01</v>
      </c>
      <c r="P293" s="14" t="str">
        <f t="shared" si="197"/>
        <v>Daily.Seed.polluter_spike_1.skill02</v>
      </c>
      <c r="Q293" s="14" t="str">
        <f t="shared" si="197"/>
        <v>Daily.Seed.polluter_spike_1.skill03</v>
      </c>
      <c r="R293" s="14" t="str">
        <f t="shared" si="197"/>
        <v/>
      </c>
      <c r="S293" s="14" t="str">
        <f t="shared" si="197"/>
        <v/>
      </c>
      <c r="T293" s="14" t="str">
        <f t="shared" si="197"/>
        <v/>
      </c>
      <c r="U293" s="14" t="str">
        <f t="shared" si="197"/>
        <v/>
      </c>
      <c r="V293" s="5" t="b">
        <f t="shared" si="197"/>
        <v>0</v>
      </c>
      <c r="W293" s="5" t="str">
        <f t="shared" si="197"/>
        <v>Character/Prefabs/m_l_attacker_polluter_spike_1</v>
      </c>
      <c r="X293" s="5" t="str">
        <f t="shared" si="197"/>
        <v/>
      </c>
      <c r="Y293" s="5" t="str">
        <f t="shared" si="197"/>
        <v>m_l_attacker_polluter_spike_1</v>
      </c>
      <c r="Z293" s="5" t="str">
        <f t="shared" si="197"/>
        <v/>
      </c>
      <c r="AA293" s="5" t="str">
        <f t="shared" si="197"/>
        <v/>
      </c>
      <c r="AB293" s="5" t="str">
        <f t="shared" si="197"/>
        <v/>
      </c>
      <c r="AC293" s="97">
        <f t="shared" si="197"/>
        <v>0.5</v>
      </c>
      <c r="AD293" s="5" t="str">
        <f t="shared" si="197"/>
        <v/>
      </c>
      <c r="AE293" s="5" t="str">
        <f t="shared" si="197"/>
        <v/>
      </c>
      <c r="AF293" s="5" t="str">
        <f t="shared" si="197"/>
        <v/>
      </c>
      <c r="AG293" s="173" t="s">
        <v>2762</v>
      </c>
    </row>
    <row r="294" spans="1:33" x14ac:dyDescent="0.3">
      <c r="A294" s="13">
        <f t="shared" si="193"/>
        <v>1310305014</v>
      </c>
      <c r="B294" s="13" t="str">
        <f t="shared" ref="B294:AF294" si="198">IF(B183 &lt;&gt; "", B183, "")</f>
        <v>Daily.Seed</v>
      </c>
      <c r="C294" s="5" t="str">
        <f t="shared" si="198"/>
        <v>오염체플루터청크</v>
      </c>
      <c r="D294" s="5" t="str">
        <f t="shared" si="198"/>
        <v>Monster.Name.polluter_chunk_1</v>
      </c>
      <c r="E294" s="5" t="str">
        <f t="shared" si="198"/>
        <v>Attacker</v>
      </c>
      <c r="F294" s="17" t="str">
        <f t="shared" si="198"/>
        <v>Fac_nul_ind</v>
      </c>
      <c r="G294" s="5" t="str">
        <f t="shared" si="198"/>
        <v>TRUE</v>
      </c>
      <c r="H294" s="5" t="b">
        <f t="shared" si="198"/>
        <v>0</v>
      </c>
      <c r="I294" s="5" t="b">
        <f t="shared" si="198"/>
        <v>0</v>
      </c>
      <c r="J294" s="5">
        <f t="shared" si="198"/>
        <v>10</v>
      </c>
      <c r="K294" s="5">
        <f t="shared" si="198"/>
        <v>10</v>
      </c>
      <c r="L294" s="2" t="str">
        <f t="shared" si="198"/>
        <v>Daily.Seed.polluter_chunk_1.attack01</v>
      </c>
      <c r="M294" s="2" t="str">
        <f t="shared" si="198"/>
        <v/>
      </c>
      <c r="N294" s="2" t="str">
        <f t="shared" si="198"/>
        <v/>
      </c>
      <c r="O294" s="178" t="str">
        <f t="shared" si="198"/>
        <v>Daily.Seed.polluter_chunk_1.skill01</v>
      </c>
      <c r="P294" s="14" t="str">
        <f t="shared" si="198"/>
        <v/>
      </c>
      <c r="Q294" s="14" t="str">
        <f t="shared" si="198"/>
        <v/>
      </c>
      <c r="R294" s="14" t="str">
        <f t="shared" si="198"/>
        <v/>
      </c>
      <c r="S294" s="14" t="str">
        <f t="shared" si="198"/>
        <v/>
      </c>
      <c r="T294" s="14" t="str">
        <f t="shared" si="198"/>
        <v/>
      </c>
      <c r="U294" s="14" t="str">
        <f t="shared" si="198"/>
        <v/>
      </c>
      <c r="V294" s="5" t="b">
        <f t="shared" si="198"/>
        <v>0</v>
      </c>
      <c r="W294" s="5" t="str">
        <f t="shared" si="198"/>
        <v>Character/Prefabs/m_l_attacker_polluter_chunk_1</v>
      </c>
      <c r="X294" s="5" t="str">
        <f t="shared" si="198"/>
        <v/>
      </c>
      <c r="Y294" s="5" t="str">
        <f t="shared" si="198"/>
        <v>m_l_attacker_polluter_chunk_1</v>
      </c>
      <c r="Z294" s="5" t="str">
        <f t="shared" si="198"/>
        <v/>
      </c>
      <c r="AA294" s="5" t="str">
        <f t="shared" si="198"/>
        <v/>
      </c>
      <c r="AB294" s="5" t="str">
        <f t="shared" si="198"/>
        <v/>
      </c>
      <c r="AC294" s="97">
        <f t="shared" si="198"/>
        <v>0.7</v>
      </c>
      <c r="AD294" s="5" t="str">
        <f t="shared" si="198"/>
        <v/>
      </c>
      <c r="AE294" s="5" t="str">
        <f t="shared" si="198"/>
        <v/>
      </c>
      <c r="AF294" s="5" t="str">
        <f t="shared" si="198"/>
        <v/>
      </c>
      <c r="AG294" s="173" t="s">
        <v>2762</v>
      </c>
    </row>
    <row r="295" spans="1:33" x14ac:dyDescent="0.3">
      <c r="A295" s="14">
        <f t="shared" si="193"/>
        <v>1310401001</v>
      </c>
      <c r="B295" s="14" t="str">
        <f t="shared" ref="B295:AF295" si="199">IF(B184 &lt;&gt; "", B184, "")</f>
        <v>Rotation</v>
      </c>
      <c r="C295" s="14" t="str">
        <f t="shared" si="199"/>
        <v>큐브01_01</v>
      </c>
      <c r="D295" s="14" t="str">
        <f t="shared" si="199"/>
        <v>Monster.Name.RotationCube.Tier1</v>
      </c>
      <c r="E295" s="5" t="str">
        <f t="shared" si="199"/>
        <v>None</v>
      </c>
      <c r="F295" s="17" t="str">
        <f t="shared" si="199"/>
        <v>Fac_nul_ind</v>
      </c>
      <c r="G295" s="14" t="str">
        <f t="shared" si="199"/>
        <v>TRUE</v>
      </c>
      <c r="H295" s="14" t="str">
        <f t="shared" si="199"/>
        <v>TRUE</v>
      </c>
      <c r="I295" s="14" t="b">
        <f t="shared" si="199"/>
        <v>0</v>
      </c>
      <c r="J295" s="14">
        <f t="shared" si="199"/>
        <v>20</v>
      </c>
      <c r="K295" s="14">
        <f t="shared" si="199"/>
        <v>10</v>
      </c>
      <c r="L295" s="14" t="str">
        <f t="shared" si="199"/>
        <v/>
      </c>
      <c r="M295" s="14" t="str">
        <f t="shared" si="199"/>
        <v/>
      </c>
      <c r="N295" s="14" t="str">
        <f t="shared" si="199"/>
        <v/>
      </c>
      <c r="O295" s="17" t="str">
        <f t="shared" si="199"/>
        <v>Rotation.cube_tier01_01.skill01</v>
      </c>
      <c r="P295" s="14" t="str">
        <f t="shared" si="199"/>
        <v/>
      </c>
      <c r="Q295" s="14" t="str">
        <f t="shared" si="199"/>
        <v>Rotation.cube_tier01_01.Immun</v>
      </c>
      <c r="R295" s="14" t="str">
        <f t="shared" si="199"/>
        <v/>
      </c>
      <c r="S295" s="14" t="str">
        <f t="shared" si="199"/>
        <v/>
      </c>
      <c r="T295" s="14" t="str">
        <f t="shared" si="199"/>
        <v/>
      </c>
      <c r="U295" s="14" t="str">
        <f t="shared" si="199"/>
        <v/>
      </c>
      <c r="V295" s="14" t="b">
        <f t="shared" si="199"/>
        <v>0</v>
      </c>
      <c r="W295" s="14" t="str">
        <f t="shared" si="199"/>
        <v>Character/Prefabs/m_m_tanker_cube_tier01_01</v>
      </c>
      <c r="X295" s="14" t="str">
        <f t="shared" si="199"/>
        <v/>
      </c>
      <c r="Y295" s="14" t="str">
        <f t="shared" si="199"/>
        <v>m_m_tanker_cube_tier01_01</v>
      </c>
      <c r="Z295" s="14" t="str">
        <f t="shared" si="199"/>
        <v/>
      </c>
      <c r="AA295" s="14" t="str">
        <f t="shared" si="199"/>
        <v/>
      </c>
      <c r="AB295" s="14" t="str">
        <f t="shared" si="199"/>
        <v>Die_machine</v>
      </c>
      <c r="AC295" s="94">
        <f t="shared" si="199"/>
        <v>1</v>
      </c>
      <c r="AD295" s="14" t="str">
        <f t="shared" si="199"/>
        <v>Effect/Prefab/02.mob/cube_military_01/EFF_cube_military_01_hit_01</v>
      </c>
      <c r="AE295" s="14" t="str">
        <f t="shared" si="199"/>
        <v/>
      </c>
      <c r="AF295" s="14" t="str">
        <f t="shared" si="199"/>
        <v/>
      </c>
      <c r="AG295" s="173" t="s">
        <v>2762</v>
      </c>
    </row>
    <row r="296" spans="1:33" x14ac:dyDescent="0.3">
      <c r="A296" s="14">
        <f t="shared" si="193"/>
        <v>1310401002</v>
      </c>
      <c r="B296" s="14" t="str">
        <f t="shared" ref="B296:AF296" si="200">IF(B185 &lt;&gt; "", B185, "")</f>
        <v>Rotation</v>
      </c>
      <c r="C296" s="14" t="str">
        <f t="shared" si="200"/>
        <v>큐브01_02</v>
      </c>
      <c r="D296" s="14" t="str">
        <f t="shared" si="200"/>
        <v>Monster.Name.RotationCube.Tier1</v>
      </c>
      <c r="E296" s="5" t="str">
        <f t="shared" si="200"/>
        <v>None</v>
      </c>
      <c r="F296" s="17" t="str">
        <f t="shared" si="200"/>
        <v>Fac_nul_ind</v>
      </c>
      <c r="G296" s="14" t="str">
        <f t="shared" si="200"/>
        <v>TRUE</v>
      </c>
      <c r="H296" s="14" t="str">
        <f t="shared" si="200"/>
        <v>TRUE</v>
      </c>
      <c r="I296" s="14" t="b">
        <f t="shared" si="200"/>
        <v>0</v>
      </c>
      <c r="J296" s="14">
        <f t="shared" si="200"/>
        <v>20</v>
      </c>
      <c r="K296" s="14">
        <f t="shared" si="200"/>
        <v>10</v>
      </c>
      <c r="L296" s="14" t="str">
        <f t="shared" si="200"/>
        <v/>
      </c>
      <c r="M296" s="14" t="str">
        <f t="shared" si="200"/>
        <v/>
      </c>
      <c r="N296" s="14" t="str">
        <f t="shared" si="200"/>
        <v/>
      </c>
      <c r="O296" s="17" t="str">
        <f t="shared" si="200"/>
        <v>Rotation.cube_tier01_02.skill01</v>
      </c>
      <c r="P296" s="14" t="str">
        <f t="shared" si="200"/>
        <v/>
      </c>
      <c r="Q296" s="14" t="str">
        <f t="shared" si="200"/>
        <v>Rotation.cube_tier01_02.Immun</v>
      </c>
      <c r="R296" s="14" t="str">
        <f t="shared" si="200"/>
        <v/>
      </c>
      <c r="S296" s="14" t="str">
        <f t="shared" si="200"/>
        <v/>
      </c>
      <c r="T296" s="14" t="str">
        <f t="shared" si="200"/>
        <v/>
      </c>
      <c r="U296" s="14" t="str">
        <f t="shared" si="200"/>
        <v/>
      </c>
      <c r="V296" s="14" t="b">
        <f t="shared" si="200"/>
        <v>0</v>
      </c>
      <c r="W296" s="14" t="str">
        <f t="shared" si="200"/>
        <v>Character/Prefabs/m_m_tanker_cube_tier01_02</v>
      </c>
      <c r="X296" s="14" t="str">
        <f t="shared" si="200"/>
        <v/>
      </c>
      <c r="Y296" s="14" t="str">
        <f t="shared" si="200"/>
        <v>m_m_tanker_cube_tier01_02</v>
      </c>
      <c r="Z296" s="14" t="str">
        <f t="shared" si="200"/>
        <v/>
      </c>
      <c r="AA296" s="14" t="str">
        <f t="shared" si="200"/>
        <v/>
      </c>
      <c r="AB296" s="14" t="str">
        <f t="shared" si="200"/>
        <v>Die_machine</v>
      </c>
      <c r="AC296" s="94">
        <f t="shared" si="200"/>
        <v>1</v>
      </c>
      <c r="AD296" s="14" t="str">
        <f t="shared" si="200"/>
        <v>Effect/Prefab/02.mob/cube_military_01/EFF_cube_military_01_hit_01</v>
      </c>
      <c r="AE296" s="14" t="str">
        <f t="shared" si="200"/>
        <v/>
      </c>
      <c r="AF296" s="14" t="str">
        <f t="shared" si="200"/>
        <v/>
      </c>
      <c r="AG296" s="173" t="s">
        <v>2762</v>
      </c>
    </row>
    <row r="297" spans="1:33" x14ac:dyDescent="0.3">
      <c r="A297" s="14">
        <f t="shared" si="193"/>
        <v>1310401003</v>
      </c>
      <c r="B297" s="14" t="str">
        <f t="shared" ref="B297:AF297" si="201">IF(B186 &lt;&gt; "", B186, "")</f>
        <v>Rotation</v>
      </c>
      <c r="C297" s="14" t="str">
        <f t="shared" si="201"/>
        <v>큐브01_03</v>
      </c>
      <c r="D297" s="14" t="str">
        <f t="shared" si="201"/>
        <v>Monster.Name.RotationCube.Tier1</v>
      </c>
      <c r="E297" s="5" t="str">
        <f t="shared" si="201"/>
        <v>None</v>
      </c>
      <c r="F297" s="17" t="str">
        <f t="shared" si="201"/>
        <v>Fac_nul_ind</v>
      </c>
      <c r="G297" s="14" t="str">
        <f t="shared" si="201"/>
        <v>TRUE</v>
      </c>
      <c r="H297" s="14" t="str">
        <f t="shared" si="201"/>
        <v>TRUE</v>
      </c>
      <c r="I297" s="14" t="b">
        <f t="shared" si="201"/>
        <v>0</v>
      </c>
      <c r="J297" s="14">
        <f t="shared" si="201"/>
        <v>20</v>
      </c>
      <c r="K297" s="14">
        <f t="shared" si="201"/>
        <v>10</v>
      </c>
      <c r="L297" s="14" t="str">
        <f t="shared" si="201"/>
        <v/>
      </c>
      <c r="M297" s="14" t="str">
        <f t="shared" si="201"/>
        <v/>
      </c>
      <c r="N297" s="14" t="str">
        <f t="shared" si="201"/>
        <v/>
      </c>
      <c r="O297" s="17" t="str">
        <f t="shared" si="201"/>
        <v>Rotation.cube_tier01_03.skill01</v>
      </c>
      <c r="P297" s="14" t="str">
        <f t="shared" si="201"/>
        <v/>
      </c>
      <c r="Q297" s="14" t="str">
        <f t="shared" si="201"/>
        <v>Rotation.cube_tier01_03.Immun</v>
      </c>
      <c r="R297" s="14" t="str">
        <f t="shared" si="201"/>
        <v/>
      </c>
      <c r="S297" s="14" t="str">
        <f t="shared" si="201"/>
        <v/>
      </c>
      <c r="T297" s="14" t="str">
        <f t="shared" si="201"/>
        <v/>
      </c>
      <c r="U297" s="14" t="str">
        <f t="shared" si="201"/>
        <v/>
      </c>
      <c r="V297" s="14" t="b">
        <f t="shared" si="201"/>
        <v>0</v>
      </c>
      <c r="W297" s="14" t="str">
        <f t="shared" si="201"/>
        <v>Character/Prefabs/m_m_tanker_cube_tier01_03</v>
      </c>
      <c r="X297" s="14" t="str">
        <f t="shared" si="201"/>
        <v/>
      </c>
      <c r="Y297" s="14" t="str">
        <f t="shared" si="201"/>
        <v>m_m_tanker_cube_tier01_03</v>
      </c>
      <c r="Z297" s="14" t="str">
        <f t="shared" si="201"/>
        <v/>
      </c>
      <c r="AA297" s="14" t="str">
        <f t="shared" si="201"/>
        <v/>
      </c>
      <c r="AB297" s="14" t="str">
        <f t="shared" si="201"/>
        <v>Die_machine</v>
      </c>
      <c r="AC297" s="94">
        <f t="shared" si="201"/>
        <v>1</v>
      </c>
      <c r="AD297" s="14" t="str">
        <f t="shared" si="201"/>
        <v>Effect/Prefab/02.mob/cube_military_01/EFF_cube_military_01_hit_01</v>
      </c>
      <c r="AE297" s="14" t="str">
        <f t="shared" si="201"/>
        <v/>
      </c>
      <c r="AF297" s="14" t="str">
        <f t="shared" si="201"/>
        <v/>
      </c>
      <c r="AG297" s="173" t="s">
        <v>2762</v>
      </c>
    </row>
    <row r="298" spans="1:33" x14ac:dyDescent="0.3">
      <c r="A298" s="14">
        <f t="shared" si="193"/>
        <v>1310401004</v>
      </c>
      <c r="B298" s="14" t="str">
        <f t="shared" ref="B298:AF298" si="202">IF(B187 &lt;&gt; "", B187, "")</f>
        <v>Rotation</v>
      </c>
      <c r="C298" s="14" t="str">
        <f t="shared" si="202"/>
        <v>큐브01_04</v>
      </c>
      <c r="D298" s="14" t="str">
        <f t="shared" si="202"/>
        <v>Monster.Name.RotationCube.Tier1</v>
      </c>
      <c r="E298" s="5" t="str">
        <f t="shared" si="202"/>
        <v>None</v>
      </c>
      <c r="F298" s="17" t="str">
        <f t="shared" si="202"/>
        <v>Fac_nul_ind</v>
      </c>
      <c r="G298" s="14" t="str">
        <f t="shared" si="202"/>
        <v>TRUE</v>
      </c>
      <c r="H298" s="14" t="str">
        <f t="shared" si="202"/>
        <v>TRUE</v>
      </c>
      <c r="I298" s="14" t="b">
        <f t="shared" si="202"/>
        <v>0</v>
      </c>
      <c r="J298" s="14">
        <f t="shared" si="202"/>
        <v>20</v>
      </c>
      <c r="K298" s="14">
        <f t="shared" si="202"/>
        <v>10</v>
      </c>
      <c r="L298" s="14" t="str">
        <f t="shared" si="202"/>
        <v/>
      </c>
      <c r="M298" s="14" t="str">
        <f t="shared" si="202"/>
        <v/>
      </c>
      <c r="N298" s="14" t="str">
        <f t="shared" si="202"/>
        <v/>
      </c>
      <c r="O298" s="17" t="str">
        <f t="shared" si="202"/>
        <v>Rotation.cube_tier01_04.skill01</v>
      </c>
      <c r="P298" s="14" t="str">
        <f t="shared" si="202"/>
        <v/>
      </c>
      <c r="Q298" s="14" t="str">
        <f t="shared" si="202"/>
        <v>Rotation.cube_tier01_04.Immun</v>
      </c>
      <c r="R298" s="14" t="str">
        <f t="shared" si="202"/>
        <v/>
      </c>
      <c r="S298" s="14" t="str">
        <f t="shared" si="202"/>
        <v/>
      </c>
      <c r="T298" s="14" t="str">
        <f t="shared" si="202"/>
        <v/>
      </c>
      <c r="U298" s="14" t="str">
        <f t="shared" si="202"/>
        <v/>
      </c>
      <c r="V298" s="14" t="b">
        <f t="shared" si="202"/>
        <v>0</v>
      </c>
      <c r="W298" s="14" t="str">
        <f t="shared" si="202"/>
        <v>Character/Prefabs/m_m_tanker_cube_tier01_04</v>
      </c>
      <c r="X298" s="14" t="str">
        <f t="shared" si="202"/>
        <v/>
      </c>
      <c r="Y298" s="14" t="str">
        <f t="shared" si="202"/>
        <v>m_m_tanker_cube_tier01_04</v>
      </c>
      <c r="Z298" s="14" t="str">
        <f t="shared" si="202"/>
        <v/>
      </c>
      <c r="AA298" s="14" t="str">
        <f t="shared" si="202"/>
        <v/>
      </c>
      <c r="AB298" s="14" t="str">
        <f t="shared" si="202"/>
        <v>Die_machine</v>
      </c>
      <c r="AC298" s="94">
        <f t="shared" si="202"/>
        <v>1</v>
      </c>
      <c r="AD298" s="14" t="str">
        <f t="shared" si="202"/>
        <v>Effect/Prefab/02.mob/cube_military_01/EFF_cube_military_01_hit_01</v>
      </c>
      <c r="AE298" s="14" t="str">
        <f t="shared" si="202"/>
        <v/>
      </c>
      <c r="AF298" s="14" t="str">
        <f t="shared" si="202"/>
        <v/>
      </c>
      <c r="AG298" s="173" t="s">
        <v>2762</v>
      </c>
    </row>
    <row r="299" spans="1:33" x14ac:dyDescent="0.3">
      <c r="A299" s="14">
        <f t="shared" si="193"/>
        <v>1310401005</v>
      </c>
      <c r="B299" s="14" t="str">
        <f t="shared" ref="B299:AF299" si="203">IF(B188 &lt;&gt; "", B188, "")</f>
        <v>Rotation</v>
      </c>
      <c r="C299" s="14" t="str">
        <f t="shared" si="203"/>
        <v>큐브01_05</v>
      </c>
      <c r="D299" s="14" t="str">
        <f t="shared" si="203"/>
        <v>Monster.Name.RotationCube.Tier1</v>
      </c>
      <c r="E299" s="5" t="str">
        <f t="shared" si="203"/>
        <v>None</v>
      </c>
      <c r="F299" s="17" t="str">
        <f t="shared" si="203"/>
        <v>Fac_nul_ind</v>
      </c>
      <c r="G299" s="14" t="str">
        <f t="shared" si="203"/>
        <v>TRUE</v>
      </c>
      <c r="H299" s="14" t="str">
        <f t="shared" si="203"/>
        <v>TRUE</v>
      </c>
      <c r="I299" s="14" t="b">
        <f t="shared" si="203"/>
        <v>0</v>
      </c>
      <c r="J299" s="14">
        <f t="shared" si="203"/>
        <v>20</v>
      </c>
      <c r="K299" s="14">
        <f t="shared" si="203"/>
        <v>10</v>
      </c>
      <c r="L299" s="14" t="str">
        <f t="shared" si="203"/>
        <v/>
      </c>
      <c r="M299" s="14" t="str">
        <f t="shared" si="203"/>
        <v/>
      </c>
      <c r="N299" s="14" t="str">
        <f t="shared" si="203"/>
        <v/>
      </c>
      <c r="O299" s="17" t="str">
        <f t="shared" si="203"/>
        <v>Rotation.cube_tier01_05.skill01</v>
      </c>
      <c r="P299" s="14" t="str">
        <f t="shared" si="203"/>
        <v/>
      </c>
      <c r="Q299" s="14" t="str">
        <f t="shared" si="203"/>
        <v>Rotation.cube_tier01_05.Immun</v>
      </c>
      <c r="R299" s="14" t="str">
        <f t="shared" si="203"/>
        <v/>
      </c>
      <c r="S299" s="14" t="str">
        <f t="shared" si="203"/>
        <v/>
      </c>
      <c r="T299" s="14" t="str">
        <f t="shared" si="203"/>
        <v/>
      </c>
      <c r="U299" s="14" t="str">
        <f t="shared" si="203"/>
        <v/>
      </c>
      <c r="V299" s="14" t="b">
        <f t="shared" si="203"/>
        <v>0</v>
      </c>
      <c r="W299" s="14" t="str">
        <f t="shared" si="203"/>
        <v>Character/Prefabs/m_m_tanker_cube_tier01_05</v>
      </c>
      <c r="X299" s="14" t="str">
        <f t="shared" si="203"/>
        <v/>
      </c>
      <c r="Y299" s="14" t="str">
        <f t="shared" si="203"/>
        <v>m_m_tanker_cube_tier01_05</v>
      </c>
      <c r="Z299" s="14" t="str">
        <f t="shared" si="203"/>
        <v/>
      </c>
      <c r="AA299" s="14" t="str">
        <f t="shared" si="203"/>
        <v/>
      </c>
      <c r="AB299" s="14" t="str">
        <f t="shared" si="203"/>
        <v>Die_machine</v>
      </c>
      <c r="AC299" s="94">
        <f t="shared" si="203"/>
        <v>1</v>
      </c>
      <c r="AD299" s="14" t="str">
        <f t="shared" si="203"/>
        <v>Effect/Prefab/02.mob/cube_military_01/EFF_cube_military_01_hit_01</v>
      </c>
      <c r="AE299" s="14" t="str">
        <f t="shared" si="203"/>
        <v/>
      </c>
      <c r="AF299" s="14" t="str">
        <f t="shared" si="203"/>
        <v/>
      </c>
      <c r="AG299" s="173" t="s">
        <v>2762</v>
      </c>
    </row>
    <row r="300" spans="1:33" x14ac:dyDescent="0.3">
      <c r="A300" s="14">
        <f t="shared" si="193"/>
        <v>1310401006</v>
      </c>
      <c r="B300" s="14" t="str">
        <f t="shared" ref="B300:AF300" si="204">IF(B189 &lt;&gt; "", B189, "")</f>
        <v>Rotation</v>
      </c>
      <c r="C300" s="14" t="str">
        <f t="shared" si="204"/>
        <v>큐브02_01</v>
      </c>
      <c r="D300" s="14" t="str">
        <f t="shared" si="204"/>
        <v>Monster.Name.RotationCube.Tier2</v>
      </c>
      <c r="E300" s="5" t="str">
        <f t="shared" si="204"/>
        <v>None</v>
      </c>
      <c r="F300" s="17" t="str">
        <f t="shared" si="204"/>
        <v>Fac_nul_ind</v>
      </c>
      <c r="G300" s="14" t="str">
        <f t="shared" si="204"/>
        <v>TRUE</v>
      </c>
      <c r="H300" s="14" t="str">
        <f t="shared" si="204"/>
        <v>TRUE</v>
      </c>
      <c r="I300" s="14" t="b">
        <f t="shared" si="204"/>
        <v>0</v>
      </c>
      <c r="J300" s="14">
        <f t="shared" si="204"/>
        <v>20</v>
      </c>
      <c r="K300" s="14">
        <f t="shared" si="204"/>
        <v>10</v>
      </c>
      <c r="L300" s="14" t="str">
        <f t="shared" si="204"/>
        <v/>
      </c>
      <c r="M300" s="14" t="str">
        <f t="shared" si="204"/>
        <v/>
      </c>
      <c r="N300" s="14" t="str">
        <f t="shared" si="204"/>
        <v/>
      </c>
      <c r="O300" s="17" t="str">
        <f t="shared" si="204"/>
        <v>Rotation.cube_tier02_01.skill01</v>
      </c>
      <c r="P300" s="14" t="str">
        <f t="shared" si="204"/>
        <v/>
      </c>
      <c r="Q300" s="14" t="str">
        <f t="shared" si="204"/>
        <v>Rotation.cube_tier02_01.Immun</v>
      </c>
      <c r="R300" s="14" t="str">
        <f t="shared" si="204"/>
        <v/>
      </c>
      <c r="S300" s="14" t="str">
        <f t="shared" si="204"/>
        <v/>
      </c>
      <c r="T300" s="14" t="str">
        <f t="shared" si="204"/>
        <v/>
      </c>
      <c r="U300" s="14" t="str">
        <f t="shared" si="204"/>
        <v/>
      </c>
      <c r="V300" s="14" t="b">
        <f t="shared" si="204"/>
        <v>0</v>
      </c>
      <c r="W300" s="14" t="str">
        <f t="shared" si="204"/>
        <v>Character/Prefabs/m_m_tanker_cube_tier02_01</v>
      </c>
      <c r="X300" s="14" t="str">
        <f t="shared" si="204"/>
        <v/>
      </c>
      <c r="Y300" s="14" t="str">
        <f t="shared" si="204"/>
        <v>m_m_tanker_cube_tier02_01</v>
      </c>
      <c r="Z300" s="14" t="str">
        <f t="shared" si="204"/>
        <v/>
      </c>
      <c r="AA300" s="14" t="str">
        <f t="shared" si="204"/>
        <v/>
      </c>
      <c r="AB300" s="14" t="str">
        <f t="shared" si="204"/>
        <v>Die_machine</v>
      </c>
      <c r="AC300" s="94">
        <f t="shared" si="204"/>
        <v>1</v>
      </c>
      <c r="AD300" s="14" t="str">
        <f t="shared" si="204"/>
        <v>Effect/Prefab/02.mob/cube_military_01/EFF_cube_military_01_hit_01</v>
      </c>
      <c r="AE300" s="14" t="str">
        <f t="shared" si="204"/>
        <v/>
      </c>
      <c r="AF300" s="14" t="str">
        <f t="shared" si="204"/>
        <v/>
      </c>
      <c r="AG300" s="173" t="s">
        <v>2762</v>
      </c>
    </row>
    <row r="301" spans="1:33" x14ac:dyDescent="0.3">
      <c r="A301" s="14">
        <f t="shared" si="193"/>
        <v>1310401007</v>
      </c>
      <c r="B301" s="14" t="str">
        <f t="shared" ref="B301:AF301" si="205">IF(B190 &lt;&gt; "", B190, "")</f>
        <v>Rotation</v>
      </c>
      <c r="C301" s="14" t="str">
        <f t="shared" si="205"/>
        <v>큐브02_02</v>
      </c>
      <c r="D301" s="14" t="str">
        <f t="shared" si="205"/>
        <v>Monster.Name.RotationCube.Tier2</v>
      </c>
      <c r="E301" s="5" t="str">
        <f t="shared" si="205"/>
        <v>None</v>
      </c>
      <c r="F301" s="17" t="str">
        <f t="shared" si="205"/>
        <v>Fac_nul_ind</v>
      </c>
      <c r="G301" s="14" t="str">
        <f t="shared" si="205"/>
        <v>TRUE</v>
      </c>
      <c r="H301" s="14" t="str">
        <f t="shared" si="205"/>
        <v>TRUE</v>
      </c>
      <c r="I301" s="14" t="b">
        <f t="shared" si="205"/>
        <v>0</v>
      </c>
      <c r="J301" s="14">
        <f t="shared" si="205"/>
        <v>20</v>
      </c>
      <c r="K301" s="14">
        <f t="shared" si="205"/>
        <v>10</v>
      </c>
      <c r="L301" s="14" t="str">
        <f t="shared" si="205"/>
        <v/>
      </c>
      <c r="M301" s="14" t="str">
        <f t="shared" si="205"/>
        <v/>
      </c>
      <c r="N301" s="14" t="str">
        <f t="shared" si="205"/>
        <v/>
      </c>
      <c r="O301" s="17" t="str">
        <f t="shared" si="205"/>
        <v>Rotation.cube_tier02_02.skill01</v>
      </c>
      <c r="P301" s="14" t="str">
        <f t="shared" si="205"/>
        <v/>
      </c>
      <c r="Q301" s="14" t="str">
        <f t="shared" si="205"/>
        <v>Rotation.cube_tier02_02.Immun</v>
      </c>
      <c r="R301" s="14" t="str">
        <f t="shared" si="205"/>
        <v/>
      </c>
      <c r="S301" s="14" t="str">
        <f t="shared" si="205"/>
        <v/>
      </c>
      <c r="T301" s="14" t="str">
        <f t="shared" si="205"/>
        <v/>
      </c>
      <c r="U301" s="14" t="str">
        <f t="shared" si="205"/>
        <v/>
      </c>
      <c r="V301" s="14" t="b">
        <f t="shared" si="205"/>
        <v>0</v>
      </c>
      <c r="W301" s="14" t="str">
        <f t="shared" si="205"/>
        <v>Character/Prefabs/m_m_tanker_cube_tier02_02</v>
      </c>
      <c r="X301" s="14" t="str">
        <f t="shared" si="205"/>
        <v/>
      </c>
      <c r="Y301" s="14" t="str">
        <f t="shared" si="205"/>
        <v>m_m_tanker_cube_tier02_02</v>
      </c>
      <c r="Z301" s="14" t="str">
        <f t="shared" si="205"/>
        <v/>
      </c>
      <c r="AA301" s="14" t="str">
        <f t="shared" si="205"/>
        <v/>
      </c>
      <c r="AB301" s="14" t="str">
        <f t="shared" si="205"/>
        <v>Die_machine</v>
      </c>
      <c r="AC301" s="94">
        <f t="shared" si="205"/>
        <v>1</v>
      </c>
      <c r="AD301" s="14" t="str">
        <f t="shared" si="205"/>
        <v>Effect/Prefab/02.mob/cube_military_01/EFF_cube_military_01_hit_01</v>
      </c>
      <c r="AE301" s="14" t="str">
        <f t="shared" si="205"/>
        <v/>
      </c>
      <c r="AF301" s="14" t="str">
        <f t="shared" si="205"/>
        <v/>
      </c>
      <c r="AG301" s="173" t="s">
        <v>2762</v>
      </c>
    </row>
    <row r="302" spans="1:33" x14ac:dyDescent="0.3">
      <c r="A302" s="14">
        <f t="shared" si="193"/>
        <v>1310401008</v>
      </c>
      <c r="B302" s="14" t="str">
        <f t="shared" ref="B302:AF302" si="206">IF(B191 &lt;&gt; "", B191, "")</f>
        <v>Rotation</v>
      </c>
      <c r="C302" s="14" t="str">
        <f t="shared" si="206"/>
        <v>큐브02_03</v>
      </c>
      <c r="D302" s="14" t="str">
        <f t="shared" si="206"/>
        <v>Monster.Name.RotationCube.Tier2</v>
      </c>
      <c r="E302" s="5" t="str">
        <f t="shared" si="206"/>
        <v>None</v>
      </c>
      <c r="F302" s="17" t="str">
        <f t="shared" si="206"/>
        <v>Fac_nul_ind</v>
      </c>
      <c r="G302" s="14" t="str">
        <f t="shared" si="206"/>
        <v>TRUE</v>
      </c>
      <c r="H302" s="14" t="str">
        <f t="shared" si="206"/>
        <v>TRUE</v>
      </c>
      <c r="I302" s="14" t="b">
        <f t="shared" si="206"/>
        <v>0</v>
      </c>
      <c r="J302" s="14">
        <f t="shared" si="206"/>
        <v>20</v>
      </c>
      <c r="K302" s="14">
        <f t="shared" si="206"/>
        <v>10</v>
      </c>
      <c r="L302" s="14" t="str">
        <f t="shared" si="206"/>
        <v/>
      </c>
      <c r="M302" s="14" t="str">
        <f t="shared" si="206"/>
        <v/>
      </c>
      <c r="N302" s="14" t="str">
        <f t="shared" si="206"/>
        <v/>
      </c>
      <c r="O302" s="17" t="str">
        <f t="shared" si="206"/>
        <v>Rotation.cube_tier02_03.skill01</v>
      </c>
      <c r="P302" s="14" t="str">
        <f t="shared" si="206"/>
        <v/>
      </c>
      <c r="Q302" s="14" t="str">
        <f t="shared" si="206"/>
        <v>Rotation.cube_tier02_03.Immun</v>
      </c>
      <c r="R302" s="14" t="str">
        <f t="shared" si="206"/>
        <v/>
      </c>
      <c r="S302" s="14" t="str">
        <f t="shared" si="206"/>
        <v/>
      </c>
      <c r="T302" s="14" t="str">
        <f t="shared" si="206"/>
        <v/>
      </c>
      <c r="U302" s="14" t="str">
        <f t="shared" si="206"/>
        <v/>
      </c>
      <c r="V302" s="14" t="b">
        <f t="shared" si="206"/>
        <v>0</v>
      </c>
      <c r="W302" s="14" t="str">
        <f t="shared" si="206"/>
        <v>Character/Prefabs/m_m_tanker_cube_tier02_03</v>
      </c>
      <c r="X302" s="14" t="str">
        <f t="shared" si="206"/>
        <v/>
      </c>
      <c r="Y302" s="14" t="str">
        <f t="shared" si="206"/>
        <v>m_m_tanker_cube_tier02_03</v>
      </c>
      <c r="Z302" s="14" t="str">
        <f t="shared" si="206"/>
        <v/>
      </c>
      <c r="AA302" s="14" t="str">
        <f t="shared" si="206"/>
        <v/>
      </c>
      <c r="AB302" s="14" t="str">
        <f t="shared" si="206"/>
        <v>Die_machine</v>
      </c>
      <c r="AC302" s="94">
        <f t="shared" si="206"/>
        <v>1</v>
      </c>
      <c r="AD302" s="14" t="str">
        <f t="shared" si="206"/>
        <v>Effect/Prefab/02.mob/cube_military_01/EFF_cube_military_01_hit_01</v>
      </c>
      <c r="AE302" s="14" t="str">
        <f t="shared" si="206"/>
        <v/>
      </c>
      <c r="AF302" s="14" t="str">
        <f t="shared" si="206"/>
        <v/>
      </c>
      <c r="AG302" s="173" t="s">
        <v>2762</v>
      </c>
    </row>
    <row r="303" spans="1:33" x14ac:dyDescent="0.3">
      <c r="A303" s="14">
        <f t="shared" si="193"/>
        <v>1310401009</v>
      </c>
      <c r="B303" s="14" t="str">
        <f t="shared" ref="B303:AF303" si="207">IF(B192 &lt;&gt; "", B192, "")</f>
        <v>Rotation</v>
      </c>
      <c r="C303" s="14" t="str">
        <f t="shared" si="207"/>
        <v>큐브02_04</v>
      </c>
      <c r="D303" s="14" t="str">
        <f t="shared" si="207"/>
        <v>Monster.Name.RotationCube.Tier2</v>
      </c>
      <c r="E303" s="5" t="str">
        <f t="shared" si="207"/>
        <v>None</v>
      </c>
      <c r="F303" s="17" t="str">
        <f t="shared" si="207"/>
        <v>Fac_nul_ind</v>
      </c>
      <c r="G303" s="14" t="str">
        <f t="shared" si="207"/>
        <v>TRUE</v>
      </c>
      <c r="H303" s="14" t="str">
        <f t="shared" si="207"/>
        <v>TRUE</v>
      </c>
      <c r="I303" s="14" t="b">
        <f t="shared" si="207"/>
        <v>0</v>
      </c>
      <c r="J303" s="14">
        <f t="shared" si="207"/>
        <v>20</v>
      </c>
      <c r="K303" s="14">
        <f t="shared" si="207"/>
        <v>10</v>
      </c>
      <c r="L303" s="14" t="str">
        <f t="shared" si="207"/>
        <v/>
      </c>
      <c r="M303" s="14" t="str">
        <f t="shared" si="207"/>
        <v/>
      </c>
      <c r="N303" s="14" t="str">
        <f t="shared" si="207"/>
        <v/>
      </c>
      <c r="O303" s="17" t="str">
        <f t="shared" si="207"/>
        <v>Rotation.cube_tier02_04.skill01</v>
      </c>
      <c r="P303" s="14" t="str">
        <f t="shared" si="207"/>
        <v/>
      </c>
      <c r="Q303" s="14" t="str">
        <f t="shared" si="207"/>
        <v>Rotation.cube_tier02_04.Immun</v>
      </c>
      <c r="R303" s="14" t="str">
        <f t="shared" si="207"/>
        <v/>
      </c>
      <c r="S303" s="14" t="str">
        <f t="shared" si="207"/>
        <v/>
      </c>
      <c r="T303" s="14" t="str">
        <f t="shared" si="207"/>
        <v/>
      </c>
      <c r="U303" s="14" t="str">
        <f t="shared" si="207"/>
        <v/>
      </c>
      <c r="V303" s="14" t="b">
        <f t="shared" si="207"/>
        <v>0</v>
      </c>
      <c r="W303" s="14" t="str">
        <f t="shared" si="207"/>
        <v>Character/Prefabs/m_m_tanker_cube_tier02_04</v>
      </c>
      <c r="X303" s="14" t="str">
        <f t="shared" si="207"/>
        <v/>
      </c>
      <c r="Y303" s="14" t="str">
        <f t="shared" si="207"/>
        <v>m_m_tanker_cube_tier02_04</v>
      </c>
      <c r="Z303" s="14" t="str">
        <f t="shared" si="207"/>
        <v/>
      </c>
      <c r="AA303" s="14" t="str">
        <f t="shared" si="207"/>
        <v/>
      </c>
      <c r="AB303" s="14" t="str">
        <f t="shared" si="207"/>
        <v>Die_machine</v>
      </c>
      <c r="AC303" s="94">
        <f t="shared" si="207"/>
        <v>1</v>
      </c>
      <c r="AD303" s="14" t="str">
        <f t="shared" si="207"/>
        <v>Effect/Prefab/02.mob/cube_military_01/EFF_cube_military_01_hit_01</v>
      </c>
      <c r="AE303" s="14" t="str">
        <f t="shared" si="207"/>
        <v/>
      </c>
      <c r="AF303" s="14" t="str">
        <f t="shared" si="207"/>
        <v/>
      </c>
      <c r="AG303" s="173" t="s">
        <v>2762</v>
      </c>
    </row>
    <row r="304" spans="1:33" x14ac:dyDescent="0.3">
      <c r="A304" s="14">
        <f t="shared" si="193"/>
        <v>1310401010</v>
      </c>
      <c r="B304" s="14" t="str">
        <f t="shared" ref="B304:AF304" si="208">IF(B193 &lt;&gt; "", B193, "")</f>
        <v>Rotation</v>
      </c>
      <c r="C304" s="14" t="str">
        <f t="shared" si="208"/>
        <v>큐브02_05</v>
      </c>
      <c r="D304" s="14" t="str">
        <f t="shared" si="208"/>
        <v>Monster.Name.RotationCube.Tier2</v>
      </c>
      <c r="E304" s="5" t="str">
        <f t="shared" si="208"/>
        <v>None</v>
      </c>
      <c r="F304" s="17" t="str">
        <f t="shared" si="208"/>
        <v>Fac_nul_ind</v>
      </c>
      <c r="G304" s="14" t="str">
        <f t="shared" si="208"/>
        <v>TRUE</v>
      </c>
      <c r="H304" s="14" t="str">
        <f t="shared" si="208"/>
        <v>TRUE</v>
      </c>
      <c r="I304" s="14" t="b">
        <f t="shared" si="208"/>
        <v>0</v>
      </c>
      <c r="J304" s="14">
        <f t="shared" si="208"/>
        <v>20</v>
      </c>
      <c r="K304" s="14">
        <f t="shared" si="208"/>
        <v>10</v>
      </c>
      <c r="L304" s="14" t="str">
        <f t="shared" si="208"/>
        <v/>
      </c>
      <c r="M304" s="14" t="str">
        <f t="shared" si="208"/>
        <v/>
      </c>
      <c r="N304" s="14" t="str">
        <f t="shared" si="208"/>
        <v/>
      </c>
      <c r="O304" s="17" t="str">
        <f t="shared" si="208"/>
        <v>Rotation.cube_tier02_05.skill01</v>
      </c>
      <c r="P304" s="14" t="str">
        <f t="shared" si="208"/>
        <v/>
      </c>
      <c r="Q304" s="14" t="str">
        <f t="shared" si="208"/>
        <v>Rotation.cube_tier02_05.Immun</v>
      </c>
      <c r="R304" s="14" t="str">
        <f t="shared" si="208"/>
        <v/>
      </c>
      <c r="S304" s="14" t="str">
        <f t="shared" si="208"/>
        <v/>
      </c>
      <c r="T304" s="14" t="str">
        <f t="shared" si="208"/>
        <v/>
      </c>
      <c r="U304" s="14" t="str">
        <f t="shared" si="208"/>
        <v/>
      </c>
      <c r="V304" s="14" t="b">
        <f t="shared" si="208"/>
        <v>0</v>
      </c>
      <c r="W304" s="14" t="str">
        <f t="shared" si="208"/>
        <v>Character/Prefabs/m_m_tanker_cube_tier02_05</v>
      </c>
      <c r="X304" s="14" t="str">
        <f t="shared" si="208"/>
        <v/>
      </c>
      <c r="Y304" s="14" t="str">
        <f t="shared" si="208"/>
        <v>m_m_tanker_cube_tier02_05</v>
      </c>
      <c r="Z304" s="14" t="str">
        <f t="shared" si="208"/>
        <v/>
      </c>
      <c r="AA304" s="14" t="str">
        <f t="shared" si="208"/>
        <v/>
      </c>
      <c r="AB304" s="14" t="str">
        <f t="shared" si="208"/>
        <v>Die_machine</v>
      </c>
      <c r="AC304" s="94">
        <f t="shared" si="208"/>
        <v>1</v>
      </c>
      <c r="AD304" s="14" t="str">
        <f t="shared" si="208"/>
        <v>Effect/Prefab/02.mob/cube_military_01/EFF_cube_military_01_hit_01</v>
      </c>
      <c r="AE304" s="14" t="str">
        <f t="shared" si="208"/>
        <v/>
      </c>
      <c r="AF304" s="14" t="str">
        <f t="shared" si="208"/>
        <v/>
      </c>
      <c r="AG304" s="173" t="s">
        <v>2762</v>
      </c>
    </row>
    <row r="305" spans="1:33" x14ac:dyDescent="0.3">
      <c r="A305" s="14">
        <f t="shared" si="193"/>
        <v>1310401011</v>
      </c>
      <c r="B305" s="14" t="str">
        <f t="shared" ref="B305:AF305" si="209">IF(B194 &lt;&gt; "", B194, "")</f>
        <v>Rotation</v>
      </c>
      <c r="C305" s="14" t="str">
        <f t="shared" si="209"/>
        <v>큐브03_01</v>
      </c>
      <c r="D305" s="14" t="str">
        <f t="shared" si="209"/>
        <v>Monster.Name.RotationCube.Tier3</v>
      </c>
      <c r="E305" s="5" t="str">
        <f t="shared" si="209"/>
        <v>None</v>
      </c>
      <c r="F305" s="17" t="str">
        <f t="shared" si="209"/>
        <v>Fac_nul_ind</v>
      </c>
      <c r="G305" s="14" t="str">
        <f t="shared" si="209"/>
        <v>TRUE</v>
      </c>
      <c r="H305" s="14" t="str">
        <f t="shared" si="209"/>
        <v>TRUE</v>
      </c>
      <c r="I305" s="14" t="b">
        <f t="shared" si="209"/>
        <v>0</v>
      </c>
      <c r="J305" s="14">
        <f t="shared" si="209"/>
        <v>20</v>
      </c>
      <c r="K305" s="14">
        <f t="shared" si="209"/>
        <v>10</v>
      </c>
      <c r="L305" s="14" t="str">
        <f t="shared" si="209"/>
        <v/>
      </c>
      <c r="M305" s="14" t="str">
        <f t="shared" si="209"/>
        <v/>
      </c>
      <c r="N305" s="14" t="str">
        <f t="shared" si="209"/>
        <v/>
      </c>
      <c r="O305" s="17" t="str">
        <f t="shared" si="209"/>
        <v>Rotation.cube_tier03_01.skill01</v>
      </c>
      <c r="P305" s="14" t="str">
        <f t="shared" si="209"/>
        <v/>
      </c>
      <c r="Q305" s="14" t="str">
        <f t="shared" si="209"/>
        <v>Rotation.cube_tier03_01.Immun</v>
      </c>
      <c r="R305" s="14" t="str">
        <f t="shared" si="209"/>
        <v/>
      </c>
      <c r="S305" s="14" t="str">
        <f t="shared" si="209"/>
        <v/>
      </c>
      <c r="T305" s="14" t="str">
        <f t="shared" si="209"/>
        <v/>
      </c>
      <c r="U305" s="14" t="str">
        <f t="shared" si="209"/>
        <v/>
      </c>
      <c r="V305" s="14" t="b">
        <f t="shared" si="209"/>
        <v>0</v>
      </c>
      <c r="W305" s="14" t="str">
        <f t="shared" si="209"/>
        <v>Character/Prefabs/m_m_tanker_cube_tier03_01</v>
      </c>
      <c r="X305" s="14" t="str">
        <f t="shared" si="209"/>
        <v/>
      </c>
      <c r="Y305" s="14" t="str">
        <f t="shared" si="209"/>
        <v>m_m_tanker_cube_tier03_01</v>
      </c>
      <c r="Z305" s="14" t="str">
        <f t="shared" si="209"/>
        <v/>
      </c>
      <c r="AA305" s="14" t="str">
        <f t="shared" si="209"/>
        <v/>
      </c>
      <c r="AB305" s="14" t="str">
        <f t="shared" si="209"/>
        <v>Die_machine</v>
      </c>
      <c r="AC305" s="94">
        <f t="shared" si="209"/>
        <v>1</v>
      </c>
      <c r="AD305" s="14" t="str">
        <f t="shared" si="209"/>
        <v>Effect/Prefab/02.mob/cube_military_01/EFF_cube_military_01_hit_01</v>
      </c>
      <c r="AE305" s="14" t="str">
        <f t="shared" si="209"/>
        <v/>
      </c>
      <c r="AF305" s="14" t="str">
        <f t="shared" si="209"/>
        <v/>
      </c>
      <c r="AG305" s="173" t="s">
        <v>2762</v>
      </c>
    </row>
    <row r="306" spans="1:33" x14ac:dyDescent="0.3">
      <c r="A306" s="14">
        <f t="shared" si="193"/>
        <v>1310401012</v>
      </c>
      <c r="B306" s="14" t="str">
        <f t="shared" ref="B306:AF306" si="210">IF(B195 &lt;&gt; "", B195, "")</f>
        <v>Rotation</v>
      </c>
      <c r="C306" s="14" t="str">
        <f t="shared" si="210"/>
        <v>큐브03_02</v>
      </c>
      <c r="D306" s="14" t="str">
        <f t="shared" si="210"/>
        <v>Monster.Name.RotationCube.Tier3</v>
      </c>
      <c r="E306" s="5" t="str">
        <f t="shared" si="210"/>
        <v>None</v>
      </c>
      <c r="F306" s="17" t="str">
        <f t="shared" si="210"/>
        <v>Fac_nul_ind</v>
      </c>
      <c r="G306" s="14" t="str">
        <f t="shared" si="210"/>
        <v>TRUE</v>
      </c>
      <c r="H306" s="14" t="str">
        <f t="shared" si="210"/>
        <v>TRUE</v>
      </c>
      <c r="I306" s="14" t="b">
        <f t="shared" si="210"/>
        <v>0</v>
      </c>
      <c r="J306" s="14">
        <f t="shared" si="210"/>
        <v>20</v>
      </c>
      <c r="K306" s="14">
        <f t="shared" si="210"/>
        <v>10</v>
      </c>
      <c r="L306" s="14" t="str">
        <f t="shared" si="210"/>
        <v/>
      </c>
      <c r="M306" s="14" t="str">
        <f t="shared" si="210"/>
        <v/>
      </c>
      <c r="N306" s="14" t="str">
        <f t="shared" si="210"/>
        <v/>
      </c>
      <c r="O306" s="17" t="str">
        <f t="shared" si="210"/>
        <v>Rotation.cube_tier03_02.skill01</v>
      </c>
      <c r="P306" s="14" t="str">
        <f t="shared" si="210"/>
        <v/>
      </c>
      <c r="Q306" s="14" t="str">
        <f t="shared" si="210"/>
        <v>Rotation.cube_tier03_02.Immun</v>
      </c>
      <c r="R306" s="14" t="str">
        <f t="shared" si="210"/>
        <v/>
      </c>
      <c r="S306" s="14" t="str">
        <f t="shared" si="210"/>
        <v/>
      </c>
      <c r="T306" s="14" t="str">
        <f t="shared" si="210"/>
        <v/>
      </c>
      <c r="U306" s="14" t="str">
        <f t="shared" si="210"/>
        <v/>
      </c>
      <c r="V306" s="14" t="b">
        <f t="shared" si="210"/>
        <v>0</v>
      </c>
      <c r="W306" s="14" t="str">
        <f t="shared" si="210"/>
        <v>Character/Prefabs/m_m_tanker_cube_tier03_02</v>
      </c>
      <c r="X306" s="14" t="str">
        <f t="shared" si="210"/>
        <v/>
      </c>
      <c r="Y306" s="14" t="str">
        <f t="shared" si="210"/>
        <v>m_m_tanker_cube_tier03_02</v>
      </c>
      <c r="Z306" s="14" t="str">
        <f t="shared" si="210"/>
        <v/>
      </c>
      <c r="AA306" s="14" t="str">
        <f t="shared" si="210"/>
        <v/>
      </c>
      <c r="AB306" s="14" t="str">
        <f t="shared" si="210"/>
        <v>Die_machine</v>
      </c>
      <c r="AC306" s="94">
        <f t="shared" si="210"/>
        <v>1</v>
      </c>
      <c r="AD306" s="14" t="str">
        <f t="shared" si="210"/>
        <v>Effect/Prefab/02.mob/cube_military_01/EFF_cube_military_01_hit_01</v>
      </c>
      <c r="AE306" s="14" t="str">
        <f t="shared" si="210"/>
        <v/>
      </c>
      <c r="AF306" s="14" t="str">
        <f t="shared" si="210"/>
        <v/>
      </c>
      <c r="AG306" s="173" t="s">
        <v>2762</v>
      </c>
    </row>
    <row r="307" spans="1:33" x14ac:dyDescent="0.3">
      <c r="A307" s="14">
        <f t="shared" si="193"/>
        <v>1310401013</v>
      </c>
      <c r="B307" s="14" t="str">
        <f t="shared" ref="B307:AF307" si="211">IF(B196 &lt;&gt; "", B196, "")</f>
        <v>Rotation</v>
      </c>
      <c r="C307" s="14" t="str">
        <f t="shared" si="211"/>
        <v>큐브03_03</v>
      </c>
      <c r="D307" s="14" t="str">
        <f t="shared" si="211"/>
        <v>Monster.Name.RotationCube.Tier3</v>
      </c>
      <c r="E307" s="5" t="str">
        <f t="shared" si="211"/>
        <v>None</v>
      </c>
      <c r="F307" s="17" t="str">
        <f t="shared" si="211"/>
        <v>Fac_nul_ind</v>
      </c>
      <c r="G307" s="14" t="str">
        <f t="shared" si="211"/>
        <v>TRUE</v>
      </c>
      <c r="H307" s="14" t="str">
        <f t="shared" si="211"/>
        <v>TRUE</v>
      </c>
      <c r="I307" s="14" t="b">
        <f t="shared" si="211"/>
        <v>0</v>
      </c>
      <c r="J307" s="14">
        <f t="shared" si="211"/>
        <v>20</v>
      </c>
      <c r="K307" s="14">
        <f t="shared" si="211"/>
        <v>10</v>
      </c>
      <c r="L307" s="14" t="str">
        <f t="shared" si="211"/>
        <v/>
      </c>
      <c r="M307" s="14" t="str">
        <f t="shared" si="211"/>
        <v/>
      </c>
      <c r="N307" s="14" t="str">
        <f t="shared" si="211"/>
        <v/>
      </c>
      <c r="O307" s="17" t="str">
        <f t="shared" si="211"/>
        <v>Rotation.cube_tier03_03.skill01</v>
      </c>
      <c r="P307" s="14" t="str">
        <f t="shared" si="211"/>
        <v/>
      </c>
      <c r="Q307" s="14" t="str">
        <f t="shared" si="211"/>
        <v>Rotation.cube_tier03_03.Immun</v>
      </c>
      <c r="R307" s="14" t="str">
        <f t="shared" si="211"/>
        <v/>
      </c>
      <c r="S307" s="14" t="str">
        <f t="shared" si="211"/>
        <v/>
      </c>
      <c r="T307" s="14" t="str">
        <f t="shared" si="211"/>
        <v/>
      </c>
      <c r="U307" s="14" t="str">
        <f t="shared" si="211"/>
        <v/>
      </c>
      <c r="V307" s="14" t="b">
        <f t="shared" si="211"/>
        <v>0</v>
      </c>
      <c r="W307" s="14" t="str">
        <f t="shared" si="211"/>
        <v>Character/Prefabs/m_m_tanker_cube_tier03_03</v>
      </c>
      <c r="X307" s="14" t="str">
        <f t="shared" si="211"/>
        <v/>
      </c>
      <c r="Y307" s="14" t="str">
        <f t="shared" si="211"/>
        <v>m_m_tanker_cube_tier03_03</v>
      </c>
      <c r="Z307" s="14" t="str">
        <f t="shared" si="211"/>
        <v/>
      </c>
      <c r="AA307" s="14" t="str">
        <f t="shared" si="211"/>
        <v/>
      </c>
      <c r="AB307" s="14" t="str">
        <f t="shared" si="211"/>
        <v>Die_machine</v>
      </c>
      <c r="AC307" s="94">
        <f t="shared" si="211"/>
        <v>1</v>
      </c>
      <c r="AD307" s="14" t="str">
        <f t="shared" si="211"/>
        <v>Effect/Prefab/02.mob/cube_military_01/EFF_cube_military_01_hit_01</v>
      </c>
      <c r="AE307" s="14" t="str">
        <f t="shared" si="211"/>
        <v/>
      </c>
      <c r="AF307" s="14" t="str">
        <f t="shared" si="211"/>
        <v/>
      </c>
      <c r="AG307" s="173" t="s">
        <v>2762</v>
      </c>
    </row>
    <row r="308" spans="1:33" x14ac:dyDescent="0.3">
      <c r="A308" s="14">
        <f t="shared" si="193"/>
        <v>1310401014</v>
      </c>
      <c r="B308" s="14" t="str">
        <f t="shared" ref="B308:AF308" si="212">IF(B197 &lt;&gt; "", B197, "")</f>
        <v>Rotation</v>
      </c>
      <c r="C308" s="14" t="str">
        <f t="shared" si="212"/>
        <v>큐브03_04</v>
      </c>
      <c r="D308" s="14" t="str">
        <f t="shared" si="212"/>
        <v>Monster.Name.RotationCube.Tier3</v>
      </c>
      <c r="E308" s="5" t="str">
        <f t="shared" si="212"/>
        <v>None</v>
      </c>
      <c r="F308" s="17" t="str">
        <f t="shared" si="212"/>
        <v>Fac_nul_ind</v>
      </c>
      <c r="G308" s="14" t="str">
        <f t="shared" si="212"/>
        <v>TRUE</v>
      </c>
      <c r="H308" s="14" t="str">
        <f t="shared" si="212"/>
        <v>TRUE</v>
      </c>
      <c r="I308" s="14" t="b">
        <f t="shared" si="212"/>
        <v>0</v>
      </c>
      <c r="J308" s="14">
        <f t="shared" si="212"/>
        <v>20</v>
      </c>
      <c r="K308" s="14">
        <f t="shared" si="212"/>
        <v>10</v>
      </c>
      <c r="L308" s="14" t="str">
        <f t="shared" si="212"/>
        <v/>
      </c>
      <c r="M308" s="14" t="str">
        <f t="shared" si="212"/>
        <v/>
      </c>
      <c r="N308" s="14" t="str">
        <f t="shared" si="212"/>
        <v/>
      </c>
      <c r="O308" s="17" t="str">
        <f t="shared" si="212"/>
        <v>Rotation.cube_tier03_04.skill01</v>
      </c>
      <c r="P308" s="14" t="str">
        <f t="shared" si="212"/>
        <v/>
      </c>
      <c r="Q308" s="14" t="str">
        <f t="shared" si="212"/>
        <v>Rotation.cube_tier03_04.Immun</v>
      </c>
      <c r="R308" s="14" t="str">
        <f t="shared" si="212"/>
        <v/>
      </c>
      <c r="S308" s="14" t="str">
        <f t="shared" si="212"/>
        <v/>
      </c>
      <c r="T308" s="14" t="str">
        <f t="shared" si="212"/>
        <v/>
      </c>
      <c r="U308" s="14" t="str">
        <f t="shared" si="212"/>
        <v/>
      </c>
      <c r="V308" s="14" t="b">
        <f t="shared" si="212"/>
        <v>0</v>
      </c>
      <c r="W308" s="14" t="str">
        <f t="shared" si="212"/>
        <v>Character/Prefabs/m_m_tanker_cube_tier03_04</v>
      </c>
      <c r="X308" s="14" t="str">
        <f t="shared" si="212"/>
        <v/>
      </c>
      <c r="Y308" s="14" t="str">
        <f t="shared" si="212"/>
        <v>m_m_tanker_cube_tier03_04</v>
      </c>
      <c r="Z308" s="14" t="str">
        <f t="shared" si="212"/>
        <v/>
      </c>
      <c r="AA308" s="14" t="str">
        <f t="shared" si="212"/>
        <v/>
      </c>
      <c r="AB308" s="14" t="str">
        <f t="shared" si="212"/>
        <v>Die_machine</v>
      </c>
      <c r="AC308" s="94">
        <f t="shared" si="212"/>
        <v>1</v>
      </c>
      <c r="AD308" s="14" t="str">
        <f t="shared" si="212"/>
        <v>Effect/Prefab/02.mob/cube_military_01/EFF_cube_military_01_hit_01</v>
      </c>
      <c r="AE308" s="14" t="str">
        <f t="shared" si="212"/>
        <v/>
      </c>
      <c r="AF308" s="14" t="str">
        <f t="shared" si="212"/>
        <v/>
      </c>
      <c r="AG308" s="173" t="s">
        <v>2762</v>
      </c>
    </row>
    <row r="309" spans="1:33" x14ac:dyDescent="0.3">
      <c r="A309" s="14">
        <f t="shared" si="193"/>
        <v>1310401015</v>
      </c>
      <c r="B309" s="14" t="str">
        <f t="shared" ref="B309:AF309" si="213">IF(B198 &lt;&gt; "", B198, "")</f>
        <v>Rotation</v>
      </c>
      <c r="C309" s="14" t="str">
        <f t="shared" si="213"/>
        <v>큐브03_05</v>
      </c>
      <c r="D309" s="14" t="str">
        <f t="shared" si="213"/>
        <v>Monster.Name.RotationCube.Tier3</v>
      </c>
      <c r="E309" s="5" t="str">
        <f t="shared" si="213"/>
        <v>None</v>
      </c>
      <c r="F309" s="17" t="str">
        <f t="shared" si="213"/>
        <v>Fac_nul_ind</v>
      </c>
      <c r="G309" s="14" t="str">
        <f t="shared" si="213"/>
        <v>TRUE</v>
      </c>
      <c r="H309" s="14" t="str">
        <f t="shared" si="213"/>
        <v>TRUE</v>
      </c>
      <c r="I309" s="14" t="b">
        <f t="shared" si="213"/>
        <v>0</v>
      </c>
      <c r="J309" s="14">
        <f t="shared" si="213"/>
        <v>20</v>
      </c>
      <c r="K309" s="14">
        <f t="shared" si="213"/>
        <v>10</v>
      </c>
      <c r="L309" s="14" t="str">
        <f t="shared" si="213"/>
        <v/>
      </c>
      <c r="M309" s="14" t="str">
        <f t="shared" si="213"/>
        <v/>
      </c>
      <c r="N309" s="14" t="str">
        <f t="shared" si="213"/>
        <v/>
      </c>
      <c r="O309" s="17" t="str">
        <f t="shared" si="213"/>
        <v>Rotation.cube_tier03_05.skill01</v>
      </c>
      <c r="P309" s="14" t="str">
        <f t="shared" si="213"/>
        <v/>
      </c>
      <c r="Q309" s="14" t="str">
        <f t="shared" si="213"/>
        <v>Rotation.cube_tier03_05.Immun</v>
      </c>
      <c r="R309" s="14" t="str">
        <f t="shared" si="213"/>
        <v/>
      </c>
      <c r="S309" s="14" t="str">
        <f t="shared" si="213"/>
        <v/>
      </c>
      <c r="T309" s="14" t="str">
        <f t="shared" si="213"/>
        <v/>
      </c>
      <c r="U309" s="14" t="str">
        <f t="shared" si="213"/>
        <v/>
      </c>
      <c r="V309" s="14" t="b">
        <f t="shared" si="213"/>
        <v>0</v>
      </c>
      <c r="W309" s="14" t="str">
        <f t="shared" si="213"/>
        <v>Character/Prefabs/m_m_tanker_cube_tier03_05</v>
      </c>
      <c r="X309" s="14" t="str">
        <f t="shared" si="213"/>
        <v/>
      </c>
      <c r="Y309" s="14" t="str">
        <f t="shared" si="213"/>
        <v>m_m_tanker_cube_tier03_05</v>
      </c>
      <c r="Z309" s="14" t="str">
        <f t="shared" si="213"/>
        <v/>
      </c>
      <c r="AA309" s="14" t="str">
        <f t="shared" si="213"/>
        <v/>
      </c>
      <c r="AB309" s="14" t="str">
        <f t="shared" si="213"/>
        <v>Die_machine</v>
      </c>
      <c r="AC309" s="94">
        <f t="shared" si="213"/>
        <v>1</v>
      </c>
      <c r="AD309" s="14" t="str">
        <f t="shared" si="213"/>
        <v>Effect/Prefab/02.mob/cube_military_01/EFF_cube_military_01_hit_01</v>
      </c>
      <c r="AE309" s="14" t="str">
        <f t="shared" si="213"/>
        <v/>
      </c>
      <c r="AF309" s="14" t="str">
        <f t="shared" si="213"/>
        <v/>
      </c>
      <c r="AG309" s="173" t="s">
        <v>2762</v>
      </c>
    </row>
    <row r="310" spans="1:33" x14ac:dyDescent="0.3">
      <c r="A310" s="14">
        <f t="shared" si="193"/>
        <v>1310401016</v>
      </c>
      <c r="B310" s="14" t="str">
        <f t="shared" ref="B310:AF310" si="214">IF(B199 &lt;&gt; "", B199, "")</f>
        <v>Rotation</v>
      </c>
      <c r="C310" s="14" t="str">
        <f t="shared" si="214"/>
        <v>큐브04_01</v>
      </c>
      <c r="D310" s="14" t="str">
        <f t="shared" si="214"/>
        <v>Monster.Name.RotationCube.Tier4</v>
      </c>
      <c r="E310" s="5" t="str">
        <f t="shared" si="214"/>
        <v>None</v>
      </c>
      <c r="F310" s="17" t="str">
        <f t="shared" si="214"/>
        <v>Fac_nul_ind</v>
      </c>
      <c r="G310" s="14" t="str">
        <f t="shared" si="214"/>
        <v>TRUE</v>
      </c>
      <c r="H310" s="14" t="str">
        <f t="shared" si="214"/>
        <v>TRUE</v>
      </c>
      <c r="I310" s="14" t="b">
        <f t="shared" si="214"/>
        <v>0</v>
      </c>
      <c r="J310" s="14">
        <f t="shared" si="214"/>
        <v>20</v>
      </c>
      <c r="K310" s="14">
        <f t="shared" si="214"/>
        <v>10</v>
      </c>
      <c r="L310" s="14" t="str">
        <f t="shared" si="214"/>
        <v/>
      </c>
      <c r="M310" s="14" t="str">
        <f t="shared" si="214"/>
        <v/>
      </c>
      <c r="N310" s="14" t="str">
        <f t="shared" si="214"/>
        <v/>
      </c>
      <c r="O310" s="17" t="str">
        <f t="shared" si="214"/>
        <v>Rotation.cube_tier04_01.skill01</v>
      </c>
      <c r="P310" s="14" t="str">
        <f t="shared" si="214"/>
        <v/>
      </c>
      <c r="Q310" s="14" t="str">
        <f t="shared" si="214"/>
        <v>Rotation.cube_tier04_01.Immun</v>
      </c>
      <c r="R310" s="14" t="str">
        <f t="shared" si="214"/>
        <v/>
      </c>
      <c r="S310" s="14" t="str">
        <f t="shared" si="214"/>
        <v/>
      </c>
      <c r="T310" s="14" t="str">
        <f t="shared" si="214"/>
        <v/>
      </c>
      <c r="U310" s="14" t="str">
        <f t="shared" si="214"/>
        <v/>
      </c>
      <c r="V310" s="14" t="b">
        <f t="shared" si="214"/>
        <v>0</v>
      </c>
      <c r="W310" s="14" t="str">
        <f t="shared" si="214"/>
        <v>Character/Prefabs/m_m_tanker_cube_tier04_01</v>
      </c>
      <c r="X310" s="14" t="str">
        <f t="shared" si="214"/>
        <v/>
      </c>
      <c r="Y310" s="14" t="str">
        <f t="shared" si="214"/>
        <v>m_m_tanker_cube_tier04_01</v>
      </c>
      <c r="Z310" s="14" t="str">
        <f t="shared" si="214"/>
        <v/>
      </c>
      <c r="AA310" s="14" t="str">
        <f t="shared" si="214"/>
        <v/>
      </c>
      <c r="AB310" s="14" t="str">
        <f t="shared" si="214"/>
        <v>Die_machine</v>
      </c>
      <c r="AC310" s="94">
        <f t="shared" si="214"/>
        <v>1</v>
      </c>
      <c r="AD310" s="14" t="str">
        <f t="shared" si="214"/>
        <v>Effect/Prefab/02.mob/cube_military_01/EFF_cube_military_01_hit_01</v>
      </c>
      <c r="AE310" s="14" t="str">
        <f t="shared" si="214"/>
        <v/>
      </c>
      <c r="AF310" s="14" t="str">
        <f t="shared" si="214"/>
        <v/>
      </c>
      <c r="AG310" s="173" t="s">
        <v>2762</v>
      </c>
    </row>
    <row r="311" spans="1:33" x14ac:dyDescent="0.3">
      <c r="A311" s="14">
        <f t="shared" si="193"/>
        <v>1310401017</v>
      </c>
      <c r="B311" s="14" t="str">
        <f t="shared" ref="B311:AF311" si="215">IF(B200 &lt;&gt; "", B200, "")</f>
        <v>Rotation</v>
      </c>
      <c r="C311" s="14" t="str">
        <f t="shared" si="215"/>
        <v>큐브04_02</v>
      </c>
      <c r="D311" s="14" t="str">
        <f t="shared" si="215"/>
        <v>Monster.Name.RotationCube.Tier4</v>
      </c>
      <c r="E311" s="5" t="str">
        <f t="shared" si="215"/>
        <v>None</v>
      </c>
      <c r="F311" s="17" t="str">
        <f t="shared" si="215"/>
        <v>Fac_nul_ind</v>
      </c>
      <c r="G311" s="14" t="str">
        <f t="shared" si="215"/>
        <v>TRUE</v>
      </c>
      <c r="H311" s="14" t="str">
        <f t="shared" si="215"/>
        <v>TRUE</v>
      </c>
      <c r="I311" s="14" t="b">
        <f t="shared" si="215"/>
        <v>0</v>
      </c>
      <c r="J311" s="14">
        <f t="shared" si="215"/>
        <v>20</v>
      </c>
      <c r="K311" s="14">
        <f t="shared" si="215"/>
        <v>10</v>
      </c>
      <c r="L311" s="14" t="str">
        <f t="shared" si="215"/>
        <v/>
      </c>
      <c r="M311" s="14" t="str">
        <f t="shared" si="215"/>
        <v/>
      </c>
      <c r="N311" s="14" t="str">
        <f t="shared" si="215"/>
        <v/>
      </c>
      <c r="O311" s="17" t="str">
        <f t="shared" si="215"/>
        <v>Rotation.cube_tier04_02.skill01</v>
      </c>
      <c r="P311" s="14" t="str">
        <f t="shared" si="215"/>
        <v/>
      </c>
      <c r="Q311" s="14" t="str">
        <f t="shared" si="215"/>
        <v>Rotation.cube_tier04_02.Immun</v>
      </c>
      <c r="R311" s="14" t="str">
        <f t="shared" si="215"/>
        <v/>
      </c>
      <c r="S311" s="14" t="str">
        <f t="shared" si="215"/>
        <v/>
      </c>
      <c r="T311" s="14" t="str">
        <f t="shared" si="215"/>
        <v/>
      </c>
      <c r="U311" s="14" t="str">
        <f t="shared" si="215"/>
        <v/>
      </c>
      <c r="V311" s="14" t="b">
        <f t="shared" si="215"/>
        <v>0</v>
      </c>
      <c r="W311" s="14" t="str">
        <f t="shared" si="215"/>
        <v>Character/Prefabs/m_m_tanker_cube_tier04_02</v>
      </c>
      <c r="X311" s="14" t="str">
        <f t="shared" si="215"/>
        <v/>
      </c>
      <c r="Y311" s="14" t="str">
        <f t="shared" si="215"/>
        <v>m_m_tanker_cube_tier04_02</v>
      </c>
      <c r="Z311" s="14" t="str">
        <f t="shared" si="215"/>
        <v/>
      </c>
      <c r="AA311" s="14" t="str">
        <f t="shared" si="215"/>
        <v/>
      </c>
      <c r="AB311" s="14" t="str">
        <f t="shared" si="215"/>
        <v>Die_machine</v>
      </c>
      <c r="AC311" s="94">
        <f t="shared" si="215"/>
        <v>1</v>
      </c>
      <c r="AD311" s="14" t="str">
        <f t="shared" si="215"/>
        <v>Effect/Prefab/02.mob/cube_military_01/EFF_cube_military_01_hit_01</v>
      </c>
      <c r="AE311" s="14" t="str">
        <f t="shared" si="215"/>
        <v/>
      </c>
      <c r="AF311" s="14" t="str">
        <f t="shared" si="215"/>
        <v/>
      </c>
      <c r="AG311" s="173" t="s">
        <v>2762</v>
      </c>
    </row>
    <row r="312" spans="1:33" x14ac:dyDescent="0.3">
      <c r="A312" s="14">
        <f t="shared" si="193"/>
        <v>1310401018</v>
      </c>
      <c r="B312" s="14" t="str">
        <f t="shared" ref="B312:AF312" si="216">IF(B201 &lt;&gt; "", B201, "")</f>
        <v>Rotation</v>
      </c>
      <c r="C312" s="14" t="str">
        <f t="shared" si="216"/>
        <v>큐브04_03</v>
      </c>
      <c r="D312" s="14" t="str">
        <f t="shared" si="216"/>
        <v>Monster.Name.RotationCube.Tier4</v>
      </c>
      <c r="E312" s="5" t="str">
        <f t="shared" si="216"/>
        <v>None</v>
      </c>
      <c r="F312" s="17" t="str">
        <f t="shared" si="216"/>
        <v>Fac_nul_ind</v>
      </c>
      <c r="G312" s="14" t="str">
        <f t="shared" si="216"/>
        <v>TRUE</v>
      </c>
      <c r="H312" s="14" t="str">
        <f t="shared" si="216"/>
        <v>TRUE</v>
      </c>
      <c r="I312" s="14" t="b">
        <f t="shared" si="216"/>
        <v>0</v>
      </c>
      <c r="J312" s="14">
        <f t="shared" si="216"/>
        <v>20</v>
      </c>
      <c r="K312" s="14">
        <f t="shared" si="216"/>
        <v>10</v>
      </c>
      <c r="L312" s="14" t="str">
        <f t="shared" si="216"/>
        <v/>
      </c>
      <c r="M312" s="14" t="str">
        <f t="shared" si="216"/>
        <v/>
      </c>
      <c r="N312" s="14" t="str">
        <f t="shared" si="216"/>
        <v/>
      </c>
      <c r="O312" s="17" t="str">
        <f t="shared" si="216"/>
        <v>Rotation.cube_tier04_03.skill01</v>
      </c>
      <c r="P312" s="14" t="str">
        <f t="shared" si="216"/>
        <v/>
      </c>
      <c r="Q312" s="14" t="str">
        <f t="shared" si="216"/>
        <v>Rotation.cube_tier04_03.Immun</v>
      </c>
      <c r="R312" s="14" t="str">
        <f t="shared" si="216"/>
        <v/>
      </c>
      <c r="S312" s="14" t="str">
        <f t="shared" si="216"/>
        <v/>
      </c>
      <c r="T312" s="14" t="str">
        <f t="shared" si="216"/>
        <v/>
      </c>
      <c r="U312" s="14" t="str">
        <f t="shared" si="216"/>
        <v/>
      </c>
      <c r="V312" s="14" t="b">
        <f t="shared" si="216"/>
        <v>0</v>
      </c>
      <c r="W312" s="14" t="str">
        <f t="shared" si="216"/>
        <v>Character/Prefabs/m_m_tanker_cube_tier04_03</v>
      </c>
      <c r="X312" s="14" t="str">
        <f t="shared" si="216"/>
        <v/>
      </c>
      <c r="Y312" s="14" t="str">
        <f t="shared" si="216"/>
        <v>m_m_tanker_cube_tier04_03</v>
      </c>
      <c r="Z312" s="14" t="str">
        <f t="shared" si="216"/>
        <v/>
      </c>
      <c r="AA312" s="14" t="str">
        <f t="shared" si="216"/>
        <v/>
      </c>
      <c r="AB312" s="14" t="str">
        <f t="shared" si="216"/>
        <v>Die_machine</v>
      </c>
      <c r="AC312" s="94">
        <f t="shared" si="216"/>
        <v>1</v>
      </c>
      <c r="AD312" s="14" t="str">
        <f t="shared" si="216"/>
        <v>Effect/Prefab/02.mob/cube_military_01/EFF_cube_military_01_hit_01</v>
      </c>
      <c r="AE312" s="14" t="str">
        <f t="shared" si="216"/>
        <v/>
      </c>
      <c r="AF312" s="14" t="str">
        <f t="shared" si="216"/>
        <v/>
      </c>
      <c r="AG312" s="173" t="s">
        <v>2762</v>
      </c>
    </row>
    <row r="313" spans="1:33" x14ac:dyDescent="0.3">
      <c r="A313" s="14">
        <f t="shared" si="193"/>
        <v>1310401019</v>
      </c>
      <c r="B313" s="14" t="str">
        <f t="shared" ref="B313:AF313" si="217">IF(B202 &lt;&gt; "", B202, "")</f>
        <v>Rotation</v>
      </c>
      <c r="C313" s="14" t="str">
        <f t="shared" si="217"/>
        <v>큐브04_04</v>
      </c>
      <c r="D313" s="14" t="str">
        <f t="shared" si="217"/>
        <v>Monster.Name.RotationCube.Tier4</v>
      </c>
      <c r="E313" s="5" t="str">
        <f t="shared" si="217"/>
        <v>None</v>
      </c>
      <c r="F313" s="17" t="str">
        <f t="shared" si="217"/>
        <v>Fac_nul_ind</v>
      </c>
      <c r="G313" s="14" t="str">
        <f t="shared" si="217"/>
        <v>TRUE</v>
      </c>
      <c r="H313" s="14" t="str">
        <f t="shared" si="217"/>
        <v>TRUE</v>
      </c>
      <c r="I313" s="14" t="b">
        <f t="shared" si="217"/>
        <v>0</v>
      </c>
      <c r="J313" s="14">
        <f t="shared" si="217"/>
        <v>20</v>
      </c>
      <c r="K313" s="14">
        <f t="shared" si="217"/>
        <v>10</v>
      </c>
      <c r="L313" s="14" t="str">
        <f t="shared" si="217"/>
        <v/>
      </c>
      <c r="M313" s="14" t="str">
        <f t="shared" si="217"/>
        <v/>
      </c>
      <c r="N313" s="14" t="str">
        <f t="shared" si="217"/>
        <v/>
      </c>
      <c r="O313" s="17" t="str">
        <f t="shared" si="217"/>
        <v>Rotation.cube_tier04_04.skill01</v>
      </c>
      <c r="P313" s="14" t="str">
        <f t="shared" si="217"/>
        <v/>
      </c>
      <c r="Q313" s="14" t="str">
        <f t="shared" si="217"/>
        <v>Rotation.cube_tier04_04.Immun</v>
      </c>
      <c r="R313" s="14" t="str">
        <f t="shared" si="217"/>
        <v/>
      </c>
      <c r="S313" s="14" t="str">
        <f t="shared" si="217"/>
        <v/>
      </c>
      <c r="T313" s="14" t="str">
        <f t="shared" si="217"/>
        <v/>
      </c>
      <c r="U313" s="14" t="str">
        <f t="shared" si="217"/>
        <v/>
      </c>
      <c r="V313" s="14" t="b">
        <f t="shared" si="217"/>
        <v>0</v>
      </c>
      <c r="W313" s="14" t="str">
        <f t="shared" si="217"/>
        <v>Character/Prefabs/m_m_tanker_cube_tier04_04</v>
      </c>
      <c r="X313" s="14" t="str">
        <f t="shared" si="217"/>
        <v/>
      </c>
      <c r="Y313" s="14" t="str">
        <f t="shared" si="217"/>
        <v>m_m_tanker_cube_tier04_04</v>
      </c>
      <c r="Z313" s="14" t="str">
        <f t="shared" si="217"/>
        <v/>
      </c>
      <c r="AA313" s="14" t="str">
        <f t="shared" si="217"/>
        <v/>
      </c>
      <c r="AB313" s="14" t="str">
        <f t="shared" si="217"/>
        <v>Die_machine</v>
      </c>
      <c r="AC313" s="94">
        <f t="shared" si="217"/>
        <v>1</v>
      </c>
      <c r="AD313" s="14" t="str">
        <f t="shared" si="217"/>
        <v>Effect/Prefab/02.mob/cube_military_01/EFF_cube_military_01_hit_01</v>
      </c>
      <c r="AE313" s="14" t="str">
        <f t="shared" si="217"/>
        <v/>
      </c>
      <c r="AF313" s="14" t="str">
        <f t="shared" si="217"/>
        <v/>
      </c>
      <c r="AG313" s="173" t="s">
        <v>2762</v>
      </c>
    </row>
    <row r="314" spans="1:33" x14ac:dyDescent="0.3">
      <c r="A314" s="14">
        <f t="shared" si="193"/>
        <v>1310401020</v>
      </c>
      <c r="B314" s="14" t="str">
        <f t="shared" ref="B314:AF314" si="218">IF(B203 &lt;&gt; "", B203, "")</f>
        <v>Rotation</v>
      </c>
      <c r="C314" s="14" t="str">
        <f t="shared" si="218"/>
        <v>큐브04_05</v>
      </c>
      <c r="D314" s="14" t="str">
        <f t="shared" si="218"/>
        <v>Monster.Name.RotationCube.Tier4</v>
      </c>
      <c r="E314" s="5" t="str">
        <f t="shared" si="218"/>
        <v>None</v>
      </c>
      <c r="F314" s="17" t="str">
        <f t="shared" si="218"/>
        <v>Fac_nul_ind</v>
      </c>
      <c r="G314" s="14" t="str">
        <f t="shared" si="218"/>
        <v>TRUE</v>
      </c>
      <c r="H314" s="14" t="str">
        <f t="shared" si="218"/>
        <v>TRUE</v>
      </c>
      <c r="I314" s="14" t="b">
        <f t="shared" si="218"/>
        <v>0</v>
      </c>
      <c r="J314" s="14">
        <f t="shared" si="218"/>
        <v>20</v>
      </c>
      <c r="K314" s="14">
        <f t="shared" si="218"/>
        <v>10</v>
      </c>
      <c r="L314" s="14" t="str">
        <f t="shared" si="218"/>
        <v/>
      </c>
      <c r="M314" s="14" t="str">
        <f t="shared" si="218"/>
        <v/>
      </c>
      <c r="N314" s="14" t="str">
        <f t="shared" si="218"/>
        <v/>
      </c>
      <c r="O314" s="17" t="str">
        <f t="shared" si="218"/>
        <v>Rotation.cube_tier04_05.skill01</v>
      </c>
      <c r="P314" s="14" t="str">
        <f t="shared" si="218"/>
        <v/>
      </c>
      <c r="Q314" s="14" t="str">
        <f t="shared" si="218"/>
        <v>Rotation.cube_tier04_05.Immun</v>
      </c>
      <c r="R314" s="14" t="str">
        <f t="shared" si="218"/>
        <v/>
      </c>
      <c r="S314" s="14" t="str">
        <f t="shared" si="218"/>
        <v/>
      </c>
      <c r="T314" s="14" t="str">
        <f t="shared" si="218"/>
        <v/>
      </c>
      <c r="U314" s="14" t="str">
        <f t="shared" si="218"/>
        <v/>
      </c>
      <c r="V314" s="14" t="b">
        <f t="shared" si="218"/>
        <v>0</v>
      </c>
      <c r="W314" s="14" t="str">
        <f t="shared" si="218"/>
        <v>Character/Prefabs/m_m_tanker_cube_tier04_05</v>
      </c>
      <c r="X314" s="14" t="str">
        <f t="shared" si="218"/>
        <v/>
      </c>
      <c r="Y314" s="14" t="str">
        <f t="shared" si="218"/>
        <v>m_m_tanker_cube_tier04_05</v>
      </c>
      <c r="Z314" s="14" t="str">
        <f t="shared" si="218"/>
        <v/>
      </c>
      <c r="AA314" s="14" t="str">
        <f t="shared" si="218"/>
        <v/>
      </c>
      <c r="AB314" s="14" t="str">
        <f t="shared" si="218"/>
        <v>Die_machine</v>
      </c>
      <c r="AC314" s="94">
        <f t="shared" si="218"/>
        <v>1</v>
      </c>
      <c r="AD314" s="14" t="str">
        <f t="shared" si="218"/>
        <v>Effect/Prefab/02.mob/cube_military_01/EFF_cube_military_01_hit_01</v>
      </c>
      <c r="AE314" s="14" t="str">
        <f t="shared" si="218"/>
        <v/>
      </c>
      <c r="AF314" s="14" t="str">
        <f t="shared" si="218"/>
        <v/>
      </c>
      <c r="AG314" s="173" t="s">
        <v>2762</v>
      </c>
    </row>
    <row r="315" spans="1:33" x14ac:dyDescent="0.3">
      <c r="A315" s="14">
        <f t="shared" si="193"/>
        <v>1310401021</v>
      </c>
      <c r="B315" s="14" t="str">
        <f t="shared" ref="B315:AF315" si="219">IF(B204 &lt;&gt; "", B204, "")</f>
        <v>Rotation</v>
      </c>
      <c r="C315" s="14" t="str">
        <f t="shared" si="219"/>
        <v>큐브05_01</v>
      </c>
      <c r="D315" s="14" t="str">
        <f t="shared" si="219"/>
        <v>Monster.Name.RotationCube.Tier5</v>
      </c>
      <c r="E315" s="5" t="str">
        <f t="shared" si="219"/>
        <v>None</v>
      </c>
      <c r="F315" s="17" t="str">
        <f t="shared" si="219"/>
        <v>Fac_nul_ind</v>
      </c>
      <c r="G315" s="14" t="str">
        <f t="shared" si="219"/>
        <v>TRUE</v>
      </c>
      <c r="H315" s="14" t="str">
        <f t="shared" si="219"/>
        <v>TRUE</v>
      </c>
      <c r="I315" s="14" t="b">
        <f t="shared" si="219"/>
        <v>0</v>
      </c>
      <c r="J315" s="14">
        <f t="shared" si="219"/>
        <v>20</v>
      </c>
      <c r="K315" s="14">
        <f t="shared" si="219"/>
        <v>10</v>
      </c>
      <c r="L315" s="14" t="str">
        <f t="shared" si="219"/>
        <v/>
      </c>
      <c r="M315" s="14" t="str">
        <f t="shared" si="219"/>
        <v/>
      </c>
      <c r="N315" s="14" t="str">
        <f t="shared" si="219"/>
        <v/>
      </c>
      <c r="O315" s="17" t="str">
        <f t="shared" si="219"/>
        <v>Rotation.cube_tier05_01.skill01</v>
      </c>
      <c r="P315" s="14" t="str">
        <f t="shared" si="219"/>
        <v/>
      </c>
      <c r="Q315" s="14" t="str">
        <f t="shared" si="219"/>
        <v>Rotation.cube_tier05_01.Immun</v>
      </c>
      <c r="R315" s="14" t="str">
        <f t="shared" si="219"/>
        <v/>
      </c>
      <c r="S315" s="14" t="str">
        <f t="shared" si="219"/>
        <v/>
      </c>
      <c r="T315" s="14" t="str">
        <f t="shared" si="219"/>
        <v/>
      </c>
      <c r="U315" s="14" t="str">
        <f t="shared" si="219"/>
        <v/>
      </c>
      <c r="V315" s="14" t="b">
        <f t="shared" si="219"/>
        <v>0</v>
      </c>
      <c r="W315" s="14" t="str">
        <f t="shared" si="219"/>
        <v>Character/Prefabs/m_m_tanker_cube_tier05_01</v>
      </c>
      <c r="X315" s="14" t="str">
        <f t="shared" si="219"/>
        <v/>
      </c>
      <c r="Y315" s="14" t="str">
        <f t="shared" si="219"/>
        <v>m_m_tanker_cube_tier05_01</v>
      </c>
      <c r="Z315" s="14" t="str">
        <f t="shared" si="219"/>
        <v/>
      </c>
      <c r="AA315" s="14" t="str">
        <f t="shared" si="219"/>
        <v/>
      </c>
      <c r="AB315" s="14" t="str">
        <f t="shared" si="219"/>
        <v>Die_machine</v>
      </c>
      <c r="AC315" s="94">
        <f t="shared" si="219"/>
        <v>1</v>
      </c>
      <c r="AD315" s="14" t="str">
        <f t="shared" si="219"/>
        <v>Effect/Prefab/02.mob/cube_military_01/EFF_cube_military_01_hit_01</v>
      </c>
      <c r="AE315" s="14" t="str">
        <f t="shared" si="219"/>
        <v/>
      </c>
      <c r="AF315" s="14" t="str">
        <f t="shared" si="219"/>
        <v/>
      </c>
      <c r="AG315" s="173" t="s">
        <v>2762</v>
      </c>
    </row>
    <row r="316" spans="1:33" x14ac:dyDescent="0.3">
      <c r="A316" s="14">
        <f t="shared" si="193"/>
        <v>1310401022</v>
      </c>
      <c r="B316" s="14" t="str">
        <f t="shared" ref="B316:AF316" si="220">IF(B205 &lt;&gt; "", B205, "")</f>
        <v>Rotation</v>
      </c>
      <c r="C316" s="14" t="str">
        <f t="shared" si="220"/>
        <v>큐브05_02</v>
      </c>
      <c r="D316" s="14" t="str">
        <f t="shared" si="220"/>
        <v>Monster.Name.RotationCube.Tier5</v>
      </c>
      <c r="E316" s="5" t="str">
        <f t="shared" si="220"/>
        <v>None</v>
      </c>
      <c r="F316" s="17" t="str">
        <f t="shared" si="220"/>
        <v>Fac_nul_ind</v>
      </c>
      <c r="G316" s="14" t="str">
        <f t="shared" si="220"/>
        <v>TRUE</v>
      </c>
      <c r="H316" s="14" t="str">
        <f t="shared" si="220"/>
        <v>TRUE</v>
      </c>
      <c r="I316" s="14" t="b">
        <f t="shared" si="220"/>
        <v>0</v>
      </c>
      <c r="J316" s="14">
        <f t="shared" si="220"/>
        <v>20</v>
      </c>
      <c r="K316" s="14">
        <f t="shared" si="220"/>
        <v>10</v>
      </c>
      <c r="L316" s="14" t="str">
        <f t="shared" si="220"/>
        <v/>
      </c>
      <c r="M316" s="14" t="str">
        <f t="shared" si="220"/>
        <v/>
      </c>
      <c r="N316" s="14" t="str">
        <f t="shared" si="220"/>
        <v/>
      </c>
      <c r="O316" s="17" t="str">
        <f t="shared" si="220"/>
        <v>Rotation.cube_tier05_02.skill01</v>
      </c>
      <c r="P316" s="14" t="str">
        <f t="shared" si="220"/>
        <v/>
      </c>
      <c r="Q316" s="14" t="str">
        <f t="shared" si="220"/>
        <v>Rotation.cube_tier05_02.Immun</v>
      </c>
      <c r="R316" s="14" t="str">
        <f t="shared" si="220"/>
        <v/>
      </c>
      <c r="S316" s="14" t="str">
        <f t="shared" si="220"/>
        <v/>
      </c>
      <c r="T316" s="14" t="str">
        <f t="shared" si="220"/>
        <v/>
      </c>
      <c r="U316" s="14" t="str">
        <f t="shared" si="220"/>
        <v/>
      </c>
      <c r="V316" s="14" t="b">
        <f t="shared" si="220"/>
        <v>0</v>
      </c>
      <c r="W316" s="14" t="str">
        <f t="shared" si="220"/>
        <v>Character/Prefabs/m_m_tanker_cube_tier05_02</v>
      </c>
      <c r="X316" s="14" t="str">
        <f t="shared" si="220"/>
        <v/>
      </c>
      <c r="Y316" s="14" t="str">
        <f t="shared" si="220"/>
        <v>m_m_tanker_cube_tier05_02</v>
      </c>
      <c r="Z316" s="14" t="str">
        <f t="shared" si="220"/>
        <v/>
      </c>
      <c r="AA316" s="14" t="str">
        <f t="shared" si="220"/>
        <v/>
      </c>
      <c r="AB316" s="14" t="str">
        <f t="shared" si="220"/>
        <v>Die_machine</v>
      </c>
      <c r="AC316" s="94">
        <f t="shared" si="220"/>
        <v>1</v>
      </c>
      <c r="AD316" s="14" t="str">
        <f t="shared" si="220"/>
        <v>Effect/Prefab/02.mob/cube_military_01/EFF_cube_military_01_hit_01</v>
      </c>
      <c r="AE316" s="14" t="str">
        <f t="shared" si="220"/>
        <v/>
      </c>
      <c r="AF316" s="14" t="str">
        <f t="shared" si="220"/>
        <v/>
      </c>
      <c r="AG316" s="173" t="s">
        <v>2762</v>
      </c>
    </row>
    <row r="317" spans="1:33" x14ac:dyDescent="0.3">
      <c r="A317" s="14">
        <f t="shared" si="193"/>
        <v>1310401023</v>
      </c>
      <c r="B317" s="14" t="str">
        <f t="shared" ref="B317:AF317" si="221">IF(B206 &lt;&gt; "", B206, "")</f>
        <v>Rotation</v>
      </c>
      <c r="C317" s="14" t="str">
        <f t="shared" si="221"/>
        <v>큐브05_03</v>
      </c>
      <c r="D317" s="14" t="str">
        <f t="shared" si="221"/>
        <v>Monster.Name.RotationCube.Tier5</v>
      </c>
      <c r="E317" s="5" t="str">
        <f t="shared" si="221"/>
        <v>None</v>
      </c>
      <c r="F317" s="17" t="str">
        <f t="shared" si="221"/>
        <v>Fac_nul_ind</v>
      </c>
      <c r="G317" s="14" t="str">
        <f t="shared" si="221"/>
        <v>TRUE</v>
      </c>
      <c r="H317" s="14" t="str">
        <f t="shared" si="221"/>
        <v>TRUE</v>
      </c>
      <c r="I317" s="14" t="b">
        <f t="shared" si="221"/>
        <v>0</v>
      </c>
      <c r="J317" s="14">
        <f t="shared" si="221"/>
        <v>20</v>
      </c>
      <c r="K317" s="14">
        <f t="shared" si="221"/>
        <v>10</v>
      </c>
      <c r="L317" s="14" t="str">
        <f t="shared" si="221"/>
        <v/>
      </c>
      <c r="M317" s="14" t="str">
        <f t="shared" si="221"/>
        <v/>
      </c>
      <c r="N317" s="14" t="str">
        <f t="shared" si="221"/>
        <v/>
      </c>
      <c r="O317" s="17" t="str">
        <f t="shared" si="221"/>
        <v>Rotation.cube_tier05_03.skill01</v>
      </c>
      <c r="P317" s="14" t="str">
        <f t="shared" si="221"/>
        <v/>
      </c>
      <c r="Q317" s="14" t="str">
        <f t="shared" si="221"/>
        <v>Rotation.cube_tier05_03.Immun</v>
      </c>
      <c r="R317" s="14" t="str">
        <f t="shared" si="221"/>
        <v/>
      </c>
      <c r="S317" s="14" t="str">
        <f t="shared" si="221"/>
        <v/>
      </c>
      <c r="T317" s="14" t="str">
        <f t="shared" si="221"/>
        <v/>
      </c>
      <c r="U317" s="14" t="str">
        <f t="shared" si="221"/>
        <v/>
      </c>
      <c r="V317" s="14" t="b">
        <f t="shared" si="221"/>
        <v>0</v>
      </c>
      <c r="W317" s="14" t="str">
        <f t="shared" si="221"/>
        <v>Character/Prefabs/m_m_tanker_cube_tier05_03</v>
      </c>
      <c r="X317" s="14" t="str">
        <f t="shared" si="221"/>
        <v/>
      </c>
      <c r="Y317" s="14" t="str">
        <f t="shared" si="221"/>
        <v>m_m_tanker_cube_tier05_03</v>
      </c>
      <c r="Z317" s="14" t="str">
        <f t="shared" si="221"/>
        <v/>
      </c>
      <c r="AA317" s="14" t="str">
        <f t="shared" si="221"/>
        <v/>
      </c>
      <c r="AB317" s="14" t="str">
        <f t="shared" si="221"/>
        <v>Die_machine</v>
      </c>
      <c r="AC317" s="94">
        <f t="shared" si="221"/>
        <v>1</v>
      </c>
      <c r="AD317" s="14" t="str">
        <f t="shared" si="221"/>
        <v>Effect/Prefab/02.mob/cube_military_01/EFF_cube_military_01_hit_01</v>
      </c>
      <c r="AE317" s="14" t="str">
        <f t="shared" si="221"/>
        <v/>
      </c>
      <c r="AF317" s="14" t="str">
        <f t="shared" si="221"/>
        <v/>
      </c>
      <c r="AG317" s="173" t="s">
        <v>2762</v>
      </c>
    </row>
    <row r="318" spans="1:33" x14ac:dyDescent="0.3">
      <c r="A318" s="14">
        <f t="shared" si="193"/>
        <v>1310401024</v>
      </c>
      <c r="B318" s="14" t="str">
        <f t="shared" ref="B318:AF318" si="222">IF(B207 &lt;&gt; "", B207, "")</f>
        <v>Rotation</v>
      </c>
      <c r="C318" s="14" t="str">
        <f t="shared" si="222"/>
        <v>큐브05_04</v>
      </c>
      <c r="D318" s="14" t="str">
        <f t="shared" si="222"/>
        <v>Monster.Name.RotationCube.Tier5</v>
      </c>
      <c r="E318" s="5" t="str">
        <f t="shared" si="222"/>
        <v>None</v>
      </c>
      <c r="F318" s="17" t="str">
        <f t="shared" si="222"/>
        <v>Fac_nul_ind</v>
      </c>
      <c r="G318" s="14" t="str">
        <f t="shared" si="222"/>
        <v>TRUE</v>
      </c>
      <c r="H318" s="14" t="str">
        <f t="shared" si="222"/>
        <v>TRUE</v>
      </c>
      <c r="I318" s="14" t="b">
        <f t="shared" si="222"/>
        <v>0</v>
      </c>
      <c r="J318" s="14">
        <f t="shared" si="222"/>
        <v>20</v>
      </c>
      <c r="K318" s="14">
        <f t="shared" si="222"/>
        <v>10</v>
      </c>
      <c r="L318" s="14" t="str">
        <f t="shared" si="222"/>
        <v/>
      </c>
      <c r="M318" s="14" t="str">
        <f t="shared" si="222"/>
        <v/>
      </c>
      <c r="N318" s="14" t="str">
        <f t="shared" si="222"/>
        <v/>
      </c>
      <c r="O318" s="17" t="str">
        <f t="shared" si="222"/>
        <v>Rotation.cube_tier05_04.skill01</v>
      </c>
      <c r="P318" s="14" t="str">
        <f t="shared" si="222"/>
        <v/>
      </c>
      <c r="Q318" s="14" t="str">
        <f t="shared" si="222"/>
        <v>Rotation.cube_tier05_04.Immun</v>
      </c>
      <c r="R318" s="14" t="str">
        <f t="shared" si="222"/>
        <v/>
      </c>
      <c r="S318" s="14" t="str">
        <f t="shared" si="222"/>
        <v/>
      </c>
      <c r="T318" s="14" t="str">
        <f t="shared" si="222"/>
        <v/>
      </c>
      <c r="U318" s="14" t="str">
        <f t="shared" si="222"/>
        <v/>
      </c>
      <c r="V318" s="14" t="b">
        <f t="shared" si="222"/>
        <v>0</v>
      </c>
      <c r="W318" s="14" t="str">
        <f t="shared" si="222"/>
        <v>Character/Prefabs/m_m_tanker_cube_tier05_04</v>
      </c>
      <c r="X318" s="14" t="str">
        <f t="shared" si="222"/>
        <v/>
      </c>
      <c r="Y318" s="14" t="str">
        <f t="shared" si="222"/>
        <v>m_m_tanker_cube_tier05_04</v>
      </c>
      <c r="Z318" s="14" t="str">
        <f t="shared" si="222"/>
        <v/>
      </c>
      <c r="AA318" s="14" t="str">
        <f t="shared" si="222"/>
        <v/>
      </c>
      <c r="AB318" s="14" t="str">
        <f t="shared" si="222"/>
        <v>Die_machine</v>
      </c>
      <c r="AC318" s="94">
        <f t="shared" si="222"/>
        <v>1</v>
      </c>
      <c r="AD318" s="14" t="str">
        <f t="shared" si="222"/>
        <v>Effect/Prefab/02.mob/cube_military_01/EFF_cube_military_01_hit_01</v>
      </c>
      <c r="AE318" s="14" t="str">
        <f t="shared" si="222"/>
        <v/>
      </c>
      <c r="AF318" s="14" t="str">
        <f t="shared" si="222"/>
        <v/>
      </c>
      <c r="AG318" s="173" t="s">
        <v>2762</v>
      </c>
    </row>
    <row r="319" spans="1:33" x14ac:dyDescent="0.3">
      <c r="A319" s="14">
        <f t="shared" si="193"/>
        <v>1310401025</v>
      </c>
      <c r="B319" s="14" t="str">
        <f t="shared" ref="B319:AF319" si="223">IF(B208 &lt;&gt; "", B208, "")</f>
        <v>Rotation</v>
      </c>
      <c r="C319" s="14" t="str">
        <f t="shared" si="223"/>
        <v>큐브05_05</v>
      </c>
      <c r="D319" s="14" t="str">
        <f t="shared" si="223"/>
        <v>Monster.Name.RotationCube.Tier5</v>
      </c>
      <c r="E319" s="5" t="str">
        <f t="shared" si="223"/>
        <v>None</v>
      </c>
      <c r="F319" s="17" t="str">
        <f t="shared" si="223"/>
        <v>Fac_nul_ind</v>
      </c>
      <c r="G319" s="14" t="str">
        <f t="shared" si="223"/>
        <v>TRUE</v>
      </c>
      <c r="H319" s="14" t="str">
        <f t="shared" si="223"/>
        <v>TRUE</v>
      </c>
      <c r="I319" s="14" t="b">
        <f t="shared" si="223"/>
        <v>0</v>
      </c>
      <c r="J319" s="14">
        <f t="shared" si="223"/>
        <v>20</v>
      </c>
      <c r="K319" s="14">
        <f t="shared" si="223"/>
        <v>10</v>
      </c>
      <c r="L319" s="14" t="str">
        <f t="shared" si="223"/>
        <v/>
      </c>
      <c r="M319" s="14" t="str">
        <f t="shared" si="223"/>
        <v/>
      </c>
      <c r="N319" s="14" t="str">
        <f t="shared" si="223"/>
        <v/>
      </c>
      <c r="O319" s="17" t="str">
        <f t="shared" si="223"/>
        <v>Rotation.cube_tier05_05.skill01</v>
      </c>
      <c r="P319" s="14" t="str">
        <f t="shared" si="223"/>
        <v/>
      </c>
      <c r="Q319" s="14" t="str">
        <f t="shared" si="223"/>
        <v>Rotation.cube_tier05_05.Immun</v>
      </c>
      <c r="R319" s="14" t="str">
        <f t="shared" si="223"/>
        <v/>
      </c>
      <c r="S319" s="14" t="str">
        <f t="shared" si="223"/>
        <v/>
      </c>
      <c r="T319" s="14" t="str">
        <f t="shared" si="223"/>
        <v/>
      </c>
      <c r="U319" s="14" t="str">
        <f t="shared" si="223"/>
        <v/>
      </c>
      <c r="V319" s="14" t="b">
        <f t="shared" si="223"/>
        <v>0</v>
      </c>
      <c r="W319" s="14" t="str">
        <f t="shared" si="223"/>
        <v>Character/Prefabs/m_m_tanker_cube_tier05_05</v>
      </c>
      <c r="X319" s="14" t="str">
        <f t="shared" si="223"/>
        <v/>
      </c>
      <c r="Y319" s="14" t="str">
        <f t="shared" si="223"/>
        <v>m_m_tanker_cube_tier05_05</v>
      </c>
      <c r="Z319" s="14" t="str">
        <f t="shared" si="223"/>
        <v/>
      </c>
      <c r="AA319" s="14" t="str">
        <f t="shared" si="223"/>
        <v/>
      </c>
      <c r="AB319" s="14" t="str">
        <f t="shared" si="223"/>
        <v>Die_machine</v>
      </c>
      <c r="AC319" s="94">
        <f t="shared" si="223"/>
        <v>1</v>
      </c>
      <c r="AD319" s="14" t="str">
        <f t="shared" si="223"/>
        <v>Effect/Prefab/02.mob/cube_military_01/EFF_cube_military_01_hit_01</v>
      </c>
      <c r="AE319" s="14" t="str">
        <f t="shared" si="223"/>
        <v/>
      </c>
      <c r="AF319" s="14" t="str">
        <f t="shared" si="223"/>
        <v/>
      </c>
      <c r="AG319" s="173" t="s">
        <v>2762</v>
      </c>
    </row>
    <row r="320" spans="1:33" x14ac:dyDescent="0.3">
      <c r="A320" s="149">
        <f t="shared" si="193"/>
        <v>1310401101</v>
      </c>
      <c r="B320" s="149" t="str">
        <f t="shared" ref="B320:AF320" si="224">IF(B209 &lt;&gt; "", B209, "")</f>
        <v>이벤트보스</v>
      </c>
      <c r="C320" s="149" t="str">
        <f t="shared" si="224"/>
        <v>햄버거01</v>
      </c>
      <c r="D320" s="149" t="str">
        <f t="shared" si="224"/>
        <v>Monster.Name.trapburger_1</v>
      </c>
      <c r="E320" s="150" t="str">
        <f t="shared" si="224"/>
        <v>None</v>
      </c>
      <c r="F320" s="151" t="str">
        <f t="shared" si="224"/>
        <v>Fac_nul_ind</v>
      </c>
      <c r="G320" s="149" t="str">
        <f t="shared" si="224"/>
        <v>TRUE</v>
      </c>
      <c r="H320" s="149" t="str">
        <f t="shared" si="224"/>
        <v>TRUE</v>
      </c>
      <c r="I320" s="149" t="b">
        <f t="shared" si="224"/>
        <v>0</v>
      </c>
      <c r="J320" s="149">
        <f t="shared" si="224"/>
        <v>20</v>
      </c>
      <c r="K320" s="149">
        <f t="shared" si="224"/>
        <v>10</v>
      </c>
      <c r="L320" s="149" t="str">
        <f t="shared" si="224"/>
        <v/>
      </c>
      <c r="M320" s="149" t="str">
        <f t="shared" si="224"/>
        <v/>
      </c>
      <c r="N320" s="149" t="str">
        <f t="shared" si="224"/>
        <v/>
      </c>
      <c r="O320" s="151" t="str">
        <f t="shared" si="224"/>
        <v>Hamberger.skill01</v>
      </c>
      <c r="P320" s="149" t="str">
        <f t="shared" si="224"/>
        <v>Hamberger.passive</v>
      </c>
      <c r="Q320" s="149" t="str">
        <f t="shared" si="224"/>
        <v/>
      </c>
      <c r="R320" s="149" t="str">
        <f t="shared" si="224"/>
        <v/>
      </c>
      <c r="S320" s="149" t="str">
        <f t="shared" si="224"/>
        <v/>
      </c>
      <c r="T320" s="149" t="str">
        <f t="shared" si="224"/>
        <v/>
      </c>
      <c r="U320" s="149" t="str">
        <f t="shared" si="224"/>
        <v/>
      </c>
      <c r="V320" s="149" t="b">
        <f t="shared" si="224"/>
        <v>0</v>
      </c>
      <c r="W320" s="149" t="str">
        <f t="shared" si="224"/>
        <v>Character/Prefabs/m_m_tanker_trapburger_1</v>
      </c>
      <c r="X320" s="149" t="str">
        <f t="shared" si="224"/>
        <v/>
      </c>
      <c r="Y320" s="149" t="str">
        <f t="shared" si="224"/>
        <v>m_m_tanker_trapburger_1</v>
      </c>
      <c r="Z320" s="149" t="str">
        <f t="shared" si="224"/>
        <v/>
      </c>
      <c r="AA320" s="149" t="str">
        <f t="shared" si="224"/>
        <v/>
      </c>
      <c r="AB320" s="149" t="str">
        <f t="shared" si="224"/>
        <v>Die_machine</v>
      </c>
      <c r="AC320" s="152">
        <f t="shared" si="224"/>
        <v>1</v>
      </c>
      <c r="AD320" s="149" t="str">
        <f t="shared" si="224"/>
        <v/>
      </c>
      <c r="AE320" s="149" t="str">
        <f t="shared" si="224"/>
        <v/>
      </c>
      <c r="AF320" s="149" t="str">
        <f t="shared" si="224"/>
        <v/>
      </c>
      <c r="AG320" s="173" t="s">
        <v>2762</v>
      </c>
    </row>
    <row r="321" spans="1:33" x14ac:dyDescent="0.3">
      <c r="A321" s="149">
        <f t="shared" si="193"/>
        <v>1310401102</v>
      </c>
      <c r="B321" s="149" t="str">
        <f t="shared" ref="B321:AF321" si="225">IF(B210 &lt;&gt; "", B210, "")</f>
        <v>이벤트보스</v>
      </c>
      <c r="C321" s="149" t="str">
        <f t="shared" si="225"/>
        <v>햄버거02</v>
      </c>
      <c r="D321" s="149" t="str">
        <f t="shared" si="225"/>
        <v>Monster.Name.trapburger_2</v>
      </c>
      <c r="E321" s="150" t="str">
        <f t="shared" si="225"/>
        <v>None</v>
      </c>
      <c r="F321" s="151" t="str">
        <f t="shared" si="225"/>
        <v>Fac_nul_ind</v>
      </c>
      <c r="G321" s="149" t="str">
        <f t="shared" si="225"/>
        <v>TRUE</v>
      </c>
      <c r="H321" s="149" t="str">
        <f t="shared" si="225"/>
        <v>TRUE</v>
      </c>
      <c r="I321" s="149" t="b">
        <f t="shared" si="225"/>
        <v>0</v>
      </c>
      <c r="J321" s="149">
        <f t="shared" si="225"/>
        <v>20</v>
      </c>
      <c r="K321" s="149">
        <f t="shared" si="225"/>
        <v>10</v>
      </c>
      <c r="L321" s="149" t="str">
        <f t="shared" si="225"/>
        <v/>
      </c>
      <c r="M321" s="149" t="str">
        <f t="shared" si="225"/>
        <v/>
      </c>
      <c r="N321" s="149" t="str">
        <f t="shared" si="225"/>
        <v/>
      </c>
      <c r="O321" s="151" t="str">
        <f t="shared" si="225"/>
        <v>Hamberger.skill01</v>
      </c>
      <c r="P321" s="149" t="str">
        <f t="shared" si="225"/>
        <v>Hamberger.passive</v>
      </c>
      <c r="Q321" s="149" t="str">
        <f t="shared" si="225"/>
        <v/>
      </c>
      <c r="R321" s="149" t="str">
        <f t="shared" si="225"/>
        <v/>
      </c>
      <c r="S321" s="149" t="str">
        <f t="shared" si="225"/>
        <v/>
      </c>
      <c r="T321" s="149" t="str">
        <f t="shared" si="225"/>
        <v/>
      </c>
      <c r="U321" s="149" t="str">
        <f t="shared" si="225"/>
        <v/>
      </c>
      <c r="V321" s="149" t="b">
        <f t="shared" si="225"/>
        <v>0</v>
      </c>
      <c r="W321" s="149" t="str">
        <f t="shared" si="225"/>
        <v>Character/Prefabs/m_m_tanker_trapburger_2</v>
      </c>
      <c r="X321" s="149" t="str">
        <f t="shared" si="225"/>
        <v/>
      </c>
      <c r="Y321" s="149" t="str">
        <f t="shared" si="225"/>
        <v>m_m_tanker_trapburger_2</v>
      </c>
      <c r="Z321" s="149" t="str">
        <f t="shared" si="225"/>
        <v/>
      </c>
      <c r="AA321" s="149" t="str">
        <f t="shared" si="225"/>
        <v/>
      </c>
      <c r="AB321" s="149" t="str">
        <f t="shared" si="225"/>
        <v>Die_machine</v>
      </c>
      <c r="AC321" s="152">
        <f t="shared" si="225"/>
        <v>1</v>
      </c>
      <c r="AD321" s="149" t="str">
        <f t="shared" si="225"/>
        <v/>
      </c>
      <c r="AE321" s="149" t="str">
        <f t="shared" si="225"/>
        <v/>
      </c>
      <c r="AF321" s="149" t="str">
        <f t="shared" si="225"/>
        <v/>
      </c>
      <c r="AG321" s="173" t="s">
        <v>2762</v>
      </c>
    </row>
    <row r="322" spans="1:33" x14ac:dyDescent="0.3">
      <c r="A322" s="14">
        <f t="shared" ref="A322:A353" si="226">A211+100000000</f>
        <v>1310200101</v>
      </c>
      <c r="B322" s="14" t="str">
        <f t="shared" ref="B322:AF322" si="227">IF(B211 &lt;&gt; "", B211, "")</f>
        <v>섹터공용</v>
      </c>
      <c r="C322" s="14" t="str">
        <f t="shared" si="227"/>
        <v>플랭커</v>
      </c>
      <c r="D322" s="14" t="str">
        <f t="shared" si="227"/>
        <v>Monster.Name.roamer_flanker_1</v>
      </c>
      <c r="E322" s="14" t="str">
        <f t="shared" si="227"/>
        <v>Attacker</v>
      </c>
      <c r="F322" s="17" t="str">
        <f t="shared" si="227"/>
        <v>Fac_nul_ind</v>
      </c>
      <c r="G322" s="14" t="b">
        <f t="shared" si="227"/>
        <v>1</v>
      </c>
      <c r="H322" s="14" t="b">
        <f t="shared" si="227"/>
        <v>0</v>
      </c>
      <c r="I322" s="14" t="b">
        <f t="shared" si="227"/>
        <v>0</v>
      </c>
      <c r="J322" s="14">
        <f t="shared" si="227"/>
        <v>10</v>
      </c>
      <c r="K322" s="14">
        <f t="shared" si="227"/>
        <v>10</v>
      </c>
      <c r="L322" s="14" t="str">
        <f t="shared" si="227"/>
        <v>roamer_flanker_1.attack01</v>
      </c>
      <c r="M322" s="14" t="str">
        <f t="shared" si="227"/>
        <v/>
      </c>
      <c r="N322" s="14" t="str">
        <f t="shared" si="227"/>
        <v/>
      </c>
      <c r="O322" s="17" t="str">
        <f t="shared" si="227"/>
        <v>roamer_flanker_1.skill01</v>
      </c>
      <c r="P322" s="14" t="str">
        <f t="shared" si="227"/>
        <v/>
      </c>
      <c r="Q322" s="14" t="str">
        <f t="shared" si="227"/>
        <v/>
      </c>
      <c r="R322" s="14" t="str">
        <f t="shared" si="227"/>
        <v/>
      </c>
      <c r="S322" s="14" t="str">
        <f t="shared" si="227"/>
        <v/>
      </c>
      <c r="T322" s="14" t="str">
        <f t="shared" si="227"/>
        <v/>
      </c>
      <c r="U322" s="14" t="str">
        <f t="shared" si="227"/>
        <v/>
      </c>
      <c r="V322" s="14" t="b">
        <f t="shared" si="227"/>
        <v>0</v>
      </c>
      <c r="W322" s="14" t="str">
        <f t="shared" si="227"/>
        <v>Character/Prefabs/m_m_attacker_roamer_flanker_1</v>
      </c>
      <c r="X322" s="14" t="str">
        <f t="shared" si="227"/>
        <v/>
      </c>
      <c r="Y322" s="14" t="str">
        <f t="shared" si="227"/>
        <v>m_m_attacker_roamer_flanker_1</v>
      </c>
      <c r="Z322" s="14" t="str">
        <f t="shared" si="227"/>
        <v/>
      </c>
      <c r="AA322" s="14" t="str">
        <f t="shared" si="227"/>
        <v/>
      </c>
      <c r="AB322" s="14" t="str">
        <f t="shared" si="227"/>
        <v/>
      </c>
      <c r="AC322" s="94">
        <f t="shared" si="227"/>
        <v>1</v>
      </c>
      <c r="AD322" s="14" t="str">
        <f t="shared" si="227"/>
        <v/>
      </c>
      <c r="AE322" s="14" t="str">
        <f t="shared" si="227"/>
        <v/>
      </c>
      <c r="AF322" s="14" t="str">
        <f t="shared" si="227"/>
        <v/>
      </c>
      <c r="AG322" s="173" t="s">
        <v>2762</v>
      </c>
    </row>
    <row r="323" spans="1:33" x14ac:dyDescent="0.3">
      <c r="A323" s="14">
        <f t="shared" si="226"/>
        <v>1310200102</v>
      </c>
      <c r="B323" s="14" t="str">
        <f t="shared" ref="B323:AF323" si="228">IF(B212 &lt;&gt; "", B212, "")</f>
        <v>섹터공용</v>
      </c>
      <c r="C323" s="14" t="str">
        <f t="shared" si="228"/>
        <v>볼트쇼커</v>
      </c>
      <c r="D323" s="14" t="str">
        <f t="shared" si="228"/>
        <v>Monster.Name.roamer_voltshocker_1</v>
      </c>
      <c r="E323" s="14" t="str">
        <f t="shared" si="228"/>
        <v>Attacker</v>
      </c>
      <c r="F323" s="17" t="str">
        <f t="shared" si="228"/>
        <v>Fac_nul_ind</v>
      </c>
      <c r="G323" s="14" t="b">
        <f t="shared" si="228"/>
        <v>1</v>
      </c>
      <c r="H323" s="14" t="b">
        <f t="shared" si="228"/>
        <v>0</v>
      </c>
      <c r="I323" s="14" t="b">
        <f t="shared" si="228"/>
        <v>0</v>
      </c>
      <c r="J323" s="14">
        <f t="shared" si="228"/>
        <v>10</v>
      </c>
      <c r="K323" s="14">
        <f t="shared" si="228"/>
        <v>10</v>
      </c>
      <c r="L323" s="14" t="str">
        <f t="shared" si="228"/>
        <v>roamer_voltshocker_1.attack01</v>
      </c>
      <c r="M323" s="14" t="str">
        <f t="shared" si="228"/>
        <v/>
      </c>
      <c r="N323" s="14" t="str">
        <f t="shared" si="228"/>
        <v/>
      </c>
      <c r="O323" s="17" t="str">
        <f t="shared" si="228"/>
        <v>roamer_voltshocker_1.skill01</v>
      </c>
      <c r="P323" s="14" t="str">
        <f t="shared" si="228"/>
        <v/>
      </c>
      <c r="Q323" s="14" t="str">
        <f t="shared" si="228"/>
        <v/>
      </c>
      <c r="R323" s="14" t="str">
        <f t="shared" si="228"/>
        <v/>
      </c>
      <c r="S323" s="14" t="str">
        <f t="shared" si="228"/>
        <v/>
      </c>
      <c r="T323" s="14" t="str">
        <f t="shared" si="228"/>
        <v/>
      </c>
      <c r="U323" s="14" t="str">
        <f t="shared" si="228"/>
        <v/>
      </c>
      <c r="V323" s="14" t="b">
        <f t="shared" si="228"/>
        <v>0</v>
      </c>
      <c r="W323" s="14" t="str">
        <f t="shared" si="228"/>
        <v>Character/Prefabs/m_m_attacker_roamer_voltshocker_1</v>
      </c>
      <c r="X323" s="14" t="str">
        <f t="shared" si="228"/>
        <v/>
      </c>
      <c r="Y323" s="14" t="str">
        <f t="shared" si="228"/>
        <v>m_m_attacker_roamer_voltshocker_1</v>
      </c>
      <c r="Z323" s="14" t="str">
        <f t="shared" si="228"/>
        <v/>
      </c>
      <c r="AA323" s="14" t="str">
        <f t="shared" si="228"/>
        <v/>
      </c>
      <c r="AB323" s="14" t="str">
        <f t="shared" si="228"/>
        <v/>
      </c>
      <c r="AC323" s="94">
        <f t="shared" si="228"/>
        <v>1</v>
      </c>
      <c r="AD323" s="14" t="str">
        <f t="shared" si="228"/>
        <v/>
      </c>
      <c r="AE323" s="14" t="str">
        <f t="shared" si="228"/>
        <v/>
      </c>
      <c r="AF323" s="14" t="str">
        <f t="shared" si="228"/>
        <v/>
      </c>
      <c r="AG323" s="173" t="s">
        <v>2762</v>
      </c>
    </row>
    <row r="324" spans="1:33" x14ac:dyDescent="0.3">
      <c r="A324" s="14">
        <f t="shared" si="226"/>
        <v>1310200103</v>
      </c>
      <c r="B324" s="14" t="str">
        <f t="shared" ref="B324:AF324" si="229">IF(B213 &lt;&gt; "", B213, "")</f>
        <v>섹터공용</v>
      </c>
      <c r="C324" s="14" t="str">
        <f t="shared" si="229"/>
        <v>플로터</v>
      </c>
      <c r="D324" s="14" t="str">
        <f t="shared" si="229"/>
        <v>Monster.Name.floater_1</v>
      </c>
      <c r="E324" s="14" t="str">
        <f t="shared" si="229"/>
        <v>Supporter</v>
      </c>
      <c r="F324" s="17" t="str">
        <f t="shared" si="229"/>
        <v>Fac_nul_ind</v>
      </c>
      <c r="G324" s="14" t="b">
        <f t="shared" si="229"/>
        <v>1</v>
      </c>
      <c r="H324" s="14" t="b">
        <f t="shared" si="229"/>
        <v>0</v>
      </c>
      <c r="I324" s="14" t="b">
        <f t="shared" si="229"/>
        <v>0</v>
      </c>
      <c r="J324" s="14">
        <f t="shared" si="229"/>
        <v>10</v>
      </c>
      <c r="K324" s="14">
        <f t="shared" si="229"/>
        <v>10</v>
      </c>
      <c r="L324" s="14" t="str">
        <f t="shared" si="229"/>
        <v>roamer_floater_1.attack01</v>
      </c>
      <c r="M324" s="14" t="str">
        <f t="shared" si="229"/>
        <v/>
      </c>
      <c r="N324" s="14" t="str">
        <f t="shared" si="229"/>
        <v/>
      </c>
      <c r="O324" s="17" t="str">
        <f t="shared" si="229"/>
        <v>roamer_floater_1.skill01</v>
      </c>
      <c r="P324" s="14" t="str">
        <f t="shared" si="229"/>
        <v/>
      </c>
      <c r="Q324" s="14" t="str">
        <f t="shared" si="229"/>
        <v/>
      </c>
      <c r="R324" s="14" t="str">
        <f t="shared" si="229"/>
        <v/>
      </c>
      <c r="S324" s="14" t="str">
        <f t="shared" si="229"/>
        <v/>
      </c>
      <c r="T324" s="14" t="str">
        <f t="shared" si="229"/>
        <v/>
      </c>
      <c r="U324" s="14" t="str">
        <f t="shared" si="229"/>
        <v/>
      </c>
      <c r="V324" s="14" t="b">
        <f t="shared" si="229"/>
        <v>0</v>
      </c>
      <c r="W324" s="14" t="str">
        <f t="shared" si="229"/>
        <v>Character/Prefabs/m_m_supporter_roamer_floater_1</v>
      </c>
      <c r="X324" s="14" t="str">
        <f t="shared" si="229"/>
        <v/>
      </c>
      <c r="Y324" s="14" t="str">
        <f t="shared" si="229"/>
        <v>m_m_supporter_roamer_floater_1</v>
      </c>
      <c r="Z324" s="14" t="str">
        <f t="shared" si="229"/>
        <v/>
      </c>
      <c r="AA324" s="14" t="str">
        <f t="shared" si="229"/>
        <v/>
      </c>
      <c r="AB324" s="14" t="str">
        <f t="shared" si="229"/>
        <v/>
      </c>
      <c r="AC324" s="94">
        <f t="shared" si="229"/>
        <v>0.6</v>
      </c>
      <c r="AD324" s="14" t="str">
        <f t="shared" si="229"/>
        <v/>
      </c>
      <c r="AE324" s="14" t="str">
        <f t="shared" si="229"/>
        <v/>
      </c>
      <c r="AF324" s="14" t="str">
        <f t="shared" si="229"/>
        <v/>
      </c>
      <c r="AG324" s="173" t="s">
        <v>2762</v>
      </c>
    </row>
    <row r="325" spans="1:33" x14ac:dyDescent="0.3">
      <c r="A325" s="14">
        <f t="shared" si="226"/>
        <v>1311601301</v>
      </c>
      <c r="B325" s="14" t="str">
        <f t="shared" ref="B325:AF325" si="230">IF(B214 &lt;&gt; "", B214, "")</f>
        <v>EventStory</v>
      </c>
      <c r="C325" s="14" t="str">
        <f t="shared" si="230"/>
        <v>게임마스터</v>
      </c>
      <c r="D325" s="14" t="str">
        <f t="shared" si="230"/>
        <v>Monster.Name.gamemaster_1</v>
      </c>
      <c r="E325" s="14" t="str">
        <f t="shared" si="230"/>
        <v>None</v>
      </c>
      <c r="F325" s="17" t="str">
        <f t="shared" si="230"/>
        <v>Fac_nul_ind</v>
      </c>
      <c r="G325" s="14" t="str">
        <f t="shared" si="230"/>
        <v>TRUE</v>
      </c>
      <c r="H325" s="14" t="b">
        <f t="shared" si="230"/>
        <v>1</v>
      </c>
      <c r="I325" s="14" t="b">
        <f t="shared" si="230"/>
        <v>1</v>
      </c>
      <c r="J325" s="14">
        <f t="shared" si="230"/>
        <v>10</v>
      </c>
      <c r="K325" s="14">
        <f t="shared" si="230"/>
        <v>10</v>
      </c>
      <c r="L325" s="14" t="str">
        <f t="shared" si="230"/>
        <v>EventStory.gamemaster_1.attack01</v>
      </c>
      <c r="M325" s="14" t="str">
        <f t="shared" si="230"/>
        <v>EventStory.gamemaster_1.attack02</v>
      </c>
      <c r="N325" s="14" t="str">
        <f t="shared" si="230"/>
        <v/>
      </c>
      <c r="O325" s="17" t="str">
        <f t="shared" si="230"/>
        <v>EventStory.gamemaster_1.skill01</v>
      </c>
      <c r="P325" s="14" t="str">
        <f t="shared" si="230"/>
        <v>EventStory.gamemaster_1.passive01</v>
      </c>
      <c r="Q325" s="14" t="str">
        <f t="shared" si="230"/>
        <v/>
      </c>
      <c r="R325" s="14" t="str">
        <f t="shared" si="230"/>
        <v/>
      </c>
      <c r="S325" s="14" t="str">
        <f t="shared" si="230"/>
        <v/>
      </c>
      <c r="T325" s="14" t="str">
        <f t="shared" si="230"/>
        <v/>
      </c>
      <c r="U325" s="14" t="str">
        <f t="shared" si="230"/>
        <v/>
      </c>
      <c r="V325" s="14" t="b">
        <f t="shared" si="230"/>
        <v>0</v>
      </c>
      <c r="W325" s="14" t="str">
        <f t="shared" si="230"/>
        <v>Character/Prefabs/m_boss_ranger_gamemaster_1</v>
      </c>
      <c r="X325" s="14" t="str">
        <f t="shared" si="230"/>
        <v/>
      </c>
      <c r="Y325" s="14" t="str">
        <f t="shared" si="230"/>
        <v>m_boss_ranger_gamemaster_1</v>
      </c>
      <c r="Z325" s="14" t="str">
        <f t="shared" si="230"/>
        <v/>
      </c>
      <c r="AA325" s="14" t="str">
        <f t="shared" si="230"/>
        <v/>
      </c>
      <c r="AB325" s="14" t="str">
        <f t="shared" si="230"/>
        <v/>
      </c>
      <c r="AC325" s="94">
        <f t="shared" si="230"/>
        <v>1</v>
      </c>
      <c r="AD325" s="14" t="str">
        <f t="shared" si="230"/>
        <v/>
      </c>
      <c r="AE325" s="14" t="str">
        <f t="shared" si="230"/>
        <v/>
      </c>
      <c r="AF325" s="14" t="str">
        <f t="shared" si="230"/>
        <v/>
      </c>
      <c r="AG325" s="173" t="s">
        <v>2762</v>
      </c>
    </row>
    <row r="326" spans="1:33" x14ac:dyDescent="0.3">
      <c r="A326" s="14">
        <f t="shared" si="226"/>
        <v>1311601302</v>
      </c>
      <c r="B326" s="14" t="str">
        <f t="shared" ref="B326:AF326" si="231">IF(B215 &lt;&gt; "", B215, "")</f>
        <v>EventStory</v>
      </c>
      <c r="C326" s="14" t="str">
        <f t="shared" si="231"/>
        <v>메카토아</v>
      </c>
      <c r="D326" s="14" t="str">
        <f t="shared" si="231"/>
        <v>Monster.Name.mechatoa_1</v>
      </c>
      <c r="E326" s="14" t="str">
        <f t="shared" si="231"/>
        <v>None</v>
      </c>
      <c r="F326" s="17" t="str">
        <f t="shared" si="231"/>
        <v>Fac_nul_ind</v>
      </c>
      <c r="G326" s="14" t="str">
        <f t="shared" si="231"/>
        <v>TRUE</v>
      </c>
      <c r="H326" s="14" t="b">
        <f t="shared" si="231"/>
        <v>1</v>
      </c>
      <c r="I326" s="14" t="b">
        <f t="shared" si="231"/>
        <v>1</v>
      </c>
      <c r="J326" s="14">
        <f t="shared" si="231"/>
        <v>20</v>
      </c>
      <c r="K326" s="14">
        <f t="shared" si="231"/>
        <v>10</v>
      </c>
      <c r="L326" s="14" t="str">
        <f t="shared" si="231"/>
        <v>EventStory.mechatoa_1.attack01</v>
      </c>
      <c r="M326" s="14" t="str">
        <f t="shared" si="231"/>
        <v>EventStory.mechatoa_1.attack02</v>
      </c>
      <c r="N326" s="14" t="str">
        <f t="shared" si="231"/>
        <v/>
      </c>
      <c r="O326" s="17" t="str">
        <f t="shared" si="231"/>
        <v>EventStory.mechatoa_1.skill01</v>
      </c>
      <c r="P326" s="14" t="str">
        <f t="shared" si="231"/>
        <v>EventStory.mechatoa_1.passive01</v>
      </c>
      <c r="Q326" s="14" t="str">
        <f t="shared" si="231"/>
        <v/>
      </c>
      <c r="R326" s="14" t="str">
        <f t="shared" si="231"/>
        <v/>
      </c>
      <c r="S326" s="14" t="str">
        <f t="shared" si="231"/>
        <v/>
      </c>
      <c r="T326" s="14" t="str">
        <f t="shared" si="231"/>
        <v/>
      </c>
      <c r="U326" s="14" t="str">
        <f t="shared" si="231"/>
        <v/>
      </c>
      <c r="V326" s="14" t="b">
        <f t="shared" si="231"/>
        <v>0</v>
      </c>
      <c r="W326" s="14" t="str">
        <f t="shared" si="231"/>
        <v>Character/Prefabs/m_boss_attacker_mechatoa_1</v>
      </c>
      <c r="X326" s="14" t="str">
        <f t="shared" si="231"/>
        <v/>
      </c>
      <c r="Y326" s="14" t="str">
        <f t="shared" si="231"/>
        <v>m_boss_attacker_mechatoa_1</v>
      </c>
      <c r="Z326" s="14" t="str">
        <f t="shared" si="231"/>
        <v/>
      </c>
      <c r="AA326" s="14" t="str">
        <f t="shared" si="231"/>
        <v/>
      </c>
      <c r="AB326" s="14" t="str">
        <f t="shared" si="231"/>
        <v/>
      </c>
      <c r="AC326" s="94">
        <f t="shared" si="231"/>
        <v>1</v>
      </c>
      <c r="AD326" s="14" t="str">
        <f t="shared" si="231"/>
        <v/>
      </c>
      <c r="AE326" s="14" t="str">
        <f t="shared" si="231"/>
        <v/>
      </c>
      <c r="AF326" s="14" t="str">
        <f t="shared" si="231"/>
        <v/>
      </c>
      <c r="AG326" s="173" t="s">
        <v>2762</v>
      </c>
    </row>
    <row r="327" spans="1:33" x14ac:dyDescent="0.3">
      <c r="A327" s="14">
        <f t="shared" si="226"/>
        <v>1311601303</v>
      </c>
      <c r="B327" s="14" t="str">
        <f t="shared" ref="B327:AF327" si="232">IF(B216 &lt;&gt; "", B216, "")</f>
        <v>EventStory</v>
      </c>
      <c r="C327" s="14" t="str">
        <f t="shared" si="232"/>
        <v>팬더해피</v>
      </c>
      <c r="D327" s="14" t="str">
        <f t="shared" si="232"/>
        <v>Monster.Name.pandahappy_1</v>
      </c>
      <c r="E327" s="14" t="str">
        <f t="shared" si="232"/>
        <v>None</v>
      </c>
      <c r="F327" s="14" t="str">
        <f t="shared" si="232"/>
        <v>Fac_nul_ind</v>
      </c>
      <c r="G327" s="14" t="str">
        <f t="shared" si="232"/>
        <v>TRUE</v>
      </c>
      <c r="H327" s="14" t="b">
        <f t="shared" si="232"/>
        <v>1</v>
      </c>
      <c r="I327" s="14" t="b">
        <f t="shared" si="232"/>
        <v>1</v>
      </c>
      <c r="J327" s="14">
        <f t="shared" si="232"/>
        <v>20</v>
      </c>
      <c r="K327" s="14">
        <f t="shared" si="232"/>
        <v>10</v>
      </c>
      <c r="L327" s="14" t="str">
        <f t="shared" si="232"/>
        <v>EventStory.pandahappy_1.attack01</v>
      </c>
      <c r="M327" s="14" t="str">
        <f t="shared" si="232"/>
        <v>EventStory.pandahappy_1.attack02</v>
      </c>
      <c r="N327" s="14" t="str">
        <f t="shared" si="232"/>
        <v/>
      </c>
      <c r="O327" s="178" t="str">
        <f t="shared" si="232"/>
        <v>EventStory.pandahappy_1.skill01</v>
      </c>
      <c r="P327" s="14" t="str">
        <f t="shared" si="232"/>
        <v>EventStory.pandahappy_1.passive01</v>
      </c>
      <c r="Q327" s="14" t="str">
        <f t="shared" si="232"/>
        <v/>
      </c>
      <c r="R327" s="14" t="str">
        <f t="shared" si="232"/>
        <v/>
      </c>
      <c r="S327" s="14" t="str">
        <f t="shared" si="232"/>
        <v/>
      </c>
      <c r="T327" s="14" t="str">
        <f t="shared" si="232"/>
        <v/>
      </c>
      <c r="U327" s="14" t="str">
        <f t="shared" si="232"/>
        <v/>
      </c>
      <c r="V327" s="14" t="b">
        <f t="shared" si="232"/>
        <v>0</v>
      </c>
      <c r="W327" s="14" t="str">
        <f t="shared" si="232"/>
        <v>Character/Prefabs/m_boss_attacker_pandahappy_1</v>
      </c>
      <c r="X327" s="14" t="str">
        <f t="shared" si="232"/>
        <v/>
      </c>
      <c r="Y327" s="14" t="str">
        <f t="shared" si="232"/>
        <v>m_boss_attacker_pandahappy_1</v>
      </c>
      <c r="Z327" s="14" t="str">
        <f t="shared" si="232"/>
        <v/>
      </c>
      <c r="AA327" s="14" t="str">
        <f t="shared" si="232"/>
        <v/>
      </c>
      <c r="AB327" s="14" t="str">
        <f t="shared" si="232"/>
        <v/>
      </c>
      <c r="AC327" s="94">
        <f t="shared" si="232"/>
        <v>1.3</v>
      </c>
      <c r="AD327" s="14" t="str">
        <f t="shared" si="232"/>
        <v/>
      </c>
      <c r="AE327" s="14" t="str">
        <f t="shared" si="232"/>
        <v/>
      </c>
      <c r="AF327" s="14" t="str">
        <f t="shared" si="232"/>
        <v/>
      </c>
      <c r="AG327" s="173" t="s">
        <v>2762</v>
      </c>
    </row>
    <row r="328" spans="1:33" x14ac:dyDescent="0.3">
      <c r="A328" s="14">
        <f t="shared" si="226"/>
        <v>1311601304</v>
      </c>
      <c r="B328" s="14" t="str">
        <f t="shared" ref="B328:AF328" si="233">IF(B217 &lt;&gt; "", B217, "")</f>
        <v>EventStory</v>
      </c>
      <c r="C328" s="14" t="str">
        <f t="shared" si="233"/>
        <v>버려진수호자</v>
      </c>
      <c r="D328" s="14" t="str">
        <f t="shared" si="233"/>
        <v>Monster.Name.oldguardian_1</v>
      </c>
      <c r="E328" s="14" t="str">
        <f t="shared" si="233"/>
        <v>None</v>
      </c>
      <c r="F328" s="14" t="str">
        <f t="shared" si="233"/>
        <v>Fac_nul_ind</v>
      </c>
      <c r="G328" s="14" t="str">
        <f t="shared" si="233"/>
        <v>TRUE</v>
      </c>
      <c r="H328" s="14" t="b">
        <f t="shared" si="233"/>
        <v>1</v>
      </c>
      <c r="I328" s="14" t="b">
        <f t="shared" si="233"/>
        <v>1</v>
      </c>
      <c r="J328" s="14">
        <f t="shared" si="233"/>
        <v>20</v>
      </c>
      <c r="K328" s="14">
        <f t="shared" si="233"/>
        <v>10</v>
      </c>
      <c r="L328" s="14" t="str">
        <f t="shared" si="233"/>
        <v>EventStory.oldguardian_1.attack01</v>
      </c>
      <c r="M328" s="14" t="str">
        <f t="shared" si="233"/>
        <v>EventStory.oldguardian_1.attack02</v>
      </c>
      <c r="N328" s="14" t="str">
        <f t="shared" si="233"/>
        <v/>
      </c>
      <c r="O328" s="178" t="str">
        <f t="shared" si="233"/>
        <v>EventStory.oldguardian_1.skill01</v>
      </c>
      <c r="P328" s="14" t="str">
        <f t="shared" si="233"/>
        <v>EventStory.oldguardian_1.passive01</v>
      </c>
      <c r="Q328" s="14" t="str">
        <f t="shared" si="233"/>
        <v/>
      </c>
      <c r="R328" s="14" t="str">
        <f t="shared" si="233"/>
        <v/>
      </c>
      <c r="S328" s="14" t="str">
        <f t="shared" si="233"/>
        <v/>
      </c>
      <c r="T328" s="14" t="str">
        <f t="shared" si="233"/>
        <v/>
      </c>
      <c r="U328" s="14" t="str">
        <f t="shared" si="233"/>
        <v/>
      </c>
      <c r="V328" s="14" t="b">
        <f t="shared" si="233"/>
        <v>0</v>
      </c>
      <c r="W328" s="14" t="str">
        <f t="shared" si="233"/>
        <v>Character/Prefabs/m_boss_ranger_oldguardian_1</v>
      </c>
      <c r="X328" s="14" t="str">
        <f t="shared" si="233"/>
        <v/>
      </c>
      <c r="Y328" s="14" t="str">
        <f t="shared" si="233"/>
        <v>m_boss_ranger_oldguardian_1</v>
      </c>
      <c r="Z328" s="14" t="str">
        <f t="shared" si="233"/>
        <v/>
      </c>
      <c r="AA328" s="14" t="str">
        <f t="shared" si="233"/>
        <v/>
      </c>
      <c r="AB328" s="14" t="str">
        <f t="shared" si="233"/>
        <v/>
      </c>
      <c r="AC328" s="94">
        <f t="shared" si="233"/>
        <v>0.8</v>
      </c>
      <c r="AD328" s="14" t="str">
        <f t="shared" si="233"/>
        <v/>
      </c>
      <c r="AE328" s="14" t="str">
        <f t="shared" si="233"/>
        <v/>
      </c>
      <c r="AF328" s="14" t="str">
        <f t="shared" si="233"/>
        <v/>
      </c>
      <c r="AG328" s="173" t="s">
        <v>2762</v>
      </c>
    </row>
    <row r="329" spans="1:33" x14ac:dyDescent="0.3">
      <c r="A329" s="14">
        <f t="shared" si="226"/>
        <v>1311601305</v>
      </c>
      <c r="B329" s="14" t="str">
        <f t="shared" ref="B329:AF329" si="234">IF(B218 &lt;&gt; "", B218, "")</f>
        <v>EventStory</v>
      </c>
      <c r="C329" s="14" t="str">
        <f t="shared" si="234"/>
        <v>시비우자동장치</v>
      </c>
      <c r="D329" s="14" t="str">
        <f t="shared" si="234"/>
        <v>Monster.Name.sibiurobot_1</v>
      </c>
      <c r="E329" s="14" t="str">
        <f t="shared" si="234"/>
        <v>None</v>
      </c>
      <c r="F329" s="14" t="str">
        <f t="shared" si="234"/>
        <v>Fac_nul_ind</v>
      </c>
      <c r="G329" s="14" t="str">
        <f t="shared" si="234"/>
        <v>TRUE</v>
      </c>
      <c r="H329" s="14" t="b">
        <f t="shared" si="234"/>
        <v>1</v>
      </c>
      <c r="I329" s="14" t="b">
        <f t="shared" si="234"/>
        <v>1</v>
      </c>
      <c r="J329" s="14">
        <f t="shared" si="234"/>
        <v>10</v>
      </c>
      <c r="K329" s="14">
        <f t="shared" si="234"/>
        <v>10</v>
      </c>
      <c r="L329" s="14" t="str">
        <f t="shared" si="234"/>
        <v>EventStory.sibiurobot_1.attack01</v>
      </c>
      <c r="M329" s="14" t="str">
        <f t="shared" si="234"/>
        <v>EventStory.sibiurobot_1.attack02</v>
      </c>
      <c r="N329" s="14" t="str">
        <f t="shared" si="234"/>
        <v/>
      </c>
      <c r="O329" s="178" t="str">
        <f t="shared" si="234"/>
        <v>EventStory.sibiurobot_1.skill01</v>
      </c>
      <c r="P329" s="14" t="str">
        <f t="shared" si="234"/>
        <v>EventStory.sibiurobot_1.passive01</v>
      </c>
      <c r="Q329" s="14" t="str">
        <f t="shared" si="234"/>
        <v/>
      </c>
      <c r="R329" s="14" t="str">
        <f t="shared" si="234"/>
        <v/>
      </c>
      <c r="S329" s="14" t="str">
        <f t="shared" si="234"/>
        <v/>
      </c>
      <c r="T329" s="14" t="str">
        <f t="shared" si="234"/>
        <v/>
      </c>
      <c r="U329" s="14" t="str">
        <f t="shared" si="234"/>
        <v/>
      </c>
      <c r="V329" s="14" t="b">
        <f t="shared" si="234"/>
        <v>0</v>
      </c>
      <c r="W329" s="14" t="str">
        <f t="shared" si="234"/>
        <v>Character/Prefabs/m_boss_ranger_sibiurobot_1</v>
      </c>
      <c r="X329" s="14" t="str">
        <f t="shared" si="234"/>
        <v/>
      </c>
      <c r="Y329" s="14" t="str">
        <f t="shared" si="234"/>
        <v>m_boss_ranger_sibiurobot_1</v>
      </c>
      <c r="Z329" s="14" t="str">
        <f t="shared" si="234"/>
        <v/>
      </c>
      <c r="AA329" s="14" t="str">
        <f t="shared" si="234"/>
        <v/>
      </c>
      <c r="AB329" s="14" t="str">
        <f t="shared" si="234"/>
        <v/>
      </c>
      <c r="AC329" s="94">
        <f t="shared" si="234"/>
        <v>1</v>
      </c>
      <c r="AD329" s="14" t="str">
        <f t="shared" si="234"/>
        <v/>
      </c>
      <c r="AE329" s="14" t="str">
        <f t="shared" si="234"/>
        <v/>
      </c>
      <c r="AF329" s="14" t="str">
        <f t="shared" si="234"/>
        <v/>
      </c>
      <c r="AG329" s="173" t="s">
        <v>2762</v>
      </c>
    </row>
    <row r="330" spans="1:33" x14ac:dyDescent="0.3">
      <c r="A330" s="14">
        <f t="shared" si="226"/>
        <v>1311601306</v>
      </c>
      <c r="B330" s="14" t="str">
        <f t="shared" ref="B330:AF330" si="235">IF(B219 &lt;&gt; "", B219, "")</f>
        <v>EventStory</v>
      </c>
      <c r="C330" s="14" t="str">
        <f t="shared" si="235"/>
        <v>드론네스트</v>
      </c>
      <c r="D330" s="14" t="str">
        <f t="shared" si="235"/>
        <v>Monster.Name.dronenest_1</v>
      </c>
      <c r="E330" s="14" t="str">
        <f t="shared" si="235"/>
        <v>None</v>
      </c>
      <c r="F330" s="14" t="str">
        <f t="shared" si="235"/>
        <v>Fac_nul_ind</v>
      </c>
      <c r="G330" s="14" t="str">
        <f t="shared" si="235"/>
        <v>TRUE</v>
      </c>
      <c r="H330" s="14" t="b">
        <f t="shared" si="235"/>
        <v>1</v>
      </c>
      <c r="I330" s="14" t="b">
        <f t="shared" si="235"/>
        <v>1</v>
      </c>
      <c r="J330" s="14">
        <f t="shared" si="235"/>
        <v>20</v>
      </c>
      <c r="K330" s="14">
        <f t="shared" si="235"/>
        <v>10</v>
      </c>
      <c r="L330" s="14" t="str">
        <f t="shared" si="235"/>
        <v>EventStory.dronenest_1.attack01</v>
      </c>
      <c r="M330" s="14" t="str">
        <f t="shared" si="235"/>
        <v>EventStory.dronenest_1.attack02</v>
      </c>
      <c r="N330" s="14" t="str">
        <f t="shared" si="235"/>
        <v/>
      </c>
      <c r="O330" s="178" t="str">
        <f t="shared" si="235"/>
        <v>EventStory.dronenest_1.skill01</v>
      </c>
      <c r="P330" s="14" t="str">
        <f t="shared" si="235"/>
        <v/>
      </c>
      <c r="Q330" s="14" t="str">
        <f t="shared" si="235"/>
        <v/>
      </c>
      <c r="R330" s="14" t="str">
        <f t="shared" si="235"/>
        <v/>
      </c>
      <c r="S330" s="14" t="str">
        <f t="shared" si="235"/>
        <v/>
      </c>
      <c r="T330" s="14" t="str">
        <f t="shared" si="235"/>
        <v/>
      </c>
      <c r="U330" s="14" t="str">
        <f t="shared" si="235"/>
        <v/>
      </c>
      <c r="V330" s="14" t="b">
        <f t="shared" si="235"/>
        <v>0</v>
      </c>
      <c r="W330" s="14" t="str">
        <f t="shared" si="235"/>
        <v>Character/Prefabs/m_boss_supporter_dronenest_1</v>
      </c>
      <c r="X330" s="14" t="str">
        <f t="shared" si="235"/>
        <v/>
      </c>
      <c r="Y330" s="14" t="str">
        <f t="shared" si="235"/>
        <v>m_boss_supporter_dronenest_1</v>
      </c>
      <c r="Z330" s="14" t="str">
        <f t="shared" si="235"/>
        <v/>
      </c>
      <c r="AA330" s="14" t="str">
        <f t="shared" si="235"/>
        <v/>
      </c>
      <c r="AB330" s="14" t="str">
        <f t="shared" si="235"/>
        <v/>
      </c>
      <c r="AC330" s="94">
        <f t="shared" si="235"/>
        <v>0.8</v>
      </c>
      <c r="AD330" s="14" t="str">
        <f t="shared" si="235"/>
        <v/>
      </c>
      <c r="AE330" s="14" t="str">
        <f t="shared" si="235"/>
        <v/>
      </c>
      <c r="AF330" s="14" t="str">
        <f t="shared" si="235"/>
        <v/>
      </c>
      <c r="AG330" s="173" t="s">
        <v>2106</v>
      </c>
    </row>
    <row r="331" spans="1:33" x14ac:dyDescent="0.3">
      <c r="A331" s="14">
        <f t="shared" si="226"/>
        <v>1311601307</v>
      </c>
      <c r="B331" s="14" t="str">
        <f t="shared" ref="B331:AF331" si="236">IF(B220 &lt;&gt; "", B220, "")</f>
        <v>EventStory</v>
      </c>
      <c r="C331" s="14" t="str">
        <f t="shared" si="236"/>
        <v>드론네스트_소환</v>
      </c>
      <c r="D331" s="14" t="str">
        <f t="shared" si="236"/>
        <v>Monster.Name.Interceptor_1</v>
      </c>
      <c r="E331" s="14" t="str">
        <f t="shared" si="236"/>
        <v>None</v>
      </c>
      <c r="F331" s="14" t="str">
        <f t="shared" si="236"/>
        <v>Fac_nul_ind</v>
      </c>
      <c r="G331" s="14" t="str">
        <f t="shared" si="236"/>
        <v>TRUE</v>
      </c>
      <c r="H331" s="14" t="b">
        <f t="shared" si="236"/>
        <v>0</v>
      </c>
      <c r="I331" s="14" t="b">
        <f t="shared" si="236"/>
        <v>0</v>
      </c>
      <c r="J331" s="14">
        <f t="shared" si="236"/>
        <v>10</v>
      </c>
      <c r="K331" s="14">
        <f t="shared" si="236"/>
        <v>10</v>
      </c>
      <c r="L331" s="14" t="str">
        <f t="shared" si="236"/>
        <v>EventStory.Interceptor_1.attack01</v>
      </c>
      <c r="M331" s="14" t="str">
        <f t="shared" si="236"/>
        <v/>
      </c>
      <c r="N331" s="14" t="str">
        <f t="shared" si="236"/>
        <v/>
      </c>
      <c r="O331" s="178" t="str">
        <f t="shared" si="236"/>
        <v/>
      </c>
      <c r="P331" s="14" t="str">
        <f t="shared" si="236"/>
        <v/>
      </c>
      <c r="Q331" s="14" t="str">
        <f t="shared" si="236"/>
        <v/>
      </c>
      <c r="R331" s="14" t="str">
        <f t="shared" si="236"/>
        <v/>
      </c>
      <c r="S331" s="14" t="str">
        <f t="shared" si="236"/>
        <v/>
      </c>
      <c r="T331" s="14" t="str">
        <f t="shared" si="236"/>
        <v/>
      </c>
      <c r="U331" s="14" t="str">
        <f t="shared" si="236"/>
        <v/>
      </c>
      <c r="V331" s="14" t="b">
        <f t="shared" si="236"/>
        <v>0</v>
      </c>
      <c r="W331" s="14" t="str">
        <f t="shared" si="236"/>
        <v>Character/Prefabs/m_s_ranger_interceptor_1</v>
      </c>
      <c r="X331" s="14" t="str">
        <f t="shared" si="236"/>
        <v/>
      </c>
      <c r="Y331" s="14" t="str">
        <f t="shared" si="236"/>
        <v>m_s_ranger_interceptor_1</v>
      </c>
      <c r="Z331" s="14" t="str">
        <f t="shared" si="236"/>
        <v/>
      </c>
      <c r="AA331" s="14" t="str">
        <f t="shared" si="236"/>
        <v/>
      </c>
      <c r="AB331" s="14" t="str">
        <f t="shared" si="236"/>
        <v/>
      </c>
      <c r="AC331" s="94">
        <f t="shared" si="236"/>
        <v>1</v>
      </c>
      <c r="AD331" s="14" t="str">
        <f t="shared" si="236"/>
        <v/>
      </c>
      <c r="AE331" s="14" t="str">
        <f t="shared" si="236"/>
        <v/>
      </c>
      <c r="AF331" s="14" t="str">
        <f t="shared" si="236"/>
        <v/>
      </c>
      <c r="AG331" s="173" t="s">
        <v>2106</v>
      </c>
    </row>
    <row r="332" spans="1:33" x14ac:dyDescent="0.3">
      <c r="A332" s="14">
        <f t="shared" si="226"/>
        <v>1311601308</v>
      </c>
      <c r="B332" s="14" t="str">
        <f t="shared" ref="B332:AF332" si="237">IF(B221 &lt;&gt; "", B221, "")</f>
        <v>EventStory</v>
      </c>
      <c r="C332" s="14" t="str">
        <f t="shared" si="237"/>
        <v>아이라스(졸)</v>
      </c>
      <c r="D332" s="14" t="str">
        <f t="shared" si="237"/>
        <v>Monster.Name.mechakanata_1</v>
      </c>
      <c r="E332" s="14" t="str">
        <f t="shared" si="237"/>
        <v>Attacker</v>
      </c>
      <c r="F332" s="14" t="str">
        <f t="shared" si="237"/>
        <v>Fac_art_app</v>
      </c>
      <c r="G332" s="14" t="str">
        <f t="shared" si="237"/>
        <v>TRUE</v>
      </c>
      <c r="H332" s="14" t="b">
        <f t="shared" si="237"/>
        <v>0</v>
      </c>
      <c r="I332" s="14" t="b">
        <f t="shared" si="237"/>
        <v>0</v>
      </c>
      <c r="J332" s="14">
        <f t="shared" si="237"/>
        <v>10</v>
      </c>
      <c r="K332" s="14">
        <f t="shared" si="237"/>
        <v>10</v>
      </c>
      <c r="L332" s="14" t="str">
        <f t="shared" si="237"/>
        <v>iras.attack1</v>
      </c>
      <c r="M332" s="14" t="str">
        <f t="shared" si="237"/>
        <v>iras.attack2</v>
      </c>
      <c r="N332" s="14" t="str">
        <f t="shared" si="237"/>
        <v>iras.attack3</v>
      </c>
      <c r="O332" s="178" t="str">
        <f t="shared" si="237"/>
        <v>iras.active1</v>
      </c>
      <c r="P332" s="14" t="str">
        <f t="shared" si="237"/>
        <v>iras.active2</v>
      </c>
      <c r="Q332" s="14" t="str">
        <f t="shared" si="237"/>
        <v>iras.passive</v>
      </c>
      <c r="R332" s="14" t="str">
        <f t="shared" si="237"/>
        <v>109.Academy.01</v>
      </c>
      <c r="S332" s="14" t="str">
        <f t="shared" si="237"/>
        <v/>
      </c>
      <c r="T332" s="14" t="str">
        <f t="shared" si="237"/>
        <v>iras.ult</v>
      </c>
      <c r="U332" s="14" t="str">
        <f t="shared" si="237"/>
        <v>iras.ult</v>
      </c>
      <c r="V332" s="14" t="b">
        <f t="shared" si="237"/>
        <v>1</v>
      </c>
      <c r="W332" s="14" t="str">
        <f t="shared" si="237"/>
        <v>Character/Prefabs/m_attacker_iras_enemy_1</v>
      </c>
      <c r="X332" s="14" t="str">
        <f t="shared" si="237"/>
        <v/>
      </c>
      <c r="Y332" s="14" t="str">
        <f t="shared" si="237"/>
        <v>character_iras_01</v>
      </c>
      <c r="Z332" s="14" t="str">
        <f t="shared" si="237"/>
        <v>Character/Timeline/01_CHA/ult_c_attacker_iras_1</v>
      </c>
      <c r="AA332" s="14" t="str">
        <f t="shared" si="237"/>
        <v>Character/Timeline/01_CHA/victory_c_attacker_iras_1</v>
      </c>
      <c r="AB332" s="14" t="str">
        <f t="shared" si="237"/>
        <v/>
      </c>
      <c r="AC332" s="94">
        <f t="shared" si="237"/>
        <v>0.7</v>
      </c>
      <c r="AD332" s="14" t="str">
        <f t="shared" si="237"/>
        <v/>
      </c>
      <c r="AE332" s="14" t="str">
        <f t="shared" si="237"/>
        <v/>
      </c>
      <c r="AF332" s="14" t="str">
        <f t="shared" si="237"/>
        <v/>
      </c>
      <c r="AG332" s="173" t="s">
        <v>2106</v>
      </c>
    </row>
    <row r="333" spans="1:33" x14ac:dyDescent="0.3">
      <c r="A333" s="14">
        <f t="shared" ref="A333" si="238">A222+100000000</f>
        <v>1311601309</v>
      </c>
      <c r="B333" s="14" t="str">
        <f t="shared" ref="B333:AF333" si="239">IF(B222 &lt;&gt; "", B222, "")</f>
        <v>EventStory</v>
      </c>
      <c r="C333" s="14" t="str">
        <f t="shared" si="239"/>
        <v>메카카나타</v>
      </c>
      <c r="D333" s="14" t="str">
        <f t="shared" si="239"/>
        <v>Monster.Name.mechakanata_1</v>
      </c>
      <c r="E333" s="14" t="str">
        <f t="shared" si="239"/>
        <v>None</v>
      </c>
      <c r="F333" s="14" t="str">
        <f t="shared" si="239"/>
        <v>Fac_nul_ind</v>
      </c>
      <c r="G333" s="14" t="str">
        <f t="shared" si="239"/>
        <v>TRUE</v>
      </c>
      <c r="H333" s="14" t="b">
        <f t="shared" si="239"/>
        <v>1</v>
      </c>
      <c r="I333" s="14" t="b">
        <f t="shared" si="239"/>
        <v>1</v>
      </c>
      <c r="J333" s="14">
        <f t="shared" si="239"/>
        <v>10</v>
      </c>
      <c r="K333" s="14">
        <f t="shared" si="239"/>
        <v>10</v>
      </c>
      <c r="L333" s="14" t="str">
        <f t="shared" si="239"/>
        <v>EventStory.mechakanata_1.attack01</v>
      </c>
      <c r="M333" s="14" t="str">
        <f t="shared" si="239"/>
        <v>EventStory.mechakanata_1.attack02</v>
      </c>
      <c r="N333" s="14" t="str">
        <f t="shared" si="239"/>
        <v>EventStory.mechakanata_1.attack03</v>
      </c>
      <c r="O333" s="178" t="str">
        <f t="shared" si="239"/>
        <v>EventStory.mechakanata_1.skill01</v>
      </c>
      <c r="P333" s="14" t="str">
        <f t="shared" si="239"/>
        <v/>
      </c>
      <c r="Q333" s="14" t="str">
        <f t="shared" si="239"/>
        <v/>
      </c>
      <c r="R333" s="14" t="str">
        <f t="shared" si="239"/>
        <v/>
      </c>
      <c r="S333" s="14" t="str">
        <f t="shared" si="239"/>
        <v/>
      </c>
      <c r="T333" s="14" t="str">
        <f t="shared" si="239"/>
        <v/>
      </c>
      <c r="U333" s="14" t="str">
        <f t="shared" si="239"/>
        <v/>
      </c>
      <c r="V333" s="14" t="b">
        <f t="shared" si="239"/>
        <v>0</v>
      </c>
      <c r="W333" s="14" t="str">
        <f t="shared" si="239"/>
        <v>Character/Prefabs/m_m_attacker_mechakanata_1</v>
      </c>
      <c r="X333" s="14" t="str">
        <f t="shared" si="239"/>
        <v/>
      </c>
      <c r="Y333" s="14" t="str">
        <f t="shared" si="239"/>
        <v>m_m_attacker_mechakanata_1</v>
      </c>
      <c r="Z333" s="14" t="str">
        <f t="shared" si="239"/>
        <v/>
      </c>
      <c r="AA333" s="14" t="str">
        <f t="shared" si="239"/>
        <v/>
      </c>
      <c r="AB333" s="14" t="str">
        <f t="shared" si="239"/>
        <v/>
      </c>
      <c r="AC333" s="94">
        <f t="shared" si="239"/>
        <v>1</v>
      </c>
      <c r="AD333" s="14" t="str">
        <f t="shared" si="239"/>
        <v/>
      </c>
      <c r="AE333" s="14" t="str">
        <f t="shared" si="239"/>
        <v/>
      </c>
      <c r="AF333" s="14" t="str">
        <f t="shared" si="239"/>
        <v/>
      </c>
      <c r="AG333" s="173" t="s">
        <v>2106</v>
      </c>
    </row>
    <row r="334" spans="1:33" x14ac:dyDescent="0.3">
      <c r="A334" s="43">
        <v>1311501001</v>
      </c>
      <c r="B334" s="43" t="s">
        <v>3976</v>
      </c>
      <c r="C334" s="43" t="s">
        <v>1861</v>
      </c>
      <c r="D334" s="43" t="s">
        <v>3977</v>
      </c>
      <c r="E334" s="43" t="s">
        <v>58</v>
      </c>
      <c r="F334" s="43" t="s">
        <v>44</v>
      </c>
      <c r="G334" s="43" t="s">
        <v>45</v>
      </c>
      <c r="H334" s="43" t="b">
        <v>1</v>
      </c>
      <c r="I334" s="43" t="b">
        <v>1</v>
      </c>
      <c r="J334" s="43">
        <v>10</v>
      </c>
      <c r="K334" s="43">
        <v>10</v>
      </c>
      <c r="L334" s="43" t="s">
        <v>3983</v>
      </c>
      <c r="M334" s="43"/>
      <c r="N334" s="43"/>
      <c r="O334" s="176" t="s">
        <v>3984</v>
      </c>
      <c r="P334" s="43" t="s">
        <v>3985</v>
      </c>
      <c r="Q334" s="43" t="s">
        <v>3986</v>
      </c>
      <c r="R334" s="43" t="s">
        <v>3991</v>
      </c>
      <c r="S334" s="43" t="s">
        <v>76</v>
      </c>
      <c r="T334" s="43"/>
      <c r="U334" s="43"/>
      <c r="V334" s="43" t="b">
        <v>0</v>
      </c>
      <c r="W334" s="43" t="s">
        <v>3978</v>
      </c>
      <c r="X334" s="43"/>
      <c r="Y334" s="43" t="s">
        <v>3979</v>
      </c>
      <c r="Z334" s="43"/>
      <c r="AA334" s="43"/>
      <c r="AB334" s="43"/>
      <c r="AC334" s="181">
        <v>1.3</v>
      </c>
      <c r="AD334" s="43"/>
      <c r="AE334" s="43" t="s">
        <v>80</v>
      </c>
      <c r="AF334" s="43" t="s">
        <v>81</v>
      </c>
      <c r="AG334" s="182" t="s">
        <v>2106</v>
      </c>
    </row>
    <row r="335" spans="1:33" x14ac:dyDescent="0.3">
      <c r="A335" s="43">
        <v>1311501002</v>
      </c>
      <c r="B335" s="43" t="s">
        <v>3976</v>
      </c>
      <c r="C335" s="43" t="s">
        <v>1863</v>
      </c>
      <c r="D335" s="43" t="s">
        <v>3980</v>
      </c>
      <c r="E335" s="43" t="s">
        <v>47</v>
      </c>
      <c r="F335" s="43" t="s">
        <v>44</v>
      </c>
      <c r="G335" s="43" t="s">
        <v>45</v>
      </c>
      <c r="H335" s="43" t="b">
        <v>1</v>
      </c>
      <c r="I335" s="43" t="b">
        <v>1</v>
      </c>
      <c r="J335" s="43">
        <v>20</v>
      </c>
      <c r="K335" s="43">
        <v>10</v>
      </c>
      <c r="L335" s="43" t="s">
        <v>3992</v>
      </c>
      <c r="M335" s="43"/>
      <c r="N335" s="43"/>
      <c r="O335" s="176" t="s">
        <v>3987</v>
      </c>
      <c r="P335" s="43" t="s">
        <v>3988</v>
      </c>
      <c r="Q335" s="43" t="s">
        <v>3989</v>
      </c>
      <c r="R335" s="43" t="s">
        <v>3990</v>
      </c>
      <c r="S335" s="43" t="s">
        <v>76</v>
      </c>
      <c r="T335" s="43"/>
      <c r="U335" s="43"/>
      <c r="V335" s="43" t="b">
        <v>0</v>
      </c>
      <c r="W335" s="43" t="s">
        <v>3981</v>
      </c>
      <c r="X335" s="43"/>
      <c r="Y335" s="43" t="s">
        <v>3982</v>
      </c>
      <c r="Z335" s="43"/>
      <c r="AA335" s="43"/>
      <c r="AB335" s="43"/>
      <c r="AC335" s="181">
        <v>0.9</v>
      </c>
      <c r="AD335" s="43"/>
      <c r="AE335" s="43" t="s">
        <v>103</v>
      </c>
      <c r="AF335" s="43" t="s">
        <v>104</v>
      </c>
      <c r="AG335" s="182" t="s">
        <v>2106</v>
      </c>
    </row>
    <row r="336" spans="1:33" x14ac:dyDescent="0.3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78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94"/>
      <c r="AD336" s="14"/>
      <c r="AE336" s="14"/>
      <c r="AF336" s="14"/>
      <c r="AG336" s="173"/>
    </row>
    <row r="337" spans="1:33" x14ac:dyDescent="0.3">
      <c r="A337" s="22">
        <f t="shared" ref="A337:A368" si="240">A226+100000000</f>
        <v>1410601001</v>
      </c>
      <c r="B337" s="22" t="str">
        <f t="shared" ref="B337:AF337" si="241">IF(B226 &lt;&gt; "", B226, "")</f>
        <v>WorldRaid</v>
      </c>
      <c r="C337" s="22" t="str">
        <f t="shared" si="241"/>
        <v>에페리우스</v>
      </c>
      <c r="D337" s="22" t="str">
        <f t="shared" si="241"/>
        <v>Monster.Name.eperiusunit_1</v>
      </c>
      <c r="E337" s="22" t="str">
        <f t="shared" si="241"/>
        <v>None</v>
      </c>
      <c r="F337" s="53" t="str">
        <f t="shared" si="241"/>
        <v>Fac_nul_ind</v>
      </c>
      <c r="G337" s="22" t="str">
        <f t="shared" si="241"/>
        <v>TRUE</v>
      </c>
      <c r="H337" s="22" t="b">
        <f t="shared" si="241"/>
        <v>1</v>
      </c>
      <c r="I337" s="22" t="b">
        <f t="shared" si="241"/>
        <v>1</v>
      </c>
      <c r="J337" s="22">
        <f t="shared" si="241"/>
        <v>40</v>
      </c>
      <c r="K337" s="22">
        <f t="shared" si="241"/>
        <v>10</v>
      </c>
      <c r="L337" s="22" t="str">
        <f t="shared" si="241"/>
        <v>WorldRaid.eperiusunit_1.attack01</v>
      </c>
      <c r="M337" s="22" t="str">
        <f t="shared" si="241"/>
        <v>WorldRaid.eperiusunit_1.attack02</v>
      </c>
      <c r="N337" s="22" t="str">
        <f t="shared" si="241"/>
        <v>WorldRaid.eperiusunit_1.attack03</v>
      </c>
      <c r="O337" s="172" t="str">
        <f t="shared" si="241"/>
        <v>WorldRaid.eperiusunit_1.skill01</v>
      </c>
      <c r="P337" s="54" t="str">
        <f t="shared" si="241"/>
        <v>WorldRaid.eperiusunit_1.skill02</v>
      </c>
      <c r="Q337" s="54" t="str">
        <f t="shared" si="241"/>
        <v>WorldRaid.eperiusunit_1.skill03</v>
      </c>
      <c r="R337" s="54" t="str">
        <f t="shared" si="241"/>
        <v>WorldRaid.eperiusunit_1.skill04</v>
      </c>
      <c r="S337" s="54" t="str">
        <f t="shared" si="241"/>
        <v>WorldRaid.eperiusunit_1.passive01</v>
      </c>
      <c r="T337" s="54" t="str">
        <f t="shared" si="241"/>
        <v/>
      </c>
      <c r="U337" s="54" t="str">
        <f t="shared" si="241"/>
        <v/>
      </c>
      <c r="V337" s="22" t="b">
        <f t="shared" si="241"/>
        <v>0</v>
      </c>
      <c r="W337" s="22" t="str">
        <f t="shared" si="241"/>
        <v>Character/Prefabs/m_boss_ranger_eperiusunit_1</v>
      </c>
      <c r="X337" s="22" t="str">
        <f t="shared" si="241"/>
        <v/>
      </c>
      <c r="Y337" s="22" t="str">
        <f t="shared" si="241"/>
        <v>m_boss_ranger_eperiusunit_1</v>
      </c>
      <c r="Z337" s="22" t="str">
        <f t="shared" si="241"/>
        <v/>
      </c>
      <c r="AA337" s="22" t="str">
        <f t="shared" si="241"/>
        <v/>
      </c>
      <c r="AB337" s="22" t="str">
        <f t="shared" si="241"/>
        <v>Die_machine</v>
      </c>
      <c r="AC337" s="95">
        <f t="shared" si="241"/>
        <v>1.4</v>
      </c>
      <c r="AD337" s="22" t="str">
        <f t="shared" si="241"/>
        <v/>
      </c>
      <c r="AE337" s="22" t="str">
        <f t="shared" si="241"/>
        <v>Character/Timeline/02_MON/eperiusunit_1/appearance</v>
      </c>
      <c r="AF337" s="22" t="str">
        <f t="shared" si="241"/>
        <v>Character/Timeline/02_MON/eperiusunit_1/die</v>
      </c>
      <c r="AG337" s="173" t="s">
        <v>2763</v>
      </c>
    </row>
    <row r="338" spans="1:33" x14ac:dyDescent="0.3">
      <c r="A338" s="45">
        <f t="shared" si="240"/>
        <v>1411201001</v>
      </c>
      <c r="B338" s="45" t="str">
        <f t="shared" ref="B338:AF338" si="242">IF(B227 &lt;&gt; "", B227, "")</f>
        <v>GuildOperation01</v>
      </c>
      <c r="C338" s="45" t="str">
        <f t="shared" si="242"/>
        <v>톡식베리</v>
      </c>
      <c r="D338" s="45" t="str">
        <f t="shared" si="242"/>
        <v>Monster.Name.toxic_2</v>
      </c>
      <c r="E338" s="45" t="str">
        <f t="shared" si="242"/>
        <v>Attacker</v>
      </c>
      <c r="F338" s="46" t="str">
        <f t="shared" si="242"/>
        <v>Fac_nul_ind</v>
      </c>
      <c r="G338" s="45" t="str">
        <f t="shared" si="242"/>
        <v>TRUE</v>
      </c>
      <c r="H338" s="45" t="b">
        <f t="shared" si="242"/>
        <v>1</v>
      </c>
      <c r="I338" s="45" t="b">
        <f t="shared" si="242"/>
        <v>1</v>
      </c>
      <c r="J338" s="45">
        <f t="shared" si="242"/>
        <v>30</v>
      </c>
      <c r="K338" s="45">
        <f t="shared" si="242"/>
        <v>10</v>
      </c>
      <c r="L338" s="45" t="str">
        <f t="shared" si="242"/>
        <v>GuildOperation01.toxic_2.attack01</v>
      </c>
      <c r="M338" s="45" t="str">
        <f t="shared" si="242"/>
        <v>GuildOperation01.toxic_2.attack02</v>
      </c>
      <c r="N338" s="45" t="str">
        <f t="shared" si="242"/>
        <v/>
      </c>
      <c r="O338" s="174" t="str">
        <f t="shared" si="242"/>
        <v>GuildOperation01.toxic_2.skill01</v>
      </c>
      <c r="P338" s="47" t="str">
        <f t="shared" si="242"/>
        <v>GuildOperation01.toxic_2.skill02</v>
      </c>
      <c r="Q338" s="47" t="str">
        <f t="shared" si="242"/>
        <v>GuildOperation01.toxic_2.skill03</v>
      </c>
      <c r="R338" s="47" t="str">
        <f t="shared" si="242"/>
        <v>GuildOperation.Normal</v>
      </c>
      <c r="S338" s="47" t="str">
        <f t="shared" si="242"/>
        <v/>
      </c>
      <c r="T338" s="47" t="str">
        <f t="shared" si="242"/>
        <v/>
      </c>
      <c r="U338" s="47" t="str">
        <f t="shared" si="242"/>
        <v/>
      </c>
      <c r="V338" s="45" t="b">
        <f t="shared" si="242"/>
        <v>0</v>
      </c>
      <c r="W338" s="45" t="str">
        <f t="shared" si="242"/>
        <v>Character/Prefabs/m_boss_attacker_toxic_2</v>
      </c>
      <c r="X338" s="45" t="str">
        <f t="shared" si="242"/>
        <v/>
      </c>
      <c r="Y338" s="45" t="str">
        <f t="shared" si="242"/>
        <v>m_boss_attacker_toxic_2</v>
      </c>
      <c r="Z338" s="45" t="str">
        <f t="shared" si="242"/>
        <v/>
      </c>
      <c r="AA338" s="45" t="str">
        <f t="shared" si="242"/>
        <v/>
      </c>
      <c r="AB338" s="45" t="str">
        <f t="shared" si="242"/>
        <v>Die_machine</v>
      </c>
      <c r="AC338" s="93">
        <f t="shared" si="242"/>
        <v>1.2</v>
      </c>
      <c r="AD338" s="45" t="str">
        <f t="shared" si="242"/>
        <v/>
      </c>
      <c r="AE338" s="45" t="str">
        <f t="shared" si="242"/>
        <v>Character/Timeline/02_MON/toxic_1/m_boss_attacker_toxic_2_appearance</v>
      </c>
      <c r="AF338" s="45" t="str">
        <f t="shared" si="242"/>
        <v/>
      </c>
      <c r="AG338" s="173" t="s">
        <v>2763</v>
      </c>
    </row>
    <row r="339" spans="1:33" x14ac:dyDescent="0.3">
      <c r="A339" s="45">
        <f t="shared" si="240"/>
        <v>1411202001</v>
      </c>
      <c r="B339" s="45" t="str">
        <f t="shared" ref="B339:AF339" si="243">IF(B228 &lt;&gt; "", B228, "")</f>
        <v>GuildOperation02</v>
      </c>
      <c r="C339" s="45" t="str">
        <f t="shared" si="243"/>
        <v>골리앗베리</v>
      </c>
      <c r="D339" s="45" t="str">
        <f t="shared" si="243"/>
        <v>Monster.Name.goliath_2</v>
      </c>
      <c r="E339" s="45" t="str">
        <f t="shared" si="243"/>
        <v>Tanker</v>
      </c>
      <c r="F339" s="46" t="str">
        <f t="shared" si="243"/>
        <v>Fac_nul_ind</v>
      </c>
      <c r="G339" s="45" t="str">
        <f t="shared" si="243"/>
        <v>TRUE</v>
      </c>
      <c r="H339" s="45" t="b">
        <f t="shared" si="243"/>
        <v>1</v>
      </c>
      <c r="I339" s="45" t="b">
        <f t="shared" si="243"/>
        <v>1</v>
      </c>
      <c r="J339" s="45">
        <f t="shared" si="243"/>
        <v>20</v>
      </c>
      <c r="K339" s="45">
        <f t="shared" si="243"/>
        <v>10</v>
      </c>
      <c r="L339" s="45" t="str">
        <f t="shared" si="243"/>
        <v>GuildOperation02.goliath_2.attack01</v>
      </c>
      <c r="M339" s="45" t="str">
        <f t="shared" si="243"/>
        <v/>
      </c>
      <c r="N339" s="45" t="str">
        <f t="shared" si="243"/>
        <v/>
      </c>
      <c r="O339" s="174" t="str">
        <f t="shared" si="243"/>
        <v>GuildOperation02.goliath_2.skill01</v>
      </c>
      <c r="P339" s="47" t="str">
        <f t="shared" si="243"/>
        <v>GuildOperation02.goliath_2.skill02</v>
      </c>
      <c r="Q339" s="47" t="str">
        <f t="shared" si="243"/>
        <v>GuildOperation02.goliath_2.skill03</v>
      </c>
      <c r="R339" s="47" t="str">
        <f t="shared" si="243"/>
        <v>GuildOperation02.goliath_2.passive01</v>
      </c>
      <c r="S339" s="47" t="str">
        <f t="shared" si="243"/>
        <v>GuildOperation.Hard</v>
      </c>
      <c r="T339" s="47" t="str">
        <f t="shared" si="243"/>
        <v/>
      </c>
      <c r="U339" s="47" t="str">
        <f t="shared" si="243"/>
        <v/>
      </c>
      <c r="V339" s="45" t="b">
        <f t="shared" si="243"/>
        <v>0</v>
      </c>
      <c r="W339" s="45" t="str">
        <f t="shared" si="243"/>
        <v>Character/Prefabs/m_boss_attacker_goliath_2</v>
      </c>
      <c r="X339" s="45" t="str">
        <f t="shared" si="243"/>
        <v/>
      </c>
      <c r="Y339" s="45" t="str">
        <f t="shared" si="243"/>
        <v>m_boss_attacker_goliath_2</v>
      </c>
      <c r="Z339" s="45" t="str">
        <f t="shared" si="243"/>
        <v/>
      </c>
      <c r="AA339" s="45" t="str">
        <f t="shared" si="243"/>
        <v/>
      </c>
      <c r="AB339" s="45" t="str">
        <f t="shared" si="243"/>
        <v>Die_machine</v>
      </c>
      <c r="AC339" s="93">
        <f t="shared" si="243"/>
        <v>2</v>
      </c>
      <c r="AD339" s="45" t="str">
        <f t="shared" si="243"/>
        <v/>
      </c>
      <c r="AE339" s="45" t="str">
        <f t="shared" si="243"/>
        <v>Character/Timeline/02_MON/goliath_2/m_boss_attacker_goliath_2@appearance</v>
      </c>
      <c r="AF339" s="45" t="str">
        <f t="shared" si="243"/>
        <v/>
      </c>
      <c r="AG339" s="173" t="s">
        <v>2763</v>
      </c>
    </row>
    <row r="340" spans="1:33" x14ac:dyDescent="0.3">
      <c r="A340" s="45">
        <f t="shared" si="240"/>
        <v>1411202002</v>
      </c>
      <c r="B340" s="45" t="str">
        <f t="shared" ref="B340:AF340" si="244">IF(B229 &lt;&gt; "", B229, "")</f>
        <v>GuildOperation02</v>
      </c>
      <c r="C340" s="45" t="str">
        <f t="shared" si="244"/>
        <v>골리앗베리</v>
      </c>
      <c r="D340" s="45" t="str">
        <f t="shared" si="244"/>
        <v>Monster.Name.goliath_2</v>
      </c>
      <c r="E340" s="45" t="str">
        <f t="shared" si="244"/>
        <v>Tanker</v>
      </c>
      <c r="F340" s="46" t="str">
        <f t="shared" si="244"/>
        <v>Fac_nul_ind</v>
      </c>
      <c r="G340" s="45" t="str">
        <f t="shared" si="244"/>
        <v>TRUE</v>
      </c>
      <c r="H340" s="45" t="b">
        <f t="shared" si="244"/>
        <v>0</v>
      </c>
      <c r="I340" s="45" t="b">
        <f t="shared" si="244"/>
        <v>0</v>
      </c>
      <c r="J340" s="45">
        <f t="shared" si="244"/>
        <v>10</v>
      </c>
      <c r="K340" s="45">
        <f t="shared" si="244"/>
        <v>10</v>
      </c>
      <c r="L340" s="45" t="str">
        <f t="shared" si="244"/>
        <v>GuildOperation02.mini_1.attack01</v>
      </c>
      <c r="M340" s="45" t="str">
        <f t="shared" si="244"/>
        <v/>
      </c>
      <c r="N340" s="45" t="str">
        <f t="shared" si="244"/>
        <v/>
      </c>
      <c r="O340" s="174" t="str">
        <f t="shared" si="244"/>
        <v>GuildOperation02.mini_1.passive01</v>
      </c>
      <c r="P340" s="47" t="str">
        <f t="shared" si="244"/>
        <v/>
      </c>
      <c r="Q340" s="47" t="str">
        <f t="shared" si="244"/>
        <v/>
      </c>
      <c r="R340" s="47" t="str">
        <f t="shared" si="244"/>
        <v/>
      </c>
      <c r="S340" s="47" t="str">
        <f t="shared" si="244"/>
        <v/>
      </c>
      <c r="T340" s="47" t="str">
        <f t="shared" si="244"/>
        <v/>
      </c>
      <c r="U340" s="47" t="str">
        <f t="shared" si="244"/>
        <v/>
      </c>
      <c r="V340" s="45" t="b">
        <f t="shared" si="244"/>
        <v>0</v>
      </c>
      <c r="W340" s="45" t="str">
        <f t="shared" si="244"/>
        <v>Character/Prefabs/m_boss_attacker_goliath_2</v>
      </c>
      <c r="X340" s="45" t="str">
        <f t="shared" si="244"/>
        <v/>
      </c>
      <c r="Y340" s="45" t="str">
        <f t="shared" si="244"/>
        <v>m_boss_attacker_goliath_2</v>
      </c>
      <c r="Z340" s="45" t="str">
        <f t="shared" si="244"/>
        <v/>
      </c>
      <c r="AA340" s="45" t="str">
        <f t="shared" si="244"/>
        <v/>
      </c>
      <c r="AB340" s="45" t="str">
        <f t="shared" si="244"/>
        <v>Die_machine</v>
      </c>
      <c r="AC340" s="93">
        <f t="shared" si="244"/>
        <v>0.5</v>
      </c>
      <c r="AD340" s="45" t="str">
        <f t="shared" si="244"/>
        <v/>
      </c>
      <c r="AE340" s="45" t="str">
        <f t="shared" si="244"/>
        <v/>
      </c>
      <c r="AF340" s="45" t="str">
        <f t="shared" si="244"/>
        <v/>
      </c>
      <c r="AG340" s="173" t="s">
        <v>2763</v>
      </c>
    </row>
    <row r="341" spans="1:33" x14ac:dyDescent="0.3">
      <c r="A341" s="108">
        <f t="shared" si="240"/>
        <v>1411401001</v>
      </c>
      <c r="B341" s="108" t="str">
        <f t="shared" ref="B341:AF341" si="245">IF(B230 &lt;&gt; "", B230, "")</f>
        <v>GuildAssault</v>
      </c>
      <c r="C341" s="108" t="str">
        <f t="shared" si="245"/>
        <v>마리오네</v>
      </c>
      <c r="D341" s="108" t="str">
        <f t="shared" si="245"/>
        <v>Monster.Name.marionne_1</v>
      </c>
      <c r="E341" s="108" t="str">
        <f t="shared" si="245"/>
        <v>None</v>
      </c>
      <c r="F341" s="109" t="str">
        <f t="shared" si="245"/>
        <v>Fac_nul_ind</v>
      </c>
      <c r="G341" s="108" t="str">
        <f t="shared" si="245"/>
        <v>TRUE</v>
      </c>
      <c r="H341" s="108" t="b">
        <f t="shared" si="245"/>
        <v>1</v>
      </c>
      <c r="I341" s="108" t="b">
        <f t="shared" si="245"/>
        <v>1</v>
      </c>
      <c r="J341" s="108">
        <f t="shared" si="245"/>
        <v>10</v>
      </c>
      <c r="K341" s="108">
        <f t="shared" si="245"/>
        <v>10</v>
      </c>
      <c r="L341" s="108" t="str">
        <f t="shared" si="245"/>
        <v>1111401001.attack01</v>
      </c>
      <c r="M341" s="108" t="str">
        <f t="shared" si="245"/>
        <v>1111401001.attack02</v>
      </c>
      <c r="N341" s="108" t="str">
        <f t="shared" si="245"/>
        <v>1111401001.attack03</v>
      </c>
      <c r="O341" s="175" t="str">
        <f t="shared" si="245"/>
        <v>1111401001.skill01</v>
      </c>
      <c r="P341" s="110" t="str">
        <f t="shared" si="245"/>
        <v>1111401001.skill02</v>
      </c>
      <c r="Q341" s="110" t="str">
        <f t="shared" si="245"/>
        <v>1111401001.skill03</v>
      </c>
      <c r="R341" s="110" t="str">
        <f t="shared" si="245"/>
        <v>1111401001.Passive</v>
      </c>
      <c r="S341" s="110" t="str">
        <f t="shared" si="245"/>
        <v>GuildAssault.Passive</v>
      </c>
      <c r="T341" s="110" t="str">
        <f t="shared" si="245"/>
        <v/>
      </c>
      <c r="U341" s="110" t="str">
        <f t="shared" si="245"/>
        <v/>
      </c>
      <c r="V341" s="108" t="b">
        <f t="shared" si="245"/>
        <v>0</v>
      </c>
      <c r="W341" s="108" t="str">
        <f t="shared" si="245"/>
        <v>Character/Prefabs/m_boss_ranger_marionne_1</v>
      </c>
      <c r="X341" s="108" t="str">
        <f t="shared" si="245"/>
        <v/>
      </c>
      <c r="Y341" s="108" t="str">
        <f t="shared" si="245"/>
        <v>m_boss_ranger_marionne_1</v>
      </c>
      <c r="Z341" s="108" t="str">
        <f t="shared" si="245"/>
        <v/>
      </c>
      <c r="AA341" s="108" t="str">
        <f t="shared" si="245"/>
        <v/>
      </c>
      <c r="AB341" s="108" t="str">
        <f t="shared" si="245"/>
        <v>Die_machine</v>
      </c>
      <c r="AC341" s="111">
        <f t="shared" si="245"/>
        <v>1</v>
      </c>
      <c r="AD341" s="108" t="str">
        <f t="shared" si="245"/>
        <v/>
      </c>
      <c r="AE341" s="108" t="str">
        <f t="shared" si="245"/>
        <v>Character/Timeline/02_MON/marionne/m_boss_ranger_marionne_1@enter_timeline</v>
      </c>
      <c r="AF341" s="108" t="str">
        <f t="shared" si="245"/>
        <v>Character/Timeline/02_MON/marionne/m_boss_ranger_marionne_1@die_timeline</v>
      </c>
      <c r="AG341" s="173" t="s">
        <v>2763</v>
      </c>
    </row>
    <row r="342" spans="1:33" x14ac:dyDescent="0.3">
      <c r="A342" s="108">
        <f t="shared" si="240"/>
        <v>1411401002</v>
      </c>
      <c r="B342" s="108" t="str">
        <f t="shared" ref="B342:AF342" si="246">IF(B231 &lt;&gt; "", B231, "")</f>
        <v>GuildAssault</v>
      </c>
      <c r="C342" s="108" t="str">
        <f t="shared" si="246"/>
        <v>마리오네_퍼펫</v>
      </c>
      <c r="D342" s="108" t="str">
        <f t="shared" si="246"/>
        <v>Monster.Name.marionne_puppet_1</v>
      </c>
      <c r="E342" s="108" t="str">
        <f t="shared" si="246"/>
        <v>Attacker</v>
      </c>
      <c r="F342" s="109" t="str">
        <f t="shared" si="246"/>
        <v>Fac_nul_ind</v>
      </c>
      <c r="G342" s="108" t="str">
        <f t="shared" si="246"/>
        <v>TRUE</v>
      </c>
      <c r="H342" s="108" t="b">
        <f t="shared" si="246"/>
        <v>0</v>
      </c>
      <c r="I342" s="108" t="b">
        <f t="shared" si="246"/>
        <v>0</v>
      </c>
      <c r="J342" s="108">
        <f t="shared" si="246"/>
        <v>10</v>
      </c>
      <c r="K342" s="108">
        <f t="shared" si="246"/>
        <v>10</v>
      </c>
      <c r="L342" s="108" t="str">
        <f t="shared" si="246"/>
        <v>1111401002.attack01</v>
      </c>
      <c r="M342" s="108" t="str">
        <f t="shared" si="246"/>
        <v/>
      </c>
      <c r="N342" s="108" t="str">
        <f t="shared" si="246"/>
        <v/>
      </c>
      <c r="O342" s="175" t="str">
        <f t="shared" si="246"/>
        <v>1111401002.Passive</v>
      </c>
      <c r="P342" s="110" t="str">
        <f t="shared" si="246"/>
        <v/>
      </c>
      <c r="Q342" s="110" t="str">
        <f t="shared" si="246"/>
        <v/>
      </c>
      <c r="R342" s="110" t="str">
        <f t="shared" si="246"/>
        <v/>
      </c>
      <c r="S342" s="110" t="str">
        <f t="shared" si="246"/>
        <v/>
      </c>
      <c r="T342" s="110" t="str">
        <f t="shared" si="246"/>
        <v/>
      </c>
      <c r="U342" s="110" t="str">
        <f t="shared" si="246"/>
        <v/>
      </c>
      <c r="V342" s="108" t="b">
        <f t="shared" si="246"/>
        <v>0</v>
      </c>
      <c r="W342" s="108" t="str">
        <f t="shared" si="246"/>
        <v>Character/Prefabs/m_m_attacker_marionne_puppet_1</v>
      </c>
      <c r="X342" s="108" t="str">
        <f t="shared" si="246"/>
        <v/>
      </c>
      <c r="Y342" s="108" t="str">
        <f t="shared" si="246"/>
        <v>m_m_attacker_marionne_puppet_1</v>
      </c>
      <c r="Z342" s="108" t="str">
        <f t="shared" si="246"/>
        <v/>
      </c>
      <c r="AA342" s="108" t="str">
        <f t="shared" si="246"/>
        <v/>
      </c>
      <c r="AB342" s="108" t="str">
        <f t="shared" si="246"/>
        <v>Die_machine</v>
      </c>
      <c r="AC342" s="111">
        <f t="shared" si="246"/>
        <v>1</v>
      </c>
      <c r="AD342" s="108" t="str">
        <f t="shared" si="246"/>
        <v/>
      </c>
      <c r="AE342" s="108" t="str">
        <f t="shared" si="246"/>
        <v/>
      </c>
      <c r="AF342" s="108" t="str">
        <f t="shared" si="246"/>
        <v/>
      </c>
      <c r="AG342" s="173" t="s">
        <v>2763</v>
      </c>
    </row>
    <row r="343" spans="1:33" x14ac:dyDescent="0.3">
      <c r="A343" s="108">
        <f t="shared" si="240"/>
        <v>1411401003</v>
      </c>
      <c r="B343" s="108" t="str">
        <f t="shared" ref="B343:AF343" si="247">IF(B232 &lt;&gt; "", B232, "")</f>
        <v>GuildAssault</v>
      </c>
      <c r="C343" s="108" t="str">
        <f t="shared" si="247"/>
        <v>마리오네_퍼펫</v>
      </c>
      <c r="D343" s="108" t="str">
        <f t="shared" si="247"/>
        <v>Monster.Name.marionne_puppet_1</v>
      </c>
      <c r="E343" s="108" t="str">
        <f t="shared" si="247"/>
        <v>Attacker</v>
      </c>
      <c r="F343" s="109" t="str">
        <f t="shared" si="247"/>
        <v>Fac_nul_ind</v>
      </c>
      <c r="G343" s="108" t="str">
        <f t="shared" si="247"/>
        <v>TRUE</v>
      </c>
      <c r="H343" s="108" t="b">
        <f t="shared" si="247"/>
        <v>0</v>
      </c>
      <c r="I343" s="108" t="b">
        <f t="shared" si="247"/>
        <v>0</v>
      </c>
      <c r="J343" s="108">
        <f t="shared" si="247"/>
        <v>10</v>
      </c>
      <c r="K343" s="108">
        <f t="shared" si="247"/>
        <v>10</v>
      </c>
      <c r="L343" s="108" t="str">
        <f t="shared" si="247"/>
        <v>1111401003.attack01</v>
      </c>
      <c r="M343" s="108" t="str">
        <f t="shared" si="247"/>
        <v/>
      </c>
      <c r="N343" s="108" t="str">
        <f t="shared" si="247"/>
        <v/>
      </c>
      <c r="O343" s="175" t="str">
        <f t="shared" si="247"/>
        <v>1111401003.Passive</v>
      </c>
      <c r="P343" s="110" t="str">
        <f t="shared" si="247"/>
        <v/>
      </c>
      <c r="Q343" s="110" t="str">
        <f t="shared" si="247"/>
        <v/>
      </c>
      <c r="R343" s="110" t="str">
        <f t="shared" si="247"/>
        <v/>
      </c>
      <c r="S343" s="110" t="str">
        <f t="shared" si="247"/>
        <v/>
      </c>
      <c r="T343" s="110" t="str">
        <f t="shared" si="247"/>
        <v/>
      </c>
      <c r="U343" s="110" t="str">
        <f t="shared" si="247"/>
        <v/>
      </c>
      <c r="V343" s="108" t="b">
        <f t="shared" si="247"/>
        <v>0</v>
      </c>
      <c r="W343" s="108" t="str">
        <f t="shared" si="247"/>
        <v>Character/Prefabs/m_m_attacker_marionne_puppet_1</v>
      </c>
      <c r="X343" s="108" t="str">
        <f t="shared" si="247"/>
        <v/>
      </c>
      <c r="Y343" s="108" t="str">
        <f t="shared" si="247"/>
        <v>m_m_attacker_marionne_puppet_1</v>
      </c>
      <c r="Z343" s="108" t="str">
        <f t="shared" si="247"/>
        <v/>
      </c>
      <c r="AA343" s="108" t="str">
        <f t="shared" si="247"/>
        <v/>
      </c>
      <c r="AB343" s="108" t="str">
        <f t="shared" si="247"/>
        <v>Die_machine</v>
      </c>
      <c r="AC343" s="111">
        <f t="shared" si="247"/>
        <v>1</v>
      </c>
      <c r="AD343" s="108" t="str">
        <f t="shared" si="247"/>
        <v/>
      </c>
      <c r="AE343" s="108" t="str">
        <f t="shared" si="247"/>
        <v/>
      </c>
      <c r="AF343" s="108" t="str">
        <f t="shared" si="247"/>
        <v/>
      </c>
      <c r="AG343" s="173" t="s">
        <v>2763</v>
      </c>
    </row>
    <row r="344" spans="1:33" x14ac:dyDescent="0.3">
      <c r="A344" s="108">
        <f t="shared" si="240"/>
        <v>1411401004</v>
      </c>
      <c r="B344" s="108" t="str">
        <f t="shared" ref="B344:AF344" si="248">IF(B233 &lt;&gt; "", B233, "")</f>
        <v>GuildAssault</v>
      </c>
      <c r="C344" s="108" t="str">
        <f t="shared" si="248"/>
        <v>마리오네_퍼펫</v>
      </c>
      <c r="D344" s="108" t="str">
        <f t="shared" si="248"/>
        <v>Monster.Name.marionne_puppet_1</v>
      </c>
      <c r="E344" s="108" t="str">
        <f t="shared" si="248"/>
        <v>Attacker</v>
      </c>
      <c r="F344" s="109" t="str">
        <f t="shared" si="248"/>
        <v>Fac_nul_ind</v>
      </c>
      <c r="G344" s="108" t="str">
        <f t="shared" si="248"/>
        <v>TRUE</v>
      </c>
      <c r="H344" s="108" t="b">
        <f t="shared" si="248"/>
        <v>0</v>
      </c>
      <c r="I344" s="108" t="b">
        <f t="shared" si="248"/>
        <v>0</v>
      </c>
      <c r="J344" s="108">
        <f t="shared" si="248"/>
        <v>10</v>
      </c>
      <c r="K344" s="108">
        <f t="shared" si="248"/>
        <v>10</v>
      </c>
      <c r="L344" s="108" t="str">
        <f t="shared" si="248"/>
        <v/>
      </c>
      <c r="M344" s="108" t="str">
        <f t="shared" si="248"/>
        <v/>
      </c>
      <c r="N344" s="108" t="str">
        <f t="shared" si="248"/>
        <v/>
      </c>
      <c r="O344" s="175" t="str">
        <f t="shared" si="248"/>
        <v>1111401004.skill01</v>
      </c>
      <c r="P344" s="110" t="str">
        <f t="shared" si="248"/>
        <v>1111401004.Passive</v>
      </c>
      <c r="Q344" s="110" t="str">
        <f t="shared" si="248"/>
        <v/>
      </c>
      <c r="R344" s="110" t="str">
        <f t="shared" si="248"/>
        <v/>
      </c>
      <c r="S344" s="110" t="str">
        <f t="shared" si="248"/>
        <v/>
      </c>
      <c r="T344" s="110" t="str">
        <f t="shared" si="248"/>
        <v/>
      </c>
      <c r="U344" s="110" t="str">
        <f t="shared" si="248"/>
        <v/>
      </c>
      <c r="V344" s="108" t="b">
        <f t="shared" si="248"/>
        <v>0</v>
      </c>
      <c r="W344" s="108" t="str">
        <f t="shared" si="248"/>
        <v>Character/Prefabs/m_m_attacker_marionne_puppet_1</v>
      </c>
      <c r="X344" s="108" t="str">
        <f t="shared" si="248"/>
        <v/>
      </c>
      <c r="Y344" s="108" t="str">
        <f t="shared" si="248"/>
        <v>m_m_attacker_marionne_puppet_1</v>
      </c>
      <c r="Z344" s="108" t="str">
        <f t="shared" si="248"/>
        <v/>
      </c>
      <c r="AA344" s="108" t="str">
        <f t="shared" si="248"/>
        <v/>
      </c>
      <c r="AB344" s="108" t="str">
        <f t="shared" si="248"/>
        <v>Die_machine</v>
      </c>
      <c r="AC344" s="111">
        <f t="shared" si="248"/>
        <v>1</v>
      </c>
      <c r="AD344" s="108" t="str">
        <f t="shared" si="248"/>
        <v/>
      </c>
      <c r="AE344" s="108" t="str">
        <f t="shared" si="248"/>
        <v/>
      </c>
      <c r="AF344" s="108" t="str">
        <f t="shared" si="248"/>
        <v/>
      </c>
      <c r="AG344" s="173" t="s">
        <v>2763</v>
      </c>
    </row>
    <row r="345" spans="1:33" x14ac:dyDescent="0.3">
      <c r="A345" s="108">
        <f t="shared" si="240"/>
        <v>1411401005</v>
      </c>
      <c r="B345" s="108" t="str">
        <f t="shared" ref="B345:AF345" si="249">IF(B234 &lt;&gt; "", B234, "")</f>
        <v>GuildAssault</v>
      </c>
      <c r="C345" s="108" t="str">
        <f t="shared" si="249"/>
        <v>마리오네_스킬5</v>
      </c>
      <c r="D345" s="108" t="str">
        <f t="shared" si="249"/>
        <v/>
      </c>
      <c r="E345" s="108" t="str">
        <f t="shared" si="249"/>
        <v>Tanker</v>
      </c>
      <c r="F345" s="109" t="str">
        <f t="shared" si="249"/>
        <v>Fac_nul_ind</v>
      </c>
      <c r="G345" s="108" t="b">
        <f t="shared" si="249"/>
        <v>1</v>
      </c>
      <c r="H345" s="108" t="str">
        <f t="shared" si="249"/>
        <v>FALSE</v>
      </c>
      <c r="I345" s="108" t="str">
        <f t="shared" si="249"/>
        <v>FALSE</v>
      </c>
      <c r="J345" s="108">
        <f t="shared" si="249"/>
        <v>10</v>
      </c>
      <c r="K345" s="108">
        <f t="shared" si="249"/>
        <v>10</v>
      </c>
      <c r="L345" s="108" t="str">
        <f t="shared" si="249"/>
        <v/>
      </c>
      <c r="M345" s="108" t="str">
        <f t="shared" si="249"/>
        <v/>
      </c>
      <c r="N345" s="108" t="str">
        <f t="shared" si="249"/>
        <v/>
      </c>
      <c r="O345" s="175" t="str">
        <f t="shared" si="249"/>
        <v/>
      </c>
      <c r="P345" s="110" t="str">
        <f t="shared" si="249"/>
        <v/>
      </c>
      <c r="Q345" s="110" t="str">
        <f t="shared" si="249"/>
        <v/>
      </c>
      <c r="R345" s="110" t="str">
        <f t="shared" si="249"/>
        <v/>
      </c>
      <c r="S345" s="110" t="str">
        <f t="shared" si="249"/>
        <v/>
      </c>
      <c r="T345" s="110" t="str">
        <f t="shared" si="249"/>
        <v/>
      </c>
      <c r="U345" s="110" t="str">
        <f t="shared" si="249"/>
        <v/>
      </c>
      <c r="V345" s="108" t="b">
        <f t="shared" si="249"/>
        <v>1</v>
      </c>
      <c r="W345" s="108" t="str">
        <f t="shared" si="249"/>
        <v>Character/Prefabs/m_boss_ranger_marionne_1_abn</v>
      </c>
      <c r="X345" s="108" t="str">
        <f t="shared" si="249"/>
        <v/>
      </c>
      <c r="Y345" s="108" t="str">
        <f t="shared" si="249"/>
        <v/>
      </c>
      <c r="Z345" s="108" t="str">
        <f t="shared" si="249"/>
        <v/>
      </c>
      <c r="AA345" s="108" t="str">
        <f t="shared" si="249"/>
        <v/>
      </c>
      <c r="AB345" s="108" t="str">
        <f t="shared" si="249"/>
        <v>Die_machine</v>
      </c>
      <c r="AC345" s="111">
        <f t="shared" si="249"/>
        <v>0.9</v>
      </c>
      <c r="AD345" s="108" t="str">
        <f t="shared" si="249"/>
        <v/>
      </c>
      <c r="AE345" s="108" t="str">
        <f t="shared" si="249"/>
        <v/>
      </c>
      <c r="AF345" s="108" t="str">
        <f t="shared" si="249"/>
        <v/>
      </c>
      <c r="AG345" s="173" t="s">
        <v>2763</v>
      </c>
    </row>
    <row r="346" spans="1:33" x14ac:dyDescent="0.3">
      <c r="A346" s="41">
        <f t="shared" si="240"/>
        <v>1410501001</v>
      </c>
      <c r="B346" s="41" t="str">
        <f t="shared" ref="B346:AF346" si="250">IF(B235 &lt;&gt; "", B235, "")</f>
        <v>Raid1001</v>
      </c>
      <c r="C346" s="41" t="str">
        <f t="shared" si="250"/>
        <v>카라</v>
      </c>
      <c r="D346" s="41" t="str">
        <f t="shared" si="250"/>
        <v>Monster.Name.kara_1</v>
      </c>
      <c r="E346" s="41" t="str">
        <f t="shared" si="250"/>
        <v>Attacker</v>
      </c>
      <c r="F346" s="42" t="str">
        <f t="shared" si="250"/>
        <v>Fac_nul_ind</v>
      </c>
      <c r="G346" s="41" t="str">
        <f t="shared" si="250"/>
        <v>TRUE</v>
      </c>
      <c r="H346" s="41" t="b">
        <f t="shared" si="250"/>
        <v>1</v>
      </c>
      <c r="I346" s="41" t="b">
        <f t="shared" si="250"/>
        <v>1</v>
      </c>
      <c r="J346" s="41">
        <f t="shared" si="250"/>
        <v>20</v>
      </c>
      <c r="K346" s="41">
        <f t="shared" si="250"/>
        <v>10</v>
      </c>
      <c r="L346" s="41" t="str">
        <f t="shared" si="250"/>
        <v>Raid1001.kara_1.attack01</v>
      </c>
      <c r="M346" s="41" t="str">
        <f t="shared" si="250"/>
        <v>Raid1001.kara_1.attack02</v>
      </c>
      <c r="N346" s="41" t="str">
        <f t="shared" si="250"/>
        <v/>
      </c>
      <c r="O346" s="176" t="str">
        <f t="shared" si="250"/>
        <v>Raid1001.kara_1.skill01</v>
      </c>
      <c r="P346" s="43" t="str">
        <f t="shared" si="250"/>
        <v>Raid1001.kara_1.skill02</v>
      </c>
      <c r="Q346" s="43" t="str">
        <f t="shared" si="250"/>
        <v>Raid1001.kara_1.skill03</v>
      </c>
      <c r="R346" s="43" t="str">
        <f t="shared" si="250"/>
        <v>Raid1001.kara_1.skill04</v>
      </c>
      <c r="S346" s="43" t="str">
        <f t="shared" si="250"/>
        <v>Raid1001.kara_1.passive01</v>
      </c>
      <c r="T346" s="43" t="str">
        <f t="shared" si="250"/>
        <v/>
      </c>
      <c r="U346" s="43" t="str">
        <f t="shared" si="250"/>
        <v/>
      </c>
      <c r="V346" s="41" t="b">
        <f t="shared" si="250"/>
        <v>0</v>
      </c>
      <c r="W346" s="41" t="str">
        <f t="shared" si="250"/>
        <v>Character/Prefabs/m_boss_attacker_kara_1</v>
      </c>
      <c r="X346" s="41" t="str">
        <f t="shared" si="250"/>
        <v/>
      </c>
      <c r="Y346" s="41" t="str">
        <f t="shared" si="250"/>
        <v>m_boss_attacker_kara_1</v>
      </c>
      <c r="Z346" s="41" t="str">
        <f t="shared" si="250"/>
        <v/>
      </c>
      <c r="AA346" s="41" t="str">
        <f t="shared" si="250"/>
        <v/>
      </c>
      <c r="AB346" s="41" t="str">
        <f t="shared" si="250"/>
        <v/>
      </c>
      <c r="AC346" s="90">
        <f t="shared" si="250"/>
        <v>1.7</v>
      </c>
      <c r="AD346" s="41" t="str">
        <f t="shared" si="250"/>
        <v/>
      </c>
      <c r="AE346" s="41" t="str">
        <f t="shared" si="250"/>
        <v>Character/Timeline/02_MON/kara/appearance</v>
      </c>
      <c r="AF346" s="41" t="str">
        <f t="shared" si="250"/>
        <v>Character/Timeline/02_MON/kara/die</v>
      </c>
      <c r="AG346" s="173" t="s">
        <v>2763</v>
      </c>
    </row>
    <row r="347" spans="1:33" x14ac:dyDescent="0.3">
      <c r="A347" s="41">
        <f t="shared" si="240"/>
        <v>1410501002</v>
      </c>
      <c r="B347" s="41" t="str">
        <f t="shared" ref="B347:AF347" si="251">IF(B236 &lt;&gt; "", B236, "")</f>
        <v>Raid1001</v>
      </c>
      <c r="C347" s="41" t="str">
        <f t="shared" si="251"/>
        <v>카라베리</v>
      </c>
      <c r="D347" s="41" t="str">
        <f t="shared" si="251"/>
        <v>Monster.Name.kara_2</v>
      </c>
      <c r="E347" s="41" t="str">
        <f t="shared" si="251"/>
        <v>Attacker</v>
      </c>
      <c r="F347" s="42" t="str">
        <f t="shared" si="251"/>
        <v>Fac_nul_ind</v>
      </c>
      <c r="G347" s="41" t="str">
        <f t="shared" si="251"/>
        <v>TRUE</v>
      </c>
      <c r="H347" s="41" t="b">
        <f t="shared" si="251"/>
        <v>1</v>
      </c>
      <c r="I347" s="41" t="b">
        <f t="shared" si="251"/>
        <v>1</v>
      </c>
      <c r="J347" s="41">
        <f t="shared" si="251"/>
        <v>20</v>
      </c>
      <c r="K347" s="41">
        <f t="shared" si="251"/>
        <v>10</v>
      </c>
      <c r="L347" s="41" t="str">
        <f t="shared" si="251"/>
        <v>Raid1001.kara_2.attack01</v>
      </c>
      <c r="M347" s="41" t="str">
        <f t="shared" si="251"/>
        <v>Raid1001.kara_2.attack02</v>
      </c>
      <c r="N347" s="41" t="str">
        <f t="shared" si="251"/>
        <v/>
      </c>
      <c r="O347" s="176" t="str">
        <f t="shared" si="251"/>
        <v>Raid1001.kara_2.skill01</v>
      </c>
      <c r="P347" s="43" t="str">
        <f t="shared" si="251"/>
        <v>Raid1001.kara_2.skill02</v>
      </c>
      <c r="Q347" s="43" t="str">
        <f t="shared" si="251"/>
        <v>Raid1001.kara_2.skill03</v>
      </c>
      <c r="R347" s="43" t="str">
        <f t="shared" si="251"/>
        <v>Raid1001.kara_2.skill04</v>
      </c>
      <c r="S347" s="43" t="str">
        <f t="shared" si="251"/>
        <v>Raid1001.kara_2.passive01</v>
      </c>
      <c r="T347" s="43" t="str">
        <f t="shared" si="251"/>
        <v/>
      </c>
      <c r="U347" s="43" t="str">
        <f t="shared" si="251"/>
        <v/>
      </c>
      <c r="V347" s="41" t="b">
        <f t="shared" si="251"/>
        <v>0</v>
      </c>
      <c r="W347" s="41" t="str">
        <f t="shared" si="251"/>
        <v>Character/Prefabs/m_boss_attacker_kara_2</v>
      </c>
      <c r="X347" s="41" t="str">
        <f t="shared" si="251"/>
        <v/>
      </c>
      <c r="Y347" s="41" t="str">
        <f t="shared" si="251"/>
        <v>m_boss_attacker_kara_2</v>
      </c>
      <c r="Z347" s="41" t="str">
        <f t="shared" si="251"/>
        <v/>
      </c>
      <c r="AA347" s="41" t="str">
        <f t="shared" si="251"/>
        <v/>
      </c>
      <c r="AB347" s="41" t="str">
        <f t="shared" si="251"/>
        <v/>
      </c>
      <c r="AC347" s="90">
        <f t="shared" si="251"/>
        <v>1.7</v>
      </c>
      <c r="AD347" s="41" t="str">
        <f t="shared" si="251"/>
        <v/>
      </c>
      <c r="AE347" s="41" t="str">
        <f t="shared" si="251"/>
        <v>Character/Timeline/02_MON/kara/appearance_2</v>
      </c>
      <c r="AF347" s="41" t="str">
        <f t="shared" si="251"/>
        <v>Character/Timeline/02_MON/kara/die_2</v>
      </c>
      <c r="AG347" s="173" t="s">
        <v>2105</v>
      </c>
    </row>
    <row r="348" spans="1:33" x14ac:dyDescent="0.3">
      <c r="A348" s="41">
        <f t="shared" si="240"/>
        <v>1410502001</v>
      </c>
      <c r="B348" s="41" t="str">
        <f t="shared" ref="B348:AF348" si="252">IF(B237 &lt;&gt; "", B237, "")</f>
        <v>Raid2001</v>
      </c>
      <c r="C348" s="41" t="str">
        <f t="shared" si="252"/>
        <v>바나클빌더</v>
      </c>
      <c r="D348" s="41" t="str">
        <f t="shared" si="252"/>
        <v>Monster.Name.barnacle_builder_1</v>
      </c>
      <c r="E348" s="41" t="str">
        <f t="shared" si="252"/>
        <v>Tanker</v>
      </c>
      <c r="F348" s="42" t="str">
        <f t="shared" si="252"/>
        <v>Fac_nul_ind</v>
      </c>
      <c r="G348" s="41" t="str">
        <f t="shared" si="252"/>
        <v>TRUE</v>
      </c>
      <c r="H348" s="41" t="b">
        <f t="shared" si="252"/>
        <v>1</v>
      </c>
      <c r="I348" s="41" t="b">
        <f t="shared" si="252"/>
        <v>1</v>
      </c>
      <c r="J348" s="41">
        <f t="shared" si="252"/>
        <v>20</v>
      </c>
      <c r="K348" s="41">
        <f t="shared" si="252"/>
        <v>10</v>
      </c>
      <c r="L348" s="41" t="str">
        <f t="shared" si="252"/>
        <v>Raid2001.barnacle_builder_1.attack01</v>
      </c>
      <c r="M348" s="41" t="str">
        <f t="shared" si="252"/>
        <v>Raid2001.barnacle_builder_1.attack02</v>
      </c>
      <c r="N348" s="41" t="str">
        <f t="shared" si="252"/>
        <v/>
      </c>
      <c r="O348" s="176" t="str">
        <f t="shared" si="252"/>
        <v>Raid2001.barnacle_builder_1.skill01</v>
      </c>
      <c r="P348" s="43" t="str">
        <f t="shared" si="252"/>
        <v>Raid2001.barnacle_builder_1.skill02</v>
      </c>
      <c r="Q348" s="43" t="str">
        <f t="shared" si="252"/>
        <v>Raid2001.barnacle_builder_1.skill03</v>
      </c>
      <c r="R348" s="43" t="str">
        <f t="shared" si="252"/>
        <v>Raid2001.barnacle_builder_1.passive01</v>
      </c>
      <c r="S348" s="43" t="str">
        <f t="shared" si="252"/>
        <v>Boss.Common.Immun</v>
      </c>
      <c r="T348" s="43" t="str">
        <f t="shared" si="252"/>
        <v/>
      </c>
      <c r="U348" s="43" t="str">
        <f t="shared" si="252"/>
        <v/>
      </c>
      <c r="V348" s="41" t="b">
        <f t="shared" si="252"/>
        <v>0</v>
      </c>
      <c r="W348" s="41" t="str">
        <f t="shared" si="252"/>
        <v>Character/Prefabs/m_boss_tanker_barnacle_builder_1</v>
      </c>
      <c r="X348" s="41" t="str">
        <f t="shared" si="252"/>
        <v/>
      </c>
      <c r="Y348" s="41" t="str">
        <f t="shared" si="252"/>
        <v>m_boss_tanker_barnacle_builder_1</v>
      </c>
      <c r="Z348" s="41" t="str">
        <f t="shared" si="252"/>
        <v/>
      </c>
      <c r="AA348" s="41" t="str">
        <f t="shared" si="252"/>
        <v/>
      </c>
      <c r="AB348" s="41" t="str">
        <f t="shared" si="252"/>
        <v/>
      </c>
      <c r="AC348" s="90">
        <f t="shared" si="252"/>
        <v>1</v>
      </c>
      <c r="AD348" s="41" t="str">
        <f t="shared" si="252"/>
        <v/>
      </c>
      <c r="AE348" s="41" t="str">
        <f t="shared" si="252"/>
        <v>Character/Timeline/02_MON/barnacle_builder_1/appearance</v>
      </c>
      <c r="AF348" s="41" t="str">
        <f t="shared" si="252"/>
        <v>Character/Timeline/02_MON/barnacle_builder_1/die</v>
      </c>
      <c r="AG348" s="173" t="s">
        <v>2105</v>
      </c>
    </row>
    <row r="349" spans="1:33" x14ac:dyDescent="0.3">
      <c r="A349" s="41">
        <f t="shared" si="240"/>
        <v>1410503001</v>
      </c>
      <c r="B349" s="41" t="str">
        <f t="shared" ref="B349:AF349" si="253">IF(B238 &lt;&gt; "", B238, "")</f>
        <v>Raid3001</v>
      </c>
      <c r="C349" s="41" t="str">
        <f t="shared" si="253"/>
        <v>마인드로더</v>
      </c>
      <c r="D349" s="41" t="str">
        <f t="shared" si="253"/>
        <v>Monster.Name.mindloader_1</v>
      </c>
      <c r="E349" s="41" t="str">
        <f t="shared" si="253"/>
        <v>Attacker</v>
      </c>
      <c r="F349" s="42" t="str">
        <f t="shared" si="253"/>
        <v>Fac_nul_ind</v>
      </c>
      <c r="G349" s="41" t="str">
        <f t="shared" si="253"/>
        <v>TRUE</v>
      </c>
      <c r="H349" s="41" t="b">
        <f t="shared" si="253"/>
        <v>1</v>
      </c>
      <c r="I349" s="41" t="b">
        <f t="shared" si="253"/>
        <v>1</v>
      </c>
      <c r="J349" s="41">
        <f t="shared" si="253"/>
        <v>20</v>
      </c>
      <c r="K349" s="41">
        <f t="shared" si="253"/>
        <v>10</v>
      </c>
      <c r="L349" s="41" t="str">
        <f t="shared" si="253"/>
        <v>Raid3001.mindloader_1.attack01</v>
      </c>
      <c r="M349" s="41" t="str">
        <f t="shared" si="253"/>
        <v>Raid3001.mindloader_1.attack02</v>
      </c>
      <c r="N349" s="41" t="str">
        <f t="shared" si="253"/>
        <v/>
      </c>
      <c r="O349" s="176" t="str">
        <f t="shared" si="253"/>
        <v>Raid3001.mindloader_1.skill01</v>
      </c>
      <c r="P349" s="43" t="str">
        <f t="shared" si="253"/>
        <v>Raid3001.mindloader_1.skill02</v>
      </c>
      <c r="Q349" s="43" t="str">
        <f t="shared" si="253"/>
        <v>Raid3001.mindloader_1.skill03</v>
      </c>
      <c r="R349" s="43" t="str">
        <f t="shared" si="253"/>
        <v>Raid3001.mindloader_1.skill04</v>
      </c>
      <c r="S349" s="43" t="str">
        <f t="shared" si="253"/>
        <v>Raid3001.mindloader_1.passive01</v>
      </c>
      <c r="T349" s="43" t="str">
        <f t="shared" si="253"/>
        <v/>
      </c>
      <c r="U349" s="43" t="str">
        <f t="shared" si="253"/>
        <v/>
      </c>
      <c r="V349" s="41" t="b">
        <f t="shared" si="253"/>
        <v>0</v>
      </c>
      <c r="W349" s="41" t="str">
        <f t="shared" si="253"/>
        <v>Character/Prefabs/m_boss_attacker_mindloader_1</v>
      </c>
      <c r="X349" s="41" t="str">
        <f t="shared" si="253"/>
        <v/>
      </c>
      <c r="Y349" s="41" t="str">
        <f t="shared" si="253"/>
        <v>m_boss_attacker_mindloader_1</v>
      </c>
      <c r="Z349" s="41" t="str">
        <f t="shared" si="253"/>
        <v/>
      </c>
      <c r="AA349" s="41" t="str">
        <f t="shared" si="253"/>
        <v/>
      </c>
      <c r="AB349" s="41" t="str">
        <f t="shared" si="253"/>
        <v/>
      </c>
      <c r="AC349" s="90">
        <f t="shared" si="253"/>
        <v>1.5</v>
      </c>
      <c r="AD349" s="41" t="str">
        <f t="shared" si="253"/>
        <v/>
      </c>
      <c r="AE349" s="41" t="str">
        <f t="shared" si="253"/>
        <v>Character/Timeline/02_MON/mindloader/appearance</v>
      </c>
      <c r="AF349" s="41" t="str">
        <f t="shared" si="253"/>
        <v>Character/Timeline/02_MON/mindloader/die</v>
      </c>
      <c r="AG349" s="173" t="s">
        <v>2105</v>
      </c>
    </row>
    <row r="350" spans="1:33" x14ac:dyDescent="0.3">
      <c r="A350" s="41">
        <f t="shared" si="240"/>
        <v>1410504001</v>
      </c>
      <c r="B350" s="41" t="str">
        <f t="shared" ref="B350:AF350" si="254">IF(B239 &lt;&gt; "", B239, "")</f>
        <v>Raid4001</v>
      </c>
      <c r="C350" s="41" t="str">
        <f t="shared" si="254"/>
        <v>기간투스</v>
      </c>
      <c r="D350" s="41" t="str">
        <f t="shared" si="254"/>
        <v>Monster.Name.gigantooth_1</v>
      </c>
      <c r="E350" s="41" t="str">
        <f t="shared" si="254"/>
        <v>Attacker</v>
      </c>
      <c r="F350" s="42" t="str">
        <f t="shared" si="254"/>
        <v>Fac_nul_ind</v>
      </c>
      <c r="G350" s="41" t="str">
        <f t="shared" si="254"/>
        <v>TRUE</v>
      </c>
      <c r="H350" s="41" t="b">
        <f t="shared" si="254"/>
        <v>1</v>
      </c>
      <c r="I350" s="41" t="b">
        <f t="shared" si="254"/>
        <v>1</v>
      </c>
      <c r="J350" s="41">
        <f t="shared" si="254"/>
        <v>20</v>
      </c>
      <c r="K350" s="41">
        <f t="shared" si="254"/>
        <v>10</v>
      </c>
      <c r="L350" s="41" t="str">
        <f t="shared" si="254"/>
        <v>Raid4001.gigantooth_1.attack01</v>
      </c>
      <c r="M350" s="41" t="str">
        <f t="shared" si="254"/>
        <v>Raid4001.gigantooth_1.attack02</v>
      </c>
      <c r="N350" s="41" t="str">
        <f t="shared" si="254"/>
        <v/>
      </c>
      <c r="O350" s="176" t="str">
        <f t="shared" si="254"/>
        <v>Raid4001.gigantooth_1.skill01</v>
      </c>
      <c r="P350" s="43" t="str">
        <f t="shared" si="254"/>
        <v>Raid4001.gigantooth_1.skill02</v>
      </c>
      <c r="Q350" s="43" t="str">
        <f t="shared" si="254"/>
        <v>Raid4001.gigantooth_1.skill03</v>
      </c>
      <c r="R350" s="43" t="str">
        <f t="shared" si="254"/>
        <v>Raid4001.gigantooth_1.skill04</v>
      </c>
      <c r="S350" s="43" t="str">
        <f t="shared" si="254"/>
        <v>Raid4001.gigantooth_1.passive01</v>
      </c>
      <c r="T350" s="43" t="str">
        <f t="shared" si="254"/>
        <v/>
      </c>
      <c r="U350" s="43" t="str">
        <f t="shared" si="254"/>
        <v/>
      </c>
      <c r="V350" s="41" t="b">
        <f t="shared" si="254"/>
        <v>0</v>
      </c>
      <c r="W350" s="41" t="str">
        <f t="shared" si="254"/>
        <v>Character/Prefabs/m_boss_attacker_gigantooth_1</v>
      </c>
      <c r="X350" s="41" t="str">
        <f t="shared" si="254"/>
        <v/>
      </c>
      <c r="Y350" s="41" t="str">
        <f t="shared" si="254"/>
        <v>m_boss_attacker_gigantooth_1</v>
      </c>
      <c r="Z350" s="41" t="str">
        <f t="shared" si="254"/>
        <v/>
      </c>
      <c r="AA350" s="41" t="str">
        <f t="shared" si="254"/>
        <v/>
      </c>
      <c r="AB350" s="41" t="str">
        <f t="shared" si="254"/>
        <v/>
      </c>
      <c r="AC350" s="90">
        <f t="shared" si="254"/>
        <v>0.9</v>
      </c>
      <c r="AD350" s="41" t="str">
        <f t="shared" si="254"/>
        <v/>
      </c>
      <c r="AE350" s="41" t="str">
        <f t="shared" si="254"/>
        <v>Character/Timeline/02_MON/boss2/appearance_1</v>
      </c>
      <c r="AF350" s="41" t="str">
        <f t="shared" si="254"/>
        <v>Character/Timeline/02_MON/boss2/die_1</v>
      </c>
      <c r="AG350" s="173" t="s">
        <v>2105</v>
      </c>
    </row>
    <row r="351" spans="1:33" x14ac:dyDescent="0.3">
      <c r="A351" s="41">
        <f t="shared" si="240"/>
        <v>1410504002</v>
      </c>
      <c r="B351" s="41" t="str">
        <f t="shared" ref="B351:AF351" si="255">IF(B240 &lt;&gt; "", B240, "")</f>
        <v>Raid4001</v>
      </c>
      <c r="C351" s="41" t="str">
        <f t="shared" si="255"/>
        <v>기간투스베리</v>
      </c>
      <c r="D351" s="41" t="str">
        <f t="shared" si="255"/>
        <v>Monster.Name.gigantooth_2</v>
      </c>
      <c r="E351" s="41" t="str">
        <f t="shared" si="255"/>
        <v>Attacker</v>
      </c>
      <c r="F351" s="42" t="str">
        <f t="shared" si="255"/>
        <v>Fac_nul_ind</v>
      </c>
      <c r="G351" s="41" t="str">
        <f t="shared" si="255"/>
        <v>TRUE</v>
      </c>
      <c r="H351" s="41" t="b">
        <f t="shared" si="255"/>
        <v>1</v>
      </c>
      <c r="I351" s="41" t="b">
        <f t="shared" si="255"/>
        <v>1</v>
      </c>
      <c r="J351" s="41">
        <f t="shared" si="255"/>
        <v>20</v>
      </c>
      <c r="K351" s="41">
        <f t="shared" si="255"/>
        <v>10</v>
      </c>
      <c r="L351" s="41" t="str">
        <f t="shared" si="255"/>
        <v>Raid4001.gigantooth_2.attack01</v>
      </c>
      <c r="M351" s="41" t="str">
        <f t="shared" si="255"/>
        <v>Raid4001.gigantooth_2.attack02</v>
      </c>
      <c r="N351" s="41" t="str">
        <f t="shared" si="255"/>
        <v/>
      </c>
      <c r="O351" s="176" t="str">
        <f t="shared" si="255"/>
        <v>Raid4001.gigantooth_2.skill01</v>
      </c>
      <c r="P351" s="43" t="str">
        <f t="shared" si="255"/>
        <v>Raid4001.gigantooth_2.skill02</v>
      </c>
      <c r="Q351" s="43" t="str">
        <f t="shared" si="255"/>
        <v>Raid4001.gigantooth_2.skill03</v>
      </c>
      <c r="R351" s="43" t="str">
        <f t="shared" si="255"/>
        <v>Raid4001.gigantooth_2.skill04</v>
      </c>
      <c r="S351" s="43" t="str">
        <f t="shared" si="255"/>
        <v>Raid4001.gigantooth_2.passive01</v>
      </c>
      <c r="T351" s="43" t="str">
        <f t="shared" si="255"/>
        <v/>
      </c>
      <c r="U351" s="43" t="str">
        <f t="shared" si="255"/>
        <v/>
      </c>
      <c r="V351" s="41" t="b">
        <f t="shared" si="255"/>
        <v>0</v>
      </c>
      <c r="W351" s="41" t="str">
        <f t="shared" si="255"/>
        <v>Character/Prefabs/m_boss_attacker_gigantooth_2</v>
      </c>
      <c r="X351" s="41" t="str">
        <f t="shared" si="255"/>
        <v/>
      </c>
      <c r="Y351" s="41" t="str">
        <f t="shared" si="255"/>
        <v>m_boss_attacker_gigantooth_2</v>
      </c>
      <c r="Z351" s="41" t="str">
        <f t="shared" si="255"/>
        <v/>
      </c>
      <c r="AA351" s="41" t="str">
        <f t="shared" si="255"/>
        <v/>
      </c>
      <c r="AB351" s="41" t="str">
        <f t="shared" si="255"/>
        <v/>
      </c>
      <c r="AC351" s="90">
        <f t="shared" si="255"/>
        <v>0.9</v>
      </c>
      <c r="AD351" s="41" t="str">
        <f t="shared" si="255"/>
        <v/>
      </c>
      <c r="AE351" s="41" t="str">
        <f t="shared" si="255"/>
        <v>Character/Timeline/02_MON/boss2/appearance_2</v>
      </c>
      <c r="AF351" s="41" t="str">
        <f t="shared" si="255"/>
        <v>Character/Timeline/02_MON/boss2/die_2</v>
      </c>
      <c r="AG351" s="173" t="s">
        <v>2105</v>
      </c>
    </row>
    <row r="352" spans="1:33" x14ac:dyDescent="0.3">
      <c r="A352" s="12">
        <f t="shared" si="240"/>
        <v>1411101001</v>
      </c>
      <c r="B352" s="12" t="str">
        <f t="shared" ref="B352:AF352" si="256">IF(B241 &lt;&gt; "", B241, "")</f>
        <v>GuildRaid1001</v>
      </c>
      <c r="C352" s="12" t="str">
        <f t="shared" si="256"/>
        <v>freyja</v>
      </c>
      <c r="D352" s="76" t="str">
        <f t="shared" si="256"/>
        <v>Name.Character.freyja</v>
      </c>
      <c r="E352" s="12" t="str">
        <f t="shared" si="256"/>
        <v>Ranger</v>
      </c>
      <c r="F352" s="39" t="str">
        <f t="shared" si="256"/>
        <v>Fac_sti_ast</v>
      </c>
      <c r="G352" s="12" t="str">
        <f t="shared" si="256"/>
        <v>TRUE</v>
      </c>
      <c r="H352" s="12" t="b">
        <f t="shared" si="256"/>
        <v>1</v>
      </c>
      <c r="I352" s="12" t="b">
        <f t="shared" si="256"/>
        <v>1</v>
      </c>
      <c r="J352" s="12">
        <f t="shared" si="256"/>
        <v>10</v>
      </c>
      <c r="K352" s="12">
        <f t="shared" si="256"/>
        <v>10</v>
      </c>
      <c r="L352" s="12" t="str">
        <f t="shared" si="256"/>
        <v>freyja.attack1</v>
      </c>
      <c r="M352" s="12" t="str">
        <f t="shared" si="256"/>
        <v>freyja.attack2</v>
      </c>
      <c r="N352" s="12" t="str">
        <f t="shared" si="256"/>
        <v>freyja.attack3</v>
      </c>
      <c r="O352" s="145" t="str">
        <f t="shared" si="256"/>
        <v>freyja.active1</v>
      </c>
      <c r="P352" s="40" t="str">
        <f t="shared" si="256"/>
        <v>freyja.active2</v>
      </c>
      <c r="Q352" s="40" t="str">
        <f t="shared" si="256"/>
        <v>freyja.passive</v>
      </c>
      <c r="R352" s="40" t="str">
        <f t="shared" si="256"/>
        <v/>
      </c>
      <c r="S352" s="40" t="str">
        <f t="shared" si="256"/>
        <v>Boss.Common.Immun</v>
      </c>
      <c r="T352" s="40" t="str">
        <f t="shared" si="256"/>
        <v>freyja.ult</v>
      </c>
      <c r="U352" s="40" t="str">
        <f t="shared" si="256"/>
        <v>freyja.ult</v>
      </c>
      <c r="V352" s="12" t="b">
        <f t="shared" si="256"/>
        <v>1</v>
      </c>
      <c r="W352" s="12" t="str">
        <f t="shared" si="256"/>
        <v>Character/Prefabs/c_ranger_freyja_1</v>
      </c>
      <c r="X352" s="12" t="str">
        <f t="shared" si="256"/>
        <v/>
      </c>
      <c r="Y352" s="12" t="str">
        <f t="shared" si="256"/>
        <v>character_freyja_01</v>
      </c>
      <c r="Z352" s="12" t="str">
        <f t="shared" si="256"/>
        <v>Character/Timeline/01_CHA/ult_c_ranger_freyja_1</v>
      </c>
      <c r="AA352" s="12" t="str">
        <f t="shared" si="256"/>
        <v>Character/Timeline/01_CHA/victory_c_ranger_freyja_1</v>
      </c>
      <c r="AB352" s="12" t="str">
        <f t="shared" si="256"/>
        <v/>
      </c>
      <c r="AC352" s="88">
        <f t="shared" si="256"/>
        <v>1.4</v>
      </c>
      <c r="AD352" s="12" t="str">
        <f t="shared" si="256"/>
        <v/>
      </c>
      <c r="AE352" s="12" t="str">
        <f t="shared" si="256"/>
        <v/>
      </c>
      <c r="AF352" s="12" t="str">
        <f t="shared" si="256"/>
        <v/>
      </c>
      <c r="AG352" s="173" t="s">
        <v>2763</v>
      </c>
    </row>
    <row r="353" spans="1:33" x14ac:dyDescent="0.3">
      <c r="A353" s="12">
        <f t="shared" si="240"/>
        <v>1411101002</v>
      </c>
      <c r="B353" s="12" t="str">
        <f t="shared" ref="B353:AF353" si="257">IF(B242 &lt;&gt; "", B242, "")</f>
        <v>GuildRaid1002</v>
      </c>
      <c r="C353" s="12" t="str">
        <f t="shared" si="257"/>
        <v>mana</v>
      </c>
      <c r="D353" s="76" t="str">
        <f t="shared" si="257"/>
        <v>Name.Character.mana</v>
      </c>
      <c r="E353" s="12" t="str">
        <f t="shared" si="257"/>
        <v>Ranger</v>
      </c>
      <c r="F353" s="39" t="str">
        <f t="shared" si="257"/>
        <v>Fac_rim_aki</v>
      </c>
      <c r="G353" s="12" t="str">
        <f t="shared" si="257"/>
        <v>TRUE</v>
      </c>
      <c r="H353" s="12" t="b">
        <f t="shared" si="257"/>
        <v>1</v>
      </c>
      <c r="I353" s="12" t="b">
        <f t="shared" si="257"/>
        <v>1</v>
      </c>
      <c r="J353" s="12">
        <f t="shared" si="257"/>
        <v>10</v>
      </c>
      <c r="K353" s="12">
        <f t="shared" si="257"/>
        <v>10</v>
      </c>
      <c r="L353" s="12" t="str">
        <f t="shared" si="257"/>
        <v>mana.attack1</v>
      </c>
      <c r="M353" s="12" t="str">
        <f t="shared" si="257"/>
        <v>mana.attack2</v>
      </c>
      <c r="N353" s="12" t="str">
        <f t="shared" si="257"/>
        <v>mana.attack3</v>
      </c>
      <c r="O353" s="145" t="str">
        <f t="shared" si="257"/>
        <v>mana.active1</v>
      </c>
      <c r="P353" s="40" t="str">
        <f t="shared" si="257"/>
        <v>mana.active2</v>
      </c>
      <c r="Q353" s="40" t="str">
        <f t="shared" si="257"/>
        <v>mana.passive</v>
      </c>
      <c r="R353" s="40" t="str">
        <f t="shared" si="257"/>
        <v/>
      </c>
      <c r="S353" s="40" t="str">
        <f t="shared" si="257"/>
        <v>Boss.Common.Immun</v>
      </c>
      <c r="T353" s="40" t="str">
        <f t="shared" si="257"/>
        <v>mana.ult</v>
      </c>
      <c r="U353" s="40" t="str">
        <f t="shared" si="257"/>
        <v>mana.ult</v>
      </c>
      <c r="V353" s="12" t="b">
        <f t="shared" si="257"/>
        <v>1</v>
      </c>
      <c r="W353" s="12" t="str">
        <f t="shared" si="257"/>
        <v>Character/Prefabs/c_ranger_mana_1</v>
      </c>
      <c r="X353" s="12" t="str">
        <f t="shared" si="257"/>
        <v/>
      </c>
      <c r="Y353" s="12" t="str">
        <f t="shared" si="257"/>
        <v>character_mana_01</v>
      </c>
      <c r="Z353" s="12" t="str">
        <f t="shared" si="257"/>
        <v>Character/Timeline/01_CHA/ult_c_ranger_mana_1</v>
      </c>
      <c r="AA353" s="12" t="str">
        <f t="shared" si="257"/>
        <v>Character/Timeline/01_CHA/victory_c_ranger_mana_1</v>
      </c>
      <c r="AB353" s="12" t="str">
        <f t="shared" si="257"/>
        <v/>
      </c>
      <c r="AC353" s="88">
        <f t="shared" si="257"/>
        <v>1.4</v>
      </c>
      <c r="AD353" s="12" t="str">
        <f t="shared" si="257"/>
        <v/>
      </c>
      <c r="AE353" s="12" t="str">
        <f t="shared" si="257"/>
        <v/>
      </c>
      <c r="AF353" s="12" t="str">
        <f t="shared" si="257"/>
        <v/>
      </c>
      <c r="AG353" s="173" t="s">
        <v>2763</v>
      </c>
    </row>
    <row r="354" spans="1:33" x14ac:dyDescent="0.3">
      <c r="A354" s="12">
        <f t="shared" si="240"/>
        <v>1411101003</v>
      </c>
      <c r="B354" s="12" t="str">
        <f t="shared" ref="B354:AF354" si="258">IF(B243 &lt;&gt; "", B243, "")</f>
        <v>GuildRaid1003</v>
      </c>
      <c r="C354" s="12" t="str">
        <f t="shared" si="258"/>
        <v>balencia</v>
      </c>
      <c r="D354" s="76" t="str">
        <f t="shared" si="258"/>
        <v>Name.Character.balencia</v>
      </c>
      <c r="E354" s="12" t="str">
        <f t="shared" si="258"/>
        <v>Attacker</v>
      </c>
      <c r="F354" s="39" t="str">
        <f t="shared" si="258"/>
        <v>Fac_sti_ars</v>
      </c>
      <c r="G354" s="12" t="str">
        <f t="shared" si="258"/>
        <v>TRUE</v>
      </c>
      <c r="H354" s="12" t="b">
        <f t="shared" si="258"/>
        <v>1</v>
      </c>
      <c r="I354" s="12" t="b">
        <f t="shared" si="258"/>
        <v>1</v>
      </c>
      <c r="J354" s="12">
        <f t="shared" si="258"/>
        <v>10</v>
      </c>
      <c r="K354" s="12">
        <f t="shared" si="258"/>
        <v>10</v>
      </c>
      <c r="L354" s="12" t="str">
        <f t="shared" si="258"/>
        <v>balencia.attack1</v>
      </c>
      <c r="M354" s="12" t="str">
        <f t="shared" si="258"/>
        <v>balencia.attack2</v>
      </c>
      <c r="N354" s="12" t="str">
        <f t="shared" si="258"/>
        <v>balencia.attack3</v>
      </c>
      <c r="O354" s="145" t="str">
        <f t="shared" si="258"/>
        <v>balencia.active1</v>
      </c>
      <c r="P354" s="40" t="str">
        <f t="shared" si="258"/>
        <v>balencia.active2</v>
      </c>
      <c r="Q354" s="40" t="str">
        <f t="shared" si="258"/>
        <v>balencia.passive</v>
      </c>
      <c r="R354" s="40" t="str">
        <f t="shared" si="258"/>
        <v/>
      </c>
      <c r="S354" s="40" t="str">
        <f t="shared" si="258"/>
        <v>Boss.Common.Immun</v>
      </c>
      <c r="T354" s="40" t="str">
        <f t="shared" si="258"/>
        <v>balencia.ult</v>
      </c>
      <c r="U354" s="40" t="str">
        <f t="shared" si="258"/>
        <v>balencia.ult</v>
      </c>
      <c r="V354" s="12" t="b">
        <f t="shared" si="258"/>
        <v>1</v>
      </c>
      <c r="W354" s="12" t="str">
        <f t="shared" si="258"/>
        <v>Character/Prefabs/c_attacker_balencia_1</v>
      </c>
      <c r="X354" s="12" t="str">
        <f t="shared" si="258"/>
        <v/>
      </c>
      <c r="Y354" s="12" t="str">
        <f t="shared" si="258"/>
        <v>character_balencia_01</v>
      </c>
      <c r="Z354" s="12" t="str">
        <f t="shared" si="258"/>
        <v>Character/Timeline/01_CHA/ult_c_attacker_balencia_1</v>
      </c>
      <c r="AA354" s="12" t="str">
        <f t="shared" si="258"/>
        <v>Character/Timeline/01_CHA/victory_c_attacker_balencia_1</v>
      </c>
      <c r="AB354" s="12" t="str">
        <f t="shared" si="258"/>
        <v/>
      </c>
      <c r="AC354" s="88">
        <f t="shared" si="258"/>
        <v>1.4</v>
      </c>
      <c r="AD354" s="12" t="str">
        <f t="shared" si="258"/>
        <v/>
      </c>
      <c r="AE354" s="12" t="str">
        <f t="shared" si="258"/>
        <v/>
      </c>
      <c r="AF354" s="12" t="str">
        <f t="shared" si="258"/>
        <v/>
      </c>
      <c r="AG354" s="173" t="s">
        <v>2763</v>
      </c>
    </row>
    <row r="355" spans="1:33" x14ac:dyDescent="0.3">
      <c r="A355" s="81">
        <f t="shared" si="240"/>
        <v>1411301001</v>
      </c>
      <c r="B355" s="81" t="str">
        <f t="shared" ref="B355:AF355" si="259">IF(B244 &lt;&gt; "", B244, "")</f>
        <v>BossChallenge</v>
      </c>
      <c r="C355" s="81" t="str">
        <f t="shared" si="259"/>
        <v>갤리어스</v>
      </c>
      <c r="D355" s="81" t="str">
        <f t="shared" si="259"/>
        <v>Monster.Name.gallius_1</v>
      </c>
      <c r="E355" s="81" t="str">
        <f t="shared" si="259"/>
        <v>Tanker</v>
      </c>
      <c r="F355" s="82" t="str">
        <f t="shared" si="259"/>
        <v>Fac_nul_ind</v>
      </c>
      <c r="G355" s="81" t="str">
        <f t="shared" si="259"/>
        <v>TRUE</v>
      </c>
      <c r="H355" s="81" t="b">
        <f t="shared" si="259"/>
        <v>1</v>
      </c>
      <c r="I355" s="81" t="b">
        <f t="shared" si="259"/>
        <v>1</v>
      </c>
      <c r="J355" s="81">
        <f t="shared" si="259"/>
        <v>10</v>
      </c>
      <c r="K355" s="81">
        <f t="shared" si="259"/>
        <v>10</v>
      </c>
      <c r="L355" s="81" t="str">
        <f t="shared" si="259"/>
        <v>BossChallenge.gallius_1.attack01</v>
      </c>
      <c r="M355" s="81" t="str">
        <f t="shared" si="259"/>
        <v/>
      </c>
      <c r="N355" s="81" t="str">
        <f t="shared" si="259"/>
        <v/>
      </c>
      <c r="O355" s="177" t="str">
        <f t="shared" si="259"/>
        <v>BossChallenge.gallius_1.skill01</v>
      </c>
      <c r="P355" s="83" t="str">
        <f t="shared" si="259"/>
        <v>BossChallenge.gallius_1.skill02</v>
      </c>
      <c r="Q355" s="83" t="str">
        <f t="shared" si="259"/>
        <v>BossChallenge.gallius_1.passive01</v>
      </c>
      <c r="R355" s="83" t="str">
        <f t="shared" si="259"/>
        <v/>
      </c>
      <c r="S355" s="83" t="str">
        <f t="shared" si="259"/>
        <v>Boss.Common.Immun</v>
      </c>
      <c r="T355" s="83" t="str">
        <f t="shared" si="259"/>
        <v/>
      </c>
      <c r="U355" s="83" t="str">
        <f t="shared" si="259"/>
        <v/>
      </c>
      <c r="V355" s="81" t="b">
        <f t="shared" si="259"/>
        <v>0</v>
      </c>
      <c r="W355" s="81" t="str">
        <f t="shared" si="259"/>
        <v>Character/Prefabs/m_boss_tanker_gallius_1</v>
      </c>
      <c r="X355" s="81" t="str">
        <f t="shared" si="259"/>
        <v/>
      </c>
      <c r="Y355" s="81" t="str">
        <f t="shared" si="259"/>
        <v>m_boss_tanker_gallius_1</v>
      </c>
      <c r="Z355" s="81" t="str">
        <f t="shared" si="259"/>
        <v/>
      </c>
      <c r="AA355" s="81" t="str">
        <f t="shared" si="259"/>
        <v/>
      </c>
      <c r="AB355" s="81" t="str">
        <f t="shared" si="259"/>
        <v/>
      </c>
      <c r="AC355" s="96">
        <f t="shared" si="259"/>
        <v>1.3</v>
      </c>
      <c r="AD355" s="81" t="str">
        <f t="shared" si="259"/>
        <v/>
      </c>
      <c r="AE355" s="81" t="str">
        <f t="shared" si="259"/>
        <v>Character/Timeline/02_MON/trooper_boss/appearance</v>
      </c>
      <c r="AF355" s="81" t="str">
        <f t="shared" si="259"/>
        <v>Character/Timeline/02_MON/trooper_boss/die</v>
      </c>
      <c r="AG355" s="173" t="s">
        <v>2763</v>
      </c>
    </row>
    <row r="356" spans="1:33" x14ac:dyDescent="0.3">
      <c r="A356" s="81">
        <f t="shared" si="240"/>
        <v>1411301002</v>
      </c>
      <c r="B356" s="81" t="str">
        <f t="shared" ref="B356:AF356" si="260">IF(B245 &lt;&gt; "", B245, "")</f>
        <v>BossChallenge</v>
      </c>
      <c r="C356" s="81" t="str">
        <f t="shared" si="260"/>
        <v>강화갤리어스</v>
      </c>
      <c r="D356" s="81" t="str">
        <f t="shared" si="260"/>
        <v>Monster.Name.gallius_2</v>
      </c>
      <c r="E356" s="81" t="str">
        <f t="shared" si="260"/>
        <v>Tanker</v>
      </c>
      <c r="F356" s="82" t="str">
        <f t="shared" si="260"/>
        <v>Fac_nul_ind</v>
      </c>
      <c r="G356" s="81" t="str">
        <f t="shared" si="260"/>
        <v>TRUE</v>
      </c>
      <c r="H356" s="81" t="b">
        <f t="shared" si="260"/>
        <v>1</v>
      </c>
      <c r="I356" s="81" t="b">
        <f t="shared" si="260"/>
        <v>1</v>
      </c>
      <c r="J356" s="81">
        <f t="shared" si="260"/>
        <v>10</v>
      </c>
      <c r="K356" s="81">
        <f t="shared" si="260"/>
        <v>10</v>
      </c>
      <c r="L356" s="81" t="str">
        <f t="shared" si="260"/>
        <v>BossChallenge.gallius_2.attack01</v>
      </c>
      <c r="M356" s="81" t="str">
        <f t="shared" si="260"/>
        <v/>
      </c>
      <c r="N356" s="81" t="str">
        <f t="shared" si="260"/>
        <v/>
      </c>
      <c r="O356" s="177" t="str">
        <f t="shared" si="260"/>
        <v>BossChallenge.gallius_2.skill01</v>
      </c>
      <c r="P356" s="83" t="str">
        <f t="shared" si="260"/>
        <v>BossChallenge.gallius_2.skill02</v>
      </c>
      <c r="Q356" s="83" t="str">
        <f t="shared" si="260"/>
        <v>BossChallenge.gallius_2.skill03</v>
      </c>
      <c r="R356" s="83" t="str">
        <f t="shared" si="260"/>
        <v>BossChallenge.gallius_2.passive01</v>
      </c>
      <c r="S356" s="83" t="str">
        <f t="shared" si="260"/>
        <v>Boss.Common.Immun</v>
      </c>
      <c r="T356" s="83" t="str">
        <f t="shared" si="260"/>
        <v/>
      </c>
      <c r="U356" s="83" t="str">
        <f t="shared" si="260"/>
        <v/>
      </c>
      <c r="V356" s="81" t="b">
        <f t="shared" si="260"/>
        <v>0</v>
      </c>
      <c r="W356" s="81" t="str">
        <f t="shared" si="260"/>
        <v>Character/Prefabs/m_boss_tanker_gallius_2</v>
      </c>
      <c r="X356" s="81" t="str">
        <f t="shared" si="260"/>
        <v/>
      </c>
      <c r="Y356" s="81" t="str">
        <f t="shared" si="260"/>
        <v>m_boss_tanker_gallius_2</v>
      </c>
      <c r="Z356" s="81" t="str">
        <f t="shared" si="260"/>
        <v/>
      </c>
      <c r="AA356" s="81" t="str">
        <f t="shared" si="260"/>
        <v/>
      </c>
      <c r="AB356" s="81" t="str">
        <f t="shared" si="260"/>
        <v/>
      </c>
      <c r="AC356" s="96">
        <f t="shared" si="260"/>
        <v>1.3</v>
      </c>
      <c r="AD356" s="81" t="str">
        <f t="shared" si="260"/>
        <v/>
      </c>
      <c r="AE356" s="81" t="str">
        <f t="shared" si="260"/>
        <v>Character/Timeline/02_MON/gallius_2/trooper_boss_appearance_2</v>
      </c>
      <c r="AF356" s="81" t="str">
        <f t="shared" si="260"/>
        <v>Character/Timeline/02_MON/gallius_2/trooper_boss_die_2</v>
      </c>
      <c r="AG356" s="173" t="s">
        <v>2763</v>
      </c>
    </row>
    <row r="357" spans="1:33" x14ac:dyDescent="0.3">
      <c r="A357" s="81">
        <f t="shared" si="240"/>
        <v>1411301011</v>
      </c>
      <c r="B357" s="81" t="str">
        <f t="shared" ref="B357:AF357" si="261">IF(B246 &lt;&gt; "", B246, "")</f>
        <v>BossChallenge</v>
      </c>
      <c r="C357" s="81" t="str">
        <f t="shared" si="261"/>
        <v>카산드라</v>
      </c>
      <c r="D357" s="81" t="str">
        <f t="shared" si="261"/>
        <v>Monster.Name.cassandra_1</v>
      </c>
      <c r="E357" s="81" t="str">
        <f t="shared" si="261"/>
        <v>Ranger</v>
      </c>
      <c r="F357" s="82" t="str">
        <f t="shared" si="261"/>
        <v>Fac_nul_ind</v>
      </c>
      <c r="G357" s="81" t="str">
        <f t="shared" si="261"/>
        <v>TRUE</v>
      </c>
      <c r="H357" s="81" t="b">
        <f t="shared" si="261"/>
        <v>1</v>
      </c>
      <c r="I357" s="81" t="b">
        <f t="shared" si="261"/>
        <v>1</v>
      </c>
      <c r="J357" s="81">
        <f t="shared" si="261"/>
        <v>20</v>
      </c>
      <c r="K357" s="81">
        <f t="shared" si="261"/>
        <v>10</v>
      </c>
      <c r="L357" s="81" t="str">
        <f t="shared" si="261"/>
        <v>BossChallenge.cassandra_1.attack01</v>
      </c>
      <c r="M357" s="81" t="str">
        <f t="shared" si="261"/>
        <v/>
      </c>
      <c r="N357" s="81" t="str">
        <f t="shared" si="261"/>
        <v/>
      </c>
      <c r="O357" s="177" t="str">
        <f t="shared" si="261"/>
        <v>BossChallenge.cassandra_1.skill01</v>
      </c>
      <c r="P357" s="83" t="str">
        <f t="shared" si="261"/>
        <v>BossChallenge.cassandra_1.skill02</v>
      </c>
      <c r="Q357" s="83" t="str">
        <f t="shared" si="261"/>
        <v>BossChallenge.cassandra_1.passive01</v>
      </c>
      <c r="R357" s="83" t="str">
        <f t="shared" si="261"/>
        <v/>
      </c>
      <c r="S357" s="83" t="str">
        <f t="shared" si="261"/>
        <v>Boss.Common.Immun</v>
      </c>
      <c r="T357" s="83" t="str">
        <f t="shared" si="261"/>
        <v/>
      </c>
      <c r="U357" s="83" t="str">
        <f t="shared" si="261"/>
        <v/>
      </c>
      <c r="V357" s="81" t="b">
        <f t="shared" si="261"/>
        <v>0</v>
      </c>
      <c r="W357" s="81" t="str">
        <f t="shared" si="261"/>
        <v>Character/Prefabs/m_boss_ranger_cassandra_1</v>
      </c>
      <c r="X357" s="81" t="str">
        <f t="shared" si="261"/>
        <v/>
      </c>
      <c r="Y357" s="81" t="str">
        <f t="shared" si="261"/>
        <v>m_boss_ranger_cassandra_1</v>
      </c>
      <c r="Z357" s="81" t="str">
        <f t="shared" si="261"/>
        <v/>
      </c>
      <c r="AA357" s="81" t="str">
        <f t="shared" si="261"/>
        <v/>
      </c>
      <c r="AB357" s="81" t="str">
        <f t="shared" si="261"/>
        <v/>
      </c>
      <c r="AC357" s="96">
        <f t="shared" si="261"/>
        <v>0.9</v>
      </c>
      <c r="AD357" s="81" t="str">
        <f t="shared" si="261"/>
        <v/>
      </c>
      <c r="AE357" s="81" t="str">
        <f t="shared" si="261"/>
        <v>Character/Timeline/02_MON/cassandra/appearance</v>
      </c>
      <c r="AF357" s="81" t="str">
        <f t="shared" si="261"/>
        <v>Character/Timeline/02_MON/cassandra/die</v>
      </c>
      <c r="AG357" s="173" t="s">
        <v>2763</v>
      </c>
    </row>
    <row r="358" spans="1:33" x14ac:dyDescent="0.3">
      <c r="A358" s="81">
        <f t="shared" si="240"/>
        <v>1411301012</v>
      </c>
      <c r="B358" s="81" t="str">
        <f t="shared" ref="B358:AF358" si="262">IF(B247 &lt;&gt; "", B247, "")</f>
        <v>BossChallenge</v>
      </c>
      <c r="C358" s="81" t="str">
        <f t="shared" si="262"/>
        <v>강화카산드라</v>
      </c>
      <c r="D358" s="81" t="str">
        <f t="shared" si="262"/>
        <v>Monster.Name.cassandra_2</v>
      </c>
      <c r="E358" s="81" t="str">
        <f t="shared" si="262"/>
        <v>Ranger</v>
      </c>
      <c r="F358" s="82" t="str">
        <f t="shared" si="262"/>
        <v>Fac_nul_ind</v>
      </c>
      <c r="G358" s="81" t="str">
        <f t="shared" si="262"/>
        <v>TRUE</v>
      </c>
      <c r="H358" s="81" t="b">
        <f t="shared" si="262"/>
        <v>1</v>
      </c>
      <c r="I358" s="81" t="b">
        <f t="shared" si="262"/>
        <v>1</v>
      </c>
      <c r="J358" s="81">
        <f t="shared" si="262"/>
        <v>20</v>
      </c>
      <c r="K358" s="81">
        <f t="shared" si="262"/>
        <v>10</v>
      </c>
      <c r="L358" s="81" t="str">
        <f t="shared" si="262"/>
        <v>BossChallenge.cassandra_2.attack01</v>
      </c>
      <c r="M358" s="81" t="str">
        <f t="shared" si="262"/>
        <v/>
      </c>
      <c r="N358" s="81" t="str">
        <f t="shared" si="262"/>
        <v/>
      </c>
      <c r="O358" s="177" t="str">
        <f t="shared" si="262"/>
        <v>BossChallenge.cassandra_2.skill01</v>
      </c>
      <c r="P358" s="83" t="str">
        <f t="shared" si="262"/>
        <v>BossChallenge.cassandra_2.skill02</v>
      </c>
      <c r="Q358" s="83" t="str">
        <f t="shared" si="262"/>
        <v>BossChallenge.cassandra_2.skill03</v>
      </c>
      <c r="R358" s="83" t="str">
        <f t="shared" si="262"/>
        <v>BossChallenge.cassandra_2.passive01</v>
      </c>
      <c r="S358" s="83" t="str">
        <f t="shared" si="262"/>
        <v>Boss.Common.Immun</v>
      </c>
      <c r="T358" s="83" t="str">
        <f t="shared" si="262"/>
        <v/>
      </c>
      <c r="U358" s="83" t="str">
        <f t="shared" si="262"/>
        <v/>
      </c>
      <c r="V358" s="81" t="b">
        <f t="shared" si="262"/>
        <v>0</v>
      </c>
      <c r="W358" s="81" t="str">
        <f t="shared" si="262"/>
        <v>Character/Prefabs/m_boss_ranger_cassandra_2</v>
      </c>
      <c r="X358" s="81" t="str">
        <f t="shared" si="262"/>
        <v/>
      </c>
      <c r="Y358" s="81" t="str">
        <f t="shared" si="262"/>
        <v>m_boss_ranger_cassandra_2</v>
      </c>
      <c r="Z358" s="81" t="str">
        <f t="shared" si="262"/>
        <v/>
      </c>
      <c r="AA358" s="81" t="str">
        <f t="shared" si="262"/>
        <v/>
      </c>
      <c r="AB358" s="81" t="str">
        <f t="shared" si="262"/>
        <v/>
      </c>
      <c r="AC358" s="96">
        <f t="shared" si="262"/>
        <v>0.9</v>
      </c>
      <c r="AD358" s="81" t="str">
        <f t="shared" si="262"/>
        <v/>
      </c>
      <c r="AE358" s="81" t="str">
        <f t="shared" si="262"/>
        <v>Character/Timeline/02_MON/cassandra/appearance2</v>
      </c>
      <c r="AF358" s="81" t="str">
        <f t="shared" si="262"/>
        <v>Character/Timeline/02_MON/cassandra/die2</v>
      </c>
      <c r="AG358" s="173" t="s">
        <v>2763</v>
      </c>
    </row>
    <row r="359" spans="1:33" x14ac:dyDescent="0.3">
      <c r="A359" s="81">
        <f t="shared" si="240"/>
        <v>1411301021</v>
      </c>
      <c r="B359" s="81" t="str">
        <f t="shared" ref="B359:AF359" si="263">IF(B248 &lt;&gt; "", B248, "")</f>
        <v>BossChallenge</v>
      </c>
      <c r="C359" s="81" t="str">
        <f t="shared" si="263"/>
        <v>디오메가</v>
      </c>
      <c r="D359" s="81" t="str">
        <f t="shared" si="263"/>
        <v>Monster.Name.theomega_1</v>
      </c>
      <c r="E359" s="81" t="str">
        <f t="shared" si="263"/>
        <v>Attacker</v>
      </c>
      <c r="F359" s="82" t="str">
        <f t="shared" si="263"/>
        <v>Fac_nul_ind</v>
      </c>
      <c r="G359" s="81" t="str">
        <f t="shared" si="263"/>
        <v>TRUE</v>
      </c>
      <c r="H359" s="81" t="b">
        <f t="shared" si="263"/>
        <v>1</v>
      </c>
      <c r="I359" s="81" t="b">
        <f t="shared" si="263"/>
        <v>1</v>
      </c>
      <c r="J359" s="81">
        <f t="shared" si="263"/>
        <v>20</v>
      </c>
      <c r="K359" s="81">
        <f t="shared" si="263"/>
        <v>10</v>
      </c>
      <c r="L359" s="81" t="str">
        <f t="shared" si="263"/>
        <v>BossChallenge.theomega_1.attack01</v>
      </c>
      <c r="M359" s="81" t="str">
        <f t="shared" si="263"/>
        <v/>
      </c>
      <c r="N359" s="81" t="str">
        <f t="shared" si="263"/>
        <v/>
      </c>
      <c r="O359" s="177" t="str">
        <f t="shared" si="263"/>
        <v>BossChallenge.theomega_1.skill01</v>
      </c>
      <c r="P359" s="83" t="str">
        <f t="shared" si="263"/>
        <v>BossChallenge.theomega_1.skill02</v>
      </c>
      <c r="Q359" s="83" t="str">
        <f t="shared" si="263"/>
        <v>BossChallenge.theomega_1.skill03</v>
      </c>
      <c r="R359" s="83" t="str">
        <f t="shared" si="263"/>
        <v>BossChallenge.theomega_1.passive01</v>
      </c>
      <c r="S359" s="83" t="str">
        <f t="shared" si="263"/>
        <v>Boss.Common.Immun</v>
      </c>
      <c r="T359" s="83" t="str">
        <f t="shared" si="263"/>
        <v/>
      </c>
      <c r="U359" s="83" t="str">
        <f t="shared" si="263"/>
        <v/>
      </c>
      <c r="V359" s="81" t="b">
        <f t="shared" si="263"/>
        <v>0</v>
      </c>
      <c r="W359" s="81" t="str">
        <f t="shared" si="263"/>
        <v>Character/Prefabs/m_boss_attacker_theomega_1</v>
      </c>
      <c r="X359" s="81" t="str">
        <f t="shared" si="263"/>
        <v/>
      </c>
      <c r="Y359" s="81" t="str">
        <f t="shared" si="263"/>
        <v>m_boss_attacker_theomega_1</v>
      </c>
      <c r="Z359" s="81" t="str">
        <f t="shared" si="263"/>
        <v/>
      </c>
      <c r="AA359" s="81" t="str">
        <f t="shared" si="263"/>
        <v/>
      </c>
      <c r="AB359" s="81" t="str">
        <f t="shared" si="263"/>
        <v/>
      </c>
      <c r="AC359" s="96">
        <f t="shared" si="263"/>
        <v>0.9</v>
      </c>
      <c r="AD359" s="81" t="str">
        <f t="shared" si="263"/>
        <v/>
      </c>
      <c r="AE359" s="81" t="str">
        <f t="shared" si="263"/>
        <v>Character/Timeline/02_MON/boss3/appearance</v>
      </c>
      <c r="AF359" s="81" t="str">
        <f t="shared" si="263"/>
        <v>Character/Timeline/02_MON/boss3/die</v>
      </c>
      <c r="AG359" s="173" t="s">
        <v>2763</v>
      </c>
    </row>
    <row r="360" spans="1:33" x14ac:dyDescent="0.3">
      <c r="A360" s="81">
        <f t="shared" si="240"/>
        <v>1411301022</v>
      </c>
      <c r="B360" s="81" t="str">
        <f t="shared" ref="B360:AF360" si="264">IF(B249 &lt;&gt; "", B249, "")</f>
        <v>BossChallenge</v>
      </c>
      <c r="C360" s="81" t="str">
        <f t="shared" si="264"/>
        <v>강화디오메가</v>
      </c>
      <c r="D360" s="81" t="str">
        <f t="shared" si="264"/>
        <v>Monster.Name.theomega_3</v>
      </c>
      <c r="E360" s="81" t="str">
        <f t="shared" si="264"/>
        <v>Attacker</v>
      </c>
      <c r="F360" s="82" t="str">
        <f t="shared" si="264"/>
        <v>Fac_nul_ind</v>
      </c>
      <c r="G360" s="81" t="str">
        <f t="shared" si="264"/>
        <v>TRUE</v>
      </c>
      <c r="H360" s="81" t="b">
        <f t="shared" si="264"/>
        <v>1</v>
      </c>
      <c r="I360" s="81" t="b">
        <f t="shared" si="264"/>
        <v>1</v>
      </c>
      <c r="J360" s="81">
        <f t="shared" si="264"/>
        <v>20</v>
      </c>
      <c r="K360" s="81">
        <f t="shared" si="264"/>
        <v>10</v>
      </c>
      <c r="L360" s="81" t="str">
        <f t="shared" si="264"/>
        <v>BossChallenge.theomega_3.attack01</v>
      </c>
      <c r="M360" s="81" t="str">
        <f t="shared" si="264"/>
        <v>BossChallenge.theomega_3.attack02</v>
      </c>
      <c r="N360" s="81" t="str">
        <f t="shared" si="264"/>
        <v/>
      </c>
      <c r="O360" s="177" t="str">
        <f t="shared" si="264"/>
        <v>BossChallenge.theomega_3.skill01</v>
      </c>
      <c r="P360" s="83" t="str">
        <f t="shared" si="264"/>
        <v>BossChallenge.theomega_3.skill02</v>
      </c>
      <c r="Q360" s="83" t="str">
        <f t="shared" si="264"/>
        <v>BossChallenge.theomega_3.skill03</v>
      </c>
      <c r="R360" s="83" t="str">
        <f t="shared" si="264"/>
        <v>BossChallenge.theomega_3.skill04</v>
      </c>
      <c r="S360" s="83" t="str">
        <f t="shared" si="264"/>
        <v>BossChallenge.theomega_3.passive01</v>
      </c>
      <c r="T360" s="83" t="str">
        <f t="shared" si="264"/>
        <v/>
      </c>
      <c r="U360" s="83" t="str">
        <f t="shared" si="264"/>
        <v/>
      </c>
      <c r="V360" s="81" t="b">
        <f t="shared" si="264"/>
        <v>0</v>
      </c>
      <c r="W360" s="81" t="str">
        <f t="shared" si="264"/>
        <v>Character/Prefabs/m_boss_attacker_theomega_3</v>
      </c>
      <c r="X360" s="81" t="str">
        <f t="shared" si="264"/>
        <v/>
      </c>
      <c r="Y360" s="81" t="str">
        <f t="shared" si="264"/>
        <v>m_boss_attacker_theomega_3</v>
      </c>
      <c r="Z360" s="81" t="str">
        <f t="shared" si="264"/>
        <v/>
      </c>
      <c r="AA360" s="81" t="str">
        <f t="shared" si="264"/>
        <v/>
      </c>
      <c r="AB360" s="81" t="str">
        <f t="shared" si="264"/>
        <v/>
      </c>
      <c r="AC360" s="96">
        <f t="shared" si="264"/>
        <v>0.9</v>
      </c>
      <c r="AD360" s="81" t="str">
        <f t="shared" si="264"/>
        <v/>
      </c>
      <c r="AE360" s="81" t="str">
        <f t="shared" si="264"/>
        <v>Character/Timeline/02_MON/boss3/appearance_2</v>
      </c>
      <c r="AF360" s="81" t="str">
        <f t="shared" si="264"/>
        <v>Character/Timeline/02_MON/boss3/die_2</v>
      </c>
      <c r="AG360" s="173" t="s">
        <v>2763</v>
      </c>
    </row>
    <row r="361" spans="1:33" x14ac:dyDescent="0.3">
      <c r="A361" s="81">
        <f t="shared" si="240"/>
        <v>1411301031</v>
      </c>
      <c r="B361" s="81" t="str">
        <f t="shared" ref="B361:AF361" si="265">IF(B250 &lt;&gt; "", B250, "")</f>
        <v>BossChallenge</v>
      </c>
      <c r="C361" s="81" t="str">
        <f t="shared" si="265"/>
        <v>널엑스</v>
      </c>
      <c r="D361" s="81" t="str">
        <f t="shared" si="265"/>
        <v>Monster.Name.nullaxe_1</v>
      </c>
      <c r="E361" s="81" t="str">
        <f t="shared" si="265"/>
        <v>Attacker</v>
      </c>
      <c r="F361" s="82" t="str">
        <f t="shared" si="265"/>
        <v>Fac_nul_ind</v>
      </c>
      <c r="G361" s="81" t="str">
        <f t="shared" si="265"/>
        <v>TRUE</v>
      </c>
      <c r="H361" s="81" t="b">
        <f t="shared" si="265"/>
        <v>1</v>
      </c>
      <c r="I361" s="81" t="b">
        <f t="shared" si="265"/>
        <v>1</v>
      </c>
      <c r="J361" s="81">
        <f t="shared" si="265"/>
        <v>10</v>
      </c>
      <c r="K361" s="81">
        <f t="shared" si="265"/>
        <v>10</v>
      </c>
      <c r="L361" s="81" t="str">
        <f t="shared" si="265"/>
        <v>BossChallenge.nullaxe_1.attack01</v>
      </c>
      <c r="M361" s="81" t="str">
        <f t="shared" si="265"/>
        <v>BossChallenge.nullaxe_1.attack02</v>
      </c>
      <c r="N361" s="81" t="str">
        <f t="shared" si="265"/>
        <v/>
      </c>
      <c r="O361" s="177" t="str">
        <f t="shared" si="265"/>
        <v>BossChallenge.nullaxe_1.skill01</v>
      </c>
      <c r="P361" s="83" t="str">
        <f t="shared" si="265"/>
        <v>BossChallenge.nullaxe_1.skill02</v>
      </c>
      <c r="Q361" s="83" t="str">
        <f t="shared" si="265"/>
        <v>BossChallenge.nullaxe_1.skill03</v>
      </c>
      <c r="R361" s="83" t="str">
        <f t="shared" si="265"/>
        <v>BossChallenge.nullaxe_1.passive01</v>
      </c>
      <c r="S361" s="83" t="str">
        <f t="shared" si="265"/>
        <v>Boss.Common.Immun</v>
      </c>
      <c r="T361" s="83" t="str">
        <f t="shared" si="265"/>
        <v/>
      </c>
      <c r="U361" s="83" t="str">
        <f t="shared" si="265"/>
        <v/>
      </c>
      <c r="V361" s="81" t="b">
        <f t="shared" si="265"/>
        <v>0</v>
      </c>
      <c r="W361" s="81" t="str">
        <f t="shared" si="265"/>
        <v>Character/Prefabs/m_boss_attacker_nullaxe_1</v>
      </c>
      <c r="X361" s="81" t="str">
        <f t="shared" si="265"/>
        <v/>
      </c>
      <c r="Y361" s="81" t="str">
        <f t="shared" si="265"/>
        <v>m_boss_attacker_nullaxe_1</v>
      </c>
      <c r="Z361" s="81" t="str">
        <f t="shared" si="265"/>
        <v/>
      </c>
      <c r="AA361" s="81" t="str">
        <f t="shared" si="265"/>
        <v/>
      </c>
      <c r="AB361" s="81" t="str">
        <f t="shared" si="265"/>
        <v/>
      </c>
      <c r="AC361" s="96">
        <f t="shared" si="265"/>
        <v>1.6</v>
      </c>
      <c r="AD361" s="81" t="str">
        <f t="shared" si="265"/>
        <v/>
      </c>
      <c r="AE361" s="81" t="str">
        <f t="shared" si="265"/>
        <v>Character/Timeline/02_MON/nullaxe/appearance</v>
      </c>
      <c r="AF361" s="81" t="str">
        <f t="shared" si="265"/>
        <v>Character/Timeline/02_MON/nullaxe/die</v>
      </c>
      <c r="AG361" s="173" t="s">
        <v>2763</v>
      </c>
    </row>
    <row r="362" spans="1:33" x14ac:dyDescent="0.3">
      <c r="A362" s="81">
        <f t="shared" si="240"/>
        <v>1411301032</v>
      </c>
      <c r="B362" s="81" t="str">
        <f t="shared" ref="B362:AF362" si="266">IF(B251 &lt;&gt; "", B251, "")</f>
        <v>BossChallenge</v>
      </c>
      <c r="C362" s="81" t="str">
        <f t="shared" si="266"/>
        <v>강화널엑스</v>
      </c>
      <c r="D362" s="81" t="str">
        <f t="shared" si="266"/>
        <v>Monster.Name.nullaxe_2</v>
      </c>
      <c r="E362" s="81" t="str">
        <f t="shared" si="266"/>
        <v>Attacker</v>
      </c>
      <c r="F362" s="82" t="str">
        <f t="shared" si="266"/>
        <v>Fac_nul_ind</v>
      </c>
      <c r="G362" s="81" t="str">
        <f t="shared" si="266"/>
        <v>TRUE</v>
      </c>
      <c r="H362" s="81" t="b">
        <f t="shared" si="266"/>
        <v>1</v>
      </c>
      <c r="I362" s="81" t="b">
        <f t="shared" si="266"/>
        <v>1</v>
      </c>
      <c r="J362" s="81">
        <f t="shared" si="266"/>
        <v>10</v>
      </c>
      <c r="K362" s="81">
        <f t="shared" si="266"/>
        <v>10</v>
      </c>
      <c r="L362" s="81" t="str">
        <f t="shared" si="266"/>
        <v>BossChallenge.nullaxe_2.attack01</v>
      </c>
      <c r="M362" s="81" t="str">
        <f t="shared" si="266"/>
        <v>BossChallenge.nullaxe_2.attack02</v>
      </c>
      <c r="N362" s="81" t="str">
        <f t="shared" si="266"/>
        <v/>
      </c>
      <c r="O362" s="177" t="str">
        <f t="shared" si="266"/>
        <v>BossChallenge.nullaxe_2.skill01</v>
      </c>
      <c r="P362" s="83" t="str">
        <f t="shared" si="266"/>
        <v>BossChallenge.nullaxe_2.skill02</v>
      </c>
      <c r="Q362" s="83" t="str">
        <f t="shared" si="266"/>
        <v>BossChallenge.nullaxe_2.skill03</v>
      </c>
      <c r="R362" s="83" t="str">
        <f t="shared" si="266"/>
        <v>BossChallenge.nullaxe_2.passive01</v>
      </c>
      <c r="S362" s="83" t="str">
        <f t="shared" si="266"/>
        <v>BossChallenge.nullaxe_2.passive02</v>
      </c>
      <c r="T362" s="83" t="str">
        <f t="shared" si="266"/>
        <v/>
      </c>
      <c r="U362" s="83" t="str">
        <f t="shared" si="266"/>
        <v/>
      </c>
      <c r="V362" s="81" t="b">
        <f t="shared" si="266"/>
        <v>0</v>
      </c>
      <c r="W362" s="81" t="str">
        <f t="shared" si="266"/>
        <v>Character/Prefabs/m_boss_attacker_nullaxe_2</v>
      </c>
      <c r="X362" s="81" t="str">
        <f t="shared" si="266"/>
        <v/>
      </c>
      <c r="Y362" s="81" t="str">
        <f t="shared" si="266"/>
        <v>m_boss_attacker_nullaxe_2</v>
      </c>
      <c r="Z362" s="81" t="str">
        <f t="shared" si="266"/>
        <v/>
      </c>
      <c r="AA362" s="81" t="str">
        <f t="shared" si="266"/>
        <v/>
      </c>
      <c r="AB362" s="81" t="str">
        <f t="shared" si="266"/>
        <v/>
      </c>
      <c r="AC362" s="96">
        <f t="shared" si="266"/>
        <v>1.6</v>
      </c>
      <c r="AD362" s="81" t="str">
        <f t="shared" si="266"/>
        <v/>
      </c>
      <c r="AE362" s="81" t="str">
        <f t="shared" si="266"/>
        <v>Character/Timeline/02_MON/nullaxe/appearance_2new</v>
      </c>
      <c r="AF362" s="81" t="str">
        <f t="shared" si="266"/>
        <v>Character/Timeline/02_MON/nullaxe/die_2new</v>
      </c>
      <c r="AG362" s="173" t="s">
        <v>2763</v>
      </c>
    </row>
    <row r="363" spans="1:33" x14ac:dyDescent="0.3">
      <c r="A363" s="81">
        <f t="shared" si="240"/>
        <v>1411301041</v>
      </c>
      <c r="B363" s="81" t="str">
        <f t="shared" ref="B363:AF363" si="267">IF(B252 &lt;&gt; "", B252, "")</f>
        <v>BossChallenge</v>
      </c>
      <c r="C363" s="81" t="str">
        <f t="shared" si="267"/>
        <v>로열퀸</v>
      </c>
      <c r="D363" s="81" t="str">
        <f t="shared" si="267"/>
        <v>Monster.Name.clock_royal_queen_1</v>
      </c>
      <c r="E363" s="81" t="str">
        <f t="shared" si="267"/>
        <v>Attacker</v>
      </c>
      <c r="F363" s="82" t="str">
        <f t="shared" si="267"/>
        <v>Fac_nul_ind</v>
      </c>
      <c r="G363" s="81" t="str">
        <f t="shared" si="267"/>
        <v>TRUE</v>
      </c>
      <c r="H363" s="81" t="b">
        <f t="shared" si="267"/>
        <v>1</v>
      </c>
      <c r="I363" s="81" t="b">
        <f t="shared" si="267"/>
        <v>1</v>
      </c>
      <c r="J363" s="81">
        <f t="shared" si="267"/>
        <v>10</v>
      </c>
      <c r="K363" s="81">
        <f t="shared" si="267"/>
        <v>10</v>
      </c>
      <c r="L363" s="81" t="str">
        <f t="shared" si="267"/>
        <v>BossChallenge.clock_royal_queen_1.attack01</v>
      </c>
      <c r="M363" s="81" t="str">
        <f t="shared" si="267"/>
        <v>BossChallenge.clock_royal_queen_1.attack02</v>
      </c>
      <c r="N363" s="81" t="str">
        <f t="shared" si="267"/>
        <v/>
      </c>
      <c r="O363" s="177" t="str">
        <f t="shared" si="267"/>
        <v>BossChallenge.clock_royal_queen_1.skill01</v>
      </c>
      <c r="P363" s="83" t="str">
        <f t="shared" si="267"/>
        <v>BossChallenge.clock_royal_queen_1.skill02</v>
      </c>
      <c r="Q363" s="83" t="str">
        <f t="shared" si="267"/>
        <v>BossChallenge.clock_royal_queen_1.skill03</v>
      </c>
      <c r="R363" s="83" t="str">
        <f t="shared" si="267"/>
        <v>BossChallenge.clock_royal_queen_1.passive01</v>
      </c>
      <c r="S363" s="83" t="str">
        <f t="shared" si="267"/>
        <v>Boss.Common.Immun</v>
      </c>
      <c r="T363" s="83" t="str">
        <f t="shared" si="267"/>
        <v/>
      </c>
      <c r="U363" s="83" t="str">
        <f t="shared" si="267"/>
        <v/>
      </c>
      <c r="V363" s="81" t="b">
        <f t="shared" si="267"/>
        <v>0</v>
      </c>
      <c r="W363" s="170" t="str">
        <f t="shared" si="267"/>
        <v>Character/Prefabs/m_boss_attacker_clock_royal_queen_1</v>
      </c>
      <c r="X363" s="81" t="str">
        <f t="shared" si="267"/>
        <v/>
      </c>
      <c r="Y363" s="81" t="str">
        <f t="shared" si="267"/>
        <v>m_boss_attacker_clock_royal_queen_1</v>
      </c>
      <c r="Z363" s="81" t="str">
        <f t="shared" si="267"/>
        <v/>
      </c>
      <c r="AA363" s="81" t="str">
        <f t="shared" si="267"/>
        <v/>
      </c>
      <c r="AB363" s="81" t="str">
        <f t="shared" si="267"/>
        <v/>
      </c>
      <c r="AC363" s="96">
        <f t="shared" si="267"/>
        <v>0.9</v>
      </c>
      <c r="AD363" s="81" t="str">
        <f t="shared" si="267"/>
        <v/>
      </c>
      <c r="AE363" s="81" t="str">
        <f t="shared" si="267"/>
        <v>Character/Timeline/02_MON/royal_queen_1/appearance</v>
      </c>
      <c r="AF363" s="81" t="str">
        <f t="shared" si="267"/>
        <v>Character/Timeline/02_MON/royal_queen_1/die</v>
      </c>
      <c r="AG363" s="173" t="s">
        <v>2763</v>
      </c>
    </row>
    <row r="364" spans="1:33" x14ac:dyDescent="0.3">
      <c r="A364" s="81">
        <f t="shared" si="240"/>
        <v>1411301042</v>
      </c>
      <c r="B364" s="81" t="str">
        <f t="shared" ref="B364:AF364" si="268">IF(B253 &lt;&gt; "", B253, "")</f>
        <v>BossChallenge</v>
      </c>
      <c r="C364" s="81" t="str">
        <f t="shared" si="268"/>
        <v>강화로열퀸</v>
      </c>
      <c r="D364" s="81" t="str">
        <f t="shared" si="268"/>
        <v>Monster.Name.clock_royal_queen_2</v>
      </c>
      <c r="E364" s="81" t="str">
        <f t="shared" si="268"/>
        <v>Attacker</v>
      </c>
      <c r="F364" s="82" t="str">
        <f t="shared" si="268"/>
        <v>Fac_nul_ind</v>
      </c>
      <c r="G364" s="81" t="str">
        <f t="shared" si="268"/>
        <v>TRUE</v>
      </c>
      <c r="H364" s="81" t="b">
        <f t="shared" si="268"/>
        <v>1</v>
      </c>
      <c r="I364" s="81" t="b">
        <f t="shared" si="268"/>
        <v>1</v>
      </c>
      <c r="J364" s="81">
        <f t="shared" si="268"/>
        <v>10</v>
      </c>
      <c r="K364" s="81">
        <f t="shared" si="268"/>
        <v>10</v>
      </c>
      <c r="L364" s="81" t="str">
        <f t="shared" si="268"/>
        <v>BossChallenge.clock_royal_queen_2.attack01</v>
      </c>
      <c r="M364" s="81" t="str">
        <f t="shared" si="268"/>
        <v>BossChallenge.clock_royal_queen_2.attack02</v>
      </c>
      <c r="N364" s="81" t="str">
        <f t="shared" si="268"/>
        <v/>
      </c>
      <c r="O364" s="177" t="str">
        <f t="shared" si="268"/>
        <v>BossChallenge.clock_royal_queen_2.skill01</v>
      </c>
      <c r="P364" s="83" t="str">
        <f t="shared" si="268"/>
        <v>BossChallenge.clock_royal_queen_2.skill02</v>
      </c>
      <c r="Q364" s="83" t="str">
        <f t="shared" si="268"/>
        <v>BossChallenge.clock_royal_queen_2.skill03</v>
      </c>
      <c r="R364" s="83" t="str">
        <f t="shared" si="268"/>
        <v>BossChallenge.clock_royal_queen_1.passive01</v>
      </c>
      <c r="S364" s="83" t="str">
        <f t="shared" si="268"/>
        <v>Boss.Common.Immun</v>
      </c>
      <c r="T364" s="83" t="str">
        <f t="shared" si="268"/>
        <v/>
      </c>
      <c r="U364" s="83" t="str">
        <f t="shared" si="268"/>
        <v/>
      </c>
      <c r="V364" s="81" t="b">
        <f t="shared" si="268"/>
        <v>0</v>
      </c>
      <c r="W364" s="170" t="str">
        <f t="shared" si="268"/>
        <v>Character/Prefabs/m_boss_attacker_clock_royal_queen_2</v>
      </c>
      <c r="X364" s="163" t="str">
        <f t="shared" si="268"/>
        <v/>
      </c>
      <c r="Y364" s="163" t="str">
        <f t="shared" si="268"/>
        <v>m_boss_attacker_clock_royal_queen_1</v>
      </c>
      <c r="Z364" s="81" t="str">
        <f t="shared" si="268"/>
        <v/>
      </c>
      <c r="AA364" s="81" t="str">
        <f t="shared" si="268"/>
        <v/>
      </c>
      <c r="AB364" s="81" t="str">
        <f t="shared" si="268"/>
        <v/>
      </c>
      <c r="AC364" s="96">
        <f t="shared" si="268"/>
        <v>1.3</v>
      </c>
      <c r="AD364" s="81" t="str">
        <f t="shared" si="268"/>
        <v/>
      </c>
      <c r="AE364" s="81" t="str">
        <f t="shared" si="268"/>
        <v>Character/Timeline/02_MON/royal_queen_2/appearance2</v>
      </c>
      <c r="AF364" s="81" t="str">
        <f t="shared" si="268"/>
        <v>Character/Timeline/02_MON/royal_queen_2/die2</v>
      </c>
      <c r="AG364" s="173" t="s">
        <v>2763</v>
      </c>
    </row>
    <row r="365" spans="1:33" x14ac:dyDescent="0.3">
      <c r="A365" s="81">
        <f t="shared" si="240"/>
        <v>1411301051</v>
      </c>
      <c r="B365" s="81" t="str">
        <f t="shared" ref="B365:AF365" si="269">IF(B254 &lt;&gt; "", B254, "")</f>
        <v>BossChallenge</v>
      </c>
      <c r="C365" s="81" t="str">
        <f t="shared" si="269"/>
        <v>톡식</v>
      </c>
      <c r="D365" s="81" t="str">
        <f t="shared" si="269"/>
        <v>Monster.Name.toxic_1</v>
      </c>
      <c r="E365" s="81" t="str">
        <f t="shared" si="269"/>
        <v>Attacker</v>
      </c>
      <c r="F365" s="82" t="str">
        <f t="shared" si="269"/>
        <v>Fac_nul_ind</v>
      </c>
      <c r="G365" s="81" t="str">
        <f t="shared" si="269"/>
        <v>TRUE</v>
      </c>
      <c r="H365" s="81" t="b">
        <f t="shared" si="269"/>
        <v>1</v>
      </c>
      <c r="I365" s="81" t="b">
        <f t="shared" si="269"/>
        <v>1</v>
      </c>
      <c r="J365" s="81">
        <f t="shared" si="269"/>
        <v>20</v>
      </c>
      <c r="K365" s="81">
        <f t="shared" si="269"/>
        <v>10</v>
      </c>
      <c r="L365" s="81" t="str">
        <f t="shared" si="269"/>
        <v>BossChallenge.toxic_1.attack01</v>
      </c>
      <c r="M365" s="81" t="str">
        <f t="shared" si="269"/>
        <v>BossChallenge.toxic_1.attack02</v>
      </c>
      <c r="N365" s="81" t="str">
        <f t="shared" si="269"/>
        <v/>
      </c>
      <c r="O365" s="177" t="str">
        <f t="shared" si="269"/>
        <v>BossChallenge.toxic_1.skill01</v>
      </c>
      <c r="P365" s="83" t="str">
        <f t="shared" si="269"/>
        <v>BossChallenge.toxic_1.skill02</v>
      </c>
      <c r="Q365" s="83" t="str">
        <f t="shared" si="269"/>
        <v>BossChallenge.toxic_1.skill03</v>
      </c>
      <c r="R365" s="83" t="str">
        <f t="shared" si="269"/>
        <v>BossChallenge.toxic_1.passive01</v>
      </c>
      <c r="S365" s="83" t="str">
        <f t="shared" si="269"/>
        <v>BossChallenge.toxic_1.passive02</v>
      </c>
      <c r="T365" s="83" t="str">
        <f t="shared" si="269"/>
        <v/>
      </c>
      <c r="U365" s="83" t="str">
        <f t="shared" si="269"/>
        <v/>
      </c>
      <c r="V365" s="81" t="b">
        <f t="shared" si="269"/>
        <v>0</v>
      </c>
      <c r="W365" s="170" t="str">
        <f t="shared" si="269"/>
        <v>Character/Prefabs/m_boss_attacker_toxic_1</v>
      </c>
      <c r="X365" s="81" t="str">
        <f t="shared" si="269"/>
        <v/>
      </c>
      <c r="Y365" s="81" t="str">
        <f t="shared" si="269"/>
        <v>m_boss_attacker_toxic_1</v>
      </c>
      <c r="Z365" s="81" t="str">
        <f t="shared" si="269"/>
        <v/>
      </c>
      <c r="AA365" s="81" t="str">
        <f t="shared" si="269"/>
        <v/>
      </c>
      <c r="AB365" s="81" t="str">
        <f t="shared" si="269"/>
        <v/>
      </c>
      <c r="AC365" s="96">
        <f t="shared" si="269"/>
        <v>1.1000000000000001</v>
      </c>
      <c r="AD365" s="81" t="str">
        <f t="shared" si="269"/>
        <v/>
      </c>
      <c r="AE365" s="81" t="str">
        <f t="shared" si="269"/>
        <v>Character/Timeline/02_MON/toxic_1/m_boss_attacker_toxic_1@appearance</v>
      </c>
      <c r="AF365" s="81" t="str">
        <f t="shared" si="269"/>
        <v>Character/Timeline/02_MON/toxic_1/m_boss_attacker_toxic_1@die</v>
      </c>
      <c r="AG365" s="173" t="s">
        <v>2763</v>
      </c>
    </row>
    <row r="366" spans="1:33" x14ac:dyDescent="0.3">
      <c r="A366" s="81">
        <f t="shared" si="240"/>
        <v>1411301052</v>
      </c>
      <c r="B366" s="81" t="str">
        <f t="shared" ref="B366:AF366" si="270">IF(B255 &lt;&gt; "", B255, "")</f>
        <v>BossChallenge</v>
      </c>
      <c r="C366" s="81" t="str">
        <f t="shared" si="270"/>
        <v>강화톡식</v>
      </c>
      <c r="D366" s="81" t="str">
        <f t="shared" si="270"/>
        <v>Monster.Name.toxic_3</v>
      </c>
      <c r="E366" s="81" t="str">
        <f t="shared" si="270"/>
        <v>Attacker</v>
      </c>
      <c r="F366" s="82" t="str">
        <f t="shared" si="270"/>
        <v>Fac_nul_ind</v>
      </c>
      <c r="G366" s="81" t="str">
        <f t="shared" si="270"/>
        <v>TRUE</v>
      </c>
      <c r="H366" s="81" t="b">
        <f t="shared" si="270"/>
        <v>1</v>
      </c>
      <c r="I366" s="81" t="b">
        <f t="shared" si="270"/>
        <v>1</v>
      </c>
      <c r="J366" s="81">
        <f t="shared" si="270"/>
        <v>20</v>
      </c>
      <c r="K366" s="81">
        <f t="shared" si="270"/>
        <v>10</v>
      </c>
      <c r="L366" s="81" t="str">
        <f t="shared" si="270"/>
        <v>BossChallenge.toxic_3.attack01</v>
      </c>
      <c r="M366" s="81" t="str">
        <f t="shared" si="270"/>
        <v>BossChallenge.toxic_3.attack02</v>
      </c>
      <c r="N366" s="81" t="str">
        <f t="shared" si="270"/>
        <v/>
      </c>
      <c r="O366" s="177" t="str">
        <f t="shared" si="270"/>
        <v>BossChallenge.toxic_3.skill01</v>
      </c>
      <c r="P366" s="83" t="str">
        <f t="shared" si="270"/>
        <v>BossChallenge.toxic_3.skill02</v>
      </c>
      <c r="Q366" s="83" t="str">
        <f t="shared" si="270"/>
        <v>BossChallenge.toxic_3.skill03</v>
      </c>
      <c r="R366" s="83" t="str">
        <f t="shared" si="270"/>
        <v>BossChallenge.toxic_3.passive01</v>
      </c>
      <c r="S366" s="83" t="str">
        <f t="shared" si="270"/>
        <v>BossChallenge.toxic_3.passive02</v>
      </c>
      <c r="T366" s="83" t="str">
        <f t="shared" si="270"/>
        <v/>
      </c>
      <c r="U366" s="83" t="str">
        <f t="shared" si="270"/>
        <v/>
      </c>
      <c r="V366" s="81" t="b">
        <f t="shared" si="270"/>
        <v>0</v>
      </c>
      <c r="W366" s="170" t="str">
        <f t="shared" si="270"/>
        <v>Character/Prefabs/m_boss_attacker_toxic_3</v>
      </c>
      <c r="X366" s="163" t="str">
        <f t="shared" si="270"/>
        <v/>
      </c>
      <c r="Y366" s="163" t="str">
        <f t="shared" si="270"/>
        <v>m_boss_attacker_toxic_1</v>
      </c>
      <c r="Z366" s="81" t="str">
        <f t="shared" si="270"/>
        <v/>
      </c>
      <c r="AA366" s="81" t="str">
        <f t="shared" si="270"/>
        <v/>
      </c>
      <c r="AB366" s="81" t="str">
        <f t="shared" si="270"/>
        <v/>
      </c>
      <c r="AC366" s="96">
        <f t="shared" si="270"/>
        <v>1.1000000000000001</v>
      </c>
      <c r="AD366" s="81" t="str">
        <f t="shared" si="270"/>
        <v/>
      </c>
      <c r="AE366" s="81" t="str">
        <f t="shared" si="270"/>
        <v>Character/Timeline/02_MON/toxic_3/appearance3</v>
      </c>
      <c r="AF366" s="81" t="str">
        <f t="shared" si="270"/>
        <v>Character/Timeline/02_MON/toxic_3/die3</v>
      </c>
      <c r="AG366" s="173" t="s">
        <v>2763</v>
      </c>
    </row>
    <row r="367" spans="1:33" x14ac:dyDescent="0.3">
      <c r="A367" s="81">
        <f t="shared" si="240"/>
        <v>1411301061</v>
      </c>
      <c r="B367" s="81" t="str">
        <f t="shared" ref="B367:AF367" si="271">IF(B256 &lt;&gt; "", B256, "")</f>
        <v>BossChallenge</v>
      </c>
      <c r="C367" s="81" t="str">
        <f t="shared" si="271"/>
        <v>연구소골리앗</v>
      </c>
      <c r="D367" s="81" t="str">
        <f t="shared" si="271"/>
        <v>Monster.Name.goliath_1</v>
      </c>
      <c r="E367" s="81" t="str">
        <f t="shared" si="271"/>
        <v>Attacker</v>
      </c>
      <c r="F367" s="82" t="str">
        <f t="shared" si="271"/>
        <v>Fac_nul_ind</v>
      </c>
      <c r="G367" s="81" t="str">
        <f t="shared" si="271"/>
        <v>TRUE</v>
      </c>
      <c r="H367" s="81" t="b">
        <f t="shared" si="271"/>
        <v>1</v>
      </c>
      <c r="I367" s="81" t="b">
        <f t="shared" si="271"/>
        <v>1</v>
      </c>
      <c r="J367" s="81">
        <f t="shared" si="271"/>
        <v>10</v>
      </c>
      <c r="K367" s="81">
        <f t="shared" si="271"/>
        <v>10</v>
      </c>
      <c r="L367" s="81" t="str">
        <f t="shared" si="271"/>
        <v>BossChallenge.goliath_1.attack01</v>
      </c>
      <c r="M367" s="81" t="str">
        <f t="shared" si="271"/>
        <v>BossChallenge.goliath_1.attack02</v>
      </c>
      <c r="N367" s="81" t="str">
        <f t="shared" si="271"/>
        <v/>
      </c>
      <c r="O367" s="177" t="str">
        <f t="shared" si="271"/>
        <v>BossChallenge.goliath_1.skill01</v>
      </c>
      <c r="P367" s="83" t="str">
        <f t="shared" si="271"/>
        <v>BossChallenge.goliath_1.skill02</v>
      </c>
      <c r="Q367" s="83" t="str">
        <f t="shared" si="271"/>
        <v>BossChallenge.goliath_1.skill03</v>
      </c>
      <c r="R367" s="83" t="str">
        <f t="shared" si="271"/>
        <v>BossChallenge.goliath_1.passive01</v>
      </c>
      <c r="S367" s="83" t="str">
        <f t="shared" si="271"/>
        <v>BossChallenge.goliath_1.passive02</v>
      </c>
      <c r="T367" s="83" t="str">
        <f t="shared" si="271"/>
        <v/>
      </c>
      <c r="U367" s="83" t="str">
        <f t="shared" si="271"/>
        <v/>
      </c>
      <c r="V367" s="81" t="b">
        <f t="shared" si="271"/>
        <v>0</v>
      </c>
      <c r="W367" s="170" t="str">
        <f t="shared" si="271"/>
        <v>Character/Prefabs/m_boss_attacker_goliath_1</v>
      </c>
      <c r="X367" s="81" t="str">
        <f t="shared" si="271"/>
        <v/>
      </c>
      <c r="Y367" s="81" t="str">
        <f t="shared" si="271"/>
        <v>m_boss_attacker_goliath_1</v>
      </c>
      <c r="Z367" s="81" t="str">
        <f t="shared" si="271"/>
        <v/>
      </c>
      <c r="AA367" s="81" t="str">
        <f t="shared" si="271"/>
        <v/>
      </c>
      <c r="AB367" s="81" t="str">
        <f t="shared" si="271"/>
        <v/>
      </c>
      <c r="AC367" s="96">
        <f t="shared" si="271"/>
        <v>1.4</v>
      </c>
      <c r="AD367" s="81" t="str">
        <f t="shared" si="271"/>
        <v/>
      </c>
      <c r="AE367" s="81" t="str">
        <f t="shared" si="271"/>
        <v>Character/Timeline/02_MON/goliath_1/m_boss_attacker_goliath_1@appearance</v>
      </c>
      <c r="AF367" s="81" t="str">
        <f t="shared" si="271"/>
        <v>Character/Timeline/02_MON/goliath_1/m_boss_attacker_goliath_1@die</v>
      </c>
      <c r="AG367" s="173" t="s">
        <v>2763</v>
      </c>
    </row>
    <row r="368" spans="1:33" x14ac:dyDescent="0.3">
      <c r="A368" s="81">
        <f t="shared" si="240"/>
        <v>1411301062</v>
      </c>
      <c r="B368" s="81" t="str">
        <f t="shared" ref="B368:AF368" si="272">IF(B257 &lt;&gt; "", B257, "")</f>
        <v>BossChallenge</v>
      </c>
      <c r="C368" s="81" t="str">
        <f t="shared" si="272"/>
        <v>강화골리앗</v>
      </c>
      <c r="D368" s="81" t="str">
        <f t="shared" si="272"/>
        <v>Monster.Name.goliath_4</v>
      </c>
      <c r="E368" s="81" t="str">
        <f t="shared" si="272"/>
        <v>Attacker</v>
      </c>
      <c r="F368" s="82" t="str">
        <f t="shared" si="272"/>
        <v>Fac_nul_ind</v>
      </c>
      <c r="G368" s="81" t="str">
        <f t="shared" si="272"/>
        <v>TRUE</v>
      </c>
      <c r="H368" s="81" t="b">
        <f t="shared" si="272"/>
        <v>1</v>
      </c>
      <c r="I368" s="81" t="b">
        <f t="shared" si="272"/>
        <v>1</v>
      </c>
      <c r="J368" s="81">
        <f t="shared" si="272"/>
        <v>10</v>
      </c>
      <c r="K368" s="81">
        <f t="shared" si="272"/>
        <v>10</v>
      </c>
      <c r="L368" s="81" t="str">
        <f t="shared" si="272"/>
        <v>BossChallenge.goliath_4.attack01</v>
      </c>
      <c r="M368" s="81" t="str">
        <f t="shared" si="272"/>
        <v>BossChallenge.goliath_4.attack02</v>
      </c>
      <c r="N368" s="81" t="str">
        <f t="shared" si="272"/>
        <v/>
      </c>
      <c r="O368" s="177" t="str">
        <f t="shared" si="272"/>
        <v>BossChallenge.goliath_4.skill01</v>
      </c>
      <c r="P368" s="83" t="str">
        <f t="shared" si="272"/>
        <v>BossChallenge.goliath_4.skill02</v>
      </c>
      <c r="Q368" s="83" t="str">
        <f t="shared" si="272"/>
        <v>BossChallenge.goliath_4.skill03</v>
      </c>
      <c r="R368" s="83" t="str">
        <f t="shared" si="272"/>
        <v>BossChallenge.goliath_4.passive01</v>
      </c>
      <c r="S368" s="83" t="str">
        <f t="shared" si="272"/>
        <v>BossChallenge.goliath_4.passive02</v>
      </c>
      <c r="T368" s="83" t="str">
        <f t="shared" si="272"/>
        <v/>
      </c>
      <c r="U368" s="83" t="str">
        <f t="shared" si="272"/>
        <v/>
      </c>
      <c r="V368" s="81" t="b">
        <f t="shared" si="272"/>
        <v>0</v>
      </c>
      <c r="W368" s="170" t="str">
        <f t="shared" si="272"/>
        <v>Character/Prefabs/m_boss_attacker_goliath_4</v>
      </c>
      <c r="X368" s="163" t="str">
        <f t="shared" si="272"/>
        <v/>
      </c>
      <c r="Y368" s="163" t="str">
        <f t="shared" si="272"/>
        <v>m_boss_attacker_goliath_1</v>
      </c>
      <c r="Z368" s="81" t="str">
        <f t="shared" si="272"/>
        <v/>
      </c>
      <c r="AA368" s="81" t="str">
        <f t="shared" si="272"/>
        <v/>
      </c>
      <c r="AB368" s="81" t="str">
        <f t="shared" si="272"/>
        <v/>
      </c>
      <c r="AC368" s="96">
        <f t="shared" si="272"/>
        <v>1.7</v>
      </c>
      <c r="AD368" s="81" t="str">
        <f t="shared" si="272"/>
        <v/>
      </c>
      <c r="AE368" s="81" t="str">
        <f t="shared" si="272"/>
        <v>Character/Timeline/02_MON/goliath_4/appearance4</v>
      </c>
      <c r="AF368" s="81" t="str">
        <f t="shared" si="272"/>
        <v>Character/Timeline/02_MON/goliath_4/die4</v>
      </c>
      <c r="AG368" s="173" t="s">
        <v>2763</v>
      </c>
    </row>
    <row r="369" spans="1:33" x14ac:dyDescent="0.3">
      <c r="A369" s="81">
        <f t="shared" ref="A369:A400" si="273">A258+100000000</f>
        <v>1411301071</v>
      </c>
      <c r="B369" s="81" t="str">
        <f t="shared" ref="B369:AF369" si="274">IF(B258 &lt;&gt; "", B258, "")</f>
        <v>BossChallenge</v>
      </c>
      <c r="C369" s="81" t="str">
        <f t="shared" si="274"/>
        <v>크로울러</v>
      </c>
      <c r="D369" s="81" t="str">
        <f t="shared" si="274"/>
        <v>Monster.Name.crawler_1</v>
      </c>
      <c r="E369" s="81" t="str">
        <f t="shared" si="274"/>
        <v>Attacker</v>
      </c>
      <c r="F369" s="82" t="str">
        <f t="shared" si="274"/>
        <v>Fac_nul_ind</v>
      </c>
      <c r="G369" s="81" t="str">
        <f t="shared" si="274"/>
        <v>TRUE</v>
      </c>
      <c r="H369" s="81" t="b">
        <f t="shared" si="274"/>
        <v>1</v>
      </c>
      <c r="I369" s="81" t="b">
        <f t="shared" si="274"/>
        <v>1</v>
      </c>
      <c r="J369" s="81">
        <f t="shared" si="274"/>
        <v>10</v>
      </c>
      <c r="K369" s="81">
        <f t="shared" si="274"/>
        <v>10</v>
      </c>
      <c r="L369" s="81" t="str">
        <f t="shared" si="274"/>
        <v>BossChallenge.crawler_1.attack01</v>
      </c>
      <c r="M369" s="81" t="str">
        <f t="shared" si="274"/>
        <v>BossChallenge.crawler_1.attack02</v>
      </c>
      <c r="N369" s="81" t="str">
        <f t="shared" si="274"/>
        <v/>
      </c>
      <c r="O369" s="177" t="str">
        <f t="shared" si="274"/>
        <v>BossChallenge.crawler_1.skill01</v>
      </c>
      <c r="P369" s="83" t="str">
        <f t="shared" si="274"/>
        <v>BossChallenge.crawler_1.skill02</v>
      </c>
      <c r="Q369" s="83" t="str">
        <f t="shared" si="274"/>
        <v>BossChallenge.crawler_1.skill03</v>
      </c>
      <c r="R369" s="83" t="str">
        <f t="shared" si="274"/>
        <v>BossChallenge.crawler_1.passive01</v>
      </c>
      <c r="S369" s="83" t="str">
        <f t="shared" si="274"/>
        <v>Boss.Common.Immun</v>
      </c>
      <c r="T369" s="83" t="str">
        <f t="shared" si="274"/>
        <v/>
      </c>
      <c r="U369" s="83" t="str">
        <f t="shared" si="274"/>
        <v/>
      </c>
      <c r="V369" s="81" t="b">
        <f t="shared" si="274"/>
        <v>0</v>
      </c>
      <c r="W369" s="170" t="str">
        <f t="shared" si="274"/>
        <v>Character/Prefabs/m_boss_attacker_crawler_1</v>
      </c>
      <c r="X369" s="81" t="str">
        <f t="shared" si="274"/>
        <v/>
      </c>
      <c r="Y369" s="81" t="str">
        <f t="shared" si="274"/>
        <v>m_boss_attacker_crawler_1</v>
      </c>
      <c r="Z369" s="81" t="str">
        <f t="shared" si="274"/>
        <v/>
      </c>
      <c r="AA369" s="81" t="str">
        <f t="shared" si="274"/>
        <v/>
      </c>
      <c r="AB369" s="81" t="str">
        <f t="shared" si="274"/>
        <v/>
      </c>
      <c r="AC369" s="96">
        <f t="shared" si="274"/>
        <v>1.2</v>
      </c>
      <c r="AD369" s="81" t="str">
        <f t="shared" si="274"/>
        <v/>
      </c>
      <c r="AE369" s="81" t="str">
        <f t="shared" si="274"/>
        <v>Character/Timeline/02_MON/crawler/appearance</v>
      </c>
      <c r="AF369" s="81" t="str">
        <f t="shared" si="274"/>
        <v>Character/Timeline/02_MON/crawler/die</v>
      </c>
      <c r="AG369" s="173" t="s">
        <v>2763</v>
      </c>
    </row>
    <row r="370" spans="1:33" x14ac:dyDescent="0.3">
      <c r="A370" s="81">
        <f t="shared" si="273"/>
        <v>1411301072</v>
      </c>
      <c r="B370" s="81" t="str">
        <f t="shared" ref="B370:AF370" si="275">IF(B259 &lt;&gt; "", B259, "")</f>
        <v>BossChallenge</v>
      </c>
      <c r="C370" s="81" t="str">
        <f t="shared" si="275"/>
        <v>강화크로울러</v>
      </c>
      <c r="D370" s="81" t="str">
        <f t="shared" si="275"/>
        <v>Monster.Name.skull_crawler_1</v>
      </c>
      <c r="E370" s="81" t="str">
        <f t="shared" si="275"/>
        <v>Attacker</v>
      </c>
      <c r="F370" s="82" t="str">
        <f t="shared" si="275"/>
        <v>Fac_nul_ind</v>
      </c>
      <c r="G370" s="81" t="str">
        <f t="shared" si="275"/>
        <v>TRUE</v>
      </c>
      <c r="H370" s="81" t="b">
        <f t="shared" si="275"/>
        <v>1</v>
      </c>
      <c r="I370" s="81" t="b">
        <f t="shared" si="275"/>
        <v>1</v>
      </c>
      <c r="J370" s="81">
        <f t="shared" si="275"/>
        <v>10</v>
      </c>
      <c r="K370" s="81">
        <f t="shared" si="275"/>
        <v>10</v>
      </c>
      <c r="L370" s="81" t="str">
        <f t="shared" si="275"/>
        <v>BossChallenge.skull_crawler_1.attack01</v>
      </c>
      <c r="M370" s="81" t="str">
        <f t="shared" si="275"/>
        <v>BossChallenge.skull_crawler_1.attack02</v>
      </c>
      <c r="N370" s="81" t="str">
        <f t="shared" si="275"/>
        <v/>
      </c>
      <c r="O370" s="177" t="str">
        <f t="shared" si="275"/>
        <v>BossChallenge.skull_crawler_1.skill01</v>
      </c>
      <c r="P370" s="83" t="str">
        <f t="shared" si="275"/>
        <v>BossChallenge.skull_crawler_1.skill02</v>
      </c>
      <c r="Q370" s="83" t="str">
        <f t="shared" si="275"/>
        <v>BossChallenge.skull_crawler_1.skill03</v>
      </c>
      <c r="R370" s="83" t="str">
        <f t="shared" si="275"/>
        <v>BossChallenge.crawler_1.passive01</v>
      </c>
      <c r="S370" s="83" t="str">
        <f t="shared" si="275"/>
        <v>Boss.Common.Immun</v>
      </c>
      <c r="T370" s="83" t="str">
        <f t="shared" si="275"/>
        <v/>
      </c>
      <c r="U370" s="83" t="str">
        <f t="shared" si="275"/>
        <v/>
      </c>
      <c r="V370" s="81" t="b">
        <f t="shared" si="275"/>
        <v>0</v>
      </c>
      <c r="W370" s="170" t="str">
        <f t="shared" si="275"/>
        <v>Character/Prefabs/m_boss_attacker_skull_crawler_1</v>
      </c>
      <c r="X370" s="81" t="str">
        <f t="shared" si="275"/>
        <v/>
      </c>
      <c r="Y370" s="162" t="str">
        <f t="shared" si="275"/>
        <v>m_boss_attacker_crawler_1</v>
      </c>
      <c r="Z370" s="81" t="str">
        <f t="shared" si="275"/>
        <v/>
      </c>
      <c r="AA370" s="81" t="str">
        <f t="shared" si="275"/>
        <v/>
      </c>
      <c r="AB370" s="81" t="str">
        <f t="shared" si="275"/>
        <v/>
      </c>
      <c r="AC370" s="96">
        <f t="shared" si="275"/>
        <v>1.4</v>
      </c>
      <c r="AD370" s="81" t="str">
        <f t="shared" si="275"/>
        <v/>
      </c>
      <c r="AE370" s="81" t="str">
        <f t="shared" si="275"/>
        <v>Character/Timeline/02_MON/crawler/appearance2</v>
      </c>
      <c r="AF370" s="81" t="str">
        <f t="shared" si="275"/>
        <v>Character/Timeline/02_MON/crawler/die2</v>
      </c>
      <c r="AG370" s="173" t="s">
        <v>2763</v>
      </c>
    </row>
    <row r="371" spans="1:33" x14ac:dyDescent="0.3">
      <c r="A371" s="13">
        <f t="shared" si="273"/>
        <v>1410301001</v>
      </c>
      <c r="B371" s="13" t="str">
        <f t="shared" ref="B371:AF371" si="276">IF(B260 &lt;&gt; "", B260, "")</f>
        <v>Daily.Exp</v>
      </c>
      <c r="C371" s="5" t="str">
        <f t="shared" si="276"/>
        <v>솔리드메카mk1</v>
      </c>
      <c r="D371" s="5" t="str">
        <f t="shared" si="276"/>
        <v>Monster.Name.solid_turretmk1_1</v>
      </c>
      <c r="E371" s="5" t="str">
        <f t="shared" si="276"/>
        <v>Attacker</v>
      </c>
      <c r="F371" s="17" t="str">
        <f t="shared" si="276"/>
        <v>Fac_nul_ind</v>
      </c>
      <c r="G371" s="5" t="str">
        <f t="shared" si="276"/>
        <v>TRUE</v>
      </c>
      <c r="H371" s="5" t="b">
        <f t="shared" si="276"/>
        <v>0</v>
      </c>
      <c r="I371" s="5" t="b">
        <f t="shared" si="276"/>
        <v>0</v>
      </c>
      <c r="J371" s="5">
        <f t="shared" si="276"/>
        <v>10</v>
      </c>
      <c r="K371" s="5">
        <f t="shared" si="276"/>
        <v>10</v>
      </c>
      <c r="L371" s="2" t="str">
        <f t="shared" si="276"/>
        <v>Daily.Exp.solid_turretmk1_1.attack01</v>
      </c>
      <c r="M371" s="2" t="str">
        <f t="shared" si="276"/>
        <v/>
      </c>
      <c r="N371" s="2" t="str">
        <f t="shared" si="276"/>
        <v/>
      </c>
      <c r="O371" s="178" t="str">
        <f t="shared" si="276"/>
        <v/>
      </c>
      <c r="P371" s="14" t="str">
        <f t="shared" si="276"/>
        <v/>
      </c>
      <c r="Q371" s="14" t="str">
        <f t="shared" si="276"/>
        <v/>
      </c>
      <c r="R371" s="14" t="str">
        <f t="shared" si="276"/>
        <v/>
      </c>
      <c r="S371" s="14" t="str">
        <f t="shared" si="276"/>
        <v/>
      </c>
      <c r="T371" s="14" t="str">
        <f t="shared" si="276"/>
        <v/>
      </c>
      <c r="U371" s="14" t="str">
        <f t="shared" si="276"/>
        <v/>
      </c>
      <c r="V371" s="5" t="b">
        <f t="shared" si="276"/>
        <v>0</v>
      </c>
      <c r="W371" s="5" t="str">
        <f t="shared" si="276"/>
        <v>Character/Prefabs/m_s_attacker_solid_turretmk1_1</v>
      </c>
      <c r="X371" s="5" t="str">
        <f t="shared" si="276"/>
        <v/>
      </c>
      <c r="Y371" s="5" t="str">
        <f t="shared" si="276"/>
        <v>m_s_attacker_solid_turretmk1_1</v>
      </c>
      <c r="Z371" s="5" t="str">
        <f t="shared" si="276"/>
        <v/>
      </c>
      <c r="AA371" s="5" t="str">
        <f t="shared" si="276"/>
        <v/>
      </c>
      <c r="AB371" s="5" t="str">
        <f t="shared" si="276"/>
        <v/>
      </c>
      <c r="AC371" s="97">
        <f t="shared" si="276"/>
        <v>0.7</v>
      </c>
      <c r="AD371" s="5" t="str">
        <f t="shared" si="276"/>
        <v/>
      </c>
      <c r="AE371" s="5" t="str">
        <f t="shared" si="276"/>
        <v/>
      </c>
      <c r="AF371" s="5" t="str">
        <f t="shared" si="276"/>
        <v/>
      </c>
      <c r="AG371" s="173" t="s">
        <v>2763</v>
      </c>
    </row>
    <row r="372" spans="1:33" x14ac:dyDescent="0.3">
      <c r="A372" s="13">
        <f t="shared" si="273"/>
        <v>1410301002</v>
      </c>
      <c r="B372" s="13" t="str">
        <f t="shared" ref="B372:AF372" si="277">IF(B261 &lt;&gt; "", B261, "")</f>
        <v>Daily.Exp</v>
      </c>
      <c r="C372" s="5" t="str">
        <f t="shared" si="277"/>
        <v>터렛프로토</v>
      </c>
      <c r="D372" s="5" t="str">
        <f t="shared" si="277"/>
        <v>Monster.Name.spider_turret_prototype_1</v>
      </c>
      <c r="E372" s="5" t="str">
        <f t="shared" si="277"/>
        <v>Ranger</v>
      </c>
      <c r="F372" s="17" t="str">
        <f t="shared" si="277"/>
        <v>Fac_nul_ind</v>
      </c>
      <c r="G372" s="5" t="str">
        <f t="shared" si="277"/>
        <v>TRUE</v>
      </c>
      <c r="H372" s="5" t="b">
        <f t="shared" si="277"/>
        <v>0</v>
      </c>
      <c r="I372" s="5" t="b">
        <f t="shared" si="277"/>
        <v>0</v>
      </c>
      <c r="J372" s="5">
        <f t="shared" si="277"/>
        <v>10</v>
      </c>
      <c r="K372" s="5">
        <f t="shared" si="277"/>
        <v>30</v>
      </c>
      <c r="L372" s="2" t="str">
        <f t="shared" si="277"/>
        <v>Daily.Exp.spider_turret_prototype_1.attack01</v>
      </c>
      <c r="M372" s="2" t="str">
        <f t="shared" si="277"/>
        <v/>
      </c>
      <c r="N372" s="2" t="str">
        <f t="shared" si="277"/>
        <v/>
      </c>
      <c r="O372" s="178" t="str">
        <f t="shared" si="277"/>
        <v/>
      </c>
      <c r="P372" s="14" t="str">
        <f t="shared" si="277"/>
        <v/>
      </c>
      <c r="Q372" s="14" t="str">
        <f t="shared" si="277"/>
        <v/>
      </c>
      <c r="R372" s="14" t="str">
        <f t="shared" si="277"/>
        <v/>
      </c>
      <c r="S372" s="14" t="str">
        <f t="shared" si="277"/>
        <v/>
      </c>
      <c r="T372" s="14" t="str">
        <f t="shared" si="277"/>
        <v/>
      </c>
      <c r="U372" s="14" t="str">
        <f t="shared" si="277"/>
        <v/>
      </c>
      <c r="V372" s="5" t="b">
        <f t="shared" si="277"/>
        <v>0</v>
      </c>
      <c r="W372" s="5" t="str">
        <f t="shared" si="277"/>
        <v>Character/Prefabs/m_s_ranger_spider_turret_prototype_1</v>
      </c>
      <c r="X372" s="5" t="str">
        <f t="shared" si="277"/>
        <v/>
      </c>
      <c r="Y372" s="5" t="str">
        <f t="shared" si="277"/>
        <v>m_s_ranger_spider_turret_prototype_1</v>
      </c>
      <c r="Z372" s="5" t="str">
        <f t="shared" si="277"/>
        <v/>
      </c>
      <c r="AA372" s="5" t="str">
        <f t="shared" si="277"/>
        <v/>
      </c>
      <c r="AB372" s="5" t="str">
        <f t="shared" si="277"/>
        <v/>
      </c>
      <c r="AC372" s="97">
        <f t="shared" si="277"/>
        <v>0.7</v>
      </c>
      <c r="AD372" s="5" t="str">
        <f t="shared" si="277"/>
        <v/>
      </c>
      <c r="AE372" s="5" t="str">
        <f t="shared" si="277"/>
        <v/>
      </c>
      <c r="AF372" s="5" t="str">
        <f t="shared" si="277"/>
        <v/>
      </c>
      <c r="AG372" s="173" t="s">
        <v>2763</v>
      </c>
    </row>
    <row r="373" spans="1:33" x14ac:dyDescent="0.3">
      <c r="A373" s="13">
        <f t="shared" si="273"/>
        <v>1410301003</v>
      </c>
      <c r="B373" s="13" t="str">
        <f t="shared" ref="B373:AF373" si="278">IF(B262 &lt;&gt; "", B262, "")</f>
        <v>Daily.Exp</v>
      </c>
      <c r="C373" s="5" t="str">
        <f t="shared" si="278"/>
        <v>터틀메카mk1</v>
      </c>
      <c r="D373" s="5" t="str">
        <f t="shared" si="278"/>
        <v>Monster.Name.turtle_mechamk1_1</v>
      </c>
      <c r="E373" s="5" t="str">
        <f t="shared" si="278"/>
        <v>Attacker</v>
      </c>
      <c r="F373" s="17" t="str">
        <f t="shared" si="278"/>
        <v>Fac_nul_ind</v>
      </c>
      <c r="G373" s="5" t="str">
        <f t="shared" si="278"/>
        <v>TRUE</v>
      </c>
      <c r="H373" s="5" t="b">
        <f t="shared" si="278"/>
        <v>0</v>
      </c>
      <c r="I373" s="5" t="b">
        <f t="shared" si="278"/>
        <v>0</v>
      </c>
      <c r="J373" s="5">
        <f t="shared" si="278"/>
        <v>10</v>
      </c>
      <c r="K373" s="5">
        <f t="shared" si="278"/>
        <v>10</v>
      </c>
      <c r="L373" s="2" t="str">
        <f t="shared" si="278"/>
        <v>Daily.Exp.turtle_mechamk1_1.attack01</v>
      </c>
      <c r="M373" s="2" t="str">
        <f t="shared" si="278"/>
        <v/>
      </c>
      <c r="N373" s="2" t="str">
        <f t="shared" si="278"/>
        <v/>
      </c>
      <c r="O373" s="178" t="str">
        <f t="shared" si="278"/>
        <v/>
      </c>
      <c r="P373" s="14" t="str">
        <f t="shared" si="278"/>
        <v/>
      </c>
      <c r="Q373" s="14" t="str">
        <f t="shared" si="278"/>
        <v/>
      </c>
      <c r="R373" s="14" t="str">
        <f t="shared" si="278"/>
        <v/>
      </c>
      <c r="S373" s="14" t="str">
        <f t="shared" si="278"/>
        <v/>
      </c>
      <c r="T373" s="14" t="str">
        <f t="shared" si="278"/>
        <v/>
      </c>
      <c r="U373" s="14" t="str">
        <f t="shared" si="278"/>
        <v/>
      </c>
      <c r="V373" s="5" t="b">
        <f t="shared" si="278"/>
        <v>0</v>
      </c>
      <c r="W373" s="5" t="str">
        <f t="shared" si="278"/>
        <v>Character/Prefabs/m_s_attacker_turtle_mechamk1_1</v>
      </c>
      <c r="X373" s="5" t="str">
        <f t="shared" si="278"/>
        <v/>
      </c>
      <c r="Y373" s="5" t="str">
        <f t="shared" si="278"/>
        <v>m_s_attacker_turtle_mechamk1_1</v>
      </c>
      <c r="Z373" s="5" t="str">
        <f t="shared" si="278"/>
        <v/>
      </c>
      <c r="AA373" s="5" t="str">
        <f t="shared" si="278"/>
        <v/>
      </c>
      <c r="AB373" s="5" t="str">
        <f t="shared" si="278"/>
        <v/>
      </c>
      <c r="AC373" s="97">
        <f t="shared" si="278"/>
        <v>0.7</v>
      </c>
      <c r="AD373" s="5" t="str">
        <f t="shared" si="278"/>
        <v/>
      </c>
      <c r="AE373" s="5" t="str">
        <f t="shared" si="278"/>
        <v/>
      </c>
      <c r="AF373" s="5" t="str">
        <f t="shared" si="278"/>
        <v/>
      </c>
      <c r="AG373" s="173" t="s">
        <v>2763</v>
      </c>
    </row>
    <row r="374" spans="1:33" x14ac:dyDescent="0.3">
      <c r="A374" s="13">
        <f t="shared" si="273"/>
        <v>1410301004</v>
      </c>
      <c r="B374" s="13" t="str">
        <f t="shared" ref="B374:AF374" si="279">IF(B263 &lt;&gt; "", B263, "")</f>
        <v>Daily.Exp</v>
      </c>
      <c r="C374" s="5" t="str">
        <f t="shared" si="279"/>
        <v>터틀메카mk3</v>
      </c>
      <c r="D374" s="5" t="str">
        <f t="shared" si="279"/>
        <v>Monster.Name.turtle_mechamk3_3</v>
      </c>
      <c r="E374" s="5" t="str">
        <f t="shared" si="279"/>
        <v>Attacker</v>
      </c>
      <c r="F374" s="17" t="str">
        <f t="shared" si="279"/>
        <v>Fac_nul_ind</v>
      </c>
      <c r="G374" s="5" t="str">
        <f t="shared" si="279"/>
        <v>TRUE</v>
      </c>
      <c r="H374" s="5" t="b">
        <f t="shared" si="279"/>
        <v>0</v>
      </c>
      <c r="I374" s="5" t="b">
        <f t="shared" si="279"/>
        <v>0</v>
      </c>
      <c r="J374" s="5">
        <f t="shared" si="279"/>
        <v>10</v>
      </c>
      <c r="K374" s="5">
        <f t="shared" si="279"/>
        <v>10</v>
      </c>
      <c r="L374" s="2" t="str">
        <f t="shared" si="279"/>
        <v>Daily.Exp.turtle_mechamk3_3.attack01</v>
      </c>
      <c r="M374" s="2" t="str">
        <f t="shared" si="279"/>
        <v/>
      </c>
      <c r="N374" s="2" t="str">
        <f t="shared" si="279"/>
        <v/>
      </c>
      <c r="O374" s="178" t="str">
        <f t="shared" si="279"/>
        <v/>
      </c>
      <c r="P374" s="14" t="str">
        <f t="shared" si="279"/>
        <v/>
      </c>
      <c r="Q374" s="14" t="str">
        <f t="shared" si="279"/>
        <v/>
      </c>
      <c r="R374" s="14" t="str">
        <f t="shared" si="279"/>
        <v/>
      </c>
      <c r="S374" s="14" t="str">
        <f t="shared" si="279"/>
        <v/>
      </c>
      <c r="T374" s="14" t="str">
        <f t="shared" si="279"/>
        <v/>
      </c>
      <c r="U374" s="14" t="str">
        <f t="shared" si="279"/>
        <v/>
      </c>
      <c r="V374" s="5" t="b">
        <f t="shared" si="279"/>
        <v>0</v>
      </c>
      <c r="W374" s="5" t="str">
        <f t="shared" si="279"/>
        <v>Character/Prefabs/m_s_attacker_turtle_mechamk3_3</v>
      </c>
      <c r="X374" s="5" t="str">
        <f t="shared" si="279"/>
        <v/>
      </c>
      <c r="Y374" s="5" t="str">
        <f t="shared" si="279"/>
        <v>m_s_attacker_turtle_mechamk3_3</v>
      </c>
      <c r="Z374" s="5" t="str">
        <f t="shared" si="279"/>
        <v/>
      </c>
      <c r="AA374" s="5" t="str">
        <f t="shared" si="279"/>
        <v/>
      </c>
      <c r="AB374" s="5" t="str">
        <f t="shared" si="279"/>
        <v/>
      </c>
      <c r="AC374" s="97">
        <f t="shared" si="279"/>
        <v>0.7</v>
      </c>
      <c r="AD374" s="5" t="str">
        <f t="shared" si="279"/>
        <v/>
      </c>
      <c r="AE374" s="5" t="str">
        <f t="shared" si="279"/>
        <v/>
      </c>
      <c r="AF374" s="5" t="str">
        <f t="shared" si="279"/>
        <v/>
      </c>
      <c r="AG374" s="173" t="s">
        <v>2763</v>
      </c>
    </row>
    <row r="375" spans="1:33" x14ac:dyDescent="0.3">
      <c r="A375" s="13">
        <f t="shared" si="273"/>
        <v>1410301005</v>
      </c>
      <c r="B375" s="13" t="str">
        <f t="shared" ref="B375:AF375" si="280">IF(B264 &lt;&gt; "", B264, "")</f>
        <v>Daily.Exp</v>
      </c>
      <c r="C375" s="5" t="str">
        <f t="shared" si="280"/>
        <v>스콜피온터렛mk2</v>
      </c>
      <c r="D375" s="5" t="str">
        <f t="shared" si="280"/>
        <v>Monster.Name.scorpion_turretmk2_3</v>
      </c>
      <c r="E375" s="5" t="str">
        <f t="shared" si="280"/>
        <v>Ranger</v>
      </c>
      <c r="F375" s="17" t="str">
        <f t="shared" si="280"/>
        <v>Fac_nul_ind</v>
      </c>
      <c r="G375" s="5" t="str">
        <f t="shared" si="280"/>
        <v>TRUE</v>
      </c>
      <c r="H375" s="5" t="b">
        <f t="shared" si="280"/>
        <v>0</v>
      </c>
      <c r="I375" s="5" t="b">
        <f t="shared" si="280"/>
        <v>0</v>
      </c>
      <c r="J375" s="5">
        <f t="shared" si="280"/>
        <v>10</v>
      </c>
      <c r="K375" s="5">
        <f t="shared" si="280"/>
        <v>10</v>
      </c>
      <c r="L375" s="2" t="str">
        <f t="shared" si="280"/>
        <v>Daily.Exp.scorpion_turretmk2_3.attack01</v>
      </c>
      <c r="M375" s="2" t="str">
        <f t="shared" si="280"/>
        <v/>
      </c>
      <c r="N375" s="2" t="str">
        <f t="shared" si="280"/>
        <v/>
      </c>
      <c r="O375" s="178" t="str">
        <f t="shared" si="280"/>
        <v/>
      </c>
      <c r="P375" s="14" t="str">
        <f t="shared" si="280"/>
        <v/>
      </c>
      <c r="Q375" s="14" t="str">
        <f t="shared" si="280"/>
        <v/>
      </c>
      <c r="R375" s="14" t="str">
        <f t="shared" si="280"/>
        <v/>
      </c>
      <c r="S375" s="14" t="str">
        <f t="shared" si="280"/>
        <v/>
      </c>
      <c r="T375" s="14" t="str">
        <f t="shared" si="280"/>
        <v/>
      </c>
      <c r="U375" s="14" t="str">
        <f t="shared" si="280"/>
        <v/>
      </c>
      <c r="V375" s="5" t="b">
        <f t="shared" si="280"/>
        <v>0</v>
      </c>
      <c r="W375" s="5" t="str">
        <f t="shared" si="280"/>
        <v>Character/Prefabs/m_s_ranger_scorpion_turretmk2_3</v>
      </c>
      <c r="X375" s="5" t="str">
        <f t="shared" si="280"/>
        <v/>
      </c>
      <c r="Y375" s="5" t="str">
        <f t="shared" si="280"/>
        <v>m_s_ranger_scorpion_turretmk2_3</v>
      </c>
      <c r="Z375" s="5" t="str">
        <f t="shared" si="280"/>
        <v/>
      </c>
      <c r="AA375" s="5" t="str">
        <f t="shared" si="280"/>
        <v/>
      </c>
      <c r="AB375" s="5" t="str">
        <f t="shared" si="280"/>
        <v/>
      </c>
      <c r="AC375" s="97">
        <f t="shared" si="280"/>
        <v>0.7</v>
      </c>
      <c r="AD375" s="5" t="str">
        <f t="shared" si="280"/>
        <v/>
      </c>
      <c r="AE375" s="5" t="str">
        <f t="shared" si="280"/>
        <v/>
      </c>
      <c r="AF375" s="5" t="str">
        <f t="shared" si="280"/>
        <v/>
      </c>
      <c r="AG375" s="173" t="s">
        <v>2763</v>
      </c>
    </row>
    <row r="376" spans="1:33" x14ac:dyDescent="0.3">
      <c r="A376" s="13">
        <f t="shared" si="273"/>
        <v>1410301006</v>
      </c>
      <c r="B376" s="13" t="str">
        <f t="shared" ref="B376:AF376" si="281">IF(B265 &lt;&gt; "", B265, "")</f>
        <v>Daily.Exp</v>
      </c>
      <c r="C376" s="5" t="str">
        <f t="shared" si="281"/>
        <v>라이노메카mk3</v>
      </c>
      <c r="D376" s="5" t="str">
        <f t="shared" si="281"/>
        <v>Monster.Name.rhino_mechamk3_3</v>
      </c>
      <c r="E376" s="5" t="str">
        <f t="shared" si="281"/>
        <v>Attacker</v>
      </c>
      <c r="F376" s="17" t="str">
        <f t="shared" si="281"/>
        <v>Fac_nul_ind</v>
      </c>
      <c r="G376" s="5" t="str">
        <f t="shared" si="281"/>
        <v>TRUE</v>
      </c>
      <c r="H376" s="5" t="b">
        <f t="shared" si="281"/>
        <v>0</v>
      </c>
      <c r="I376" s="5" t="b">
        <f t="shared" si="281"/>
        <v>0</v>
      </c>
      <c r="J376" s="5">
        <f t="shared" si="281"/>
        <v>10</v>
      </c>
      <c r="K376" s="5">
        <f t="shared" si="281"/>
        <v>10</v>
      </c>
      <c r="L376" s="2" t="str">
        <f t="shared" si="281"/>
        <v>Daily.Exp.rhino_mechamk3_3.attack01</v>
      </c>
      <c r="M376" s="2" t="str">
        <f t="shared" si="281"/>
        <v/>
      </c>
      <c r="N376" s="2" t="str">
        <f t="shared" si="281"/>
        <v/>
      </c>
      <c r="O376" s="178" t="str">
        <f t="shared" si="281"/>
        <v/>
      </c>
      <c r="P376" s="14" t="str">
        <f t="shared" si="281"/>
        <v/>
      </c>
      <c r="Q376" s="14" t="str">
        <f t="shared" si="281"/>
        <v/>
      </c>
      <c r="R376" s="14" t="str">
        <f t="shared" si="281"/>
        <v/>
      </c>
      <c r="S376" s="14" t="str">
        <f t="shared" si="281"/>
        <v/>
      </c>
      <c r="T376" s="14" t="str">
        <f t="shared" si="281"/>
        <v/>
      </c>
      <c r="U376" s="14" t="str">
        <f t="shared" si="281"/>
        <v/>
      </c>
      <c r="V376" s="5" t="b">
        <f t="shared" si="281"/>
        <v>0</v>
      </c>
      <c r="W376" s="5" t="str">
        <f t="shared" si="281"/>
        <v>Character/Prefabs/m_s_attacker_rhino_mechamk3_3</v>
      </c>
      <c r="X376" s="5" t="str">
        <f t="shared" si="281"/>
        <v/>
      </c>
      <c r="Y376" s="5" t="str">
        <f t="shared" si="281"/>
        <v>m_s_attacker_rhino_mechamk3_3</v>
      </c>
      <c r="Z376" s="5" t="str">
        <f t="shared" si="281"/>
        <v/>
      </c>
      <c r="AA376" s="5" t="str">
        <f t="shared" si="281"/>
        <v/>
      </c>
      <c r="AB376" s="5" t="str">
        <f t="shared" si="281"/>
        <v/>
      </c>
      <c r="AC376" s="97">
        <f t="shared" si="281"/>
        <v>0.7</v>
      </c>
      <c r="AD376" s="5" t="str">
        <f t="shared" si="281"/>
        <v/>
      </c>
      <c r="AE376" s="5" t="str">
        <f t="shared" si="281"/>
        <v/>
      </c>
      <c r="AF376" s="5" t="str">
        <f t="shared" si="281"/>
        <v/>
      </c>
      <c r="AG376" s="173" t="s">
        <v>2763</v>
      </c>
    </row>
    <row r="377" spans="1:33" x14ac:dyDescent="0.3">
      <c r="A377" s="37">
        <f t="shared" si="273"/>
        <v>1410302001</v>
      </c>
      <c r="B377" s="37" t="str">
        <f t="shared" ref="B377:AF377" si="282">IF(B266 &lt;&gt; "", B266, "")</f>
        <v>Daily.Gold1</v>
      </c>
      <c r="C377" s="5" t="str">
        <f t="shared" si="282"/>
        <v>더스트드론</v>
      </c>
      <c r="D377" s="5" t="str">
        <f t="shared" si="282"/>
        <v>Monster.Name.hellfire_drone_2</v>
      </c>
      <c r="E377" s="5" t="str">
        <f t="shared" si="282"/>
        <v>Ranger</v>
      </c>
      <c r="F377" s="17" t="str">
        <f t="shared" si="282"/>
        <v>Fac_nul_ind</v>
      </c>
      <c r="G377" s="5" t="str">
        <f t="shared" si="282"/>
        <v>TRUE</v>
      </c>
      <c r="H377" s="5" t="b">
        <f t="shared" si="282"/>
        <v>0</v>
      </c>
      <c r="I377" s="5" t="b">
        <f t="shared" si="282"/>
        <v>0</v>
      </c>
      <c r="J377" s="5">
        <f t="shared" si="282"/>
        <v>10</v>
      </c>
      <c r="K377" s="5">
        <f t="shared" si="282"/>
        <v>10</v>
      </c>
      <c r="L377" s="2" t="str">
        <f t="shared" si="282"/>
        <v>Daily.Gold1.hellfire_drone_3.attack01</v>
      </c>
      <c r="M377" s="2" t="str">
        <f t="shared" si="282"/>
        <v/>
      </c>
      <c r="N377" s="2" t="str">
        <f t="shared" si="282"/>
        <v/>
      </c>
      <c r="O377" s="178" t="str">
        <f t="shared" si="282"/>
        <v>Daily.Gold1.hellfire_drone_3.skill01</v>
      </c>
      <c r="P377" s="14" t="str">
        <f t="shared" si="282"/>
        <v/>
      </c>
      <c r="Q377" s="14" t="str">
        <f t="shared" si="282"/>
        <v/>
      </c>
      <c r="R377" s="14" t="str">
        <f t="shared" si="282"/>
        <v/>
      </c>
      <c r="S377" s="14" t="str">
        <f t="shared" si="282"/>
        <v>Daily.Gold1.hellfire_drone_3.passive01</v>
      </c>
      <c r="T377" s="14" t="str">
        <f t="shared" si="282"/>
        <v/>
      </c>
      <c r="U377" s="14" t="str">
        <f t="shared" si="282"/>
        <v/>
      </c>
      <c r="V377" s="5" t="b">
        <f t="shared" si="282"/>
        <v>0</v>
      </c>
      <c r="W377" s="5" t="str">
        <f t="shared" si="282"/>
        <v>Character/Prefabs/m_s_ranger_hellfire_drone_2</v>
      </c>
      <c r="X377" s="5" t="str">
        <f t="shared" si="282"/>
        <v/>
      </c>
      <c r="Y377" s="5" t="str">
        <f t="shared" si="282"/>
        <v>m_s_ranger_hellfire_drone_2</v>
      </c>
      <c r="Z377" s="5" t="str">
        <f t="shared" si="282"/>
        <v/>
      </c>
      <c r="AA377" s="5" t="str">
        <f t="shared" si="282"/>
        <v/>
      </c>
      <c r="AB377" s="5" t="str">
        <f t="shared" si="282"/>
        <v/>
      </c>
      <c r="AC377" s="97">
        <f t="shared" si="282"/>
        <v>0.7</v>
      </c>
      <c r="AD377" s="5" t="str">
        <f t="shared" si="282"/>
        <v/>
      </c>
      <c r="AE377" s="5" t="str">
        <f t="shared" si="282"/>
        <v/>
      </c>
      <c r="AF377" s="5" t="str">
        <f t="shared" si="282"/>
        <v/>
      </c>
      <c r="AG377" s="173" t="s">
        <v>2763</v>
      </c>
    </row>
    <row r="378" spans="1:33" x14ac:dyDescent="0.3">
      <c r="A378" s="37">
        <f t="shared" si="273"/>
        <v>1410302002</v>
      </c>
      <c r="B378" s="37" t="str">
        <f t="shared" ref="B378:AF378" si="283">IF(B267 &lt;&gt; "", B267, "")</f>
        <v>Daily.Gold2</v>
      </c>
      <c r="C378" s="5" t="str">
        <f t="shared" si="283"/>
        <v>더스트드론</v>
      </c>
      <c r="D378" s="5" t="str">
        <f t="shared" si="283"/>
        <v>Monster.Name.hellfire_drone_2</v>
      </c>
      <c r="E378" s="5" t="str">
        <f t="shared" si="283"/>
        <v>Ranger</v>
      </c>
      <c r="F378" s="17" t="str">
        <f t="shared" si="283"/>
        <v>Fac_nul_ind</v>
      </c>
      <c r="G378" s="5" t="str">
        <f t="shared" si="283"/>
        <v>TRUE</v>
      </c>
      <c r="H378" s="5" t="b">
        <f t="shared" si="283"/>
        <v>0</v>
      </c>
      <c r="I378" s="5" t="b">
        <f t="shared" si="283"/>
        <v>0</v>
      </c>
      <c r="J378" s="5">
        <f t="shared" si="283"/>
        <v>10</v>
      </c>
      <c r="K378" s="5">
        <f t="shared" si="283"/>
        <v>10</v>
      </c>
      <c r="L378" s="2" t="str">
        <f t="shared" si="283"/>
        <v>Daily.Gold2.hellfire_drone_3.attack01</v>
      </c>
      <c r="M378" s="2" t="str">
        <f t="shared" si="283"/>
        <v/>
      </c>
      <c r="N378" s="2" t="str">
        <f t="shared" si="283"/>
        <v/>
      </c>
      <c r="O378" s="178" t="str">
        <f t="shared" si="283"/>
        <v>Daily.Gold2.hellfire_drone_3.skill01</v>
      </c>
      <c r="P378" s="14" t="str">
        <f t="shared" si="283"/>
        <v/>
      </c>
      <c r="Q378" s="14" t="str">
        <f t="shared" si="283"/>
        <v/>
      </c>
      <c r="R378" s="14" t="str">
        <f t="shared" si="283"/>
        <v/>
      </c>
      <c r="S378" s="14" t="str">
        <f t="shared" si="283"/>
        <v>Daily.Gold2.hellfire_drone_3.passive01</v>
      </c>
      <c r="T378" s="14" t="str">
        <f t="shared" si="283"/>
        <v/>
      </c>
      <c r="U378" s="14" t="str">
        <f t="shared" si="283"/>
        <v/>
      </c>
      <c r="V378" s="5" t="b">
        <f t="shared" si="283"/>
        <v>0</v>
      </c>
      <c r="W378" s="5" t="str">
        <f t="shared" si="283"/>
        <v>Character/Prefabs/m_s_ranger_hellfire_drone_2</v>
      </c>
      <c r="X378" s="5" t="str">
        <f t="shared" si="283"/>
        <v/>
      </c>
      <c r="Y378" s="5" t="str">
        <f t="shared" si="283"/>
        <v>m_s_ranger_hellfire_drone_2</v>
      </c>
      <c r="Z378" s="5" t="str">
        <f t="shared" si="283"/>
        <v/>
      </c>
      <c r="AA378" s="5" t="str">
        <f t="shared" si="283"/>
        <v/>
      </c>
      <c r="AB378" s="5" t="str">
        <f t="shared" si="283"/>
        <v/>
      </c>
      <c r="AC378" s="97">
        <f t="shared" si="283"/>
        <v>0.7</v>
      </c>
      <c r="AD378" s="5" t="str">
        <f t="shared" si="283"/>
        <v/>
      </c>
      <c r="AE378" s="5" t="str">
        <f t="shared" si="283"/>
        <v/>
      </c>
      <c r="AF378" s="5" t="str">
        <f t="shared" si="283"/>
        <v/>
      </c>
      <c r="AG378" s="173" t="s">
        <v>2763</v>
      </c>
    </row>
    <row r="379" spans="1:33" x14ac:dyDescent="0.3">
      <c r="A379" s="51">
        <f t="shared" si="273"/>
        <v>1410302003</v>
      </c>
      <c r="B379" s="51" t="str">
        <f t="shared" ref="B379:AF379" si="284">IF(B268 &lt;&gt; "", B268, "")</f>
        <v>Daily.Gold</v>
      </c>
      <c r="C379" s="5" t="str">
        <f t="shared" si="284"/>
        <v>헤비트루퍼런처</v>
      </c>
      <c r="D379" s="5" t="str">
        <f t="shared" si="284"/>
        <v>Monster.Name.heavy_trooper_launcher_1</v>
      </c>
      <c r="E379" s="5" t="str">
        <f t="shared" si="284"/>
        <v>Ranger</v>
      </c>
      <c r="F379" s="17" t="str">
        <f t="shared" si="284"/>
        <v>Fac_nul_ind</v>
      </c>
      <c r="G379" s="5" t="str">
        <f t="shared" si="284"/>
        <v>TRUE</v>
      </c>
      <c r="H379" s="5" t="b">
        <f t="shared" si="284"/>
        <v>1</v>
      </c>
      <c r="I379" s="5" t="b">
        <f t="shared" si="284"/>
        <v>1</v>
      </c>
      <c r="J379" s="5">
        <f t="shared" si="284"/>
        <v>10</v>
      </c>
      <c r="K379" s="5">
        <f t="shared" si="284"/>
        <v>10</v>
      </c>
      <c r="L379" s="2" t="str">
        <f t="shared" si="284"/>
        <v>Daily.Gold.trooper_demolisher_1.attack01</v>
      </c>
      <c r="M379" s="2" t="str">
        <f t="shared" si="284"/>
        <v/>
      </c>
      <c r="N379" s="2" t="str">
        <f t="shared" si="284"/>
        <v/>
      </c>
      <c r="O379" s="178" t="str">
        <f t="shared" si="284"/>
        <v>Daily.Gold.trooper_demolisher_1.skill01</v>
      </c>
      <c r="P379" s="14" t="str">
        <f t="shared" si="284"/>
        <v>Daily.Gold.trooper_demolisher_1.skill02</v>
      </c>
      <c r="Q379" s="14" t="str">
        <f t="shared" si="284"/>
        <v>Daily.Gold.trooper_demolisher_1.passive01</v>
      </c>
      <c r="R379" s="14" t="str">
        <f t="shared" si="284"/>
        <v/>
      </c>
      <c r="S379" s="14" t="str">
        <f t="shared" si="284"/>
        <v/>
      </c>
      <c r="T379" s="14" t="str">
        <f t="shared" si="284"/>
        <v/>
      </c>
      <c r="U379" s="14" t="str">
        <f t="shared" si="284"/>
        <v/>
      </c>
      <c r="V379" s="5" t="b">
        <f t="shared" si="284"/>
        <v>0</v>
      </c>
      <c r="W379" s="5" t="str">
        <f t="shared" si="284"/>
        <v>Character/Prefabs/m_m_ranger_heavy_trooper_launcher_1</v>
      </c>
      <c r="X379" s="5" t="str">
        <f t="shared" si="284"/>
        <v/>
      </c>
      <c r="Y379" s="5" t="str">
        <f t="shared" si="284"/>
        <v>m_m_ranger_heavy_trooper_launcher_1</v>
      </c>
      <c r="Z379" s="5" t="str">
        <f t="shared" si="284"/>
        <v/>
      </c>
      <c r="AA379" s="5" t="str">
        <f t="shared" si="284"/>
        <v/>
      </c>
      <c r="AB379" s="5" t="str">
        <f t="shared" si="284"/>
        <v/>
      </c>
      <c r="AC379" s="97">
        <f t="shared" si="284"/>
        <v>1</v>
      </c>
      <c r="AD379" s="5" t="str">
        <f t="shared" si="284"/>
        <v/>
      </c>
      <c r="AE379" s="5" t="str">
        <f t="shared" si="284"/>
        <v/>
      </c>
      <c r="AF379" s="5" t="str">
        <f t="shared" si="284"/>
        <v/>
      </c>
      <c r="AG379" s="173" t="s">
        <v>2763</v>
      </c>
    </row>
    <row r="380" spans="1:33" x14ac:dyDescent="0.3">
      <c r="A380" s="37">
        <f t="shared" si="273"/>
        <v>1410302004</v>
      </c>
      <c r="B380" s="37" t="str">
        <f t="shared" ref="B380:AF380" si="285">IF(B269 &lt;&gt; "", B269, "")</f>
        <v>Daily.Gold</v>
      </c>
      <c r="C380" s="5" t="str">
        <f t="shared" si="285"/>
        <v>헤비트루퍼라이플</v>
      </c>
      <c r="D380" s="5" t="str">
        <f t="shared" si="285"/>
        <v>Monster.Name.heavy_trooper_rifle_1</v>
      </c>
      <c r="E380" s="5" t="str">
        <f t="shared" si="285"/>
        <v>Ranger</v>
      </c>
      <c r="F380" s="17" t="str">
        <f t="shared" si="285"/>
        <v>Fac_nul_ind</v>
      </c>
      <c r="G380" s="5" t="str">
        <f t="shared" si="285"/>
        <v>TRUE</v>
      </c>
      <c r="H380" s="5" t="b">
        <f t="shared" si="285"/>
        <v>0</v>
      </c>
      <c r="I380" s="5" t="b">
        <f t="shared" si="285"/>
        <v>0</v>
      </c>
      <c r="J380" s="5">
        <f t="shared" si="285"/>
        <v>10</v>
      </c>
      <c r="K380" s="5">
        <f t="shared" si="285"/>
        <v>10</v>
      </c>
      <c r="L380" s="2" t="str">
        <f t="shared" si="285"/>
        <v>Daily.Gold.trooper_sniper_1.attack01</v>
      </c>
      <c r="M380" s="2" t="str">
        <f t="shared" si="285"/>
        <v/>
      </c>
      <c r="N380" s="2" t="str">
        <f t="shared" si="285"/>
        <v/>
      </c>
      <c r="O380" s="178" t="str">
        <f t="shared" si="285"/>
        <v>Daily.Gold.trooper_sniper_1.skill01</v>
      </c>
      <c r="P380" s="14" t="str">
        <f t="shared" si="285"/>
        <v/>
      </c>
      <c r="Q380" s="14" t="str">
        <f t="shared" si="285"/>
        <v/>
      </c>
      <c r="R380" s="14" t="str">
        <f t="shared" si="285"/>
        <v/>
      </c>
      <c r="S380" s="14" t="str">
        <f t="shared" si="285"/>
        <v/>
      </c>
      <c r="T380" s="14" t="str">
        <f t="shared" si="285"/>
        <v/>
      </c>
      <c r="U380" s="14" t="str">
        <f t="shared" si="285"/>
        <v/>
      </c>
      <c r="V380" s="5" t="b">
        <f t="shared" si="285"/>
        <v>0</v>
      </c>
      <c r="W380" s="5" t="str">
        <f t="shared" si="285"/>
        <v>Character/Prefabs/m_m_ranger_heavy_trooper_rifle_1</v>
      </c>
      <c r="X380" s="5" t="str">
        <f t="shared" si="285"/>
        <v/>
      </c>
      <c r="Y380" s="5" t="str">
        <f t="shared" si="285"/>
        <v>m_m_ranger_heavy_trooper_rifle_1</v>
      </c>
      <c r="Z380" s="5" t="str">
        <f t="shared" si="285"/>
        <v/>
      </c>
      <c r="AA380" s="5" t="str">
        <f t="shared" si="285"/>
        <v/>
      </c>
      <c r="AB380" s="5" t="str">
        <f t="shared" si="285"/>
        <v/>
      </c>
      <c r="AC380" s="97">
        <f t="shared" si="285"/>
        <v>0.7</v>
      </c>
      <c r="AD380" s="5" t="str">
        <f t="shared" si="285"/>
        <v/>
      </c>
      <c r="AE380" s="5" t="str">
        <f t="shared" si="285"/>
        <v/>
      </c>
      <c r="AF380" s="5" t="str">
        <f t="shared" si="285"/>
        <v/>
      </c>
      <c r="AG380" s="173" t="s">
        <v>2763</v>
      </c>
    </row>
    <row r="381" spans="1:33" x14ac:dyDescent="0.3">
      <c r="A381" s="37">
        <f t="shared" si="273"/>
        <v>1410302005</v>
      </c>
      <c r="B381" s="37" t="str">
        <f t="shared" ref="B381:AF381" si="286">IF(B270 &lt;&gt; "", B270, "")</f>
        <v>Daily.Gold</v>
      </c>
      <c r="C381" s="5" t="str">
        <f t="shared" si="286"/>
        <v>헤비트루퍼플레임</v>
      </c>
      <c r="D381" s="5" t="str">
        <f t="shared" si="286"/>
        <v>Monster.Name.heavy_trooper_flame_1</v>
      </c>
      <c r="E381" s="5" t="str">
        <f t="shared" si="286"/>
        <v>Attacker</v>
      </c>
      <c r="F381" s="17" t="str">
        <f t="shared" si="286"/>
        <v>Fac_nul_ind</v>
      </c>
      <c r="G381" s="5" t="str">
        <f t="shared" si="286"/>
        <v>TRUE</v>
      </c>
      <c r="H381" s="5" t="b">
        <f t="shared" si="286"/>
        <v>0</v>
      </c>
      <c r="I381" s="5" t="b">
        <f t="shared" si="286"/>
        <v>0</v>
      </c>
      <c r="J381" s="5">
        <f t="shared" si="286"/>
        <v>10</v>
      </c>
      <c r="K381" s="5">
        <f t="shared" si="286"/>
        <v>10</v>
      </c>
      <c r="L381" s="2" t="str">
        <f t="shared" si="286"/>
        <v>Daily.Gold.trooper_inferno_1.attack01</v>
      </c>
      <c r="M381" s="2" t="str">
        <f t="shared" si="286"/>
        <v/>
      </c>
      <c r="N381" s="2" t="str">
        <f t="shared" si="286"/>
        <v/>
      </c>
      <c r="O381" s="178" t="str">
        <f t="shared" si="286"/>
        <v/>
      </c>
      <c r="P381" s="14" t="str">
        <f t="shared" si="286"/>
        <v/>
      </c>
      <c r="Q381" s="14" t="str">
        <f t="shared" si="286"/>
        <v/>
      </c>
      <c r="R381" s="14" t="str">
        <f t="shared" si="286"/>
        <v/>
      </c>
      <c r="S381" s="14" t="str">
        <f t="shared" si="286"/>
        <v/>
      </c>
      <c r="T381" s="14" t="str">
        <f t="shared" si="286"/>
        <v/>
      </c>
      <c r="U381" s="14" t="str">
        <f t="shared" si="286"/>
        <v/>
      </c>
      <c r="V381" s="5" t="b">
        <f t="shared" si="286"/>
        <v>0</v>
      </c>
      <c r="W381" s="5" t="str">
        <f t="shared" si="286"/>
        <v>Character/Prefabs/m_m_attacker_heavy_trooper_flame_1</v>
      </c>
      <c r="X381" s="5" t="str">
        <f t="shared" si="286"/>
        <v/>
      </c>
      <c r="Y381" s="5" t="str">
        <f t="shared" si="286"/>
        <v>m_m_attacker_heavy_trooper_flame_1</v>
      </c>
      <c r="Z381" s="5" t="str">
        <f t="shared" si="286"/>
        <v/>
      </c>
      <c r="AA381" s="5" t="str">
        <f t="shared" si="286"/>
        <v/>
      </c>
      <c r="AB381" s="5" t="str">
        <f t="shared" si="286"/>
        <v/>
      </c>
      <c r="AC381" s="97">
        <f t="shared" si="286"/>
        <v>0.7</v>
      </c>
      <c r="AD381" s="5" t="str">
        <f t="shared" si="286"/>
        <v/>
      </c>
      <c r="AE381" s="5" t="str">
        <f t="shared" si="286"/>
        <v/>
      </c>
      <c r="AF381" s="5" t="str">
        <f t="shared" si="286"/>
        <v/>
      </c>
      <c r="AG381" s="173" t="s">
        <v>2763</v>
      </c>
    </row>
    <row r="382" spans="1:33" x14ac:dyDescent="0.3">
      <c r="A382" s="37">
        <f t="shared" si="273"/>
        <v>1410302006</v>
      </c>
      <c r="B382" s="37" t="str">
        <f t="shared" ref="B382:AF382" si="287">IF(B271 &lt;&gt; "", B271, "")</f>
        <v>Daily.Gold</v>
      </c>
      <c r="C382" s="5" t="str">
        <f t="shared" si="287"/>
        <v>그리마알파</v>
      </c>
      <c r="D382" s="5" t="str">
        <f t="shared" si="287"/>
        <v>Monster.Name.grima_alpha_1</v>
      </c>
      <c r="E382" s="5" t="str">
        <f t="shared" si="287"/>
        <v>Attacker</v>
      </c>
      <c r="F382" s="17" t="str">
        <f t="shared" si="287"/>
        <v>Fac_nul_ind</v>
      </c>
      <c r="G382" s="5" t="str">
        <f t="shared" si="287"/>
        <v>TRUE</v>
      </c>
      <c r="H382" s="5" t="b">
        <f t="shared" si="287"/>
        <v>0</v>
      </c>
      <c r="I382" s="5" t="b">
        <f t="shared" si="287"/>
        <v>0</v>
      </c>
      <c r="J382" s="5">
        <f t="shared" si="287"/>
        <v>10</v>
      </c>
      <c r="K382" s="5">
        <f t="shared" si="287"/>
        <v>10</v>
      </c>
      <c r="L382" s="2" t="str">
        <f t="shared" si="287"/>
        <v>Daily.Gold.grima_alpha_1.attack01</v>
      </c>
      <c r="M382" s="2" t="str">
        <f t="shared" si="287"/>
        <v/>
      </c>
      <c r="N382" s="2" t="str">
        <f t="shared" si="287"/>
        <v/>
      </c>
      <c r="O382" s="178" t="str">
        <f t="shared" si="287"/>
        <v>Daily.Gold.grima_alpha_1.skill01</v>
      </c>
      <c r="P382" s="14" t="str">
        <f t="shared" si="287"/>
        <v>Daily.Gold.grima_alpha_1.skill02</v>
      </c>
      <c r="Q382" s="14" t="str">
        <f t="shared" si="287"/>
        <v/>
      </c>
      <c r="R382" s="14" t="str">
        <f t="shared" si="287"/>
        <v/>
      </c>
      <c r="S382" s="14" t="str">
        <f t="shared" si="287"/>
        <v/>
      </c>
      <c r="T382" s="14" t="str">
        <f t="shared" si="287"/>
        <v/>
      </c>
      <c r="U382" s="14" t="str">
        <f t="shared" si="287"/>
        <v/>
      </c>
      <c r="V382" s="5" t="b">
        <f t="shared" si="287"/>
        <v>0</v>
      </c>
      <c r="W382" s="5" t="str">
        <f t="shared" si="287"/>
        <v>Character/Prefabs/m_l_attacker_grima_alpha_1</v>
      </c>
      <c r="X382" s="5" t="str">
        <f t="shared" si="287"/>
        <v/>
      </c>
      <c r="Y382" s="5" t="str">
        <f t="shared" si="287"/>
        <v>m_l_attacker_grima_alpha_1</v>
      </c>
      <c r="Z382" s="5" t="str">
        <f t="shared" si="287"/>
        <v/>
      </c>
      <c r="AA382" s="5" t="str">
        <f t="shared" si="287"/>
        <v/>
      </c>
      <c r="AB382" s="5" t="str">
        <f t="shared" si="287"/>
        <v/>
      </c>
      <c r="AC382" s="97">
        <f t="shared" si="287"/>
        <v>0.6</v>
      </c>
      <c r="AD382" s="5" t="str">
        <f t="shared" si="287"/>
        <v/>
      </c>
      <c r="AE382" s="5" t="str">
        <f t="shared" si="287"/>
        <v/>
      </c>
      <c r="AF382" s="5" t="str">
        <f t="shared" si="287"/>
        <v/>
      </c>
      <c r="AG382" s="173" t="s">
        <v>2763</v>
      </c>
    </row>
    <row r="383" spans="1:33" x14ac:dyDescent="0.3">
      <c r="A383" s="37">
        <f t="shared" si="273"/>
        <v>1410302007</v>
      </c>
      <c r="B383" s="37" t="str">
        <f t="shared" ref="B383:AF383" si="288">IF(B272 &lt;&gt; "", B272, "")</f>
        <v>Daily.Gold</v>
      </c>
      <c r="C383" s="5" t="str">
        <f t="shared" si="288"/>
        <v>드레인데미스</v>
      </c>
      <c r="D383" s="5" t="str">
        <f t="shared" si="288"/>
        <v>Monster.Name.draindermis_1</v>
      </c>
      <c r="E383" s="5" t="str">
        <f t="shared" si="288"/>
        <v>Ranger</v>
      </c>
      <c r="F383" s="17" t="str">
        <f t="shared" si="288"/>
        <v>Fac_nul_ind</v>
      </c>
      <c r="G383" s="5" t="str">
        <f t="shared" si="288"/>
        <v>TRUE</v>
      </c>
      <c r="H383" s="5" t="b">
        <f t="shared" si="288"/>
        <v>0</v>
      </c>
      <c r="I383" s="5" t="b">
        <f t="shared" si="288"/>
        <v>0</v>
      </c>
      <c r="J383" s="5">
        <f t="shared" si="288"/>
        <v>10</v>
      </c>
      <c r="K383" s="5">
        <f t="shared" si="288"/>
        <v>10</v>
      </c>
      <c r="L383" s="2" t="str">
        <f t="shared" si="288"/>
        <v>Daily.Gold.draindermis_1.attack01</v>
      </c>
      <c r="M383" s="2" t="str">
        <f t="shared" si="288"/>
        <v/>
      </c>
      <c r="N383" s="2" t="str">
        <f t="shared" si="288"/>
        <v/>
      </c>
      <c r="O383" s="178" t="str">
        <f t="shared" si="288"/>
        <v>Daily.Gold.draindermis_1.skill01</v>
      </c>
      <c r="P383" s="14" t="str">
        <f t="shared" si="288"/>
        <v>Daily.Gold.draindermis_1.skill02</v>
      </c>
      <c r="Q383" s="14" t="str">
        <f t="shared" si="288"/>
        <v/>
      </c>
      <c r="R383" s="14" t="str">
        <f t="shared" si="288"/>
        <v/>
      </c>
      <c r="S383" s="14" t="str">
        <f t="shared" si="288"/>
        <v/>
      </c>
      <c r="T383" s="14" t="str">
        <f t="shared" si="288"/>
        <v/>
      </c>
      <c r="U383" s="14" t="str">
        <f t="shared" si="288"/>
        <v/>
      </c>
      <c r="V383" s="5" t="b">
        <f t="shared" si="288"/>
        <v>0</v>
      </c>
      <c r="W383" s="5" t="str">
        <f t="shared" si="288"/>
        <v>Character/Prefabs/m_l_ranger_draindermis_1</v>
      </c>
      <c r="X383" s="5" t="str">
        <f t="shared" si="288"/>
        <v/>
      </c>
      <c r="Y383" s="5" t="str">
        <f t="shared" si="288"/>
        <v>m_l_ranger_draindermis_1</v>
      </c>
      <c r="Z383" s="5" t="str">
        <f t="shared" si="288"/>
        <v/>
      </c>
      <c r="AA383" s="5" t="str">
        <f t="shared" si="288"/>
        <v/>
      </c>
      <c r="AB383" s="5" t="str">
        <f t="shared" si="288"/>
        <v/>
      </c>
      <c r="AC383" s="97">
        <f t="shared" si="288"/>
        <v>0.7</v>
      </c>
      <c r="AD383" s="5" t="str">
        <f t="shared" si="288"/>
        <v/>
      </c>
      <c r="AE383" s="5" t="str">
        <f t="shared" si="288"/>
        <v/>
      </c>
      <c r="AF383" s="5" t="str">
        <f t="shared" si="288"/>
        <v/>
      </c>
      <c r="AG383" s="173" t="s">
        <v>2763</v>
      </c>
    </row>
    <row r="384" spans="1:33" x14ac:dyDescent="0.3">
      <c r="A384" s="37">
        <f t="shared" si="273"/>
        <v>1410302008</v>
      </c>
      <c r="B384" s="37" t="str">
        <f t="shared" ref="B384:AF384" si="289">IF(B273 &lt;&gt; "", B273, "")</f>
        <v>Daily.Gold</v>
      </c>
      <c r="C384" s="5" t="str">
        <f t="shared" si="289"/>
        <v>그리마베타</v>
      </c>
      <c r="D384" s="5" t="str">
        <f t="shared" si="289"/>
        <v>Monster.Name.grima_beta_1</v>
      </c>
      <c r="E384" s="5" t="str">
        <f t="shared" si="289"/>
        <v>Attacker</v>
      </c>
      <c r="F384" s="17" t="str">
        <f t="shared" si="289"/>
        <v>Fac_nul_ind</v>
      </c>
      <c r="G384" s="5" t="str">
        <f t="shared" si="289"/>
        <v>TRUE</v>
      </c>
      <c r="H384" s="5" t="b">
        <f t="shared" si="289"/>
        <v>0</v>
      </c>
      <c r="I384" s="5" t="b">
        <f t="shared" si="289"/>
        <v>0</v>
      </c>
      <c r="J384" s="5">
        <f t="shared" si="289"/>
        <v>10</v>
      </c>
      <c r="K384" s="5">
        <f t="shared" si="289"/>
        <v>10</v>
      </c>
      <c r="L384" s="2" t="str">
        <f t="shared" si="289"/>
        <v>Daily.Gold.grima_beta_1.attack01</v>
      </c>
      <c r="M384" s="2" t="str">
        <f t="shared" si="289"/>
        <v/>
      </c>
      <c r="N384" s="2" t="str">
        <f t="shared" si="289"/>
        <v/>
      </c>
      <c r="O384" s="178" t="str">
        <f t="shared" si="289"/>
        <v>Daily.Gold.grima_beta_1.skill01</v>
      </c>
      <c r="P384" s="14" t="str">
        <f t="shared" si="289"/>
        <v>Daily.Gold.grima_beta_1.skill02</v>
      </c>
      <c r="Q384" s="14" t="str">
        <f t="shared" si="289"/>
        <v/>
      </c>
      <c r="R384" s="14" t="str">
        <f t="shared" si="289"/>
        <v/>
      </c>
      <c r="S384" s="14" t="str">
        <f t="shared" si="289"/>
        <v/>
      </c>
      <c r="T384" s="14" t="str">
        <f t="shared" si="289"/>
        <v/>
      </c>
      <c r="U384" s="14" t="str">
        <f t="shared" si="289"/>
        <v/>
      </c>
      <c r="V384" s="5" t="b">
        <f t="shared" si="289"/>
        <v>0</v>
      </c>
      <c r="W384" s="5" t="str">
        <f t="shared" si="289"/>
        <v>Character/Prefabs/m_l_attacker_grima_beta_1</v>
      </c>
      <c r="X384" s="5" t="str">
        <f t="shared" si="289"/>
        <v/>
      </c>
      <c r="Y384" s="5" t="str">
        <f t="shared" si="289"/>
        <v>m_l_attacker_grima_beta_1</v>
      </c>
      <c r="Z384" s="5" t="str">
        <f t="shared" si="289"/>
        <v/>
      </c>
      <c r="AA384" s="5" t="str">
        <f t="shared" si="289"/>
        <v/>
      </c>
      <c r="AB384" s="5" t="str">
        <f t="shared" si="289"/>
        <v/>
      </c>
      <c r="AC384" s="97">
        <f t="shared" si="289"/>
        <v>0.6</v>
      </c>
      <c r="AD384" s="5" t="str">
        <f t="shared" si="289"/>
        <v/>
      </c>
      <c r="AE384" s="5" t="str">
        <f t="shared" si="289"/>
        <v/>
      </c>
      <c r="AF384" s="5" t="str">
        <f t="shared" si="289"/>
        <v/>
      </c>
      <c r="AG384" s="173" t="s">
        <v>2763</v>
      </c>
    </row>
    <row r="385" spans="1:33" x14ac:dyDescent="0.3">
      <c r="A385" s="37">
        <f t="shared" si="273"/>
        <v>1410302009</v>
      </c>
      <c r="B385" s="37" t="str">
        <f t="shared" ref="B385:AF385" si="290">IF(B274 &lt;&gt; "", B274, "")</f>
        <v>Daily.Gold</v>
      </c>
      <c r="C385" s="5" t="str">
        <f t="shared" si="290"/>
        <v>연구소임팩트</v>
      </c>
      <c r="D385" s="5" t="str">
        <f t="shared" si="290"/>
        <v>Monster.Name.labmecha_punch_1</v>
      </c>
      <c r="E385" s="5" t="str">
        <f t="shared" si="290"/>
        <v>Tanker</v>
      </c>
      <c r="F385" s="17" t="str">
        <f t="shared" si="290"/>
        <v>Fac_nul_ind</v>
      </c>
      <c r="G385" s="5" t="str">
        <f t="shared" si="290"/>
        <v>TRUE</v>
      </c>
      <c r="H385" s="5" t="b">
        <f t="shared" si="290"/>
        <v>0</v>
      </c>
      <c r="I385" s="5" t="b">
        <f t="shared" si="290"/>
        <v>0</v>
      </c>
      <c r="J385" s="5">
        <f t="shared" si="290"/>
        <v>10</v>
      </c>
      <c r="K385" s="5">
        <f t="shared" si="290"/>
        <v>10</v>
      </c>
      <c r="L385" s="2" t="str">
        <f t="shared" si="290"/>
        <v>Daily.Gold.labmecha_punch_1.attack01</v>
      </c>
      <c r="M385" s="2" t="str">
        <f t="shared" si="290"/>
        <v/>
      </c>
      <c r="N385" s="2" t="str">
        <f t="shared" si="290"/>
        <v/>
      </c>
      <c r="O385" s="178" t="str">
        <f t="shared" si="290"/>
        <v>Daily.Gold.labmecha_punch_1.skill01</v>
      </c>
      <c r="P385" s="14" t="str">
        <f t="shared" si="290"/>
        <v/>
      </c>
      <c r="Q385" s="14" t="str">
        <f t="shared" si="290"/>
        <v/>
      </c>
      <c r="R385" s="14" t="str">
        <f t="shared" si="290"/>
        <v/>
      </c>
      <c r="S385" s="14" t="str">
        <f t="shared" si="290"/>
        <v/>
      </c>
      <c r="T385" s="14" t="str">
        <f t="shared" si="290"/>
        <v/>
      </c>
      <c r="U385" s="14" t="str">
        <f t="shared" si="290"/>
        <v/>
      </c>
      <c r="V385" s="5" t="b">
        <f t="shared" si="290"/>
        <v>0</v>
      </c>
      <c r="W385" s="5" t="str">
        <f t="shared" si="290"/>
        <v>Character/Prefabs/m_l_tanker_labmecha_punch_1</v>
      </c>
      <c r="X385" s="5" t="str">
        <f t="shared" si="290"/>
        <v/>
      </c>
      <c r="Y385" s="5" t="str">
        <f t="shared" si="290"/>
        <v>m_l_tanker_labmecha_punch_1</v>
      </c>
      <c r="Z385" s="5" t="str">
        <f t="shared" si="290"/>
        <v/>
      </c>
      <c r="AA385" s="5" t="str">
        <f t="shared" si="290"/>
        <v/>
      </c>
      <c r="AB385" s="5" t="str">
        <f t="shared" si="290"/>
        <v/>
      </c>
      <c r="AC385" s="97">
        <f t="shared" si="290"/>
        <v>0.7</v>
      </c>
      <c r="AD385" s="5" t="str">
        <f t="shared" si="290"/>
        <v/>
      </c>
      <c r="AE385" s="5" t="str">
        <f t="shared" si="290"/>
        <v/>
      </c>
      <c r="AF385" s="5" t="str">
        <f t="shared" si="290"/>
        <v/>
      </c>
      <c r="AG385" s="173" t="s">
        <v>2763</v>
      </c>
    </row>
    <row r="386" spans="1:33" x14ac:dyDescent="0.3">
      <c r="A386" s="37">
        <f t="shared" si="273"/>
        <v>1410302010</v>
      </c>
      <c r="B386" s="37" t="str">
        <f t="shared" ref="B386:AF386" si="291">IF(B275 &lt;&gt; "", B275, "")</f>
        <v>Daily.Gold</v>
      </c>
      <c r="C386" s="5" t="str">
        <f t="shared" si="291"/>
        <v>연구소캐논</v>
      </c>
      <c r="D386" s="5" t="str">
        <f t="shared" si="291"/>
        <v>Monster.Name.harbor_cannon_1</v>
      </c>
      <c r="E386" s="5" t="str">
        <f t="shared" si="291"/>
        <v>Ranger</v>
      </c>
      <c r="F386" s="17" t="str">
        <f t="shared" si="291"/>
        <v>Fac_nul_ind</v>
      </c>
      <c r="G386" s="5" t="str">
        <f t="shared" si="291"/>
        <v>TRUE</v>
      </c>
      <c r="H386" s="5" t="b">
        <f t="shared" si="291"/>
        <v>0</v>
      </c>
      <c r="I386" s="5" t="b">
        <f t="shared" si="291"/>
        <v>0</v>
      </c>
      <c r="J386" s="5">
        <f t="shared" si="291"/>
        <v>10</v>
      </c>
      <c r="K386" s="5">
        <f t="shared" si="291"/>
        <v>20</v>
      </c>
      <c r="L386" s="2" t="str">
        <f t="shared" si="291"/>
        <v>Daily.Gold.harbor_cannon_1.attack01</v>
      </c>
      <c r="M386" s="2" t="str">
        <f t="shared" si="291"/>
        <v/>
      </c>
      <c r="N386" s="2" t="str">
        <f t="shared" si="291"/>
        <v/>
      </c>
      <c r="O386" s="178" t="str">
        <f t="shared" si="291"/>
        <v/>
      </c>
      <c r="P386" s="14" t="str">
        <f t="shared" si="291"/>
        <v/>
      </c>
      <c r="Q386" s="14" t="str">
        <f t="shared" si="291"/>
        <v/>
      </c>
      <c r="R386" s="14" t="str">
        <f t="shared" si="291"/>
        <v/>
      </c>
      <c r="S386" s="14" t="str">
        <f t="shared" si="291"/>
        <v/>
      </c>
      <c r="T386" s="14" t="str">
        <f t="shared" si="291"/>
        <v/>
      </c>
      <c r="U386" s="14" t="str">
        <f t="shared" si="291"/>
        <v/>
      </c>
      <c r="V386" s="5" t="b">
        <f t="shared" si="291"/>
        <v>0</v>
      </c>
      <c r="W386" s="5" t="str">
        <f t="shared" si="291"/>
        <v>Character/Prefabs/m_m_ranger_harbor_cannon_1</v>
      </c>
      <c r="X386" s="5" t="str">
        <f t="shared" si="291"/>
        <v/>
      </c>
      <c r="Y386" s="5" t="str">
        <f t="shared" si="291"/>
        <v>m_m_ranger_harbor_cannon_1</v>
      </c>
      <c r="Z386" s="5" t="str">
        <f t="shared" si="291"/>
        <v/>
      </c>
      <c r="AA386" s="5" t="str">
        <f t="shared" si="291"/>
        <v/>
      </c>
      <c r="AB386" s="5" t="str">
        <f t="shared" si="291"/>
        <v/>
      </c>
      <c r="AC386" s="97">
        <f t="shared" si="291"/>
        <v>0.6</v>
      </c>
      <c r="AD386" s="5" t="str">
        <f t="shared" si="291"/>
        <v/>
      </c>
      <c r="AE386" s="5" t="str">
        <f t="shared" si="291"/>
        <v/>
      </c>
      <c r="AF386" s="5" t="str">
        <f t="shared" si="291"/>
        <v/>
      </c>
      <c r="AG386" s="173" t="s">
        <v>2763</v>
      </c>
    </row>
    <row r="387" spans="1:33" x14ac:dyDescent="0.3">
      <c r="A387" s="12">
        <f t="shared" si="273"/>
        <v>1410303001</v>
      </c>
      <c r="B387" s="12" t="str">
        <f t="shared" ref="B387:AF387" si="292">IF(B276 &lt;&gt; "", B276, "")</f>
        <v>Daily.Atk</v>
      </c>
      <c r="C387" s="5" t="str">
        <f t="shared" si="292"/>
        <v>헬파이어드론</v>
      </c>
      <c r="D387" s="76" t="str">
        <f t="shared" si="292"/>
        <v>Monster.Name.Atk.Sub.drone_1</v>
      </c>
      <c r="E387" s="5" t="str">
        <f t="shared" si="292"/>
        <v>None</v>
      </c>
      <c r="F387" s="17" t="str">
        <f t="shared" si="292"/>
        <v>Fac_nul_ind</v>
      </c>
      <c r="G387" s="5" t="str">
        <f t="shared" si="292"/>
        <v>TRUE</v>
      </c>
      <c r="H387" s="5" t="b">
        <f t="shared" si="292"/>
        <v>0</v>
      </c>
      <c r="I387" s="5" t="b">
        <f t="shared" si="292"/>
        <v>0</v>
      </c>
      <c r="J387" s="5">
        <f t="shared" si="292"/>
        <v>10</v>
      </c>
      <c r="K387" s="5">
        <f t="shared" si="292"/>
        <v>10</v>
      </c>
      <c r="L387" s="2" t="str">
        <f t="shared" si="292"/>
        <v>Daily.Atk.hellfire_drone_3.attack01</v>
      </c>
      <c r="M387" s="2" t="str">
        <f t="shared" si="292"/>
        <v/>
      </c>
      <c r="N387" s="2" t="str">
        <f t="shared" si="292"/>
        <v/>
      </c>
      <c r="O387" s="178" t="str">
        <f t="shared" si="292"/>
        <v>Daily.Atk.hellfire_drone_3.passive01</v>
      </c>
      <c r="P387" s="14" t="str">
        <f t="shared" si="292"/>
        <v/>
      </c>
      <c r="Q387" s="14" t="str">
        <f t="shared" si="292"/>
        <v/>
      </c>
      <c r="R387" s="14" t="str">
        <f t="shared" si="292"/>
        <v/>
      </c>
      <c r="S387" s="14" t="str">
        <f t="shared" si="292"/>
        <v/>
      </c>
      <c r="T387" s="14" t="str">
        <f t="shared" si="292"/>
        <v/>
      </c>
      <c r="U387" s="14" t="str">
        <f t="shared" si="292"/>
        <v/>
      </c>
      <c r="V387" s="5" t="b">
        <f t="shared" si="292"/>
        <v>0</v>
      </c>
      <c r="W387" s="5" t="str">
        <f t="shared" si="292"/>
        <v>Character/Prefabs/m_s_ranger_hellfire_drone_3</v>
      </c>
      <c r="X387" s="5" t="str">
        <f t="shared" si="292"/>
        <v/>
      </c>
      <c r="Y387" s="5" t="str">
        <f t="shared" si="292"/>
        <v>m_s_ranger_hellfire_drone_3</v>
      </c>
      <c r="Z387" s="5" t="str">
        <f t="shared" si="292"/>
        <v/>
      </c>
      <c r="AA387" s="5" t="str">
        <f t="shared" si="292"/>
        <v/>
      </c>
      <c r="AB387" s="5" t="str">
        <f t="shared" si="292"/>
        <v/>
      </c>
      <c r="AC387" s="97">
        <f t="shared" si="292"/>
        <v>0.7</v>
      </c>
      <c r="AD387" s="5" t="str">
        <f t="shared" si="292"/>
        <v/>
      </c>
      <c r="AE387" s="5" t="str">
        <f t="shared" si="292"/>
        <v/>
      </c>
      <c r="AF387" s="5" t="str">
        <f t="shared" si="292"/>
        <v/>
      </c>
      <c r="AG387" s="173" t="s">
        <v>2763</v>
      </c>
    </row>
    <row r="388" spans="1:33" x14ac:dyDescent="0.3">
      <c r="A388" s="12">
        <f t="shared" si="273"/>
        <v>1410303002</v>
      </c>
      <c r="B388" s="12" t="str">
        <f t="shared" ref="B388:AF388" si="293">IF(B277 &lt;&gt; "", B277, "")</f>
        <v>Daily.Atk</v>
      </c>
      <c r="C388" s="5" t="str">
        <f t="shared" si="293"/>
        <v>리제네이션드론</v>
      </c>
      <c r="D388" s="76" t="str">
        <f t="shared" si="293"/>
        <v>Monster.Name.Atk.Sub.drone_2</v>
      </c>
      <c r="E388" s="5" t="str">
        <f t="shared" si="293"/>
        <v>None</v>
      </c>
      <c r="F388" s="17" t="str">
        <f t="shared" si="293"/>
        <v>Fac_nul_ind</v>
      </c>
      <c r="G388" s="5" t="str">
        <f t="shared" si="293"/>
        <v>TRUE</v>
      </c>
      <c r="H388" s="5" t="b">
        <f t="shared" si="293"/>
        <v>0</v>
      </c>
      <c r="I388" s="5" t="b">
        <f t="shared" si="293"/>
        <v>0</v>
      </c>
      <c r="J388" s="5">
        <f t="shared" si="293"/>
        <v>10</v>
      </c>
      <c r="K388" s="5">
        <f t="shared" si="293"/>
        <v>10</v>
      </c>
      <c r="L388" s="2" t="str">
        <f t="shared" si="293"/>
        <v>Daily.Atk.regeneration_drone_3.attack01</v>
      </c>
      <c r="M388" s="2" t="str">
        <f t="shared" si="293"/>
        <v/>
      </c>
      <c r="N388" s="2" t="str">
        <f t="shared" si="293"/>
        <v/>
      </c>
      <c r="O388" s="178" t="str">
        <f t="shared" si="293"/>
        <v>Daily.Atk.regeneration_drone_3.passive01</v>
      </c>
      <c r="P388" s="14" t="str">
        <f t="shared" si="293"/>
        <v/>
      </c>
      <c r="Q388" s="14" t="str">
        <f t="shared" si="293"/>
        <v/>
      </c>
      <c r="R388" s="14" t="str">
        <f t="shared" si="293"/>
        <v/>
      </c>
      <c r="S388" s="14" t="str">
        <f t="shared" si="293"/>
        <v/>
      </c>
      <c r="T388" s="14" t="str">
        <f t="shared" si="293"/>
        <v/>
      </c>
      <c r="U388" s="14" t="str">
        <f t="shared" si="293"/>
        <v/>
      </c>
      <c r="V388" s="5" t="b">
        <f t="shared" si="293"/>
        <v>0</v>
      </c>
      <c r="W388" s="5" t="str">
        <f t="shared" si="293"/>
        <v>Character/Prefabs/m_s_supporter_regeneration_drone_3</v>
      </c>
      <c r="X388" s="5" t="str">
        <f t="shared" si="293"/>
        <v/>
      </c>
      <c r="Y388" s="5" t="str">
        <f t="shared" si="293"/>
        <v>m_s_supporter_regeneration_drone_3</v>
      </c>
      <c r="Z388" s="5" t="str">
        <f t="shared" si="293"/>
        <v/>
      </c>
      <c r="AA388" s="5" t="str">
        <f t="shared" si="293"/>
        <v/>
      </c>
      <c r="AB388" s="5" t="str">
        <f t="shared" si="293"/>
        <v/>
      </c>
      <c r="AC388" s="97">
        <f t="shared" si="293"/>
        <v>0.7</v>
      </c>
      <c r="AD388" s="5" t="str">
        <f t="shared" si="293"/>
        <v/>
      </c>
      <c r="AE388" s="5" t="str">
        <f t="shared" si="293"/>
        <v/>
      </c>
      <c r="AF388" s="5" t="str">
        <f t="shared" si="293"/>
        <v/>
      </c>
      <c r="AG388" s="173" t="s">
        <v>2763</v>
      </c>
    </row>
    <row r="389" spans="1:33" x14ac:dyDescent="0.3">
      <c r="A389" s="12">
        <f t="shared" si="273"/>
        <v>1410303003</v>
      </c>
      <c r="B389" s="12" t="str">
        <f t="shared" ref="B389:AF389" si="294">IF(B278 &lt;&gt; "", B278, "")</f>
        <v>Daily.Atk</v>
      </c>
      <c r="C389" s="5" t="str">
        <f t="shared" si="294"/>
        <v>쉘터청소부g1</v>
      </c>
      <c r="D389" s="5" t="str">
        <f t="shared" si="294"/>
        <v>Monster.Name.shelter_sweeper_g_1</v>
      </c>
      <c r="E389" s="5" t="str">
        <f t="shared" si="294"/>
        <v>Tanker</v>
      </c>
      <c r="F389" s="17" t="str">
        <f t="shared" si="294"/>
        <v>Fac_nul_ind</v>
      </c>
      <c r="G389" s="5" t="str">
        <f t="shared" si="294"/>
        <v>TRUE</v>
      </c>
      <c r="H389" s="5" t="b">
        <f t="shared" si="294"/>
        <v>1</v>
      </c>
      <c r="I389" s="5" t="b">
        <f t="shared" si="294"/>
        <v>1</v>
      </c>
      <c r="J389" s="5">
        <f t="shared" si="294"/>
        <v>20</v>
      </c>
      <c r="K389" s="5">
        <f t="shared" si="294"/>
        <v>10</v>
      </c>
      <c r="L389" s="2" t="str">
        <f t="shared" si="294"/>
        <v>Daily.Atk.shelter_sweeper_g_1.attack01</v>
      </c>
      <c r="M389" s="2" t="str">
        <f t="shared" si="294"/>
        <v/>
      </c>
      <c r="N389" s="2" t="str">
        <f t="shared" si="294"/>
        <v/>
      </c>
      <c r="O389" s="178" t="str">
        <f t="shared" si="294"/>
        <v>Daily.Atk.shelter_sweeper_g_1.skill01</v>
      </c>
      <c r="P389" s="14" t="str">
        <f t="shared" si="294"/>
        <v>Daily.Atk.shelter_sweeper_g_1.skill02</v>
      </c>
      <c r="Q389" s="14" t="str">
        <f t="shared" si="294"/>
        <v>Daily.Atk.Boss.passive01</v>
      </c>
      <c r="R389" s="14" t="str">
        <f t="shared" si="294"/>
        <v/>
      </c>
      <c r="S389" s="14" t="str">
        <f t="shared" si="294"/>
        <v>Daily.Atk.Boss.End.passive01</v>
      </c>
      <c r="T389" s="14" t="str">
        <f t="shared" si="294"/>
        <v/>
      </c>
      <c r="U389" s="14" t="str">
        <f t="shared" si="294"/>
        <v/>
      </c>
      <c r="V389" s="5" t="b">
        <f t="shared" si="294"/>
        <v>0</v>
      </c>
      <c r="W389" s="5" t="str">
        <f t="shared" si="294"/>
        <v>Character/Prefabs/m_m_tanker_shelter_sweeper_g_1</v>
      </c>
      <c r="X389" s="5" t="str">
        <f t="shared" si="294"/>
        <v/>
      </c>
      <c r="Y389" s="5" t="str">
        <f t="shared" si="294"/>
        <v>m_m_tanker_shelter_sweeper_g_1</v>
      </c>
      <c r="Z389" s="5" t="str">
        <f t="shared" si="294"/>
        <v/>
      </c>
      <c r="AA389" s="5" t="str">
        <f t="shared" si="294"/>
        <v/>
      </c>
      <c r="AB389" s="5" t="str">
        <f t="shared" si="294"/>
        <v/>
      </c>
      <c r="AC389" s="97">
        <f t="shared" si="294"/>
        <v>1</v>
      </c>
      <c r="AD389" s="5" t="str">
        <f t="shared" si="294"/>
        <v/>
      </c>
      <c r="AE389" s="5" t="str">
        <f t="shared" si="294"/>
        <v/>
      </c>
      <c r="AF389" s="5" t="str">
        <f t="shared" si="294"/>
        <v/>
      </c>
      <c r="AG389" s="173" t="s">
        <v>2763</v>
      </c>
    </row>
    <row r="390" spans="1:33" x14ac:dyDescent="0.3">
      <c r="A390" s="37">
        <f t="shared" si="273"/>
        <v>1410304001</v>
      </c>
      <c r="B390" s="37" t="str">
        <f t="shared" ref="B390:AF390" si="295">IF(B279 &lt;&gt; "", B279, "")</f>
        <v>Daily.Def</v>
      </c>
      <c r="C390" s="5" t="str">
        <f t="shared" si="295"/>
        <v>브레인헌터</v>
      </c>
      <c r="D390" s="5" t="str">
        <f t="shared" si="295"/>
        <v>Monster.Name.brain_hunter_1</v>
      </c>
      <c r="E390" s="5" t="str">
        <f t="shared" si="295"/>
        <v>Attacker</v>
      </c>
      <c r="F390" s="17" t="str">
        <f t="shared" si="295"/>
        <v>Fac_nul_ind</v>
      </c>
      <c r="G390" s="5" t="str">
        <f t="shared" si="295"/>
        <v>TRUE</v>
      </c>
      <c r="H390" s="5" t="b">
        <f t="shared" si="295"/>
        <v>0</v>
      </c>
      <c r="I390" s="5" t="b">
        <f t="shared" si="295"/>
        <v>0</v>
      </c>
      <c r="J390" s="5">
        <f t="shared" si="295"/>
        <v>10</v>
      </c>
      <c r="K390" s="5">
        <f t="shared" si="295"/>
        <v>10</v>
      </c>
      <c r="L390" s="2" t="str">
        <f t="shared" si="295"/>
        <v>Daily.Def.brain_hunter_1.attack01</v>
      </c>
      <c r="M390" s="2" t="str">
        <f t="shared" si="295"/>
        <v/>
      </c>
      <c r="N390" s="2" t="str">
        <f t="shared" si="295"/>
        <v/>
      </c>
      <c r="O390" s="178" t="str">
        <f t="shared" si="295"/>
        <v>Daily.Def.brain_hunter_1.skill01</v>
      </c>
      <c r="P390" s="14" t="str">
        <f t="shared" si="295"/>
        <v>Daily.Def.DamageUp.passive01</v>
      </c>
      <c r="Q390" s="14" t="str">
        <f t="shared" si="295"/>
        <v/>
      </c>
      <c r="R390" s="14" t="str">
        <f t="shared" si="295"/>
        <v/>
      </c>
      <c r="S390" s="14" t="str">
        <f t="shared" si="295"/>
        <v/>
      </c>
      <c r="T390" s="14" t="str">
        <f t="shared" si="295"/>
        <v/>
      </c>
      <c r="U390" s="14" t="str">
        <f t="shared" si="295"/>
        <v/>
      </c>
      <c r="V390" s="5" t="b">
        <f t="shared" si="295"/>
        <v>0</v>
      </c>
      <c r="W390" s="5" t="str">
        <f t="shared" si="295"/>
        <v>Character/Prefabs/m_s_attacker_brain_hunter_1</v>
      </c>
      <c r="X390" s="5" t="str">
        <f t="shared" si="295"/>
        <v/>
      </c>
      <c r="Y390" s="5" t="str">
        <f t="shared" si="295"/>
        <v>m_s_attacker_brain_hunter_1</v>
      </c>
      <c r="Z390" s="5" t="str">
        <f t="shared" si="295"/>
        <v/>
      </c>
      <c r="AA390" s="5" t="str">
        <f t="shared" si="295"/>
        <v/>
      </c>
      <c r="AB390" s="5" t="str">
        <f t="shared" si="295"/>
        <v/>
      </c>
      <c r="AC390" s="97">
        <f t="shared" si="295"/>
        <v>1</v>
      </c>
      <c r="AD390" s="5" t="str">
        <f t="shared" si="295"/>
        <v/>
      </c>
      <c r="AE390" s="5" t="str">
        <f t="shared" si="295"/>
        <v/>
      </c>
      <c r="AF390" s="5" t="str">
        <f t="shared" si="295"/>
        <v/>
      </c>
      <c r="AG390" s="173" t="s">
        <v>2763</v>
      </c>
    </row>
    <row r="391" spans="1:33" x14ac:dyDescent="0.3">
      <c r="A391" s="37">
        <f t="shared" si="273"/>
        <v>1410304002</v>
      </c>
      <c r="B391" s="37" t="str">
        <f t="shared" ref="B391:AF391" si="296">IF(B280 &lt;&gt; "", B280, "")</f>
        <v>Daily.Def</v>
      </c>
      <c r="C391" s="5" t="str">
        <f t="shared" si="296"/>
        <v>오염체익스플로더</v>
      </c>
      <c r="D391" s="5" t="str">
        <f t="shared" si="296"/>
        <v>Monster.Name.polluter_exploder_1</v>
      </c>
      <c r="E391" s="5" t="str">
        <f t="shared" si="296"/>
        <v>Attacker</v>
      </c>
      <c r="F391" s="17" t="str">
        <f t="shared" si="296"/>
        <v>Fac_nul_ind</v>
      </c>
      <c r="G391" s="5" t="str">
        <f t="shared" si="296"/>
        <v>TRUE</v>
      </c>
      <c r="H391" s="5" t="b">
        <f t="shared" si="296"/>
        <v>0</v>
      </c>
      <c r="I391" s="5" t="b">
        <f t="shared" si="296"/>
        <v>0</v>
      </c>
      <c r="J391" s="5">
        <f t="shared" si="296"/>
        <v>10</v>
      </c>
      <c r="K391" s="5">
        <f t="shared" si="296"/>
        <v>10</v>
      </c>
      <c r="L391" s="2" t="str">
        <f t="shared" si="296"/>
        <v>Daily.Def.polluter_exploder_1.attack01</v>
      </c>
      <c r="M391" s="2" t="str">
        <f t="shared" si="296"/>
        <v/>
      </c>
      <c r="N391" s="2" t="str">
        <f t="shared" si="296"/>
        <v/>
      </c>
      <c r="O391" s="178" t="str">
        <f t="shared" si="296"/>
        <v>Daily.Def.polluter_exploder_1.skill01</v>
      </c>
      <c r="P391" s="14" t="str">
        <f t="shared" si="296"/>
        <v>Daily.Def.DamageUp.passive01</v>
      </c>
      <c r="Q391" s="14" t="str">
        <f t="shared" si="296"/>
        <v/>
      </c>
      <c r="R391" s="14" t="str">
        <f t="shared" si="296"/>
        <v/>
      </c>
      <c r="S391" s="14" t="str">
        <f t="shared" si="296"/>
        <v/>
      </c>
      <c r="T391" s="14" t="str">
        <f t="shared" si="296"/>
        <v/>
      </c>
      <c r="U391" s="14" t="str">
        <f t="shared" si="296"/>
        <v/>
      </c>
      <c r="V391" s="5" t="b">
        <f t="shared" si="296"/>
        <v>0</v>
      </c>
      <c r="W391" s="5" t="str">
        <f t="shared" si="296"/>
        <v>Character/Prefabs/m_s_attacker_polluter_exploder_1</v>
      </c>
      <c r="X391" s="5" t="str">
        <f t="shared" si="296"/>
        <v/>
      </c>
      <c r="Y391" s="5" t="str">
        <f t="shared" si="296"/>
        <v>m_s_attacker_polluter_exploder_1</v>
      </c>
      <c r="Z391" s="5" t="str">
        <f t="shared" si="296"/>
        <v/>
      </c>
      <c r="AA391" s="5" t="str">
        <f t="shared" si="296"/>
        <v/>
      </c>
      <c r="AB391" s="5" t="str">
        <f t="shared" si="296"/>
        <v/>
      </c>
      <c r="AC391" s="97">
        <f t="shared" si="296"/>
        <v>1.5</v>
      </c>
      <c r="AD391" s="5" t="str">
        <f t="shared" si="296"/>
        <v/>
      </c>
      <c r="AE391" s="5" t="str">
        <f t="shared" si="296"/>
        <v/>
      </c>
      <c r="AF391" s="5" t="str">
        <f t="shared" si="296"/>
        <v/>
      </c>
      <c r="AG391" s="173" t="s">
        <v>2763</v>
      </c>
    </row>
    <row r="392" spans="1:33" x14ac:dyDescent="0.3">
      <c r="A392" s="13">
        <f t="shared" si="273"/>
        <v>1410305001</v>
      </c>
      <c r="B392" s="13" t="str">
        <f t="shared" ref="B392:AF392" si="297">IF(B281 &lt;&gt; "", B281, "")</f>
        <v>Daily.Seed</v>
      </c>
      <c r="C392" s="5" t="str">
        <f t="shared" si="297"/>
        <v>헤비트루퍼플레임</v>
      </c>
      <c r="D392" s="5" t="str">
        <f t="shared" si="297"/>
        <v>Monster.Name.heavy_trooper_flame_1</v>
      </c>
      <c r="E392" s="5" t="str">
        <f t="shared" si="297"/>
        <v>Attacker</v>
      </c>
      <c r="F392" s="17" t="str">
        <f t="shared" si="297"/>
        <v>Fac_nul_ind</v>
      </c>
      <c r="G392" s="5" t="str">
        <f t="shared" si="297"/>
        <v>TRUE</v>
      </c>
      <c r="H392" s="5" t="b">
        <f t="shared" si="297"/>
        <v>0</v>
      </c>
      <c r="I392" s="5" t="b">
        <f t="shared" si="297"/>
        <v>0</v>
      </c>
      <c r="J392" s="5">
        <f t="shared" si="297"/>
        <v>10</v>
      </c>
      <c r="K392" s="5">
        <f t="shared" si="297"/>
        <v>10</v>
      </c>
      <c r="L392" s="2" t="str">
        <f t="shared" si="297"/>
        <v>Daily.Seed.trooper_inferno_1.attack01</v>
      </c>
      <c r="M392" s="2" t="str">
        <f t="shared" si="297"/>
        <v/>
      </c>
      <c r="N392" s="2" t="str">
        <f t="shared" si="297"/>
        <v/>
      </c>
      <c r="O392" s="178" t="str">
        <f t="shared" si="297"/>
        <v>Daily.Seed.trooper_inferno_1.skill01</v>
      </c>
      <c r="P392" s="14" t="str">
        <f t="shared" si="297"/>
        <v/>
      </c>
      <c r="Q392" s="14" t="str">
        <f t="shared" si="297"/>
        <v/>
      </c>
      <c r="R392" s="14" t="str">
        <f t="shared" si="297"/>
        <v/>
      </c>
      <c r="S392" s="14" t="str">
        <f t="shared" si="297"/>
        <v/>
      </c>
      <c r="T392" s="14" t="str">
        <f t="shared" si="297"/>
        <v/>
      </c>
      <c r="U392" s="14" t="str">
        <f t="shared" si="297"/>
        <v/>
      </c>
      <c r="V392" s="5" t="b">
        <f t="shared" si="297"/>
        <v>0</v>
      </c>
      <c r="W392" s="5" t="str">
        <f t="shared" si="297"/>
        <v>Character/Prefabs/m_m_attacker_heavy_trooper_flame_1</v>
      </c>
      <c r="X392" s="5" t="str">
        <f t="shared" si="297"/>
        <v/>
      </c>
      <c r="Y392" s="5" t="str">
        <f t="shared" si="297"/>
        <v>m_m_attacker_heavy_trooper_flame_1</v>
      </c>
      <c r="Z392" s="5" t="str">
        <f t="shared" si="297"/>
        <v/>
      </c>
      <c r="AA392" s="5" t="str">
        <f t="shared" si="297"/>
        <v/>
      </c>
      <c r="AB392" s="5" t="str">
        <f t="shared" si="297"/>
        <v/>
      </c>
      <c r="AC392" s="97">
        <f t="shared" si="297"/>
        <v>0.7</v>
      </c>
      <c r="AD392" s="5" t="str">
        <f t="shared" si="297"/>
        <v/>
      </c>
      <c r="AE392" s="5" t="str">
        <f t="shared" si="297"/>
        <v/>
      </c>
      <c r="AF392" s="5" t="str">
        <f t="shared" si="297"/>
        <v/>
      </c>
      <c r="AG392" s="173" t="s">
        <v>2763</v>
      </c>
    </row>
    <row r="393" spans="1:33" x14ac:dyDescent="0.3">
      <c r="A393" s="13">
        <f t="shared" si="273"/>
        <v>1410305002</v>
      </c>
      <c r="B393" s="13" t="str">
        <f t="shared" ref="B393:AF393" si="298">IF(B282 &lt;&gt; "", B282, "")</f>
        <v>Daily.Seed</v>
      </c>
      <c r="C393" s="5" t="str">
        <f t="shared" si="298"/>
        <v>헤비트루퍼라이플</v>
      </c>
      <c r="D393" s="5" t="str">
        <f t="shared" si="298"/>
        <v>Monster.Name.heavy_trooper_rifle_1</v>
      </c>
      <c r="E393" s="5" t="str">
        <f t="shared" si="298"/>
        <v>Ranger</v>
      </c>
      <c r="F393" s="17" t="str">
        <f t="shared" si="298"/>
        <v>Fac_nul_ind</v>
      </c>
      <c r="G393" s="5" t="str">
        <f t="shared" si="298"/>
        <v>TRUE</v>
      </c>
      <c r="H393" s="5" t="b">
        <f t="shared" si="298"/>
        <v>0</v>
      </c>
      <c r="I393" s="5" t="b">
        <f t="shared" si="298"/>
        <v>0</v>
      </c>
      <c r="J393" s="5">
        <f t="shared" si="298"/>
        <v>10</v>
      </c>
      <c r="K393" s="5">
        <f t="shared" si="298"/>
        <v>10</v>
      </c>
      <c r="L393" s="2" t="str">
        <f t="shared" si="298"/>
        <v>Daily.Seed.trooper_sniper_1.attack01</v>
      </c>
      <c r="M393" s="2" t="str">
        <f t="shared" si="298"/>
        <v/>
      </c>
      <c r="N393" s="2" t="str">
        <f t="shared" si="298"/>
        <v/>
      </c>
      <c r="O393" s="178" t="str">
        <f t="shared" si="298"/>
        <v>Daily.Seed.trooper_sniper_1.skill01</v>
      </c>
      <c r="P393" s="14" t="str">
        <f t="shared" si="298"/>
        <v/>
      </c>
      <c r="Q393" s="14" t="str">
        <f t="shared" si="298"/>
        <v/>
      </c>
      <c r="R393" s="14" t="str">
        <f t="shared" si="298"/>
        <v/>
      </c>
      <c r="S393" s="14" t="str">
        <f t="shared" si="298"/>
        <v/>
      </c>
      <c r="T393" s="14" t="str">
        <f t="shared" si="298"/>
        <v/>
      </c>
      <c r="U393" s="14" t="str">
        <f t="shared" si="298"/>
        <v/>
      </c>
      <c r="V393" s="5" t="b">
        <f t="shared" si="298"/>
        <v>0</v>
      </c>
      <c r="W393" s="5" t="str">
        <f t="shared" si="298"/>
        <v>Character/Prefabs/m_m_ranger_heavy_trooper_rifle_1</v>
      </c>
      <c r="X393" s="5" t="str">
        <f t="shared" si="298"/>
        <v/>
      </c>
      <c r="Y393" s="5" t="str">
        <f t="shared" si="298"/>
        <v>m_m_ranger_heavy_trooper_rifle_1</v>
      </c>
      <c r="Z393" s="5" t="str">
        <f t="shared" si="298"/>
        <v/>
      </c>
      <c r="AA393" s="5" t="str">
        <f t="shared" si="298"/>
        <v/>
      </c>
      <c r="AB393" s="5" t="str">
        <f t="shared" si="298"/>
        <v/>
      </c>
      <c r="AC393" s="97">
        <f t="shared" si="298"/>
        <v>0.7</v>
      </c>
      <c r="AD393" s="5" t="str">
        <f t="shared" si="298"/>
        <v/>
      </c>
      <c r="AE393" s="5" t="str">
        <f t="shared" si="298"/>
        <v/>
      </c>
      <c r="AF393" s="5" t="str">
        <f t="shared" si="298"/>
        <v/>
      </c>
      <c r="AG393" s="173" t="s">
        <v>2763</v>
      </c>
    </row>
    <row r="394" spans="1:33" x14ac:dyDescent="0.3">
      <c r="A394" s="13">
        <f t="shared" si="273"/>
        <v>1410305003</v>
      </c>
      <c r="B394" s="13" t="str">
        <f t="shared" ref="B394:AF394" si="299">IF(B283 &lt;&gt; "", B283, "")</f>
        <v>Daily.Seed</v>
      </c>
      <c r="C394" s="5" t="str">
        <f t="shared" si="299"/>
        <v>헤비트루퍼건틀릿</v>
      </c>
      <c r="D394" s="5" t="str">
        <f t="shared" si="299"/>
        <v>Monster.Name.heavy_trooper_guantlet_1</v>
      </c>
      <c r="E394" s="5" t="str">
        <f t="shared" si="299"/>
        <v>Attacker</v>
      </c>
      <c r="F394" s="17" t="str">
        <f t="shared" si="299"/>
        <v>Fac_nul_ind</v>
      </c>
      <c r="G394" s="5" t="str">
        <f t="shared" si="299"/>
        <v>TRUE</v>
      </c>
      <c r="H394" s="5" t="b">
        <f t="shared" si="299"/>
        <v>0</v>
      </c>
      <c r="I394" s="5" t="b">
        <f t="shared" si="299"/>
        <v>0</v>
      </c>
      <c r="J394" s="5">
        <f t="shared" si="299"/>
        <v>10</v>
      </c>
      <c r="K394" s="5">
        <f t="shared" si="299"/>
        <v>10</v>
      </c>
      <c r="L394" s="2" t="str">
        <f t="shared" si="299"/>
        <v>Daily.Seed.trooper_champion_1.attack01</v>
      </c>
      <c r="M394" s="2" t="str">
        <f t="shared" si="299"/>
        <v/>
      </c>
      <c r="N394" s="2" t="str">
        <f t="shared" si="299"/>
        <v/>
      </c>
      <c r="O394" s="178" t="str">
        <f t="shared" si="299"/>
        <v>Daily.Seed.trooper_champion_1.skill01</v>
      </c>
      <c r="P394" s="14" t="str">
        <f t="shared" si="299"/>
        <v>Daily.Seed.trooper_champion_1.skill02</v>
      </c>
      <c r="Q394" s="14" t="str">
        <f t="shared" si="299"/>
        <v/>
      </c>
      <c r="R394" s="14" t="str">
        <f t="shared" si="299"/>
        <v/>
      </c>
      <c r="S394" s="14" t="str">
        <f t="shared" si="299"/>
        <v/>
      </c>
      <c r="T394" s="14" t="str">
        <f t="shared" si="299"/>
        <v/>
      </c>
      <c r="U394" s="14" t="str">
        <f t="shared" si="299"/>
        <v/>
      </c>
      <c r="V394" s="5" t="b">
        <f t="shared" si="299"/>
        <v>0</v>
      </c>
      <c r="W394" s="5" t="str">
        <f t="shared" si="299"/>
        <v>Character/Prefabs/m_m_attacker_heavy_trooper_guantlet_1</v>
      </c>
      <c r="X394" s="5" t="str">
        <f t="shared" si="299"/>
        <v/>
      </c>
      <c r="Y394" s="5" t="str">
        <f t="shared" si="299"/>
        <v>m_m_attacker_heavy_trooper_guantlet_1</v>
      </c>
      <c r="Z394" s="5" t="str">
        <f t="shared" si="299"/>
        <v/>
      </c>
      <c r="AA394" s="5" t="str">
        <f t="shared" si="299"/>
        <v/>
      </c>
      <c r="AB394" s="5" t="str">
        <f t="shared" si="299"/>
        <v/>
      </c>
      <c r="AC394" s="97">
        <f t="shared" si="299"/>
        <v>0.7</v>
      </c>
      <c r="AD394" s="5" t="str">
        <f t="shared" si="299"/>
        <v/>
      </c>
      <c r="AE394" s="5" t="str">
        <f t="shared" si="299"/>
        <v/>
      </c>
      <c r="AF394" s="5" t="str">
        <f t="shared" si="299"/>
        <v/>
      </c>
      <c r="AG394" s="173" t="s">
        <v>2763</v>
      </c>
    </row>
    <row r="395" spans="1:33" x14ac:dyDescent="0.3">
      <c r="A395" s="13">
        <f t="shared" si="273"/>
        <v>1410305004</v>
      </c>
      <c r="B395" s="13" t="str">
        <f t="shared" ref="B395:AF395" si="300">IF(B284 &lt;&gt; "", B284, "")</f>
        <v>Daily.Seed</v>
      </c>
      <c r="C395" s="5" t="str">
        <f t="shared" si="300"/>
        <v>헤비트루퍼실드</v>
      </c>
      <c r="D395" s="5" t="str">
        <f t="shared" si="300"/>
        <v>Monster.Name.heavy_trooper_shield_1</v>
      </c>
      <c r="E395" s="5" t="str">
        <f t="shared" si="300"/>
        <v>Tanker</v>
      </c>
      <c r="F395" s="17" t="str">
        <f t="shared" si="300"/>
        <v>Fac_nul_ind</v>
      </c>
      <c r="G395" s="5" t="str">
        <f t="shared" si="300"/>
        <v>TRUE</v>
      </c>
      <c r="H395" s="5" t="b">
        <f t="shared" si="300"/>
        <v>0</v>
      </c>
      <c r="I395" s="5" t="b">
        <f t="shared" si="300"/>
        <v>0</v>
      </c>
      <c r="J395" s="5">
        <f t="shared" si="300"/>
        <v>10</v>
      </c>
      <c r="K395" s="5">
        <f t="shared" si="300"/>
        <v>10</v>
      </c>
      <c r="L395" s="2" t="str">
        <f t="shared" si="300"/>
        <v>Daily.Seed.trooper_guard_1.attack01</v>
      </c>
      <c r="M395" s="2" t="str">
        <f t="shared" si="300"/>
        <v/>
      </c>
      <c r="N395" s="2" t="str">
        <f t="shared" si="300"/>
        <v/>
      </c>
      <c r="O395" s="178" t="str">
        <f t="shared" si="300"/>
        <v>Daily.Seed.trooper_guard_1.skill01</v>
      </c>
      <c r="P395" s="14" t="str">
        <f t="shared" si="300"/>
        <v/>
      </c>
      <c r="Q395" s="14" t="str">
        <f t="shared" si="300"/>
        <v/>
      </c>
      <c r="R395" s="14" t="str">
        <f t="shared" si="300"/>
        <v/>
      </c>
      <c r="S395" s="14" t="str">
        <f t="shared" si="300"/>
        <v/>
      </c>
      <c r="T395" s="14" t="str">
        <f t="shared" si="300"/>
        <v/>
      </c>
      <c r="U395" s="14" t="str">
        <f t="shared" si="300"/>
        <v/>
      </c>
      <c r="V395" s="5" t="b">
        <f t="shared" si="300"/>
        <v>0</v>
      </c>
      <c r="W395" s="5" t="str">
        <f t="shared" si="300"/>
        <v>Character/Prefabs/m_m_tanker_heavy_trooper_shield_1</v>
      </c>
      <c r="X395" s="5" t="str">
        <f t="shared" si="300"/>
        <v/>
      </c>
      <c r="Y395" s="5" t="str">
        <f t="shared" si="300"/>
        <v>m_m_tanker_heavy_trooper_shield_1</v>
      </c>
      <c r="Z395" s="5" t="str">
        <f t="shared" si="300"/>
        <v/>
      </c>
      <c r="AA395" s="5" t="str">
        <f t="shared" si="300"/>
        <v/>
      </c>
      <c r="AB395" s="5" t="str">
        <f t="shared" si="300"/>
        <v/>
      </c>
      <c r="AC395" s="97">
        <f t="shared" si="300"/>
        <v>0.8</v>
      </c>
      <c r="AD395" s="5" t="str">
        <f t="shared" si="300"/>
        <v/>
      </c>
      <c r="AE395" s="5" t="str">
        <f t="shared" si="300"/>
        <v/>
      </c>
      <c r="AF395" s="5" t="str">
        <f t="shared" si="300"/>
        <v/>
      </c>
      <c r="AG395" s="173" t="s">
        <v>2763</v>
      </c>
    </row>
    <row r="396" spans="1:33" x14ac:dyDescent="0.3">
      <c r="A396" s="45">
        <f t="shared" si="273"/>
        <v>1410305005</v>
      </c>
      <c r="B396" s="45" t="str">
        <f t="shared" ref="B396:AF396" si="301">IF(B285 &lt;&gt; "", B285, "")</f>
        <v>Daily.Seed</v>
      </c>
      <c r="C396" s="5" t="str">
        <f t="shared" si="301"/>
        <v>친절한엣지아이볼</v>
      </c>
      <c r="D396" s="5" t="str">
        <f t="shared" si="301"/>
        <v>Monster.Name.friendly_edge_eyeball_1</v>
      </c>
      <c r="E396" s="5" t="str">
        <f t="shared" si="301"/>
        <v>Attacker</v>
      </c>
      <c r="F396" s="17" t="str">
        <f t="shared" si="301"/>
        <v>Fac_nul_ind</v>
      </c>
      <c r="G396" s="5" t="str">
        <f t="shared" si="301"/>
        <v>TRUE</v>
      </c>
      <c r="H396" s="5" t="b">
        <f t="shared" si="301"/>
        <v>1</v>
      </c>
      <c r="I396" s="5" t="b">
        <f t="shared" si="301"/>
        <v>1</v>
      </c>
      <c r="J396" s="5">
        <f t="shared" si="301"/>
        <v>10</v>
      </c>
      <c r="K396" s="5">
        <f t="shared" si="301"/>
        <v>10</v>
      </c>
      <c r="L396" s="2" t="str">
        <f t="shared" si="301"/>
        <v>Daily.Seed.friendly_edge_eyeball_1.attack01</v>
      </c>
      <c r="M396" s="2" t="str">
        <f t="shared" si="301"/>
        <v/>
      </c>
      <c r="N396" s="2" t="str">
        <f t="shared" si="301"/>
        <v/>
      </c>
      <c r="O396" s="178" t="str">
        <f t="shared" si="301"/>
        <v>Daily.Seed.friendly_edge_eyeball_1.skill01</v>
      </c>
      <c r="P396" s="14" t="str">
        <f t="shared" si="301"/>
        <v>Daily.Seed.friendly_edge_eyeball_1.passive01</v>
      </c>
      <c r="Q396" s="14" t="str">
        <f t="shared" si="301"/>
        <v/>
      </c>
      <c r="R396" s="14" t="str">
        <f t="shared" si="301"/>
        <v/>
      </c>
      <c r="S396" s="14" t="str">
        <f t="shared" si="301"/>
        <v/>
      </c>
      <c r="T396" s="14" t="str">
        <f t="shared" si="301"/>
        <v/>
      </c>
      <c r="U396" s="14" t="str">
        <f t="shared" si="301"/>
        <v/>
      </c>
      <c r="V396" s="5" t="b">
        <f t="shared" si="301"/>
        <v>0</v>
      </c>
      <c r="W396" s="5" t="str">
        <f t="shared" si="301"/>
        <v>Character/Prefabs/m_m_attacker_friendly_edge_eyeball_1</v>
      </c>
      <c r="X396" s="5" t="str">
        <f t="shared" si="301"/>
        <v/>
      </c>
      <c r="Y396" s="5" t="str">
        <f t="shared" si="301"/>
        <v>m_m_attacker_friendly_edge_eyeball_1</v>
      </c>
      <c r="Z396" s="5" t="str">
        <f t="shared" si="301"/>
        <v/>
      </c>
      <c r="AA396" s="5" t="str">
        <f t="shared" si="301"/>
        <v/>
      </c>
      <c r="AB396" s="5" t="str">
        <f t="shared" si="301"/>
        <v/>
      </c>
      <c r="AC396" s="97">
        <f t="shared" si="301"/>
        <v>1.5</v>
      </c>
      <c r="AD396" s="5" t="str">
        <f t="shared" si="301"/>
        <v/>
      </c>
      <c r="AE396" s="5" t="str">
        <f t="shared" si="301"/>
        <v/>
      </c>
      <c r="AF396" s="5" t="str">
        <f t="shared" si="301"/>
        <v/>
      </c>
      <c r="AG396" s="173" t="s">
        <v>2763</v>
      </c>
    </row>
    <row r="397" spans="1:33" x14ac:dyDescent="0.3">
      <c r="A397" s="13">
        <f t="shared" si="273"/>
        <v>1410305006</v>
      </c>
      <c r="B397" s="13" t="str">
        <f t="shared" ref="B397:AF397" si="302">IF(B286 &lt;&gt; "", B286, "")</f>
        <v>Daily.Seed</v>
      </c>
      <c r="C397" s="5" t="str">
        <f t="shared" si="302"/>
        <v>친절한전기아이볼</v>
      </c>
      <c r="D397" s="5" t="str">
        <f t="shared" si="302"/>
        <v>Monster.Name.friendly_electric_eyeball_1</v>
      </c>
      <c r="E397" s="5" t="str">
        <f t="shared" si="302"/>
        <v>Ranger</v>
      </c>
      <c r="F397" s="17" t="str">
        <f t="shared" si="302"/>
        <v>Fac_nul_ind</v>
      </c>
      <c r="G397" s="5" t="str">
        <f t="shared" si="302"/>
        <v>TRUE</v>
      </c>
      <c r="H397" s="5" t="b">
        <f t="shared" si="302"/>
        <v>0</v>
      </c>
      <c r="I397" s="5" t="b">
        <f t="shared" si="302"/>
        <v>0</v>
      </c>
      <c r="J397" s="5">
        <f t="shared" si="302"/>
        <v>10</v>
      </c>
      <c r="K397" s="5">
        <f t="shared" si="302"/>
        <v>10</v>
      </c>
      <c r="L397" s="2" t="str">
        <f t="shared" si="302"/>
        <v>Daily.Seed.friendly_electric_eyeball_1.attack01</v>
      </c>
      <c r="M397" s="2" t="str">
        <f t="shared" si="302"/>
        <v/>
      </c>
      <c r="N397" s="2" t="str">
        <f t="shared" si="302"/>
        <v/>
      </c>
      <c r="O397" s="178" t="str">
        <f t="shared" si="302"/>
        <v>Daily.Seed.friendly_electric_eyeball_1.skill01</v>
      </c>
      <c r="P397" s="14" t="str">
        <f t="shared" si="302"/>
        <v/>
      </c>
      <c r="Q397" s="14" t="str">
        <f t="shared" si="302"/>
        <v/>
      </c>
      <c r="R397" s="14" t="str">
        <f t="shared" si="302"/>
        <v/>
      </c>
      <c r="S397" s="14" t="str">
        <f t="shared" si="302"/>
        <v/>
      </c>
      <c r="T397" s="14" t="str">
        <f t="shared" si="302"/>
        <v/>
      </c>
      <c r="U397" s="14" t="str">
        <f t="shared" si="302"/>
        <v/>
      </c>
      <c r="V397" s="5" t="b">
        <f t="shared" si="302"/>
        <v>0</v>
      </c>
      <c r="W397" s="5" t="str">
        <f t="shared" si="302"/>
        <v>Character/Prefabs/m_m_ranger_friendly_electric_eyeball_1</v>
      </c>
      <c r="X397" s="5" t="str">
        <f t="shared" si="302"/>
        <v/>
      </c>
      <c r="Y397" s="5" t="str">
        <f t="shared" si="302"/>
        <v>m_m_ranger_friendly_electric_eyeball_1</v>
      </c>
      <c r="Z397" s="5" t="str">
        <f t="shared" si="302"/>
        <v/>
      </c>
      <c r="AA397" s="5" t="str">
        <f t="shared" si="302"/>
        <v/>
      </c>
      <c r="AB397" s="5" t="str">
        <f t="shared" si="302"/>
        <v/>
      </c>
      <c r="AC397" s="97">
        <f t="shared" si="302"/>
        <v>0.9</v>
      </c>
      <c r="AD397" s="5" t="str">
        <f t="shared" si="302"/>
        <v/>
      </c>
      <c r="AE397" s="5" t="str">
        <f t="shared" si="302"/>
        <v/>
      </c>
      <c r="AF397" s="5" t="str">
        <f t="shared" si="302"/>
        <v/>
      </c>
      <c r="AG397" s="173" t="s">
        <v>2763</v>
      </c>
    </row>
    <row r="398" spans="1:33" x14ac:dyDescent="0.3">
      <c r="A398" s="13">
        <f t="shared" si="273"/>
        <v>1410305007</v>
      </c>
      <c r="B398" s="13" t="str">
        <f t="shared" ref="B398:AF398" si="303">IF(B287 &lt;&gt; "", B287, "")</f>
        <v>Daily.Seed</v>
      </c>
      <c r="C398" s="5" t="str">
        <f t="shared" si="303"/>
        <v>친절한건</v>
      </c>
      <c r="D398" s="5" t="str">
        <f t="shared" si="303"/>
        <v>Monster.Name.friendly_gun_1</v>
      </c>
      <c r="E398" s="5" t="str">
        <f t="shared" si="303"/>
        <v>Ranger</v>
      </c>
      <c r="F398" s="17" t="str">
        <f t="shared" si="303"/>
        <v>Fac_nul_ind</v>
      </c>
      <c r="G398" s="5" t="str">
        <f t="shared" si="303"/>
        <v>TRUE</v>
      </c>
      <c r="H398" s="5" t="b">
        <f t="shared" si="303"/>
        <v>0</v>
      </c>
      <c r="I398" s="5" t="b">
        <f t="shared" si="303"/>
        <v>0</v>
      </c>
      <c r="J398" s="5">
        <f t="shared" si="303"/>
        <v>10</v>
      </c>
      <c r="K398" s="5">
        <f t="shared" si="303"/>
        <v>10</v>
      </c>
      <c r="L398" s="2" t="str">
        <f t="shared" si="303"/>
        <v>Daily.Seed.friendly_gun_1.attack01</v>
      </c>
      <c r="M398" s="2" t="str">
        <f t="shared" si="303"/>
        <v/>
      </c>
      <c r="N398" s="2" t="str">
        <f t="shared" si="303"/>
        <v/>
      </c>
      <c r="O398" s="178" t="str">
        <f t="shared" si="303"/>
        <v>Daily.Seed.friendly_gun_1.skill01</v>
      </c>
      <c r="P398" s="14" t="str">
        <f t="shared" si="303"/>
        <v/>
      </c>
      <c r="Q398" s="14" t="str">
        <f t="shared" si="303"/>
        <v/>
      </c>
      <c r="R398" s="14" t="str">
        <f t="shared" si="303"/>
        <v/>
      </c>
      <c r="S398" s="14" t="str">
        <f t="shared" si="303"/>
        <v/>
      </c>
      <c r="T398" s="14" t="str">
        <f t="shared" si="303"/>
        <v/>
      </c>
      <c r="U398" s="14" t="str">
        <f t="shared" si="303"/>
        <v/>
      </c>
      <c r="V398" s="5" t="b">
        <f t="shared" si="303"/>
        <v>0</v>
      </c>
      <c r="W398" s="5" t="str">
        <f t="shared" si="303"/>
        <v>Character/Prefabs/m_m_ranger_friendly_gun_1</v>
      </c>
      <c r="X398" s="5" t="str">
        <f t="shared" si="303"/>
        <v/>
      </c>
      <c r="Y398" s="5" t="str">
        <f t="shared" si="303"/>
        <v>m_m_ranger_friendly_gun_1</v>
      </c>
      <c r="Z398" s="5" t="str">
        <f t="shared" si="303"/>
        <v/>
      </c>
      <c r="AA398" s="5" t="str">
        <f t="shared" si="303"/>
        <v/>
      </c>
      <c r="AB398" s="5" t="str">
        <f t="shared" si="303"/>
        <v/>
      </c>
      <c r="AC398" s="97">
        <f t="shared" si="303"/>
        <v>0.9</v>
      </c>
      <c r="AD398" s="5" t="str">
        <f t="shared" si="303"/>
        <v/>
      </c>
      <c r="AE398" s="5" t="str">
        <f t="shared" si="303"/>
        <v/>
      </c>
      <c r="AF398" s="5" t="str">
        <f t="shared" si="303"/>
        <v/>
      </c>
      <c r="AG398" s="173" t="s">
        <v>2763</v>
      </c>
    </row>
    <row r="399" spans="1:33" x14ac:dyDescent="0.3">
      <c r="A399" s="13">
        <f t="shared" si="273"/>
        <v>1410305008</v>
      </c>
      <c r="B399" s="13" t="str">
        <f t="shared" ref="B399:AF399" si="304">IF(B288 &lt;&gt; "", B288, "")</f>
        <v>Daily.Seed</v>
      </c>
      <c r="C399" s="5" t="str">
        <f t="shared" si="304"/>
        <v>친절한핀서</v>
      </c>
      <c r="D399" s="5" t="str">
        <f t="shared" si="304"/>
        <v>Monster.Name.friendly_pincers_1</v>
      </c>
      <c r="E399" s="5" t="str">
        <f t="shared" si="304"/>
        <v>Attacker</v>
      </c>
      <c r="F399" s="17" t="str">
        <f t="shared" si="304"/>
        <v>Fac_nul_ind</v>
      </c>
      <c r="G399" s="5" t="str">
        <f t="shared" si="304"/>
        <v>TRUE</v>
      </c>
      <c r="H399" s="5" t="b">
        <f t="shared" si="304"/>
        <v>0</v>
      </c>
      <c r="I399" s="5" t="b">
        <f t="shared" si="304"/>
        <v>0</v>
      </c>
      <c r="J399" s="5">
        <f t="shared" si="304"/>
        <v>10</v>
      </c>
      <c r="K399" s="5">
        <f t="shared" si="304"/>
        <v>10</v>
      </c>
      <c r="L399" s="2" t="str">
        <f t="shared" si="304"/>
        <v>Daily.Seed.friendly_pincers_1.attack01</v>
      </c>
      <c r="M399" s="2" t="str">
        <f t="shared" si="304"/>
        <v/>
      </c>
      <c r="N399" s="2" t="str">
        <f t="shared" si="304"/>
        <v/>
      </c>
      <c r="O399" s="178" t="str">
        <f t="shared" si="304"/>
        <v>Daily.Seed.friendly_pincers_1.skill01</v>
      </c>
      <c r="P399" s="14" t="str">
        <f t="shared" si="304"/>
        <v/>
      </c>
      <c r="Q399" s="14" t="str">
        <f t="shared" si="304"/>
        <v/>
      </c>
      <c r="R399" s="14" t="str">
        <f t="shared" si="304"/>
        <v/>
      </c>
      <c r="S399" s="14" t="str">
        <f t="shared" si="304"/>
        <v/>
      </c>
      <c r="T399" s="14" t="str">
        <f t="shared" si="304"/>
        <v/>
      </c>
      <c r="U399" s="14" t="str">
        <f t="shared" si="304"/>
        <v/>
      </c>
      <c r="V399" s="5" t="b">
        <f t="shared" si="304"/>
        <v>0</v>
      </c>
      <c r="W399" s="5" t="str">
        <f t="shared" si="304"/>
        <v>Character/Prefabs/m_l_attacker_friendly_pincers_1</v>
      </c>
      <c r="X399" s="5" t="str">
        <f t="shared" si="304"/>
        <v/>
      </c>
      <c r="Y399" s="5" t="str">
        <f t="shared" si="304"/>
        <v>m_l_attacker_friendly_pincers_1</v>
      </c>
      <c r="Z399" s="5" t="str">
        <f t="shared" si="304"/>
        <v/>
      </c>
      <c r="AA399" s="5" t="str">
        <f t="shared" si="304"/>
        <v/>
      </c>
      <c r="AB399" s="5" t="str">
        <f t="shared" si="304"/>
        <v/>
      </c>
      <c r="AC399" s="97">
        <f t="shared" si="304"/>
        <v>0.9</v>
      </c>
      <c r="AD399" s="5" t="str">
        <f t="shared" si="304"/>
        <v/>
      </c>
      <c r="AE399" s="5" t="str">
        <f t="shared" si="304"/>
        <v/>
      </c>
      <c r="AF399" s="5" t="str">
        <f t="shared" si="304"/>
        <v/>
      </c>
      <c r="AG399" s="173" t="s">
        <v>2763</v>
      </c>
    </row>
    <row r="400" spans="1:33" x14ac:dyDescent="0.3">
      <c r="A400" s="13">
        <f t="shared" si="273"/>
        <v>1410305009</v>
      </c>
      <c r="B400" s="13" t="str">
        <f t="shared" ref="B400:AF400" si="305">IF(B289 &lt;&gt; "", B289, "")</f>
        <v>Daily.Seed</v>
      </c>
      <c r="C400" s="5" t="str">
        <f t="shared" si="305"/>
        <v>친절한펀치</v>
      </c>
      <c r="D400" s="5" t="str">
        <f t="shared" si="305"/>
        <v>Monster.Name.friendly_punch_1</v>
      </c>
      <c r="E400" s="5" t="str">
        <f t="shared" si="305"/>
        <v>Tanker</v>
      </c>
      <c r="F400" s="17" t="str">
        <f t="shared" si="305"/>
        <v>Fac_nul_ind</v>
      </c>
      <c r="G400" s="5" t="str">
        <f t="shared" si="305"/>
        <v>TRUE</v>
      </c>
      <c r="H400" s="5" t="b">
        <f t="shared" si="305"/>
        <v>0</v>
      </c>
      <c r="I400" s="5" t="b">
        <f t="shared" si="305"/>
        <v>0</v>
      </c>
      <c r="J400" s="5">
        <f t="shared" si="305"/>
        <v>10</v>
      </c>
      <c r="K400" s="5">
        <f t="shared" si="305"/>
        <v>10</v>
      </c>
      <c r="L400" s="2" t="str">
        <f t="shared" si="305"/>
        <v>Daily.Seed.friendly_punch_1.attack01</v>
      </c>
      <c r="M400" s="2" t="str">
        <f t="shared" si="305"/>
        <v/>
      </c>
      <c r="N400" s="2" t="str">
        <f t="shared" si="305"/>
        <v/>
      </c>
      <c r="O400" s="178" t="str">
        <f t="shared" si="305"/>
        <v>Daily.Seed.friendly_punch_1.skill01</v>
      </c>
      <c r="P400" s="14" t="str">
        <f t="shared" si="305"/>
        <v>Daily.Seed.friendly_punch_1.skill02</v>
      </c>
      <c r="Q400" s="14" t="str">
        <f t="shared" si="305"/>
        <v/>
      </c>
      <c r="R400" s="14" t="str">
        <f t="shared" si="305"/>
        <v/>
      </c>
      <c r="S400" s="14" t="str">
        <f t="shared" si="305"/>
        <v/>
      </c>
      <c r="T400" s="14" t="str">
        <f t="shared" si="305"/>
        <v/>
      </c>
      <c r="U400" s="14" t="str">
        <f t="shared" si="305"/>
        <v/>
      </c>
      <c r="V400" s="5" t="b">
        <f t="shared" si="305"/>
        <v>0</v>
      </c>
      <c r="W400" s="5" t="str">
        <f t="shared" si="305"/>
        <v>Character/Prefabs/m_l_tanker_friendly_punch_1</v>
      </c>
      <c r="X400" s="5" t="str">
        <f t="shared" si="305"/>
        <v/>
      </c>
      <c r="Y400" s="5" t="str">
        <f t="shared" si="305"/>
        <v>m_l_tanker_friendly_punch_1</v>
      </c>
      <c r="Z400" s="5" t="str">
        <f t="shared" si="305"/>
        <v/>
      </c>
      <c r="AA400" s="5" t="str">
        <f t="shared" si="305"/>
        <v/>
      </c>
      <c r="AB400" s="5" t="str">
        <f t="shared" si="305"/>
        <v/>
      </c>
      <c r="AC400" s="97">
        <f t="shared" si="305"/>
        <v>0.6</v>
      </c>
      <c r="AD400" s="5" t="str">
        <f t="shared" si="305"/>
        <v/>
      </c>
      <c r="AE400" s="5" t="str">
        <f t="shared" si="305"/>
        <v/>
      </c>
      <c r="AF400" s="5" t="str">
        <f t="shared" si="305"/>
        <v/>
      </c>
      <c r="AG400" s="173" t="s">
        <v>2763</v>
      </c>
    </row>
    <row r="401" spans="1:33" x14ac:dyDescent="0.3">
      <c r="A401" s="45">
        <f t="shared" ref="A401:A432" si="306">A290+100000000</f>
        <v>1410305010</v>
      </c>
      <c r="B401" s="45" t="str">
        <f t="shared" ref="B401:AF401" si="307">IF(B290 &lt;&gt; "", B290, "")</f>
        <v>Daily.Seed</v>
      </c>
      <c r="C401" s="5" t="str">
        <f t="shared" si="307"/>
        <v>오염체플루터블롭런처</v>
      </c>
      <c r="D401" s="5" t="str">
        <f t="shared" si="307"/>
        <v>Monster.Name.polluter_bloblauncher_1</v>
      </c>
      <c r="E401" s="5" t="str">
        <f t="shared" si="307"/>
        <v>Ranger</v>
      </c>
      <c r="F401" s="17" t="str">
        <f t="shared" si="307"/>
        <v>Fac_nul_ind</v>
      </c>
      <c r="G401" s="5" t="str">
        <f t="shared" si="307"/>
        <v>TRUE</v>
      </c>
      <c r="H401" s="5" t="b">
        <f t="shared" si="307"/>
        <v>0</v>
      </c>
      <c r="I401" s="5" t="b">
        <f t="shared" si="307"/>
        <v>0</v>
      </c>
      <c r="J401" s="5">
        <f t="shared" si="307"/>
        <v>10</v>
      </c>
      <c r="K401" s="5">
        <f t="shared" si="307"/>
        <v>10</v>
      </c>
      <c r="L401" s="2" t="str">
        <f t="shared" si="307"/>
        <v>Daily.Seed.polluter_bloblauncher_1.attack01</v>
      </c>
      <c r="M401" s="2" t="str">
        <f t="shared" si="307"/>
        <v/>
      </c>
      <c r="N401" s="2" t="str">
        <f t="shared" si="307"/>
        <v/>
      </c>
      <c r="O401" s="178" t="str">
        <f t="shared" si="307"/>
        <v>Daily.Seed.polluter_bloblauncher_1.skill01</v>
      </c>
      <c r="P401" s="14" t="str">
        <f t="shared" si="307"/>
        <v/>
      </c>
      <c r="Q401" s="14" t="str">
        <f t="shared" si="307"/>
        <v/>
      </c>
      <c r="R401" s="14" t="str">
        <f t="shared" si="307"/>
        <v/>
      </c>
      <c r="S401" s="14" t="str">
        <f t="shared" si="307"/>
        <v/>
      </c>
      <c r="T401" s="14" t="str">
        <f t="shared" si="307"/>
        <v/>
      </c>
      <c r="U401" s="14" t="str">
        <f t="shared" si="307"/>
        <v/>
      </c>
      <c r="V401" s="5" t="b">
        <f t="shared" si="307"/>
        <v>0</v>
      </c>
      <c r="W401" s="5" t="str">
        <f t="shared" si="307"/>
        <v>Character/Prefabs/m_l_ranger_polluter_bloblauncher_1</v>
      </c>
      <c r="X401" s="5" t="str">
        <f t="shared" si="307"/>
        <v/>
      </c>
      <c r="Y401" s="5" t="str">
        <f t="shared" si="307"/>
        <v>m_l_ranger_polluter_bloblauncher_1</v>
      </c>
      <c r="Z401" s="5" t="str">
        <f t="shared" si="307"/>
        <v/>
      </c>
      <c r="AA401" s="5" t="str">
        <f t="shared" si="307"/>
        <v/>
      </c>
      <c r="AB401" s="5" t="str">
        <f t="shared" si="307"/>
        <v/>
      </c>
      <c r="AC401" s="97">
        <f t="shared" si="307"/>
        <v>1.1000000000000001</v>
      </c>
      <c r="AD401" s="5" t="str">
        <f t="shared" si="307"/>
        <v/>
      </c>
      <c r="AE401" s="5" t="str">
        <f t="shared" si="307"/>
        <v/>
      </c>
      <c r="AF401" s="5" t="str">
        <f t="shared" si="307"/>
        <v/>
      </c>
      <c r="AG401" s="173" t="s">
        <v>2763</v>
      </c>
    </row>
    <row r="402" spans="1:33" x14ac:dyDescent="0.3">
      <c r="A402" s="13">
        <f t="shared" si="306"/>
        <v>1410305011</v>
      </c>
      <c r="B402" s="13" t="str">
        <f t="shared" ref="B402:AF402" si="308">IF(B291 &lt;&gt; "", B291, "")</f>
        <v>Daily.Seed</v>
      </c>
      <c r="C402" s="5" t="str">
        <f t="shared" si="308"/>
        <v>오염체플루터리퀴드</v>
      </c>
      <c r="D402" s="5" t="str">
        <f t="shared" si="308"/>
        <v>Monster.Name.polluter_liquid_1</v>
      </c>
      <c r="E402" s="5" t="str">
        <f t="shared" si="308"/>
        <v>Ranger</v>
      </c>
      <c r="F402" s="17" t="str">
        <f t="shared" si="308"/>
        <v>Fac_nul_ind</v>
      </c>
      <c r="G402" s="5" t="str">
        <f t="shared" si="308"/>
        <v>TRUE</v>
      </c>
      <c r="H402" s="5" t="b">
        <f t="shared" si="308"/>
        <v>0</v>
      </c>
      <c r="I402" s="5" t="b">
        <f t="shared" si="308"/>
        <v>0</v>
      </c>
      <c r="J402" s="5">
        <f t="shared" si="308"/>
        <v>10</v>
      </c>
      <c r="K402" s="5">
        <f t="shared" si="308"/>
        <v>10</v>
      </c>
      <c r="L402" s="2" t="str">
        <f t="shared" si="308"/>
        <v>Daily.Seed.polluter_liquid_1.attack01</v>
      </c>
      <c r="M402" s="2" t="str">
        <f t="shared" si="308"/>
        <v/>
      </c>
      <c r="N402" s="2" t="str">
        <f t="shared" si="308"/>
        <v/>
      </c>
      <c r="O402" s="178" t="str">
        <f t="shared" si="308"/>
        <v>Daily.Seed.polluter_liquid_1.skill01</v>
      </c>
      <c r="P402" s="14" t="str">
        <f t="shared" si="308"/>
        <v/>
      </c>
      <c r="Q402" s="14" t="str">
        <f t="shared" si="308"/>
        <v/>
      </c>
      <c r="R402" s="14" t="str">
        <f t="shared" si="308"/>
        <v/>
      </c>
      <c r="S402" s="14" t="str">
        <f t="shared" si="308"/>
        <v/>
      </c>
      <c r="T402" s="14" t="str">
        <f t="shared" si="308"/>
        <v/>
      </c>
      <c r="U402" s="14" t="str">
        <f t="shared" si="308"/>
        <v/>
      </c>
      <c r="V402" s="5" t="b">
        <f t="shared" si="308"/>
        <v>0</v>
      </c>
      <c r="W402" s="5" t="str">
        <f t="shared" si="308"/>
        <v>Character/Prefabs/m_m_ranger_polluter_liquid_1</v>
      </c>
      <c r="X402" s="5" t="str">
        <f t="shared" si="308"/>
        <v/>
      </c>
      <c r="Y402" s="5" t="str">
        <f t="shared" si="308"/>
        <v>m_m_ranger_polluter_liquid_1</v>
      </c>
      <c r="Z402" s="5" t="str">
        <f t="shared" si="308"/>
        <v/>
      </c>
      <c r="AA402" s="5" t="str">
        <f t="shared" si="308"/>
        <v/>
      </c>
      <c r="AB402" s="5" t="str">
        <f t="shared" si="308"/>
        <v/>
      </c>
      <c r="AC402" s="97">
        <f t="shared" si="308"/>
        <v>0.6</v>
      </c>
      <c r="AD402" s="5" t="str">
        <f t="shared" si="308"/>
        <v/>
      </c>
      <c r="AE402" s="5" t="str">
        <f t="shared" si="308"/>
        <v/>
      </c>
      <c r="AF402" s="5" t="str">
        <f t="shared" si="308"/>
        <v/>
      </c>
      <c r="AG402" s="173" t="s">
        <v>2763</v>
      </c>
    </row>
    <row r="403" spans="1:33" x14ac:dyDescent="0.3">
      <c r="A403" s="13">
        <f t="shared" si="306"/>
        <v>1410305012</v>
      </c>
      <c r="B403" s="13" t="str">
        <f t="shared" ref="B403:AF403" si="309">IF(B292 &lt;&gt; "", B292, "")</f>
        <v>Daily.Seed</v>
      </c>
      <c r="C403" s="5" t="str">
        <f t="shared" si="309"/>
        <v>오염체플루터포그</v>
      </c>
      <c r="D403" s="5" t="str">
        <f t="shared" si="309"/>
        <v>Monster.Name.polluter_fog_1</v>
      </c>
      <c r="E403" s="5" t="str">
        <f t="shared" si="309"/>
        <v>Supporter</v>
      </c>
      <c r="F403" s="17" t="str">
        <f t="shared" si="309"/>
        <v>Fac_nul_ind</v>
      </c>
      <c r="G403" s="5" t="str">
        <f t="shared" si="309"/>
        <v>TRUE</v>
      </c>
      <c r="H403" s="5" t="b">
        <f t="shared" si="309"/>
        <v>0</v>
      </c>
      <c r="I403" s="5" t="b">
        <f t="shared" si="309"/>
        <v>0</v>
      </c>
      <c r="J403" s="5">
        <f t="shared" si="309"/>
        <v>10</v>
      </c>
      <c r="K403" s="5">
        <f t="shared" si="309"/>
        <v>10</v>
      </c>
      <c r="L403" s="2" t="str">
        <f t="shared" si="309"/>
        <v>Daily.Seed.polluter_fog_1.attack01</v>
      </c>
      <c r="M403" s="2" t="str">
        <f t="shared" si="309"/>
        <v/>
      </c>
      <c r="N403" s="2" t="str">
        <f t="shared" si="309"/>
        <v/>
      </c>
      <c r="O403" s="178" t="str">
        <f t="shared" si="309"/>
        <v>Daily.Seed.polluter_fog_1.skill01</v>
      </c>
      <c r="P403" s="14" t="str">
        <f t="shared" si="309"/>
        <v/>
      </c>
      <c r="Q403" s="14" t="str">
        <f t="shared" si="309"/>
        <v/>
      </c>
      <c r="R403" s="14" t="str">
        <f t="shared" si="309"/>
        <v/>
      </c>
      <c r="S403" s="14" t="str">
        <f t="shared" si="309"/>
        <v/>
      </c>
      <c r="T403" s="14" t="str">
        <f t="shared" si="309"/>
        <v/>
      </c>
      <c r="U403" s="14" t="str">
        <f t="shared" si="309"/>
        <v/>
      </c>
      <c r="V403" s="5" t="b">
        <f t="shared" si="309"/>
        <v>0</v>
      </c>
      <c r="W403" s="5" t="str">
        <f t="shared" si="309"/>
        <v>Character/Prefabs/m_m_supporter_polluter_fog_1</v>
      </c>
      <c r="X403" s="5" t="str">
        <f t="shared" si="309"/>
        <v/>
      </c>
      <c r="Y403" s="5" t="str">
        <f t="shared" si="309"/>
        <v>m_m_supporter_polluter_fog_1</v>
      </c>
      <c r="Z403" s="5" t="str">
        <f t="shared" si="309"/>
        <v/>
      </c>
      <c r="AA403" s="5" t="str">
        <f t="shared" si="309"/>
        <v/>
      </c>
      <c r="AB403" s="5" t="str">
        <f t="shared" si="309"/>
        <v/>
      </c>
      <c r="AC403" s="97">
        <f t="shared" si="309"/>
        <v>0.6</v>
      </c>
      <c r="AD403" s="5" t="str">
        <f t="shared" si="309"/>
        <v/>
      </c>
      <c r="AE403" s="5" t="str">
        <f t="shared" si="309"/>
        <v/>
      </c>
      <c r="AF403" s="5" t="str">
        <f t="shared" si="309"/>
        <v/>
      </c>
      <c r="AG403" s="173" t="s">
        <v>2763</v>
      </c>
    </row>
    <row r="404" spans="1:33" x14ac:dyDescent="0.3">
      <c r="A404" s="13">
        <f t="shared" si="306"/>
        <v>1410305013</v>
      </c>
      <c r="B404" s="13" t="str">
        <f t="shared" ref="B404:AF404" si="310">IF(B293 &lt;&gt; "", B293, "")</f>
        <v>Daily.Seed</v>
      </c>
      <c r="C404" s="5" t="str">
        <f t="shared" si="310"/>
        <v>오염체플루터스파이크</v>
      </c>
      <c r="D404" s="5" t="str">
        <f t="shared" si="310"/>
        <v>Monster.Name.polluter_spike_1</v>
      </c>
      <c r="E404" s="5" t="str">
        <f t="shared" si="310"/>
        <v>Attacker</v>
      </c>
      <c r="F404" s="17" t="str">
        <f t="shared" si="310"/>
        <v>Fac_nul_ind</v>
      </c>
      <c r="G404" s="5" t="str">
        <f t="shared" si="310"/>
        <v>TRUE</v>
      </c>
      <c r="H404" s="5" t="b">
        <f t="shared" si="310"/>
        <v>0</v>
      </c>
      <c r="I404" s="5" t="b">
        <f t="shared" si="310"/>
        <v>0</v>
      </c>
      <c r="J404" s="5">
        <f t="shared" si="310"/>
        <v>10</v>
      </c>
      <c r="K404" s="5">
        <f t="shared" si="310"/>
        <v>10</v>
      </c>
      <c r="L404" s="2" t="str">
        <f t="shared" si="310"/>
        <v>Daily.Seed.polluter_spike_1.attack01</v>
      </c>
      <c r="M404" s="2" t="str">
        <f t="shared" si="310"/>
        <v/>
      </c>
      <c r="N404" s="2" t="str">
        <f t="shared" si="310"/>
        <v/>
      </c>
      <c r="O404" s="178" t="str">
        <f t="shared" si="310"/>
        <v>Daily.Seed.polluter_spike_1.skill01</v>
      </c>
      <c r="P404" s="14" t="str">
        <f t="shared" si="310"/>
        <v>Daily.Seed.polluter_spike_1.skill02</v>
      </c>
      <c r="Q404" s="14" t="str">
        <f t="shared" si="310"/>
        <v>Daily.Seed.polluter_spike_1.skill03</v>
      </c>
      <c r="R404" s="14" t="str">
        <f t="shared" si="310"/>
        <v/>
      </c>
      <c r="S404" s="14" t="str">
        <f t="shared" si="310"/>
        <v/>
      </c>
      <c r="T404" s="14" t="str">
        <f t="shared" si="310"/>
        <v/>
      </c>
      <c r="U404" s="14" t="str">
        <f t="shared" si="310"/>
        <v/>
      </c>
      <c r="V404" s="5" t="b">
        <f t="shared" si="310"/>
        <v>0</v>
      </c>
      <c r="W404" s="5" t="str">
        <f t="shared" si="310"/>
        <v>Character/Prefabs/m_l_attacker_polluter_spike_1</v>
      </c>
      <c r="X404" s="5" t="str">
        <f t="shared" si="310"/>
        <v/>
      </c>
      <c r="Y404" s="5" t="str">
        <f t="shared" si="310"/>
        <v>m_l_attacker_polluter_spike_1</v>
      </c>
      <c r="Z404" s="5" t="str">
        <f t="shared" si="310"/>
        <v/>
      </c>
      <c r="AA404" s="5" t="str">
        <f t="shared" si="310"/>
        <v/>
      </c>
      <c r="AB404" s="5" t="str">
        <f t="shared" si="310"/>
        <v/>
      </c>
      <c r="AC404" s="97">
        <f t="shared" si="310"/>
        <v>0.5</v>
      </c>
      <c r="AD404" s="5" t="str">
        <f t="shared" si="310"/>
        <v/>
      </c>
      <c r="AE404" s="5" t="str">
        <f t="shared" si="310"/>
        <v/>
      </c>
      <c r="AF404" s="5" t="str">
        <f t="shared" si="310"/>
        <v/>
      </c>
      <c r="AG404" s="173" t="s">
        <v>2763</v>
      </c>
    </row>
    <row r="405" spans="1:33" x14ac:dyDescent="0.3">
      <c r="A405" s="13">
        <f t="shared" si="306"/>
        <v>1410305014</v>
      </c>
      <c r="B405" s="13" t="str">
        <f t="shared" ref="B405:AF405" si="311">IF(B294 &lt;&gt; "", B294, "")</f>
        <v>Daily.Seed</v>
      </c>
      <c r="C405" s="5" t="str">
        <f t="shared" si="311"/>
        <v>오염체플루터청크</v>
      </c>
      <c r="D405" s="5" t="str">
        <f t="shared" si="311"/>
        <v>Monster.Name.polluter_chunk_1</v>
      </c>
      <c r="E405" s="5" t="str">
        <f t="shared" si="311"/>
        <v>Attacker</v>
      </c>
      <c r="F405" s="17" t="str">
        <f t="shared" si="311"/>
        <v>Fac_nul_ind</v>
      </c>
      <c r="G405" s="5" t="str">
        <f t="shared" si="311"/>
        <v>TRUE</v>
      </c>
      <c r="H405" s="5" t="b">
        <f t="shared" si="311"/>
        <v>0</v>
      </c>
      <c r="I405" s="5" t="b">
        <f t="shared" si="311"/>
        <v>0</v>
      </c>
      <c r="J405" s="5">
        <f t="shared" si="311"/>
        <v>10</v>
      </c>
      <c r="K405" s="5">
        <f t="shared" si="311"/>
        <v>10</v>
      </c>
      <c r="L405" s="2" t="str">
        <f t="shared" si="311"/>
        <v>Daily.Seed.polluter_chunk_1.attack01</v>
      </c>
      <c r="M405" s="2" t="str">
        <f t="shared" si="311"/>
        <v/>
      </c>
      <c r="N405" s="2" t="str">
        <f t="shared" si="311"/>
        <v/>
      </c>
      <c r="O405" s="178" t="str">
        <f t="shared" si="311"/>
        <v>Daily.Seed.polluter_chunk_1.skill01</v>
      </c>
      <c r="P405" s="14" t="str">
        <f t="shared" si="311"/>
        <v/>
      </c>
      <c r="Q405" s="14" t="str">
        <f t="shared" si="311"/>
        <v/>
      </c>
      <c r="R405" s="14" t="str">
        <f t="shared" si="311"/>
        <v/>
      </c>
      <c r="S405" s="14" t="str">
        <f t="shared" si="311"/>
        <v/>
      </c>
      <c r="T405" s="14" t="str">
        <f t="shared" si="311"/>
        <v/>
      </c>
      <c r="U405" s="14" t="str">
        <f t="shared" si="311"/>
        <v/>
      </c>
      <c r="V405" s="5" t="b">
        <f t="shared" si="311"/>
        <v>0</v>
      </c>
      <c r="W405" s="5" t="str">
        <f t="shared" si="311"/>
        <v>Character/Prefabs/m_l_attacker_polluter_chunk_1</v>
      </c>
      <c r="X405" s="5" t="str">
        <f t="shared" si="311"/>
        <v/>
      </c>
      <c r="Y405" s="5" t="str">
        <f t="shared" si="311"/>
        <v>m_l_attacker_polluter_chunk_1</v>
      </c>
      <c r="Z405" s="5" t="str">
        <f t="shared" si="311"/>
        <v/>
      </c>
      <c r="AA405" s="5" t="str">
        <f t="shared" si="311"/>
        <v/>
      </c>
      <c r="AB405" s="5" t="str">
        <f t="shared" si="311"/>
        <v/>
      </c>
      <c r="AC405" s="97">
        <f t="shared" si="311"/>
        <v>0.7</v>
      </c>
      <c r="AD405" s="5" t="str">
        <f t="shared" si="311"/>
        <v/>
      </c>
      <c r="AE405" s="5" t="str">
        <f t="shared" si="311"/>
        <v/>
      </c>
      <c r="AF405" s="5" t="str">
        <f t="shared" si="311"/>
        <v/>
      </c>
      <c r="AG405" s="173" t="s">
        <v>2763</v>
      </c>
    </row>
    <row r="406" spans="1:33" x14ac:dyDescent="0.3">
      <c r="A406" s="14">
        <f t="shared" si="306"/>
        <v>1410401001</v>
      </c>
      <c r="B406" s="14" t="str">
        <f t="shared" ref="B406:AF406" si="312">IF(B295 &lt;&gt; "", B295, "")</f>
        <v>Rotation</v>
      </c>
      <c r="C406" s="14" t="str">
        <f t="shared" si="312"/>
        <v>큐브01_01</v>
      </c>
      <c r="D406" s="14" t="str">
        <f t="shared" si="312"/>
        <v>Monster.Name.RotationCube.Tier1</v>
      </c>
      <c r="E406" s="5" t="str">
        <f t="shared" si="312"/>
        <v>None</v>
      </c>
      <c r="F406" s="17" t="str">
        <f t="shared" si="312"/>
        <v>Fac_nul_ind</v>
      </c>
      <c r="G406" s="14" t="str">
        <f t="shared" si="312"/>
        <v>TRUE</v>
      </c>
      <c r="H406" s="14" t="str">
        <f t="shared" si="312"/>
        <v>TRUE</v>
      </c>
      <c r="I406" s="14" t="b">
        <f t="shared" si="312"/>
        <v>0</v>
      </c>
      <c r="J406" s="14">
        <f t="shared" si="312"/>
        <v>20</v>
      </c>
      <c r="K406" s="14">
        <f t="shared" si="312"/>
        <v>10</v>
      </c>
      <c r="L406" s="14" t="str">
        <f t="shared" si="312"/>
        <v/>
      </c>
      <c r="M406" s="14" t="str">
        <f t="shared" si="312"/>
        <v/>
      </c>
      <c r="N406" s="14" t="str">
        <f t="shared" si="312"/>
        <v/>
      </c>
      <c r="O406" s="17" t="str">
        <f t="shared" si="312"/>
        <v>Rotation.cube_tier01_01.skill01</v>
      </c>
      <c r="P406" s="14" t="str">
        <f t="shared" si="312"/>
        <v/>
      </c>
      <c r="Q406" s="14" t="str">
        <f t="shared" si="312"/>
        <v>Rotation.cube_tier01_01.Immun</v>
      </c>
      <c r="R406" s="14" t="str">
        <f t="shared" si="312"/>
        <v/>
      </c>
      <c r="S406" s="14" t="str">
        <f t="shared" si="312"/>
        <v/>
      </c>
      <c r="T406" s="14" t="str">
        <f t="shared" si="312"/>
        <v/>
      </c>
      <c r="U406" s="14" t="str">
        <f t="shared" si="312"/>
        <v/>
      </c>
      <c r="V406" s="14" t="b">
        <f t="shared" si="312"/>
        <v>0</v>
      </c>
      <c r="W406" s="14" t="str">
        <f t="shared" si="312"/>
        <v>Character/Prefabs/m_m_tanker_cube_tier01_01</v>
      </c>
      <c r="X406" s="14" t="str">
        <f t="shared" si="312"/>
        <v/>
      </c>
      <c r="Y406" s="14" t="str">
        <f t="shared" si="312"/>
        <v>m_m_tanker_cube_tier01_01</v>
      </c>
      <c r="Z406" s="14" t="str">
        <f t="shared" si="312"/>
        <v/>
      </c>
      <c r="AA406" s="14" t="str">
        <f t="shared" si="312"/>
        <v/>
      </c>
      <c r="AB406" s="14" t="str">
        <f t="shared" si="312"/>
        <v>Die_machine</v>
      </c>
      <c r="AC406" s="94">
        <f t="shared" si="312"/>
        <v>1</v>
      </c>
      <c r="AD406" s="14" t="str">
        <f t="shared" si="312"/>
        <v>Effect/Prefab/02.mob/cube_military_01/EFF_cube_military_01_hit_01</v>
      </c>
      <c r="AE406" s="14" t="str">
        <f t="shared" si="312"/>
        <v/>
      </c>
      <c r="AF406" s="14" t="str">
        <f t="shared" si="312"/>
        <v/>
      </c>
      <c r="AG406" s="173" t="s">
        <v>2763</v>
      </c>
    </row>
    <row r="407" spans="1:33" x14ac:dyDescent="0.3">
      <c r="A407" s="14">
        <f t="shared" si="306"/>
        <v>1410401002</v>
      </c>
      <c r="B407" s="14" t="str">
        <f t="shared" ref="B407:AF407" si="313">IF(B296 &lt;&gt; "", B296, "")</f>
        <v>Rotation</v>
      </c>
      <c r="C407" s="14" t="str">
        <f t="shared" si="313"/>
        <v>큐브01_02</v>
      </c>
      <c r="D407" s="14" t="str">
        <f t="shared" si="313"/>
        <v>Monster.Name.RotationCube.Tier1</v>
      </c>
      <c r="E407" s="5" t="str">
        <f t="shared" si="313"/>
        <v>None</v>
      </c>
      <c r="F407" s="17" t="str">
        <f t="shared" si="313"/>
        <v>Fac_nul_ind</v>
      </c>
      <c r="G407" s="14" t="str">
        <f t="shared" si="313"/>
        <v>TRUE</v>
      </c>
      <c r="H407" s="14" t="str">
        <f t="shared" si="313"/>
        <v>TRUE</v>
      </c>
      <c r="I407" s="14" t="b">
        <f t="shared" si="313"/>
        <v>0</v>
      </c>
      <c r="J407" s="14">
        <f t="shared" si="313"/>
        <v>20</v>
      </c>
      <c r="K407" s="14">
        <f t="shared" si="313"/>
        <v>10</v>
      </c>
      <c r="L407" s="14" t="str">
        <f t="shared" si="313"/>
        <v/>
      </c>
      <c r="M407" s="14" t="str">
        <f t="shared" si="313"/>
        <v/>
      </c>
      <c r="N407" s="14" t="str">
        <f t="shared" si="313"/>
        <v/>
      </c>
      <c r="O407" s="17" t="str">
        <f t="shared" si="313"/>
        <v>Rotation.cube_tier01_02.skill01</v>
      </c>
      <c r="P407" s="14" t="str">
        <f t="shared" si="313"/>
        <v/>
      </c>
      <c r="Q407" s="14" t="str">
        <f t="shared" si="313"/>
        <v>Rotation.cube_tier01_02.Immun</v>
      </c>
      <c r="R407" s="14" t="str">
        <f t="shared" si="313"/>
        <v/>
      </c>
      <c r="S407" s="14" t="str">
        <f t="shared" si="313"/>
        <v/>
      </c>
      <c r="T407" s="14" t="str">
        <f t="shared" si="313"/>
        <v/>
      </c>
      <c r="U407" s="14" t="str">
        <f t="shared" si="313"/>
        <v/>
      </c>
      <c r="V407" s="14" t="b">
        <f t="shared" si="313"/>
        <v>0</v>
      </c>
      <c r="W407" s="14" t="str">
        <f t="shared" si="313"/>
        <v>Character/Prefabs/m_m_tanker_cube_tier01_02</v>
      </c>
      <c r="X407" s="14" t="str">
        <f t="shared" si="313"/>
        <v/>
      </c>
      <c r="Y407" s="14" t="str">
        <f t="shared" si="313"/>
        <v>m_m_tanker_cube_tier01_02</v>
      </c>
      <c r="Z407" s="14" t="str">
        <f t="shared" si="313"/>
        <v/>
      </c>
      <c r="AA407" s="14" t="str">
        <f t="shared" si="313"/>
        <v/>
      </c>
      <c r="AB407" s="14" t="str">
        <f t="shared" si="313"/>
        <v>Die_machine</v>
      </c>
      <c r="AC407" s="94">
        <f t="shared" si="313"/>
        <v>1</v>
      </c>
      <c r="AD407" s="14" t="str">
        <f t="shared" si="313"/>
        <v>Effect/Prefab/02.mob/cube_military_01/EFF_cube_military_01_hit_01</v>
      </c>
      <c r="AE407" s="14" t="str">
        <f t="shared" si="313"/>
        <v/>
      </c>
      <c r="AF407" s="14" t="str">
        <f t="shared" si="313"/>
        <v/>
      </c>
      <c r="AG407" s="173" t="s">
        <v>2763</v>
      </c>
    </row>
    <row r="408" spans="1:33" x14ac:dyDescent="0.3">
      <c r="A408" s="14">
        <f t="shared" si="306"/>
        <v>1410401003</v>
      </c>
      <c r="B408" s="14" t="str">
        <f t="shared" ref="B408:AF408" si="314">IF(B297 &lt;&gt; "", B297, "")</f>
        <v>Rotation</v>
      </c>
      <c r="C408" s="14" t="str">
        <f t="shared" si="314"/>
        <v>큐브01_03</v>
      </c>
      <c r="D408" s="14" t="str">
        <f t="shared" si="314"/>
        <v>Monster.Name.RotationCube.Tier1</v>
      </c>
      <c r="E408" s="5" t="str">
        <f t="shared" si="314"/>
        <v>None</v>
      </c>
      <c r="F408" s="17" t="str">
        <f t="shared" si="314"/>
        <v>Fac_nul_ind</v>
      </c>
      <c r="G408" s="14" t="str">
        <f t="shared" si="314"/>
        <v>TRUE</v>
      </c>
      <c r="H408" s="14" t="str">
        <f t="shared" si="314"/>
        <v>TRUE</v>
      </c>
      <c r="I408" s="14" t="b">
        <f t="shared" si="314"/>
        <v>0</v>
      </c>
      <c r="J408" s="14">
        <f t="shared" si="314"/>
        <v>20</v>
      </c>
      <c r="K408" s="14">
        <f t="shared" si="314"/>
        <v>10</v>
      </c>
      <c r="L408" s="14" t="str">
        <f t="shared" si="314"/>
        <v/>
      </c>
      <c r="M408" s="14" t="str">
        <f t="shared" si="314"/>
        <v/>
      </c>
      <c r="N408" s="14" t="str">
        <f t="shared" si="314"/>
        <v/>
      </c>
      <c r="O408" s="17" t="str">
        <f t="shared" si="314"/>
        <v>Rotation.cube_tier01_03.skill01</v>
      </c>
      <c r="P408" s="14" t="str">
        <f t="shared" si="314"/>
        <v/>
      </c>
      <c r="Q408" s="14" t="str">
        <f t="shared" si="314"/>
        <v>Rotation.cube_tier01_03.Immun</v>
      </c>
      <c r="R408" s="14" t="str">
        <f t="shared" si="314"/>
        <v/>
      </c>
      <c r="S408" s="14" t="str">
        <f t="shared" si="314"/>
        <v/>
      </c>
      <c r="T408" s="14" t="str">
        <f t="shared" si="314"/>
        <v/>
      </c>
      <c r="U408" s="14" t="str">
        <f t="shared" si="314"/>
        <v/>
      </c>
      <c r="V408" s="14" t="b">
        <f t="shared" si="314"/>
        <v>0</v>
      </c>
      <c r="W408" s="14" t="str">
        <f t="shared" si="314"/>
        <v>Character/Prefabs/m_m_tanker_cube_tier01_03</v>
      </c>
      <c r="X408" s="14" t="str">
        <f t="shared" si="314"/>
        <v/>
      </c>
      <c r="Y408" s="14" t="str">
        <f t="shared" si="314"/>
        <v>m_m_tanker_cube_tier01_03</v>
      </c>
      <c r="Z408" s="14" t="str">
        <f t="shared" si="314"/>
        <v/>
      </c>
      <c r="AA408" s="14" t="str">
        <f t="shared" si="314"/>
        <v/>
      </c>
      <c r="AB408" s="14" t="str">
        <f t="shared" si="314"/>
        <v>Die_machine</v>
      </c>
      <c r="AC408" s="94">
        <f t="shared" si="314"/>
        <v>1</v>
      </c>
      <c r="AD408" s="14" t="str">
        <f t="shared" si="314"/>
        <v>Effect/Prefab/02.mob/cube_military_01/EFF_cube_military_01_hit_01</v>
      </c>
      <c r="AE408" s="14" t="str">
        <f t="shared" si="314"/>
        <v/>
      </c>
      <c r="AF408" s="14" t="str">
        <f t="shared" si="314"/>
        <v/>
      </c>
      <c r="AG408" s="173" t="s">
        <v>2763</v>
      </c>
    </row>
    <row r="409" spans="1:33" x14ac:dyDescent="0.3">
      <c r="A409" s="14">
        <f t="shared" si="306"/>
        <v>1410401004</v>
      </c>
      <c r="B409" s="14" t="str">
        <f t="shared" ref="B409:AF409" si="315">IF(B298 &lt;&gt; "", B298, "")</f>
        <v>Rotation</v>
      </c>
      <c r="C409" s="14" t="str">
        <f t="shared" si="315"/>
        <v>큐브01_04</v>
      </c>
      <c r="D409" s="14" t="str">
        <f t="shared" si="315"/>
        <v>Monster.Name.RotationCube.Tier1</v>
      </c>
      <c r="E409" s="5" t="str">
        <f t="shared" si="315"/>
        <v>None</v>
      </c>
      <c r="F409" s="17" t="str">
        <f t="shared" si="315"/>
        <v>Fac_nul_ind</v>
      </c>
      <c r="G409" s="14" t="str">
        <f t="shared" si="315"/>
        <v>TRUE</v>
      </c>
      <c r="H409" s="14" t="str">
        <f t="shared" si="315"/>
        <v>TRUE</v>
      </c>
      <c r="I409" s="14" t="b">
        <f t="shared" si="315"/>
        <v>0</v>
      </c>
      <c r="J409" s="14">
        <f t="shared" si="315"/>
        <v>20</v>
      </c>
      <c r="K409" s="14">
        <f t="shared" si="315"/>
        <v>10</v>
      </c>
      <c r="L409" s="14" t="str">
        <f t="shared" si="315"/>
        <v/>
      </c>
      <c r="M409" s="14" t="str">
        <f t="shared" si="315"/>
        <v/>
      </c>
      <c r="N409" s="14" t="str">
        <f t="shared" si="315"/>
        <v/>
      </c>
      <c r="O409" s="17" t="str">
        <f t="shared" si="315"/>
        <v>Rotation.cube_tier01_04.skill01</v>
      </c>
      <c r="P409" s="14" t="str">
        <f t="shared" si="315"/>
        <v/>
      </c>
      <c r="Q409" s="14" t="str">
        <f t="shared" si="315"/>
        <v>Rotation.cube_tier01_04.Immun</v>
      </c>
      <c r="R409" s="14" t="str">
        <f t="shared" si="315"/>
        <v/>
      </c>
      <c r="S409" s="14" t="str">
        <f t="shared" si="315"/>
        <v/>
      </c>
      <c r="T409" s="14" t="str">
        <f t="shared" si="315"/>
        <v/>
      </c>
      <c r="U409" s="14" t="str">
        <f t="shared" si="315"/>
        <v/>
      </c>
      <c r="V409" s="14" t="b">
        <f t="shared" si="315"/>
        <v>0</v>
      </c>
      <c r="W409" s="14" t="str">
        <f t="shared" si="315"/>
        <v>Character/Prefabs/m_m_tanker_cube_tier01_04</v>
      </c>
      <c r="X409" s="14" t="str">
        <f t="shared" si="315"/>
        <v/>
      </c>
      <c r="Y409" s="14" t="str">
        <f t="shared" si="315"/>
        <v>m_m_tanker_cube_tier01_04</v>
      </c>
      <c r="Z409" s="14" t="str">
        <f t="shared" si="315"/>
        <v/>
      </c>
      <c r="AA409" s="14" t="str">
        <f t="shared" si="315"/>
        <v/>
      </c>
      <c r="AB409" s="14" t="str">
        <f t="shared" si="315"/>
        <v>Die_machine</v>
      </c>
      <c r="AC409" s="94">
        <f t="shared" si="315"/>
        <v>1</v>
      </c>
      <c r="AD409" s="14" t="str">
        <f t="shared" si="315"/>
        <v>Effect/Prefab/02.mob/cube_military_01/EFF_cube_military_01_hit_01</v>
      </c>
      <c r="AE409" s="14" t="str">
        <f t="shared" si="315"/>
        <v/>
      </c>
      <c r="AF409" s="14" t="str">
        <f t="shared" si="315"/>
        <v/>
      </c>
      <c r="AG409" s="173" t="s">
        <v>2763</v>
      </c>
    </row>
    <row r="410" spans="1:33" x14ac:dyDescent="0.3">
      <c r="A410" s="14">
        <f t="shared" si="306"/>
        <v>1410401005</v>
      </c>
      <c r="B410" s="14" t="str">
        <f t="shared" ref="B410:AF410" si="316">IF(B299 &lt;&gt; "", B299, "")</f>
        <v>Rotation</v>
      </c>
      <c r="C410" s="14" t="str">
        <f t="shared" si="316"/>
        <v>큐브01_05</v>
      </c>
      <c r="D410" s="14" t="str">
        <f t="shared" si="316"/>
        <v>Monster.Name.RotationCube.Tier1</v>
      </c>
      <c r="E410" s="5" t="str">
        <f t="shared" si="316"/>
        <v>None</v>
      </c>
      <c r="F410" s="17" t="str">
        <f t="shared" si="316"/>
        <v>Fac_nul_ind</v>
      </c>
      <c r="G410" s="14" t="str">
        <f t="shared" si="316"/>
        <v>TRUE</v>
      </c>
      <c r="H410" s="14" t="str">
        <f t="shared" si="316"/>
        <v>TRUE</v>
      </c>
      <c r="I410" s="14" t="b">
        <f t="shared" si="316"/>
        <v>0</v>
      </c>
      <c r="J410" s="14">
        <f t="shared" si="316"/>
        <v>20</v>
      </c>
      <c r="K410" s="14">
        <f t="shared" si="316"/>
        <v>10</v>
      </c>
      <c r="L410" s="14" t="str">
        <f t="shared" si="316"/>
        <v/>
      </c>
      <c r="M410" s="14" t="str">
        <f t="shared" si="316"/>
        <v/>
      </c>
      <c r="N410" s="14" t="str">
        <f t="shared" si="316"/>
        <v/>
      </c>
      <c r="O410" s="17" t="str">
        <f t="shared" si="316"/>
        <v>Rotation.cube_tier01_05.skill01</v>
      </c>
      <c r="P410" s="14" t="str">
        <f t="shared" si="316"/>
        <v/>
      </c>
      <c r="Q410" s="14" t="str">
        <f t="shared" si="316"/>
        <v>Rotation.cube_tier01_05.Immun</v>
      </c>
      <c r="R410" s="14" t="str">
        <f t="shared" si="316"/>
        <v/>
      </c>
      <c r="S410" s="14" t="str">
        <f t="shared" si="316"/>
        <v/>
      </c>
      <c r="T410" s="14" t="str">
        <f t="shared" si="316"/>
        <v/>
      </c>
      <c r="U410" s="14" t="str">
        <f t="shared" si="316"/>
        <v/>
      </c>
      <c r="V410" s="14" t="b">
        <f t="shared" si="316"/>
        <v>0</v>
      </c>
      <c r="W410" s="14" t="str">
        <f t="shared" si="316"/>
        <v>Character/Prefabs/m_m_tanker_cube_tier01_05</v>
      </c>
      <c r="X410" s="14" t="str">
        <f t="shared" si="316"/>
        <v/>
      </c>
      <c r="Y410" s="14" t="str">
        <f t="shared" si="316"/>
        <v>m_m_tanker_cube_tier01_05</v>
      </c>
      <c r="Z410" s="14" t="str">
        <f t="shared" si="316"/>
        <v/>
      </c>
      <c r="AA410" s="14" t="str">
        <f t="shared" si="316"/>
        <v/>
      </c>
      <c r="AB410" s="14" t="str">
        <f t="shared" si="316"/>
        <v>Die_machine</v>
      </c>
      <c r="AC410" s="94">
        <f t="shared" si="316"/>
        <v>1</v>
      </c>
      <c r="AD410" s="14" t="str">
        <f t="shared" si="316"/>
        <v>Effect/Prefab/02.mob/cube_military_01/EFF_cube_military_01_hit_01</v>
      </c>
      <c r="AE410" s="14" t="str">
        <f t="shared" si="316"/>
        <v/>
      </c>
      <c r="AF410" s="14" t="str">
        <f t="shared" si="316"/>
        <v/>
      </c>
      <c r="AG410" s="173" t="s">
        <v>2763</v>
      </c>
    </row>
    <row r="411" spans="1:33" x14ac:dyDescent="0.3">
      <c r="A411" s="14">
        <f t="shared" si="306"/>
        <v>1410401006</v>
      </c>
      <c r="B411" s="14" t="str">
        <f t="shared" ref="B411:AF411" si="317">IF(B300 &lt;&gt; "", B300, "")</f>
        <v>Rotation</v>
      </c>
      <c r="C411" s="14" t="str">
        <f t="shared" si="317"/>
        <v>큐브02_01</v>
      </c>
      <c r="D411" s="14" t="str">
        <f t="shared" si="317"/>
        <v>Monster.Name.RotationCube.Tier2</v>
      </c>
      <c r="E411" s="5" t="str">
        <f t="shared" si="317"/>
        <v>None</v>
      </c>
      <c r="F411" s="17" t="str">
        <f t="shared" si="317"/>
        <v>Fac_nul_ind</v>
      </c>
      <c r="G411" s="14" t="str">
        <f t="shared" si="317"/>
        <v>TRUE</v>
      </c>
      <c r="H411" s="14" t="str">
        <f t="shared" si="317"/>
        <v>TRUE</v>
      </c>
      <c r="I411" s="14" t="b">
        <f t="shared" si="317"/>
        <v>0</v>
      </c>
      <c r="J411" s="14">
        <f t="shared" si="317"/>
        <v>20</v>
      </c>
      <c r="K411" s="14">
        <f t="shared" si="317"/>
        <v>10</v>
      </c>
      <c r="L411" s="14" t="str">
        <f t="shared" si="317"/>
        <v/>
      </c>
      <c r="M411" s="14" t="str">
        <f t="shared" si="317"/>
        <v/>
      </c>
      <c r="N411" s="14" t="str">
        <f t="shared" si="317"/>
        <v/>
      </c>
      <c r="O411" s="17" t="str">
        <f t="shared" si="317"/>
        <v>Rotation.cube_tier02_01.skill01</v>
      </c>
      <c r="P411" s="14" t="str">
        <f t="shared" si="317"/>
        <v/>
      </c>
      <c r="Q411" s="14" t="str">
        <f t="shared" si="317"/>
        <v>Rotation.cube_tier02_01.Immun</v>
      </c>
      <c r="R411" s="14" t="str">
        <f t="shared" si="317"/>
        <v/>
      </c>
      <c r="S411" s="14" t="str">
        <f t="shared" si="317"/>
        <v/>
      </c>
      <c r="T411" s="14" t="str">
        <f t="shared" si="317"/>
        <v/>
      </c>
      <c r="U411" s="14" t="str">
        <f t="shared" si="317"/>
        <v/>
      </c>
      <c r="V411" s="14" t="b">
        <f t="shared" si="317"/>
        <v>0</v>
      </c>
      <c r="W411" s="14" t="str">
        <f t="shared" si="317"/>
        <v>Character/Prefabs/m_m_tanker_cube_tier02_01</v>
      </c>
      <c r="X411" s="14" t="str">
        <f t="shared" si="317"/>
        <v/>
      </c>
      <c r="Y411" s="14" t="str">
        <f t="shared" si="317"/>
        <v>m_m_tanker_cube_tier02_01</v>
      </c>
      <c r="Z411" s="14" t="str">
        <f t="shared" si="317"/>
        <v/>
      </c>
      <c r="AA411" s="14" t="str">
        <f t="shared" si="317"/>
        <v/>
      </c>
      <c r="AB411" s="14" t="str">
        <f t="shared" si="317"/>
        <v>Die_machine</v>
      </c>
      <c r="AC411" s="94">
        <f t="shared" si="317"/>
        <v>1</v>
      </c>
      <c r="AD411" s="14" t="str">
        <f t="shared" si="317"/>
        <v>Effect/Prefab/02.mob/cube_military_01/EFF_cube_military_01_hit_01</v>
      </c>
      <c r="AE411" s="14" t="str">
        <f t="shared" si="317"/>
        <v/>
      </c>
      <c r="AF411" s="14" t="str">
        <f t="shared" si="317"/>
        <v/>
      </c>
      <c r="AG411" s="173" t="s">
        <v>2763</v>
      </c>
    </row>
    <row r="412" spans="1:33" x14ac:dyDescent="0.3">
      <c r="A412" s="14">
        <f t="shared" si="306"/>
        <v>1410401007</v>
      </c>
      <c r="B412" s="14" t="str">
        <f t="shared" ref="B412:AF412" si="318">IF(B301 &lt;&gt; "", B301, "")</f>
        <v>Rotation</v>
      </c>
      <c r="C412" s="14" t="str">
        <f t="shared" si="318"/>
        <v>큐브02_02</v>
      </c>
      <c r="D412" s="14" t="str">
        <f t="shared" si="318"/>
        <v>Monster.Name.RotationCube.Tier2</v>
      </c>
      <c r="E412" s="5" t="str">
        <f t="shared" si="318"/>
        <v>None</v>
      </c>
      <c r="F412" s="17" t="str">
        <f t="shared" si="318"/>
        <v>Fac_nul_ind</v>
      </c>
      <c r="G412" s="14" t="str">
        <f t="shared" si="318"/>
        <v>TRUE</v>
      </c>
      <c r="H412" s="14" t="str">
        <f t="shared" si="318"/>
        <v>TRUE</v>
      </c>
      <c r="I412" s="14" t="b">
        <f t="shared" si="318"/>
        <v>0</v>
      </c>
      <c r="J412" s="14">
        <f t="shared" si="318"/>
        <v>20</v>
      </c>
      <c r="K412" s="14">
        <f t="shared" si="318"/>
        <v>10</v>
      </c>
      <c r="L412" s="14" t="str">
        <f t="shared" si="318"/>
        <v/>
      </c>
      <c r="M412" s="14" t="str">
        <f t="shared" si="318"/>
        <v/>
      </c>
      <c r="N412" s="14" t="str">
        <f t="shared" si="318"/>
        <v/>
      </c>
      <c r="O412" s="17" t="str">
        <f t="shared" si="318"/>
        <v>Rotation.cube_tier02_02.skill01</v>
      </c>
      <c r="P412" s="14" t="str">
        <f t="shared" si="318"/>
        <v/>
      </c>
      <c r="Q412" s="14" t="str">
        <f t="shared" si="318"/>
        <v>Rotation.cube_tier02_02.Immun</v>
      </c>
      <c r="R412" s="14" t="str">
        <f t="shared" si="318"/>
        <v/>
      </c>
      <c r="S412" s="14" t="str">
        <f t="shared" si="318"/>
        <v/>
      </c>
      <c r="T412" s="14" t="str">
        <f t="shared" si="318"/>
        <v/>
      </c>
      <c r="U412" s="14" t="str">
        <f t="shared" si="318"/>
        <v/>
      </c>
      <c r="V412" s="14" t="b">
        <f t="shared" si="318"/>
        <v>0</v>
      </c>
      <c r="W412" s="14" t="str">
        <f t="shared" si="318"/>
        <v>Character/Prefabs/m_m_tanker_cube_tier02_02</v>
      </c>
      <c r="X412" s="14" t="str">
        <f t="shared" si="318"/>
        <v/>
      </c>
      <c r="Y412" s="14" t="str">
        <f t="shared" si="318"/>
        <v>m_m_tanker_cube_tier02_02</v>
      </c>
      <c r="Z412" s="14" t="str">
        <f t="shared" si="318"/>
        <v/>
      </c>
      <c r="AA412" s="14" t="str">
        <f t="shared" si="318"/>
        <v/>
      </c>
      <c r="AB412" s="14" t="str">
        <f t="shared" si="318"/>
        <v>Die_machine</v>
      </c>
      <c r="AC412" s="94">
        <f t="shared" si="318"/>
        <v>1</v>
      </c>
      <c r="AD412" s="14" t="str">
        <f t="shared" si="318"/>
        <v>Effect/Prefab/02.mob/cube_military_01/EFF_cube_military_01_hit_01</v>
      </c>
      <c r="AE412" s="14" t="str">
        <f t="shared" si="318"/>
        <v/>
      </c>
      <c r="AF412" s="14" t="str">
        <f t="shared" si="318"/>
        <v/>
      </c>
      <c r="AG412" s="173" t="s">
        <v>2763</v>
      </c>
    </row>
    <row r="413" spans="1:33" x14ac:dyDescent="0.3">
      <c r="A413" s="14">
        <f t="shared" si="306"/>
        <v>1410401008</v>
      </c>
      <c r="B413" s="14" t="str">
        <f t="shared" ref="B413:AF413" si="319">IF(B302 &lt;&gt; "", B302, "")</f>
        <v>Rotation</v>
      </c>
      <c r="C413" s="14" t="str">
        <f t="shared" si="319"/>
        <v>큐브02_03</v>
      </c>
      <c r="D413" s="14" t="str">
        <f t="shared" si="319"/>
        <v>Monster.Name.RotationCube.Tier2</v>
      </c>
      <c r="E413" s="5" t="str">
        <f t="shared" si="319"/>
        <v>None</v>
      </c>
      <c r="F413" s="17" t="str">
        <f t="shared" si="319"/>
        <v>Fac_nul_ind</v>
      </c>
      <c r="G413" s="14" t="str">
        <f t="shared" si="319"/>
        <v>TRUE</v>
      </c>
      <c r="H413" s="14" t="str">
        <f t="shared" si="319"/>
        <v>TRUE</v>
      </c>
      <c r="I413" s="14" t="b">
        <f t="shared" si="319"/>
        <v>0</v>
      </c>
      <c r="J413" s="14">
        <f t="shared" si="319"/>
        <v>20</v>
      </c>
      <c r="K413" s="14">
        <f t="shared" si="319"/>
        <v>10</v>
      </c>
      <c r="L413" s="14" t="str">
        <f t="shared" si="319"/>
        <v/>
      </c>
      <c r="M413" s="14" t="str">
        <f t="shared" si="319"/>
        <v/>
      </c>
      <c r="N413" s="14" t="str">
        <f t="shared" si="319"/>
        <v/>
      </c>
      <c r="O413" s="17" t="str">
        <f t="shared" si="319"/>
        <v>Rotation.cube_tier02_03.skill01</v>
      </c>
      <c r="P413" s="14" t="str">
        <f t="shared" si="319"/>
        <v/>
      </c>
      <c r="Q413" s="14" t="str">
        <f t="shared" si="319"/>
        <v>Rotation.cube_tier02_03.Immun</v>
      </c>
      <c r="R413" s="14" t="str">
        <f t="shared" si="319"/>
        <v/>
      </c>
      <c r="S413" s="14" t="str">
        <f t="shared" si="319"/>
        <v/>
      </c>
      <c r="T413" s="14" t="str">
        <f t="shared" si="319"/>
        <v/>
      </c>
      <c r="U413" s="14" t="str">
        <f t="shared" si="319"/>
        <v/>
      </c>
      <c r="V413" s="14" t="b">
        <f t="shared" si="319"/>
        <v>0</v>
      </c>
      <c r="W413" s="14" t="str">
        <f t="shared" si="319"/>
        <v>Character/Prefabs/m_m_tanker_cube_tier02_03</v>
      </c>
      <c r="X413" s="14" t="str">
        <f t="shared" si="319"/>
        <v/>
      </c>
      <c r="Y413" s="14" t="str">
        <f t="shared" si="319"/>
        <v>m_m_tanker_cube_tier02_03</v>
      </c>
      <c r="Z413" s="14" t="str">
        <f t="shared" si="319"/>
        <v/>
      </c>
      <c r="AA413" s="14" t="str">
        <f t="shared" si="319"/>
        <v/>
      </c>
      <c r="AB413" s="14" t="str">
        <f t="shared" si="319"/>
        <v>Die_machine</v>
      </c>
      <c r="AC413" s="94">
        <f t="shared" si="319"/>
        <v>1</v>
      </c>
      <c r="AD413" s="14" t="str">
        <f t="shared" si="319"/>
        <v>Effect/Prefab/02.mob/cube_military_01/EFF_cube_military_01_hit_01</v>
      </c>
      <c r="AE413" s="14" t="str">
        <f t="shared" si="319"/>
        <v/>
      </c>
      <c r="AF413" s="14" t="str">
        <f t="shared" si="319"/>
        <v/>
      </c>
      <c r="AG413" s="173" t="s">
        <v>2763</v>
      </c>
    </row>
    <row r="414" spans="1:33" x14ac:dyDescent="0.3">
      <c r="A414" s="14">
        <f t="shared" si="306"/>
        <v>1410401009</v>
      </c>
      <c r="B414" s="14" t="str">
        <f t="shared" ref="B414:AF414" si="320">IF(B303 &lt;&gt; "", B303, "")</f>
        <v>Rotation</v>
      </c>
      <c r="C414" s="14" t="str">
        <f t="shared" si="320"/>
        <v>큐브02_04</v>
      </c>
      <c r="D414" s="14" t="str">
        <f t="shared" si="320"/>
        <v>Monster.Name.RotationCube.Tier2</v>
      </c>
      <c r="E414" s="5" t="str">
        <f t="shared" si="320"/>
        <v>None</v>
      </c>
      <c r="F414" s="17" t="str">
        <f t="shared" si="320"/>
        <v>Fac_nul_ind</v>
      </c>
      <c r="G414" s="14" t="str">
        <f t="shared" si="320"/>
        <v>TRUE</v>
      </c>
      <c r="H414" s="14" t="str">
        <f t="shared" si="320"/>
        <v>TRUE</v>
      </c>
      <c r="I414" s="14" t="b">
        <f t="shared" si="320"/>
        <v>0</v>
      </c>
      <c r="J414" s="14">
        <f t="shared" si="320"/>
        <v>20</v>
      </c>
      <c r="K414" s="14">
        <f t="shared" si="320"/>
        <v>10</v>
      </c>
      <c r="L414" s="14" t="str">
        <f t="shared" si="320"/>
        <v/>
      </c>
      <c r="M414" s="14" t="str">
        <f t="shared" si="320"/>
        <v/>
      </c>
      <c r="N414" s="14" t="str">
        <f t="shared" si="320"/>
        <v/>
      </c>
      <c r="O414" s="17" t="str">
        <f t="shared" si="320"/>
        <v>Rotation.cube_tier02_04.skill01</v>
      </c>
      <c r="P414" s="14" t="str">
        <f t="shared" si="320"/>
        <v/>
      </c>
      <c r="Q414" s="14" t="str">
        <f t="shared" si="320"/>
        <v>Rotation.cube_tier02_04.Immun</v>
      </c>
      <c r="R414" s="14" t="str">
        <f t="shared" si="320"/>
        <v/>
      </c>
      <c r="S414" s="14" t="str">
        <f t="shared" si="320"/>
        <v/>
      </c>
      <c r="T414" s="14" t="str">
        <f t="shared" si="320"/>
        <v/>
      </c>
      <c r="U414" s="14" t="str">
        <f t="shared" si="320"/>
        <v/>
      </c>
      <c r="V414" s="14" t="b">
        <f t="shared" si="320"/>
        <v>0</v>
      </c>
      <c r="W414" s="14" t="str">
        <f t="shared" si="320"/>
        <v>Character/Prefabs/m_m_tanker_cube_tier02_04</v>
      </c>
      <c r="X414" s="14" t="str">
        <f t="shared" si="320"/>
        <v/>
      </c>
      <c r="Y414" s="14" t="str">
        <f t="shared" si="320"/>
        <v>m_m_tanker_cube_tier02_04</v>
      </c>
      <c r="Z414" s="14" t="str">
        <f t="shared" si="320"/>
        <v/>
      </c>
      <c r="AA414" s="14" t="str">
        <f t="shared" si="320"/>
        <v/>
      </c>
      <c r="AB414" s="14" t="str">
        <f t="shared" si="320"/>
        <v>Die_machine</v>
      </c>
      <c r="AC414" s="94">
        <f t="shared" si="320"/>
        <v>1</v>
      </c>
      <c r="AD414" s="14" t="str">
        <f t="shared" si="320"/>
        <v>Effect/Prefab/02.mob/cube_military_01/EFF_cube_military_01_hit_01</v>
      </c>
      <c r="AE414" s="14" t="str">
        <f t="shared" si="320"/>
        <v/>
      </c>
      <c r="AF414" s="14" t="str">
        <f t="shared" si="320"/>
        <v/>
      </c>
      <c r="AG414" s="173" t="s">
        <v>2763</v>
      </c>
    </row>
    <row r="415" spans="1:33" x14ac:dyDescent="0.3">
      <c r="A415" s="14">
        <f t="shared" si="306"/>
        <v>1410401010</v>
      </c>
      <c r="B415" s="14" t="str">
        <f t="shared" ref="B415:AF415" si="321">IF(B304 &lt;&gt; "", B304, "")</f>
        <v>Rotation</v>
      </c>
      <c r="C415" s="14" t="str">
        <f t="shared" si="321"/>
        <v>큐브02_05</v>
      </c>
      <c r="D415" s="14" t="str">
        <f t="shared" si="321"/>
        <v>Monster.Name.RotationCube.Tier2</v>
      </c>
      <c r="E415" s="5" t="str">
        <f t="shared" si="321"/>
        <v>None</v>
      </c>
      <c r="F415" s="17" t="str">
        <f t="shared" si="321"/>
        <v>Fac_nul_ind</v>
      </c>
      <c r="G415" s="14" t="str">
        <f t="shared" si="321"/>
        <v>TRUE</v>
      </c>
      <c r="H415" s="14" t="str">
        <f t="shared" si="321"/>
        <v>TRUE</v>
      </c>
      <c r="I415" s="14" t="b">
        <f t="shared" si="321"/>
        <v>0</v>
      </c>
      <c r="J415" s="14">
        <f t="shared" si="321"/>
        <v>20</v>
      </c>
      <c r="K415" s="14">
        <f t="shared" si="321"/>
        <v>10</v>
      </c>
      <c r="L415" s="14" t="str">
        <f t="shared" si="321"/>
        <v/>
      </c>
      <c r="M415" s="14" t="str">
        <f t="shared" si="321"/>
        <v/>
      </c>
      <c r="N415" s="14" t="str">
        <f t="shared" si="321"/>
        <v/>
      </c>
      <c r="O415" s="17" t="str">
        <f t="shared" si="321"/>
        <v>Rotation.cube_tier02_05.skill01</v>
      </c>
      <c r="P415" s="14" t="str">
        <f t="shared" si="321"/>
        <v/>
      </c>
      <c r="Q415" s="14" t="str">
        <f t="shared" si="321"/>
        <v>Rotation.cube_tier02_05.Immun</v>
      </c>
      <c r="R415" s="14" t="str">
        <f t="shared" si="321"/>
        <v/>
      </c>
      <c r="S415" s="14" t="str">
        <f t="shared" si="321"/>
        <v/>
      </c>
      <c r="T415" s="14" t="str">
        <f t="shared" si="321"/>
        <v/>
      </c>
      <c r="U415" s="14" t="str">
        <f t="shared" si="321"/>
        <v/>
      </c>
      <c r="V415" s="14" t="b">
        <f t="shared" si="321"/>
        <v>0</v>
      </c>
      <c r="W415" s="14" t="str">
        <f t="shared" si="321"/>
        <v>Character/Prefabs/m_m_tanker_cube_tier02_05</v>
      </c>
      <c r="X415" s="14" t="str">
        <f t="shared" si="321"/>
        <v/>
      </c>
      <c r="Y415" s="14" t="str">
        <f t="shared" si="321"/>
        <v>m_m_tanker_cube_tier02_05</v>
      </c>
      <c r="Z415" s="14" t="str">
        <f t="shared" si="321"/>
        <v/>
      </c>
      <c r="AA415" s="14" t="str">
        <f t="shared" si="321"/>
        <v/>
      </c>
      <c r="AB415" s="14" t="str">
        <f t="shared" si="321"/>
        <v>Die_machine</v>
      </c>
      <c r="AC415" s="94">
        <f t="shared" si="321"/>
        <v>1</v>
      </c>
      <c r="AD415" s="14" t="str">
        <f t="shared" si="321"/>
        <v>Effect/Prefab/02.mob/cube_military_01/EFF_cube_military_01_hit_01</v>
      </c>
      <c r="AE415" s="14" t="str">
        <f t="shared" si="321"/>
        <v/>
      </c>
      <c r="AF415" s="14" t="str">
        <f t="shared" si="321"/>
        <v/>
      </c>
      <c r="AG415" s="173" t="s">
        <v>2763</v>
      </c>
    </row>
    <row r="416" spans="1:33" x14ac:dyDescent="0.3">
      <c r="A416" s="14">
        <f t="shared" si="306"/>
        <v>1410401011</v>
      </c>
      <c r="B416" s="14" t="str">
        <f t="shared" ref="B416:AF416" si="322">IF(B305 &lt;&gt; "", B305, "")</f>
        <v>Rotation</v>
      </c>
      <c r="C416" s="14" t="str">
        <f t="shared" si="322"/>
        <v>큐브03_01</v>
      </c>
      <c r="D416" s="14" t="str">
        <f t="shared" si="322"/>
        <v>Monster.Name.RotationCube.Tier3</v>
      </c>
      <c r="E416" s="5" t="str">
        <f t="shared" si="322"/>
        <v>None</v>
      </c>
      <c r="F416" s="17" t="str">
        <f t="shared" si="322"/>
        <v>Fac_nul_ind</v>
      </c>
      <c r="G416" s="14" t="str">
        <f t="shared" si="322"/>
        <v>TRUE</v>
      </c>
      <c r="H416" s="14" t="str">
        <f t="shared" si="322"/>
        <v>TRUE</v>
      </c>
      <c r="I416" s="14" t="b">
        <f t="shared" si="322"/>
        <v>0</v>
      </c>
      <c r="J416" s="14">
        <f t="shared" si="322"/>
        <v>20</v>
      </c>
      <c r="K416" s="14">
        <f t="shared" si="322"/>
        <v>10</v>
      </c>
      <c r="L416" s="14" t="str">
        <f t="shared" si="322"/>
        <v/>
      </c>
      <c r="M416" s="14" t="str">
        <f t="shared" si="322"/>
        <v/>
      </c>
      <c r="N416" s="14" t="str">
        <f t="shared" si="322"/>
        <v/>
      </c>
      <c r="O416" s="17" t="str">
        <f t="shared" si="322"/>
        <v>Rotation.cube_tier03_01.skill01</v>
      </c>
      <c r="P416" s="14" t="str">
        <f t="shared" si="322"/>
        <v/>
      </c>
      <c r="Q416" s="14" t="str">
        <f t="shared" si="322"/>
        <v>Rotation.cube_tier03_01.Immun</v>
      </c>
      <c r="R416" s="14" t="str">
        <f t="shared" si="322"/>
        <v/>
      </c>
      <c r="S416" s="14" t="str">
        <f t="shared" si="322"/>
        <v/>
      </c>
      <c r="T416" s="14" t="str">
        <f t="shared" si="322"/>
        <v/>
      </c>
      <c r="U416" s="14" t="str">
        <f t="shared" si="322"/>
        <v/>
      </c>
      <c r="V416" s="14" t="b">
        <f t="shared" si="322"/>
        <v>0</v>
      </c>
      <c r="W416" s="14" t="str">
        <f t="shared" si="322"/>
        <v>Character/Prefabs/m_m_tanker_cube_tier03_01</v>
      </c>
      <c r="X416" s="14" t="str">
        <f t="shared" si="322"/>
        <v/>
      </c>
      <c r="Y416" s="14" t="str">
        <f t="shared" si="322"/>
        <v>m_m_tanker_cube_tier03_01</v>
      </c>
      <c r="Z416" s="14" t="str">
        <f t="shared" si="322"/>
        <v/>
      </c>
      <c r="AA416" s="14" t="str">
        <f t="shared" si="322"/>
        <v/>
      </c>
      <c r="AB416" s="14" t="str">
        <f t="shared" si="322"/>
        <v>Die_machine</v>
      </c>
      <c r="AC416" s="94">
        <f t="shared" si="322"/>
        <v>1</v>
      </c>
      <c r="AD416" s="14" t="str">
        <f t="shared" si="322"/>
        <v>Effect/Prefab/02.mob/cube_military_01/EFF_cube_military_01_hit_01</v>
      </c>
      <c r="AE416" s="14" t="str">
        <f t="shared" si="322"/>
        <v/>
      </c>
      <c r="AF416" s="14" t="str">
        <f t="shared" si="322"/>
        <v/>
      </c>
      <c r="AG416" s="173" t="s">
        <v>2763</v>
      </c>
    </row>
    <row r="417" spans="1:33" x14ac:dyDescent="0.3">
      <c r="A417" s="14">
        <f t="shared" si="306"/>
        <v>1410401012</v>
      </c>
      <c r="B417" s="14" t="str">
        <f t="shared" ref="B417:AF417" si="323">IF(B306 &lt;&gt; "", B306, "")</f>
        <v>Rotation</v>
      </c>
      <c r="C417" s="14" t="str">
        <f t="shared" si="323"/>
        <v>큐브03_02</v>
      </c>
      <c r="D417" s="14" t="str">
        <f t="shared" si="323"/>
        <v>Monster.Name.RotationCube.Tier3</v>
      </c>
      <c r="E417" s="5" t="str">
        <f t="shared" si="323"/>
        <v>None</v>
      </c>
      <c r="F417" s="17" t="str">
        <f t="shared" si="323"/>
        <v>Fac_nul_ind</v>
      </c>
      <c r="G417" s="14" t="str">
        <f t="shared" si="323"/>
        <v>TRUE</v>
      </c>
      <c r="H417" s="14" t="str">
        <f t="shared" si="323"/>
        <v>TRUE</v>
      </c>
      <c r="I417" s="14" t="b">
        <f t="shared" si="323"/>
        <v>0</v>
      </c>
      <c r="J417" s="14">
        <f t="shared" si="323"/>
        <v>20</v>
      </c>
      <c r="K417" s="14">
        <f t="shared" si="323"/>
        <v>10</v>
      </c>
      <c r="L417" s="14" t="str">
        <f t="shared" si="323"/>
        <v/>
      </c>
      <c r="M417" s="14" t="str">
        <f t="shared" si="323"/>
        <v/>
      </c>
      <c r="N417" s="14" t="str">
        <f t="shared" si="323"/>
        <v/>
      </c>
      <c r="O417" s="17" t="str">
        <f t="shared" si="323"/>
        <v>Rotation.cube_tier03_02.skill01</v>
      </c>
      <c r="P417" s="14" t="str">
        <f t="shared" si="323"/>
        <v/>
      </c>
      <c r="Q417" s="14" t="str">
        <f t="shared" si="323"/>
        <v>Rotation.cube_tier03_02.Immun</v>
      </c>
      <c r="R417" s="14" t="str">
        <f t="shared" si="323"/>
        <v/>
      </c>
      <c r="S417" s="14" t="str">
        <f t="shared" si="323"/>
        <v/>
      </c>
      <c r="T417" s="14" t="str">
        <f t="shared" si="323"/>
        <v/>
      </c>
      <c r="U417" s="14" t="str">
        <f t="shared" si="323"/>
        <v/>
      </c>
      <c r="V417" s="14" t="b">
        <f t="shared" si="323"/>
        <v>0</v>
      </c>
      <c r="W417" s="14" t="str">
        <f t="shared" si="323"/>
        <v>Character/Prefabs/m_m_tanker_cube_tier03_02</v>
      </c>
      <c r="X417" s="14" t="str">
        <f t="shared" si="323"/>
        <v/>
      </c>
      <c r="Y417" s="14" t="str">
        <f t="shared" si="323"/>
        <v>m_m_tanker_cube_tier03_02</v>
      </c>
      <c r="Z417" s="14" t="str">
        <f t="shared" si="323"/>
        <v/>
      </c>
      <c r="AA417" s="14" t="str">
        <f t="shared" si="323"/>
        <v/>
      </c>
      <c r="AB417" s="14" t="str">
        <f t="shared" si="323"/>
        <v>Die_machine</v>
      </c>
      <c r="AC417" s="94">
        <f t="shared" si="323"/>
        <v>1</v>
      </c>
      <c r="AD417" s="14" t="str">
        <f t="shared" si="323"/>
        <v>Effect/Prefab/02.mob/cube_military_01/EFF_cube_military_01_hit_01</v>
      </c>
      <c r="AE417" s="14" t="str">
        <f t="shared" si="323"/>
        <v/>
      </c>
      <c r="AF417" s="14" t="str">
        <f t="shared" si="323"/>
        <v/>
      </c>
      <c r="AG417" s="173" t="s">
        <v>2763</v>
      </c>
    </row>
    <row r="418" spans="1:33" x14ac:dyDescent="0.3">
      <c r="A418" s="14">
        <f t="shared" si="306"/>
        <v>1410401013</v>
      </c>
      <c r="B418" s="14" t="str">
        <f t="shared" ref="B418:AF418" si="324">IF(B307 &lt;&gt; "", B307, "")</f>
        <v>Rotation</v>
      </c>
      <c r="C418" s="14" t="str">
        <f t="shared" si="324"/>
        <v>큐브03_03</v>
      </c>
      <c r="D418" s="14" t="str">
        <f t="shared" si="324"/>
        <v>Monster.Name.RotationCube.Tier3</v>
      </c>
      <c r="E418" s="5" t="str">
        <f t="shared" si="324"/>
        <v>None</v>
      </c>
      <c r="F418" s="17" t="str">
        <f t="shared" si="324"/>
        <v>Fac_nul_ind</v>
      </c>
      <c r="G418" s="14" t="str">
        <f t="shared" si="324"/>
        <v>TRUE</v>
      </c>
      <c r="H418" s="14" t="str">
        <f t="shared" si="324"/>
        <v>TRUE</v>
      </c>
      <c r="I418" s="14" t="b">
        <f t="shared" si="324"/>
        <v>0</v>
      </c>
      <c r="J418" s="14">
        <f t="shared" si="324"/>
        <v>20</v>
      </c>
      <c r="K418" s="14">
        <f t="shared" si="324"/>
        <v>10</v>
      </c>
      <c r="L418" s="14" t="str">
        <f t="shared" si="324"/>
        <v/>
      </c>
      <c r="M418" s="14" t="str">
        <f t="shared" si="324"/>
        <v/>
      </c>
      <c r="N418" s="14" t="str">
        <f t="shared" si="324"/>
        <v/>
      </c>
      <c r="O418" s="17" t="str">
        <f t="shared" si="324"/>
        <v>Rotation.cube_tier03_03.skill01</v>
      </c>
      <c r="P418" s="14" t="str">
        <f t="shared" si="324"/>
        <v/>
      </c>
      <c r="Q418" s="14" t="str">
        <f t="shared" si="324"/>
        <v>Rotation.cube_tier03_03.Immun</v>
      </c>
      <c r="R418" s="14" t="str">
        <f t="shared" si="324"/>
        <v/>
      </c>
      <c r="S418" s="14" t="str">
        <f t="shared" si="324"/>
        <v/>
      </c>
      <c r="T418" s="14" t="str">
        <f t="shared" si="324"/>
        <v/>
      </c>
      <c r="U418" s="14" t="str">
        <f t="shared" si="324"/>
        <v/>
      </c>
      <c r="V418" s="14" t="b">
        <f t="shared" si="324"/>
        <v>0</v>
      </c>
      <c r="W418" s="14" t="str">
        <f t="shared" si="324"/>
        <v>Character/Prefabs/m_m_tanker_cube_tier03_03</v>
      </c>
      <c r="X418" s="14" t="str">
        <f t="shared" si="324"/>
        <v/>
      </c>
      <c r="Y418" s="14" t="str">
        <f t="shared" si="324"/>
        <v>m_m_tanker_cube_tier03_03</v>
      </c>
      <c r="Z418" s="14" t="str">
        <f t="shared" si="324"/>
        <v/>
      </c>
      <c r="AA418" s="14" t="str">
        <f t="shared" si="324"/>
        <v/>
      </c>
      <c r="AB418" s="14" t="str">
        <f t="shared" si="324"/>
        <v>Die_machine</v>
      </c>
      <c r="AC418" s="94">
        <f t="shared" si="324"/>
        <v>1</v>
      </c>
      <c r="AD418" s="14" t="str">
        <f t="shared" si="324"/>
        <v>Effect/Prefab/02.mob/cube_military_01/EFF_cube_military_01_hit_01</v>
      </c>
      <c r="AE418" s="14" t="str">
        <f t="shared" si="324"/>
        <v/>
      </c>
      <c r="AF418" s="14" t="str">
        <f t="shared" si="324"/>
        <v/>
      </c>
      <c r="AG418" s="173" t="s">
        <v>2763</v>
      </c>
    </row>
    <row r="419" spans="1:33" x14ac:dyDescent="0.3">
      <c r="A419" s="14">
        <f t="shared" si="306"/>
        <v>1410401014</v>
      </c>
      <c r="B419" s="14" t="str">
        <f t="shared" ref="B419:AF419" si="325">IF(B308 &lt;&gt; "", B308, "")</f>
        <v>Rotation</v>
      </c>
      <c r="C419" s="14" t="str">
        <f t="shared" si="325"/>
        <v>큐브03_04</v>
      </c>
      <c r="D419" s="14" t="str">
        <f t="shared" si="325"/>
        <v>Monster.Name.RotationCube.Tier3</v>
      </c>
      <c r="E419" s="5" t="str">
        <f t="shared" si="325"/>
        <v>None</v>
      </c>
      <c r="F419" s="17" t="str">
        <f t="shared" si="325"/>
        <v>Fac_nul_ind</v>
      </c>
      <c r="G419" s="14" t="str">
        <f t="shared" si="325"/>
        <v>TRUE</v>
      </c>
      <c r="H419" s="14" t="str">
        <f t="shared" si="325"/>
        <v>TRUE</v>
      </c>
      <c r="I419" s="14" t="b">
        <f t="shared" si="325"/>
        <v>0</v>
      </c>
      <c r="J419" s="14">
        <f t="shared" si="325"/>
        <v>20</v>
      </c>
      <c r="K419" s="14">
        <f t="shared" si="325"/>
        <v>10</v>
      </c>
      <c r="L419" s="14" t="str">
        <f t="shared" si="325"/>
        <v/>
      </c>
      <c r="M419" s="14" t="str">
        <f t="shared" si="325"/>
        <v/>
      </c>
      <c r="N419" s="14" t="str">
        <f t="shared" si="325"/>
        <v/>
      </c>
      <c r="O419" s="17" t="str">
        <f t="shared" si="325"/>
        <v>Rotation.cube_tier03_04.skill01</v>
      </c>
      <c r="P419" s="14" t="str">
        <f t="shared" si="325"/>
        <v/>
      </c>
      <c r="Q419" s="14" t="str">
        <f t="shared" si="325"/>
        <v>Rotation.cube_tier03_04.Immun</v>
      </c>
      <c r="R419" s="14" t="str">
        <f t="shared" si="325"/>
        <v/>
      </c>
      <c r="S419" s="14" t="str">
        <f t="shared" si="325"/>
        <v/>
      </c>
      <c r="T419" s="14" t="str">
        <f t="shared" si="325"/>
        <v/>
      </c>
      <c r="U419" s="14" t="str">
        <f t="shared" si="325"/>
        <v/>
      </c>
      <c r="V419" s="14" t="b">
        <f t="shared" si="325"/>
        <v>0</v>
      </c>
      <c r="W419" s="14" t="str">
        <f t="shared" si="325"/>
        <v>Character/Prefabs/m_m_tanker_cube_tier03_04</v>
      </c>
      <c r="X419" s="14" t="str">
        <f t="shared" si="325"/>
        <v/>
      </c>
      <c r="Y419" s="14" t="str">
        <f t="shared" si="325"/>
        <v>m_m_tanker_cube_tier03_04</v>
      </c>
      <c r="Z419" s="14" t="str">
        <f t="shared" si="325"/>
        <v/>
      </c>
      <c r="AA419" s="14" t="str">
        <f t="shared" si="325"/>
        <v/>
      </c>
      <c r="AB419" s="14" t="str">
        <f t="shared" si="325"/>
        <v>Die_machine</v>
      </c>
      <c r="AC419" s="94">
        <f t="shared" si="325"/>
        <v>1</v>
      </c>
      <c r="AD419" s="14" t="str">
        <f t="shared" si="325"/>
        <v>Effect/Prefab/02.mob/cube_military_01/EFF_cube_military_01_hit_01</v>
      </c>
      <c r="AE419" s="14" t="str">
        <f t="shared" si="325"/>
        <v/>
      </c>
      <c r="AF419" s="14" t="str">
        <f t="shared" si="325"/>
        <v/>
      </c>
      <c r="AG419" s="173" t="s">
        <v>2763</v>
      </c>
    </row>
    <row r="420" spans="1:33" x14ac:dyDescent="0.3">
      <c r="A420" s="14">
        <f t="shared" si="306"/>
        <v>1410401015</v>
      </c>
      <c r="B420" s="14" t="str">
        <f t="shared" ref="B420:AF420" si="326">IF(B309 &lt;&gt; "", B309, "")</f>
        <v>Rotation</v>
      </c>
      <c r="C420" s="14" t="str">
        <f t="shared" si="326"/>
        <v>큐브03_05</v>
      </c>
      <c r="D420" s="14" t="str">
        <f t="shared" si="326"/>
        <v>Monster.Name.RotationCube.Tier3</v>
      </c>
      <c r="E420" s="5" t="str">
        <f t="shared" si="326"/>
        <v>None</v>
      </c>
      <c r="F420" s="17" t="str">
        <f t="shared" si="326"/>
        <v>Fac_nul_ind</v>
      </c>
      <c r="G420" s="14" t="str">
        <f t="shared" si="326"/>
        <v>TRUE</v>
      </c>
      <c r="H420" s="14" t="str">
        <f t="shared" si="326"/>
        <v>TRUE</v>
      </c>
      <c r="I420" s="14" t="b">
        <f t="shared" si="326"/>
        <v>0</v>
      </c>
      <c r="J420" s="14">
        <f t="shared" si="326"/>
        <v>20</v>
      </c>
      <c r="K420" s="14">
        <f t="shared" si="326"/>
        <v>10</v>
      </c>
      <c r="L420" s="14" t="str">
        <f t="shared" si="326"/>
        <v/>
      </c>
      <c r="M420" s="14" t="str">
        <f t="shared" si="326"/>
        <v/>
      </c>
      <c r="N420" s="14" t="str">
        <f t="shared" si="326"/>
        <v/>
      </c>
      <c r="O420" s="17" t="str">
        <f t="shared" si="326"/>
        <v>Rotation.cube_tier03_05.skill01</v>
      </c>
      <c r="P420" s="14" t="str">
        <f t="shared" si="326"/>
        <v/>
      </c>
      <c r="Q420" s="14" t="str">
        <f t="shared" si="326"/>
        <v>Rotation.cube_tier03_05.Immun</v>
      </c>
      <c r="R420" s="14" t="str">
        <f t="shared" si="326"/>
        <v/>
      </c>
      <c r="S420" s="14" t="str">
        <f t="shared" si="326"/>
        <v/>
      </c>
      <c r="T420" s="14" t="str">
        <f t="shared" si="326"/>
        <v/>
      </c>
      <c r="U420" s="14" t="str">
        <f t="shared" si="326"/>
        <v/>
      </c>
      <c r="V420" s="14" t="b">
        <f t="shared" si="326"/>
        <v>0</v>
      </c>
      <c r="W420" s="14" t="str">
        <f t="shared" si="326"/>
        <v>Character/Prefabs/m_m_tanker_cube_tier03_05</v>
      </c>
      <c r="X420" s="14" t="str">
        <f t="shared" si="326"/>
        <v/>
      </c>
      <c r="Y420" s="14" t="str">
        <f t="shared" si="326"/>
        <v>m_m_tanker_cube_tier03_05</v>
      </c>
      <c r="Z420" s="14" t="str">
        <f t="shared" si="326"/>
        <v/>
      </c>
      <c r="AA420" s="14" t="str">
        <f t="shared" si="326"/>
        <v/>
      </c>
      <c r="AB420" s="14" t="str">
        <f t="shared" si="326"/>
        <v>Die_machine</v>
      </c>
      <c r="AC420" s="94">
        <f t="shared" si="326"/>
        <v>1</v>
      </c>
      <c r="AD420" s="14" t="str">
        <f t="shared" si="326"/>
        <v>Effect/Prefab/02.mob/cube_military_01/EFF_cube_military_01_hit_01</v>
      </c>
      <c r="AE420" s="14" t="str">
        <f t="shared" si="326"/>
        <v/>
      </c>
      <c r="AF420" s="14" t="str">
        <f t="shared" si="326"/>
        <v/>
      </c>
      <c r="AG420" s="173" t="s">
        <v>2763</v>
      </c>
    </row>
    <row r="421" spans="1:33" x14ac:dyDescent="0.3">
      <c r="A421" s="14">
        <f t="shared" si="306"/>
        <v>1410401016</v>
      </c>
      <c r="B421" s="14" t="str">
        <f t="shared" ref="B421:AF421" si="327">IF(B310 &lt;&gt; "", B310, "")</f>
        <v>Rotation</v>
      </c>
      <c r="C421" s="14" t="str">
        <f t="shared" si="327"/>
        <v>큐브04_01</v>
      </c>
      <c r="D421" s="14" t="str">
        <f t="shared" si="327"/>
        <v>Monster.Name.RotationCube.Tier4</v>
      </c>
      <c r="E421" s="5" t="str">
        <f t="shared" si="327"/>
        <v>None</v>
      </c>
      <c r="F421" s="17" t="str">
        <f t="shared" si="327"/>
        <v>Fac_nul_ind</v>
      </c>
      <c r="G421" s="14" t="str">
        <f t="shared" si="327"/>
        <v>TRUE</v>
      </c>
      <c r="H421" s="14" t="str">
        <f t="shared" si="327"/>
        <v>TRUE</v>
      </c>
      <c r="I421" s="14" t="b">
        <f t="shared" si="327"/>
        <v>0</v>
      </c>
      <c r="J421" s="14">
        <f t="shared" si="327"/>
        <v>20</v>
      </c>
      <c r="K421" s="14">
        <f t="shared" si="327"/>
        <v>10</v>
      </c>
      <c r="L421" s="14" t="str">
        <f t="shared" si="327"/>
        <v/>
      </c>
      <c r="M421" s="14" t="str">
        <f t="shared" si="327"/>
        <v/>
      </c>
      <c r="N421" s="14" t="str">
        <f t="shared" si="327"/>
        <v/>
      </c>
      <c r="O421" s="17" t="str">
        <f t="shared" si="327"/>
        <v>Rotation.cube_tier04_01.skill01</v>
      </c>
      <c r="P421" s="14" t="str">
        <f t="shared" si="327"/>
        <v/>
      </c>
      <c r="Q421" s="14" t="str">
        <f t="shared" si="327"/>
        <v>Rotation.cube_tier04_01.Immun</v>
      </c>
      <c r="R421" s="14" t="str">
        <f t="shared" si="327"/>
        <v/>
      </c>
      <c r="S421" s="14" t="str">
        <f t="shared" si="327"/>
        <v/>
      </c>
      <c r="T421" s="14" t="str">
        <f t="shared" si="327"/>
        <v/>
      </c>
      <c r="U421" s="14" t="str">
        <f t="shared" si="327"/>
        <v/>
      </c>
      <c r="V421" s="14" t="b">
        <f t="shared" si="327"/>
        <v>0</v>
      </c>
      <c r="W421" s="14" t="str">
        <f t="shared" si="327"/>
        <v>Character/Prefabs/m_m_tanker_cube_tier04_01</v>
      </c>
      <c r="X421" s="14" t="str">
        <f t="shared" si="327"/>
        <v/>
      </c>
      <c r="Y421" s="14" t="str">
        <f t="shared" si="327"/>
        <v>m_m_tanker_cube_tier04_01</v>
      </c>
      <c r="Z421" s="14" t="str">
        <f t="shared" si="327"/>
        <v/>
      </c>
      <c r="AA421" s="14" t="str">
        <f t="shared" si="327"/>
        <v/>
      </c>
      <c r="AB421" s="14" t="str">
        <f t="shared" si="327"/>
        <v>Die_machine</v>
      </c>
      <c r="AC421" s="94">
        <f t="shared" si="327"/>
        <v>1</v>
      </c>
      <c r="AD421" s="14" t="str">
        <f t="shared" si="327"/>
        <v>Effect/Prefab/02.mob/cube_military_01/EFF_cube_military_01_hit_01</v>
      </c>
      <c r="AE421" s="14" t="str">
        <f t="shared" si="327"/>
        <v/>
      </c>
      <c r="AF421" s="14" t="str">
        <f t="shared" si="327"/>
        <v/>
      </c>
      <c r="AG421" s="173" t="s">
        <v>2763</v>
      </c>
    </row>
    <row r="422" spans="1:33" x14ac:dyDescent="0.3">
      <c r="A422" s="14">
        <f t="shared" si="306"/>
        <v>1410401017</v>
      </c>
      <c r="B422" s="14" t="str">
        <f t="shared" ref="B422:AF422" si="328">IF(B311 &lt;&gt; "", B311, "")</f>
        <v>Rotation</v>
      </c>
      <c r="C422" s="14" t="str">
        <f t="shared" si="328"/>
        <v>큐브04_02</v>
      </c>
      <c r="D422" s="14" t="str">
        <f t="shared" si="328"/>
        <v>Monster.Name.RotationCube.Tier4</v>
      </c>
      <c r="E422" s="5" t="str">
        <f t="shared" si="328"/>
        <v>None</v>
      </c>
      <c r="F422" s="17" t="str">
        <f t="shared" si="328"/>
        <v>Fac_nul_ind</v>
      </c>
      <c r="G422" s="14" t="str">
        <f t="shared" si="328"/>
        <v>TRUE</v>
      </c>
      <c r="H422" s="14" t="str">
        <f t="shared" si="328"/>
        <v>TRUE</v>
      </c>
      <c r="I422" s="14" t="b">
        <f t="shared" si="328"/>
        <v>0</v>
      </c>
      <c r="J422" s="14">
        <f t="shared" si="328"/>
        <v>20</v>
      </c>
      <c r="K422" s="14">
        <f t="shared" si="328"/>
        <v>10</v>
      </c>
      <c r="L422" s="14" t="str">
        <f t="shared" si="328"/>
        <v/>
      </c>
      <c r="M422" s="14" t="str">
        <f t="shared" si="328"/>
        <v/>
      </c>
      <c r="N422" s="14" t="str">
        <f t="shared" si="328"/>
        <v/>
      </c>
      <c r="O422" s="17" t="str">
        <f t="shared" si="328"/>
        <v>Rotation.cube_tier04_02.skill01</v>
      </c>
      <c r="P422" s="14" t="str">
        <f t="shared" si="328"/>
        <v/>
      </c>
      <c r="Q422" s="14" t="str">
        <f t="shared" si="328"/>
        <v>Rotation.cube_tier04_02.Immun</v>
      </c>
      <c r="R422" s="14" t="str">
        <f t="shared" si="328"/>
        <v/>
      </c>
      <c r="S422" s="14" t="str">
        <f t="shared" si="328"/>
        <v/>
      </c>
      <c r="T422" s="14" t="str">
        <f t="shared" si="328"/>
        <v/>
      </c>
      <c r="U422" s="14" t="str">
        <f t="shared" si="328"/>
        <v/>
      </c>
      <c r="V422" s="14" t="b">
        <f t="shared" si="328"/>
        <v>0</v>
      </c>
      <c r="W422" s="14" t="str">
        <f t="shared" si="328"/>
        <v>Character/Prefabs/m_m_tanker_cube_tier04_02</v>
      </c>
      <c r="X422" s="14" t="str">
        <f t="shared" si="328"/>
        <v/>
      </c>
      <c r="Y422" s="14" t="str">
        <f t="shared" si="328"/>
        <v>m_m_tanker_cube_tier04_02</v>
      </c>
      <c r="Z422" s="14" t="str">
        <f t="shared" si="328"/>
        <v/>
      </c>
      <c r="AA422" s="14" t="str">
        <f t="shared" si="328"/>
        <v/>
      </c>
      <c r="AB422" s="14" t="str">
        <f t="shared" si="328"/>
        <v>Die_machine</v>
      </c>
      <c r="AC422" s="94">
        <f t="shared" si="328"/>
        <v>1</v>
      </c>
      <c r="AD422" s="14" t="str">
        <f t="shared" si="328"/>
        <v>Effect/Prefab/02.mob/cube_military_01/EFF_cube_military_01_hit_01</v>
      </c>
      <c r="AE422" s="14" t="str">
        <f t="shared" si="328"/>
        <v/>
      </c>
      <c r="AF422" s="14" t="str">
        <f t="shared" si="328"/>
        <v/>
      </c>
      <c r="AG422" s="173" t="s">
        <v>2763</v>
      </c>
    </row>
    <row r="423" spans="1:33" x14ac:dyDescent="0.3">
      <c r="A423" s="14">
        <f t="shared" si="306"/>
        <v>1410401018</v>
      </c>
      <c r="B423" s="14" t="str">
        <f t="shared" ref="B423:AF423" si="329">IF(B312 &lt;&gt; "", B312, "")</f>
        <v>Rotation</v>
      </c>
      <c r="C423" s="14" t="str">
        <f t="shared" si="329"/>
        <v>큐브04_03</v>
      </c>
      <c r="D423" s="14" t="str">
        <f t="shared" si="329"/>
        <v>Monster.Name.RotationCube.Tier4</v>
      </c>
      <c r="E423" s="5" t="str">
        <f t="shared" si="329"/>
        <v>None</v>
      </c>
      <c r="F423" s="17" t="str">
        <f t="shared" si="329"/>
        <v>Fac_nul_ind</v>
      </c>
      <c r="G423" s="14" t="str">
        <f t="shared" si="329"/>
        <v>TRUE</v>
      </c>
      <c r="H423" s="14" t="str">
        <f t="shared" si="329"/>
        <v>TRUE</v>
      </c>
      <c r="I423" s="14" t="b">
        <f t="shared" si="329"/>
        <v>0</v>
      </c>
      <c r="J423" s="14">
        <f t="shared" si="329"/>
        <v>20</v>
      </c>
      <c r="K423" s="14">
        <f t="shared" si="329"/>
        <v>10</v>
      </c>
      <c r="L423" s="14" t="str">
        <f t="shared" si="329"/>
        <v/>
      </c>
      <c r="M423" s="14" t="str">
        <f t="shared" si="329"/>
        <v/>
      </c>
      <c r="N423" s="14" t="str">
        <f t="shared" si="329"/>
        <v/>
      </c>
      <c r="O423" s="17" t="str">
        <f t="shared" si="329"/>
        <v>Rotation.cube_tier04_03.skill01</v>
      </c>
      <c r="P423" s="14" t="str">
        <f t="shared" si="329"/>
        <v/>
      </c>
      <c r="Q423" s="14" t="str">
        <f t="shared" si="329"/>
        <v>Rotation.cube_tier04_03.Immun</v>
      </c>
      <c r="R423" s="14" t="str">
        <f t="shared" si="329"/>
        <v/>
      </c>
      <c r="S423" s="14" t="str">
        <f t="shared" si="329"/>
        <v/>
      </c>
      <c r="T423" s="14" t="str">
        <f t="shared" si="329"/>
        <v/>
      </c>
      <c r="U423" s="14" t="str">
        <f t="shared" si="329"/>
        <v/>
      </c>
      <c r="V423" s="14" t="b">
        <f t="shared" si="329"/>
        <v>0</v>
      </c>
      <c r="W423" s="14" t="str">
        <f t="shared" si="329"/>
        <v>Character/Prefabs/m_m_tanker_cube_tier04_03</v>
      </c>
      <c r="X423" s="14" t="str">
        <f t="shared" si="329"/>
        <v/>
      </c>
      <c r="Y423" s="14" t="str">
        <f t="shared" si="329"/>
        <v>m_m_tanker_cube_tier04_03</v>
      </c>
      <c r="Z423" s="14" t="str">
        <f t="shared" si="329"/>
        <v/>
      </c>
      <c r="AA423" s="14" t="str">
        <f t="shared" si="329"/>
        <v/>
      </c>
      <c r="AB423" s="14" t="str">
        <f t="shared" si="329"/>
        <v>Die_machine</v>
      </c>
      <c r="AC423" s="94">
        <f t="shared" si="329"/>
        <v>1</v>
      </c>
      <c r="AD423" s="14" t="str">
        <f t="shared" si="329"/>
        <v>Effect/Prefab/02.mob/cube_military_01/EFF_cube_military_01_hit_01</v>
      </c>
      <c r="AE423" s="14" t="str">
        <f t="shared" si="329"/>
        <v/>
      </c>
      <c r="AF423" s="14" t="str">
        <f t="shared" si="329"/>
        <v/>
      </c>
      <c r="AG423" s="173" t="s">
        <v>2763</v>
      </c>
    </row>
    <row r="424" spans="1:33" x14ac:dyDescent="0.3">
      <c r="A424" s="14">
        <f t="shared" si="306"/>
        <v>1410401019</v>
      </c>
      <c r="B424" s="14" t="str">
        <f t="shared" ref="B424:AF424" si="330">IF(B313 &lt;&gt; "", B313, "")</f>
        <v>Rotation</v>
      </c>
      <c r="C424" s="14" t="str">
        <f t="shared" si="330"/>
        <v>큐브04_04</v>
      </c>
      <c r="D424" s="14" t="str">
        <f t="shared" si="330"/>
        <v>Monster.Name.RotationCube.Tier4</v>
      </c>
      <c r="E424" s="5" t="str">
        <f t="shared" si="330"/>
        <v>None</v>
      </c>
      <c r="F424" s="17" t="str">
        <f t="shared" si="330"/>
        <v>Fac_nul_ind</v>
      </c>
      <c r="G424" s="14" t="str">
        <f t="shared" si="330"/>
        <v>TRUE</v>
      </c>
      <c r="H424" s="14" t="str">
        <f t="shared" si="330"/>
        <v>TRUE</v>
      </c>
      <c r="I424" s="14" t="b">
        <f t="shared" si="330"/>
        <v>0</v>
      </c>
      <c r="J424" s="14">
        <f t="shared" si="330"/>
        <v>20</v>
      </c>
      <c r="K424" s="14">
        <f t="shared" si="330"/>
        <v>10</v>
      </c>
      <c r="L424" s="14" t="str">
        <f t="shared" si="330"/>
        <v/>
      </c>
      <c r="M424" s="14" t="str">
        <f t="shared" si="330"/>
        <v/>
      </c>
      <c r="N424" s="14" t="str">
        <f t="shared" si="330"/>
        <v/>
      </c>
      <c r="O424" s="17" t="str">
        <f t="shared" si="330"/>
        <v>Rotation.cube_tier04_04.skill01</v>
      </c>
      <c r="P424" s="14" t="str">
        <f t="shared" si="330"/>
        <v/>
      </c>
      <c r="Q424" s="14" t="str">
        <f t="shared" si="330"/>
        <v>Rotation.cube_tier04_04.Immun</v>
      </c>
      <c r="R424" s="14" t="str">
        <f t="shared" si="330"/>
        <v/>
      </c>
      <c r="S424" s="14" t="str">
        <f t="shared" si="330"/>
        <v/>
      </c>
      <c r="T424" s="14" t="str">
        <f t="shared" si="330"/>
        <v/>
      </c>
      <c r="U424" s="14" t="str">
        <f t="shared" si="330"/>
        <v/>
      </c>
      <c r="V424" s="14" t="b">
        <f t="shared" si="330"/>
        <v>0</v>
      </c>
      <c r="W424" s="14" t="str">
        <f t="shared" si="330"/>
        <v>Character/Prefabs/m_m_tanker_cube_tier04_04</v>
      </c>
      <c r="X424" s="14" t="str">
        <f t="shared" si="330"/>
        <v/>
      </c>
      <c r="Y424" s="14" t="str">
        <f t="shared" si="330"/>
        <v>m_m_tanker_cube_tier04_04</v>
      </c>
      <c r="Z424" s="14" t="str">
        <f t="shared" si="330"/>
        <v/>
      </c>
      <c r="AA424" s="14" t="str">
        <f t="shared" si="330"/>
        <v/>
      </c>
      <c r="AB424" s="14" t="str">
        <f t="shared" si="330"/>
        <v>Die_machine</v>
      </c>
      <c r="AC424" s="94">
        <f t="shared" si="330"/>
        <v>1</v>
      </c>
      <c r="AD424" s="14" t="str">
        <f t="shared" si="330"/>
        <v>Effect/Prefab/02.mob/cube_military_01/EFF_cube_military_01_hit_01</v>
      </c>
      <c r="AE424" s="14" t="str">
        <f t="shared" si="330"/>
        <v/>
      </c>
      <c r="AF424" s="14" t="str">
        <f t="shared" si="330"/>
        <v/>
      </c>
      <c r="AG424" s="173" t="s">
        <v>2763</v>
      </c>
    </row>
    <row r="425" spans="1:33" x14ac:dyDescent="0.3">
      <c r="A425" s="14">
        <f t="shared" si="306"/>
        <v>1410401020</v>
      </c>
      <c r="B425" s="14" t="str">
        <f t="shared" ref="B425:AF425" si="331">IF(B314 &lt;&gt; "", B314, "")</f>
        <v>Rotation</v>
      </c>
      <c r="C425" s="14" t="str">
        <f t="shared" si="331"/>
        <v>큐브04_05</v>
      </c>
      <c r="D425" s="14" t="str">
        <f t="shared" si="331"/>
        <v>Monster.Name.RotationCube.Tier4</v>
      </c>
      <c r="E425" s="5" t="str">
        <f t="shared" si="331"/>
        <v>None</v>
      </c>
      <c r="F425" s="17" t="str">
        <f t="shared" si="331"/>
        <v>Fac_nul_ind</v>
      </c>
      <c r="G425" s="14" t="str">
        <f t="shared" si="331"/>
        <v>TRUE</v>
      </c>
      <c r="H425" s="14" t="str">
        <f t="shared" si="331"/>
        <v>TRUE</v>
      </c>
      <c r="I425" s="14" t="b">
        <f t="shared" si="331"/>
        <v>0</v>
      </c>
      <c r="J425" s="14">
        <f t="shared" si="331"/>
        <v>20</v>
      </c>
      <c r="K425" s="14">
        <f t="shared" si="331"/>
        <v>10</v>
      </c>
      <c r="L425" s="14" t="str">
        <f t="shared" si="331"/>
        <v/>
      </c>
      <c r="M425" s="14" t="str">
        <f t="shared" si="331"/>
        <v/>
      </c>
      <c r="N425" s="14" t="str">
        <f t="shared" si="331"/>
        <v/>
      </c>
      <c r="O425" s="17" t="str">
        <f t="shared" si="331"/>
        <v>Rotation.cube_tier04_05.skill01</v>
      </c>
      <c r="P425" s="14" t="str">
        <f t="shared" si="331"/>
        <v/>
      </c>
      <c r="Q425" s="14" t="str">
        <f t="shared" si="331"/>
        <v>Rotation.cube_tier04_05.Immun</v>
      </c>
      <c r="R425" s="14" t="str">
        <f t="shared" si="331"/>
        <v/>
      </c>
      <c r="S425" s="14" t="str">
        <f t="shared" si="331"/>
        <v/>
      </c>
      <c r="T425" s="14" t="str">
        <f t="shared" si="331"/>
        <v/>
      </c>
      <c r="U425" s="14" t="str">
        <f t="shared" si="331"/>
        <v/>
      </c>
      <c r="V425" s="14" t="b">
        <f t="shared" si="331"/>
        <v>0</v>
      </c>
      <c r="W425" s="14" t="str">
        <f t="shared" si="331"/>
        <v>Character/Prefabs/m_m_tanker_cube_tier04_05</v>
      </c>
      <c r="X425" s="14" t="str">
        <f t="shared" si="331"/>
        <v/>
      </c>
      <c r="Y425" s="14" t="str">
        <f t="shared" si="331"/>
        <v>m_m_tanker_cube_tier04_05</v>
      </c>
      <c r="Z425" s="14" t="str">
        <f t="shared" si="331"/>
        <v/>
      </c>
      <c r="AA425" s="14" t="str">
        <f t="shared" si="331"/>
        <v/>
      </c>
      <c r="AB425" s="14" t="str">
        <f t="shared" si="331"/>
        <v>Die_machine</v>
      </c>
      <c r="AC425" s="94">
        <f t="shared" si="331"/>
        <v>1</v>
      </c>
      <c r="AD425" s="14" t="str">
        <f t="shared" si="331"/>
        <v>Effect/Prefab/02.mob/cube_military_01/EFF_cube_military_01_hit_01</v>
      </c>
      <c r="AE425" s="14" t="str">
        <f t="shared" si="331"/>
        <v/>
      </c>
      <c r="AF425" s="14" t="str">
        <f t="shared" si="331"/>
        <v/>
      </c>
      <c r="AG425" s="173" t="s">
        <v>2763</v>
      </c>
    </row>
    <row r="426" spans="1:33" x14ac:dyDescent="0.3">
      <c r="A426" s="14">
        <f t="shared" si="306"/>
        <v>1410401021</v>
      </c>
      <c r="B426" s="14" t="str">
        <f t="shared" ref="B426:AF426" si="332">IF(B315 &lt;&gt; "", B315, "")</f>
        <v>Rotation</v>
      </c>
      <c r="C426" s="14" t="str">
        <f t="shared" si="332"/>
        <v>큐브05_01</v>
      </c>
      <c r="D426" s="14" t="str">
        <f t="shared" si="332"/>
        <v>Monster.Name.RotationCube.Tier5</v>
      </c>
      <c r="E426" s="5" t="str">
        <f t="shared" si="332"/>
        <v>None</v>
      </c>
      <c r="F426" s="17" t="str">
        <f t="shared" si="332"/>
        <v>Fac_nul_ind</v>
      </c>
      <c r="G426" s="14" t="str">
        <f t="shared" si="332"/>
        <v>TRUE</v>
      </c>
      <c r="H426" s="14" t="str">
        <f t="shared" si="332"/>
        <v>TRUE</v>
      </c>
      <c r="I426" s="14" t="b">
        <f t="shared" si="332"/>
        <v>0</v>
      </c>
      <c r="J426" s="14">
        <f t="shared" si="332"/>
        <v>20</v>
      </c>
      <c r="K426" s="14">
        <f t="shared" si="332"/>
        <v>10</v>
      </c>
      <c r="L426" s="14" t="str">
        <f t="shared" si="332"/>
        <v/>
      </c>
      <c r="M426" s="14" t="str">
        <f t="shared" si="332"/>
        <v/>
      </c>
      <c r="N426" s="14" t="str">
        <f t="shared" si="332"/>
        <v/>
      </c>
      <c r="O426" s="17" t="str">
        <f t="shared" si="332"/>
        <v>Rotation.cube_tier05_01.skill01</v>
      </c>
      <c r="P426" s="14" t="str">
        <f t="shared" si="332"/>
        <v/>
      </c>
      <c r="Q426" s="14" t="str">
        <f t="shared" si="332"/>
        <v>Rotation.cube_tier05_01.Immun</v>
      </c>
      <c r="R426" s="14" t="str">
        <f t="shared" si="332"/>
        <v/>
      </c>
      <c r="S426" s="14" t="str">
        <f t="shared" si="332"/>
        <v/>
      </c>
      <c r="T426" s="14" t="str">
        <f t="shared" si="332"/>
        <v/>
      </c>
      <c r="U426" s="14" t="str">
        <f t="shared" si="332"/>
        <v/>
      </c>
      <c r="V426" s="14" t="b">
        <f t="shared" si="332"/>
        <v>0</v>
      </c>
      <c r="W426" s="14" t="str">
        <f t="shared" si="332"/>
        <v>Character/Prefabs/m_m_tanker_cube_tier05_01</v>
      </c>
      <c r="X426" s="14" t="str">
        <f t="shared" si="332"/>
        <v/>
      </c>
      <c r="Y426" s="14" t="str">
        <f t="shared" si="332"/>
        <v>m_m_tanker_cube_tier05_01</v>
      </c>
      <c r="Z426" s="14" t="str">
        <f t="shared" si="332"/>
        <v/>
      </c>
      <c r="AA426" s="14" t="str">
        <f t="shared" si="332"/>
        <v/>
      </c>
      <c r="AB426" s="14" t="str">
        <f t="shared" si="332"/>
        <v>Die_machine</v>
      </c>
      <c r="AC426" s="94">
        <f t="shared" si="332"/>
        <v>1</v>
      </c>
      <c r="AD426" s="14" t="str">
        <f t="shared" si="332"/>
        <v>Effect/Prefab/02.mob/cube_military_01/EFF_cube_military_01_hit_01</v>
      </c>
      <c r="AE426" s="14" t="str">
        <f t="shared" si="332"/>
        <v/>
      </c>
      <c r="AF426" s="14" t="str">
        <f t="shared" si="332"/>
        <v/>
      </c>
      <c r="AG426" s="173" t="s">
        <v>2763</v>
      </c>
    </row>
    <row r="427" spans="1:33" x14ac:dyDescent="0.3">
      <c r="A427" s="14">
        <f t="shared" si="306"/>
        <v>1410401022</v>
      </c>
      <c r="B427" s="14" t="str">
        <f t="shared" ref="B427:AF427" si="333">IF(B316 &lt;&gt; "", B316, "")</f>
        <v>Rotation</v>
      </c>
      <c r="C427" s="14" t="str">
        <f t="shared" si="333"/>
        <v>큐브05_02</v>
      </c>
      <c r="D427" s="14" t="str">
        <f t="shared" si="333"/>
        <v>Monster.Name.RotationCube.Tier5</v>
      </c>
      <c r="E427" s="5" t="str">
        <f t="shared" si="333"/>
        <v>None</v>
      </c>
      <c r="F427" s="17" t="str">
        <f t="shared" si="333"/>
        <v>Fac_nul_ind</v>
      </c>
      <c r="G427" s="14" t="str">
        <f t="shared" si="333"/>
        <v>TRUE</v>
      </c>
      <c r="H427" s="14" t="str">
        <f t="shared" si="333"/>
        <v>TRUE</v>
      </c>
      <c r="I427" s="14" t="b">
        <f t="shared" si="333"/>
        <v>0</v>
      </c>
      <c r="J427" s="14">
        <f t="shared" si="333"/>
        <v>20</v>
      </c>
      <c r="K427" s="14">
        <f t="shared" si="333"/>
        <v>10</v>
      </c>
      <c r="L427" s="14" t="str">
        <f t="shared" si="333"/>
        <v/>
      </c>
      <c r="M427" s="14" t="str">
        <f t="shared" si="333"/>
        <v/>
      </c>
      <c r="N427" s="14" t="str">
        <f t="shared" si="333"/>
        <v/>
      </c>
      <c r="O427" s="17" t="str">
        <f t="shared" si="333"/>
        <v>Rotation.cube_tier05_02.skill01</v>
      </c>
      <c r="P427" s="14" t="str">
        <f t="shared" si="333"/>
        <v/>
      </c>
      <c r="Q427" s="14" t="str">
        <f t="shared" si="333"/>
        <v>Rotation.cube_tier05_02.Immun</v>
      </c>
      <c r="R427" s="14" t="str">
        <f t="shared" si="333"/>
        <v/>
      </c>
      <c r="S427" s="14" t="str">
        <f t="shared" si="333"/>
        <v/>
      </c>
      <c r="T427" s="14" t="str">
        <f t="shared" si="333"/>
        <v/>
      </c>
      <c r="U427" s="14" t="str">
        <f t="shared" si="333"/>
        <v/>
      </c>
      <c r="V427" s="14" t="b">
        <f t="shared" si="333"/>
        <v>0</v>
      </c>
      <c r="W427" s="14" t="str">
        <f t="shared" si="333"/>
        <v>Character/Prefabs/m_m_tanker_cube_tier05_02</v>
      </c>
      <c r="X427" s="14" t="str">
        <f t="shared" si="333"/>
        <v/>
      </c>
      <c r="Y427" s="14" t="str">
        <f t="shared" si="333"/>
        <v>m_m_tanker_cube_tier05_02</v>
      </c>
      <c r="Z427" s="14" t="str">
        <f t="shared" si="333"/>
        <v/>
      </c>
      <c r="AA427" s="14" t="str">
        <f t="shared" si="333"/>
        <v/>
      </c>
      <c r="AB427" s="14" t="str">
        <f t="shared" si="333"/>
        <v>Die_machine</v>
      </c>
      <c r="AC427" s="94">
        <f t="shared" si="333"/>
        <v>1</v>
      </c>
      <c r="AD427" s="14" t="str">
        <f t="shared" si="333"/>
        <v>Effect/Prefab/02.mob/cube_military_01/EFF_cube_military_01_hit_01</v>
      </c>
      <c r="AE427" s="14" t="str">
        <f t="shared" si="333"/>
        <v/>
      </c>
      <c r="AF427" s="14" t="str">
        <f t="shared" si="333"/>
        <v/>
      </c>
      <c r="AG427" s="173" t="s">
        <v>2763</v>
      </c>
    </row>
    <row r="428" spans="1:33" x14ac:dyDescent="0.3">
      <c r="A428" s="14">
        <f t="shared" si="306"/>
        <v>1410401023</v>
      </c>
      <c r="B428" s="14" t="str">
        <f t="shared" ref="B428:AF428" si="334">IF(B317 &lt;&gt; "", B317, "")</f>
        <v>Rotation</v>
      </c>
      <c r="C428" s="14" t="str">
        <f t="shared" si="334"/>
        <v>큐브05_03</v>
      </c>
      <c r="D428" s="14" t="str">
        <f t="shared" si="334"/>
        <v>Monster.Name.RotationCube.Tier5</v>
      </c>
      <c r="E428" s="5" t="str">
        <f t="shared" si="334"/>
        <v>None</v>
      </c>
      <c r="F428" s="17" t="str">
        <f t="shared" si="334"/>
        <v>Fac_nul_ind</v>
      </c>
      <c r="G428" s="14" t="str">
        <f t="shared" si="334"/>
        <v>TRUE</v>
      </c>
      <c r="H428" s="14" t="str">
        <f t="shared" si="334"/>
        <v>TRUE</v>
      </c>
      <c r="I428" s="14" t="b">
        <f t="shared" si="334"/>
        <v>0</v>
      </c>
      <c r="J428" s="14">
        <f t="shared" si="334"/>
        <v>20</v>
      </c>
      <c r="K428" s="14">
        <f t="shared" si="334"/>
        <v>10</v>
      </c>
      <c r="L428" s="14" t="str">
        <f t="shared" si="334"/>
        <v/>
      </c>
      <c r="M428" s="14" t="str">
        <f t="shared" si="334"/>
        <v/>
      </c>
      <c r="N428" s="14" t="str">
        <f t="shared" si="334"/>
        <v/>
      </c>
      <c r="O428" s="17" t="str">
        <f t="shared" si="334"/>
        <v>Rotation.cube_tier05_03.skill01</v>
      </c>
      <c r="P428" s="14" t="str">
        <f t="shared" si="334"/>
        <v/>
      </c>
      <c r="Q428" s="14" t="str">
        <f t="shared" si="334"/>
        <v>Rotation.cube_tier05_03.Immun</v>
      </c>
      <c r="R428" s="14" t="str">
        <f t="shared" si="334"/>
        <v/>
      </c>
      <c r="S428" s="14" t="str">
        <f t="shared" si="334"/>
        <v/>
      </c>
      <c r="T428" s="14" t="str">
        <f t="shared" si="334"/>
        <v/>
      </c>
      <c r="U428" s="14" t="str">
        <f t="shared" si="334"/>
        <v/>
      </c>
      <c r="V428" s="14" t="b">
        <f t="shared" si="334"/>
        <v>0</v>
      </c>
      <c r="W428" s="14" t="str">
        <f t="shared" si="334"/>
        <v>Character/Prefabs/m_m_tanker_cube_tier05_03</v>
      </c>
      <c r="X428" s="14" t="str">
        <f t="shared" si="334"/>
        <v/>
      </c>
      <c r="Y428" s="14" t="str">
        <f t="shared" si="334"/>
        <v>m_m_tanker_cube_tier05_03</v>
      </c>
      <c r="Z428" s="14" t="str">
        <f t="shared" si="334"/>
        <v/>
      </c>
      <c r="AA428" s="14" t="str">
        <f t="shared" si="334"/>
        <v/>
      </c>
      <c r="AB428" s="14" t="str">
        <f t="shared" si="334"/>
        <v>Die_machine</v>
      </c>
      <c r="AC428" s="94">
        <f t="shared" si="334"/>
        <v>1</v>
      </c>
      <c r="AD428" s="14" t="str">
        <f t="shared" si="334"/>
        <v>Effect/Prefab/02.mob/cube_military_01/EFF_cube_military_01_hit_01</v>
      </c>
      <c r="AE428" s="14" t="str">
        <f t="shared" si="334"/>
        <v/>
      </c>
      <c r="AF428" s="14" t="str">
        <f t="shared" si="334"/>
        <v/>
      </c>
      <c r="AG428" s="173" t="s">
        <v>2763</v>
      </c>
    </row>
    <row r="429" spans="1:33" x14ac:dyDescent="0.3">
      <c r="A429" s="14">
        <f t="shared" si="306"/>
        <v>1410401024</v>
      </c>
      <c r="B429" s="14" t="str">
        <f t="shared" ref="B429:AF429" si="335">IF(B318 &lt;&gt; "", B318, "")</f>
        <v>Rotation</v>
      </c>
      <c r="C429" s="14" t="str">
        <f t="shared" si="335"/>
        <v>큐브05_04</v>
      </c>
      <c r="D429" s="14" t="str">
        <f t="shared" si="335"/>
        <v>Monster.Name.RotationCube.Tier5</v>
      </c>
      <c r="E429" s="5" t="str">
        <f t="shared" si="335"/>
        <v>None</v>
      </c>
      <c r="F429" s="17" t="str">
        <f t="shared" si="335"/>
        <v>Fac_nul_ind</v>
      </c>
      <c r="G429" s="14" t="str">
        <f t="shared" si="335"/>
        <v>TRUE</v>
      </c>
      <c r="H429" s="14" t="str">
        <f t="shared" si="335"/>
        <v>TRUE</v>
      </c>
      <c r="I429" s="14" t="b">
        <f t="shared" si="335"/>
        <v>0</v>
      </c>
      <c r="J429" s="14">
        <f t="shared" si="335"/>
        <v>20</v>
      </c>
      <c r="K429" s="14">
        <f t="shared" si="335"/>
        <v>10</v>
      </c>
      <c r="L429" s="14" t="str">
        <f t="shared" si="335"/>
        <v/>
      </c>
      <c r="M429" s="14" t="str">
        <f t="shared" si="335"/>
        <v/>
      </c>
      <c r="N429" s="14" t="str">
        <f t="shared" si="335"/>
        <v/>
      </c>
      <c r="O429" s="17" t="str">
        <f t="shared" si="335"/>
        <v>Rotation.cube_tier05_04.skill01</v>
      </c>
      <c r="P429" s="14" t="str">
        <f t="shared" si="335"/>
        <v/>
      </c>
      <c r="Q429" s="14" t="str">
        <f t="shared" si="335"/>
        <v>Rotation.cube_tier05_04.Immun</v>
      </c>
      <c r="R429" s="14" t="str">
        <f t="shared" si="335"/>
        <v/>
      </c>
      <c r="S429" s="14" t="str">
        <f t="shared" si="335"/>
        <v/>
      </c>
      <c r="T429" s="14" t="str">
        <f t="shared" si="335"/>
        <v/>
      </c>
      <c r="U429" s="14" t="str">
        <f t="shared" si="335"/>
        <v/>
      </c>
      <c r="V429" s="14" t="b">
        <f t="shared" si="335"/>
        <v>0</v>
      </c>
      <c r="W429" s="14" t="str">
        <f t="shared" si="335"/>
        <v>Character/Prefabs/m_m_tanker_cube_tier05_04</v>
      </c>
      <c r="X429" s="14" t="str">
        <f t="shared" si="335"/>
        <v/>
      </c>
      <c r="Y429" s="14" t="str">
        <f t="shared" si="335"/>
        <v>m_m_tanker_cube_tier05_04</v>
      </c>
      <c r="Z429" s="14" t="str">
        <f t="shared" si="335"/>
        <v/>
      </c>
      <c r="AA429" s="14" t="str">
        <f t="shared" si="335"/>
        <v/>
      </c>
      <c r="AB429" s="14" t="str">
        <f t="shared" si="335"/>
        <v>Die_machine</v>
      </c>
      <c r="AC429" s="94">
        <f t="shared" si="335"/>
        <v>1</v>
      </c>
      <c r="AD429" s="14" t="str">
        <f t="shared" si="335"/>
        <v>Effect/Prefab/02.mob/cube_military_01/EFF_cube_military_01_hit_01</v>
      </c>
      <c r="AE429" s="14" t="str">
        <f t="shared" si="335"/>
        <v/>
      </c>
      <c r="AF429" s="14" t="str">
        <f t="shared" si="335"/>
        <v/>
      </c>
      <c r="AG429" s="173" t="s">
        <v>2763</v>
      </c>
    </row>
    <row r="430" spans="1:33" x14ac:dyDescent="0.3">
      <c r="A430" s="14">
        <f t="shared" si="306"/>
        <v>1410401025</v>
      </c>
      <c r="B430" s="14" t="str">
        <f t="shared" ref="B430:AF430" si="336">IF(B319 &lt;&gt; "", B319, "")</f>
        <v>Rotation</v>
      </c>
      <c r="C430" s="14" t="str">
        <f t="shared" si="336"/>
        <v>큐브05_05</v>
      </c>
      <c r="D430" s="14" t="str">
        <f t="shared" si="336"/>
        <v>Monster.Name.RotationCube.Tier5</v>
      </c>
      <c r="E430" s="5" t="str">
        <f t="shared" si="336"/>
        <v>None</v>
      </c>
      <c r="F430" s="17" t="str">
        <f t="shared" si="336"/>
        <v>Fac_nul_ind</v>
      </c>
      <c r="G430" s="14" t="str">
        <f t="shared" si="336"/>
        <v>TRUE</v>
      </c>
      <c r="H430" s="14" t="str">
        <f t="shared" si="336"/>
        <v>TRUE</v>
      </c>
      <c r="I430" s="14" t="b">
        <f t="shared" si="336"/>
        <v>0</v>
      </c>
      <c r="J430" s="14">
        <f t="shared" si="336"/>
        <v>20</v>
      </c>
      <c r="K430" s="14">
        <f t="shared" si="336"/>
        <v>10</v>
      </c>
      <c r="L430" s="14" t="str">
        <f t="shared" si="336"/>
        <v/>
      </c>
      <c r="M430" s="14" t="str">
        <f t="shared" si="336"/>
        <v/>
      </c>
      <c r="N430" s="14" t="str">
        <f t="shared" si="336"/>
        <v/>
      </c>
      <c r="O430" s="17" t="str">
        <f t="shared" si="336"/>
        <v>Rotation.cube_tier05_05.skill01</v>
      </c>
      <c r="P430" s="14" t="str">
        <f t="shared" si="336"/>
        <v/>
      </c>
      <c r="Q430" s="14" t="str">
        <f t="shared" si="336"/>
        <v>Rotation.cube_tier05_05.Immun</v>
      </c>
      <c r="R430" s="14" t="str">
        <f t="shared" si="336"/>
        <v/>
      </c>
      <c r="S430" s="14" t="str">
        <f t="shared" si="336"/>
        <v/>
      </c>
      <c r="T430" s="14" t="str">
        <f t="shared" si="336"/>
        <v/>
      </c>
      <c r="U430" s="14" t="str">
        <f t="shared" si="336"/>
        <v/>
      </c>
      <c r="V430" s="14" t="b">
        <f t="shared" si="336"/>
        <v>0</v>
      </c>
      <c r="W430" s="14" t="str">
        <f t="shared" si="336"/>
        <v>Character/Prefabs/m_m_tanker_cube_tier05_05</v>
      </c>
      <c r="X430" s="14" t="str">
        <f t="shared" si="336"/>
        <v/>
      </c>
      <c r="Y430" s="14" t="str">
        <f t="shared" si="336"/>
        <v>m_m_tanker_cube_tier05_05</v>
      </c>
      <c r="Z430" s="14" t="str">
        <f t="shared" si="336"/>
        <v/>
      </c>
      <c r="AA430" s="14" t="str">
        <f t="shared" si="336"/>
        <v/>
      </c>
      <c r="AB430" s="14" t="str">
        <f t="shared" si="336"/>
        <v>Die_machine</v>
      </c>
      <c r="AC430" s="94">
        <f t="shared" si="336"/>
        <v>1</v>
      </c>
      <c r="AD430" s="14" t="str">
        <f t="shared" si="336"/>
        <v>Effect/Prefab/02.mob/cube_military_01/EFF_cube_military_01_hit_01</v>
      </c>
      <c r="AE430" s="14" t="str">
        <f t="shared" si="336"/>
        <v/>
      </c>
      <c r="AF430" s="14" t="str">
        <f t="shared" si="336"/>
        <v/>
      </c>
      <c r="AG430" s="173" t="s">
        <v>2763</v>
      </c>
    </row>
    <row r="431" spans="1:33" x14ac:dyDescent="0.3">
      <c r="A431" s="149">
        <f t="shared" si="306"/>
        <v>1410401101</v>
      </c>
      <c r="B431" s="149" t="str">
        <f t="shared" ref="B431:AF431" si="337">IF(B320 &lt;&gt; "", B320, "")</f>
        <v>이벤트보스</v>
      </c>
      <c r="C431" s="149" t="str">
        <f t="shared" si="337"/>
        <v>햄버거01</v>
      </c>
      <c r="D431" s="149" t="str">
        <f t="shared" si="337"/>
        <v>Monster.Name.trapburger_1</v>
      </c>
      <c r="E431" s="150" t="str">
        <f t="shared" si="337"/>
        <v>None</v>
      </c>
      <c r="F431" s="151" t="str">
        <f t="shared" si="337"/>
        <v>Fac_nul_ind</v>
      </c>
      <c r="G431" s="149" t="str">
        <f t="shared" si="337"/>
        <v>TRUE</v>
      </c>
      <c r="H431" s="149" t="str">
        <f t="shared" si="337"/>
        <v>TRUE</v>
      </c>
      <c r="I431" s="149" t="b">
        <f t="shared" si="337"/>
        <v>0</v>
      </c>
      <c r="J431" s="149">
        <f t="shared" si="337"/>
        <v>20</v>
      </c>
      <c r="K431" s="149">
        <f t="shared" si="337"/>
        <v>10</v>
      </c>
      <c r="L431" s="149" t="str">
        <f t="shared" si="337"/>
        <v/>
      </c>
      <c r="M431" s="149" t="str">
        <f t="shared" si="337"/>
        <v/>
      </c>
      <c r="N431" s="149" t="str">
        <f t="shared" si="337"/>
        <v/>
      </c>
      <c r="O431" s="151" t="str">
        <f t="shared" si="337"/>
        <v>Hamberger.skill01</v>
      </c>
      <c r="P431" s="149" t="str">
        <f t="shared" si="337"/>
        <v>Hamberger.passive</v>
      </c>
      <c r="Q431" s="149" t="str">
        <f t="shared" si="337"/>
        <v/>
      </c>
      <c r="R431" s="149" t="str">
        <f t="shared" si="337"/>
        <v/>
      </c>
      <c r="S431" s="149" t="str">
        <f t="shared" si="337"/>
        <v/>
      </c>
      <c r="T431" s="149" t="str">
        <f t="shared" si="337"/>
        <v/>
      </c>
      <c r="U431" s="149" t="str">
        <f t="shared" si="337"/>
        <v/>
      </c>
      <c r="V431" s="149" t="b">
        <f t="shared" si="337"/>
        <v>0</v>
      </c>
      <c r="W431" s="149" t="str">
        <f t="shared" si="337"/>
        <v>Character/Prefabs/m_m_tanker_trapburger_1</v>
      </c>
      <c r="X431" s="149" t="str">
        <f t="shared" si="337"/>
        <v/>
      </c>
      <c r="Y431" s="149" t="str">
        <f t="shared" si="337"/>
        <v>m_m_tanker_trapburger_1</v>
      </c>
      <c r="Z431" s="149" t="str">
        <f t="shared" si="337"/>
        <v/>
      </c>
      <c r="AA431" s="149" t="str">
        <f t="shared" si="337"/>
        <v/>
      </c>
      <c r="AB431" s="149" t="str">
        <f t="shared" si="337"/>
        <v>Die_machine</v>
      </c>
      <c r="AC431" s="152">
        <f t="shared" si="337"/>
        <v>1</v>
      </c>
      <c r="AD431" s="149" t="str">
        <f t="shared" si="337"/>
        <v/>
      </c>
      <c r="AE431" s="149" t="str">
        <f t="shared" si="337"/>
        <v/>
      </c>
      <c r="AF431" s="149" t="str">
        <f t="shared" si="337"/>
        <v/>
      </c>
      <c r="AG431" s="173" t="s">
        <v>2763</v>
      </c>
    </row>
    <row r="432" spans="1:33" x14ac:dyDescent="0.3">
      <c r="A432" s="149">
        <f t="shared" si="306"/>
        <v>1410401102</v>
      </c>
      <c r="B432" s="149" t="str">
        <f t="shared" ref="B432:AF432" si="338">IF(B321 &lt;&gt; "", B321, "")</f>
        <v>이벤트보스</v>
      </c>
      <c r="C432" s="149" t="str">
        <f t="shared" si="338"/>
        <v>햄버거02</v>
      </c>
      <c r="D432" s="149" t="str">
        <f t="shared" si="338"/>
        <v>Monster.Name.trapburger_2</v>
      </c>
      <c r="E432" s="150" t="str">
        <f t="shared" si="338"/>
        <v>None</v>
      </c>
      <c r="F432" s="151" t="str">
        <f t="shared" si="338"/>
        <v>Fac_nul_ind</v>
      </c>
      <c r="G432" s="149" t="str">
        <f t="shared" si="338"/>
        <v>TRUE</v>
      </c>
      <c r="H432" s="149" t="str">
        <f t="shared" si="338"/>
        <v>TRUE</v>
      </c>
      <c r="I432" s="149" t="b">
        <f t="shared" si="338"/>
        <v>0</v>
      </c>
      <c r="J432" s="149">
        <f t="shared" si="338"/>
        <v>20</v>
      </c>
      <c r="K432" s="149">
        <f t="shared" si="338"/>
        <v>10</v>
      </c>
      <c r="L432" s="149" t="str">
        <f t="shared" si="338"/>
        <v/>
      </c>
      <c r="M432" s="149" t="str">
        <f t="shared" si="338"/>
        <v/>
      </c>
      <c r="N432" s="149" t="str">
        <f t="shared" si="338"/>
        <v/>
      </c>
      <c r="O432" s="151" t="str">
        <f t="shared" si="338"/>
        <v>Hamberger.skill01</v>
      </c>
      <c r="P432" s="149" t="str">
        <f t="shared" si="338"/>
        <v>Hamberger.passive</v>
      </c>
      <c r="Q432" s="149" t="str">
        <f t="shared" si="338"/>
        <v/>
      </c>
      <c r="R432" s="149" t="str">
        <f t="shared" si="338"/>
        <v/>
      </c>
      <c r="S432" s="149" t="str">
        <f t="shared" si="338"/>
        <v/>
      </c>
      <c r="T432" s="149" t="str">
        <f t="shared" si="338"/>
        <v/>
      </c>
      <c r="U432" s="149" t="str">
        <f t="shared" si="338"/>
        <v/>
      </c>
      <c r="V432" s="149" t="b">
        <f t="shared" si="338"/>
        <v>0</v>
      </c>
      <c r="W432" s="149" t="str">
        <f t="shared" si="338"/>
        <v>Character/Prefabs/m_m_tanker_trapburger_2</v>
      </c>
      <c r="X432" s="149" t="str">
        <f t="shared" si="338"/>
        <v/>
      </c>
      <c r="Y432" s="149" t="str">
        <f t="shared" si="338"/>
        <v>m_m_tanker_trapburger_2</v>
      </c>
      <c r="Z432" s="149" t="str">
        <f t="shared" si="338"/>
        <v/>
      </c>
      <c r="AA432" s="149" t="str">
        <f t="shared" si="338"/>
        <v/>
      </c>
      <c r="AB432" s="149" t="str">
        <f t="shared" si="338"/>
        <v>Die_machine</v>
      </c>
      <c r="AC432" s="152">
        <f t="shared" si="338"/>
        <v>1</v>
      </c>
      <c r="AD432" s="149" t="str">
        <f t="shared" si="338"/>
        <v/>
      </c>
      <c r="AE432" s="149" t="str">
        <f t="shared" si="338"/>
        <v/>
      </c>
      <c r="AF432" s="149" t="str">
        <f t="shared" si="338"/>
        <v/>
      </c>
      <c r="AG432" s="173" t="s">
        <v>2763</v>
      </c>
    </row>
    <row r="433" spans="1:33" x14ac:dyDescent="0.3">
      <c r="A433" s="14">
        <f t="shared" ref="A433:A464" si="339">A322+100000000</f>
        <v>1410200101</v>
      </c>
      <c r="B433" s="14" t="str">
        <f t="shared" ref="B433:AF433" si="340">IF(B322 &lt;&gt; "", B322, "")</f>
        <v>섹터공용</v>
      </c>
      <c r="C433" s="14" t="str">
        <f t="shared" si="340"/>
        <v>플랭커</v>
      </c>
      <c r="D433" s="14" t="str">
        <f t="shared" si="340"/>
        <v>Monster.Name.roamer_flanker_1</v>
      </c>
      <c r="E433" s="14" t="str">
        <f t="shared" si="340"/>
        <v>Attacker</v>
      </c>
      <c r="F433" s="17" t="str">
        <f t="shared" si="340"/>
        <v>Fac_nul_ind</v>
      </c>
      <c r="G433" s="14" t="b">
        <f t="shared" si="340"/>
        <v>1</v>
      </c>
      <c r="H433" s="14" t="b">
        <f t="shared" si="340"/>
        <v>0</v>
      </c>
      <c r="I433" s="14" t="b">
        <f t="shared" si="340"/>
        <v>0</v>
      </c>
      <c r="J433" s="14">
        <f t="shared" si="340"/>
        <v>10</v>
      </c>
      <c r="K433" s="14">
        <f t="shared" si="340"/>
        <v>10</v>
      </c>
      <c r="L433" s="14" t="str">
        <f t="shared" si="340"/>
        <v>roamer_flanker_1.attack01</v>
      </c>
      <c r="M433" s="14" t="str">
        <f t="shared" si="340"/>
        <v/>
      </c>
      <c r="N433" s="14" t="str">
        <f t="shared" si="340"/>
        <v/>
      </c>
      <c r="O433" s="17" t="str">
        <f t="shared" si="340"/>
        <v>roamer_flanker_1.skill01</v>
      </c>
      <c r="P433" s="14" t="str">
        <f t="shared" si="340"/>
        <v/>
      </c>
      <c r="Q433" s="14" t="str">
        <f t="shared" si="340"/>
        <v/>
      </c>
      <c r="R433" s="14" t="str">
        <f t="shared" si="340"/>
        <v/>
      </c>
      <c r="S433" s="14" t="str">
        <f t="shared" si="340"/>
        <v/>
      </c>
      <c r="T433" s="14" t="str">
        <f t="shared" si="340"/>
        <v/>
      </c>
      <c r="U433" s="14" t="str">
        <f t="shared" si="340"/>
        <v/>
      </c>
      <c r="V433" s="14" t="b">
        <f t="shared" si="340"/>
        <v>0</v>
      </c>
      <c r="W433" s="14" t="str">
        <f t="shared" si="340"/>
        <v>Character/Prefabs/m_m_attacker_roamer_flanker_1</v>
      </c>
      <c r="X433" s="14" t="str">
        <f t="shared" si="340"/>
        <v/>
      </c>
      <c r="Y433" s="14" t="str">
        <f t="shared" si="340"/>
        <v>m_m_attacker_roamer_flanker_1</v>
      </c>
      <c r="Z433" s="14" t="str">
        <f t="shared" si="340"/>
        <v/>
      </c>
      <c r="AA433" s="14" t="str">
        <f t="shared" si="340"/>
        <v/>
      </c>
      <c r="AB433" s="14" t="str">
        <f t="shared" si="340"/>
        <v/>
      </c>
      <c r="AC433" s="94">
        <f t="shared" si="340"/>
        <v>1</v>
      </c>
      <c r="AD433" s="14" t="str">
        <f t="shared" si="340"/>
        <v/>
      </c>
      <c r="AE433" s="14" t="str">
        <f t="shared" si="340"/>
        <v/>
      </c>
      <c r="AF433" s="14" t="str">
        <f t="shared" si="340"/>
        <v/>
      </c>
      <c r="AG433" s="173" t="s">
        <v>2763</v>
      </c>
    </row>
    <row r="434" spans="1:33" x14ac:dyDescent="0.3">
      <c r="A434" s="14">
        <f t="shared" si="339"/>
        <v>1410200102</v>
      </c>
      <c r="B434" s="14" t="str">
        <f t="shared" ref="B434:AF434" si="341">IF(B323 &lt;&gt; "", B323, "")</f>
        <v>섹터공용</v>
      </c>
      <c r="C434" s="14" t="str">
        <f t="shared" si="341"/>
        <v>볼트쇼커</v>
      </c>
      <c r="D434" s="14" t="str">
        <f t="shared" si="341"/>
        <v>Monster.Name.roamer_voltshocker_1</v>
      </c>
      <c r="E434" s="14" t="str">
        <f t="shared" si="341"/>
        <v>Attacker</v>
      </c>
      <c r="F434" s="17" t="str">
        <f t="shared" si="341"/>
        <v>Fac_nul_ind</v>
      </c>
      <c r="G434" s="14" t="b">
        <f t="shared" si="341"/>
        <v>1</v>
      </c>
      <c r="H434" s="14" t="b">
        <f t="shared" si="341"/>
        <v>0</v>
      </c>
      <c r="I434" s="14" t="b">
        <f t="shared" si="341"/>
        <v>0</v>
      </c>
      <c r="J434" s="14">
        <f t="shared" si="341"/>
        <v>10</v>
      </c>
      <c r="K434" s="14">
        <f t="shared" si="341"/>
        <v>10</v>
      </c>
      <c r="L434" s="14" t="str">
        <f t="shared" si="341"/>
        <v>roamer_voltshocker_1.attack01</v>
      </c>
      <c r="M434" s="14" t="str">
        <f t="shared" si="341"/>
        <v/>
      </c>
      <c r="N434" s="14" t="str">
        <f t="shared" si="341"/>
        <v/>
      </c>
      <c r="O434" s="17" t="str">
        <f t="shared" si="341"/>
        <v>roamer_voltshocker_1.skill01</v>
      </c>
      <c r="P434" s="14" t="str">
        <f t="shared" si="341"/>
        <v/>
      </c>
      <c r="Q434" s="14" t="str">
        <f t="shared" si="341"/>
        <v/>
      </c>
      <c r="R434" s="14" t="str">
        <f t="shared" si="341"/>
        <v/>
      </c>
      <c r="S434" s="14" t="str">
        <f t="shared" si="341"/>
        <v/>
      </c>
      <c r="T434" s="14" t="str">
        <f t="shared" si="341"/>
        <v/>
      </c>
      <c r="U434" s="14" t="str">
        <f t="shared" si="341"/>
        <v/>
      </c>
      <c r="V434" s="14" t="b">
        <f t="shared" si="341"/>
        <v>0</v>
      </c>
      <c r="W434" s="14" t="str">
        <f t="shared" si="341"/>
        <v>Character/Prefabs/m_m_attacker_roamer_voltshocker_1</v>
      </c>
      <c r="X434" s="14" t="str">
        <f t="shared" si="341"/>
        <v/>
      </c>
      <c r="Y434" s="14" t="str">
        <f t="shared" si="341"/>
        <v>m_m_attacker_roamer_voltshocker_1</v>
      </c>
      <c r="Z434" s="14" t="str">
        <f t="shared" si="341"/>
        <v/>
      </c>
      <c r="AA434" s="14" t="str">
        <f t="shared" si="341"/>
        <v/>
      </c>
      <c r="AB434" s="14" t="str">
        <f t="shared" si="341"/>
        <v/>
      </c>
      <c r="AC434" s="94">
        <f t="shared" si="341"/>
        <v>1</v>
      </c>
      <c r="AD434" s="14" t="str">
        <f t="shared" si="341"/>
        <v/>
      </c>
      <c r="AE434" s="14" t="str">
        <f t="shared" si="341"/>
        <v/>
      </c>
      <c r="AF434" s="14" t="str">
        <f t="shared" si="341"/>
        <v/>
      </c>
      <c r="AG434" s="173" t="s">
        <v>2763</v>
      </c>
    </row>
    <row r="435" spans="1:33" x14ac:dyDescent="0.3">
      <c r="A435" s="14">
        <f t="shared" si="339"/>
        <v>1410200103</v>
      </c>
      <c r="B435" s="14" t="str">
        <f t="shared" ref="B435:AF435" si="342">IF(B324 &lt;&gt; "", B324, "")</f>
        <v>섹터공용</v>
      </c>
      <c r="C435" s="14" t="str">
        <f t="shared" si="342"/>
        <v>플로터</v>
      </c>
      <c r="D435" s="14" t="str">
        <f t="shared" si="342"/>
        <v>Monster.Name.floater_1</v>
      </c>
      <c r="E435" s="14" t="str">
        <f t="shared" si="342"/>
        <v>Supporter</v>
      </c>
      <c r="F435" s="17" t="str">
        <f t="shared" si="342"/>
        <v>Fac_nul_ind</v>
      </c>
      <c r="G435" s="14" t="b">
        <f t="shared" si="342"/>
        <v>1</v>
      </c>
      <c r="H435" s="14" t="b">
        <f t="shared" si="342"/>
        <v>0</v>
      </c>
      <c r="I435" s="14" t="b">
        <f t="shared" si="342"/>
        <v>0</v>
      </c>
      <c r="J435" s="14">
        <f t="shared" si="342"/>
        <v>10</v>
      </c>
      <c r="K435" s="14">
        <f t="shared" si="342"/>
        <v>10</v>
      </c>
      <c r="L435" s="14" t="str">
        <f t="shared" si="342"/>
        <v>roamer_floater_1.attack01</v>
      </c>
      <c r="M435" s="14" t="str">
        <f t="shared" si="342"/>
        <v/>
      </c>
      <c r="N435" s="14" t="str">
        <f t="shared" si="342"/>
        <v/>
      </c>
      <c r="O435" s="17" t="str">
        <f t="shared" si="342"/>
        <v>roamer_floater_1.skill01</v>
      </c>
      <c r="P435" s="14" t="str">
        <f t="shared" si="342"/>
        <v/>
      </c>
      <c r="Q435" s="14" t="str">
        <f t="shared" si="342"/>
        <v/>
      </c>
      <c r="R435" s="14" t="str">
        <f t="shared" si="342"/>
        <v/>
      </c>
      <c r="S435" s="14" t="str">
        <f t="shared" si="342"/>
        <v/>
      </c>
      <c r="T435" s="14" t="str">
        <f t="shared" si="342"/>
        <v/>
      </c>
      <c r="U435" s="14" t="str">
        <f t="shared" si="342"/>
        <v/>
      </c>
      <c r="V435" s="14" t="b">
        <f t="shared" si="342"/>
        <v>0</v>
      </c>
      <c r="W435" s="14" t="str">
        <f t="shared" si="342"/>
        <v>Character/Prefabs/m_m_supporter_roamer_floater_1</v>
      </c>
      <c r="X435" s="14" t="str">
        <f t="shared" si="342"/>
        <v/>
      </c>
      <c r="Y435" s="14" t="str">
        <f t="shared" si="342"/>
        <v>m_m_supporter_roamer_floater_1</v>
      </c>
      <c r="Z435" s="14" t="str">
        <f t="shared" si="342"/>
        <v/>
      </c>
      <c r="AA435" s="14" t="str">
        <f t="shared" si="342"/>
        <v/>
      </c>
      <c r="AB435" s="14" t="str">
        <f t="shared" si="342"/>
        <v/>
      </c>
      <c r="AC435" s="94">
        <f t="shared" si="342"/>
        <v>0.6</v>
      </c>
      <c r="AD435" s="14" t="str">
        <f t="shared" si="342"/>
        <v/>
      </c>
      <c r="AE435" s="14" t="str">
        <f t="shared" si="342"/>
        <v/>
      </c>
      <c r="AF435" s="14" t="str">
        <f t="shared" si="342"/>
        <v/>
      </c>
      <c r="AG435" s="173" t="s">
        <v>2763</v>
      </c>
    </row>
    <row r="436" spans="1:33" x14ac:dyDescent="0.3">
      <c r="A436" s="14">
        <f t="shared" si="339"/>
        <v>1411601301</v>
      </c>
      <c r="B436" s="14" t="str">
        <f t="shared" ref="B436:AF436" si="343">IF(B325 &lt;&gt; "", B325, "")</f>
        <v>EventStory</v>
      </c>
      <c r="C436" s="14" t="str">
        <f t="shared" si="343"/>
        <v>게임마스터</v>
      </c>
      <c r="D436" s="14" t="str">
        <f t="shared" si="343"/>
        <v>Monster.Name.gamemaster_1</v>
      </c>
      <c r="E436" s="14" t="str">
        <f t="shared" si="343"/>
        <v>None</v>
      </c>
      <c r="F436" s="17" t="str">
        <f t="shared" si="343"/>
        <v>Fac_nul_ind</v>
      </c>
      <c r="G436" s="14" t="str">
        <f t="shared" si="343"/>
        <v>TRUE</v>
      </c>
      <c r="H436" s="14" t="b">
        <f t="shared" si="343"/>
        <v>1</v>
      </c>
      <c r="I436" s="14" t="b">
        <f t="shared" si="343"/>
        <v>1</v>
      </c>
      <c r="J436" s="14">
        <f t="shared" si="343"/>
        <v>10</v>
      </c>
      <c r="K436" s="14">
        <f t="shared" si="343"/>
        <v>10</v>
      </c>
      <c r="L436" s="14" t="str">
        <f t="shared" si="343"/>
        <v>EventStory.gamemaster_1.attack01</v>
      </c>
      <c r="M436" s="14" t="str">
        <f t="shared" si="343"/>
        <v>EventStory.gamemaster_1.attack02</v>
      </c>
      <c r="N436" s="14" t="str">
        <f t="shared" si="343"/>
        <v/>
      </c>
      <c r="O436" s="17" t="str">
        <f t="shared" si="343"/>
        <v>EventStory.gamemaster_1.skill01</v>
      </c>
      <c r="P436" s="14" t="str">
        <f t="shared" si="343"/>
        <v>EventStory.gamemaster_1.passive01</v>
      </c>
      <c r="Q436" s="14" t="str">
        <f t="shared" si="343"/>
        <v/>
      </c>
      <c r="R436" s="14" t="str">
        <f t="shared" si="343"/>
        <v/>
      </c>
      <c r="S436" s="14" t="str">
        <f t="shared" si="343"/>
        <v/>
      </c>
      <c r="T436" s="14" t="str">
        <f t="shared" si="343"/>
        <v/>
      </c>
      <c r="U436" s="14" t="str">
        <f t="shared" si="343"/>
        <v/>
      </c>
      <c r="V436" s="14" t="b">
        <f t="shared" si="343"/>
        <v>0</v>
      </c>
      <c r="W436" s="14" t="str">
        <f t="shared" si="343"/>
        <v>Character/Prefabs/m_boss_ranger_gamemaster_1</v>
      </c>
      <c r="X436" s="14" t="str">
        <f t="shared" si="343"/>
        <v/>
      </c>
      <c r="Y436" s="14" t="str">
        <f t="shared" si="343"/>
        <v>m_boss_ranger_gamemaster_1</v>
      </c>
      <c r="Z436" s="14" t="str">
        <f t="shared" si="343"/>
        <v/>
      </c>
      <c r="AA436" s="14" t="str">
        <f t="shared" si="343"/>
        <v/>
      </c>
      <c r="AB436" s="14" t="str">
        <f t="shared" si="343"/>
        <v/>
      </c>
      <c r="AC436" s="94">
        <f t="shared" si="343"/>
        <v>1</v>
      </c>
      <c r="AD436" s="14" t="str">
        <f t="shared" si="343"/>
        <v/>
      </c>
      <c r="AE436" s="14" t="str">
        <f t="shared" si="343"/>
        <v/>
      </c>
      <c r="AF436" s="14" t="str">
        <f t="shared" si="343"/>
        <v/>
      </c>
      <c r="AG436" s="173" t="s">
        <v>2763</v>
      </c>
    </row>
    <row r="437" spans="1:33" x14ac:dyDescent="0.3">
      <c r="A437" s="14">
        <f t="shared" si="339"/>
        <v>1411601302</v>
      </c>
      <c r="B437" s="14" t="str">
        <f t="shared" ref="B437:AF437" si="344">IF(B326 &lt;&gt; "", B326, "")</f>
        <v>EventStory</v>
      </c>
      <c r="C437" s="14" t="str">
        <f t="shared" si="344"/>
        <v>메카토아</v>
      </c>
      <c r="D437" s="14" t="str">
        <f t="shared" si="344"/>
        <v>Monster.Name.mechatoa_1</v>
      </c>
      <c r="E437" s="14" t="str">
        <f t="shared" si="344"/>
        <v>None</v>
      </c>
      <c r="F437" s="17" t="str">
        <f t="shared" si="344"/>
        <v>Fac_nul_ind</v>
      </c>
      <c r="G437" s="14" t="str">
        <f t="shared" si="344"/>
        <v>TRUE</v>
      </c>
      <c r="H437" s="14" t="b">
        <f t="shared" si="344"/>
        <v>1</v>
      </c>
      <c r="I437" s="14" t="b">
        <f t="shared" si="344"/>
        <v>1</v>
      </c>
      <c r="J437" s="14">
        <f t="shared" si="344"/>
        <v>20</v>
      </c>
      <c r="K437" s="14">
        <f t="shared" si="344"/>
        <v>10</v>
      </c>
      <c r="L437" s="14" t="str">
        <f t="shared" si="344"/>
        <v>EventStory.mechatoa_1.attack01</v>
      </c>
      <c r="M437" s="14" t="str">
        <f t="shared" si="344"/>
        <v>EventStory.mechatoa_1.attack02</v>
      </c>
      <c r="N437" s="14" t="str">
        <f t="shared" si="344"/>
        <v/>
      </c>
      <c r="O437" s="17" t="str">
        <f t="shared" si="344"/>
        <v>EventStory.mechatoa_1.skill01</v>
      </c>
      <c r="P437" s="14" t="str">
        <f t="shared" si="344"/>
        <v>EventStory.mechatoa_1.passive01</v>
      </c>
      <c r="Q437" s="14" t="str">
        <f t="shared" si="344"/>
        <v/>
      </c>
      <c r="R437" s="14" t="str">
        <f t="shared" si="344"/>
        <v/>
      </c>
      <c r="S437" s="14" t="str">
        <f t="shared" si="344"/>
        <v/>
      </c>
      <c r="T437" s="14" t="str">
        <f t="shared" si="344"/>
        <v/>
      </c>
      <c r="U437" s="14" t="str">
        <f t="shared" si="344"/>
        <v/>
      </c>
      <c r="V437" s="14" t="b">
        <f t="shared" si="344"/>
        <v>0</v>
      </c>
      <c r="W437" s="14" t="str">
        <f t="shared" si="344"/>
        <v>Character/Prefabs/m_boss_attacker_mechatoa_1</v>
      </c>
      <c r="X437" s="14" t="str">
        <f t="shared" si="344"/>
        <v/>
      </c>
      <c r="Y437" s="14" t="str">
        <f t="shared" si="344"/>
        <v>m_boss_attacker_mechatoa_1</v>
      </c>
      <c r="Z437" s="14" t="str">
        <f t="shared" si="344"/>
        <v/>
      </c>
      <c r="AA437" s="14" t="str">
        <f t="shared" si="344"/>
        <v/>
      </c>
      <c r="AB437" s="14" t="str">
        <f t="shared" si="344"/>
        <v/>
      </c>
      <c r="AC437" s="94">
        <f t="shared" si="344"/>
        <v>1</v>
      </c>
      <c r="AD437" s="14" t="str">
        <f t="shared" si="344"/>
        <v/>
      </c>
      <c r="AE437" s="14" t="str">
        <f t="shared" si="344"/>
        <v/>
      </c>
      <c r="AF437" s="14" t="str">
        <f t="shared" si="344"/>
        <v/>
      </c>
      <c r="AG437" s="173" t="s">
        <v>2763</v>
      </c>
    </row>
    <row r="438" spans="1:33" x14ac:dyDescent="0.3">
      <c r="A438" s="14">
        <f t="shared" si="339"/>
        <v>1411601303</v>
      </c>
      <c r="B438" s="14" t="str">
        <f t="shared" ref="B438:AF438" si="345">IF(B327 &lt;&gt; "", B327, "")</f>
        <v>EventStory</v>
      </c>
      <c r="C438" s="14" t="str">
        <f t="shared" si="345"/>
        <v>팬더해피</v>
      </c>
      <c r="D438" s="14" t="str">
        <f t="shared" si="345"/>
        <v>Monster.Name.pandahappy_1</v>
      </c>
      <c r="E438" s="14" t="str">
        <f t="shared" si="345"/>
        <v>None</v>
      </c>
      <c r="F438" s="14" t="str">
        <f t="shared" si="345"/>
        <v>Fac_nul_ind</v>
      </c>
      <c r="G438" s="14" t="str">
        <f t="shared" si="345"/>
        <v>TRUE</v>
      </c>
      <c r="H438" s="14" t="b">
        <f t="shared" si="345"/>
        <v>1</v>
      </c>
      <c r="I438" s="14" t="b">
        <f t="shared" si="345"/>
        <v>1</v>
      </c>
      <c r="J438" s="14">
        <f t="shared" si="345"/>
        <v>20</v>
      </c>
      <c r="K438" s="14">
        <f t="shared" si="345"/>
        <v>10</v>
      </c>
      <c r="L438" s="14" t="str">
        <f t="shared" si="345"/>
        <v>EventStory.pandahappy_1.attack01</v>
      </c>
      <c r="M438" s="14" t="str">
        <f t="shared" si="345"/>
        <v>EventStory.pandahappy_1.attack02</v>
      </c>
      <c r="N438" s="14" t="str">
        <f t="shared" si="345"/>
        <v/>
      </c>
      <c r="O438" s="178" t="str">
        <f t="shared" si="345"/>
        <v>EventStory.pandahappy_1.skill01</v>
      </c>
      <c r="P438" s="14" t="str">
        <f t="shared" si="345"/>
        <v>EventStory.pandahappy_1.passive01</v>
      </c>
      <c r="Q438" s="14" t="str">
        <f t="shared" si="345"/>
        <v/>
      </c>
      <c r="R438" s="14" t="str">
        <f t="shared" si="345"/>
        <v/>
      </c>
      <c r="S438" s="14" t="str">
        <f t="shared" si="345"/>
        <v/>
      </c>
      <c r="T438" s="14" t="str">
        <f t="shared" si="345"/>
        <v/>
      </c>
      <c r="U438" s="14" t="str">
        <f t="shared" si="345"/>
        <v/>
      </c>
      <c r="V438" s="14" t="b">
        <f t="shared" si="345"/>
        <v>0</v>
      </c>
      <c r="W438" s="14" t="str">
        <f t="shared" si="345"/>
        <v>Character/Prefabs/m_boss_attacker_pandahappy_1</v>
      </c>
      <c r="X438" s="14" t="str">
        <f t="shared" si="345"/>
        <v/>
      </c>
      <c r="Y438" s="14" t="str">
        <f t="shared" si="345"/>
        <v>m_boss_attacker_pandahappy_1</v>
      </c>
      <c r="Z438" s="14" t="str">
        <f t="shared" si="345"/>
        <v/>
      </c>
      <c r="AA438" s="14" t="str">
        <f t="shared" si="345"/>
        <v/>
      </c>
      <c r="AB438" s="14" t="str">
        <f t="shared" si="345"/>
        <v/>
      </c>
      <c r="AC438" s="94">
        <f t="shared" si="345"/>
        <v>1.3</v>
      </c>
      <c r="AD438" s="14" t="str">
        <f t="shared" si="345"/>
        <v/>
      </c>
      <c r="AE438" s="14" t="str">
        <f t="shared" si="345"/>
        <v/>
      </c>
      <c r="AF438" s="14" t="str">
        <f t="shared" si="345"/>
        <v/>
      </c>
      <c r="AG438" s="173" t="s">
        <v>2763</v>
      </c>
    </row>
    <row r="439" spans="1:33" x14ac:dyDescent="0.3">
      <c r="A439" s="14">
        <f t="shared" si="339"/>
        <v>1411601304</v>
      </c>
      <c r="B439" s="14" t="str">
        <f t="shared" ref="B439:AF439" si="346">IF(B328 &lt;&gt; "", B328, "")</f>
        <v>EventStory</v>
      </c>
      <c r="C439" s="14" t="str">
        <f t="shared" si="346"/>
        <v>버려진수호자</v>
      </c>
      <c r="D439" s="14" t="str">
        <f t="shared" si="346"/>
        <v>Monster.Name.oldguardian_1</v>
      </c>
      <c r="E439" s="14" t="str">
        <f t="shared" si="346"/>
        <v>None</v>
      </c>
      <c r="F439" s="14" t="str">
        <f t="shared" si="346"/>
        <v>Fac_nul_ind</v>
      </c>
      <c r="G439" s="14" t="str">
        <f t="shared" si="346"/>
        <v>TRUE</v>
      </c>
      <c r="H439" s="14" t="b">
        <f t="shared" si="346"/>
        <v>1</v>
      </c>
      <c r="I439" s="14" t="b">
        <f t="shared" si="346"/>
        <v>1</v>
      </c>
      <c r="J439" s="14">
        <f t="shared" si="346"/>
        <v>20</v>
      </c>
      <c r="K439" s="14">
        <f t="shared" si="346"/>
        <v>10</v>
      </c>
      <c r="L439" s="14" t="str">
        <f t="shared" si="346"/>
        <v>EventStory.oldguardian_1.attack01</v>
      </c>
      <c r="M439" s="14" t="str">
        <f t="shared" si="346"/>
        <v>EventStory.oldguardian_1.attack02</v>
      </c>
      <c r="N439" s="14" t="str">
        <f t="shared" si="346"/>
        <v/>
      </c>
      <c r="O439" s="178" t="str">
        <f t="shared" si="346"/>
        <v>EventStory.oldguardian_1.skill01</v>
      </c>
      <c r="P439" s="14" t="str">
        <f t="shared" si="346"/>
        <v>EventStory.oldguardian_1.passive01</v>
      </c>
      <c r="Q439" s="14" t="str">
        <f t="shared" si="346"/>
        <v/>
      </c>
      <c r="R439" s="14" t="str">
        <f t="shared" si="346"/>
        <v/>
      </c>
      <c r="S439" s="14" t="str">
        <f t="shared" si="346"/>
        <v/>
      </c>
      <c r="T439" s="14" t="str">
        <f t="shared" si="346"/>
        <v/>
      </c>
      <c r="U439" s="14" t="str">
        <f t="shared" si="346"/>
        <v/>
      </c>
      <c r="V439" s="14" t="b">
        <f t="shared" si="346"/>
        <v>0</v>
      </c>
      <c r="W439" s="14" t="str">
        <f t="shared" si="346"/>
        <v>Character/Prefabs/m_boss_ranger_oldguardian_1</v>
      </c>
      <c r="X439" s="14" t="str">
        <f t="shared" si="346"/>
        <v/>
      </c>
      <c r="Y439" s="14" t="str">
        <f t="shared" si="346"/>
        <v>m_boss_ranger_oldguardian_1</v>
      </c>
      <c r="Z439" s="14" t="str">
        <f t="shared" si="346"/>
        <v/>
      </c>
      <c r="AA439" s="14" t="str">
        <f t="shared" si="346"/>
        <v/>
      </c>
      <c r="AB439" s="14" t="str">
        <f t="shared" si="346"/>
        <v/>
      </c>
      <c r="AC439" s="94">
        <f t="shared" si="346"/>
        <v>0.8</v>
      </c>
      <c r="AD439" s="14" t="str">
        <f t="shared" si="346"/>
        <v/>
      </c>
      <c r="AE439" s="14" t="str">
        <f t="shared" si="346"/>
        <v/>
      </c>
      <c r="AF439" s="14" t="str">
        <f t="shared" si="346"/>
        <v/>
      </c>
      <c r="AG439" s="173" t="s">
        <v>2763</v>
      </c>
    </row>
    <row r="440" spans="1:33" x14ac:dyDescent="0.3">
      <c r="A440" s="14">
        <f t="shared" si="339"/>
        <v>1411601305</v>
      </c>
      <c r="B440" s="14" t="str">
        <f t="shared" ref="B440:AF440" si="347">IF(B329 &lt;&gt; "", B329, "")</f>
        <v>EventStory</v>
      </c>
      <c r="C440" s="14" t="str">
        <f t="shared" si="347"/>
        <v>시비우자동장치</v>
      </c>
      <c r="D440" s="14" t="str">
        <f t="shared" si="347"/>
        <v>Monster.Name.sibiurobot_1</v>
      </c>
      <c r="E440" s="14" t="str">
        <f t="shared" si="347"/>
        <v>None</v>
      </c>
      <c r="F440" s="14" t="str">
        <f t="shared" si="347"/>
        <v>Fac_nul_ind</v>
      </c>
      <c r="G440" s="14" t="str">
        <f t="shared" si="347"/>
        <v>TRUE</v>
      </c>
      <c r="H440" s="14" t="b">
        <f t="shared" si="347"/>
        <v>1</v>
      </c>
      <c r="I440" s="14" t="b">
        <f t="shared" si="347"/>
        <v>1</v>
      </c>
      <c r="J440" s="14">
        <f t="shared" si="347"/>
        <v>10</v>
      </c>
      <c r="K440" s="14">
        <f t="shared" si="347"/>
        <v>10</v>
      </c>
      <c r="L440" s="14" t="str">
        <f t="shared" si="347"/>
        <v>EventStory.sibiurobot_1.attack01</v>
      </c>
      <c r="M440" s="14" t="str">
        <f t="shared" si="347"/>
        <v>EventStory.sibiurobot_1.attack02</v>
      </c>
      <c r="N440" s="14" t="str">
        <f t="shared" si="347"/>
        <v/>
      </c>
      <c r="O440" s="178" t="str">
        <f t="shared" si="347"/>
        <v>EventStory.sibiurobot_1.skill01</v>
      </c>
      <c r="P440" s="14" t="str">
        <f t="shared" si="347"/>
        <v>EventStory.sibiurobot_1.passive01</v>
      </c>
      <c r="Q440" s="14" t="str">
        <f t="shared" si="347"/>
        <v/>
      </c>
      <c r="R440" s="14" t="str">
        <f t="shared" si="347"/>
        <v/>
      </c>
      <c r="S440" s="14" t="str">
        <f t="shared" si="347"/>
        <v/>
      </c>
      <c r="T440" s="14" t="str">
        <f t="shared" si="347"/>
        <v/>
      </c>
      <c r="U440" s="14" t="str">
        <f t="shared" si="347"/>
        <v/>
      </c>
      <c r="V440" s="14" t="b">
        <f t="shared" si="347"/>
        <v>0</v>
      </c>
      <c r="W440" s="14" t="str">
        <f t="shared" si="347"/>
        <v>Character/Prefabs/m_boss_ranger_sibiurobot_1</v>
      </c>
      <c r="X440" s="14" t="str">
        <f t="shared" si="347"/>
        <v/>
      </c>
      <c r="Y440" s="14" t="str">
        <f t="shared" si="347"/>
        <v>m_boss_ranger_sibiurobot_1</v>
      </c>
      <c r="Z440" s="14" t="str">
        <f t="shared" si="347"/>
        <v/>
      </c>
      <c r="AA440" s="14" t="str">
        <f t="shared" si="347"/>
        <v/>
      </c>
      <c r="AB440" s="14" t="str">
        <f t="shared" si="347"/>
        <v/>
      </c>
      <c r="AC440" s="94">
        <f t="shared" si="347"/>
        <v>1</v>
      </c>
      <c r="AD440" s="14" t="str">
        <f t="shared" si="347"/>
        <v/>
      </c>
      <c r="AE440" s="14" t="str">
        <f t="shared" si="347"/>
        <v/>
      </c>
      <c r="AF440" s="14" t="str">
        <f t="shared" si="347"/>
        <v/>
      </c>
      <c r="AG440" s="173" t="s">
        <v>2763</v>
      </c>
    </row>
    <row r="441" spans="1:33" x14ac:dyDescent="0.3">
      <c r="A441" s="14">
        <f t="shared" si="339"/>
        <v>1411601306</v>
      </c>
      <c r="B441" s="14" t="str">
        <f t="shared" ref="B441:AF441" si="348">IF(B330 &lt;&gt; "", B330, "")</f>
        <v>EventStory</v>
      </c>
      <c r="C441" s="14" t="str">
        <f t="shared" si="348"/>
        <v>드론네스트</v>
      </c>
      <c r="D441" s="14" t="str">
        <f t="shared" si="348"/>
        <v>Monster.Name.dronenest_1</v>
      </c>
      <c r="E441" s="14" t="str">
        <f t="shared" si="348"/>
        <v>None</v>
      </c>
      <c r="F441" s="14" t="str">
        <f t="shared" si="348"/>
        <v>Fac_nul_ind</v>
      </c>
      <c r="G441" s="14" t="str">
        <f t="shared" si="348"/>
        <v>TRUE</v>
      </c>
      <c r="H441" s="14" t="b">
        <f t="shared" si="348"/>
        <v>1</v>
      </c>
      <c r="I441" s="14" t="b">
        <f t="shared" si="348"/>
        <v>1</v>
      </c>
      <c r="J441" s="14">
        <f t="shared" si="348"/>
        <v>20</v>
      </c>
      <c r="K441" s="14">
        <f t="shared" si="348"/>
        <v>10</v>
      </c>
      <c r="L441" s="14" t="str">
        <f t="shared" si="348"/>
        <v>EventStory.dronenest_1.attack01</v>
      </c>
      <c r="M441" s="14" t="str">
        <f t="shared" si="348"/>
        <v>EventStory.dronenest_1.attack02</v>
      </c>
      <c r="N441" s="14" t="str">
        <f t="shared" si="348"/>
        <v/>
      </c>
      <c r="O441" s="178" t="str">
        <f t="shared" si="348"/>
        <v>EventStory.dronenest_1.skill01</v>
      </c>
      <c r="P441" s="14" t="str">
        <f t="shared" si="348"/>
        <v/>
      </c>
      <c r="Q441" s="14" t="str">
        <f t="shared" si="348"/>
        <v/>
      </c>
      <c r="R441" s="14" t="str">
        <f t="shared" si="348"/>
        <v/>
      </c>
      <c r="S441" s="14" t="str">
        <f t="shared" si="348"/>
        <v/>
      </c>
      <c r="T441" s="14" t="str">
        <f t="shared" si="348"/>
        <v/>
      </c>
      <c r="U441" s="14" t="str">
        <f t="shared" si="348"/>
        <v/>
      </c>
      <c r="V441" s="14" t="b">
        <f t="shared" si="348"/>
        <v>0</v>
      </c>
      <c r="W441" s="14" t="str">
        <f t="shared" si="348"/>
        <v>Character/Prefabs/m_boss_supporter_dronenest_1</v>
      </c>
      <c r="X441" s="14" t="str">
        <f t="shared" si="348"/>
        <v/>
      </c>
      <c r="Y441" s="14" t="str">
        <f t="shared" si="348"/>
        <v>m_boss_supporter_dronenest_1</v>
      </c>
      <c r="Z441" s="14" t="str">
        <f t="shared" si="348"/>
        <v/>
      </c>
      <c r="AA441" s="14" t="str">
        <f t="shared" si="348"/>
        <v/>
      </c>
      <c r="AB441" s="14" t="str">
        <f t="shared" si="348"/>
        <v/>
      </c>
      <c r="AC441" s="94">
        <f t="shared" si="348"/>
        <v>0.8</v>
      </c>
      <c r="AD441" s="14" t="str">
        <f t="shared" si="348"/>
        <v/>
      </c>
      <c r="AE441" s="14" t="str">
        <f t="shared" si="348"/>
        <v/>
      </c>
      <c r="AF441" s="14" t="str">
        <f t="shared" si="348"/>
        <v/>
      </c>
      <c r="AG441" s="173" t="s">
        <v>2105</v>
      </c>
    </row>
    <row r="442" spans="1:33" x14ac:dyDescent="0.3">
      <c r="A442" s="14">
        <f t="shared" si="339"/>
        <v>1411601307</v>
      </c>
      <c r="B442" s="14" t="str">
        <f t="shared" ref="B442:AF442" si="349">IF(B331 &lt;&gt; "", B331, "")</f>
        <v>EventStory</v>
      </c>
      <c r="C442" s="14" t="str">
        <f t="shared" si="349"/>
        <v>드론네스트_소환</v>
      </c>
      <c r="D442" s="14" t="str">
        <f t="shared" si="349"/>
        <v>Monster.Name.Interceptor_1</v>
      </c>
      <c r="E442" s="14" t="str">
        <f t="shared" si="349"/>
        <v>None</v>
      </c>
      <c r="F442" s="14" t="str">
        <f t="shared" si="349"/>
        <v>Fac_nul_ind</v>
      </c>
      <c r="G442" s="14" t="str">
        <f t="shared" si="349"/>
        <v>TRUE</v>
      </c>
      <c r="H442" s="14" t="b">
        <f t="shared" si="349"/>
        <v>0</v>
      </c>
      <c r="I442" s="14" t="b">
        <f t="shared" si="349"/>
        <v>0</v>
      </c>
      <c r="J442" s="14">
        <f t="shared" si="349"/>
        <v>10</v>
      </c>
      <c r="K442" s="14">
        <f t="shared" si="349"/>
        <v>10</v>
      </c>
      <c r="L442" s="14" t="str">
        <f t="shared" si="349"/>
        <v>EventStory.Interceptor_1.attack01</v>
      </c>
      <c r="M442" s="14" t="str">
        <f t="shared" si="349"/>
        <v/>
      </c>
      <c r="N442" s="14" t="str">
        <f t="shared" si="349"/>
        <v/>
      </c>
      <c r="O442" s="178" t="str">
        <f t="shared" si="349"/>
        <v/>
      </c>
      <c r="P442" s="14" t="str">
        <f t="shared" si="349"/>
        <v/>
      </c>
      <c r="Q442" s="14" t="str">
        <f t="shared" si="349"/>
        <v/>
      </c>
      <c r="R442" s="14" t="str">
        <f t="shared" si="349"/>
        <v/>
      </c>
      <c r="S442" s="14" t="str">
        <f t="shared" si="349"/>
        <v/>
      </c>
      <c r="T442" s="14" t="str">
        <f t="shared" si="349"/>
        <v/>
      </c>
      <c r="U442" s="14" t="str">
        <f t="shared" si="349"/>
        <v/>
      </c>
      <c r="V442" s="14" t="b">
        <f t="shared" si="349"/>
        <v>0</v>
      </c>
      <c r="W442" s="14" t="str">
        <f t="shared" si="349"/>
        <v>Character/Prefabs/m_s_ranger_interceptor_1</v>
      </c>
      <c r="X442" s="14" t="str">
        <f t="shared" si="349"/>
        <v/>
      </c>
      <c r="Y442" s="14" t="str">
        <f t="shared" si="349"/>
        <v>m_s_ranger_interceptor_1</v>
      </c>
      <c r="Z442" s="14" t="str">
        <f t="shared" si="349"/>
        <v/>
      </c>
      <c r="AA442" s="14" t="str">
        <f t="shared" si="349"/>
        <v/>
      </c>
      <c r="AB442" s="14" t="str">
        <f t="shared" si="349"/>
        <v/>
      </c>
      <c r="AC442" s="94">
        <f t="shared" si="349"/>
        <v>1</v>
      </c>
      <c r="AD442" s="14" t="str">
        <f t="shared" si="349"/>
        <v/>
      </c>
      <c r="AE442" s="14" t="str">
        <f t="shared" si="349"/>
        <v/>
      </c>
      <c r="AF442" s="14" t="str">
        <f t="shared" si="349"/>
        <v/>
      </c>
      <c r="AG442" s="173" t="s">
        <v>2105</v>
      </c>
    </row>
    <row r="443" spans="1:33" x14ac:dyDescent="0.3">
      <c r="A443" s="14">
        <f t="shared" si="339"/>
        <v>1411601308</v>
      </c>
      <c r="B443" s="14" t="str">
        <f t="shared" ref="B443:AF443" si="350">IF(B332 &lt;&gt; "", B332, "")</f>
        <v>EventStory</v>
      </c>
      <c r="C443" s="14" t="str">
        <f t="shared" si="350"/>
        <v>아이라스(졸)</v>
      </c>
      <c r="D443" s="14" t="str">
        <f t="shared" si="350"/>
        <v>Monster.Name.mechakanata_1</v>
      </c>
      <c r="E443" s="14" t="str">
        <f t="shared" si="350"/>
        <v>Attacker</v>
      </c>
      <c r="F443" s="14" t="str">
        <f t="shared" si="350"/>
        <v>Fac_art_app</v>
      </c>
      <c r="G443" s="14" t="str">
        <f t="shared" si="350"/>
        <v>TRUE</v>
      </c>
      <c r="H443" s="14" t="b">
        <f t="shared" si="350"/>
        <v>0</v>
      </c>
      <c r="I443" s="14" t="b">
        <f t="shared" si="350"/>
        <v>0</v>
      </c>
      <c r="J443" s="14">
        <f t="shared" si="350"/>
        <v>10</v>
      </c>
      <c r="K443" s="14">
        <f t="shared" si="350"/>
        <v>10</v>
      </c>
      <c r="L443" s="14" t="str">
        <f t="shared" si="350"/>
        <v>iras.attack1</v>
      </c>
      <c r="M443" s="14" t="str">
        <f t="shared" si="350"/>
        <v>iras.attack2</v>
      </c>
      <c r="N443" s="14" t="str">
        <f t="shared" si="350"/>
        <v>iras.attack3</v>
      </c>
      <c r="O443" s="178" t="str">
        <f t="shared" si="350"/>
        <v>iras.active1</v>
      </c>
      <c r="P443" s="14" t="str">
        <f t="shared" si="350"/>
        <v>iras.active2</v>
      </c>
      <c r="Q443" s="14" t="str">
        <f t="shared" si="350"/>
        <v>iras.passive</v>
      </c>
      <c r="R443" s="14" t="str">
        <f t="shared" si="350"/>
        <v>109.Academy.01</v>
      </c>
      <c r="S443" s="14" t="str">
        <f t="shared" si="350"/>
        <v/>
      </c>
      <c r="T443" s="14" t="str">
        <f t="shared" si="350"/>
        <v>iras.ult</v>
      </c>
      <c r="U443" s="14" t="str">
        <f t="shared" si="350"/>
        <v>iras.ult</v>
      </c>
      <c r="V443" s="14" t="b">
        <f t="shared" si="350"/>
        <v>1</v>
      </c>
      <c r="W443" s="14" t="str">
        <f t="shared" si="350"/>
        <v>Character/Prefabs/m_attacker_iras_enemy_1</v>
      </c>
      <c r="X443" s="14" t="str">
        <f t="shared" si="350"/>
        <v/>
      </c>
      <c r="Y443" s="14" t="str">
        <f t="shared" si="350"/>
        <v>character_iras_01</v>
      </c>
      <c r="Z443" s="14" t="str">
        <f t="shared" si="350"/>
        <v>Character/Timeline/01_CHA/ult_c_attacker_iras_1</v>
      </c>
      <c r="AA443" s="14" t="str">
        <f t="shared" si="350"/>
        <v>Character/Timeline/01_CHA/victory_c_attacker_iras_1</v>
      </c>
      <c r="AB443" s="14" t="str">
        <f t="shared" si="350"/>
        <v/>
      </c>
      <c r="AC443" s="94">
        <f t="shared" si="350"/>
        <v>0.7</v>
      </c>
      <c r="AD443" s="14" t="str">
        <f t="shared" si="350"/>
        <v/>
      </c>
      <c r="AE443" s="14" t="str">
        <f t="shared" si="350"/>
        <v/>
      </c>
      <c r="AF443" s="14" t="str">
        <f t="shared" si="350"/>
        <v/>
      </c>
      <c r="AG443" s="173" t="s">
        <v>2105</v>
      </c>
    </row>
    <row r="444" spans="1:33" x14ac:dyDescent="0.3">
      <c r="A444" s="14">
        <f t="shared" ref="A444" si="351">A333+100000000</f>
        <v>1411601309</v>
      </c>
      <c r="B444" s="14" t="str">
        <f t="shared" ref="B444:AF444" si="352">IF(B333 &lt;&gt; "", B333, "")</f>
        <v>EventStory</v>
      </c>
      <c r="C444" s="14" t="str">
        <f t="shared" si="352"/>
        <v>메카카나타</v>
      </c>
      <c r="D444" s="14" t="str">
        <f t="shared" si="352"/>
        <v>Monster.Name.mechakanata_1</v>
      </c>
      <c r="E444" s="14" t="str">
        <f t="shared" si="352"/>
        <v>None</v>
      </c>
      <c r="F444" s="14" t="str">
        <f t="shared" si="352"/>
        <v>Fac_nul_ind</v>
      </c>
      <c r="G444" s="14" t="str">
        <f t="shared" si="352"/>
        <v>TRUE</v>
      </c>
      <c r="H444" s="14" t="b">
        <f t="shared" si="352"/>
        <v>1</v>
      </c>
      <c r="I444" s="14" t="b">
        <f t="shared" si="352"/>
        <v>1</v>
      </c>
      <c r="J444" s="14">
        <f t="shared" si="352"/>
        <v>10</v>
      </c>
      <c r="K444" s="14">
        <f t="shared" si="352"/>
        <v>10</v>
      </c>
      <c r="L444" s="14" t="str">
        <f t="shared" si="352"/>
        <v>EventStory.mechakanata_1.attack01</v>
      </c>
      <c r="M444" s="14" t="str">
        <f t="shared" si="352"/>
        <v>EventStory.mechakanata_1.attack02</v>
      </c>
      <c r="N444" s="14" t="str">
        <f t="shared" si="352"/>
        <v>EventStory.mechakanata_1.attack03</v>
      </c>
      <c r="O444" s="178" t="str">
        <f t="shared" si="352"/>
        <v>EventStory.mechakanata_1.skill01</v>
      </c>
      <c r="P444" s="14" t="str">
        <f t="shared" si="352"/>
        <v/>
      </c>
      <c r="Q444" s="14" t="str">
        <f t="shared" si="352"/>
        <v/>
      </c>
      <c r="R444" s="14" t="str">
        <f t="shared" si="352"/>
        <v/>
      </c>
      <c r="S444" s="14" t="str">
        <f t="shared" si="352"/>
        <v/>
      </c>
      <c r="T444" s="14" t="str">
        <f t="shared" si="352"/>
        <v/>
      </c>
      <c r="U444" s="14" t="str">
        <f t="shared" si="352"/>
        <v/>
      </c>
      <c r="V444" s="14" t="b">
        <f t="shared" si="352"/>
        <v>0</v>
      </c>
      <c r="W444" s="14" t="str">
        <f t="shared" si="352"/>
        <v>Character/Prefabs/m_m_attacker_mechakanata_1</v>
      </c>
      <c r="X444" s="14" t="str">
        <f t="shared" si="352"/>
        <v/>
      </c>
      <c r="Y444" s="14" t="str">
        <f t="shared" si="352"/>
        <v>m_m_attacker_mechakanata_1</v>
      </c>
      <c r="Z444" s="14" t="str">
        <f t="shared" si="352"/>
        <v/>
      </c>
      <c r="AA444" s="14" t="str">
        <f t="shared" si="352"/>
        <v/>
      </c>
      <c r="AB444" s="14" t="str">
        <f t="shared" si="352"/>
        <v/>
      </c>
      <c r="AC444" s="94">
        <f t="shared" si="352"/>
        <v>1</v>
      </c>
      <c r="AD444" s="14" t="str">
        <f t="shared" si="352"/>
        <v/>
      </c>
      <c r="AE444" s="14" t="str">
        <f t="shared" si="352"/>
        <v/>
      </c>
      <c r="AF444" s="14" t="str">
        <f t="shared" si="352"/>
        <v/>
      </c>
      <c r="AG444" s="173" t="s">
        <v>2105</v>
      </c>
    </row>
    <row r="445" spans="1:33" x14ac:dyDescent="0.3">
      <c r="A445" s="43">
        <v>1411501001</v>
      </c>
      <c r="B445" s="43" t="s">
        <v>3976</v>
      </c>
      <c r="C445" s="43" t="s">
        <v>1861</v>
      </c>
      <c r="D445" s="43" t="s">
        <v>3977</v>
      </c>
      <c r="E445" s="43" t="s">
        <v>58</v>
      </c>
      <c r="F445" s="43" t="s">
        <v>44</v>
      </c>
      <c r="G445" s="43" t="s">
        <v>45</v>
      </c>
      <c r="H445" s="43" t="b">
        <v>1</v>
      </c>
      <c r="I445" s="43" t="b">
        <v>1</v>
      </c>
      <c r="J445" s="43">
        <v>10</v>
      </c>
      <c r="K445" s="43">
        <v>10</v>
      </c>
      <c r="L445" s="43" t="s">
        <v>3983</v>
      </c>
      <c r="M445" s="43"/>
      <c r="N445" s="43"/>
      <c r="O445" s="176" t="s">
        <v>3984</v>
      </c>
      <c r="P445" s="43" t="s">
        <v>3985</v>
      </c>
      <c r="Q445" s="43" t="s">
        <v>3986</v>
      </c>
      <c r="R445" s="43" t="s">
        <v>3991</v>
      </c>
      <c r="S445" s="43" t="s">
        <v>76</v>
      </c>
      <c r="T445" s="43"/>
      <c r="U445" s="43"/>
      <c r="V445" s="43" t="b">
        <v>0</v>
      </c>
      <c r="W445" s="43" t="s">
        <v>3978</v>
      </c>
      <c r="X445" s="43"/>
      <c r="Y445" s="43" t="s">
        <v>3979</v>
      </c>
      <c r="Z445" s="43"/>
      <c r="AA445" s="43"/>
      <c r="AB445" s="43"/>
      <c r="AC445" s="181">
        <v>1.3</v>
      </c>
      <c r="AD445" s="43"/>
      <c r="AE445" s="43" t="s">
        <v>80</v>
      </c>
      <c r="AF445" s="43" t="s">
        <v>81</v>
      </c>
      <c r="AG445" s="182" t="s">
        <v>2105</v>
      </c>
    </row>
    <row r="446" spans="1:33" x14ac:dyDescent="0.3">
      <c r="A446" s="43">
        <v>1411501002</v>
      </c>
      <c r="B446" s="43" t="s">
        <v>3976</v>
      </c>
      <c r="C446" s="43" t="s">
        <v>1863</v>
      </c>
      <c r="D446" s="43" t="s">
        <v>3980</v>
      </c>
      <c r="E446" s="43" t="s">
        <v>47</v>
      </c>
      <c r="F446" s="43" t="s">
        <v>44</v>
      </c>
      <c r="G446" s="43" t="s">
        <v>45</v>
      </c>
      <c r="H446" s="43" t="b">
        <v>1</v>
      </c>
      <c r="I446" s="43" t="b">
        <v>1</v>
      </c>
      <c r="J446" s="43">
        <v>20</v>
      </c>
      <c r="K446" s="43">
        <v>10</v>
      </c>
      <c r="L446" s="43" t="s">
        <v>3992</v>
      </c>
      <c r="M446" s="43"/>
      <c r="N446" s="43"/>
      <c r="O446" s="176" t="s">
        <v>3987</v>
      </c>
      <c r="P446" s="43" t="s">
        <v>3988</v>
      </c>
      <c r="Q446" s="43" t="s">
        <v>3989</v>
      </c>
      <c r="R446" s="43" t="s">
        <v>3990</v>
      </c>
      <c r="S446" s="43" t="s">
        <v>76</v>
      </c>
      <c r="T446" s="43"/>
      <c r="U446" s="43"/>
      <c r="V446" s="43" t="b">
        <v>0</v>
      </c>
      <c r="W446" s="43" t="s">
        <v>3981</v>
      </c>
      <c r="X446" s="43"/>
      <c r="Y446" s="43" t="s">
        <v>3982</v>
      </c>
      <c r="Z446" s="43"/>
      <c r="AA446" s="43"/>
      <c r="AB446" s="43"/>
      <c r="AC446" s="181">
        <v>0.9</v>
      </c>
      <c r="AD446" s="43"/>
      <c r="AE446" s="43" t="s">
        <v>103</v>
      </c>
      <c r="AF446" s="43" t="s">
        <v>104</v>
      </c>
      <c r="AG446" s="182" t="s">
        <v>2105</v>
      </c>
    </row>
    <row r="447" spans="1:33" x14ac:dyDescent="0.3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78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94"/>
      <c r="AD447" s="14"/>
      <c r="AE447" s="14"/>
      <c r="AF447" s="14"/>
      <c r="AG447" s="173"/>
    </row>
    <row r="448" spans="1:33" x14ac:dyDescent="0.3">
      <c r="A448" s="22">
        <f t="shared" ref="A448:A479" si="353">A337+100000000</f>
        <v>1510601001</v>
      </c>
      <c r="B448" s="22" t="str">
        <f t="shared" ref="B448:AF448" si="354">IF(B337 &lt;&gt; "", B337, "")</f>
        <v>WorldRaid</v>
      </c>
      <c r="C448" s="22" t="str">
        <f t="shared" si="354"/>
        <v>에페리우스</v>
      </c>
      <c r="D448" s="22" t="str">
        <f t="shared" si="354"/>
        <v>Monster.Name.eperiusunit_1</v>
      </c>
      <c r="E448" s="22" t="str">
        <f t="shared" si="354"/>
        <v>None</v>
      </c>
      <c r="F448" s="53" t="str">
        <f t="shared" si="354"/>
        <v>Fac_nul_ind</v>
      </c>
      <c r="G448" s="22" t="str">
        <f t="shared" si="354"/>
        <v>TRUE</v>
      </c>
      <c r="H448" s="22" t="b">
        <f t="shared" si="354"/>
        <v>1</v>
      </c>
      <c r="I448" s="22" t="b">
        <f t="shared" si="354"/>
        <v>1</v>
      </c>
      <c r="J448" s="22">
        <f t="shared" si="354"/>
        <v>40</v>
      </c>
      <c r="K448" s="22">
        <f t="shared" si="354"/>
        <v>10</v>
      </c>
      <c r="L448" s="22" t="str">
        <f t="shared" si="354"/>
        <v>WorldRaid.eperiusunit_1.attack01</v>
      </c>
      <c r="M448" s="22" t="str">
        <f t="shared" si="354"/>
        <v>WorldRaid.eperiusunit_1.attack02</v>
      </c>
      <c r="N448" s="22" t="str">
        <f t="shared" si="354"/>
        <v>WorldRaid.eperiusunit_1.attack03</v>
      </c>
      <c r="O448" s="172" t="str">
        <f t="shared" si="354"/>
        <v>WorldRaid.eperiusunit_1.skill01</v>
      </c>
      <c r="P448" s="54" t="str">
        <f t="shared" si="354"/>
        <v>WorldRaid.eperiusunit_1.skill02</v>
      </c>
      <c r="Q448" s="54" t="str">
        <f t="shared" si="354"/>
        <v>WorldRaid.eperiusunit_1.skill03</v>
      </c>
      <c r="R448" s="54" t="str">
        <f t="shared" si="354"/>
        <v>WorldRaid.eperiusunit_1.skill04</v>
      </c>
      <c r="S448" s="54" t="str">
        <f t="shared" si="354"/>
        <v>WorldRaid.eperiusunit_1.passive01</v>
      </c>
      <c r="T448" s="54" t="str">
        <f t="shared" si="354"/>
        <v/>
      </c>
      <c r="U448" s="54" t="str">
        <f t="shared" si="354"/>
        <v/>
      </c>
      <c r="V448" s="22" t="b">
        <f t="shared" si="354"/>
        <v>0</v>
      </c>
      <c r="W448" s="22" t="str">
        <f t="shared" si="354"/>
        <v>Character/Prefabs/m_boss_ranger_eperiusunit_1</v>
      </c>
      <c r="X448" s="22" t="str">
        <f t="shared" si="354"/>
        <v/>
      </c>
      <c r="Y448" s="22" t="str">
        <f t="shared" si="354"/>
        <v>m_boss_ranger_eperiusunit_1</v>
      </c>
      <c r="Z448" s="22" t="str">
        <f t="shared" si="354"/>
        <v/>
      </c>
      <c r="AA448" s="22" t="str">
        <f t="shared" si="354"/>
        <v/>
      </c>
      <c r="AB448" s="22" t="str">
        <f t="shared" si="354"/>
        <v>Die_machine</v>
      </c>
      <c r="AC448" s="95">
        <f t="shared" si="354"/>
        <v>1.4</v>
      </c>
      <c r="AD448" s="22" t="str">
        <f t="shared" si="354"/>
        <v/>
      </c>
      <c r="AE448" s="22" t="str">
        <f t="shared" si="354"/>
        <v>Character/Timeline/02_MON/eperiusunit_1/appearance</v>
      </c>
      <c r="AF448" s="22" t="str">
        <f t="shared" si="354"/>
        <v>Character/Timeline/02_MON/eperiusunit_1/die</v>
      </c>
      <c r="AG448" s="173" t="s">
        <v>2764</v>
      </c>
    </row>
    <row r="449" spans="1:33" x14ac:dyDescent="0.3">
      <c r="A449" s="45">
        <f t="shared" si="353"/>
        <v>1511201001</v>
      </c>
      <c r="B449" s="45" t="str">
        <f t="shared" ref="B449:AF449" si="355">IF(B338 &lt;&gt; "", B338, "")</f>
        <v>GuildOperation01</v>
      </c>
      <c r="C449" s="45" t="str">
        <f t="shared" si="355"/>
        <v>톡식베리</v>
      </c>
      <c r="D449" s="45" t="str">
        <f t="shared" si="355"/>
        <v>Monster.Name.toxic_2</v>
      </c>
      <c r="E449" s="45" t="str">
        <f t="shared" si="355"/>
        <v>Attacker</v>
      </c>
      <c r="F449" s="46" t="str">
        <f t="shared" si="355"/>
        <v>Fac_nul_ind</v>
      </c>
      <c r="G449" s="45" t="str">
        <f t="shared" si="355"/>
        <v>TRUE</v>
      </c>
      <c r="H449" s="45" t="b">
        <f t="shared" si="355"/>
        <v>1</v>
      </c>
      <c r="I449" s="45" t="b">
        <f t="shared" si="355"/>
        <v>1</v>
      </c>
      <c r="J449" s="45">
        <f t="shared" si="355"/>
        <v>30</v>
      </c>
      <c r="K449" s="45">
        <f t="shared" si="355"/>
        <v>10</v>
      </c>
      <c r="L449" s="45" t="str">
        <f t="shared" si="355"/>
        <v>GuildOperation01.toxic_2.attack01</v>
      </c>
      <c r="M449" s="45" t="str">
        <f t="shared" si="355"/>
        <v>GuildOperation01.toxic_2.attack02</v>
      </c>
      <c r="N449" s="45" t="str">
        <f t="shared" si="355"/>
        <v/>
      </c>
      <c r="O449" s="174" t="str">
        <f t="shared" si="355"/>
        <v>GuildOperation01.toxic_2.skill01</v>
      </c>
      <c r="P449" s="47" t="str">
        <f t="shared" si="355"/>
        <v>GuildOperation01.toxic_2.skill02</v>
      </c>
      <c r="Q449" s="47" t="str">
        <f t="shared" si="355"/>
        <v>GuildOperation01.toxic_2.skill03</v>
      </c>
      <c r="R449" s="47" t="str">
        <f t="shared" si="355"/>
        <v>GuildOperation.Normal</v>
      </c>
      <c r="S449" s="47" t="str">
        <f t="shared" si="355"/>
        <v/>
      </c>
      <c r="T449" s="47" t="str">
        <f t="shared" si="355"/>
        <v/>
      </c>
      <c r="U449" s="47" t="str">
        <f t="shared" si="355"/>
        <v/>
      </c>
      <c r="V449" s="45" t="b">
        <f t="shared" si="355"/>
        <v>0</v>
      </c>
      <c r="W449" s="45" t="str">
        <f t="shared" si="355"/>
        <v>Character/Prefabs/m_boss_attacker_toxic_2</v>
      </c>
      <c r="X449" s="45" t="str">
        <f t="shared" si="355"/>
        <v/>
      </c>
      <c r="Y449" s="45" t="str">
        <f t="shared" si="355"/>
        <v>m_boss_attacker_toxic_2</v>
      </c>
      <c r="Z449" s="45" t="str">
        <f t="shared" si="355"/>
        <v/>
      </c>
      <c r="AA449" s="45" t="str">
        <f t="shared" si="355"/>
        <v/>
      </c>
      <c r="AB449" s="45" t="str">
        <f t="shared" si="355"/>
        <v>Die_machine</v>
      </c>
      <c r="AC449" s="93">
        <f t="shared" si="355"/>
        <v>1.2</v>
      </c>
      <c r="AD449" s="45" t="str">
        <f t="shared" si="355"/>
        <v/>
      </c>
      <c r="AE449" s="45" t="str">
        <f t="shared" si="355"/>
        <v>Character/Timeline/02_MON/toxic_1/m_boss_attacker_toxic_2_appearance</v>
      </c>
      <c r="AF449" s="45" t="str">
        <f t="shared" si="355"/>
        <v/>
      </c>
      <c r="AG449" s="173" t="s">
        <v>2764</v>
      </c>
    </row>
    <row r="450" spans="1:33" x14ac:dyDescent="0.3">
      <c r="A450" s="45">
        <f t="shared" si="353"/>
        <v>1511202001</v>
      </c>
      <c r="B450" s="45" t="str">
        <f t="shared" ref="B450:AF450" si="356">IF(B339 &lt;&gt; "", B339, "")</f>
        <v>GuildOperation02</v>
      </c>
      <c r="C450" s="45" t="str">
        <f t="shared" si="356"/>
        <v>골리앗베리</v>
      </c>
      <c r="D450" s="45" t="str">
        <f t="shared" si="356"/>
        <v>Monster.Name.goliath_2</v>
      </c>
      <c r="E450" s="45" t="str">
        <f t="shared" si="356"/>
        <v>Tanker</v>
      </c>
      <c r="F450" s="46" t="str">
        <f t="shared" si="356"/>
        <v>Fac_nul_ind</v>
      </c>
      <c r="G450" s="45" t="str">
        <f t="shared" si="356"/>
        <v>TRUE</v>
      </c>
      <c r="H450" s="45" t="b">
        <f t="shared" si="356"/>
        <v>1</v>
      </c>
      <c r="I450" s="45" t="b">
        <f t="shared" si="356"/>
        <v>1</v>
      </c>
      <c r="J450" s="45">
        <f t="shared" si="356"/>
        <v>20</v>
      </c>
      <c r="K450" s="45">
        <f t="shared" si="356"/>
        <v>10</v>
      </c>
      <c r="L450" s="45" t="str">
        <f t="shared" si="356"/>
        <v>GuildOperation02.goliath_2.attack01</v>
      </c>
      <c r="M450" s="45" t="str">
        <f t="shared" si="356"/>
        <v/>
      </c>
      <c r="N450" s="45" t="str">
        <f t="shared" si="356"/>
        <v/>
      </c>
      <c r="O450" s="174" t="str">
        <f t="shared" si="356"/>
        <v>GuildOperation02.goliath_2.skill01</v>
      </c>
      <c r="P450" s="47" t="str">
        <f t="shared" si="356"/>
        <v>GuildOperation02.goliath_2.skill02</v>
      </c>
      <c r="Q450" s="47" t="str">
        <f t="shared" si="356"/>
        <v>GuildOperation02.goliath_2.skill03</v>
      </c>
      <c r="R450" s="47" t="str">
        <f t="shared" si="356"/>
        <v>GuildOperation02.goliath_2.passive01</v>
      </c>
      <c r="S450" s="47" t="str">
        <f t="shared" si="356"/>
        <v>GuildOperation.Hard</v>
      </c>
      <c r="T450" s="47" t="str">
        <f t="shared" si="356"/>
        <v/>
      </c>
      <c r="U450" s="47" t="str">
        <f t="shared" si="356"/>
        <v/>
      </c>
      <c r="V450" s="45" t="b">
        <f t="shared" si="356"/>
        <v>0</v>
      </c>
      <c r="W450" s="45" t="str">
        <f t="shared" si="356"/>
        <v>Character/Prefabs/m_boss_attacker_goliath_2</v>
      </c>
      <c r="X450" s="45" t="str">
        <f t="shared" si="356"/>
        <v/>
      </c>
      <c r="Y450" s="45" t="str">
        <f t="shared" si="356"/>
        <v>m_boss_attacker_goliath_2</v>
      </c>
      <c r="Z450" s="45" t="str">
        <f t="shared" si="356"/>
        <v/>
      </c>
      <c r="AA450" s="45" t="str">
        <f t="shared" si="356"/>
        <v/>
      </c>
      <c r="AB450" s="45" t="str">
        <f t="shared" si="356"/>
        <v>Die_machine</v>
      </c>
      <c r="AC450" s="93">
        <f t="shared" si="356"/>
        <v>2</v>
      </c>
      <c r="AD450" s="45" t="str">
        <f t="shared" si="356"/>
        <v/>
      </c>
      <c r="AE450" s="45" t="str">
        <f t="shared" si="356"/>
        <v>Character/Timeline/02_MON/goliath_2/m_boss_attacker_goliath_2@appearance</v>
      </c>
      <c r="AF450" s="45" t="str">
        <f t="shared" si="356"/>
        <v/>
      </c>
      <c r="AG450" s="173" t="s">
        <v>2764</v>
      </c>
    </row>
    <row r="451" spans="1:33" x14ac:dyDescent="0.3">
      <c r="A451" s="45">
        <f t="shared" si="353"/>
        <v>1511202002</v>
      </c>
      <c r="B451" s="45" t="str">
        <f t="shared" ref="B451:AF451" si="357">IF(B340 &lt;&gt; "", B340, "")</f>
        <v>GuildOperation02</v>
      </c>
      <c r="C451" s="45" t="str">
        <f t="shared" si="357"/>
        <v>골리앗베리</v>
      </c>
      <c r="D451" s="45" t="str">
        <f t="shared" si="357"/>
        <v>Monster.Name.goliath_2</v>
      </c>
      <c r="E451" s="45" t="str">
        <f t="shared" si="357"/>
        <v>Tanker</v>
      </c>
      <c r="F451" s="46" t="str">
        <f t="shared" si="357"/>
        <v>Fac_nul_ind</v>
      </c>
      <c r="G451" s="45" t="str">
        <f t="shared" si="357"/>
        <v>TRUE</v>
      </c>
      <c r="H451" s="45" t="b">
        <f t="shared" si="357"/>
        <v>0</v>
      </c>
      <c r="I451" s="45" t="b">
        <f t="shared" si="357"/>
        <v>0</v>
      </c>
      <c r="J451" s="45">
        <f t="shared" si="357"/>
        <v>10</v>
      </c>
      <c r="K451" s="45">
        <f t="shared" si="357"/>
        <v>10</v>
      </c>
      <c r="L451" s="45" t="str">
        <f t="shared" si="357"/>
        <v>GuildOperation02.mini_1.attack01</v>
      </c>
      <c r="M451" s="45" t="str">
        <f t="shared" si="357"/>
        <v/>
      </c>
      <c r="N451" s="45" t="str">
        <f t="shared" si="357"/>
        <v/>
      </c>
      <c r="O451" s="174" t="str">
        <f t="shared" si="357"/>
        <v>GuildOperation02.mini_1.passive01</v>
      </c>
      <c r="P451" s="47" t="str">
        <f t="shared" si="357"/>
        <v/>
      </c>
      <c r="Q451" s="47" t="str">
        <f t="shared" si="357"/>
        <v/>
      </c>
      <c r="R451" s="47" t="str">
        <f t="shared" si="357"/>
        <v/>
      </c>
      <c r="S451" s="47" t="str">
        <f t="shared" si="357"/>
        <v/>
      </c>
      <c r="T451" s="47" t="str">
        <f t="shared" si="357"/>
        <v/>
      </c>
      <c r="U451" s="47" t="str">
        <f t="shared" si="357"/>
        <v/>
      </c>
      <c r="V451" s="45" t="b">
        <f t="shared" si="357"/>
        <v>0</v>
      </c>
      <c r="W451" s="45" t="str">
        <f t="shared" si="357"/>
        <v>Character/Prefabs/m_boss_attacker_goliath_2</v>
      </c>
      <c r="X451" s="45" t="str">
        <f t="shared" si="357"/>
        <v/>
      </c>
      <c r="Y451" s="45" t="str">
        <f t="shared" si="357"/>
        <v>m_boss_attacker_goliath_2</v>
      </c>
      <c r="Z451" s="45" t="str">
        <f t="shared" si="357"/>
        <v/>
      </c>
      <c r="AA451" s="45" t="str">
        <f t="shared" si="357"/>
        <v/>
      </c>
      <c r="AB451" s="45" t="str">
        <f t="shared" si="357"/>
        <v>Die_machine</v>
      </c>
      <c r="AC451" s="93">
        <f t="shared" si="357"/>
        <v>0.5</v>
      </c>
      <c r="AD451" s="45" t="str">
        <f t="shared" si="357"/>
        <v/>
      </c>
      <c r="AE451" s="45" t="str">
        <f t="shared" si="357"/>
        <v/>
      </c>
      <c r="AF451" s="45" t="str">
        <f t="shared" si="357"/>
        <v/>
      </c>
      <c r="AG451" s="173" t="s">
        <v>2764</v>
      </c>
    </row>
    <row r="452" spans="1:33" x14ac:dyDescent="0.3">
      <c r="A452" s="108">
        <f t="shared" si="353"/>
        <v>1511401001</v>
      </c>
      <c r="B452" s="108" t="str">
        <f t="shared" ref="B452:AF452" si="358">IF(B341 &lt;&gt; "", B341, "")</f>
        <v>GuildAssault</v>
      </c>
      <c r="C452" s="108" t="str">
        <f t="shared" si="358"/>
        <v>마리오네</v>
      </c>
      <c r="D452" s="108" t="str">
        <f t="shared" si="358"/>
        <v>Monster.Name.marionne_1</v>
      </c>
      <c r="E452" s="108" t="str">
        <f t="shared" si="358"/>
        <v>None</v>
      </c>
      <c r="F452" s="109" t="str">
        <f t="shared" si="358"/>
        <v>Fac_nul_ind</v>
      </c>
      <c r="G452" s="108" t="str">
        <f t="shared" si="358"/>
        <v>TRUE</v>
      </c>
      <c r="H452" s="108" t="b">
        <f t="shared" si="358"/>
        <v>1</v>
      </c>
      <c r="I452" s="108" t="b">
        <f t="shared" si="358"/>
        <v>1</v>
      </c>
      <c r="J452" s="108">
        <f t="shared" si="358"/>
        <v>10</v>
      </c>
      <c r="K452" s="108">
        <f t="shared" si="358"/>
        <v>10</v>
      </c>
      <c r="L452" s="108" t="str">
        <f t="shared" si="358"/>
        <v>1111401001.attack01</v>
      </c>
      <c r="M452" s="108" t="str">
        <f t="shared" si="358"/>
        <v>1111401001.attack02</v>
      </c>
      <c r="N452" s="108" t="str">
        <f t="shared" si="358"/>
        <v>1111401001.attack03</v>
      </c>
      <c r="O452" s="175" t="str">
        <f t="shared" si="358"/>
        <v>1111401001.skill01</v>
      </c>
      <c r="P452" s="110" t="str">
        <f t="shared" si="358"/>
        <v>1111401001.skill02</v>
      </c>
      <c r="Q452" s="110" t="str">
        <f t="shared" si="358"/>
        <v>1111401001.skill03</v>
      </c>
      <c r="R452" s="110" t="str">
        <f t="shared" si="358"/>
        <v>1111401001.Passive</v>
      </c>
      <c r="S452" s="110" t="str">
        <f t="shared" si="358"/>
        <v>GuildAssault.Passive</v>
      </c>
      <c r="T452" s="110" t="str">
        <f t="shared" si="358"/>
        <v/>
      </c>
      <c r="U452" s="110" t="str">
        <f t="shared" si="358"/>
        <v/>
      </c>
      <c r="V452" s="108" t="b">
        <f t="shared" si="358"/>
        <v>0</v>
      </c>
      <c r="W452" s="108" t="str">
        <f t="shared" si="358"/>
        <v>Character/Prefabs/m_boss_ranger_marionne_1</v>
      </c>
      <c r="X452" s="108" t="str">
        <f t="shared" si="358"/>
        <v/>
      </c>
      <c r="Y452" s="108" t="str">
        <f t="shared" si="358"/>
        <v>m_boss_ranger_marionne_1</v>
      </c>
      <c r="Z452" s="108" t="str">
        <f t="shared" si="358"/>
        <v/>
      </c>
      <c r="AA452" s="108" t="str">
        <f t="shared" si="358"/>
        <v/>
      </c>
      <c r="AB452" s="108" t="str">
        <f t="shared" si="358"/>
        <v>Die_machine</v>
      </c>
      <c r="AC452" s="111">
        <f t="shared" si="358"/>
        <v>1</v>
      </c>
      <c r="AD452" s="108" t="str">
        <f t="shared" si="358"/>
        <v/>
      </c>
      <c r="AE452" s="108" t="str">
        <f t="shared" si="358"/>
        <v>Character/Timeline/02_MON/marionne/m_boss_ranger_marionne_1@enter_timeline</v>
      </c>
      <c r="AF452" s="108" t="str">
        <f t="shared" si="358"/>
        <v>Character/Timeline/02_MON/marionne/m_boss_ranger_marionne_1@die_timeline</v>
      </c>
      <c r="AG452" s="173" t="s">
        <v>2764</v>
      </c>
    </row>
    <row r="453" spans="1:33" x14ac:dyDescent="0.3">
      <c r="A453" s="108">
        <f t="shared" si="353"/>
        <v>1511401002</v>
      </c>
      <c r="B453" s="108" t="str">
        <f t="shared" ref="B453:AF453" si="359">IF(B342 &lt;&gt; "", B342, "")</f>
        <v>GuildAssault</v>
      </c>
      <c r="C453" s="108" t="str">
        <f t="shared" si="359"/>
        <v>마리오네_퍼펫</v>
      </c>
      <c r="D453" s="108" t="str">
        <f t="shared" si="359"/>
        <v>Monster.Name.marionne_puppet_1</v>
      </c>
      <c r="E453" s="108" t="str">
        <f t="shared" si="359"/>
        <v>Attacker</v>
      </c>
      <c r="F453" s="109" t="str">
        <f t="shared" si="359"/>
        <v>Fac_nul_ind</v>
      </c>
      <c r="G453" s="108" t="str">
        <f t="shared" si="359"/>
        <v>TRUE</v>
      </c>
      <c r="H453" s="108" t="b">
        <f t="shared" si="359"/>
        <v>0</v>
      </c>
      <c r="I453" s="108" t="b">
        <f t="shared" si="359"/>
        <v>0</v>
      </c>
      <c r="J453" s="108">
        <f t="shared" si="359"/>
        <v>10</v>
      </c>
      <c r="K453" s="108">
        <f t="shared" si="359"/>
        <v>10</v>
      </c>
      <c r="L453" s="108" t="str">
        <f t="shared" si="359"/>
        <v>1111401002.attack01</v>
      </c>
      <c r="M453" s="108" t="str">
        <f t="shared" si="359"/>
        <v/>
      </c>
      <c r="N453" s="108" t="str">
        <f t="shared" si="359"/>
        <v/>
      </c>
      <c r="O453" s="175" t="str">
        <f t="shared" si="359"/>
        <v>1111401002.Passive</v>
      </c>
      <c r="P453" s="110" t="str">
        <f t="shared" si="359"/>
        <v/>
      </c>
      <c r="Q453" s="110" t="str">
        <f t="shared" si="359"/>
        <v/>
      </c>
      <c r="R453" s="110" t="str">
        <f t="shared" si="359"/>
        <v/>
      </c>
      <c r="S453" s="110" t="str">
        <f t="shared" si="359"/>
        <v/>
      </c>
      <c r="T453" s="110" t="str">
        <f t="shared" si="359"/>
        <v/>
      </c>
      <c r="U453" s="110" t="str">
        <f t="shared" si="359"/>
        <v/>
      </c>
      <c r="V453" s="108" t="b">
        <f t="shared" si="359"/>
        <v>0</v>
      </c>
      <c r="W453" s="108" t="str">
        <f t="shared" si="359"/>
        <v>Character/Prefabs/m_m_attacker_marionne_puppet_1</v>
      </c>
      <c r="X453" s="108" t="str">
        <f t="shared" si="359"/>
        <v/>
      </c>
      <c r="Y453" s="108" t="str">
        <f t="shared" si="359"/>
        <v>m_m_attacker_marionne_puppet_1</v>
      </c>
      <c r="Z453" s="108" t="str">
        <f t="shared" si="359"/>
        <v/>
      </c>
      <c r="AA453" s="108" t="str">
        <f t="shared" si="359"/>
        <v/>
      </c>
      <c r="AB453" s="108" t="str">
        <f t="shared" si="359"/>
        <v>Die_machine</v>
      </c>
      <c r="AC453" s="111">
        <f t="shared" si="359"/>
        <v>1</v>
      </c>
      <c r="AD453" s="108" t="str">
        <f t="shared" si="359"/>
        <v/>
      </c>
      <c r="AE453" s="108" t="str">
        <f t="shared" si="359"/>
        <v/>
      </c>
      <c r="AF453" s="108" t="str">
        <f t="shared" si="359"/>
        <v/>
      </c>
      <c r="AG453" s="173" t="s">
        <v>2764</v>
      </c>
    </row>
    <row r="454" spans="1:33" x14ac:dyDescent="0.3">
      <c r="A454" s="108">
        <f t="shared" si="353"/>
        <v>1511401003</v>
      </c>
      <c r="B454" s="108" t="str">
        <f t="shared" ref="B454:AF454" si="360">IF(B343 &lt;&gt; "", B343, "")</f>
        <v>GuildAssault</v>
      </c>
      <c r="C454" s="108" t="str">
        <f t="shared" si="360"/>
        <v>마리오네_퍼펫</v>
      </c>
      <c r="D454" s="108" t="str">
        <f t="shared" si="360"/>
        <v>Monster.Name.marionne_puppet_1</v>
      </c>
      <c r="E454" s="108" t="str">
        <f t="shared" si="360"/>
        <v>Attacker</v>
      </c>
      <c r="F454" s="109" t="str">
        <f t="shared" si="360"/>
        <v>Fac_nul_ind</v>
      </c>
      <c r="G454" s="108" t="str">
        <f t="shared" si="360"/>
        <v>TRUE</v>
      </c>
      <c r="H454" s="108" t="b">
        <f t="shared" si="360"/>
        <v>0</v>
      </c>
      <c r="I454" s="108" t="b">
        <f t="shared" si="360"/>
        <v>0</v>
      </c>
      <c r="J454" s="108">
        <f t="shared" si="360"/>
        <v>10</v>
      </c>
      <c r="K454" s="108">
        <f t="shared" si="360"/>
        <v>10</v>
      </c>
      <c r="L454" s="108" t="str">
        <f t="shared" si="360"/>
        <v>1111401003.attack01</v>
      </c>
      <c r="M454" s="108" t="str">
        <f t="shared" si="360"/>
        <v/>
      </c>
      <c r="N454" s="108" t="str">
        <f t="shared" si="360"/>
        <v/>
      </c>
      <c r="O454" s="175" t="str">
        <f t="shared" si="360"/>
        <v>1111401003.Passive</v>
      </c>
      <c r="P454" s="110" t="str">
        <f t="shared" si="360"/>
        <v/>
      </c>
      <c r="Q454" s="110" t="str">
        <f t="shared" si="360"/>
        <v/>
      </c>
      <c r="R454" s="110" t="str">
        <f t="shared" si="360"/>
        <v/>
      </c>
      <c r="S454" s="110" t="str">
        <f t="shared" si="360"/>
        <v/>
      </c>
      <c r="T454" s="110" t="str">
        <f t="shared" si="360"/>
        <v/>
      </c>
      <c r="U454" s="110" t="str">
        <f t="shared" si="360"/>
        <v/>
      </c>
      <c r="V454" s="108" t="b">
        <f t="shared" si="360"/>
        <v>0</v>
      </c>
      <c r="W454" s="108" t="str">
        <f t="shared" si="360"/>
        <v>Character/Prefabs/m_m_attacker_marionne_puppet_1</v>
      </c>
      <c r="X454" s="108" t="str">
        <f t="shared" si="360"/>
        <v/>
      </c>
      <c r="Y454" s="108" t="str">
        <f t="shared" si="360"/>
        <v>m_m_attacker_marionne_puppet_1</v>
      </c>
      <c r="Z454" s="108" t="str">
        <f t="shared" si="360"/>
        <v/>
      </c>
      <c r="AA454" s="108" t="str">
        <f t="shared" si="360"/>
        <v/>
      </c>
      <c r="AB454" s="108" t="str">
        <f t="shared" si="360"/>
        <v>Die_machine</v>
      </c>
      <c r="AC454" s="111">
        <f t="shared" si="360"/>
        <v>1</v>
      </c>
      <c r="AD454" s="108" t="str">
        <f t="shared" si="360"/>
        <v/>
      </c>
      <c r="AE454" s="108" t="str">
        <f t="shared" si="360"/>
        <v/>
      </c>
      <c r="AF454" s="108" t="str">
        <f t="shared" si="360"/>
        <v/>
      </c>
      <c r="AG454" s="173" t="s">
        <v>2764</v>
      </c>
    </row>
    <row r="455" spans="1:33" x14ac:dyDescent="0.3">
      <c r="A455" s="108">
        <f t="shared" si="353"/>
        <v>1511401004</v>
      </c>
      <c r="B455" s="108" t="str">
        <f t="shared" ref="B455:AF455" si="361">IF(B344 &lt;&gt; "", B344, "")</f>
        <v>GuildAssault</v>
      </c>
      <c r="C455" s="108" t="str">
        <f t="shared" si="361"/>
        <v>마리오네_퍼펫</v>
      </c>
      <c r="D455" s="108" t="str">
        <f t="shared" si="361"/>
        <v>Monster.Name.marionne_puppet_1</v>
      </c>
      <c r="E455" s="108" t="str">
        <f t="shared" si="361"/>
        <v>Attacker</v>
      </c>
      <c r="F455" s="109" t="str">
        <f t="shared" si="361"/>
        <v>Fac_nul_ind</v>
      </c>
      <c r="G455" s="108" t="str">
        <f t="shared" si="361"/>
        <v>TRUE</v>
      </c>
      <c r="H455" s="108" t="b">
        <f t="shared" si="361"/>
        <v>0</v>
      </c>
      <c r="I455" s="108" t="b">
        <f t="shared" si="361"/>
        <v>0</v>
      </c>
      <c r="J455" s="108">
        <f t="shared" si="361"/>
        <v>10</v>
      </c>
      <c r="K455" s="108">
        <f t="shared" si="361"/>
        <v>10</v>
      </c>
      <c r="L455" s="108" t="str">
        <f t="shared" si="361"/>
        <v/>
      </c>
      <c r="M455" s="108" t="str">
        <f t="shared" si="361"/>
        <v/>
      </c>
      <c r="N455" s="108" t="str">
        <f t="shared" si="361"/>
        <v/>
      </c>
      <c r="O455" s="175" t="str">
        <f t="shared" si="361"/>
        <v>1111401004.skill01</v>
      </c>
      <c r="P455" s="110" t="str">
        <f t="shared" si="361"/>
        <v>1111401004.Passive</v>
      </c>
      <c r="Q455" s="110" t="str">
        <f t="shared" si="361"/>
        <v/>
      </c>
      <c r="R455" s="110" t="str">
        <f t="shared" si="361"/>
        <v/>
      </c>
      <c r="S455" s="110" t="str">
        <f t="shared" si="361"/>
        <v/>
      </c>
      <c r="T455" s="110" t="str">
        <f t="shared" si="361"/>
        <v/>
      </c>
      <c r="U455" s="110" t="str">
        <f t="shared" si="361"/>
        <v/>
      </c>
      <c r="V455" s="108" t="b">
        <f t="shared" si="361"/>
        <v>0</v>
      </c>
      <c r="W455" s="108" t="str">
        <f t="shared" si="361"/>
        <v>Character/Prefabs/m_m_attacker_marionne_puppet_1</v>
      </c>
      <c r="X455" s="108" t="str">
        <f t="shared" si="361"/>
        <v/>
      </c>
      <c r="Y455" s="108" t="str">
        <f t="shared" si="361"/>
        <v>m_m_attacker_marionne_puppet_1</v>
      </c>
      <c r="Z455" s="108" t="str">
        <f t="shared" si="361"/>
        <v/>
      </c>
      <c r="AA455" s="108" t="str">
        <f t="shared" si="361"/>
        <v/>
      </c>
      <c r="AB455" s="108" t="str">
        <f t="shared" si="361"/>
        <v>Die_machine</v>
      </c>
      <c r="AC455" s="111">
        <f t="shared" si="361"/>
        <v>1</v>
      </c>
      <c r="AD455" s="108" t="str">
        <f t="shared" si="361"/>
        <v/>
      </c>
      <c r="AE455" s="108" t="str">
        <f t="shared" si="361"/>
        <v/>
      </c>
      <c r="AF455" s="108" t="str">
        <f t="shared" si="361"/>
        <v/>
      </c>
      <c r="AG455" s="173" t="s">
        <v>2764</v>
      </c>
    </row>
    <row r="456" spans="1:33" x14ac:dyDescent="0.3">
      <c r="A456" s="108">
        <f t="shared" si="353"/>
        <v>1511401005</v>
      </c>
      <c r="B456" s="108" t="str">
        <f t="shared" ref="B456:AF456" si="362">IF(B345 &lt;&gt; "", B345, "")</f>
        <v>GuildAssault</v>
      </c>
      <c r="C456" s="108" t="str">
        <f t="shared" si="362"/>
        <v>마리오네_스킬5</v>
      </c>
      <c r="D456" s="108" t="str">
        <f t="shared" si="362"/>
        <v/>
      </c>
      <c r="E456" s="108" t="str">
        <f t="shared" si="362"/>
        <v>Tanker</v>
      </c>
      <c r="F456" s="109" t="str">
        <f t="shared" si="362"/>
        <v>Fac_nul_ind</v>
      </c>
      <c r="G456" s="108" t="b">
        <f t="shared" si="362"/>
        <v>1</v>
      </c>
      <c r="H456" s="108" t="str">
        <f t="shared" si="362"/>
        <v>FALSE</v>
      </c>
      <c r="I456" s="108" t="str">
        <f t="shared" si="362"/>
        <v>FALSE</v>
      </c>
      <c r="J456" s="108">
        <f t="shared" si="362"/>
        <v>10</v>
      </c>
      <c r="K456" s="108">
        <f t="shared" si="362"/>
        <v>10</v>
      </c>
      <c r="L456" s="108" t="str">
        <f t="shared" si="362"/>
        <v/>
      </c>
      <c r="M456" s="108" t="str">
        <f t="shared" si="362"/>
        <v/>
      </c>
      <c r="N456" s="108" t="str">
        <f t="shared" si="362"/>
        <v/>
      </c>
      <c r="O456" s="175" t="str">
        <f t="shared" si="362"/>
        <v/>
      </c>
      <c r="P456" s="110" t="str">
        <f t="shared" si="362"/>
        <v/>
      </c>
      <c r="Q456" s="110" t="str">
        <f t="shared" si="362"/>
        <v/>
      </c>
      <c r="R456" s="110" t="str">
        <f t="shared" si="362"/>
        <v/>
      </c>
      <c r="S456" s="110" t="str">
        <f t="shared" si="362"/>
        <v/>
      </c>
      <c r="T456" s="110" t="str">
        <f t="shared" si="362"/>
        <v/>
      </c>
      <c r="U456" s="110" t="str">
        <f t="shared" si="362"/>
        <v/>
      </c>
      <c r="V456" s="108" t="b">
        <f t="shared" si="362"/>
        <v>1</v>
      </c>
      <c r="W456" s="108" t="str">
        <f t="shared" si="362"/>
        <v>Character/Prefabs/m_boss_ranger_marionne_1_abn</v>
      </c>
      <c r="X456" s="108" t="str">
        <f t="shared" si="362"/>
        <v/>
      </c>
      <c r="Y456" s="108" t="str">
        <f t="shared" si="362"/>
        <v/>
      </c>
      <c r="Z456" s="108" t="str">
        <f t="shared" si="362"/>
        <v/>
      </c>
      <c r="AA456" s="108" t="str">
        <f t="shared" si="362"/>
        <v/>
      </c>
      <c r="AB456" s="108" t="str">
        <f t="shared" si="362"/>
        <v>Die_machine</v>
      </c>
      <c r="AC456" s="111">
        <f t="shared" si="362"/>
        <v>0.9</v>
      </c>
      <c r="AD456" s="108" t="str">
        <f t="shared" si="362"/>
        <v/>
      </c>
      <c r="AE456" s="108" t="str">
        <f t="shared" si="362"/>
        <v/>
      </c>
      <c r="AF456" s="108" t="str">
        <f t="shared" si="362"/>
        <v/>
      </c>
      <c r="AG456" s="173" t="s">
        <v>2764</v>
      </c>
    </row>
    <row r="457" spans="1:33" x14ac:dyDescent="0.3">
      <c r="A457" s="41">
        <f t="shared" si="353"/>
        <v>1510501001</v>
      </c>
      <c r="B457" s="41" t="str">
        <f t="shared" ref="B457:AF457" si="363">IF(B346 &lt;&gt; "", B346, "")</f>
        <v>Raid1001</v>
      </c>
      <c r="C457" s="41" t="str">
        <f t="shared" si="363"/>
        <v>카라</v>
      </c>
      <c r="D457" s="41" t="str">
        <f t="shared" si="363"/>
        <v>Monster.Name.kara_1</v>
      </c>
      <c r="E457" s="41" t="str">
        <f t="shared" si="363"/>
        <v>Attacker</v>
      </c>
      <c r="F457" s="42" t="str">
        <f t="shared" si="363"/>
        <v>Fac_nul_ind</v>
      </c>
      <c r="G457" s="41" t="str">
        <f t="shared" si="363"/>
        <v>TRUE</v>
      </c>
      <c r="H457" s="41" t="b">
        <f t="shared" si="363"/>
        <v>1</v>
      </c>
      <c r="I457" s="41" t="b">
        <f t="shared" si="363"/>
        <v>1</v>
      </c>
      <c r="J457" s="41">
        <f t="shared" si="363"/>
        <v>20</v>
      </c>
      <c r="K457" s="41">
        <f t="shared" si="363"/>
        <v>10</v>
      </c>
      <c r="L457" s="41" t="str">
        <f t="shared" si="363"/>
        <v>Raid1001.kara_1.attack01</v>
      </c>
      <c r="M457" s="41" t="str">
        <f t="shared" si="363"/>
        <v>Raid1001.kara_1.attack02</v>
      </c>
      <c r="N457" s="41" t="str">
        <f t="shared" si="363"/>
        <v/>
      </c>
      <c r="O457" s="176" t="str">
        <f t="shared" si="363"/>
        <v>Raid1001.kara_1.skill01</v>
      </c>
      <c r="P457" s="43" t="str">
        <f t="shared" si="363"/>
        <v>Raid1001.kara_1.skill02</v>
      </c>
      <c r="Q457" s="43" t="str">
        <f t="shared" si="363"/>
        <v>Raid1001.kara_1.skill03</v>
      </c>
      <c r="R457" s="43" t="str">
        <f t="shared" si="363"/>
        <v>Raid1001.kara_1.skill04</v>
      </c>
      <c r="S457" s="43" t="str">
        <f t="shared" si="363"/>
        <v>Raid1001.kara_1.passive01</v>
      </c>
      <c r="T457" s="43" t="str">
        <f t="shared" si="363"/>
        <v/>
      </c>
      <c r="U457" s="43" t="str">
        <f t="shared" si="363"/>
        <v/>
      </c>
      <c r="V457" s="41" t="b">
        <f t="shared" si="363"/>
        <v>0</v>
      </c>
      <c r="W457" s="41" t="str">
        <f t="shared" si="363"/>
        <v>Character/Prefabs/m_boss_attacker_kara_1</v>
      </c>
      <c r="X457" s="41" t="str">
        <f t="shared" si="363"/>
        <v/>
      </c>
      <c r="Y457" s="41" t="str">
        <f t="shared" si="363"/>
        <v>m_boss_attacker_kara_1</v>
      </c>
      <c r="Z457" s="41" t="str">
        <f t="shared" si="363"/>
        <v/>
      </c>
      <c r="AA457" s="41" t="str">
        <f t="shared" si="363"/>
        <v/>
      </c>
      <c r="AB457" s="41" t="str">
        <f t="shared" si="363"/>
        <v/>
      </c>
      <c r="AC457" s="90">
        <f t="shared" si="363"/>
        <v>1.7</v>
      </c>
      <c r="AD457" s="41" t="str">
        <f t="shared" si="363"/>
        <v/>
      </c>
      <c r="AE457" s="41" t="str">
        <f t="shared" si="363"/>
        <v>Character/Timeline/02_MON/kara/appearance</v>
      </c>
      <c r="AF457" s="41" t="str">
        <f t="shared" si="363"/>
        <v>Character/Timeline/02_MON/kara/die</v>
      </c>
      <c r="AG457" s="173" t="s">
        <v>2764</v>
      </c>
    </row>
    <row r="458" spans="1:33" x14ac:dyDescent="0.3">
      <c r="A458" s="41">
        <f t="shared" si="353"/>
        <v>1510501002</v>
      </c>
      <c r="B458" s="41" t="str">
        <f t="shared" ref="B458:AF458" si="364">IF(B347 &lt;&gt; "", B347, "")</f>
        <v>Raid1001</v>
      </c>
      <c r="C458" s="41" t="str">
        <f t="shared" si="364"/>
        <v>카라베리</v>
      </c>
      <c r="D458" s="41" t="str">
        <f t="shared" si="364"/>
        <v>Monster.Name.kara_2</v>
      </c>
      <c r="E458" s="41" t="str">
        <f t="shared" si="364"/>
        <v>Attacker</v>
      </c>
      <c r="F458" s="42" t="str">
        <f t="shared" si="364"/>
        <v>Fac_nul_ind</v>
      </c>
      <c r="G458" s="41" t="str">
        <f t="shared" si="364"/>
        <v>TRUE</v>
      </c>
      <c r="H458" s="41" t="b">
        <f t="shared" si="364"/>
        <v>1</v>
      </c>
      <c r="I458" s="41" t="b">
        <f t="shared" si="364"/>
        <v>1</v>
      </c>
      <c r="J458" s="41">
        <f t="shared" si="364"/>
        <v>20</v>
      </c>
      <c r="K458" s="41">
        <f t="shared" si="364"/>
        <v>10</v>
      </c>
      <c r="L458" s="41" t="str">
        <f t="shared" si="364"/>
        <v>Raid1001.kara_2.attack01</v>
      </c>
      <c r="M458" s="41" t="str">
        <f t="shared" si="364"/>
        <v>Raid1001.kara_2.attack02</v>
      </c>
      <c r="N458" s="41" t="str">
        <f t="shared" si="364"/>
        <v/>
      </c>
      <c r="O458" s="176" t="str">
        <f t="shared" si="364"/>
        <v>Raid1001.kara_2.skill01</v>
      </c>
      <c r="P458" s="43" t="str">
        <f t="shared" si="364"/>
        <v>Raid1001.kara_2.skill02</v>
      </c>
      <c r="Q458" s="43" t="str">
        <f t="shared" si="364"/>
        <v>Raid1001.kara_2.skill03</v>
      </c>
      <c r="R458" s="43" t="str">
        <f t="shared" si="364"/>
        <v>Raid1001.kara_2.skill04</v>
      </c>
      <c r="S458" s="43" t="str">
        <f t="shared" si="364"/>
        <v>Raid1001.kara_2.passive01</v>
      </c>
      <c r="T458" s="43" t="str">
        <f t="shared" si="364"/>
        <v/>
      </c>
      <c r="U458" s="43" t="str">
        <f t="shared" si="364"/>
        <v/>
      </c>
      <c r="V458" s="41" t="b">
        <f t="shared" si="364"/>
        <v>0</v>
      </c>
      <c r="W458" s="41" t="str">
        <f t="shared" si="364"/>
        <v>Character/Prefabs/m_boss_attacker_kara_2</v>
      </c>
      <c r="X458" s="41" t="str">
        <f t="shared" si="364"/>
        <v/>
      </c>
      <c r="Y458" s="41" t="str">
        <f t="shared" si="364"/>
        <v>m_boss_attacker_kara_2</v>
      </c>
      <c r="Z458" s="41" t="str">
        <f t="shared" si="364"/>
        <v/>
      </c>
      <c r="AA458" s="41" t="str">
        <f t="shared" si="364"/>
        <v/>
      </c>
      <c r="AB458" s="41" t="str">
        <f t="shared" si="364"/>
        <v/>
      </c>
      <c r="AC458" s="90">
        <f t="shared" si="364"/>
        <v>1.7</v>
      </c>
      <c r="AD458" s="41" t="str">
        <f t="shared" si="364"/>
        <v/>
      </c>
      <c r="AE458" s="41" t="str">
        <f t="shared" si="364"/>
        <v>Character/Timeline/02_MON/kara/appearance_2</v>
      </c>
      <c r="AF458" s="41" t="str">
        <f t="shared" si="364"/>
        <v>Character/Timeline/02_MON/kara/die_2</v>
      </c>
      <c r="AG458" s="173" t="s">
        <v>2757</v>
      </c>
    </row>
    <row r="459" spans="1:33" x14ac:dyDescent="0.3">
      <c r="A459" s="41">
        <f t="shared" si="353"/>
        <v>1510502001</v>
      </c>
      <c r="B459" s="41" t="str">
        <f t="shared" ref="B459:AF459" si="365">IF(B348 &lt;&gt; "", B348, "")</f>
        <v>Raid2001</v>
      </c>
      <c r="C459" s="41" t="str">
        <f t="shared" si="365"/>
        <v>바나클빌더</v>
      </c>
      <c r="D459" s="41" t="str">
        <f t="shared" si="365"/>
        <v>Monster.Name.barnacle_builder_1</v>
      </c>
      <c r="E459" s="41" t="str">
        <f t="shared" si="365"/>
        <v>Tanker</v>
      </c>
      <c r="F459" s="42" t="str">
        <f t="shared" si="365"/>
        <v>Fac_nul_ind</v>
      </c>
      <c r="G459" s="41" t="str">
        <f t="shared" si="365"/>
        <v>TRUE</v>
      </c>
      <c r="H459" s="41" t="b">
        <f t="shared" si="365"/>
        <v>1</v>
      </c>
      <c r="I459" s="41" t="b">
        <f t="shared" si="365"/>
        <v>1</v>
      </c>
      <c r="J459" s="41">
        <f t="shared" si="365"/>
        <v>20</v>
      </c>
      <c r="K459" s="41">
        <f t="shared" si="365"/>
        <v>10</v>
      </c>
      <c r="L459" s="41" t="str">
        <f t="shared" si="365"/>
        <v>Raid2001.barnacle_builder_1.attack01</v>
      </c>
      <c r="M459" s="41" t="str">
        <f t="shared" si="365"/>
        <v>Raid2001.barnacle_builder_1.attack02</v>
      </c>
      <c r="N459" s="41" t="str">
        <f t="shared" si="365"/>
        <v/>
      </c>
      <c r="O459" s="176" t="str">
        <f t="shared" si="365"/>
        <v>Raid2001.barnacle_builder_1.skill01</v>
      </c>
      <c r="P459" s="43" t="str">
        <f t="shared" si="365"/>
        <v>Raid2001.barnacle_builder_1.skill02</v>
      </c>
      <c r="Q459" s="43" t="str">
        <f t="shared" si="365"/>
        <v>Raid2001.barnacle_builder_1.skill03</v>
      </c>
      <c r="R459" s="43" t="str">
        <f t="shared" si="365"/>
        <v>Raid2001.barnacle_builder_1.passive01</v>
      </c>
      <c r="S459" s="43" t="str">
        <f t="shared" si="365"/>
        <v>Boss.Common.Immun</v>
      </c>
      <c r="T459" s="43" t="str">
        <f t="shared" si="365"/>
        <v/>
      </c>
      <c r="U459" s="43" t="str">
        <f t="shared" si="365"/>
        <v/>
      </c>
      <c r="V459" s="41" t="b">
        <f t="shared" si="365"/>
        <v>0</v>
      </c>
      <c r="W459" s="41" t="str">
        <f t="shared" si="365"/>
        <v>Character/Prefabs/m_boss_tanker_barnacle_builder_1</v>
      </c>
      <c r="X459" s="41" t="str">
        <f t="shared" si="365"/>
        <v/>
      </c>
      <c r="Y459" s="41" t="str">
        <f t="shared" si="365"/>
        <v>m_boss_tanker_barnacle_builder_1</v>
      </c>
      <c r="Z459" s="41" t="str">
        <f t="shared" si="365"/>
        <v/>
      </c>
      <c r="AA459" s="41" t="str">
        <f t="shared" si="365"/>
        <v/>
      </c>
      <c r="AB459" s="41" t="str">
        <f t="shared" si="365"/>
        <v/>
      </c>
      <c r="AC459" s="90">
        <f t="shared" si="365"/>
        <v>1</v>
      </c>
      <c r="AD459" s="41" t="str">
        <f t="shared" si="365"/>
        <v/>
      </c>
      <c r="AE459" s="41" t="str">
        <f t="shared" si="365"/>
        <v>Character/Timeline/02_MON/barnacle_builder_1/appearance</v>
      </c>
      <c r="AF459" s="41" t="str">
        <f t="shared" si="365"/>
        <v>Character/Timeline/02_MON/barnacle_builder_1/die</v>
      </c>
      <c r="AG459" s="173" t="s">
        <v>2757</v>
      </c>
    </row>
    <row r="460" spans="1:33" x14ac:dyDescent="0.3">
      <c r="A460" s="41">
        <f t="shared" si="353"/>
        <v>1510503001</v>
      </c>
      <c r="B460" s="41" t="str">
        <f t="shared" ref="B460:AF460" si="366">IF(B349 &lt;&gt; "", B349, "")</f>
        <v>Raid3001</v>
      </c>
      <c r="C460" s="41" t="str">
        <f t="shared" si="366"/>
        <v>마인드로더</v>
      </c>
      <c r="D460" s="41" t="str">
        <f t="shared" si="366"/>
        <v>Monster.Name.mindloader_1</v>
      </c>
      <c r="E460" s="41" t="str">
        <f t="shared" si="366"/>
        <v>Attacker</v>
      </c>
      <c r="F460" s="42" t="str">
        <f t="shared" si="366"/>
        <v>Fac_nul_ind</v>
      </c>
      <c r="G460" s="41" t="str">
        <f t="shared" si="366"/>
        <v>TRUE</v>
      </c>
      <c r="H460" s="41" t="b">
        <f t="shared" si="366"/>
        <v>1</v>
      </c>
      <c r="I460" s="41" t="b">
        <f t="shared" si="366"/>
        <v>1</v>
      </c>
      <c r="J460" s="41">
        <f t="shared" si="366"/>
        <v>20</v>
      </c>
      <c r="K460" s="41">
        <f t="shared" si="366"/>
        <v>10</v>
      </c>
      <c r="L460" s="41" t="str">
        <f t="shared" si="366"/>
        <v>Raid3001.mindloader_1.attack01</v>
      </c>
      <c r="M460" s="41" t="str">
        <f t="shared" si="366"/>
        <v>Raid3001.mindloader_1.attack02</v>
      </c>
      <c r="N460" s="41" t="str">
        <f t="shared" si="366"/>
        <v/>
      </c>
      <c r="O460" s="176" t="str">
        <f t="shared" si="366"/>
        <v>Raid3001.mindloader_1.skill01</v>
      </c>
      <c r="P460" s="43" t="str">
        <f t="shared" si="366"/>
        <v>Raid3001.mindloader_1.skill02</v>
      </c>
      <c r="Q460" s="43" t="str">
        <f t="shared" si="366"/>
        <v>Raid3001.mindloader_1.skill03</v>
      </c>
      <c r="R460" s="43" t="str">
        <f t="shared" si="366"/>
        <v>Raid3001.mindloader_1.skill04</v>
      </c>
      <c r="S460" s="43" t="str">
        <f t="shared" si="366"/>
        <v>Raid3001.mindloader_1.passive01</v>
      </c>
      <c r="T460" s="43" t="str">
        <f t="shared" si="366"/>
        <v/>
      </c>
      <c r="U460" s="43" t="str">
        <f t="shared" si="366"/>
        <v/>
      </c>
      <c r="V460" s="41" t="b">
        <f t="shared" si="366"/>
        <v>0</v>
      </c>
      <c r="W460" s="41" t="str">
        <f t="shared" si="366"/>
        <v>Character/Prefabs/m_boss_attacker_mindloader_1</v>
      </c>
      <c r="X460" s="41" t="str">
        <f t="shared" si="366"/>
        <v/>
      </c>
      <c r="Y460" s="41" t="str">
        <f t="shared" si="366"/>
        <v>m_boss_attacker_mindloader_1</v>
      </c>
      <c r="Z460" s="41" t="str">
        <f t="shared" si="366"/>
        <v/>
      </c>
      <c r="AA460" s="41" t="str">
        <f t="shared" si="366"/>
        <v/>
      </c>
      <c r="AB460" s="41" t="str">
        <f t="shared" si="366"/>
        <v/>
      </c>
      <c r="AC460" s="90">
        <f t="shared" si="366"/>
        <v>1.5</v>
      </c>
      <c r="AD460" s="41" t="str">
        <f t="shared" si="366"/>
        <v/>
      </c>
      <c r="AE460" s="41" t="str">
        <f t="shared" si="366"/>
        <v>Character/Timeline/02_MON/mindloader/appearance</v>
      </c>
      <c r="AF460" s="41" t="str">
        <f t="shared" si="366"/>
        <v>Character/Timeline/02_MON/mindloader/die</v>
      </c>
      <c r="AG460" s="173" t="s">
        <v>2757</v>
      </c>
    </row>
    <row r="461" spans="1:33" x14ac:dyDescent="0.3">
      <c r="A461" s="41">
        <f t="shared" si="353"/>
        <v>1510504001</v>
      </c>
      <c r="B461" s="41" t="str">
        <f t="shared" ref="B461:AF461" si="367">IF(B350 &lt;&gt; "", B350, "")</f>
        <v>Raid4001</v>
      </c>
      <c r="C461" s="41" t="str">
        <f t="shared" si="367"/>
        <v>기간투스</v>
      </c>
      <c r="D461" s="41" t="str">
        <f t="shared" si="367"/>
        <v>Monster.Name.gigantooth_1</v>
      </c>
      <c r="E461" s="41" t="str">
        <f t="shared" si="367"/>
        <v>Attacker</v>
      </c>
      <c r="F461" s="42" t="str">
        <f t="shared" si="367"/>
        <v>Fac_nul_ind</v>
      </c>
      <c r="G461" s="41" t="str">
        <f t="shared" si="367"/>
        <v>TRUE</v>
      </c>
      <c r="H461" s="41" t="b">
        <f t="shared" si="367"/>
        <v>1</v>
      </c>
      <c r="I461" s="41" t="b">
        <f t="shared" si="367"/>
        <v>1</v>
      </c>
      <c r="J461" s="41">
        <f t="shared" si="367"/>
        <v>20</v>
      </c>
      <c r="K461" s="41">
        <f t="shared" si="367"/>
        <v>10</v>
      </c>
      <c r="L461" s="41" t="str">
        <f t="shared" si="367"/>
        <v>Raid4001.gigantooth_1.attack01</v>
      </c>
      <c r="M461" s="41" t="str">
        <f t="shared" si="367"/>
        <v>Raid4001.gigantooth_1.attack02</v>
      </c>
      <c r="N461" s="41" t="str">
        <f t="shared" si="367"/>
        <v/>
      </c>
      <c r="O461" s="176" t="str">
        <f t="shared" si="367"/>
        <v>Raid4001.gigantooth_1.skill01</v>
      </c>
      <c r="P461" s="43" t="str">
        <f t="shared" si="367"/>
        <v>Raid4001.gigantooth_1.skill02</v>
      </c>
      <c r="Q461" s="43" t="str">
        <f t="shared" si="367"/>
        <v>Raid4001.gigantooth_1.skill03</v>
      </c>
      <c r="R461" s="43" t="str">
        <f t="shared" si="367"/>
        <v>Raid4001.gigantooth_1.skill04</v>
      </c>
      <c r="S461" s="43" t="str">
        <f t="shared" si="367"/>
        <v>Raid4001.gigantooth_1.passive01</v>
      </c>
      <c r="T461" s="43" t="str">
        <f t="shared" si="367"/>
        <v/>
      </c>
      <c r="U461" s="43" t="str">
        <f t="shared" si="367"/>
        <v/>
      </c>
      <c r="V461" s="41" t="b">
        <f t="shared" si="367"/>
        <v>0</v>
      </c>
      <c r="W461" s="41" t="str">
        <f t="shared" si="367"/>
        <v>Character/Prefabs/m_boss_attacker_gigantooth_1</v>
      </c>
      <c r="X461" s="41" t="str">
        <f t="shared" si="367"/>
        <v/>
      </c>
      <c r="Y461" s="41" t="str">
        <f t="shared" si="367"/>
        <v>m_boss_attacker_gigantooth_1</v>
      </c>
      <c r="Z461" s="41" t="str">
        <f t="shared" si="367"/>
        <v/>
      </c>
      <c r="AA461" s="41" t="str">
        <f t="shared" si="367"/>
        <v/>
      </c>
      <c r="AB461" s="41" t="str">
        <f t="shared" si="367"/>
        <v/>
      </c>
      <c r="AC461" s="90">
        <f t="shared" si="367"/>
        <v>0.9</v>
      </c>
      <c r="AD461" s="41" t="str">
        <f t="shared" si="367"/>
        <v/>
      </c>
      <c r="AE461" s="41" t="str">
        <f t="shared" si="367"/>
        <v>Character/Timeline/02_MON/boss2/appearance_1</v>
      </c>
      <c r="AF461" s="41" t="str">
        <f t="shared" si="367"/>
        <v>Character/Timeline/02_MON/boss2/die_1</v>
      </c>
      <c r="AG461" s="173" t="s">
        <v>2757</v>
      </c>
    </row>
    <row r="462" spans="1:33" x14ac:dyDescent="0.3">
      <c r="A462" s="41">
        <f t="shared" si="353"/>
        <v>1510504002</v>
      </c>
      <c r="B462" s="41" t="str">
        <f t="shared" ref="B462:AF462" si="368">IF(B351 &lt;&gt; "", B351, "")</f>
        <v>Raid4001</v>
      </c>
      <c r="C462" s="41" t="str">
        <f t="shared" si="368"/>
        <v>기간투스베리</v>
      </c>
      <c r="D462" s="41" t="str">
        <f t="shared" si="368"/>
        <v>Monster.Name.gigantooth_2</v>
      </c>
      <c r="E462" s="41" t="str">
        <f t="shared" si="368"/>
        <v>Attacker</v>
      </c>
      <c r="F462" s="42" t="str">
        <f t="shared" si="368"/>
        <v>Fac_nul_ind</v>
      </c>
      <c r="G462" s="41" t="str">
        <f t="shared" si="368"/>
        <v>TRUE</v>
      </c>
      <c r="H462" s="41" t="b">
        <f t="shared" si="368"/>
        <v>1</v>
      </c>
      <c r="I462" s="41" t="b">
        <f t="shared" si="368"/>
        <v>1</v>
      </c>
      <c r="J462" s="41">
        <f t="shared" si="368"/>
        <v>20</v>
      </c>
      <c r="K462" s="41">
        <f t="shared" si="368"/>
        <v>10</v>
      </c>
      <c r="L462" s="41" t="str">
        <f t="shared" si="368"/>
        <v>Raid4001.gigantooth_2.attack01</v>
      </c>
      <c r="M462" s="41" t="str">
        <f t="shared" si="368"/>
        <v>Raid4001.gigantooth_2.attack02</v>
      </c>
      <c r="N462" s="41" t="str">
        <f t="shared" si="368"/>
        <v/>
      </c>
      <c r="O462" s="176" t="str">
        <f t="shared" si="368"/>
        <v>Raid4001.gigantooth_2.skill01</v>
      </c>
      <c r="P462" s="43" t="str">
        <f t="shared" si="368"/>
        <v>Raid4001.gigantooth_2.skill02</v>
      </c>
      <c r="Q462" s="43" t="str">
        <f t="shared" si="368"/>
        <v>Raid4001.gigantooth_2.skill03</v>
      </c>
      <c r="R462" s="43" t="str">
        <f t="shared" si="368"/>
        <v>Raid4001.gigantooth_2.skill04</v>
      </c>
      <c r="S462" s="43" t="str">
        <f t="shared" si="368"/>
        <v>Raid4001.gigantooth_2.passive01</v>
      </c>
      <c r="T462" s="43" t="str">
        <f t="shared" si="368"/>
        <v/>
      </c>
      <c r="U462" s="43" t="str">
        <f t="shared" si="368"/>
        <v/>
      </c>
      <c r="V462" s="41" t="b">
        <f t="shared" si="368"/>
        <v>0</v>
      </c>
      <c r="W462" s="41" t="str">
        <f t="shared" si="368"/>
        <v>Character/Prefabs/m_boss_attacker_gigantooth_2</v>
      </c>
      <c r="X462" s="41" t="str">
        <f t="shared" si="368"/>
        <v/>
      </c>
      <c r="Y462" s="41" t="str">
        <f t="shared" si="368"/>
        <v>m_boss_attacker_gigantooth_2</v>
      </c>
      <c r="Z462" s="41" t="str">
        <f t="shared" si="368"/>
        <v/>
      </c>
      <c r="AA462" s="41" t="str">
        <f t="shared" si="368"/>
        <v/>
      </c>
      <c r="AB462" s="41" t="str">
        <f t="shared" si="368"/>
        <v/>
      </c>
      <c r="AC462" s="90">
        <f t="shared" si="368"/>
        <v>0.9</v>
      </c>
      <c r="AD462" s="41" t="str">
        <f t="shared" si="368"/>
        <v/>
      </c>
      <c r="AE462" s="41" t="str">
        <f t="shared" si="368"/>
        <v>Character/Timeline/02_MON/boss2/appearance_2</v>
      </c>
      <c r="AF462" s="41" t="str">
        <f t="shared" si="368"/>
        <v>Character/Timeline/02_MON/boss2/die_2</v>
      </c>
      <c r="AG462" s="173" t="s">
        <v>2757</v>
      </c>
    </row>
    <row r="463" spans="1:33" x14ac:dyDescent="0.3">
      <c r="A463" s="12">
        <f t="shared" si="353"/>
        <v>1511101001</v>
      </c>
      <c r="B463" s="12" t="str">
        <f t="shared" ref="B463:AF463" si="369">IF(B352 &lt;&gt; "", B352, "")</f>
        <v>GuildRaid1001</v>
      </c>
      <c r="C463" s="12" t="str">
        <f t="shared" si="369"/>
        <v>freyja</v>
      </c>
      <c r="D463" s="76" t="str">
        <f t="shared" si="369"/>
        <v>Name.Character.freyja</v>
      </c>
      <c r="E463" s="12" t="str">
        <f t="shared" si="369"/>
        <v>Ranger</v>
      </c>
      <c r="F463" s="39" t="str">
        <f t="shared" si="369"/>
        <v>Fac_sti_ast</v>
      </c>
      <c r="G463" s="12" t="str">
        <f t="shared" si="369"/>
        <v>TRUE</v>
      </c>
      <c r="H463" s="12" t="b">
        <f t="shared" si="369"/>
        <v>1</v>
      </c>
      <c r="I463" s="12" t="b">
        <f t="shared" si="369"/>
        <v>1</v>
      </c>
      <c r="J463" s="12">
        <f t="shared" si="369"/>
        <v>10</v>
      </c>
      <c r="K463" s="12">
        <f t="shared" si="369"/>
        <v>10</v>
      </c>
      <c r="L463" s="12" t="str">
        <f t="shared" si="369"/>
        <v>freyja.attack1</v>
      </c>
      <c r="M463" s="12" t="str">
        <f t="shared" si="369"/>
        <v>freyja.attack2</v>
      </c>
      <c r="N463" s="12" t="str">
        <f t="shared" si="369"/>
        <v>freyja.attack3</v>
      </c>
      <c r="O463" s="145" t="str">
        <f t="shared" si="369"/>
        <v>freyja.active1</v>
      </c>
      <c r="P463" s="40" t="str">
        <f t="shared" si="369"/>
        <v>freyja.active2</v>
      </c>
      <c r="Q463" s="40" t="str">
        <f t="shared" si="369"/>
        <v>freyja.passive</v>
      </c>
      <c r="R463" s="40" t="str">
        <f t="shared" si="369"/>
        <v/>
      </c>
      <c r="S463" s="40" t="str">
        <f t="shared" si="369"/>
        <v>Boss.Common.Immun</v>
      </c>
      <c r="T463" s="40" t="str">
        <f t="shared" si="369"/>
        <v>freyja.ult</v>
      </c>
      <c r="U463" s="40" t="str">
        <f t="shared" si="369"/>
        <v>freyja.ult</v>
      </c>
      <c r="V463" s="12" t="b">
        <f t="shared" si="369"/>
        <v>1</v>
      </c>
      <c r="W463" s="12" t="str">
        <f t="shared" si="369"/>
        <v>Character/Prefabs/c_ranger_freyja_1</v>
      </c>
      <c r="X463" s="12" t="str">
        <f t="shared" si="369"/>
        <v/>
      </c>
      <c r="Y463" s="12" t="str">
        <f t="shared" si="369"/>
        <v>character_freyja_01</v>
      </c>
      <c r="Z463" s="12" t="str">
        <f t="shared" si="369"/>
        <v>Character/Timeline/01_CHA/ult_c_ranger_freyja_1</v>
      </c>
      <c r="AA463" s="12" t="str">
        <f t="shared" si="369"/>
        <v>Character/Timeline/01_CHA/victory_c_ranger_freyja_1</v>
      </c>
      <c r="AB463" s="12" t="str">
        <f t="shared" si="369"/>
        <v/>
      </c>
      <c r="AC463" s="88">
        <f t="shared" si="369"/>
        <v>1.4</v>
      </c>
      <c r="AD463" s="12" t="str">
        <f t="shared" si="369"/>
        <v/>
      </c>
      <c r="AE463" s="12" t="str">
        <f t="shared" si="369"/>
        <v/>
      </c>
      <c r="AF463" s="12" t="str">
        <f t="shared" si="369"/>
        <v/>
      </c>
      <c r="AG463" s="173" t="s">
        <v>2764</v>
      </c>
    </row>
    <row r="464" spans="1:33" x14ac:dyDescent="0.3">
      <c r="A464" s="12">
        <f t="shared" si="353"/>
        <v>1511101002</v>
      </c>
      <c r="B464" s="12" t="str">
        <f t="shared" ref="B464:AF464" si="370">IF(B353 &lt;&gt; "", B353, "")</f>
        <v>GuildRaid1002</v>
      </c>
      <c r="C464" s="12" t="str">
        <f t="shared" si="370"/>
        <v>mana</v>
      </c>
      <c r="D464" s="76" t="str">
        <f t="shared" si="370"/>
        <v>Name.Character.mana</v>
      </c>
      <c r="E464" s="12" t="str">
        <f t="shared" si="370"/>
        <v>Ranger</v>
      </c>
      <c r="F464" s="39" t="str">
        <f t="shared" si="370"/>
        <v>Fac_rim_aki</v>
      </c>
      <c r="G464" s="12" t="str">
        <f t="shared" si="370"/>
        <v>TRUE</v>
      </c>
      <c r="H464" s="12" t="b">
        <f t="shared" si="370"/>
        <v>1</v>
      </c>
      <c r="I464" s="12" t="b">
        <f t="shared" si="370"/>
        <v>1</v>
      </c>
      <c r="J464" s="12">
        <f t="shared" si="370"/>
        <v>10</v>
      </c>
      <c r="K464" s="12">
        <f t="shared" si="370"/>
        <v>10</v>
      </c>
      <c r="L464" s="12" t="str">
        <f t="shared" si="370"/>
        <v>mana.attack1</v>
      </c>
      <c r="M464" s="12" t="str">
        <f t="shared" si="370"/>
        <v>mana.attack2</v>
      </c>
      <c r="N464" s="12" t="str">
        <f t="shared" si="370"/>
        <v>mana.attack3</v>
      </c>
      <c r="O464" s="145" t="str">
        <f t="shared" si="370"/>
        <v>mana.active1</v>
      </c>
      <c r="P464" s="40" t="str">
        <f t="shared" si="370"/>
        <v>mana.active2</v>
      </c>
      <c r="Q464" s="40" t="str">
        <f t="shared" si="370"/>
        <v>mana.passive</v>
      </c>
      <c r="R464" s="40" t="str">
        <f t="shared" si="370"/>
        <v/>
      </c>
      <c r="S464" s="40" t="str">
        <f t="shared" si="370"/>
        <v>Boss.Common.Immun</v>
      </c>
      <c r="T464" s="40" t="str">
        <f t="shared" si="370"/>
        <v>mana.ult</v>
      </c>
      <c r="U464" s="40" t="str">
        <f t="shared" si="370"/>
        <v>mana.ult</v>
      </c>
      <c r="V464" s="12" t="b">
        <f t="shared" si="370"/>
        <v>1</v>
      </c>
      <c r="W464" s="12" t="str">
        <f t="shared" si="370"/>
        <v>Character/Prefabs/c_ranger_mana_1</v>
      </c>
      <c r="X464" s="12" t="str">
        <f t="shared" si="370"/>
        <v/>
      </c>
      <c r="Y464" s="12" t="str">
        <f t="shared" si="370"/>
        <v>character_mana_01</v>
      </c>
      <c r="Z464" s="12" t="str">
        <f t="shared" si="370"/>
        <v>Character/Timeline/01_CHA/ult_c_ranger_mana_1</v>
      </c>
      <c r="AA464" s="12" t="str">
        <f t="shared" si="370"/>
        <v>Character/Timeline/01_CHA/victory_c_ranger_mana_1</v>
      </c>
      <c r="AB464" s="12" t="str">
        <f t="shared" si="370"/>
        <v/>
      </c>
      <c r="AC464" s="88">
        <f t="shared" si="370"/>
        <v>1.4</v>
      </c>
      <c r="AD464" s="12" t="str">
        <f t="shared" si="370"/>
        <v/>
      </c>
      <c r="AE464" s="12" t="str">
        <f t="shared" si="370"/>
        <v/>
      </c>
      <c r="AF464" s="12" t="str">
        <f t="shared" si="370"/>
        <v/>
      </c>
      <c r="AG464" s="173" t="s">
        <v>2764</v>
      </c>
    </row>
    <row r="465" spans="1:33" x14ac:dyDescent="0.3">
      <c r="A465" s="12">
        <f t="shared" si="353"/>
        <v>1511101003</v>
      </c>
      <c r="B465" s="12" t="str">
        <f t="shared" ref="B465:AF465" si="371">IF(B354 &lt;&gt; "", B354, "")</f>
        <v>GuildRaid1003</v>
      </c>
      <c r="C465" s="12" t="str">
        <f t="shared" si="371"/>
        <v>balencia</v>
      </c>
      <c r="D465" s="76" t="str">
        <f t="shared" si="371"/>
        <v>Name.Character.balencia</v>
      </c>
      <c r="E465" s="12" t="str">
        <f t="shared" si="371"/>
        <v>Attacker</v>
      </c>
      <c r="F465" s="39" t="str">
        <f t="shared" si="371"/>
        <v>Fac_sti_ars</v>
      </c>
      <c r="G465" s="12" t="str">
        <f t="shared" si="371"/>
        <v>TRUE</v>
      </c>
      <c r="H465" s="12" t="b">
        <f t="shared" si="371"/>
        <v>1</v>
      </c>
      <c r="I465" s="12" t="b">
        <f t="shared" si="371"/>
        <v>1</v>
      </c>
      <c r="J465" s="12">
        <f t="shared" si="371"/>
        <v>10</v>
      </c>
      <c r="K465" s="12">
        <f t="shared" si="371"/>
        <v>10</v>
      </c>
      <c r="L465" s="12" t="str">
        <f t="shared" si="371"/>
        <v>balencia.attack1</v>
      </c>
      <c r="M465" s="12" t="str">
        <f t="shared" si="371"/>
        <v>balencia.attack2</v>
      </c>
      <c r="N465" s="12" t="str">
        <f t="shared" si="371"/>
        <v>balencia.attack3</v>
      </c>
      <c r="O465" s="145" t="str">
        <f t="shared" si="371"/>
        <v>balencia.active1</v>
      </c>
      <c r="P465" s="40" t="str">
        <f t="shared" si="371"/>
        <v>balencia.active2</v>
      </c>
      <c r="Q465" s="40" t="str">
        <f t="shared" si="371"/>
        <v>balencia.passive</v>
      </c>
      <c r="R465" s="40" t="str">
        <f t="shared" si="371"/>
        <v/>
      </c>
      <c r="S465" s="40" t="str">
        <f t="shared" si="371"/>
        <v>Boss.Common.Immun</v>
      </c>
      <c r="T465" s="40" t="str">
        <f t="shared" si="371"/>
        <v>balencia.ult</v>
      </c>
      <c r="U465" s="40" t="str">
        <f t="shared" si="371"/>
        <v>balencia.ult</v>
      </c>
      <c r="V465" s="12" t="b">
        <f t="shared" si="371"/>
        <v>1</v>
      </c>
      <c r="W465" s="12" t="str">
        <f t="shared" si="371"/>
        <v>Character/Prefabs/c_attacker_balencia_1</v>
      </c>
      <c r="X465" s="12" t="str">
        <f t="shared" si="371"/>
        <v/>
      </c>
      <c r="Y465" s="12" t="str">
        <f t="shared" si="371"/>
        <v>character_balencia_01</v>
      </c>
      <c r="Z465" s="12" t="str">
        <f t="shared" si="371"/>
        <v>Character/Timeline/01_CHA/ult_c_attacker_balencia_1</v>
      </c>
      <c r="AA465" s="12" t="str">
        <f t="shared" si="371"/>
        <v>Character/Timeline/01_CHA/victory_c_attacker_balencia_1</v>
      </c>
      <c r="AB465" s="12" t="str">
        <f t="shared" si="371"/>
        <v/>
      </c>
      <c r="AC465" s="88">
        <f t="shared" si="371"/>
        <v>1.4</v>
      </c>
      <c r="AD465" s="12" t="str">
        <f t="shared" si="371"/>
        <v/>
      </c>
      <c r="AE465" s="12" t="str">
        <f t="shared" si="371"/>
        <v/>
      </c>
      <c r="AF465" s="12" t="str">
        <f t="shared" si="371"/>
        <v/>
      </c>
      <c r="AG465" s="173" t="s">
        <v>2764</v>
      </c>
    </row>
    <row r="466" spans="1:33" x14ac:dyDescent="0.3">
      <c r="A466" s="81">
        <f t="shared" si="353"/>
        <v>1511301001</v>
      </c>
      <c r="B466" s="81" t="str">
        <f t="shared" ref="B466:AF466" si="372">IF(B355 &lt;&gt; "", B355, "")</f>
        <v>BossChallenge</v>
      </c>
      <c r="C466" s="81" t="str">
        <f t="shared" si="372"/>
        <v>갤리어스</v>
      </c>
      <c r="D466" s="81" t="str">
        <f t="shared" si="372"/>
        <v>Monster.Name.gallius_1</v>
      </c>
      <c r="E466" s="81" t="str">
        <f t="shared" si="372"/>
        <v>Tanker</v>
      </c>
      <c r="F466" s="82" t="str">
        <f t="shared" si="372"/>
        <v>Fac_nul_ind</v>
      </c>
      <c r="G466" s="81" t="str">
        <f t="shared" si="372"/>
        <v>TRUE</v>
      </c>
      <c r="H466" s="81" t="b">
        <f t="shared" si="372"/>
        <v>1</v>
      </c>
      <c r="I466" s="81" t="b">
        <f t="shared" si="372"/>
        <v>1</v>
      </c>
      <c r="J466" s="81">
        <f t="shared" si="372"/>
        <v>10</v>
      </c>
      <c r="K466" s="81">
        <f t="shared" si="372"/>
        <v>10</v>
      </c>
      <c r="L466" s="81" t="str">
        <f t="shared" si="372"/>
        <v>BossChallenge.gallius_1.attack01</v>
      </c>
      <c r="M466" s="81" t="str">
        <f t="shared" si="372"/>
        <v/>
      </c>
      <c r="N466" s="81" t="str">
        <f t="shared" si="372"/>
        <v/>
      </c>
      <c r="O466" s="177" t="str">
        <f t="shared" si="372"/>
        <v>BossChallenge.gallius_1.skill01</v>
      </c>
      <c r="P466" s="83" t="str">
        <f t="shared" si="372"/>
        <v>BossChallenge.gallius_1.skill02</v>
      </c>
      <c r="Q466" s="83" t="str">
        <f t="shared" si="372"/>
        <v>BossChallenge.gallius_1.passive01</v>
      </c>
      <c r="R466" s="83" t="str">
        <f t="shared" si="372"/>
        <v/>
      </c>
      <c r="S466" s="83" t="str">
        <f t="shared" si="372"/>
        <v>Boss.Common.Immun</v>
      </c>
      <c r="T466" s="83" t="str">
        <f t="shared" si="372"/>
        <v/>
      </c>
      <c r="U466" s="83" t="str">
        <f t="shared" si="372"/>
        <v/>
      </c>
      <c r="V466" s="81" t="b">
        <f t="shared" si="372"/>
        <v>0</v>
      </c>
      <c r="W466" s="81" t="str">
        <f t="shared" si="372"/>
        <v>Character/Prefabs/m_boss_tanker_gallius_1</v>
      </c>
      <c r="X466" s="81" t="str">
        <f t="shared" si="372"/>
        <v/>
      </c>
      <c r="Y466" s="81" t="str">
        <f t="shared" si="372"/>
        <v>m_boss_tanker_gallius_1</v>
      </c>
      <c r="Z466" s="81" t="str">
        <f t="shared" si="372"/>
        <v/>
      </c>
      <c r="AA466" s="81" t="str">
        <f t="shared" si="372"/>
        <v/>
      </c>
      <c r="AB466" s="81" t="str">
        <f t="shared" si="372"/>
        <v/>
      </c>
      <c r="AC466" s="96">
        <f t="shared" si="372"/>
        <v>1.3</v>
      </c>
      <c r="AD466" s="81" t="str">
        <f t="shared" si="372"/>
        <v/>
      </c>
      <c r="AE466" s="81" t="str">
        <f t="shared" si="372"/>
        <v>Character/Timeline/02_MON/trooper_boss/appearance</v>
      </c>
      <c r="AF466" s="81" t="str">
        <f t="shared" si="372"/>
        <v>Character/Timeline/02_MON/trooper_boss/die</v>
      </c>
      <c r="AG466" s="173" t="s">
        <v>2764</v>
      </c>
    </row>
    <row r="467" spans="1:33" x14ac:dyDescent="0.3">
      <c r="A467" s="81">
        <f t="shared" si="353"/>
        <v>1511301002</v>
      </c>
      <c r="B467" s="81" t="str">
        <f t="shared" ref="B467:AF467" si="373">IF(B356 &lt;&gt; "", B356, "")</f>
        <v>BossChallenge</v>
      </c>
      <c r="C467" s="81" t="str">
        <f t="shared" si="373"/>
        <v>강화갤리어스</v>
      </c>
      <c r="D467" s="81" t="str">
        <f t="shared" si="373"/>
        <v>Monster.Name.gallius_2</v>
      </c>
      <c r="E467" s="81" t="str">
        <f t="shared" si="373"/>
        <v>Tanker</v>
      </c>
      <c r="F467" s="82" t="str">
        <f t="shared" si="373"/>
        <v>Fac_nul_ind</v>
      </c>
      <c r="G467" s="81" t="str">
        <f t="shared" si="373"/>
        <v>TRUE</v>
      </c>
      <c r="H467" s="81" t="b">
        <f t="shared" si="373"/>
        <v>1</v>
      </c>
      <c r="I467" s="81" t="b">
        <f t="shared" si="373"/>
        <v>1</v>
      </c>
      <c r="J467" s="81">
        <f t="shared" si="373"/>
        <v>10</v>
      </c>
      <c r="K467" s="81">
        <f t="shared" si="373"/>
        <v>10</v>
      </c>
      <c r="L467" s="81" t="str">
        <f t="shared" si="373"/>
        <v>BossChallenge.gallius_2.attack01</v>
      </c>
      <c r="M467" s="81" t="str">
        <f t="shared" si="373"/>
        <v/>
      </c>
      <c r="N467" s="81" t="str">
        <f t="shared" si="373"/>
        <v/>
      </c>
      <c r="O467" s="177" t="str">
        <f t="shared" si="373"/>
        <v>BossChallenge.gallius_2.skill01</v>
      </c>
      <c r="P467" s="83" t="str">
        <f t="shared" si="373"/>
        <v>BossChallenge.gallius_2.skill02</v>
      </c>
      <c r="Q467" s="83" t="str">
        <f t="shared" si="373"/>
        <v>BossChallenge.gallius_2.skill03</v>
      </c>
      <c r="R467" s="83" t="str">
        <f t="shared" si="373"/>
        <v>BossChallenge.gallius_2.passive01</v>
      </c>
      <c r="S467" s="83" t="str">
        <f t="shared" si="373"/>
        <v>Boss.Common.Immun</v>
      </c>
      <c r="T467" s="83" t="str">
        <f t="shared" si="373"/>
        <v/>
      </c>
      <c r="U467" s="83" t="str">
        <f t="shared" si="373"/>
        <v/>
      </c>
      <c r="V467" s="81" t="b">
        <f t="shared" si="373"/>
        <v>0</v>
      </c>
      <c r="W467" s="81" t="str">
        <f t="shared" si="373"/>
        <v>Character/Prefabs/m_boss_tanker_gallius_2</v>
      </c>
      <c r="X467" s="81" t="str">
        <f t="shared" si="373"/>
        <v/>
      </c>
      <c r="Y467" s="81" t="str">
        <f t="shared" si="373"/>
        <v>m_boss_tanker_gallius_2</v>
      </c>
      <c r="Z467" s="81" t="str">
        <f t="shared" si="373"/>
        <v/>
      </c>
      <c r="AA467" s="81" t="str">
        <f t="shared" si="373"/>
        <v/>
      </c>
      <c r="AB467" s="81" t="str">
        <f t="shared" si="373"/>
        <v/>
      </c>
      <c r="AC467" s="96">
        <f t="shared" si="373"/>
        <v>1.3</v>
      </c>
      <c r="AD467" s="81" t="str">
        <f t="shared" si="373"/>
        <v/>
      </c>
      <c r="AE467" s="81" t="str">
        <f t="shared" si="373"/>
        <v>Character/Timeline/02_MON/gallius_2/trooper_boss_appearance_2</v>
      </c>
      <c r="AF467" s="81" t="str">
        <f t="shared" si="373"/>
        <v>Character/Timeline/02_MON/gallius_2/trooper_boss_die_2</v>
      </c>
      <c r="AG467" s="173" t="s">
        <v>2764</v>
      </c>
    </row>
    <row r="468" spans="1:33" x14ac:dyDescent="0.3">
      <c r="A468" s="81">
        <f t="shared" si="353"/>
        <v>1511301011</v>
      </c>
      <c r="B468" s="81" t="str">
        <f t="shared" ref="B468:AF468" si="374">IF(B357 &lt;&gt; "", B357, "")</f>
        <v>BossChallenge</v>
      </c>
      <c r="C468" s="81" t="str">
        <f t="shared" si="374"/>
        <v>카산드라</v>
      </c>
      <c r="D468" s="81" t="str">
        <f t="shared" si="374"/>
        <v>Monster.Name.cassandra_1</v>
      </c>
      <c r="E468" s="81" t="str">
        <f t="shared" si="374"/>
        <v>Ranger</v>
      </c>
      <c r="F468" s="82" t="str">
        <f t="shared" si="374"/>
        <v>Fac_nul_ind</v>
      </c>
      <c r="G468" s="81" t="str">
        <f t="shared" si="374"/>
        <v>TRUE</v>
      </c>
      <c r="H468" s="81" t="b">
        <f t="shared" si="374"/>
        <v>1</v>
      </c>
      <c r="I468" s="81" t="b">
        <f t="shared" si="374"/>
        <v>1</v>
      </c>
      <c r="J468" s="81">
        <f t="shared" si="374"/>
        <v>20</v>
      </c>
      <c r="K468" s="81">
        <f t="shared" si="374"/>
        <v>10</v>
      </c>
      <c r="L468" s="81" t="str">
        <f t="shared" si="374"/>
        <v>BossChallenge.cassandra_1.attack01</v>
      </c>
      <c r="M468" s="81" t="str">
        <f t="shared" si="374"/>
        <v/>
      </c>
      <c r="N468" s="81" t="str">
        <f t="shared" si="374"/>
        <v/>
      </c>
      <c r="O468" s="177" t="str">
        <f t="shared" si="374"/>
        <v>BossChallenge.cassandra_1.skill01</v>
      </c>
      <c r="P468" s="83" t="str">
        <f t="shared" si="374"/>
        <v>BossChallenge.cassandra_1.skill02</v>
      </c>
      <c r="Q468" s="83" t="str">
        <f t="shared" si="374"/>
        <v>BossChallenge.cassandra_1.passive01</v>
      </c>
      <c r="R468" s="83" t="str">
        <f t="shared" si="374"/>
        <v/>
      </c>
      <c r="S468" s="83" t="str">
        <f t="shared" si="374"/>
        <v>Boss.Common.Immun</v>
      </c>
      <c r="T468" s="83" t="str">
        <f t="shared" si="374"/>
        <v/>
      </c>
      <c r="U468" s="83" t="str">
        <f t="shared" si="374"/>
        <v/>
      </c>
      <c r="V468" s="81" t="b">
        <f t="shared" si="374"/>
        <v>0</v>
      </c>
      <c r="W468" s="81" t="str">
        <f t="shared" si="374"/>
        <v>Character/Prefabs/m_boss_ranger_cassandra_1</v>
      </c>
      <c r="X468" s="81" t="str">
        <f t="shared" si="374"/>
        <v/>
      </c>
      <c r="Y468" s="81" t="str">
        <f t="shared" si="374"/>
        <v>m_boss_ranger_cassandra_1</v>
      </c>
      <c r="Z468" s="81" t="str">
        <f t="shared" si="374"/>
        <v/>
      </c>
      <c r="AA468" s="81" t="str">
        <f t="shared" si="374"/>
        <v/>
      </c>
      <c r="AB468" s="81" t="str">
        <f t="shared" si="374"/>
        <v/>
      </c>
      <c r="AC468" s="96">
        <f t="shared" si="374"/>
        <v>0.9</v>
      </c>
      <c r="AD468" s="81" t="str">
        <f t="shared" si="374"/>
        <v/>
      </c>
      <c r="AE468" s="81" t="str">
        <f t="shared" si="374"/>
        <v>Character/Timeline/02_MON/cassandra/appearance</v>
      </c>
      <c r="AF468" s="81" t="str">
        <f t="shared" si="374"/>
        <v>Character/Timeline/02_MON/cassandra/die</v>
      </c>
      <c r="AG468" s="173" t="s">
        <v>2764</v>
      </c>
    </row>
    <row r="469" spans="1:33" x14ac:dyDescent="0.3">
      <c r="A469" s="81">
        <f t="shared" si="353"/>
        <v>1511301012</v>
      </c>
      <c r="B469" s="81" t="str">
        <f t="shared" ref="B469:AF469" si="375">IF(B358 &lt;&gt; "", B358, "")</f>
        <v>BossChallenge</v>
      </c>
      <c r="C469" s="81" t="str">
        <f t="shared" si="375"/>
        <v>강화카산드라</v>
      </c>
      <c r="D469" s="81" t="str">
        <f t="shared" si="375"/>
        <v>Monster.Name.cassandra_2</v>
      </c>
      <c r="E469" s="81" t="str">
        <f t="shared" si="375"/>
        <v>Ranger</v>
      </c>
      <c r="F469" s="82" t="str">
        <f t="shared" si="375"/>
        <v>Fac_nul_ind</v>
      </c>
      <c r="G469" s="81" t="str">
        <f t="shared" si="375"/>
        <v>TRUE</v>
      </c>
      <c r="H469" s="81" t="b">
        <f t="shared" si="375"/>
        <v>1</v>
      </c>
      <c r="I469" s="81" t="b">
        <f t="shared" si="375"/>
        <v>1</v>
      </c>
      <c r="J469" s="81">
        <f t="shared" si="375"/>
        <v>20</v>
      </c>
      <c r="K469" s="81">
        <f t="shared" si="375"/>
        <v>10</v>
      </c>
      <c r="L469" s="81" t="str">
        <f t="shared" si="375"/>
        <v>BossChallenge.cassandra_2.attack01</v>
      </c>
      <c r="M469" s="81" t="str">
        <f t="shared" si="375"/>
        <v/>
      </c>
      <c r="N469" s="81" t="str">
        <f t="shared" si="375"/>
        <v/>
      </c>
      <c r="O469" s="177" t="str">
        <f t="shared" si="375"/>
        <v>BossChallenge.cassandra_2.skill01</v>
      </c>
      <c r="P469" s="83" t="str">
        <f t="shared" si="375"/>
        <v>BossChallenge.cassandra_2.skill02</v>
      </c>
      <c r="Q469" s="83" t="str">
        <f t="shared" si="375"/>
        <v>BossChallenge.cassandra_2.skill03</v>
      </c>
      <c r="R469" s="83" t="str">
        <f t="shared" si="375"/>
        <v>BossChallenge.cassandra_2.passive01</v>
      </c>
      <c r="S469" s="83" t="str">
        <f t="shared" si="375"/>
        <v>Boss.Common.Immun</v>
      </c>
      <c r="T469" s="83" t="str">
        <f t="shared" si="375"/>
        <v/>
      </c>
      <c r="U469" s="83" t="str">
        <f t="shared" si="375"/>
        <v/>
      </c>
      <c r="V469" s="81" t="b">
        <f t="shared" si="375"/>
        <v>0</v>
      </c>
      <c r="W469" s="81" t="str">
        <f t="shared" si="375"/>
        <v>Character/Prefabs/m_boss_ranger_cassandra_2</v>
      </c>
      <c r="X469" s="81" t="str">
        <f t="shared" si="375"/>
        <v/>
      </c>
      <c r="Y469" s="81" t="str">
        <f t="shared" si="375"/>
        <v>m_boss_ranger_cassandra_2</v>
      </c>
      <c r="Z469" s="81" t="str">
        <f t="shared" si="375"/>
        <v/>
      </c>
      <c r="AA469" s="81" t="str">
        <f t="shared" si="375"/>
        <v/>
      </c>
      <c r="AB469" s="81" t="str">
        <f t="shared" si="375"/>
        <v/>
      </c>
      <c r="AC469" s="96">
        <f t="shared" si="375"/>
        <v>0.9</v>
      </c>
      <c r="AD469" s="81" t="str">
        <f t="shared" si="375"/>
        <v/>
      </c>
      <c r="AE469" s="81" t="str">
        <f t="shared" si="375"/>
        <v>Character/Timeline/02_MON/cassandra/appearance2</v>
      </c>
      <c r="AF469" s="81" t="str">
        <f t="shared" si="375"/>
        <v>Character/Timeline/02_MON/cassandra/die2</v>
      </c>
      <c r="AG469" s="173" t="s">
        <v>2764</v>
      </c>
    </row>
    <row r="470" spans="1:33" x14ac:dyDescent="0.3">
      <c r="A470" s="81">
        <f t="shared" si="353"/>
        <v>1511301021</v>
      </c>
      <c r="B470" s="81" t="str">
        <f t="shared" ref="B470:AF470" si="376">IF(B359 &lt;&gt; "", B359, "")</f>
        <v>BossChallenge</v>
      </c>
      <c r="C470" s="81" t="str">
        <f t="shared" si="376"/>
        <v>디오메가</v>
      </c>
      <c r="D470" s="81" t="str">
        <f t="shared" si="376"/>
        <v>Monster.Name.theomega_1</v>
      </c>
      <c r="E470" s="81" t="str">
        <f t="shared" si="376"/>
        <v>Attacker</v>
      </c>
      <c r="F470" s="82" t="str">
        <f t="shared" si="376"/>
        <v>Fac_nul_ind</v>
      </c>
      <c r="G470" s="81" t="str">
        <f t="shared" si="376"/>
        <v>TRUE</v>
      </c>
      <c r="H470" s="81" t="b">
        <f t="shared" si="376"/>
        <v>1</v>
      </c>
      <c r="I470" s="81" t="b">
        <f t="shared" si="376"/>
        <v>1</v>
      </c>
      <c r="J470" s="81">
        <f t="shared" si="376"/>
        <v>20</v>
      </c>
      <c r="K470" s="81">
        <f t="shared" si="376"/>
        <v>10</v>
      </c>
      <c r="L470" s="81" t="str">
        <f t="shared" si="376"/>
        <v>BossChallenge.theomega_1.attack01</v>
      </c>
      <c r="M470" s="81" t="str">
        <f t="shared" si="376"/>
        <v/>
      </c>
      <c r="N470" s="81" t="str">
        <f t="shared" si="376"/>
        <v/>
      </c>
      <c r="O470" s="177" t="str">
        <f t="shared" si="376"/>
        <v>BossChallenge.theomega_1.skill01</v>
      </c>
      <c r="P470" s="83" t="str">
        <f t="shared" si="376"/>
        <v>BossChallenge.theomega_1.skill02</v>
      </c>
      <c r="Q470" s="83" t="str">
        <f t="shared" si="376"/>
        <v>BossChallenge.theomega_1.skill03</v>
      </c>
      <c r="R470" s="83" t="str">
        <f t="shared" si="376"/>
        <v>BossChallenge.theomega_1.passive01</v>
      </c>
      <c r="S470" s="83" t="str">
        <f t="shared" si="376"/>
        <v>Boss.Common.Immun</v>
      </c>
      <c r="T470" s="83" t="str">
        <f t="shared" si="376"/>
        <v/>
      </c>
      <c r="U470" s="83" t="str">
        <f t="shared" si="376"/>
        <v/>
      </c>
      <c r="V470" s="81" t="b">
        <f t="shared" si="376"/>
        <v>0</v>
      </c>
      <c r="W470" s="81" t="str">
        <f t="shared" si="376"/>
        <v>Character/Prefabs/m_boss_attacker_theomega_1</v>
      </c>
      <c r="X470" s="81" t="str">
        <f t="shared" si="376"/>
        <v/>
      </c>
      <c r="Y470" s="81" t="str">
        <f t="shared" si="376"/>
        <v>m_boss_attacker_theomega_1</v>
      </c>
      <c r="Z470" s="81" t="str">
        <f t="shared" si="376"/>
        <v/>
      </c>
      <c r="AA470" s="81" t="str">
        <f t="shared" si="376"/>
        <v/>
      </c>
      <c r="AB470" s="81" t="str">
        <f t="shared" si="376"/>
        <v/>
      </c>
      <c r="AC470" s="96">
        <f t="shared" si="376"/>
        <v>0.9</v>
      </c>
      <c r="AD470" s="81" t="str">
        <f t="shared" si="376"/>
        <v/>
      </c>
      <c r="AE470" s="81" t="str">
        <f t="shared" si="376"/>
        <v>Character/Timeline/02_MON/boss3/appearance</v>
      </c>
      <c r="AF470" s="81" t="str">
        <f t="shared" si="376"/>
        <v>Character/Timeline/02_MON/boss3/die</v>
      </c>
      <c r="AG470" s="173" t="s">
        <v>2764</v>
      </c>
    </row>
    <row r="471" spans="1:33" x14ac:dyDescent="0.3">
      <c r="A471" s="81">
        <f t="shared" si="353"/>
        <v>1511301022</v>
      </c>
      <c r="B471" s="81" t="str">
        <f t="shared" ref="B471:AF471" si="377">IF(B360 &lt;&gt; "", B360, "")</f>
        <v>BossChallenge</v>
      </c>
      <c r="C471" s="81" t="str">
        <f t="shared" si="377"/>
        <v>강화디오메가</v>
      </c>
      <c r="D471" s="81" t="str">
        <f t="shared" si="377"/>
        <v>Monster.Name.theomega_3</v>
      </c>
      <c r="E471" s="81" t="str">
        <f t="shared" si="377"/>
        <v>Attacker</v>
      </c>
      <c r="F471" s="82" t="str">
        <f t="shared" si="377"/>
        <v>Fac_nul_ind</v>
      </c>
      <c r="G471" s="81" t="str">
        <f t="shared" si="377"/>
        <v>TRUE</v>
      </c>
      <c r="H471" s="81" t="b">
        <f t="shared" si="377"/>
        <v>1</v>
      </c>
      <c r="I471" s="81" t="b">
        <f t="shared" si="377"/>
        <v>1</v>
      </c>
      <c r="J471" s="81">
        <f t="shared" si="377"/>
        <v>20</v>
      </c>
      <c r="K471" s="81">
        <f t="shared" si="377"/>
        <v>10</v>
      </c>
      <c r="L471" s="81" t="str">
        <f t="shared" si="377"/>
        <v>BossChallenge.theomega_3.attack01</v>
      </c>
      <c r="M471" s="81" t="str">
        <f t="shared" si="377"/>
        <v>BossChallenge.theomega_3.attack02</v>
      </c>
      <c r="N471" s="81" t="str">
        <f t="shared" si="377"/>
        <v/>
      </c>
      <c r="O471" s="177" t="str">
        <f t="shared" si="377"/>
        <v>BossChallenge.theomega_3.skill01</v>
      </c>
      <c r="P471" s="83" t="str">
        <f t="shared" si="377"/>
        <v>BossChallenge.theomega_3.skill02</v>
      </c>
      <c r="Q471" s="83" t="str">
        <f t="shared" si="377"/>
        <v>BossChallenge.theomega_3.skill03</v>
      </c>
      <c r="R471" s="83" t="str">
        <f t="shared" si="377"/>
        <v>BossChallenge.theomega_3.skill04</v>
      </c>
      <c r="S471" s="83" t="str">
        <f t="shared" si="377"/>
        <v>BossChallenge.theomega_3.passive01</v>
      </c>
      <c r="T471" s="83" t="str">
        <f t="shared" si="377"/>
        <v/>
      </c>
      <c r="U471" s="83" t="str">
        <f t="shared" si="377"/>
        <v/>
      </c>
      <c r="V471" s="81" t="b">
        <f t="shared" si="377"/>
        <v>0</v>
      </c>
      <c r="W471" s="81" t="str">
        <f t="shared" si="377"/>
        <v>Character/Prefabs/m_boss_attacker_theomega_3</v>
      </c>
      <c r="X471" s="81" t="str">
        <f t="shared" si="377"/>
        <v/>
      </c>
      <c r="Y471" s="81" t="str">
        <f t="shared" si="377"/>
        <v>m_boss_attacker_theomega_3</v>
      </c>
      <c r="Z471" s="81" t="str">
        <f t="shared" si="377"/>
        <v/>
      </c>
      <c r="AA471" s="81" t="str">
        <f t="shared" si="377"/>
        <v/>
      </c>
      <c r="AB471" s="81" t="str">
        <f t="shared" si="377"/>
        <v/>
      </c>
      <c r="AC471" s="96">
        <f t="shared" si="377"/>
        <v>0.9</v>
      </c>
      <c r="AD471" s="81" t="str">
        <f t="shared" si="377"/>
        <v/>
      </c>
      <c r="AE471" s="81" t="str">
        <f t="shared" si="377"/>
        <v>Character/Timeline/02_MON/boss3/appearance_2</v>
      </c>
      <c r="AF471" s="81" t="str">
        <f t="shared" si="377"/>
        <v>Character/Timeline/02_MON/boss3/die_2</v>
      </c>
      <c r="AG471" s="173" t="s">
        <v>2764</v>
      </c>
    </row>
    <row r="472" spans="1:33" x14ac:dyDescent="0.3">
      <c r="A472" s="81">
        <f t="shared" si="353"/>
        <v>1511301031</v>
      </c>
      <c r="B472" s="81" t="str">
        <f t="shared" ref="B472:AF472" si="378">IF(B361 &lt;&gt; "", B361, "")</f>
        <v>BossChallenge</v>
      </c>
      <c r="C472" s="81" t="str">
        <f t="shared" si="378"/>
        <v>널엑스</v>
      </c>
      <c r="D472" s="81" t="str">
        <f t="shared" si="378"/>
        <v>Monster.Name.nullaxe_1</v>
      </c>
      <c r="E472" s="81" t="str">
        <f t="shared" si="378"/>
        <v>Attacker</v>
      </c>
      <c r="F472" s="82" t="str">
        <f t="shared" si="378"/>
        <v>Fac_nul_ind</v>
      </c>
      <c r="G472" s="81" t="str">
        <f t="shared" si="378"/>
        <v>TRUE</v>
      </c>
      <c r="H472" s="81" t="b">
        <f t="shared" si="378"/>
        <v>1</v>
      </c>
      <c r="I472" s="81" t="b">
        <f t="shared" si="378"/>
        <v>1</v>
      </c>
      <c r="J472" s="81">
        <f t="shared" si="378"/>
        <v>10</v>
      </c>
      <c r="K472" s="81">
        <f t="shared" si="378"/>
        <v>10</v>
      </c>
      <c r="L472" s="81" t="str">
        <f t="shared" si="378"/>
        <v>BossChallenge.nullaxe_1.attack01</v>
      </c>
      <c r="M472" s="81" t="str">
        <f t="shared" si="378"/>
        <v>BossChallenge.nullaxe_1.attack02</v>
      </c>
      <c r="N472" s="81" t="str">
        <f t="shared" si="378"/>
        <v/>
      </c>
      <c r="O472" s="177" t="str">
        <f t="shared" si="378"/>
        <v>BossChallenge.nullaxe_1.skill01</v>
      </c>
      <c r="P472" s="83" t="str">
        <f t="shared" si="378"/>
        <v>BossChallenge.nullaxe_1.skill02</v>
      </c>
      <c r="Q472" s="83" t="str">
        <f t="shared" si="378"/>
        <v>BossChallenge.nullaxe_1.skill03</v>
      </c>
      <c r="R472" s="83" t="str">
        <f t="shared" si="378"/>
        <v>BossChallenge.nullaxe_1.passive01</v>
      </c>
      <c r="S472" s="83" t="str">
        <f t="shared" si="378"/>
        <v>Boss.Common.Immun</v>
      </c>
      <c r="T472" s="83" t="str">
        <f t="shared" si="378"/>
        <v/>
      </c>
      <c r="U472" s="83" t="str">
        <f t="shared" si="378"/>
        <v/>
      </c>
      <c r="V472" s="81" t="b">
        <f t="shared" si="378"/>
        <v>0</v>
      </c>
      <c r="W472" s="81" t="str">
        <f t="shared" si="378"/>
        <v>Character/Prefabs/m_boss_attacker_nullaxe_1</v>
      </c>
      <c r="X472" s="81" t="str">
        <f t="shared" si="378"/>
        <v/>
      </c>
      <c r="Y472" s="81" t="str">
        <f t="shared" si="378"/>
        <v>m_boss_attacker_nullaxe_1</v>
      </c>
      <c r="Z472" s="81" t="str">
        <f t="shared" si="378"/>
        <v/>
      </c>
      <c r="AA472" s="81" t="str">
        <f t="shared" si="378"/>
        <v/>
      </c>
      <c r="AB472" s="81" t="str">
        <f t="shared" si="378"/>
        <v/>
      </c>
      <c r="AC472" s="96">
        <f t="shared" si="378"/>
        <v>1.6</v>
      </c>
      <c r="AD472" s="81" t="str">
        <f t="shared" si="378"/>
        <v/>
      </c>
      <c r="AE472" s="81" t="str">
        <f t="shared" si="378"/>
        <v>Character/Timeline/02_MON/nullaxe/appearance</v>
      </c>
      <c r="AF472" s="81" t="str">
        <f t="shared" si="378"/>
        <v>Character/Timeline/02_MON/nullaxe/die</v>
      </c>
      <c r="AG472" s="173" t="s">
        <v>2764</v>
      </c>
    </row>
    <row r="473" spans="1:33" x14ac:dyDescent="0.3">
      <c r="A473" s="81">
        <f t="shared" si="353"/>
        <v>1511301032</v>
      </c>
      <c r="B473" s="81" t="str">
        <f t="shared" ref="B473:AF473" si="379">IF(B362 &lt;&gt; "", B362, "")</f>
        <v>BossChallenge</v>
      </c>
      <c r="C473" s="81" t="str">
        <f t="shared" si="379"/>
        <v>강화널엑스</v>
      </c>
      <c r="D473" s="81" t="str">
        <f t="shared" si="379"/>
        <v>Monster.Name.nullaxe_2</v>
      </c>
      <c r="E473" s="81" t="str">
        <f t="shared" si="379"/>
        <v>Attacker</v>
      </c>
      <c r="F473" s="82" t="str">
        <f t="shared" si="379"/>
        <v>Fac_nul_ind</v>
      </c>
      <c r="G473" s="81" t="str">
        <f t="shared" si="379"/>
        <v>TRUE</v>
      </c>
      <c r="H473" s="81" t="b">
        <f t="shared" si="379"/>
        <v>1</v>
      </c>
      <c r="I473" s="81" t="b">
        <f t="shared" si="379"/>
        <v>1</v>
      </c>
      <c r="J473" s="81">
        <f t="shared" si="379"/>
        <v>10</v>
      </c>
      <c r="K473" s="81">
        <f t="shared" si="379"/>
        <v>10</v>
      </c>
      <c r="L473" s="81" t="str">
        <f t="shared" si="379"/>
        <v>BossChallenge.nullaxe_2.attack01</v>
      </c>
      <c r="M473" s="81" t="str">
        <f t="shared" si="379"/>
        <v>BossChallenge.nullaxe_2.attack02</v>
      </c>
      <c r="N473" s="81" t="str">
        <f t="shared" si="379"/>
        <v/>
      </c>
      <c r="O473" s="177" t="str">
        <f t="shared" si="379"/>
        <v>BossChallenge.nullaxe_2.skill01</v>
      </c>
      <c r="P473" s="83" t="str">
        <f t="shared" si="379"/>
        <v>BossChallenge.nullaxe_2.skill02</v>
      </c>
      <c r="Q473" s="83" t="str">
        <f t="shared" si="379"/>
        <v>BossChallenge.nullaxe_2.skill03</v>
      </c>
      <c r="R473" s="83" t="str">
        <f t="shared" si="379"/>
        <v>BossChallenge.nullaxe_2.passive01</v>
      </c>
      <c r="S473" s="83" t="str">
        <f t="shared" si="379"/>
        <v>BossChallenge.nullaxe_2.passive02</v>
      </c>
      <c r="T473" s="83" t="str">
        <f t="shared" si="379"/>
        <v/>
      </c>
      <c r="U473" s="83" t="str">
        <f t="shared" si="379"/>
        <v/>
      </c>
      <c r="V473" s="81" t="b">
        <f t="shared" si="379"/>
        <v>0</v>
      </c>
      <c r="W473" s="81" t="str">
        <f t="shared" si="379"/>
        <v>Character/Prefabs/m_boss_attacker_nullaxe_2</v>
      </c>
      <c r="X473" s="81" t="str">
        <f t="shared" si="379"/>
        <v/>
      </c>
      <c r="Y473" s="81" t="str">
        <f t="shared" si="379"/>
        <v>m_boss_attacker_nullaxe_2</v>
      </c>
      <c r="Z473" s="81" t="str">
        <f t="shared" si="379"/>
        <v/>
      </c>
      <c r="AA473" s="81" t="str">
        <f t="shared" si="379"/>
        <v/>
      </c>
      <c r="AB473" s="81" t="str">
        <f t="shared" si="379"/>
        <v/>
      </c>
      <c r="AC473" s="96">
        <f t="shared" si="379"/>
        <v>1.6</v>
      </c>
      <c r="AD473" s="81" t="str">
        <f t="shared" si="379"/>
        <v/>
      </c>
      <c r="AE473" s="81" t="str">
        <f t="shared" si="379"/>
        <v>Character/Timeline/02_MON/nullaxe/appearance_2new</v>
      </c>
      <c r="AF473" s="81" t="str">
        <f t="shared" si="379"/>
        <v>Character/Timeline/02_MON/nullaxe/die_2new</v>
      </c>
      <c r="AG473" s="173" t="s">
        <v>2764</v>
      </c>
    </row>
    <row r="474" spans="1:33" x14ac:dyDescent="0.3">
      <c r="A474" s="81">
        <f t="shared" si="353"/>
        <v>1511301041</v>
      </c>
      <c r="B474" s="81" t="str">
        <f t="shared" ref="B474:AF474" si="380">IF(B363 &lt;&gt; "", B363, "")</f>
        <v>BossChallenge</v>
      </c>
      <c r="C474" s="81" t="str">
        <f t="shared" si="380"/>
        <v>로열퀸</v>
      </c>
      <c r="D474" s="81" t="str">
        <f t="shared" si="380"/>
        <v>Monster.Name.clock_royal_queen_1</v>
      </c>
      <c r="E474" s="81" t="str">
        <f t="shared" si="380"/>
        <v>Attacker</v>
      </c>
      <c r="F474" s="82" t="str">
        <f t="shared" si="380"/>
        <v>Fac_nul_ind</v>
      </c>
      <c r="G474" s="81" t="str">
        <f t="shared" si="380"/>
        <v>TRUE</v>
      </c>
      <c r="H474" s="81" t="b">
        <f t="shared" si="380"/>
        <v>1</v>
      </c>
      <c r="I474" s="81" t="b">
        <f t="shared" si="380"/>
        <v>1</v>
      </c>
      <c r="J474" s="81">
        <f t="shared" si="380"/>
        <v>10</v>
      </c>
      <c r="K474" s="81">
        <f t="shared" si="380"/>
        <v>10</v>
      </c>
      <c r="L474" s="81" t="str">
        <f t="shared" si="380"/>
        <v>BossChallenge.clock_royal_queen_1.attack01</v>
      </c>
      <c r="M474" s="81" t="str">
        <f t="shared" si="380"/>
        <v>BossChallenge.clock_royal_queen_1.attack02</v>
      </c>
      <c r="N474" s="81" t="str">
        <f t="shared" si="380"/>
        <v/>
      </c>
      <c r="O474" s="177" t="str">
        <f t="shared" si="380"/>
        <v>BossChallenge.clock_royal_queen_1.skill01</v>
      </c>
      <c r="P474" s="83" t="str">
        <f t="shared" si="380"/>
        <v>BossChallenge.clock_royal_queen_1.skill02</v>
      </c>
      <c r="Q474" s="83" t="str">
        <f t="shared" si="380"/>
        <v>BossChallenge.clock_royal_queen_1.skill03</v>
      </c>
      <c r="R474" s="83" t="str">
        <f t="shared" si="380"/>
        <v>BossChallenge.clock_royal_queen_1.passive01</v>
      </c>
      <c r="S474" s="83" t="str">
        <f t="shared" si="380"/>
        <v>Boss.Common.Immun</v>
      </c>
      <c r="T474" s="83" t="str">
        <f t="shared" si="380"/>
        <v/>
      </c>
      <c r="U474" s="83" t="str">
        <f t="shared" si="380"/>
        <v/>
      </c>
      <c r="V474" s="81" t="b">
        <f t="shared" si="380"/>
        <v>0</v>
      </c>
      <c r="W474" s="170" t="str">
        <f t="shared" si="380"/>
        <v>Character/Prefabs/m_boss_attacker_clock_royal_queen_1</v>
      </c>
      <c r="X474" s="81" t="str">
        <f t="shared" si="380"/>
        <v/>
      </c>
      <c r="Y474" s="81" t="str">
        <f t="shared" si="380"/>
        <v>m_boss_attacker_clock_royal_queen_1</v>
      </c>
      <c r="Z474" s="81" t="str">
        <f t="shared" si="380"/>
        <v/>
      </c>
      <c r="AA474" s="81" t="str">
        <f t="shared" si="380"/>
        <v/>
      </c>
      <c r="AB474" s="81" t="str">
        <f t="shared" si="380"/>
        <v/>
      </c>
      <c r="AC474" s="96">
        <f t="shared" si="380"/>
        <v>0.9</v>
      </c>
      <c r="AD474" s="81" t="str">
        <f t="shared" si="380"/>
        <v/>
      </c>
      <c r="AE474" s="81" t="str">
        <f t="shared" si="380"/>
        <v>Character/Timeline/02_MON/royal_queen_1/appearance</v>
      </c>
      <c r="AF474" s="81" t="str">
        <f t="shared" si="380"/>
        <v>Character/Timeline/02_MON/royal_queen_1/die</v>
      </c>
      <c r="AG474" s="173" t="s">
        <v>2764</v>
      </c>
    </row>
    <row r="475" spans="1:33" x14ac:dyDescent="0.3">
      <c r="A475" s="81">
        <f t="shared" si="353"/>
        <v>1511301042</v>
      </c>
      <c r="B475" s="81" t="str">
        <f t="shared" ref="B475:AF475" si="381">IF(B364 &lt;&gt; "", B364, "")</f>
        <v>BossChallenge</v>
      </c>
      <c r="C475" s="81" t="str">
        <f t="shared" si="381"/>
        <v>강화로열퀸</v>
      </c>
      <c r="D475" s="81" t="str">
        <f t="shared" si="381"/>
        <v>Monster.Name.clock_royal_queen_2</v>
      </c>
      <c r="E475" s="81" t="str">
        <f t="shared" si="381"/>
        <v>Attacker</v>
      </c>
      <c r="F475" s="82" t="str">
        <f t="shared" si="381"/>
        <v>Fac_nul_ind</v>
      </c>
      <c r="G475" s="81" t="str">
        <f t="shared" si="381"/>
        <v>TRUE</v>
      </c>
      <c r="H475" s="81" t="b">
        <f t="shared" si="381"/>
        <v>1</v>
      </c>
      <c r="I475" s="81" t="b">
        <f t="shared" si="381"/>
        <v>1</v>
      </c>
      <c r="J475" s="81">
        <f t="shared" si="381"/>
        <v>10</v>
      </c>
      <c r="K475" s="81">
        <f t="shared" si="381"/>
        <v>10</v>
      </c>
      <c r="L475" s="81" t="str">
        <f t="shared" si="381"/>
        <v>BossChallenge.clock_royal_queen_2.attack01</v>
      </c>
      <c r="M475" s="81" t="str">
        <f t="shared" si="381"/>
        <v>BossChallenge.clock_royal_queen_2.attack02</v>
      </c>
      <c r="N475" s="81" t="str">
        <f t="shared" si="381"/>
        <v/>
      </c>
      <c r="O475" s="177" t="str">
        <f t="shared" si="381"/>
        <v>BossChallenge.clock_royal_queen_2.skill01</v>
      </c>
      <c r="P475" s="83" t="str">
        <f t="shared" si="381"/>
        <v>BossChallenge.clock_royal_queen_2.skill02</v>
      </c>
      <c r="Q475" s="83" t="str">
        <f t="shared" si="381"/>
        <v>BossChallenge.clock_royal_queen_2.skill03</v>
      </c>
      <c r="R475" s="83" t="str">
        <f t="shared" si="381"/>
        <v>BossChallenge.clock_royal_queen_1.passive01</v>
      </c>
      <c r="S475" s="83" t="str">
        <f t="shared" si="381"/>
        <v>Boss.Common.Immun</v>
      </c>
      <c r="T475" s="83" t="str">
        <f t="shared" si="381"/>
        <v/>
      </c>
      <c r="U475" s="83" t="str">
        <f t="shared" si="381"/>
        <v/>
      </c>
      <c r="V475" s="81" t="b">
        <f t="shared" si="381"/>
        <v>0</v>
      </c>
      <c r="W475" s="170" t="str">
        <f t="shared" si="381"/>
        <v>Character/Prefabs/m_boss_attacker_clock_royal_queen_2</v>
      </c>
      <c r="X475" s="163" t="str">
        <f t="shared" si="381"/>
        <v/>
      </c>
      <c r="Y475" s="163" t="str">
        <f t="shared" si="381"/>
        <v>m_boss_attacker_clock_royal_queen_1</v>
      </c>
      <c r="Z475" s="81" t="str">
        <f t="shared" si="381"/>
        <v/>
      </c>
      <c r="AA475" s="81" t="str">
        <f t="shared" si="381"/>
        <v/>
      </c>
      <c r="AB475" s="81" t="str">
        <f t="shared" si="381"/>
        <v/>
      </c>
      <c r="AC475" s="96">
        <f t="shared" si="381"/>
        <v>1.3</v>
      </c>
      <c r="AD475" s="81" t="str">
        <f t="shared" si="381"/>
        <v/>
      </c>
      <c r="AE475" s="81" t="str">
        <f t="shared" si="381"/>
        <v>Character/Timeline/02_MON/royal_queen_2/appearance2</v>
      </c>
      <c r="AF475" s="81" t="str">
        <f t="shared" si="381"/>
        <v>Character/Timeline/02_MON/royal_queen_2/die2</v>
      </c>
      <c r="AG475" s="173" t="s">
        <v>2764</v>
      </c>
    </row>
    <row r="476" spans="1:33" x14ac:dyDescent="0.3">
      <c r="A476" s="81">
        <f t="shared" si="353"/>
        <v>1511301051</v>
      </c>
      <c r="B476" s="81" t="str">
        <f t="shared" ref="B476:AF476" si="382">IF(B365 &lt;&gt; "", B365, "")</f>
        <v>BossChallenge</v>
      </c>
      <c r="C476" s="81" t="str">
        <f t="shared" si="382"/>
        <v>톡식</v>
      </c>
      <c r="D476" s="81" t="str">
        <f t="shared" si="382"/>
        <v>Monster.Name.toxic_1</v>
      </c>
      <c r="E476" s="81" t="str">
        <f t="shared" si="382"/>
        <v>Attacker</v>
      </c>
      <c r="F476" s="82" t="str">
        <f t="shared" si="382"/>
        <v>Fac_nul_ind</v>
      </c>
      <c r="G476" s="81" t="str">
        <f t="shared" si="382"/>
        <v>TRUE</v>
      </c>
      <c r="H476" s="81" t="b">
        <f t="shared" si="382"/>
        <v>1</v>
      </c>
      <c r="I476" s="81" t="b">
        <f t="shared" si="382"/>
        <v>1</v>
      </c>
      <c r="J476" s="81">
        <f t="shared" si="382"/>
        <v>20</v>
      </c>
      <c r="K476" s="81">
        <f t="shared" si="382"/>
        <v>10</v>
      </c>
      <c r="L476" s="81" t="str">
        <f t="shared" si="382"/>
        <v>BossChallenge.toxic_1.attack01</v>
      </c>
      <c r="M476" s="81" t="str">
        <f t="shared" si="382"/>
        <v>BossChallenge.toxic_1.attack02</v>
      </c>
      <c r="N476" s="81" t="str">
        <f t="shared" si="382"/>
        <v/>
      </c>
      <c r="O476" s="177" t="str">
        <f t="shared" si="382"/>
        <v>BossChallenge.toxic_1.skill01</v>
      </c>
      <c r="P476" s="83" t="str">
        <f t="shared" si="382"/>
        <v>BossChallenge.toxic_1.skill02</v>
      </c>
      <c r="Q476" s="83" t="str">
        <f t="shared" si="382"/>
        <v>BossChallenge.toxic_1.skill03</v>
      </c>
      <c r="R476" s="83" t="str">
        <f t="shared" si="382"/>
        <v>BossChallenge.toxic_1.passive01</v>
      </c>
      <c r="S476" s="83" t="str">
        <f t="shared" si="382"/>
        <v>BossChallenge.toxic_1.passive02</v>
      </c>
      <c r="T476" s="83" t="str">
        <f t="shared" si="382"/>
        <v/>
      </c>
      <c r="U476" s="83" t="str">
        <f t="shared" si="382"/>
        <v/>
      </c>
      <c r="V476" s="81" t="b">
        <f t="shared" si="382"/>
        <v>0</v>
      </c>
      <c r="W476" s="170" t="str">
        <f t="shared" si="382"/>
        <v>Character/Prefabs/m_boss_attacker_toxic_1</v>
      </c>
      <c r="X476" s="81" t="str">
        <f t="shared" si="382"/>
        <v/>
      </c>
      <c r="Y476" s="81" t="str">
        <f t="shared" si="382"/>
        <v>m_boss_attacker_toxic_1</v>
      </c>
      <c r="Z476" s="81" t="str">
        <f t="shared" si="382"/>
        <v/>
      </c>
      <c r="AA476" s="81" t="str">
        <f t="shared" si="382"/>
        <v/>
      </c>
      <c r="AB476" s="81" t="str">
        <f t="shared" si="382"/>
        <v/>
      </c>
      <c r="AC476" s="96">
        <f t="shared" si="382"/>
        <v>1.1000000000000001</v>
      </c>
      <c r="AD476" s="81" t="str">
        <f t="shared" si="382"/>
        <v/>
      </c>
      <c r="AE476" s="81" t="str">
        <f t="shared" si="382"/>
        <v>Character/Timeline/02_MON/toxic_1/m_boss_attacker_toxic_1@appearance</v>
      </c>
      <c r="AF476" s="81" t="str">
        <f t="shared" si="382"/>
        <v>Character/Timeline/02_MON/toxic_1/m_boss_attacker_toxic_1@die</v>
      </c>
      <c r="AG476" s="173" t="s">
        <v>2764</v>
      </c>
    </row>
    <row r="477" spans="1:33" x14ac:dyDescent="0.3">
      <c r="A477" s="81">
        <f t="shared" si="353"/>
        <v>1511301052</v>
      </c>
      <c r="B477" s="81" t="str">
        <f t="shared" ref="B477:AF477" si="383">IF(B366 &lt;&gt; "", B366, "")</f>
        <v>BossChallenge</v>
      </c>
      <c r="C477" s="81" t="str">
        <f t="shared" si="383"/>
        <v>강화톡식</v>
      </c>
      <c r="D477" s="81" t="str">
        <f t="shared" si="383"/>
        <v>Monster.Name.toxic_3</v>
      </c>
      <c r="E477" s="81" t="str">
        <f t="shared" si="383"/>
        <v>Attacker</v>
      </c>
      <c r="F477" s="82" t="str">
        <f t="shared" si="383"/>
        <v>Fac_nul_ind</v>
      </c>
      <c r="G477" s="81" t="str">
        <f t="shared" si="383"/>
        <v>TRUE</v>
      </c>
      <c r="H477" s="81" t="b">
        <f t="shared" si="383"/>
        <v>1</v>
      </c>
      <c r="I477" s="81" t="b">
        <f t="shared" si="383"/>
        <v>1</v>
      </c>
      <c r="J477" s="81">
        <f t="shared" si="383"/>
        <v>20</v>
      </c>
      <c r="K477" s="81">
        <f t="shared" si="383"/>
        <v>10</v>
      </c>
      <c r="L477" s="81" t="str">
        <f t="shared" si="383"/>
        <v>BossChallenge.toxic_3.attack01</v>
      </c>
      <c r="M477" s="81" t="str">
        <f t="shared" si="383"/>
        <v>BossChallenge.toxic_3.attack02</v>
      </c>
      <c r="N477" s="81" t="str">
        <f t="shared" si="383"/>
        <v/>
      </c>
      <c r="O477" s="177" t="str">
        <f t="shared" si="383"/>
        <v>BossChallenge.toxic_3.skill01</v>
      </c>
      <c r="P477" s="83" t="str">
        <f t="shared" si="383"/>
        <v>BossChallenge.toxic_3.skill02</v>
      </c>
      <c r="Q477" s="83" t="str">
        <f t="shared" si="383"/>
        <v>BossChallenge.toxic_3.skill03</v>
      </c>
      <c r="R477" s="83" t="str">
        <f t="shared" si="383"/>
        <v>BossChallenge.toxic_3.passive01</v>
      </c>
      <c r="S477" s="83" t="str">
        <f t="shared" si="383"/>
        <v>BossChallenge.toxic_3.passive02</v>
      </c>
      <c r="T477" s="83" t="str">
        <f t="shared" si="383"/>
        <v/>
      </c>
      <c r="U477" s="83" t="str">
        <f t="shared" si="383"/>
        <v/>
      </c>
      <c r="V477" s="81" t="b">
        <f t="shared" si="383"/>
        <v>0</v>
      </c>
      <c r="W477" s="170" t="str">
        <f t="shared" si="383"/>
        <v>Character/Prefabs/m_boss_attacker_toxic_3</v>
      </c>
      <c r="X477" s="163" t="str">
        <f t="shared" si="383"/>
        <v/>
      </c>
      <c r="Y477" s="163" t="str">
        <f t="shared" si="383"/>
        <v>m_boss_attacker_toxic_1</v>
      </c>
      <c r="Z477" s="81" t="str">
        <f t="shared" si="383"/>
        <v/>
      </c>
      <c r="AA477" s="81" t="str">
        <f t="shared" si="383"/>
        <v/>
      </c>
      <c r="AB477" s="81" t="str">
        <f t="shared" si="383"/>
        <v/>
      </c>
      <c r="AC477" s="96">
        <f t="shared" si="383"/>
        <v>1.1000000000000001</v>
      </c>
      <c r="AD477" s="81" t="str">
        <f t="shared" si="383"/>
        <v/>
      </c>
      <c r="AE477" s="81" t="str">
        <f t="shared" si="383"/>
        <v>Character/Timeline/02_MON/toxic_3/appearance3</v>
      </c>
      <c r="AF477" s="81" t="str">
        <f t="shared" si="383"/>
        <v>Character/Timeline/02_MON/toxic_3/die3</v>
      </c>
      <c r="AG477" s="173" t="s">
        <v>2764</v>
      </c>
    </row>
    <row r="478" spans="1:33" x14ac:dyDescent="0.3">
      <c r="A478" s="81">
        <f t="shared" si="353"/>
        <v>1511301061</v>
      </c>
      <c r="B478" s="81" t="str">
        <f t="shared" ref="B478:AF478" si="384">IF(B367 &lt;&gt; "", B367, "")</f>
        <v>BossChallenge</v>
      </c>
      <c r="C478" s="81" t="str">
        <f t="shared" si="384"/>
        <v>연구소골리앗</v>
      </c>
      <c r="D478" s="81" t="str">
        <f t="shared" si="384"/>
        <v>Monster.Name.goliath_1</v>
      </c>
      <c r="E478" s="81" t="str">
        <f t="shared" si="384"/>
        <v>Attacker</v>
      </c>
      <c r="F478" s="82" t="str">
        <f t="shared" si="384"/>
        <v>Fac_nul_ind</v>
      </c>
      <c r="G478" s="81" t="str">
        <f t="shared" si="384"/>
        <v>TRUE</v>
      </c>
      <c r="H478" s="81" t="b">
        <f t="shared" si="384"/>
        <v>1</v>
      </c>
      <c r="I478" s="81" t="b">
        <f t="shared" si="384"/>
        <v>1</v>
      </c>
      <c r="J478" s="81">
        <f t="shared" si="384"/>
        <v>10</v>
      </c>
      <c r="K478" s="81">
        <f t="shared" si="384"/>
        <v>10</v>
      </c>
      <c r="L478" s="81" t="str">
        <f t="shared" si="384"/>
        <v>BossChallenge.goliath_1.attack01</v>
      </c>
      <c r="M478" s="81" t="str">
        <f t="shared" si="384"/>
        <v>BossChallenge.goliath_1.attack02</v>
      </c>
      <c r="N478" s="81" t="str">
        <f t="shared" si="384"/>
        <v/>
      </c>
      <c r="O478" s="177" t="str">
        <f t="shared" si="384"/>
        <v>BossChallenge.goliath_1.skill01</v>
      </c>
      <c r="P478" s="83" t="str">
        <f t="shared" si="384"/>
        <v>BossChallenge.goliath_1.skill02</v>
      </c>
      <c r="Q478" s="83" t="str">
        <f t="shared" si="384"/>
        <v>BossChallenge.goliath_1.skill03</v>
      </c>
      <c r="R478" s="83" t="str">
        <f t="shared" si="384"/>
        <v>BossChallenge.goliath_1.passive01</v>
      </c>
      <c r="S478" s="83" t="str">
        <f t="shared" si="384"/>
        <v>BossChallenge.goliath_1.passive02</v>
      </c>
      <c r="T478" s="83" t="str">
        <f t="shared" si="384"/>
        <v/>
      </c>
      <c r="U478" s="83" t="str">
        <f t="shared" si="384"/>
        <v/>
      </c>
      <c r="V478" s="81" t="b">
        <f t="shared" si="384"/>
        <v>0</v>
      </c>
      <c r="W478" s="170" t="str">
        <f t="shared" si="384"/>
        <v>Character/Prefabs/m_boss_attacker_goliath_1</v>
      </c>
      <c r="X478" s="81" t="str">
        <f t="shared" si="384"/>
        <v/>
      </c>
      <c r="Y478" s="81" t="str">
        <f t="shared" si="384"/>
        <v>m_boss_attacker_goliath_1</v>
      </c>
      <c r="Z478" s="81" t="str">
        <f t="shared" si="384"/>
        <v/>
      </c>
      <c r="AA478" s="81" t="str">
        <f t="shared" si="384"/>
        <v/>
      </c>
      <c r="AB478" s="81" t="str">
        <f t="shared" si="384"/>
        <v/>
      </c>
      <c r="AC478" s="96">
        <f t="shared" si="384"/>
        <v>1.4</v>
      </c>
      <c r="AD478" s="81" t="str">
        <f t="shared" si="384"/>
        <v/>
      </c>
      <c r="AE478" s="81" t="str">
        <f t="shared" si="384"/>
        <v>Character/Timeline/02_MON/goliath_1/m_boss_attacker_goliath_1@appearance</v>
      </c>
      <c r="AF478" s="81" t="str">
        <f t="shared" si="384"/>
        <v>Character/Timeline/02_MON/goliath_1/m_boss_attacker_goliath_1@die</v>
      </c>
      <c r="AG478" s="173" t="s">
        <v>2764</v>
      </c>
    </row>
    <row r="479" spans="1:33" x14ac:dyDescent="0.3">
      <c r="A479" s="81">
        <f t="shared" si="353"/>
        <v>1511301062</v>
      </c>
      <c r="B479" s="81" t="str">
        <f t="shared" ref="B479:AF479" si="385">IF(B368 &lt;&gt; "", B368, "")</f>
        <v>BossChallenge</v>
      </c>
      <c r="C479" s="81" t="str">
        <f t="shared" si="385"/>
        <v>강화골리앗</v>
      </c>
      <c r="D479" s="81" t="str">
        <f t="shared" si="385"/>
        <v>Monster.Name.goliath_4</v>
      </c>
      <c r="E479" s="81" t="str">
        <f t="shared" si="385"/>
        <v>Attacker</v>
      </c>
      <c r="F479" s="82" t="str">
        <f t="shared" si="385"/>
        <v>Fac_nul_ind</v>
      </c>
      <c r="G479" s="81" t="str">
        <f t="shared" si="385"/>
        <v>TRUE</v>
      </c>
      <c r="H479" s="81" t="b">
        <f t="shared" si="385"/>
        <v>1</v>
      </c>
      <c r="I479" s="81" t="b">
        <f t="shared" si="385"/>
        <v>1</v>
      </c>
      <c r="J479" s="81">
        <f t="shared" si="385"/>
        <v>10</v>
      </c>
      <c r="K479" s="81">
        <f t="shared" si="385"/>
        <v>10</v>
      </c>
      <c r="L479" s="81" t="str">
        <f t="shared" si="385"/>
        <v>BossChallenge.goliath_4.attack01</v>
      </c>
      <c r="M479" s="81" t="str">
        <f t="shared" si="385"/>
        <v>BossChallenge.goliath_4.attack02</v>
      </c>
      <c r="N479" s="81" t="str">
        <f t="shared" si="385"/>
        <v/>
      </c>
      <c r="O479" s="177" t="str">
        <f t="shared" si="385"/>
        <v>BossChallenge.goliath_4.skill01</v>
      </c>
      <c r="P479" s="83" t="str">
        <f t="shared" si="385"/>
        <v>BossChallenge.goliath_4.skill02</v>
      </c>
      <c r="Q479" s="83" t="str">
        <f t="shared" si="385"/>
        <v>BossChallenge.goliath_4.skill03</v>
      </c>
      <c r="R479" s="83" t="str">
        <f t="shared" si="385"/>
        <v>BossChallenge.goliath_4.passive01</v>
      </c>
      <c r="S479" s="83" t="str">
        <f t="shared" si="385"/>
        <v>BossChallenge.goliath_4.passive02</v>
      </c>
      <c r="T479" s="83" t="str">
        <f t="shared" si="385"/>
        <v/>
      </c>
      <c r="U479" s="83" t="str">
        <f t="shared" si="385"/>
        <v/>
      </c>
      <c r="V479" s="81" t="b">
        <f t="shared" si="385"/>
        <v>0</v>
      </c>
      <c r="W479" s="170" t="str">
        <f t="shared" si="385"/>
        <v>Character/Prefabs/m_boss_attacker_goliath_4</v>
      </c>
      <c r="X479" s="163" t="str">
        <f t="shared" si="385"/>
        <v/>
      </c>
      <c r="Y479" s="163" t="str">
        <f t="shared" si="385"/>
        <v>m_boss_attacker_goliath_1</v>
      </c>
      <c r="Z479" s="81" t="str">
        <f t="shared" si="385"/>
        <v/>
      </c>
      <c r="AA479" s="81" t="str">
        <f t="shared" si="385"/>
        <v/>
      </c>
      <c r="AB479" s="81" t="str">
        <f t="shared" si="385"/>
        <v/>
      </c>
      <c r="AC479" s="96">
        <f t="shared" si="385"/>
        <v>1.7</v>
      </c>
      <c r="AD479" s="81" t="str">
        <f t="shared" si="385"/>
        <v/>
      </c>
      <c r="AE479" s="81" t="str">
        <f t="shared" si="385"/>
        <v>Character/Timeline/02_MON/goliath_4/appearance4</v>
      </c>
      <c r="AF479" s="81" t="str">
        <f t="shared" si="385"/>
        <v>Character/Timeline/02_MON/goliath_4/die4</v>
      </c>
      <c r="AG479" s="173" t="s">
        <v>2764</v>
      </c>
    </row>
    <row r="480" spans="1:33" x14ac:dyDescent="0.3">
      <c r="A480" s="81">
        <f t="shared" ref="A480:A511" si="386">A369+100000000</f>
        <v>1511301071</v>
      </c>
      <c r="B480" s="81" t="str">
        <f t="shared" ref="B480:AF480" si="387">IF(B369 &lt;&gt; "", B369, "")</f>
        <v>BossChallenge</v>
      </c>
      <c r="C480" s="81" t="str">
        <f t="shared" si="387"/>
        <v>크로울러</v>
      </c>
      <c r="D480" s="81" t="str">
        <f t="shared" si="387"/>
        <v>Monster.Name.crawler_1</v>
      </c>
      <c r="E480" s="81" t="str">
        <f t="shared" si="387"/>
        <v>Attacker</v>
      </c>
      <c r="F480" s="82" t="str">
        <f t="shared" si="387"/>
        <v>Fac_nul_ind</v>
      </c>
      <c r="G480" s="81" t="str">
        <f t="shared" si="387"/>
        <v>TRUE</v>
      </c>
      <c r="H480" s="81" t="b">
        <f t="shared" si="387"/>
        <v>1</v>
      </c>
      <c r="I480" s="81" t="b">
        <f t="shared" si="387"/>
        <v>1</v>
      </c>
      <c r="J480" s="81">
        <f t="shared" si="387"/>
        <v>10</v>
      </c>
      <c r="K480" s="81">
        <f t="shared" si="387"/>
        <v>10</v>
      </c>
      <c r="L480" s="81" t="str">
        <f t="shared" si="387"/>
        <v>BossChallenge.crawler_1.attack01</v>
      </c>
      <c r="M480" s="81" t="str">
        <f t="shared" si="387"/>
        <v>BossChallenge.crawler_1.attack02</v>
      </c>
      <c r="N480" s="81" t="str">
        <f t="shared" si="387"/>
        <v/>
      </c>
      <c r="O480" s="177" t="str">
        <f t="shared" si="387"/>
        <v>BossChallenge.crawler_1.skill01</v>
      </c>
      <c r="P480" s="83" t="str">
        <f t="shared" si="387"/>
        <v>BossChallenge.crawler_1.skill02</v>
      </c>
      <c r="Q480" s="83" t="str">
        <f t="shared" si="387"/>
        <v>BossChallenge.crawler_1.skill03</v>
      </c>
      <c r="R480" s="83" t="str">
        <f t="shared" si="387"/>
        <v>BossChallenge.crawler_1.passive01</v>
      </c>
      <c r="S480" s="83" t="str">
        <f t="shared" si="387"/>
        <v>Boss.Common.Immun</v>
      </c>
      <c r="T480" s="83" t="str">
        <f t="shared" si="387"/>
        <v/>
      </c>
      <c r="U480" s="83" t="str">
        <f t="shared" si="387"/>
        <v/>
      </c>
      <c r="V480" s="81" t="b">
        <f t="shared" si="387"/>
        <v>0</v>
      </c>
      <c r="W480" s="170" t="str">
        <f t="shared" si="387"/>
        <v>Character/Prefabs/m_boss_attacker_crawler_1</v>
      </c>
      <c r="X480" s="81" t="str">
        <f t="shared" si="387"/>
        <v/>
      </c>
      <c r="Y480" s="81" t="str">
        <f t="shared" si="387"/>
        <v>m_boss_attacker_crawler_1</v>
      </c>
      <c r="Z480" s="81" t="str">
        <f t="shared" si="387"/>
        <v/>
      </c>
      <c r="AA480" s="81" t="str">
        <f t="shared" si="387"/>
        <v/>
      </c>
      <c r="AB480" s="81" t="str">
        <f t="shared" si="387"/>
        <v/>
      </c>
      <c r="AC480" s="96">
        <f t="shared" si="387"/>
        <v>1.2</v>
      </c>
      <c r="AD480" s="81" t="str">
        <f t="shared" si="387"/>
        <v/>
      </c>
      <c r="AE480" s="81" t="str">
        <f t="shared" si="387"/>
        <v>Character/Timeline/02_MON/crawler/appearance</v>
      </c>
      <c r="AF480" s="81" t="str">
        <f t="shared" si="387"/>
        <v>Character/Timeline/02_MON/crawler/die</v>
      </c>
      <c r="AG480" s="173" t="s">
        <v>2764</v>
      </c>
    </row>
    <row r="481" spans="1:33" x14ac:dyDescent="0.3">
      <c r="A481" s="81">
        <f t="shared" si="386"/>
        <v>1511301072</v>
      </c>
      <c r="B481" s="81" t="str">
        <f t="shared" ref="B481:AF481" si="388">IF(B370 &lt;&gt; "", B370, "")</f>
        <v>BossChallenge</v>
      </c>
      <c r="C481" s="81" t="str">
        <f t="shared" si="388"/>
        <v>강화크로울러</v>
      </c>
      <c r="D481" s="81" t="str">
        <f t="shared" si="388"/>
        <v>Monster.Name.skull_crawler_1</v>
      </c>
      <c r="E481" s="81" t="str">
        <f t="shared" si="388"/>
        <v>Attacker</v>
      </c>
      <c r="F481" s="82" t="str">
        <f t="shared" si="388"/>
        <v>Fac_nul_ind</v>
      </c>
      <c r="G481" s="81" t="str">
        <f t="shared" si="388"/>
        <v>TRUE</v>
      </c>
      <c r="H481" s="81" t="b">
        <f t="shared" si="388"/>
        <v>1</v>
      </c>
      <c r="I481" s="81" t="b">
        <f t="shared" si="388"/>
        <v>1</v>
      </c>
      <c r="J481" s="81">
        <f t="shared" si="388"/>
        <v>10</v>
      </c>
      <c r="K481" s="81">
        <f t="shared" si="388"/>
        <v>10</v>
      </c>
      <c r="L481" s="81" t="str">
        <f t="shared" si="388"/>
        <v>BossChallenge.skull_crawler_1.attack01</v>
      </c>
      <c r="M481" s="81" t="str">
        <f t="shared" si="388"/>
        <v>BossChallenge.skull_crawler_1.attack02</v>
      </c>
      <c r="N481" s="81" t="str">
        <f t="shared" si="388"/>
        <v/>
      </c>
      <c r="O481" s="177" t="str">
        <f t="shared" si="388"/>
        <v>BossChallenge.skull_crawler_1.skill01</v>
      </c>
      <c r="P481" s="83" t="str">
        <f t="shared" si="388"/>
        <v>BossChallenge.skull_crawler_1.skill02</v>
      </c>
      <c r="Q481" s="83" t="str">
        <f t="shared" si="388"/>
        <v>BossChallenge.skull_crawler_1.skill03</v>
      </c>
      <c r="R481" s="83" t="str">
        <f t="shared" si="388"/>
        <v>BossChallenge.crawler_1.passive01</v>
      </c>
      <c r="S481" s="83" t="str">
        <f t="shared" si="388"/>
        <v>Boss.Common.Immun</v>
      </c>
      <c r="T481" s="83" t="str">
        <f t="shared" si="388"/>
        <v/>
      </c>
      <c r="U481" s="83" t="str">
        <f t="shared" si="388"/>
        <v/>
      </c>
      <c r="V481" s="81" t="b">
        <f t="shared" si="388"/>
        <v>0</v>
      </c>
      <c r="W481" s="170" t="str">
        <f t="shared" si="388"/>
        <v>Character/Prefabs/m_boss_attacker_skull_crawler_1</v>
      </c>
      <c r="X481" s="81" t="str">
        <f t="shared" si="388"/>
        <v/>
      </c>
      <c r="Y481" s="162" t="str">
        <f t="shared" si="388"/>
        <v>m_boss_attacker_crawler_1</v>
      </c>
      <c r="Z481" s="81" t="str">
        <f t="shared" si="388"/>
        <v/>
      </c>
      <c r="AA481" s="81" t="str">
        <f t="shared" si="388"/>
        <v/>
      </c>
      <c r="AB481" s="81" t="str">
        <f t="shared" si="388"/>
        <v/>
      </c>
      <c r="AC481" s="96">
        <f t="shared" si="388"/>
        <v>1.4</v>
      </c>
      <c r="AD481" s="81" t="str">
        <f t="shared" si="388"/>
        <v/>
      </c>
      <c r="AE481" s="81" t="str">
        <f t="shared" si="388"/>
        <v>Character/Timeline/02_MON/crawler/appearance2</v>
      </c>
      <c r="AF481" s="81" t="str">
        <f t="shared" si="388"/>
        <v>Character/Timeline/02_MON/crawler/die2</v>
      </c>
      <c r="AG481" s="173" t="s">
        <v>2764</v>
      </c>
    </row>
    <row r="482" spans="1:33" x14ac:dyDescent="0.3">
      <c r="A482" s="13">
        <f t="shared" si="386"/>
        <v>1510301001</v>
      </c>
      <c r="B482" s="13" t="str">
        <f t="shared" ref="B482:AF482" si="389">IF(B371 &lt;&gt; "", B371, "")</f>
        <v>Daily.Exp</v>
      </c>
      <c r="C482" s="5" t="str">
        <f t="shared" si="389"/>
        <v>솔리드메카mk1</v>
      </c>
      <c r="D482" s="5" t="str">
        <f t="shared" si="389"/>
        <v>Monster.Name.solid_turretmk1_1</v>
      </c>
      <c r="E482" s="5" t="str">
        <f t="shared" si="389"/>
        <v>Attacker</v>
      </c>
      <c r="F482" s="17" t="str">
        <f t="shared" si="389"/>
        <v>Fac_nul_ind</v>
      </c>
      <c r="G482" s="5" t="str">
        <f t="shared" si="389"/>
        <v>TRUE</v>
      </c>
      <c r="H482" s="5" t="b">
        <f t="shared" si="389"/>
        <v>0</v>
      </c>
      <c r="I482" s="5" t="b">
        <f t="shared" si="389"/>
        <v>0</v>
      </c>
      <c r="J482" s="5">
        <f t="shared" si="389"/>
        <v>10</v>
      </c>
      <c r="K482" s="5">
        <f t="shared" si="389"/>
        <v>10</v>
      </c>
      <c r="L482" s="2" t="str">
        <f t="shared" si="389"/>
        <v>Daily.Exp.solid_turretmk1_1.attack01</v>
      </c>
      <c r="M482" s="2" t="str">
        <f t="shared" si="389"/>
        <v/>
      </c>
      <c r="N482" s="2" t="str">
        <f t="shared" si="389"/>
        <v/>
      </c>
      <c r="O482" s="178" t="str">
        <f t="shared" si="389"/>
        <v/>
      </c>
      <c r="P482" s="14" t="str">
        <f t="shared" si="389"/>
        <v/>
      </c>
      <c r="Q482" s="14" t="str">
        <f t="shared" si="389"/>
        <v/>
      </c>
      <c r="R482" s="14" t="str">
        <f t="shared" si="389"/>
        <v/>
      </c>
      <c r="S482" s="14" t="str">
        <f t="shared" si="389"/>
        <v/>
      </c>
      <c r="T482" s="14" t="str">
        <f t="shared" si="389"/>
        <v/>
      </c>
      <c r="U482" s="14" t="str">
        <f t="shared" si="389"/>
        <v/>
      </c>
      <c r="V482" s="5" t="b">
        <f t="shared" si="389"/>
        <v>0</v>
      </c>
      <c r="W482" s="5" t="str">
        <f t="shared" si="389"/>
        <v>Character/Prefabs/m_s_attacker_solid_turretmk1_1</v>
      </c>
      <c r="X482" s="5" t="str">
        <f t="shared" si="389"/>
        <v/>
      </c>
      <c r="Y482" s="5" t="str">
        <f t="shared" si="389"/>
        <v>m_s_attacker_solid_turretmk1_1</v>
      </c>
      <c r="Z482" s="5" t="str">
        <f t="shared" si="389"/>
        <v/>
      </c>
      <c r="AA482" s="5" t="str">
        <f t="shared" si="389"/>
        <v/>
      </c>
      <c r="AB482" s="5" t="str">
        <f t="shared" si="389"/>
        <v/>
      </c>
      <c r="AC482" s="97">
        <f t="shared" si="389"/>
        <v>0.7</v>
      </c>
      <c r="AD482" s="5" t="str">
        <f t="shared" si="389"/>
        <v/>
      </c>
      <c r="AE482" s="5" t="str">
        <f t="shared" si="389"/>
        <v/>
      </c>
      <c r="AF482" s="5" t="str">
        <f t="shared" si="389"/>
        <v/>
      </c>
      <c r="AG482" s="173" t="s">
        <v>2764</v>
      </c>
    </row>
    <row r="483" spans="1:33" x14ac:dyDescent="0.3">
      <c r="A483" s="13">
        <f t="shared" si="386"/>
        <v>1510301002</v>
      </c>
      <c r="B483" s="13" t="str">
        <f t="shared" ref="B483:AF483" si="390">IF(B372 &lt;&gt; "", B372, "")</f>
        <v>Daily.Exp</v>
      </c>
      <c r="C483" s="5" t="str">
        <f t="shared" si="390"/>
        <v>터렛프로토</v>
      </c>
      <c r="D483" s="5" t="str">
        <f t="shared" si="390"/>
        <v>Monster.Name.spider_turret_prototype_1</v>
      </c>
      <c r="E483" s="5" t="str">
        <f t="shared" si="390"/>
        <v>Ranger</v>
      </c>
      <c r="F483" s="17" t="str">
        <f t="shared" si="390"/>
        <v>Fac_nul_ind</v>
      </c>
      <c r="G483" s="5" t="str">
        <f t="shared" si="390"/>
        <v>TRUE</v>
      </c>
      <c r="H483" s="5" t="b">
        <f t="shared" si="390"/>
        <v>0</v>
      </c>
      <c r="I483" s="5" t="b">
        <f t="shared" si="390"/>
        <v>0</v>
      </c>
      <c r="J483" s="5">
        <f t="shared" si="390"/>
        <v>10</v>
      </c>
      <c r="K483" s="5">
        <f t="shared" si="390"/>
        <v>30</v>
      </c>
      <c r="L483" s="2" t="str">
        <f t="shared" si="390"/>
        <v>Daily.Exp.spider_turret_prototype_1.attack01</v>
      </c>
      <c r="M483" s="2" t="str">
        <f t="shared" si="390"/>
        <v/>
      </c>
      <c r="N483" s="2" t="str">
        <f t="shared" si="390"/>
        <v/>
      </c>
      <c r="O483" s="178" t="str">
        <f t="shared" si="390"/>
        <v/>
      </c>
      <c r="P483" s="14" t="str">
        <f t="shared" si="390"/>
        <v/>
      </c>
      <c r="Q483" s="14" t="str">
        <f t="shared" si="390"/>
        <v/>
      </c>
      <c r="R483" s="14" t="str">
        <f t="shared" si="390"/>
        <v/>
      </c>
      <c r="S483" s="14" t="str">
        <f t="shared" si="390"/>
        <v/>
      </c>
      <c r="T483" s="14" t="str">
        <f t="shared" si="390"/>
        <v/>
      </c>
      <c r="U483" s="14" t="str">
        <f t="shared" si="390"/>
        <v/>
      </c>
      <c r="V483" s="5" t="b">
        <f t="shared" si="390"/>
        <v>0</v>
      </c>
      <c r="W483" s="5" t="str">
        <f t="shared" si="390"/>
        <v>Character/Prefabs/m_s_ranger_spider_turret_prototype_1</v>
      </c>
      <c r="X483" s="5" t="str">
        <f t="shared" si="390"/>
        <v/>
      </c>
      <c r="Y483" s="5" t="str">
        <f t="shared" si="390"/>
        <v>m_s_ranger_spider_turret_prototype_1</v>
      </c>
      <c r="Z483" s="5" t="str">
        <f t="shared" si="390"/>
        <v/>
      </c>
      <c r="AA483" s="5" t="str">
        <f t="shared" si="390"/>
        <v/>
      </c>
      <c r="AB483" s="5" t="str">
        <f t="shared" si="390"/>
        <v/>
      </c>
      <c r="AC483" s="97">
        <f t="shared" si="390"/>
        <v>0.7</v>
      </c>
      <c r="AD483" s="5" t="str">
        <f t="shared" si="390"/>
        <v/>
      </c>
      <c r="AE483" s="5" t="str">
        <f t="shared" si="390"/>
        <v/>
      </c>
      <c r="AF483" s="5" t="str">
        <f t="shared" si="390"/>
        <v/>
      </c>
      <c r="AG483" s="173" t="s">
        <v>2764</v>
      </c>
    </row>
    <row r="484" spans="1:33" x14ac:dyDescent="0.3">
      <c r="A484" s="13">
        <f t="shared" si="386"/>
        <v>1510301003</v>
      </c>
      <c r="B484" s="13" t="str">
        <f t="shared" ref="B484:AF484" si="391">IF(B373 &lt;&gt; "", B373, "")</f>
        <v>Daily.Exp</v>
      </c>
      <c r="C484" s="5" t="str">
        <f t="shared" si="391"/>
        <v>터틀메카mk1</v>
      </c>
      <c r="D484" s="5" t="str">
        <f t="shared" si="391"/>
        <v>Monster.Name.turtle_mechamk1_1</v>
      </c>
      <c r="E484" s="5" t="str">
        <f t="shared" si="391"/>
        <v>Attacker</v>
      </c>
      <c r="F484" s="17" t="str">
        <f t="shared" si="391"/>
        <v>Fac_nul_ind</v>
      </c>
      <c r="G484" s="5" t="str">
        <f t="shared" si="391"/>
        <v>TRUE</v>
      </c>
      <c r="H484" s="5" t="b">
        <f t="shared" si="391"/>
        <v>0</v>
      </c>
      <c r="I484" s="5" t="b">
        <f t="shared" si="391"/>
        <v>0</v>
      </c>
      <c r="J484" s="5">
        <f t="shared" si="391"/>
        <v>10</v>
      </c>
      <c r="K484" s="5">
        <f t="shared" si="391"/>
        <v>10</v>
      </c>
      <c r="L484" s="2" t="str">
        <f t="shared" si="391"/>
        <v>Daily.Exp.turtle_mechamk1_1.attack01</v>
      </c>
      <c r="M484" s="2" t="str">
        <f t="shared" si="391"/>
        <v/>
      </c>
      <c r="N484" s="2" t="str">
        <f t="shared" si="391"/>
        <v/>
      </c>
      <c r="O484" s="178" t="str">
        <f t="shared" si="391"/>
        <v/>
      </c>
      <c r="P484" s="14" t="str">
        <f t="shared" si="391"/>
        <v/>
      </c>
      <c r="Q484" s="14" t="str">
        <f t="shared" si="391"/>
        <v/>
      </c>
      <c r="R484" s="14" t="str">
        <f t="shared" si="391"/>
        <v/>
      </c>
      <c r="S484" s="14" t="str">
        <f t="shared" si="391"/>
        <v/>
      </c>
      <c r="T484" s="14" t="str">
        <f t="shared" si="391"/>
        <v/>
      </c>
      <c r="U484" s="14" t="str">
        <f t="shared" si="391"/>
        <v/>
      </c>
      <c r="V484" s="5" t="b">
        <f t="shared" si="391"/>
        <v>0</v>
      </c>
      <c r="W484" s="5" t="str">
        <f t="shared" si="391"/>
        <v>Character/Prefabs/m_s_attacker_turtle_mechamk1_1</v>
      </c>
      <c r="X484" s="5" t="str">
        <f t="shared" si="391"/>
        <v/>
      </c>
      <c r="Y484" s="5" t="str">
        <f t="shared" si="391"/>
        <v>m_s_attacker_turtle_mechamk1_1</v>
      </c>
      <c r="Z484" s="5" t="str">
        <f t="shared" si="391"/>
        <v/>
      </c>
      <c r="AA484" s="5" t="str">
        <f t="shared" si="391"/>
        <v/>
      </c>
      <c r="AB484" s="5" t="str">
        <f t="shared" si="391"/>
        <v/>
      </c>
      <c r="AC484" s="97">
        <f t="shared" si="391"/>
        <v>0.7</v>
      </c>
      <c r="AD484" s="5" t="str">
        <f t="shared" si="391"/>
        <v/>
      </c>
      <c r="AE484" s="5" t="str">
        <f t="shared" si="391"/>
        <v/>
      </c>
      <c r="AF484" s="5" t="str">
        <f t="shared" si="391"/>
        <v/>
      </c>
      <c r="AG484" s="173" t="s">
        <v>2764</v>
      </c>
    </row>
    <row r="485" spans="1:33" x14ac:dyDescent="0.3">
      <c r="A485" s="13">
        <f t="shared" si="386"/>
        <v>1510301004</v>
      </c>
      <c r="B485" s="13" t="str">
        <f t="shared" ref="B485:AF485" si="392">IF(B374 &lt;&gt; "", B374, "")</f>
        <v>Daily.Exp</v>
      </c>
      <c r="C485" s="5" t="str">
        <f t="shared" si="392"/>
        <v>터틀메카mk3</v>
      </c>
      <c r="D485" s="5" t="str">
        <f t="shared" si="392"/>
        <v>Monster.Name.turtle_mechamk3_3</v>
      </c>
      <c r="E485" s="5" t="str">
        <f t="shared" si="392"/>
        <v>Attacker</v>
      </c>
      <c r="F485" s="17" t="str">
        <f t="shared" si="392"/>
        <v>Fac_nul_ind</v>
      </c>
      <c r="G485" s="5" t="str">
        <f t="shared" si="392"/>
        <v>TRUE</v>
      </c>
      <c r="H485" s="5" t="b">
        <f t="shared" si="392"/>
        <v>0</v>
      </c>
      <c r="I485" s="5" t="b">
        <f t="shared" si="392"/>
        <v>0</v>
      </c>
      <c r="J485" s="5">
        <f t="shared" si="392"/>
        <v>10</v>
      </c>
      <c r="K485" s="5">
        <f t="shared" si="392"/>
        <v>10</v>
      </c>
      <c r="L485" s="2" t="str">
        <f t="shared" si="392"/>
        <v>Daily.Exp.turtle_mechamk3_3.attack01</v>
      </c>
      <c r="M485" s="2" t="str">
        <f t="shared" si="392"/>
        <v/>
      </c>
      <c r="N485" s="2" t="str">
        <f t="shared" si="392"/>
        <v/>
      </c>
      <c r="O485" s="178" t="str">
        <f t="shared" si="392"/>
        <v/>
      </c>
      <c r="P485" s="14" t="str">
        <f t="shared" si="392"/>
        <v/>
      </c>
      <c r="Q485" s="14" t="str">
        <f t="shared" si="392"/>
        <v/>
      </c>
      <c r="R485" s="14" t="str">
        <f t="shared" si="392"/>
        <v/>
      </c>
      <c r="S485" s="14" t="str">
        <f t="shared" si="392"/>
        <v/>
      </c>
      <c r="T485" s="14" t="str">
        <f t="shared" si="392"/>
        <v/>
      </c>
      <c r="U485" s="14" t="str">
        <f t="shared" si="392"/>
        <v/>
      </c>
      <c r="V485" s="5" t="b">
        <f t="shared" si="392"/>
        <v>0</v>
      </c>
      <c r="W485" s="5" t="str">
        <f t="shared" si="392"/>
        <v>Character/Prefabs/m_s_attacker_turtle_mechamk3_3</v>
      </c>
      <c r="X485" s="5" t="str">
        <f t="shared" si="392"/>
        <v/>
      </c>
      <c r="Y485" s="5" t="str">
        <f t="shared" si="392"/>
        <v>m_s_attacker_turtle_mechamk3_3</v>
      </c>
      <c r="Z485" s="5" t="str">
        <f t="shared" si="392"/>
        <v/>
      </c>
      <c r="AA485" s="5" t="str">
        <f t="shared" si="392"/>
        <v/>
      </c>
      <c r="AB485" s="5" t="str">
        <f t="shared" si="392"/>
        <v/>
      </c>
      <c r="AC485" s="97">
        <f t="shared" si="392"/>
        <v>0.7</v>
      </c>
      <c r="AD485" s="5" t="str">
        <f t="shared" si="392"/>
        <v/>
      </c>
      <c r="AE485" s="5" t="str">
        <f t="shared" si="392"/>
        <v/>
      </c>
      <c r="AF485" s="5" t="str">
        <f t="shared" si="392"/>
        <v/>
      </c>
      <c r="AG485" s="173" t="s">
        <v>2764</v>
      </c>
    </row>
    <row r="486" spans="1:33" x14ac:dyDescent="0.3">
      <c r="A486" s="13">
        <f t="shared" si="386"/>
        <v>1510301005</v>
      </c>
      <c r="B486" s="13" t="str">
        <f t="shared" ref="B486:AF486" si="393">IF(B375 &lt;&gt; "", B375, "")</f>
        <v>Daily.Exp</v>
      </c>
      <c r="C486" s="5" t="str">
        <f t="shared" si="393"/>
        <v>스콜피온터렛mk2</v>
      </c>
      <c r="D486" s="5" t="str">
        <f t="shared" si="393"/>
        <v>Monster.Name.scorpion_turretmk2_3</v>
      </c>
      <c r="E486" s="5" t="str">
        <f t="shared" si="393"/>
        <v>Ranger</v>
      </c>
      <c r="F486" s="17" t="str">
        <f t="shared" si="393"/>
        <v>Fac_nul_ind</v>
      </c>
      <c r="G486" s="5" t="str">
        <f t="shared" si="393"/>
        <v>TRUE</v>
      </c>
      <c r="H486" s="5" t="b">
        <f t="shared" si="393"/>
        <v>0</v>
      </c>
      <c r="I486" s="5" t="b">
        <f t="shared" si="393"/>
        <v>0</v>
      </c>
      <c r="J486" s="5">
        <f t="shared" si="393"/>
        <v>10</v>
      </c>
      <c r="K486" s="5">
        <f t="shared" si="393"/>
        <v>10</v>
      </c>
      <c r="L486" s="2" t="str">
        <f t="shared" si="393"/>
        <v>Daily.Exp.scorpion_turretmk2_3.attack01</v>
      </c>
      <c r="M486" s="2" t="str">
        <f t="shared" si="393"/>
        <v/>
      </c>
      <c r="N486" s="2" t="str">
        <f t="shared" si="393"/>
        <v/>
      </c>
      <c r="O486" s="178" t="str">
        <f t="shared" si="393"/>
        <v/>
      </c>
      <c r="P486" s="14" t="str">
        <f t="shared" si="393"/>
        <v/>
      </c>
      <c r="Q486" s="14" t="str">
        <f t="shared" si="393"/>
        <v/>
      </c>
      <c r="R486" s="14" t="str">
        <f t="shared" si="393"/>
        <v/>
      </c>
      <c r="S486" s="14" t="str">
        <f t="shared" si="393"/>
        <v/>
      </c>
      <c r="T486" s="14" t="str">
        <f t="shared" si="393"/>
        <v/>
      </c>
      <c r="U486" s="14" t="str">
        <f t="shared" si="393"/>
        <v/>
      </c>
      <c r="V486" s="5" t="b">
        <f t="shared" si="393"/>
        <v>0</v>
      </c>
      <c r="W486" s="5" t="str">
        <f t="shared" si="393"/>
        <v>Character/Prefabs/m_s_ranger_scorpion_turretmk2_3</v>
      </c>
      <c r="X486" s="5" t="str">
        <f t="shared" si="393"/>
        <v/>
      </c>
      <c r="Y486" s="5" t="str">
        <f t="shared" si="393"/>
        <v>m_s_ranger_scorpion_turretmk2_3</v>
      </c>
      <c r="Z486" s="5" t="str">
        <f t="shared" si="393"/>
        <v/>
      </c>
      <c r="AA486" s="5" t="str">
        <f t="shared" si="393"/>
        <v/>
      </c>
      <c r="AB486" s="5" t="str">
        <f t="shared" si="393"/>
        <v/>
      </c>
      <c r="AC486" s="97">
        <f t="shared" si="393"/>
        <v>0.7</v>
      </c>
      <c r="AD486" s="5" t="str">
        <f t="shared" si="393"/>
        <v/>
      </c>
      <c r="AE486" s="5" t="str">
        <f t="shared" si="393"/>
        <v/>
      </c>
      <c r="AF486" s="5" t="str">
        <f t="shared" si="393"/>
        <v/>
      </c>
      <c r="AG486" s="173" t="s">
        <v>2764</v>
      </c>
    </row>
    <row r="487" spans="1:33" x14ac:dyDescent="0.3">
      <c r="A487" s="13">
        <f t="shared" si="386"/>
        <v>1510301006</v>
      </c>
      <c r="B487" s="13" t="str">
        <f t="shared" ref="B487:AF487" si="394">IF(B376 &lt;&gt; "", B376, "")</f>
        <v>Daily.Exp</v>
      </c>
      <c r="C487" s="5" t="str">
        <f t="shared" si="394"/>
        <v>라이노메카mk3</v>
      </c>
      <c r="D487" s="5" t="str">
        <f t="shared" si="394"/>
        <v>Monster.Name.rhino_mechamk3_3</v>
      </c>
      <c r="E487" s="5" t="str">
        <f t="shared" si="394"/>
        <v>Attacker</v>
      </c>
      <c r="F487" s="17" t="str">
        <f t="shared" si="394"/>
        <v>Fac_nul_ind</v>
      </c>
      <c r="G487" s="5" t="str">
        <f t="shared" si="394"/>
        <v>TRUE</v>
      </c>
      <c r="H487" s="5" t="b">
        <f t="shared" si="394"/>
        <v>0</v>
      </c>
      <c r="I487" s="5" t="b">
        <f t="shared" si="394"/>
        <v>0</v>
      </c>
      <c r="J487" s="5">
        <f t="shared" si="394"/>
        <v>10</v>
      </c>
      <c r="K487" s="5">
        <f t="shared" si="394"/>
        <v>10</v>
      </c>
      <c r="L487" s="2" t="str">
        <f t="shared" si="394"/>
        <v>Daily.Exp.rhino_mechamk3_3.attack01</v>
      </c>
      <c r="M487" s="2" t="str">
        <f t="shared" si="394"/>
        <v/>
      </c>
      <c r="N487" s="2" t="str">
        <f t="shared" si="394"/>
        <v/>
      </c>
      <c r="O487" s="178" t="str">
        <f t="shared" si="394"/>
        <v/>
      </c>
      <c r="P487" s="14" t="str">
        <f t="shared" si="394"/>
        <v/>
      </c>
      <c r="Q487" s="14" t="str">
        <f t="shared" si="394"/>
        <v/>
      </c>
      <c r="R487" s="14" t="str">
        <f t="shared" si="394"/>
        <v/>
      </c>
      <c r="S487" s="14" t="str">
        <f t="shared" si="394"/>
        <v/>
      </c>
      <c r="T487" s="14" t="str">
        <f t="shared" si="394"/>
        <v/>
      </c>
      <c r="U487" s="14" t="str">
        <f t="shared" si="394"/>
        <v/>
      </c>
      <c r="V487" s="5" t="b">
        <f t="shared" si="394"/>
        <v>0</v>
      </c>
      <c r="W487" s="5" t="str">
        <f t="shared" si="394"/>
        <v>Character/Prefabs/m_s_attacker_rhino_mechamk3_3</v>
      </c>
      <c r="X487" s="5" t="str">
        <f t="shared" si="394"/>
        <v/>
      </c>
      <c r="Y487" s="5" t="str">
        <f t="shared" si="394"/>
        <v>m_s_attacker_rhino_mechamk3_3</v>
      </c>
      <c r="Z487" s="5" t="str">
        <f t="shared" si="394"/>
        <v/>
      </c>
      <c r="AA487" s="5" t="str">
        <f t="shared" si="394"/>
        <v/>
      </c>
      <c r="AB487" s="5" t="str">
        <f t="shared" si="394"/>
        <v/>
      </c>
      <c r="AC487" s="97">
        <f t="shared" si="394"/>
        <v>0.7</v>
      </c>
      <c r="AD487" s="5" t="str">
        <f t="shared" si="394"/>
        <v/>
      </c>
      <c r="AE487" s="5" t="str">
        <f t="shared" si="394"/>
        <v/>
      </c>
      <c r="AF487" s="5" t="str">
        <f t="shared" si="394"/>
        <v/>
      </c>
      <c r="AG487" s="173" t="s">
        <v>2764</v>
      </c>
    </row>
    <row r="488" spans="1:33" x14ac:dyDescent="0.3">
      <c r="A488" s="37">
        <f t="shared" si="386"/>
        <v>1510302001</v>
      </c>
      <c r="B488" s="37" t="str">
        <f t="shared" ref="B488:AF488" si="395">IF(B377 &lt;&gt; "", B377, "")</f>
        <v>Daily.Gold1</v>
      </c>
      <c r="C488" s="5" t="str">
        <f t="shared" si="395"/>
        <v>더스트드론</v>
      </c>
      <c r="D488" s="5" t="str">
        <f t="shared" si="395"/>
        <v>Monster.Name.hellfire_drone_2</v>
      </c>
      <c r="E488" s="5" t="str">
        <f t="shared" si="395"/>
        <v>Ranger</v>
      </c>
      <c r="F488" s="17" t="str">
        <f t="shared" si="395"/>
        <v>Fac_nul_ind</v>
      </c>
      <c r="G488" s="5" t="str">
        <f t="shared" si="395"/>
        <v>TRUE</v>
      </c>
      <c r="H488" s="5" t="b">
        <f t="shared" si="395"/>
        <v>0</v>
      </c>
      <c r="I488" s="5" t="b">
        <f t="shared" si="395"/>
        <v>0</v>
      </c>
      <c r="J488" s="5">
        <f t="shared" si="395"/>
        <v>10</v>
      </c>
      <c r="K488" s="5">
        <f t="shared" si="395"/>
        <v>10</v>
      </c>
      <c r="L488" s="2" t="str">
        <f t="shared" si="395"/>
        <v>Daily.Gold1.hellfire_drone_3.attack01</v>
      </c>
      <c r="M488" s="2" t="str">
        <f t="shared" si="395"/>
        <v/>
      </c>
      <c r="N488" s="2" t="str">
        <f t="shared" si="395"/>
        <v/>
      </c>
      <c r="O488" s="178" t="str">
        <f t="shared" si="395"/>
        <v>Daily.Gold1.hellfire_drone_3.skill01</v>
      </c>
      <c r="P488" s="14" t="str">
        <f t="shared" si="395"/>
        <v/>
      </c>
      <c r="Q488" s="14" t="str">
        <f t="shared" si="395"/>
        <v/>
      </c>
      <c r="R488" s="14" t="str">
        <f t="shared" si="395"/>
        <v/>
      </c>
      <c r="S488" s="14" t="str">
        <f t="shared" si="395"/>
        <v>Daily.Gold1.hellfire_drone_3.passive01</v>
      </c>
      <c r="T488" s="14" t="str">
        <f t="shared" si="395"/>
        <v/>
      </c>
      <c r="U488" s="14" t="str">
        <f t="shared" si="395"/>
        <v/>
      </c>
      <c r="V488" s="5" t="b">
        <f t="shared" si="395"/>
        <v>0</v>
      </c>
      <c r="W488" s="5" t="str">
        <f t="shared" si="395"/>
        <v>Character/Prefabs/m_s_ranger_hellfire_drone_2</v>
      </c>
      <c r="X488" s="5" t="str">
        <f t="shared" si="395"/>
        <v/>
      </c>
      <c r="Y488" s="5" t="str">
        <f t="shared" si="395"/>
        <v>m_s_ranger_hellfire_drone_2</v>
      </c>
      <c r="Z488" s="5" t="str">
        <f t="shared" si="395"/>
        <v/>
      </c>
      <c r="AA488" s="5" t="str">
        <f t="shared" si="395"/>
        <v/>
      </c>
      <c r="AB488" s="5" t="str">
        <f t="shared" si="395"/>
        <v/>
      </c>
      <c r="AC488" s="97">
        <f t="shared" si="395"/>
        <v>0.7</v>
      </c>
      <c r="AD488" s="5" t="str">
        <f t="shared" si="395"/>
        <v/>
      </c>
      <c r="AE488" s="5" t="str">
        <f t="shared" si="395"/>
        <v/>
      </c>
      <c r="AF488" s="5" t="str">
        <f t="shared" si="395"/>
        <v/>
      </c>
      <c r="AG488" s="173" t="s">
        <v>2764</v>
      </c>
    </row>
    <row r="489" spans="1:33" x14ac:dyDescent="0.3">
      <c r="A489" s="37">
        <f t="shared" si="386"/>
        <v>1510302002</v>
      </c>
      <c r="B489" s="37" t="str">
        <f t="shared" ref="B489:AF489" si="396">IF(B378 &lt;&gt; "", B378, "")</f>
        <v>Daily.Gold2</v>
      </c>
      <c r="C489" s="5" t="str">
        <f t="shared" si="396"/>
        <v>더스트드론</v>
      </c>
      <c r="D489" s="5" t="str">
        <f t="shared" si="396"/>
        <v>Monster.Name.hellfire_drone_2</v>
      </c>
      <c r="E489" s="5" t="str">
        <f t="shared" si="396"/>
        <v>Ranger</v>
      </c>
      <c r="F489" s="17" t="str">
        <f t="shared" si="396"/>
        <v>Fac_nul_ind</v>
      </c>
      <c r="G489" s="5" t="str">
        <f t="shared" si="396"/>
        <v>TRUE</v>
      </c>
      <c r="H489" s="5" t="b">
        <f t="shared" si="396"/>
        <v>0</v>
      </c>
      <c r="I489" s="5" t="b">
        <f t="shared" si="396"/>
        <v>0</v>
      </c>
      <c r="J489" s="5">
        <f t="shared" si="396"/>
        <v>10</v>
      </c>
      <c r="K489" s="5">
        <f t="shared" si="396"/>
        <v>10</v>
      </c>
      <c r="L489" s="2" t="str">
        <f t="shared" si="396"/>
        <v>Daily.Gold2.hellfire_drone_3.attack01</v>
      </c>
      <c r="M489" s="2" t="str">
        <f t="shared" si="396"/>
        <v/>
      </c>
      <c r="N489" s="2" t="str">
        <f t="shared" si="396"/>
        <v/>
      </c>
      <c r="O489" s="178" t="str">
        <f t="shared" si="396"/>
        <v>Daily.Gold2.hellfire_drone_3.skill01</v>
      </c>
      <c r="P489" s="14" t="str">
        <f t="shared" si="396"/>
        <v/>
      </c>
      <c r="Q489" s="14" t="str">
        <f t="shared" si="396"/>
        <v/>
      </c>
      <c r="R489" s="14" t="str">
        <f t="shared" si="396"/>
        <v/>
      </c>
      <c r="S489" s="14" t="str">
        <f t="shared" si="396"/>
        <v>Daily.Gold2.hellfire_drone_3.passive01</v>
      </c>
      <c r="T489" s="14" t="str">
        <f t="shared" si="396"/>
        <v/>
      </c>
      <c r="U489" s="14" t="str">
        <f t="shared" si="396"/>
        <v/>
      </c>
      <c r="V489" s="5" t="b">
        <f t="shared" si="396"/>
        <v>0</v>
      </c>
      <c r="W489" s="5" t="str">
        <f t="shared" si="396"/>
        <v>Character/Prefabs/m_s_ranger_hellfire_drone_2</v>
      </c>
      <c r="X489" s="5" t="str">
        <f t="shared" si="396"/>
        <v/>
      </c>
      <c r="Y489" s="5" t="str">
        <f t="shared" si="396"/>
        <v>m_s_ranger_hellfire_drone_2</v>
      </c>
      <c r="Z489" s="5" t="str">
        <f t="shared" si="396"/>
        <v/>
      </c>
      <c r="AA489" s="5" t="str">
        <f t="shared" si="396"/>
        <v/>
      </c>
      <c r="AB489" s="5" t="str">
        <f t="shared" si="396"/>
        <v/>
      </c>
      <c r="AC489" s="97">
        <f t="shared" si="396"/>
        <v>0.7</v>
      </c>
      <c r="AD489" s="5" t="str">
        <f t="shared" si="396"/>
        <v/>
      </c>
      <c r="AE489" s="5" t="str">
        <f t="shared" si="396"/>
        <v/>
      </c>
      <c r="AF489" s="5" t="str">
        <f t="shared" si="396"/>
        <v/>
      </c>
      <c r="AG489" s="173" t="s">
        <v>2764</v>
      </c>
    </row>
    <row r="490" spans="1:33" x14ac:dyDescent="0.3">
      <c r="A490" s="51">
        <f t="shared" si="386"/>
        <v>1510302003</v>
      </c>
      <c r="B490" s="51" t="str">
        <f t="shared" ref="B490:AF490" si="397">IF(B379 &lt;&gt; "", B379, "")</f>
        <v>Daily.Gold</v>
      </c>
      <c r="C490" s="5" t="str">
        <f t="shared" si="397"/>
        <v>헤비트루퍼런처</v>
      </c>
      <c r="D490" s="5" t="str">
        <f t="shared" si="397"/>
        <v>Monster.Name.heavy_trooper_launcher_1</v>
      </c>
      <c r="E490" s="5" t="str">
        <f t="shared" si="397"/>
        <v>Ranger</v>
      </c>
      <c r="F490" s="17" t="str">
        <f t="shared" si="397"/>
        <v>Fac_nul_ind</v>
      </c>
      <c r="G490" s="5" t="str">
        <f t="shared" si="397"/>
        <v>TRUE</v>
      </c>
      <c r="H490" s="5" t="b">
        <f t="shared" si="397"/>
        <v>1</v>
      </c>
      <c r="I490" s="5" t="b">
        <f t="shared" si="397"/>
        <v>1</v>
      </c>
      <c r="J490" s="5">
        <f t="shared" si="397"/>
        <v>10</v>
      </c>
      <c r="K490" s="5">
        <f t="shared" si="397"/>
        <v>10</v>
      </c>
      <c r="L490" s="2" t="str">
        <f t="shared" si="397"/>
        <v>Daily.Gold.trooper_demolisher_1.attack01</v>
      </c>
      <c r="M490" s="2" t="str">
        <f t="shared" si="397"/>
        <v/>
      </c>
      <c r="N490" s="2" t="str">
        <f t="shared" si="397"/>
        <v/>
      </c>
      <c r="O490" s="178" t="str">
        <f t="shared" si="397"/>
        <v>Daily.Gold.trooper_demolisher_1.skill01</v>
      </c>
      <c r="P490" s="14" t="str">
        <f t="shared" si="397"/>
        <v>Daily.Gold.trooper_demolisher_1.skill02</v>
      </c>
      <c r="Q490" s="14" t="str">
        <f t="shared" si="397"/>
        <v>Daily.Gold.trooper_demolisher_1.passive01</v>
      </c>
      <c r="R490" s="14" t="str">
        <f t="shared" si="397"/>
        <v/>
      </c>
      <c r="S490" s="14" t="str">
        <f t="shared" si="397"/>
        <v/>
      </c>
      <c r="T490" s="14" t="str">
        <f t="shared" si="397"/>
        <v/>
      </c>
      <c r="U490" s="14" t="str">
        <f t="shared" si="397"/>
        <v/>
      </c>
      <c r="V490" s="5" t="b">
        <f t="shared" si="397"/>
        <v>0</v>
      </c>
      <c r="W490" s="5" t="str">
        <f t="shared" si="397"/>
        <v>Character/Prefabs/m_m_ranger_heavy_trooper_launcher_1</v>
      </c>
      <c r="X490" s="5" t="str">
        <f t="shared" si="397"/>
        <v/>
      </c>
      <c r="Y490" s="5" t="str">
        <f t="shared" si="397"/>
        <v>m_m_ranger_heavy_trooper_launcher_1</v>
      </c>
      <c r="Z490" s="5" t="str">
        <f t="shared" si="397"/>
        <v/>
      </c>
      <c r="AA490" s="5" t="str">
        <f t="shared" si="397"/>
        <v/>
      </c>
      <c r="AB490" s="5" t="str">
        <f t="shared" si="397"/>
        <v/>
      </c>
      <c r="AC490" s="97">
        <f t="shared" si="397"/>
        <v>1</v>
      </c>
      <c r="AD490" s="5" t="str">
        <f t="shared" si="397"/>
        <v/>
      </c>
      <c r="AE490" s="5" t="str">
        <f t="shared" si="397"/>
        <v/>
      </c>
      <c r="AF490" s="5" t="str">
        <f t="shared" si="397"/>
        <v/>
      </c>
      <c r="AG490" s="173" t="s">
        <v>2764</v>
      </c>
    </row>
    <row r="491" spans="1:33" x14ac:dyDescent="0.3">
      <c r="A491" s="37">
        <f t="shared" si="386"/>
        <v>1510302004</v>
      </c>
      <c r="B491" s="37" t="str">
        <f t="shared" ref="B491:AF491" si="398">IF(B380 &lt;&gt; "", B380, "")</f>
        <v>Daily.Gold</v>
      </c>
      <c r="C491" s="5" t="str">
        <f t="shared" si="398"/>
        <v>헤비트루퍼라이플</v>
      </c>
      <c r="D491" s="5" t="str">
        <f t="shared" si="398"/>
        <v>Monster.Name.heavy_trooper_rifle_1</v>
      </c>
      <c r="E491" s="5" t="str">
        <f t="shared" si="398"/>
        <v>Ranger</v>
      </c>
      <c r="F491" s="17" t="str">
        <f t="shared" si="398"/>
        <v>Fac_nul_ind</v>
      </c>
      <c r="G491" s="5" t="str">
        <f t="shared" si="398"/>
        <v>TRUE</v>
      </c>
      <c r="H491" s="5" t="b">
        <f t="shared" si="398"/>
        <v>0</v>
      </c>
      <c r="I491" s="5" t="b">
        <f t="shared" si="398"/>
        <v>0</v>
      </c>
      <c r="J491" s="5">
        <f t="shared" si="398"/>
        <v>10</v>
      </c>
      <c r="K491" s="5">
        <f t="shared" si="398"/>
        <v>10</v>
      </c>
      <c r="L491" s="2" t="str">
        <f t="shared" si="398"/>
        <v>Daily.Gold.trooper_sniper_1.attack01</v>
      </c>
      <c r="M491" s="2" t="str">
        <f t="shared" si="398"/>
        <v/>
      </c>
      <c r="N491" s="2" t="str">
        <f t="shared" si="398"/>
        <v/>
      </c>
      <c r="O491" s="178" t="str">
        <f t="shared" si="398"/>
        <v>Daily.Gold.trooper_sniper_1.skill01</v>
      </c>
      <c r="P491" s="14" t="str">
        <f t="shared" si="398"/>
        <v/>
      </c>
      <c r="Q491" s="14" t="str">
        <f t="shared" si="398"/>
        <v/>
      </c>
      <c r="R491" s="14" t="str">
        <f t="shared" si="398"/>
        <v/>
      </c>
      <c r="S491" s="14" t="str">
        <f t="shared" si="398"/>
        <v/>
      </c>
      <c r="T491" s="14" t="str">
        <f t="shared" si="398"/>
        <v/>
      </c>
      <c r="U491" s="14" t="str">
        <f t="shared" si="398"/>
        <v/>
      </c>
      <c r="V491" s="5" t="b">
        <f t="shared" si="398"/>
        <v>0</v>
      </c>
      <c r="W491" s="5" t="str">
        <f t="shared" si="398"/>
        <v>Character/Prefabs/m_m_ranger_heavy_trooper_rifle_1</v>
      </c>
      <c r="X491" s="5" t="str">
        <f t="shared" si="398"/>
        <v/>
      </c>
      <c r="Y491" s="5" t="str">
        <f t="shared" si="398"/>
        <v>m_m_ranger_heavy_trooper_rifle_1</v>
      </c>
      <c r="Z491" s="5" t="str">
        <f t="shared" si="398"/>
        <v/>
      </c>
      <c r="AA491" s="5" t="str">
        <f t="shared" si="398"/>
        <v/>
      </c>
      <c r="AB491" s="5" t="str">
        <f t="shared" si="398"/>
        <v/>
      </c>
      <c r="AC491" s="97">
        <f t="shared" si="398"/>
        <v>0.7</v>
      </c>
      <c r="AD491" s="5" t="str">
        <f t="shared" si="398"/>
        <v/>
      </c>
      <c r="AE491" s="5" t="str">
        <f t="shared" si="398"/>
        <v/>
      </c>
      <c r="AF491" s="5" t="str">
        <f t="shared" si="398"/>
        <v/>
      </c>
      <c r="AG491" s="173" t="s">
        <v>2764</v>
      </c>
    </row>
    <row r="492" spans="1:33" x14ac:dyDescent="0.3">
      <c r="A492" s="37">
        <f t="shared" si="386"/>
        <v>1510302005</v>
      </c>
      <c r="B492" s="37" t="str">
        <f t="shared" ref="B492:AF492" si="399">IF(B381 &lt;&gt; "", B381, "")</f>
        <v>Daily.Gold</v>
      </c>
      <c r="C492" s="5" t="str">
        <f t="shared" si="399"/>
        <v>헤비트루퍼플레임</v>
      </c>
      <c r="D492" s="5" t="str">
        <f t="shared" si="399"/>
        <v>Monster.Name.heavy_trooper_flame_1</v>
      </c>
      <c r="E492" s="5" t="str">
        <f t="shared" si="399"/>
        <v>Attacker</v>
      </c>
      <c r="F492" s="17" t="str">
        <f t="shared" si="399"/>
        <v>Fac_nul_ind</v>
      </c>
      <c r="G492" s="5" t="str">
        <f t="shared" si="399"/>
        <v>TRUE</v>
      </c>
      <c r="H492" s="5" t="b">
        <f t="shared" si="399"/>
        <v>0</v>
      </c>
      <c r="I492" s="5" t="b">
        <f t="shared" si="399"/>
        <v>0</v>
      </c>
      <c r="J492" s="5">
        <f t="shared" si="399"/>
        <v>10</v>
      </c>
      <c r="K492" s="5">
        <f t="shared" si="399"/>
        <v>10</v>
      </c>
      <c r="L492" s="2" t="str">
        <f t="shared" si="399"/>
        <v>Daily.Gold.trooper_inferno_1.attack01</v>
      </c>
      <c r="M492" s="2" t="str">
        <f t="shared" si="399"/>
        <v/>
      </c>
      <c r="N492" s="2" t="str">
        <f t="shared" si="399"/>
        <v/>
      </c>
      <c r="O492" s="178" t="str">
        <f t="shared" si="399"/>
        <v/>
      </c>
      <c r="P492" s="14" t="str">
        <f t="shared" si="399"/>
        <v/>
      </c>
      <c r="Q492" s="14" t="str">
        <f t="shared" si="399"/>
        <v/>
      </c>
      <c r="R492" s="14" t="str">
        <f t="shared" si="399"/>
        <v/>
      </c>
      <c r="S492" s="14" t="str">
        <f t="shared" si="399"/>
        <v/>
      </c>
      <c r="T492" s="14" t="str">
        <f t="shared" si="399"/>
        <v/>
      </c>
      <c r="U492" s="14" t="str">
        <f t="shared" si="399"/>
        <v/>
      </c>
      <c r="V492" s="5" t="b">
        <f t="shared" si="399"/>
        <v>0</v>
      </c>
      <c r="W492" s="5" t="str">
        <f t="shared" si="399"/>
        <v>Character/Prefabs/m_m_attacker_heavy_trooper_flame_1</v>
      </c>
      <c r="X492" s="5" t="str">
        <f t="shared" si="399"/>
        <v/>
      </c>
      <c r="Y492" s="5" t="str">
        <f t="shared" si="399"/>
        <v>m_m_attacker_heavy_trooper_flame_1</v>
      </c>
      <c r="Z492" s="5" t="str">
        <f t="shared" si="399"/>
        <v/>
      </c>
      <c r="AA492" s="5" t="str">
        <f t="shared" si="399"/>
        <v/>
      </c>
      <c r="AB492" s="5" t="str">
        <f t="shared" si="399"/>
        <v/>
      </c>
      <c r="AC492" s="97">
        <f t="shared" si="399"/>
        <v>0.7</v>
      </c>
      <c r="AD492" s="5" t="str">
        <f t="shared" si="399"/>
        <v/>
      </c>
      <c r="AE492" s="5" t="str">
        <f t="shared" si="399"/>
        <v/>
      </c>
      <c r="AF492" s="5" t="str">
        <f t="shared" si="399"/>
        <v/>
      </c>
      <c r="AG492" s="173" t="s">
        <v>2764</v>
      </c>
    </row>
    <row r="493" spans="1:33" x14ac:dyDescent="0.3">
      <c r="A493" s="37">
        <f t="shared" si="386"/>
        <v>1510302006</v>
      </c>
      <c r="B493" s="37" t="str">
        <f t="shared" ref="B493:AF493" si="400">IF(B382 &lt;&gt; "", B382, "")</f>
        <v>Daily.Gold</v>
      </c>
      <c r="C493" s="5" t="str">
        <f t="shared" si="400"/>
        <v>그리마알파</v>
      </c>
      <c r="D493" s="5" t="str">
        <f t="shared" si="400"/>
        <v>Monster.Name.grima_alpha_1</v>
      </c>
      <c r="E493" s="5" t="str">
        <f t="shared" si="400"/>
        <v>Attacker</v>
      </c>
      <c r="F493" s="17" t="str">
        <f t="shared" si="400"/>
        <v>Fac_nul_ind</v>
      </c>
      <c r="G493" s="5" t="str">
        <f t="shared" si="400"/>
        <v>TRUE</v>
      </c>
      <c r="H493" s="5" t="b">
        <f t="shared" si="400"/>
        <v>0</v>
      </c>
      <c r="I493" s="5" t="b">
        <f t="shared" si="400"/>
        <v>0</v>
      </c>
      <c r="J493" s="5">
        <f t="shared" si="400"/>
        <v>10</v>
      </c>
      <c r="K493" s="5">
        <f t="shared" si="400"/>
        <v>10</v>
      </c>
      <c r="L493" s="2" t="str">
        <f t="shared" si="400"/>
        <v>Daily.Gold.grima_alpha_1.attack01</v>
      </c>
      <c r="M493" s="2" t="str">
        <f t="shared" si="400"/>
        <v/>
      </c>
      <c r="N493" s="2" t="str">
        <f t="shared" si="400"/>
        <v/>
      </c>
      <c r="O493" s="178" t="str">
        <f t="shared" si="400"/>
        <v>Daily.Gold.grima_alpha_1.skill01</v>
      </c>
      <c r="P493" s="14" t="str">
        <f t="shared" si="400"/>
        <v>Daily.Gold.grima_alpha_1.skill02</v>
      </c>
      <c r="Q493" s="14" t="str">
        <f t="shared" si="400"/>
        <v/>
      </c>
      <c r="R493" s="14" t="str">
        <f t="shared" si="400"/>
        <v/>
      </c>
      <c r="S493" s="14" t="str">
        <f t="shared" si="400"/>
        <v/>
      </c>
      <c r="T493" s="14" t="str">
        <f t="shared" si="400"/>
        <v/>
      </c>
      <c r="U493" s="14" t="str">
        <f t="shared" si="400"/>
        <v/>
      </c>
      <c r="V493" s="5" t="b">
        <f t="shared" si="400"/>
        <v>0</v>
      </c>
      <c r="W493" s="5" t="str">
        <f t="shared" si="400"/>
        <v>Character/Prefabs/m_l_attacker_grima_alpha_1</v>
      </c>
      <c r="X493" s="5" t="str">
        <f t="shared" si="400"/>
        <v/>
      </c>
      <c r="Y493" s="5" t="str">
        <f t="shared" si="400"/>
        <v>m_l_attacker_grima_alpha_1</v>
      </c>
      <c r="Z493" s="5" t="str">
        <f t="shared" si="400"/>
        <v/>
      </c>
      <c r="AA493" s="5" t="str">
        <f t="shared" si="400"/>
        <v/>
      </c>
      <c r="AB493" s="5" t="str">
        <f t="shared" si="400"/>
        <v/>
      </c>
      <c r="AC493" s="97">
        <f t="shared" si="400"/>
        <v>0.6</v>
      </c>
      <c r="AD493" s="5" t="str">
        <f t="shared" si="400"/>
        <v/>
      </c>
      <c r="AE493" s="5" t="str">
        <f t="shared" si="400"/>
        <v/>
      </c>
      <c r="AF493" s="5" t="str">
        <f t="shared" si="400"/>
        <v/>
      </c>
      <c r="AG493" s="173" t="s">
        <v>2764</v>
      </c>
    </row>
    <row r="494" spans="1:33" x14ac:dyDescent="0.3">
      <c r="A494" s="37">
        <f t="shared" si="386"/>
        <v>1510302007</v>
      </c>
      <c r="B494" s="37" t="str">
        <f t="shared" ref="B494:AF494" si="401">IF(B383 &lt;&gt; "", B383, "")</f>
        <v>Daily.Gold</v>
      </c>
      <c r="C494" s="5" t="str">
        <f t="shared" si="401"/>
        <v>드레인데미스</v>
      </c>
      <c r="D494" s="5" t="str">
        <f t="shared" si="401"/>
        <v>Monster.Name.draindermis_1</v>
      </c>
      <c r="E494" s="5" t="str">
        <f t="shared" si="401"/>
        <v>Ranger</v>
      </c>
      <c r="F494" s="17" t="str">
        <f t="shared" si="401"/>
        <v>Fac_nul_ind</v>
      </c>
      <c r="G494" s="5" t="str">
        <f t="shared" si="401"/>
        <v>TRUE</v>
      </c>
      <c r="H494" s="5" t="b">
        <f t="shared" si="401"/>
        <v>0</v>
      </c>
      <c r="I494" s="5" t="b">
        <f t="shared" si="401"/>
        <v>0</v>
      </c>
      <c r="J494" s="5">
        <f t="shared" si="401"/>
        <v>10</v>
      </c>
      <c r="K494" s="5">
        <f t="shared" si="401"/>
        <v>10</v>
      </c>
      <c r="L494" s="2" t="str">
        <f t="shared" si="401"/>
        <v>Daily.Gold.draindermis_1.attack01</v>
      </c>
      <c r="M494" s="2" t="str">
        <f t="shared" si="401"/>
        <v/>
      </c>
      <c r="N494" s="2" t="str">
        <f t="shared" si="401"/>
        <v/>
      </c>
      <c r="O494" s="178" t="str">
        <f t="shared" si="401"/>
        <v>Daily.Gold.draindermis_1.skill01</v>
      </c>
      <c r="P494" s="14" t="str">
        <f t="shared" si="401"/>
        <v>Daily.Gold.draindermis_1.skill02</v>
      </c>
      <c r="Q494" s="14" t="str">
        <f t="shared" si="401"/>
        <v/>
      </c>
      <c r="R494" s="14" t="str">
        <f t="shared" si="401"/>
        <v/>
      </c>
      <c r="S494" s="14" t="str">
        <f t="shared" si="401"/>
        <v/>
      </c>
      <c r="T494" s="14" t="str">
        <f t="shared" si="401"/>
        <v/>
      </c>
      <c r="U494" s="14" t="str">
        <f t="shared" si="401"/>
        <v/>
      </c>
      <c r="V494" s="5" t="b">
        <f t="shared" si="401"/>
        <v>0</v>
      </c>
      <c r="W494" s="5" t="str">
        <f t="shared" si="401"/>
        <v>Character/Prefabs/m_l_ranger_draindermis_1</v>
      </c>
      <c r="X494" s="5" t="str">
        <f t="shared" si="401"/>
        <v/>
      </c>
      <c r="Y494" s="5" t="str">
        <f t="shared" si="401"/>
        <v>m_l_ranger_draindermis_1</v>
      </c>
      <c r="Z494" s="5" t="str">
        <f t="shared" si="401"/>
        <v/>
      </c>
      <c r="AA494" s="5" t="str">
        <f t="shared" si="401"/>
        <v/>
      </c>
      <c r="AB494" s="5" t="str">
        <f t="shared" si="401"/>
        <v/>
      </c>
      <c r="AC494" s="97">
        <f t="shared" si="401"/>
        <v>0.7</v>
      </c>
      <c r="AD494" s="5" t="str">
        <f t="shared" si="401"/>
        <v/>
      </c>
      <c r="AE494" s="5" t="str">
        <f t="shared" si="401"/>
        <v/>
      </c>
      <c r="AF494" s="5" t="str">
        <f t="shared" si="401"/>
        <v/>
      </c>
      <c r="AG494" s="173" t="s">
        <v>2764</v>
      </c>
    </row>
    <row r="495" spans="1:33" x14ac:dyDescent="0.3">
      <c r="A495" s="37">
        <f t="shared" si="386"/>
        <v>1510302008</v>
      </c>
      <c r="B495" s="37" t="str">
        <f t="shared" ref="B495:AF495" si="402">IF(B384 &lt;&gt; "", B384, "")</f>
        <v>Daily.Gold</v>
      </c>
      <c r="C495" s="5" t="str">
        <f t="shared" si="402"/>
        <v>그리마베타</v>
      </c>
      <c r="D495" s="5" t="str">
        <f t="shared" si="402"/>
        <v>Monster.Name.grima_beta_1</v>
      </c>
      <c r="E495" s="5" t="str">
        <f t="shared" si="402"/>
        <v>Attacker</v>
      </c>
      <c r="F495" s="17" t="str">
        <f t="shared" si="402"/>
        <v>Fac_nul_ind</v>
      </c>
      <c r="G495" s="5" t="str">
        <f t="shared" si="402"/>
        <v>TRUE</v>
      </c>
      <c r="H495" s="5" t="b">
        <f t="shared" si="402"/>
        <v>0</v>
      </c>
      <c r="I495" s="5" t="b">
        <f t="shared" si="402"/>
        <v>0</v>
      </c>
      <c r="J495" s="5">
        <f t="shared" si="402"/>
        <v>10</v>
      </c>
      <c r="K495" s="5">
        <f t="shared" si="402"/>
        <v>10</v>
      </c>
      <c r="L495" s="2" t="str">
        <f t="shared" si="402"/>
        <v>Daily.Gold.grima_beta_1.attack01</v>
      </c>
      <c r="M495" s="2" t="str">
        <f t="shared" si="402"/>
        <v/>
      </c>
      <c r="N495" s="2" t="str">
        <f t="shared" si="402"/>
        <v/>
      </c>
      <c r="O495" s="178" t="str">
        <f t="shared" si="402"/>
        <v>Daily.Gold.grima_beta_1.skill01</v>
      </c>
      <c r="P495" s="14" t="str">
        <f t="shared" si="402"/>
        <v>Daily.Gold.grima_beta_1.skill02</v>
      </c>
      <c r="Q495" s="14" t="str">
        <f t="shared" si="402"/>
        <v/>
      </c>
      <c r="R495" s="14" t="str">
        <f t="shared" si="402"/>
        <v/>
      </c>
      <c r="S495" s="14" t="str">
        <f t="shared" si="402"/>
        <v/>
      </c>
      <c r="T495" s="14" t="str">
        <f t="shared" si="402"/>
        <v/>
      </c>
      <c r="U495" s="14" t="str">
        <f t="shared" si="402"/>
        <v/>
      </c>
      <c r="V495" s="5" t="b">
        <f t="shared" si="402"/>
        <v>0</v>
      </c>
      <c r="W495" s="5" t="str">
        <f t="shared" si="402"/>
        <v>Character/Prefabs/m_l_attacker_grima_beta_1</v>
      </c>
      <c r="X495" s="5" t="str">
        <f t="shared" si="402"/>
        <v/>
      </c>
      <c r="Y495" s="5" t="str">
        <f t="shared" si="402"/>
        <v>m_l_attacker_grima_beta_1</v>
      </c>
      <c r="Z495" s="5" t="str">
        <f t="shared" si="402"/>
        <v/>
      </c>
      <c r="AA495" s="5" t="str">
        <f t="shared" si="402"/>
        <v/>
      </c>
      <c r="AB495" s="5" t="str">
        <f t="shared" si="402"/>
        <v/>
      </c>
      <c r="AC495" s="97">
        <f t="shared" si="402"/>
        <v>0.6</v>
      </c>
      <c r="AD495" s="5" t="str">
        <f t="shared" si="402"/>
        <v/>
      </c>
      <c r="AE495" s="5" t="str">
        <f t="shared" si="402"/>
        <v/>
      </c>
      <c r="AF495" s="5" t="str">
        <f t="shared" si="402"/>
        <v/>
      </c>
      <c r="AG495" s="173" t="s">
        <v>2764</v>
      </c>
    </row>
    <row r="496" spans="1:33" x14ac:dyDescent="0.3">
      <c r="A496" s="37">
        <f t="shared" si="386"/>
        <v>1510302009</v>
      </c>
      <c r="B496" s="37" t="str">
        <f t="shared" ref="B496:AF496" si="403">IF(B385 &lt;&gt; "", B385, "")</f>
        <v>Daily.Gold</v>
      </c>
      <c r="C496" s="5" t="str">
        <f t="shared" si="403"/>
        <v>연구소임팩트</v>
      </c>
      <c r="D496" s="5" t="str">
        <f t="shared" si="403"/>
        <v>Monster.Name.labmecha_punch_1</v>
      </c>
      <c r="E496" s="5" t="str">
        <f t="shared" si="403"/>
        <v>Tanker</v>
      </c>
      <c r="F496" s="17" t="str">
        <f t="shared" si="403"/>
        <v>Fac_nul_ind</v>
      </c>
      <c r="G496" s="5" t="str">
        <f t="shared" si="403"/>
        <v>TRUE</v>
      </c>
      <c r="H496" s="5" t="b">
        <f t="shared" si="403"/>
        <v>0</v>
      </c>
      <c r="I496" s="5" t="b">
        <f t="shared" si="403"/>
        <v>0</v>
      </c>
      <c r="J496" s="5">
        <f t="shared" si="403"/>
        <v>10</v>
      </c>
      <c r="K496" s="5">
        <f t="shared" si="403"/>
        <v>10</v>
      </c>
      <c r="L496" s="2" t="str">
        <f t="shared" si="403"/>
        <v>Daily.Gold.labmecha_punch_1.attack01</v>
      </c>
      <c r="M496" s="2" t="str">
        <f t="shared" si="403"/>
        <v/>
      </c>
      <c r="N496" s="2" t="str">
        <f t="shared" si="403"/>
        <v/>
      </c>
      <c r="O496" s="178" t="str">
        <f t="shared" si="403"/>
        <v>Daily.Gold.labmecha_punch_1.skill01</v>
      </c>
      <c r="P496" s="14" t="str">
        <f t="shared" si="403"/>
        <v/>
      </c>
      <c r="Q496" s="14" t="str">
        <f t="shared" si="403"/>
        <v/>
      </c>
      <c r="R496" s="14" t="str">
        <f t="shared" si="403"/>
        <v/>
      </c>
      <c r="S496" s="14" t="str">
        <f t="shared" si="403"/>
        <v/>
      </c>
      <c r="T496" s="14" t="str">
        <f t="shared" si="403"/>
        <v/>
      </c>
      <c r="U496" s="14" t="str">
        <f t="shared" si="403"/>
        <v/>
      </c>
      <c r="V496" s="5" t="b">
        <f t="shared" si="403"/>
        <v>0</v>
      </c>
      <c r="W496" s="5" t="str">
        <f t="shared" si="403"/>
        <v>Character/Prefabs/m_l_tanker_labmecha_punch_1</v>
      </c>
      <c r="X496" s="5" t="str">
        <f t="shared" si="403"/>
        <v/>
      </c>
      <c r="Y496" s="5" t="str">
        <f t="shared" si="403"/>
        <v>m_l_tanker_labmecha_punch_1</v>
      </c>
      <c r="Z496" s="5" t="str">
        <f t="shared" si="403"/>
        <v/>
      </c>
      <c r="AA496" s="5" t="str">
        <f t="shared" si="403"/>
        <v/>
      </c>
      <c r="AB496" s="5" t="str">
        <f t="shared" si="403"/>
        <v/>
      </c>
      <c r="AC496" s="97">
        <f t="shared" si="403"/>
        <v>0.7</v>
      </c>
      <c r="AD496" s="5" t="str">
        <f t="shared" si="403"/>
        <v/>
      </c>
      <c r="AE496" s="5" t="str">
        <f t="shared" si="403"/>
        <v/>
      </c>
      <c r="AF496" s="5" t="str">
        <f t="shared" si="403"/>
        <v/>
      </c>
      <c r="AG496" s="173" t="s">
        <v>2764</v>
      </c>
    </row>
    <row r="497" spans="1:33" x14ac:dyDescent="0.3">
      <c r="A497" s="37">
        <f t="shared" si="386"/>
        <v>1510302010</v>
      </c>
      <c r="B497" s="37" t="str">
        <f t="shared" ref="B497:AF497" si="404">IF(B386 &lt;&gt; "", B386, "")</f>
        <v>Daily.Gold</v>
      </c>
      <c r="C497" s="5" t="str">
        <f t="shared" si="404"/>
        <v>연구소캐논</v>
      </c>
      <c r="D497" s="5" t="str">
        <f t="shared" si="404"/>
        <v>Monster.Name.harbor_cannon_1</v>
      </c>
      <c r="E497" s="5" t="str">
        <f t="shared" si="404"/>
        <v>Ranger</v>
      </c>
      <c r="F497" s="17" t="str">
        <f t="shared" si="404"/>
        <v>Fac_nul_ind</v>
      </c>
      <c r="G497" s="5" t="str">
        <f t="shared" si="404"/>
        <v>TRUE</v>
      </c>
      <c r="H497" s="5" t="b">
        <f t="shared" si="404"/>
        <v>0</v>
      </c>
      <c r="I497" s="5" t="b">
        <f t="shared" si="404"/>
        <v>0</v>
      </c>
      <c r="J497" s="5">
        <f t="shared" si="404"/>
        <v>10</v>
      </c>
      <c r="K497" s="5">
        <f t="shared" si="404"/>
        <v>20</v>
      </c>
      <c r="L497" s="2" t="str">
        <f t="shared" si="404"/>
        <v>Daily.Gold.harbor_cannon_1.attack01</v>
      </c>
      <c r="M497" s="2" t="str">
        <f t="shared" si="404"/>
        <v/>
      </c>
      <c r="N497" s="2" t="str">
        <f t="shared" si="404"/>
        <v/>
      </c>
      <c r="O497" s="178" t="str">
        <f t="shared" si="404"/>
        <v/>
      </c>
      <c r="P497" s="14" t="str">
        <f t="shared" si="404"/>
        <v/>
      </c>
      <c r="Q497" s="14" t="str">
        <f t="shared" si="404"/>
        <v/>
      </c>
      <c r="R497" s="14" t="str">
        <f t="shared" si="404"/>
        <v/>
      </c>
      <c r="S497" s="14" t="str">
        <f t="shared" si="404"/>
        <v/>
      </c>
      <c r="T497" s="14" t="str">
        <f t="shared" si="404"/>
        <v/>
      </c>
      <c r="U497" s="14" t="str">
        <f t="shared" si="404"/>
        <v/>
      </c>
      <c r="V497" s="5" t="b">
        <f t="shared" si="404"/>
        <v>0</v>
      </c>
      <c r="W497" s="5" t="str">
        <f t="shared" si="404"/>
        <v>Character/Prefabs/m_m_ranger_harbor_cannon_1</v>
      </c>
      <c r="X497" s="5" t="str">
        <f t="shared" si="404"/>
        <v/>
      </c>
      <c r="Y497" s="5" t="str">
        <f t="shared" si="404"/>
        <v>m_m_ranger_harbor_cannon_1</v>
      </c>
      <c r="Z497" s="5" t="str">
        <f t="shared" si="404"/>
        <v/>
      </c>
      <c r="AA497" s="5" t="str">
        <f t="shared" si="404"/>
        <v/>
      </c>
      <c r="AB497" s="5" t="str">
        <f t="shared" si="404"/>
        <v/>
      </c>
      <c r="AC497" s="97">
        <f t="shared" si="404"/>
        <v>0.6</v>
      </c>
      <c r="AD497" s="5" t="str">
        <f t="shared" si="404"/>
        <v/>
      </c>
      <c r="AE497" s="5" t="str">
        <f t="shared" si="404"/>
        <v/>
      </c>
      <c r="AF497" s="5" t="str">
        <f t="shared" si="404"/>
        <v/>
      </c>
      <c r="AG497" s="173" t="s">
        <v>2764</v>
      </c>
    </row>
    <row r="498" spans="1:33" x14ac:dyDescent="0.3">
      <c r="A498" s="12">
        <f t="shared" si="386"/>
        <v>1510303001</v>
      </c>
      <c r="B498" s="12" t="str">
        <f t="shared" ref="B498:AF498" si="405">IF(B387 &lt;&gt; "", B387, "")</f>
        <v>Daily.Atk</v>
      </c>
      <c r="C498" s="5" t="str">
        <f t="shared" si="405"/>
        <v>헬파이어드론</v>
      </c>
      <c r="D498" s="76" t="str">
        <f t="shared" si="405"/>
        <v>Monster.Name.Atk.Sub.drone_1</v>
      </c>
      <c r="E498" s="5" t="str">
        <f t="shared" si="405"/>
        <v>None</v>
      </c>
      <c r="F498" s="17" t="str">
        <f t="shared" si="405"/>
        <v>Fac_nul_ind</v>
      </c>
      <c r="G498" s="5" t="str">
        <f t="shared" si="405"/>
        <v>TRUE</v>
      </c>
      <c r="H498" s="5" t="b">
        <f t="shared" si="405"/>
        <v>0</v>
      </c>
      <c r="I498" s="5" t="b">
        <f t="shared" si="405"/>
        <v>0</v>
      </c>
      <c r="J498" s="5">
        <f t="shared" si="405"/>
        <v>10</v>
      </c>
      <c r="K498" s="5">
        <f t="shared" si="405"/>
        <v>10</v>
      </c>
      <c r="L498" s="2" t="str">
        <f t="shared" si="405"/>
        <v>Daily.Atk.hellfire_drone_3.attack01</v>
      </c>
      <c r="M498" s="2" t="str">
        <f t="shared" si="405"/>
        <v/>
      </c>
      <c r="N498" s="2" t="str">
        <f t="shared" si="405"/>
        <v/>
      </c>
      <c r="O498" s="178" t="str">
        <f t="shared" si="405"/>
        <v>Daily.Atk.hellfire_drone_3.passive01</v>
      </c>
      <c r="P498" s="14" t="str">
        <f t="shared" si="405"/>
        <v/>
      </c>
      <c r="Q498" s="14" t="str">
        <f t="shared" si="405"/>
        <v/>
      </c>
      <c r="R498" s="14" t="str">
        <f t="shared" si="405"/>
        <v/>
      </c>
      <c r="S498" s="14" t="str">
        <f t="shared" si="405"/>
        <v/>
      </c>
      <c r="T498" s="14" t="str">
        <f t="shared" si="405"/>
        <v/>
      </c>
      <c r="U498" s="14" t="str">
        <f t="shared" si="405"/>
        <v/>
      </c>
      <c r="V498" s="5" t="b">
        <f t="shared" si="405"/>
        <v>0</v>
      </c>
      <c r="W498" s="5" t="str">
        <f t="shared" si="405"/>
        <v>Character/Prefabs/m_s_ranger_hellfire_drone_3</v>
      </c>
      <c r="X498" s="5" t="str">
        <f t="shared" si="405"/>
        <v/>
      </c>
      <c r="Y498" s="5" t="str">
        <f t="shared" si="405"/>
        <v>m_s_ranger_hellfire_drone_3</v>
      </c>
      <c r="Z498" s="5" t="str">
        <f t="shared" si="405"/>
        <v/>
      </c>
      <c r="AA498" s="5" t="str">
        <f t="shared" si="405"/>
        <v/>
      </c>
      <c r="AB498" s="5" t="str">
        <f t="shared" si="405"/>
        <v/>
      </c>
      <c r="AC498" s="97">
        <f t="shared" si="405"/>
        <v>0.7</v>
      </c>
      <c r="AD498" s="5" t="str">
        <f t="shared" si="405"/>
        <v/>
      </c>
      <c r="AE498" s="5" t="str">
        <f t="shared" si="405"/>
        <v/>
      </c>
      <c r="AF498" s="5" t="str">
        <f t="shared" si="405"/>
        <v/>
      </c>
      <c r="AG498" s="173" t="s">
        <v>2764</v>
      </c>
    </row>
    <row r="499" spans="1:33" x14ac:dyDescent="0.3">
      <c r="A499" s="12">
        <f t="shared" si="386"/>
        <v>1510303002</v>
      </c>
      <c r="B499" s="12" t="str">
        <f t="shared" ref="B499:AF499" si="406">IF(B388 &lt;&gt; "", B388, "")</f>
        <v>Daily.Atk</v>
      </c>
      <c r="C499" s="5" t="str">
        <f t="shared" si="406"/>
        <v>리제네이션드론</v>
      </c>
      <c r="D499" s="76" t="str">
        <f t="shared" si="406"/>
        <v>Monster.Name.Atk.Sub.drone_2</v>
      </c>
      <c r="E499" s="5" t="str">
        <f t="shared" si="406"/>
        <v>None</v>
      </c>
      <c r="F499" s="17" t="str">
        <f t="shared" si="406"/>
        <v>Fac_nul_ind</v>
      </c>
      <c r="G499" s="5" t="str">
        <f t="shared" si="406"/>
        <v>TRUE</v>
      </c>
      <c r="H499" s="5" t="b">
        <f t="shared" si="406"/>
        <v>0</v>
      </c>
      <c r="I499" s="5" t="b">
        <f t="shared" si="406"/>
        <v>0</v>
      </c>
      <c r="J499" s="5">
        <f t="shared" si="406"/>
        <v>10</v>
      </c>
      <c r="K499" s="5">
        <f t="shared" si="406"/>
        <v>10</v>
      </c>
      <c r="L499" s="2" t="str">
        <f t="shared" si="406"/>
        <v>Daily.Atk.regeneration_drone_3.attack01</v>
      </c>
      <c r="M499" s="2" t="str">
        <f t="shared" si="406"/>
        <v/>
      </c>
      <c r="N499" s="2" t="str">
        <f t="shared" si="406"/>
        <v/>
      </c>
      <c r="O499" s="178" t="str">
        <f t="shared" si="406"/>
        <v>Daily.Atk.regeneration_drone_3.passive01</v>
      </c>
      <c r="P499" s="14" t="str">
        <f t="shared" si="406"/>
        <v/>
      </c>
      <c r="Q499" s="14" t="str">
        <f t="shared" si="406"/>
        <v/>
      </c>
      <c r="R499" s="14" t="str">
        <f t="shared" si="406"/>
        <v/>
      </c>
      <c r="S499" s="14" t="str">
        <f t="shared" si="406"/>
        <v/>
      </c>
      <c r="T499" s="14" t="str">
        <f t="shared" si="406"/>
        <v/>
      </c>
      <c r="U499" s="14" t="str">
        <f t="shared" si="406"/>
        <v/>
      </c>
      <c r="V499" s="5" t="b">
        <f t="shared" si="406"/>
        <v>0</v>
      </c>
      <c r="W499" s="5" t="str">
        <f t="shared" si="406"/>
        <v>Character/Prefabs/m_s_supporter_regeneration_drone_3</v>
      </c>
      <c r="X499" s="5" t="str">
        <f t="shared" si="406"/>
        <v/>
      </c>
      <c r="Y499" s="5" t="str">
        <f t="shared" si="406"/>
        <v>m_s_supporter_regeneration_drone_3</v>
      </c>
      <c r="Z499" s="5" t="str">
        <f t="shared" si="406"/>
        <v/>
      </c>
      <c r="AA499" s="5" t="str">
        <f t="shared" si="406"/>
        <v/>
      </c>
      <c r="AB499" s="5" t="str">
        <f t="shared" si="406"/>
        <v/>
      </c>
      <c r="AC499" s="97">
        <f t="shared" si="406"/>
        <v>0.7</v>
      </c>
      <c r="AD499" s="5" t="str">
        <f t="shared" si="406"/>
        <v/>
      </c>
      <c r="AE499" s="5" t="str">
        <f t="shared" si="406"/>
        <v/>
      </c>
      <c r="AF499" s="5" t="str">
        <f t="shared" si="406"/>
        <v/>
      </c>
      <c r="AG499" s="173" t="s">
        <v>2764</v>
      </c>
    </row>
    <row r="500" spans="1:33" x14ac:dyDescent="0.3">
      <c r="A500" s="12">
        <f t="shared" si="386"/>
        <v>1510303003</v>
      </c>
      <c r="B500" s="12" t="str">
        <f t="shared" ref="B500:AF500" si="407">IF(B389 &lt;&gt; "", B389, "")</f>
        <v>Daily.Atk</v>
      </c>
      <c r="C500" s="5" t="str">
        <f t="shared" si="407"/>
        <v>쉘터청소부g1</v>
      </c>
      <c r="D500" s="5" t="str">
        <f t="shared" si="407"/>
        <v>Monster.Name.shelter_sweeper_g_1</v>
      </c>
      <c r="E500" s="5" t="str">
        <f t="shared" si="407"/>
        <v>Tanker</v>
      </c>
      <c r="F500" s="17" t="str">
        <f t="shared" si="407"/>
        <v>Fac_nul_ind</v>
      </c>
      <c r="G500" s="5" t="str">
        <f t="shared" si="407"/>
        <v>TRUE</v>
      </c>
      <c r="H500" s="5" t="b">
        <f t="shared" si="407"/>
        <v>1</v>
      </c>
      <c r="I500" s="5" t="b">
        <f t="shared" si="407"/>
        <v>1</v>
      </c>
      <c r="J500" s="5">
        <f t="shared" si="407"/>
        <v>20</v>
      </c>
      <c r="K500" s="5">
        <f t="shared" si="407"/>
        <v>10</v>
      </c>
      <c r="L500" s="2" t="str">
        <f t="shared" si="407"/>
        <v>Daily.Atk.shelter_sweeper_g_1.attack01</v>
      </c>
      <c r="M500" s="2" t="str">
        <f t="shared" si="407"/>
        <v/>
      </c>
      <c r="N500" s="2" t="str">
        <f t="shared" si="407"/>
        <v/>
      </c>
      <c r="O500" s="178" t="str">
        <f t="shared" si="407"/>
        <v>Daily.Atk.shelter_sweeper_g_1.skill01</v>
      </c>
      <c r="P500" s="14" t="str">
        <f t="shared" si="407"/>
        <v>Daily.Atk.shelter_sweeper_g_1.skill02</v>
      </c>
      <c r="Q500" s="14" t="str">
        <f t="shared" si="407"/>
        <v>Daily.Atk.Boss.passive01</v>
      </c>
      <c r="R500" s="14" t="str">
        <f t="shared" si="407"/>
        <v/>
      </c>
      <c r="S500" s="14" t="str">
        <f t="shared" si="407"/>
        <v>Daily.Atk.Boss.End.passive01</v>
      </c>
      <c r="T500" s="14" t="str">
        <f t="shared" si="407"/>
        <v/>
      </c>
      <c r="U500" s="14" t="str">
        <f t="shared" si="407"/>
        <v/>
      </c>
      <c r="V500" s="5" t="b">
        <f t="shared" si="407"/>
        <v>0</v>
      </c>
      <c r="W500" s="5" t="str">
        <f t="shared" si="407"/>
        <v>Character/Prefabs/m_m_tanker_shelter_sweeper_g_1</v>
      </c>
      <c r="X500" s="5" t="str">
        <f t="shared" si="407"/>
        <v/>
      </c>
      <c r="Y500" s="5" t="str">
        <f t="shared" si="407"/>
        <v>m_m_tanker_shelter_sweeper_g_1</v>
      </c>
      <c r="Z500" s="5" t="str">
        <f t="shared" si="407"/>
        <v/>
      </c>
      <c r="AA500" s="5" t="str">
        <f t="shared" si="407"/>
        <v/>
      </c>
      <c r="AB500" s="5" t="str">
        <f t="shared" si="407"/>
        <v/>
      </c>
      <c r="AC500" s="97">
        <f t="shared" si="407"/>
        <v>1</v>
      </c>
      <c r="AD500" s="5" t="str">
        <f t="shared" si="407"/>
        <v/>
      </c>
      <c r="AE500" s="5" t="str">
        <f t="shared" si="407"/>
        <v/>
      </c>
      <c r="AF500" s="5" t="str">
        <f t="shared" si="407"/>
        <v/>
      </c>
      <c r="AG500" s="173" t="s">
        <v>2764</v>
      </c>
    </row>
    <row r="501" spans="1:33" x14ac:dyDescent="0.3">
      <c r="A501" s="37">
        <f t="shared" si="386"/>
        <v>1510304001</v>
      </c>
      <c r="B501" s="37" t="str">
        <f t="shared" ref="B501:AF501" si="408">IF(B390 &lt;&gt; "", B390, "")</f>
        <v>Daily.Def</v>
      </c>
      <c r="C501" s="5" t="str">
        <f t="shared" si="408"/>
        <v>브레인헌터</v>
      </c>
      <c r="D501" s="5" t="str">
        <f t="shared" si="408"/>
        <v>Monster.Name.brain_hunter_1</v>
      </c>
      <c r="E501" s="5" t="str">
        <f t="shared" si="408"/>
        <v>Attacker</v>
      </c>
      <c r="F501" s="17" t="str">
        <f t="shared" si="408"/>
        <v>Fac_nul_ind</v>
      </c>
      <c r="G501" s="5" t="str">
        <f t="shared" si="408"/>
        <v>TRUE</v>
      </c>
      <c r="H501" s="5" t="b">
        <f t="shared" si="408"/>
        <v>0</v>
      </c>
      <c r="I501" s="5" t="b">
        <f t="shared" si="408"/>
        <v>0</v>
      </c>
      <c r="J501" s="5">
        <f t="shared" si="408"/>
        <v>10</v>
      </c>
      <c r="K501" s="5">
        <f t="shared" si="408"/>
        <v>10</v>
      </c>
      <c r="L501" s="2" t="str">
        <f t="shared" si="408"/>
        <v>Daily.Def.brain_hunter_1.attack01</v>
      </c>
      <c r="M501" s="2" t="str">
        <f t="shared" si="408"/>
        <v/>
      </c>
      <c r="N501" s="2" t="str">
        <f t="shared" si="408"/>
        <v/>
      </c>
      <c r="O501" s="178" t="str">
        <f t="shared" si="408"/>
        <v>Daily.Def.brain_hunter_1.skill01</v>
      </c>
      <c r="P501" s="14" t="str">
        <f t="shared" si="408"/>
        <v>Daily.Def.DamageUp.passive01</v>
      </c>
      <c r="Q501" s="14" t="str">
        <f t="shared" si="408"/>
        <v/>
      </c>
      <c r="R501" s="14" t="str">
        <f t="shared" si="408"/>
        <v/>
      </c>
      <c r="S501" s="14" t="str">
        <f t="shared" si="408"/>
        <v/>
      </c>
      <c r="T501" s="14" t="str">
        <f t="shared" si="408"/>
        <v/>
      </c>
      <c r="U501" s="14" t="str">
        <f t="shared" si="408"/>
        <v/>
      </c>
      <c r="V501" s="5" t="b">
        <f t="shared" si="408"/>
        <v>0</v>
      </c>
      <c r="W501" s="5" t="str">
        <f t="shared" si="408"/>
        <v>Character/Prefabs/m_s_attacker_brain_hunter_1</v>
      </c>
      <c r="X501" s="5" t="str">
        <f t="shared" si="408"/>
        <v/>
      </c>
      <c r="Y501" s="5" t="str">
        <f t="shared" si="408"/>
        <v>m_s_attacker_brain_hunter_1</v>
      </c>
      <c r="Z501" s="5" t="str">
        <f t="shared" si="408"/>
        <v/>
      </c>
      <c r="AA501" s="5" t="str">
        <f t="shared" si="408"/>
        <v/>
      </c>
      <c r="AB501" s="5" t="str">
        <f t="shared" si="408"/>
        <v/>
      </c>
      <c r="AC501" s="97">
        <f t="shared" si="408"/>
        <v>1</v>
      </c>
      <c r="AD501" s="5" t="str">
        <f t="shared" si="408"/>
        <v/>
      </c>
      <c r="AE501" s="5" t="str">
        <f t="shared" si="408"/>
        <v/>
      </c>
      <c r="AF501" s="5" t="str">
        <f t="shared" si="408"/>
        <v/>
      </c>
      <c r="AG501" s="173" t="s">
        <v>2764</v>
      </c>
    </row>
    <row r="502" spans="1:33" x14ac:dyDescent="0.3">
      <c r="A502" s="37">
        <f t="shared" si="386"/>
        <v>1510304002</v>
      </c>
      <c r="B502" s="37" t="str">
        <f t="shared" ref="B502:AF502" si="409">IF(B391 &lt;&gt; "", B391, "")</f>
        <v>Daily.Def</v>
      </c>
      <c r="C502" s="5" t="str">
        <f t="shared" si="409"/>
        <v>오염체익스플로더</v>
      </c>
      <c r="D502" s="5" t="str">
        <f t="shared" si="409"/>
        <v>Monster.Name.polluter_exploder_1</v>
      </c>
      <c r="E502" s="5" t="str">
        <f t="shared" si="409"/>
        <v>Attacker</v>
      </c>
      <c r="F502" s="17" t="str">
        <f t="shared" si="409"/>
        <v>Fac_nul_ind</v>
      </c>
      <c r="G502" s="5" t="str">
        <f t="shared" si="409"/>
        <v>TRUE</v>
      </c>
      <c r="H502" s="5" t="b">
        <f t="shared" si="409"/>
        <v>0</v>
      </c>
      <c r="I502" s="5" t="b">
        <f t="shared" si="409"/>
        <v>0</v>
      </c>
      <c r="J502" s="5">
        <f t="shared" si="409"/>
        <v>10</v>
      </c>
      <c r="K502" s="5">
        <f t="shared" si="409"/>
        <v>10</v>
      </c>
      <c r="L502" s="2" t="str">
        <f t="shared" si="409"/>
        <v>Daily.Def.polluter_exploder_1.attack01</v>
      </c>
      <c r="M502" s="2" t="str">
        <f t="shared" si="409"/>
        <v/>
      </c>
      <c r="N502" s="2" t="str">
        <f t="shared" si="409"/>
        <v/>
      </c>
      <c r="O502" s="178" t="str">
        <f t="shared" si="409"/>
        <v>Daily.Def.polluter_exploder_1.skill01</v>
      </c>
      <c r="P502" s="14" t="str">
        <f t="shared" si="409"/>
        <v>Daily.Def.DamageUp.passive01</v>
      </c>
      <c r="Q502" s="14" t="str">
        <f t="shared" si="409"/>
        <v/>
      </c>
      <c r="R502" s="14" t="str">
        <f t="shared" si="409"/>
        <v/>
      </c>
      <c r="S502" s="14" t="str">
        <f t="shared" si="409"/>
        <v/>
      </c>
      <c r="T502" s="14" t="str">
        <f t="shared" si="409"/>
        <v/>
      </c>
      <c r="U502" s="14" t="str">
        <f t="shared" si="409"/>
        <v/>
      </c>
      <c r="V502" s="5" t="b">
        <f t="shared" si="409"/>
        <v>0</v>
      </c>
      <c r="W502" s="5" t="str">
        <f t="shared" si="409"/>
        <v>Character/Prefabs/m_s_attacker_polluter_exploder_1</v>
      </c>
      <c r="X502" s="5" t="str">
        <f t="shared" si="409"/>
        <v/>
      </c>
      <c r="Y502" s="5" t="str">
        <f t="shared" si="409"/>
        <v>m_s_attacker_polluter_exploder_1</v>
      </c>
      <c r="Z502" s="5" t="str">
        <f t="shared" si="409"/>
        <v/>
      </c>
      <c r="AA502" s="5" t="str">
        <f t="shared" si="409"/>
        <v/>
      </c>
      <c r="AB502" s="5" t="str">
        <f t="shared" si="409"/>
        <v/>
      </c>
      <c r="AC502" s="97">
        <f t="shared" si="409"/>
        <v>1.5</v>
      </c>
      <c r="AD502" s="5" t="str">
        <f t="shared" si="409"/>
        <v/>
      </c>
      <c r="AE502" s="5" t="str">
        <f t="shared" si="409"/>
        <v/>
      </c>
      <c r="AF502" s="5" t="str">
        <f t="shared" si="409"/>
        <v/>
      </c>
      <c r="AG502" s="173" t="s">
        <v>2764</v>
      </c>
    </row>
    <row r="503" spans="1:33" x14ac:dyDescent="0.3">
      <c r="A503" s="13">
        <f t="shared" si="386"/>
        <v>1510305001</v>
      </c>
      <c r="B503" s="13" t="str">
        <f t="shared" ref="B503:AF503" si="410">IF(B392 &lt;&gt; "", B392, "")</f>
        <v>Daily.Seed</v>
      </c>
      <c r="C503" s="5" t="str">
        <f t="shared" si="410"/>
        <v>헤비트루퍼플레임</v>
      </c>
      <c r="D503" s="5" t="str">
        <f t="shared" si="410"/>
        <v>Monster.Name.heavy_trooper_flame_1</v>
      </c>
      <c r="E503" s="5" t="str">
        <f t="shared" si="410"/>
        <v>Attacker</v>
      </c>
      <c r="F503" s="17" t="str">
        <f t="shared" si="410"/>
        <v>Fac_nul_ind</v>
      </c>
      <c r="G503" s="5" t="str">
        <f t="shared" si="410"/>
        <v>TRUE</v>
      </c>
      <c r="H503" s="5" t="b">
        <f t="shared" si="410"/>
        <v>0</v>
      </c>
      <c r="I503" s="5" t="b">
        <f t="shared" si="410"/>
        <v>0</v>
      </c>
      <c r="J503" s="5">
        <f t="shared" si="410"/>
        <v>10</v>
      </c>
      <c r="K503" s="5">
        <f t="shared" si="410"/>
        <v>10</v>
      </c>
      <c r="L503" s="2" t="str">
        <f t="shared" si="410"/>
        <v>Daily.Seed.trooper_inferno_1.attack01</v>
      </c>
      <c r="M503" s="2" t="str">
        <f t="shared" si="410"/>
        <v/>
      </c>
      <c r="N503" s="2" t="str">
        <f t="shared" si="410"/>
        <v/>
      </c>
      <c r="O503" s="178" t="str">
        <f t="shared" si="410"/>
        <v>Daily.Seed.trooper_inferno_1.skill01</v>
      </c>
      <c r="P503" s="14" t="str">
        <f t="shared" si="410"/>
        <v/>
      </c>
      <c r="Q503" s="14" t="str">
        <f t="shared" si="410"/>
        <v/>
      </c>
      <c r="R503" s="14" t="str">
        <f t="shared" si="410"/>
        <v/>
      </c>
      <c r="S503" s="14" t="str">
        <f t="shared" si="410"/>
        <v/>
      </c>
      <c r="T503" s="14" t="str">
        <f t="shared" si="410"/>
        <v/>
      </c>
      <c r="U503" s="14" t="str">
        <f t="shared" si="410"/>
        <v/>
      </c>
      <c r="V503" s="5" t="b">
        <f t="shared" si="410"/>
        <v>0</v>
      </c>
      <c r="W503" s="5" t="str">
        <f t="shared" si="410"/>
        <v>Character/Prefabs/m_m_attacker_heavy_trooper_flame_1</v>
      </c>
      <c r="X503" s="5" t="str">
        <f t="shared" si="410"/>
        <v/>
      </c>
      <c r="Y503" s="5" t="str">
        <f t="shared" si="410"/>
        <v>m_m_attacker_heavy_trooper_flame_1</v>
      </c>
      <c r="Z503" s="5" t="str">
        <f t="shared" si="410"/>
        <v/>
      </c>
      <c r="AA503" s="5" t="str">
        <f t="shared" si="410"/>
        <v/>
      </c>
      <c r="AB503" s="5" t="str">
        <f t="shared" si="410"/>
        <v/>
      </c>
      <c r="AC503" s="97">
        <f t="shared" si="410"/>
        <v>0.7</v>
      </c>
      <c r="AD503" s="5" t="str">
        <f t="shared" si="410"/>
        <v/>
      </c>
      <c r="AE503" s="5" t="str">
        <f t="shared" si="410"/>
        <v/>
      </c>
      <c r="AF503" s="5" t="str">
        <f t="shared" si="410"/>
        <v/>
      </c>
      <c r="AG503" s="173" t="s">
        <v>2764</v>
      </c>
    </row>
    <row r="504" spans="1:33" x14ac:dyDescent="0.3">
      <c r="A504" s="13">
        <f t="shared" si="386"/>
        <v>1510305002</v>
      </c>
      <c r="B504" s="13" t="str">
        <f t="shared" ref="B504:AF504" si="411">IF(B393 &lt;&gt; "", B393, "")</f>
        <v>Daily.Seed</v>
      </c>
      <c r="C504" s="5" t="str">
        <f t="shared" si="411"/>
        <v>헤비트루퍼라이플</v>
      </c>
      <c r="D504" s="5" t="str">
        <f t="shared" si="411"/>
        <v>Monster.Name.heavy_trooper_rifle_1</v>
      </c>
      <c r="E504" s="5" t="str">
        <f t="shared" si="411"/>
        <v>Ranger</v>
      </c>
      <c r="F504" s="17" t="str">
        <f t="shared" si="411"/>
        <v>Fac_nul_ind</v>
      </c>
      <c r="G504" s="5" t="str">
        <f t="shared" si="411"/>
        <v>TRUE</v>
      </c>
      <c r="H504" s="5" t="b">
        <f t="shared" si="411"/>
        <v>0</v>
      </c>
      <c r="I504" s="5" t="b">
        <f t="shared" si="411"/>
        <v>0</v>
      </c>
      <c r="J504" s="5">
        <f t="shared" si="411"/>
        <v>10</v>
      </c>
      <c r="K504" s="5">
        <f t="shared" si="411"/>
        <v>10</v>
      </c>
      <c r="L504" s="2" t="str">
        <f t="shared" si="411"/>
        <v>Daily.Seed.trooper_sniper_1.attack01</v>
      </c>
      <c r="M504" s="2" t="str">
        <f t="shared" si="411"/>
        <v/>
      </c>
      <c r="N504" s="2" t="str">
        <f t="shared" si="411"/>
        <v/>
      </c>
      <c r="O504" s="178" t="str">
        <f t="shared" si="411"/>
        <v>Daily.Seed.trooper_sniper_1.skill01</v>
      </c>
      <c r="P504" s="14" t="str">
        <f t="shared" si="411"/>
        <v/>
      </c>
      <c r="Q504" s="14" t="str">
        <f t="shared" si="411"/>
        <v/>
      </c>
      <c r="R504" s="14" t="str">
        <f t="shared" si="411"/>
        <v/>
      </c>
      <c r="S504" s="14" t="str">
        <f t="shared" si="411"/>
        <v/>
      </c>
      <c r="T504" s="14" t="str">
        <f t="shared" si="411"/>
        <v/>
      </c>
      <c r="U504" s="14" t="str">
        <f t="shared" si="411"/>
        <v/>
      </c>
      <c r="V504" s="5" t="b">
        <f t="shared" si="411"/>
        <v>0</v>
      </c>
      <c r="W504" s="5" t="str">
        <f t="shared" si="411"/>
        <v>Character/Prefabs/m_m_ranger_heavy_trooper_rifle_1</v>
      </c>
      <c r="X504" s="5" t="str">
        <f t="shared" si="411"/>
        <v/>
      </c>
      <c r="Y504" s="5" t="str">
        <f t="shared" si="411"/>
        <v>m_m_ranger_heavy_trooper_rifle_1</v>
      </c>
      <c r="Z504" s="5" t="str">
        <f t="shared" si="411"/>
        <v/>
      </c>
      <c r="AA504" s="5" t="str">
        <f t="shared" si="411"/>
        <v/>
      </c>
      <c r="AB504" s="5" t="str">
        <f t="shared" si="411"/>
        <v/>
      </c>
      <c r="AC504" s="97">
        <f t="shared" si="411"/>
        <v>0.7</v>
      </c>
      <c r="AD504" s="5" t="str">
        <f t="shared" si="411"/>
        <v/>
      </c>
      <c r="AE504" s="5" t="str">
        <f t="shared" si="411"/>
        <v/>
      </c>
      <c r="AF504" s="5" t="str">
        <f t="shared" si="411"/>
        <v/>
      </c>
      <c r="AG504" s="173" t="s">
        <v>2764</v>
      </c>
    </row>
    <row r="505" spans="1:33" x14ac:dyDescent="0.3">
      <c r="A505" s="13">
        <f t="shared" si="386"/>
        <v>1510305003</v>
      </c>
      <c r="B505" s="13" t="str">
        <f t="shared" ref="B505:AF505" si="412">IF(B394 &lt;&gt; "", B394, "")</f>
        <v>Daily.Seed</v>
      </c>
      <c r="C505" s="5" t="str">
        <f t="shared" si="412"/>
        <v>헤비트루퍼건틀릿</v>
      </c>
      <c r="D505" s="5" t="str">
        <f t="shared" si="412"/>
        <v>Monster.Name.heavy_trooper_guantlet_1</v>
      </c>
      <c r="E505" s="5" t="str">
        <f t="shared" si="412"/>
        <v>Attacker</v>
      </c>
      <c r="F505" s="17" t="str">
        <f t="shared" si="412"/>
        <v>Fac_nul_ind</v>
      </c>
      <c r="G505" s="5" t="str">
        <f t="shared" si="412"/>
        <v>TRUE</v>
      </c>
      <c r="H505" s="5" t="b">
        <f t="shared" si="412"/>
        <v>0</v>
      </c>
      <c r="I505" s="5" t="b">
        <f t="shared" si="412"/>
        <v>0</v>
      </c>
      <c r="J505" s="5">
        <f t="shared" si="412"/>
        <v>10</v>
      </c>
      <c r="K505" s="5">
        <f t="shared" si="412"/>
        <v>10</v>
      </c>
      <c r="L505" s="2" t="str">
        <f t="shared" si="412"/>
        <v>Daily.Seed.trooper_champion_1.attack01</v>
      </c>
      <c r="M505" s="2" t="str">
        <f t="shared" si="412"/>
        <v/>
      </c>
      <c r="N505" s="2" t="str">
        <f t="shared" si="412"/>
        <v/>
      </c>
      <c r="O505" s="178" t="str">
        <f t="shared" si="412"/>
        <v>Daily.Seed.trooper_champion_1.skill01</v>
      </c>
      <c r="P505" s="14" t="str">
        <f t="shared" si="412"/>
        <v>Daily.Seed.trooper_champion_1.skill02</v>
      </c>
      <c r="Q505" s="14" t="str">
        <f t="shared" si="412"/>
        <v/>
      </c>
      <c r="R505" s="14" t="str">
        <f t="shared" si="412"/>
        <v/>
      </c>
      <c r="S505" s="14" t="str">
        <f t="shared" si="412"/>
        <v/>
      </c>
      <c r="T505" s="14" t="str">
        <f t="shared" si="412"/>
        <v/>
      </c>
      <c r="U505" s="14" t="str">
        <f t="shared" si="412"/>
        <v/>
      </c>
      <c r="V505" s="5" t="b">
        <f t="shared" si="412"/>
        <v>0</v>
      </c>
      <c r="W505" s="5" t="str">
        <f t="shared" si="412"/>
        <v>Character/Prefabs/m_m_attacker_heavy_trooper_guantlet_1</v>
      </c>
      <c r="X505" s="5" t="str">
        <f t="shared" si="412"/>
        <v/>
      </c>
      <c r="Y505" s="5" t="str">
        <f t="shared" si="412"/>
        <v>m_m_attacker_heavy_trooper_guantlet_1</v>
      </c>
      <c r="Z505" s="5" t="str">
        <f t="shared" si="412"/>
        <v/>
      </c>
      <c r="AA505" s="5" t="str">
        <f t="shared" si="412"/>
        <v/>
      </c>
      <c r="AB505" s="5" t="str">
        <f t="shared" si="412"/>
        <v/>
      </c>
      <c r="AC505" s="97">
        <f t="shared" si="412"/>
        <v>0.7</v>
      </c>
      <c r="AD505" s="5" t="str">
        <f t="shared" si="412"/>
        <v/>
      </c>
      <c r="AE505" s="5" t="str">
        <f t="shared" si="412"/>
        <v/>
      </c>
      <c r="AF505" s="5" t="str">
        <f t="shared" si="412"/>
        <v/>
      </c>
      <c r="AG505" s="173" t="s">
        <v>2764</v>
      </c>
    </row>
    <row r="506" spans="1:33" x14ac:dyDescent="0.3">
      <c r="A506" s="13">
        <f t="shared" si="386"/>
        <v>1510305004</v>
      </c>
      <c r="B506" s="13" t="str">
        <f t="shared" ref="B506:AF506" si="413">IF(B395 &lt;&gt; "", B395, "")</f>
        <v>Daily.Seed</v>
      </c>
      <c r="C506" s="5" t="str">
        <f t="shared" si="413"/>
        <v>헤비트루퍼실드</v>
      </c>
      <c r="D506" s="5" t="str">
        <f t="shared" si="413"/>
        <v>Monster.Name.heavy_trooper_shield_1</v>
      </c>
      <c r="E506" s="5" t="str">
        <f t="shared" si="413"/>
        <v>Tanker</v>
      </c>
      <c r="F506" s="17" t="str">
        <f t="shared" si="413"/>
        <v>Fac_nul_ind</v>
      </c>
      <c r="G506" s="5" t="str">
        <f t="shared" si="413"/>
        <v>TRUE</v>
      </c>
      <c r="H506" s="5" t="b">
        <f t="shared" si="413"/>
        <v>0</v>
      </c>
      <c r="I506" s="5" t="b">
        <f t="shared" si="413"/>
        <v>0</v>
      </c>
      <c r="J506" s="5">
        <f t="shared" si="413"/>
        <v>10</v>
      </c>
      <c r="K506" s="5">
        <f t="shared" si="413"/>
        <v>10</v>
      </c>
      <c r="L506" s="2" t="str">
        <f t="shared" si="413"/>
        <v>Daily.Seed.trooper_guard_1.attack01</v>
      </c>
      <c r="M506" s="2" t="str">
        <f t="shared" si="413"/>
        <v/>
      </c>
      <c r="N506" s="2" t="str">
        <f t="shared" si="413"/>
        <v/>
      </c>
      <c r="O506" s="178" t="str">
        <f t="shared" si="413"/>
        <v>Daily.Seed.trooper_guard_1.skill01</v>
      </c>
      <c r="P506" s="14" t="str">
        <f t="shared" si="413"/>
        <v/>
      </c>
      <c r="Q506" s="14" t="str">
        <f t="shared" si="413"/>
        <v/>
      </c>
      <c r="R506" s="14" t="str">
        <f t="shared" si="413"/>
        <v/>
      </c>
      <c r="S506" s="14" t="str">
        <f t="shared" si="413"/>
        <v/>
      </c>
      <c r="T506" s="14" t="str">
        <f t="shared" si="413"/>
        <v/>
      </c>
      <c r="U506" s="14" t="str">
        <f t="shared" si="413"/>
        <v/>
      </c>
      <c r="V506" s="5" t="b">
        <f t="shared" si="413"/>
        <v>0</v>
      </c>
      <c r="W506" s="5" t="str">
        <f t="shared" si="413"/>
        <v>Character/Prefabs/m_m_tanker_heavy_trooper_shield_1</v>
      </c>
      <c r="X506" s="5" t="str">
        <f t="shared" si="413"/>
        <v/>
      </c>
      <c r="Y506" s="5" t="str">
        <f t="shared" si="413"/>
        <v>m_m_tanker_heavy_trooper_shield_1</v>
      </c>
      <c r="Z506" s="5" t="str">
        <f t="shared" si="413"/>
        <v/>
      </c>
      <c r="AA506" s="5" t="str">
        <f t="shared" si="413"/>
        <v/>
      </c>
      <c r="AB506" s="5" t="str">
        <f t="shared" si="413"/>
        <v/>
      </c>
      <c r="AC506" s="97">
        <f t="shared" si="413"/>
        <v>0.8</v>
      </c>
      <c r="AD506" s="5" t="str">
        <f t="shared" si="413"/>
        <v/>
      </c>
      <c r="AE506" s="5" t="str">
        <f t="shared" si="413"/>
        <v/>
      </c>
      <c r="AF506" s="5" t="str">
        <f t="shared" si="413"/>
        <v/>
      </c>
      <c r="AG506" s="173" t="s">
        <v>2764</v>
      </c>
    </row>
    <row r="507" spans="1:33" x14ac:dyDescent="0.3">
      <c r="A507" s="45">
        <f t="shared" si="386"/>
        <v>1510305005</v>
      </c>
      <c r="B507" s="45" t="str">
        <f t="shared" ref="B507:AF507" si="414">IF(B396 &lt;&gt; "", B396, "")</f>
        <v>Daily.Seed</v>
      </c>
      <c r="C507" s="5" t="str">
        <f t="shared" si="414"/>
        <v>친절한엣지아이볼</v>
      </c>
      <c r="D507" s="5" t="str">
        <f t="shared" si="414"/>
        <v>Monster.Name.friendly_edge_eyeball_1</v>
      </c>
      <c r="E507" s="5" t="str">
        <f t="shared" si="414"/>
        <v>Attacker</v>
      </c>
      <c r="F507" s="17" t="str">
        <f t="shared" si="414"/>
        <v>Fac_nul_ind</v>
      </c>
      <c r="G507" s="5" t="str">
        <f t="shared" si="414"/>
        <v>TRUE</v>
      </c>
      <c r="H507" s="5" t="b">
        <f t="shared" si="414"/>
        <v>1</v>
      </c>
      <c r="I507" s="5" t="b">
        <f t="shared" si="414"/>
        <v>1</v>
      </c>
      <c r="J507" s="5">
        <f t="shared" si="414"/>
        <v>10</v>
      </c>
      <c r="K507" s="5">
        <f t="shared" si="414"/>
        <v>10</v>
      </c>
      <c r="L507" s="2" t="str">
        <f t="shared" si="414"/>
        <v>Daily.Seed.friendly_edge_eyeball_1.attack01</v>
      </c>
      <c r="M507" s="2" t="str">
        <f t="shared" si="414"/>
        <v/>
      </c>
      <c r="N507" s="2" t="str">
        <f t="shared" si="414"/>
        <v/>
      </c>
      <c r="O507" s="178" t="str">
        <f t="shared" si="414"/>
        <v>Daily.Seed.friendly_edge_eyeball_1.skill01</v>
      </c>
      <c r="P507" s="14" t="str">
        <f t="shared" si="414"/>
        <v>Daily.Seed.friendly_edge_eyeball_1.passive01</v>
      </c>
      <c r="Q507" s="14" t="str">
        <f t="shared" si="414"/>
        <v/>
      </c>
      <c r="R507" s="14" t="str">
        <f t="shared" si="414"/>
        <v/>
      </c>
      <c r="S507" s="14" t="str">
        <f t="shared" si="414"/>
        <v/>
      </c>
      <c r="T507" s="14" t="str">
        <f t="shared" si="414"/>
        <v/>
      </c>
      <c r="U507" s="14" t="str">
        <f t="shared" si="414"/>
        <v/>
      </c>
      <c r="V507" s="5" t="b">
        <f t="shared" si="414"/>
        <v>0</v>
      </c>
      <c r="W507" s="5" t="str">
        <f t="shared" si="414"/>
        <v>Character/Prefabs/m_m_attacker_friendly_edge_eyeball_1</v>
      </c>
      <c r="X507" s="5" t="str">
        <f t="shared" si="414"/>
        <v/>
      </c>
      <c r="Y507" s="5" t="str">
        <f t="shared" si="414"/>
        <v>m_m_attacker_friendly_edge_eyeball_1</v>
      </c>
      <c r="Z507" s="5" t="str">
        <f t="shared" si="414"/>
        <v/>
      </c>
      <c r="AA507" s="5" t="str">
        <f t="shared" si="414"/>
        <v/>
      </c>
      <c r="AB507" s="5" t="str">
        <f t="shared" si="414"/>
        <v/>
      </c>
      <c r="AC507" s="97">
        <f t="shared" si="414"/>
        <v>1.5</v>
      </c>
      <c r="AD507" s="5" t="str">
        <f t="shared" si="414"/>
        <v/>
      </c>
      <c r="AE507" s="5" t="str">
        <f t="shared" si="414"/>
        <v/>
      </c>
      <c r="AF507" s="5" t="str">
        <f t="shared" si="414"/>
        <v/>
      </c>
      <c r="AG507" s="173" t="s">
        <v>2764</v>
      </c>
    </row>
    <row r="508" spans="1:33" x14ac:dyDescent="0.3">
      <c r="A508" s="13">
        <f t="shared" si="386"/>
        <v>1510305006</v>
      </c>
      <c r="B508" s="13" t="str">
        <f t="shared" ref="B508:AF508" si="415">IF(B397 &lt;&gt; "", B397, "")</f>
        <v>Daily.Seed</v>
      </c>
      <c r="C508" s="5" t="str">
        <f t="shared" si="415"/>
        <v>친절한전기아이볼</v>
      </c>
      <c r="D508" s="5" t="str">
        <f t="shared" si="415"/>
        <v>Monster.Name.friendly_electric_eyeball_1</v>
      </c>
      <c r="E508" s="5" t="str">
        <f t="shared" si="415"/>
        <v>Ranger</v>
      </c>
      <c r="F508" s="17" t="str">
        <f t="shared" si="415"/>
        <v>Fac_nul_ind</v>
      </c>
      <c r="G508" s="5" t="str">
        <f t="shared" si="415"/>
        <v>TRUE</v>
      </c>
      <c r="H508" s="5" t="b">
        <f t="shared" si="415"/>
        <v>0</v>
      </c>
      <c r="I508" s="5" t="b">
        <f t="shared" si="415"/>
        <v>0</v>
      </c>
      <c r="J508" s="5">
        <f t="shared" si="415"/>
        <v>10</v>
      </c>
      <c r="K508" s="5">
        <f t="shared" si="415"/>
        <v>10</v>
      </c>
      <c r="L508" s="2" t="str">
        <f t="shared" si="415"/>
        <v>Daily.Seed.friendly_electric_eyeball_1.attack01</v>
      </c>
      <c r="M508" s="2" t="str">
        <f t="shared" si="415"/>
        <v/>
      </c>
      <c r="N508" s="2" t="str">
        <f t="shared" si="415"/>
        <v/>
      </c>
      <c r="O508" s="178" t="str">
        <f t="shared" si="415"/>
        <v>Daily.Seed.friendly_electric_eyeball_1.skill01</v>
      </c>
      <c r="P508" s="14" t="str">
        <f t="shared" si="415"/>
        <v/>
      </c>
      <c r="Q508" s="14" t="str">
        <f t="shared" si="415"/>
        <v/>
      </c>
      <c r="R508" s="14" t="str">
        <f t="shared" si="415"/>
        <v/>
      </c>
      <c r="S508" s="14" t="str">
        <f t="shared" si="415"/>
        <v/>
      </c>
      <c r="T508" s="14" t="str">
        <f t="shared" si="415"/>
        <v/>
      </c>
      <c r="U508" s="14" t="str">
        <f t="shared" si="415"/>
        <v/>
      </c>
      <c r="V508" s="5" t="b">
        <f t="shared" si="415"/>
        <v>0</v>
      </c>
      <c r="W508" s="5" t="str">
        <f t="shared" si="415"/>
        <v>Character/Prefabs/m_m_ranger_friendly_electric_eyeball_1</v>
      </c>
      <c r="X508" s="5" t="str">
        <f t="shared" si="415"/>
        <v/>
      </c>
      <c r="Y508" s="5" t="str">
        <f t="shared" si="415"/>
        <v>m_m_ranger_friendly_electric_eyeball_1</v>
      </c>
      <c r="Z508" s="5" t="str">
        <f t="shared" si="415"/>
        <v/>
      </c>
      <c r="AA508" s="5" t="str">
        <f t="shared" si="415"/>
        <v/>
      </c>
      <c r="AB508" s="5" t="str">
        <f t="shared" si="415"/>
        <v/>
      </c>
      <c r="AC508" s="97">
        <f t="shared" si="415"/>
        <v>0.9</v>
      </c>
      <c r="AD508" s="5" t="str">
        <f t="shared" si="415"/>
        <v/>
      </c>
      <c r="AE508" s="5" t="str">
        <f t="shared" si="415"/>
        <v/>
      </c>
      <c r="AF508" s="5" t="str">
        <f t="shared" si="415"/>
        <v/>
      </c>
      <c r="AG508" s="173" t="s">
        <v>2764</v>
      </c>
    </row>
    <row r="509" spans="1:33" x14ac:dyDescent="0.3">
      <c r="A509" s="13">
        <f t="shared" si="386"/>
        <v>1510305007</v>
      </c>
      <c r="B509" s="13" t="str">
        <f t="shared" ref="B509:AF509" si="416">IF(B398 &lt;&gt; "", B398, "")</f>
        <v>Daily.Seed</v>
      </c>
      <c r="C509" s="5" t="str">
        <f t="shared" si="416"/>
        <v>친절한건</v>
      </c>
      <c r="D509" s="5" t="str">
        <f t="shared" si="416"/>
        <v>Monster.Name.friendly_gun_1</v>
      </c>
      <c r="E509" s="5" t="str">
        <f t="shared" si="416"/>
        <v>Ranger</v>
      </c>
      <c r="F509" s="17" t="str">
        <f t="shared" si="416"/>
        <v>Fac_nul_ind</v>
      </c>
      <c r="G509" s="5" t="str">
        <f t="shared" si="416"/>
        <v>TRUE</v>
      </c>
      <c r="H509" s="5" t="b">
        <f t="shared" si="416"/>
        <v>0</v>
      </c>
      <c r="I509" s="5" t="b">
        <f t="shared" si="416"/>
        <v>0</v>
      </c>
      <c r="J509" s="5">
        <f t="shared" si="416"/>
        <v>10</v>
      </c>
      <c r="K509" s="5">
        <f t="shared" si="416"/>
        <v>10</v>
      </c>
      <c r="L509" s="2" t="str">
        <f t="shared" si="416"/>
        <v>Daily.Seed.friendly_gun_1.attack01</v>
      </c>
      <c r="M509" s="2" t="str">
        <f t="shared" si="416"/>
        <v/>
      </c>
      <c r="N509" s="2" t="str">
        <f t="shared" si="416"/>
        <v/>
      </c>
      <c r="O509" s="178" t="str">
        <f t="shared" si="416"/>
        <v>Daily.Seed.friendly_gun_1.skill01</v>
      </c>
      <c r="P509" s="14" t="str">
        <f t="shared" si="416"/>
        <v/>
      </c>
      <c r="Q509" s="14" t="str">
        <f t="shared" si="416"/>
        <v/>
      </c>
      <c r="R509" s="14" t="str">
        <f t="shared" si="416"/>
        <v/>
      </c>
      <c r="S509" s="14" t="str">
        <f t="shared" si="416"/>
        <v/>
      </c>
      <c r="T509" s="14" t="str">
        <f t="shared" si="416"/>
        <v/>
      </c>
      <c r="U509" s="14" t="str">
        <f t="shared" si="416"/>
        <v/>
      </c>
      <c r="V509" s="5" t="b">
        <f t="shared" si="416"/>
        <v>0</v>
      </c>
      <c r="W509" s="5" t="str">
        <f t="shared" si="416"/>
        <v>Character/Prefabs/m_m_ranger_friendly_gun_1</v>
      </c>
      <c r="X509" s="5" t="str">
        <f t="shared" si="416"/>
        <v/>
      </c>
      <c r="Y509" s="5" t="str">
        <f t="shared" si="416"/>
        <v>m_m_ranger_friendly_gun_1</v>
      </c>
      <c r="Z509" s="5" t="str">
        <f t="shared" si="416"/>
        <v/>
      </c>
      <c r="AA509" s="5" t="str">
        <f t="shared" si="416"/>
        <v/>
      </c>
      <c r="AB509" s="5" t="str">
        <f t="shared" si="416"/>
        <v/>
      </c>
      <c r="AC509" s="97">
        <f t="shared" si="416"/>
        <v>0.9</v>
      </c>
      <c r="AD509" s="5" t="str">
        <f t="shared" si="416"/>
        <v/>
      </c>
      <c r="AE509" s="5" t="str">
        <f t="shared" si="416"/>
        <v/>
      </c>
      <c r="AF509" s="5" t="str">
        <f t="shared" si="416"/>
        <v/>
      </c>
      <c r="AG509" s="173" t="s">
        <v>2764</v>
      </c>
    </row>
    <row r="510" spans="1:33" x14ac:dyDescent="0.3">
      <c r="A510" s="13">
        <f t="shared" si="386"/>
        <v>1510305008</v>
      </c>
      <c r="B510" s="13" t="str">
        <f t="shared" ref="B510:AF510" si="417">IF(B399 &lt;&gt; "", B399, "")</f>
        <v>Daily.Seed</v>
      </c>
      <c r="C510" s="5" t="str">
        <f t="shared" si="417"/>
        <v>친절한핀서</v>
      </c>
      <c r="D510" s="5" t="str">
        <f t="shared" si="417"/>
        <v>Monster.Name.friendly_pincers_1</v>
      </c>
      <c r="E510" s="5" t="str">
        <f t="shared" si="417"/>
        <v>Attacker</v>
      </c>
      <c r="F510" s="17" t="str">
        <f t="shared" si="417"/>
        <v>Fac_nul_ind</v>
      </c>
      <c r="G510" s="5" t="str">
        <f t="shared" si="417"/>
        <v>TRUE</v>
      </c>
      <c r="H510" s="5" t="b">
        <f t="shared" si="417"/>
        <v>0</v>
      </c>
      <c r="I510" s="5" t="b">
        <f t="shared" si="417"/>
        <v>0</v>
      </c>
      <c r="J510" s="5">
        <f t="shared" si="417"/>
        <v>10</v>
      </c>
      <c r="K510" s="5">
        <f t="shared" si="417"/>
        <v>10</v>
      </c>
      <c r="L510" s="2" t="str">
        <f t="shared" si="417"/>
        <v>Daily.Seed.friendly_pincers_1.attack01</v>
      </c>
      <c r="M510" s="2" t="str">
        <f t="shared" si="417"/>
        <v/>
      </c>
      <c r="N510" s="2" t="str">
        <f t="shared" si="417"/>
        <v/>
      </c>
      <c r="O510" s="178" t="str">
        <f t="shared" si="417"/>
        <v>Daily.Seed.friendly_pincers_1.skill01</v>
      </c>
      <c r="P510" s="14" t="str">
        <f t="shared" si="417"/>
        <v/>
      </c>
      <c r="Q510" s="14" t="str">
        <f t="shared" si="417"/>
        <v/>
      </c>
      <c r="R510" s="14" t="str">
        <f t="shared" si="417"/>
        <v/>
      </c>
      <c r="S510" s="14" t="str">
        <f t="shared" si="417"/>
        <v/>
      </c>
      <c r="T510" s="14" t="str">
        <f t="shared" si="417"/>
        <v/>
      </c>
      <c r="U510" s="14" t="str">
        <f t="shared" si="417"/>
        <v/>
      </c>
      <c r="V510" s="5" t="b">
        <f t="shared" si="417"/>
        <v>0</v>
      </c>
      <c r="W510" s="5" t="str">
        <f t="shared" si="417"/>
        <v>Character/Prefabs/m_l_attacker_friendly_pincers_1</v>
      </c>
      <c r="X510" s="5" t="str">
        <f t="shared" si="417"/>
        <v/>
      </c>
      <c r="Y510" s="5" t="str">
        <f t="shared" si="417"/>
        <v>m_l_attacker_friendly_pincers_1</v>
      </c>
      <c r="Z510" s="5" t="str">
        <f t="shared" si="417"/>
        <v/>
      </c>
      <c r="AA510" s="5" t="str">
        <f t="shared" si="417"/>
        <v/>
      </c>
      <c r="AB510" s="5" t="str">
        <f t="shared" si="417"/>
        <v/>
      </c>
      <c r="AC510" s="97">
        <f t="shared" si="417"/>
        <v>0.9</v>
      </c>
      <c r="AD510" s="5" t="str">
        <f t="shared" si="417"/>
        <v/>
      </c>
      <c r="AE510" s="5" t="str">
        <f t="shared" si="417"/>
        <v/>
      </c>
      <c r="AF510" s="5" t="str">
        <f t="shared" si="417"/>
        <v/>
      </c>
      <c r="AG510" s="173" t="s">
        <v>2764</v>
      </c>
    </row>
    <row r="511" spans="1:33" x14ac:dyDescent="0.3">
      <c r="A511" s="13">
        <f t="shared" si="386"/>
        <v>1510305009</v>
      </c>
      <c r="B511" s="13" t="str">
        <f t="shared" ref="B511:AF511" si="418">IF(B400 &lt;&gt; "", B400, "")</f>
        <v>Daily.Seed</v>
      </c>
      <c r="C511" s="5" t="str">
        <f t="shared" si="418"/>
        <v>친절한펀치</v>
      </c>
      <c r="D511" s="5" t="str">
        <f t="shared" si="418"/>
        <v>Monster.Name.friendly_punch_1</v>
      </c>
      <c r="E511" s="5" t="str">
        <f t="shared" si="418"/>
        <v>Tanker</v>
      </c>
      <c r="F511" s="17" t="str">
        <f t="shared" si="418"/>
        <v>Fac_nul_ind</v>
      </c>
      <c r="G511" s="5" t="str">
        <f t="shared" si="418"/>
        <v>TRUE</v>
      </c>
      <c r="H511" s="5" t="b">
        <f t="shared" si="418"/>
        <v>0</v>
      </c>
      <c r="I511" s="5" t="b">
        <f t="shared" si="418"/>
        <v>0</v>
      </c>
      <c r="J511" s="5">
        <f t="shared" si="418"/>
        <v>10</v>
      </c>
      <c r="K511" s="5">
        <f t="shared" si="418"/>
        <v>10</v>
      </c>
      <c r="L511" s="2" t="str">
        <f t="shared" si="418"/>
        <v>Daily.Seed.friendly_punch_1.attack01</v>
      </c>
      <c r="M511" s="2" t="str">
        <f t="shared" si="418"/>
        <v/>
      </c>
      <c r="N511" s="2" t="str">
        <f t="shared" si="418"/>
        <v/>
      </c>
      <c r="O511" s="178" t="str">
        <f t="shared" si="418"/>
        <v>Daily.Seed.friendly_punch_1.skill01</v>
      </c>
      <c r="P511" s="14" t="str">
        <f t="shared" si="418"/>
        <v>Daily.Seed.friendly_punch_1.skill02</v>
      </c>
      <c r="Q511" s="14" t="str">
        <f t="shared" si="418"/>
        <v/>
      </c>
      <c r="R511" s="14" t="str">
        <f t="shared" si="418"/>
        <v/>
      </c>
      <c r="S511" s="14" t="str">
        <f t="shared" si="418"/>
        <v/>
      </c>
      <c r="T511" s="14" t="str">
        <f t="shared" si="418"/>
        <v/>
      </c>
      <c r="U511" s="14" t="str">
        <f t="shared" si="418"/>
        <v/>
      </c>
      <c r="V511" s="5" t="b">
        <f t="shared" si="418"/>
        <v>0</v>
      </c>
      <c r="W511" s="5" t="str">
        <f t="shared" si="418"/>
        <v>Character/Prefabs/m_l_tanker_friendly_punch_1</v>
      </c>
      <c r="X511" s="5" t="str">
        <f t="shared" si="418"/>
        <v/>
      </c>
      <c r="Y511" s="5" t="str">
        <f t="shared" si="418"/>
        <v>m_l_tanker_friendly_punch_1</v>
      </c>
      <c r="Z511" s="5" t="str">
        <f t="shared" si="418"/>
        <v/>
      </c>
      <c r="AA511" s="5" t="str">
        <f t="shared" si="418"/>
        <v/>
      </c>
      <c r="AB511" s="5" t="str">
        <f t="shared" si="418"/>
        <v/>
      </c>
      <c r="AC511" s="97">
        <f t="shared" si="418"/>
        <v>0.6</v>
      </c>
      <c r="AD511" s="5" t="str">
        <f t="shared" si="418"/>
        <v/>
      </c>
      <c r="AE511" s="5" t="str">
        <f t="shared" si="418"/>
        <v/>
      </c>
      <c r="AF511" s="5" t="str">
        <f t="shared" si="418"/>
        <v/>
      </c>
      <c r="AG511" s="173" t="s">
        <v>2764</v>
      </c>
    </row>
    <row r="512" spans="1:33" x14ac:dyDescent="0.3">
      <c r="A512" s="45">
        <f t="shared" ref="A512:A543" si="419">A401+100000000</f>
        <v>1510305010</v>
      </c>
      <c r="B512" s="45" t="str">
        <f t="shared" ref="B512:AF512" si="420">IF(B401 &lt;&gt; "", B401, "")</f>
        <v>Daily.Seed</v>
      </c>
      <c r="C512" s="5" t="str">
        <f t="shared" si="420"/>
        <v>오염체플루터블롭런처</v>
      </c>
      <c r="D512" s="5" t="str">
        <f t="shared" si="420"/>
        <v>Monster.Name.polluter_bloblauncher_1</v>
      </c>
      <c r="E512" s="5" t="str">
        <f t="shared" si="420"/>
        <v>Ranger</v>
      </c>
      <c r="F512" s="17" t="str">
        <f t="shared" si="420"/>
        <v>Fac_nul_ind</v>
      </c>
      <c r="G512" s="5" t="str">
        <f t="shared" si="420"/>
        <v>TRUE</v>
      </c>
      <c r="H512" s="5" t="b">
        <f t="shared" si="420"/>
        <v>0</v>
      </c>
      <c r="I512" s="5" t="b">
        <f t="shared" si="420"/>
        <v>0</v>
      </c>
      <c r="J512" s="5">
        <f t="shared" si="420"/>
        <v>10</v>
      </c>
      <c r="K512" s="5">
        <f t="shared" si="420"/>
        <v>10</v>
      </c>
      <c r="L512" s="2" t="str">
        <f t="shared" si="420"/>
        <v>Daily.Seed.polluter_bloblauncher_1.attack01</v>
      </c>
      <c r="M512" s="2" t="str">
        <f t="shared" si="420"/>
        <v/>
      </c>
      <c r="N512" s="2" t="str">
        <f t="shared" si="420"/>
        <v/>
      </c>
      <c r="O512" s="178" t="str">
        <f t="shared" si="420"/>
        <v>Daily.Seed.polluter_bloblauncher_1.skill01</v>
      </c>
      <c r="P512" s="14" t="str">
        <f t="shared" si="420"/>
        <v/>
      </c>
      <c r="Q512" s="14" t="str">
        <f t="shared" si="420"/>
        <v/>
      </c>
      <c r="R512" s="14" t="str">
        <f t="shared" si="420"/>
        <v/>
      </c>
      <c r="S512" s="14" t="str">
        <f t="shared" si="420"/>
        <v/>
      </c>
      <c r="T512" s="14" t="str">
        <f t="shared" si="420"/>
        <v/>
      </c>
      <c r="U512" s="14" t="str">
        <f t="shared" si="420"/>
        <v/>
      </c>
      <c r="V512" s="5" t="b">
        <f t="shared" si="420"/>
        <v>0</v>
      </c>
      <c r="W512" s="5" t="str">
        <f t="shared" si="420"/>
        <v>Character/Prefabs/m_l_ranger_polluter_bloblauncher_1</v>
      </c>
      <c r="X512" s="5" t="str">
        <f t="shared" si="420"/>
        <v/>
      </c>
      <c r="Y512" s="5" t="str">
        <f t="shared" si="420"/>
        <v>m_l_ranger_polluter_bloblauncher_1</v>
      </c>
      <c r="Z512" s="5" t="str">
        <f t="shared" si="420"/>
        <v/>
      </c>
      <c r="AA512" s="5" t="str">
        <f t="shared" si="420"/>
        <v/>
      </c>
      <c r="AB512" s="5" t="str">
        <f t="shared" si="420"/>
        <v/>
      </c>
      <c r="AC512" s="97">
        <f t="shared" si="420"/>
        <v>1.1000000000000001</v>
      </c>
      <c r="AD512" s="5" t="str">
        <f t="shared" si="420"/>
        <v/>
      </c>
      <c r="AE512" s="5" t="str">
        <f t="shared" si="420"/>
        <v/>
      </c>
      <c r="AF512" s="5" t="str">
        <f t="shared" si="420"/>
        <v/>
      </c>
      <c r="AG512" s="173" t="s">
        <v>2764</v>
      </c>
    </row>
    <row r="513" spans="1:33" x14ac:dyDescent="0.3">
      <c r="A513" s="13">
        <f t="shared" si="419"/>
        <v>1510305011</v>
      </c>
      <c r="B513" s="13" t="str">
        <f t="shared" ref="B513:AF513" si="421">IF(B402 &lt;&gt; "", B402, "")</f>
        <v>Daily.Seed</v>
      </c>
      <c r="C513" s="5" t="str">
        <f t="shared" si="421"/>
        <v>오염체플루터리퀴드</v>
      </c>
      <c r="D513" s="5" t="str">
        <f t="shared" si="421"/>
        <v>Monster.Name.polluter_liquid_1</v>
      </c>
      <c r="E513" s="5" t="str">
        <f t="shared" si="421"/>
        <v>Ranger</v>
      </c>
      <c r="F513" s="17" t="str">
        <f t="shared" si="421"/>
        <v>Fac_nul_ind</v>
      </c>
      <c r="G513" s="5" t="str">
        <f t="shared" si="421"/>
        <v>TRUE</v>
      </c>
      <c r="H513" s="5" t="b">
        <f t="shared" si="421"/>
        <v>0</v>
      </c>
      <c r="I513" s="5" t="b">
        <f t="shared" si="421"/>
        <v>0</v>
      </c>
      <c r="J513" s="5">
        <f t="shared" si="421"/>
        <v>10</v>
      </c>
      <c r="K513" s="5">
        <f t="shared" si="421"/>
        <v>10</v>
      </c>
      <c r="L513" s="2" t="str">
        <f t="shared" si="421"/>
        <v>Daily.Seed.polluter_liquid_1.attack01</v>
      </c>
      <c r="M513" s="2" t="str">
        <f t="shared" si="421"/>
        <v/>
      </c>
      <c r="N513" s="2" t="str">
        <f t="shared" si="421"/>
        <v/>
      </c>
      <c r="O513" s="178" t="str">
        <f t="shared" si="421"/>
        <v>Daily.Seed.polluter_liquid_1.skill01</v>
      </c>
      <c r="P513" s="14" t="str">
        <f t="shared" si="421"/>
        <v/>
      </c>
      <c r="Q513" s="14" t="str">
        <f t="shared" si="421"/>
        <v/>
      </c>
      <c r="R513" s="14" t="str">
        <f t="shared" si="421"/>
        <v/>
      </c>
      <c r="S513" s="14" t="str">
        <f t="shared" si="421"/>
        <v/>
      </c>
      <c r="T513" s="14" t="str">
        <f t="shared" si="421"/>
        <v/>
      </c>
      <c r="U513" s="14" t="str">
        <f t="shared" si="421"/>
        <v/>
      </c>
      <c r="V513" s="5" t="b">
        <f t="shared" si="421"/>
        <v>0</v>
      </c>
      <c r="W513" s="5" t="str">
        <f t="shared" si="421"/>
        <v>Character/Prefabs/m_m_ranger_polluter_liquid_1</v>
      </c>
      <c r="X513" s="5" t="str">
        <f t="shared" si="421"/>
        <v/>
      </c>
      <c r="Y513" s="5" t="str">
        <f t="shared" si="421"/>
        <v>m_m_ranger_polluter_liquid_1</v>
      </c>
      <c r="Z513" s="5" t="str">
        <f t="shared" si="421"/>
        <v/>
      </c>
      <c r="AA513" s="5" t="str">
        <f t="shared" si="421"/>
        <v/>
      </c>
      <c r="AB513" s="5" t="str">
        <f t="shared" si="421"/>
        <v/>
      </c>
      <c r="AC513" s="97">
        <f t="shared" si="421"/>
        <v>0.6</v>
      </c>
      <c r="AD513" s="5" t="str">
        <f t="shared" si="421"/>
        <v/>
      </c>
      <c r="AE513" s="5" t="str">
        <f t="shared" si="421"/>
        <v/>
      </c>
      <c r="AF513" s="5" t="str">
        <f t="shared" si="421"/>
        <v/>
      </c>
      <c r="AG513" s="173" t="s">
        <v>2764</v>
      </c>
    </row>
    <row r="514" spans="1:33" x14ac:dyDescent="0.3">
      <c r="A514" s="13">
        <f t="shared" si="419"/>
        <v>1510305012</v>
      </c>
      <c r="B514" s="13" t="str">
        <f t="shared" ref="B514:AF514" si="422">IF(B403 &lt;&gt; "", B403, "")</f>
        <v>Daily.Seed</v>
      </c>
      <c r="C514" s="5" t="str">
        <f t="shared" si="422"/>
        <v>오염체플루터포그</v>
      </c>
      <c r="D514" s="5" t="str">
        <f t="shared" si="422"/>
        <v>Monster.Name.polluter_fog_1</v>
      </c>
      <c r="E514" s="5" t="str">
        <f t="shared" si="422"/>
        <v>Supporter</v>
      </c>
      <c r="F514" s="17" t="str">
        <f t="shared" si="422"/>
        <v>Fac_nul_ind</v>
      </c>
      <c r="G514" s="5" t="str">
        <f t="shared" si="422"/>
        <v>TRUE</v>
      </c>
      <c r="H514" s="5" t="b">
        <f t="shared" si="422"/>
        <v>0</v>
      </c>
      <c r="I514" s="5" t="b">
        <f t="shared" si="422"/>
        <v>0</v>
      </c>
      <c r="J514" s="5">
        <f t="shared" si="422"/>
        <v>10</v>
      </c>
      <c r="K514" s="5">
        <f t="shared" si="422"/>
        <v>10</v>
      </c>
      <c r="L514" s="2" t="str">
        <f t="shared" si="422"/>
        <v>Daily.Seed.polluter_fog_1.attack01</v>
      </c>
      <c r="M514" s="2" t="str">
        <f t="shared" si="422"/>
        <v/>
      </c>
      <c r="N514" s="2" t="str">
        <f t="shared" si="422"/>
        <v/>
      </c>
      <c r="O514" s="178" t="str">
        <f t="shared" si="422"/>
        <v>Daily.Seed.polluter_fog_1.skill01</v>
      </c>
      <c r="P514" s="14" t="str">
        <f t="shared" si="422"/>
        <v/>
      </c>
      <c r="Q514" s="14" t="str">
        <f t="shared" si="422"/>
        <v/>
      </c>
      <c r="R514" s="14" t="str">
        <f t="shared" si="422"/>
        <v/>
      </c>
      <c r="S514" s="14" t="str">
        <f t="shared" si="422"/>
        <v/>
      </c>
      <c r="T514" s="14" t="str">
        <f t="shared" si="422"/>
        <v/>
      </c>
      <c r="U514" s="14" t="str">
        <f t="shared" si="422"/>
        <v/>
      </c>
      <c r="V514" s="5" t="b">
        <f t="shared" si="422"/>
        <v>0</v>
      </c>
      <c r="W514" s="5" t="str">
        <f t="shared" si="422"/>
        <v>Character/Prefabs/m_m_supporter_polluter_fog_1</v>
      </c>
      <c r="X514" s="5" t="str">
        <f t="shared" si="422"/>
        <v/>
      </c>
      <c r="Y514" s="5" t="str">
        <f t="shared" si="422"/>
        <v>m_m_supporter_polluter_fog_1</v>
      </c>
      <c r="Z514" s="5" t="str">
        <f t="shared" si="422"/>
        <v/>
      </c>
      <c r="AA514" s="5" t="str">
        <f t="shared" si="422"/>
        <v/>
      </c>
      <c r="AB514" s="5" t="str">
        <f t="shared" si="422"/>
        <v/>
      </c>
      <c r="AC514" s="97">
        <f t="shared" si="422"/>
        <v>0.6</v>
      </c>
      <c r="AD514" s="5" t="str">
        <f t="shared" si="422"/>
        <v/>
      </c>
      <c r="AE514" s="5" t="str">
        <f t="shared" si="422"/>
        <v/>
      </c>
      <c r="AF514" s="5" t="str">
        <f t="shared" si="422"/>
        <v/>
      </c>
      <c r="AG514" s="173" t="s">
        <v>2764</v>
      </c>
    </row>
    <row r="515" spans="1:33" x14ac:dyDescent="0.3">
      <c r="A515" s="13">
        <f t="shared" si="419"/>
        <v>1510305013</v>
      </c>
      <c r="B515" s="13" t="str">
        <f t="shared" ref="B515:AF515" si="423">IF(B404 &lt;&gt; "", B404, "")</f>
        <v>Daily.Seed</v>
      </c>
      <c r="C515" s="5" t="str">
        <f t="shared" si="423"/>
        <v>오염체플루터스파이크</v>
      </c>
      <c r="D515" s="5" t="str">
        <f t="shared" si="423"/>
        <v>Monster.Name.polluter_spike_1</v>
      </c>
      <c r="E515" s="5" t="str">
        <f t="shared" si="423"/>
        <v>Attacker</v>
      </c>
      <c r="F515" s="17" t="str">
        <f t="shared" si="423"/>
        <v>Fac_nul_ind</v>
      </c>
      <c r="G515" s="5" t="str">
        <f t="shared" si="423"/>
        <v>TRUE</v>
      </c>
      <c r="H515" s="5" t="b">
        <f t="shared" si="423"/>
        <v>0</v>
      </c>
      <c r="I515" s="5" t="b">
        <f t="shared" si="423"/>
        <v>0</v>
      </c>
      <c r="J515" s="5">
        <f t="shared" si="423"/>
        <v>10</v>
      </c>
      <c r="K515" s="5">
        <f t="shared" si="423"/>
        <v>10</v>
      </c>
      <c r="L515" s="2" t="str">
        <f t="shared" si="423"/>
        <v>Daily.Seed.polluter_spike_1.attack01</v>
      </c>
      <c r="M515" s="2" t="str">
        <f t="shared" si="423"/>
        <v/>
      </c>
      <c r="N515" s="2" t="str">
        <f t="shared" si="423"/>
        <v/>
      </c>
      <c r="O515" s="178" t="str">
        <f t="shared" si="423"/>
        <v>Daily.Seed.polluter_spike_1.skill01</v>
      </c>
      <c r="P515" s="14" t="str">
        <f t="shared" si="423"/>
        <v>Daily.Seed.polluter_spike_1.skill02</v>
      </c>
      <c r="Q515" s="14" t="str">
        <f t="shared" si="423"/>
        <v>Daily.Seed.polluter_spike_1.skill03</v>
      </c>
      <c r="R515" s="14" t="str">
        <f t="shared" si="423"/>
        <v/>
      </c>
      <c r="S515" s="14" t="str">
        <f t="shared" si="423"/>
        <v/>
      </c>
      <c r="T515" s="14" t="str">
        <f t="shared" si="423"/>
        <v/>
      </c>
      <c r="U515" s="14" t="str">
        <f t="shared" si="423"/>
        <v/>
      </c>
      <c r="V515" s="5" t="b">
        <f t="shared" si="423"/>
        <v>0</v>
      </c>
      <c r="W515" s="5" t="str">
        <f t="shared" si="423"/>
        <v>Character/Prefabs/m_l_attacker_polluter_spike_1</v>
      </c>
      <c r="X515" s="5" t="str">
        <f t="shared" si="423"/>
        <v/>
      </c>
      <c r="Y515" s="5" t="str">
        <f t="shared" si="423"/>
        <v>m_l_attacker_polluter_spike_1</v>
      </c>
      <c r="Z515" s="5" t="str">
        <f t="shared" si="423"/>
        <v/>
      </c>
      <c r="AA515" s="5" t="str">
        <f t="shared" si="423"/>
        <v/>
      </c>
      <c r="AB515" s="5" t="str">
        <f t="shared" si="423"/>
        <v/>
      </c>
      <c r="AC515" s="97">
        <f t="shared" si="423"/>
        <v>0.5</v>
      </c>
      <c r="AD515" s="5" t="str">
        <f t="shared" si="423"/>
        <v/>
      </c>
      <c r="AE515" s="5" t="str">
        <f t="shared" si="423"/>
        <v/>
      </c>
      <c r="AF515" s="5" t="str">
        <f t="shared" si="423"/>
        <v/>
      </c>
      <c r="AG515" s="173" t="s">
        <v>2764</v>
      </c>
    </row>
    <row r="516" spans="1:33" x14ac:dyDescent="0.3">
      <c r="A516" s="13">
        <f t="shared" si="419"/>
        <v>1510305014</v>
      </c>
      <c r="B516" s="13" t="str">
        <f t="shared" ref="B516:AF516" si="424">IF(B405 &lt;&gt; "", B405, "")</f>
        <v>Daily.Seed</v>
      </c>
      <c r="C516" s="5" t="str">
        <f t="shared" si="424"/>
        <v>오염체플루터청크</v>
      </c>
      <c r="D516" s="5" t="str">
        <f t="shared" si="424"/>
        <v>Monster.Name.polluter_chunk_1</v>
      </c>
      <c r="E516" s="5" t="str">
        <f t="shared" si="424"/>
        <v>Attacker</v>
      </c>
      <c r="F516" s="17" t="str">
        <f t="shared" si="424"/>
        <v>Fac_nul_ind</v>
      </c>
      <c r="G516" s="5" t="str">
        <f t="shared" si="424"/>
        <v>TRUE</v>
      </c>
      <c r="H516" s="5" t="b">
        <f t="shared" si="424"/>
        <v>0</v>
      </c>
      <c r="I516" s="5" t="b">
        <f t="shared" si="424"/>
        <v>0</v>
      </c>
      <c r="J516" s="5">
        <f t="shared" si="424"/>
        <v>10</v>
      </c>
      <c r="K516" s="5">
        <f t="shared" si="424"/>
        <v>10</v>
      </c>
      <c r="L516" s="2" t="str">
        <f t="shared" si="424"/>
        <v>Daily.Seed.polluter_chunk_1.attack01</v>
      </c>
      <c r="M516" s="2" t="str">
        <f t="shared" si="424"/>
        <v/>
      </c>
      <c r="N516" s="2" t="str">
        <f t="shared" si="424"/>
        <v/>
      </c>
      <c r="O516" s="178" t="str">
        <f t="shared" si="424"/>
        <v>Daily.Seed.polluter_chunk_1.skill01</v>
      </c>
      <c r="P516" s="14" t="str">
        <f t="shared" si="424"/>
        <v/>
      </c>
      <c r="Q516" s="14" t="str">
        <f t="shared" si="424"/>
        <v/>
      </c>
      <c r="R516" s="14" t="str">
        <f t="shared" si="424"/>
        <v/>
      </c>
      <c r="S516" s="14" t="str">
        <f t="shared" si="424"/>
        <v/>
      </c>
      <c r="T516" s="14" t="str">
        <f t="shared" si="424"/>
        <v/>
      </c>
      <c r="U516" s="14" t="str">
        <f t="shared" si="424"/>
        <v/>
      </c>
      <c r="V516" s="5" t="b">
        <f t="shared" si="424"/>
        <v>0</v>
      </c>
      <c r="W516" s="5" t="str">
        <f t="shared" si="424"/>
        <v>Character/Prefabs/m_l_attacker_polluter_chunk_1</v>
      </c>
      <c r="X516" s="5" t="str">
        <f t="shared" si="424"/>
        <v/>
      </c>
      <c r="Y516" s="5" t="str">
        <f t="shared" si="424"/>
        <v>m_l_attacker_polluter_chunk_1</v>
      </c>
      <c r="Z516" s="5" t="str">
        <f t="shared" si="424"/>
        <v/>
      </c>
      <c r="AA516" s="5" t="str">
        <f t="shared" si="424"/>
        <v/>
      </c>
      <c r="AB516" s="5" t="str">
        <f t="shared" si="424"/>
        <v/>
      </c>
      <c r="AC516" s="97">
        <f t="shared" si="424"/>
        <v>0.7</v>
      </c>
      <c r="AD516" s="5" t="str">
        <f t="shared" si="424"/>
        <v/>
      </c>
      <c r="AE516" s="5" t="str">
        <f t="shared" si="424"/>
        <v/>
      </c>
      <c r="AF516" s="5" t="str">
        <f t="shared" si="424"/>
        <v/>
      </c>
      <c r="AG516" s="173" t="s">
        <v>2764</v>
      </c>
    </row>
    <row r="517" spans="1:33" x14ac:dyDescent="0.3">
      <c r="A517" s="14">
        <f t="shared" si="419"/>
        <v>1510401001</v>
      </c>
      <c r="B517" s="14" t="str">
        <f t="shared" ref="B517:AF517" si="425">IF(B406 &lt;&gt; "", B406, "")</f>
        <v>Rotation</v>
      </c>
      <c r="C517" s="14" t="str">
        <f t="shared" si="425"/>
        <v>큐브01_01</v>
      </c>
      <c r="D517" s="14" t="str">
        <f t="shared" si="425"/>
        <v>Monster.Name.RotationCube.Tier1</v>
      </c>
      <c r="E517" s="5" t="str">
        <f t="shared" si="425"/>
        <v>None</v>
      </c>
      <c r="F517" s="17" t="str">
        <f t="shared" si="425"/>
        <v>Fac_nul_ind</v>
      </c>
      <c r="G517" s="14" t="str">
        <f t="shared" si="425"/>
        <v>TRUE</v>
      </c>
      <c r="H517" s="14" t="str">
        <f t="shared" si="425"/>
        <v>TRUE</v>
      </c>
      <c r="I517" s="14" t="b">
        <f t="shared" si="425"/>
        <v>0</v>
      </c>
      <c r="J517" s="14">
        <f t="shared" si="425"/>
        <v>20</v>
      </c>
      <c r="K517" s="14">
        <f t="shared" si="425"/>
        <v>10</v>
      </c>
      <c r="L517" s="14" t="str">
        <f t="shared" si="425"/>
        <v/>
      </c>
      <c r="M517" s="14" t="str">
        <f t="shared" si="425"/>
        <v/>
      </c>
      <c r="N517" s="14" t="str">
        <f t="shared" si="425"/>
        <v/>
      </c>
      <c r="O517" s="17" t="str">
        <f t="shared" si="425"/>
        <v>Rotation.cube_tier01_01.skill01</v>
      </c>
      <c r="P517" s="14" t="str">
        <f t="shared" si="425"/>
        <v/>
      </c>
      <c r="Q517" s="14" t="str">
        <f t="shared" si="425"/>
        <v>Rotation.cube_tier01_01.Immun</v>
      </c>
      <c r="R517" s="14" t="str">
        <f t="shared" si="425"/>
        <v/>
      </c>
      <c r="S517" s="14" t="str">
        <f t="shared" si="425"/>
        <v/>
      </c>
      <c r="T517" s="14" t="str">
        <f t="shared" si="425"/>
        <v/>
      </c>
      <c r="U517" s="14" t="str">
        <f t="shared" si="425"/>
        <v/>
      </c>
      <c r="V517" s="14" t="b">
        <f t="shared" si="425"/>
        <v>0</v>
      </c>
      <c r="W517" s="14" t="str">
        <f t="shared" si="425"/>
        <v>Character/Prefabs/m_m_tanker_cube_tier01_01</v>
      </c>
      <c r="X517" s="14" t="str">
        <f t="shared" si="425"/>
        <v/>
      </c>
      <c r="Y517" s="14" t="str">
        <f t="shared" si="425"/>
        <v>m_m_tanker_cube_tier01_01</v>
      </c>
      <c r="Z517" s="14" t="str">
        <f t="shared" si="425"/>
        <v/>
      </c>
      <c r="AA517" s="14" t="str">
        <f t="shared" si="425"/>
        <v/>
      </c>
      <c r="AB517" s="14" t="str">
        <f t="shared" si="425"/>
        <v>Die_machine</v>
      </c>
      <c r="AC517" s="94">
        <f t="shared" si="425"/>
        <v>1</v>
      </c>
      <c r="AD517" s="14" t="str">
        <f t="shared" si="425"/>
        <v>Effect/Prefab/02.mob/cube_military_01/EFF_cube_military_01_hit_01</v>
      </c>
      <c r="AE517" s="14" t="str">
        <f t="shared" si="425"/>
        <v/>
      </c>
      <c r="AF517" s="14" t="str">
        <f t="shared" si="425"/>
        <v/>
      </c>
      <c r="AG517" s="173" t="s">
        <v>2764</v>
      </c>
    </row>
    <row r="518" spans="1:33" x14ac:dyDescent="0.3">
      <c r="A518" s="14">
        <f t="shared" si="419"/>
        <v>1510401002</v>
      </c>
      <c r="B518" s="14" t="str">
        <f t="shared" ref="B518:AF518" si="426">IF(B407 &lt;&gt; "", B407, "")</f>
        <v>Rotation</v>
      </c>
      <c r="C518" s="14" t="str">
        <f t="shared" si="426"/>
        <v>큐브01_02</v>
      </c>
      <c r="D518" s="14" t="str">
        <f t="shared" si="426"/>
        <v>Monster.Name.RotationCube.Tier1</v>
      </c>
      <c r="E518" s="5" t="str">
        <f t="shared" si="426"/>
        <v>None</v>
      </c>
      <c r="F518" s="17" t="str">
        <f t="shared" si="426"/>
        <v>Fac_nul_ind</v>
      </c>
      <c r="G518" s="14" t="str">
        <f t="shared" si="426"/>
        <v>TRUE</v>
      </c>
      <c r="H518" s="14" t="str">
        <f t="shared" si="426"/>
        <v>TRUE</v>
      </c>
      <c r="I518" s="14" t="b">
        <f t="shared" si="426"/>
        <v>0</v>
      </c>
      <c r="J518" s="14">
        <f t="shared" si="426"/>
        <v>20</v>
      </c>
      <c r="K518" s="14">
        <f t="shared" si="426"/>
        <v>10</v>
      </c>
      <c r="L518" s="14" t="str">
        <f t="shared" si="426"/>
        <v/>
      </c>
      <c r="M518" s="14" t="str">
        <f t="shared" si="426"/>
        <v/>
      </c>
      <c r="N518" s="14" t="str">
        <f t="shared" si="426"/>
        <v/>
      </c>
      <c r="O518" s="17" t="str">
        <f t="shared" si="426"/>
        <v>Rotation.cube_tier01_02.skill01</v>
      </c>
      <c r="P518" s="14" t="str">
        <f t="shared" si="426"/>
        <v/>
      </c>
      <c r="Q518" s="14" t="str">
        <f t="shared" si="426"/>
        <v>Rotation.cube_tier01_02.Immun</v>
      </c>
      <c r="R518" s="14" t="str">
        <f t="shared" si="426"/>
        <v/>
      </c>
      <c r="S518" s="14" t="str">
        <f t="shared" si="426"/>
        <v/>
      </c>
      <c r="T518" s="14" t="str">
        <f t="shared" si="426"/>
        <v/>
      </c>
      <c r="U518" s="14" t="str">
        <f t="shared" si="426"/>
        <v/>
      </c>
      <c r="V518" s="14" t="b">
        <f t="shared" si="426"/>
        <v>0</v>
      </c>
      <c r="W518" s="14" t="str">
        <f t="shared" si="426"/>
        <v>Character/Prefabs/m_m_tanker_cube_tier01_02</v>
      </c>
      <c r="X518" s="14" t="str">
        <f t="shared" si="426"/>
        <v/>
      </c>
      <c r="Y518" s="14" t="str">
        <f t="shared" si="426"/>
        <v>m_m_tanker_cube_tier01_02</v>
      </c>
      <c r="Z518" s="14" t="str">
        <f t="shared" si="426"/>
        <v/>
      </c>
      <c r="AA518" s="14" t="str">
        <f t="shared" si="426"/>
        <v/>
      </c>
      <c r="AB518" s="14" t="str">
        <f t="shared" si="426"/>
        <v>Die_machine</v>
      </c>
      <c r="AC518" s="94">
        <f t="shared" si="426"/>
        <v>1</v>
      </c>
      <c r="AD518" s="14" t="str">
        <f t="shared" si="426"/>
        <v>Effect/Prefab/02.mob/cube_military_01/EFF_cube_military_01_hit_01</v>
      </c>
      <c r="AE518" s="14" t="str">
        <f t="shared" si="426"/>
        <v/>
      </c>
      <c r="AF518" s="14" t="str">
        <f t="shared" si="426"/>
        <v/>
      </c>
      <c r="AG518" s="173" t="s">
        <v>2764</v>
      </c>
    </row>
    <row r="519" spans="1:33" x14ac:dyDescent="0.3">
      <c r="A519" s="14">
        <f t="shared" si="419"/>
        <v>1510401003</v>
      </c>
      <c r="B519" s="14" t="str">
        <f t="shared" ref="B519:AF519" si="427">IF(B408 &lt;&gt; "", B408, "")</f>
        <v>Rotation</v>
      </c>
      <c r="C519" s="14" t="str">
        <f t="shared" si="427"/>
        <v>큐브01_03</v>
      </c>
      <c r="D519" s="14" t="str">
        <f t="shared" si="427"/>
        <v>Monster.Name.RotationCube.Tier1</v>
      </c>
      <c r="E519" s="5" t="str">
        <f t="shared" si="427"/>
        <v>None</v>
      </c>
      <c r="F519" s="17" t="str">
        <f t="shared" si="427"/>
        <v>Fac_nul_ind</v>
      </c>
      <c r="G519" s="14" t="str">
        <f t="shared" si="427"/>
        <v>TRUE</v>
      </c>
      <c r="H519" s="14" t="str">
        <f t="shared" si="427"/>
        <v>TRUE</v>
      </c>
      <c r="I519" s="14" t="b">
        <f t="shared" si="427"/>
        <v>0</v>
      </c>
      <c r="J519" s="14">
        <f t="shared" si="427"/>
        <v>20</v>
      </c>
      <c r="K519" s="14">
        <f t="shared" si="427"/>
        <v>10</v>
      </c>
      <c r="L519" s="14" t="str">
        <f t="shared" si="427"/>
        <v/>
      </c>
      <c r="M519" s="14" t="str">
        <f t="shared" si="427"/>
        <v/>
      </c>
      <c r="N519" s="14" t="str">
        <f t="shared" si="427"/>
        <v/>
      </c>
      <c r="O519" s="17" t="str">
        <f t="shared" si="427"/>
        <v>Rotation.cube_tier01_03.skill01</v>
      </c>
      <c r="P519" s="14" t="str">
        <f t="shared" si="427"/>
        <v/>
      </c>
      <c r="Q519" s="14" t="str">
        <f t="shared" si="427"/>
        <v>Rotation.cube_tier01_03.Immun</v>
      </c>
      <c r="R519" s="14" t="str">
        <f t="shared" si="427"/>
        <v/>
      </c>
      <c r="S519" s="14" t="str">
        <f t="shared" si="427"/>
        <v/>
      </c>
      <c r="T519" s="14" t="str">
        <f t="shared" si="427"/>
        <v/>
      </c>
      <c r="U519" s="14" t="str">
        <f t="shared" si="427"/>
        <v/>
      </c>
      <c r="V519" s="14" t="b">
        <f t="shared" si="427"/>
        <v>0</v>
      </c>
      <c r="W519" s="14" t="str">
        <f t="shared" si="427"/>
        <v>Character/Prefabs/m_m_tanker_cube_tier01_03</v>
      </c>
      <c r="X519" s="14" t="str">
        <f t="shared" si="427"/>
        <v/>
      </c>
      <c r="Y519" s="14" t="str">
        <f t="shared" si="427"/>
        <v>m_m_tanker_cube_tier01_03</v>
      </c>
      <c r="Z519" s="14" t="str">
        <f t="shared" si="427"/>
        <v/>
      </c>
      <c r="AA519" s="14" t="str">
        <f t="shared" si="427"/>
        <v/>
      </c>
      <c r="AB519" s="14" t="str">
        <f t="shared" si="427"/>
        <v>Die_machine</v>
      </c>
      <c r="AC519" s="94">
        <f t="shared" si="427"/>
        <v>1</v>
      </c>
      <c r="AD519" s="14" t="str">
        <f t="shared" si="427"/>
        <v>Effect/Prefab/02.mob/cube_military_01/EFF_cube_military_01_hit_01</v>
      </c>
      <c r="AE519" s="14" t="str">
        <f t="shared" si="427"/>
        <v/>
      </c>
      <c r="AF519" s="14" t="str">
        <f t="shared" si="427"/>
        <v/>
      </c>
      <c r="AG519" s="173" t="s">
        <v>2764</v>
      </c>
    </row>
    <row r="520" spans="1:33" x14ac:dyDescent="0.3">
      <c r="A520" s="14">
        <f t="shared" si="419"/>
        <v>1510401004</v>
      </c>
      <c r="B520" s="14" t="str">
        <f t="shared" ref="B520:AF520" si="428">IF(B409 &lt;&gt; "", B409, "")</f>
        <v>Rotation</v>
      </c>
      <c r="C520" s="14" t="str">
        <f t="shared" si="428"/>
        <v>큐브01_04</v>
      </c>
      <c r="D520" s="14" t="str">
        <f t="shared" si="428"/>
        <v>Monster.Name.RotationCube.Tier1</v>
      </c>
      <c r="E520" s="5" t="str">
        <f t="shared" si="428"/>
        <v>None</v>
      </c>
      <c r="F520" s="17" t="str">
        <f t="shared" si="428"/>
        <v>Fac_nul_ind</v>
      </c>
      <c r="G520" s="14" t="str">
        <f t="shared" si="428"/>
        <v>TRUE</v>
      </c>
      <c r="H520" s="14" t="str">
        <f t="shared" si="428"/>
        <v>TRUE</v>
      </c>
      <c r="I520" s="14" t="b">
        <f t="shared" si="428"/>
        <v>0</v>
      </c>
      <c r="J520" s="14">
        <f t="shared" si="428"/>
        <v>20</v>
      </c>
      <c r="K520" s="14">
        <f t="shared" si="428"/>
        <v>10</v>
      </c>
      <c r="L520" s="14" t="str">
        <f t="shared" si="428"/>
        <v/>
      </c>
      <c r="M520" s="14" t="str">
        <f t="shared" si="428"/>
        <v/>
      </c>
      <c r="N520" s="14" t="str">
        <f t="shared" si="428"/>
        <v/>
      </c>
      <c r="O520" s="17" t="str">
        <f t="shared" si="428"/>
        <v>Rotation.cube_tier01_04.skill01</v>
      </c>
      <c r="P520" s="14" t="str">
        <f t="shared" si="428"/>
        <v/>
      </c>
      <c r="Q520" s="14" t="str">
        <f t="shared" si="428"/>
        <v>Rotation.cube_tier01_04.Immun</v>
      </c>
      <c r="R520" s="14" t="str">
        <f t="shared" si="428"/>
        <v/>
      </c>
      <c r="S520" s="14" t="str">
        <f t="shared" si="428"/>
        <v/>
      </c>
      <c r="T520" s="14" t="str">
        <f t="shared" si="428"/>
        <v/>
      </c>
      <c r="U520" s="14" t="str">
        <f t="shared" si="428"/>
        <v/>
      </c>
      <c r="V520" s="14" t="b">
        <f t="shared" si="428"/>
        <v>0</v>
      </c>
      <c r="W520" s="14" t="str">
        <f t="shared" si="428"/>
        <v>Character/Prefabs/m_m_tanker_cube_tier01_04</v>
      </c>
      <c r="X520" s="14" t="str">
        <f t="shared" si="428"/>
        <v/>
      </c>
      <c r="Y520" s="14" t="str">
        <f t="shared" si="428"/>
        <v>m_m_tanker_cube_tier01_04</v>
      </c>
      <c r="Z520" s="14" t="str">
        <f t="shared" si="428"/>
        <v/>
      </c>
      <c r="AA520" s="14" t="str">
        <f t="shared" si="428"/>
        <v/>
      </c>
      <c r="AB520" s="14" t="str">
        <f t="shared" si="428"/>
        <v>Die_machine</v>
      </c>
      <c r="AC520" s="94">
        <f t="shared" si="428"/>
        <v>1</v>
      </c>
      <c r="AD520" s="14" t="str">
        <f t="shared" si="428"/>
        <v>Effect/Prefab/02.mob/cube_military_01/EFF_cube_military_01_hit_01</v>
      </c>
      <c r="AE520" s="14" t="str">
        <f t="shared" si="428"/>
        <v/>
      </c>
      <c r="AF520" s="14" t="str">
        <f t="shared" si="428"/>
        <v/>
      </c>
      <c r="AG520" s="173" t="s">
        <v>2764</v>
      </c>
    </row>
    <row r="521" spans="1:33" x14ac:dyDescent="0.3">
      <c r="A521" s="14">
        <f t="shared" si="419"/>
        <v>1510401005</v>
      </c>
      <c r="B521" s="14" t="str">
        <f t="shared" ref="B521:AF521" si="429">IF(B410 &lt;&gt; "", B410, "")</f>
        <v>Rotation</v>
      </c>
      <c r="C521" s="14" t="str">
        <f t="shared" si="429"/>
        <v>큐브01_05</v>
      </c>
      <c r="D521" s="14" t="str">
        <f t="shared" si="429"/>
        <v>Monster.Name.RotationCube.Tier1</v>
      </c>
      <c r="E521" s="5" t="str">
        <f t="shared" si="429"/>
        <v>None</v>
      </c>
      <c r="F521" s="17" t="str">
        <f t="shared" si="429"/>
        <v>Fac_nul_ind</v>
      </c>
      <c r="G521" s="14" t="str">
        <f t="shared" si="429"/>
        <v>TRUE</v>
      </c>
      <c r="H521" s="14" t="str">
        <f t="shared" si="429"/>
        <v>TRUE</v>
      </c>
      <c r="I521" s="14" t="b">
        <f t="shared" si="429"/>
        <v>0</v>
      </c>
      <c r="J521" s="14">
        <f t="shared" si="429"/>
        <v>20</v>
      </c>
      <c r="K521" s="14">
        <f t="shared" si="429"/>
        <v>10</v>
      </c>
      <c r="L521" s="14" t="str">
        <f t="shared" si="429"/>
        <v/>
      </c>
      <c r="M521" s="14" t="str">
        <f t="shared" si="429"/>
        <v/>
      </c>
      <c r="N521" s="14" t="str">
        <f t="shared" si="429"/>
        <v/>
      </c>
      <c r="O521" s="17" t="str">
        <f t="shared" si="429"/>
        <v>Rotation.cube_tier01_05.skill01</v>
      </c>
      <c r="P521" s="14" t="str">
        <f t="shared" si="429"/>
        <v/>
      </c>
      <c r="Q521" s="14" t="str">
        <f t="shared" si="429"/>
        <v>Rotation.cube_tier01_05.Immun</v>
      </c>
      <c r="R521" s="14" t="str">
        <f t="shared" si="429"/>
        <v/>
      </c>
      <c r="S521" s="14" t="str">
        <f t="shared" si="429"/>
        <v/>
      </c>
      <c r="T521" s="14" t="str">
        <f t="shared" si="429"/>
        <v/>
      </c>
      <c r="U521" s="14" t="str">
        <f t="shared" si="429"/>
        <v/>
      </c>
      <c r="V521" s="14" t="b">
        <f t="shared" si="429"/>
        <v>0</v>
      </c>
      <c r="W521" s="14" t="str">
        <f t="shared" si="429"/>
        <v>Character/Prefabs/m_m_tanker_cube_tier01_05</v>
      </c>
      <c r="X521" s="14" t="str">
        <f t="shared" si="429"/>
        <v/>
      </c>
      <c r="Y521" s="14" t="str">
        <f t="shared" si="429"/>
        <v>m_m_tanker_cube_tier01_05</v>
      </c>
      <c r="Z521" s="14" t="str">
        <f t="shared" si="429"/>
        <v/>
      </c>
      <c r="AA521" s="14" t="str">
        <f t="shared" si="429"/>
        <v/>
      </c>
      <c r="AB521" s="14" t="str">
        <f t="shared" si="429"/>
        <v>Die_machine</v>
      </c>
      <c r="AC521" s="94">
        <f t="shared" si="429"/>
        <v>1</v>
      </c>
      <c r="AD521" s="14" t="str">
        <f t="shared" si="429"/>
        <v>Effect/Prefab/02.mob/cube_military_01/EFF_cube_military_01_hit_01</v>
      </c>
      <c r="AE521" s="14" t="str">
        <f t="shared" si="429"/>
        <v/>
      </c>
      <c r="AF521" s="14" t="str">
        <f t="shared" si="429"/>
        <v/>
      </c>
      <c r="AG521" s="173" t="s">
        <v>2764</v>
      </c>
    </row>
    <row r="522" spans="1:33" x14ac:dyDescent="0.3">
      <c r="A522" s="14">
        <f t="shared" si="419"/>
        <v>1510401006</v>
      </c>
      <c r="B522" s="14" t="str">
        <f t="shared" ref="B522:AF522" si="430">IF(B411 &lt;&gt; "", B411, "")</f>
        <v>Rotation</v>
      </c>
      <c r="C522" s="14" t="str">
        <f t="shared" si="430"/>
        <v>큐브02_01</v>
      </c>
      <c r="D522" s="14" t="str">
        <f t="shared" si="430"/>
        <v>Monster.Name.RotationCube.Tier2</v>
      </c>
      <c r="E522" s="5" t="str">
        <f t="shared" si="430"/>
        <v>None</v>
      </c>
      <c r="F522" s="17" t="str">
        <f t="shared" si="430"/>
        <v>Fac_nul_ind</v>
      </c>
      <c r="G522" s="14" t="str">
        <f t="shared" si="430"/>
        <v>TRUE</v>
      </c>
      <c r="H522" s="14" t="str">
        <f t="shared" si="430"/>
        <v>TRUE</v>
      </c>
      <c r="I522" s="14" t="b">
        <f t="shared" si="430"/>
        <v>0</v>
      </c>
      <c r="J522" s="14">
        <f t="shared" si="430"/>
        <v>20</v>
      </c>
      <c r="K522" s="14">
        <f t="shared" si="430"/>
        <v>10</v>
      </c>
      <c r="L522" s="14" t="str">
        <f t="shared" si="430"/>
        <v/>
      </c>
      <c r="M522" s="14" t="str">
        <f t="shared" si="430"/>
        <v/>
      </c>
      <c r="N522" s="14" t="str">
        <f t="shared" si="430"/>
        <v/>
      </c>
      <c r="O522" s="17" t="str">
        <f t="shared" si="430"/>
        <v>Rotation.cube_tier02_01.skill01</v>
      </c>
      <c r="P522" s="14" t="str">
        <f t="shared" si="430"/>
        <v/>
      </c>
      <c r="Q522" s="14" t="str">
        <f t="shared" si="430"/>
        <v>Rotation.cube_tier02_01.Immun</v>
      </c>
      <c r="R522" s="14" t="str">
        <f t="shared" si="430"/>
        <v/>
      </c>
      <c r="S522" s="14" t="str">
        <f t="shared" si="430"/>
        <v/>
      </c>
      <c r="T522" s="14" t="str">
        <f t="shared" si="430"/>
        <v/>
      </c>
      <c r="U522" s="14" t="str">
        <f t="shared" si="430"/>
        <v/>
      </c>
      <c r="V522" s="14" t="b">
        <f t="shared" si="430"/>
        <v>0</v>
      </c>
      <c r="W522" s="14" t="str">
        <f t="shared" si="430"/>
        <v>Character/Prefabs/m_m_tanker_cube_tier02_01</v>
      </c>
      <c r="X522" s="14" t="str">
        <f t="shared" si="430"/>
        <v/>
      </c>
      <c r="Y522" s="14" t="str">
        <f t="shared" si="430"/>
        <v>m_m_tanker_cube_tier02_01</v>
      </c>
      <c r="Z522" s="14" t="str">
        <f t="shared" si="430"/>
        <v/>
      </c>
      <c r="AA522" s="14" t="str">
        <f t="shared" si="430"/>
        <v/>
      </c>
      <c r="AB522" s="14" t="str">
        <f t="shared" si="430"/>
        <v>Die_machine</v>
      </c>
      <c r="AC522" s="94">
        <f t="shared" si="430"/>
        <v>1</v>
      </c>
      <c r="AD522" s="14" t="str">
        <f t="shared" si="430"/>
        <v>Effect/Prefab/02.mob/cube_military_01/EFF_cube_military_01_hit_01</v>
      </c>
      <c r="AE522" s="14" t="str">
        <f t="shared" si="430"/>
        <v/>
      </c>
      <c r="AF522" s="14" t="str">
        <f t="shared" si="430"/>
        <v/>
      </c>
      <c r="AG522" s="173" t="s">
        <v>2764</v>
      </c>
    </row>
    <row r="523" spans="1:33" x14ac:dyDescent="0.3">
      <c r="A523" s="14">
        <f t="shared" si="419"/>
        <v>1510401007</v>
      </c>
      <c r="B523" s="14" t="str">
        <f t="shared" ref="B523:AF523" si="431">IF(B412 &lt;&gt; "", B412, "")</f>
        <v>Rotation</v>
      </c>
      <c r="C523" s="14" t="str">
        <f t="shared" si="431"/>
        <v>큐브02_02</v>
      </c>
      <c r="D523" s="14" t="str">
        <f t="shared" si="431"/>
        <v>Monster.Name.RotationCube.Tier2</v>
      </c>
      <c r="E523" s="5" t="str">
        <f t="shared" si="431"/>
        <v>None</v>
      </c>
      <c r="F523" s="17" t="str">
        <f t="shared" si="431"/>
        <v>Fac_nul_ind</v>
      </c>
      <c r="G523" s="14" t="str">
        <f t="shared" si="431"/>
        <v>TRUE</v>
      </c>
      <c r="H523" s="14" t="str">
        <f t="shared" si="431"/>
        <v>TRUE</v>
      </c>
      <c r="I523" s="14" t="b">
        <f t="shared" si="431"/>
        <v>0</v>
      </c>
      <c r="J523" s="14">
        <f t="shared" si="431"/>
        <v>20</v>
      </c>
      <c r="K523" s="14">
        <f t="shared" si="431"/>
        <v>10</v>
      </c>
      <c r="L523" s="14" t="str">
        <f t="shared" si="431"/>
        <v/>
      </c>
      <c r="M523" s="14" t="str">
        <f t="shared" si="431"/>
        <v/>
      </c>
      <c r="N523" s="14" t="str">
        <f t="shared" si="431"/>
        <v/>
      </c>
      <c r="O523" s="17" t="str">
        <f t="shared" si="431"/>
        <v>Rotation.cube_tier02_02.skill01</v>
      </c>
      <c r="P523" s="14" t="str">
        <f t="shared" si="431"/>
        <v/>
      </c>
      <c r="Q523" s="14" t="str">
        <f t="shared" si="431"/>
        <v>Rotation.cube_tier02_02.Immun</v>
      </c>
      <c r="R523" s="14" t="str">
        <f t="shared" si="431"/>
        <v/>
      </c>
      <c r="S523" s="14" t="str">
        <f t="shared" si="431"/>
        <v/>
      </c>
      <c r="T523" s="14" t="str">
        <f t="shared" si="431"/>
        <v/>
      </c>
      <c r="U523" s="14" t="str">
        <f t="shared" si="431"/>
        <v/>
      </c>
      <c r="V523" s="14" t="b">
        <f t="shared" si="431"/>
        <v>0</v>
      </c>
      <c r="W523" s="14" t="str">
        <f t="shared" si="431"/>
        <v>Character/Prefabs/m_m_tanker_cube_tier02_02</v>
      </c>
      <c r="X523" s="14" t="str">
        <f t="shared" si="431"/>
        <v/>
      </c>
      <c r="Y523" s="14" t="str">
        <f t="shared" si="431"/>
        <v>m_m_tanker_cube_tier02_02</v>
      </c>
      <c r="Z523" s="14" t="str">
        <f t="shared" si="431"/>
        <v/>
      </c>
      <c r="AA523" s="14" t="str">
        <f t="shared" si="431"/>
        <v/>
      </c>
      <c r="AB523" s="14" t="str">
        <f t="shared" si="431"/>
        <v>Die_machine</v>
      </c>
      <c r="AC523" s="94">
        <f t="shared" si="431"/>
        <v>1</v>
      </c>
      <c r="AD523" s="14" t="str">
        <f t="shared" si="431"/>
        <v>Effect/Prefab/02.mob/cube_military_01/EFF_cube_military_01_hit_01</v>
      </c>
      <c r="AE523" s="14" t="str">
        <f t="shared" si="431"/>
        <v/>
      </c>
      <c r="AF523" s="14" t="str">
        <f t="shared" si="431"/>
        <v/>
      </c>
      <c r="AG523" s="173" t="s">
        <v>2764</v>
      </c>
    </row>
    <row r="524" spans="1:33" x14ac:dyDescent="0.3">
      <c r="A524" s="14">
        <f t="shared" si="419"/>
        <v>1510401008</v>
      </c>
      <c r="B524" s="14" t="str">
        <f t="shared" ref="B524:AF524" si="432">IF(B413 &lt;&gt; "", B413, "")</f>
        <v>Rotation</v>
      </c>
      <c r="C524" s="14" t="str">
        <f t="shared" si="432"/>
        <v>큐브02_03</v>
      </c>
      <c r="D524" s="14" t="str">
        <f t="shared" si="432"/>
        <v>Monster.Name.RotationCube.Tier2</v>
      </c>
      <c r="E524" s="5" t="str">
        <f t="shared" si="432"/>
        <v>None</v>
      </c>
      <c r="F524" s="17" t="str">
        <f t="shared" si="432"/>
        <v>Fac_nul_ind</v>
      </c>
      <c r="G524" s="14" t="str">
        <f t="shared" si="432"/>
        <v>TRUE</v>
      </c>
      <c r="H524" s="14" t="str">
        <f t="shared" si="432"/>
        <v>TRUE</v>
      </c>
      <c r="I524" s="14" t="b">
        <f t="shared" si="432"/>
        <v>0</v>
      </c>
      <c r="J524" s="14">
        <f t="shared" si="432"/>
        <v>20</v>
      </c>
      <c r="K524" s="14">
        <f t="shared" si="432"/>
        <v>10</v>
      </c>
      <c r="L524" s="14" t="str">
        <f t="shared" si="432"/>
        <v/>
      </c>
      <c r="M524" s="14" t="str">
        <f t="shared" si="432"/>
        <v/>
      </c>
      <c r="N524" s="14" t="str">
        <f t="shared" si="432"/>
        <v/>
      </c>
      <c r="O524" s="17" t="str">
        <f t="shared" si="432"/>
        <v>Rotation.cube_tier02_03.skill01</v>
      </c>
      <c r="P524" s="14" t="str">
        <f t="shared" si="432"/>
        <v/>
      </c>
      <c r="Q524" s="14" t="str">
        <f t="shared" si="432"/>
        <v>Rotation.cube_tier02_03.Immun</v>
      </c>
      <c r="R524" s="14" t="str">
        <f t="shared" si="432"/>
        <v/>
      </c>
      <c r="S524" s="14" t="str">
        <f t="shared" si="432"/>
        <v/>
      </c>
      <c r="T524" s="14" t="str">
        <f t="shared" si="432"/>
        <v/>
      </c>
      <c r="U524" s="14" t="str">
        <f t="shared" si="432"/>
        <v/>
      </c>
      <c r="V524" s="14" t="b">
        <f t="shared" si="432"/>
        <v>0</v>
      </c>
      <c r="W524" s="14" t="str">
        <f t="shared" si="432"/>
        <v>Character/Prefabs/m_m_tanker_cube_tier02_03</v>
      </c>
      <c r="X524" s="14" t="str">
        <f t="shared" si="432"/>
        <v/>
      </c>
      <c r="Y524" s="14" t="str">
        <f t="shared" si="432"/>
        <v>m_m_tanker_cube_tier02_03</v>
      </c>
      <c r="Z524" s="14" t="str">
        <f t="shared" si="432"/>
        <v/>
      </c>
      <c r="AA524" s="14" t="str">
        <f t="shared" si="432"/>
        <v/>
      </c>
      <c r="AB524" s="14" t="str">
        <f t="shared" si="432"/>
        <v>Die_machine</v>
      </c>
      <c r="AC524" s="94">
        <f t="shared" si="432"/>
        <v>1</v>
      </c>
      <c r="AD524" s="14" t="str">
        <f t="shared" si="432"/>
        <v>Effect/Prefab/02.mob/cube_military_01/EFF_cube_military_01_hit_01</v>
      </c>
      <c r="AE524" s="14" t="str">
        <f t="shared" si="432"/>
        <v/>
      </c>
      <c r="AF524" s="14" t="str">
        <f t="shared" si="432"/>
        <v/>
      </c>
      <c r="AG524" s="173" t="s">
        <v>2764</v>
      </c>
    </row>
    <row r="525" spans="1:33" x14ac:dyDescent="0.3">
      <c r="A525" s="14">
        <f t="shared" si="419"/>
        <v>1510401009</v>
      </c>
      <c r="B525" s="14" t="str">
        <f t="shared" ref="B525:AF525" si="433">IF(B414 &lt;&gt; "", B414, "")</f>
        <v>Rotation</v>
      </c>
      <c r="C525" s="14" t="str">
        <f t="shared" si="433"/>
        <v>큐브02_04</v>
      </c>
      <c r="D525" s="14" t="str">
        <f t="shared" si="433"/>
        <v>Monster.Name.RotationCube.Tier2</v>
      </c>
      <c r="E525" s="5" t="str">
        <f t="shared" si="433"/>
        <v>None</v>
      </c>
      <c r="F525" s="17" t="str">
        <f t="shared" si="433"/>
        <v>Fac_nul_ind</v>
      </c>
      <c r="G525" s="14" t="str">
        <f t="shared" si="433"/>
        <v>TRUE</v>
      </c>
      <c r="H525" s="14" t="str">
        <f t="shared" si="433"/>
        <v>TRUE</v>
      </c>
      <c r="I525" s="14" t="b">
        <f t="shared" si="433"/>
        <v>0</v>
      </c>
      <c r="J525" s="14">
        <f t="shared" si="433"/>
        <v>20</v>
      </c>
      <c r="K525" s="14">
        <f t="shared" si="433"/>
        <v>10</v>
      </c>
      <c r="L525" s="14" t="str">
        <f t="shared" si="433"/>
        <v/>
      </c>
      <c r="M525" s="14" t="str">
        <f t="shared" si="433"/>
        <v/>
      </c>
      <c r="N525" s="14" t="str">
        <f t="shared" si="433"/>
        <v/>
      </c>
      <c r="O525" s="17" t="str">
        <f t="shared" si="433"/>
        <v>Rotation.cube_tier02_04.skill01</v>
      </c>
      <c r="P525" s="14" t="str">
        <f t="shared" si="433"/>
        <v/>
      </c>
      <c r="Q525" s="14" t="str">
        <f t="shared" si="433"/>
        <v>Rotation.cube_tier02_04.Immun</v>
      </c>
      <c r="R525" s="14" t="str">
        <f t="shared" si="433"/>
        <v/>
      </c>
      <c r="S525" s="14" t="str">
        <f t="shared" si="433"/>
        <v/>
      </c>
      <c r="T525" s="14" t="str">
        <f t="shared" si="433"/>
        <v/>
      </c>
      <c r="U525" s="14" t="str">
        <f t="shared" si="433"/>
        <v/>
      </c>
      <c r="V525" s="14" t="b">
        <f t="shared" si="433"/>
        <v>0</v>
      </c>
      <c r="W525" s="14" t="str">
        <f t="shared" si="433"/>
        <v>Character/Prefabs/m_m_tanker_cube_tier02_04</v>
      </c>
      <c r="X525" s="14" t="str">
        <f t="shared" si="433"/>
        <v/>
      </c>
      <c r="Y525" s="14" t="str">
        <f t="shared" si="433"/>
        <v>m_m_tanker_cube_tier02_04</v>
      </c>
      <c r="Z525" s="14" t="str">
        <f t="shared" si="433"/>
        <v/>
      </c>
      <c r="AA525" s="14" t="str">
        <f t="shared" si="433"/>
        <v/>
      </c>
      <c r="AB525" s="14" t="str">
        <f t="shared" si="433"/>
        <v>Die_machine</v>
      </c>
      <c r="AC525" s="94">
        <f t="shared" si="433"/>
        <v>1</v>
      </c>
      <c r="AD525" s="14" t="str">
        <f t="shared" si="433"/>
        <v>Effect/Prefab/02.mob/cube_military_01/EFF_cube_military_01_hit_01</v>
      </c>
      <c r="AE525" s="14" t="str">
        <f t="shared" si="433"/>
        <v/>
      </c>
      <c r="AF525" s="14" t="str">
        <f t="shared" si="433"/>
        <v/>
      </c>
      <c r="AG525" s="173" t="s">
        <v>2764</v>
      </c>
    </row>
    <row r="526" spans="1:33" x14ac:dyDescent="0.3">
      <c r="A526" s="14">
        <f t="shared" si="419"/>
        <v>1510401010</v>
      </c>
      <c r="B526" s="14" t="str">
        <f t="shared" ref="B526:AF526" si="434">IF(B415 &lt;&gt; "", B415, "")</f>
        <v>Rotation</v>
      </c>
      <c r="C526" s="14" t="str">
        <f t="shared" si="434"/>
        <v>큐브02_05</v>
      </c>
      <c r="D526" s="14" t="str">
        <f t="shared" si="434"/>
        <v>Monster.Name.RotationCube.Tier2</v>
      </c>
      <c r="E526" s="5" t="str">
        <f t="shared" si="434"/>
        <v>None</v>
      </c>
      <c r="F526" s="17" t="str">
        <f t="shared" si="434"/>
        <v>Fac_nul_ind</v>
      </c>
      <c r="G526" s="14" t="str">
        <f t="shared" si="434"/>
        <v>TRUE</v>
      </c>
      <c r="H526" s="14" t="str">
        <f t="shared" si="434"/>
        <v>TRUE</v>
      </c>
      <c r="I526" s="14" t="b">
        <f t="shared" si="434"/>
        <v>0</v>
      </c>
      <c r="J526" s="14">
        <f t="shared" si="434"/>
        <v>20</v>
      </c>
      <c r="K526" s="14">
        <f t="shared" si="434"/>
        <v>10</v>
      </c>
      <c r="L526" s="14" t="str">
        <f t="shared" si="434"/>
        <v/>
      </c>
      <c r="M526" s="14" t="str">
        <f t="shared" si="434"/>
        <v/>
      </c>
      <c r="N526" s="14" t="str">
        <f t="shared" si="434"/>
        <v/>
      </c>
      <c r="O526" s="17" t="str">
        <f t="shared" si="434"/>
        <v>Rotation.cube_tier02_05.skill01</v>
      </c>
      <c r="P526" s="14" t="str">
        <f t="shared" si="434"/>
        <v/>
      </c>
      <c r="Q526" s="14" t="str">
        <f t="shared" si="434"/>
        <v>Rotation.cube_tier02_05.Immun</v>
      </c>
      <c r="R526" s="14" t="str">
        <f t="shared" si="434"/>
        <v/>
      </c>
      <c r="S526" s="14" t="str">
        <f t="shared" si="434"/>
        <v/>
      </c>
      <c r="T526" s="14" t="str">
        <f t="shared" si="434"/>
        <v/>
      </c>
      <c r="U526" s="14" t="str">
        <f t="shared" si="434"/>
        <v/>
      </c>
      <c r="V526" s="14" t="b">
        <f t="shared" si="434"/>
        <v>0</v>
      </c>
      <c r="W526" s="14" t="str">
        <f t="shared" si="434"/>
        <v>Character/Prefabs/m_m_tanker_cube_tier02_05</v>
      </c>
      <c r="X526" s="14" t="str">
        <f t="shared" si="434"/>
        <v/>
      </c>
      <c r="Y526" s="14" t="str">
        <f t="shared" si="434"/>
        <v>m_m_tanker_cube_tier02_05</v>
      </c>
      <c r="Z526" s="14" t="str">
        <f t="shared" si="434"/>
        <v/>
      </c>
      <c r="AA526" s="14" t="str">
        <f t="shared" si="434"/>
        <v/>
      </c>
      <c r="AB526" s="14" t="str">
        <f t="shared" si="434"/>
        <v>Die_machine</v>
      </c>
      <c r="AC526" s="94">
        <f t="shared" si="434"/>
        <v>1</v>
      </c>
      <c r="AD526" s="14" t="str">
        <f t="shared" si="434"/>
        <v>Effect/Prefab/02.mob/cube_military_01/EFF_cube_military_01_hit_01</v>
      </c>
      <c r="AE526" s="14" t="str">
        <f t="shared" si="434"/>
        <v/>
      </c>
      <c r="AF526" s="14" t="str">
        <f t="shared" si="434"/>
        <v/>
      </c>
      <c r="AG526" s="173" t="s">
        <v>2764</v>
      </c>
    </row>
    <row r="527" spans="1:33" x14ac:dyDescent="0.3">
      <c r="A527" s="14">
        <f t="shared" si="419"/>
        <v>1510401011</v>
      </c>
      <c r="B527" s="14" t="str">
        <f t="shared" ref="B527:AF527" si="435">IF(B416 &lt;&gt; "", B416, "")</f>
        <v>Rotation</v>
      </c>
      <c r="C527" s="14" t="str">
        <f t="shared" si="435"/>
        <v>큐브03_01</v>
      </c>
      <c r="D527" s="14" t="str">
        <f t="shared" si="435"/>
        <v>Monster.Name.RotationCube.Tier3</v>
      </c>
      <c r="E527" s="5" t="str">
        <f t="shared" si="435"/>
        <v>None</v>
      </c>
      <c r="F527" s="17" t="str">
        <f t="shared" si="435"/>
        <v>Fac_nul_ind</v>
      </c>
      <c r="G527" s="14" t="str">
        <f t="shared" si="435"/>
        <v>TRUE</v>
      </c>
      <c r="H527" s="14" t="str">
        <f t="shared" si="435"/>
        <v>TRUE</v>
      </c>
      <c r="I527" s="14" t="b">
        <f t="shared" si="435"/>
        <v>0</v>
      </c>
      <c r="J527" s="14">
        <f t="shared" si="435"/>
        <v>20</v>
      </c>
      <c r="K527" s="14">
        <f t="shared" si="435"/>
        <v>10</v>
      </c>
      <c r="L527" s="14" t="str">
        <f t="shared" si="435"/>
        <v/>
      </c>
      <c r="M527" s="14" t="str">
        <f t="shared" si="435"/>
        <v/>
      </c>
      <c r="N527" s="14" t="str">
        <f t="shared" si="435"/>
        <v/>
      </c>
      <c r="O527" s="17" t="str">
        <f t="shared" si="435"/>
        <v>Rotation.cube_tier03_01.skill01</v>
      </c>
      <c r="P527" s="14" t="str">
        <f t="shared" si="435"/>
        <v/>
      </c>
      <c r="Q527" s="14" t="str">
        <f t="shared" si="435"/>
        <v>Rotation.cube_tier03_01.Immun</v>
      </c>
      <c r="R527" s="14" t="str">
        <f t="shared" si="435"/>
        <v/>
      </c>
      <c r="S527" s="14" t="str">
        <f t="shared" si="435"/>
        <v/>
      </c>
      <c r="T527" s="14" t="str">
        <f t="shared" si="435"/>
        <v/>
      </c>
      <c r="U527" s="14" t="str">
        <f t="shared" si="435"/>
        <v/>
      </c>
      <c r="V527" s="14" t="b">
        <f t="shared" si="435"/>
        <v>0</v>
      </c>
      <c r="W527" s="14" t="str">
        <f t="shared" si="435"/>
        <v>Character/Prefabs/m_m_tanker_cube_tier03_01</v>
      </c>
      <c r="X527" s="14" t="str">
        <f t="shared" si="435"/>
        <v/>
      </c>
      <c r="Y527" s="14" t="str">
        <f t="shared" si="435"/>
        <v>m_m_tanker_cube_tier03_01</v>
      </c>
      <c r="Z527" s="14" t="str">
        <f t="shared" si="435"/>
        <v/>
      </c>
      <c r="AA527" s="14" t="str">
        <f t="shared" si="435"/>
        <v/>
      </c>
      <c r="AB527" s="14" t="str">
        <f t="shared" si="435"/>
        <v>Die_machine</v>
      </c>
      <c r="AC527" s="94">
        <f t="shared" si="435"/>
        <v>1</v>
      </c>
      <c r="AD527" s="14" t="str">
        <f t="shared" si="435"/>
        <v>Effect/Prefab/02.mob/cube_military_01/EFF_cube_military_01_hit_01</v>
      </c>
      <c r="AE527" s="14" t="str">
        <f t="shared" si="435"/>
        <v/>
      </c>
      <c r="AF527" s="14" t="str">
        <f t="shared" si="435"/>
        <v/>
      </c>
      <c r="AG527" s="173" t="s">
        <v>2764</v>
      </c>
    </row>
    <row r="528" spans="1:33" x14ac:dyDescent="0.3">
      <c r="A528" s="14">
        <f t="shared" si="419"/>
        <v>1510401012</v>
      </c>
      <c r="B528" s="14" t="str">
        <f t="shared" ref="B528:AF528" si="436">IF(B417 &lt;&gt; "", B417, "")</f>
        <v>Rotation</v>
      </c>
      <c r="C528" s="14" t="str">
        <f t="shared" si="436"/>
        <v>큐브03_02</v>
      </c>
      <c r="D528" s="14" t="str">
        <f t="shared" si="436"/>
        <v>Monster.Name.RotationCube.Tier3</v>
      </c>
      <c r="E528" s="5" t="str">
        <f t="shared" si="436"/>
        <v>None</v>
      </c>
      <c r="F528" s="17" t="str">
        <f t="shared" si="436"/>
        <v>Fac_nul_ind</v>
      </c>
      <c r="G528" s="14" t="str">
        <f t="shared" si="436"/>
        <v>TRUE</v>
      </c>
      <c r="H528" s="14" t="str">
        <f t="shared" si="436"/>
        <v>TRUE</v>
      </c>
      <c r="I528" s="14" t="b">
        <f t="shared" si="436"/>
        <v>0</v>
      </c>
      <c r="J528" s="14">
        <f t="shared" si="436"/>
        <v>20</v>
      </c>
      <c r="K528" s="14">
        <f t="shared" si="436"/>
        <v>10</v>
      </c>
      <c r="L528" s="14" t="str">
        <f t="shared" si="436"/>
        <v/>
      </c>
      <c r="M528" s="14" t="str">
        <f t="shared" si="436"/>
        <v/>
      </c>
      <c r="N528" s="14" t="str">
        <f t="shared" si="436"/>
        <v/>
      </c>
      <c r="O528" s="17" t="str">
        <f t="shared" si="436"/>
        <v>Rotation.cube_tier03_02.skill01</v>
      </c>
      <c r="P528" s="14" t="str">
        <f t="shared" si="436"/>
        <v/>
      </c>
      <c r="Q528" s="14" t="str">
        <f t="shared" si="436"/>
        <v>Rotation.cube_tier03_02.Immun</v>
      </c>
      <c r="R528" s="14" t="str">
        <f t="shared" si="436"/>
        <v/>
      </c>
      <c r="S528" s="14" t="str">
        <f t="shared" si="436"/>
        <v/>
      </c>
      <c r="T528" s="14" t="str">
        <f t="shared" si="436"/>
        <v/>
      </c>
      <c r="U528" s="14" t="str">
        <f t="shared" si="436"/>
        <v/>
      </c>
      <c r="V528" s="14" t="b">
        <f t="shared" si="436"/>
        <v>0</v>
      </c>
      <c r="W528" s="14" t="str">
        <f t="shared" si="436"/>
        <v>Character/Prefabs/m_m_tanker_cube_tier03_02</v>
      </c>
      <c r="X528" s="14" t="str">
        <f t="shared" si="436"/>
        <v/>
      </c>
      <c r="Y528" s="14" t="str">
        <f t="shared" si="436"/>
        <v>m_m_tanker_cube_tier03_02</v>
      </c>
      <c r="Z528" s="14" t="str">
        <f t="shared" si="436"/>
        <v/>
      </c>
      <c r="AA528" s="14" t="str">
        <f t="shared" si="436"/>
        <v/>
      </c>
      <c r="AB528" s="14" t="str">
        <f t="shared" si="436"/>
        <v>Die_machine</v>
      </c>
      <c r="AC528" s="94">
        <f t="shared" si="436"/>
        <v>1</v>
      </c>
      <c r="AD528" s="14" t="str">
        <f t="shared" si="436"/>
        <v>Effect/Prefab/02.mob/cube_military_01/EFF_cube_military_01_hit_01</v>
      </c>
      <c r="AE528" s="14" t="str">
        <f t="shared" si="436"/>
        <v/>
      </c>
      <c r="AF528" s="14" t="str">
        <f t="shared" si="436"/>
        <v/>
      </c>
      <c r="AG528" s="173" t="s">
        <v>2764</v>
      </c>
    </row>
    <row r="529" spans="1:33" x14ac:dyDescent="0.3">
      <c r="A529" s="14">
        <f t="shared" si="419"/>
        <v>1510401013</v>
      </c>
      <c r="B529" s="14" t="str">
        <f t="shared" ref="B529:AF529" si="437">IF(B418 &lt;&gt; "", B418, "")</f>
        <v>Rotation</v>
      </c>
      <c r="C529" s="14" t="str">
        <f t="shared" si="437"/>
        <v>큐브03_03</v>
      </c>
      <c r="D529" s="14" t="str">
        <f t="shared" si="437"/>
        <v>Monster.Name.RotationCube.Tier3</v>
      </c>
      <c r="E529" s="5" t="str">
        <f t="shared" si="437"/>
        <v>None</v>
      </c>
      <c r="F529" s="17" t="str">
        <f t="shared" si="437"/>
        <v>Fac_nul_ind</v>
      </c>
      <c r="G529" s="14" t="str">
        <f t="shared" si="437"/>
        <v>TRUE</v>
      </c>
      <c r="H529" s="14" t="str">
        <f t="shared" si="437"/>
        <v>TRUE</v>
      </c>
      <c r="I529" s="14" t="b">
        <f t="shared" si="437"/>
        <v>0</v>
      </c>
      <c r="J529" s="14">
        <f t="shared" si="437"/>
        <v>20</v>
      </c>
      <c r="K529" s="14">
        <f t="shared" si="437"/>
        <v>10</v>
      </c>
      <c r="L529" s="14" t="str">
        <f t="shared" si="437"/>
        <v/>
      </c>
      <c r="M529" s="14" t="str">
        <f t="shared" si="437"/>
        <v/>
      </c>
      <c r="N529" s="14" t="str">
        <f t="shared" si="437"/>
        <v/>
      </c>
      <c r="O529" s="17" t="str">
        <f t="shared" si="437"/>
        <v>Rotation.cube_tier03_03.skill01</v>
      </c>
      <c r="P529" s="14" t="str">
        <f t="shared" si="437"/>
        <v/>
      </c>
      <c r="Q529" s="14" t="str">
        <f t="shared" si="437"/>
        <v>Rotation.cube_tier03_03.Immun</v>
      </c>
      <c r="R529" s="14" t="str">
        <f t="shared" si="437"/>
        <v/>
      </c>
      <c r="S529" s="14" t="str">
        <f t="shared" si="437"/>
        <v/>
      </c>
      <c r="T529" s="14" t="str">
        <f t="shared" si="437"/>
        <v/>
      </c>
      <c r="U529" s="14" t="str">
        <f t="shared" si="437"/>
        <v/>
      </c>
      <c r="V529" s="14" t="b">
        <f t="shared" si="437"/>
        <v>0</v>
      </c>
      <c r="W529" s="14" t="str">
        <f t="shared" si="437"/>
        <v>Character/Prefabs/m_m_tanker_cube_tier03_03</v>
      </c>
      <c r="X529" s="14" t="str">
        <f t="shared" si="437"/>
        <v/>
      </c>
      <c r="Y529" s="14" t="str">
        <f t="shared" si="437"/>
        <v>m_m_tanker_cube_tier03_03</v>
      </c>
      <c r="Z529" s="14" t="str">
        <f t="shared" si="437"/>
        <v/>
      </c>
      <c r="AA529" s="14" t="str">
        <f t="shared" si="437"/>
        <v/>
      </c>
      <c r="AB529" s="14" t="str">
        <f t="shared" si="437"/>
        <v>Die_machine</v>
      </c>
      <c r="AC529" s="94">
        <f t="shared" si="437"/>
        <v>1</v>
      </c>
      <c r="AD529" s="14" t="str">
        <f t="shared" si="437"/>
        <v>Effect/Prefab/02.mob/cube_military_01/EFF_cube_military_01_hit_01</v>
      </c>
      <c r="AE529" s="14" t="str">
        <f t="shared" si="437"/>
        <v/>
      </c>
      <c r="AF529" s="14" t="str">
        <f t="shared" si="437"/>
        <v/>
      </c>
      <c r="AG529" s="173" t="s">
        <v>2764</v>
      </c>
    </row>
    <row r="530" spans="1:33" x14ac:dyDescent="0.3">
      <c r="A530" s="14">
        <f t="shared" si="419"/>
        <v>1510401014</v>
      </c>
      <c r="B530" s="14" t="str">
        <f t="shared" ref="B530:AF530" si="438">IF(B419 &lt;&gt; "", B419, "")</f>
        <v>Rotation</v>
      </c>
      <c r="C530" s="14" t="str">
        <f t="shared" si="438"/>
        <v>큐브03_04</v>
      </c>
      <c r="D530" s="14" t="str">
        <f t="shared" si="438"/>
        <v>Monster.Name.RotationCube.Tier3</v>
      </c>
      <c r="E530" s="5" t="str">
        <f t="shared" si="438"/>
        <v>None</v>
      </c>
      <c r="F530" s="17" t="str">
        <f t="shared" si="438"/>
        <v>Fac_nul_ind</v>
      </c>
      <c r="G530" s="14" t="str">
        <f t="shared" si="438"/>
        <v>TRUE</v>
      </c>
      <c r="H530" s="14" t="str">
        <f t="shared" si="438"/>
        <v>TRUE</v>
      </c>
      <c r="I530" s="14" t="b">
        <f t="shared" si="438"/>
        <v>0</v>
      </c>
      <c r="J530" s="14">
        <f t="shared" si="438"/>
        <v>20</v>
      </c>
      <c r="K530" s="14">
        <f t="shared" si="438"/>
        <v>10</v>
      </c>
      <c r="L530" s="14" t="str">
        <f t="shared" si="438"/>
        <v/>
      </c>
      <c r="M530" s="14" t="str">
        <f t="shared" si="438"/>
        <v/>
      </c>
      <c r="N530" s="14" t="str">
        <f t="shared" si="438"/>
        <v/>
      </c>
      <c r="O530" s="17" t="str">
        <f t="shared" si="438"/>
        <v>Rotation.cube_tier03_04.skill01</v>
      </c>
      <c r="P530" s="14" t="str">
        <f t="shared" si="438"/>
        <v/>
      </c>
      <c r="Q530" s="14" t="str">
        <f t="shared" si="438"/>
        <v>Rotation.cube_tier03_04.Immun</v>
      </c>
      <c r="R530" s="14" t="str">
        <f t="shared" si="438"/>
        <v/>
      </c>
      <c r="S530" s="14" t="str">
        <f t="shared" si="438"/>
        <v/>
      </c>
      <c r="T530" s="14" t="str">
        <f t="shared" si="438"/>
        <v/>
      </c>
      <c r="U530" s="14" t="str">
        <f t="shared" si="438"/>
        <v/>
      </c>
      <c r="V530" s="14" t="b">
        <f t="shared" si="438"/>
        <v>0</v>
      </c>
      <c r="W530" s="14" t="str">
        <f t="shared" si="438"/>
        <v>Character/Prefabs/m_m_tanker_cube_tier03_04</v>
      </c>
      <c r="X530" s="14" t="str">
        <f t="shared" si="438"/>
        <v/>
      </c>
      <c r="Y530" s="14" t="str">
        <f t="shared" si="438"/>
        <v>m_m_tanker_cube_tier03_04</v>
      </c>
      <c r="Z530" s="14" t="str">
        <f t="shared" si="438"/>
        <v/>
      </c>
      <c r="AA530" s="14" t="str">
        <f t="shared" si="438"/>
        <v/>
      </c>
      <c r="AB530" s="14" t="str">
        <f t="shared" si="438"/>
        <v>Die_machine</v>
      </c>
      <c r="AC530" s="94">
        <f t="shared" si="438"/>
        <v>1</v>
      </c>
      <c r="AD530" s="14" t="str">
        <f t="shared" si="438"/>
        <v>Effect/Prefab/02.mob/cube_military_01/EFF_cube_military_01_hit_01</v>
      </c>
      <c r="AE530" s="14" t="str">
        <f t="shared" si="438"/>
        <v/>
      </c>
      <c r="AF530" s="14" t="str">
        <f t="shared" si="438"/>
        <v/>
      </c>
      <c r="AG530" s="173" t="s">
        <v>2764</v>
      </c>
    </row>
    <row r="531" spans="1:33" x14ac:dyDescent="0.3">
      <c r="A531" s="14">
        <f t="shared" si="419"/>
        <v>1510401015</v>
      </c>
      <c r="B531" s="14" t="str">
        <f t="shared" ref="B531:AF531" si="439">IF(B420 &lt;&gt; "", B420, "")</f>
        <v>Rotation</v>
      </c>
      <c r="C531" s="14" t="str">
        <f t="shared" si="439"/>
        <v>큐브03_05</v>
      </c>
      <c r="D531" s="14" t="str">
        <f t="shared" si="439"/>
        <v>Monster.Name.RotationCube.Tier3</v>
      </c>
      <c r="E531" s="5" t="str">
        <f t="shared" si="439"/>
        <v>None</v>
      </c>
      <c r="F531" s="17" t="str">
        <f t="shared" si="439"/>
        <v>Fac_nul_ind</v>
      </c>
      <c r="G531" s="14" t="str">
        <f t="shared" si="439"/>
        <v>TRUE</v>
      </c>
      <c r="H531" s="14" t="str">
        <f t="shared" si="439"/>
        <v>TRUE</v>
      </c>
      <c r="I531" s="14" t="b">
        <f t="shared" si="439"/>
        <v>0</v>
      </c>
      <c r="J531" s="14">
        <f t="shared" si="439"/>
        <v>20</v>
      </c>
      <c r="K531" s="14">
        <f t="shared" si="439"/>
        <v>10</v>
      </c>
      <c r="L531" s="14" t="str">
        <f t="shared" si="439"/>
        <v/>
      </c>
      <c r="M531" s="14" t="str">
        <f t="shared" si="439"/>
        <v/>
      </c>
      <c r="N531" s="14" t="str">
        <f t="shared" si="439"/>
        <v/>
      </c>
      <c r="O531" s="17" t="str">
        <f t="shared" si="439"/>
        <v>Rotation.cube_tier03_05.skill01</v>
      </c>
      <c r="P531" s="14" t="str">
        <f t="shared" si="439"/>
        <v/>
      </c>
      <c r="Q531" s="14" t="str">
        <f t="shared" si="439"/>
        <v>Rotation.cube_tier03_05.Immun</v>
      </c>
      <c r="R531" s="14" t="str">
        <f t="shared" si="439"/>
        <v/>
      </c>
      <c r="S531" s="14" t="str">
        <f t="shared" si="439"/>
        <v/>
      </c>
      <c r="T531" s="14" t="str">
        <f t="shared" si="439"/>
        <v/>
      </c>
      <c r="U531" s="14" t="str">
        <f t="shared" si="439"/>
        <v/>
      </c>
      <c r="V531" s="14" t="b">
        <f t="shared" si="439"/>
        <v>0</v>
      </c>
      <c r="W531" s="14" t="str">
        <f t="shared" si="439"/>
        <v>Character/Prefabs/m_m_tanker_cube_tier03_05</v>
      </c>
      <c r="X531" s="14" t="str">
        <f t="shared" si="439"/>
        <v/>
      </c>
      <c r="Y531" s="14" t="str">
        <f t="shared" si="439"/>
        <v>m_m_tanker_cube_tier03_05</v>
      </c>
      <c r="Z531" s="14" t="str">
        <f t="shared" si="439"/>
        <v/>
      </c>
      <c r="AA531" s="14" t="str">
        <f t="shared" si="439"/>
        <v/>
      </c>
      <c r="AB531" s="14" t="str">
        <f t="shared" si="439"/>
        <v>Die_machine</v>
      </c>
      <c r="AC531" s="94">
        <f t="shared" si="439"/>
        <v>1</v>
      </c>
      <c r="AD531" s="14" t="str">
        <f t="shared" si="439"/>
        <v>Effect/Prefab/02.mob/cube_military_01/EFF_cube_military_01_hit_01</v>
      </c>
      <c r="AE531" s="14" t="str">
        <f t="shared" si="439"/>
        <v/>
      </c>
      <c r="AF531" s="14" t="str">
        <f t="shared" si="439"/>
        <v/>
      </c>
      <c r="AG531" s="173" t="s">
        <v>2764</v>
      </c>
    </row>
    <row r="532" spans="1:33" x14ac:dyDescent="0.3">
      <c r="A532" s="14">
        <f t="shared" si="419"/>
        <v>1510401016</v>
      </c>
      <c r="B532" s="14" t="str">
        <f t="shared" ref="B532:AF532" si="440">IF(B421 &lt;&gt; "", B421, "")</f>
        <v>Rotation</v>
      </c>
      <c r="C532" s="14" t="str">
        <f t="shared" si="440"/>
        <v>큐브04_01</v>
      </c>
      <c r="D532" s="14" t="str">
        <f t="shared" si="440"/>
        <v>Monster.Name.RotationCube.Tier4</v>
      </c>
      <c r="E532" s="5" t="str">
        <f t="shared" si="440"/>
        <v>None</v>
      </c>
      <c r="F532" s="17" t="str">
        <f t="shared" si="440"/>
        <v>Fac_nul_ind</v>
      </c>
      <c r="G532" s="14" t="str">
        <f t="shared" si="440"/>
        <v>TRUE</v>
      </c>
      <c r="H532" s="14" t="str">
        <f t="shared" si="440"/>
        <v>TRUE</v>
      </c>
      <c r="I532" s="14" t="b">
        <f t="shared" si="440"/>
        <v>0</v>
      </c>
      <c r="J532" s="14">
        <f t="shared" si="440"/>
        <v>20</v>
      </c>
      <c r="K532" s="14">
        <f t="shared" si="440"/>
        <v>10</v>
      </c>
      <c r="L532" s="14" t="str">
        <f t="shared" si="440"/>
        <v/>
      </c>
      <c r="M532" s="14" t="str">
        <f t="shared" si="440"/>
        <v/>
      </c>
      <c r="N532" s="14" t="str">
        <f t="shared" si="440"/>
        <v/>
      </c>
      <c r="O532" s="17" t="str">
        <f t="shared" si="440"/>
        <v>Rotation.cube_tier04_01.skill01</v>
      </c>
      <c r="P532" s="14" t="str">
        <f t="shared" si="440"/>
        <v/>
      </c>
      <c r="Q532" s="14" t="str">
        <f t="shared" si="440"/>
        <v>Rotation.cube_tier04_01.Immun</v>
      </c>
      <c r="R532" s="14" t="str">
        <f t="shared" si="440"/>
        <v/>
      </c>
      <c r="S532" s="14" t="str">
        <f t="shared" si="440"/>
        <v/>
      </c>
      <c r="T532" s="14" t="str">
        <f t="shared" si="440"/>
        <v/>
      </c>
      <c r="U532" s="14" t="str">
        <f t="shared" si="440"/>
        <v/>
      </c>
      <c r="V532" s="14" t="b">
        <f t="shared" si="440"/>
        <v>0</v>
      </c>
      <c r="W532" s="14" t="str">
        <f t="shared" si="440"/>
        <v>Character/Prefabs/m_m_tanker_cube_tier04_01</v>
      </c>
      <c r="X532" s="14" t="str">
        <f t="shared" si="440"/>
        <v/>
      </c>
      <c r="Y532" s="14" t="str">
        <f t="shared" si="440"/>
        <v>m_m_tanker_cube_tier04_01</v>
      </c>
      <c r="Z532" s="14" t="str">
        <f t="shared" si="440"/>
        <v/>
      </c>
      <c r="AA532" s="14" t="str">
        <f t="shared" si="440"/>
        <v/>
      </c>
      <c r="AB532" s="14" t="str">
        <f t="shared" si="440"/>
        <v>Die_machine</v>
      </c>
      <c r="AC532" s="94">
        <f t="shared" si="440"/>
        <v>1</v>
      </c>
      <c r="AD532" s="14" t="str">
        <f t="shared" si="440"/>
        <v>Effect/Prefab/02.mob/cube_military_01/EFF_cube_military_01_hit_01</v>
      </c>
      <c r="AE532" s="14" t="str">
        <f t="shared" si="440"/>
        <v/>
      </c>
      <c r="AF532" s="14" t="str">
        <f t="shared" si="440"/>
        <v/>
      </c>
      <c r="AG532" s="173" t="s">
        <v>2764</v>
      </c>
    </row>
    <row r="533" spans="1:33" x14ac:dyDescent="0.3">
      <c r="A533" s="14">
        <f t="shared" si="419"/>
        <v>1510401017</v>
      </c>
      <c r="B533" s="14" t="str">
        <f t="shared" ref="B533:AF533" si="441">IF(B422 &lt;&gt; "", B422, "")</f>
        <v>Rotation</v>
      </c>
      <c r="C533" s="14" t="str">
        <f t="shared" si="441"/>
        <v>큐브04_02</v>
      </c>
      <c r="D533" s="14" t="str">
        <f t="shared" si="441"/>
        <v>Monster.Name.RotationCube.Tier4</v>
      </c>
      <c r="E533" s="5" t="str">
        <f t="shared" si="441"/>
        <v>None</v>
      </c>
      <c r="F533" s="17" t="str">
        <f t="shared" si="441"/>
        <v>Fac_nul_ind</v>
      </c>
      <c r="G533" s="14" t="str">
        <f t="shared" si="441"/>
        <v>TRUE</v>
      </c>
      <c r="H533" s="14" t="str">
        <f t="shared" si="441"/>
        <v>TRUE</v>
      </c>
      <c r="I533" s="14" t="b">
        <f t="shared" si="441"/>
        <v>0</v>
      </c>
      <c r="J533" s="14">
        <f t="shared" si="441"/>
        <v>20</v>
      </c>
      <c r="K533" s="14">
        <f t="shared" si="441"/>
        <v>10</v>
      </c>
      <c r="L533" s="14" t="str">
        <f t="shared" si="441"/>
        <v/>
      </c>
      <c r="M533" s="14" t="str">
        <f t="shared" si="441"/>
        <v/>
      </c>
      <c r="N533" s="14" t="str">
        <f t="shared" si="441"/>
        <v/>
      </c>
      <c r="O533" s="17" t="str">
        <f t="shared" si="441"/>
        <v>Rotation.cube_tier04_02.skill01</v>
      </c>
      <c r="P533" s="14" t="str">
        <f t="shared" si="441"/>
        <v/>
      </c>
      <c r="Q533" s="14" t="str">
        <f t="shared" si="441"/>
        <v>Rotation.cube_tier04_02.Immun</v>
      </c>
      <c r="R533" s="14" t="str">
        <f t="shared" si="441"/>
        <v/>
      </c>
      <c r="S533" s="14" t="str">
        <f t="shared" si="441"/>
        <v/>
      </c>
      <c r="T533" s="14" t="str">
        <f t="shared" si="441"/>
        <v/>
      </c>
      <c r="U533" s="14" t="str">
        <f t="shared" si="441"/>
        <v/>
      </c>
      <c r="V533" s="14" t="b">
        <f t="shared" si="441"/>
        <v>0</v>
      </c>
      <c r="W533" s="14" t="str">
        <f t="shared" si="441"/>
        <v>Character/Prefabs/m_m_tanker_cube_tier04_02</v>
      </c>
      <c r="X533" s="14" t="str">
        <f t="shared" si="441"/>
        <v/>
      </c>
      <c r="Y533" s="14" t="str">
        <f t="shared" si="441"/>
        <v>m_m_tanker_cube_tier04_02</v>
      </c>
      <c r="Z533" s="14" t="str">
        <f t="shared" si="441"/>
        <v/>
      </c>
      <c r="AA533" s="14" t="str">
        <f t="shared" si="441"/>
        <v/>
      </c>
      <c r="AB533" s="14" t="str">
        <f t="shared" si="441"/>
        <v>Die_machine</v>
      </c>
      <c r="AC533" s="94">
        <f t="shared" si="441"/>
        <v>1</v>
      </c>
      <c r="AD533" s="14" t="str">
        <f t="shared" si="441"/>
        <v>Effect/Prefab/02.mob/cube_military_01/EFF_cube_military_01_hit_01</v>
      </c>
      <c r="AE533" s="14" t="str">
        <f t="shared" si="441"/>
        <v/>
      </c>
      <c r="AF533" s="14" t="str">
        <f t="shared" si="441"/>
        <v/>
      </c>
      <c r="AG533" s="173" t="s">
        <v>2764</v>
      </c>
    </row>
    <row r="534" spans="1:33" x14ac:dyDescent="0.3">
      <c r="A534" s="14">
        <f t="shared" si="419"/>
        <v>1510401018</v>
      </c>
      <c r="B534" s="14" t="str">
        <f t="shared" ref="B534:AF534" si="442">IF(B423 &lt;&gt; "", B423, "")</f>
        <v>Rotation</v>
      </c>
      <c r="C534" s="14" t="str">
        <f t="shared" si="442"/>
        <v>큐브04_03</v>
      </c>
      <c r="D534" s="14" t="str">
        <f t="shared" si="442"/>
        <v>Monster.Name.RotationCube.Tier4</v>
      </c>
      <c r="E534" s="5" t="str">
        <f t="shared" si="442"/>
        <v>None</v>
      </c>
      <c r="F534" s="17" t="str">
        <f t="shared" si="442"/>
        <v>Fac_nul_ind</v>
      </c>
      <c r="G534" s="14" t="str">
        <f t="shared" si="442"/>
        <v>TRUE</v>
      </c>
      <c r="H534" s="14" t="str">
        <f t="shared" si="442"/>
        <v>TRUE</v>
      </c>
      <c r="I534" s="14" t="b">
        <f t="shared" si="442"/>
        <v>0</v>
      </c>
      <c r="J534" s="14">
        <f t="shared" si="442"/>
        <v>20</v>
      </c>
      <c r="K534" s="14">
        <f t="shared" si="442"/>
        <v>10</v>
      </c>
      <c r="L534" s="14" t="str">
        <f t="shared" si="442"/>
        <v/>
      </c>
      <c r="M534" s="14" t="str">
        <f t="shared" si="442"/>
        <v/>
      </c>
      <c r="N534" s="14" t="str">
        <f t="shared" si="442"/>
        <v/>
      </c>
      <c r="O534" s="17" t="str">
        <f t="shared" si="442"/>
        <v>Rotation.cube_tier04_03.skill01</v>
      </c>
      <c r="P534" s="14" t="str">
        <f t="shared" si="442"/>
        <v/>
      </c>
      <c r="Q534" s="14" t="str">
        <f t="shared" si="442"/>
        <v>Rotation.cube_tier04_03.Immun</v>
      </c>
      <c r="R534" s="14" t="str">
        <f t="shared" si="442"/>
        <v/>
      </c>
      <c r="S534" s="14" t="str">
        <f t="shared" si="442"/>
        <v/>
      </c>
      <c r="T534" s="14" t="str">
        <f t="shared" si="442"/>
        <v/>
      </c>
      <c r="U534" s="14" t="str">
        <f t="shared" si="442"/>
        <v/>
      </c>
      <c r="V534" s="14" t="b">
        <f t="shared" si="442"/>
        <v>0</v>
      </c>
      <c r="W534" s="14" t="str">
        <f t="shared" si="442"/>
        <v>Character/Prefabs/m_m_tanker_cube_tier04_03</v>
      </c>
      <c r="X534" s="14" t="str">
        <f t="shared" si="442"/>
        <v/>
      </c>
      <c r="Y534" s="14" t="str">
        <f t="shared" si="442"/>
        <v>m_m_tanker_cube_tier04_03</v>
      </c>
      <c r="Z534" s="14" t="str">
        <f t="shared" si="442"/>
        <v/>
      </c>
      <c r="AA534" s="14" t="str">
        <f t="shared" si="442"/>
        <v/>
      </c>
      <c r="AB534" s="14" t="str">
        <f t="shared" si="442"/>
        <v>Die_machine</v>
      </c>
      <c r="AC534" s="94">
        <f t="shared" si="442"/>
        <v>1</v>
      </c>
      <c r="AD534" s="14" t="str">
        <f t="shared" si="442"/>
        <v>Effect/Prefab/02.mob/cube_military_01/EFF_cube_military_01_hit_01</v>
      </c>
      <c r="AE534" s="14" t="str">
        <f t="shared" si="442"/>
        <v/>
      </c>
      <c r="AF534" s="14" t="str">
        <f t="shared" si="442"/>
        <v/>
      </c>
      <c r="AG534" s="173" t="s">
        <v>2764</v>
      </c>
    </row>
    <row r="535" spans="1:33" x14ac:dyDescent="0.3">
      <c r="A535" s="14">
        <f t="shared" si="419"/>
        <v>1510401019</v>
      </c>
      <c r="B535" s="14" t="str">
        <f t="shared" ref="B535:AF535" si="443">IF(B424 &lt;&gt; "", B424, "")</f>
        <v>Rotation</v>
      </c>
      <c r="C535" s="14" t="str">
        <f t="shared" si="443"/>
        <v>큐브04_04</v>
      </c>
      <c r="D535" s="14" t="str">
        <f t="shared" si="443"/>
        <v>Monster.Name.RotationCube.Tier4</v>
      </c>
      <c r="E535" s="5" t="str">
        <f t="shared" si="443"/>
        <v>None</v>
      </c>
      <c r="F535" s="17" t="str">
        <f t="shared" si="443"/>
        <v>Fac_nul_ind</v>
      </c>
      <c r="G535" s="14" t="str">
        <f t="shared" si="443"/>
        <v>TRUE</v>
      </c>
      <c r="H535" s="14" t="str">
        <f t="shared" si="443"/>
        <v>TRUE</v>
      </c>
      <c r="I535" s="14" t="b">
        <f t="shared" si="443"/>
        <v>0</v>
      </c>
      <c r="J535" s="14">
        <f t="shared" si="443"/>
        <v>20</v>
      </c>
      <c r="K535" s="14">
        <f t="shared" si="443"/>
        <v>10</v>
      </c>
      <c r="L535" s="14" t="str">
        <f t="shared" si="443"/>
        <v/>
      </c>
      <c r="M535" s="14" t="str">
        <f t="shared" si="443"/>
        <v/>
      </c>
      <c r="N535" s="14" t="str">
        <f t="shared" si="443"/>
        <v/>
      </c>
      <c r="O535" s="17" t="str">
        <f t="shared" si="443"/>
        <v>Rotation.cube_tier04_04.skill01</v>
      </c>
      <c r="P535" s="14" t="str">
        <f t="shared" si="443"/>
        <v/>
      </c>
      <c r="Q535" s="14" t="str">
        <f t="shared" si="443"/>
        <v>Rotation.cube_tier04_04.Immun</v>
      </c>
      <c r="R535" s="14" t="str">
        <f t="shared" si="443"/>
        <v/>
      </c>
      <c r="S535" s="14" t="str">
        <f t="shared" si="443"/>
        <v/>
      </c>
      <c r="T535" s="14" t="str">
        <f t="shared" si="443"/>
        <v/>
      </c>
      <c r="U535" s="14" t="str">
        <f t="shared" si="443"/>
        <v/>
      </c>
      <c r="V535" s="14" t="b">
        <f t="shared" si="443"/>
        <v>0</v>
      </c>
      <c r="W535" s="14" t="str">
        <f t="shared" si="443"/>
        <v>Character/Prefabs/m_m_tanker_cube_tier04_04</v>
      </c>
      <c r="X535" s="14" t="str">
        <f t="shared" si="443"/>
        <v/>
      </c>
      <c r="Y535" s="14" t="str">
        <f t="shared" si="443"/>
        <v>m_m_tanker_cube_tier04_04</v>
      </c>
      <c r="Z535" s="14" t="str">
        <f t="shared" si="443"/>
        <v/>
      </c>
      <c r="AA535" s="14" t="str">
        <f t="shared" si="443"/>
        <v/>
      </c>
      <c r="AB535" s="14" t="str">
        <f t="shared" si="443"/>
        <v>Die_machine</v>
      </c>
      <c r="AC535" s="94">
        <f t="shared" si="443"/>
        <v>1</v>
      </c>
      <c r="AD535" s="14" t="str">
        <f t="shared" si="443"/>
        <v>Effect/Prefab/02.mob/cube_military_01/EFF_cube_military_01_hit_01</v>
      </c>
      <c r="AE535" s="14" t="str">
        <f t="shared" si="443"/>
        <v/>
      </c>
      <c r="AF535" s="14" t="str">
        <f t="shared" si="443"/>
        <v/>
      </c>
      <c r="AG535" s="173" t="s">
        <v>2764</v>
      </c>
    </row>
    <row r="536" spans="1:33" x14ac:dyDescent="0.3">
      <c r="A536" s="14">
        <f t="shared" si="419"/>
        <v>1510401020</v>
      </c>
      <c r="B536" s="14" t="str">
        <f t="shared" ref="B536:AF536" si="444">IF(B425 &lt;&gt; "", B425, "")</f>
        <v>Rotation</v>
      </c>
      <c r="C536" s="14" t="str">
        <f t="shared" si="444"/>
        <v>큐브04_05</v>
      </c>
      <c r="D536" s="14" t="str">
        <f t="shared" si="444"/>
        <v>Monster.Name.RotationCube.Tier4</v>
      </c>
      <c r="E536" s="5" t="str">
        <f t="shared" si="444"/>
        <v>None</v>
      </c>
      <c r="F536" s="17" t="str">
        <f t="shared" si="444"/>
        <v>Fac_nul_ind</v>
      </c>
      <c r="G536" s="14" t="str">
        <f t="shared" si="444"/>
        <v>TRUE</v>
      </c>
      <c r="H536" s="14" t="str">
        <f t="shared" si="444"/>
        <v>TRUE</v>
      </c>
      <c r="I536" s="14" t="b">
        <f t="shared" si="444"/>
        <v>0</v>
      </c>
      <c r="J536" s="14">
        <f t="shared" si="444"/>
        <v>20</v>
      </c>
      <c r="K536" s="14">
        <f t="shared" si="444"/>
        <v>10</v>
      </c>
      <c r="L536" s="14" t="str">
        <f t="shared" si="444"/>
        <v/>
      </c>
      <c r="M536" s="14" t="str">
        <f t="shared" si="444"/>
        <v/>
      </c>
      <c r="N536" s="14" t="str">
        <f t="shared" si="444"/>
        <v/>
      </c>
      <c r="O536" s="17" t="str">
        <f t="shared" si="444"/>
        <v>Rotation.cube_tier04_05.skill01</v>
      </c>
      <c r="P536" s="14" t="str">
        <f t="shared" si="444"/>
        <v/>
      </c>
      <c r="Q536" s="14" t="str">
        <f t="shared" si="444"/>
        <v>Rotation.cube_tier04_05.Immun</v>
      </c>
      <c r="R536" s="14" t="str">
        <f t="shared" si="444"/>
        <v/>
      </c>
      <c r="S536" s="14" t="str">
        <f t="shared" si="444"/>
        <v/>
      </c>
      <c r="T536" s="14" t="str">
        <f t="shared" si="444"/>
        <v/>
      </c>
      <c r="U536" s="14" t="str">
        <f t="shared" si="444"/>
        <v/>
      </c>
      <c r="V536" s="14" t="b">
        <f t="shared" si="444"/>
        <v>0</v>
      </c>
      <c r="W536" s="14" t="str">
        <f t="shared" si="444"/>
        <v>Character/Prefabs/m_m_tanker_cube_tier04_05</v>
      </c>
      <c r="X536" s="14" t="str">
        <f t="shared" si="444"/>
        <v/>
      </c>
      <c r="Y536" s="14" t="str">
        <f t="shared" si="444"/>
        <v>m_m_tanker_cube_tier04_05</v>
      </c>
      <c r="Z536" s="14" t="str">
        <f t="shared" si="444"/>
        <v/>
      </c>
      <c r="AA536" s="14" t="str">
        <f t="shared" si="444"/>
        <v/>
      </c>
      <c r="AB536" s="14" t="str">
        <f t="shared" si="444"/>
        <v>Die_machine</v>
      </c>
      <c r="AC536" s="94">
        <f t="shared" si="444"/>
        <v>1</v>
      </c>
      <c r="AD536" s="14" t="str">
        <f t="shared" si="444"/>
        <v>Effect/Prefab/02.mob/cube_military_01/EFF_cube_military_01_hit_01</v>
      </c>
      <c r="AE536" s="14" t="str">
        <f t="shared" si="444"/>
        <v/>
      </c>
      <c r="AF536" s="14" t="str">
        <f t="shared" si="444"/>
        <v/>
      </c>
      <c r="AG536" s="173" t="s">
        <v>2764</v>
      </c>
    </row>
    <row r="537" spans="1:33" x14ac:dyDescent="0.3">
      <c r="A537" s="14">
        <f t="shared" si="419"/>
        <v>1510401021</v>
      </c>
      <c r="B537" s="14" t="str">
        <f t="shared" ref="B537:AF537" si="445">IF(B426 &lt;&gt; "", B426, "")</f>
        <v>Rotation</v>
      </c>
      <c r="C537" s="14" t="str">
        <f t="shared" si="445"/>
        <v>큐브05_01</v>
      </c>
      <c r="D537" s="14" t="str">
        <f t="shared" si="445"/>
        <v>Monster.Name.RotationCube.Tier5</v>
      </c>
      <c r="E537" s="5" t="str">
        <f t="shared" si="445"/>
        <v>None</v>
      </c>
      <c r="F537" s="17" t="str">
        <f t="shared" si="445"/>
        <v>Fac_nul_ind</v>
      </c>
      <c r="G537" s="14" t="str">
        <f t="shared" si="445"/>
        <v>TRUE</v>
      </c>
      <c r="H537" s="14" t="str">
        <f t="shared" si="445"/>
        <v>TRUE</v>
      </c>
      <c r="I537" s="14" t="b">
        <f t="shared" si="445"/>
        <v>0</v>
      </c>
      <c r="J537" s="14">
        <f t="shared" si="445"/>
        <v>20</v>
      </c>
      <c r="K537" s="14">
        <f t="shared" si="445"/>
        <v>10</v>
      </c>
      <c r="L537" s="14" t="str">
        <f t="shared" si="445"/>
        <v/>
      </c>
      <c r="M537" s="14" t="str">
        <f t="shared" si="445"/>
        <v/>
      </c>
      <c r="N537" s="14" t="str">
        <f t="shared" si="445"/>
        <v/>
      </c>
      <c r="O537" s="17" t="str">
        <f t="shared" si="445"/>
        <v>Rotation.cube_tier05_01.skill01</v>
      </c>
      <c r="P537" s="14" t="str">
        <f t="shared" si="445"/>
        <v/>
      </c>
      <c r="Q537" s="14" t="str">
        <f t="shared" si="445"/>
        <v>Rotation.cube_tier05_01.Immun</v>
      </c>
      <c r="R537" s="14" t="str">
        <f t="shared" si="445"/>
        <v/>
      </c>
      <c r="S537" s="14" t="str">
        <f t="shared" si="445"/>
        <v/>
      </c>
      <c r="T537" s="14" t="str">
        <f t="shared" si="445"/>
        <v/>
      </c>
      <c r="U537" s="14" t="str">
        <f t="shared" si="445"/>
        <v/>
      </c>
      <c r="V537" s="14" t="b">
        <f t="shared" si="445"/>
        <v>0</v>
      </c>
      <c r="W537" s="14" t="str">
        <f t="shared" si="445"/>
        <v>Character/Prefabs/m_m_tanker_cube_tier05_01</v>
      </c>
      <c r="X537" s="14" t="str">
        <f t="shared" si="445"/>
        <v/>
      </c>
      <c r="Y537" s="14" t="str">
        <f t="shared" si="445"/>
        <v>m_m_tanker_cube_tier05_01</v>
      </c>
      <c r="Z537" s="14" t="str">
        <f t="shared" si="445"/>
        <v/>
      </c>
      <c r="AA537" s="14" t="str">
        <f t="shared" si="445"/>
        <v/>
      </c>
      <c r="AB537" s="14" t="str">
        <f t="shared" si="445"/>
        <v>Die_machine</v>
      </c>
      <c r="AC537" s="94">
        <f t="shared" si="445"/>
        <v>1</v>
      </c>
      <c r="AD537" s="14" t="str">
        <f t="shared" si="445"/>
        <v>Effect/Prefab/02.mob/cube_military_01/EFF_cube_military_01_hit_01</v>
      </c>
      <c r="AE537" s="14" t="str">
        <f t="shared" si="445"/>
        <v/>
      </c>
      <c r="AF537" s="14" t="str">
        <f t="shared" si="445"/>
        <v/>
      </c>
      <c r="AG537" s="173" t="s">
        <v>2764</v>
      </c>
    </row>
    <row r="538" spans="1:33" x14ac:dyDescent="0.3">
      <c r="A538" s="14">
        <f t="shared" si="419"/>
        <v>1510401022</v>
      </c>
      <c r="B538" s="14" t="str">
        <f t="shared" ref="B538:AF538" si="446">IF(B427 &lt;&gt; "", B427, "")</f>
        <v>Rotation</v>
      </c>
      <c r="C538" s="14" t="str">
        <f t="shared" si="446"/>
        <v>큐브05_02</v>
      </c>
      <c r="D538" s="14" t="str">
        <f t="shared" si="446"/>
        <v>Monster.Name.RotationCube.Tier5</v>
      </c>
      <c r="E538" s="5" t="str">
        <f t="shared" si="446"/>
        <v>None</v>
      </c>
      <c r="F538" s="17" t="str">
        <f t="shared" si="446"/>
        <v>Fac_nul_ind</v>
      </c>
      <c r="G538" s="14" t="str">
        <f t="shared" si="446"/>
        <v>TRUE</v>
      </c>
      <c r="H538" s="14" t="str">
        <f t="shared" si="446"/>
        <v>TRUE</v>
      </c>
      <c r="I538" s="14" t="b">
        <f t="shared" si="446"/>
        <v>0</v>
      </c>
      <c r="J538" s="14">
        <f t="shared" si="446"/>
        <v>20</v>
      </c>
      <c r="K538" s="14">
        <f t="shared" si="446"/>
        <v>10</v>
      </c>
      <c r="L538" s="14" t="str">
        <f t="shared" si="446"/>
        <v/>
      </c>
      <c r="M538" s="14" t="str">
        <f t="shared" si="446"/>
        <v/>
      </c>
      <c r="N538" s="14" t="str">
        <f t="shared" si="446"/>
        <v/>
      </c>
      <c r="O538" s="17" t="str">
        <f t="shared" si="446"/>
        <v>Rotation.cube_tier05_02.skill01</v>
      </c>
      <c r="P538" s="14" t="str">
        <f t="shared" si="446"/>
        <v/>
      </c>
      <c r="Q538" s="14" t="str">
        <f t="shared" si="446"/>
        <v>Rotation.cube_tier05_02.Immun</v>
      </c>
      <c r="R538" s="14" t="str">
        <f t="shared" si="446"/>
        <v/>
      </c>
      <c r="S538" s="14" t="str">
        <f t="shared" si="446"/>
        <v/>
      </c>
      <c r="T538" s="14" t="str">
        <f t="shared" si="446"/>
        <v/>
      </c>
      <c r="U538" s="14" t="str">
        <f t="shared" si="446"/>
        <v/>
      </c>
      <c r="V538" s="14" t="b">
        <f t="shared" si="446"/>
        <v>0</v>
      </c>
      <c r="W538" s="14" t="str">
        <f t="shared" si="446"/>
        <v>Character/Prefabs/m_m_tanker_cube_tier05_02</v>
      </c>
      <c r="X538" s="14" t="str">
        <f t="shared" si="446"/>
        <v/>
      </c>
      <c r="Y538" s="14" t="str">
        <f t="shared" si="446"/>
        <v>m_m_tanker_cube_tier05_02</v>
      </c>
      <c r="Z538" s="14" t="str">
        <f t="shared" si="446"/>
        <v/>
      </c>
      <c r="AA538" s="14" t="str">
        <f t="shared" si="446"/>
        <v/>
      </c>
      <c r="AB538" s="14" t="str">
        <f t="shared" si="446"/>
        <v>Die_machine</v>
      </c>
      <c r="AC538" s="94">
        <f t="shared" si="446"/>
        <v>1</v>
      </c>
      <c r="AD538" s="14" t="str">
        <f t="shared" si="446"/>
        <v>Effect/Prefab/02.mob/cube_military_01/EFF_cube_military_01_hit_01</v>
      </c>
      <c r="AE538" s="14" t="str">
        <f t="shared" si="446"/>
        <v/>
      </c>
      <c r="AF538" s="14" t="str">
        <f t="shared" si="446"/>
        <v/>
      </c>
      <c r="AG538" s="173" t="s">
        <v>2764</v>
      </c>
    </row>
    <row r="539" spans="1:33" x14ac:dyDescent="0.3">
      <c r="A539" s="14">
        <f t="shared" si="419"/>
        <v>1510401023</v>
      </c>
      <c r="B539" s="14" t="str">
        <f t="shared" ref="B539:AF539" si="447">IF(B428 &lt;&gt; "", B428, "")</f>
        <v>Rotation</v>
      </c>
      <c r="C539" s="14" t="str">
        <f t="shared" si="447"/>
        <v>큐브05_03</v>
      </c>
      <c r="D539" s="14" t="str">
        <f t="shared" si="447"/>
        <v>Monster.Name.RotationCube.Tier5</v>
      </c>
      <c r="E539" s="5" t="str">
        <f t="shared" si="447"/>
        <v>None</v>
      </c>
      <c r="F539" s="17" t="str">
        <f t="shared" si="447"/>
        <v>Fac_nul_ind</v>
      </c>
      <c r="G539" s="14" t="str">
        <f t="shared" si="447"/>
        <v>TRUE</v>
      </c>
      <c r="H539" s="14" t="str">
        <f t="shared" si="447"/>
        <v>TRUE</v>
      </c>
      <c r="I539" s="14" t="b">
        <f t="shared" si="447"/>
        <v>0</v>
      </c>
      <c r="J539" s="14">
        <f t="shared" si="447"/>
        <v>20</v>
      </c>
      <c r="K539" s="14">
        <f t="shared" si="447"/>
        <v>10</v>
      </c>
      <c r="L539" s="14" t="str">
        <f t="shared" si="447"/>
        <v/>
      </c>
      <c r="M539" s="14" t="str">
        <f t="shared" si="447"/>
        <v/>
      </c>
      <c r="N539" s="14" t="str">
        <f t="shared" si="447"/>
        <v/>
      </c>
      <c r="O539" s="17" t="str">
        <f t="shared" si="447"/>
        <v>Rotation.cube_tier05_03.skill01</v>
      </c>
      <c r="P539" s="14" t="str">
        <f t="shared" si="447"/>
        <v/>
      </c>
      <c r="Q539" s="14" t="str">
        <f t="shared" si="447"/>
        <v>Rotation.cube_tier05_03.Immun</v>
      </c>
      <c r="R539" s="14" t="str">
        <f t="shared" si="447"/>
        <v/>
      </c>
      <c r="S539" s="14" t="str">
        <f t="shared" si="447"/>
        <v/>
      </c>
      <c r="T539" s="14" t="str">
        <f t="shared" si="447"/>
        <v/>
      </c>
      <c r="U539" s="14" t="str">
        <f t="shared" si="447"/>
        <v/>
      </c>
      <c r="V539" s="14" t="b">
        <f t="shared" si="447"/>
        <v>0</v>
      </c>
      <c r="W539" s="14" t="str">
        <f t="shared" si="447"/>
        <v>Character/Prefabs/m_m_tanker_cube_tier05_03</v>
      </c>
      <c r="X539" s="14" t="str">
        <f t="shared" si="447"/>
        <v/>
      </c>
      <c r="Y539" s="14" t="str">
        <f t="shared" si="447"/>
        <v>m_m_tanker_cube_tier05_03</v>
      </c>
      <c r="Z539" s="14" t="str">
        <f t="shared" si="447"/>
        <v/>
      </c>
      <c r="AA539" s="14" t="str">
        <f t="shared" si="447"/>
        <v/>
      </c>
      <c r="AB539" s="14" t="str">
        <f t="shared" si="447"/>
        <v>Die_machine</v>
      </c>
      <c r="AC539" s="94">
        <f t="shared" si="447"/>
        <v>1</v>
      </c>
      <c r="AD539" s="14" t="str">
        <f t="shared" si="447"/>
        <v>Effect/Prefab/02.mob/cube_military_01/EFF_cube_military_01_hit_01</v>
      </c>
      <c r="AE539" s="14" t="str">
        <f t="shared" si="447"/>
        <v/>
      </c>
      <c r="AF539" s="14" t="str">
        <f t="shared" si="447"/>
        <v/>
      </c>
      <c r="AG539" s="173" t="s">
        <v>2764</v>
      </c>
    </row>
    <row r="540" spans="1:33" x14ac:dyDescent="0.3">
      <c r="A540" s="14">
        <f t="shared" si="419"/>
        <v>1510401024</v>
      </c>
      <c r="B540" s="14" t="str">
        <f t="shared" ref="B540:AF540" si="448">IF(B429 &lt;&gt; "", B429, "")</f>
        <v>Rotation</v>
      </c>
      <c r="C540" s="14" t="str">
        <f t="shared" si="448"/>
        <v>큐브05_04</v>
      </c>
      <c r="D540" s="14" t="str">
        <f t="shared" si="448"/>
        <v>Monster.Name.RotationCube.Tier5</v>
      </c>
      <c r="E540" s="5" t="str">
        <f t="shared" si="448"/>
        <v>None</v>
      </c>
      <c r="F540" s="17" t="str">
        <f t="shared" si="448"/>
        <v>Fac_nul_ind</v>
      </c>
      <c r="G540" s="14" t="str">
        <f t="shared" si="448"/>
        <v>TRUE</v>
      </c>
      <c r="H540" s="14" t="str">
        <f t="shared" si="448"/>
        <v>TRUE</v>
      </c>
      <c r="I540" s="14" t="b">
        <f t="shared" si="448"/>
        <v>0</v>
      </c>
      <c r="J540" s="14">
        <f t="shared" si="448"/>
        <v>20</v>
      </c>
      <c r="K540" s="14">
        <f t="shared" si="448"/>
        <v>10</v>
      </c>
      <c r="L540" s="14" t="str">
        <f t="shared" si="448"/>
        <v/>
      </c>
      <c r="M540" s="14" t="str">
        <f t="shared" si="448"/>
        <v/>
      </c>
      <c r="N540" s="14" t="str">
        <f t="shared" si="448"/>
        <v/>
      </c>
      <c r="O540" s="17" t="str">
        <f t="shared" si="448"/>
        <v>Rotation.cube_tier05_04.skill01</v>
      </c>
      <c r="P540" s="14" t="str">
        <f t="shared" si="448"/>
        <v/>
      </c>
      <c r="Q540" s="14" t="str">
        <f t="shared" si="448"/>
        <v>Rotation.cube_tier05_04.Immun</v>
      </c>
      <c r="R540" s="14" t="str">
        <f t="shared" si="448"/>
        <v/>
      </c>
      <c r="S540" s="14" t="str">
        <f t="shared" si="448"/>
        <v/>
      </c>
      <c r="T540" s="14" t="str">
        <f t="shared" si="448"/>
        <v/>
      </c>
      <c r="U540" s="14" t="str">
        <f t="shared" si="448"/>
        <v/>
      </c>
      <c r="V540" s="14" t="b">
        <f t="shared" si="448"/>
        <v>0</v>
      </c>
      <c r="W540" s="14" t="str">
        <f t="shared" si="448"/>
        <v>Character/Prefabs/m_m_tanker_cube_tier05_04</v>
      </c>
      <c r="X540" s="14" t="str">
        <f t="shared" si="448"/>
        <v/>
      </c>
      <c r="Y540" s="14" t="str">
        <f t="shared" si="448"/>
        <v>m_m_tanker_cube_tier05_04</v>
      </c>
      <c r="Z540" s="14" t="str">
        <f t="shared" si="448"/>
        <v/>
      </c>
      <c r="AA540" s="14" t="str">
        <f t="shared" si="448"/>
        <v/>
      </c>
      <c r="AB540" s="14" t="str">
        <f t="shared" si="448"/>
        <v>Die_machine</v>
      </c>
      <c r="AC540" s="94">
        <f t="shared" si="448"/>
        <v>1</v>
      </c>
      <c r="AD540" s="14" t="str">
        <f t="shared" si="448"/>
        <v>Effect/Prefab/02.mob/cube_military_01/EFF_cube_military_01_hit_01</v>
      </c>
      <c r="AE540" s="14" t="str">
        <f t="shared" si="448"/>
        <v/>
      </c>
      <c r="AF540" s="14" t="str">
        <f t="shared" si="448"/>
        <v/>
      </c>
      <c r="AG540" s="173" t="s">
        <v>2764</v>
      </c>
    </row>
    <row r="541" spans="1:33" x14ac:dyDescent="0.3">
      <c r="A541" s="14">
        <f t="shared" si="419"/>
        <v>1510401025</v>
      </c>
      <c r="B541" s="14" t="str">
        <f t="shared" ref="B541:AF541" si="449">IF(B430 &lt;&gt; "", B430, "")</f>
        <v>Rotation</v>
      </c>
      <c r="C541" s="14" t="str">
        <f t="shared" si="449"/>
        <v>큐브05_05</v>
      </c>
      <c r="D541" s="14" t="str">
        <f t="shared" si="449"/>
        <v>Monster.Name.RotationCube.Tier5</v>
      </c>
      <c r="E541" s="5" t="str">
        <f t="shared" si="449"/>
        <v>None</v>
      </c>
      <c r="F541" s="17" t="str">
        <f t="shared" si="449"/>
        <v>Fac_nul_ind</v>
      </c>
      <c r="G541" s="14" t="str">
        <f t="shared" si="449"/>
        <v>TRUE</v>
      </c>
      <c r="H541" s="14" t="str">
        <f t="shared" si="449"/>
        <v>TRUE</v>
      </c>
      <c r="I541" s="14" t="b">
        <f t="shared" si="449"/>
        <v>0</v>
      </c>
      <c r="J541" s="14">
        <f t="shared" si="449"/>
        <v>20</v>
      </c>
      <c r="K541" s="14">
        <f t="shared" si="449"/>
        <v>10</v>
      </c>
      <c r="L541" s="14" t="str">
        <f t="shared" si="449"/>
        <v/>
      </c>
      <c r="M541" s="14" t="str">
        <f t="shared" si="449"/>
        <v/>
      </c>
      <c r="N541" s="14" t="str">
        <f t="shared" si="449"/>
        <v/>
      </c>
      <c r="O541" s="17" t="str">
        <f t="shared" si="449"/>
        <v>Rotation.cube_tier05_05.skill01</v>
      </c>
      <c r="P541" s="14" t="str">
        <f t="shared" si="449"/>
        <v/>
      </c>
      <c r="Q541" s="14" t="str">
        <f t="shared" si="449"/>
        <v>Rotation.cube_tier05_05.Immun</v>
      </c>
      <c r="R541" s="14" t="str">
        <f t="shared" si="449"/>
        <v/>
      </c>
      <c r="S541" s="14" t="str">
        <f t="shared" si="449"/>
        <v/>
      </c>
      <c r="T541" s="14" t="str">
        <f t="shared" si="449"/>
        <v/>
      </c>
      <c r="U541" s="14" t="str">
        <f t="shared" si="449"/>
        <v/>
      </c>
      <c r="V541" s="14" t="b">
        <f t="shared" si="449"/>
        <v>0</v>
      </c>
      <c r="W541" s="14" t="str">
        <f t="shared" si="449"/>
        <v>Character/Prefabs/m_m_tanker_cube_tier05_05</v>
      </c>
      <c r="X541" s="14" t="str">
        <f t="shared" si="449"/>
        <v/>
      </c>
      <c r="Y541" s="14" t="str">
        <f t="shared" si="449"/>
        <v>m_m_tanker_cube_tier05_05</v>
      </c>
      <c r="Z541" s="14" t="str">
        <f t="shared" si="449"/>
        <v/>
      </c>
      <c r="AA541" s="14" t="str">
        <f t="shared" si="449"/>
        <v/>
      </c>
      <c r="AB541" s="14" t="str">
        <f t="shared" si="449"/>
        <v>Die_machine</v>
      </c>
      <c r="AC541" s="94">
        <f t="shared" si="449"/>
        <v>1</v>
      </c>
      <c r="AD541" s="14" t="str">
        <f t="shared" si="449"/>
        <v>Effect/Prefab/02.mob/cube_military_01/EFF_cube_military_01_hit_01</v>
      </c>
      <c r="AE541" s="14" t="str">
        <f t="shared" si="449"/>
        <v/>
      </c>
      <c r="AF541" s="14" t="str">
        <f t="shared" si="449"/>
        <v/>
      </c>
      <c r="AG541" s="173" t="s">
        <v>2764</v>
      </c>
    </row>
    <row r="542" spans="1:33" x14ac:dyDescent="0.3">
      <c r="A542" s="149">
        <f t="shared" si="419"/>
        <v>1510401101</v>
      </c>
      <c r="B542" s="149" t="str">
        <f t="shared" ref="B542:AF542" si="450">IF(B431 &lt;&gt; "", B431, "")</f>
        <v>이벤트보스</v>
      </c>
      <c r="C542" s="149" t="str">
        <f t="shared" si="450"/>
        <v>햄버거01</v>
      </c>
      <c r="D542" s="149" t="str">
        <f t="shared" si="450"/>
        <v>Monster.Name.trapburger_1</v>
      </c>
      <c r="E542" s="150" t="str">
        <f t="shared" si="450"/>
        <v>None</v>
      </c>
      <c r="F542" s="151" t="str">
        <f t="shared" si="450"/>
        <v>Fac_nul_ind</v>
      </c>
      <c r="G542" s="149" t="str">
        <f t="shared" si="450"/>
        <v>TRUE</v>
      </c>
      <c r="H542" s="149" t="str">
        <f t="shared" si="450"/>
        <v>TRUE</v>
      </c>
      <c r="I542" s="149" t="b">
        <f t="shared" si="450"/>
        <v>0</v>
      </c>
      <c r="J542" s="149">
        <f t="shared" si="450"/>
        <v>20</v>
      </c>
      <c r="K542" s="149">
        <f t="shared" si="450"/>
        <v>10</v>
      </c>
      <c r="L542" s="149" t="str">
        <f t="shared" si="450"/>
        <v/>
      </c>
      <c r="M542" s="149" t="str">
        <f t="shared" si="450"/>
        <v/>
      </c>
      <c r="N542" s="149" t="str">
        <f t="shared" si="450"/>
        <v/>
      </c>
      <c r="O542" s="151" t="str">
        <f t="shared" si="450"/>
        <v>Hamberger.skill01</v>
      </c>
      <c r="P542" s="149" t="str">
        <f t="shared" si="450"/>
        <v>Hamberger.passive</v>
      </c>
      <c r="Q542" s="149" t="str">
        <f t="shared" si="450"/>
        <v/>
      </c>
      <c r="R542" s="149" t="str">
        <f t="shared" si="450"/>
        <v/>
      </c>
      <c r="S542" s="149" t="str">
        <f t="shared" si="450"/>
        <v/>
      </c>
      <c r="T542" s="149" t="str">
        <f t="shared" si="450"/>
        <v/>
      </c>
      <c r="U542" s="149" t="str">
        <f t="shared" si="450"/>
        <v/>
      </c>
      <c r="V542" s="149" t="b">
        <f t="shared" si="450"/>
        <v>0</v>
      </c>
      <c r="W542" s="149" t="str">
        <f t="shared" si="450"/>
        <v>Character/Prefabs/m_m_tanker_trapburger_1</v>
      </c>
      <c r="X542" s="149" t="str">
        <f t="shared" si="450"/>
        <v/>
      </c>
      <c r="Y542" s="149" t="str">
        <f t="shared" si="450"/>
        <v>m_m_tanker_trapburger_1</v>
      </c>
      <c r="Z542" s="149" t="str">
        <f t="shared" si="450"/>
        <v/>
      </c>
      <c r="AA542" s="149" t="str">
        <f t="shared" si="450"/>
        <v/>
      </c>
      <c r="AB542" s="149" t="str">
        <f t="shared" si="450"/>
        <v>Die_machine</v>
      </c>
      <c r="AC542" s="152">
        <f t="shared" si="450"/>
        <v>1</v>
      </c>
      <c r="AD542" s="149" t="str">
        <f t="shared" si="450"/>
        <v/>
      </c>
      <c r="AE542" s="149" t="str">
        <f t="shared" si="450"/>
        <v/>
      </c>
      <c r="AF542" s="149" t="str">
        <f t="shared" si="450"/>
        <v/>
      </c>
      <c r="AG542" s="173" t="s">
        <v>2764</v>
      </c>
    </row>
    <row r="543" spans="1:33" x14ac:dyDescent="0.3">
      <c r="A543" s="149">
        <f t="shared" si="419"/>
        <v>1510401102</v>
      </c>
      <c r="B543" s="149" t="str">
        <f t="shared" ref="B543:AF543" si="451">IF(B432 &lt;&gt; "", B432, "")</f>
        <v>이벤트보스</v>
      </c>
      <c r="C543" s="149" t="str">
        <f t="shared" si="451"/>
        <v>햄버거02</v>
      </c>
      <c r="D543" s="149" t="str">
        <f t="shared" si="451"/>
        <v>Monster.Name.trapburger_2</v>
      </c>
      <c r="E543" s="150" t="str">
        <f t="shared" si="451"/>
        <v>None</v>
      </c>
      <c r="F543" s="151" t="str">
        <f t="shared" si="451"/>
        <v>Fac_nul_ind</v>
      </c>
      <c r="G543" s="149" t="str">
        <f t="shared" si="451"/>
        <v>TRUE</v>
      </c>
      <c r="H543" s="149" t="str">
        <f t="shared" si="451"/>
        <v>TRUE</v>
      </c>
      <c r="I543" s="149" t="b">
        <f t="shared" si="451"/>
        <v>0</v>
      </c>
      <c r="J543" s="149">
        <f t="shared" si="451"/>
        <v>20</v>
      </c>
      <c r="K543" s="149">
        <f t="shared" si="451"/>
        <v>10</v>
      </c>
      <c r="L543" s="149" t="str">
        <f t="shared" si="451"/>
        <v/>
      </c>
      <c r="M543" s="149" t="str">
        <f t="shared" si="451"/>
        <v/>
      </c>
      <c r="N543" s="149" t="str">
        <f t="shared" si="451"/>
        <v/>
      </c>
      <c r="O543" s="151" t="str">
        <f t="shared" si="451"/>
        <v>Hamberger.skill01</v>
      </c>
      <c r="P543" s="149" t="str">
        <f t="shared" si="451"/>
        <v>Hamberger.passive</v>
      </c>
      <c r="Q543" s="149" t="str">
        <f t="shared" si="451"/>
        <v/>
      </c>
      <c r="R543" s="149" t="str">
        <f t="shared" si="451"/>
        <v/>
      </c>
      <c r="S543" s="149" t="str">
        <f t="shared" si="451"/>
        <v/>
      </c>
      <c r="T543" s="149" t="str">
        <f t="shared" si="451"/>
        <v/>
      </c>
      <c r="U543" s="149" t="str">
        <f t="shared" si="451"/>
        <v/>
      </c>
      <c r="V543" s="149" t="b">
        <f t="shared" si="451"/>
        <v>0</v>
      </c>
      <c r="W543" s="149" t="str">
        <f t="shared" si="451"/>
        <v>Character/Prefabs/m_m_tanker_trapburger_2</v>
      </c>
      <c r="X543" s="149" t="str">
        <f t="shared" si="451"/>
        <v/>
      </c>
      <c r="Y543" s="149" t="str">
        <f t="shared" si="451"/>
        <v>m_m_tanker_trapburger_2</v>
      </c>
      <c r="Z543" s="149" t="str">
        <f t="shared" si="451"/>
        <v/>
      </c>
      <c r="AA543" s="149" t="str">
        <f t="shared" si="451"/>
        <v/>
      </c>
      <c r="AB543" s="149" t="str">
        <f t="shared" si="451"/>
        <v>Die_machine</v>
      </c>
      <c r="AC543" s="152">
        <f t="shared" si="451"/>
        <v>1</v>
      </c>
      <c r="AD543" s="149" t="str">
        <f t="shared" si="451"/>
        <v/>
      </c>
      <c r="AE543" s="149" t="str">
        <f t="shared" si="451"/>
        <v/>
      </c>
      <c r="AF543" s="149" t="str">
        <f t="shared" si="451"/>
        <v/>
      </c>
      <c r="AG543" s="173" t="s">
        <v>2764</v>
      </c>
    </row>
    <row r="544" spans="1:33" x14ac:dyDescent="0.3">
      <c r="A544" s="14">
        <f t="shared" ref="A544:A575" si="452">A433+100000000</f>
        <v>1510200101</v>
      </c>
      <c r="B544" s="14" t="str">
        <f t="shared" ref="B544:AF544" si="453">IF(B433 &lt;&gt; "", B433, "")</f>
        <v>섹터공용</v>
      </c>
      <c r="C544" s="14" t="str">
        <f t="shared" si="453"/>
        <v>플랭커</v>
      </c>
      <c r="D544" s="14" t="str">
        <f t="shared" si="453"/>
        <v>Monster.Name.roamer_flanker_1</v>
      </c>
      <c r="E544" s="14" t="str">
        <f t="shared" si="453"/>
        <v>Attacker</v>
      </c>
      <c r="F544" s="17" t="str">
        <f t="shared" si="453"/>
        <v>Fac_nul_ind</v>
      </c>
      <c r="G544" s="14" t="b">
        <f t="shared" si="453"/>
        <v>1</v>
      </c>
      <c r="H544" s="14" t="b">
        <f t="shared" si="453"/>
        <v>0</v>
      </c>
      <c r="I544" s="14" t="b">
        <f t="shared" si="453"/>
        <v>0</v>
      </c>
      <c r="J544" s="14">
        <f t="shared" si="453"/>
        <v>10</v>
      </c>
      <c r="K544" s="14">
        <f t="shared" si="453"/>
        <v>10</v>
      </c>
      <c r="L544" s="14" t="str">
        <f t="shared" si="453"/>
        <v>roamer_flanker_1.attack01</v>
      </c>
      <c r="M544" s="14" t="str">
        <f t="shared" si="453"/>
        <v/>
      </c>
      <c r="N544" s="14" t="str">
        <f t="shared" si="453"/>
        <v/>
      </c>
      <c r="O544" s="17" t="str">
        <f t="shared" si="453"/>
        <v>roamer_flanker_1.skill01</v>
      </c>
      <c r="P544" s="14" t="str">
        <f t="shared" si="453"/>
        <v/>
      </c>
      <c r="Q544" s="14" t="str">
        <f t="shared" si="453"/>
        <v/>
      </c>
      <c r="R544" s="14" t="str">
        <f t="shared" si="453"/>
        <v/>
      </c>
      <c r="S544" s="14" t="str">
        <f t="shared" si="453"/>
        <v/>
      </c>
      <c r="T544" s="14" t="str">
        <f t="shared" si="453"/>
        <v/>
      </c>
      <c r="U544" s="14" t="str">
        <f t="shared" si="453"/>
        <v/>
      </c>
      <c r="V544" s="14" t="b">
        <f t="shared" si="453"/>
        <v>0</v>
      </c>
      <c r="W544" s="14" t="str">
        <f t="shared" si="453"/>
        <v>Character/Prefabs/m_m_attacker_roamer_flanker_1</v>
      </c>
      <c r="X544" s="14" t="str">
        <f t="shared" si="453"/>
        <v/>
      </c>
      <c r="Y544" s="14" t="str">
        <f t="shared" si="453"/>
        <v>m_m_attacker_roamer_flanker_1</v>
      </c>
      <c r="Z544" s="14" t="str">
        <f t="shared" si="453"/>
        <v/>
      </c>
      <c r="AA544" s="14" t="str">
        <f t="shared" si="453"/>
        <v/>
      </c>
      <c r="AB544" s="14" t="str">
        <f t="shared" si="453"/>
        <v/>
      </c>
      <c r="AC544" s="94">
        <f t="shared" si="453"/>
        <v>1</v>
      </c>
      <c r="AD544" s="14" t="str">
        <f t="shared" si="453"/>
        <v/>
      </c>
      <c r="AE544" s="14" t="str">
        <f t="shared" si="453"/>
        <v/>
      </c>
      <c r="AF544" s="14" t="str">
        <f t="shared" si="453"/>
        <v/>
      </c>
      <c r="AG544" s="173" t="s">
        <v>2764</v>
      </c>
    </row>
    <row r="545" spans="1:33" x14ac:dyDescent="0.3">
      <c r="A545" s="14">
        <f t="shared" si="452"/>
        <v>1510200102</v>
      </c>
      <c r="B545" s="14" t="str">
        <f t="shared" ref="B545:AF545" si="454">IF(B434 &lt;&gt; "", B434, "")</f>
        <v>섹터공용</v>
      </c>
      <c r="C545" s="14" t="str">
        <f t="shared" si="454"/>
        <v>볼트쇼커</v>
      </c>
      <c r="D545" s="14" t="str">
        <f t="shared" si="454"/>
        <v>Monster.Name.roamer_voltshocker_1</v>
      </c>
      <c r="E545" s="14" t="str">
        <f t="shared" si="454"/>
        <v>Attacker</v>
      </c>
      <c r="F545" s="17" t="str">
        <f t="shared" si="454"/>
        <v>Fac_nul_ind</v>
      </c>
      <c r="G545" s="14" t="b">
        <f t="shared" si="454"/>
        <v>1</v>
      </c>
      <c r="H545" s="14" t="b">
        <f t="shared" si="454"/>
        <v>0</v>
      </c>
      <c r="I545" s="14" t="b">
        <f t="shared" si="454"/>
        <v>0</v>
      </c>
      <c r="J545" s="14">
        <f t="shared" si="454"/>
        <v>10</v>
      </c>
      <c r="K545" s="14">
        <f t="shared" si="454"/>
        <v>10</v>
      </c>
      <c r="L545" s="14" t="str">
        <f t="shared" si="454"/>
        <v>roamer_voltshocker_1.attack01</v>
      </c>
      <c r="M545" s="14" t="str">
        <f t="shared" si="454"/>
        <v/>
      </c>
      <c r="N545" s="14" t="str">
        <f t="shared" si="454"/>
        <v/>
      </c>
      <c r="O545" s="17" t="str">
        <f t="shared" si="454"/>
        <v>roamer_voltshocker_1.skill01</v>
      </c>
      <c r="P545" s="14" t="str">
        <f t="shared" si="454"/>
        <v/>
      </c>
      <c r="Q545" s="14" t="str">
        <f t="shared" si="454"/>
        <v/>
      </c>
      <c r="R545" s="14" t="str">
        <f t="shared" si="454"/>
        <v/>
      </c>
      <c r="S545" s="14" t="str">
        <f t="shared" si="454"/>
        <v/>
      </c>
      <c r="T545" s="14" t="str">
        <f t="shared" si="454"/>
        <v/>
      </c>
      <c r="U545" s="14" t="str">
        <f t="shared" si="454"/>
        <v/>
      </c>
      <c r="V545" s="14" t="b">
        <f t="shared" si="454"/>
        <v>0</v>
      </c>
      <c r="W545" s="14" t="str">
        <f t="shared" si="454"/>
        <v>Character/Prefabs/m_m_attacker_roamer_voltshocker_1</v>
      </c>
      <c r="X545" s="14" t="str">
        <f t="shared" si="454"/>
        <v/>
      </c>
      <c r="Y545" s="14" t="str">
        <f t="shared" si="454"/>
        <v>m_m_attacker_roamer_voltshocker_1</v>
      </c>
      <c r="Z545" s="14" t="str">
        <f t="shared" si="454"/>
        <v/>
      </c>
      <c r="AA545" s="14" t="str">
        <f t="shared" si="454"/>
        <v/>
      </c>
      <c r="AB545" s="14" t="str">
        <f t="shared" si="454"/>
        <v/>
      </c>
      <c r="AC545" s="94">
        <f t="shared" si="454"/>
        <v>1</v>
      </c>
      <c r="AD545" s="14" t="str">
        <f t="shared" si="454"/>
        <v/>
      </c>
      <c r="AE545" s="14" t="str">
        <f t="shared" si="454"/>
        <v/>
      </c>
      <c r="AF545" s="14" t="str">
        <f t="shared" si="454"/>
        <v/>
      </c>
      <c r="AG545" s="173" t="s">
        <v>2764</v>
      </c>
    </row>
    <row r="546" spans="1:33" x14ac:dyDescent="0.3">
      <c r="A546" s="14">
        <f t="shared" si="452"/>
        <v>1510200103</v>
      </c>
      <c r="B546" s="14" t="str">
        <f t="shared" ref="B546:AF546" si="455">IF(B435 &lt;&gt; "", B435, "")</f>
        <v>섹터공용</v>
      </c>
      <c r="C546" s="14" t="str">
        <f t="shared" si="455"/>
        <v>플로터</v>
      </c>
      <c r="D546" s="14" t="str">
        <f t="shared" si="455"/>
        <v>Monster.Name.floater_1</v>
      </c>
      <c r="E546" s="14" t="str">
        <f t="shared" si="455"/>
        <v>Supporter</v>
      </c>
      <c r="F546" s="17" t="str">
        <f t="shared" si="455"/>
        <v>Fac_nul_ind</v>
      </c>
      <c r="G546" s="14" t="b">
        <f t="shared" si="455"/>
        <v>1</v>
      </c>
      <c r="H546" s="14" t="b">
        <f t="shared" si="455"/>
        <v>0</v>
      </c>
      <c r="I546" s="14" t="b">
        <f t="shared" si="455"/>
        <v>0</v>
      </c>
      <c r="J546" s="14">
        <f t="shared" si="455"/>
        <v>10</v>
      </c>
      <c r="K546" s="14">
        <f t="shared" si="455"/>
        <v>10</v>
      </c>
      <c r="L546" s="14" t="str">
        <f t="shared" si="455"/>
        <v>roamer_floater_1.attack01</v>
      </c>
      <c r="M546" s="14" t="str">
        <f t="shared" si="455"/>
        <v/>
      </c>
      <c r="N546" s="14" t="str">
        <f t="shared" si="455"/>
        <v/>
      </c>
      <c r="O546" s="17" t="str">
        <f t="shared" si="455"/>
        <v>roamer_floater_1.skill01</v>
      </c>
      <c r="P546" s="14" t="str">
        <f t="shared" si="455"/>
        <v/>
      </c>
      <c r="Q546" s="14" t="str">
        <f t="shared" si="455"/>
        <v/>
      </c>
      <c r="R546" s="14" t="str">
        <f t="shared" si="455"/>
        <v/>
      </c>
      <c r="S546" s="14" t="str">
        <f t="shared" si="455"/>
        <v/>
      </c>
      <c r="T546" s="14" t="str">
        <f t="shared" si="455"/>
        <v/>
      </c>
      <c r="U546" s="14" t="str">
        <f t="shared" si="455"/>
        <v/>
      </c>
      <c r="V546" s="14" t="b">
        <f t="shared" si="455"/>
        <v>0</v>
      </c>
      <c r="W546" s="14" t="str">
        <f t="shared" si="455"/>
        <v>Character/Prefabs/m_m_supporter_roamer_floater_1</v>
      </c>
      <c r="X546" s="14" t="str">
        <f t="shared" si="455"/>
        <v/>
      </c>
      <c r="Y546" s="14" t="str">
        <f t="shared" si="455"/>
        <v>m_m_supporter_roamer_floater_1</v>
      </c>
      <c r="Z546" s="14" t="str">
        <f t="shared" si="455"/>
        <v/>
      </c>
      <c r="AA546" s="14" t="str">
        <f t="shared" si="455"/>
        <v/>
      </c>
      <c r="AB546" s="14" t="str">
        <f t="shared" si="455"/>
        <v/>
      </c>
      <c r="AC546" s="94">
        <f t="shared" si="455"/>
        <v>0.6</v>
      </c>
      <c r="AD546" s="14" t="str">
        <f t="shared" si="455"/>
        <v/>
      </c>
      <c r="AE546" s="14" t="str">
        <f t="shared" si="455"/>
        <v/>
      </c>
      <c r="AF546" s="14" t="str">
        <f t="shared" si="455"/>
        <v/>
      </c>
      <c r="AG546" s="173" t="s">
        <v>2764</v>
      </c>
    </row>
    <row r="547" spans="1:33" x14ac:dyDescent="0.3">
      <c r="A547" s="14">
        <f t="shared" si="452"/>
        <v>1511601301</v>
      </c>
      <c r="B547" s="14" t="str">
        <f t="shared" ref="B547:AF547" si="456">IF(B436 &lt;&gt; "", B436, "")</f>
        <v>EventStory</v>
      </c>
      <c r="C547" s="14" t="str">
        <f t="shared" si="456"/>
        <v>게임마스터</v>
      </c>
      <c r="D547" s="14" t="str">
        <f t="shared" si="456"/>
        <v>Monster.Name.gamemaster_1</v>
      </c>
      <c r="E547" s="14" t="str">
        <f t="shared" si="456"/>
        <v>None</v>
      </c>
      <c r="F547" s="17" t="str">
        <f t="shared" si="456"/>
        <v>Fac_nul_ind</v>
      </c>
      <c r="G547" s="14" t="str">
        <f t="shared" si="456"/>
        <v>TRUE</v>
      </c>
      <c r="H547" s="14" t="b">
        <f t="shared" si="456"/>
        <v>1</v>
      </c>
      <c r="I547" s="14" t="b">
        <f t="shared" si="456"/>
        <v>1</v>
      </c>
      <c r="J547" s="14">
        <f t="shared" si="456"/>
        <v>10</v>
      </c>
      <c r="K547" s="14">
        <f t="shared" si="456"/>
        <v>10</v>
      </c>
      <c r="L547" s="14" t="str">
        <f t="shared" si="456"/>
        <v>EventStory.gamemaster_1.attack01</v>
      </c>
      <c r="M547" s="14" t="str">
        <f t="shared" si="456"/>
        <v>EventStory.gamemaster_1.attack02</v>
      </c>
      <c r="N547" s="14" t="str">
        <f t="shared" si="456"/>
        <v/>
      </c>
      <c r="O547" s="17" t="str">
        <f t="shared" si="456"/>
        <v>EventStory.gamemaster_1.skill01</v>
      </c>
      <c r="P547" s="14" t="str">
        <f t="shared" si="456"/>
        <v>EventStory.gamemaster_1.passive01</v>
      </c>
      <c r="Q547" s="14" t="str">
        <f t="shared" si="456"/>
        <v/>
      </c>
      <c r="R547" s="14" t="str">
        <f t="shared" si="456"/>
        <v/>
      </c>
      <c r="S547" s="14" t="str">
        <f t="shared" si="456"/>
        <v/>
      </c>
      <c r="T547" s="14" t="str">
        <f t="shared" si="456"/>
        <v/>
      </c>
      <c r="U547" s="14" t="str">
        <f t="shared" si="456"/>
        <v/>
      </c>
      <c r="V547" s="14" t="b">
        <f t="shared" si="456"/>
        <v>0</v>
      </c>
      <c r="W547" s="14" t="str">
        <f t="shared" si="456"/>
        <v>Character/Prefabs/m_boss_ranger_gamemaster_1</v>
      </c>
      <c r="X547" s="14" t="str">
        <f t="shared" si="456"/>
        <v/>
      </c>
      <c r="Y547" s="14" t="str">
        <f t="shared" si="456"/>
        <v>m_boss_ranger_gamemaster_1</v>
      </c>
      <c r="Z547" s="14" t="str">
        <f t="shared" si="456"/>
        <v/>
      </c>
      <c r="AA547" s="14" t="str">
        <f t="shared" si="456"/>
        <v/>
      </c>
      <c r="AB547" s="14" t="str">
        <f t="shared" si="456"/>
        <v/>
      </c>
      <c r="AC547" s="94">
        <f t="shared" si="456"/>
        <v>1</v>
      </c>
      <c r="AD547" s="14" t="str">
        <f t="shared" si="456"/>
        <v/>
      </c>
      <c r="AE547" s="14" t="str">
        <f t="shared" si="456"/>
        <v/>
      </c>
      <c r="AF547" s="14" t="str">
        <f t="shared" si="456"/>
        <v/>
      </c>
      <c r="AG547" s="173" t="s">
        <v>2764</v>
      </c>
    </row>
    <row r="548" spans="1:33" x14ac:dyDescent="0.3">
      <c r="A548" s="14">
        <f t="shared" si="452"/>
        <v>1511601302</v>
      </c>
      <c r="B548" s="14" t="str">
        <f t="shared" ref="B548:AF548" si="457">IF(B437 &lt;&gt; "", B437, "")</f>
        <v>EventStory</v>
      </c>
      <c r="C548" s="14" t="str">
        <f t="shared" si="457"/>
        <v>메카토아</v>
      </c>
      <c r="D548" s="14" t="str">
        <f t="shared" si="457"/>
        <v>Monster.Name.mechatoa_1</v>
      </c>
      <c r="E548" s="14" t="str">
        <f t="shared" si="457"/>
        <v>None</v>
      </c>
      <c r="F548" s="17" t="str">
        <f t="shared" si="457"/>
        <v>Fac_nul_ind</v>
      </c>
      <c r="G548" s="14" t="str">
        <f t="shared" si="457"/>
        <v>TRUE</v>
      </c>
      <c r="H548" s="14" t="b">
        <f t="shared" si="457"/>
        <v>1</v>
      </c>
      <c r="I548" s="14" t="b">
        <f t="shared" si="457"/>
        <v>1</v>
      </c>
      <c r="J548" s="14">
        <f t="shared" si="457"/>
        <v>20</v>
      </c>
      <c r="K548" s="14">
        <f t="shared" si="457"/>
        <v>10</v>
      </c>
      <c r="L548" s="14" t="str">
        <f t="shared" si="457"/>
        <v>EventStory.mechatoa_1.attack01</v>
      </c>
      <c r="M548" s="14" t="str">
        <f t="shared" si="457"/>
        <v>EventStory.mechatoa_1.attack02</v>
      </c>
      <c r="N548" s="14" t="str">
        <f t="shared" si="457"/>
        <v/>
      </c>
      <c r="O548" s="17" t="str">
        <f t="shared" si="457"/>
        <v>EventStory.mechatoa_1.skill01</v>
      </c>
      <c r="P548" s="14" t="str">
        <f t="shared" si="457"/>
        <v>EventStory.mechatoa_1.passive01</v>
      </c>
      <c r="Q548" s="14" t="str">
        <f t="shared" si="457"/>
        <v/>
      </c>
      <c r="R548" s="14" t="str">
        <f t="shared" si="457"/>
        <v/>
      </c>
      <c r="S548" s="14" t="str">
        <f t="shared" si="457"/>
        <v/>
      </c>
      <c r="T548" s="14" t="str">
        <f t="shared" si="457"/>
        <v/>
      </c>
      <c r="U548" s="14" t="str">
        <f t="shared" si="457"/>
        <v/>
      </c>
      <c r="V548" s="14" t="b">
        <f t="shared" si="457"/>
        <v>0</v>
      </c>
      <c r="W548" s="14" t="str">
        <f t="shared" si="457"/>
        <v>Character/Prefabs/m_boss_attacker_mechatoa_1</v>
      </c>
      <c r="X548" s="14" t="str">
        <f t="shared" si="457"/>
        <v/>
      </c>
      <c r="Y548" s="14" t="str">
        <f t="shared" si="457"/>
        <v>m_boss_attacker_mechatoa_1</v>
      </c>
      <c r="Z548" s="14" t="str">
        <f t="shared" si="457"/>
        <v/>
      </c>
      <c r="AA548" s="14" t="str">
        <f t="shared" si="457"/>
        <v/>
      </c>
      <c r="AB548" s="14" t="str">
        <f t="shared" si="457"/>
        <v/>
      </c>
      <c r="AC548" s="94">
        <f t="shared" si="457"/>
        <v>1</v>
      </c>
      <c r="AD548" s="14" t="str">
        <f t="shared" si="457"/>
        <v/>
      </c>
      <c r="AE548" s="14" t="str">
        <f t="shared" si="457"/>
        <v/>
      </c>
      <c r="AF548" s="14" t="str">
        <f t="shared" si="457"/>
        <v/>
      </c>
      <c r="AG548" s="173" t="s">
        <v>2764</v>
      </c>
    </row>
    <row r="549" spans="1:33" x14ac:dyDescent="0.3">
      <c r="A549" s="14">
        <f t="shared" si="452"/>
        <v>1511601303</v>
      </c>
      <c r="B549" s="14" t="str">
        <f t="shared" ref="B549:AF549" si="458">IF(B438 &lt;&gt; "", B438, "")</f>
        <v>EventStory</v>
      </c>
      <c r="C549" s="14" t="str">
        <f t="shared" si="458"/>
        <v>팬더해피</v>
      </c>
      <c r="D549" s="14" t="str">
        <f t="shared" si="458"/>
        <v>Monster.Name.pandahappy_1</v>
      </c>
      <c r="E549" s="14" t="str">
        <f t="shared" si="458"/>
        <v>None</v>
      </c>
      <c r="F549" s="14" t="str">
        <f t="shared" si="458"/>
        <v>Fac_nul_ind</v>
      </c>
      <c r="G549" s="14" t="str">
        <f t="shared" si="458"/>
        <v>TRUE</v>
      </c>
      <c r="H549" s="14" t="b">
        <f t="shared" si="458"/>
        <v>1</v>
      </c>
      <c r="I549" s="14" t="b">
        <f t="shared" si="458"/>
        <v>1</v>
      </c>
      <c r="J549" s="14">
        <f t="shared" si="458"/>
        <v>20</v>
      </c>
      <c r="K549" s="14">
        <f t="shared" si="458"/>
        <v>10</v>
      </c>
      <c r="L549" s="14" t="str">
        <f t="shared" si="458"/>
        <v>EventStory.pandahappy_1.attack01</v>
      </c>
      <c r="M549" s="14" t="str">
        <f t="shared" si="458"/>
        <v>EventStory.pandahappy_1.attack02</v>
      </c>
      <c r="N549" s="14" t="str">
        <f t="shared" si="458"/>
        <v/>
      </c>
      <c r="O549" s="178" t="str">
        <f t="shared" si="458"/>
        <v>EventStory.pandahappy_1.skill01</v>
      </c>
      <c r="P549" s="14" t="str">
        <f t="shared" si="458"/>
        <v>EventStory.pandahappy_1.passive01</v>
      </c>
      <c r="Q549" s="14" t="str">
        <f t="shared" si="458"/>
        <v/>
      </c>
      <c r="R549" s="14" t="str">
        <f t="shared" si="458"/>
        <v/>
      </c>
      <c r="S549" s="14" t="str">
        <f t="shared" si="458"/>
        <v/>
      </c>
      <c r="T549" s="14" t="str">
        <f t="shared" si="458"/>
        <v/>
      </c>
      <c r="U549" s="14" t="str">
        <f t="shared" si="458"/>
        <v/>
      </c>
      <c r="V549" s="14" t="b">
        <f t="shared" si="458"/>
        <v>0</v>
      </c>
      <c r="W549" s="14" t="str">
        <f t="shared" si="458"/>
        <v>Character/Prefabs/m_boss_attacker_pandahappy_1</v>
      </c>
      <c r="X549" s="14" t="str">
        <f t="shared" si="458"/>
        <v/>
      </c>
      <c r="Y549" s="14" t="str">
        <f t="shared" si="458"/>
        <v>m_boss_attacker_pandahappy_1</v>
      </c>
      <c r="Z549" s="14" t="str">
        <f t="shared" si="458"/>
        <v/>
      </c>
      <c r="AA549" s="14" t="str">
        <f t="shared" si="458"/>
        <v/>
      </c>
      <c r="AB549" s="14" t="str">
        <f t="shared" si="458"/>
        <v/>
      </c>
      <c r="AC549" s="94">
        <f t="shared" si="458"/>
        <v>1.3</v>
      </c>
      <c r="AD549" s="14" t="str">
        <f t="shared" si="458"/>
        <v/>
      </c>
      <c r="AE549" s="14" t="str">
        <f t="shared" si="458"/>
        <v/>
      </c>
      <c r="AF549" s="14" t="str">
        <f t="shared" si="458"/>
        <v/>
      </c>
      <c r="AG549" s="173" t="s">
        <v>2764</v>
      </c>
    </row>
    <row r="550" spans="1:33" x14ac:dyDescent="0.3">
      <c r="A550" s="14">
        <f t="shared" si="452"/>
        <v>1511601304</v>
      </c>
      <c r="B550" s="14" t="str">
        <f t="shared" ref="B550:AF550" si="459">IF(B439 &lt;&gt; "", B439, "")</f>
        <v>EventStory</v>
      </c>
      <c r="C550" s="14" t="str">
        <f t="shared" si="459"/>
        <v>버려진수호자</v>
      </c>
      <c r="D550" s="14" t="str">
        <f t="shared" si="459"/>
        <v>Monster.Name.oldguardian_1</v>
      </c>
      <c r="E550" s="14" t="str">
        <f t="shared" si="459"/>
        <v>None</v>
      </c>
      <c r="F550" s="14" t="str">
        <f t="shared" si="459"/>
        <v>Fac_nul_ind</v>
      </c>
      <c r="G550" s="14" t="str">
        <f t="shared" si="459"/>
        <v>TRUE</v>
      </c>
      <c r="H550" s="14" t="b">
        <f t="shared" si="459"/>
        <v>1</v>
      </c>
      <c r="I550" s="14" t="b">
        <f t="shared" si="459"/>
        <v>1</v>
      </c>
      <c r="J550" s="14">
        <f t="shared" si="459"/>
        <v>20</v>
      </c>
      <c r="K550" s="14">
        <f t="shared" si="459"/>
        <v>10</v>
      </c>
      <c r="L550" s="14" t="str">
        <f t="shared" si="459"/>
        <v>EventStory.oldguardian_1.attack01</v>
      </c>
      <c r="M550" s="14" t="str">
        <f t="shared" si="459"/>
        <v>EventStory.oldguardian_1.attack02</v>
      </c>
      <c r="N550" s="14" t="str">
        <f t="shared" si="459"/>
        <v/>
      </c>
      <c r="O550" s="178" t="str">
        <f t="shared" si="459"/>
        <v>EventStory.oldguardian_1.skill01</v>
      </c>
      <c r="P550" s="14" t="str">
        <f t="shared" si="459"/>
        <v>EventStory.oldguardian_1.passive01</v>
      </c>
      <c r="Q550" s="14" t="str">
        <f t="shared" si="459"/>
        <v/>
      </c>
      <c r="R550" s="14" t="str">
        <f t="shared" si="459"/>
        <v/>
      </c>
      <c r="S550" s="14" t="str">
        <f t="shared" si="459"/>
        <v/>
      </c>
      <c r="T550" s="14" t="str">
        <f t="shared" si="459"/>
        <v/>
      </c>
      <c r="U550" s="14" t="str">
        <f t="shared" si="459"/>
        <v/>
      </c>
      <c r="V550" s="14" t="b">
        <f t="shared" si="459"/>
        <v>0</v>
      </c>
      <c r="W550" s="14" t="str">
        <f t="shared" si="459"/>
        <v>Character/Prefabs/m_boss_ranger_oldguardian_1</v>
      </c>
      <c r="X550" s="14" t="str">
        <f t="shared" si="459"/>
        <v/>
      </c>
      <c r="Y550" s="14" t="str">
        <f t="shared" si="459"/>
        <v>m_boss_ranger_oldguardian_1</v>
      </c>
      <c r="Z550" s="14" t="str">
        <f t="shared" si="459"/>
        <v/>
      </c>
      <c r="AA550" s="14" t="str">
        <f t="shared" si="459"/>
        <v/>
      </c>
      <c r="AB550" s="14" t="str">
        <f t="shared" si="459"/>
        <v/>
      </c>
      <c r="AC550" s="94">
        <f t="shared" si="459"/>
        <v>0.8</v>
      </c>
      <c r="AD550" s="14" t="str">
        <f t="shared" si="459"/>
        <v/>
      </c>
      <c r="AE550" s="14" t="str">
        <f t="shared" si="459"/>
        <v/>
      </c>
      <c r="AF550" s="14" t="str">
        <f t="shared" si="459"/>
        <v/>
      </c>
      <c r="AG550" s="173" t="s">
        <v>2764</v>
      </c>
    </row>
    <row r="551" spans="1:33" x14ac:dyDescent="0.3">
      <c r="A551" s="14">
        <f t="shared" si="452"/>
        <v>1511601305</v>
      </c>
      <c r="B551" s="14" t="str">
        <f t="shared" ref="B551:AF551" si="460">IF(B440 &lt;&gt; "", B440, "")</f>
        <v>EventStory</v>
      </c>
      <c r="C551" s="14" t="str">
        <f t="shared" si="460"/>
        <v>시비우자동장치</v>
      </c>
      <c r="D551" s="14" t="str">
        <f t="shared" si="460"/>
        <v>Monster.Name.sibiurobot_1</v>
      </c>
      <c r="E551" s="14" t="str">
        <f t="shared" si="460"/>
        <v>None</v>
      </c>
      <c r="F551" s="14" t="str">
        <f t="shared" si="460"/>
        <v>Fac_nul_ind</v>
      </c>
      <c r="G551" s="14" t="str">
        <f t="shared" si="460"/>
        <v>TRUE</v>
      </c>
      <c r="H551" s="14" t="b">
        <f t="shared" si="460"/>
        <v>1</v>
      </c>
      <c r="I551" s="14" t="b">
        <f t="shared" si="460"/>
        <v>1</v>
      </c>
      <c r="J551" s="14">
        <f t="shared" si="460"/>
        <v>10</v>
      </c>
      <c r="K551" s="14">
        <f t="shared" si="460"/>
        <v>10</v>
      </c>
      <c r="L551" s="14" t="str">
        <f t="shared" si="460"/>
        <v>EventStory.sibiurobot_1.attack01</v>
      </c>
      <c r="M551" s="14" t="str">
        <f t="shared" si="460"/>
        <v>EventStory.sibiurobot_1.attack02</v>
      </c>
      <c r="N551" s="14" t="str">
        <f t="shared" si="460"/>
        <v/>
      </c>
      <c r="O551" s="178" t="str">
        <f t="shared" si="460"/>
        <v>EventStory.sibiurobot_1.skill01</v>
      </c>
      <c r="P551" s="14" t="str">
        <f t="shared" si="460"/>
        <v>EventStory.sibiurobot_1.passive01</v>
      </c>
      <c r="Q551" s="14" t="str">
        <f t="shared" si="460"/>
        <v/>
      </c>
      <c r="R551" s="14" t="str">
        <f t="shared" si="460"/>
        <v/>
      </c>
      <c r="S551" s="14" t="str">
        <f t="shared" si="460"/>
        <v/>
      </c>
      <c r="T551" s="14" t="str">
        <f t="shared" si="460"/>
        <v/>
      </c>
      <c r="U551" s="14" t="str">
        <f t="shared" si="460"/>
        <v/>
      </c>
      <c r="V551" s="14" t="b">
        <f t="shared" si="460"/>
        <v>0</v>
      </c>
      <c r="W551" s="14" t="str">
        <f t="shared" si="460"/>
        <v>Character/Prefabs/m_boss_ranger_sibiurobot_1</v>
      </c>
      <c r="X551" s="14" t="str">
        <f t="shared" si="460"/>
        <v/>
      </c>
      <c r="Y551" s="14" t="str">
        <f t="shared" si="460"/>
        <v>m_boss_ranger_sibiurobot_1</v>
      </c>
      <c r="Z551" s="14" t="str">
        <f t="shared" si="460"/>
        <v/>
      </c>
      <c r="AA551" s="14" t="str">
        <f t="shared" si="460"/>
        <v/>
      </c>
      <c r="AB551" s="14" t="str">
        <f t="shared" si="460"/>
        <v/>
      </c>
      <c r="AC551" s="94">
        <f t="shared" si="460"/>
        <v>1</v>
      </c>
      <c r="AD551" s="14" t="str">
        <f t="shared" si="460"/>
        <v/>
      </c>
      <c r="AE551" s="14" t="str">
        <f t="shared" si="460"/>
        <v/>
      </c>
      <c r="AF551" s="14" t="str">
        <f t="shared" si="460"/>
        <v/>
      </c>
      <c r="AG551" s="173" t="s">
        <v>2764</v>
      </c>
    </row>
    <row r="552" spans="1:33" x14ac:dyDescent="0.3">
      <c r="A552" s="14">
        <f t="shared" si="452"/>
        <v>1511601306</v>
      </c>
      <c r="B552" s="14" t="str">
        <f t="shared" ref="B552:AF552" si="461">IF(B441 &lt;&gt; "", B441, "")</f>
        <v>EventStory</v>
      </c>
      <c r="C552" s="14" t="str">
        <f t="shared" si="461"/>
        <v>드론네스트</v>
      </c>
      <c r="D552" s="14" t="str">
        <f t="shared" si="461"/>
        <v>Monster.Name.dronenest_1</v>
      </c>
      <c r="E552" s="14" t="str">
        <f t="shared" si="461"/>
        <v>None</v>
      </c>
      <c r="F552" s="14" t="str">
        <f t="shared" si="461"/>
        <v>Fac_nul_ind</v>
      </c>
      <c r="G552" s="14" t="str">
        <f t="shared" si="461"/>
        <v>TRUE</v>
      </c>
      <c r="H552" s="14" t="b">
        <f t="shared" si="461"/>
        <v>1</v>
      </c>
      <c r="I552" s="14" t="b">
        <f t="shared" si="461"/>
        <v>1</v>
      </c>
      <c r="J552" s="14">
        <f t="shared" si="461"/>
        <v>20</v>
      </c>
      <c r="K552" s="14">
        <f t="shared" si="461"/>
        <v>10</v>
      </c>
      <c r="L552" s="14" t="str">
        <f t="shared" si="461"/>
        <v>EventStory.dronenest_1.attack01</v>
      </c>
      <c r="M552" s="14" t="str">
        <f t="shared" si="461"/>
        <v>EventStory.dronenest_1.attack02</v>
      </c>
      <c r="N552" s="14" t="str">
        <f t="shared" si="461"/>
        <v/>
      </c>
      <c r="O552" s="178" t="str">
        <f t="shared" si="461"/>
        <v>EventStory.dronenest_1.skill01</v>
      </c>
      <c r="P552" s="14" t="str">
        <f t="shared" si="461"/>
        <v/>
      </c>
      <c r="Q552" s="14" t="str">
        <f t="shared" si="461"/>
        <v/>
      </c>
      <c r="R552" s="14" t="str">
        <f t="shared" si="461"/>
        <v/>
      </c>
      <c r="S552" s="14" t="str">
        <f t="shared" si="461"/>
        <v/>
      </c>
      <c r="T552" s="14" t="str">
        <f t="shared" si="461"/>
        <v/>
      </c>
      <c r="U552" s="14" t="str">
        <f t="shared" si="461"/>
        <v/>
      </c>
      <c r="V552" s="14" t="b">
        <f t="shared" si="461"/>
        <v>0</v>
      </c>
      <c r="W552" s="14" t="str">
        <f t="shared" si="461"/>
        <v>Character/Prefabs/m_boss_supporter_dronenest_1</v>
      </c>
      <c r="X552" s="14" t="str">
        <f t="shared" si="461"/>
        <v/>
      </c>
      <c r="Y552" s="14" t="str">
        <f t="shared" si="461"/>
        <v>m_boss_supporter_dronenest_1</v>
      </c>
      <c r="Z552" s="14" t="str">
        <f t="shared" si="461"/>
        <v/>
      </c>
      <c r="AA552" s="14" t="str">
        <f t="shared" si="461"/>
        <v/>
      </c>
      <c r="AB552" s="14" t="str">
        <f t="shared" si="461"/>
        <v/>
      </c>
      <c r="AC552" s="94">
        <f t="shared" si="461"/>
        <v>0.8</v>
      </c>
      <c r="AD552" s="14" t="str">
        <f t="shared" si="461"/>
        <v/>
      </c>
      <c r="AE552" s="14" t="str">
        <f t="shared" si="461"/>
        <v/>
      </c>
      <c r="AF552" s="14" t="str">
        <f t="shared" si="461"/>
        <v/>
      </c>
      <c r="AG552" s="173" t="s">
        <v>2757</v>
      </c>
    </row>
    <row r="553" spans="1:33" x14ac:dyDescent="0.3">
      <c r="A553" s="14">
        <f t="shared" si="452"/>
        <v>1511601307</v>
      </c>
      <c r="B553" s="14" t="str">
        <f t="shared" ref="B553:AF553" si="462">IF(B442 &lt;&gt; "", B442, "")</f>
        <v>EventStory</v>
      </c>
      <c r="C553" s="14" t="str">
        <f t="shared" si="462"/>
        <v>드론네스트_소환</v>
      </c>
      <c r="D553" s="14" t="str">
        <f t="shared" si="462"/>
        <v>Monster.Name.Interceptor_1</v>
      </c>
      <c r="E553" s="14" t="str">
        <f t="shared" si="462"/>
        <v>None</v>
      </c>
      <c r="F553" s="14" t="str">
        <f t="shared" si="462"/>
        <v>Fac_nul_ind</v>
      </c>
      <c r="G553" s="14" t="str">
        <f t="shared" si="462"/>
        <v>TRUE</v>
      </c>
      <c r="H553" s="14" t="b">
        <f t="shared" si="462"/>
        <v>0</v>
      </c>
      <c r="I553" s="14" t="b">
        <f t="shared" si="462"/>
        <v>0</v>
      </c>
      <c r="J553" s="14">
        <f t="shared" si="462"/>
        <v>10</v>
      </c>
      <c r="K553" s="14">
        <f t="shared" si="462"/>
        <v>10</v>
      </c>
      <c r="L553" s="14" t="str">
        <f t="shared" si="462"/>
        <v>EventStory.Interceptor_1.attack01</v>
      </c>
      <c r="M553" s="14" t="str">
        <f t="shared" si="462"/>
        <v/>
      </c>
      <c r="N553" s="14" t="str">
        <f t="shared" si="462"/>
        <v/>
      </c>
      <c r="O553" s="178" t="str">
        <f t="shared" si="462"/>
        <v/>
      </c>
      <c r="P553" s="14" t="str">
        <f t="shared" si="462"/>
        <v/>
      </c>
      <c r="Q553" s="14" t="str">
        <f t="shared" si="462"/>
        <v/>
      </c>
      <c r="R553" s="14" t="str">
        <f t="shared" si="462"/>
        <v/>
      </c>
      <c r="S553" s="14" t="str">
        <f t="shared" si="462"/>
        <v/>
      </c>
      <c r="T553" s="14" t="str">
        <f t="shared" si="462"/>
        <v/>
      </c>
      <c r="U553" s="14" t="str">
        <f t="shared" si="462"/>
        <v/>
      </c>
      <c r="V553" s="14" t="b">
        <f t="shared" si="462"/>
        <v>0</v>
      </c>
      <c r="W553" s="14" t="str">
        <f t="shared" si="462"/>
        <v>Character/Prefabs/m_s_ranger_interceptor_1</v>
      </c>
      <c r="X553" s="14" t="str">
        <f t="shared" si="462"/>
        <v/>
      </c>
      <c r="Y553" s="14" t="str">
        <f t="shared" si="462"/>
        <v>m_s_ranger_interceptor_1</v>
      </c>
      <c r="Z553" s="14" t="str">
        <f t="shared" si="462"/>
        <v/>
      </c>
      <c r="AA553" s="14" t="str">
        <f t="shared" si="462"/>
        <v/>
      </c>
      <c r="AB553" s="14" t="str">
        <f t="shared" si="462"/>
        <v/>
      </c>
      <c r="AC553" s="94">
        <f t="shared" si="462"/>
        <v>1</v>
      </c>
      <c r="AD553" s="14" t="str">
        <f t="shared" si="462"/>
        <v/>
      </c>
      <c r="AE553" s="14" t="str">
        <f t="shared" si="462"/>
        <v/>
      </c>
      <c r="AF553" s="14" t="str">
        <f t="shared" si="462"/>
        <v/>
      </c>
      <c r="AG553" s="173" t="s">
        <v>2757</v>
      </c>
    </row>
    <row r="554" spans="1:33" x14ac:dyDescent="0.3">
      <c r="A554" s="14">
        <f t="shared" si="452"/>
        <v>1511601308</v>
      </c>
      <c r="B554" s="14" t="str">
        <f t="shared" ref="B554:AF554" si="463">IF(B443 &lt;&gt; "", B443, "")</f>
        <v>EventStory</v>
      </c>
      <c r="C554" s="14" t="str">
        <f t="shared" si="463"/>
        <v>아이라스(졸)</v>
      </c>
      <c r="D554" s="14" t="str">
        <f t="shared" si="463"/>
        <v>Monster.Name.mechakanata_1</v>
      </c>
      <c r="E554" s="14" t="str">
        <f t="shared" si="463"/>
        <v>Attacker</v>
      </c>
      <c r="F554" s="14" t="str">
        <f t="shared" si="463"/>
        <v>Fac_art_app</v>
      </c>
      <c r="G554" s="14" t="str">
        <f t="shared" si="463"/>
        <v>TRUE</v>
      </c>
      <c r="H554" s="14" t="b">
        <f t="shared" si="463"/>
        <v>0</v>
      </c>
      <c r="I554" s="14" t="b">
        <f t="shared" si="463"/>
        <v>0</v>
      </c>
      <c r="J554" s="14">
        <f t="shared" si="463"/>
        <v>10</v>
      </c>
      <c r="K554" s="14">
        <f t="shared" si="463"/>
        <v>10</v>
      </c>
      <c r="L554" s="14" t="str">
        <f t="shared" si="463"/>
        <v>iras.attack1</v>
      </c>
      <c r="M554" s="14" t="str">
        <f t="shared" si="463"/>
        <v>iras.attack2</v>
      </c>
      <c r="N554" s="14" t="str">
        <f t="shared" si="463"/>
        <v>iras.attack3</v>
      </c>
      <c r="O554" s="178" t="str">
        <f t="shared" si="463"/>
        <v>iras.active1</v>
      </c>
      <c r="P554" s="14" t="str">
        <f t="shared" si="463"/>
        <v>iras.active2</v>
      </c>
      <c r="Q554" s="14" t="str">
        <f t="shared" si="463"/>
        <v>iras.passive</v>
      </c>
      <c r="R554" s="14" t="str">
        <f t="shared" si="463"/>
        <v>109.Academy.01</v>
      </c>
      <c r="S554" s="14" t="str">
        <f t="shared" si="463"/>
        <v/>
      </c>
      <c r="T554" s="14" t="str">
        <f t="shared" si="463"/>
        <v>iras.ult</v>
      </c>
      <c r="U554" s="14" t="str">
        <f t="shared" si="463"/>
        <v>iras.ult</v>
      </c>
      <c r="V554" s="14" t="b">
        <f t="shared" si="463"/>
        <v>1</v>
      </c>
      <c r="W554" s="14" t="str">
        <f t="shared" si="463"/>
        <v>Character/Prefabs/m_attacker_iras_enemy_1</v>
      </c>
      <c r="X554" s="14" t="str">
        <f t="shared" si="463"/>
        <v/>
      </c>
      <c r="Y554" s="14" t="str">
        <f t="shared" si="463"/>
        <v>character_iras_01</v>
      </c>
      <c r="Z554" s="14" t="str">
        <f t="shared" si="463"/>
        <v>Character/Timeline/01_CHA/ult_c_attacker_iras_1</v>
      </c>
      <c r="AA554" s="14" t="str">
        <f t="shared" si="463"/>
        <v>Character/Timeline/01_CHA/victory_c_attacker_iras_1</v>
      </c>
      <c r="AB554" s="14" t="str">
        <f t="shared" si="463"/>
        <v/>
      </c>
      <c r="AC554" s="94">
        <f t="shared" si="463"/>
        <v>0.7</v>
      </c>
      <c r="AD554" s="14" t="str">
        <f t="shared" si="463"/>
        <v/>
      </c>
      <c r="AE554" s="14" t="str">
        <f t="shared" si="463"/>
        <v/>
      </c>
      <c r="AF554" s="14" t="str">
        <f t="shared" si="463"/>
        <v/>
      </c>
      <c r="AG554" s="173" t="s">
        <v>2757</v>
      </c>
    </row>
    <row r="555" spans="1:33" x14ac:dyDescent="0.3">
      <c r="A555" s="14">
        <f t="shared" ref="A555" si="464">A444+100000000</f>
        <v>1511601309</v>
      </c>
      <c r="B555" s="14" t="str">
        <f t="shared" ref="B555:AF555" si="465">IF(B444 &lt;&gt; "", B444, "")</f>
        <v>EventStory</v>
      </c>
      <c r="C555" s="14" t="str">
        <f t="shared" si="465"/>
        <v>메카카나타</v>
      </c>
      <c r="D555" s="14" t="str">
        <f t="shared" si="465"/>
        <v>Monster.Name.mechakanata_1</v>
      </c>
      <c r="E555" s="14" t="str">
        <f t="shared" si="465"/>
        <v>None</v>
      </c>
      <c r="F555" s="14" t="str">
        <f t="shared" si="465"/>
        <v>Fac_nul_ind</v>
      </c>
      <c r="G555" s="14" t="str">
        <f t="shared" si="465"/>
        <v>TRUE</v>
      </c>
      <c r="H555" s="14" t="b">
        <f t="shared" si="465"/>
        <v>1</v>
      </c>
      <c r="I555" s="14" t="b">
        <f t="shared" si="465"/>
        <v>1</v>
      </c>
      <c r="J555" s="14">
        <f t="shared" si="465"/>
        <v>10</v>
      </c>
      <c r="K555" s="14">
        <f t="shared" si="465"/>
        <v>10</v>
      </c>
      <c r="L555" s="14" t="str">
        <f t="shared" si="465"/>
        <v>EventStory.mechakanata_1.attack01</v>
      </c>
      <c r="M555" s="14" t="str">
        <f t="shared" si="465"/>
        <v>EventStory.mechakanata_1.attack02</v>
      </c>
      <c r="N555" s="14" t="str">
        <f t="shared" si="465"/>
        <v>EventStory.mechakanata_1.attack03</v>
      </c>
      <c r="O555" s="178" t="str">
        <f t="shared" si="465"/>
        <v>EventStory.mechakanata_1.skill01</v>
      </c>
      <c r="P555" s="14" t="str">
        <f t="shared" si="465"/>
        <v/>
      </c>
      <c r="Q555" s="14" t="str">
        <f t="shared" si="465"/>
        <v/>
      </c>
      <c r="R555" s="14" t="str">
        <f t="shared" si="465"/>
        <v/>
      </c>
      <c r="S555" s="14" t="str">
        <f t="shared" si="465"/>
        <v/>
      </c>
      <c r="T555" s="14" t="str">
        <f t="shared" si="465"/>
        <v/>
      </c>
      <c r="U555" s="14" t="str">
        <f t="shared" si="465"/>
        <v/>
      </c>
      <c r="V555" s="14" t="b">
        <f t="shared" si="465"/>
        <v>0</v>
      </c>
      <c r="W555" s="14" t="str">
        <f t="shared" si="465"/>
        <v>Character/Prefabs/m_m_attacker_mechakanata_1</v>
      </c>
      <c r="X555" s="14" t="str">
        <f t="shared" si="465"/>
        <v/>
      </c>
      <c r="Y555" s="14" t="str">
        <f t="shared" si="465"/>
        <v>m_m_attacker_mechakanata_1</v>
      </c>
      <c r="Z555" s="14" t="str">
        <f t="shared" si="465"/>
        <v/>
      </c>
      <c r="AA555" s="14" t="str">
        <f t="shared" si="465"/>
        <v/>
      </c>
      <c r="AB555" s="14" t="str">
        <f t="shared" si="465"/>
        <v/>
      </c>
      <c r="AC555" s="94">
        <f t="shared" si="465"/>
        <v>1</v>
      </c>
      <c r="AD555" s="14" t="str">
        <f t="shared" si="465"/>
        <v/>
      </c>
      <c r="AE555" s="14" t="str">
        <f t="shared" si="465"/>
        <v/>
      </c>
      <c r="AF555" s="14" t="str">
        <f t="shared" si="465"/>
        <v/>
      </c>
      <c r="AG555" s="173" t="s">
        <v>2757</v>
      </c>
    </row>
    <row r="556" spans="1:33" x14ac:dyDescent="0.3">
      <c r="A556" s="43">
        <v>1511501001</v>
      </c>
      <c r="B556" s="43" t="s">
        <v>3976</v>
      </c>
      <c r="C556" s="43" t="s">
        <v>1861</v>
      </c>
      <c r="D556" s="43" t="s">
        <v>3977</v>
      </c>
      <c r="E556" s="43" t="s">
        <v>58</v>
      </c>
      <c r="F556" s="43" t="s">
        <v>44</v>
      </c>
      <c r="G556" s="43" t="s">
        <v>45</v>
      </c>
      <c r="H556" s="43" t="b">
        <v>1</v>
      </c>
      <c r="I556" s="43" t="b">
        <v>1</v>
      </c>
      <c r="J556" s="43">
        <v>10</v>
      </c>
      <c r="K556" s="43">
        <v>10</v>
      </c>
      <c r="L556" s="43" t="s">
        <v>3983</v>
      </c>
      <c r="M556" s="43"/>
      <c r="N556" s="43"/>
      <c r="O556" s="176" t="s">
        <v>3984</v>
      </c>
      <c r="P556" s="43" t="s">
        <v>3985</v>
      </c>
      <c r="Q556" s="43" t="s">
        <v>3986</v>
      </c>
      <c r="R556" s="43" t="s">
        <v>3991</v>
      </c>
      <c r="S556" s="43" t="s">
        <v>76</v>
      </c>
      <c r="T556" s="43"/>
      <c r="U556" s="43"/>
      <c r="V556" s="43" t="b">
        <v>0</v>
      </c>
      <c r="W556" s="43" t="s">
        <v>3978</v>
      </c>
      <c r="X556" s="43"/>
      <c r="Y556" s="43" t="s">
        <v>3979</v>
      </c>
      <c r="Z556" s="43"/>
      <c r="AA556" s="43"/>
      <c r="AB556" s="43"/>
      <c r="AC556" s="181">
        <v>1.3</v>
      </c>
      <c r="AD556" s="43"/>
      <c r="AE556" s="43" t="s">
        <v>80</v>
      </c>
      <c r="AF556" s="43" t="s">
        <v>81</v>
      </c>
      <c r="AG556" s="182" t="s">
        <v>2757</v>
      </c>
    </row>
    <row r="557" spans="1:33" x14ac:dyDescent="0.3">
      <c r="A557" s="43">
        <v>1511501002</v>
      </c>
      <c r="B557" s="43" t="s">
        <v>3976</v>
      </c>
      <c r="C557" s="43" t="s">
        <v>1863</v>
      </c>
      <c r="D557" s="43" t="s">
        <v>3980</v>
      </c>
      <c r="E557" s="43" t="s">
        <v>47</v>
      </c>
      <c r="F557" s="43" t="s">
        <v>44</v>
      </c>
      <c r="G557" s="43" t="s">
        <v>45</v>
      </c>
      <c r="H557" s="43" t="b">
        <v>1</v>
      </c>
      <c r="I557" s="43" t="b">
        <v>1</v>
      </c>
      <c r="J557" s="43">
        <v>20</v>
      </c>
      <c r="K557" s="43">
        <v>10</v>
      </c>
      <c r="L557" s="43" t="s">
        <v>3992</v>
      </c>
      <c r="M557" s="43"/>
      <c r="N557" s="43"/>
      <c r="O557" s="176" t="s">
        <v>3987</v>
      </c>
      <c r="P557" s="43" t="s">
        <v>3988</v>
      </c>
      <c r="Q557" s="43" t="s">
        <v>3989</v>
      </c>
      <c r="R557" s="43" t="s">
        <v>3990</v>
      </c>
      <c r="S557" s="43" t="s">
        <v>76</v>
      </c>
      <c r="T557" s="43"/>
      <c r="U557" s="43"/>
      <c r="V557" s="43" t="b">
        <v>0</v>
      </c>
      <c r="W557" s="43" t="s">
        <v>3981</v>
      </c>
      <c r="X557" s="43"/>
      <c r="Y557" s="43" t="s">
        <v>3982</v>
      </c>
      <c r="Z557" s="43"/>
      <c r="AA557" s="43"/>
      <c r="AB557" s="43"/>
      <c r="AC557" s="181">
        <v>0.9</v>
      </c>
      <c r="AD557" s="43"/>
      <c r="AE557" s="43" t="s">
        <v>103</v>
      </c>
      <c r="AF557" s="43" t="s">
        <v>104</v>
      </c>
      <c r="AG557" s="182" t="s">
        <v>2757</v>
      </c>
    </row>
    <row r="558" spans="1:33" x14ac:dyDescent="0.3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78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94"/>
      <c r="AD558" s="14"/>
      <c r="AE558" s="14"/>
      <c r="AF558" s="14"/>
      <c r="AG558" s="173"/>
    </row>
    <row r="559" spans="1:33" x14ac:dyDescent="0.3">
      <c r="A559" s="22">
        <f t="shared" ref="A559:A590" si="466">A448+100000000</f>
        <v>1610601001</v>
      </c>
      <c r="B559" s="22" t="str">
        <f t="shared" ref="B559:AF559" si="467">IF(B448 &lt;&gt; "", B448, "")</f>
        <v>WorldRaid</v>
      </c>
      <c r="C559" s="22" t="str">
        <f t="shared" si="467"/>
        <v>에페리우스</v>
      </c>
      <c r="D559" s="22" t="str">
        <f t="shared" si="467"/>
        <v>Monster.Name.eperiusunit_1</v>
      </c>
      <c r="E559" s="22" t="str">
        <f t="shared" si="467"/>
        <v>None</v>
      </c>
      <c r="F559" s="53" t="str">
        <f t="shared" si="467"/>
        <v>Fac_nul_ind</v>
      </c>
      <c r="G559" s="22" t="str">
        <f t="shared" si="467"/>
        <v>TRUE</v>
      </c>
      <c r="H559" s="22" t="b">
        <f t="shared" si="467"/>
        <v>1</v>
      </c>
      <c r="I559" s="22" t="b">
        <f t="shared" si="467"/>
        <v>1</v>
      </c>
      <c r="J559" s="22">
        <f t="shared" si="467"/>
        <v>40</v>
      </c>
      <c r="K559" s="22">
        <f t="shared" si="467"/>
        <v>10</v>
      </c>
      <c r="L559" s="22" t="str">
        <f t="shared" si="467"/>
        <v>WorldRaid.eperiusunit_1.attack01</v>
      </c>
      <c r="M559" s="22" t="str">
        <f t="shared" si="467"/>
        <v>WorldRaid.eperiusunit_1.attack02</v>
      </c>
      <c r="N559" s="22" t="str">
        <f t="shared" si="467"/>
        <v>WorldRaid.eperiusunit_1.attack03</v>
      </c>
      <c r="O559" s="172" t="str">
        <f t="shared" si="467"/>
        <v>WorldRaid.eperiusunit_1.skill01</v>
      </c>
      <c r="P559" s="54" t="str">
        <f t="shared" si="467"/>
        <v>WorldRaid.eperiusunit_1.skill02</v>
      </c>
      <c r="Q559" s="54" t="str">
        <f t="shared" si="467"/>
        <v>WorldRaid.eperiusunit_1.skill03</v>
      </c>
      <c r="R559" s="54" t="str">
        <f t="shared" si="467"/>
        <v>WorldRaid.eperiusunit_1.skill04</v>
      </c>
      <c r="S559" s="54" t="str">
        <f t="shared" si="467"/>
        <v>WorldRaid.eperiusunit_1.passive01</v>
      </c>
      <c r="T559" s="54" t="str">
        <f t="shared" si="467"/>
        <v/>
      </c>
      <c r="U559" s="54" t="str">
        <f t="shared" si="467"/>
        <v/>
      </c>
      <c r="V559" s="22" t="b">
        <f t="shared" si="467"/>
        <v>0</v>
      </c>
      <c r="W559" s="22" t="str">
        <f t="shared" si="467"/>
        <v>Character/Prefabs/m_boss_ranger_eperiusunit_1</v>
      </c>
      <c r="X559" s="22" t="str">
        <f t="shared" si="467"/>
        <v/>
      </c>
      <c r="Y559" s="22" t="str">
        <f t="shared" si="467"/>
        <v>m_boss_ranger_eperiusunit_1</v>
      </c>
      <c r="Z559" s="22" t="str">
        <f t="shared" si="467"/>
        <v/>
      </c>
      <c r="AA559" s="22" t="str">
        <f t="shared" si="467"/>
        <v/>
      </c>
      <c r="AB559" s="22" t="str">
        <f t="shared" si="467"/>
        <v>Die_machine</v>
      </c>
      <c r="AC559" s="95">
        <f t="shared" si="467"/>
        <v>1.4</v>
      </c>
      <c r="AD559" s="22" t="str">
        <f t="shared" si="467"/>
        <v/>
      </c>
      <c r="AE559" s="22" t="str">
        <f t="shared" si="467"/>
        <v>Character/Timeline/02_MON/eperiusunit_1/appearance</v>
      </c>
      <c r="AF559" s="22" t="str">
        <f t="shared" si="467"/>
        <v>Character/Timeline/02_MON/eperiusunit_1/die</v>
      </c>
      <c r="AG559" s="173" t="s">
        <v>2765</v>
      </c>
    </row>
    <row r="560" spans="1:33" x14ac:dyDescent="0.3">
      <c r="A560" s="45">
        <f t="shared" si="466"/>
        <v>1611201001</v>
      </c>
      <c r="B560" s="45" t="str">
        <f t="shared" ref="B560:AF560" si="468">IF(B449 &lt;&gt; "", B449, "")</f>
        <v>GuildOperation01</v>
      </c>
      <c r="C560" s="45" t="str">
        <f t="shared" si="468"/>
        <v>톡식베리</v>
      </c>
      <c r="D560" s="45" t="str">
        <f t="shared" si="468"/>
        <v>Monster.Name.toxic_2</v>
      </c>
      <c r="E560" s="45" t="str">
        <f t="shared" si="468"/>
        <v>Attacker</v>
      </c>
      <c r="F560" s="46" t="str">
        <f t="shared" si="468"/>
        <v>Fac_nul_ind</v>
      </c>
      <c r="G560" s="45" t="str">
        <f t="shared" si="468"/>
        <v>TRUE</v>
      </c>
      <c r="H560" s="45" t="b">
        <f t="shared" si="468"/>
        <v>1</v>
      </c>
      <c r="I560" s="45" t="b">
        <f t="shared" si="468"/>
        <v>1</v>
      </c>
      <c r="J560" s="45">
        <f t="shared" si="468"/>
        <v>30</v>
      </c>
      <c r="K560" s="45">
        <f t="shared" si="468"/>
        <v>10</v>
      </c>
      <c r="L560" s="45" t="str">
        <f t="shared" si="468"/>
        <v>GuildOperation01.toxic_2.attack01</v>
      </c>
      <c r="M560" s="45" t="str">
        <f t="shared" si="468"/>
        <v>GuildOperation01.toxic_2.attack02</v>
      </c>
      <c r="N560" s="45" t="str">
        <f t="shared" si="468"/>
        <v/>
      </c>
      <c r="O560" s="174" t="str">
        <f t="shared" si="468"/>
        <v>GuildOperation01.toxic_2.skill01</v>
      </c>
      <c r="P560" s="47" t="str">
        <f t="shared" si="468"/>
        <v>GuildOperation01.toxic_2.skill02</v>
      </c>
      <c r="Q560" s="47" t="str">
        <f t="shared" si="468"/>
        <v>GuildOperation01.toxic_2.skill03</v>
      </c>
      <c r="R560" s="47" t="str">
        <f t="shared" si="468"/>
        <v>GuildOperation.Normal</v>
      </c>
      <c r="S560" s="47" t="str">
        <f t="shared" si="468"/>
        <v/>
      </c>
      <c r="T560" s="47" t="str">
        <f t="shared" si="468"/>
        <v/>
      </c>
      <c r="U560" s="47" t="str">
        <f t="shared" si="468"/>
        <v/>
      </c>
      <c r="V560" s="45" t="b">
        <f t="shared" si="468"/>
        <v>0</v>
      </c>
      <c r="W560" s="45" t="str">
        <f t="shared" si="468"/>
        <v>Character/Prefabs/m_boss_attacker_toxic_2</v>
      </c>
      <c r="X560" s="45" t="str">
        <f t="shared" si="468"/>
        <v/>
      </c>
      <c r="Y560" s="45" t="str">
        <f t="shared" si="468"/>
        <v>m_boss_attacker_toxic_2</v>
      </c>
      <c r="Z560" s="45" t="str">
        <f t="shared" si="468"/>
        <v/>
      </c>
      <c r="AA560" s="45" t="str">
        <f t="shared" si="468"/>
        <v/>
      </c>
      <c r="AB560" s="45" t="str">
        <f t="shared" si="468"/>
        <v>Die_machine</v>
      </c>
      <c r="AC560" s="93">
        <f t="shared" si="468"/>
        <v>1.2</v>
      </c>
      <c r="AD560" s="45" t="str">
        <f t="shared" si="468"/>
        <v/>
      </c>
      <c r="AE560" s="45" t="str">
        <f t="shared" si="468"/>
        <v>Character/Timeline/02_MON/toxic_1/m_boss_attacker_toxic_2_appearance</v>
      </c>
      <c r="AF560" s="45" t="str">
        <f t="shared" si="468"/>
        <v/>
      </c>
      <c r="AG560" s="173" t="s">
        <v>2765</v>
      </c>
    </row>
    <row r="561" spans="1:33" x14ac:dyDescent="0.3">
      <c r="A561" s="45">
        <f t="shared" si="466"/>
        <v>1611202001</v>
      </c>
      <c r="B561" s="45" t="str">
        <f t="shared" ref="B561:AF561" si="469">IF(B450 &lt;&gt; "", B450, "")</f>
        <v>GuildOperation02</v>
      </c>
      <c r="C561" s="45" t="str">
        <f t="shared" si="469"/>
        <v>골리앗베리</v>
      </c>
      <c r="D561" s="45" t="str">
        <f t="shared" si="469"/>
        <v>Monster.Name.goliath_2</v>
      </c>
      <c r="E561" s="45" t="str">
        <f t="shared" si="469"/>
        <v>Tanker</v>
      </c>
      <c r="F561" s="46" t="str">
        <f t="shared" si="469"/>
        <v>Fac_nul_ind</v>
      </c>
      <c r="G561" s="45" t="str">
        <f t="shared" si="469"/>
        <v>TRUE</v>
      </c>
      <c r="H561" s="45" t="b">
        <f t="shared" si="469"/>
        <v>1</v>
      </c>
      <c r="I561" s="45" t="b">
        <f t="shared" si="469"/>
        <v>1</v>
      </c>
      <c r="J561" s="45">
        <f t="shared" si="469"/>
        <v>20</v>
      </c>
      <c r="K561" s="45">
        <f t="shared" si="469"/>
        <v>10</v>
      </c>
      <c r="L561" s="45" t="str">
        <f t="shared" si="469"/>
        <v>GuildOperation02.goliath_2.attack01</v>
      </c>
      <c r="M561" s="45" t="str">
        <f t="shared" si="469"/>
        <v/>
      </c>
      <c r="N561" s="45" t="str">
        <f t="shared" si="469"/>
        <v/>
      </c>
      <c r="O561" s="174" t="str">
        <f t="shared" si="469"/>
        <v>GuildOperation02.goliath_2.skill01</v>
      </c>
      <c r="P561" s="47" t="str">
        <f t="shared" si="469"/>
        <v>GuildOperation02.goliath_2.skill02</v>
      </c>
      <c r="Q561" s="47" t="str">
        <f t="shared" si="469"/>
        <v>GuildOperation02.goliath_2.skill03</v>
      </c>
      <c r="R561" s="47" t="str">
        <f t="shared" si="469"/>
        <v>GuildOperation02.goliath_2.passive01</v>
      </c>
      <c r="S561" s="47" t="str">
        <f t="shared" si="469"/>
        <v>GuildOperation.Hard</v>
      </c>
      <c r="T561" s="47" t="str">
        <f t="shared" si="469"/>
        <v/>
      </c>
      <c r="U561" s="47" t="str">
        <f t="shared" si="469"/>
        <v/>
      </c>
      <c r="V561" s="45" t="b">
        <f t="shared" si="469"/>
        <v>0</v>
      </c>
      <c r="W561" s="45" t="str">
        <f t="shared" si="469"/>
        <v>Character/Prefabs/m_boss_attacker_goliath_2</v>
      </c>
      <c r="X561" s="45" t="str">
        <f t="shared" si="469"/>
        <v/>
      </c>
      <c r="Y561" s="45" t="str">
        <f t="shared" si="469"/>
        <v>m_boss_attacker_goliath_2</v>
      </c>
      <c r="Z561" s="45" t="str">
        <f t="shared" si="469"/>
        <v/>
      </c>
      <c r="AA561" s="45" t="str">
        <f t="shared" si="469"/>
        <v/>
      </c>
      <c r="AB561" s="45" t="str">
        <f t="shared" si="469"/>
        <v>Die_machine</v>
      </c>
      <c r="AC561" s="93">
        <f t="shared" si="469"/>
        <v>2</v>
      </c>
      <c r="AD561" s="45" t="str">
        <f t="shared" si="469"/>
        <v/>
      </c>
      <c r="AE561" s="45" t="str">
        <f t="shared" si="469"/>
        <v>Character/Timeline/02_MON/goliath_2/m_boss_attacker_goliath_2@appearance</v>
      </c>
      <c r="AF561" s="45" t="str">
        <f t="shared" si="469"/>
        <v/>
      </c>
      <c r="AG561" s="173" t="s">
        <v>2765</v>
      </c>
    </row>
    <row r="562" spans="1:33" x14ac:dyDescent="0.3">
      <c r="A562" s="45">
        <f t="shared" si="466"/>
        <v>1611202002</v>
      </c>
      <c r="B562" s="45" t="str">
        <f t="shared" ref="B562:AF562" si="470">IF(B451 &lt;&gt; "", B451, "")</f>
        <v>GuildOperation02</v>
      </c>
      <c r="C562" s="45" t="str">
        <f t="shared" si="470"/>
        <v>골리앗베리</v>
      </c>
      <c r="D562" s="45" t="str">
        <f t="shared" si="470"/>
        <v>Monster.Name.goliath_2</v>
      </c>
      <c r="E562" s="45" t="str">
        <f t="shared" si="470"/>
        <v>Tanker</v>
      </c>
      <c r="F562" s="46" t="str">
        <f t="shared" si="470"/>
        <v>Fac_nul_ind</v>
      </c>
      <c r="G562" s="45" t="str">
        <f t="shared" si="470"/>
        <v>TRUE</v>
      </c>
      <c r="H562" s="45" t="b">
        <f t="shared" si="470"/>
        <v>0</v>
      </c>
      <c r="I562" s="45" t="b">
        <f t="shared" si="470"/>
        <v>0</v>
      </c>
      <c r="J562" s="45">
        <f t="shared" si="470"/>
        <v>10</v>
      </c>
      <c r="K562" s="45">
        <f t="shared" si="470"/>
        <v>10</v>
      </c>
      <c r="L562" s="45" t="str">
        <f t="shared" si="470"/>
        <v>GuildOperation02.mini_1.attack01</v>
      </c>
      <c r="M562" s="45" t="str">
        <f t="shared" si="470"/>
        <v/>
      </c>
      <c r="N562" s="45" t="str">
        <f t="shared" si="470"/>
        <v/>
      </c>
      <c r="O562" s="174" t="str">
        <f t="shared" si="470"/>
        <v>GuildOperation02.mini_1.passive01</v>
      </c>
      <c r="P562" s="47" t="str">
        <f t="shared" si="470"/>
        <v/>
      </c>
      <c r="Q562" s="47" t="str">
        <f t="shared" si="470"/>
        <v/>
      </c>
      <c r="R562" s="47" t="str">
        <f t="shared" si="470"/>
        <v/>
      </c>
      <c r="S562" s="47" t="str">
        <f t="shared" si="470"/>
        <v/>
      </c>
      <c r="T562" s="47" t="str">
        <f t="shared" si="470"/>
        <v/>
      </c>
      <c r="U562" s="47" t="str">
        <f t="shared" si="470"/>
        <v/>
      </c>
      <c r="V562" s="45" t="b">
        <f t="shared" si="470"/>
        <v>0</v>
      </c>
      <c r="W562" s="45" t="str">
        <f t="shared" si="470"/>
        <v>Character/Prefabs/m_boss_attacker_goliath_2</v>
      </c>
      <c r="X562" s="45" t="str">
        <f t="shared" si="470"/>
        <v/>
      </c>
      <c r="Y562" s="45" t="str">
        <f t="shared" si="470"/>
        <v>m_boss_attacker_goliath_2</v>
      </c>
      <c r="Z562" s="45" t="str">
        <f t="shared" si="470"/>
        <v/>
      </c>
      <c r="AA562" s="45" t="str">
        <f t="shared" si="470"/>
        <v/>
      </c>
      <c r="AB562" s="45" t="str">
        <f t="shared" si="470"/>
        <v>Die_machine</v>
      </c>
      <c r="AC562" s="93">
        <f t="shared" si="470"/>
        <v>0.5</v>
      </c>
      <c r="AD562" s="45" t="str">
        <f t="shared" si="470"/>
        <v/>
      </c>
      <c r="AE562" s="45" t="str">
        <f t="shared" si="470"/>
        <v/>
      </c>
      <c r="AF562" s="45" t="str">
        <f t="shared" si="470"/>
        <v/>
      </c>
      <c r="AG562" s="173" t="s">
        <v>2765</v>
      </c>
    </row>
    <row r="563" spans="1:33" x14ac:dyDescent="0.3">
      <c r="A563" s="108">
        <f t="shared" si="466"/>
        <v>1611401001</v>
      </c>
      <c r="B563" s="108" t="str">
        <f t="shared" ref="B563:AF563" si="471">IF(B452 &lt;&gt; "", B452, "")</f>
        <v>GuildAssault</v>
      </c>
      <c r="C563" s="108" t="str">
        <f t="shared" si="471"/>
        <v>마리오네</v>
      </c>
      <c r="D563" s="108" t="str">
        <f t="shared" si="471"/>
        <v>Monster.Name.marionne_1</v>
      </c>
      <c r="E563" s="108" t="str">
        <f t="shared" si="471"/>
        <v>None</v>
      </c>
      <c r="F563" s="109" t="str">
        <f t="shared" si="471"/>
        <v>Fac_nul_ind</v>
      </c>
      <c r="G563" s="108" t="str">
        <f t="shared" si="471"/>
        <v>TRUE</v>
      </c>
      <c r="H563" s="108" t="b">
        <f t="shared" si="471"/>
        <v>1</v>
      </c>
      <c r="I563" s="108" t="b">
        <f t="shared" si="471"/>
        <v>1</v>
      </c>
      <c r="J563" s="108">
        <f t="shared" si="471"/>
        <v>10</v>
      </c>
      <c r="K563" s="108">
        <f t="shared" si="471"/>
        <v>10</v>
      </c>
      <c r="L563" s="108" t="str">
        <f t="shared" si="471"/>
        <v>1111401001.attack01</v>
      </c>
      <c r="M563" s="108" t="str">
        <f t="shared" si="471"/>
        <v>1111401001.attack02</v>
      </c>
      <c r="N563" s="108" t="str">
        <f t="shared" si="471"/>
        <v>1111401001.attack03</v>
      </c>
      <c r="O563" s="175" t="str">
        <f t="shared" si="471"/>
        <v>1111401001.skill01</v>
      </c>
      <c r="P563" s="110" t="str">
        <f t="shared" si="471"/>
        <v>1111401001.skill02</v>
      </c>
      <c r="Q563" s="110" t="str">
        <f t="shared" si="471"/>
        <v>1111401001.skill03</v>
      </c>
      <c r="R563" s="110" t="str">
        <f t="shared" si="471"/>
        <v>1111401001.Passive</v>
      </c>
      <c r="S563" s="110" t="str">
        <f t="shared" si="471"/>
        <v>GuildAssault.Passive</v>
      </c>
      <c r="T563" s="110" t="str">
        <f t="shared" si="471"/>
        <v/>
      </c>
      <c r="U563" s="110" t="str">
        <f t="shared" si="471"/>
        <v/>
      </c>
      <c r="V563" s="108" t="b">
        <f t="shared" si="471"/>
        <v>0</v>
      </c>
      <c r="W563" s="108" t="str">
        <f t="shared" si="471"/>
        <v>Character/Prefabs/m_boss_ranger_marionne_1</v>
      </c>
      <c r="X563" s="108" t="str">
        <f t="shared" si="471"/>
        <v/>
      </c>
      <c r="Y563" s="108" t="str">
        <f t="shared" si="471"/>
        <v>m_boss_ranger_marionne_1</v>
      </c>
      <c r="Z563" s="108" t="str">
        <f t="shared" si="471"/>
        <v/>
      </c>
      <c r="AA563" s="108" t="str">
        <f t="shared" si="471"/>
        <v/>
      </c>
      <c r="AB563" s="108" t="str">
        <f t="shared" si="471"/>
        <v>Die_machine</v>
      </c>
      <c r="AC563" s="111">
        <f t="shared" si="471"/>
        <v>1</v>
      </c>
      <c r="AD563" s="108" t="str">
        <f t="shared" si="471"/>
        <v/>
      </c>
      <c r="AE563" s="108" t="str">
        <f t="shared" si="471"/>
        <v>Character/Timeline/02_MON/marionne/m_boss_ranger_marionne_1@enter_timeline</v>
      </c>
      <c r="AF563" s="108" t="str">
        <f t="shared" si="471"/>
        <v>Character/Timeline/02_MON/marionne/m_boss_ranger_marionne_1@die_timeline</v>
      </c>
      <c r="AG563" s="173" t="s">
        <v>2765</v>
      </c>
    </row>
    <row r="564" spans="1:33" x14ac:dyDescent="0.3">
      <c r="A564" s="108">
        <f t="shared" si="466"/>
        <v>1611401002</v>
      </c>
      <c r="B564" s="108" t="str">
        <f t="shared" ref="B564:AF564" si="472">IF(B453 &lt;&gt; "", B453, "")</f>
        <v>GuildAssault</v>
      </c>
      <c r="C564" s="108" t="str">
        <f t="shared" si="472"/>
        <v>마리오네_퍼펫</v>
      </c>
      <c r="D564" s="108" t="str">
        <f t="shared" si="472"/>
        <v>Monster.Name.marionne_puppet_1</v>
      </c>
      <c r="E564" s="108" t="str">
        <f t="shared" si="472"/>
        <v>Attacker</v>
      </c>
      <c r="F564" s="109" t="str">
        <f t="shared" si="472"/>
        <v>Fac_nul_ind</v>
      </c>
      <c r="G564" s="108" t="str">
        <f t="shared" si="472"/>
        <v>TRUE</v>
      </c>
      <c r="H564" s="108" t="b">
        <f t="shared" si="472"/>
        <v>0</v>
      </c>
      <c r="I564" s="108" t="b">
        <f t="shared" si="472"/>
        <v>0</v>
      </c>
      <c r="J564" s="108">
        <f t="shared" si="472"/>
        <v>10</v>
      </c>
      <c r="K564" s="108">
        <f t="shared" si="472"/>
        <v>10</v>
      </c>
      <c r="L564" s="108" t="str">
        <f t="shared" si="472"/>
        <v>1111401002.attack01</v>
      </c>
      <c r="M564" s="108" t="str">
        <f t="shared" si="472"/>
        <v/>
      </c>
      <c r="N564" s="108" t="str">
        <f t="shared" si="472"/>
        <v/>
      </c>
      <c r="O564" s="175" t="str">
        <f t="shared" si="472"/>
        <v>1111401002.Passive</v>
      </c>
      <c r="P564" s="110" t="str">
        <f t="shared" si="472"/>
        <v/>
      </c>
      <c r="Q564" s="110" t="str">
        <f t="shared" si="472"/>
        <v/>
      </c>
      <c r="R564" s="110" t="str">
        <f t="shared" si="472"/>
        <v/>
      </c>
      <c r="S564" s="110" t="str">
        <f t="shared" si="472"/>
        <v/>
      </c>
      <c r="T564" s="110" t="str">
        <f t="shared" si="472"/>
        <v/>
      </c>
      <c r="U564" s="110" t="str">
        <f t="shared" si="472"/>
        <v/>
      </c>
      <c r="V564" s="108" t="b">
        <f t="shared" si="472"/>
        <v>0</v>
      </c>
      <c r="W564" s="108" t="str">
        <f t="shared" si="472"/>
        <v>Character/Prefabs/m_m_attacker_marionne_puppet_1</v>
      </c>
      <c r="X564" s="108" t="str">
        <f t="shared" si="472"/>
        <v/>
      </c>
      <c r="Y564" s="108" t="str">
        <f t="shared" si="472"/>
        <v>m_m_attacker_marionne_puppet_1</v>
      </c>
      <c r="Z564" s="108" t="str">
        <f t="shared" si="472"/>
        <v/>
      </c>
      <c r="AA564" s="108" t="str">
        <f t="shared" si="472"/>
        <v/>
      </c>
      <c r="AB564" s="108" t="str">
        <f t="shared" si="472"/>
        <v>Die_machine</v>
      </c>
      <c r="AC564" s="111">
        <f t="shared" si="472"/>
        <v>1</v>
      </c>
      <c r="AD564" s="108" t="str">
        <f t="shared" si="472"/>
        <v/>
      </c>
      <c r="AE564" s="108" t="str">
        <f t="shared" si="472"/>
        <v/>
      </c>
      <c r="AF564" s="108" t="str">
        <f t="shared" si="472"/>
        <v/>
      </c>
      <c r="AG564" s="173" t="s">
        <v>2765</v>
      </c>
    </row>
    <row r="565" spans="1:33" x14ac:dyDescent="0.3">
      <c r="A565" s="108">
        <f t="shared" si="466"/>
        <v>1611401003</v>
      </c>
      <c r="B565" s="108" t="str">
        <f t="shared" ref="B565:AF565" si="473">IF(B454 &lt;&gt; "", B454, "")</f>
        <v>GuildAssault</v>
      </c>
      <c r="C565" s="108" t="str">
        <f t="shared" si="473"/>
        <v>마리오네_퍼펫</v>
      </c>
      <c r="D565" s="108" t="str">
        <f t="shared" si="473"/>
        <v>Monster.Name.marionne_puppet_1</v>
      </c>
      <c r="E565" s="108" t="str">
        <f t="shared" si="473"/>
        <v>Attacker</v>
      </c>
      <c r="F565" s="109" t="str">
        <f t="shared" si="473"/>
        <v>Fac_nul_ind</v>
      </c>
      <c r="G565" s="108" t="str">
        <f t="shared" si="473"/>
        <v>TRUE</v>
      </c>
      <c r="H565" s="108" t="b">
        <f t="shared" si="473"/>
        <v>0</v>
      </c>
      <c r="I565" s="108" t="b">
        <f t="shared" si="473"/>
        <v>0</v>
      </c>
      <c r="J565" s="108">
        <f t="shared" si="473"/>
        <v>10</v>
      </c>
      <c r="K565" s="108">
        <f t="shared" si="473"/>
        <v>10</v>
      </c>
      <c r="L565" s="108" t="str">
        <f t="shared" si="473"/>
        <v>1111401003.attack01</v>
      </c>
      <c r="M565" s="108" t="str">
        <f t="shared" si="473"/>
        <v/>
      </c>
      <c r="N565" s="108" t="str">
        <f t="shared" si="473"/>
        <v/>
      </c>
      <c r="O565" s="175" t="str">
        <f t="shared" si="473"/>
        <v>1111401003.Passive</v>
      </c>
      <c r="P565" s="110" t="str">
        <f t="shared" si="473"/>
        <v/>
      </c>
      <c r="Q565" s="110" t="str">
        <f t="shared" si="473"/>
        <v/>
      </c>
      <c r="R565" s="110" t="str">
        <f t="shared" si="473"/>
        <v/>
      </c>
      <c r="S565" s="110" t="str">
        <f t="shared" si="473"/>
        <v/>
      </c>
      <c r="T565" s="110" t="str">
        <f t="shared" si="473"/>
        <v/>
      </c>
      <c r="U565" s="110" t="str">
        <f t="shared" si="473"/>
        <v/>
      </c>
      <c r="V565" s="108" t="b">
        <f t="shared" si="473"/>
        <v>0</v>
      </c>
      <c r="W565" s="108" t="str">
        <f t="shared" si="473"/>
        <v>Character/Prefabs/m_m_attacker_marionne_puppet_1</v>
      </c>
      <c r="X565" s="108" t="str">
        <f t="shared" si="473"/>
        <v/>
      </c>
      <c r="Y565" s="108" t="str">
        <f t="shared" si="473"/>
        <v>m_m_attacker_marionne_puppet_1</v>
      </c>
      <c r="Z565" s="108" t="str">
        <f t="shared" si="473"/>
        <v/>
      </c>
      <c r="AA565" s="108" t="str">
        <f t="shared" si="473"/>
        <v/>
      </c>
      <c r="AB565" s="108" t="str">
        <f t="shared" si="473"/>
        <v>Die_machine</v>
      </c>
      <c r="AC565" s="111">
        <f t="shared" si="473"/>
        <v>1</v>
      </c>
      <c r="AD565" s="108" t="str">
        <f t="shared" si="473"/>
        <v/>
      </c>
      <c r="AE565" s="108" t="str">
        <f t="shared" si="473"/>
        <v/>
      </c>
      <c r="AF565" s="108" t="str">
        <f t="shared" si="473"/>
        <v/>
      </c>
      <c r="AG565" s="173" t="s">
        <v>2765</v>
      </c>
    </row>
    <row r="566" spans="1:33" x14ac:dyDescent="0.3">
      <c r="A566" s="108">
        <f t="shared" si="466"/>
        <v>1611401004</v>
      </c>
      <c r="B566" s="108" t="str">
        <f t="shared" ref="B566:AF566" si="474">IF(B455 &lt;&gt; "", B455, "")</f>
        <v>GuildAssault</v>
      </c>
      <c r="C566" s="108" t="str">
        <f t="shared" si="474"/>
        <v>마리오네_퍼펫</v>
      </c>
      <c r="D566" s="108" t="str">
        <f t="shared" si="474"/>
        <v>Monster.Name.marionne_puppet_1</v>
      </c>
      <c r="E566" s="108" t="str">
        <f t="shared" si="474"/>
        <v>Attacker</v>
      </c>
      <c r="F566" s="109" t="str">
        <f t="shared" si="474"/>
        <v>Fac_nul_ind</v>
      </c>
      <c r="G566" s="108" t="str">
        <f t="shared" si="474"/>
        <v>TRUE</v>
      </c>
      <c r="H566" s="108" t="b">
        <f t="shared" si="474"/>
        <v>0</v>
      </c>
      <c r="I566" s="108" t="b">
        <f t="shared" si="474"/>
        <v>0</v>
      </c>
      <c r="J566" s="108">
        <f t="shared" si="474"/>
        <v>10</v>
      </c>
      <c r="K566" s="108">
        <f t="shared" si="474"/>
        <v>10</v>
      </c>
      <c r="L566" s="108" t="str">
        <f t="shared" si="474"/>
        <v/>
      </c>
      <c r="M566" s="108" t="str">
        <f t="shared" si="474"/>
        <v/>
      </c>
      <c r="N566" s="108" t="str">
        <f t="shared" si="474"/>
        <v/>
      </c>
      <c r="O566" s="175" t="str">
        <f t="shared" si="474"/>
        <v>1111401004.skill01</v>
      </c>
      <c r="P566" s="110" t="str">
        <f t="shared" si="474"/>
        <v>1111401004.Passive</v>
      </c>
      <c r="Q566" s="110" t="str">
        <f t="shared" si="474"/>
        <v/>
      </c>
      <c r="R566" s="110" t="str">
        <f t="shared" si="474"/>
        <v/>
      </c>
      <c r="S566" s="110" t="str">
        <f t="shared" si="474"/>
        <v/>
      </c>
      <c r="T566" s="110" t="str">
        <f t="shared" si="474"/>
        <v/>
      </c>
      <c r="U566" s="110" t="str">
        <f t="shared" si="474"/>
        <v/>
      </c>
      <c r="V566" s="108" t="b">
        <f t="shared" si="474"/>
        <v>0</v>
      </c>
      <c r="W566" s="108" t="str">
        <f t="shared" si="474"/>
        <v>Character/Prefabs/m_m_attacker_marionne_puppet_1</v>
      </c>
      <c r="X566" s="108" t="str">
        <f t="shared" si="474"/>
        <v/>
      </c>
      <c r="Y566" s="108" t="str">
        <f t="shared" si="474"/>
        <v>m_m_attacker_marionne_puppet_1</v>
      </c>
      <c r="Z566" s="108" t="str">
        <f t="shared" si="474"/>
        <v/>
      </c>
      <c r="AA566" s="108" t="str">
        <f t="shared" si="474"/>
        <v/>
      </c>
      <c r="AB566" s="108" t="str">
        <f t="shared" si="474"/>
        <v>Die_machine</v>
      </c>
      <c r="AC566" s="111">
        <f t="shared" si="474"/>
        <v>1</v>
      </c>
      <c r="AD566" s="108" t="str">
        <f t="shared" si="474"/>
        <v/>
      </c>
      <c r="AE566" s="108" t="str">
        <f t="shared" si="474"/>
        <v/>
      </c>
      <c r="AF566" s="108" t="str">
        <f t="shared" si="474"/>
        <v/>
      </c>
      <c r="AG566" s="173" t="s">
        <v>2765</v>
      </c>
    </row>
    <row r="567" spans="1:33" x14ac:dyDescent="0.3">
      <c r="A567" s="108">
        <f t="shared" si="466"/>
        <v>1611401005</v>
      </c>
      <c r="B567" s="108" t="str">
        <f t="shared" ref="B567:AF567" si="475">IF(B456 &lt;&gt; "", B456, "")</f>
        <v>GuildAssault</v>
      </c>
      <c r="C567" s="108" t="str">
        <f t="shared" si="475"/>
        <v>마리오네_스킬5</v>
      </c>
      <c r="D567" s="108" t="str">
        <f t="shared" si="475"/>
        <v/>
      </c>
      <c r="E567" s="108" t="str">
        <f t="shared" si="475"/>
        <v>Tanker</v>
      </c>
      <c r="F567" s="109" t="str">
        <f t="shared" si="475"/>
        <v>Fac_nul_ind</v>
      </c>
      <c r="G567" s="108" t="b">
        <f t="shared" si="475"/>
        <v>1</v>
      </c>
      <c r="H567" s="108" t="str">
        <f t="shared" si="475"/>
        <v>FALSE</v>
      </c>
      <c r="I567" s="108" t="str">
        <f t="shared" si="475"/>
        <v>FALSE</v>
      </c>
      <c r="J567" s="108">
        <f t="shared" si="475"/>
        <v>10</v>
      </c>
      <c r="K567" s="108">
        <f t="shared" si="475"/>
        <v>10</v>
      </c>
      <c r="L567" s="108" t="str">
        <f t="shared" si="475"/>
        <v/>
      </c>
      <c r="M567" s="108" t="str">
        <f t="shared" si="475"/>
        <v/>
      </c>
      <c r="N567" s="108" t="str">
        <f t="shared" si="475"/>
        <v/>
      </c>
      <c r="O567" s="175" t="str">
        <f t="shared" si="475"/>
        <v/>
      </c>
      <c r="P567" s="110" t="str">
        <f t="shared" si="475"/>
        <v/>
      </c>
      <c r="Q567" s="110" t="str">
        <f t="shared" si="475"/>
        <v/>
      </c>
      <c r="R567" s="110" t="str">
        <f t="shared" si="475"/>
        <v/>
      </c>
      <c r="S567" s="110" t="str">
        <f t="shared" si="475"/>
        <v/>
      </c>
      <c r="T567" s="110" t="str">
        <f t="shared" si="475"/>
        <v/>
      </c>
      <c r="U567" s="110" t="str">
        <f t="shared" si="475"/>
        <v/>
      </c>
      <c r="V567" s="108" t="b">
        <f t="shared" si="475"/>
        <v>1</v>
      </c>
      <c r="W567" s="108" t="str">
        <f t="shared" si="475"/>
        <v>Character/Prefabs/m_boss_ranger_marionne_1_abn</v>
      </c>
      <c r="X567" s="108" t="str">
        <f t="shared" si="475"/>
        <v/>
      </c>
      <c r="Y567" s="108" t="str">
        <f t="shared" si="475"/>
        <v/>
      </c>
      <c r="Z567" s="108" t="str">
        <f t="shared" si="475"/>
        <v/>
      </c>
      <c r="AA567" s="108" t="str">
        <f t="shared" si="475"/>
        <v/>
      </c>
      <c r="AB567" s="108" t="str">
        <f t="shared" si="475"/>
        <v>Die_machine</v>
      </c>
      <c r="AC567" s="111">
        <f t="shared" si="475"/>
        <v>0.9</v>
      </c>
      <c r="AD567" s="108" t="str">
        <f t="shared" si="475"/>
        <v/>
      </c>
      <c r="AE567" s="108" t="str">
        <f t="shared" si="475"/>
        <v/>
      </c>
      <c r="AF567" s="108" t="str">
        <f t="shared" si="475"/>
        <v/>
      </c>
      <c r="AG567" s="173" t="s">
        <v>2765</v>
      </c>
    </row>
    <row r="568" spans="1:33" x14ac:dyDescent="0.3">
      <c r="A568" s="41">
        <f t="shared" si="466"/>
        <v>1610501001</v>
      </c>
      <c r="B568" s="41" t="str">
        <f t="shared" ref="B568:AF568" si="476">IF(B457 &lt;&gt; "", B457, "")</f>
        <v>Raid1001</v>
      </c>
      <c r="C568" s="41" t="str">
        <f t="shared" si="476"/>
        <v>카라</v>
      </c>
      <c r="D568" s="41" t="str">
        <f t="shared" si="476"/>
        <v>Monster.Name.kara_1</v>
      </c>
      <c r="E568" s="41" t="str">
        <f t="shared" si="476"/>
        <v>Attacker</v>
      </c>
      <c r="F568" s="42" t="str">
        <f t="shared" si="476"/>
        <v>Fac_nul_ind</v>
      </c>
      <c r="G568" s="41" t="str">
        <f t="shared" si="476"/>
        <v>TRUE</v>
      </c>
      <c r="H568" s="41" t="b">
        <f t="shared" si="476"/>
        <v>1</v>
      </c>
      <c r="I568" s="41" t="b">
        <f t="shared" si="476"/>
        <v>1</v>
      </c>
      <c r="J568" s="41">
        <f t="shared" si="476"/>
        <v>20</v>
      </c>
      <c r="K568" s="41">
        <f t="shared" si="476"/>
        <v>10</v>
      </c>
      <c r="L568" s="41" t="str">
        <f t="shared" si="476"/>
        <v>Raid1001.kara_1.attack01</v>
      </c>
      <c r="M568" s="41" t="str">
        <f t="shared" si="476"/>
        <v>Raid1001.kara_1.attack02</v>
      </c>
      <c r="N568" s="41" t="str">
        <f t="shared" si="476"/>
        <v/>
      </c>
      <c r="O568" s="176" t="str">
        <f t="shared" si="476"/>
        <v>Raid1001.kara_1.skill01</v>
      </c>
      <c r="P568" s="43" t="str">
        <f t="shared" si="476"/>
        <v>Raid1001.kara_1.skill02</v>
      </c>
      <c r="Q568" s="43" t="str">
        <f t="shared" si="476"/>
        <v>Raid1001.kara_1.skill03</v>
      </c>
      <c r="R568" s="43" t="str">
        <f t="shared" si="476"/>
        <v>Raid1001.kara_1.skill04</v>
      </c>
      <c r="S568" s="43" t="str">
        <f t="shared" si="476"/>
        <v>Raid1001.kara_1.passive01</v>
      </c>
      <c r="T568" s="43" t="str">
        <f t="shared" si="476"/>
        <v/>
      </c>
      <c r="U568" s="43" t="str">
        <f t="shared" si="476"/>
        <v/>
      </c>
      <c r="V568" s="41" t="b">
        <f t="shared" si="476"/>
        <v>0</v>
      </c>
      <c r="W568" s="41" t="str">
        <f t="shared" si="476"/>
        <v>Character/Prefabs/m_boss_attacker_kara_1</v>
      </c>
      <c r="X568" s="41" t="str">
        <f t="shared" si="476"/>
        <v/>
      </c>
      <c r="Y568" s="41" t="str">
        <f t="shared" si="476"/>
        <v>m_boss_attacker_kara_1</v>
      </c>
      <c r="Z568" s="41" t="str">
        <f t="shared" si="476"/>
        <v/>
      </c>
      <c r="AA568" s="41" t="str">
        <f t="shared" si="476"/>
        <v/>
      </c>
      <c r="AB568" s="41" t="str">
        <f t="shared" si="476"/>
        <v/>
      </c>
      <c r="AC568" s="90">
        <f t="shared" si="476"/>
        <v>1.7</v>
      </c>
      <c r="AD568" s="41" t="str">
        <f t="shared" si="476"/>
        <v/>
      </c>
      <c r="AE568" s="41" t="str">
        <f t="shared" si="476"/>
        <v>Character/Timeline/02_MON/kara/appearance</v>
      </c>
      <c r="AF568" s="41" t="str">
        <f t="shared" si="476"/>
        <v>Character/Timeline/02_MON/kara/die</v>
      </c>
      <c r="AG568" s="173" t="s">
        <v>2765</v>
      </c>
    </row>
    <row r="569" spans="1:33" x14ac:dyDescent="0.3">
      <c r="A569" s="41">
        <f t="shared" si="466"/>
        <v>1610501002</v>
      </c>
      <c r="B569" s="41" t="str">
        <f t="shared" ref="B569:AF569" si="477">IF(B458 &lt;&gt; "", B458, "")</f>
        <v>Raid1001</v>
      </c>
      <c r="C569" s="41" t="str">
        <f t="shared" si="477"/>
        <v>카라베리</v>
      </c>
      <c r="D569" s="41" t="str">
        <f t="shared" si="477"/>
        <v>Monster.Name.kara_2</v>
      </c>
      <c r="E569" s="41" t="str">
        <f t="shared" si="477"/>
        <v>Attacker</v>
      </c>
      <c r="F569" s="42" t="str">
        <f t="shared" si="477"/>
        <v>Fac_nul_ind</v>
      </c>
      <c r="G569" s="41" t="str">
        <f t="shared" si="477"/>
        <v>TRUE</v>
      </c>
      <c r="H569" s="41" t="b">
        <f t="shared" si="477"/>
        <v>1</v>
      </c>
      <c r="I569" s="41" t="b">
        <f t="shared" si="477"/>
        <v>1</v>
      </c>
      <c r="J569" s="41">
        <f t="shared" si="477"/>
        <v>20</v>
      </c>
      <c r="K569" s="41">
        <f t="shared" si="477"/>
        <v>10</v>
      </c>
      <c r="L569" s="41" t="str">
        <f t="shared" si="477"/>
        <v>Raid1001.kara_2.attack01</v>
      </c>
      <c r="M569" s="41" t="str">
        <f t="shared" si="477"/>
        <v>Raid1001.kara_2.attack02</v>
      </c>
      <c r="N569" s="41" t="str">
        <f t="shared" si="477"/>
        <v/>
      </c>
      <c r="O569" s="176" t="str">
        <f t="shared" si="477"/>
        <v>Raid1001.kara_2.skill01</v>
      </c>
      <c r="P569" s="43" t="str">
        <f t="shared" si="477"/>
        <v>Raid1001.kara_2.skill02</v>
      </c>
      <c r="Q569" s="43" t="str">
        <f t="shared" si="477"/>
        <v>Raid1001.kara_2.skill03</v>
      </c>
      <c r="R569" s="43" t="str">
        <f t="shared" si="477"/>
        <v>Raid1001.kara_2.skill04</v>
      </c>
      <c r="S569" s="43" t="str">
        <f t="shared" si="477"/>
        <v>Raid1001.kara_2.passive01</v>
      </c>
      <c r="T569" s="43" t="str">
        <f t="shared" si="477"/>
        <v/>
      </c>
      <c r="U569" s="43" t="str">
        <f t="shared" si="477"/>
        <v/>
      </c>
      <c r="V569" s="41" t="b">
        <f t="shared" si="477"/>
        <v>0</v>
      </c>
      <c r="W569" s="41" t="str">
        <f t="shared" si="477"/>
        <v>Character/Prefabs/m_boss_attacker_kara_2</v>
      </c>
      <c r="X569" s="41" t="str">
        <f t="shared" si="477"/>
        <v/>
      </c>
      <c r="Y569" s="41" t="str">
        <f t="shared" si="477"/>
        <v>m_boss_attacker_kara_2</v>
      </c>
      <c r="Z569" s="41" t="str">
        <f t="shared" si="477"/>
        <v/>
      </c>
      <c r="AA569" s="41" t="str">
        <f t="shared" si="477"/>
        <v/>
      </c>
      <c r="AB569" s="41" t="str">
        <f t="shared" si="477"/>
        <v/>
      </c>
      <c r="AC569" s="90">
        <f t="shared" si="477"/>
        <v>1.7</v>
      </c>
      <c r="AD569" s="41" t="str">
        <f t="shared" si="477"/>
        <v/>
      </c>
      <c r="AE569" s="41" t="str">
        <f t="shared" si="477"/>
        <v>Character/Timeline/02_MON/kara/appearance_2</v>
      </c>
      <c r="AF569" s="41" t="str">
        <f t="shared" si="477"/>
        <v>Character/Timeline/02_MON/kara/die_2</v>
      </c>
      <c r="AG569" s="173" t="s">
        <v>2758</v>
      </c>
    </row>
    <row r="570" spans="1:33" x14ac:dyDescent="0.3">
      <c r="A570" s="41">
        <f t="shared" si="466"/>
        <v>1610502001</v>
      </c>
      <c r="B570" s="41" t="str">
        <f t="shared" ref="B570:AF570" si="478">IF(B459 &lt;&gt; "", B459, "")</f>
        <v>Raid2001</v>
      </c>
      <c r="C570" s="41" t="str">
        <f t="shared" si="478"/>
        <v>바나클빌더</v>
      </c>
      <c r="D570" s="41" t="str">
        <f t="shared" si="478"/>
        <v>Monster.Name.barnacle_builder_1</v>
      </c>
      <c r="E570" s="41" t="str">
        <f t="shared" si="478"/>
        <v>Tanker</v>
      </c>
      <c r="F570" s="42" t="str">
        <f t="shared" si="478"/>
        <v>Fac_nul_ind</v>
      </c>
      <c r="G570" s="41" t="str">
        <f t="shared" si="478"/>
        <v>TRUE</v>
      </c>
      <c r="H570" s="41" t="b">
        <f t="shared" si="478"/>
        <v>1</v>
      </c>
      <c r="I570" s="41" t="b">
        <f t="shared" si="478"/>
        <v>1</v>
      </c>
      <c r="J570" s="41">
        <f t="shared" si="478"/>
        <v>20</v>
      </c>
      <c r="K570" s="41">
        <f t="shared" si="478"/>
        <v>10</v>
      </c>
      <c r="L570" s="41" t="str">
        <f t="shared" si="478"/>
        <v>Raid2001.barnacle_builder_1.attack01</v>
      </c>
      <c r="M570" s="41" t="str">
        <f t="shared" si="478"/>
        <v>Raid2001.barnacle_builder_1.attack02</v>
      </c>
      <c r="N570" s="41" t="str">
        <f t="shared" si="478"/>
        <v/>
      </c>
      <c r="O570" s="176" t="str">
        <f t="shared" si="478"/>
        <v>Raid2001.barnacle_builder_1.skill01</v>
      </c>
      <c r="P570" s="43" t="str">
        <f t="shared" si="478"/>
        <v>Raid2001.barnacle_builder_1.skill02</v>
      </c>
      <c r="Q570" s="43" t="str">
        <f t="shared" si="478"/>
        <v>Raid2001.barnacle_builder_1.skill03</v>
      </c>
      <c r="R570" s="43" t="str">
        <f t="shared" si="478"/>
        <v>Raid2001.barnacle_builder_1.passive01</v>
      </c>
      <c r="S570" s="43" t="str">
        <f t="shared" si="478"/>
        <v>Boss.Common.Immun</v>
      </c>
      <c r="T570" s="43" t="str">
        <f t="shared" si="478"/>
        <v/>
      </c>
      <c r="U570" s="43" t="str">
        <f t="shared" si="478"/>
        <v/>
      </c>
      <c r="V570" s="41" t="b">
        <f t="shared" si="478"/>
        <v>0</v>
      </c>
      <c r="W570" s="41" t="str">
        <f t="shared" si="478"/>
        <v>Character/Prefabs/m_boss_tanker_barnacle_builder_1</v>
      </c>
      <c r="X570" s="41" t="str">
        <f t="shared" si="478"/>
        <v/>
      </c>
      <c r="Y570" s="41" t="str">
        <f t="shared" si="478"/>
        <v>m_boss_tanker_barnacle_builder_1</v>
      </c>
      <c r="Z570" s="41" t="str">
        <f t="shared" si="478"/>
        <v/>
      </c>
      <c r="AA570" s="41" t="str">
        <f t="shared" si="478"/>
        <v/>
      </c>
      <c r="AB570" s="41" t="str">
        <f t="shared" si="478"/>
        <v/>
      </c>
      <c r="AC570" s="90">
        <f t="shared" si="478"/>
        <v>1</v>
      </c>
      <c r="AD570" s="41" t="str">
        <f t="shared" si="478"/>
        <v/>
      </c>
      <c r="AE570" s="41" t="str">
        <f t="shared" si="478"/>
        <v>Character/Timeline/02_MON/barnacle_builder_1/appearance</v>
      </c>
      <c r="AF570" s="41" t="str">
        <f t="shared" si="478"/>
        <v>Character/Timeline/02_MON/barnacle_builder_1/die</v>
      </c>
      <c r="AG570" s="173" t="s">
        <v>2758</v>
      </c>
    </row>
    <row r="571" spans="1:33" x14ac:dyDescent="0.3">
      <c r="A571" s="41">
        <f t="shared" si="466"/>
        <v>1610503001</v>
      </c>
      <c r="B571" s="41" t="str">
        <f t="shared" ref="B571:AF571" si="479">IF(B460 &lt;&gt; "", B460, "")</f>
        <v>Raid3001</v>
      </c>
      <c r="C571" s="41" t="str">
        <f t="shared" si="479"/>
        <v>마인드로더</v>
      </c>
      <c r="D571" s="41" t="str">
        <f t="shared" si="479"/>
        <v>Monster.Name.mindloader_1</v>
      </c>
      <c r="E571" s="41" t="str">
        <f t="shared" si="479"/>
        <v>Attacker</v>
      </c>
      <c r="F571" s="42" t="str">
        <f t="shared" si="479"/>
        <v>Fac_nul_ind</v>
      </c>
      <c r="G571" s="41" t="str">
        <f t="shared" si="479"/>
        <v>TRUE</v>
      </c>
      <c r="H571" s="41" t="b">
        <f t="shared" si="479"/>
        <v>1</v>
      </c>
      <c r="I571" s="41" t="b">
        <f t="shared" si="479"/>
        <v>1</v>
      </c>
      <c r="J571" s="41">
        <f t="shared" si="479"/>
        <v>20</v>
      </c>
      <c r="K571" s="41">
        <f t="shared" si="479"/>
        <v>10</v>
      </c>
      <c r="L571" s="41" t="str">
        <f t="shared" si="479"/>
        <v>Raid3001.mindloader_1.attack01</v>
      </c>
      <c r="M571" s="41" t="str">
        <f t="shared" si="479"/>
        <v>Raid3001.mindloader_1.attack02</v>
      </c>
      <c r="N571" s="41" t="str">
        <f t="shared" si="479"/>
        <v/>
      </c>
      <c r="O571" s="176" t="str">
        <f t="shared" si="479"/>
        <v>Raid3001.mindloader_1.skill01</v>
      </c>
      <c r="P571" s="43" t="str">
        <f t="shared" si="479"/>
        <v>Raid3001.mindloader_1.skill02</v>
      </c>
      <c r="Q571" s="43" t="str">
        <f t="shared" si="479"/>
        <v>Raid3001.mindloader_1.skill03</v>
      </c>
      <c r="R571" s="43" t="str">
        <f t="shared" si="479"/>
        <v>Raid3001.mindloader_1.skill04</v>
      </c>
      <c r="S571" s="43" t="str">
        <f t="shared" si="479"/>
        <v>Raid3001.mindloader_1.passive01</v>
      </c>
      <c r="T571" s="43" t="str">
        <f t="shared" si="479"/>
        <v/>
      </c>
      <c r="U571" s="43" t="str">
        <f t="shared" si="479"/>
        <v/>
      </c>
      <c r="V571" s="41" t="b">
        <f t="shared" si="479"/>
        <v>0</v>
      </c>
      <c r="W571" s="41" t="str">
        <f t="shared" si="479"/>
        <v>Character/Prefabs/m_boss_attacker_mindloader_1</v>
      </c>
      <c r="X571" s="41" t="str">
        <f t="shared" si="479"/>
        <v/>
      </c>
      <c r="Y571" s="41" t="str">
        <f t="shared" si="479"/>
        <v>m_boss_attacker_mindloader_1</v>
      </c>
      <c r="Z571" s="41" t="str">
        <f t="shared" si="479"/>
        <v/>
      </c>
      <c r="AA571" s="41" t="str">
        <f t="shared" si="479"/>
        <v/>
      </c>
      <c r="AB571" s="41" t="str">
        <f t="shared" si="479"/>
        <v/>
      </c>
      <c r="AC571" s="90">
        <f t="shared" si="479"/>
        <v>1.5</v>
      </c>
      <c r="AD571" s="41" t="str">
        <f t="shared" si="479"/>
        <v/>
      </c>
      <c r="AE571" s="41" t="str">
        <f t="shared" si="479"/>
        <v>Character/Timeline/02_MON/mindloader/appearance</v>
      </c>
      <c r="AF571" s="41" t="str">
        <f t="shared" si="479"/>
        <v>Character/Timeline/02_MON/mindloader/die</v>
      </c>
      <c r="AG571" s="173" t="s">
        <v>2758</v>
      </c>
    </row>
    <row r="572" spans="1:33" x14ac:dyDescent="0.3">
      <c r="A572" s="41">
        <f t="shared" si="466"/>
        <v>1610504001</v>
      </c>
      <c r="B572" s="41" t="str">
        <f t="shared" ref="B572:AF572" si="480">IF(B461 &lt;&gt; "", B461, "")</f>
        <v>Raid4001</v>
      </c>
      <c r="C572" s="41" t="str">
        <f t="shared" si="480"/>
        <v>기간투스</v>
      </c>
      <c r="D572" s="41" t="str">
        <f t="shared" si="480"/>
        <v>Monster.Name.gigantooth_1</v>
      </c>
      <c r="E572" s="41" t="str">
        <f t="shared" si="480"/>
        <v>Attacker</v>
      </c>
      <c r="F572" s="42" t="str">
        <f t="shared" si="480"/>
        <v>Fac_nul_ind</v>
      </c>
      <c r="G572" s="41" t="str">
        <f t="shared" si="480"/>
        <v>TRUE</v>
      </c>
      <c r="H572" s="41" t="b">
        <f t="shared" si="480"/>
        <v>1</v>
      </c>
      <c r="I572" s="41" t="b">
        <f t="shared" si="480"/>
        <v>1</v>
      </c>
      <c r="J572" s="41">
        <f t="shared" si="480"/>
        <v>20</v>
      </c>
      <c r="K572" s="41">
        <f t="shared" si="480"/>
        <v>10</v>
      </c>
      <c r="L572" s="41" t="str">
        <f t="shared" si="480"/>
        <v>Raid4001.gigantooth_1.attack01</v>
      </c>
      <c r="M572" s="41" t="str">
        <f t="shared" si="480"/>
        <v>Raid4001.gigantooth_1.attack02</v>
      </c>
      <c r="N572" s="41" t="str">
        <f t="shared" si="480"/>
        <v/>
      </c>
      <c r="O572" s="176" t="str">
        <f t="shared" si="480"/>
        <v>Raid4001.gigantooth_1.skill01</v>
      </c>
      <c r="P572" s="43" t="str">
        <f t="shared" si="480"/>
        <v>Raid4001.gigantooth_1.skill02</v>
      </c>
      <c r="Q572" s="43" t="str">
        <f t="shared" si="480"/>
        <v>Raid4001.gigantooth_1.skill03</v>
      </c>
      <c r="R572" s="43" t="str">
        <f t="shared" si="480"/>
        <v>Raid4001.gigantooth_1.skill04</v>
      </c>
      <c r="S572" s="43" t="str">
        <f t="shared" si="480"/>
        <v>Raid4001.gigantooth_1.passive01</v>
      </c>
      <c r="T572" s="43" t="str">
        <f t="shared" si="480"/>
        <v/>
      </c>
      <c r="U572" s="43" t="str">
        <f t="shared" si="480"/>
        <v/>
      </c>
      <c r="V572" s="41" t="b">
        <f t="shared" si="480"/>
        <v>0</v>
      </c>
      <c r="W572" s="41" t="str">
        <f t="shared" si="480"/>
        <v>Character/Prefabs/m_boss_attacker_gigantooth_1</v>
      </c>
      <c r="X572" s="41" t="str">
        <f t="shared" si="480"/>
        <v/>
      </c>
      <c r="Y572" s="41" t="str">
        <f t="shared" si="480"/>
        <v>m_boss_attacker_gigantooth_1</v>
      </c>
      <c r="Z572" s="41" t="str">
        <f t="shared" si="480"/>
        <v/>
      </c>
      <c r="AA572" s="41" t="str">
        <f t="shared" si="480"/>
        <v/>
      </c>
      <c r="AB572" s="41" t="str">
        <f t="shared" si="480"/>
        <v/>
      </c>
      <c r="AC572" s="90">
        <f t="shared" si="480"/>
        <v>0.9</v>
      </c>
      <c r="AD572" s="41" t="str">
        <f t="shared" si="480"/>
        <v/>
      </c>
      <c r="AE572" s="41" t="str">
        <f t="shared" si="480"/>
        <v>Character/Timeline/02_MON/boss2/appearance_1</v>
      </c>
      <c r="AF572" s="41" t="str">
        <f t="shared" si="480"/>
        <v>Character/Timeline/02_MON/boss2/die_1</v>
      </c>
      <c r="AG572" s="173" t="s">
        <v>2758</v>
      </c>
    </row>
    <row r="573" spans="1:33" x14ac:dyDescent="0.3">
      <c r="A573" s="41">
        <f t="shared" si="466"/>
        <v>1610504002</v>
      </c>
      <c r="B573" s="41" t="str">
        <f t="shared" ref="B573:AF573" si="481">IF(B462 &lt;&gt; "", B462, "")</f>
        <v>Raid4001</v>
      </c>
      <c r="C573" s="41" t="str">
        <f t="shared" si="481"/>
        <v>기간투스베리</v>
      </c>
      <c r="D573" s="41" t="str">
        <f t="shared" si="481"/>
        <v>Monster.Name.gigantooth_2</v>
      </c>
      <c r="E573" s="41" t="str">
        <f t="shared" si="481"/>
        <v>Attacker</v>
      </c>
      <c r="F573" s="42" t="str">
        <f t="shared" si="481"/>
        <v>Fac_nul_ind</v>
      </c>
      <c r="G573" s="41" t="str">
        <f t="shared" si="481"/>
        <v>TRUE</v>
      </c>
      <c r="H573" s="41" t="b">
        <f t="shared" si="481"/>
        <v>1</v>
      </c>
      <c r="I573" s="41" t="b">
        <f t="shared" si="481"/>
        <v>1</v>
      </c>
      <c r="J573" s="41">
        <f t="shared" si="481"/>
        <v>20</v>
      </c>
      <c r="K573" s="41">
        <f t="shared" si="481"/>
        <v>10</v>
      </c>
      <c r="L573" s="41" t="str">
        <f t="shared" si="481"/>
        <v>Raid4001.gigantooth_2.attack01</v>
      </c>
      <c r="M573" s="41" t="str">
        <f t="shared" si="481"/>
        <v>Raid4001.gigantooth_2.attack02</v>
      </c>
      <c r="N573" s="41" t="str">
        <f t="shared" si="481"/>
        <v/>
      </c>
      <c r="O573" s="176" t="str">
        <f t="shared" si="481"/>
        <v>Raid4001.gigantooth_2.skill01</v>
      </c>
      <c r="P573" s="43" t="str">
        <f t="shared" si="481"/>
        <v>Raid4001.gigantooth_2.skill02</v>
      </c>
      <c r="Q573" s="43" t="str">
        <f t="shared" si="481"/>
        <v>Raid4001.gigantooth_2.skill03</v>
      </c>
      <c r="R573" s="43" t="str">
        <f t="shared" si="481"/>
        <v>Raid4001.gigantooth_2.skill04</v>
      </c>
      <c r="S573" s="43" t="str">
        <f t="shared" si="481"/>
        <v>Raid4001.gigantooth_2.passive01</v>
      </c>
      <c r="T573" s="43" t="str">
        <f t="shared" si="481"/>
        <v/>
      </c>
      <c r="U573" s="43" t="str">
        <f t="shared" si="481"/>
        <v/>
      </c>
      <c r="V573" s="41" t="b">
        <f t="shared" si="481"/>
        <v>0</v>
      </c>
      <c r="W573" s="41" t="str">
        <f t="shared" si="481"/>
        <v>Character/Prefabs/m_boss_attacker_gigantooth_2</v>
      </c>
      <c r="X573" s="41" t="str">
        <f t="shared" si="481"/>
        <v/>
      </c>
      <c r="Y573" s="41" t="str">
        <f t="shared" si="481"/>
        <v>m_boss_attacker_gigantooth_2</v>
      </c>
      <c r="Z573" s="41" t="str">
        <f t="shared" si="481"/>
        <v/>
      </c>
      <c r="AA573" s="41" t="str">
        <f t="shared" si="481"/>
        <v/>
      </c>
      <c r="AB573" s="41" t="str">
        <f t="shared" si="481"/>
        <v/>
      </c>
      <c r="AC573" s="90">
        <f t="shared" si="481"/>
        <v>0.9</v>
      </c>
      <c r="AD573" s="41" t="str">
        <f t="shared" si="481"/>
        <v/>
      </c>
      <c r="AE573" s="41" t="str">
        <f t="shared" si="481"/>
        <v>Character/Timeline/02_MON/boss2/appearance_2</v>
      </c>
      <c r="AF573" s="41" t="str">
        <f t="shared" si="481"/>
        <v>Character/Timeline/02_MON/boss2/die_2</v>
      </c>
      <c r="AG573" s="173" t="s">
        <v>2758</v>
      </c>
    </row>
    <row r="574" spans="1:33" x14ac:dyDescent="0.3">
      <c r="A574" s="12">
        <f t="shared" si="466"/>
        <v>1611101001</v>
      </c>
      <c r="B574" s="12" t="str">
        <f t="shared" ref="B574:AF574" si="482">IF(B463 &lt;&gt; "", B463, "")</f>
        <v>GuildRaid1001</v>
      </c>
      <c r="C574" s="12" t="str">
        <f t="shared" si="482"/>
        <v>freyja</v>
      </c>
      <c r="D574" s="76" t="str">
        <f t="shared" si="482"/>
        <v>Name.Character.freyja</v>
      </c>
      <c r="E574" s="12" t="str">
        <f t="shared" si="482"/>
        <v>Ranger</v>
      </c>
      <c r="F574" s="39" t="str">
        <f t="shared" si="482"/>
        <v>Fac_sti_ast</v>
      </c>
      <c r="G574" s="12" t="str">
        <f t="shared" si="482"/>
        <v>TRUE</v>
      </c>
      <c r="H574" s="12" t="b">
        <f t="shared" si="482"/>
        <v>1</v>
      </c>
      <c r="I574" s="12" t="b">
        <f t="shared" si="482"/>
        <v>1</v>
      </c>
      <c r="J574" s="12">
        <f t="shared" si="482"/>
        <v>10</v>
      </c>
      <c r="K574" s="12">
        <f t="shared" si="482"/>
        <v>10</v>
      </c>
      <c r="L574" s="12" t="str">
        <f t="shared" si="482"/>
        <v>freyja.attack1</v>
      </c>
      <c r="M574" s="12" t="str">
        <f t="shared" si="482"/>
        <v>freyja.attack2</v>
      </c>
      <c r="N574" s="12" t="str">
        <f t="shared" si="482"/>
        <v>freyja.attack3</v>
      </c>
      <c r="O574" s="145" t="str">
        <f t="shared" si="482"/>
        <v>freyja.active1</v>
      </c>
      <c r="P574" s="40" t="str">
        <f t="shared" si="482"/>
        <v>freyja.active2</v>
      </c>
      <c r="Q574" s="40" t="str">
        <f t="shared" si="482"/>
        <v>freyja.passive</v>
      </c>
      <c r="R574" s="40" t="str">
        <f t="shared" si="482"/>
        <v/>
      </c>
      <c r="S574" s="40" t="str">
        <f t="shared" si="482"/>
        <v>Boss.Common.Immun</v>
      </c>
      <c r="T574" s="40" t="str">
        <f t="shared" si="482"/>
        <v>freyja.ult</v>
      </c>
      <c r="U574" s="40" t="str">
        <f t="shared" si="482"/>
        <v>freyja.ult</v>
      </c>
      <c r="V574" s="12" t="b">
        <f t="shared" si="482"/>
        <v>1</v>
      </c>
      <c r="W574" s="12" t="str">
        <f t="shared" si="482"/>
        <v>Character/Prefabs/c_ranger_freyja_1</v>
      </c>
      <c r="X574" s="12" t="str">
        <f t="shared" si="482"/>
        <v/>
      </c>
      <c r="Y574" s="12" t="str">
        <f t="shared" si="482"/>
        <v>character_freyja_01</v>
      </c>
      <c r="Z574" s="12" t="str">
        <f t="shared" si="482"/>
        <v>Character/Timeline/01_CHA/ult_c_ranger_freyja_1</v>
      </c>
      <c r="AA574" s="12" t="str">
        <f t="shared" si="482"/>
        <v>Character/Timeline/01_CHA/victory_c_ranger_freyja_1</v>
      </c>
      <c r="AB574" s="12" t="str">
        <f t="shared" si="482"/>
        <v/>
      </c>
      <c r="AC574" s="88">
        <f t="shared" si="482"/>
        <v>1.4</v>
      </c>
      <c r="AD574" s="12" t="str">
        <f t="shared" si="482"/>
        <v/>
      </c>
      <c r="AE574" s="12" t="str">
        <f t="shared" si="482"/>
        <v/>
      </c>
      <c r="AF574" s="12" t="str">
        <f t="shared" si="482"/>
        <v/>
      </c>
      <c r="AG574" s="173" t="s">
        <v>2765</v>
      </c>
    </row>
    <row r="575" spans="1:33" x14ac:dyDescent="0.3">
      <c r="A575" s="12">
        <f t="shared" si="466"/>
        <v>1611101002</v>
      </c>
      <c r="B575" s="12" t="str">
        <f t="shared" ref="B575:AF575" si="483">IF(B464 &lt;&gt; "", B464, "")</f>
        <v>GuildRaid1002</v>
      </c>
      <c r="C575" s="12" t="str">
        <f t="shared" si="483"/>
        <v>mana</v>
      </c>
      <c r="D575" s="76" t="str">
        <f t="shared" si="483"/>
        <v>Name.Character.mana</v>
      </c>
      <c r="E575" s="12" t="str">
        <f t="shared" si="483"/>
        <v>Ranger</v>
      </c>
      <c r="F575" s="39" t="str">
        <f t="shared" si="483"/>
        <v>Fac_rim_aki</v>
      </c>
      <c r="G575" s="12" t="str">
        <f t="shared" si="483"/>
        <v>TRUE</v>
      </c>
      <c r="H575" s="12" t="b">
        <f t="shared" si="483"/>
        <v>1</v>
      </c>
      <c r="I575" s="12" t="b">
        <f t="shared" si="483"/>
        <v>1</v>
      </c>
      <c r="J575" s="12">
        <f t="shared" si="483"/>
        <v>10</v>
      </c>
      <c r="K575" s="12">
        <f t="shared" si="483"/>
        <v>10</v>
      </c>
      <c r="L575" s="12" t="str">
        <f t="shared" si="483"/>
        <v>mana.attack1</v>
      </c>
      <c r="M575" s="12" t="str">
        <f t="shared" si="483"/>
        <v>mana.attack2</v>
      </c>
      <c r="N575" s="12" t="str">
        <f t="shared" si="483"/>
        <v>mana.attack3</v>
      </c>
      <c r="O575" s="145" t="str">
        <f t="shared" si="483"/>
        <v>mana.active1</v>
      </c>
      <c r="P575" s="40" t="str">
        <f t="shared" si="483"/>
        <v>mana.active2</v>
      </c>
      <c r="Q575" s="40" t="str">
        <f t="shared" si="483"/>
        <v>mana.passive</v>
      </c>
      <c r="R575" s="40" t="str">
        <f t="shared" si="483"/>
        <v/>
      </c>
      <c r="S575" s="40" t="str">
        <f t="shared" si="483"/>
        <v>Boss.Common.Immun</v>
      </c>
      <c r="T575" s="40" t="str">
        <f t="shared" si="483"/>
        <v>mana.ult</v>
      </c>
      <c r="U575" s="40" t="str">
        <f t="shared" si="483"/>
        <v>mana.ult</v>
      </c>
      <c r="V575" s="12" t="b">
        <f t="shared" si="483"/>
        <v>1</v>
      </c>
      <c r="W575" s="12" t="str">
        <f t="shared" si="483"/>
        <v>Character/Prefabs/c_ranger_mana_1</v>
      </c>
      <c r="X575" s="12" t="str">
        <f t="shared" si="483"/>
        <v/>
      </c>
      <c r="Y575" s="12" t="str">
        <f t="shared" si="483"/>
        <v>character_mana_01</v>
      </c>
      <c r="Z575" s="12" t="str">
        <f t="shared" si="483"/>
        <v>Character/Timeline/01_CHA/ult_c_ranger_mana_1</v>
      </c>
      <c r="AA575" s="12" t="str">
        <f t="shared" si="483"/>
        <v>Character/Timeline/01_CHA/victory_c_ranger_mana_1</v>
      </c>
      <c r="AB575" s="12" t="str">
        <f t="shared" si="483"/>
        <v/>
      </c>
      <c r="AC575" s="88">
        <f t="shared" si="483"/>
        <v>1.4</v>
      </c>
      <c r="AD575" s="12" t="str">
        <f t="shared" si="483"/>
        <v/>
      </c>
      <c r="AE575" s="12" t="str">
        <f t="shared" si="483"/>
        <v/>
      </c>
      <c r="AF575" s="12" t="str">
        <f t="shared" si="483"/>
        <v/>
      </c>
      <c r="AG575" s="173" t="s">
        <v>2765</v>
      </c>
    </row>
    <row r="576" spans="1:33" x14ac:dyDescent="0.3">
      <c r="A576" s="12">
        <f t="shared" si="466"/>
        <v>1611101003</v>
      </c>
      <c r="B576" s="12" t="str">
        <f t="shared" ref="B576:AF576" si="484">IF(B465 &lt;&gt; "", B465, "")</f>
        <v>GuildRaid1003</v>
      </c>
      <c r="C576" s="12" t="str">
        <f t="shared" si="484"/>
        <v>balencia</v>
      </c>
      <c r="D576" s="76" t="str">
        <f t="shared" si="484"/>
        <v>Name.Character.balencia</v>
      </c>
      <c r="E576" s="12" t="str">
        <f t="shared" si="484"/>
        <v>Attacker</v>
      </c>
      <c r="F576" s="39" t="str">
        <f t="shared" si="484"/>
        <v>Fac_sti_ars</v>
      </c>
      <c r="G576" s="12" t="str">
        <f t="shared" si="484"/>
        <v>TRUE</v>
      </c>
      <c r="H576" s="12" t="b">
        <f t="shared" si="484"/>
        <v>1</v>
      </c>
      <c r="I576" s="12" t="b">
        <f t="shared" si="484"/>
        <v>1</v>
      </c>
      <c r="J576" s="12">
        <f t="shared" si="484"/>
        <v>10</v>
      </c>
      <c r="K576" s="12">
        <f t="shared" si="484"/>
        <v>10</v>
      </c>
      <c r="L576" s="12" t="str">
        <f t="shared" si="484"/>
        <v>balencia.attack1</v>
      </c>
      <c r="M576" s="12" t="str">
        <f t="shared" si="484"/>
        <v>balencia.attack2</v>
      </c>
      <c r="N576" s="12" t="str">
        <f t="shared" si="484"/>
        <v>balencia.attack3</v>
      </c>
      <c r="O576" s="145" t="str">
        <f t="shared" si="484"/>
        <v>balencia.active1</v>
      </c>
      <c r="P576" s="40" t="str">
        <f t="shared" si="484"/>
        <v>balencia.active2</v>
      </c>
      <c r="Q576" s="40" t="str">
        <f t="shared" si="484"/>
        <v>balencia.passive</v>
      </c>
      <c r="R576" s="40" t="str">
        <f t="shared" si="484"/>
        <v/>
      </c>
      <c r="S576" s="40" t="str">
        <f t="shared" si="484"/>
        <v>Boss.Common.Immun</v>
      </c>
      <c r="T576" s="40" t="str">
        <f t="shared" si="484"/>
        <v>balencia.ult</v>
      </c>
      <c r="U576" s="40" t="str">
        <f t="shared" si="484"/>
        <v>balencia.ult</v>
      </c>
      <c r="V576" s="12" t="b">
        <f t="shared" si="484"/>
        <v>1</v>
      </c>
      <c r="W576" s="12" t="str">
        <f t="shared" si="484"/>
        <v>Character/Prefabs/c_attacker_balencia_1</v>
      </c>
      <c r="X576" s="12" t="str">
        <f t="shared" si="484"/>
        <v/>
      </c>
      <c r="Y576" s="12" t="str">
        <f t="shared" si="484"/>
        <v>character_balencia_01</v>
      </c>
      <c r="Z576" s="12" t="str">
        <f t="shared" si="484"/>
        <v>Character/Timeline/01_CHA/ult_c_attacker_balencia_1</v>
      </c>
      <c r="AA576" s="12" t="str">
        <f t="shared" si="484"/>
        <v>Character/Timeline/01_CHA/victory_c_attacker_balencia_1</v>
      </c>
      <c r="AB576" s="12" t="str">
        <f t="shared" si="484"/>
        <v/>
      </c>
      <c r="AC576" s="88">
        <f t="shared" si="484"/>
        <v>1.4</v>
      </c>
      <c r="AD576" s="12" t="str">
        <f t="shared" si="484"/>
        <v/>
      </c>
      <c r="AE576" s="12" t="str">
        <f t="shared" si="484"/>
        <v/>
      </c>
      <c r="AF576" s="12" t="str">
        <f t="shared" si="484"/>
        <v/>
      </c>
      <c r="AG576" s="173" t="s">
        <v>2765</v>
      </c>
    </row>
    <row r="577" spans="1:33" x14ac:dyDescent="0.3">
      <c r="A577" s="81">
        <f t="shared" si="466"/>
        <v>1611301001</v>
      </c>
      <c r="B577" s="81" t="str">
        <f t="shared" ref="B577:AF577" si="485">IF(B466 &lt;&gt; "", B466, "")</f>
        <v>BossChallenge</v>
      </c>
      <c r="C577" s="81" t="str">
        <f t="shared" si="485"/>
        <v>갤리어스</v>
      </c>
      <c r="D577" s="81" t="str">
        <f t="shared" si="485"/>
        <v>Monster.Name.gallius_1</v>
      </c>
      <c r="E577" s="81" t="str">
        <f t="shared" si="485"/>
        <v>Tanker</v>
      </c>
      <c r="F577" s="82" t="str">
        <f t="shared" si="485"/>
        <v>Fac_nul_ind</v>
      </c>
      <c r="G577" s="81" t="str">
        <f t="shared" si="485"/>
        <v>TRUE</v>
      </c>
      <c r="H577" s="81" t="b">
        <f t="shared" si="485"/>
        <v>1</v>
      </c>
      <c r="I577" s="81" t="b">
        <f t="shared" si="485"/>
        <v>1</v>
      </c>
      <c r="J577" s="81">
        <f t="shared" si="485"/>
        <v>10</v>
      </c>
      <c r="K577" s="81">
        <f t="shared" si="485"/>
        <v>10</v>
      </c>
      <c r="L577" s="81" t="str">
        <f t="shared" si="485"/>
        <v>BossChallenge.gallius_1.attack01</v>
      </c>
      <c r="M577" s="81" t="str">
        <f t="shared" si="485"/>
        <v/>
      </c>
      <c r="N577" s="81" t="str">
        <f t="shared" si="485"/>
        <v/>
      </c>
      <c r="O577" s="177" t="str">
        <f t="shared" si="485"/>
        <v>BossChallenge.gallius_1.skill01</v>
      </c>
      <c r="P577" s="83" t="str">
        <f t="shared" si="485"/>
        <v>BossChallenge.gallius_1.skill02</v>
      </c>
      <c r="Q577" s="83" t="str">
        <f t="shared" si="485"/>
        <v>BossChallenge.gallius_1.passive01</v>
      </c>
      <c r="R577" s="83" t="str">
        <f t="shared" si="485"/>
        <v/>
      </c>
      <c r="S577" s="83" t="str">
        <f t="shared" si="485"/>
        <v>Boss.Common.Immun</v>
      </c>
      <c r="T577" s="83" t="str">
        <f t="shared" si="485"/>
        <v/>
      </c>
      <c r="U577" s="83" t="str">
        <f t="shared" si="485"/>
        <v/>
      </c>
      <c r="V577" s="81" t="b">
        <f t="shared" si="485"/>
        <v>0</v>
      </c>
      <c r="W577" s="81" t="str">
        <f t="shared" si="485"/>
        <v>Character/Prefabs/m_boss_tanker_gallius_1</v>
      </c>
      <c r="X577" s="81" t="str">
        <f t="shared" si="485"/>
        <v/>
      </c>
      <c r="Y577" s="81" t="str">
        <f t="shared" si="485"/>
        <v>m_boss_tanker_gallius_1</v>
      </c>
      <c r="Z577" s="81" t="str">
        <f t="shared" si="485"/>
        <v/>
      </c>
      <c r="AA577" s="81" t="str">
        <f t="shared" si="485"/>
        <v/>
      </c>
      <c r="AB577" s="81" t="str">
        <f t="shared" si="485"/>
        <v/>
      </c>
      <c r="AC577" s="96">
        <f t="shared" si="485"/>
        <v>1.3</v>
      </c>
      <c r="AD577" s="81" t="str">
        <f t="shared" si="485"/>
        <v/>
      </c>
      <c r="AE577" s="81" t="str">
        <f t="shared" si="485"/>
        <v>Character/Timeline/02_MON/trooper_boss/appearance</v>
      </c>
      <c r="AF577" s="81" t="str">
        <f t="shared" si="485"/>
        <v>Character/Timeline/02_MON/trooper_boss/die</v>
      </c>
      <c r="AG577" s="173" t="s">
        <v>2765</v>
      </c>
    </row>
    <row r="578" spans="1:33" x14ac:dyDescent="0.3">
      <c r="A578" s="81">
        <f t="shared" si="466"/>
        <v>1611301002</v>
      </c>
      <c r="B578" s="81" t="str">
        <f t="shared" ref="B578:AF578" si="486">IF(B467 &lt;&gt; "", B467, "")</f>
        <v>BossChallenge</v>
      </c>
      <c r="C578" s="81" t="str">
        <f t="shared" si="486"/>
        <v>강화갤리어스</v>
      </c>
      <c r="D578" s="81" t="str">
        <f t="shared" si="486"/>
        <v>Monster.Name.gallius_2</v>
      </c>
      <c r="E578" s="81" t="str">
        <f t="shared" si="486"/>
        <v>Tanker</v>
      </c>
      <c r="F578" s="82" t="str">
        <f t="shared" si="486"/>
        <v>Fac_nul_ind</v>
      </c>
      <c r="G578" s="81" t="str">
        <f t="shared" si="486"/>
        <v>TRUE</v>
      </c>
      <c r="H578" s="81" t="b">
        <f t="shared" si="486"/>
        <v>1</v>
      </c>
      <c r="I578" s="81" t="b">
        <f t="shared" si="486"/>
        <v>1</v>
      </c>
      <c r="J578" s="81">
        <f t="shared" si="486"/>
        <v>10</v>
      </c>
      <c r="K578" s="81">
        <f t="shared" si="486"/>
        <v>10</v>
      </c>
      <c r="L578" s="81" t="str">
        <f t="shared" si="486"/>
        <v>BossChallenge.gallius_2.attack01</v>
      </c>
      <c r="M578" s="81" t="str">
        <f t="shared" si="486"/>
        <v/>
      </c>
      <c r="N578" s="81" t="str">
        <f t="shared" si="486"/>
        <v/>
      </c>
      <c r="O578" s="177" t="str">
        <f t="shared" si="486"/>
        <v>BossChallenge.gallius_2.skill01</v>
      </c>
      <c r="P578" s="83" t="str">
        <f t="shared" si="486"/>
        <v>BossChallenge.gallius_2.skill02</v>
      </c>
      <c r="Q578" s="83" t="str">
        <f t="shared" si="486"/>
        <v>BossChallenge.gallius_2.skill03</v>
      </c>
      <c r="R578" s="83" t="str">
        <f t="shared" si="486"/>
        <v>BossChallenge.gallius_2.passive01</v>
      </c>
      <c r="S578" s="83" t="str">
        <f t="shared" si="486"/>
        <v>Boss.Common.Immun</v>
      </c>
      <c r="T578" s="83" t="str">
        <f t="shared" si="486"/>
        <v/>
      </c>
      <c r="U578" s="83" t="str">
        <f t="shared" si="486"/>
        <v/>
      </c>
      <c r="V578" s="81" t="b">
        <f t="shared" si="486"/>
        <v>0</v>
      </c>
      <c r="W578" s="81" t="str">
        <f t="shared" si="486"/>
        <v>Character/Prefabs/m_boss_tanker_gallius_2</v>
      </c>
      <c r="X578" s="81" t="str">
        <f t="shared" si="486"/>
        <v/>
      </c>
      <c r="Y578" s="81" t="str">
        <f t="shared" si="486"/>
        <v>m_boss_tanker_gallius_2</v>
      </c>
      <c r="Z578" s="81" t="str">
        <f t="shared" si="486"/>
        <v/>
      </c>
      <c r="AA578" s="81" t="str">
        <f t="shared" si="486"/>
        <v/>
      </c>
      <c r="AB578" s="81" t="str">
        <f t="shared" si="486"/>
        <v/>
      </c>
      <c r="AC578" s="96">
        <f t="shared" si="486"/>
        <v>1.3</v>
      </c>
      <c r="AD578" s="81" t="str">
        <f t="shared" si="486"/>
        <v/>
      </c>
      <c r="AE578" s="81" t="str">
        <f t="shared" si="486"/>
        <v>Character/Timeline/02_MON/gallius_2/trooper_boss_appearance_2</v>
      </c>
      <c r="AF578" s="81" t="str">
        <f t="shared" si="486"/>
        <v>Character/Timeline/02_MON/gallius_2/trooper_boss_die_2</v>
      </c>
      <c r="AG578" s="173" t="s">
        <v>2765</v>
      </c>
    </row>
    <row r="579" spans="1:33" x14ac:dyDescent="0.3">
      <c r="A579" s="81">
        <f t="shared" si="466"/>
        <v>1611301011</v>
      </c>
      <c r="B579" s="81" t="str">
        <f t="shared" ref="B579:AF579" si="487">IF(B468 &lt;&gt; "", B468, "")</f>
        <v>BossChallenge</v>
      </c>
      <c r="C579" s="81" t="str">
        <f t="shared" si="487"/>
        <v>카산드라</v>
      </c>
      <c r="D579" s="81" t="str">
        <f t="shared" si="487"/>
        <v>Monster.Name.cassandra_1</v>
      </c>
      <c r="E579" s="81" t="str">
        <f t="shared" si="487"/>
        <v>Ranger</v>
      </c>
      <c r="F579" s="82" t="str">
        <f t="shared" si="487"/>
        <v>Fac_nul_ind</v>
      </c>
      <c r="G579" s="81" t="str">
        <f t="shared" si="487"/>
        <v>TRUE</v>
      </c>
      <c r="H579" s="81" t="b">
        <f t="shared" si="487"/>
        <v>1</v>
      </c>
      <c r="I579" s="81" t="b">
        <f t="shared" si="487"/>
        <v>1</v>
      </c>
      <c r="J579" s="81">
        <f t="shared" si="487"/>
        <v>20</v>
      </c>
      <c r="K579" s="81">
        <f t="shared" si="487"/>
        <v>10</v>
      </c>
      <c r="L579" s="81" t="str">
        <f t="shared" si="487"/>
        <v>BossChallenge.cassandra_1.attack01</v>
      </c>
      <c r="M579" s="81" t="str">
        <f t="shared" si="487"/>
        <v/>
      </c>
      <c r="N579" s="81" t="str">
        <f t="shared" si="487"/>
        <v/>
      </c>
      <c r="O579" s="177" t="str">
        <f t="shared" si="487"/>
        <v>BossChallenge.cassandra_1.skill01</v>
      </c>
      <c r="P579" s="83" t="str">
        <f t="shared" si="487"/>
        <v>BossChallenge.cassandra_1.skill02</v>
      </c>
      <c r="Q579" s="83" t="str">
        <f t="shared" si="487"/>
        <v>BossChallenge.cassandra_1.passive01</v>
      </c>
      <c r="R579" s="83" t="str">
        <f t="shared" si="487"/>
        <v/>
      </c>
      <c r="S579" s="83" t="str">
        <f t="shared" si="487"/>
        <v>Boss.Common.Immun</v>
      </c>
      <c r="T579" s="83" t="str">
        <f t="shared" si="487"/>
        <v/>
      </c>
      <c r="U579" s="83" t="str">
        <f t="shared" si="487"/>
        <v/>
      </c>
      <c r="V579" s="81" t="b">
        <f t="shared" si="487"/>
        <v>0</v>
      </c>
      <c r="W579" s="81" t="str">
        <f t="shared" si="487"/>
        <v>Character/Prefabs/m_boss_ranger_cassandra_1</v>
      </c>
      <c r="X579" s="81" t="str">
        <f t="shared" si="487"/>
        <v/>
      </c>
      <c r="Y579" s="81" t="str">
        <f t="shared" si="487"/>
        <v>m_boss_ranger_cassandra_1</v>
      </c>
      <c r="Z579" s="81" t="str">
        <f t="shared" si="487"/>
        <v/>
      </c>
      <c r="AA579" s="81" t="str">
        <f t="shared" si="487"/>
        <v/>
      </c>
      <c r="AB579" s="81" t="str">
        <f t="shared" si="487"/>
        <v/>
      </c>
      <c r="AC579" s="96">
        <f t="shared" si="487"/>
        <v>0.9</v>
      </c>
      <c r="AD579" s="81" t="str">
        <f t="shared" si="487"/>
        <v/>
      </c>
      <c r="AE579" s="81" t="str">
        <f t="shared" si="487"/>
        <v>Character/Timeline/02_MON/cassandra/appearance</v>
      </c>
      <c r="AF579" s="81" t="str">
        <f t="shared" si="487"/>
        <v>Character/Timeline/02_MON/cassandra/die</v>
      </c>
      <c r="AG579" s="173" t="s">
        <v>2765</v>
      </c>
    </row>
    <row r="580" spans="1:33" x14ac:dyDescent="0.3">
      <c r="A580" s="81">
        <f t="shared" si="466"/>
        <v>1611301012</v>
      </c>
      <c r="B580" s="81" t="str">
        <f t="shared" ref="B580:AF580" si="488">IF(B469 &lt;&gt; "", B469, "")</f>
        <v>BossChallenge</v>
      </c>
      <c r="C580" s="81" t="str">
        <f t="shared" si="488"/>
        <v>강화카산드라</v>
      </c>
      <c r="D580" s="81" t="str">
        <f t="shared" si="488"/>
        <v>Monster.Name.cassandra_2</v>
      </c>
      <c r="E580" s="81" t="str">
        <f t="shared" si="488"/>
        <v>Ranger</v>
      </c>
      <c r="F580" s="82" t="str">
        <f t="shared" si="488"/>
        <v>Fac_nul_ind</v>
      </c>
      <c r="G580" s="81" t="str">
        <f t="shared" si="488"/>
        <v>TRUE</v>
      </c>
      <c r="H580" s="81" t="b">
        <f t="shared" si="488"/>
        <v>1</v>
      </c>
      <c r="I580" s="81" t="b">
        <f t="shared" si="488"/>
        <v>1</v>
      </c>
      <c r="J580" s="81">
        <f t="shared" si="488"/>
        <v>20</v>
      </c>
      <c r="K580" s="81">
        <f t="shared" si="488"/>
        <v>10</v>
      </c>
      <c r="L580" s="81" t="str">
        <f t="shared" si="488"/>
        <v>BossChallenge.cassandra_2.attack01</v>
      </c>
      <c r="M580" s="81" t="str">
        <f t="shared" si="488"/>
        <v/>
      </c>
      <c r="N580" s="81" t="str">
        <f t="shared" si="488"/>
        <v/>
      </c>
      <c r="O580" s="177" t="str">
        <f t="shared" si="488"/>
        <v>BossChallenge.cassandra_2.skill01</v>
      </c>
      <c r="P580" s="83" t="str">
        <f t="shared" si="488"/>
        <v>BossChallenge.cassandra_2.skill02</v>
      </c>
      <c r="Q580" s="83" t="str">
        <f t="shared" si="488"/>
        <v>BossChallenge.cassandra_2.skill03</v>
      </c>
      <c r="R580" s="83" t="str">
        <f t="shared" si="488"/>
        <v>BossChallenge.cassandra_2.passive01</v>
      </c>
      <c r="S580" s="83" t="str">
        <f t="shared" si="488"/>
        <v>Boss.Common.Immun</v>
      </c>
      <c r="T580" s="83" t="str">
        <f t="shared" si="488"/>
        <v/>
      </c>
      <c r="U580" s="83" t="str">
        <f t="shared" si="488"/>
        <v/>
      </c>
      <c r="V580" s="81" t="b">
        <f t="shared" si="488"/>
        <v>0</v>
      </c>
      <c r="W580" s="81" t="str">
        <f t="shared" si="488"/>
        <v>Character/Prefabs/m_boss_ranger_cassandra_2</v>
      </c>
      <c r="X580" s="81" t="str">
        <f t="shared" si="488"/>
        <v/>
      </c>
      <c r="Y580" s="81" t="str">
        <f t="shared" si="488"/>
        <v>m_boss_ranger_cassandra_2</v>
      </c>
      <c r="Z580" s="81" t="str">
        <f t="shared" si="488"/>
        <v/>
      </c>
      <c r="AA580" s="81" t="str">
        <f t="shared" si="488"/>
        <v/>
      </c>
      <c r="AB580" s="81" t="str">
        <f t="shared" si="488"/>
        <v/>
      </c>
      <c r="AC580" s="96">
        <f t="shared" si="488"/>
        <v>0.9</v>
      </c>
      <c r="AD580" s="81" t="str">
        <f t="shared" si="488"/>
        <v/>
      </c>
      <c r="AE580" s="81" t="str">
        <f t="shared" si="488"/>
        <v>Character/Timeline/02_MON/cassandra/appearance2</v>
      </c>
      <c r="AF580" s="81" t="str">
        <f t="shared" si="488"/>
        <v>Character/Timeline/02_MON/cassandra/die2</v>
      </c>
      <c r="AG580" s="173" t="s">
        <v>2765</v>
      </c>
    </row>
    <row r="581" spans="1:33" x14ac:dyDescent="0.3">
      <c r="A581" s="81">
        <f t="shared" si="466"/>
        <v>1611301021</v>
      </c>
      <c r="B581" s="81" t="str">
        <f t="shared" ref="B581:AF581" si="489">IF(B470 &lt;&gt; "", B470, "")</f>
        <v>BossChallenge</v>
      </c>
      <c r="C581" s="81" t="str">
        <f t="shared" si="489"/>
        <v>디오메가</v>
      </c>
      <c r="D581" s="81" t="str">
        <f t="shared" si="489"/>
        <v>Monster.Name.theomega_1</v>
      </c>
      <c r="E581" s="81" t="str">
        <f t="shared" si="489"/>
        <v>Attacker</v>
      </c>
      <c r="F581" s="82" t="str">
        <f t="shared" si="489"/>
        <v>Fac_nul_ind</v>
      </c>
      <c r="G581" s="81" t="str">
        <f t="shared" si="489"/>
        <v>TRUE</v>
      </c>
      <c r="H581" s="81" t="b">
        <f t="shared" si="489"/>
        <v>1</v>
      </c>
      <c r="I581" s="81" t="b">
        <f t="shared" si="489"/>
        <v>1</v>
      </c>
      <c r="J581" s="81">
        <f t="shared" si="489"/>
        <v>20</v>
      </c>
      <c r="K581" s="81">
        <f t="shared" si="489"/>
        <v>10</v>
      </c>
      <c r="L581" s="81" t="str">
        <f t="shared" si="489"/>
        <v>BossChallenge.theomega_1.attack01</v>
      </c>
      <c r="M581" s="81" t="str">
        <f t="shared" si="489"/>
        <v/>
      </c>
      <c r="N581" s="81" t="str">
        <f t="shared" si="489"/>
        <v/>
      </c>
      <c r="O581" s="177" t="str">
        <f t="shared" si="489"/>
        <v>BossChallenge.theomega_1.skill01</v>
      </c>
      <c r="P581" s="83" t="str">
        <f t="shared" si="489"/>
        <v>BossChallenge.theomega_1.skill02</v>
      </c>
      <c r="Q581" s="83" t="str">
        <f t="shared" si="489"/>
        <v>BossChallenge.theomega_1.skill03</v>
      </c>
      <c r="R581" s="83" t="str">
        <f t="shared" si="489"/>
        <v>BossChallenge.theomega_1.passive01</v>
      </c>
      <c r="S581" s="83" t="str">
        <f t="shared" si="489"/>
        <v>Boss.Common.Immun</v>
      </c>
      <c r="T581" s="83" t="str">
        <f t="shared" si="489"/>
        <v/>
      </c>
      <c r="U581" s="83" t="str">
        <f t="shared" si="489"/>
        <v/>
      </c>
      <c r="V581" s="81" t="b">
        <f t="shared" si="489"/>
        <v>0</v>
      </c>
      <c r="W581" s="81" t="str">
        <f t="shared" si="489"/>
        <v>Character/Prefabs/m_boss_attacker_theomega_1</v>
      </c>
      <c r="X581" s="81" t="str">
        <f t="shared" si="489"/>
        <v/>
      </c>
      <c r="Y581" s="81" t="str">
        <f t="shared" si="489"/>
        <v>m_boss_attacker_theomega_1</v>
      </c>
      <c r="Z581" s="81" t="str">
        <f t="shared" si="489"/>
        <v/>
      </c>
      <c r="AA581" s="81" t="str">
        <f t="shared" si="489"/>
        <v/>
      </c>
      <c r="AB581" s="81" t="str">
        <f t="shared" si="489"/>
        <v/>
      </c>
      <c r="AC581" s="96">
        <f t="shared" si="489"/>
        <v>0.9</v>
      </c>
      <c r="AD581" s="81" t="str">
        <f t="shared" si="489"/>
        <v/>
      </c>
      <c r="AE581" s="81" t="str">
        <f t="shared" si="489"/>
        <v>Character/Timeline/02_MON/boss3/appearance</v>
      </c>
      <c r="AF581" s="81" t="str">
        <f t="shared" si="489"/>
        <v>Character/Timeline/02_MON/boss3/die</v>
      </c>
      <c r="AG581" s="173" t="s">
        <v>2765</v>
      </c>
    </row>
    <row r="582" spans="1:33" x14ac:dyDescent="0.3">
      <c r="A582" s="81">
        <f t="shared" si="466"/>
        <v>1611301022</v>
      </c>
      <c r="B582" s="81" t="str">
        <f t="shared" ref="B582:AF582" si="490">IF(B471 &lt;&gt; "", B471, "")</f>
        <v>BossChallenge</v>
      </c>
      <c r="C582" s="81" t="str">
        <f t="shared" si="490"/>
        <v>강화디오메가</v>
      </c>
      <c r="D582" s="81" t="str">
        <f t="shared" si="490"/>
        <v>Monster.Name.theomega_3</v>
      </c>
      <c r="E582" s="81" t="str">
        <f t="shared" si="490"/>
        <v>Attacker</v>
      </c>
      <c r="F582" s="82" t="str">
        <f t="shared" si="490"/>
        <v>Fac_nul_ind</v>
      </c>
      <c r="G582" s="81" t="str">
        <f t="shared" si="490"/>
        <v>TRUE</v>
      </c>
      <c r="H582" s="81" t="b">
        <f t="shared" si="490"/>
        <v>1</v>
      </c>
      <c r="I582" s="81" t="b">
        <f t="shared" si="490"/>
        <v>1</v>
      </c>
      <c r="J582" s="81">
        <f t="shared" si="490"/>
        <v>20</v>
      </c>
      <c r="K582" s="81">
        <f t="shared" si="490"/>
        <v>10</v>
      </c>
      <c r="L582" s="81" t="str">
        <f t="shared" si="490"/>
        <v>BossChallenge.theomega_3.attack01</v>
      </c>
      <c r="M582" s="81" t="str">
        <f t="shared" si="490"/>
        <v>BossChallenge.theomega_3.attack02</v>
      </c>
      <c r="N582" s="81" t="str">
        <f t="shared" si="490"/>
        <v/>
      </c>
      <c r="O582" s="177" t="str">
        <f t="shared" si="490"/>
        <v>BossChallenge.theomega_3.skill01</v>
      </c>
      <c r="P582" s="83" t="str">
        <f t="shared" si="490"/>
        <v>BossChallenge.theomega_3.skill02</v>
      </c>
      <c r="Q582" s="83" t="str">
        <f t="shared" si="490"/>
        <v>BossChallenge.theomega_3.skill03</v>
      </c>
      <c r="R582" s="83" t="str">
        <f t="shared" si="490"/>
        <v>BossChallenge.theomega_3.skill04</v>
      </c>
      <c r="S582" s="83" t="str">
        <f t="shared" si="490"/>
        <v>BossChallenge.theomega_3.passive01</v>
      </c>
      <c r="T582" s="83" t="str">
        <f t="shared" si="490"/>
        <v/>
      </c>
      <c r="U582" s="83" t="str">
        <f t="shared" si="490"/>
        <v/>
      </c>
      <c r="V582" s="81" t="b">
        <f t="shared" si="490"/>
        <v>0</v>
      </c>
      <c r="W582" s="81" t="str">
        <f t="shared" si="490"/>
        <v>Character/Prefabs/m_boss_attacker_theomega_3</v>
      </c>
      <c r="X582" s="81" t="str">
        <f t="shared" si="490"/>
        <v/>
      </c>
      <c r="Y582" s="81" t="str">
        <f t="shared" si="490"/>
        <v>m_boss_attacker_theomega_3</v>
      </c>
      <c r="Z582" s="81" t="str">
        <f t="shared" si="490"/>
        <v/>
      </c>
      <c r="AA582" s="81" t="str">
        <f t="shared" si="490"/>
        <v/>
      </c>
      <c r="AB582" s="81" t="str">
        <f t="shared" si="490"/>
        <v/>
      </c>
      <c r="AC582" s="96">
        <f t="shared" si="490"/>
        <v>0.9</v>
      </c>
      <c r="AD582" s="81" t="str">
        <f t="shared" si="490"/>
        <v/>
      </c>
      <c r="AE582" s="81" t="str">
        <f t="shared" si="490"/>
        <v>Character/Timeline/02_MON/boss3/appearance_2</v>
      </c>
      <c r="AF582" s="81" t="str">
        <f t="shared" si="490"/>
        <v>Character/Timeline/02_MON/boss3/die_2</v>
      </c>
      <c r="AG582" s="173" t="s">
        <v>2765</v>
      </c>
    </row>
    <row r="583" spans="1:33" x14ac:dyDescent="0.3">
      <c r="A583" s="81">
        <f t="shared" si="466"/>
        <v>1611301031</v>
      </c>
      <c r="B583" s="81" t="str">
        <f t="shared" ref="B583:AF583" si="491">IF(B472 &lt;&gt; "", B472, "")</f>
        <v>BossChallenge</v>
      </c>
      <c r="C583" s="81" t="str">
        <f t="shared" si="491"/>
        <v>널엑스</v>
      </c>
      <c r="D583" s="81" t="str">
        <f t="shared" si="491"/>
        <v>Monster.Name.nullaxe_1</v>
      </c>
      <c r="E583" s="81" t="str">
        <f t="shared" si="491"/>
        <v>Attacker</v>
      </c>
      <c r="F583" s="82" t="str">
        <f t="shared" si="491"/>
        <v>Fac_nul_ind</v>
      </c>
      <c r="G583" s="81" t="str">
        <f t="shared" si="491"/>
        <v>TRUE</v>
      </c>
      <c r="H583" s="81" t="b">
        <f t="shared" si="491"/>
        <v>1</v>
      </c>
      <c r="I583" s="81" t="b">
        <f t="shared" si="491"/>
        <v>1</v>
      </c>
      <c r="J583" s="81">
        <f t="shared" si="491"/>
        <v>10</v>
      </c>
      <c r="K583" s="81">
        <f t="shared" si="491"/>
        <v>10</v>
      </c>
      <c r="L583" s="81" t="str">
        <f t="shared" si="491"/>
        <v>BossChallenge.nullaxe_1.attack01</v>
      </c>
      <c r="M583" s="81" t="str">
        <f t="shared" si="491"/>
        <v>BossChallenge.nullaxe_1.attack02</v>
      </c>
      <c r="N583" s="81" t="str">
        <f t="shared" si="491"/>
        <v/>
      </c>
      <c r="O583" s="177" t="str">
        <f t="shared" si="491"/>
        <v>BossChallenge.nullaxe_1.skill01</v>
      </c>
      <c r="P583" s="83" t="str">
        <f t="shared" si="491"/>
        <v>BossChallenge.nullaxe_1.skill02</v>
      </c>
      <c r="Q583" s="83" t="str">
        <f t="shared" si="491"/>
        <v>BossChallenge.nullaxe_1.skill03</v>
      </c>
      <c r="R583" s="83" t="str">
        <f t="shared" si="491"/>
        <v>BossChallenge.nullaxe_1.passive01</v>
      </c>
      <c r="S583" s="83" t="str">
        <f t="shared" si="491"/>
        <v>Boss.Common.Immun</v>
      </c>
      <c r="T583" s="83" t="str">
        <f t="shared" si="491"/>
        <v/>
      </c>
      <c r="U583" s="83" t="str">
        <f t="shared" si="491"/>
        <v/>
      </c>
      <c r="V583" s="81" t="b">
        <f t="shared" si="491"/>
        <v>0</v>
      </c>
      <c r="W583" s="81" t="str">
        <f t="shared" si="491"/>
        <v>Character/Prefabs/m_boss_attacker_nullaxe_1</v>
      </c>
      <c r="X583" s="81" t="str">
        <f t="shared" si="491"/>
        <v/>
      </c>
      <c r="Y583" s="81" t="str">
        <f t="shared" si="491"/>
        <v>m_boss_attacker_nullaxe_1</v>
      </c>
      <c r="Z583" s="81" t="str">
        <f t="shared" si="491"/>
        <v/>
      </c>
      <c r="AA583" s="81" t="str">
        <f t="shared" si="491"/>
        <v/>
      </c>
      <c r="AB583" s="81" t="str">
        <f t="shared" si="491"/>
        <v/>
      </c>
      <c r="AC583" s="96">
        <f t="shared" si="491"/>
        <v>1.6</v>
      </c>
      <c r="AD583" s="81" t="str">
        <f t="shared" si="491"/>
        <v/>
      </c>
      <c r="AE583" s="81" t="str">
        <f t="shared" si="491"/>
        <v>Character/Timeline/02_MON/nullaxe/appearance</v>
      </c>
      <c r="AF583" s="81" t="str">
        <f t="shared" si="491"/>
        <v>Character/Timeline/02_MON/nullaxe/die</v>
      </c>
      <c r="AG583" s="173" t="s">
        <v>2765</v>
      </c>
    </row>
    <row r="584" spans="1:33" x14ac:dyDescent="0.3">
      <c r="A584" s="81">
        <f t="shared" si="466"/>
        <v>1611301032</v>
      </c>
      <c r="B584" s="81" t="str">
        <f t="shared" ref="B584:AF584" si="492">IF(B473 &lt;&gt; "", B473, "")</f>
        <v>BossChallenge</v>
      </c>
      <c r="C584" s="81" t="str">
        <f t="shared" si="492"/>
        <v>강화널엑스</v>
      </c>
      <c r="D584" s="81" t="str">
        <f t="shared" si="492"/>
        <v>Monster.Name.nullaxe_2</v>
      </c>
      <c r="E584" s="81" t="str">
        <f t="shared" si="492"/>
        <v>Attacker</v>
      </c>
      <c r="F584" s="82" t="str">
        <f t="shared" si="492"/>
        <v>Fac_nul_ind</v>
      </c>
      <c r="G584" s="81" t="str">
        <f t="shared" si="492"/>
        <v>TRUE</v>
      </c>
      <c r="H584" s="81" t="b">
        <f t="shared" si="492"/>
        <v>1</v>
      </c>
      <c r="I584" s="81" t="b">
        <f t="shared" si="492"/>
        <v>1</v>
      </c>
      <c r="J584" s="81">
        <f t="shared" si="492"/>
        <v>10</v>
      </c>
      <c r="K584" s="81">
        <f t="shared" si="492"/>
        <v>10</v>
      </c>
      <c r="L584" s="81" t="str">
        <f t="shared" si="492"/>
        <v>BossChallenge.nullaxe_2.attack01</v>
      </c>
      <c r="M584" s="81" t="str">
        <f t="shared" si="492"/>
        <v>BossChallenge.nullaxe_2.attack02</v>
      </c>
      <c r="N584" s="81" t="str">
        <f t="shared" si="492"/>
        <v/>
      </c>
      <c r="O584" s="177" t="str">
        <f t="shared" si="492"/>
        <v>BossChallenge.nullaxe_2.skill01</v>
      </c>
      <c r="P584" s="83" t="str">
        <f t="shared" si="492"/>
        <v>BossChallenge.nullaxe_2.skill02</v>
      </c>
      <c r="Q584" s="83" t="str">
        <f t="shared" si="492"/>
        <v>BossChallenge.nullaxe_2.skill03</v>
      </c>
      <c r="R584" s="83" t="str">
        <f t="shared" si="492"/>
        <v>BossChallenge.nullaxe_2.passive01</v>
      </c>
      <c r="S584" s="83" t="str">
        <f t="shared" si="492"/>
        <v>BossChallenge.nullaxe_2.passive02</v>
      </c>
      <c r="T584" s="83" t="str">
        <f t="shared" si="492"/>
        <v/>
      </c>
      <c r="U584" s="83" t="str">
        <f t="shared" si="492"/>
        <v/>
      </c>
      <c r="V584" s="81" t="b">
        <f t="shared" si="492"/>
        <v>0</v>
      </c>
      <c r="W584" s="81" t="str">
        <f t="shared" si="492"/>
        <v>Character/Prefabs/m_boss_attacker_nullaxe_2</v>
      </c>
      <c r="X584" s="81" t="str">
        <f t="shared" si="492"/>
        <v/>
      </c>
      <c r="Y584" s="81" t="str">
        <f t="shared" si="492"/>
        <v>m_boss_attacker_nullaxe_2</v>
      </c>
      <c r="Z584" s="81" t="str">
        <f t="shared" si="492"/>
        <v/>
      </c>
      <c r="AA584" s="81" t="str">
        <f t="shared" si="492"/>
        <v/>
      </c>
      <c r="AB584" s="81" t="str">
        <f t="shared" si="492"/>
        <v/>
      </c>
      <c r="AC584" s="96">
        <f t="shared" si="492"/>
        <v>1.6</v>
      </c>
      <c r="AD584" s="81" t="str">
        <f t="shared" si="492"/>
        <v/>
      </c>
      <c r="AE584" s="81" t="str">
        <f t="shared" si="492"/>
        <v>Character/Timeline/02_MON/nullaxe/appearance_2new</v>
      </c>
      <c r="AF584" s="81" t="str">
        <f t="shared" si="492"/>
        <v>Character/Timeline/02_MON/nullaxe/die_2new</v>
      </c>
      <c r="AG584" s="173" t="s">
        <v>2765</v>
      </c>
    </row>
    <row r="585" spans="1:33" x14ac:dyDescent="0.3">
      <c r="A585" s="81">
        <f t="shared" si="466"/>
        <v>1611301041</v>
      </c>
      <c r="B585" s="81" t="str">
        <f t="shared" ref="B585:AF585" si="493">IF(B474 &lt;&gt; "", B474, "")</f>
        <v>BossChallenge</v>
      </c>
      <c r="C585" s="81" t="str">
        <f t="shared" si="493"/>
        <v>로열퀸</v>
      </c>
      <c r="D585" s="81" t="str">
        <f t="shared" si="493"/>
        <v>Monster.Name.clock_royal_queen_1</v>
      </c>
      <c r="E585" s="81" t="str">
        <f t="shared" si="493"/>
        <v>Attacker</v>
      </c>
      <c r="F585" s="82" t="str">
        <f t="shared" si="493"/>
        <v>Fac_nul_ind</v>
      </c>
      <c r="G585" s="81" t="str">
        <f t="shared" si="493"/>
        <v>TRUE</v>
      </c>
      <c r="H585" s="81" t="b">
        <f t="shared" si="493"/>
        <v>1</v>
      </c>
      <c r="I585" s="81" t="b">
        <f t="shared" si="493"/>
        <v>1</v>
      </c>
      <c r="J585" s="81">
        <f t="shared" si="493"/>
        <v>10</v>
      </c>
      <c r="K585" s="81">
        <f t="shared" si="493"/>
        <v>10</v>
      </c>
      <c r="L585" s="81" t="str">
        <f t="shared" si="493"/>
        <v>BossChallenge.clock_royal_queen_1.attack01</v>
      </c>
      <c r="M585" s="81" t="str">
        <f t="shared" si="493"/>
        <v>BossChallenge.clock_royal_queen_1.attack02</v>
      </c>
      <c r="N585" s="81" t="str">
        <f t="shared" si="493"/>
        <v/>
      </c>
      <c r="O585" s="177" t="str">
        <f t="shared" si="493"/>
        <v>BossChallenge.clock_royal_queen_1.skill01</v>
      </c>
      <c r="P585" s="83" t="str">
        <f t="shared" si="493"/>
        <v>BossChallenge.clock_royal_queen_1.skill02</v>
      </c>
      <c r="Q585" s="83" t="str">
        <f t="shared" si="493"/>
        <v>BossChallenge.clock_royal_queen_1.skill03</v>
      </c>
      <c r="R585" s="83" t="str">
        <f t="shared" si="493"/>
        <v>BossChallenge.clock_royal_queen_1.passive01</v>
      </c>
      <c r="S585" s="83" t="str">
        <f t="shared" si="493"/>
        <v>Boss.Common.Immun</v>
      </c>
      <c r="T585" s="83" t="str">
        <f t="shared" si="493"/>
        <v/>
      </c>
      <c r="U585" s="83" t="str">
        <f t="shared" si="493"/>
        <v/>
      </c>
      <c r="V585" s="81" t="b">
        <f t="shared" si="493"/>
        <v>0</v>
      </c>
      <c r="W585" s="170" t="str">
        <f t="shared" si="493"/>
        <v>Character/Prefabs/m_boss_attacker_clock_royal_queen_1</v>
      </c>
      <c r="X585" s="81" t="str">
        <f t="shared" si="493"/>
        <v/>
      </c>
      <c r="Y585" s="81" t="str">
        <f t="shared" si="493"/>
        <v>m_boss_attacker_clock_royal_queen_1</v>
      </c>
      <c r="Z585" s="81" t="str">
        <f t="shared" si="493"/>
        <v/>
      </c>
      <c r="AA585" s="81" t="str">
        <f t="shared" si="493"/>
        <v/>
      </c>
      <c r="AB585" s="81" t="str">
        <f t="shared" si="493"/>
        <v/>
      </c>
      <c r="AC585" s="96">
        <f t="shared" si="493"/>
        <v>0.9</v>
      </c>
      <c r="AD585" s="81" t="str">
        <f t="shared" si="493"/>
        <v/>
      </c>
      <c r="AE585" s="81" t="str">
        <f t="shared" si="493"/>
        <v>Character/Timeline/02_MON/royal_queen_1/appearance</v>
      </c>
      <c r="AF585" s="81" t="str">
        <f t="shared" si="493"/>
        <v>Character/Timeline/02_MON/royal_queen_1/die</v>
      </c>
      <c r="AG585" s="173" t="s">
        <v>2765</v>
      </c>
    </row>
    <row r="586" spans="1:33" x14ac:dyDescent="0.3">
      <c r="A586" s="81">
        <f t="shared" si="466"/>
        <v>1611301042</v>
      </c>
      <c r="B586" s="81" t="str">
        <f t="shared" ref="B586:AF586" si="494">IF(B475 &lt;&gt; "", B475, "")</f>
        <v>BossChallenge</v>
      </c>
      <c r="C586" s="81" t="str">
        <f t="shared" si="494"/>
        <v>강화로열퀸</v>
      </c>
      <c r="D586" s="81" t="str">
        <f t="shared" si="494"/>
        <v>Monster.Name.clock_royal_queen_2</v>
      </c>
      <c r="E586" s="81" t="str">
        <f t="shared" si="494"/>
        <v>Attacker</v>
      </c>
      <c r="F586" s="82" t="str">
        <f t="shared" si="494"/>
        <v>Fac_nul_ind</v>
      </c>
      <c r="G586" s="81" t="str">
        <f t="shared" si="494"/>
        <v>TRUE</v>
      </c>
      <c r="H586" s="81" t="b">
        <f t="shared" si="494"/>
        <v>1</v>
      </c>
      <c r="I586" s="81" t="b">
        <f t="shared" si="494"/>
        <v>1</v>
      </c>
      <c r="J586" s="81">
        <f t="shared" si="494"/>
        <v>10</v>
      </c>
      <c r="K586" s="81">
        <f t="shared" si="494"/>
        <v>10</v>
      </c>
      <c r="L586" s="81" t="str">
        <f t="shared" si="494"/>
        <v>BossChallenge.clock_royal_queen_2.attack01</v>
      </c>
      <c r="M586" s="81" t="str">
        <f t="shared" si="494"/>
        <v>BossChallenge.clock_royal_queen_2.attack02</v>
      </c>
      <c r="N586" s="81" t="str">
        <f t="shared" si="494"/>
        <v/>
      </c>
      <c r="O586" s="177" t="str">
        <f t="shared" si="494"/>
        <v>BossChallenge.clock_royal_queen_2.skill01</v>
      </c>
      <c r="P586" s="83" t="str">
        <f t="shared" si="494"/>
        <v>BossChallenge.clock_royal_queen_2.skill02</v>
      </c>
      <c r="Q586" s="83" t="str">
        <f t="shared" si="494"/>
        <v>BossChallenge.clock_royal_queen_2.skill03</v>
      </c>
      <c r="R586" s="83" t="str">
        <f t="shared" si="494"/>
        <v>BossChallenge.clock_royal_queen_1.passive01</v>
      </c>
      <c r="S586" s="83" t="str">
        <f t="shared" si="494"/>
        <v>Boss.Common.Immun</v>
      </c>
      <c r="T586" s="83" t="str">
        <f t="shared" si="494"/>
        <v/>
      </c>
      <c r="U586" s="83" t="str">
        <f t="shared" si="494"/>
        <v/>
      </c>
      <c r="V586" s="81" t="b">
        <f t="shared" si="494"/>
        <v>0</v>
      </c>
      <c r="W586" s="170" t="str">
        <f t="shared" si="494"/>
        <v>Character/Prefabs/m_boss_attacker_clock_royal_queen_2</v>
      </c>
      <c r="X586" s="163" t="str">
        <f t="shared" si="494"/>
        <v/>
      </c>
      <c r="Y586" s="163" t="str">
        <f t="shared" si="494"/>
        <v>m_boss_attacker_clock_royal_queen_1</v>
      </c>
      <c r="Z586" s="81" t="str">
        <f t="shared" si="494"/>
        <v/>
      </c>
      <c r="AA586" s="81" t="str">
        <f t="shared" si="494"/>
        <v/>
      </c>
      <c r="AB586" s="81" t="str">
        <f t="shared" si="494"/>
        <v/>
      </c>
      <c r="AC586" s="96">
        <f t="shared" si="494"/>
        <v>1.3</v>
      </c>
      <c r="AD586" s="81" t="str">
        <f t="shared" si="494"/>
        <v/>
      </c>
      <c r="AE586" s="81" t="str">
        <f t="shared" si="494"/>
        <v>Character/Timeline/02_MON/royal_queen_2/appearance2</v>
      </c>
      <c r="AF586" s="81" t="str">
        <f t="shared" si="494"/>
        <v>Character/Timeline/02_MON/royal_queen_2/die2</v>
      </c>
      <c r="AG586" s="173" t="s">
        <v>2765</v>
      </c>
    </row>
    <row r="587" spans="1:33" x14ac:dyDescent="0.3">
      <c r="A587" s="81">
        <f t="shared" si="466"/>
        <v>1611301051</v>
      </c>
      <c r="B587" s="81" t="str">
        <f t="shared" ref="B587:AF587" si="495">IF(B476 &lt;&gt; "", B476, "")</f>
        <v>BossChallenge</v>
      </c>
      <c r="C587" s="81" t="str">
        <f t="shared" si="495"/>
        <v>톡식</v>
      </c>
      <c r="D587" s="81" t="str">
        <f t="shared" si="495"/>
        <v>Monster.Name.toxic_1</v>
      </c>
      <c r="E587" s="81" t="str">
        <f t="shared" si="495"/>
        <v>Attacker</v>
      </c>
      <c r="F587" s="82" t="str">
        <f t="shared" si="495"/>
        <v>Fac_nul_ind</v>
      </c>
      <c r="G587" s="81" t="str">
        <f t="shared" si="495"/>
        <v>TRUE</v>
      </c>
      <c r="H587" s="81" t="b">
        <f t="shared" si="495"/>
        <v>1</v>
      </c>
      <c r="I587" s="81" t="b">
        <f t="shared" si="495"/>
        <v>1</v>
      </c>
      <c r="J587" s="81">
        <f t="shared" si="495"/>
        <v>20</v>
      </c>
      <c r="K587" s="81">
        <f t="shared" si="495"/>
        <v>10</v>
      </c>
      <c r="L587" s="81" t="str">
        <f t="shared" si="495"/>
        <v>BossChallenge.toxic_1.attack01</v>
      </c>
      <c r="M587" s="81" t="str">
        <f t="shared" si="495"/>
        <v>BossChallenge.toxic_1.attack02</v>
      </c>
      <c r="N587" s="81" t="str">
        <f t="shared" si="495"/>
        <v/>
      </c>
      <c r="O587" s="177" t="str">
        <f t="shared" si="495"/>
        <v>BossChallenge.toxic_1.skill01</v>
      </c>
      <c r="P587" s="83" t="str">
        <f t="shared" si="495"/>
        <v>BossChallenge.toxic_1.skill02</v>
      </c>
      <c r="Q587" s="83" t="str">
        <f t="shared" si="495"/>
        <v>BossChallenge.toxic_1.skill03</v>
      </c>
      <c r="R587" s="83" t="str">
        <f t="shared" si="495"/>
        <v>BossChallenge.toxic_1.passive01</v>
      </c>
      <c r="S587" s="83" t="str">
        <f t="shared" si="495"/>
        <v>BossChallenge.toxic_1.passive02</v>
      </c>
      <c r="T587" s="83" t="str">
        <f t="shared" si="495"/>
        <v/>
      </c>
      <c r="U587" s="83" t="str">
        <f t="shared" si="495"/>
        <v/>
      </c>
      <c r="V587" s="81" t="b">
        <f t="shared" si="495"/>
        <v>0</v>
      </c>
      <c r="W587" s="170" t="str">
        <f t="shared" si="495"/>
        <v>Character/Prefabs/m_boss_attacker_toxic_1</v>
      </c>
      <c r="X587" s="81" t="str">
        <f t="shared" si="495"/>
        <v/>
      </c>
      <c r="Y587" s="81" t="str">
        <f t="shared" si="495"/>
        <v>m_boss_attacker_toxic_1</v>
      </c>
      <c r="Z587" s="81" t="str">
        <f t="shared" si="495"/>
        <v/>
      </c>
      <c r="AA587" s="81" t="str">
        <f t="shared" si="495"/>
        <v/>
      </c>
      <c r="AB587" s="81" t="str">
        <f t="shared" si="495"/>
        <v/>
      </c>
      <c r="AC587" s="96">
        <f t="shared" si="495"/>
        <v>1.1000000000000001</v>
      </c>
      <c r="AD587" s="81" t="str">
        <f t="shared" si="495"/>
        <v/>
      </c>
      <c r="AE587" s="81" t="str">
        <f t="shared" si="495"/>
        <v>Character/Timeline/02_MON/toxic_1/m_boss_attacker_toxic_1@appearance</v>
      </c>
      <c r="AF587" s="81" t="str">
        <f t="shared" si="495"/>
        <v>Character/Timeline/02_MON/toxic_1/m_boss_attacker_toxic_1@die</v>
      </c>
      <c r="AG587" s="173" t="s">
        <v>2765</v>
      </c>
    </row>
    <row r="588" spans="1:33" x14ac:dyDescent="0.3">
      <c r="A588" s="81">
        <f t="shared" si="466"/>
        <v>1611301052</v>
      </c>
      <c r="B588" s="81" t="str">
        <f t="shared" ref="B588:AF588" si="496">IF(B477 &lt;&gt; "", B477, "")</f>
        <v>BossChallenge</v>
      </c>
      <c r="C588" s="81" t="str">
        <f t="shared" si="496"/>
        <v>강화톡식</v>
      </c>
      <c r="D588" s="81" t="str">
        <f t="shared" si="496"/>
        <v>Monster.Name.toxic_3</v>
      </c>
      <c r="E588" s="81" t="str">
        <f t="shared" si="496"/>
        <v>Attacker</v>
      </c>
      <c r="F588" s="82" t="str">
        <f t="shared" si="496"/>
        <v>Fac_nul_ind</v>
      </c>
      <c r="G588" s="81" t="str">
        <f t="shared" si="496"/>
        <v>TRUE</v>
      </c>
      <c r="H588" s="81" t="b">
        <f t="shared" si="496"/>
        <v>1</v>
      </c>
      <c r="I588" s="81" t="b">
        <f t="shared" si="496"/>
        <v>1</v>
      </c>
      <c r="J588" s="81">
        <f t="shared" si="496"/>
        <v>20</v>
      </c>
      <c r="K588" s="81">
        <f t="shared" si="496"/>
        <v>10</v>
      </c>
      <c r="L588" s="81" t="str">
        <f t="shared" si="496"/>
        <v>BossChallenge.toxic_3.attack01</v>
      </c>
      <c r="M588" s="81" t="str">
        <f t="shared" si="496"/>
        <v>BossChallenge.toxic_3.attack02</v>
      </c>
      <c r="N588" s="81" t="str">
        <f t="shared" si="496"/>
        <v/>
      </c>
      <c r="O588" s="177" t="str">
        <f t="shared" si="496"/>
        <v>BossChallenge.toxic_3.skill01</v>
      </c>
      <c r="P588" s="83" t="str">
        <f t="shared" si="496"/>
        <v>BossChallenge.toxic_3.skill02</v>
      </c>
      <c r="Q588" s="83" t="str">
        <f t="shared" si="496"/>
        <v>BossChallenge.toxic_3.skill03</v>
      </c>
      <c r="R588" s="83" t="str">
        <f t="shared" si="496"/>
        <v>BossChallenge.toxic_3.passive01</v>
      </c>
      <c r="S588" s="83" t="str">
        <f t="shared" si="496"/>
        <v>BossChallenge.toxic_3.passive02</v>
      </c>
      <c r="T588" s="83" t="str">
        <f t="shared" si="496"/>
        <v/>
      </c>
      <c r="U588" s="83" t="str">
        <f t="shared" si="496"/>
        <v/>
      </c>
      <c r="V588" s="81" t="b">
        <f t="shared" si="496"/>
        <v>0</v>
      </c>
      <c r="W588" s="170" t="str">
        <f t="shared" si="496"/>
        <v>Character/Prefabs/m_boss_attacker_toxic_3</v>
      </c>
      <c r="X588" s="163" t="str">
        <f t="shared" si="496"/>
        <v/>
      </c>
      <c r="Y588" s="163" t="str">
        <f t="shared" si="496"/>
        <v>m_boss_attacker_toxic_1</v>
      </c>
      <c r="Z588" s="81" t="str">
        <f t="shared" si="496"/>
        <v/>
      </c>
      <c r="AA588" s="81" t="str">
        <f t="shared" si="496"/>
        <v/>
      </c>
      <c r="AB588" s="81" t="str">
        <f t="shared" si="496"/>
        <v/>
      </c>
      <c r="AC588" s="96">
        <f t="shared" si="496"/>
        <v>1.1000000000000001</v>
      </c>
      <c r="AD588" s="81" t="str">
        <f t="shared" si="496"/>
        <v/>
      </c>
      <c r="AE588" s="81" t="str">
        <f t="shared" si="496"/>
        <v>Character/Timeline/02_MON/toxic_3/appearance3</v>
      </c>
      <c r="AF588" s="81" t="str">
        <f t="shared" si="496"/>
        <v>Character/Timeline/02_MON/toxic_3/die3</v>
      </c>
      <c r="AG588" s="173" t="s">
        <v>2765</v>
      </c>
    </row>
    <row r="589" spans="1:33" x14ac:dyDescent="0.3">
      <c r="A589" s="81">
        <f t="shared" si="466"/>
        <v>1611301061</v>
      </c>
      <c r="B589" s="81" t="str">
        <f t="shared" ref="B589:AF589" si="497">IF(B478 &lt;&gt; "", B478, "")</f>
        <v>BossChallenge</v>
      </c>
      <c r="C589" s="81" t="str">
        <f t="shared" si="497"/>
        <v>연구소골리앗</v>
      </c>
      <c r="D589" s="81" t="str">
        <f t="shared" si="497"/>
        <v>Monster.Name.goliath_1</v>
      </c>
      <c r="E589" s="81" t="str">
        <f t="shared" si="497"/>
        <v>Attacker</v>
      </c>
      <c r="F589" s="82" t="str">
        <f t="shared" si="497"/>
        <v>Fac_nul_ind</v>
      </c>
      <c r="G589" s="81" t="str">
        <f t="shared" si="497"/>
        <v>TRUE</v>
      </c>
      <c r="H589" s="81" t="b">
        <f t="shared" si="497"/>
        <v>1</v>
      </c>
      <c r="I589" s="81" t="b">
        <f t="shared" si="497"/>
        <v>1</v>
      </c>
      <c r="J589" s="81">
        <f t="shared" si="497"/>
        <v>10</v>
      </c>
      <c r="K589" s="81">
        <f t="shared" si="497"/>
        <v>10</v>
      </c>
      <c r="L589" s="81" t="str">
        <f t="shared" si="497"/>
        <v>BossChallenge.goliath_1.attack01</v>
      </c>
      <c r="M589" s="81" t="str">
        <f t="shared" si="497"/>
        <v>BossChallenge.goliath_1.attack02</v>
      </c>
      <c r="N589" s="81" t="str">
        <f t="shared" si="497"/>
        <v/>
      </c>
      <c r="O589" s="177" t="str">
        <f t="shared" si="497"/>
        <v>BossChallenge.goliath_1.skill01</v>
      </c>
      <c r="P589" s="83" t="str">
        <f t="shared" si="497"/>
        <v>BossChallenge.goliath_1.skill02</v>
      </c>
      <c r="Q589" s="83" t="str">
        <f t="shared" si="497"/>
        <v>BossChallenge.goliath_1.skill03</v>
      </c>
      <c r="R589" s="83" t="str">
        <f t="shared" si="497"/>
        <v>BossChallenge.goliath_1.passive01</v>
      </c>
      <c r="S589" s="83" t="str">
        <f t="shared" si="497"/>
        <v>BossChallenge.goliath_1.passive02</v>
      </c>
      <c r="T589" s="83" t="str">
        <f t="shared" si="497"/>
        <v/>
      </c>
      <c r="U589" s="83" t="str">
        <f t="shared" si="497"/>
        <v/>
      </c>
      <c r="V589" s="81" t="b">
        <f t="shared" si="497"/>
        <v>0</v>
      </c>
      <c r="W589" s="170" t="str">
        <f t="shared" si="497"/>
        <v>Character/Prefabs/m_boss_attacker_goliath_1</v>
      </c>
      <c r="X589" s="81" t="str">
        <f t="shared" si="497"/>
        <v/>
      </c>
      <c r="Y589" s="81" t="str">
        <f t="shared" si="497"/>
        <v>m_boss_attacker_goliath_1</v>
      </c>
      <c r="Z589" s="81" t="str">
        <f t="shared" si="497"/>
        <v/>
      </c>
      <c r="AA589" s="81" t="str">
        <f t="shared" si="497"/>
        <v/>
      </c>
      <c r="AB589" s="81" t="str">
        <f t="shared" si="497"/>
        <v/>
      </c>
      <c r="AC589" s="96">
        <f t="shared" si="497"/>
        <v>1.4</v>
      </c>
      <c r="AD589" s="81" t="str">
        <f t="shared" si="497"/>
        <v/>
      </c>
      <c r="AE589" s="81" t="str">
        <f t="shared" si="497"/>
        <v>Character/Timeline/02_MON/goliath_1/m_boss_attacker_goliath_1@appearance</v>
      </c>
      <c r="AF589" s="81" t="str">
        <f t="shared" si="497"/>
        <v>Character/Timeline/02_MON/goliath_1/m_boss_attacker_goliath_1@die</v>
      </c>
      <c r="AG589" s="173" t="s">
        <v>2765</v>
      </c>
    </row>
    <row r="590" spans="1:33" x14ac:dyDescent="0.3">
      <c r="A590" s="81">
        <f t="shared" si="466"/>
        <v>1611301062</v>
      </c>
      <c r="B590" s="81" t="str">
        <f t="shared" ref="B590:AF590" si="498">IF(B479 &lt;&gt; "", B479, "")</f>
        <v>BossChallenge</v>
      </c>
      <c r="C590" s="81" t="str">
        <f t="shared" si="498"/>
        <v>강화골리앗</v>
      </c>
      <c r="D590" s="81" t="str">
        <f t="shared" si="498"/>
        <v>Monster.Name.goliath_4</v>
      </c>
      <c r="E590" s="81" t="str">
        <f t="shared" si="498"/>
        <v>Attacker</v>
      </c>
      <c r="F590" s="82" t="str">
        <f t="shared" si="498"/>
        <v>Fac_nul_ind</v>
      </c>
      <c r="G590" s="81" t="str">
        <f t="shared" si="498"/>
        <v>TRUE</v>
      </c>
      <c r="H590" s="81" t="b">
        <f t="shared" si="498"/>
        <v>1</v>
      </c>
      <c r="I590" s="81" t="b">
        <f t="shared" si="498"/>
        <v>1</v>
      </c>
      <c r="J590" s="81">
        <f t="shared" si="498"/>
        <v>10</v>
      </c>
      <c r="K590" s="81">
        <f t="shared" si="498"/>
        <v>10</v>
      </c>
      <c r="L590" s="81" t="str">
        <f t="shared" si="498"/>
        <v>BossChallenge.goliath_4.attack01</v>
      </c>
      <c r="M590" s="81" t="str">
        <f t="shared" si="498"/>
        <v>BossChallenge.goliath_4.attack02</v>
      </c>
      <c r="N590" s="81" t="str">
        <f t="shared" si="498"/>
        <v/>
      </c>
      <c r="O590" s="177" t="str">
        <f t="shared" si="498"/>
        <v>BossChallenge.goliath_4.skill01</v>
      </c>
      <c r="P590" s="83" t="str">
        <f t="shared" si="498"/>
        <v>BossChallenge.goliath_4.skill02</v>
      </c>
      <c r="Q590" s="83" t="str">
        <f t="shared" si="498"/>
        <v>BossChallenge.goliath_4.skill03</v>
      </c>
      <c r="R590" s="83" t="str">
        <f t="shared" si="498"/>
        <v>BossChallenge.goliath_4.passive01</v>
      </c>
      <c r="S590" s="83" t="str">
        <f t="shared" si="498"/>
        <v>BossChallenge.goliath_4.passive02</v>
      </c>
      <c r="T590" s="83" t="str">
        <f t="shared" si="498"/>
        <v/>
      </c>
      <c r="U590" s="83" t="str">
        <f t="shared" si="498"/>
        <v/>
      </c>
      <c r="V590" s="81" t="b">
        <f t="shared" si="498"/>
        <v>0</v>
      </c>
      <c r="W590" s="170" t="str">
        <f t="shared" si="498"/>
        <v>Character/Prefabs/m_boss_attacker_goliath_4</v>
      </c>
      <c r="X590" s="163" t="str">
        <f t="shared" si="498"/>
        <v/>
      </c>
      <c r="Y590" s="163" t="str">
        <f t="shared" si="498"/>
        <v>m_boss_attacker_goliath_1</v>
      </c>
      <c r="Z590" s="81" t="str">
        <f t="shared" si="498"/>
        <v/>
      </c>
      <c r="AA590" s="81" t="str">
        <f t="shared" si="498"/>
        <v/>
      </c>
      <c r="AB590" s="81" t="str">
        <f t="shared" si="498"/>
        <v/>
      </c>
      <c r="AC590" s="96">
        <f t="shared" si="498"/>
        <v>1.7</v>
      </c>
      <c r="AD590" s="81" t="str">
        <f t="shared" si="498"/>
        <v/>
      </c>
      <c r="AE590" s="81" t="str">
        <f t="shared" si="498"/>
        <v>Character/Timeline/02_MON/goliath_4/appearance4</v>
      </c>
      <c r="AF590" s="81" t="str">
        <f t="shared" si="498"/>
        <v>Character/Timeline/02_MON/goliath_4/die4</v>
      </c>
      <c r="AG590" s="173" t="s">
        <v>2765</v>
      </c>
    </row>
    <row r="591" spans="1:33" x14ac:dyDescent="0.3">
      <c r="A591" s="81">
        <f t="shared" ref="A591:A621" si="499">A480+100000000</f>
        <v>1611301071</v>
      </c>
      <c r="B591" s="81" t="str">
        <f t="shared" ref="B591:AF591" si="500">IF(B480 &lt;&gt; "", B480, "")</f>
        <v>BossChallenge</v>
      </c>
      <c r="C591" s="81" t="str">
        <f t="shared" si="500"/>
        <v>크로울러</v>
      </c>
      <c r="D591" s="81" t="str">
        <f t="shared" si="500"/>
        <v>Monster.Name.crawler_1</v>
      </c>
      <c r="E591" s="81" t="str">
        <f t="shared" si="500"/>
        <v>Attacker</v>
      </c>
      <c r="F591" s="82" t="str">
        <f t="shared" si="500"/>
        <v>Fac_nul_ind</v>
      </c>
      <c r="G591" s="81" t="str">
        <f t="shared" si="500"/>
        <v>TRUE</v>
      </c>
      <c r="H591" s="81" t="b">
        <f t="shared" si="500"/>
        <v>1</v>
      </c>
      <c r="I591" s="81" t="b">
        <f t="shared" si="500"/>
        <v>1</v>
      </c>
      <c r="J591" s="81">
        <f t="shared" si="500"/>
        <v>10</v>
      </c>
      <c r="K591" s="81">
        <f t="shared" si="500"/>
        <v>10</v>
      </c>
      <c r="L591" s="81" t="str">
        <f t="shared" si="500"/>
        <v>BossChallenge.crawler_1.attack01</v>
      </c>
      <c r="M591" s="81" t="str">
        <f t="shared" si="500"/>
        <v>BossChallenge.crawler_1.attack02</v>
      </c>
      <c r="N591" s="81" t="str">
        <f t="shared" si="500"/>
        <v/>
      </c>
      <c r="O591" s="177" t="str">
        <f t="shared" si="500"/>
        <v>BossChallenge.crawler_1.skill01</v>
      </c>
      <c r="P591" s="83" t="str">
        <f t="shared" si="500"/>
        <v>BossChallenge.crawler_1.skill02</v>
      </c>
      <c r="Q591" s="83" t="str">
        <f t="shared" si="500"/>
        <v>BossChallenge.crawler_1.skill03</v>
      </c>
      <c r="R591" s="83" t="str">
        <f t="shared" si="500"/>
        <v>BossChallenge.crawler_1.passive01</v>
      </c>
      <c r="S591" s="83" t="str">
        <f t="shared" si="500"/>
        <v>Boss.Common.Immun</v>
      </c>
      <c r="T591" s="83" t="str">
        <f t="shared" si="500"/>
        <v/>
      </c>
      <c r="U591" s="83" t="str">
        <f t="shared" si="500"/>
        <v/>
      </c>
      <c r="V591" s="81" t="b">
        <f t="shared" si="500"/>
        <v>0</v>
      </c>
      <c r="W591" s="170" t="str">
        <f t="shared" si="500"/>
        <v>Character/Prefabs/m_boss_attacker_crawler_1</v>
      </c>
      <c r="X591" s="81" t="str">
        <f t="shared" si="500"/>
        <v/>
      </c>
      <c r="Y591" s="81" t="str">
        <f t="shared" si="500"/>
        <v>m_boss_attacker_crawler_1</v>
      </c>
      <c r="Z591" s="81" t="str">
        <f t="shared" si="500"/>
        <v/>
      </c>
      <c r="AA591" s="81" t="str">
        <f t="shared" si="500"/>
        <v/>
      </c>
      <c r="AB591" s="81" t="str">
        <f t="shared" si="500"/>
        <v/>
      </c>
      <c r="AC591" s="96">
        <f t="shared" si="500"/>
        <v>1.2</v>
      </c>
      <c r="AD591" s="81" t="str">
        <f t="shared" si="500"/>
        <v/>
      </c>
      <c r="AE591" s="81" t="str">
        <f t="shared" si="500"/>
        <v>Character/Timeline/02_MON/crawler/appearance</v>
      </c>
      <c r="AF591" s="81" t="str">
        <f t="shared" si="500"/>
        <v>Character/Timeline/02_MON/crawler/die</v>
      </c>
      <c r="AG591" s="173" t="s">
        <v>2765</v>
      </c>
    </row>
    <row r="592" spans="1:33" x14ac:dyDescent="0.3">
      <c r="A592" s="81">
        <f t="shared" si="499"/>
        <v>1611301072</v>
      </c>
      <c r="B592" s="81" t="str">
        <f t="shared" ref="B592:AF592" si="501">IF(B481 &lt;&gt; "", B481, "")</f>
        <v>BossChallenge</v>
      </c>
      <c r="C592" s="81" t="str">
        <f t="shared" si="501"/>
        <v>강화크로울러</v>
      </c>
      <c r="D592" s="81" t="str">
        <f t="shared" si="501"/>
        <v>Monster.Name.skull_crawler_1</v>
      </c>
      <c r="E592" s="81" t="str">
        <f t="shared" si="501"/>
        <v>Attacker</v>
      </c>
      <c r="F592" s="82" t="str">
        <f t="shared" si="501"/>
        <v>Fac_nul_ind</v>
      </c>
      <c r="G592" s="81" t="str">
        <f t="shared" si="501"/>
        <v>TRUE</v>
      </c>
      <c r="H592" s="81" t="b">
        <f t="shared" si="501"/>
        <v>1</v>
      </c>
      <c r="I592" s="81" t="b">
        <f t="shared" si="501"/>
        <v>1</v>
      </c>
      <c r="J592" s="81">
        <f t="shared" si="501"/>
        <v>10</v>
      </c>
      <c r="K592" s="81">
        <f t="shared" si="501"/>
        <v>10</v>
      </c>
      <c r="L592" s="81" t="str">
        <f t="shared" si="501"/>
        <v>BossChallenge.skull_crawler_1.attack01</v>
      </c>
      <c r="M592" s="81" t="str">
        <f t="shared" si="501"/>
        <v>BossChallenge.skull_crawler_1.attack02</v>
      </c>
      <c r="N592" s="81" t="str">
        <f t="shared" si="501"/>
        <v/>
      </c>
      <c r="O592" s="177" t="str">
        <f t="shared" si="501"/>
        <v>BossChallenge.skull_crawler_1.skill01</v>
      </c>
      <c r="P592" s="83" t="str">
        <f t="shared" si="501"/>
        <v>BossChallenge.skull_crawler_1.skill02</v>
      </c>
      <c r="Q592" s="83" t="str">
        <f t="shared" si="501"/>
        <v>BossChallenge.skull_crawler_1.skill03</v>
      </c>
      <c r="R592" s="83" t="str">
        <f t="shared" si="501"/>
        <v>BossChallenge.crawler_1.passive01</v>
      </c>
      <c r="S592" s="83" t="str">
        <f t="shared" si="501"/>
        <v>Boss.Common.Immun</v>
      </c>
      <c r="T592" s="83" t="str">
        <f t="shared" si="501"/>
        <v/>
      </c>
      <c r="U592" s="83" t="str">
        <f t="shared" si="501"/>
        <v/>
      </c>
      <c r="V592" s="81" t="b">
        <f t="shared" si="501"/>
        <v>0</v>
      </c>
      <c r="W592" s="170" t="str">
        <f t="shared" si="501"/>
        <v>Character/Prefabs/m_boss_attacker_skull_crawler_1</v>
      </c>
      <c r="X592" s="81" t="str">
        <f t="shared" si="501"/>
        <v/>
      </c>
      <c r="Y592" s="162" t="str">
        <f t="shared" si="501"/>
        <v>m_boss_attacker_crawler_1</v>
      </c>
      <c r="Z592" s="81" t="str">
        <f t="shared" si="501"/>
        <v/>
      </c>
      <c r="AA592" s="81" t="str">
        <f t="shared" si="501"/>
        <v/>
      </c>
      <c r="AB592" s="81" t="str">
        <f t="shared" si="501"/>
        <v/>
      </c>
      <c r="AC592" s="96">
        <f t="shared" si="501"/>
        <v>1.4</v>
      </c>
      <c r="AD592" s="81" t="str">
        <f t="shared" si="501"/>
        <v/>
      </c>
      <c r="AE592" s="81" t="str">
        <f t="shared" si="501"/>
        <v>Character/Timeline/02_MON/crawler/appearance2</v>
      </c>
      <c r="AF592" s="81" t="str">
        <f t="shared" si="501"/>
        <v>Character/Timeline/02_MON/crawler/die2</v>
      </c>
      <c r="AG592" s="173" t="s">
        <v>2765</v>
      </c>
    </row>
    <row r="593" spans="1:33" x14ac:dyDescent="0.3">
      <c r="A593" s="13">
        <f t="shared" si="499"/>
        <v>1610301001</v>
      </c>
      <c r="B593" s="13" t="str">
        <f t="shared" ref="B593:AF593" si="502">IF(B482 &lt;&gt; "", B482, "")</f>
        <v>Daily.Exp</v>
      </c>
      <c r="C593" s="5" t="str">
        <f t="shared" si="502"/>
        <v>솔리드메카mk1</v>
      </c>
      <c r="D593" s="5" t="str">
        <f t="shared" si="502"/>
        <v>Monster.Name.solid_turretmk1_1</v>
      </c>
      <c r="E593" s="5" t="str">
        <f t="shared" si="502"/>
        <v>Attacker</v>
      </c>
      <c r="F593" s="17" t="str">
        <f t="shared" si="502"/>
        <v>Fac_nul_ind</v>
      </c>
      <c r="G593" s="5" t="str">
        <f t="shared" si="502"/>
        <v>TRUE</v>
      </c>
      <c r="H593" s="5" t="b">
        <f t="shared" si="502"/>
        <v>0</v>
      </c>
      <c r="I593" s="5" t="b">
        <f t="shared" si="502"/>
        <v>0</v>
      </c>
      <c r="J593" s="5">
        <f t="shared" si="502"/>
        <v>10</v>
      </c>
      <c r="K593" s="5">
        <f t="shared" si="502"/>
        <v>10</v>
      </c>
      <c r="L593" s="2" t="str">
        <f t="shared" si="502"/>
        <v>Daily.Exp.solid_turretmk1_1.attack01</v>
      </c>
      <c r="M593" s="2" t="str">
        <f t="shared" si="502"/>
        <v/>
      </c>
      <c r="N593" s="2" t="str">
        <f t="shared" si="502"/>
        <v/>
      </c>
      <c r="O593" s="178" t="str">
        <f t="shared" si="502"/>
        <v/>
      </c>
      <c r="P593" s="14" t="str">
        <f t="shared" si="502"/>
        <v/>
      </c>
      <c r="Q593" s="14" t="str">
        <f t="shared" si="502"/>
        <v/>
      </c>
      <c r="R593" s="14" t="str">
        <f t="shared" si="502"/>
        <v/>
      </c>
      <c r="S593" s="14" t="str">
        <f t="shared" si="502"/>
        <v/>
      </c>
      <c r="T593" s="14" t="str">
        <f t="shared" si="502"/>
        <v/>
      </c>
      <c r="U593" s="14" t="str">
        <f t="shared" si="502"/>
        <v/>
      </c>
      <c r="V593" s="5" t="b">
        <f t="shared" si="502"/>
        <v>0</v>
      </c>
      <c r="W593" s="5" t="str">
        <f t="shared" si="502"/>
        <v>Character/Prefabs/m_s_attacker_solid_turretmk1_1</v>
      </c>
      <c r="X593" s="5" t="str">
        <f t="shared" si="502"/>
        <v/>
      </c>
      <c r="Y593" s="5" t="str">
        <f t="shared" si="502"/>
        <v>m_s_attacker_solid_turretmk1_1</v>
      </c>
      <c r="Z593" s="5" t="str">
        <f t="shared" si="502"/>
        <v/>
      </c>
      <c r="AA593" s="5" t="str">
        <f t="shared" si="502"/>
        <v/>
      </c>
      <c r="AB593" s="5" t="str">
        <f t="shared" si="502"/>
        <v/>
      </c>
      <c r="AC593" s="97">
        <f t="shared" si="502"/>
        <v>0.7</v>
      </c>
      <c r="AD593" s="5" t="str">
        <f t="shared" si="502"/>
        <v/>
      </c>
      <c r="AE593" s="5" t="str">
        <f t="shared" si="502"/>
        <v/>
      </c>
      <c r="AF593" s="5" t="str">
        <f t="shared" si="502"/>
        <v/>
      </c>
      <c r="AG593" s="173" t="s">
        <v>2765</v>
      </c>
    </row>
    <row r="594" spans="1:33" x14ac:dyDescent="0.3">
      <c r="A594" s="13">
        <f t="shared" si="499"/>
        <v>1610301002</v>
      </c>
      <c r="B594" s="13" t="str">
        <f t="shared" ref="B594:AF594" si="503">IF(B483 &lt;&gt; "", B483, "")</f>
        <v>Daily.Exp</v>
      </c>
      <c r="C594" s="5" t="str">
        <f t="shared" si="503"/>
        <v>터렛프로토</v>
      </c>
      <c r="D594" s="5" t="str">
        <f t="shared" si="503"/>
        <v>Monster.Name.spider_turret_prototype_1</v>
      </c>
      <c r="E594" s="5" t="str">
        <f t="shared" si="503"/>
        <v>Ranger</v>
      </c>
      <c r="F594" s="17" t="str">
        <f t="shared" si="503"/>
        <v>Fac_nul_ind</v>
      </c>
      <c r="G594" s="5" t="str">
        <f t="shared" si="503"/>
        <v>TRUE</v>
      </c>
      <c r="H594" s="5" t="b">
        <f t="shared" si="503"/>
        <v>0</v>
      </c>
      <c r="I594" s="5" t="b">
        <f t="shared" si="503"/>
        <v>0</v>
      </c>
      <c r="J594" s="5">
        <f t="shared" si="503"/>
        <v>10</v>
      </c>
      <c r="K594" s="5">
        <f t="shared" si="503"/>
        <v>30</v>
      </c>
      <c r="L594" s="2" t="str">
        <f t="shared" si="503"/>
        <v>Daily.Exp.spider_turret_prototype_1.attack01</v>
      </c>
      <c r="M594" s="2" t="str">
        <f t="shared" si="503"/>
        <v/>
      </c>
      <c r="N594" s="2" t="str">
        <f t="shared" si="503"/>
        <v/>
      </c>
      <c r="O594" s="178" t="str">
        <f t="shared" si="503"/>
        <v/>
      </c>
      <c r="P594" s="14" t="str">
        <f t="shared" si="503"/>
        <v/>
      </c>
      <c r="Q594" s="14" t="str">
        <f t="shared" si="503"/>
        <v/>
      </c>
      <c r="R594" s="14" t="str">
        <f t="shared" si="503"/>
        <v/>
      </c>
      <c r="S594" s="14" t="str">
        <f t="shared" si="503"/>
        <v/>
      </c>
      <c r="T594" s="14" t="str">
        <f t="shared" si="503"/>
        <v/>
      </c>
      <c r="U594" s="14" t="str">
        <f t="shared" si="503"/>
        <v/>
      </c>
      <c r="V594" s="5" t="b">
        <f t="shared" si="503"/>
        <v>0</v>
      </c>
      <c r="W594" s="5" t="str">
        <f t="shared" si="503"/>
        <v>Character/Prefabs/m_s_ranger_spider_turret_prototype_1</v>
      </c>
      <c r="X594" s="5" t="str">
        <f t="shared" si="503"/>
        <v/>
      </c>
      <c r="Y594" s="5" t="str">
        <f t="shared" si="503"/>
        <v>m_s_ranger_spider_turret_prototype_1</v>
      </c>
      <c r="Z594" s="5" t="str">
        <f t="shared" si="503"/>
        <v/>
      </c>
      <c r="AA594" s="5" t="str">
        <f t="shared" si="503"/>
        <v/>
      </c>
      <c r="AB594" s="5" t="str">
        <f t="shared" si="503"/>
        <v/>
      </c>
      <c r="AC594" s="97">
        <f t="shared" si="503"/>
        <v>0.7</v>
      </c>
      <c r="AD594" s="5" t="str">
        <f t="shared" si="503"/>
        <v/>
      </c>
      <c r="AE594" s="5" t="str">
        <f t="shared" si="503"/>
        <v/>
      </c>
      <c r="AF594" s="5" t="str">
        <f t="shared" si="503"/>
        <v/>
      </c>
      <c r="AG594" s="173" t="s">
        <v>2765</v>
      </c>
    </row>
    <row r="595" spans="1:33" x14ac:dyDescent="0.3">
      <c r="A595" s="13">
        <f t="shared" si="499"/>
        <v>1610301003</v>
      </c>
      <c r="B595" s="13" t="str">
        <f t="shared" ref="B595:AF595" si="504">IF(B484 &lt;&gt; "", B484, "")</f>
        <v>Daily.Exp</v>
      </c>
      <c r="C595" s="5" t="str">
        <f t="shared" si="504"/>
        <v>터틀메카mk1</v>
      </c>
      <c r="D595" s="5" t="str">
        <f t="shared" si="504"/>
        <v>Monster.Name.turtle_mechamk1_1</v>
      </c>
      <c r="E595" s="5" t="str">
        <f t="shared" si="504"/>
        <v>Attacker</v>
      </c>
      <c r="F595" s="17" t="str">
        <f t="shared" si="504"/>
        <v>Fac_nul_ind</v>
      </c>
      <c r="G595" s="5" t="str">
        <f t="shared" si="504"/>
        <v>TRUE</v>
      </c>
      <c r="H595" s="5" t="b">
        <f t="shared" si="504"/>
        <v>0</v>
      </c>
      <c r="I595" s="5" t="b">
        <f t="shared" si="504"/>
        <v>0</v>
      </c>
      <c r="J595" s="5">
        <f t="shared" si="504"/>
        <v>10</v>
      </c>
      <c r="K595" s="5">
        <f t="shared" si="504"/>
        <v>10</v>
      </c>
      <c r="L595" s="2" t="str">
        <f t="shared" si="504"/>
        <v>Daily.Exp.turtle_mechamk1_1.attack01</v>
      </c>
      <c r="M595" s="2" t="str">
        <f t="shared" si="504"/>
        <v/>
      </c>
      <c r="N595" s="2" t="str">
        <f t="shared" si="504"/>
        <v/>
      </c>
      <c r="O595" s="178" t="str">
        <f t="shared" si="504"/>
        <v/>
      </c>
      <c r="P595" s="14" t="str">
        <f t="shared" si="504"/>
        <v/>
      </c>
      <c r="Q595" s="14" t="str">
        <f t="shared" si="504"/>
        <v/>
      </c>
      <c r="R595" s="14" t="str">
        <f t="shared" si="504"/>
        <v/>
      </c>
      <c r="S595" s="14" t="str">
        <f t="shared" si="504"/>
        <v/>
      </c>
      <c r="T595" s="14" t="str">
        <f t="shared" si="504"/>
        <v/>
      </c>
      <c r="U595" s="14" t="str">
        <f t="shared" si="504"/>
        <v/>
      </c>
      <c r="V595" s="5" t="b">
        <f t="shared" si="504"/>
        <v>0</v>
      </c>
      <c r="W595" s="5" t="str">
        <f t="shared" si="504"/>
        <v>Character/Prefabs/m_s_attacker_turtle_mechamk1_1</v>
      </c>
      <c r="X595" s="5" t="str">
        <f t="shared" si="504"/>
        <v/>
      </c>
      <c r="Y595" s="5" t="str">
        <f t="shared" si="504"/>
        <v>m_s_attacker_turtle_mechamk1_1</v>
      </c>
      <c r="Z595" s="5" t="str">
        <f t="shared" si="504"/>
        <v/>
      </c>
      <c r="AA595" s="5" t="str">
        <f t="shared" si="504"/>
        <v/>
      </c>
      <c r="AB595" s="5" t="str">
        <f t="shared" si="504"/>
        <v/>
      </c>
      <c r="AC595" s="97">
        <f t="shared" si="504"/>
        <v>0.7</v>
      </c>
      <c r="AD595" s="5" t="str">
        <f t="shared" si="504"/>
        <v/>
      </c>
      <c r="AE595" s="5" t="str">
        <f t="shared" si="504"/>
        <v/>
      </c>
      <c r="AF595" s="5" t="str">
        <f t="shared" si="504"/>
        <v/>
      </c>
      <c r="AG595" s="173" t="s">
        <v>2765</v>
      </c>
    </row>
    <row r="596" spans="1:33" x14ac:dyDescent="0.3">
      <c r="A596" s="13">
        <f t="shared" si="499"/>
        <v>1610301004</v>
      </c>
      <c r="B596" s="13" t="str">
        <f t="shared" ref="B596:AF596" si="505">IF(B485 &lt;&gt; "", B485, "")</f>
        <v>Daily.Exp</v>
      </c>
      <c r="C596" s="5" t="str">
        <f t="shared" si="505"/>
        <v>터틀메카mk3</v>
      </c>
      <c r="D596" s="5" t="str">
        <f t="shared" si="505"/>
        <v>Monster.Name.turtle_mechamk3_3</v>
      </c>
      <c r="E596" s="5" t="str">
        <f t="shared" si="505"/>
        <v>Attacker</v>
      </c>
      <c r="F596" s="17" t="str">
        <f t="shared" si="505"/>
        <v>Fac_nul_ind</v>
      </c>
      <c r="G596" s="5" t="str">
        <f t="shared" si="505"/>
        <v>TRUE</v>
      </c>
      <c r="H596" s="5" t="b">
        <f t="shared" si="505"/>
        <v>0</v>
      </c>
      <c r="I596" s="5" t="b">
        <f t="shared" si="505"/>
        <v>0</v>
      </c>
      <c r="J596" s="5">
        <f t="shared" si="505"/>
        <v>10</v>
      </c>
      <c r="K596" s="5">
        <f t="shared" si="505"/>
        <v>10</v>
      </c>
      <c r="L596" s="2" t="str">
        <f t="shared" si="505"/>
        <v>Daily.Exp.turtle_mechamk3_3.attack01</v>
      </c>
      <c r="M596" s="2" t="str">
        <f t="shared" si="505"/>
        <v/>
      </c>
      <c r="N596" s="2" t="str">
        <f t="shared" si="505"/>
        <v/>
      </c>
      <c r="O596" s="178" t="str">
        <f t="shared" si="505"/>
        <v/>
      </c>
      <c r="P596" s="14" t="str">
        <f t="shared" si="505"/>
        <v/>
      </c>
      <c r="Q596" s="14" t="str">
        <f t="shared" si="505"/>
        <v/>
      </c>
      <c r="R596" s="14" t="str">
        <f t="shared" si="505"/>
        <v/>
      </c>
      <c r="S596" s="14" t="str">
        <f t="shared" si="505"/>
        <v/>
      </c>
      <c r="T596" s="14" t="str">
        <f t="shared" si="505"/>
        <v/>
      </c>
      <c r="U596" s="14" t="str">
        <f t="shared" si="505"/>
        <v/>
      </c>
      <c r="V596" s="5" t="b">
        <f t="shared" si="505"/>
        <v>0</v>
      </c>
      <c r="W596" s="5" t="str">
        <f t="shared" si="505"/>
        <v>Character/Prefabs/m_s_attacker_turtle_mechamk3_3</v>
      </c>
      <c r="X596" s="5" t="str">
        <f t="shared" si="505"/>
        <v/>
      </c>
      <c r="Y596" s="5" t="str">
        <f t="shared" si="505"/>
        <v>m_s_attacker_turtle_mechamk3_3</v>
      </c>
      <c r="Z596" s="5" t="str">
        <f t="shared" si="505"/>
        <v/>
      </c>
      <c r="AA596" s="5" t="str">
        <f t="shared" si="505"/>
        <v/>
      </c>
      <c r="AB596" s="5" t="str">
        <f t="shared" si="505"/>
        <v/>
      </c>
      <c r="AC596" s="97">
        <f t="shared" si="505"/>
        <v>0.7</v>
      </c>
      <c r="AD596" s="5" t="str">
        <f t="shared" si="505"/>
        <v/>
      </c>
      <c r="AE596" s="5" t="str">
        <f t="shared" si="505"/>
        <v/>
      </c>
      <c r="AF596" s="5" t="str">
        <f t="shared" si="505"/>
        <v/>
      </c>
      <c r="AG596" s="173" t="s">
        <v>2765</v>
      </c>
    </row>
    <row r="597" spans="1:33" x14ac:dyDescent="0.3">
      <c r="A597" s="13">
        <f t="shared" si="499"/>
        <v>1610301005</v>
      </c>
      <c r="B597" s="13" t="str">
        <f t="shared" ref="B597:AF597" si="506">IF(B486 &lt;&gt; "", B486, "")</f>
        <v>Daily.Exp</v>
      </c>
      <c r="C597" s="5" t="str">
        <f t="shared" si="506"/>
        <v>스콜피온터렛mk2</v>
      </c>
      <c r="D597" s="5" t="str">
        <f t="shared" si="506"/>
        <v>Monster.Name.scorpion_turretmk2_3</v>
      </c>
      <c r="E597" s="5" t="str">
        <f t="shared" si="506"/>
        <v>Ranger</v>
      </c>
      <c r="F597" s="17" t="str">
        <f t="shared" si="506"/>
        <v>Fac_nul_ind</v>
      </c>
      <c r="G597" s="5" t="str">
        <f t="shared" si="506"/>
        <v>TRUE</v>
      </c>
      <c r="H597" s="5" t="b">
        <f t="shared" si="506"/>
        <v>0</v>
      </c>
      <c r="I597" s="5" t="b">
        <f t="shared" si="506"/>
        <v>0</v>
      </c>
      <c r="J597" s="5">
        <f t="shared" si="506"/>
        <v>10</v>
      </c>
      <c r="K597" s="5">
        <f t="shared" si="506"/>
        <v>10</v>
      </c>
      <c r="L597" s="2" t="str">
        <f t="shared" si="506"/>
        <v>Daily.Exp.scorpion_turretmk2_3.attack01</v>
      </c>
      <c r="M597" s="2" t="str">
        <f t="shared" si="506"/>
        <v/>
      </c>
      <c r="N597" s="2" t="str">
        <f t="shared" si="506"/>
        <v/>
      </c>
      <c r="O597" s="178" t="str">
        <f t="shared" si="506"/>
        <v/>
      </c>
      <c r="P597" s="14" t="str">
        <f t="shared" si="506"/>
        <v/>
      </c>
      <c r="Q597" s="14" t="str">
        <f t="shared" si="506"/>
        <v/>
      </c>
      <c r="R597" s="14" t="str">
        <f t="shared" si="506"/>
        <v/>
      </c>
      <c r="S597" s="14" t="str">
        <f t="shared" si="506"/>
        <v/>
      </c>
      <c r="T597" s="14" t="str">
        <f t="shared" si="506"/>
        <v/>
      </c>
      <c r="U597" s="14" t="str">
        <f t="shared" si="506"/>
        <v/>
      </c>
      <c r="V597" s="5" t="b">
        <f t="shared" si="506"/>
        <v>0</v>
      </c>
      <c r="W597" s="5" t="str">
        <f t="shared" si="506"/>
        <v>Character/Prefabs/m_s_ranger_scorpion_turretmk2_3</v>
      </c>
      <c r="X597" s="5" t="str">
        <f t="shared" si="506"/>
        <v/>
      </c>
      <c r="Y597" s="5" t="str">
        <f t="shared" si="506"/>
        <v>m_s_ranger_scorpion_turretmk2_3</v>
      </c>
      <c r="Z597" s="5" t="str">
        <f t="shared" si="506"/>
        <v/>
      </c>
      <c r="AA597" s="5" t="str">
        <f t="shared" si="506"/>
        <v/>
      </c>
      <c r="AB597" s="5" t="str">
        <f t="shared" si="506"/>
        <v/>
      </c>
      <c r="AC597" s="97">
        <f t="shared" si="506"/>
        <v>0.7</v>
      </c>
      <c r="AD597" s="5" t="str">
        <f t="shared" si="506"/>
        <v/>
      </c>
      <c r="AE597" s="5" t="str">
        <f t="shared" si="506"/>
        <v/>
      </c>
      <c r="AF597" s="5" t="str">
        <f t="shared" si="506"/>
        <v/>
      </c>
      <c r="AG597" s="173" t="s">
        <v>2765</v>
      </c>
    </row>
    <row r="598" spans="1:33" x14ac:dyDescent="0.3">
      <c r="A598" s="13">
        <f t="shared" si="499"/>
        <v>1610301006</v>
      </c>
      <c r="B598" s="13" t="str">
        <f t="shared" ref="B598:AF598" si="507">IF(B487 &lt;&gt; "", B487, "")</f>
        <v>Daily.Exp</v>
      </c>
      <c r="C598" s="5" t="str">
        <f t="shared" si="507"/>
        <v>라이노메카mk3</v>
      </c>
      <c r="D598" s="5" t="str">
        <f t="shared" si="507"/>
        <v>Monster.Name.rhino_mechamk3_3</v>
      </c>
      <c r="E598" s="5" t="str">
        <f t="shared" si="507"/>
        <v>Attacker</v>
      </c>
      <c r="F598" s="17" t="str">
        <f t="shared" si="507"/>
        <v>Fac_nul_ind</v>
      </c>
      <c r="G598" s="5" t="str">
        <f t="shared" si="507"/>
        <v>TRUE</v>
      </c>
      <c r="H598" s="5" t="b">
        <f t="shared" si="507"/>
        <v>0</v>
      </c>
      <c r="I598" s="5" t="b">
        <f t="shared" si="507"/>
        <v>0</v>
      </c>
      <c r="J598" s="5">
        <f t="shared" si="507"/>
        <v>10</v>
      </c>
      <c r="K598" s="5">
        <f t="shared" si="507"/>
        <v>10</v>
      </c>
      <c r="L598" s="2" t="str">
        <f t="shared" si="507"/>
        <v>Daily.Exp.rhino_mechamk3_3.attack01</v>
      </c>
      <c r="M598" s="2" t="str">
        <f t="shared" si="507"/>
        <v/>
      </c>
      <c r="N598" s="2" t="str">
        <f t="shared" si="507"/>
        <v/>
      </c>
      <c r="O598" s="178" t="str">
        <f t="shared" si="507"/>
        <v/>
      </c>
      <c r="P598" s="14" t="str">
        <f t="shared" si="507"/>
        <v/>
      </c>
      <c r="Q598" s="14" t="str">
        <f t="shared" si="507"/>
        <v/>
      </c>
      <c r="R598" s="14" t="str">
        <f t="shared" si="507"/>
        <v/>
      </c>
      <c r="S598" s="14" t="str">
        <f t="shared" si="507"/>
        <v/>
      </c>
      <c r="T598" s="14" t="str">
        <f t="shared" si="507"/>
        <v/>
      </c>
      <c r="U598" s="14" t="str">
        <f t="shared" si="507"/>
        <v/>
      </c>
      <c r="V598" s="5" t="b">
        <f t="shared" si="507"/>
        <v>0</v>
      </c>
      <c r="W598" s="5" t="str">
        <f t="shared" si="507"/>
        <v>Character/Prefabs/m_s_attacker_rhino_mechamk3_3</v>
      </c>
      <c r="X598" s="5" t="str">
        <f t="shared" si="507"/>
        <v/>
      </c>
      <c r="Y598" s="5" t="str">
        <f t="shared" si="507"/>
        <v>m_s_attacker_rhino_mechamk3_3</v>
      </c>
      <c r="Z598" s="5" t="str">
        <f t="shared" si="507"/>
        <v/>
      </c>
      <c r="AA598" s="5" t="str">
        <f t="shared" si="507"/>
        <v/>
      </c>
      <c r="AB598" s="5" t="str">
        <f t="shared" si="507"/>
        <v/>
      </c>
      <c r="AC598" s="97">
        <f t="shared" si="507"/>
        <v>0.7</v>
      </c>
      <c r="AD598" s="5" t="str">
        <f t="shared" si="507"/>
        <v/>
      </c>
      <c r="AE598" s="5" t="str">
        <f t="shared" si="507"/>
        <v/>
      </c>
      <c r="AF598" s="5" t="str">
        <f t="shared" si="507"/>
        <v/>
      </c>
      <c r="AG598" s="173" t="s">
        <v>2765</v>
      </c>
    </row>
    <row r="599" spans="1:33" x14ac:dyDescent="0.3">
      <c r="A599" s="37">
        <f t="shared" si="499"/>
        <v>1610302001</v>
      </c>
      <c r="B599" s="37" t="str">
        <f t="shared" ref="B599:AF599" si="508">IF(B488 &lt;&gt; "", B488, "")</f>
        <v>Daily.Gold1</v>
      </c>
      <c r="C599" s="5" t="str">
        <f t="shared" si="508"/>
        <v>더스트드론</v>
      </c>
      <c r="D599" s="5" t="str">
        <f t="shared" si="508"/>
        <v>Monster.Name.hellfire_drone_2</v>
      </c>
      <c r="E599" s="5" t="str">
        <f t="shared" si="508"/>
        <v>Ranger</v>
      </c>
      <c r="F599" s="17" t="str">
        <f t="shared" si="508"/>
        <v>Fac_nul_ind</v>
      </c>
      <c r="G599" s="5" t="str">
        <f t="shared" si="508"/>
        <v>TRUE</v>
      </c>
      <c r="H599" s="5" t="b">
        <f t="shared" si="508"/>
        <v>0</v>
      </c>
      <c r="I599" s="5" t="b">
        <f t="shared" si="508"/>
        <v>0</v>
      </c>
      <c r="J599" s="5">
        <f t="shared" si="508"/>
        <v>10</v>
      </c>
      <c r="K599" s="5">
        <f t="shared" si="508"/>
        <v>10</v>
      </c>
      <c r="L599" s="2" t="str">
        <f t="shared" si="508"/>
        <v>Daily.Gold1.hellfire_drone_3.attack01</v>
      </c>
      <c r="M599" s="2" t="str">
        <f t="shared" si="508"/>
        <v/>
      </c>
      <c r="N599" s="2" t="str">
        <f t="shared" si="508"/>
        <v/>
      </c>
      <c r="O599" s="178" t="str">
        <f t="shared" si="508"/>
        <v>Daily.Gold1.hellfire_drone_3.skill01</v>
      </c>
      <c r="P599" s="14" t="str">
        <f t="shared" si="508"/>
        <v/>
      </c>
      <c r="Q599" s="14" t="str">
        <f t="shared" si="508"/>
        <v/>
      </c>
      <c r="R599" s="14" t="str">
        <f t="shared" si="508"/>
        <v/>
      </c>
      <c r="S599" s="14" t="str">
        <f t="shared" si="508"/>
        <v>Daily.Gold1.hellfire_drone_3.passive01</v>
      </c>
      <c r="T599" s="14" t="str">
        <f t="shared" si="508"/>
        <v/>
      </c>
      <c r="U599" s="14" t="str">
        <f t="shared" si="508"/>
        <v/>
      </c>
      <c r="V599" s="5" t="b">
        <f t="shared" si="508"/>
        <v>0</v>
      </c>
      <c r="W599" s="5" t="str">
        <f t="shared" si="508"/>
        <v>Character/Prefabs/m_s_ranger_hellfire_drone_2</v>
      </c>
      <c r="X599" s="5" t="str">
        <f t="shared" si="508"/>
        <v/>
      </c>
      <c r="Y599" s="5" t="str">
        <f t="shared" si="508"/>
        <v>m_s_ranger_hellfire_drone_2</v>
      </c>
      <c r="Z599" s="5" t="str">
        <f t="shared" si="508"/>
        <v/>
      </c>
      <c r="AA599" s="5" t="str">
        <f t="shared" si="508"/>
        <v/>
      </c>
      <c r="AB599" s="5" t="str">
        <f t="shared" si="508"/>
        <v/>
      </c>
      <c r="AC599" s="97">
        <f t="shared" si="508"/>
        <v>0.7</v>
      </c>
      <c r="AD599" s="5" t="str">
        <f t="shared" si="508"/>
        <v/>
      </c>
      <c r="AE599" s="5" t="str">
        <f t="shared" si="508"/>
        <v/>
      </c>
      <c r="AF599" s="5" t="str">
        <f t="shared" si="508"/>
        <v/>
      </c>
      <c r="AG599" s="173" t="s">
        <v>2765</v>
      </c>
    </row>
    <row r="600" spans="1:33" x14ac:dyDescent="0.3">
      <c r="A600" s="37">
        <f t="shared" si="499"/>
        <v>1610302002</v>
      </c>
      <c r="B600" s="37" t="str">
        <f t="shared" ref="B600:AF600" si="509">IF(B489 &lt;&gt; "", B489, "")</f>
        <v>Daily.Gold2</v>
      </c>
      <c r="C600" s="5" t="str">
        <f t="shared" si="509"/>
        <v>더스트드론</v>
      </c>
      <c r="D600" s="5" t="str">
        <f t="shared" si="509"/>
        <v>Monster.Name.hellfire_drone_2</v>
      </c>
      <c r="E600" s="5" t="str">
        <f t="shared" si="509"/>
        <v>Ranger</v>
      </c>
      <c r="F600" s="17" t="str">
        <f t="shared" si="509"/>
        <v>Fac_nul_ind</v>
      </c>
      <c r="G600" s="5" t="str">
        <f t="shared" si="509"/>
        <v>TRUE</v>
      </c>
      <c r="H600" s="5" t="b">
        <f t="shared" si="509"/>
        <v>0</v>
      </c>
      <c r="I600" s="5" t="b">
        <f t="shared" si="509"/>
        <v>0</v>
      </c>
      <c r="J600" s="5">
        <f t="shared" si="509"/>
        <v>10</v>
      </c>
      <c r="K600" s="5">
        <f t="shared" si="509"/>
        <v>10</v>
      </c>
      <c r="L600" s="2" t="str">
        <f t="shared" si="509"/>
        <v>Daily.Gold2.hellfire_drone_3.attack01</v>
      </c>
      <c r="M600" s="2" t="str">
        <f t="shared" si="509"/>
        <v/>
      </c>
      <c r="N600" s="2" t="str">
        <f t="shared" si="509"/>
        <v/>
      </c>
      <c r="O600" s="178" t="str">
        <f t="shared" si="509"/>
        <v>Daily.Gold2.hellfire_drone_3.skill01</v>
      </c>
      <c r="P600" s="14" t="str">
        <f t="shared" si="509"/>
        <v/>
      </c>
      <c r="Q600" s="14" t="str">
        <f t="shared" si="509"/>
        <v/>
      </c>
      <c r="R600" s="14" t="str">
        <f t="shared" si="509"/>
        <v/>
      </c>
      <c r="S600" s="14" t="str">
        <f t="shared" si="509"/>
        <v>Daily.Gold2.hellfire_drone_3.passive01</v>
      </c>
      <c r="T600" s="14" t="str">
        <f t="shared" si="509"/>
        <v/>
      </c>
      <c r="U600" s="14" t="str">
        <f t="shared" si="509"/>
        <v/>
      </c>
      <c r="V600" s="5" t="b">
        <f t="shared" si="509"/>
        <v>0</v>
      </c>
      <c r="W600" s="5" t="str">
        <f t="shared" si="509"/>
        <v>Character/Prefabs/m_s_ranger_hellfire_drone_2</v>
      </c>
      <c r="X600" s="5" t="str">
        <f t="shared" si="509"/>
        <v/>
      </c>
      <c r="Y600" s="5" t="str">
        <f t="shared" si="509"/>
        <v>m_s_ranger_hellfire_drone_2</v>
      </c>
      <c r="Z600" s="5" t="str">
        <f t="shared" si="509"/>
        <v/>
      </c>
      <c r="AA600" s="5" t="str">
        <f t="shared" si="509"/>
        <v/>
      </c>
      <c r="AB600" s="5" t="str">
        <f t="shared" si="509"/>
        <v/>
      </c>
      <c r="AC600" s="97">
        <f t="shared" si="509"/>
        <v>0.7</v>
      </c>
      <c r="AD600" s="5" t="str">
        <f t="shared" si="509"/>
        <v/>
      </c>
      <c r="AE600" s="5" t="str">
        <f t="shared" si="509"/>
        <v/>
      </c>
      <c r="AF600" s="5" t="str">
        <f t="shared" si="509"/>
        <v/>
      </c>
      <c r="AG600" s="173" t="s">
        <v>2765</v>
      </c>
    </row>
    <row r="601" spans="1:33" x14ac:dyDescent="0.3">
      <c r="A601" s="51">
        <f t="shared" si="499"/>
        <v>1610302003</v>
      </c>
      <c r="B601" s="51" t="str">
        <f t="shared" ref="B601:AF601" si="510">IF(B490 &lt;&gt; "", B490, "")</f>
        <v>Daily.Gold</v>
      </c>
      <c r="C601" s="5" t="str">
        <f t="shared" si="510"/>
        <v>헤비트루퍼런처</v>
      </c>
      <c r="D601" s="5" t="str">
        <f t="shared" si="510"/>
        <v>Monster.Name.heavy_trooper_launcher_1</v>
      </c>
      <c r="E601" s="5" t="str">
        <f t="shared" si="510"/>
        <v>Ranger</v>
      </c>
      <c r="F601" s="17" t="str">
        <f t="shared" si="510"/>
        <v>Fac_nul_ind</v>
      </c>
      <c r="G601" s="5" t="str">
        <f t="shared" si="510"/>
        <v>TRUE</v>
      </c>
      <c r="H601" s="5" t="b">
        <f t="shared" si="510"/>
        <v>1</v>
      </c>
      <c r="I601" s="5" t="b">
        <f t="shared" si="510"/>
        <v>1</v>
      </c>
      <c r="J601" s="5">
        <f t="shared" si="510"/>
        <v>10</v>
      </c>
      <c r="K601" s="5">
        <f t="shared" si="510"/>
        <v>10</v>
      </c>
      <c r="L601" s="2" t="str">
        <f t="shared" si="510"/>
        <v>Daily.Gold.trooper_demolisher_1.attack01</v>
      </c>
      <c r="M601" s="2" t="str">
        <f t="shared" si="510"/>
        <v/>
      </c>
      <c r="N601" s="2" t="str">
        <f t="shared" si="510"/>
        <v/>
      </c>
      <c r="O601" s="178" t="str">
        <f t="shared" si="510"/>
        <v>Daily.Gold.trooper_demolisher_1.skill01</v>
      </c>
      <c r="P601" s="14" t="str">
        <f t="shared" si="510"/>
        <v>Daily.Gold.trooper_demolisher_1.skill02</v>
      </c>
      <c r="Q601" s="14" t="str">
        <f t="shared" si="510"/>
        <v>Daily.Gold.trooper_demolisher_1.passive01</v>
      </c>
      <c r="R601" s="14" t="str">
        <f t="shared" si="510"/>
        <v/>
      </c>
      <c r="S601" s="14" t="str">
        <f t="shared" si="510"/>
        <v/>
      </c>
      <c r="T601" s="14" t="str">
        <f t="shared" si="510"/>
        <v/>
      </c>
      <c r="U601" s="14" t="str">
        <f t="shared" si="510"/>
        <v/>
      </c>
      <c r="V601" s="5" t="b">
        <f t="shared" si="510"/>
        <v>0</v>
      </c>
      <c r="W601" s="5" t="str">
        <f t="shared" si="510"/>
        <v>Character/Prefabs/m_m_ranger_heavy_trooper_launcher_1</v>
      </c>
      <c r="X601" s="5" t="str">
        <f t="shared" si="510"/>
        <v/>
      </c>
      <c r="Y601" s="5" t="str">
        <f t="shared" si="510"/>
        <v>m_m_ranger_heavy_trooper_launcher_1</v>
      </c>
      <c r="Z601" s="5" t="str">
        <f t="shared" si="510"/>
        <v/>
      </c>
      <c r="AA601" s="5" t="str">
        <f t="shared" si="510"/>
        <v/>
      </c>
      <c r="AB601" s="5" t="str">
        <f t="shared" si="510"/>
        <v/>
      </c>
      <c r="AC601" s="97">
        <f t="shared" si="510"/>
        <v>1</v>
      </c>
      <c r="AD601" s="5" t="str">
        <f t="shared" si="510"/>
        <v/>
      </c>
      <c r="AE601" s="5" t="str">
        <f t="shared" si="510"/>
        <v/>
      </c>
      <c r="AF601" s="5" t="str">
        <f t="shared" si="510"/>
        <v/>
      </c>
      <c r="AG601" s="173" t="s">
        <v>2765</v>
      </c>
    </row>
    <row r="602" spans="1:33" x14ac:dyDescent="0.3">
      <c r="A602" s="37">
        <f t="shared" si="499"/>
        <v>1610302004</v>
      </c>
      <c r="B602" s="37" t="str">
        <f t="shared" ref="B602:AF602" si="511">IF(B491 &lt;&gt; "", B491, "")</f>
        <v>Daily.Gold</v>
      </c>
      <c r="C602" s="5" t="str">
        <f t="shared" si="511"/>
        <v>헤비트루퍼라이플</v>
      </c>
      <c r="D602" s="5" t="str">
        <f t="shared" si="511"/>
        <v>Monster.Name.heavy_trooper_rifle_1</v>
      </c>
      <c r="E602" s="5" t="str">
        <f t="shared" si="511"/>
        <v>Ranger</v>
      </c>
      <c r="F602" s="17" t="str">
        <f t="shared" si="511"/>
        <v>Fac_nul_ind</v>
      </c>
      <c r="G602" s="5" t="str">
        <f t="shared" si="511"/>
        <v>TRUE</v>
      </c>
      <c r="H602" s="5" t="b">
        <f t="shared" si="511"/>
        <v>0</v>
      </c>
      <c r="I602" s="5" t="b">
        <f t="shared" si="511"/>
        <v>0</v>
      </c>
      <c r="J602" s="5">
        <f t="shared" si="511"/>
        <v>10</v>
      </c>
      <c r="K602" s="5">
        <f t="shared" si="511"/>
        <v>10</v>
      </c>
      <c r="L602" s="2" t="str">
        <f t="shared" si="511"/>
        <v>Daily.Gold.trooper_sniper_1.attack01</v>
      </c>
      <c r="M602" s="2" t="str">
        <f t="shared" si="511"/>
        <v/>
      </c>
      <c r="N602" s="2" t="str">
        <f t="shared" si="511"/>
        <v/>
      </c>
      <c r="O602" s="178" t="str">
        <f t="shared" si="511"/>
        <v>Daily.Gold.trooper_sniper_1.skill01</v>
      </c>
      <c r="P602" s="14" t="str">
        <f t="shared" si="511"/>
        <v/>
      </c>
      <c r="Q602" s="14" t="str">
        <f t="shared" si="511"/>
        <v/>
      </c>
      <c r="R602" s="14" t="str">
        <f t="shared" si="511"/>
        <v/>
      </c>
      <c r="S602" s="14" t="str">
        <f t="shared" si="511"/>
        <v/>
      </c>
      <c r="T602" s="14" t="str">
        <f t="shared" si="511"/>
        <v/>
      </c>
      <c r="U602" s="14" t="str">
        <f t="shared" si="511"/>
        <v/>
      </c>
      <c r="V602" s="5" t="b">
        <f t="shared" si="511"/>
        <v>0</v>
      </c>
      <c r="W602" s="5" t="str">
        <f t="shared" si="511"/>
        <v>Character/Prefabs/m_m_ranger_heavy_trooper_rifle_1</v>
      </c>
      <c r="X602" s="5" t="str">
        <f t="shared" si="511"/>
        <v/>
      </c>
      <c r="Y602" s="5" t="str">
        <f t="shared" si="511"/>
        <v>m_m_ranger_heavy_trooper_rifle_1</v>
      </c>
      <c r="Z602" s="5" t="str">
        <f t="shared" si="511"/>
        <v/>
      </c>
      <c r="AA602" s="5" t="str">
        <f t="shared" si="511"/>
        <v/>
      </c>
      <c r="AB602" s="5" t="str">
        <f t="shared" si="511"/>
        <v/>
      </c>
      <c r="AC602" s="97">
        <f t="shared" si="511"/>
        <v>0.7</v>
      </c>
      <c r="AD602" s="5" t="str">
        <f t="shared" si="511"/>
        <v/>
      </c>
      <c r="AE602" s="5" t="str">
        <f t="shared" si="511"/>
        <v/>
      </c>
      <c r="AF602" s="5" t="str">
        <f t="shared" si="511"/>
        <v/>
      </c>
      <c r="AG602" s="173" t="s">
        <v>2765</v>
      </c>
    </row>
    <row r="603" spans="1:33" x14ac:dyDescent="0.3">
      <c r="A603" s="37">
        <f t="shared" si="499"/>
        <v>1610302005</v>
      </c>
      <c r="B603" s="37" t="str">
        <f t="shared" ref="B603:AF603" si="512">IF(B492 &lt;&gt; "", B492, "")</f>
        <v>Daily.Gold</v>
      </c>
      <c r="C603" s="5" t="str">
        <f t="shared" si="512"/>
        <v>헤비트루퍼플레임</v>
      </c>
      <c r="D603" s="5" t="str">
        <f t="shared" si="512"/>
        <v>Monster.Name.heavy_trooper_flame_1</v>
      </c>
      <c r="E603" s="5" t="str">
        <f t="shared" si="512"/>
        <v>Attacker</v>
      </c>
      <c r="F603" s="17" t="str">
        <f t="shared" si="512"/>
        <v>Fac_nul_ind</v>
      </c>
      <c r="G603" s="5" t="str">
        <f t="shared" si="512"/>
        <v>TRUE</v>
      </c>
      <c r="H603" s="5" t="b">
        <f t="shared" si="512"/>
        <v>0</v>
      </c>
      <c r="I603" s="5" t="b">
        <f t="shared" si="512"/>
        <v>0</v>
      </c>
      <c r="J603" s="5">
        <f t="shared" si="512"/>
        <v>10</v>
      </c>
      <c r="K603" s="5">
        <f t="shared" si="512"/>
        <v>10</v>
      </c>
      <c r="L603" s="2" t="str">
        <f t="shared" si="512"/>
        <v>Daily.Gold.trooper_inferno_1.attack01</v>
      </c>
      <c r="M603" s="2" t="str">
        <f t="shared" si="512"/>
        <v/>
      </c>
      <c r="N603" s="2" t="str">
        <f t="shared" si="512"/>
        <v/>
      </c>
      <c r="O603" s="178" t="str">
        <f t="shared" si="512"/>
        <v/>
      </c>
      <c r="P603" s="14" t="str">
        <f t="shared" si="512"/>
        <v/>
      </c>
      <c r="Q603" s="14" t="str">
        <f t="shared" si="512"/>
        <v/>
      </c>
      <c r="R603" s="14" t="str">
        <f t="shared" si="512"/>
        <v/>
      </c>
      <c r="S603" s="14" t="str">
        <f t="shared" si="512"/>
        <v/>
      </c>
      <c r="T603" s="14" t="str">
        <f t="shared" si="512"/>
        <v/>
      </c>
      <c r="U603" s="14" t="str">
        <f t="shared" si="512"/>
        <v/>
      </c>
      <c r="V603" s="5" t="b">
        <f t="shared" si="512"/>
        <v>0</v>
      </c>
      <c r="W603" s="5" t="str">
        <f t="shared" si="512"/>
        <v>Character/Prefabs/m_m_attacker_heavy_trooper_flame_1</v>
      </c>
      <c r="X603" s="5" t="str">
        <f t="shared" si="512"/>
        <v/>
      </c>
      <c r="Y603" s="5" t="str">
        <f t="shared" si="512"/>
        <v>m_m_attacker_heavy_trooper_flame_1</v>
      </c>
      <c r="Z603" s="5" t="str">
        <f t="shared" si="512"/>
        <v/>
      </c>
      <c r="AA603" s="5" t="str">
        <f t="shared" si="512"/>
        <v/>
      </c>
      <c r="AB603" s="5" t="str">
        <f t="shared" si="512"/>
        <v/>
      </c>
      <c r="AC603" s="97">
        <f t="shared" si="512"/>
        <v>0.7</v>
      </c>
      <c r="AD603" s="5" t="str">
        <f t="shared" si="512"/>
        <v/>
      </c>
      <c r="AE603" s="5" t="str">
        <f t="shared" si="512"/>
        <v/>
      </c>
      <c r="AF603" s="5" t="str">
        <f t="shared" si="512"/>
        <v/>
      </c>
      <c r="AG603" s="173" t="s">
        <v>2765</v>
      </c>
    </row>
    <row r="604" spans="1:33" x14ac:dyDescent="0.3">
      <c r="A604" s="37">
        <f t="shared" si="499"/>
        <v>1610302006</v>
      </c>
      <c r="B604" s="37" t="str">
        <f t="shared" ref="B604:AF604" si="513">IF(B493 &lt;&gt; "", B493, "")</f>
        <v>Daily.Gold</v>
      </c>
      <c r="C604" s="5" t="str">
        <f t="shared" si="513"/>
        <v>그리마알파</v>
      </c>
      <c r="D604" s="5" t="str">
        <f t="shared" si="513"/>
        <v>Monster.Name.grima_alpha_1</v>
      </c>
      <c r="E604" s="5" t="str">
        <f t="shared" si="513"/>
        <v>Attacker</v>
      </c>
      <c r="F604" s="17" t="str">
        <f t="shared" si="513"/>
        <v>Fac_nul_ind</v>
      </c>
      <c r="G604" s="5" t="str">
        <f t="shared" si="513"/>
        <v>TRUE</v>
      </c>
      <c r="H604" s="5" t="b">
        <f t="shared" si="513"/>
        <v>0</v>
      </c>
      <c r="I604" s="5" t="b">
        <f t="shared" si="513"/>
        <v>0</v>
      </c>
      <c r="J604" s="5">
        <f t="shared" si="513"/>
        <v>10</v>
      </c>
      <c r="K604" s="5">
        <f t="shared" si="513"/>
        <v>10</v>
      </c>
      <c r="L604" s="2" t="str">
        <f t="shared" si="513"/>
        <v>Daily.Gold.grima_alpha_1.attack01</v>
      </c>
      <c r="M604" s="2" t="str">
        <f t="shared" si="513"/>
        <v/>
      </c>
      <c r="N604" s="2" t="str">
        <f t="shared" si="513"/>
        <v/>
      </c>
      <c r="O604" s="178" t="str">
        <f t="shared" si="513"/>
        <v>Daily.Gold.grima_alpha_1.skill01</v>
      </c>
      <c r="P604" s="14" t="str">
        <f t="shared" si="513"/>
        <v>Daily.Gold.grima_alpha_1.skill02</v>
      </c>
      <c r="Q604" s="14" t="str">
        <f t="shared" si="513"/>
        <v/>
      </c>
      <c r="R604" s="14" t="str">
        <f t="shared" si="513"/>
        <v/>
      </c>
      <c r="S604" s="14" t="str">
        <f t="shared" si="513"/>
        <v/>
      </c>
      <c r="T604" s="14" t="str">
        <f t="shared" si="513"/>
        <v/>
      </c>
      <c r="U604" s="14" t="str">
        <f t="shared" si="513"/>
        <v/>
      </c>
      <c r="V604" s="5" t="b">
        <f t="shared" si="513"/>
        <v>0</v>
      </c>
      <c r="W604" s="5" t="str">
        <f t="shared" si="513"/>
        <v>Character/Prefabs/m_l_attacker_grima_alpha_1</v>
      </c>
      <c r="X604" s="5" t="str">
        <f t="shared" si="513"/>
        <v/>
      </c>
      <c r="Y604" s="5" t="str">
        <f t="shared" si="513"/>
        <v>m_l_attacker_grima_alpha_1</v>
      </c>
      <c r="Z604" s="5" t="str">
        <f t="shared" si="513"/>
        <v/>
      </c>
      <c r="AA604" s="5" t="str">
        <f t="shared" si="513"/>
        <v/>
      </c>
      <c r="AB604" s="5" t="str">
        <f t="shared" si="513"/>
        <v/>
      </c>
      <c r="AC604" s="97">
        <f t="shared" si="513"/>
        <v>0.6</v>
      </c>
      <c r="AD604" s="5" t="str">
        <f t="shared" si="513"/>
        <v/>
      </c>
      <c r="AE604" s="5" t="str">
        <f t="shared" si="513"/>
        <v/>
      </c>
      <c r="AF604" s="5" t="str">
        <f t="shared" si="513"/>
        <v/>
      </c>
      <c r="AG604" s="173" t="s">
        <v>2765</v>
      </c>
    </row>
    <row r="605" spans="1:33" x14ac:dyDescent="0.3">
      <c r="A605" s="37">
        <f t="shared" si="499"/>
        <v>1610302007</v>
      </c>
      <c r="B605" s="37" t="str">
        <f t="shared" ref="B605:AF605" si="514">IF(B494 &lt;&gt; "", B494, "")</f>
        <v>Daily.Gold</v>
      </c>
      <c r="C605" s="5" t="str">
        <f t="shared" si="514"/>
        <v>드레인데미스</v>
      </c>
      <c r="D605" s="5" t="str">
        <f t="shared" si="514"/>
        <v>Monster.Name.draindermis_1</v>
      </c>
      <c r="E605" s="5" t="str">
        <f t="shared" si="514"/>
        <v>Ranger</v>
      </c>
      <c r="F605" s="17" t="str">
        <f t="shared" si="514"/>
        <v>Fac_nul_ind</v>
      </c>
      <c r="G605" s="5" t="str">
        <f t="shared" si="514"/>
        <v>TRUE</v>
      </c>
      <c r="H605" s="5" t="b">
        <f t="shared" si="514"/>
        <v>0</v>
      </c>
      <c r="I605" s="5" t="b">
        <f t="shared" si="514"/>
        <v>0</v>
      </c>
      <c r="J605" s="5">
        <f t="shared" si="514"/>
        <v>10</v>
      </c>
      <c r="K605" s="5">
        <f t="shared" si="514"/>
        <v>10</v>
      </c>
      <c r="L605" s="2" t="str">
        <f t="shared" si="514"/>
        <v>Daily.Gold.draindermis_1.attack01</v>
      </c>
      <c r="M605" s="2" t="str">
        <f t="shared" si="514"/>
        <v/>
      </c>
      <c r="N605" s="2" t="str">
        <f t="shared" si="514"/>
        <v/>
      </c>
      <c r="O605" s="178" t="str">
        <f t="shared" si="514"/>
        <v>Daily.Gold.draindermis_1.skill01</v>
      </c>
      <c r="P605" s="14" t="str">
        <f t="shared" si="514"/>
        <v>Daily.Gold.draindermis_1.skill02</v>
      </c>
      <c r="Q605" s="14" t="str">
        <f t="shared" si="514"/>
        <v/>
      </c>
      <c r="R605" s="14" t="str">
        <f t="shared" si="514"/>
        <v/>
      </c>
      <c r="S605" s="14" t="str">
        <f t="shared" si="514"/>
        <v/>
      </c>
      <c r="T605" s="14" t="str">
        <f t="shared" si="514"/>
        <v/>
      </c>
      <c r="U605" s="14" t="str">
        <f t="shared" si="514"/>
        <v/>
      </c>
      <c r="V605" s="5" t="b">
        <f t="shared" si="514"/>
        <v>0</v>
      </c>
      <c r="W605" s="5" t="str">
        <f t="shared" si="514"/>
        <v>Character/Prefabs/m_l_ranger_draindermis_1</v>
      </c>
      <c r="X605" s="5" t="str">
        <f t="shared" si="514"/>
        <v/>
      </c>
      <c r="Y605" s="5" t="str">
        <f t="shared" si="514"/>
        <v>m_l_ranger_draindermis_1</v>
      </c>
      <c r="Z605" s="5" t="str">
        <f t="shared" si="514"/>
        <v/>
      </c>
      <c r="AA605" s="5" t="str">
        <f t="shared" si="514"/>
        <v/>
      </c>
      <c r="AB605" s="5" t="str">
        <f t="shared" si="514"/>
        <v/>
      </c>
      <c r="AC605" s="97">
        <f t="shared" si="514"/>
        <v>0.7</v>
      </c>
      <c r="AD605" s="5" t="str">
        <f t="shared" si="514"/>
        <v/>
      </c>
      <c r="AE605" s="5" t="str">
        <f t="shared" si="514"/>
        <v/>
      </c>
      <c r="AF605" s="5" t="str">
        <f t="shared" si="514"/>
        <v/>
      </c>
      <c r="AG605" s="173" t="s">
        <v>2765</v>
      </c>
    </row>
    <row r="606" spans="1:33" x14ac:dyDescent="0.3">
      <c r="A606" s="37">
        <f t="shared" si="499"/>
        <v>1610302008</v>
      </c>
      <c r="B606" s="37" t="str">
        <f t="shared" ref="B606:AF606" si="515">IF(B495 &lt;&gt; "", B495, "")</f>
        <v>Daily.Gold</v>
      </c>
      <c r="C606" s="5" t="str">
        <f t="shared" si="515"/>
        <v>그리마베타</v>
      </c>
      <c r="D606" s="5" t="str">
        <f t="shared" si="515"/>
        <v>Monster.Name.grima_beta_1</v>
      </c>
      <c r="E606" s="5" t="str">
        <f t="shared" si="515"/>
        <v>Attacker</v>
      </c>
      <c r="F606" s="17" t="str">
        <f t="shared" si="515"/>
        <v>Fac_nul_ind</v>
      </c>
      <c r="G606" s="5" t="str">
        <f t="shared" si="515"/>
        <v>TRUE</v>
      </c>
      <c r="H606" s="5" t="b">
        <f t="shared" si="515"/>
        <v>0</v>
      </c>
      <c r="I606" s="5" t="b">
        <f t="shared" si="515"/>
        <v>0</v>
      </c>
      <c r="J606" s="5">
        <f t="shared" si="515"/>
        <v>10</v>
      </c>
      <c r="K606" s="5">
        <f t="shared" si="515"/>
        <v>10</v>
      </c>
      <c r="L606" s="2" t="str">
        <f t="shared" si="515"/>
        <v>Daily.Gold.grima_beta_1.attack01</v>
      </c>
      <c r="M606" s="2" t="str">
        <f t="shared" si="515"/>
        <v/>
      </c>
      <c r="N606" s="2" t="str">
        <f t="shared" si="515"/>
        <v/>
      </c>
      <c r="O606" s="178" t="str">
        <f t="shared" si="515"/>
        <v>Daily.Gold.grima_beta_1.skill01</v>
      </c>
      <c r="P606" s="14" t="str">
        <f t="shared" si="515"/>
        <v>Daily.Gold.grima_beta_1.skill02</v>
      </c>
      <c r="Q606" s="14" t="str">
        <f t="shared" si="515"/>
        <v/>
      </c>
      <c r="R606" s="14" t="str">
        <f t="shared" si="515"/>
        <v/>
      </c>
      <c r="S606" s="14" t="str">
        <f t="shared" si="515"/>
        <v/>
      </c>
      <c r="T606" s="14" t="str">
        <f t="shared" si="515"/>
        <v/>
      </c>
      <c r="U606" s="14" t="str">
        <f t="shared" si="515"/>
        <v/>
      </c>
      <c r="V606" s="5" t="b">
        <f t="shared" si="515"/>
        <v>0</v>
      </c>
      <c r="W606" s="5" t="str">
        <f t="shared" si="515"/>
        <v>Character/Prefabs/m_l_attacker_grima_beta_1</v>
      </c>
      <c r="X606" s="5" t="str">
        <f t="shared" si="515"/>
        <v/>
      </c>
      <c r="Y606" s="5" t="str">
        <f t="shared" si="515"/>
        <v>m_l_attacker_grima_beta_1</v>
      </c>
      <c r="Z606" s="5" t="str">
        <f t="shared" si="515"/>
        <v/>
      </c>
      <c r="AA606" s="5" t="str">
        <f t="shared" si="515"/>
        <v/>
      </c>
      <c r="AB606" s="5" t="str">
        <f t="shared" si="515"/>
        <v/>
      </c>
      <c r="AC606" s="97">
        <f t="shared" si="515"/>
        <v>0.6</v>
      </c>
      <c r="AD606" s="5" t="str">
        <f t="shared" si="515"/>
        <v/>
      </c>
      <c r="AE606" s="5" t="str">
        <f t="shared" si="515"/>
        <v/>
      </c>
      <c r="AF606" s="5" t="str">
        <f t="shared" si="515"/>
        <v/>
      </c>
      <c r="AG606" s="173" t="s">
        <v>2765</v>
      </c>
    </row>
    <row r="607" spans="1:33" x14ac:dyDescent="0.3">
      <c r="A607" s="37">
        <f t="shared" si="499"/>
        <v>1610302009</v>
      </c>
      <c r="B607" s="37" t="str">
        <f t="shared" ref="B607:AF607" si="516">IF(B496 &lt;&gt; "", B496, "")</f>
        <v>Daily.Gold</v>
      </c>
      <c r="C607" s="5" t="str">
        <f t="shared" si="516"/>
        <v>연구소임팩트</v>
      </c>
      <c r="D607" s="5" t="str">
        <f t="shared" si="516"/>
        <v>Monster.Name.labmecha_punch_1</v>
      </c>
      <c r="E607" s="5" t="str">
        <f t="shared" si="516"/>
        <v>Tanker</v>
      </c>
      <c r="F607" s="17" t="str">
        <f t="shared" si="516"/>
        <v>Fac_nul_ind</v>
      </c>
      <c r="G607" s="5" t="str">
        <f t="shared" si="516"/>
        <v>TRUE</v>
      </c>
      <c r="H607" s="5" t="b">
        <f t="shared" si="516"/>
        <v>0</v>
      </c>
      <c r="I607" s="5" t="b">
        <f t="shared" si="516"/>
        <v>0</v>
      </c>
      <c r="J607" s="5">
        <f t="shared" si="516"/>
        <v>10</v>
      </c>
      <c r="K607" s="5">
        <f t="shared" si="516"/>
        <v>10</v>
      </c>
      <c r="L607" s="2" t="str">
        <f t="shared" si="516"/>
        <v>Daily.Gold.labmecha_punch_1.attack01</v>
      </c>
      <c r="M607" s="2" t="str">
        <f t="shared" si="516"/>
        <v/>
      </c>
      <c r="N607" s="2" t="str">
        <f t="shared" si="516"/>
        <v/>
      </c>
      <c r="O607" s="178" t="str">
        <f t="shared" si="516"/>
        <v>Daily.Gold.labmecha_punch_1.skill01</v>
      </c>
      <c r="P607" s="14" t="str">
        <f t="shared" si="516"/>
        <v/>
      </c>
      <c r="Q607" s="14" t="str">
        <f t="shared" si="516"/>
        <v/>
      </c>
      <c r="R607" s="14" t="str">
        <f t="shared" si="516"/>
        <v/>
      </c>
      <c r="S607" s="14" t="str">
        <f t="shared" si="516"/>
        <v/>
      </c>
      <c r="T607" s="14" t="str">
        <f t="shared" si="516"/>
        <v/>
      </c>
      <c r="U607" s="14" t="str">
        <f t="shared" si="516"/>
        <v/>
      </c>
      <c r="V607" s="5" t="b">
        <f t="shared" si="516"/>
        <v>0</v>
      </c>
      <c r="W607" s="5" t="str">
        <f t="shared" si="516"/>
        <v>Character/Prefabs/m_l_tanker_labmecha_punch_1</v>
      </c>
      <c r="X607" s="5" t="str">
        <f t="shared" si="516"/>
        <v/>
      </c>
      <c r="Y607" s="5" t="str">
        <f t="shared" si="516"/>
        <v>m_l_tanker_labmecha_punch_1</v>
      </c>
      <c r="Z607" s="5" t="str">
        <f t="shared" si="516"/>
        <v/>
      </c>
      <c r="AA607" s="5" t="str">
        <f t="shared" si="516"/>
        <v/>
      </c>
      <c r="AB607" s="5" t="str">
        <f t="shared" si="516"/>
        <v/>
      </c>
      <c r="AC607" s="97">
        <f t="shared" si="516"/>
        <v>0.7</v>
      </c>
      <c r="AD607" s="5" t="str">
        <f t="shared" si="516"/>
        <v/>
      </c>
      <c r="AE607" s="5" t="str">
        <f t="shared" si="516"/>
        <v/>
      </c>
      <c r="AF607" s="5" t="str">
        <f t="shared" si="516"/>
        <v/>
      </c>
      <c r="AG607" s="173" t="s">
        <v>2765</v>
      </c>
    </row>
    <row r="608" spans="1:33" x14ac:dyDescent="0.3">
      <c r="A608" s="37">
        <f t="shared" si="499"/>
        <v>1610302010</v>
      </c>
      <c r="B608" s="37" t="str">
        <f t="shared" ref="B608:AF608" si="517">IF(B497 &lt;&gt; "", B497, "")</f>
        <v>Daily.Gold</v>
      </c>
      <c r="C608" s="5" t="str">
        <f t="shared" si="517"/>
        <v>연구소캐논</v>
      </c>
      <c r="D608" s="5" t="str">
        <f t="shared" si="517"/>
        <v>Monster.Name.harbor_cannon_1</v>
      </c>
      <c r="E608" s="5" t="str">
        <f t="shared" si="517"/>
        <v>Ranger</v>
      </c>
      <c r="F608" s="17" t="str">
        <f t="shared" si="517"/>
        <v>Fac_nul_ind</v>
      </c>
      <c r="G608" s="5" t="str">
        <f t="shared" si="517"/>
        <v>TRUE</v>
      </c>
      <c r="H608" s="5" t="b">
        <f t="shared" si="517"/>
        <v>0</v>
      </c>
      <c r="I608" s="5" t="b">
        <f t="shared" si="517"/>
        <v>0</v>
      </c>
      <c r="J608" s="5">
        <f t="shared" si="517"/>
        <v>10</v>
      </c>
      <c r="K608" s="5">
        <f t="shared" si="517"/>
        <v>20</v>
      </c>
      <c r="L608" s="2" t="str">
        <f t="shared" si="517"/>
        <v>Daily.Gold.harbor_cannon_1.attack01</v>
      </c>
      <c r="M608" s="2" t="str">
        <f t="shared" si="517"/>
        <v/>
      </c>
      <c r="N608" s="2" t="str">
        <f t="shared" si="517"/>
        <v/>
      </c>
      <c r="O608" s="178" t="str">
        <f t="shared" si="517"/>
        <v/>
      </c>
      <c r="P608" s="14" t="str">
        <f t="shared" si="517"/>
        <v/>
      </c>
      <c r="Q608" s="14" t="str">
        <f t="shared" si="517"/>
        <v/>
      </c>
      <c r="R608" s="14" t="str">
        <f t="shared" si="517"/>
        <v/>
      </c>
      <c r="S608" s="14" t="str">
        <f t="shared" si="517"/>
        <v/>
      </c>
      <c r="T608" s="14" t="str">
        <f t="shared" si="517"/>
        <v/>
      </c>
      <c r="U608" s="14" t="str">
        <f t="shared" si="517"/>
        <v/>
      </c>
      <c r="V608" s="5" t="b">
        <f t="shared" si="517"/>
        <v>0</v>
      </c>
      <c r="W608" s="5" t="str">
        <f t="shared" si="517"/>
        <v>Character/Prefabs/m_m_ranger_harbor_cannon_1</v>
      </c>
      <c r="X608" s="5" t="str">
        <f t="shared" si="517"/>
        <v/>
      </c>
      <c r="Y608" s="5" t="str">
        <f t="shared" si="517"/>
        <v>m_m_ranger_harbor_cannon_1</v>
      </c>
      <c r="Z608" s="5" t="str">
        <f t="shared" si="517"/>
        <v/>
      </c>
      <c r="AA608" s="5" t="str">
        <f t="shared" si="517"/>
        <v/>
      </c>
      <c r="AB608" s="5" t="str">
        <f t="shared" si="517"/>
        <v/>
      </c>
      <c r="AC608" s="97">
        <f t="shared" si="517"/>
        <v>0.6</v>
      </c>
      <c r="AD608" s="5" t="str">
        <f t="shared" si="517"/>
        <v/>
      </c>
      <c r="AE608" s="5" t="str">
        <f t="shared" si="517"/>
        <v/>
      </c>
      <c r="AF608" s="5" t="str">
        <f t="shared" si="517"/>
        <v/>
      </c>
      <c r="AG608" s="173" t="s">
        <v>2765</v>
      </c>
    </row>
    <row r="609" spans="1:33" x14ac:dyDescent="0.3">
      <c r="A609" s="12">
        <f t="shared" si="499"/>
        <v>1610303001</v>
      </c>
      <c r="B609" s="12" t="str">
        <f t="shared" ref="B609:AF609" si="518">IF(B498 &lt;&gt; "", B498, "")</f>
        <v>Daily.Atk</v>
      </c>
      <c r="C609" s="5" t="str">
        <f t="shared" si="518"/>
        <v>헬파이어드론</v>
      </c>
      <c r="D609" s="76" t="str">
        <f t="shared" si="518"/>
        <v>Monster.Name.Atk.Sub.drone_1</v>
      </c>
      <c r="E609" s="5" t="str">
        <f t="shared" si="518"/>
        <v>None</v>
      </c>
      <c r="F609" s="17" t="str">
        <f t="shared" si="518"/>
        <v>Fac_nul_ind</v>
      </c>
      <c r="G609" s="5" t="str">
        <f t="shared" si="518"/>
        <v>TRUE</v>
      </c>
      <c r="H609" s="5" t="b">
        <f t="shared" si="518"/>
        <v>0</v>
      </c>
      <c r="I609" s="5" t="b">
        <f t="shared" si="518"/>
        <v>0</v>
      </c>
      <c r="J609" s="5">
        <f t="shared" si="518"/>
        <v>10</v>
      </c>
      <c r="K609" s="5">
        <f t="shared" si="518"/>
        <v>10</v>
      </c>
      <c r="L609" s="2" t="str">
        <f t="shared" si="518"/>
        <v>Daily.Atk.hellfire_drone_3.attack01</v>
      </c>
      <c r="M609" s="2" t="str">
        <f t="shared" si="518"/>
        <v/>
      </c>
      <c r="N609" s="2" t="str">
        <f t="shared" si="518"/>
        <v/>
      </c>
      <c r="O609" s="178" t="str">
        <f t="shared" si="518"/>
        <v>Daily.Atk.hellfire_drone_3.passive01</v>
      </c>
      <c r="P609" s="14" t="str">
        <f t="shared" si="518"/>
        <v/>
      </c>
      <c r="Q609" s="14" t="str">
        <f t="shared" si="518"/>
        <v/>
      </c>
      <c r="R609" s="14" t="str">
        <f t="shared" si="518"/>
        <v/>
      </c>
      <c r="S609" s="14" t="str">
        <f t="shared" si="518"/>
        <v/>
      </c>
      <c r="T609" s="14" t="str">
        <f t="shared" si="518"/>
        <v/>
      </c>
      <c r="U609" s="14" t="str">
        <f t="shared" si="518"/>
        <v/>
      </c>
      <c r="V609" s="5" t="b">
        <f t="shared" si="518"/>
        <v>0</v>
      </c>
      <c r="W609" s="5" t="str">
        <f t="shared" si="518"/>
        <v>Character/Prefabs/m_s_ranger_hellfire_drone_3</v>
      </c>
      <c r="X609" s="5" t="str">
        <f t="shared" si="518"/>
        <v/>
      </c>
      <c r="Y609" s="5" t="str">
        <f t="shared" si="518"/>
        <v>m_s_ranger_hellfire_drone_3</v>
      </c>
      <c r="Z609" s="5" t="str">
        <f t="shared" si="518"/>
        <v/>
      </c>
      <c r="AA609" s="5" t="str">
        <f t="shared" si="518"/>
        <v/>
      </c>
      <c r="AB609" s="5" t="str">
        <f t="shared" si="518"/>
        <v/>
      </c>
      <c r="AC609" s="97">
        <f t="shared" si="518"/>
        <v>0.7</v>
      </c>
      <c r="AD609" s="5" t="str">
        <f t="shared" si="518"/>
        <v/>
      </c>
      <c r="AE609" s="5" t="str">
        <f t="shared" si="518"/>
        <v/>
      </c>
      <c r="AF609" s="5" t="str">
        <f t="shared" si="518"/>
        <v/>
      </c>
      <c r="AG609" s="173" t="s">
        <v>2765</v>
      </c>
    </row>
    <row r="610" spans="1:33" x14ac:dyDescent="0.3">
      <c r="A610" s="12">
        <f t="shared" si="499"/>
        <v>1610303002</v>
      </c>
      <c r="B610" s="12" t="str">
        <f t="shared" ref="B610:AF610" si="519">IF(B499 &lt;&gt; "", B499, "")</f>
        <v>Daily.Atk</v>
      </c>
      <c r="C610" s="5" t="str">
        <f t="shared" si="519"/>
        <v>리제네이션드론</v>
      </c>
      <c r="D610" s="76" t="str">
        <f t="shared" si="519"/>
        <v>Monster.Name.Atk.Sub.drone_2</v>
      </c>
      <c r="E610" s="5" t="str">
        <f t="shared" si="519"/>
        <v>None</v>
      </c>
      <c r="F610" s="17" t="str">
        <f t="shared" si="519"/>
        <v>Fac_nul_ind</v>
      </c>
      <c r="G610" s="5" t="str">
        <f t="shared" si="519"/>
        <v>TRUE</v>
      </c>
      <c r="H610" s="5" t="b">
        <f t="shared" si="519"/>
        <v>0</v>
      </c>
      <c r="I610" s="5" t="b">
        <f t="shared" si="519"/>
        <v>0</v>
      </c>
      <c r="J610" s="5">
        <f t="shared" si="519"/>
        <v>10</v>
      </c>
      <c r="K610" s="5">
        <f t="shared" si="519"/>
        <v>10</v>
      </c>
      <c r="L610" s="2" t="str">
        <f t="shared" si="519"/>
        <v>Daily.Atk.regeneration_drone_3.attack01</v>
      </c>
      <c r="M610" s="2" t="str">
        <f t="shared" si="519"/>
        <v/>
      </c>
      <c r="N610" s="2" t="str">
        <f t="shared" si="519"/>
        <v/>
      </c>
      <c r="O610" s="178" t="str">
        <f t="shared" si="519"/>
        <v>Daily.Atk.regeneration_drone_3.passive01</v>
      </c>
      <c r="P610" s="14" t="str">
        <f t="shared" si="519"/>
        <v/>
      </c>
      <c r="Q610" s="14" t="str">
        <f t="shared" si="519"/>
        <v/>
      </c>
      <c r="R610" s="14" t="str">
        <f t="shared" si="519"/>
        <v/>
      </c>
      <c r="S610" s="14" t="str">
        <f t="shared" si="519"/>
        <v/>
      </c>
      <c r="T610" s="14" t="str">
        <f t="shared" si="519"/>
        <v/>
      </c>
      <c r="U610" s="14" t="str">
        <f t="shared" si="519"/>
        <v/>
      </c>
      <c r="V610" s="5" t="b">
        <f t="shared" si="519"/>
        <v>0</v>
      </c>
      <c r="W610" s="5" t="str">
        <f t="shared" si="519"/>
        <v>Character/Prefabs/m_s_supporter_regeneration_drone_3</v>
      </c>
      <c r="X610" s="5" t="str">
        <f t="shared" si="519"/>
        <v/>
      </c>
      <c r="Y610" s="5" t="str">
        <f t="shared" si="519"/>
        <v>m_s_supporter_regeneration_drone_3</v>
      </c>
      <c r="Z610" s="5" t="str">
        <f t="shared" si="519"/>
        <v/>
      </c>
      <c r="AA610" s="5" t="str">
        <f t="shared" si="519"/>
        <v/>
      </c>
      <c r="AB610" s="5" t="str">
        <f t="shared" si="519"/>
        <v/>
      </c>
      <c r="AC610" s="97">
        <f t="shared" si="519"/>
        <v>0.7</v>
      </c>
      <c r="AD610" s="5" t="str">
        <f t="shared" si="519"/>
        <v/>
      </c>
      <c r="AE610" s="5" t="str">
        <f t="shared" si="519"/>
        <v/>
      </c>
      <c r="AF610" s="5" t="str">
        <f t="shared" si="519"/>
        <v/>
      </c>
      <c r="AG610" s="173" t="s">
        <v>2765</v>
      </c>
    </row>
    <row r="611" spans="1:33" x14ac:dyDescent="0.3">
      <c r="A611" s="12">
        <f t="shared" si="499"/>
        <v>1610303003</v>
      </c>
      <c r="B611" s="12" t="str">
        <f t="shared" ref="B611:AF611" si="520">IF(B500 &lt;&gt; "", B500, "")</f>
        <v>Daily.Atk</v>
      </c>
      <c r="C611" s="5" t="str">
        <f t="shared" si="520"/>
        <v>쉘터청소부g1</v>
      </c>
      <c r="D611" s="5" t="str">
        <f t="shared" si="520"/>
        <v>Monster.Name.shelter_sweeper_g_1</v>
      </c>
      <c r="E611" s="5" t="str">
        <f t="shared" si="520"/>
        <v>Tanker</v>
      </c>
      <c r="F611" s="17" t="str">
        <f t="shared" si="520"/>
        <v>Fac_nul_ind</v>
      </c>
      <c r="G611" s="5" t="str">
        <f t="shared" si="520"/>
        <v>TRUE</v>
      </c>
      <c r="H611" s="5" t="b">
        <f t="shared" si="520"/>
        <v>1</v>
      </c>
      <c r="I611" s="5" t="b">
        <f t="shared" si="520"/>
        <v>1</v>
      </c>
      <c r="J611" s="5">
        <f t="shared" si="520"/>
        <v>20</v>
      </c>
      <c r="K611" s="5">
        <f t="shared" si="520"/>
        <v>10</v>
      </c>
      <c r="L611" s="2" t="str">
        <f t="shared" si="520"/>
        <v>Daily.Atk.shelter_sweeper_g_1.attack01</v>
      </c>
      <c r="M611" s="2" t="str">
        <f t="shared" si="520"/>
        <v/>
      </c>
      <c r="N611" s="2" t="str">
        <f t="shared" si="520"/>
        <v/>
      </c>
      <c r="O611" s="178" t="str">
        <f t="shared" si="520"/>
        <v>Daily.Atk.shelter_sweeper_g_1.skill01</v>
      </c>
      <c r="P611" s="14" t="str">
        <f t="shared" si="520"/>
        <v>Daily.Atk.shelter_sweeper_g_1.skill02</v>
      </c>
      <c r="Q611" s="14" t="str">
        <f t="shared" si="520"/>
        <v>Daily.Atk.Boss.passive01</v>
      </c>
      <c r="R611" s="14" t="str">
        <f t="shared" si="520"/>
        <v/>
      </c>
      <c r="S611" s="14" t="str">
        <f t="shared" si="520"/>
        <v>Daily.Atk.Boss.End.passive01</v>
      </c>
      <c r="T611" s="14" t="str">
        <f t="shared" si="520"/>
        <v/>
      </c>
      <c r="U611" s="14" t="str">
        <f t="shared" si="520"/>
        <v/>
      </c>
      <c r="V611" s="5" t="b">
        <f t="shared" si="520"/>
        <v>0</v>
      </c>
      <c r="W611" s="5" t="str">
        <f t="shared" si="520"/>
        <v>Character/Prefabs/m_m_tanker_shelter_sweeper_g_1</v>
      </c>
      <c r="X611" s="5" t="str">
        <f t="shared" si="520"/>
        <v/>
      </c>
      <c r="Y611" s="5" t="str">
        <f t="shared" si="520"/>
        <v>m_m_tanker_shelter_sweeper_g_1</v>
      </c>
      <c r="Z611" s="5" t="str">
        <f t="shared" si="520"/>
        <v/>
      </c>
      <c r="AA611" s="5" t="str">
        <f t="shared" si="520"/>
        <v/>
      </c>
      <c r="AB611" s="5" t="str">
        <f t="shared" si="520"/>
        <v/>
      </c>
      <c r="AC611" s="97">
        <f t="shared" si="520"/>
        <v>1</v>
      </c>
      <c r="AD611" s="5" t="str">
        <f t="shared" si="520"/>
        <v/>
      </c>
      <c r="AE611" s="5" t="str">
        <f t="shared" si="520"/>
        <v/>
      </c>
      <c r="AF611" s="5" t="str">
        <f t="shared" si="520"/>
        <v/>
      </c>
      <c r="AG611" s="173" t="s">
        <v>2765</v>
      </c>
    </row>
    <row r="612" spans="1:33" x14ac:dyDescent="0.3">
      <c r="A612" s="37">
        <f t="shared" si="499"/>
        <v>1610304001</v>
      </c>
      <c r="B612" s="37" t="str">
        <f t="shared" ref="B612:AF612" si="521">IF(B501 &lt;&gt; "", B501, "")</f>
        <v>Daily.Def</v>
      </c>
      <c r="C612" s="5" t="str">
        <f t="shared" si="521"/>
        <v>브레인헌터</v>
      </c>
      <c r="D612" s="5" t="str">
        <f t="shared" si="521"/>
        <v>Monster.Name.brain_hunter_1</v>
      </c>
      <c r="E612" s="5" t="str">
        <f t="shared" si="521"/>
        <v>Attacker</v>
      </c>
      <c r="F612" s="17" t="str">
        <f t="shared" si="521"/>
        <v>Fac_nul_ind</v>
      </c>
      <c r="G612" s="5" t="str">
        <f t="shared" si="521"/>
        <v>TRUE</v>
      </c>
      <c r="H612" s="5" t="b">
        <f t="shared" si="521"/>
        <v>0</v>
      </c>
      <c r="I612" s="5" t="b">
        <f t="shared" si="521"/>
        <v>0</v>
      </c>
      <c r="J612" s="5">
        <f t="shared" si="521"/>
        <v>10</v>
      </c>
      <c r="K612" s="5">
        <f t="shared" si="521"/>
        <v>10</v>
      </c>
      <c r="L612" s="2" t="str">
        <f t="shared" si="521"/>
        <v>Daily.Def.brain_hunter_1.attack01</v>
      </c>
      <c r="M612" s="2" t="str">
        <f t="shared" si="521"/>
        <v/>
      </c>
      <c r="N612" s="2" t="str">
        <f t="shared" si="521"/>
        <v/>
      </c>
      <c r="O612" s="178" t="str">
        <f t="shared" si="521"/>
        <v>Daily.Def.brain_hunter_1.skill01</v>
      </c>
      <c r="P612" s="14" t="str">
        <f t="shared" si="521"/>
        <v>Daily.Def.DamageUp.passive01</v>
      </c>
      <c r="Q612" s="14" t="str">
        <f t="shared" si="521"/>
        <v/>
      </c>
      <c r="R612" s="14" t="str">
        <f t="shared" si="521"/>
        <v/>
      </c>
      <c r="S612" s="14" t="str">
        <f t="shared" si="521"/>
        <v/>
      </c>
      <c r="T612" s="14" t="str">
        <f t="shared" si="521"/>
        <v/>
      </c>
      <c r="U612" s="14" t="str">
        <f t="shared" si="521"/>
        <v/>
      </c>
      <c r="V612" s="5" t="b">
        <f t="shared" si="521"/>
        <v>0</v>
      </c>
      <c r="W612" s="5" t="str">
        <f t="shared" si="521"/>
        <v>Character/Prefabs/m_s_attacker_brain_hunter_1</v>
      </c>
      <c r="X612" s="5" t="str">
        <f t="shared" si="521"/>
        <v/>
      </c>
      <c r="Y612" s="5" t="str">
        <f t="shared" si="521"/>
        <v>m_s_attacker_brain_hunter_1</v>
      </c>
      <c r="Z612" s="5" t="str">
        <f t="shared" si="521"/>
        <v/>
      </c>
      <c r="AA612" s="5" t="str">
        <f t="shared" si="521"/>
        <v/>
      </c>
      <c r="AB612" s="5" t="str">
        <f t="shared" si="521"/>
        <v/>
      </c>
      <c r="AC612" s="97">
        <f t="shared" si="521"/>
        <v>1</v>
      </c>
      <c r="AD612" s="5" t="str">
        <f t="shared" si="521"/>
        <v/>
      </c>
      <c r="AE612" s="5" t="str">
        <f t="shared" si="521"/>
        <v/>
      </c>
      <c r="AF612" s="5" t="str">
        <f t="shared" si="521"/>
        <v/>
      </c>
      <c r="AG612" s="173" t="s">
        <v>2765</v>
      </c>
    </row>
    <row r="613" spans="1:33" x14ac:dyDescent="0.3">
      <c r="A613" s="37">
        <f t="shared" si="499"/>
        <v>1610304002</v>
      </c>
      <c r="B613" s="37" t="str">
        <f t="shared" ref="B613:AF613" si="522">IF(B502 &lt;&gt; "", B502, "")</f>
        <v>Daily.Def</v>
      </c>
      <c r="C613" s="5" t="str">
        <f t="shared" si="522"/>
        <v>오염체익스플로더</v>
      </c>
      <c r="D613" s="5" t="str">
        <f t="shared" si="522"/>
        <v>Monster.Name.polluter_exploder_1</v>
      </c>
      <c r="E613" s="5" t="str">
        <f t="shared" si="522"/>
        <v>Attacker</v>
      </c>
      <c r="F613" s="17" t="str">
        <f t="shared" si="522"/>
        <v>Fac_nul_ind</v>
      </c>
      <c r="G613" s="5" t="str">
        <f t="shared" si="522"/>
        <v>TRUE</v>
      </c>
      <c r="H613" s="5" t="b">
        <f t="shared" si="522"/>
        <v>0</v>
      </c>
      <c r="I613" s="5" t="b">
        <f t="shared" si="522"/>
        <v>0</v>
      </c>
      <c r="J613" s="5">
        <f t="shared" si="522"/>
        <v>10</v>
      </c>
      <c r="K613" s="5">
        <f t="shared" si="522"/>
        <v>10</v>
      </c>
      <c r="L613" s="2" t="str">
        <f t="shared" si="522"/>
        <v>Daily.Def.polluter_exploder_1.attack01</v>
      </c>
      <c r="M613" s="2" t="str">
        <f t="shared" si="522"/>
        <v/>
      </c>
      <c r="N613" s="2" t="str">
        <f t="shared" si="522"/>
        <v/>
      </c>
      <c r="O613" s="178" t="str">
        <f t="shared" si="522"/>
        <v>Daily.Def.polluter_exploder_1.skill01</v>
      </c>
      <c r="P613" s="14" t="str">
        <f t="shared" si="522"/>
        <v>Daily.Def.DamageUp.passive01</v>
      </c>
      <c r="Q613" s="14" t="str">
        <f t="shared" si="522"/>
        <v/>
      </c>
      <c r="R613" s="14" t="str">
        <f t="shared" si="522"/>
        <v/>
      </c>
      <c r="S613" s="14" t="str">
        <f t="shared" si="522"/>
        <v/>
      </c>
      <c r="T613" s="14" t="str">
        <f t="shared" si="522"/>
        <v/>
      </c>
      <c r="U613" s="14" t="str">
        <f t="shared" si="522"/>
        <v/>
      </c>
      <c r="V613" s="5" t="b">
        <f t="shared" si="522"/>
        <v>0</v>
      </c>
      <c r="W613" s="5" t="str">
        <f t="shared" si="522"/>
        <v>Character/Prefabs/m_s_attacker_polluter_exploder_1</v>
      </c>
      <c r="X613" s="5" t="str">
        <f t="shared" si="522"/>
        <v/>
      </c>
      <c r="Y613" s="5" t="str">
        <f t="shared" si="522"/>
        <v>m_s_attacker_polluter_exploder_1</v>
      </c>
      <c r="Z613" s="5" t="str">
        <f t="shared" si="522"/>
        <v/>
      </c>
      <c r="AA613" s="5" t="str">
        <f t="shared" si="522"/>
        <v/>
      </c>
      <c r="AB613" s="5" t="str">
        <f t="shared" si="522"/>
        <v/>
      </c>
      <c r="AC613" s="97">
        <f t="shared" si="522"/>
        <v>1.5</v>
      </c>
      <c r="AD613" s="5" t="str">
        <f t="shared" si="522"/>
        <v/>
      </c>
      <c r="AE613" s="5" t="str">
        <f t="shared" si="522"/>
        <v/>
      </c>
      <c r="AF613" s="5" t="str">
        <f t="shared" si="522"/>
        <v/>
      </c>
      <c r="AG613" s="173" t="s">
        <v>2765</v>
      </c>
    </row>
    <row r="614" spans="1:33" x14ac:dyDescent="0.3">
      <c r="A614" s="13">
        <f t="shared" si="499"/>
        <v>1610305001</v>
      </c>
      <c r="B614" s="13" t="str">
        <f t="shared" ref="B614:AF614" si="523">IF(B503 &lt;&gt; "", B503, "")</f>
        <v>Daily.Seed</v>
      </c>
      <c r="C614" s="5" t="str">
        <f t="shared" si="523"/>
        <v>헤비트루퍼플레임</v>
      </c>
      <c r="D614" s="5" t="str">
        <f t="shared" si="523"/>
        <v>Monster.Name.heavy_trooper_flame_1</v>
      </c>
      <c r="E614" s="5" t="str">
        <f t="shared" si="523"/>
        <v>Attacker</v>
      </c>
      <c r="F614" s="17" t="str">
        <f t="shared" si="523"/>
        <v>Fac_nul_ind</v>
      </c>
      <c r="G614" s="5" t="str">
        <f t="shared" si="523"/>
        <v>TRUE</v>
      </c>
      <c r="H614" s="5" t="b">
        <f t="shared" si="523"/>
        <v>0</v>
      </c>
      <c r="I614" s="5" t="b">
        <f t="shared" si="523"/>
        <v>0</v>
      </c>
      <c r="J614" s="5">
        <f t="shared" si="523"/>
        <v>10</v>
      </c>
      <c r="K614" s="5">
        <f t="shared" si="523"/>
        <v>10</v>
      </c>
      <c r="L614" s="2" t="str">
        <f t="shared" si="523"/>
        <v>Daily.Seed.trooper_inferno_1.attack01</v>
      </c>
      <c r="M614" s="2" t="str">
        <f t="shared" si="523"/>
        <v/>
      </c>
      <c r="N614" s="2" t="str">
        <f t="shared" si="523"/>
        <v/>
      </c>
      <c r="O614" s="178" t="str">
        <f t="shared" si="523"/>
        <v>Daily.Seed.trooper_inferno_1.skill01</v>
      </c>
      <c r="P614" s="14" t="str">
        <f t="shared" si="523"/>
        <v/>
      </c>
      <c r="Q614" s="14" t="str">
        <f t="shared" si="523"/>
        <v/>
      </c>
      <c r="R614" s="14" t="str">
        <f t="shared" si="523"/>
        <v/>
      </c>
      <c r="S614" s="14" t="str">
        <f t="shared" si="523"/>
        <v/>
      </c>
      <c r="T614" s="14" t="str">
        <f t="shared" si="523"/>
        <v/>
      </c>
      <c r="U614" s="14" t="str">
        <f t="shared" si="523"/>
        <v/>
      </c>
      <c r="V614" s="5" t="b">
        <f t="shared" si="523"/>
        <v>0</v>
      </c>
      <c r="W614" s="5" t="str">
        <f t="shared" si="523"/>
        <v>Character/Prefabs/m_m_attacker_heavy_trooper_flame_1</v>
      </c>
      <c r="X614" s="5" t="str">
        <f t="shared" si="523"/>
        <v/>
      </c>
      <c r="Y614" s="5" t="str">
        <f t="shared" si="523"/>
        <v>m_m_attacker_heavy_trooper_flame_1</v>
      </c>
      <c r="Z614" s="5" t="str">
        <f t="shared" si="523"/>
        <v/>
      </c>
      <c r="AA614" s="5" t="str">
        <f t="shared" si="523"/>
        <v/>
      </c>
      <c r="AB614" s="5" t="str">
        <f t="shared" si="523"/>
        <v/>
      </c>
      <c r="AC614" s="97">
        <f t="shared" si="523"/>
        <v>0.7</v>
      </c>
      <c r="AD614" s="5" t="str">
        <f t="shared" si="523"/>
        <v/>
      </c>
      <c r="AE614" s="5" t="str">
        <f t="shared" si="523"/>
        <v/>
      </c>
      <c r="AF614" s="5" t="str">
        <f t="shared" si="523"/>
        <v/>
      </c>
      <c r="AG614" s="173" t="s">
        <v>2765</v>
      </c>
    </row>
    <row r="615" spans="1:33" x14ac:dyDescent="0.3">
      <c r="A615" s="13">
        <f t="shared" si="499"/>
        <v>1610305002</v>
      </c>
      <c r="B615" s="13" t="str">
        <f t="shared" ref="B615:AF615" si="524">IF(B504 &lt;&gt; "", B504, "")</f>
        <v>Daily.Seed</v>
      </c>
      <c r="C615" s="5" t="str">
        <f t="shared" si="524"/>
        <v>헤비트루퍼라이플</v>
      </c>
      <c r="D615" s="5" t="str">
        <f t="shared" si="524"/>
        <v>Monster.Name.heavy_trooper_rifle_1</v>
      </c>
      <c r="E615" s="5" t="str">
        <f t="shared" si="524"/>
        <v>Ranger</v>
      </c>
      <c r="F615" s="17" t="str">
        <f t="shared" si="524"/>
        <v>Fac_nul_ind</v>
      </c>
      <c r="G615" s="5" t="str">
        <f t="shared" si="524"/>
        <v>TRUE</v>
      </c>
      <c r="H615" s="5" t="b">
        <f t="shared" si="524"/>
        <v>0</v>
      </c>
      <c r="I615" s="5" t="b">
        <f t="shared" si="524"/>
        <v>0</v>
      </c>
      <c r="J615" s="5">
        <f t="shared" si="524"/>
        <v>10</v>
      </c>
      <c r="K615" s="5">
        <f t="shared" si="524"/>
        <v>10</v>
      </c>
      <c r="L615" s="2" t="str">
        <f t="shared" si="524"/>
        <v>Daily.Seed.trooper_sniper_1.attack01</v>
      </c>
      <c r="M615" s="2" t="str">
        <f t="shared" si="524"/>
        <v/>
      </c>
      <c r="N615" s="2" t="str">
        <f t="shared" si="524"/>
        <v/>
      </c>
      <c r="O615" s="178" t="str">
        <f t="shared" si="524"/>
        <v>Daily.Seed.trooper_sniper_1.skill01</v>
      </c>
      <c r="P615" s="14" t="str">
        <f t="shared" si="524"/>
        <v/>
      </c>
      <c r="Q615" s="14" t="str">
        <f t="shared" si="524"/>
        <v/>
      </c>
      <c r="R615" s="14" t="str">
        <f t="shared" si="524"/>
        <v/>
      </c>
      <c r="S615" s="14" t="str">
        <f t="shared" si="524"/>
        <v/>
      </c>
      <c r="T615" s="14" t="str">
        <f t="shared" si="524"/>
        <v/>
      </c>
      <c r="U615" s="14" t="str">
        <f t="shared" si="524"/>
        <v/>
      </c>
      <c r="V615" s="5" t="b">
        <f t="shared" si="524"/>
        <v>0</v>
      </c>
      <c r="W615" s="5" t="str">
        <f t="shared" si="524"/>
        <v>Character/Prefabs/m_m_ranger_heavy_trooper_rifle_1</v>
      </c>
      <c r="X615" s="5" t="str">
        <f t="shared" si="524"/>
        <v/>
      </c>
      <c r="Y615" s="5" t="str">
        <f t="shared" si="524"/>
        <v>m_m_ranger_heavy_trooper_rifle_1</v>
      </c>
      <c r="Z615" s="5" t="str">
        <f t="shared" si="524"/>
        <v/>
      </c>
      <c r="AA615" s="5" t="str">
        <f t="shared" si="524"/>
        <v/>
      </c>
      <c r="AB615" s="5" t="str">
        <f t="shared" si="524"/>
        <v/>
      </c>
      <c r="AC615" s="97">
        <f t="shared" si="524"/>
        <v>0.7</v>
      </c>
      <c r="AD615" s="5" t="str">
        <f t="shared" si="524"/>
        <v/>
      </c>
      <c r="AE615" s="5" t="str">
        <f t="shared" si="524"/>
        <v/>
      </c>
      <c r="AF615" s="5" t="str">
        <f t="shared" si="524"/>
        <v/>
      </c>
      <c r="AG615" s="173" t="s">
        <v>2765</v>
      </c>
    </row>
    <row r="616" spans="1:33" x14ac:dyDescent="0.3">
      <c r="A616" s="13">
        <f t="shared" si="499"/>
        <v>1610305003</v>
      </c>
      <c r="B616" s="13" t="str">
        <f t="shared" ref="B616:AF616" si="525">IF(B505 &lt;&gt; "", B505, "")</f>
        <v>Daily.Seed</v>
      </c>
      <c r="C616" s="5" t="str">
        <f t="shared" si="525"/>
        <v>헤비트루퍼건틀릿</v>
      </c>
      <c r="D616" s="5" t="str">
        <f t="shared" si="525"/>
        <v>Monster.Name.heavy_trooper_guantlet_1</v>
      </c>
      <c r="E616" s="5" t="str">
        <f t="shared" si="525"/>
        <v>Attacker</v>
      </c>
      <c r="F616" s="17" t="str">
        <f t="shared" si="525"/>
        <v>Fac_nul_ind</v>
      </c>
      <c r="G616" s="5" t="str">
        <f t="shared" si="525"/>
        <v>TRUE</v>
      </c>
      <c r="H616" s="5" t="b">
        <f t="shared" si="525"/>
        <v>0</v>
      </c>
      <c r="I616" s="5" t="b">
        <f t="shared" si="525"/>
        <v>0</v>
      </c>
      <c r="J616" s="5">
        <f t="shared" si="525"/>
        <v>10</v>
      </c>
      <c r="K616" s="5">
        <f t="shared" si="525"/>
        <v>10</v>
      </c>
      <c r="L616" s="2" t="str">
        <f t="shared" si="525"/>
        <v>Daily.Seed.trooper_champion_1.attack01</v>
      </c>
      <c r="M616" s="2" t="str">
        <f t="shared" si="525"/>
        <v/>
      </c>
      <c r="N616" s="2" t="str">
        <f t="shared" si="525"/>
        <v/>
      </c>
      <c r="O616" s="178" t="str">
        <f t="shared" si="525"/>
        <v>Daily.Seed.trooper_champion_1.skill01</v>
      </c>
      <c r="P616" s="14" t="str">
        <f t="shared" si="525"/>
        <v>Daily.Seed.trooper_champion_1.skill02</v>
      </c>
      <c r="Q616" s="14" t="str">
        <f t="shared" si="525"/>
        <v/>
      </c>
      <c r="R616" s="14" t="str">
        <f t="shared" si="525"/>
        <v/>
      </c>
      <c r="S616" s="14" t="str">
        <f t="shared" si="525"/>
        <v/>
      </c>
      <c r="T616" s="14" t="str">
        <f t="shared" si="525"/>
        <v/>
      </c>
      <c r="U616" s="14" t="str">
        <f t="shared" si="525"/>
        <v/>
      </c>
      <c r="V616" s="5" t="b">
        <f t="shared" si="525"/>
        <v>0</v>
      </c>
      <c r="W616" s="5" t="str">
        <f t="shared" si="525"/>
        <v>Character/Prefabs/m_m_attacker_heavy_trooper_guantlet_1</v>
      </c>
      <c r="X616" s="5" t="str">
        <f t="shared" si="525"/>
        <v/>
      </c>
      <c r="Y616" s="5" t="str">
        <f t="shared" si="525"/>
        <v>m_m_attacker_heavy_trooper_guantlet_1</v>
      </c>
      <c r="Z616" s="5" t="str">
        <f t="shared" si="525"/>
        <v/>
      </c>
      <c r="AA616" s="5" t="str">
        <f t="shared" si="525"/>
        <v/>
      </c>
      <c r="AB616" s="5" t="str">
        <f t="shared" si="525"/>
        <v/>
      </c>
      <c r="AC616" s="97">
        <f t="shared" si="525"/>
        <v>0.7</v>
      </c>
      <c r="AD616" s="5" t="str">
        <f t="shared" si="525"/>
        <v/>
      </c>
      <c r="AE616" s="5" t="str">
        <f t="shared" si="525"/>
        <v/>
      </c>
      <c r="AF616" s="5" t="str">
        <f t="shared" si="525"/>
        <v/>
      </c>
      <c r="AG616" s="173" t="s">
        <v>2765</v>
      </c>
    </row>
    <row r="617" spans="1:33" x14ac:dyDescent="0.3">
      <c r="A617" s="13">
        <f t="shared" si="499"/>
        <v>1610305004</v>
      </c>
      <c r="B617" s="13" t="str">
        <f t="shared" ref="B617:AF617" si="526">IF(B506 &lt;&gt; "", B506, "")</f>
        <v>Daily.Seed</v>
      </c>
      <c r="C617" s="5" t="str">
        <f t="shared" si="526"/>
        <v>헤비트루퍼실드</v>
      </c>
      <c r="D617" s="5" t="str">
        <f t="shared" si="526"/>
        <v>Monster.Name.heavy_trooper_shield_1</v>
      </c>
      <c r="E617" s="5" t="str">
        <f t="shared" si="526"/>
        <v>Tanker</v>
      </c>
      <c r="F617" s="17" t="str">
        <f t="shared" si="526"/>
        <v>Fac_nul_ind</v>
      </c>
      <c r="G617" s="5" t="str">
        <f t="shared" si="526"/>
        <v>TRUE</v>
      </c>
      <c r="H617" s="5" t="b">
        <f t="shared" si="526"/>
        <v>0</v>
      </c>
      <c r="I617" s="5" t="b">
        <f t="shared" si="526"/>
        <v>0</v>
      </c>
      <c r="J617" s="5">
        <f t="shared" si="526"/>
        <v>10</v>
      </c>
      <c r="K617" s="5">
        <f t="shared" si="526"/>
        <v>10</v>
      </c>
      <c r="L617" s="2" t="str">
        <f t="shared" si="526"/>
        <v>Daily.Seed.trooper_guard_1.attack01</v>
      </c>
      <c r="M617" s="2" t="str">
        <f t="shared" si="526"/>
        <v/>
      </c>
      <c r="N617" s="2" t="str">
        <f t="shared" si="526"/>
        <v/>
      </c>
      <c r="O617" s="178" t="str">
        <f t="shared" si="526"/>
        <v>Daily.Seed.trooper_guard_1.skill01</v>
      </c>
      <c r="P617" s="14" t="str">
        <f t="shared" si="526"/>
        <v/>
      </c>
      <c r="Q617" s="14" t="str">
        <f t="shared" si="526"/>
        <v/>
      </c>
      <c r="R617" s="14" t="str">
        <f t="shared" si="526"/>
        <v/>
      </c>
      <c r="S617" s="14" t="str">
        <f t="shared" si="526"/>
        <v/>
      </c>
      <c r="T617" s="14" t="str">
        <f t="shared" si="526"/>
        <v/>
      </c>
      <c r="U617" s="14" t="str">
        <f t="shared" si="526"/>
        <v/>
      </c>
      <c r="V617" s="5" t="b">
        <f t="shared" si="526"/>
        <v>0</v>
      </c>
      <c r="W617" s="5" t="str">
        <f t="shared" si="526"/>
        <v>Character/Prefabs/m_m_tanker_heavy_trooper_shield_1</v>
      </c>
      <c r="X617" s="5" t="str">
        <f t="shared" si="526"/>
        <v/>
      </c>
      <c r="Y617" s="5" t="str">
        <f t="shared" si="526"/>
        <v>m_m_tanker_heavy_trooper_shield_1</v>
      </c>
      <c r="Z617" s="5" t="str">
        <f t="shared" si="526"/>
        <v/>
      </c>
      <c r="AA617" s="5" t="str">
        <f t="shared" si="526"/>
        <v/>
      </c>
      <c r="AB617" s="5" t="str">
        <f t="shared" si="526"/>
        <v/>
      </c>
      <c r="AC617" s="97">
        <f t="shared" si="526"/>
        <v>0.8</v>
      </c>
      <c r="AD617" s="5" t="str">
        <f t="shared" si="526"/>
        <v/>
      </c>
      <c r="AE617" s="5" t="str">
        <f t="shared" si="526"/>
        <v/>
      </c>
      <c r="AF617" s="5" t="str">
        <f t="shared" si="526"/>
        <v/>
      </c>
      <c r="AG617" s="173" t="s">
        <v>2765</v>
      </c>
    </row>
    <row r="618" spans="1:33" x14ac:dyDescent="0.3">
      <c r="A618" s="45">
        <f t="shared" si="499"/>
        <v>1610305005</v>
      </c>
      <c r="B618" s="45" t="str">
        <f t="shared" ref="B618:AF618" si="527">IF(B507 &lt;&gt; "", B507, "")</f>
        <v>Daily.Seed</v>
      </c>
      <c r="C618" s="5" t="str">
        <f t="shared" si="527"/>
        <v>친절한엣지아이볼</v>
      </c>
      <c r="D618" s="5" t="str">
        <f t="shared" si="527"/>
        <v>Monster.Name.friendly_edge_eyeball_1</v>
      </c>
      <c r="E618" s="5" t="str">
        <f t="shared" si="527"/>
        <v>Attacker</v>
      </c>
      <c r="F618" s="17" t="str">
        <f t="shared" si="527"/>
        <v>Fac_nul_ind</v>
      </c>
      <c r="G618" s="5" t="str">
        <f t="shared" si="527"/>
        <v>TRUE</v>
      </c>
      <c r="H618" s="5" t="b">
        <f t="shared" si="527"/>
        <v>1</v>
      </c>
      <c r="I618" s="5" t="b">
        <f t="shared" si="527"/>
        <v>1</v>
      </c>
      <c r="J618" s="5">
        <f t="shared" si="527"/>
        <v>10</v>
      </c>
      <c r="K618" s="5">
        <f t="shared" si="527"/>
        <v>10</v>
      </c>
      <c r="L618" s="2" t="str">
        <f t="shared" si="527"/>
        <v>Daily.Seed.friendly_edge_eyeball_1.attack01</v>
      </c>
      <c r="M618" s="2" t="str">
        <f t="shared" si="527"/>
        <v/>
      </c>
      <c r="N618" s="2" t="str">
        <f t="shared" si="527"/>
        <v/>
      </c>
      <c r="O618" s="178" t="str">
        <f t="shared" si="527"/>
        <v>Daily.Seed.friendly_edge_eyeball_1.skill01</v>
      </c>
      <c r="P618" s="14" t="str">
        <f t="shared" si="527"/>
        <v>Daily.Seed.friendly_edge_eyeball_1.passive01</v>
      </c>
      <c r="Q618" s="14" t="str">
        <f t="shared" si="527"/>
        <v/>
      </c>
      <c r="R618" s="14" t="str">
        <f t="shared" si="527"/>
        <v/>
      </c>
      <c r="S618" s="14" t="str">
        <f t="shared" si="527"/>
        <v/>
      </c>
      <c r="T618" s="14" t="str">
        <f t="shared" si="527"/>
        <v/>
      </c>
      <c r="U618" s="14" t="str">
        <f t="shared" si="527"/>
        <v/>
      </c>
      <c r="V618" s="5" t="b">
        <f t="shared" si="527"/>
        <v>0</v>
      </c>
      <c r="W618" s="5" t="str">
        <f t="shared" si="527"/>
        <v>Character/Prefabs/m_m_attacker_friendly_edge_eyeball_1</v>
      </c>
      <c r="X618" s="5" t="str">
        <f t="shared" si="527"/>
        <v/>
      </c>
      <c r="Y618" s="5" t="str">
        <f t="shared" si="527"/>
        <v>m_m_attacker_friendly_edge_eyeball_1</v>
      </c>
      <c r="Z618" s="5" t="str">
        <f t="shared" si="527"/>
        <v/>
      </c>
      <c r="AA618" s="5" t="str">
        <f t="shared" si="527"/>
        <v/>
      </c>
      <c r="AB618" s="5" t="str">
        <f t="shared" si="527"/>
        <v/>
      </c>
      <c r="AC618" s="97">
        <f t="shared" si="527"/>
        <v>1.5</v>
      </c>
      <c r="AD618" s="5" t="str">
        <f t="shared" si="527"/>
        <v/>
      </c>
      <c r="AE618" s="5" t="str">
        <f t="shared" si="527"/>
        <v/>
      </c>
      <c r="AF618" s="5" t="str">
        <f t="shared" si="527"/>
        <v/>
      </c>
      <c r="AG618" s="173" t="s">
        <v>2765</v>
      </c>
    </row>
    <row r="619" spans="1:33" x14ac:dyDescent="0.3">
      <c r="A619" s="13">
        <f t="shared" si="499"/>
        <v>1610305006</v>
      </c>
      <c r="B619" s="13" t="str">
        <f t="shared" ref="B619:AF619" si="528">IF(B508 &lt;&gt; "", B508, "")</f>
        <v>Daily.Seed</v>
      </c>
      <c r="C619" s="5" t="str">
        <f t="shared" si="528"/>
        <v>친절한전기아이볼</v>
      </c>
      <c r="D619" s="5" t="str">
        <f t="shared" si="528"/>
        <v>Monster.Name.friendly_electric_eyeball_1</v>
      </c>
      <c r="E619" s="5" t="str">
        <f t="shared" si="528"/>
        <v>Ranger</v>
      </c>
      <c r="F619" s="17" t="str">
        <f t="shared" si="528"/>
        <v>Fac_nul_ind</v>
      </c>
      <c r="G619" s="5" t="str">
        <f t="shared" si="528"/>
        <v>TRUE</v>
      </c>
      <c r="H619" s="5" t="b">
        <f t="shared" si="528"/>
        <v>0</v>
      </c>
      <c r="I619" s="5" t="b">
        <f t="shared" si="528"/>
        <v>0</v>
      </c>
      <c r="J619" s="5">
        <f t="shared" si="528"/>
        <v>10</v>
      </c>
      <c r="K619" s="5">
        <f t="shared" si="528"/>
        <v>10</v>
      </c>
      <c r="L619" s="2" t="str">
        <f t="shared" si="528"/>
        <v>Daily.Seed.friendly_electric_eyeball_1.attack01</v>
      </c>
      <c r="M619" s="2" t="str">
        <f t="shared" si="528"/>
        <v/>
      </c>
      <c r="N619" s="2" t="str">
        <f t="shared" si="528"/>
        <v/>
      </c>
      <c r="O619" s="178" t="str">
        <f t="shared" si="528"/>
        <v>Daily.Seed.friendly_electric_eyeball_1.skill01</v>
      </c>
      <c r="P619" s="14" t="str">
        <f t="shared" si="528"/>
        <v/>
      </c>
      <c r="Q619" s="14" t="str">
        <f t="shared" si="528"/>
        <v/>
      </c>
      <c r="R619" s="14" t="str">
        <f t="shared" si="528"/>
        <v/>
      </c>
      <c r="S619" s="14" t="str">
        <f t="shared" si="528"/>
        <v/>
      </c>
      <c r="T619" s="14" t="str">
        <f t="shared" si="528"/>
        <v/>
      </c>
      <c r="U619" s="14" t="str">
        <f t="shared" si="528"/>
        <v/>
      </c>
      <c r="V619" s="5" t="b">
        <f t="shared" si="528"/>
        <v>0</v>
      </c>
      <c r="W619" s="5" t="str">
        <f t="shared" si="528"/>
        <v>Character/Prefabs/m_m_ranger_friendly_electric_eyeball_1</v>
      </c>
      <c r="X619" s="5" t="str">
        <f t="shared" si="528"/>
        <v/>
      </c>
      <c r="Y619" s="5" t="str">
        <f t="shared" si="528"/>
        <v>m_m_ranger_friendly_electric_eyeball_1</v>
      </c>
      <c r="Z619" s="5" t="str">
        <f t="shared" si="528"/>
        <v/>
      </c>
      <c r="AA619" s="5" t="str">
        <f t="shared" si="528"/>
        <v/>
      </c>
      <c r="AB619" s="5" t="str">
        <f t="shared" si="528"/>
        <v/>
      </c>
      <c r="AC619" s="97">
        <f t="shared" si="528"/>
        <v>0.9</v>
      </c>
      <c r="AD619" s="5" t="str">
        <f t="shared" si="528"/>
        <v/>
      </c>
      <c r="AE619" s="5" t="str">
        <f t="shared" si="528"/>
        <v/>
      </c>
      <c r="AF619" s="5" t="str">
        <f t="shared" si="528"/>
        <v/>
      </c>
      <c r="AG619" s="173" t="s">
        <v>2765</v>
      </c>
    </row>
    <row r="620" spans="1:33" x14ac:dyDescent="0.3">
      <c r="A620" s="13">
        <f t="shared" si="499"/>
        <v>1610305007</v>
      </c>
      <c r="B620" s="13" t="str">
        <f t="shared" ref="B620:AF620" si="529">IF(B509 &lt;&gt; "", B509, "")</f>
        <v>Daily.Seed</v>
      </c>
      <c r="C620" s="5" t="str">
        <f t="shared" si="529"/>
        <v>친절한건</v>
      </c>
      <c r="D620" s="5" t="str">
        <f t="shared" si="529"/>
        <v>Monster.Name.friendly_gun_1</v>
      </c>
      <c r="E620" s="5" t="str">
        <f t="shared" si="529"/>
        <v>Ranger</v>
      </c>
      <c r="F620" s="17" t="str">
        <f t="shared" si="529"/>
        <v>Fac_nul_ind</v>
      </c>
      <c r="G620" s="5" t="str">
        <f t="shared" si="529"/>
        <v>TRUE</v>
      </c>
      <c r="H620" s="5" t="b">
        <f t="shared" si="529"/>
        <v>0</v>
      </c>
      <c r="I620" s="5" t="b">
        <f t="shared" si="529"/>
        <v>0</v>
      </c>
      <c r="J620" s="5">
        <f t="shared" si="529"/>
        <v>10</v>
      </c>
      <c r="K620" s="5">
        <f t="shared" si="529"/>
        <v>10</v>
      </c>
      <c r="L620" s="2" t="str">
        <f t="shared" si="529"/>
        <v>Daily.Seed.friendly_gun_1.attack01</v>
      </c>
      <c r="M620" s="2" t="str">
        <f t="shared" si="529"/>
        <v/>
      </c>
      <c r="N620" s="2" t="str">
        <f t="shared" si="529"/>
        <v/>
      </c>
      <c r="O620" s="178" t="str">
        <f t="shared" si="529"/>
        <v>Daily.Seed.friendly_gun_1.skill01</v>
      </c>
      <c r="P620" s="14" t="str">
        <f t="shared" si="529"/>
        <v/>
      </c>
      <c r="Q620" s="14" t="str">
        <f t="shared" si="529"/>
        <v/>
      </c>
      <c r="R620" s="14" t="str">
        <f t="shared" si="529"/>
        <v/>
      </c>
      <c r="S620" s="14" t="str">
        <f t="shared" si="529"/>
        <v/>
      </c>
      <c r="T620" s="14" t="str">
        <f t="shared" si="529"/>
        <v/>
      </c>
      <c r="U620" s="14" t="str">
        <f t="shared" si="529"/>
        <v/>
      </c>
      <c r="V620" s="5" t="b">
        <f t="shared" si="529"/>
        <v>0</v>
      </c>
      <c r="W620" s="5" t="str">
        <f t="shared" si="529"/>
        <v>Character/Prefabs/m_m_ranger_friendly_gun_1</v>
      </c>
      <c r="X620" s="5" t="str">
        <f t="shared" si="529"/>
        <v/>
      </c>
      <c r="Y620" s="5" t="str">
        <f t="shared" si="529"/>
        <v>m_m_ranger_friendly_gun_1</v>
      </c>
      <c r="Z620" s="5" t="str">
        <f t="shared" si="529"/>
        <v/>
      </c>
      <c r="AA620" s="5" t="str">
        <f t="shared" si="529"/>
        <v/>
      </c>
      <c r="AB620" s="5" t="str">
        <f t="shared" si="529"/>
        <v/>
      </c>
      <c r="AC620" s="97">
        <f t="shared" si="529"/>
        <v>0.9</v>
      </c>
      <c r="AD620" s="5" t="str">
        <f t="shared" si="529"/>
        <v/>
      </c>
      <c r="AE620" s="5" t="str">
        <f t="shared" si="529"/>
        <v/>
      </c>
      <c r="AF620" s="5" t="str">
        <f t="shared" si="529"/>
        <v/>
      </c>
      <c r="AG620" s="173" t="s">
        <v>2765</v>
      </c>
    </row>
    <row r="621" spans="1:33" x14ac:dyDescent="0.3">
      <c r="A621" s="13">
        <f t="shared" si="499"/>
        <v>1610305008</v>
      </c>
      <c r="B621" s="13" t="str">
        <f t="shared" ref="B621:AF621" si="530">IF(B510 &lt;&gt; "", B510, "")</f>
        <v>Daily.Seed</v>
      </c>
      <c r="C621" s="5" t="str">
        <f t="shared" si="530"/>
        <v>친절한핀서</v>
      </c>
      <c r="D621" s="5" t="str">
        <f t="shared" si="530"/>
        <v>Monster.Name.friendly_pincers_1</v>
      </c>
      <c r="E621" s="5" t="str">
        <f t="shared" si="530"/>
        <v>Attacker</v>
      </c>
      <c r="F621" s="17" t="str">
        <f t="shared" si="530"/>
        <v>Fac_nul_ind</v>
      </c>
      <c r="G621" s="5" t="str">
        <f t="shared" si="530"/>
        <v>TRUE</v>
      </c>
      <c r="H621" s="5" t="b">
        <f t="shared" si="530"/>
        <v>0</v>
      </c>
      <c r="I621" s="5" t="b">
        <f t="shared" si="530"/>
        <v>0</v>
      </c>
      <c r="J621" s="5">
        <f t="shared" si="530"/>
        <v>10</v>
      </c>
      <c r="K621" s="5">
        <f t="shared" si="530"/>
        <v>10</v>
      </c>
      <c r="L621" s="2" t="str">
        <f t="shared" si="530"/>
        <v>Daily.Seed.friendly_pincers_1.attack01</v>
      </c>
      <c r="M621" s="2" t="str">
        <f t="shared" si="530"/>
        <v/>
      </c>
      <c r="N621" s="2" t="str">
        <f t="shared" si="530"/>
        <v/>
      </c>
      <c r="O621" s="178" t="str">
        <f t="shared" si="530"/>
        <v>Daily.Seed.friendly_pincers_1.skill01</v>
      </c>
      <c r="P621" s="14" t="str">
        <f t="shared" si="530"/>
        <v/>
      </c>
      <c r="Q621" s="14" t="str">
        <f t="shared" si="530"/>
        <v/>
      </c>
      <c r="R621" s="14" t="str">
        <f t="shared" si="530"/>
        <v/>
      </c>
      <c r="S621" s="14" t="str">
        <f t="shared" si="530"/>
        <v/>
      </c>
      <c r="T621" s="14" t="str">
        <f t="shared" si="530"/>
        <v/>
      </c>
      <c r="U621" s="14" t="str">
        <f t="shared" si="530"/>
        <v/>
      </c>
      <c r="V621" s="5" t="b">
        <f t="shared" si="530"/>
        <v>0</v>
      </c>
      <c r="W621" s="5" t="str">
        <f t="shared" si="530"/>
        <v>Character/Prefabs/m_l_attacker_friendly_pincers_1</v>
      </c>
      <c r="X621" s="5" t="str">
        <f t="shared" si="530"/>
        <v/>
      </c>
      <c r="Y621" s="5" t="str">
        <f t="shared" si="530"/>
        <v>m_l_attacker_friendly_pincers_1</v>
      </c>
      <c r="Z621" s="5" t="str">
        <f t="shared" si="530"/>
        <v/>
      </c>
      <c r="AA621" s="5" t="str">
        <f t="shared" si="530"/>
        <v/>
      </c>
      <c r="AB621" s="5" t="str">
        <f t="shared" si="530"/>
        <v/>
      </c>
      <c r="AC621" s="97">
        <f t="shared" si="530"/>
        <v>0.9</v>
      </c>
      <c r="AD621" s="5" t="str">
        <f t="shared" si="530"/>
        <v/>
      </c>
      <c r="AE621" s="5" t="str">
        <f t="shared" si="530"/>
        <v/>
      </c>
      <c r="AF621" s="5" t="str">
        <f t="shared" si="530"/>
        <v/>
      </c>
      <c r="AG621" s="173" t="s">
        <v>2765</v>
      </c>
    </row>
    <row r="622" spans="1:33" x14ac:dyDescent="0.3">
      <c r="A622" s="13">
        <f t="shared" ref="A622" si="531">A511+100000000</f>
        <v>1610305009</v>
      </c>
      <c r="B622" s="13" t="str">
        <f t="shared" ref="B622:AF622" si="532">IF(B511 &lt;&gt; "", B511, "")</f>
        <v>Daily.Seed</v>
      </c>
      <c r="C622" s="5" t="str">
        <f t="shared" si="532"/>
        <v>친절한펀치</v>
      </c>
      <c r="D622" s="5" t="str">
        <f t="shared" si="532"/>
        <v>Monster.Name.friendly_punch_1</v>
      </c>
      <c r="E622" s="5" t="str">
        <f t="shared" si="532"/>
        <v>Tanker</v>
      </c>
      <c r="F622" s="17" t="str">
        <f t="shared" si="532"/>
        <v>Fac_nul_ind</v>
      </c>
      <c r="G622" s="5" t="str">
        <f t="shared" si="532"/>
        <v>TRUE</v>
      </c>
      <c r="H622" s="5" t="b">
        <f t="shared" si="532"/>
        <v>0</v>
      </c>
      <c r="I622" s="5" t="b">
        <f t="shared" si="532"/>
        <v>0</v>
      </c>
      <c r="J622" s="5">
        <f t="shared" si="532"/>
        <v>10</v>
      </c>
      <c r="K622" s="5">
        <f t="shared" si="532"/>
        <v>10</v>
      </c>
      <c r="L622" s="2" t="str">
        <f t="shared" si="532"/>
        <v>Daily.Seed.friendly_punch_1.attack01</v>
      </c>
      <c r="M622" s="2" t="str">
        <f t="shared" si="532"/>
        <v/>
      </c>
      <c r="N622" s="2" t="str">
        <f t="shared" si="532"/>
        <v/>
      </c>
      <c r="O622" s="178" t="str">
        <f t="shared" si="532"/>
        <v>Daily.Seed.friendly_punch_1.skill01</v>
      </c>
      <c r="P622" s="14" t="str">
        <f t="shared" si="532"/>
        <v>Daily.Seed.friendly_punch_1.skill02</v>
      </c>
      <c r="Q622" s="14" t="str">
        <f t="shared" si="532"/>
        <v/>
      </c>
      <c r="R622" s="14" t="str">
        <f t="shared" si="532"/>
        <v/>
      </c>
      <c r="S622" s="14" t="str">
        <f t="shared" si="532"/>
        <v/>
      </c>
      <c r="T622" s="14" t="str">
        <f t="shared" si="532"/>
        <v/>
      </c>
      <c r="U622" s="14" t="str">
        <f t="shared" si="532"/>
        <v/>
      </c>
      <c r="V622" s="5" t="b">
        <f t="shared" si="532"/>
        <v>0</v>
      </c>
      <c r="W622" s="5" t="str">
        <f t="shared" si="532"/>
        <v>Character/Prefabs/m_l_tanker_friendly_punch_1</v>
      </c>
      <c r="X622" s="5" t="str">
        <f t="shared" si="532"/>
        <v/>
      </c>
      <c r="Y622" s="5" t="str">
        <f t="shared" si="532"/>
        <v>m_l_tanker_friendly_punch_1</v>
      </c>
      <c r="Z622" s="5" t="str">
        <f t="shared" si="532"/>
        <v/>
      </c>
      <c r="AA622" s="5" t="str">
        <f t="shared" si="532"/>
        <v/>
      </c>
      <c r="AB622" s="5" t="str">
        <f t="shared" si="532"/>
        <v/>
      </c>
      <c r="AC622" s="97">
        <f t="shared" si="532"/>
        <v>0.6</v>
      </c>
      <c r="AD622" s="5" t="str">
        <f t="shared" si="532"/>
        <v/>
      </c>
      <c r="AE622" s="5" t="str">
        <f t="shared" si="532"/>
        <v/>
      </c>
      <c r="AF622" s="5" t="str">
        <f t="shared" si="532"/>
        <v/>
      </c>
      <c r="AG622" s="173" t="s">
        <v>2765</v>
      </c>
    </row>
    <row r="623" spans="1:33" x14ac:dyDescent="0.3">
      <c r="A623" s="45">
        <f t="shared" ref="A623:A662" si="533">A512+100000000</f>
        <v>1610305010</v>
      </c>
      <c r="B623" s="45" t="str">
        <f t="shared" ref="B623:AF623" si="534">IF(B512 &lt;&gt; "", B512, "")</f>
        <v>Daily.Seed</v>
      </c>
      <c r="C623" s="5" t="str">
        <f t="shared" si="534"/>
        <v>오염체플루터블롭런처</v>
      </c>
      <c r="D623" s="5" t="str">
        <f t="shared" si="534"/>
        <v>Monster.Name.polluter_bloblauncher_1</v>
      </c>
      <c r="E623" s="5" t="str">
        <f t="shared" si="534"/>
        <v>Ranger</v>
      </c>
      <c r="F623" s="17" t="str">
        <f t="shared" si="534"/>
        <v>Fac_nul_ind</v>
      </c>
      <c r="G623" s="5" t="str">
        <f t="shared" si="534"/>
        <v>TRUE</v>
      </c>
      <c r="H623" s="5" t="b">
        <f t="shared" si="534"/>
        <v>0</v>
      </c>
      <c r="I623" s="5" t="b">
        <f t="shared" si="534"/>
        <v>0</v>
      </c>
      <c r="J623" s="5">
        <f t="shared" si="534"/>
        <v>10</v>
      </c>
      <c r="K623" s="5">
        <f t="shared" si="534"/>
        <v>10</v>
      </c>
      <c r="L623" s="2" t="str">
        <f t="shared" si="534"/>
        <v>Daily.Seed.polluter_bloblauncher_1.attack01</v>
      </c>
      <c r="M623" s="2" t="str">
        <f t="shared" si="534"/>
        <v/>
      </c>
      <c r="N623" s="2" t="str">
        <f t="shared" si="534"/>
        <v/>
      </c>
      <c r="O623" s="178" t="str">
        <f t="shared" si="534"/>
        <v>Daily.Seed.polluter_bloblauncher_1.skill01</v>
      </c>
      <c r="P623" s="14" t="str">
        <f t="shared" si="534"/>
        <v/>
      </c>
      <c r="Q623" s="14" t="str">
        <f t="shared" si="534"/>
        <v/>
      </c>
      <c r="R623" s="14" t="str">
        <f t="shared" si="534"/>
        <v/>
      </c>
      <c r="S623" s="14" t="str">
        <f t="shared" si="534"/>
        <v/>
      </c>
      <c r="T623" s="14" t="str">
        <f t="shared" si="534"/>
        <v/>
      </c>
      <c r="U623" s="14" t="str">
        <f t="shared" si="534"/>
        <v/>
      </c>
      <c r="V623" s="5" t="b">
        <f t="shared" si="534"/>
        <v>0</v>
      </c>
      <c r="W623" s="5" t="str">
        <f t="shared" si="534"/>
        <v>Character/Prefabs/m_l_ranger_polluter_bloblauncher_1</v>
      </c>
      <c r="X623" s="5" t="str">
        <f t="shared" si="534"/>
        <v/>
      </c>
      <c r="Y623" s="5" t="str">
        <f t="shared" si="534"/>
        <v>m_l_ranger_polluter_bloblauncher_1</v>
      </c>
      <c r="Z623" s="5" t="str">
        <f t="shared" si="534"/>
        <v/>
      </c>
      <c r="AA623" s="5" t="str">
        <f t="shared" si="534"/>
        <v/>
      </c>
      <c r="AB623" s="5" t="str">
        <f t="shared" si="534"/>
        <v/>
      </c>
      <c r="AC623" s="97">
        <f t="shared" si="534"/>
        <v>1.1000000000000001</v>
      </c>
      <c r="AD623" s="5" t="str">
        <f t="shared" si="534"/>
        <v/>
      </c>
      <c r="AE623" s="5" t="str">
        <f t="shared" si="534"/>
        <v/>
      </c>
      <c r="AF623" s="5" t="str">
        <f t="shared" si="534"/>
        <v/>
      </c>
      <c r="AG623" s="173" t="s">
        <v>2765</v>
      </c>
    </row>
    <row r="624" spans="1:33" x14ac:dyDescent="0.3">
      <c r="A624" s="13">
        <f t="shared" si="533"/>
        <v>1610305011</v>
      </c>
      <c r="B624" s="13" t="str">
        <f t="shared" ref="B624:AF624" si="535">IF(B513 &lt;&gt; "", B513, "")</f>
        <v>Daily.Seed</v>
      </c>
      <c r="C624" s="5" t="str">
        <f t="shared" si="535"/>
        <v>오염체플루터리퀴드</v>
      </c>
      <c r="D624" s="5" t="str">
        <f t="shared" si="535"/>
        <v>Monster.Name.polluter_liquid_1</v>
      </c>
      <c r="E624" s="5" t="str">
        <f t="shared" si="535"/>
        <v>Ranger</v>
      </c>
      <c r="F624" s="17" t="str">
        <f t="shared" si="535"/>
        <v>Fac_nul_ind</v>
      </c>
      <c r="G624" s="5" t="str">
        <f t="shared" si="535"/>
        <v>TRUE</v>
      </c>
      <c r="H624" s="5" t="b">
        <f t="shared" si="535"/>
        <v>0</v>
      </c>
      <c r="I624" s="5" t="b">
        <f t="shared" si="535"/>
        <v>0</v>
      </c>
      <c r="J624" s="5">
        <f t="shared" si="535"/>
        <v>10</v>
      </c>
      <c r="K624" s="5">
        <f t="shared" si="535"/>
        <v>10</v>
      </c>
      <c r="L624" s="2" t="str">
        <f t="shared" si="535"/>
        <v>Daily.Seed.polluter_liquid_1.attack01</v>
      </c>
      <c r="M624" s="2" t="str">
        <f t="shared" si="535"/>
        <v/>
      </c>
      <c r="N624" s="2" t="str">
        <f t="shared" si="535"/>
        <v/>
      </c>
      <c r="O624" s="178" t="str">
        <f t="shared" si="535"/>
        <v>Daily.Seed.polluter_liquid_1.skill01</v>
      </c>
      <c r="P624" s="14" t="str">
        <f t="shared" si="535"/>
        <v/>
      </c>
      <c r="Q624" s="14" t="str">
        <f t="shared" si="535"/>
        <v/>
      </c>
      <c r="R624" s="14" t="str">
        <f t="shared" si="535"/>
        <v/>
      </c>
      <c r="S624" s="14" t="str">
        <f t="shared" si="535"/>
        <v/>
      </c>
      <c r="T624" s="14" t="str">
        <f t="shared" si="535"/>
        <v/>
      </c>
      <c r="U624" s="14" t="str">
        <f t="shared" si="535"/>
        <v/>
      </c>
      <c r="V624" s="5" t="b">
        <f t="shared" si="535"/>
        <v>0</v>
      </c>
      <c r="W624" s="5" t="str">
        <f t="shared" si="535"/>
        <v>Character/Prefabs/m_m_ranger_polluter_liquid_1</v>
      </c>
      <c r="X624" s="5" t="str">
        <f t="shared" si="535"/>
        <v/>
      </c>
      <c r="Y624" s="5" t="str">
        <f t="shared" si="535"/>
        <v>m_m_ranger_polluter_liquid_1</v>
      </c>
      <c r="Z624" s="5" t="str">
        <f t="shared" si="535"/>
        <v/>
      </c>
      <c r="AA624" s="5" t="str">
        <f t="shared" si="535"/>
        <v/>
      </c>
      <c r="AB624" s="5" t="str">
        <f t="shared" si="535"/>
        <v/>
      </c>
      <c r="AC624" s="97">
        <f t="shared" si="535"/>
        <v>0.6</v>
      </c>
      <c r="AD624" s="5" t="str">
        <f t="shared" si="535"/>
        <v/>
      </c>
      <c r="AE624" s="5" t="str">
        <f t="shared" si="535"/>
        <v/>
      </c>
      <c r="AF624" s="5" t="str">
        <f t="shared" si="535"/>
        <v/>
      </c>
      <c r="AG624" s="173" t="s">
        <v>2765</v>
      </c>
    </row>
    <row r="625" spans="1:33" x14ac:dyDescent="0.3">
      <c r="A625" s="13">
        <f t="shared" si="533"/>
        <v>1610305012</v>
      </c>
      <c r="B625" s="13" t="str">
        <f t="shared" ref="B625:AF625" si="536">IF(B514 &lt;&gt; "", B514, "")</f>
        <v>Daily.Seed</v>
      </c>
      <c r="C625" s="5" t="str">
        <f t="shared" si="536"/>
        <v>오염체플루터포그</v>
      </c>
      <c r="D625" s="5" t="str">
        <f t="shared" si="536"/>
        <v>Monster.Name.polluter_fog_1</v>
      </c>
      <c r="E625" s="5" t="str">
        <f t="shared" si="536"/>
        <v>Supporter</v>
      </c>
      <c r="F625" s="17" t="str">
        <f t="shared" si="536"/>
        <v>Fac_nul_ind</v>
      </c>
      <c r="G625" s="5" t="str">
        <f t="shared" si="536"/>
        <v>TRUE</v>
      </c>
      <c r="H625" s="5" t="b">
        <f t="shared" si="536"/>
        <v>0</v>
      </c>
      <c r="I625" s="5" t="b">
        <f t="shared" si="536"/>
        <v>0</v>
      </c>
      <c r="J625" s="5">
        <f t="shared" si="536"/>
        <v>10</v>
      </c>
      <c r="K625" s="5">
        <f t="shared" si="536"/>
        <v>10</v>
      </c>
      <c r="L625" s="2" t="str">
        <f t="shared" si="536"/>
        <v>Daily.Seed.polluter_fog_1.attack01</v>
      </c>
      <c r="M625" s="2" t="str">
        <f t="shared" si="536"/>
        <v/>
      </c>
      <c r="N625" s="2" t="str">
        <f t="shared" si="536"/>
        <v/>
      </c>
      <c r="O625" s="178" t="str">
        <f t="shared" si="536"/>
        <v>Daily.Seed.polluter_fog_1.skill01</v>
      </c>
      <c r="P625" s="14" t="str">
        <f t="shared" si="536"/>
        <v/>
      </c>
      <c r="Q625" s="14" t="str">
        <f t="shared" si="536"/>
        <v/>
      </c>
      <c r="R625" s="14" t="str">
        <f t="shared" si="536"/>
        <v/>
      </c>
      <c r="S625" s="14" t="str">
        <f t="shared" si="536"/>
        <v/>
      </c>
      <c r="T625" s="14" t="str">
        <f t="shared" si="536"/>
        <v/>
      </c>
      <c r="U625" s="14" t="str">
        <f t="shared" si="536"/>
        <v/>
      </c>
      <c r="V625" s="5" t="b">
        <f t="shared" si="536"/>
        <v>0</v>
      </c>
      <c r="W625" s="5" t="str">
        <f t="shared" si="536"/>
        <v>Character/Prefabs/m_m_supporter_polluter_fog_1</v>
      </c>
      <c r="X625" s="5" t="str">
        <f t="shared" si="536"/>
        <v/>
      </c>
      <c r="Y625" s="5" t="str">
        <f t="shared" si="536"/>
        <v>m_m_supporter_polluter_fog_1</v>
      </c>
      <c r="Z625" s="5" t="str">
        <f t="shared" si="536"/>
        <v/>
      </c>
      <c r="AA625" s="5" t="str">
        <f t="shared" si="536"/>
        <v/>
      </c>
      <c r="AB625" s="5" t="str">
        <f t="shared" si="536"/>
        <v/>
      </c>
      <c r="AC625" s="97">
        <f t="shared" si="536"/>
        <v>0.6</v>
      </c>
      <c r="AD625" s="5" t="str">
        <f t="shared" si="536"/>
        <v/>
      </c>
      <c r="AE625" s="5" t="str">
        <f t="shared" si="536"/>
        <v/>
      </c>
      <c r="AF625" s="5" t="str">
        <f t="shared" si="536"/>
        <v/>
      </c>
      <c r="AG625" s="173" t="s">
        <v>2765</v>
      </c>
    </row>
    <row r="626" spans="1:33" x14ac:dyDescent="0.3">
      <c r="A626" s="13">
        <f t="shared" si="533"/>
        <v>1610305013</v>
      </c>
      <c r="B626" s="13" t="str">
        <f t="shared" ref="B626:AF626" si="537">IF(B515 &lt;&gt; "", B515, "")</f>
        <v>Daily.Seed</v>
      </c>
      <c r="C626" s="5" t="str">
        <f t="shared" si="537"/>
        <v>오염체플루터스파이크</v>
      </c>
      <c r="D626" s="5" t="str">
        <f t="shared" si="537"/>
        <v>Monster.Name.polluter_spike_1</v>
      </c>
      <c r="E626" s="5" t="str">
        <f t="shared" si="537"/>
        <v>Attacker</v>
      </c>
      <c r="F626" s="17" t="str">
        <f t="shared" si="537"/>
        <v>Fac_nul_ind</v>
      </c>
      <c r="G626" s="5" t="str">
        <f t="shared" si="537"/>
        <v>TRUE</v>
      </c>
      <c r="H626" s="5" t="b">
        <f t="shared" si="537"/>
        <v>0</v>
      </c>
      <c r="I626" s="5" t="b">
        <f t="shared" si="537"/>
        <v>0</v>
      </c>
      <c r="J626" s="5">
        <f t="shared" si="537"/>
        <v>10</v>
      </c>
      <c r="K626" s="5">
        <f t="shared" si="537"/>
        <v>10</v>
      </c>
      <c r="L626" s="2" t="str">
        <f t="shared" si="537"/>
        <v>Daily.Seed.polluter_spike_1.attack01</v>
      </c>
      <c r="M626" s="2" t="str">
        <f t="shared" si="537"/>
        <v/>
      </c>
      <c r="N626" s="2" t="str">
        <f t="shared" si="537"/>
        <v/>
      </c>
      <c r="O626" s="178" t="str">
        <f t="shared" si="537"/>
        <v>Daily.Seed.polluter_spike_1.skill01</v>
      </c>
      <c r="P626" s="14" t="str">
        <f t="shared" si="537"/>
        <v>Daily.Seed.polluter_spike_1.skill02</v>
      </c>
      <c r="Q626" s="14" t="str">
        <f t="shared" si="537"/>
        <v>Daily.Seed.polluter_spike_1.skill03</v>
      </c>
      <c r="R626" s="14" t="str">
        <f t="shared" si="537"/>
        <v/>
      </c>
      <c r="S626" s="14" t="str">
        <f t="shared" si="537"/>
        <v/>
      </c>
      <c r="T626" s="14" t="str">
        <f t="shared" si="537"/>
        <v/>
      </c>
      <c r="U626" s="14" t="str">
        <f t="shared" si="537"/>
        <v/>
      </c>
      <c r="V626" s="5" t="b">
        <f t="shared" si="537"/>
        <v>0</v>
      </c>
      <c r="W626" s="5" t="str">
        <f t="shared" si="537"/>
        <v>Character/Prefabs/m_l_attacker_polluter_spike_1</v>
      </c>
      <c r="X626" s="5" t="str">
        <f t="shared" si="537"/>
        <v/>
      </c>
      <c r="Y626" s="5" t="str">
        <f t="shared" si="537"/>
        <v>m_l_attacker_polluter_spike_1</v>
      </c>
      <c r="Z626" s="5" t="str">
        <f t="shared" si="537"/>
        <v/>
      </c>
      <c r="AA626" s="5" t="str">
        <f t="shared" si="537"/>
        <v/>
      </c>
      <c r="AB626" s="5" t="str">
        <f t="shared" si="537"/>
        <v/>
      </c>
      <c r="AC626" s="97">
        <f t="shared" si="537"/>
        <v>0.5</v>
      </c>
      <c r="AD626" s="5" t="str">
        <f t="shared" si="537"/>
        <v/>
      </c>
      <c r="AE626" s="5" t="str">
        <f t="shared" si="537"/>
        <v/>
      </c>
      <c r="AF626" s="5" t="str">
        <f t="shared" si="537"/>
        <v/>
      </c>
      <c r="AG626" s="173" t="s">
        <v>2765</v>
      </c>
    </row>
    <row r="627" spans="1:33" x14ac:dyDescent="0.3">
      <c r="A627" s="13">
        <f t="shared" si="533"/>
        <v>1610305014</v>
      </c>
      <c r="B627" s="13" t="str">
        <f t="shared" ref="B627:AF627" si="538">IF(B516 &lt;&gt; "", B516, "")</f>
        <v>Daily.Seed</v>
      </c>
      <c r="C627" s="5" t="str">
        <f t="shared" si="538"/>
        <v>오염체플루터청크</v>
      </c>
      <c r="D627" s="5" t="str">
        <f t="shared" si="538"/>
        <v>Monster.Name.polluter_chunk_1</v>
      </c>
      <c r="E627" s="5" t="str">
        <f t="shared" si="538"/>
        <v>Attacker</v>
      </c>
      <c r="F627" s="17" t="str">
        <f t="shared" si="538"/>
        <v>Fac_nul_ind</v>
      </c>
      <c r="G627" s="5" t="str">
        <f t="shared" si="538"/>
        <v>TRUE</v>
      </c>
      <c r="H627" s="5" t="b">
        <f t="shared" si="538"/>
        <v>0</v>
      </c>
      <c r="I627" s="5" t="b">
        <f t="shared" si="538"/>
        <v>0</v>
      </c>
      <c r="J627" s="5">
        <f t="shared" si="538"/>
        <v>10</v>
      </c>
      <c r="K627" s="5">
        <f t="shared" si="538"/>
        <v>10</v>
      </c>
      <c r="L627" s="2" t="str">
        <f t="shared" si="538"/>
        <v>Daily.Seed.polluter_chunk_1.attack01</v>
      </c>
      <c r="M627" s="2" t="str">
        <f t="shared" si="538"/>
        <v/>
      </c>
      <c r="N627" s="2" t="str">
        <f t="shared" si="538"/>
        <v/>
      </c>
      <c r="O627" s="178" t="str">
        <f t="shared" si="538"/>
        <v>Daily.Seed.polluter_chunk_1.skill01</v>
      </c>
      <c r="P627" s="14" t="str">
        <f t="shared" si="538"/>
        <v/>
      </c>
      <c r="Q627" s="14" t="str">
        <f t="shared" si="538"/>
        <v/>
      </c>
      <c r="R627" s="14" t="str">
        <f t="shared" si="538"/>
        <v/>
      </c>
      <c r="S627" s="14" t="str">
        <f t="shared" si="538"/>
        <v/>
      </c>
      <c r="T627" s="14" t="str">
        <f t="shared" si="538"/>
        <v/>
      </c>
      <c r="U627" s="14" t="str">
        <f t="shared" si="538"/>
        <v/>
      </c>
      <c r="V627" s="5" t="b">
        <f t="shared" si="538"/>
        <v>0</v>
      </c>
      <c r="W627" s="5" t="str">
        <f t="shared" si="538"/>
        <v>Character/Prefabs/m_l_attacker_polluter_chunk_1</v>
      </c>
      <c r="X627" s="5" t="str">
        <f t="shared" si="538"/>
        <v/>
      </c>
      <c r="Y627" s="5" t="str">
        <f t="shared" si="538"/>
        <v>m_l_attacker_polluter_chunk_1</v>
      </c>
      <c r="Z627" s="5" t="str">
        <f t="shared" si="538"/>
        <v/>
      </c>
      <c r="AA627" s="5" t="str">
        <f t="shared" si="538"/>
        <v/>
      </c>
      <c r="AB627" s="5" t="str">
        <f t="shared" si="538"/>
        <v/>
      </c>
      <c r="AC627" s="97">
        <f t="shared" si="538"/>
        <v>0.7</v>
      </c>
      <c r="AD627" s="5" t="str">
        <f t="shared" si="538"/>
        <v/>
      </c>
      <c r="AE627" s="5" t="str">
        <f t="shared" si="538"/>
        <v/>
      </c>
      <c r="AF627" s="5" t="str">
        <f t="shared" si="538"/>
        <v/>
      </c>
      <c r="AG627" s="173" t="s">
        <v>2765</v>
      </c>
    </row>
    <row r="628" spans="1:33" x14ac:dyDescent="0.3">
      <c r="A628" s="14">
        <f t="shared" si="533"/>
        <v>1610401001</v>
      </c>
      <c r="B628" s="14" t="str">
        <f t="shared" ref="B628:AF628" si="539">IF(B517 &lt;&gt; "", B517, "")</f>
        <v>Rotation</v>
      </c>
      <c r="C628" s="14" t="str">
        <f t="shared" si="539"/>
        <v>큐브01_01</v>
      </c>
      <c r="D628" s="14" t="str">
        <f t="shared" si="539"/>
        <v>Monster.Name.RotationCube.Tier1</v>
      </c>
      <c r="E628" s="5" t="str">
        <f t="shared" si="539"/>
        <v>None</v>
      </c>
      <c r="F628" s="17" t="str">
        <f t="shared" si="539"/>
        <v>Fac_nul_ind</v>
      </c>
      <c r="G628" s="14" t="str">
        <f t="shared" si="539"/>
        <v>TRUE</v>
      </c>
      <c r="H628" s="14" t="str">
        <f t="shared" si="539"/>
        <v>TRUE</v>
      </c>
      <c r="I628" s="14" t="b">
        <f t="shared" si="539"/>
        <v>0</v>
      </c>
      <c r="J628" s="14">
        <f t="shared" si="539"/>
        <v>20</v>
      </c>
      <c r="K628" s="14">
        <f t="shared" si="539"/>
        <v>10</v>
      </c>
      <c r="L628" s="14" t="str">
        <f t="shared" si="539"/>
        <v/>
      </c>
      <c r="M628" s="14" t="str">
        <f t="shared" si="539"/>
        <v/>
      </c>
      <c r="N628" s="14" t="str">
        <f t="shared" si="539"/>
        <v/>
      </c>
      <c r="O628" s="17" t="str">
        <f t="shared" si="539"/>
        <v>Rotation.cube_tier01_01.skill01</v>
      </c>
      <c r="P628" s="14" t="str">
        <f t="shared" si="539"/>
        <v/>
      </c>
      <c r="Q628" s="14" t="str">
        <f t="shared" si="539"/>
        <v>Rotation.cube_tier01_01.Immun</v>
      </c>
      <c r="R628" s="14" t="str">
        <f t="shared" si="539"/>
        <v/>
      </c>
      <c r="S628" s="14" t="str">
        <f t="shared" si="539"/>
        <v/>
      </c>
      <c r="T628" s="14" t="str">
        <f t="shared" si="539"/>
        <v/>
      </c>
      <c r="U628" s="14" t="str">
        <f t="shared" si="539"/>
        <v/>
      </c>
      <c r="V628" s="14" t="b">
        <f t="shared" si="539"/>
        <v>0</v>
      </c>
      <c r="W628" s="14" t="str">
        <f t="shared" si="539"/>
        <v>Character/Prefabs/m_m_tanker_cube_tier01_01</v>
      </c>
      <c r="X628" s="14" t="str">
        <f t="shared" si="539"/>
        <v/>
      </c>
      <c r="Y628" s="14" t="str">
        <f t="shared" si="539"/>
        <v>m_m_tanker_cube_tier01_01</v>
      </c>
      <c r="Z628" s="14" t="str">
        <f t="shared" si="539"/>
        <v/>
      </c>
      <c r="AA628" s="14" t="str">
        <f t="shared" si="539"/>
        <v/>
      </c>
      <c r="AB628" s="14" t="str">
        <f t="shared" si="539"/>
        <v>Die_machine</v>
      </c>
      <c r="AC628" s="94">
        <f t="shared" si="539"/>
        <v>1</v>
      </c>
      <c r="AD628" s="14" t="str">
        <f t="shared" si="539"/>
        <v>Effect/Prefab/02.mob/cube_military_01/EFF_cube_military_01_hit_01</v>
      </c>
      <c r="AE628" s="14" t="str">
        <f t="shared" si="539"/>
        <v/>
      </c>
      <c r="AF628" s="14" t="str">
        <f t="shared" si="539"/>
        <v/>
      </c>
      <c r="AG628" s="173" t="s">
        <v>2765</v>
      </c>
    </row>
    <row r="629" spans="1:33" x14ac:dyDescent="0.3">
      <c r="A629" s="14">
        <f t="shared" si="533"/>
        <v>1610401002</v>
      </c>
      <c r="B629" s="14" t="str">
        <f t="shared" ref="B629:AF629" si="540">IF(B518 &lt;&gt; "", B518, "")</f>
        <v>Rotation</v>
      </c>
      <c r="C629" s="14" t="str">
        <f t="shared" si="540"/>
        <v>큐브01_02</v>
      </c>
      <c r="D629" s="14" t="str">
        <f t="shared" si="540"/>
        <v>Monster.Name.RotationCube.Tier1</v>
      </c>
      <c r="E629" s="5" t="str">
        <f t="shared" si="540"/>
        <v>None</v>
      </c>
      <c r="F629" s="17" t="str">
        <f t="shared" si="540"/>
        <v>Fac_nul_ind</v>
      </c>
      <c r="G629" s="14" t="str">
        <f t="shared" si="540"/>
        <v>TRUE</v>
      </c>
      <c r="H629" s="14" t="str">
        <f t="shared" si="540"/>
        <v>TRUE</v>
      </c>
      <c r="I629" s="14" t="b">
        <f t="shared" si="540"/>
        <v>0</v>
      </c>
      <c r="J629" s="14">
        <f t="shared" si="540"/>
        <v>20</v>
      </c>
      <c r="K629" s="14">
        <f t="shared" si="540"/>
        <v>10</v>
      </c>
      <c r="L629" s="14" t="str">
        <f t="shared" si="540"/>
        <v/>
      </c>
      <c r="M629" s="14" t="str">
        <f t="shared" si="540"/>
        <v/>
      </c>
      <c r="N629" s="14" t="str">
        <f t="shared" si="540"/>
        <v/>
      </c>
      <c r="O629" s="17" t="str">
        <f t="shared" si="540"/>
        <v>Rotation.cube_tier01_02.skill01</v>
      </c>
      <c r="P629" s="14" t="str">
        <f t="shared" si="540"/>
        <v/>
      </c>
      <c r="Q629" s="14" t="str">
        <f t="shared" si="540"/>
        <v>Rotation.cube_tier01_02.Immun</v>
      </c>
      <c r="R629" s="14" t="str">
        <f t="shared" si="540"/>
        <v/>
      </c>
      <c r="S629" s="14" t="str">
        <f t="shared" si="540"/>
        <v/>
      </c>
      <c r="T629" s="14" t="str">
        <f t="shared" si="540"/>
        <v/>
      </c>
      <c r="U629" s="14" t="str">
        <f t="shared" si="540"/>
        <v/>
      </c>
      <c r="V629" s="14" t="b">
        <f t="shared" si="540"/>
        <v>0</v>
      </c>
      <c r="W629" s="14" t="str">
        <f t="shared" si="540"/>
        <v>Character/Prefabs/m_m_tanker_cube_tier01_02</v>
      </c>
      <c r="X629" s="14" t="str">
        <f t="shared" si="540"/>
        <v/>
      </c>
      <c r="Y629" s="14" t="str">
        <f t="shared" si="540"/>
        <v>m_m_tanker_cube_tier01_02</v>
      </c>
      <c r="Z629" s="14" t="str">
        <f t="shared" si="540"/>
        <v/>
      </c>
      <c r="AA629" s="14" t="str">
        <f t="shared" si="540"/>
        <v/>
      </c>
      <c r="AB629" s="14" t="str">
        <f t="shared" si="540"/>
        <v>Die_machine</v>
      </c>
      <c r="AC629" s="94">
        <f t="shared" si="540"/>
        <v>1</v>
      </c>
      <c r="AD629" s="14" t="str">
        <f t="shared" si="540"/>
        <v>Effect/Prefab/02.mob/cube_military_01/EFF_cube_military_01_hit_01</v>
      </c>
      <c r="AE629" s="14" t="str">
        <f t="shared" si="540"/>
        <v/>
      </c>
      <c r="AF629" s="14" t="str">
        <f t="shared" si="540"/>
        <v/>
      </c>
      <c r="AG629" s="173" t="s">
        <v>2765</v>
      </c>
    </row>
    <row r="630" spans="1:33" x14ac:dyDescent="0.3">
      <c r="A630" s="14">
        <f t="shared" si="533"/>
        <v>1610401003</v>
      </c>
      <c r="B630" s="14" t="str">
        <f t="shared" ref="B630:AF630" si="541">IF(B519 &lt;&gt; "", B519, "")</f>
        <v>Rotation</v>
      </c>
      <c r="C630" s="14" t="str">
        <f t="shared" si="541"/>
        <v>큐브01_03</v>
      </c>
      <c r="D630" s="14" t="str">
        <f t="shared" si="541"/>
        <v>Monster.Name.RotationCube.Tier1</v>
      </c>
      <c r="E630" s="5" t="str">
        <f t="shared" si="541"/>
        <v>None</v>
      </c>
      <c r="F630" s="17" t="str">
        <f t="shared" si="541"/>
        <v>Fac_nul_ind</v>
      </c>
      <c r="G630" s="14" t="str">
        <f t="shared" si="541"/>
        <v>TRUE</v>
      </c>
      <c r="H630" s="14" t="str">
        <f t="shared" si="541"/>
        <v>TRUE</v>
      </c>
      <c r="I630" s="14" t="b">
        <f t="shared" si="541"/>
        <v>0</v>
      </c>
      <c r="J630" s="14">
        <f t="shared" si="541"/>
        <v>20</v>
      </c>
      <c r="K630" s="14">
        <f t="shared" si="541"/>
        <v>10</v>
      </c>
      <c r="L630" s="14" t="str">
        <f t="shared" si="541"/>
        <v/>
      </c>
      <c r="M630" s="14" t="str">
        <f t="shared" si="541"/>
        <v/>
      </c>
      <c r="N630" s="14" t="str">
        <f t="shared" si="541"/>
        <v/>
      </c>
      <c r="O630" s="17" t="str">
        <f t="shared" si="541"/>
        <v>Rotation.cube_tier01_03.skill01</v>
      </c>
      <c r="P630" s="14" t="str">
        <f t="shared" si="541"/>
        <v/>
      </c>
      <c r="Q630" s="14" t="str">
        <f t="shared" si="541"/>
        <v>Rotation.cube_tier01_03.Immun</v>
      </c>
      <c r="R630" s="14" t="str">
        <f t="shared" si="541"/>
        <v/>
      </c>
      <c r="S630" s="14" t="str">
        <f t="shared" si="541"/>
        <v/>
      </c>
      <c r="T630" s="14" t="str">
        <f t="shared" si="541"/>
        <v/>
      </c>
      <c r="U630" s="14" t="str">
        <f t="shared" si="541"/>
        <v/>
      </c>
      <c r="V630" s="14" t="b">
        <f t="shared" si="541"/>
        <v>0</v>
      </c>
      <c r="W630" s="14" t="str">
        <f t="shared" si="541"/>
        <v>Character/Prefabs/m_m_tanker_cube_tier01_03</v>
      </c>
      <c r="X630" s="14" t="str">
        <f t="shared" si="541"/>
        <v/>
      </c>
      <c r="Y630" s="14" t="str">
        <f t="shared" si="541"/>
        <v>m_m_tanker_cube_tier01_03</v>
      </c>
      <c r="Z630" s="14" t="str">
        <f t="shared" si="541"/>
        <v/>
      </c>
      <c r="AA630" s="14" t="str">
        <f t="shared" si="541"/>
        <v/>
      </c>
      <c r="AB630" s="14" t="str">
        <f t="shared" si="541"/>
        <v>Die_machine</v>
      </c>
      <c r="AC630" s="94">
        <f t="shared" si="541"/>
        <v>1</v>
      </c>
      <c r="AD630" s="14" t="str">
        <f t="shared" si="541"/>
        <v>Effect/Prefab/02.mob/cube_military_01/EFF_cube_military_01_hit_01</v>
      </c>
      <c r="AE630" s="14" t="str">
        <f t="shared" si="541"/>
        <v/>
      </c>
      <c r="AF630" s="14" t="str">
        <f t="shared" si="541"/>
        <v/>
      </c>
      <c r="AG630" s="173" t="s">
        <v>2765</v>
      </c>
    </row>
    <row r="631" spans="1:33" x14ac:dyDescent="0.3">
      <c r="A631" s="14">
        <f t="shared" si="533"/>
        <v>1610401004</v>
      </c>
      <c r="B631" s="14" t="str">
        <f t="shared" ref="B631:AF631" si="542">IF(B520 &lt;&gt; "", B520, "")</f>
        <v>Rotation</v>
      </c>
      <c r="C631" s="14" t="str">
        <f t="shared" si="542"/>
        <v>큐브01_04</v>
      </c>
      <c r="D631" s="14" t="str">
        <f t="shared" si="542"/>
        <v>Monster.Name.RotationCube.Tier1</v>
      </c>
      <c r="E631" s="5" t="str">
        <f t="shared" si="542"/>
        <v>None</v>
      </c>
      <c r="F631" s="17" t="str">
        <f t="shared" si="542"/>
        <v>Fac_nul_ind</v>
      </c>
      <c r="G631" s="14" t="str">
        <f t="shared" si="542"/>
        <v>TRUE</v>
      </c>
      <c r="H631" s="14" t="str">
        <f t="shared" si="542"/>
        <v>TRUE</v>
      </c>
      <c r="I631" s="14" t="b">
        <f t="shared" si="542"/>
        <v>0</v>
      </c>
      <c r="J631" s="14">
        <f t="shared" si="542"/>
        <v>20</v>
      </c>
      <c r="K631" s="14">
        <f t="shared" si="542"/>
        <v>10</v>
      </c>
      <c r="L631" s="14" t="str">
        <f t="shared" si="542"/>
        <v/>
      </c>
      <c r="M631" s="14" t="str">
        <f t="shared" si="542"/>
        <v/>
      </c>
      <c r="N631" s="14" t="str">
        <f t="shared" si="542"/>
        <v/>
      </c>
      <c r="O631" s="17" t="str">
        <f t="shared" si="542"/>
        <v>Rotation.cube_tier01_04.skill01</v>
      </c>
      <c r="P631" s="14" t="str">
        <f t="shared" si="542"/>
        <v/>
      </c>
      <c r="Q631" s="14" t="str">
        <f t="shared" si="542"/>
        <v>Rotation.cube_tier01_04.Immun</v>
      </c>
      <c r="R631" s="14" t="str">
        <f t="shared" si="542"/>
        <v/>
      </c>
      <c r="S631" s="14" t="str">
        <f t="shared" si="542"/>
        <v/>
      </c>
      <c r="T631" s="14" t="str">
        <f t="shared" si="542"/>
        <v/>
      </c>
      <c r="U631" s="14" t="str">
        <f t="shared" si="542"/>
        <v/>
      </c>
      <c r="V631" s="14" t="b">
        <f t="shared" si="542"/>
        <v>0</v>
      </c>
      <c r="W631" s="14" t="str">
        <f t="shared" si="542"/>
        <v>Character/Prefabs/m_m_tanker_cube_tier01_04</v>
      </c>
      <c r="X631" s="14" t="str">
        <f t="shared" si="542"/>
        <v/>
      </c>
      <c r="Y631" s="14" t="str">
        <f t="shared" si="542"/>
        <v>m_m_tanker_cube_tier01_04</v>
      </c>
      <c r="Z631" s="14" t="str">
        <f t="shared" si="542"/>
        <v/>
      </c>
      <c r="AA631" s="14" t="str">
        <f t="shared" si="542"/>
        <v/>
      </c>
      <c r="AB631" s="14" t="str">
        <f t="shared" si="542"/>
        <v>Die_machine</v>
      </c>
      <c r="AC631" s="94">
        <f t="shared" si="542"/>
        <v>1</v>
      </c>
      <c r="AD631" s="14" t="str">
        <f t="shared" si="542"/>
        <v>Effect/Prefab/02.mob/cube_military_01/EFF_cube_military_01_hit_01</v>
      </c>
      <c r="AE631" s="14" t="str">
        <f t="shared" si="542"/>
        <v/>
      </c>
      <c r="AF631" s="14" t="str">
        <f t="shared" si="542"/>
        <v/>
      </c>
      <c r="AG631" s="173" t="s">
        <v>2765</v>
      </c>
    </row>
    <row r="632" spans="1:33" x14ac:dyDescent="0.3">
      <c r="A632" s="14">
        <f t="shared" si="533"/>
        <v>1610401005</v>
      </c>
      <c r="B632" s="14" t="str">
        <f t="shared" ref="B632:AF632" si="543">IF(B521 &lt;&gt; "", B521, "")</f>
        <v>Rotation</v>
      </c>
      <c r="C632" s="14" t="str">
        <f t="shared" si="543"/>
        <v>큐브01_05</v>
      </c>
      <c r="D632" s="14" t="str">
        <f t="shared" si="543"/>
        <v>Monster.Name.RotationCube.Tier1</v>
      </c>
      <c r="E632" s="5" t="str">
        <f t="shared" si="543"/>
        <v>None</v>
      </c>
      <c r="F632" s="17" t="str">
        <f t="shared" si="543"/>
        <v>Fac_nul_ind</v>
      </c>
      <c r="G632" s="14" t="str">
        <f t="shared" si="543"/>
        <v>TRUE</v>
      </c>
      <c r="H632" s="14" t="str">
        <f t="shared" si="543"/>
        <v>TRUE</v>
      </c>
      <c r="I632" s="14" t="b">
        <f t="shared" si="543"/>
        <v>0</v>
      </c>
      <c r="J632" s="14">
        <f t="shared" si="543"/>
        <v>20</v>
      </c>
      <c r="K632" s="14">
        <f t="shared" si="543"/>
        <v>10</v>
      </c>
      <c r="L632" s="14" t="str">
        <f t="shared" si="543"/>
        <v/>
      </c>
      <c r="M632" s="14" t="str">
        <f t="shared" si="543"/>
        <v/>
      </c>
      <c r="N632" s="14" t="str">
        <f t="shared" si="543"/>
        <v/>
      </c>
      <c r="O632" s="17" t="str">
        <f t="shared" si="543"/>
        <v>Rotation.cube_tier01_05.skill01</v>
      </c>
      <c r="P632" s="14" t="str">
        <f t="shared" si="543"/>
        <v/>
      </c>
      <c r="Q632" s="14" t="str">
        <f t="shared" si="543"/>
        <v>Rotation.cube_tier01_05.Immun</v>
      </c>
      <c r="R632" s="14" t="str">
        <f t="shared" si="543"/>
        <v/>
      </c>
      <c r="S632" s="14" t="str">
        <f t="shared" si="543"/>
        <v/>
      </c>
      <c r="T632" s="14" t="str">
        <f t="shared" si="543"/>
        <v/>
      </c>
      <c r="U632" s="14" t="str">
        <f t="shared" si="543"/>
        <v/>
      </c>
      <c r="V632" s="14" t="b">
        <f t="shared" si="543"/>
        <v>0</v>
      </c>
      <c r="W632" s="14" t="str">
        <f t="shared" si="543"/>
        <v>Character/Prefabs/m_m_tanker_cube_tier01_05</v>
      </c>
      <c r="X632" s="14" t="str">
        <f t="shared" si="543"/>
        <v/>
      </c>
      <c r="Y632" s="14" t="str">
        <f t="shared" si="543"/>
        <v>m_m_tanker_cube_tier01_05</v>
      </c>
      <c r="Z632" s="14" t="str">
        <f t="shared" si="543"/>
        <v/>
      </c>
      <c r="AA632" s="14" t="str">
        <f t="shared" si="543"/>
        <v/>
      </c>
      <c r="AB632" s="14" t="str">
        <f t="shared" si="543"/>
        <v>Die_machine</v>
      </c>
      <c r="AC632" s="94">
        <f t="shared" si="543"/>
        <v>1</v>
      </c>
      <c r="AD632" s="14" t="str">
        <f t="shared" si="543"/>
        <v>Effect/Prefab/02.mob/cube_military_01/EFF_cube_military_01_hit_01</v>
      </c>
      <c r="AE632" s="14" t="str">
        <f t="shared" si="543"/>
        <v/>
      </c>
      <c r="AF632" s="14" t="str">
        <f t="shared" si="543"/>
        <v/>
      </c>
      <c r="AG632" s="173" t="s">
        <v>2765</v>
      </c>
    </row>
    <row r="633" spans="1:33" x14ac:dyDescent="0.3">
      <c r="A633" s="14">
        <f t="shared" si="533"/>
        <v>1610401006</v>
      </c>
      <c r="B633" s="14" t="str">
        <f t="shared" ref="B633:AF633" si="544">IF(B522 &lt;&gt; "", B522, "")</f>
        <v>Rotation</v>
      </c>
      <c r="C633" s="14" t="str">
        <f t="shared" si="544"/>
        <v>큐브02_01</v>
      </c>
      <c r="D633" s="14" t="str">
        <f t="shared" si="544"/>
        <v>Monster.Name.RotationCube.Tier2</v>
      </c>
      <c r="E633" s="5" t="str">
        <f t="shared" si="544"/>
        <v>None</v>
      </c>
      <c r="F633" s="17" t="str">
        <f t="shared" si="544"/>
        <v>Fac_nul_ind</v>
      </c>
      <c r="G633" s="14" t="str">
        <f t="shared" si="544"/>
        <v>TRUE</v>
      </c>
      <c r="H633" s="14" t="str">
        <f t="shared" si="544"/>
        <v>TRUE</v>
      </c>
      <c r="I633" s="14" t="b">
        <f t="shared" si="544"/>
        <v>0</v>
      </c>
      <c r="J633" s="14">
        <f t="shared" si="544"/>
        <v>20</v>
      </c>
      <c r="K633" s="14">
        <f t="shared" si="544"/>
        <v>10</v>
      </c>
      <c r="L633" s="14" t="str">
        <f t="shared" si="544"/>
        <v/>
      </c>
      <c r="M633" s="14" t="str">
        <f t="shared" si="544"/>
        <v/>
      </c>
      <c r="N633" s="14" t="str">
        <f t="shared" si="544"/>
        <v/>
      </c>
      <c r="O633" s="17" t="str">
        <f t="shared" si="544"/>
        <v>Rotation.cube_tier02_01.skill01</v>
      </c>
      <c r="P633" s="14" t="str">
        <f t="shared" si="544"/>
        <v/>
      </c>
      <c r="Q633" s="14" t="str">
        <f t="shared" si="544"/>
        <v>Rotation.cube_tier02_01.Immun</v>
      </c>
      <c r="R633" s="14" t="str">
        <f t="shared" si="544"/>
        <v/>
      </c>
      <c r="S633" s="14" t="str">
        <f t="shared" si="544"/>
        <v/>
      </c>
      <c r="T633" s="14" t="str">
        <f t="shared" si="544"/>
        <v/>
      </c>
      <c r="U633" s="14" t="str">
        <f t="shared" si="544"/>
        <v/>
      </c>
      <c r="V633" s="14" t="b">
        <f t="shared" si="544"/>
        <v>0</v>
      </c>
      <c r="W633" s="14" t="str">
        <f t="shared" si="544"/>
        <v>Character/Prefabs/m_m_tanker_cube_tier02_01</v>
      </c>
      <c r="X633" s="14" t="str">
        <f t="shared" si="544"/>
        <v/>
      </c>
      <c r="Y633" s="14" t="str">
        <f t="shared" si="544"/>
        <v>m_m_tanker_cube_tier02_01</v>
      </c>
      <c r="Z633" s="14" t="str">
        <f t="shared" si="544"/>
        <v/>
      </c>
      <c r="AA633" s="14" t="str">
        <f t="shared" si="544"/>
        <v/>
      </c>
      <c r="AB633" s="14" t="str">
        <f t="shared" si="544"/>
        <v>Die_machine</v>
      </c>
      <c r="AC633" s="94">
        <f t="shared" si="544"/>
        <v>1</v>
      </c>
      <c r="AD633" s="14" t="str">
        <f t="shared" si="544"/>
        <v>Effect/Prefab/02.mob/cube_military_01/EFF_cube_military_01_hit_01</v>
      </c>
      <c r="AE633" s="14" t="str">
        <f t="shared" si="544"/>
        <v/>
      </c>
      <c r="AF633" s="14" t="str">
        <f t="shared" si="544"/>
        <v/>
      </c>
      <c r="AG633" s="173" t="s">
        <v>2765</v>
      </c>
    </row>
    <row r="634" spans="1:33" x14ac:dyDescent="0.3">
      <c r="A634" s="14">
        <f t="shared" si="533"/>
        <v>1610401007</v>
      </c>
      <c r="B634" s="14" t="str">
        <f t="shared" ref="B634:AF634" si="545">IF(B523 &lt;&gt; "", B523, "")</f>
        <v>Rotation</v>
      </c>
      <c r="C634" s="14" t="str">
        <f t="shared" si="545"/>
        <v>큐브02_02</v>
      </c>
      <c r="D634" s="14" t="str">
        <f t="shared" si="545"/>
        <v>Monster.Name.RotationCube.Tier2</v>
      </c>
      <c r="E634" s="5" t="str">
        <f t="shared" si="545"/>
        <v>None</v>
      </c>
      <c r="F634" s="17" t="str">
        <f t="shared" si="545"/>
        <v>Fac_nul_ind</v>
      </c>
      <c r="G634" s="14" t="str">
        <f t="shared" si="545"/>
        <v>TRUE</v>
      </c>
      <c r="H634" s="14" t="str">
        <f t="shared" si="545"/>
        <v>TRUE</v>
      </c>
      <c r="I634" s="14" t="b">
        <f t="shared" si="545"/>
        <v>0</v>
      </c>
      <c r="J634" s="14">
        <f t="shared" si="545"/>
        <v>20</v>
      </c>
      <c r="K634" s="14">
        <f t="shared" si="545"/>
        <v>10</v>
      </c>
      <c r="L634" s="14" t="str">
        <f t="shared" si="545"/>
        <v/>
      </c>
      <c r="M634" s="14" t="str">
        <f t="shared" si="545"/>
        <v/>
      </c>
      <c r="N634" s="14" t="str">
        <f t="shared" si="545"/>
        <v/>
      </c>
      <c r="O634" s="17" t="str">
        <f t="shared" si="545"/>
        <v>Rotation.cube_tier02_02.skill01</v>
      </c>
      <c r="P634" s="14" t="str">
        <f t="shared" si="545"/>
        <v/>
      </c>
      <c r="Q634" s="14" t="str">
        <f t="shared" si="545"/>
        <v>Rotation.cube_tier02_02.Immun</v>
      </c>
      <c r="R634" s="14" t="str">
        <f t="shared" si="545"/>
        <v/>
      </c>
      <c r="S634" s="14" t="str">
        <f t="shared" si="545"/>
        <v/>
      </c>
      <c r="T634" s="14" t="str">
        <f t="shared" si="545"/>
        <v/>
      </c>
      <c r="U634" s="14" t="str">
        <f t="shared" si="545"/>
        <v/>
      </c>
      <c r="V634" s="14" t="b">
        <f t="shared" si="545"/>
        <v>0</v>
      </c>
      <c r="W634" s="14" t="str">
        <f t="shared" si="545"/>
        <v>Character/Prefabs/m_m_tanker_cube_tier02_02</v>
      </c>
      <c r="X634" s="14" t="str">
        <f t="shared" si="545"/>
        <v/>
      </c>
      <c r="Y634" s="14" t="str">
        <f t="shared" si="545"/>
        <v>m_m_tanker_cube_tier02_02</v>
      </c>
      <c r="Z634" s="14" t="str">
        <f t="shared" si="545"/>
        <v/>
      </c>
      <c r="AA634" s="14" t="str">
        <f t="shared" si="545"/>
        <v/>
      </c>
      <c r="AB634" s="14" t="str">
        <f t="shared" si="545"/>
        <v>Die_machine</v>
      </c>
      <c r="AC634" s="94">
        <f t="shared" si="545"/>
        <v>1</v>
      </c>
      <c r="AD634" s="14" t="str">
        <f t="shared" si="545"/>
        <v>Effect/Prefab/02.mob/cube_military_01/EFF_cube_military_01_hit_01</v>
      </c>
      <c r="AE634" s="14" t="str">
        <f t="shared" si="545"/>
        <v/>
      </c>
      <c r="AF634" s="14" t="str">
        <f t="shared" si="545"/>
        <v/>
      </c>
      <c r="AG634" s="173" t="s">
        <v>2765</v>
      </c>
    </row>
    <row r="635" spans="1:33" x14ac:dyDescent="0.3">
      <c r="A635" s="14">
        <f t="shared" si="533"/>
        <v>1610401008</v>
      </c>
      <c r="B635" s="14" t="str">
        <f t="shared" ref="B635:AF635" si="546">IF(B524 &lt;&gt; "", B524, "")</f>
        <v>Rotation</v>
      </c>
      <c r="C635" s="14" t="str">
        <f t="shared" si="546"/>
        <v>큐브02_03</v>
      </c>
      <c r="D635" s="14" t="str">
        <f t="shared" si="546"/>
        <v>Monster.Name.RotationCube.Tier2</v>
      </c>
      <c r="E635" s="5" t="str">
        <f t="shared" si="546"/>
        <v>None</v>
      </c>
      <c r="F635" s="17" t="str">
        <f t="shared" si="546"/>
        <v>Fac_nul_ind</v>
      </c>
      <c r="G635" s="14" t="str">
        <f t="shared" si="546"/>
        <v>TRUE</v>
      </c>
      <c r="H635" s="14" t="str">
        <f t="shared" si="546"/>
        <v>TRUE</v>
      </c>
      <c r="I635" s="14" t="b">
        <f t="shared" si="546"/>
        <v>0</v>
      </c>
      <c r="J635" s="14">
        <f t="shared" si="546"/>
        <v>20</v>
      </c>
      <c r="K635" s="14">
        <f t="shared" si="546"/>
        <v>10</v>
      </c>
      <c r="L635" s="14" t="str">
        <f t="shared" si="546"/>
        <v/>
      </c>
      <c r="M635" s="14" t="str">
        <f t="shared" si="546"/>
        <v/>
      </c>
      <c r="N635" s="14" t="str">
        <f t="shared" si="546"/>
        <v/>
      </c>
      <c r="O635" s="17" t="str">
        <f t="shared" si="546"/>
        <v>Rotation.cube_tier02_03.skill01</v>
      </c>
      <c r="P635" s="14" t="str">
        <f t="shared" si="546"/>
        <v/>
      </c>
      <c r="Q635" s="14" t="str">
        <f t="shared" si="546"/>
        <v>Rotation.cube_tier02_03.Immun</v>
      </c>
      <c r="R635" s="14" t="str">
        <f t="shared" si="546"/>
        <v/>
      </c>
      <c r="S635" s="14" t="str">
        <f t="shared" si="546"/>
        <v/>
      </c>
      <c r="T635" s="14" t="str">
        <f t="shared" si="546"/>
        <v/>
      </c>
      <c r="U635" s="14" t="str">
        <f t="shared" si="546"/>
        <v/>
      </c>
      <c r="V635" s="14" t="b">
        <f t="shared" si="546"/>
        <v>0</v>
      </c>
      <c r="W635" s="14" t="str">
        <f t="shared" si="546"/>
        <v>Character/Prefabs/m_m_tanker_cube_tier02_03</v>
      </c>
      <c r="X635" s="14" t="str">
        <f t="shared" si="546"/>
        <v/>
      </c>
      <c r="Y635" s="14" t="str">
        <f t="shared" si="546"/>
        <v>m_m_tanker_cube_tier02_03</v>
      </c>
      <c r="Z635" s="14" t="str">
        <f t="shared" si="546"/>
        <v/>
      </c>
      <c r="AA635" s="14" t="str">
        <f t="shared" si="546"/>
        <v/>
      </c>
      <c r="AB635" s="14" t="str">
        <f t="shared" si="546"/>
        <v>Die_machine</v>
      </c>
      <c r="AC635" s="94">
        <f t="shared" si="546"/>
        <v>1</v>
      </c>
      <c r="AD635" s="14" t="str">
        <f t="shared" si="546"/>
        <v>Effect/Prefab/02.mob/cube_military_01/EFF_cube_military_01_hit_01</v>
      </c>
      <c r="AE635" s="14" t="str">
        <f t="shared" si="546"/>
        <v/>
      </c>
      <c r="AF635" s="14" t="str">
        <f t="shared" si="546"/>
        <v/>
      </c>
      <c r="AG635" s="173" t="s">
        <v>2765</v>
      </c>
    </row>
    <row r="636" spans="1:33" x14ac:dyDescent="0.3">
      <c r="A636" s="14">
        <f t="shared" si="533"/>
        <v>1610401009</v>
      </c>
      <c r="B636" s="14" t="str">
        <f t="shared" ref="B636:AF636" si="547">IF(B525 &lt;&gt; "", B525, "")</f>
        <v>Rotation</v>
      </c>
      <c r="C636" s="14" t="str">
        <f t="shared" si="547"/>
        <v>큐브02_04</v>
      </c>
      <c r="D636" s="14" t="str">
        <f t="shared" si="547"/>
        <v>Monster.Name.RotationCube.Tier2</v>
      </c>
      <c r="E636" s="5" t="str">
        <f t="shared" si="547"/>
        <v>None</v>
      </c>
      <c r="F636" s="17" t="str">
        <f t="shared" si="547"/>
        <v>Fac_nul_ind</v>
      </c>
      <c r="G636" s="14" t="str">
        <f t="shared" si="547"/>
        <v>TRUE</v>
      </c>
      <c r="H636" s="14" t="str">
        <f t="shared" si="547"/>
        <v>TRUE</v>
      </c>
      <c r="I636" s="14" t="b">
        <f t="shared" si="547"/>
        <v>0</v>
      </c>
      <c r="J636" s="14">
        <f t="shared" si="547"/>
        <v>20</v>
      </c>
      <c r="K636" s="14">
        <f t="shared" si="547"/>
        <v>10</v>
      </c>
      <c r="L636" s="14" t="str">
        <f t="shared" si="547"/>
        <v/>
      </c>
      <c r="M636" s="14" t="str">
        <f t="shared" si="547"/>
        <v/>
      </c>
      <c r="N636" s="14" t="str">
        <f t="shared" si="547"/>
        <v/>
      </c>
      <c r="O636" s="17" t="str">
        <f t="shared" si="547"/>
        <v>Rotation.cube_tier02_04.skill01</v>
      </c>
      <c r="P636" s="14" t="str">
        <f t="shared" si="547"/>
        <v/>
      </c>
      <c r="Q636" s="14" t="str">
        <f t="shared" si="547"/>
        <v>Rotation.cube_tier02_04.Immun</v>
      </c>
      <c r="R636" s="14" t="str">
        <f t="shared" si="547"/>
        <v/>
      </c>
      <c r="S636" s="14" t="str">
        <f t="shared" si="547"/>
        <v/>
      </c>
      <c r="T636" s="14" t="str">
        <f t="shared" si="547"/>
        <v/>
      </c>
      <c r="U636" s="14" t="str">
        <f t="shared" si="547"/>
        <v/>
      </c>
      <c r="V636" s="14" t="b">
        <f t="shared" si="547"/>
        <v>0</v>
      </c>
      <c r="W636" s="14" t="str">
        <f t="shared" si="547"/>
        <v>Character/Prefabs/m_m_tanker_cube_tier02_04</v>
      </c>
      <c r="X636" s="14" t="str">
        <f t="shared" si="547"/>
        <v/>
      </c>
      <c r="Y636" s="14" t="str">
        <f t="shared" si="547"/>
        <v>m_m_tanker_cube_tier02_04</v>
      </c>
      <c r="Z636" s="14" t="str">
        <f t="shared" si="547"/>
        <v/>
      </c>
      <c r="AA636" s="14" t="str">
        <f t="shared" si="547"/>
        <v/>
      </c>
      <c r="AB636" s="14" t="str">
        <f t="shared" si="547"/>
        <v>Die_machine</v>
      </c>
      <c r="AC636" s="94">
        <f t="shared" si="547"/>
        <v>1</v>
      </c>
      <c r="AD636" s="14" t="str">
        <f t="shared" si="547"/>
        <v>Effect/Prefab/02.mob/cube_military_01/EFF_cube_military_01_hit_01</v>
      </c>
      <c r="AE636" s="14" t="str">
        <f t="shared" si="547"/>
        <v/>
      </c>
      <c r="AF636" s="14" t="str">
        <f t="shared" si="547"/>
        <v/>
      </c>
      <c r="AG636" s="173" t="s">
        <v>2765</v>
      </c>
    </row>
    <row r="637" spans="1:33" x14ac:dyDescent="0.3">
      <c r="A637" s="14">
        <f t="shared" si="533"/>
        <v>1610401010</v>
      </c>
      <c r="B637" s="14" t="str">
        <f t="shared" ref="B637:AF637" si="548">IF(B526 &lt;&gt; "", B526, "")</f>
        <v>Rotation</v>
      </c>
      <c r="C637" s="14" t="str">
        <f t="shared" si="548"/>
        <v>큐브02_05</v>
      </c>
      <c r="D637" s="14" t="str">
        <f t="shared" si="548"/>
        <v>Monster.Name.RotationCube.Tier2</v>
      </c>
      <c r="E637" s="5" t="str">
        <f t="shared" si="548"/>
        <v>None</v>
      </c>
      <c r="F637" s="17" t="str">
        <f t="shared" si="548"/>
        <v>Fac_nul_ind</v>
      </c>
      <c r="G637" s="14" t="str">
        <f t="shared" si="548"/>
        <v>TRUE</v>
      </c>
      <c r="H637" s="14" t="str">
        <f t="shared" si="548"/>
        <v>TRUE</v>
      </c>
      <c r="I637" s="14" t="b">
        <f t="shared" si="548"/>
        <v>0</v>
      </c>
      <c r="J637" s="14">
        <f t="shared" si="548"/>
        <v>20</v>
      </c>
      <c r="K637" s="14">
        <f t="shared" si="548"/>
        <v>10</v>
      </c>
      <c r="L637" s="14" t="str">
        <f t="shared" si="548"/>
        <v/>
      </c>
      <c r="M637" s="14" t="str">
        <f t="shared" si="548"/>
        <v/>
      </c>
      <c r="N637" s="14" t="str">
        <f t="shared" si="548"/>
        <v/>
      </c>
      <c r="O637" s="17" t="str">
        <f t="shared" si="548"/>
        <v>Rotation.cube_tier02_05.skill01</v>
      </c>
      <c r="P637" s="14" t="str">
        <f t="shared" si="548"/>
        <v/>
      </c>
      <c r="Q637" s="14" t="str">
        <f t="shared" si="548"/>
        <v>Rotation.cube_tier02_05.Immun</v>
      </c>
      <c r="R637" s="14" t="str">
        <f t="shared" si="548"/>
        <v/>
      </c>
      <c r="S637" s="14" t="str">
        <f t="shared" si="548"/>
        <v/>
      </c>
      <c r="T637" s="14" t="str">
        <f t="shared" si="548"/>
        <v/>
      </c>
      <c r="U637" s="14" t="str">
        <f t="shared" si="548"/>
        <v/>
      </c>
      <c r="V637" s="14" t="b">
        <f t="shared" si="548"/>
        <v>0</v>
      </c>
      <c r="W637" s="14" t="str">
        <f t="shared" si="548"/>
        <v>Character/Prefabs/m_m_tanker_cube_tier02_05</v>
      </c>
      <c r="X637" s="14" t="str">
        <f t="shared" si="548"/>
        <v/>
      </c>
      <c r="Y637" s="14" t="str">
        <f t="shared" si="548"/>
        <v>m_m_tanker_cube_tier02_05</v>
      </c>
      <c r="Z637" s="14" t="str">
        <f t="shared" si="548"/>
        <v/>
      </c>
      <c r="AA637" s="14" t="str">
        <f t="shared" si="548"/>
        <v/>
      </c>
      <c r="AB637" s="14" t="str">
        <f t="shared" si="548"/>
        <v>Die_machine</v>
      </c>
      <c r="AC637" s="94">
        <f t="shared" si="548"/>
        <v>1</v>
      </c>
      <c r="AD637" s="14" t="str">
        <f t="shared" si="548"/>
        <v>Effect/Prefab/02.mob/cube_military_01/EFF_cube_military_01_hit_01</v>
      </c>
      <c r="AE637" s="14" t="str">
        <f t="shared" si="548"/>
        <v/>
      </c>
      <c r="AF637" s="14" t="str">
        <f t="shared" si="548"/>
        <v/>
      </c>
      <c r="AG637" s="173" t="s">
        <v>2765</v>
      </c>
    </row>
    <row r="638" spans="1:33" x14ac:dyDescent="0.3">
      <c r="A638" s="14">
        <f t="shared" si="533"/>
        <v>1610401011</v>
      </c>
      <c r="B638" s="14" t="str">
        <f t="shared" ref="B638:AF638" si="549">IF(B527 &lt;&gt; "", B527, "")</f>
        <v>Rotation</v>
      </c>
      <c r="C638" s="14" t="str">
        <f t="shared" si="549"/>
        <v>큐브03_01</v>
      </c>
      <c r="D638" s="14" t="str">
        <f t="shared" si="549"/>
        <v>Monster.Name.RotationCube.Tier3</v>
      </c>
      <c r="E638" s="5" t="str">
        <f t="shared" si="549"/>
        <v>None</v>
      </c>
      <c r="F638" s="17" t="str">
        <f t="shared" si="549"/>
        <v>Fac_nul_ind</v>
      </c>
      <c r="G638" s="14" t="str">
        <f t="shared" si="549"/>
        <v>TRUE</v>
      </c>
      <c r="H638" s="14" t="str">
        <f t="shared" si="549"/>
        <v>TRUE</v>
      </c>
      <c r="I638" s="14" t="b">
        <f t="shared" si="549"/>
        <v>0</v>
      </c>
      <c r="J638" s="14">
        <f t="shared" si="549"/>
        <v>20</v>
      </c>
      <c r="K638" s="14">
        <f t="shared" si="549"/>
        <v>10</v>
      </c>
      <c r="L638" s="14" t="str">
        <f t="shared" si="549"/>
        <v/>
      </c>
      <c r="M638" s="14" t="str">
        <f t="shared" si="549"/>
        <v/>
      </c>
      <c r="N638" s="14" t="str">
        <f t="shared" si="549"/>
        <v/>
      </c>
      <c r="O638" s="17" t="str">
        <f t="shared" si="549"/>
        <v>Rotation.cube_tier03_01.skill01</v>
      </c>
      <c r="P638" s="14" t="str">
        <f t="shared" si="549"/>
        <v/>
      </c>
      <c r="Q638" s="14" t="str">
        <f t="shared" si="549"/>
        <v>Rotation.cube_tier03_01.Immun</v>
      </c>
      <c r="R638" s="14" t="str">
        <f t="shared" si="549"/>
        <v/>
      </c>
      <c r="S638" s="14" t="str">
        <f t="shared" si="549"/>
        <v/>
      </c>
      <c r="T638" s="14" t="str">
        <f t="shared" si="549"/>
        <v/>
      </c>
      <c r="U638" s="14" t="str">
        <f t="shared" si="549"/>
        <v/>
      </c>
      <c r="V638" s="14" t="b">
        <f t="shared" si="549"/>
        <v>0</v>
      </c>
      <c r="W638" s="14" t="str">
        <f t="shared" si="549"/>
        <v>Character/Prefabs/m_m_tanker_cube_tier03_01</v>
      </c>
      <c r="X638" s="14" t="str">
        <f t="shared" si="549"/>
        <v/>
      </c>
      <c r="Y638" s="14" t="str">
        <f t="shared" si="549"/>
        <v>m_m_tanker_cube_tier03_01</v>
      </c>
      <c r="Z638" s="14" t="str">
        <f t="shared" si="549"/>
        <v/>
      </c>
      <c r="AA638" s="14" t="str">
        <f t="shared" si="549"/>
        <v/>
      </c>
      <c r="AB638" s="14" t="str">
        <f t="shared" si="549"/>
        <v>Die_machine</v>
      </c>
      <c r="AC638" s="94">
        <f t="shared" si="549"/>
        <v>1</v>
      </c>
      <c r="AD638" s="14" t="str">
        <f t="shared" si="549"/>
        <v>Effect/Prefab/02.mob/cube_military_01/EFF_cube_military_01_hit_01</v>
      </c>
      <c r="AE638" s="14" t="str">
        <f t="shared" si="549"/>
        <v/>
      </c>
      <c r="AF638" s="14" t="str">
        <f t="shared" si="549"/>
        <v/>
      </c>
      <c r="AG638" s="173" t="s">
        <v>2765</v>
      </c>
    </row>
    <row r="639" spans="1:33" x14ac:dyDescent="0.3">
      <c r="A639" s="14">
        <f t="shared" si="533"/>
        <v>1610401012</v>
      </c>
      <c r="B639" s="14" t="str">
        <f t="shared" ref="B639:AF639" si="550">IF(B528 &lt;&gt; "", B528, "")</f>
        <v>Rotation</v>
      </c>
      <c r="C639" s="14" t="str">
        <f t="shared" si="550"/>
        <v>큐브03_02</v>
      </c>
      <c r="D639" s="14" t="str">
        <f t="shared" si="550"/>
        <v>Monster.Name.RotationCube.Tier3</v>
      </c>
      <c r="E639" s="5" t="str">
        <f t="shared" si="550"/>
        <v>None</v>
      </c>
      <c r="F639" s="17" t="str">
        <f t="shared" si="550"/>
        <v>Fac_nul_ind</v>
      </c>
      <c r="G639" s="14" t="str">
        <f t="shared" si="550"/>
        <v>TRUE</v>
      </c>
      <c r="H639" s="14" t="str">
        <f t="shared" si="550"/>
        <v>TRUE</v>
      </c>
      <c r="I639" s="14" t="b">
        <f t="shared" si="550"/>
        <v>0</v>
      </c>
      <c r="J639" s="14">
        <f t="shared" si="550"/>
        <v>20</v>
      </c>
      <c r="K639" s="14">
        <f t="shared" si="550"/>
        <v>10</v>
      </c>
      <c r="L639" s="14" t="str">
        <f t="shared" si="550"/>
        <v/>
      </c>
      <c r="M639" s="14" t="str">
        <f t="shared" si="550"/>
        <v/>
      </c>
      <c r="N639" s="14" t="str">
        <f t="shared" si="550"/>
        <v/>
      </c>
      <c r="O639" s="17" t="str">
        <f t="shared" si="550"/>
        <v>Rotation.cube_tier03_02.skill01</v>
      </c>
      <c r="P639" s="14" t="str">
        <f t="shared" si="550"/>
        <v/>
      </c>
      <c r="Q639" s="14" t="str">
        <f t="shared" si="550"/>
        <v>Rotation.cube_tier03_02.Immun</v>
      </c>
      <c r="R639" s="14" t="str">
        <f t="shared" si="550"/>
        <v/>
      </c>
      <c r="S639" s="14" t="str">
        <f t="shared" si="550"/>
        <v/>
      </c>
      <c r="T639" s="14" t="str">
        <f t="shared" si="550"/>
        <v/>
      </c>
      <c r="U639" s="14" t="str">
        <f t="shared" si="550"/>
        <v/>
      </c>
      <c r="V639" s="14" t="b">
        <f t="shared" si="550"/>
        <v>0</v>
      </c>
      <c r="W639" s="14" t="str">
        <f t="shared" si="550"/>
        <v>Character/Prefabs/m_m_tanker_cube_tier03_02</v>
      </c>
      <c r="X639" s="14" t="str">
        <f t="shared" si="550"/>
        <v/>
      </c>
      <c r="Y639" s="14" t="str">
        <f t="shared" si="550"/>
        <v>m_m_tanker_cube_tier03_02</v>
      </c>
      <c r="Z639" s="14" t="str">
        <f t="shared" si="550"/>
        <v/>
      </c>
      <c r="AA639" s="14" t="str">
        <f t="shared" si="550"/>
        <v/>
      </c>
      <c r="AB639" s="14" t="str">
        <f t="shared" si="550"/>
        <v>Die_machine</v>
      </c>
      <c r="AC639" s="94">
        <f t="shared" si="550"/>
        <v>1</v>
      </c>
      <c r="AD639" s="14" t="str">
        <f t="shared" si="550"/>
        <v>Effect/Prefab/02.mob/cube_military_01/EFF_cube_military_01_hit_01</v>
      </c>
      <c r="AE639" s="14" t="str">
        <f t="shared" si="550"/>
        <v/>
      </c>
      <c r="AF639" s="14" t="str">
        <f t="shared" si="550"/>
        <v/>
      </c>
      <c r="AG639" s="173" t="s">
        <v>2765</v>
      </c>
    </row>
    <row r="640" spans="1:33" x14ac:dyDescent="0.3">
      <c r="A640" s="14">
        <f t="shared" si="533"/>
        <v>1610401013</v>
      </c>
      <c r="B640" s="14" t="str">
        <f t="shared" ref="B640:AF640" si="551">IF(B529 &lt;&gt; "", B529, "")</f>
        <v>Rotation</v>
      </c>
      <c r="C640" s="14" t="str">
        <f t="shared" si="551"/>
        <v>큐브03_03</v>
      </c>
      <c r="D640" s="14" t="str">
        <f t="shared" si="551"/>
        <v>Monster.Name.RotationCube.Tier3</v>
      </c>
      <c r="E640" s="5" t="str">
        <f t="shared" si="551"/>
        <v>None</v>
      </c>
      <c r="F640" s="17" t="str">
        <f t="shared" si="551"/>
        <v>Fac_nul_ind</v>
      </c>
      <c r="G640" s="14" t="str">
        <f t="shared" si="551"/>
        <v>TRUE</v>
      </c>
      <c r="H640" s="14" t="str">
        <f t="shared" si="551"/>
        <v>TRUE</v>
      </c>
      <c r="I640" s="14" t="b">
        <f t="shared" si="551"/>
        <v>0</v>
      </c>
      <c r="J640" s="14">
        <f t="shared" si="551"/>
        <v>20</v>
      </c>
      <c r="K640" s="14">
        <f t="shared" si="551"/>
        <v>10</v>
      </c>
      <c r="L640" s="14" t="str">
        <f t="shared" si="551"/>
        <v/>
      </c>
      <c r="M640" s="14" t="str">
        <f t="shared" si="551"/>
        <v/>
      </c>
      <c r="N640" s="14" t="str">
        <f t="shared" si="551"/>
        <v/>
      </c>
      <c r="O640" s="17" t="str">
        <f t="shared" si="551"/>
        <v>Rotation.cube_tier03_03.skill01</v>
      </c>
      <c r="P640" s="14" t="str">
        <f t="shared" si="551"/>
        <v/>
      </c>
      <c r="Q640" s="14" t="str">
        <f t="shared" si="551"/>
        <v>Rotation.cube_tier03_03.Immun</v>
      </c>
      <c r="R640" s="14" t="str">
        <f t="shared" si="551"/>
        <v/>
      </c>
      <c r="S640" s="14" t="str">
        <f t="shared" si="551"/>
        <v/>
      </c>
      <c r="T640" s="14" t="str">
        <f t="shared" si="551"/>
        <v/>
      </c>
      <c r="U640" s="14" t="str">
        <f t="shared" si="551"/>
        <v/>
      </c>
      <c r="V640" s="14" t="b">
        <f t="shared" si="551"/>
        <v>0</v>
      </c>
      <c r="W640" s="14" t="str">
        <f t="shared" si="551"/>
        <v>Character/Prefabs/m_m_tanker_cube_tier03_03</v>
      </c>
      <c r="X640" s="14" t="str">
        <f t="shared" si="551"/>
        <v/>
      </c>
      <c r="Y640" s="14" t="str">
        <f t="shared" si="551"/>
        <v>m_m_tanker_cube_tier03_03</v>
      </c>
      <c r="Z640" s="14" t="str">
        <f t="shared" si="551"/>
        <v/>
      </c>
      <c r="AA640" s="14" t="str">
        <f t="shared" si="551"/>
        <v/>
      </c>
      <c r="AB640" s="14" t="str">
        <f t="shared" si="551"/>
        <v>Die_machine</v>
      </c>
      <c r="AC640" s="94">
        <f t="shared" si="551"/>
        <v>1</v>
      </c>
      <c r="AD640" s="14" t="str">
        <f t="shared" si="551"/>
        <v>Effect/Prefab/02.mob/cube_military_01/EFF_cube_military_01_hit_01</v>
      </c>
      <c r="AE640" s="14" t="str">
        <f t="shared" si="551"/>
        <v/>
      </c>
      <c r="AF640" s="14" t="str">
        <f t="shared" si="551"/>
        <v/>
      </c>
      <c r="AG640" s="173" t="s">
        <v>2765</v>
      </c>
    </row>
    <row r="641" spans="1:33" x14ac:dyDescent="0.3">
      <c r="A641" s="14">
        <f t="shared" si="533"/>
        <v>1610401014</v>
      </c>
      <c r="B641" s="14" t="str">
        <f t="shared" ref="B641:AF641" si="552">IF(B530 &lt;&gt; "", B530, "")</f>
        <v>Rotation</v>
      </c>
      <c r="C641" s="14" t="str">
        <f t="shared" si="552"/>
        <v>큐브03_04</v>
      </c>
      <c r="D641" s="14" t="str">
        <f t="shared" si="552"/>
        <v>Monster.Name.RotationCube.Tier3</v>
      </c>
      <c r="E641" s="5" t="str">
        <f t="shared" si="552"/>
        <v>None</v>
      </c>
      <c r="F641" s="17" t="str">
        <f t="shared" si="552"/>
        <v>Fac_nul_ind</v>
      </c>
      <c r="G641" s="14" t="str">
        <f t="shared" si="552"/>
        <v>TRUE</v>
      </c>
      <c r="H641" s="14" t="str">
        <f t="shared" si="552"/>
        <v>TRUE</v>
      </c>
      <c r="I641" s="14" t="b">
        <f t="shared" si="552"/>
        <v>0</v>
      </c>
      <c r="J641" s="14">
        <f t="shared" si="552"/>
        <v>20</v>
      </c>
      <c r="K641" s="14">
        <f t="shared" si="552"/>
        <v>10</v>
      </c>
      <c r="L641" s="14" t="str">
        <f t="shared" si="552"/>
        <v/>
      </c>
      <c r="M641" s="14" t="str">
        <f t="shared" si="552"/>
        <v/>
      </c>
      <c r="N641" s="14" t="str">
        <f t="shared" si="552"/>
        <v/>
      </c>
      <c r="O641" s="17" t="str">
        <f t="shared" si="552"/>
        <v>Rotation.cube_tier03_04.skill01</v>
      </c>
      <c r="P641" s="14" t="str">
        <f t="shared" si="552"/>
        <v/>
      </c>
      <c r="Q641" s="14" t="str">
        <f t="shared" si="552"/>
        <v>Rotation.cube_tier03_04.Immun</v>
      </c>
      <c r="R641" s="14" t="str">
        <f t="shared" si="552"/>
        <v/>
      </c>
      <c r="S641" s="14" t="str">
        <f t="shared" si="552"/>
        <v/>
      </c>
      <c r="T641" s="14" t="str">
        <f t="shared" si="552"/>
        <v/>
      </c>
      <c r="U641" s="14" t="str">
        <f t="shared" si="552"/>
        <v/>
      </c>
      <c r="V641" s="14" t="b">
        <f t="shared" si="552"/>
        <v>0</v>
      </c>
      <c r="W641" s="14" t="str">
        <f t="shared" si="552"/>
        <v>Character/Prefabs/m_m_tanker_cube_tier03_04</v>
      </c>
      <c r="X641" s="14" t="str">
        <f t="shared" si="552"/>
        <v/>
      </c>
      <c r="Y641" s="14" t="str">
        <f t="shared" si="552"/>
        <v>m_m_tanker_cube_tier03_04</v>
      </c>
      <c r="Z641" s="14" t="str">
        <f t="shared" si="552"/>
        <v/>
      </c>
      <c r="AA641" s="14" t="str">
        <f t="shared" si="552"/>
        <v/>
      </c>
      <c r="AB641" s="14" t="str">
        <f t="shared" si="552"/>
        <v>Die_machine</v>
      </c>
      <c r="AC641" s="94">
        <f t="shared" si="552"/>
        <v>1</v>
      </c>
      <c r="AD641" s="14" t="str">
        <f t="shared" si="552"/>
        <v>Effect/Prefab/02.mob/cube_military_01/EFF_cube_military_01_hit_01</v>
      </c>
      <c r="AE641" s="14" t="str">
        <f t="shared" si="552"/>
        <v/>
      </c>
      <c r="AF641" s="14" t="str">
        <f t="shared" si="552"/>
        <v/>
      </c>
      <c r="AG641" s="173" t="s">
        <v>2765</v>
      </c>
    </row>
    <row r="642" spans="1:33" x14ac:dyDescent="0.3">
      <c r="A642" s="14">
        <f t="shared" si="533"/>
        <v>1610401015</v>
      </c>
      <c r="B642" s="14" t="str">
        <f t="shared" ref="B642:AF642" si="553">IF(B531 &lt;&gt; "", B531, "")</f>
        <v>Rotation</v>
      </c>
      <c r="C642" s="14" t="str">
        <f t="shared" si="553"/>
        <v>큐브03_05</v>
      </c>
      <c r="D642" s="14" t="str">
        <f t="shared" si="553"/>
        <v>Monster.Name.RotationCube.Tier3</v>
      </c>
      <c r="E642" s="5" t="str">
        <f t="shared" si="553"/>
        <v>None</v>
      </c>
      <c r="F642" s="17" t="str">
        <f t="shared" si="553"/>
        <v>Fac_nul_ind</v>
      </c>
      <c r="G642" s="14" t="str">
        <f t="shared" si="553"/>
        <v>TRUE</v>
      </c>
      <c r="H642" s="14" t="str">
        <f t="shared" si="553"/>
        <v>TRUE</v>
      </c>
      <c r="I642" s="14" t="b">
        <f t="shared" si="553"/>
        <v>0</v>
      </c>
      <c r="J642" s="14">
        <f t="shared" si="553"/>
        <v>20</v>
      </c>
      <c r="K642" s="14">
        <f t="shared" si="553"/>
        <v>10</v>
      </c>
      <c r="L642" s="14" t="str">
        <f t="shared" si="553"/>
        <v/>
      </c>
      <c r="M642" s="14" t="str">
        <f t="shared" si="553"/>
        <v/>
      </c>
      <c r="N642" s="14" t="str">
        <f t="shared" si="553"/>
        <v/>
      </c>
      <c r="O642" s="17" t="str">
        <f t="shared" si="553"/>
        <v>Rotation.cube_tier03_05.skill01</v>
      </c>
      <c r="P642" s="14" t="str">
        <f t="shared" si="553"/>
        <v/>
      </c>
      <c r="Q642" s="14" t="str">
        <f t="shared" si="553"/>
        <v>Rotation.cube_tier03_05.Immun</v>
      </c>
      <c r="R642" s="14" t="str">
        <f t="shared" si="553"/>
        <v/>
      </c>
      <c r="S642" s="14" t="str">
        <f t="shared" si="553"/>
        <v/>
      </c>
      <c r="T642" s="14" t="str">
        <f t="shared" si="553"/>
        <v/>
      </c>
      <c r="U642" s="14" t="str">
        <f t="shared" si="553"/>
        <v/>
      </c>
      <c r="V642" s="14" t="b">
        <f t="shared" si="553"/>
        <v>0</v>
      </c>
      <c r="W642" s="14" t="str">
        <f t="shared" si="553"/>
        <v>Character/Prefabs/m_m_tanker_cube_tier03_05</v>
      </c>
      <c r="X642" s="14" t="str">
        <f t="shared" si="553"/>
        <v/>
      </c>
      <c r="Y642" s="14" t="str">
        <f t="shared" si="553"/>
        <v>m_m_tanker_cube_tier03_05</v>
      </c>
      <c r="Z642" s="14" t="str">
        <f t="shared" si="553"/>
        <v/>
      </c>
      <c r="AA642" s="14" t="str">
        <f t="shared" si="553"/>
        <v/>
      </c>
      <c r="AB642" s="14" t="str">
        <f t="shared" si="553"/>
        <v>Die_machine</v>
      </c>
      <c r="AC642" s="94">
        <f t="shared" si="553"/>
        <v>1</v>
      </c>
      <c r="AD642" s="14" t="str">
        <f t="shared" si="553"/>
        <v>Effect/Prefab/02.mob/cube_military_01/EFF_cube_military_01_hit_01</v>
      </c>
      <c r="AE642" s="14" t="str">
        <f t="shared" si="553"/>
        <v/>
      </c>
      <c r="AF642" s="14" t="str">
        <f t="shared" si="553"/>
        <v/>
      </c>
      <c r="AG642" s="173" t="s">
        <v>2765</v>
      </c>
    </row>
    <row r="643" spans="1:33" x14ac:dyDescent="0.3">
      <c r="A643" s="14">
        <f t="shared" si="533"/>
        <v>1610401016</v>
      </c>
      <c r="B643" s="14" t="str">
        <f t="shared" ref="B643:AF643" si="554">IF(B532 &lt;&gt; "", B532, "")</f>
        <v>Rotation</v>
      </c>
      <c r="C643" s="14" t="str">
        <f t="shared" si="554"/>
        <v>큐브04_01</v>
      </c>
      <c r="D643" s="14" t="str">
        <f t="shared" si="554"/>
        <v>Monster.Name.RotationCube.Tier4</v>
      </c>
      <c r="E643" s="5" t="str">
        <f t="shared" si="554"/>
        <v>None</v>
      </c>
      <c r="F643" s="17" t="str">
        <f t="shared" si="554"/>
        <v>Fac_nul_ind</v>
      </c>
      <c r="G643" s="14" t="str">
        <f t="shared" si="554"/>
        <v>TRUE</v>
      </c>
      <c r="H643" s="14" t="str">
        <f t="shared" si="554"/>
        <v>TRUE</v>
      </c>
      <c r="I643" s="14" t="b">
        <f t="shared" si="554"/>
        <v>0</v>
      </c>
      <c r="J643" s="14">
        <f t="shared" si="554"/>
        <v>20</v>
      </c>
      <c r="K643" s="14">
        <f t="shared" si="554"/>
        <v>10</v>
      </c>
      <c r="L643" s="14" t="str">
        <f t="shared" si="554"/>
        <v/>
      </c>
      <c r="M643" s="14" t="str">
        <f t="shared" si="554"/>
        <v/>
      </c>
      <c r="N643" s="14" t="str">
        <f t="shared" si="554"/>
        <v/>
      </c>
      <c r="O643" s="17" t="str">
        <f t="shared" si="554"/>
        <v>Rotation.cube_tier04_01.skill01</v>
      </c>
      <c r="P643" s="14" t="str">
        <f t="shared" si="554"/>
        <v/>
      </c>
      <c r="Q643" s="14" t="str">
        <f t="shared" si="554"/>
        <v>Rotation.cube_tier04_01.Immun</v>
      </c>
      <c r="R643" s="14" t="str">
        <f t="shared" si="554"/>
        <v/>
      </c>
      <c r="S643" s="14" t="str">
        <f t="shared" si="554"/>
        <v/>
      </c>
      <c r="T643" s="14" t="str">
        <f t="shared" si="554"/>
        <v/>
      </c>
      <c r="U643" s="14" t="str">
        <f t="shared" si="554"/>
        <v/>
      </c>
      <c r="V643" s="14" t="b">
        <f t="shared" si="554"/>
        <v>0</v>
      </c>
      <c r="W643" s="14" t="str">
        <f t="shared" si="554"/>
        <v>Character/Prefabs/m_m_tanker_cube_tier04_01</v>
      </c>
      <c r="X643" s="14" t="str">
        <f t="shared" si="554"/>
        <v/>
      </c>
      <c r="Y643" s="14" t="str">
        <f t="shared" si="554"/>
        <v>m_m_tanker_cube_tier04_01</v>
      </c>
      <c r="Z643" s="14" t="str">
        <f t="shared" si="554"/>
        <v/>
      </c>
      <c r="AA643" s="14" t="str">
        <f t="shared" si="554"/>
        <v/>
      </c>
      <c r="AB643" s="14" t="str">
        <f t="shared" si="554"/>
        <v>Die_machine</v>
      </c>
      <c r="AC643" s="94">
        <f t="shared" si="554"/>
        <v>1</v>
      </c>
      <c r="AD643" s="14" t="str">
        <f t="shared" si="554"/>
        <v>Effect/Prefab/02.mob/cube_military_01/EFF_cube_military_01_hit_01</v>
      </c>
      <c r="AE643" s="14" t="str">
        <f t="shared" si="554"/>
        <v/>
      </c>
      <c r="AF643" s="14" t="str">
        <f t="shared" si="554"/>
        <v/>
      </c>
      <c r="AG643" s="173" t="s">
        <v>2765</v>
      </c>
    </row>
    <row r="644" spans="1:33" x14ac:dyDescent="0.3">
      <c r="A644" s="14">
        <f t="shared" si="533"/>
        <v>1610401017</v>
      </c>
      <c r="B644" s="14" t="str">
        <f t="shared" ref="B644:AF644" si="555">IF(B533 &lt;&gt; "", B533, "")</f>
        <v>Rotation</v>
      </c>
      <c r="C644" s="14" t="str">
        <f t="shared" si="555"/>
        <v>큐브04_02</v>
      </c>
      <c r="D644" s="14" t="str">
        <f t="shared" si="555"/>
        <v>Monster.Name.RotationCube.Tier4</v>
      </c>
      <c r="E644" s="5" t="str">
        <f t="shared" si="555"/>
        <v>None</v>
      </c>
      <c r="F644" s="17" t="str">
        <f t="shared" si="555"/>
        <v>Fac_nul_ind</v>
      </c>
      <c r="G644" s="14" t="str">
        <f t="shared" si="555"/>
        <v>TRUE</v>
      </c>
      <c r="H644" s="14" t="str">
        <f t="shared" si="555"/>
        <v>TRUE</v>
      </c>
      <c r="I644" s="14" t="b">
        <f t="shared" si="555"/>
        <v>0</v>
      </c>
      <c r="J644" s="14">
        <f t="shared" si="555"/>
        <v>20</v>
      </c>
      <c r="K644" s="14">
        <f t="shared" si="555"/>
        <v>10</v>
      </c>
      <c r="L644" s="14" t="str">
        <f t="shared" si="555"/>
        <v/>
      </c>
      <c r="M644" s="14" t="str">
        <f t="shared" si="555"/>
        <v/>
      </c>
      <c r="N644" s="14" t="str">
        <f t="shared" si="555"/>
        <v/>
      </c>
      <c r="O644" s="17" t="str">
        <f t="shared" si="555"/>
        <v>Rotation.cube_tier04_02.skill01</v>
      </c>
      <c r="P644" s="14" t="str">
        <f t="shared" si="555"/>
        <v/>
      </c>
      <c r="Q644" s="14" t="str">
        <f t="shared" si="555"/>
        <v>Rotation.cube_tier04_02.Immun</v>
      </c>
      <c r="R644" s="14" t="str">
        <f t="shared" si="555"/>
        <v/>
      </c>
      <c r="S644" s="14" t="str">
        <f t="shared" si="555"/>
        <v/>
      </c>
      <c r="T644" s="14" t="str">
        <f t="shared" si="555"/>
        <v/>
      </c>
      <c r="U644" s="14" t="str">
        <f t="shared" si="555"/>
        <v/>
      </c>
      <c r="V644" s="14" t="b">
        <f t="shared" si="555"/>
        <v>0</v>
      </c>
      <c r="W644" s="14" t="str">
        <f t="shared" si="555"/>
        <v>Character/Prefabs/m_m_tanker_cube_tier04_02</v>
      </c>
      <c r="X644" s="14" t="str">
        <f t="shared" si="555"/>
        <v/>
      </c>
      <c r="Y644" s="14" t="str">
        <f t="shared" si="555"/>
        <v>m_m_tanker_cube_tier04_02</v>
      </c>
      <c r="Z644" s="14" t="str">
        <f t="shared" si="555"/>
        <v/>
      </c>
      <c r="AA644" s="14" t="str">
        <f t="shared" si="555"/>
        <v/>
      </c>
      <c r="AB644" s="14" t="str">
        <f t="shared" si="555"/>
        <v>Die_machine</v>
      </c>
      <c r="AC644" s="94">
        <f t="shared" si="555"/>
        <v>1</v>
      </c>
      <c r="AD644" s="14" t="str">
        <f t="shared" si="555"/>
        <v>Effect/Prefab/02.mob/cube_military_01/EFF_cube_military_01_hit_01</v>
      </c>
      <c r="AE644" s="14" t="str">
        <f t="shared" si="555"/>
        <v/>
      </c>
      <c r="AF644" s="14" t="str">
        <f t="shared" si="555"/>
        <v/>
      </c>
      <c r="AG644" s="173" t="s">
        <v>2765</v>
      </c>
    </row>
    <row r="645" spans="1:33" x14ac:dyDescent="0.3">
      <c r="A645" s="14">
        <f t="shared" si="533"/>
        <v>1610401018</v>
      </c>
      <c r="B645" s="14" t="str">
        <f t="shared" ref="B645:AF645" si="556">IF(B534 &lt;&gt; "", B534, "")</f>
        <v>Rotation</v>
      </c>
      <c r="C645" s="14" t="str">
        <f t="shared" si="556"/>
        <v>큐브04_03</v>
      </c>
      <c r="D645" s="14" t="str">
        <f t="shared" si="556"/>
        <v>Monster.Name.RotationCube.Tier4</v>
      </c>
      <c r="E645" s="5" t="str">
        <f t="shared" si="556"/>
        <v>None</v>
      </c>
      <c r="F645" s="17" t="str">
        <f t="shared" si="556"/>
        <v>Fac_nul_ind</v>
      </c>
      <c r="G645" s="14" t="str">
        <f t="shared" si="556"/>
        <v>TRUE</v>
      </c>
      <c r="H645" s="14" t="str">
        <f t="shared" si="556"/>
        <v>TRUE</v>
      </c>
      <c r="I645" s="14" t="b">
        <f t="shared" si="556"/>
        <v>0</v>
      </c>
      <c r="J645" s="14">
        <f t="shared" si="556"/>
        <v>20</v>
      </c>
      <c r="K645" s="14">
        <f t="shared" si="556"/>
        <v>10</v>
      </c>
      <c r="L645" s="14" t="str">
        <f t="shared" si="556"/>
        <v/>
      </c>
      <c r="M645" s="14" t="str">
        <f t="shared" si="556"/>
        <v/>
      </c>
      <c r="N645" s="14" t="str">
        <f t="shared" si="556"/>
        <v/>
      </c>
      <c r="O645" s="17" t="str">
        <f t="shared" si="556"/>
        <v>Rotation.cube_tier04_03.skill01</v>
      </c>
      <c r="P645" s="14" t="str">
        <f t="shared" si="556"/>
        <v/>
      </c>
      <c r="Q645" s="14" t="str">
        <f t="shared" si="556"/>
        <v>Rotation.cube_tier04_03.Immun</v>
      </c>
      <c r="R645" s="14" t="str">
        <f t="shared" si="556"/>
        <v/>
      </c>
      <c r="S645" s="14" t="str">
        <f t="shared" si="556"/>
        <v/>
      </c>
      <c r="T645" s="14" t="str">
        <f t="shared" si="556"/>
        <v/>
      </c>
      <c r="U645" s="14" t="str">
        <f t="shared" si="556"/>
        <v/>
      </c>
      <c r="V645" s="14" t="b">
        <f t="shared" si="556"/>
        <v>0</v>
      </c>
      <c r="W645" s="14" t="str">
        <f t="shared" si="556"/>
        <v>Character/Prefabs/m_m_tanker_cube_tier04_03</v>
      </c>
      <c r="X645" s="14" t="str">
        <f t="shared" si="556"/>
        <v/>
      </c>
      <c r="Y645" s="14" t="str">
        <f t="shared" si="556"/>
        <v>m_m_tanker_cube_tier04_03</v>
      </c>
      <c r="Z645" s="14" t="str">
        <f t="shared" si="556"/>
        <v/>
      </c>
      <c r="AA645" s="14" t="str">
        <f t="shared" si="556"/>
        <v/>
      </c>
      <c r="AB645" s="14" t="str">
        <f t="shared" si="556"/>
        <v>Die_machine</v>
      </c>
      <c r="AC645" s="94">
        <f t="shared" si="556"/>
        <v>1</v>
      </c>
      <c r="AD645" s="14" t="str">
        <f t="shared" si="556"/>
        <v>Effect/Prefab/02.mob/cube_military_01/EFF_cube_military_01_hit_01</v>
      </c>
      <c r="AE645" s="14" t="str">
        <f t="shared" si="556"/>
        <v/>
      </c>
      <c r="AF645" s="14" t="str">
        <f t="shared" si="556"/>
        <v/>
      </c>
      <c r="AG645" s="173" t="s">
        <v>2765</v>
      </c>
    </row>
    <row r="646" spans="1:33" x14ac:dyDescent="0.3">
      <c r="A646" s="14">
        <f t="shared" si="533"/>
        <v>1610401019</v>
      </c>
      <c r="B646" s="14" t="str">
        <f t="shared" ref="B646:AF646" si="557">IF(B535 &lt;&gt; "", B535, "")</f>
        <v>Rotation</v>
      </c>
      <c r="C646" s="14" t="str">
        <f t="shared" si="557"/>
        <v>큐브04_04</v>
      </c>
      <c r="D646" s="14" t="str">
        <f t="shared" si="557"/>
        <v>Monster.Name.RotationCube.Tier4</v>
      </c>
      <c r="E646" s="5" t="str">
        <f t="shared" si="557"/>
        <v>None</v>
      </c>
      <c r="F646" s="17" t="str">
        <f t="shared" si="557"/>
        <v>Fac_nul_ind</v>
      </c>
      <c r="G646" s="14" t="str">
        <f t="shared" si="557"/>
        <v>TRUE</v>
      </c>
      <c r="H646" s="14" t="str">
        <f t="shared" si="557"/>
        <v>TRUE</v>
      </c>
      <c r="I646" s="14" t="b">
        <f t="shared" si="557"/>
        <v>0</v>
      </c>
      <c r="J646" s="14">
        <f t="shared" si="557"/>
        <v>20</v>
      </c>
      <c r="K646" s="14">
        <f t="shared" si="557"/>
        <v>10</v>
      </c>
      <c r="L646" s="14" t="str">
        <f t="shared" si="557"/>
        <v/>
      </c>
      <c r="M646" s="14" t="str">
        <f t="shared" si="557"/>
        <v/>
      </c>
      <c r="N646" s="14" t="str">
        <f t="shared" si="557"/>
        <v/>
      </c>
      <c r="O646" s="17" t="str">
        <f t="shared" si="557"/>
        <v>Rotation.cube_tier04_04.skill01</v>
      </c>
      <c r="P646" s="14" t="str">
        <f t="shared" si="557"/>
        <v/>
      </c>
      <c r="Q646" s="14" t="str">
        <f t="shared" si="557"/>
        <v>Rotation.cube_tier04_04.Immun</v>
      </c>
      <c r="R646" s="14" t="str">
        <f t="shared" si="557"/>
        <v/>
      </c>
      <c r="S646" s="14" t="str">
        <f t="shared" si="557"/>
        <v/>
      </c>
      <c r="T646" s="14" t="str">
        <f t="shared" si="557"/>
        <v/>
      </c>
      <c r="U646" s="14" t="str">
        <f t="shared" si="557"/>
        <v/>
      </c>
      <c r="V646" s="14" t="b">
        <f t="shared" si="557"/>
        <v>0</v>
      </c>
      <c r="W646" s="14" t="str">
        <f t="shared" si="557"/>
        <v>Character/Prefabs/m_m_tanker_cube_tier04_04</v>
      </c>
      <c r="X646" s="14" t="str">
        <f t="shared" si="557"/>
        <v/>
      </c>
      <c r="Y646" s="14" t="str">
        <f t="shared" si="557"/>
        <v>m_m_tanker_cube_tier04_04</v>
      </c>
      <c r="Z646" s="14" t="str">
        <f t="shared" si="557"/>
        <v/>
      </c>
      <c r="AA646" s="14" t="str">
        <f t="shared" si="557"/>
        <v/>
      </c>
      <c r="AB646" s="14" t="str">
        <f t="shared" si="557"/>
        <v>Die_machine</v>
      </c>
      <c r="AC646" s="94">
        <f t="shared" si="557"/>
        <v>1</v>
      </c>
      <c r="AD646" s="14" t="str">
        <f t="shared" si="557"/>
        <v>Effect/Prefab/02.mob/cube_military_01/EFF_cube_military_01_hit_01</v>
      </c>
      <c r="AE646" s="14" t="str">
        <f t="shared" si="557"/>
        <v/>
      </c>
      <c r="AF646" s="14" t="str">
        <f t="shared" si="557"/>
        <v/>
      </c>
      <c r="AG646" s="173" t="s">
        <v>2765</v>
      </c>
    </row>
    <row r="647" spans="1:33" x14ac:dyDescent="0.3">
      <c r="A647" s="14">
        <f t="shared" si="533"/>
        <v>1610401020</v>
      </c>
      <c r="B647" s="14" t="str">
        <f t="shared" ref="B647:AF647" si="558">IF(B536 &lt;&gt; "", B536, "")</f>
        <v>Rotation</v>
      </c>
      <c r="C647" s="14" t="str">
        <f t="shared" si="558"/>
        <v>큐브04_05</v>
      </c>
      <c r="D647" s="14" t="str">
        <f t="shared" si="558"/>
        <v>Monster.Name.RotationCube.Tier4</v>
      </c>
      <c r="E647" s="5" t="str">
        <f t="shared" si="558"/>
        <v>None</v>
      </c>
      <c r="F647" s="17" t="str">
        <f t="shared" si="558"/>
        <v>Fac_nul_ind</v>
      </c>
      <c r="G647" s="14" t="str">
        <f t="shared" si="558"/>
        <v>TRUE</v>
      </c>
      <c r="H647" s="14" t="str">
        <f t="shared" si="558"/>
        <v>TRUE</v>
      </c>
      <c r="I647" s="14" t="b">
        <f t="shared" si="558"/>
        <v>0</v>
      </c>
      <c r="J647" s="14">
        <f t="shared" si="558"/>
        <v>20</v>
      </c>
      <c r="K647" s="14">
        <f t="shared" si="558"/>
        <v>10</v>
      </c>
      <c r="L647" s="14" t="str">
        <f t="shared" si="558"/>
        <v/>
      </c>
      <c r="M647" s="14" t="str">
        <f t="shared" si="558"/>
        <v/>
      </c>
      <c r="N647" s="14" t="str">
        <f t="shared" si="558"/>
        <v/>
      </c>
      <c r="O647" s="17" t="str">
        <f t="shared" si="558"/>
        <v>Rotation.cube_tier04_05.skill01</v>
      </c>
      <c r="P647" s="14" t="str">
        <f t="shared" si="558"/>
        <v/>
      </c>
      <c r="Q647" s="14" t="str">
        <f t="shared" si="558"/>
        <v>Rotation.cube_tier04_05.Immun</v>
      </c>
      <c r="R647" s="14" t="str">
        <f t="shared" si="558"/>
        <v/>
      </c>
      <c r="S647" s="14" t="str">
        <f t="shared" si="558"/>
        <v/>
      </c>
      <c r="T647" s="14" t="str">
        <f t="shared" si="558"/>
        <v/>
      </c>
      <c r="U647" s="14" t="str">
        <f t="shared" si="558"/>
        <v/>
      </c>
      <c r="V647" s="14" t="b">
        <f t="shared" si="558"/>
        <v>0</v>
      </c>
      <c r="W647" s="14" t="str">
        <f t="shared" si="558"/>
        <v>Character/Prefabs/m_m_tanker_cube_tier04_05</v>
      </c>
      <c r="X647" s="14" t="str">
        <f t="shared" si="558"/>
        <v/>
      </c>
      <c r="Y647" s="14" t="str">
        <f t="shared" si="558"/>
        <v>m_m_tanker_cube_tier04_05</v>
      </c>
      <c r="Z647" s="14" t="str">
        <f t="shared" si="558"/>
        <v/>
      </c>
      <c r="AA647" s="14" t="str">
        <f t="shared" si="558"/>
        <v/>
      </c>
      <c r="AB647" s="14" t="str">
        <f t="shared" si="558"/>
        <v>Die_machine</v>
      </c>
      <c r="AC647" s="94">
        <f t="shared" si="558"/>
        <v>1</v>
      </c>
      <c r="AD647" s="14" t="str">
        <f t="shared" si="558"/>
        <v>Effect/Prefab/02.mob/cube_military_01/EFF_cube_military_01_hit_01</v>
      </c>
      <c r="AE647" s="14" t="str">
        <f t="shared" si="558"/>
        <v/>
      </c>
      <c r="AF647" s="14" t="str">
        <f t="shared" si="558"/>
        <v/>
      </c>
      <c r="AG647" s="173" t="s">
        <v>2765</v>
      </c>
    </row>
    <row r="648" spans="1:33" x14ac:dyDescent="0.3">
      <c r="A648" s="14">
        <f t="shared" si="533"/>
        <v>1610401021</v>
      </c>
      <c r="B648" s="14" t="str">
        <f t="shared" ref="B648:AF648" si="559">IF(B537 &lt;&gt; "", B537, "")</f>
        <v>Rotation</v>
      </c>
      <c r="C648" s="14" t="str">
        <f t="shared" si="559"/>
        <v>큐브05_01</v>
      </c>
      <c r="D648" s="14" t="str">
        <f t="shared" si="559"/>
        <v>Monster.Name.RotationCube.Tier5</v>
      </c>
      <c r="E648" s="5" t="str">
        <f t="shared" si="559"/>
        <v>None</v>
      </c>
      <c r="F648" s="17" t="str">
        <f t="shared" si="559"/>
        <v>Fac_nul_ind</v>
      </c>
      <c r="G648" s="14" t="str">
        <f t="shared" si="559"/>
        <v>TRUE</v>
      </c>
      <c r="H648" s="14" t="str">
        <f t="shared" si="559"/>
        <v>TRUE</v>
      </c>
      <c r="I648" s="14" t="b">
        <f t="shared" si="559"/>
        <v>0</v>
      </c>
      <c r="J648" s="14">
        <f t="shared" si="559"/>
        <v>20</v>
      </c>
      <c r="K648" s="14">
        <f t="shared" si="559"/>
        <v>10</v>
      </c>
      <c r="L648" s="14" t="str">
        <f t="shared" si="559"/>
        <v/>
      </c>
      <c r="M648" s="14" t="str">
        <f t="shared" si="559"/>
        <v/>
      </c>
      <c r="N648" s="14" t="str">
        <f t="shared" si="559"/>
        <v/>
      </c>
      <c r="O648" s="17" t="str">
        <f t="shared" si="559"/>
        <v>Rotation.cube_tier05_01.skill01</v>
      </c>
      <c r="P648" s="14" t="str">
        <f t="shared" si="559"/>
        <v/>
      </c>
      <c r="Q648" s="14" t="str">
        <f t="shared" si="559"/>
        <v>Rotation.cube_tier05_01.Immun</v>
      </c>
      <c r="R648" s="14" t="str">
        <f t="shared" si="559"/>
        <v/>
      </c>
      <c r="S648" s="14" t="str">
        <f t="shared" si="559"/>
        <v/>
      </c>
      <c r="T648" s="14" t="str">
        <f t="shared" si="559"/>
        <v/>
      </c>
      <c r="U648" s="14" t="str">
        <f t="shared" si="559"/>
        <v/>
      </c>
      <c r="V648" s="14" t="b">
        <f t="shared" si="559"/>
        <v>0</v>
      </c>
      <c r="W648" s="14" t="str">
        <f t="shared" si="559"/>
        <v>Character/Prefabs/m_m_tanker_cube_tier05_01</v>
      </c>
      <c r="X648" s="14" t="str">
        <f t="shared" si="559"/>
        <v/>
      </c>
      <c r="Y648" s="14" t="str">
        <f t="shared" si="559"/>
        <v>m_m_tanker_cube_tier05_01</v>
      </c>
      <c r="Z648" s="14" t="str">
        <f t="shared" si="559"/>
        <v/>
      </c>
      <c r="AA648" s="14" t="str">
        <f t="shared" si="559"/>
        <v/>
      </c>
      <c r="AB648" s="14" t="str">
        <f t="shared" si="559"/>
        <v>Die_machine</v>
      </c>
      <c r="AC648" s="94">
        <f t="shared" si="559"/>
        <v>1</v>
      </c>
      <c r="AD648" s="14" t="str">
        <f t="shared" si="559"/>
        <v>Effect/Prefab/02.mob/cube_military_01/EFF_cube_military_01_hit_01</v>
      </c>
      <c r="AE648" s="14" t="str">
        <f t="shared" si="559"/>
        <v/>
      </c>
      <c r="AF648" s="14" t="str">
        <f t="shared" si="559"/>
        <v/>
      </c>
      <c r="AG648" s="173" t="s">
        <v>2765</v>
      </c>
    </row>
    <row r="649" spans="1:33" x14ac:dyDescent="0.3">
      <c r="A649" s="14">
        <f t="shared" si="533"/>
        <v>1610401022</v>
      </c>
      <c r="B649" s="14" t="str">
        <f t="shared" ref="B649:AF649" si="560">IF(B538 &lt;&gt; "", B538, "")</f>
        <v>Rotation</v>
      </c>
      <c r="C649" s="14" t="str">
        <f t="shared" si="560"/>
        <v>큐브05_02</v>
      </c>
      <c r="D649" s="14" t="str">
        <f t="shared" si="560"/>
        <v>Monster.Name.RotationCube.Tier5</v>
      </c>
      <c r="E649" s="5" t="str">
        <f t="shared" si="560"/>
        <v>None</v>
      </c>
      <c r="F649" s="17" t="str">
        <f t="shared" si="560"/>
        <v>Fac_nul_ind</v>
      </c>
      <c r="G649" s="14" t="str">
        <f t="shared" si="560"/>
        <v>TRUE</v>
      </c>
      <c r="H649" s="14" t="str">
        <f t="shared" si="560"/>
        <v>TRUE</v>
      </c>
      <c r="I649" s="14" t="b">
        <f t="shared" si="560"/>
        <v>0</v>
      </c>
      <c r="J649" s="14">
        <f t="shared" si="560"/>
        <v>20</v>
      </c>
      <c r="K649" s="14">
        <f t="shared" si="560"/>
        <v>10</v>
      </c>
      <c r="L649" s="14" t="str">
        <f t="shared" si="560"/>
        <v/>
      </c>
      <c r="M649" s="14" t="str">
        <f t="shared" si="560"/>
        <v/>
      </c>
      <c r="N649" s="14" t="str">
        <f t="shared" si="560"/>
        <v/>
      </c>
      <c r="O649" s="17" t="str">
        <f t="shared" si="560"/>
        <v>Rotation.cube_tier05_02.skill01</v>
      </c>
      <c r="P649" s="14" t="str">
        <f t="shared" si="560"/>
        <v/>
      </c>
      <c r="Q649" s="14" t="str">
        <f t="shared" si="560"/>
        <v>Rotation.cube_tier05_02.Immun</v>
      </c>
      <c r="R649" s="14" t="str">
        <f t="shared" si="560"/>
        <v/>
      </c>
      <c r="S649" s="14" t="str">
        <f t="shared" si="560"/>
        <v/>
      </c>
      <c r="T649" s="14" t="str">
        <f t="shared" si="560"/>
        <v/>
      </c>
      <c r="U649" s="14" t="str">
        <f t="shared" si="560"/>
        <v/>
      </c>
      <c r="V649" s="14" t="b">
        <f t="shared" si="560"/>
        <v>0</v>
      </c>
      <c r="W649" s="14" t="str">
        <f t="shared" si="560"/>
        <v>Character/Prefabs/m_m_tanker_cube_tier05_02</v>
      </c>
      <c r="X649" s="14" t="str">
        <f t="shared" si="560"/>
        <v/>
      </c>
      <c r="Y649" s="14" t="str">
        <f t="shared" si="560"/>
        <v>m_m_tanker_cube_tier05_02</v>
      </c>
      <c r="Z649" s="14" t="str">
        <f t="shared" si="560"/>
        <v/>
      </c>
      <c r="AA649" s="14" t="str">
        <f t="shared" si="560"/>
        <v/>
      </c>
      <c r="AB649" s="14" t="str">
        <f t="shared" si="560"/>
        <v>Die_machine</v>
      </c>
      <c r="AC649" s="94">
        <f t="shared" si="560"/>
        <v>1</v>
      </c>
      <c r="AD649" s="14" t="str">
        <f t="shared" si="560"/>
        <v>Effect/Prefab/02.mob/cube_military_01/EFF_cube_military_01_hit_01</v>
      </c>
      <c r="AE649" s="14" t="str">
        <f t="shared" si="560"/>
        <v/>
      </c>
      <c r="AF649" s="14" t="str">
        <f t="shared" si="560"/>
        <v/>
      </c>
      <c r="AG649" s="173" t="s">
        <v>2765</v>
      </c>
    </row>
    <row r="650" spans="1:33" x14ac:dyDescent="0.3">
      <c r="A650" s="14">
        <f t="shared" si="533"/>
        <v>1610401023</v>
      </c>
      <c r="B650" s="14" t="str">
        <f t="shared" ref="B650:AF650" si="561">IF(B539 &lt;&gt; "", B539, "")</f>
        <v>Rotation</v>
      </c>
      <c r="C650" s="14" t="str">
        <f t="shared" si="561"/>
        <v>큐브05_03</v>
      </c>
      <c r="D650" s="14" t="str">
        <f t="shared" si="561"/>
        <v>Monster.Name.RotationCube.Tier5</v>
      </c>
      <c r="E650" s="5" t="str">
        <f t="shared" si="561"/>
        <v>None</v>
      </c>
      <c r="F650" s="17" t="str">
        <f t="shared" si="561"/>
        <v>Fac_nul_ind</v>
      </c>
      <c r="G650" s="14" t="str">
        <f t="shared" si="561"/>
        <v>TRUE</v>
      </c>
      <c r="H650" s="14" t="str">
        <f t="shared" si="561"/>
        <v>TRUE</v>
      </c>
      <c r="I650" s="14" t="b">
        <f t="shared" si="561"/>
        <v>0</v>
      </c>
      <c r="J650" s="14">
        <f t="shared" si="561"/>
        <v>20</v>
      </c>
      <c r="K650" s="14">
        <f t="shared" si="561"/>
        <v>10</v>
      </c>
      <c r="L650" s="14" t="str">
        <f t="shared" si="561"/>
        <v/>
      </c>
      <c r="M650" s="14" t="str">
        <f t="shared" si="561"/>
        <v/>
      </c>
      <c r="N650" s="14" t="str">
        <f t="shared" si="561"/>
        <v/>
      </c>
      <c r="O650" s="17" t="str">
        <f t="shared" si="561"/>
        <v>Rotation.cube_tier05_03.skill01</v>
      </c>
      <c r="P650" s="14" t="str">
        <f t="shared" si="561"/>
        <v/>
      </c>
      <c r="Q650" s="14" t="str">
        <f t="shared" si="561"/>
        <v>Rotation.cube_tier05_03.Immun</v>
      </c>
      <c r="R650" s="14" t="str">
        <f t="shared" si="561"/>
        <v/>
      </c>
      <c r="S650" s="14" t="str">
        <f t="shared" si="561"/>
        <v/>
      </c>
      <c r="T650" s="14" t="str">
        <f t="shared" si="561"/>
        <v/>
      </c>
      <c r="U650" s="14" t="str">
        <f t="shared" si="561"/>
        <v/>
      </c>
      <c r="V650" s="14" t="b">
        <f t="shared" si="561"/>
        <v>0</v>
      </c>
      <c r="W650" s="14" t="str">
        <f t="shared" si="561"/>
        <v>Character/Prefabs/m_m_tanker_cube_tier05_03</v>
      </c>
      <c r="X650" s="14" t="str">
        <f t="shared" si="561"/>
        <v/>
      </c>
      <c r="Y650" s="14" t="str">
        <f t="shared" si="561"/>
        <v>m_m_tanker_cube_tier05_03</v>
      </c>
      <c r="Z650" s="14" t="str">
        <f t="shared" si="561"/>
        <v/>
      </c>
      <c r="AA650" s="14" t="str">
        <f t="shared" si="561"/>
        <v/>
      </c>
      <c r="AB650" s="14" t="str">
        <f t="shared" si="561"/>
        <v>Die_machine</v>
      </c>
      <c r="AC650" s="94">
        <f t="shared" si="561"/>
        <v>1</v>
      </c>
      <c r="AD650" s="14" t="str">
        <f t="shared" si="561"/>
        <v>Effect/Prefab/02.mob/cube_military_01/EFF_cube_military_01_hit_01</v>
      </c>
      <c r="AE650" s="14" t="str">
        <f t="shared" si="561"/>
        <v/>
      </c>
      <c r="AF650" s="14" t="str">
        <f t="shared" si="561"/>
        <v/>
      </c>
      <c r="AG650" s="173" t="s">
        <v>2765</v>
      </c>
    </row>
    <row r="651" spans="1:33" x14ac:dyDescent="0.3">
      <c r="A651" s="14">
        <f t="shared" si="533"/>
        <v>1610401024</v>
      </c>
      <c r="B651" s="14" t="str">
        <f t="shared" ref="B651:AF651" si="562">IF(B540 &lt;&gt; "", B540, "")</f>
        <v>Rotation</v>
      </c>
      <c r="C651" s="14" t="str">
        <f t="shared" si="562"/>
        <v>큐브05_04</v>
      </c>
      <c r="D651" s="14" t="str">
        <f t="shared" si="562"/>
        <v>Monster.Name.RotationCube.Tier5</v>
      </c>
      <c r="E651" s="5" t="str">
        <f t="shared" si="562"/>
        <v>None</v>
      </c>
      <c r="F651" s="17" t="str">
        <f t="shared" si="562"/>
        <v>Fac_nul_ind</v>
      </c>
      <c r="G651" s="14" t="str">
        <f t="shared" si="562"/>
        <v>TRUE</v>
      </c>
      <c r="H651" s="14" t="str">
        <f t="shared" si="562"/>
        <v>TRUE</v>
      </c>
      <c r="I651" s="14" t="b">
        <f t="shared" si="562"/>
        <v>0</v>
      </c>
      <c r="J651" s="14">
        <f t="shared" si="562"/>
        <v>20</v>
      </c>
      <c r="K651" s="14">
        <f t="shared" si="562"/>
        <v>10</v>
      </c>
      <c r="L651" s="14" t="str">
        <f t="shared" si="562"/>
        <v/>
      </c>
      <c r="M651" s="14" t="str">
        <f t="shared" si="562"/>
        <v/>
      </c>
      <c r="N651" s="14" t="str">
        <f t="shared" si="562"/>
        <v/>
      </c>
      <c r="O651" s="17" t="str">
        <f t="shared" si="562"/>
        <v>Rotation.cube_tier05_04.skill01</v>
      </c>
      <c r="P651" s="14" t="str">
        <f t="shared" si="562"/>
        <v/>
      </c>
      <c r="Q651" s="14" t="str">
        <f t="shared" si="562"/>
        <v>Rotation.cube_tier05_04.Immun</v>
      </c>
      <c r="R651" s="14" t="str">
        <f t="shared" si="562"/>
        <v/>
      </c>
      <c r="S651" s="14" t="str">
        <f t="shared" si="562"/>
        <v/>
      </c>
      <c r="T651" s="14" t="str">
        <f t="shared" si="562"/>
        <v/>
      </c>
      <c r="U651" s="14" t="str">
        <f t="shared" si="562"/>
        <v/>
      </c>
      <c r="V651" s="14" t="b">
        <f t="shared" si="562"/>
        <v>0</v>
      </c>
      <c r="W651" s="14" t="str">
        <f t="shared" si="562"/>
        <v>Character/Prefabs/m_m_tanker_cube_tier05_04</v>
      </c>
      <c r="X651" s="14" t="str">
        <f t="shared" si="562"/>
        <v/>
      </c>
      <c r="Y651" s="14" t="str">
        <f t="shared" si="562"/>
        <v>m_m_tanker_cube_tier05_04</v>
      </c>
      <c r="Z651" s="14" t="str">
        <f t="shared" si="562"/>
        <v/>
      </c>
      <c r="AA651" s="14" t="str">
        <f t="shared" si="562"/>
        <v/>
      </c>
      <c r="AB651" s="14" t="str">
        <f t="shared" si="562"/>
        <v>Die_machine</v>
      </c>
      <c r="AC651" s="94">
        <f t="shared" si="562"/>
        <v>1</v>
      </c>
      <c r="AD651" s="14" t="str">
        <f t="shared" si="562"/>
        <v>Effect/Prefab/02.mob/cube_military_01/EFF_cube_military_01_hit_01</v>
      </c>
      <c r="AE651" s="14" t="str">
        <f t="shared" si="562"/>
        <v/>
      </c>
      <c r="AF651" s="14" t="str">
        <f t="shared" si="562"/>
        <v/>
      </c>
      <c r="AG651" s="173" t="s">
        <v>2765</v>
      </c>
    </row>
    <row r="652" spans="1:33" x14ac:dyDescent="0.3">
      <c r="A652" s="14">
        <f t="shared" si="533"/>
        <v>1610401025</v>
      </c>
      <c r="B652" s="14" t="str">
        <f t="shared" ref="B652:AF652" si="563">IF(B541 &lt;&gt; "", B541, "")</f>
        <v>Rotation</v>
      </c>
      <c r="C652" s="14" t="str">
        <f t="shared" si="563"/>
        <v>큐브05_05</v>
      </c>
      <c r="D652" s="14" t="str">
        <f t="shared" si="563"/>
        <v>Monster.Name.RotationCube.Tier5</v>
      </c>
      <c r="E652" s="5" t="str">
        <f t="shared" si="563"/>
        <v>None</v>
      </c>
      <c r="F652" s="17" t="str">
        <f t="shared" si="563"/>
        <v>Fac_nul_ind</v>
      </c>
      <c r="G652" s="14" t="str">
        <f t="shared" si="563"/>
        <v>TRUE</v>
      </c>
      <c r="H652" s="14" t="str">
        <f t="shared" si="563"/>
        <v>TRUE</v>
      </c>
      <c r="I652" s="14" t="b">
        <f t="shared" si="563"/>
        <v>0</v>
      </c>
      <c r="J652" s="14">
        <f t="shared" si="563"/>
        <v>20</v>
      </c>
      <c r="K652" s="14">
        <f t="shared" si="563"/>
        <v>10</v>
      </c>
      <c r="L652" s="14" t="str">
        <f t="shared" si="563"/>
        <v/>
      </c>
      <c r="M652" s="14" t="str">
        <f t="shared" si="563"/>
        <v/>
      </c>
      <c r="N652" s="14" t="str">
        <f t="shared" si="563"/>
        <v/>
      </c>
      <c r="O652" s="17" t="str">
        <f t="shared" si="563"/>
        <v>Rotation.cube_tier05_05.skill01</v>
      </c>
      <c r="P652" s="14" t="str">
        <f t="shared" si="563"/>
        <v/>
      </c>
      <c r="Q652" s="14" t="str">
        <f t="shared" si="563"/>
        <v>Rotation.cube_tier05_05.Immun</v>
      </c>
      <c r="R652" s="14" t="str">
        <f t="shared" si="563"/>
        <v/>
      </c>
      <c r="S652" s="14" t="str">
        <f t="shared" si="563"/>
        <v/>
      </c>
      <c r="T652" s="14" t="str">
        <f t="shared" si="563"/>
        <v/>
      </c>
      <c r="U652" s="14" t="str">
        <f t="shared" si="563"/>
        <v/>
      </c>
      <c r="V652" s="14" t="b">
        <f t="shared" si="563"/>
        <v>0</v>
      </c>
      <c r="W652" s="14" t="str">
        <f t="shared" si="563"/>
        <v>Character/Prefabs/m_m_tanker_cube_tier05_05</v>
      </c>
      <c r="X652" s="14" t="str">
        <f t="shared" si="563"/>
        <v/>
      </c>
      <c r="Y652" s="14" t="str">
        <f t="shared" si="563"/>
        <v>m_m_tanker_cube_tier05_05</v>
      </c>
      <c r="Z652" s="14" t="str">
        <f t="shared" si="563"/>
        <v/>
      </c>
      <c r="AA652" s="14" t="str">
        <f t="shared" si="563"/>
        <v/>
      </c>
      <c r="AB652" s="14" t="str">
        <f t="shared" si="563"/>
        <v>Die_machine</v>
      </c>
      <c r="AC652" s="94">
        <f t="shared" si="563"/>
        <v>1</v>
      </c>
      <c r="AD652" s="14" t="str">
        <f t="shared" si="563"/>
        <v>Effect/Prefab/02.mob/cube_military_01/EFF_cube_military_01_hit_01</v>
      </c>
      <c r="AE652" s="14" t="str">
        <f t="shared" si="563"/>
        <v/>
      </c>
      <c r="AF652" s="14" t="str">
        <f t="shared" si="563"/>
        <v/>
      </c>
      <c r="AG652" s="173" t="s">
        <v>2765</v>
      </c>
    </row>
    <row r="653" spans="1:33" x14ac:dyDescent="0.3">
      <c r="A653" s="149">
        <f t="shared" si="533"/>
        <v>1610401101</v>
      </c>
      <c r="B653" s="149" t="str">
        <f t="shared" ref="B653:AF653" si="564">IF(B542 &lt;&gt; "", B542, "")</f>
        <v>이벤트보스</v>
      </c>
      <c r="C653" s="149" t="str">
        <f t="shared" si="564"/>
        <v>햄버거01</v>
      </c>
      <c r="D653" s="149" t="str">
        <f t="shared" si="564"/>
        <v>Monster.Name.trapburger_1</v>
      </c>
      <c r="E653" s="150" t="str">
        <f t="shared" si="564"/>
        <v>None</v>
      </c>
      <c r="F653" s="151" t="str">
        <f t="shared" si="564"/>
        <v>Fac_nul_ind</v>
      </c>
      <c r="G653" s="149" t="str">
        <f t="shared" si="564"/>
        <v>TRUE</v>
      </c>
      <c r="H653" s="149" t="str">
        <f t="shared" si="564"/>
        <v>TRUE</v>
      </c>
      <c r="I653" s="149" t="b">
        <f t="shared" si="564"/>
        <v>0</v>
      </c>
      <c r="J653" s="149">
        <f t="shared" si="564"/>
        <v>20</v>
      </c>
      <c r="K653" s="149">
        <f t="shared" si="564"/>
        <v>10</v>
      </c>
      <c r="L653" s="149" t="str">
        <f t="shared" si="564"/>
        <v/>
      </c>
      <c r="M653" s="149" t="str">
        <f t="shared" si="564"/>
        <v/>
      </c>
      <c r="N653" s="149" t="str">
        <f t="shared" si="564"/>
        <v/>
      </c>
      <c r="O653" s="151" t="str">
        <f t="shared" si="564"/>
        <v>Hamberger.skill01</v>
      </c>
      <c r="P653" s="149" t="str">
        <f t="shared" si="564"/>
        <v>Hamberger.passive</v>
      </c>
      <c r="Q653" s="149" t="str">
        <f t="shared" si="564"/>
        <v/>
      </c>
      <c r="R653" s="149" t="str">
        <f t="shared" si="564"/>
        <v/>
      </c>
      <c r="S653" s="149" t="str">
        <f t="shared" si="564"/>
        <v/>
      </c>
      <c r="T653" s="149" t="str">
        <f t="shared" si="564"/>
        <v/>
      </c>
      <c r="U653" s="149" t="str">
        <f t="shared" si="564"/>
        <v/>
      </c>
      <c r="V653" s="149" t="b">
        <f t="shared" si="564"/>
        <v>0</v>
      </c>
      <c r="W653" s="149" t="str">
        <f t="shared" si="564"/>
        <v>Character/Prefabs/m_m_tanker_trapburger_1</v>
      </c>
      <c r="X653" s="149" t="str">
        <f t="shared" si="564"/>
        <v/>
      </c>
      <c r="Y653" s="149" t="str">
        <f t="shared" si="564"/>
        <v>m_m_tanker_trapburger_1</v>
      </c>
      <c r="Z653" s="149" t="str">
        <f t="shared" si="564"/>
        <v/>
      </c>
      <c r="AA653" s="149" t="str">
        <f t="shared" si="564"/>
        <v/>
      </c>
      <c r="AB653" s="149" t="str">
        <f t="shared" si="564"/>
        <v>Die_machine</v>
      </c>
      <c r="AC653" s="152">
        <f t="shared" si="564"/>
        <v>1</v>
      </c>
      <c r="AD653" s="149" t="str">
        <f t="shared" si="564"/>
        <v/>
      </c>
      <c r="AE653" s="149" t="str">
        <f t="shared" si="564"/>
        <v/>
      </c>
      <c r="AF653" s="149" t="str">
        <f t="shared" si="564"/>
        <v/>
      </c>
      <c r="AG653" s="173" t="s">
        <v>2765</v>
      </c>
    </row>
    <row r="654" spans="1:33" x14ac:dyDescent="0.3">
      <c r="A654" s="149">
        <f t="shared" si="533"/>
        <v>1610401102</v>
      </c>
      <c r="B654" s="149" t="str">
        <f t="shared" ref="B654:AF654" si="565">IF(B543 &lt;&gt; "", B543, "")</f>
        <v>이벤트보스</v>
      </c>
      <c r="C654" s="149" t="str">
        <f t="shared" si="565"/>
        <v>햄버거02</v>
      </c>
      <c r="D654" s="149" t="str">
        <f t="shared" si="565"/>
        <v>Monster.Name.trapburger_2</v>
      </c>
      <c r="E654" s="150" t="str">
        <f t="shared" si="565"/>
        <v>None</v>
      </c>
      <c r="F654" s="151" t="str">
        <f t="shared" si="565"/>
        <v>Fac_nul_ind</v>
      </c>
      <c r="G654" s="149" t="str">
        <f t="shared" si="565"/>
        <v>TRUE</v>
      </c>
      <c r="H654" s="149" t="str">
        <f t="shared" si="565"/>
        <v>TRUE</v>
      </c>
      <c r="I654" s="149" t="b">
        <f t="shared" si="565"/>
        <v>0</v>
      </c>
      <c r="J654" s="149">
        <f t="shared" si="565"/>
        <v>20</v>
      </c>
      <c r="K654" s="149">
        <f t="shared" si="565"/>
        <v>10</v>
      </c>
      <c r="L654" s="149" t="str">
        <f t="shared" si="565"/>
        <v/>
      </c>
      <c r="M654" s="149" t="str">
        <f t="shared" si="565"/>
        <v/>
      </c>
      <c r="N654" s="149" t="str">
        <f t="shared" si="565"/>
        <v/>
      </c>
      <c r="O654" s="151" t="str">
        <f t="shared" si="565"/>
        <v>Hamberger.skill01</v>
      </c>
      <c r="P654" s="149" t="str">
        <f t="shared" si="565"/>
        <v>Hamberger.passive</v>
      </c>
      <c r="Q654" s="149" t="str">
        <f t="shared" si="565"/>
        <v/>
      </c>
      <c r="R654" s="149" t="str">
        <f t="shared" si="565"/>
        <v/>
      </c>
      <c r="S654" s="149" t="str">
        <f t="shared" si="565"/>
        <v/>
      </c>
      <c r="T654" s="149" t="str">
        <f t="shared" si="565"/>
        <v/>
      </c>
      <c r="U654" s="149" t="str">
        <f t="shared" si="565"/>
        <v/>
      </c>
      <c r="V654" s="149" t="b">
        <f t="shared" si="565"/>
        <v>0</v>
      </c>
      <c r="W654" s="149" t="str">
        <f t="shared" si="565"/>
        <v>Character/Prefabs/m_m_tanker_trapburger_2</v>
      </c>
      <c r="X654" s="149" t="str">
        <f t="shared" si="565"/>
        <v/>
      </c>
      <c r="Y654" s="149" t="str">
        <f t="shared" si="565"/>
        <v>m_m_tanker_trapburger_2</v>
      </c>
      <c r="Z654" s="149" t="str">
        <f t="shared" si="565"/>
        <v/>
      </c>
      <c r="AA654" s="149" t="str">
        <f t="shared" si="565"/>
        <v/>
      </c>
      <c r="AB654" s="149" t="str">
        <f t="shared" si="565"/>
        <v>Die_machine</v>
      </c>
      <c r="AC654" s="152">
        <f t="shared" si="565"/>
        <v>1</v>
      </c>
      <c r="AD654" s="149" t="str">
        <f t="shared" si="565"/>
        <v/>
      </c>
      <c r="AE654" s="149" t="str">
        <f t="shared" si="565"/>
        <v/>
      </c>
      <c r="AF654" s="149" t="str">
        <f t="shared" si="565"/>
        <v/>
      </c>
      <c r="AG654" s="173" t="s">
        <v>2765</v>
      </c>
    </row>
    <row r="655" spans="1:33" x14ac:dyDescent="0.3">
      <c r="A655" s="14">
        <f t="shared" si="533"/>
        <v>1610200101</v>
      </c>
      <c r="B655" s="14" t="str">
        <f t="shared" ref="B655:AF655" si="566">IF(B544 &lt;&gt; "", B544, "")</f>
        <v>섹터공용</v>
      </c>
      <c r="C655" s="14" t="str">
        <f t="shared" si="566"/>
        <v>플랭커</v>
      </c>
      <c r="D655" s="14" t="str">
        <f t="shared" si="566"/>
        <v>Monster.Name.roamer_flanker_1</v>
      </c>
      <c r="E655" s="14" t="str">
        <f t="shared" si="566"/>
        <v>Attacker</v>
      </c>
      <c r="F655" s="17" t="str">
        <f t="shared" si="566"/>
        <v>Fac_nul_ind</v>
      </c>
      <c r="G655" s="14" t="b">
        <f t="shared" si="566"/>
        <v>1</v>
      </c>
      <c r="H655" s="14" t="b">
        <f t="shared" si="566"/>
        <v>0</v>
      </c>
      <c r="I655" s="14" t="b">
        <f t="shared" si="566"/>
        <v>0</v>
      </c>
      <c r="J655" s="14">
        <f t="shared" si="566"/>
        <v>10</v>
      </c>
      <c r="K655" s="14">
        <f t="shared" si="566"/>
        <v>10</v>
      </c>
      <c r="L655" s="14" t="str">
        <f t="shared" si="566"/>
        <v>roamer_flanker_1.attack01</v>
      </c>
      <c r="M655" s="14" t="str">
        <f t="shared" si="566"/>
        <v/>
      </c>
      <c r="N655" s="14" t="str">
        <f t="shared" si="566"/>
        <v/>
      </c>
      <c r="O655" s="17" t="str">
        <f t="shared" si="566"/>
        <v>roamer_flanker_1.skill01</v>
      </c>
      <c r="P655" s="14" t="str">
        <f t="shared" si="566"/>
        <v/>
      </c>
      <c r="Q655" s="14" t="str">
        <f t="shared" si="566"/>
        <v/>
      </c>
      <c r="R655" s="14" t="str">
        <f t="shared" si="566"/>
        <v/>
      </c>
      <c r="S655" s="14" t="str">
        <f t="shared" si="566"/>
        <v/>
      </c>
      <c r="T655" s="14" t="str">
        <f t="shared" si="566"/>
        <v/>
      </c>
      <c r="U655" s="14" t="str">
        <f t="shared" si="566"/>
        <v/>
      </c>
      <c r="V655" s="14" t="b">
        <f t="shared" si="566"/>
        <v>0</v>
      </c>
      <c r="W655" s="14" t="str">
        <f t="shared" si="566"/>
        <v>Character/Prefabs/m_m_attacker_roamer_flanker_1</v>
      </c>
      <c r="X655" s="14" t="str">
        <f t="shared" si="566"/>
        <v/>
      </c>
      <c r="Y655" s="14" t="str">
        <f t="shared" si="566"/>
        <v>m_m_attacker_roamer_flanker_1</v>
      </c>
      <c r="Z655" s="14" t="str">
        <f t="shared" si="566"/>
        <v/>
      </c>
      <c r="AA655" s="14" t="str">
        <f t="shared" si="566"/>
        <v/>
      </c>
      <c r="AB655" s="14" t="str">
        <f t="shared" si="566"/>
        <v/>
      </c>
      <c r="AC655" s="94">
        <f t="shared" si="566"/>
        <v>1</v>
      </c>
      <c r="AD655" s="14" t="str">
        <f t="shared" si="566"/>
        <v/>
      </c>
      <c r="AE655" s="14" t="str">
        <f t="shared" si="566"/>
        <v/>
      </c>
      <c r="AF655" s="14" t="str">
        <f t="shared" si="566"/>
        <v/>
      </c>
      <c r="AG655" s="173" t="s">
        <v>2765</v>
      </c>
    </row>
    <row r="656" spans="1:33" x14ac:dyDescent="0.3">
      <c r="A656" s="14">
        <f t="shared" si="533"/>
        <v>1610200102</v>
      </c>
      <c r="B656" s="14" t="str">
        <f t="shared" ref="B656:AF656" si="567">IF(B545 &lt;&gt; "", B545, "")</f>
        <v>섹터공용</v>
      </c>
      <c r="C656" s="14" t="str">
        <f t="shared" si="567"/>
        <v>볼트쇼커</v>
      </c>
      <c r="D656" s="14" t="str">
        <f t="shared" si="567"/>
        <v>Monster.Name.roamer_voltshocker_1</v>
      </c>
      <c r="E656" s="14" t="str">
        <f t="shared" si="567"/>
        <v>Attacker</v>
      </c>
      <c r="F656" s="17" t="str">
        <f t="shared" si="567"/>
        <v>Fac_nul_ind</v>
      </c>
      <c r="G656" s="14" t="b">
        <f t="shared" si="567"/>
        <v>1</v>
      </c>
      <c r="H656" s="14" t="b">
        <f t="shared" si="567"/>
        <v>0</v>
      </c>
      <c r="I656" s="14" t="b">
        <f t="shared" si="567"/>
        <v>0</v>
      </c>
      <c r="J656" s="14">
        <f t="shared" si="567"/>
        <v>10</v>
      </c>
      <c r="K656" s="14">
        <f t="shared" si="567"/>
        <v>10</v>
      </c>
      <c r="L656" s="14" t="str">
        <f t="shared" si="567"/>
        <v>roamer_voltshocker_1.attack01</v>
      </c>
      <c r="M656" s="14" t="str">
        <f t="shared" si="567"/>
        <v/>
      </c>
      <c r="N656" s="14" t="str">
        <f t="shared" si="567"/>
        <v/>
      </c>
      <c r="O656" s="17" t="str">
        <f t="shared" si="567"/>
        <v>roamer_voltshocker_1.skill01</v>
      </c>
      <c r="P656" s="14" t="str">
        <f t="shared" si="567"/>
        <v/>
      </c>
      <c r="Q656" s="14" t="str">
        <f t="shared" si="567"/>
        <v/>
      </c>
      <c r="R656" s="14" t="str">
        <f t="shared" si="567"/>
        <v/>
      </c>
      <c r="S656" s="14" t="str">
        <f t="shared" si="567"/>
        <v/>
      </c>
      <c r="T656" s="14" t="str">
        <f t="shared" si="567"/>
        <v/>
      </c>
      <c r="U656" s="14" t="str">
        <f t="shared" si="567"/>
        <v/>
      </c>
      <c r="V656" s="14" t="b">
        <f t="shared" si="567"/>
        <v>0</v>
      </c>
      <c r="W656" s="14" t="str">
        <f t="shared" si="567"/>
        <v>Character/Prefabs/m_m_attacker_roamer_voltshocker_1</v>
      </c>
      <c r="X656" s="14" t="str">
        <f t="shared" si="567"/>
        <v/>
      </c>
      <c r="Y656" s="14" t="str">
        <f t="shared" si="567"/>
        <v>m_m_attacker_roamer_voltshocker_1</v>
      </c>
      <c r="Z656" s="14" t="str">
        <f t="shared" si="567"/>
        <v/>
      </c>
      <c r="AA656" s="14" t="str">
        <f t="shared" si="567"/>
        <v/>
      </c>
      <c r="AB656" s="14" t="str">
        <f t="shared" si="567"/>
        <v/>
      </c>
      <c r="AC656" s="94">
        <f t="shared" si="567"/>
        <v>1</v>
      </c>
      <c r="AD656" s="14" t="str">
        <f t="shared" si="567"/>
        <v/>
      </c>
      <c r="AE656" s="14" t="str">
        <f t="shared" si="567"/>
        <v/>
      </c>
      <c r="AF656" s="14" t="str">
        <f t="shared" si="567"/>
        <v/>
      </c>
      <c r="AG656" s="173" t="s">
        <v>2765</v>
      </c>
    </row>
    <row r="657" spans="1:33" x14ac:dyDescent="0.3">
      <c r="A657" s="14">
        <f t="shared" si="533"/>
        <v>1610200103</v>
      </c>
      <c r="B657" s="14" t="str">
        <f t="shared" ref="B657:AF657" si="568">IF(B546 &lt;&gt; "", B546, "")</f>
        <v>섹터공용</v>
      </c>
      <c r="C657" s="14" t="str">
        <f t="shared" si="568"/>
        <v>플로터</v>
      </c>
      <c r="D657" s="14" t="str">
        <f t="shared" si="568"/>
        <v>Monster.Name.floater_1</v>
      </c>
      <c r="E657" s="14" t="str">
        <f t="shared" si="568"/>
        <v>Supporter</v>
      </c>
      <c r="F657" s="17" t="str">
        <f t="shared" si="568"/>
        <v>Fac_nul_ind</v>
      </c>
      <c r="G657" s="14" t="b">
        <f t="shared" si="568"/>
        <v>1</v>
      </c>
      <c r="H657" s="14" t="b">
        <f t="shared" si="568"/>
        <v>0</v>
      </c>
      <c r="I657" s="14" t="b">
        <f t="shared" si="568"/>
        <v>0</v>
      </c>
      <c r="J657" s="14">
        <f t="shared" si="568"/>
        <v>10</v>
      </c>
      <c r="K657" s="14">
        <f t="shared" si="568"/>
        <v>10</v>
      </c>
      <c r="L657" s="14" t="str">
        <f t="shared" si="568"/>
        <v>roamer_floater_1.attack01</v>
      </c>
      <c r="M657" s="14" t="str">
        <f t="shared" si="568"/>
        <v/>
      </c>
      <c r="N657" s="14" t="str">
        <f t="shared" si="568"/>
        <v/>
      </c>
      <c r="O657" s="17" t="str">
        <f t="shared" si="568"/>
        <v>roamer_floater_1.skill01</v>
      </c>
      <c r="P657" s="14" t="str">
        <f t="shared" si="568"/>
        <v/>
      </c>
      <c r="Q657" s="14" t="str">
        <f t="shared" si="568"/>
        <v/>
      </c>
      <c r="R657" s="14" t="str">
        <f t="shared" si="568"/>
        <v/>
      </c>
      <c r="S657" s="14" t="str">
        <f t="shared" si="568"/>
        <v/>
      </c>
      <c r="T657" s="14" t="str">
        <f t="shared" si="568"/>
        <v/>
      </c>
      <c r="U657" s="14" t="str">
        <f t="shared" si="568"/>
        <v/>
      </c>
      <c r="V657" s="14" t="b">
        <f t="shared" si="568"/>
        <v>0</v>
      </c>
      <c r="W657" s="14" t="str">
        <f t="shared" si="568"/>
        <v>Character/Prefabs/m_m_supporter_roamer_floater_1</v>
      </c>
      <c r="X657" s="14" t="str">
        <f t="shared" si="568"/>
        <v/>
      </c>
      <c r="Y657" s="14" t="str">
        <f t="shared" si="568"/>
        <v>m_m_supporter_roamer_floater_1</v>
      </c>
      <c r="Z657" s="14" t="str">
        <f t="shared" si="568"/>
        <v/>
      </c>
      <c r="AA657" s="14" t="str">
        <f t="shared" si="568"/>
        <v/>
      </c>
      <c r="AB657" s="14" t="str">
        <f t="shared" si="568"/>
        <v/>
      </c>
      <c r="AC657" s="94">
        <f t="shared" si="568"/>
        <v>0.6</v>
      </c>
      <c r="AD657" s="14" t="str">
        <f t="shared" si="568"/>
        <v/>
      </c>
      <c r="AE657" s="14" t="str">
        <f t="shared" si="568"/>
        <v/>
      </c>
      <c r="AF657" s="14" t="str">
        <f t="shared" si="568"/>
        <v/>
      </c>
      <c r="AG657" s="173" t="s">
        <v>2765</v>
      </c>
    </row>
    <row r="658" spans="1:33" x14ac:dyDescent="0.3">
      <c r="A658" s="14">
        <f t="shared" si="533"/>
        <v>1611601301</v>
      </c>
      <c r="B658" s="14" t="str">
        <f t="shared" ref="B658:AF658" si="569">IF(B547 &lt;&gt; "", B547, "")</f>
        <v>EventStory</v>
      </c>
      <c r="C658" s="14" t="str">
        <f t="shared" si="569"/>
        <v>게임마스터</v>
      </c>
      <c r="D658" s="14" t="str">
        <f t="shared" si="569"/>
        <v>Monster.Name.gamemaster_1</v>
      </c>
      <c r="E658" s="14" t="str">
        <f t="shared" si="569"/>
        <v>None</v>
      </c>
      <c r="F658" s="17" t="str">
        <f t="shared" si="569"/>
        <v>Fac_nul_ind</v>
      </c>
      <c r="G658" s="14" t="str">
        <f t="shared" si="569"/>
        <v>TRUE</v>
      </c>
      <c r="H658" s="14" t="b">
        <f t="shared" si="569"/>
        <v>1</v>
      </c>
      <c r="I658" s="14" t="b">
        <f t="shared" si="569"/>
        <v>1</v>
      </c>
      <c r="J658" s="14">
        <f t="shared" si="569"/>
        <v>10</v>
      </c>
      <c r="K658" s="14">
        <f t="shared" si="569"/>
        <v>10</v>
      </c>
      <c r="L658" s="14" t="str">
        <f t="shared" si="569"/>
        <v>EventStory.gamemaster_1.attack01</v>
      </c>
      <c r="M658" s="14" t="str">
        <f t="shared" si="569"/>
        <v>EventStory.gamemaster_1.attack02</v>
      </c>
      <c r="N658" s="14" t="str">
        <f t="shared" si="569"/>
        <v/>
      </c>
      <c r="O658" s="17" t="str">
        <f t="shared" si="569"/>
        <v>EventStory.gamemaster_1.skill01</v>
      </c>
      <c r="P658" s="14" t="str">
        <f t="shared" si="569"/>
        <v>EventStory.gamemaster_1.passive01</v>
      </c>
      <c r="Q658" s="14" t="str">
        <f t="shared" si="569"/>
        <v/>
      </c>
      <c r="R658" s="14" t="str">
        <f t="shared" si="569"/>
        <v/>
      </c>
      <c r="S658" s="14" t="str">
        <f t="shared" si="569"/>
        <v/>
      </c>
      <c r="T658" s="14" t="str">
        <f t="shared" si="569"/>
        <v/>
      </c>
      <c r="U658" s="14" t="str">
        <f t="shared" si="569"/>
        <v/>
      </c>
      <c r="V658" s="14" t="b">
        <f t="shared" si="569"/>
        <v>0</v>
      </c>
      <c r="W658" s="14" t="str">
        <f t="shared" si="569"/>
        <v>Character/Prefabs/m_boss_ranger_gamemaster_1</v>
      </c>
      <c r="X658" s="14" t="str">
        <f t="shared" si="569"/>
        <v/>
      </c>
      <c r="Y658" s="14" t="str">
        <f t="shared" si="569"/>
        <v>m_boss_ranger_gamemaster_1</v>
      </c>
      <c r="Z658" s="14" t="str">
        <f t="shared" si="569"/>
        <v/>
      </c>
      <c r="AA658" s="14" t="str">
        <f t="shared" si="569"/>
        <v/>
      </c>
      <c r="AB658" s="14" t="str">
        <f t="shared" si="569"/>
        <v/>
      </c>
      <c r="AC658" s="94">
        <f t="shared" si="569"/>
        <v>1</v>
      </c>
      <c r="AD658" s="14" t="str">
        <f t="shared" si="569"/>
        <v/>
      </c>
      <c r="AE658" s="14" t="str">
        <f t="shared" si="569"/>
        <v/>
      </c>
      <c r="AF658" s="14" t="str">
        <f t="shared" si="569"/>
        <v/>
      </c>
      <c r="AG658" s="173" t="s">
        <v>2765</v>
      </c>
    </row>
    <row r="659" spans="1:33" x14ac:dyDescent="0.3">
      <c r="A659" s="14">
        <f t="shared" si="533"/>
        <v>1611601302</v>
      </c>
      <c r="B659" s="14" t="str">
        <f t="shared" ref="B659:AF659" si="570">IF(B548 &lt;&gt; "", B548, "")</f>
        <v>EventStory</v>
      </c>
      <c r="C659" s="14" t="str">
        <f t="shared" si="570"/>
        <v>메카토아</v>
      </c>
      <c r="D659" s="14" t="str">
        <f t="shared" si="570"/>
        <v>Monster.Name.mechatoa_1</v>
      </c>
      <c r="E659" s="14" t="str">
        <f t="shared" si="570"/>
        <v>None</v>
      </c>
      <c r="F659" s="17" t="str">
        <f t="shared" si="570"/>
        <v>Fac_nul_ind</v>
      </c>
      <c r="G659" s="14" t="str">
        <f t="shared" si="570"/>
        <v>TRUE</v>
      </c>
      <c r="H659" s="14" t="b">
        <f t="shared" si="570"/>
        <v>1</v>
      </c>
      <c r="I659" s="14" t="b">
        <f t="shared" si="570"/>
        <v>1</v>
      </c>
      <c r="J659" s="14">
        <f t="shared" si="570"/>
        <v>20</v>
      </c>
      <c r="K659" s="14">
        <f t="shared" si="570"/>
        <v>10</v>
      </c>
      <c r="L659" s="14" t="str">
        <f t="shared" si="570"/>
        <v>EventStory.mechatoa_1.attack01</v>
      </c>
      <c r="M659" s="14" t="str">
        <f t="shared" si="570"/>
        <v>EventStory.mechatoa_1.attack02</v>
      </c>
      <c r="N659" s="14" t="str">
        <f t="shared" si="570"/>
        <v/>
      </c>
      <c r="O659" s="17" t="str">
        <f t="shared" si="570"/>
        <v>EventStory.mechatoa_1.skill01</v>
      </c>
      <c r="P659" s="14" t="str">
        <f t="shared" si="570"/>
        <v>EventStory.mechatoa_1.passive01</v>
      </c>
      <c r="Q659" s="14" t="str">
        <f t="shared" si="570"/>
        <v/>
      </c>
      <c r="R659" s="14" t="str">
        <f t="shared" si="570"/>
        <v/>
      </c>
      <c r="S659" s="14" t="str">
        <f t="shared" si="570"/>
        <v/>
      </c>
      <c r="T659" s="14" t="str">
        <f t="shared" si="570"/>
        <v/>
      </c>
      <c r="U659" s="14" t="str">
        <f t="shared" si="570"/>
        <v/>
      </c>
      <c r="V659" s="14" t="b">
        <f t="shared" si="570"/>
        <v>0</v>
      </c>
      <c r="W659" s="14" t="str">
        <f t="shared" si="570"/>
        <v>Character/Prefabs/m_boss_attacker_mechatoa_1</v>
      </c>
      <c r="X659" s="14" t="str">
        <f t="shared" si="570"/>
        <v/>
      </c>
      <c r="Y659" s="14" t="str">
        <f t="shared" si="570"/>
        <v>m_boss_attacker_mechatoa_1</v>
      </c>
      <c r="Z659" s="14" t="str">
        <f t="shared" si="570"/>
        <v/>
      </c>
      <c r="AA659" s="14" t="str">
        <f t="shared" si="570"/>
        <v/>
      </c>
      <c r="AB659" s="14" t="str">
        <f t="shared" si="570"/>
        <v/>
      </c>
      <c r="AC659" s="94">
        <f t="shared" si="570"/>
        <v>1</v>
      </c>
      <c r="AD659" s="14" t="str">
        <f t="shared" si="570"/>
        <v/>
      </c>
      <c r="AE659" s="14" t="str">
        <f t="shared" si="570"/>
        <v/>
      </c>
      <c r="AF659" s="14" t="str">
        <f t="shared" si="570"/>
        <v/>
      </c>
      <c r="AG659" s="173" t="s">
        <v>2765</v>
      </c>
    </row>
    <row r="660" spans="1:33" x14ac:dyDescent="0.3">
      <c r="A660" s="14">
        <f t="shared" si="533"/>
        <v>1611601303</v>
      </c>
      <c r="B660" s="14" t="str">
        <f t="shared" ref="B660:AF660" si="571">IF(B549 &lt;&gt; "", B549, "")</f>
        <v>EventStory</v>
      </c>
      <c r="C660" s="14" t="str">
        <f t="shared" si="571"/>
        <v>팬더해피</v>
      </c>
      <c r="D660" s="14" t="str">
        <f t="shared" si="571"/>
        <v>Monster.Name.pandahappy_1</v>
      </c>
      <c r="E660" s="14" t="str">
        <f t="shared" si="571"/>
        <v>None</v>
      </c>
      <c r="F660" s="14" t="str">
        <f t="shared" si="571"/>
        <v>Fac_nul_ind</v>
      </c>
      <c r="G660" s="14" t="str">
        <f t="shared" si="571"/>
        <v>TRUE</v>
      </c>
      <c r="H660" s="14" t="b">
        <f t="shared" si="571"/>
        <v>1</v>
      </c>
      <c r="I660" s="14" t="b">
        <f t="shared" si="571"/>
        <v>1</v>
      </c>
      <c r="J660" s="14">
        <f t="shared" si="571"/>
        <v>20</v>
      </c>
      <c r="K660" s="14">
        <f t="shared" si="571"/>
        <v>10</v>
      </c>
      <c r="L660" s="14" t="str">
        <f t="shared" si="571"/>
        <v>EventStory.pandahappy_1.attack01</v>
      </c>
      <c r="M660" s="14" t="str">
        <f t="shared" si="571"/>
        <v>EventStory.pandahappy_1.attack02</v>
      </c>
      <c r="N660" s="14" t="str">
        <f t="shared" si="571"/>
        <v/>
      </c>
      <c r="O660" s="178" t="str">
        <f t="shared" si="571"/>
        <v>EventStory.pandahappy_1.skill01</v>
      </c>
      <c r="P660" s="14" t="str">
        <f t="shared" si="571"/>
        <v>EventStory.pandahappy_1.passive01</v>
      </c>
      <c r="Q660" s="14" t="str">
        <f t="shared" si="571"/>
        <v/>
      </c>
      <c r="R660" s="14" t="str">
        <f t="shared" si="571"/>
        <v/>
      </c>
      <c r="S660" s="14" t="str">
        <f t="shared" si="571"/>
        <v/>
      </c>
      <c r="T660" s="14" t="str">
        <f t="shared" si="571"/>
        <v/>
      </c>
      <c r="U660" s="14" t="str">
        <f t="shared" si="571"/>
        <v/>
      </c>
      <c r="V660" s="14" t="b">
        <f t="shared" si="571"/>
        <v>0</v>
      </c>
      <c r="W660" s="14" t="str">
        <f t="shared" si="571"/>
        <v>Character/Prefabs/m_boss_attacker_pandahappy_1</v>
      </c>
      <c r="X660" s="14" t="str">
        <f t="shared" si="571"/>
        <v/>
      </c>
      <c r="Y660" s="14" t="str">
        <f t="shared" si="571"/>
        <v>m_boss_attacker_pandahappy_1</v>
      </c>
      <c r="Z660" s="14" t="str">
        <f t="shared" si="571"/>
        <v/>
      </c>
      <c r="AA660" s="14" t="str">
        <f t="shared" si="571"/>
        <v/>
      </c>
      <c r="AB660" s="14" t="str">
        <f t="shared" si="571"/>
        <v/>
      </c>
      <c r="AC660" s="94">
        <f t="shared" si="571"/>
        <v>1.3</v>
      </c>
      <c r="AD660" s="14" t="str">
        <f t="shared" si="571"/>
        <v/>
      </c>
      <c r="AE660" s="14" t="str">
        <f t="shared" si="571"/>
        <v/>
      </c>
      <c r="AF660" s="14" t="str">
        <f t="shared" si="571"/>
        <v/>
      </c>
      <c r="AG660" s="173" t="s">
        <v>2765</v>
      </c>
    </row>
    <row r="661" spans="1:33" x14ac:dyDescent="0.3">
      <c r="A661" s="14">
        <f t="shared" si="533"/>
        <v>1611601304</v>
      </c>
      <c r="B661" s="14" t="str">
        <f t="shared" ref="B661:AF661" si="572">IF(B550 &lt;&gt; "", B550, "")</f>
        <v>EventStory</v>
      </c>
      <c r="C661" s="14" t="str">
        <f t="shared" si="572"/>
        <v>버려진수호자</v>
      </c>
      <c r="D661" s="14" t="str">
        <f t="shared" si="572"/>
        <v>Monster.Name.oldguardian_1</v>
      </c>
      <c r="E661" s="14" t="str">
        <f t="shared" si="572"/>
        <v>None</v>
      </c>
      <c r="F661" s="14" t="str">
        <f t="shared" si="572"/>
        <v>Fac_nul_ind</v>
      </c>
      <c r="G661" s="14" t="str">
        <f t="shared" si="572"/>
        <v>TRUE</v>
      </c>
      <c r="H661" s="14" t="b">
        <f t="shared" si="572"/>
        <v>1</v>
      </c>
      <c r="I661" s="14" t="b">
        <f t="shared" si="572"/>
        <v>1</v>
      </c>
      <c r="J661" s="14">
        <f t="shared" si="572"/>
        <v>20</v>
      </c>
      <c r="K661" s="14">
        <f t="shared" si="572"/>
        <v>10</v>
      </c>
      <c r="L661" s="14" t="str">
        <f t="shared" si="572"/>
        <v>EventStory.oldguardian_1.attack01</v>
      </c>
      <c r="M661" s="14" t="str">
        <f t="shared" si="572"/>
        <v>EventStory.oldguardian_1.attack02</v>
      </c>
      <c r="N661" s="14" t="str">
        <f t="shared" si="572"/>
        <v/>
      </c>
      <c r="O661" s="178" t="str">
        <f t="shared" si="572"/>
        <v>EventStory.oldguardian_1.skill01</v>
      </c>
      <c r="P661" s="14" t="str">
        <f t="shared" si="572"/>
        <v>EventStory.oldguardian_1.passive01</v>
      </c>
      <c r="Q661" s="14" t="str">
        <f t="shared" si="572"/>
        <v/>
      </c>
      <c r="R661" s="14" t="str">
        <f t="shared" si="572"/>
        <v/>
      </c>
      <c r="S661" s="14" t="str">
        <f t="shared" si="572"/>
        <v/>
      </c>
      <c r="T661" s="14" t="str">
        <f t="shared" si="572"/>
        <v/>
      </c>
      <c r="U661" s="14" t="str">
        <f t="shared" si="572"/>
        <v/>
      </c>
      <c r="V661" s="14" t="b">
        <f t="shared" si="572"/>
        <v>0</v>
      </c>
      <c r="W661" s="14" t="str">
        <f t="shared" si="572"/>
        <v>Character/Prefabs/m_boss_ranger_oldguardian_1</v>
      </c>
      <c r="X661" s="14" t="str">
        <f t="shared" si="572"/>
        <v/>
      </c>
      <c r="Y661" s="14" t="str">
        <f t="shared" si="572"/>
        <v>m_boss_ranger_oldguardian_1</v>
      </c>
      <c r="Z661" s="14" t="str">
        <f t="shared" si="572"/>
        <v/>
      </c>
      <c r="AA661" s="14" t="str">
        <f t="shared" si="572"/>
        <v/>
      </c>
      <c r="AB661" s="14" t="str">
        <f t="shared" si="572"/>
        <v/>
      </c>
      <c r="AC661" s="94">
        <f t="shared" si="572"/>
        <v>0.8</v>
      </c>
      <c r="AD661" s="14" t="str">
        <f t="shared" si="572"/>
        <v/>
      </c>
      <c r="AE661" s="14" t="str">
        <f t="shared" si="572"/>
        <v/>
      </c>
      <c r="AF661" s="14" t="str">
        <f t="shared" si="572"/>
        <v/>
      </c>
      <c r="AG661" s="173" t="s">
        <v>2765</v>
      </c>
    </row>
    <row r="662" spans="1:33" x14ac:dyDescent="0.3">
      <c r="A662" s="14">
        <f t="shared" si="533"/>
        <v>1611601305</v>
      </c>
      <c r="B662" s="14" t="str">
        <f t="shared" ref="B662:AF662" si="573">IF(B551 &lt;&gt; "", B551, "")</f>
        <v>EventStory</v>
      </c>
      <c r="C662" s="14" t="str">
        <f t="shared" si="573"/>
        <v>시비우자동장치</v>
      </c>
      <c r="D662" s="14" t="str">
        <f t="shared" si="573"/>
        <v>Monster.Name.sibiurobot_1</v>
      </c>
      <c r="E662" s="14" t="str">
        <f t="shared" si="573"/>
        <v>None</v>
      </c>
      <c r="F662" s="14" t="str">
        <f t="shared" si="573"/>
        <v>Fac_nul_ind</v>
      </c>
      <c r="G662" s="14" t="str">
        <f t="shared" si="573"/>
        <v>TRUE</v>
      </c>
      <c r="H662" s="14" t="b">
        <f t="shared" si="573"/>
        <v>1</v>
      </c>
      <c r="I662" s="14" t="b">
        <f t="shared" si="573"/>
        <v>1</v>
      </c>
      <c r="J662" s="14">
        <f t="shared" si="573"/>
        <v>10</v>
      </c>
      <c r="K662" s="14">
        <f t="shared" si="573"/>
        <v>10</v>
      </c>
      <c r="L662" s="14" t="str">
        <f t="shared" si="573"/>
        <v>EventStory.sibiurobot_1.attack01</v>
      </c>
      <c r="M662" s="14" t="str">
        <f t="shared" si="573"/>
        <v>EventStory.sibiurobot_1.attack02</v>
      </c>
      <c r="N662" s="14" t="str">
        <f t="shared" si="573"/>
        <v/>
      </c>
      <c r="O662" s="178" t="str">
        <f t="shared" si="573"/>
        <v>EventStory.sibiurobot_1.skill01</v>
      </c>
      <c r="P662" s="14" t="str">
        <f t="shared" si="573"/>
        <v>EventStory.sibiurobot_1.passive01</v>
      </c>
      <c r="Q662" s="14" t="str">
        <f t="shared" si="573"/>
        <v/>
      </c>
      <c r="R662" s="14" t="str">
        <f t="shared" si="573"/>
        <v/>
      </c>
      <c r="S662" s="14" t="str">
        <f t="shared" si="573"/>
        <v/>
      </c>
      <c r="T662" s="14" t="str">
        <f t="shared" si="573"/>
        <v/>
      </c>
      <c r="U662" s="14" t="str">
        <f t="shared" si="573"/>
        <v/>
      </c>
      <c r="V662" s="14" t="b">
        <f t="shared" si="573"/>
        <v>0</v>
      </c>
      <c r="W662" s="14" t="str">
        <f t="shared" si="573"/>
        <v>Character/Prefabs/m_boss_ranger_sibiurobot_1</v>
      </c>
      <c r="X662" s="14" t="str">
        <f t="shared" si="573"/>
        <v/>
      </c>
      <c r="Y662" s="14" t="str">
        <f t="shared" si="573"/>
        <v>m_boss_ranger_sibiurobot_1</v>
      </c>
      <c r="Z662" s="14" t="str">
        <f t="shared" si="573"/>
        <v/>
      </c>
      <c r="AA662" s="14" t="str">
        <f t="shared" si="573"/>
        <v/>
      </c>
      <c r="AB662" s="14" t="str">
        <f t="shared" si="573"/>
        <v/>
      </c>
      <c r="AC662" s="94">
        <f t="shared" si="573"/>
        <v>1</v>
      </c>
      <c r="AD662" s="14" t="str">
        <f t="shared" si="573"/>
        <v/>
      </c>
      <c r="AE662" s="14" t="str">
        <f t="shared" si="573"/>
        <v/>
      </c>
      <c r="AF662" s="14" t="str">
        <f t="shared" si="573"/>
        <v/>
      </c>
      <c r="AG662" s="173" t="s">
        <v>2765</v>
      </c>
    </row>
    <row r="663" spans="1:33" x14ac:dyDescent="0.3">
      <c r="A663" s="14">
        <f t="shared" ref="A663:A665" si="574">A552+100000000</f>
        <v>1611601306</v>
      </c>
      <c r="B663" s="14" t="str">
        <f t="shared" ref="B663:AF663" si="575">IF(B552 &lt;&gt; "", B552, "")</f>
        <v>EventStory</v>
      </c>
      <c r="C663" s="14" t="str">
        <f t="shared" si="575"/>
        <v>드론네스트</v>
      </c>
      <c r="D663" s="14" t="str">
        <f t="shared" si="575"/>
        <v>Monster.Name.dronenest_1</v>
      </c>
      <c r="E663" s="14" t="str">
        <f t="shared" si="575"/>
        <v>None</v>
      </c>
      <c r="F663" s="14" t="str">
        <f t="shared" si="575"/>
        <v>Fac_nul_ind</v>
      </c>
      <c r="G663" s="14" t="str">
        <f t="shared" si="575"/>
        <v>TRUE</v>
      </c>
      <c r="H663" s="14" t="b">
        <f t="shared" si="575"/>
        <v>1</v>
      </c>
      <c r="I663" s="14" t="b">
        <f t="shared" si="575"/>
        <v>1</v>
      </c>
      <c r="J663" s="14">
        <f t="shared" si="575"/>
        <v>20</v>
      </c>
      <c r="K663" s="14">
        <f t="shared" si="575"/>
        <v>10</v>
      </c>
      <c r="L663" s="14" t="str">
        <f t="shared" si="575"/>
        <v>EventStory.dronenest_1.attack01</v>
      </c>
      <c r="M663" s="14" t="str">
        <f t="shared" si="575"/>
        <v>EventStory.dronenest_1.attack02</v>
      </c>
      <c r="N663" s="14" t="str">
        <f t="shared" si="575"/>
        <v/>
      </c>
      <c r="O663" s="178" t="str">
        <f t="shared" si="575"/>
        <v>EventStory.dronenest_1.skill01</v>
      </c>
      <c r="P663" s="14" t="str">
        <f t="shared" si="575"/>
        <v/>
      </c>
      <c r="Q663" s="14" t="str">
        <f t="shared" si="575"/>
        <v/>
      </c>
      <c r="R663" s="14" t="str">
        <f t="shared" si="575"/>
        <v/>
      </c>
      <c r="S663" s="14" t="str">
        <f t="shared" si="575"/>
        <v/>
      </c>
      <c r="T663" s="14" t="str">
        <f t="shared" si="575"/>
        <v/>
      </c>
      <c r="U663" s="14" t="str">
        <f t="shared" si="575"/>
        <v/>
      </c>
      <c r="V663" s="14" t="b">
        <f t="shared" si="575"/>
        <v>0</v>
      </c>
      <c r="W663" s="14" t="str">
        <f t="shared" si="575"/>
        <v>Character/Prefabs/m_boss_supporter_dronenest_1</v>
      </c>
      <c r="X663" s="14" t="str">
        <f t="shared" si="575"/>
        <v/>
      </c>
      <c r="Y663" s="14" t="str">
        <f t="shared" si="575"/>
        <v>m_boss_supporter_dronenest_1</v>
      </c>
      <c r="Z663" s="14" t="str">
        <f t="shared" si="575"/>
        <v/>
      </c>
      <c r="AA663" s="14" t="str">
        <f t="shared" si="575"/>
        <v/>
      </c>
      <c r="AB663" s="14" t="str">
        <f t="shared" si="575"/>
        <v/>
      </c>
      <c r="AC663" s="94">
        <f t="shared" si="575"/>
        <v>0.8</v>
      </c>
      <c r="AD663" s="14" t="str">
        <f t="shared" si="575"/>
        <v/>
      </c>
      <c r="AE663" s="14" t="str">
        <f t="shared" si="575"/>
        <v/>
      </c>
      <c r="AF663" s="14" t="str">
        <f t="shared" si="575"/>
        <v/>
      </c>
      <c r="AG663" s="173" t="s">
        <v>2758</v>
      </c>
    </row>
    <row r="664" spans="1:33" x14ac:dyDescent="0.3">
      <c r="A664" s="14">
        <f t="shared" si="574"/>
        <v>1611601307</v>
      </c>
      <c r="B664" s="14" t="str">
        <f t="shared" ref="B664:AF664" si="576">IF(B553 &lt;&gt; "", B553, "")</f>
        <v>EventStory</v>
      </c>
      <c r="C664" s="14" t="str">
        <f t="shared" si="576"/>
        <v>드론네스트_소환</v>
      </c>
      <c r="D664" s="14" t="str">
        <f t="shared" si="576"/>
        <v>Monster.Name.Interceptor_1</v>
      </c>
      <c r="E664" s="14" t="str">
        <f t="shared" si="576"/>
        <v>None</v>
      </c>
      <c r="F664" s="14" t="str">
        <f t="shared" si="576"/>
        <v>Fac_nul_ind</v>
      </c>
      <c r="G664" s="14" t="str">
        <f t="shared" si="576"/>
        <v>TRUE</v>
      </c>
      <c r="H664" s="14" t="b">
        <f t="shared" si="576"/>
        <v>0</v>
      </c>
      <c r="I664" s="14" t="b">
        <f t="shared" si="576"/>
        <v>0</v>
      </c>
      <c r="J664" s="14">
        <f t="shared" si="576"/>
        <v>10</v>
      </c>
      <c r="K664" s="14">
        <f t="shared" si="576"/>
        <v>10</v>
      </c>
      <c r="L664" s="14" t="str">
        <f t="shared" si="576"/>
        <v>EventStory.Interceptor_1.attack01</v>
      </c>
      <c r="M664" s="14" t="str">
        <f t="shared" si="576"/>
        <v/>
      </c>
      <c r="N664" s="14" t="str">
        <f t="shared" si="576"/>
        <v/>
      </c>
      <c r="O664" s="178" t="str">
        <f t="shared" si="576"/>
        <v/>
      </c>
      <c r="P664" s="14" t="str">
        <f t="shared" si="576"/>
        <v/>
      </c>
      <c r="Q664" s="14" t="str">
        <f t="shared" si="576"/>
        <v/>
      </c>
      <c r="R664" s="14" t="str">
        <f t="shared" si="576"/>
        <v/>
      </c>
      <c r="S664" s="14" t="str">
        <f t="shared" si="576"/>
        <v/>
      </c>
      <c r="T664" s="14" t="str">
        <f t="shared" si="576"/>
        <v/>
      </c>
      <c r="U664" s="14" t="str">
        <f t="shared" si="576"/>
        <v/>
      </c>
      <c r="V664" s="14" t="b">
        <f t="shared" si="576"/>
        <v>0</v>
      </c>
      <c r="W664" s="14" t="str">
        <f t="shared" si="576"/>
        <v>Character/Prefabs/m_s_ranger_interceptor_1</v>
      </c>
      <c r="X664" s="14" t="str">
        <f t="shared" si="576"/>
        <v/>
      </c>
      <c r="Y664" s="14" t="str">
        <f t="shared" si="576"/>
        <v>m_s_ranger_interceptor_1</v>
      </c>
      <c r="Z664" s="14" t="str">
        <f t="shared" si="576"/>
        <v/>
      </c>
      <c r="AA664" s="14" t="str">
        <f t="shared" si="576"/>
        <v/>
      </c>
      <c r="AB664" s="14" t="str">
        <f t="shared" si="576"/>
        <v/>
      </c>
      <c r="AC664" s="94">
        <f t="shared" si="576"/>
        <v>1</v>
      </c>
      <c r="AD664" s="14" t="str">
        <f t="shared" si="576"/>
        <v/>
      </c>
      <c r="AE664" s="14" t="str">
        <f t="shared" si="576"/>
        <v/>
      </c>
      <c r="AF664" s="14" t="str">
        <f t="shared" si="576"/>
        <v/>
      </c>
      <c r="AG664" s="173" t="s">
        <v>2758</v>
      </c>
    </row>
    <row r="665" spans="1:33" x14ac:dyDescent="0.3">
      <c r="A665" s="14">
        <f t="shared" si="574"/>
        <v>1611601308</v>
      </c>
      <c r="B665" s="14" t="str">
        <f t="shared" ref="B665:AF665" si="577">IF(B554 &lt;&gt; "", B554, "")</f>
        <v>EventStory</v>
      </c>
      <c r="C665" s="14" t="str">
        <f t="shared" si="577"/>
        <v>아이라스(졸)</v>
      </c>
      <c r="D665" s="14" t="str">
        <f t="shared" si="577"/>
        <v>Monster.Name.mechakanata_1</v>
      </c>
      <c r="E665" s="14" t="str">
        <f t="shared" si="577"/>
        <v>Attacker</v>
      </c>
      <c r="F665" s="14" t="str">
        <f t="shared" si="577"/>
        <v>Fac_art_app</v>
      </c>
      <c r="G665" s="14" t="str">
        <f t="shared" si="577"/>
        <v>TRUE</v>
      </c>
      <c r="H665" s="14" t="b">
        <f t="shared" si="577"/>
        <v>0</v>
      </c>
      <c r="I665" s="14" t="b">
        <f t="shared" si="577"/>
        <v>0</v>
      </c>
      <c r="J665" s="14">
        <f t="shared" si="577"/>
        <v>10</v>
      </c>
      <c r="K665" s="14">
        <f t="shared" si="577"/>
        <v>10</v>
      </c>
      <c r="L665" s="14" t="str">
        <f t="shared" si="577"/>
        <v>iras.attack1</v>
      </c>
      <c r="M665" s="14" t="str">
        <f t="shared" si="577"/>
        <v>iras.attack2</v>
      </c>
      <c r="N665" s="14" t="str">
        <f t="shared" si="577"/>
        <v>iras.attack3</v>
      </c>
      <c r="O665" s="178" t="str">
        <f t="shared" si="577"/>
        <v>iras.active1</v>
      </c>
      <c r="P665" s="14" t="str">
        <f t="shared" si="577"/>
        <v>iras.active2</v>
      </c>
      <c r="Q665" s="14" t="str">
        <f t="shared" si="577"/>
        <v>iras.passive</v>
      </c>
      <c r="R665" s="14" t="str">
        <f t="shared" si="577"/>
        <v>109.Academy.01</v>
      </c>
      <c r="S665" s="14" t="str">
        <f t="shared" si="577"/>
        <v/>
      </c>
      <c r="T665" s="14" t="str">
        <f t="shared" si="577"/>
        <v>iras.ult</v>
      </c>
      <c r="U665" s="14" t="str">
        <f t="shared" si="577"/>
        <v>iras.ult</v>
      </c>
      <c r="V665" s="14" t="b">
        <f t="shared" si="577"/>
        <v>1</v>
      </c>
      <c r="W665" s="14" t="str">
        <f t="shared" si="577"/>
        <v>Character/Prefabs/m_attacker_iras_enemy_1</v>
      </c>
      <c r="X665" s="14" t="str">
        <f t="shared" si="577"/>
        <v/>
      </c>
      <c r="Y665" s="14" t="str">
        <f t="shared" si="577"/>
        <v>character_iras_01</v>
      </c>
      <c r="Z665" s="14" t="str">
        <f t="shared" si="577"/>
        <v>Character/Timeline/01_CHA/ult_c_attacker_iras_1</v>
      </c>
      <c r="AA665" s="14" t="str">
        <f t="shared" si="577"/>
        <v>Character/Timeline/01_CHA/victory_c_attacker_iras_1</v>
      </c>
      <c r="AB665" s="14" t="str">
        <f t="shared" si="577"/>
        <v/>
      </c>
      <c r="AC665" s="94">
        <f t="shared" si="577"/>
        <v>0.7</v>
      </c>
      <c r="AD665" s="14" t="str">
        <f t="shared" si="577"/>
        <v/>
      </c>
      <c r="AE665" s="14" t="str">
        <f t="shared" si="577"/>
        <v/>
      </c>
      <c r="AF665" s="14" t="str">
        <f t="shared" si="577"/>
        <v/>
      </c>
      <c r="AG665" s="173" t="s">
        <v>2758</v>
      </c>
    </row>
    <row r="666" spans="1:33" x14ac:dyDescent="0.3">
      <c r="A666" s="14">
        <f t="shared" ref="A666" si="578">A555+100000000</f>
        <v>1611601309</v>
      </c>
      <c r="B666" s="14" t="str">
        <f t="shared" ref="B666:AF666" si="579">IF(B555 &lt;&gt; "", B555, "")</f>
        <v>EventStory</v>
      </c>
      <c r="C666" s="14" t="str">
        <f t="shared" si="579"/>
        <v>메카카나타</v>
      </c>
      <c r="D666" s="14" t="str">
        <f t="shared" si="579"/>
        <v>Monster.Name.mechakanata_1</v>
      </c>
      <c r="E666" s="14" t="str">
        <f t="shared" si="579"/>
        <v>None</v>
      </c>
      <c r="F666" s="14" t="str">
        <f t="shared" si="579"/>
        <v>Fac_nul_ind</v>
      </c>
      <c r="G666" s="14" t="str">
        <f t="shared" si="579"/>
        <v>TRUE</v>
      </c>
      <c r="H666" s="14" t="b">
        <f t="shared" si="579"/>
        <v>1</v>
      </c>
      <c r="I666" s="14" t="b">
        <f t="shared" si="579"/>
        <v>1</v>
      </c>
      <c r="J666" s="14">
        <f t="shared" si="579"/>
        <v>10</v>
      </c>
      <c r="K666" s="14">
        <f t="shared" si="579"/>
        <v>10</v>
      </c>
      <c r="L666" s="14" t="str">
        <f t="shared" si="579"/>
        <v>EventStory.mechakanata_1.attack01</v>
      </c>
      <c r="M666" s="14" t="str">
        <f t="shared" si="579"/>
        <v>EventStory.mechakanata_1.attack02</v>
      </c>
      <c r="N666" s="14" t="str">
        <f t="shared" si="579"/>
        <v>EventStory.mechakanata_1.attack03</v>
      </c>
      <c r="O666" s="178" t="str">
        <f t="shared" si="579"/>
        <v>EventStory.mechakanata_1.skill01</v>
      </c>
      <c r="P666" s="14" t="str">
        <f t="shared" si="579"/>
        <v/>
      </c>
      <c r="Q666" s="14" t="str">
        <f t="shared" si="579"/>
        <v/>
      </c>
      <c r="R666" s="14" t="str">
        <f t="shared" si="579"/>
        <v/>
      </c>
      <c r="S666" s="14" t="str">
        <f t="shared" si="579"/>
        <v/>
      </c>
      <c r="T666" s="14" t="str">
        <f t="shared" si="579"/>
        <v/>
      </c>
      <c r="U666" s="14" t="str">
        <f t="shared" si="579"/>
        <v/>
      </c>
      <c r="V666" s="14" t="b">
        <f t="shared" si="579"/>
        <v>0</v>
      </c>
      <c r="W666" s="14" t="str">
        <f t="shared" si="579"/>
        <v>Character/Prefabs/m_m_attacker_mechakanata_1</v>
      </c>
      <c r="X666" s="14" t="str">
        <f t="shared" si="579"/>
        <v/>
      </c>
      <c r="Y666" s="14" t="str">
        <f t="shared" si="579"/>
        <v>m_m_attacker_mechakanata_1</v>
      </c>
      <c r="Z666" s="14" t="str">
        <f t="shared" si="579"/>
        <v/>
      </c>
      <c r="AA666" s="14" t="str">
        <f t="shared" si="579"/>
        <v/>
      </c>
      <c r="AB666" s="14" t="str">
        <f t="shared" si="579"/>
        <v/>
      </c>
      <c r="AC666" s="94">
        <f t="shared" si="579"/>
        <v>1</v>
      </c>
      <c r="AD666" s="14" t="str">
        <f t="shared" si="579"/>
        <v/>
      </c>
      <c r="AE666" s="14" t="str">
        <f t="shared" si="579"/>
        <v/>
      </c>
      <c r="AF666" s="14" t="str">
        <f t="shared" si="579"/>
        <v/>
      </c>
      <c r="AG666" s="173" t="s">
        <v>2758</v>
      </c>
    </row>
    <row r="667" spans="1:33" x14ac:dyDescent="0.3">
      <c r="A667" s="43">
        <v>1611501001</v>
      </c>
      <c r="B667" s="43" t="s">
        <v>3976</v>
      </c>
      <c r="C667" s="43" t="s">
        <v>1861</v>
      </c>
      <c r="D667" s="43" t="s">
        <v>3977</v>
      </c>
      <c r="E667" s="43" t="s">
        <v>58</v>
      </c>
      <c r="F667" s="43" t="s">
        <v>44</v>
      </c>
      <c r="G667" s="43" t="s">
        <v>45</v>
      </c>
      <c r="H667" s="43" t="b">
        <v>1</v>
      </c>
      <c r="I667" s="43" t="b">
        <v>1</v>
      </c>
      <c r="J667" s="43">
        <v>10</v>
      </c>
      <c r="K667" s="43">
        <v>10</v>
      </c>
      <c r="L667" s="43" t="s">
        <v>3983</v>
      </c>
      <c r="M667" s="43"/>
      <c r="N667" s="43"/>
      <c r="O667" s="176" t="s">
        <v>3984</v>
      </c>
      <c r="P667" s="43" t="s">
        <v>3985</v>
      </c>
      <c r="Q667" s="43" t="s">
        <v>3986</v>
      </c>
      <c r="R667" s="43" t="s">
        <v>3991</v>
      </c>
      <c r="S667" s="43" t="s">
        <v>76</v>
      </c>
      <c r="T667" s="43"/>
      <c r="U667" s="43"/>
      <c r="V667" s="43" t="b">
        <v>0</v>
      </c>
      <c r="W667" s="43" t="s">
        <v>3978</v>
      </c>
      <c r="X667" s="43"/>
      <c r="Y667" s="43" t="s">
        <v>3979</v>
      </c>
      <c r="Z667" s="43"/>
      <c r="AA667" s="43"/>
      <c r="AB667" s="43"/>
      <c r="AC667" s="181">
        <v>1.3</v>
      </c>
      <c r="AD667" s="43"/>
      <c r="AE667" s="43" t="s">
        <v>80</v>
      </c>
      <c r="AF667" s="43" t="s">
        <v>81</v>
      </c>
      <c r="AG667" s="182" t="s">
        <v>2758</v>
      </c>
    </row>
    <row r="668" spans="1:33" x14ac:dyDescent="0.3">
      <c r="A668" s="43">
        <v>1611501002</v>
      </c>
      <c r="B668" s="43" t="s">
        <v>3976</v>
      </c>
      <c r="C668" s="43" t="s">
        <v>1863</v>
      </c>
      <c r="D668" s="43" t="s">
        <v>3980</v>
      </c>
      <c r="E668" s="43" t="s">
        <v>47</v>
      </c>
      <c r="F668" s="43" t="s">
        <v>44</v>
      </c>
      <c r="G668" s="43" t="s">
        <v>45</v>
      </c>
      <c r="H668" s="43" t="b">
        <v>1</v>
      </c>
      <c r="I668" s="43" t="b">
        <v>1</v>
      </c>
      <c r="J668" s="43">
        <v>20</v>
      </c>
      <c r="K668" s="43">
        <v>10</v>
      </c>
      <c r="L668" s="43" t="s">
        <v>3992</v>
      </c>
      <c r="M668" s="43"/>
      <c r="N668" s="43"/>
      <c r="O668" s="176" t="s">
        <v>3987</v>
      </c>
      <c r="P668" s="43" t="s">
        <v>3988</v>
      </c>
      <c r="Q668" s="43" t="s">
        <v>3989</v>
      </c>
      <c r="R668" s="43" t="s">
        <v>3990</v>
      </c>
      <c r="S668" s="43" t="s">
        <v>76</v>
      </c>
      <c r="T668" s="43"/>
      <c r="U668" s="43"/>
      <c r="V668" s="43" t="b">
        <v>0</v>
      </c>
      <c r="W668" s="43" t="s">
        <v>3981</v>
      </c>
      <c r="X668" s="43"/>
      <c r="Y668" s="43" t="s">
        <v>3982</v>
      </c>
      <c r="Z668" s="43"/>
      <c r="AA668" s="43"/>
      <c r="AB668" s="43"/>
      <c r="AC668" s="181">
        <v>0.9</v>
      </c>
      <c r="AD668" s="43"/>
      <c r="AE668" s="43" t="s">
        <v>103</v>
      </c>
      <c r="AF668" s="43" t="s">
        <v>104</v>
      </c>
      <c r="AG668" s="182" t="s">
        <v>2758</v>
      </c>
    </row>
    <row r="669" spans="1:33" x14ac:dyDescent="0.3">
      <c r="A669" s="173"/>
      <c r="B669" s="173"/>
      <c r="C669" s="173"/>
      <c r="D669" s="173"/>
      <c r="E669" s="173"/>
      <c r="F669" s="173"/>
      <c r="G669" s="173"/>
      <c r="H669" s="173"/>
      <c r="I669" s="173"/>
      <c r="J669" s="173"/>
      <c r="K669" s="173"/>
      <c r="L669" s="173"/>
      <c r="M669" s="173"/>
      <c r="N669" s="173"/>
      <c r="O669" s="179"/>
      <c r="P669" s="173"/>
      <c r="Q669" s="173"/>
      <c r="R669" s="173"/>
      <c r="S669" s="173"/>
      <c r="T669" s="173"/>
      <c r="U669" s="173"/>
      <c r="V669" s="173"/>
      <c r="W669" s="173"/>
      <c r="X669" s="173"/>
      <c r="Y669" s="173"/>
      <c r="Z669" s="173"/>
      <c r="AA669" s="173"/>
      <c r="AB669" s="173"/>
      <c r="AC669" s="173"/>
      <c r="AD669" s="173"/>
      <c r="AE669" s="173"/>
      <c r="AF669" s="173"/>
      <c r="AG669" s="16"/>
    </row>
    <row r="670" spans="1:33" x14ac:dyDescent="0.3">
      <c r="A670" s="173"/>
      <c r="B670" s="173"/>
      <c r="C670" s="173"/>
      <c r="D670" s="173"/>
      <c r="E670" s="173"/>
      <c r="F670" s="173"/>
      <c r="G670" s="173"/>
      <c r="H670" s="173"/>
      <c r="I670" s="173"/>
      <c r="J670" s="173"/>
      <c r="K670" s="173"/>
      <c r="L670" s="173"/>
      <c r="M670" s="173"/>
      <c r="N670" s="173"/>
      <c r="O670" s="179"/>
      <c r="P670" s="173"/>
      <c r="Q670" s="173"/>
      <c r="R670" s="173"/>
      <c r="S670" s="173"/>
      <c r="T670" s="173"/>
      <c r="U670" s="173"/>
      <c r="V670" s="173"/>
      <c r="W670" s="173"/>
      <c r="X670" s="173"/>
      <c r="Y670" s="173"/>
      <c r="Z670" s="173"/>
      <c r="AA670" s="173"/>
      <c r="AB670" s="173"/>
      <c r="AC670" s="173"/>
      <c r="AD670" s="173"/>
      <c r="AE670" s="173"/>
      <c r="AF670" s="173"/>
      <c r="AG670" s="16"/>
    </row>
    <row r="671" spans="1:33" x14ac:dyDescent="0.3">
      <c r="A671" s="173"/>
      <c r="B671" s="173"/>
      <c r="C671" s="173"/>
      <c r="D671" s="173"/>
      <c r="E671" s="173"/>
      <c r="F671" s="173"/>
      <c r="G671" s="173"/>
      <c r="H671" s="173"/>
      <c r="I671" s="173"/>
      <c r="J671" s="173"/>
      <c r="K671" s="173"/>
      <c r="L671" s="173"/>
      <c r="M671" s="173"/>
      <c r="N671" s="173"/>
      <c r="O671" s="179"/>
      <c r="P671" s="173"/>
      <c r="Q671" s="173"/>
      <c r="R671" s="173"/>
      <c r="S671" s="173"/>
      <c r="T671" s="173"/>
      <c r="U671" s="173"/>
      <c r="V671" s="173"/>
      <c r="W671" s="173"/>
      <c r="X671" s="173"/>
      <c r="Y671" s="173"/>
      <c r="Z671" s="173"/>
      <c r="AA671" s="173"/>
      <c r="AB671" s="173"/>
      <c r="AC671" s="173"/>
      <c r="AD671" s="173"/>
      <c r="AE671" s="173"/>
      <c r="AF671" s="173"/>
      <c r="AG671" s="16"/>
    </row>
    <row r="672" spans="1:33" x14ac:dyDescent="0.3">
      <c r="A672" s="173"/>
      <c r="B672" s="173"/>
      <c r="C672" s="173"/>
      <c r="D672" s="173"/>
      <c r="E672" s="173"/>
      <c r="F672" s="173"/>
      <c r="G672" s="173"/>
      <c r="H672" s="173"/>
      <c r="I672" s="173"/>
      <c r="J672" s="173"/>
      <c r="K672" s="173"/>
      <c r="L672" s="173"/>
      <c r="M672" s="173"/>
      <c r="N672" s="173"/>
      <c r="O672" s="179"/>
      <c r="P672" s="173"/>
      <c r="Q672" s="173"/>
      <c r="R672" s="173"/>
      <c r="S672" s="173"/>
      <c r="T672" s="173"/>
      <c r="U672" s="173"/>
      <c r="V672" s="173"/>
      <c r="W672" s="173"/>
      <c r="X672" s="173"/>
      <c r="Y672" s="173"/>
      <c r="Z672" s="173"/>
      <c r="AA672" s="173"/>
      <c r="AB672" s="173"/>
      <c r="AC672" s="173"/>
      <c r="AD672" s="173"/>
      <c r="AE672" s="173"/>
      <c r="AF672" s="173"/>
      <c r="AG672" s="16"/>
    </row>
    <row r="673" spans="1:33" x14ac:dyDescent="0.3">
      <c r="A673" s="173"/>
      <c r="B673" s="173"/>
      <c r="C673" s="173"/>
      <c r="D673" s="173"/>
      <c r="E673" s="173"/>
      <c r="F673" s="173"/>
      <c r="G673" s="173"/>
      <c r="H673" s="173"/>
      <c r="I673" s="173"/>
      <c r="J673" s="173"/>
      <c r="K673" s="173"/>
      <c r="L673" s="173"/>
      <c r="M673" s="173"/>
      <c r="N673" s="173"/>
      <c r="O673" s="179"/>
      <c r="P673" s="173"/>
      <c r="Q673" s="173"/>
      <c r="R673" s="173"/>
      <c r="S673" s="173"/>
      <c r="T673" s="173"/>
      <c r="U673" s="173"/>
      <c r="V673" s="173"/>
      <c r="W673" s="173"/>
      <c r="X673" s="173"/>
      <c r="Y673" s="173"/>
      <c r="Z673" s="173"/>
      <c r="AA673" s="173"/>
      <c r="AB673" s="173"/>
      <c r="AC673" s="173"/>
      <c r="AD673" s="173"/>
      <c r="AE673" s="173"/>
      <c r="AF673" s="173"/>
      <c r="AG673" s="16"/>
    </row>
    <row r="674" spans="1:33" x14ac:dyDescent="0.3">
      <c r="A674" s="173"/>
      <c r="B674" s="173"/>
      <c r="C674" s="173"/>
      <c r="D674" s="173"/>
      <c r="E674" s="173"/>
      <c r="F674" s="173"/>
      <c r="G674" s="173"/>
      <c r="H674" s="173"/>
      <c r="I674" s="173"/>
      <c r="J674" s="173"/>
      <c r="K674" s="173"/>
      <c r="L674" s="173"/>
      <c r="M674" s="173"/>
      <c r="N674" s="173"/>
      <c r="O674" s="179"/>
      <c r="P674" s="173"/>
      <c r="Q674" s="173"/>
      <c r="R674" s="173"/>
      <c r="S674" s="173"/>
      <c r="T674" s="173"/>
      <c r="U674" s="173"/>
      <c r="V674" s="173"/>
      <c r="W674" s="173"/>
      <c r="X674" s="173"/>
      <c r="Y674" s="173"/>
      <c r="Z674" s="173"/>
      <c r="AA674" s="173"/>
      <c r="AB674" s="173"/>
      <c r="AC674" s="173"/>
      <c r="AD674" s="173"/>
      <c r="AE674" s="173"/>
      <c r="AF674" s="173"/>
      <c r="AG674" s="16"/>
    </row>
  </sheetData>
  <phoneticPr fontId="1" type="noConversion"/>
  <conditionalFormatting sqref="A1:A1048576">
    <cfRule type="duplicateValues" dxfId="23" priority="66"/>
  </conditionalFormatting>
  <conditionalFormatting sqref="A1:AG674">
    <cfRule type="containsText" dxfId="22" priority="59" operator="containsText" text="FALSE">
      <formula>NOT(ISERROR(SEARCH("FALSE",A1)))</formula>
    </cfRule>
    <cfRule type="containsBlanks" dxfId="21" priority="67">
      <formula>LEN(TRIM(A1))=0</formula>
    </cfRule>
  </conditionalFormatting>
  <dataValidations disablePrompts="1" count="1">
    <dataValidation showInputMessage="1" showErrorMessage="1" prompt="크리티컬 피격 시 이펙트 추가 출력_x000a_프리팹 경로 입력_x000a_사용 안할 시 공백_x000a_null 허용" sqref="AD1:AF1"/>
  </dataValidation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G10"/>
  <sheetViews>
    <sheetView zoomScale="85" zoomScaleNormal="85" workbookViewId="0">
      <pane xSplit="1" ySplit="3" topLeftCell="I4" activePane="bottomRight" state="frozen"/>
      <selection pane="topRight" activeCell="B1" sqref="B1"/>
      <selection pane="bottomLeft" activeCell="A4" sqref="A4"/>
      <selection pane="bottomRight" activeCell="L9" sqref="L9:U9"/>
    </sheetView>
  </sheetViews>
  <sheetFormatPr defaultColWidth="9" defaultRowHeight="16.5" x14ac:dyDescent="0.3"/>
  <cols>
    <col min="1" max="1" width="24.375" style="1" bestFit="1" customWidth="1"/>
    <col min="2" max="2" width="16.375" style="1" bestFit="1" customWidth="1"/>
    <col min="3" max="3" width="9" style="1" bestFit="1" customWidth="1"/>
    <col min="4" max="4" width="27.75" style="1" bestFit="1" customWidth="1"/>
    <col min="5" max="5" width="8.75" style="1" bestFit="1" customWidth="1"/>
    <col min="6" max="6" width="13.375" style="1" bestFit="1" customWidth="1"/>
    <col min="7" max="7" width="9.25" style="1" bestFit="1" customWidth="1"/>
    <col min="8" max="8" width="8" style="1" bestFit="1" customWidth="1"/>
    <col min="9" max="9" width="8.375" style="1" bestFit="1" customWidth="1"/>
    <col min="10" max="10" width="8" style="1" bestFit="1" customWidth="1"/>
    <col min="11" max="11" width="9.125" style="1" bestFit="1" customWidth="1"/>
    <col min="12" max="12" width="19.375" style="1" bestFit="1" customWidth="1"/>
    <col min="13" max="14" width="19.375" style="1" customWidth="1"/>
    <col min="15" max="15" width="23.75" style="144" bestFit="1" customWidth="1"/>
    <col min="16" max="16" width="22.875" style="1" bestFit="1" customWidth="1"/>
    <col min="17" max="17" width="23.375" style="1" bestFit="1" customWidth="1"/>
    <col min="18" max="21" width="10.875" style="1" bestFit="1" customWidth="1"/>
    <col min="22" max="22" width="5.375" style="1" bestFit="1" customWidth="1"/>
    <col min="23" max="23" width="39.375" style="1" bestFit="1" customWidth="1"/>
    <col min="24" max="24" width="11.875" style="1" bestFit="1" customWidth="1"/>
    <col min="25" max="25" width="5.75" style="1" bestFit="1" customWidth="1"/>
    <col min="26" max="26" width="14" style="1" bestFit="1" customWidth="1"/>
    <col min="27" max="27" width="12.875" style="1" bestFit="1" customWidth="1"/>
    <col min="28" max="28" width="15.375" style="1" bestFit="1" customWidth="1"/>
    <col min="29" max="29" width="5.375" style="1" bestFit="1" customWidth="1"/>
    <col min="30" max="32" width="12.375" customWidth="1"/>
    <col min="33" max="34" width="9" style="1" customWidth="1"/>
    <col min="35" max="16384" width="9" style="1"/>
  </cols>
  <sheetData>
    <row r="1" spans="1:33" ht="27" x14ac:dyDescent="0.3">
      <c r="A1" s="6" t="s">
        <v>0</v>
      </c>
      <c r="B1" s="6" t="s">
        <v>1</v>
      </c>
      <c r="C1" s="6" t="s">
        <v>1</v>
      </c>
      <c r="D1" s="6" t="s">
        <v>2</v>
      </c>
      <c r="E1" s="6" t="s">
        <v>3</v>
      </c>
      <c r="F1" s="7" t="s">
        <v>4</v>
      </c>
      <c r="G1" s="6" t="s">
        <v>5</v>
      </c>
      <c r="H1" s="6" t="s">
        <v>6</v>
      </c>
      <c r="I1" s="6" t="s">
        <v>1988</v>
      </c>
      <c r="J1" s="6" t="s">
        <v>7</v>
      </c>
      <c r="K1" s="6" t="s">
        <v>1394</v>
      </c>
      <c r="L1" s="8" t="s">
        <v>8</v>
      </c>
      <c r="M1" s="8" t="s">
        <v>9</v>
      </c>
      <c r="N1" s="8" t="s">
        <v>10</v>
      </c>
      <c r="O1" s="9" t="s">
        <v>11</v>
      </c>
      <c r="P1" s="10" t="s">
        <v>12</v>
      </c>
      <c r="Q1" s="10" t="s">
        <v>13</v>
      </c>
      <c r="R1" s="11" t="s">
        <v>14</v>
      </c>
      <c r="S1" s="11" t="s">
        <v>15</v>
      </c>
      <c r="T1" s="11" t="s">
        <v>16</v>
      </c>
      <c r="U1" s="11" t="s">
        <v>2768</v>
      </c>
      <c r="V1" s="11" t="s">
        <v>17</v>
      </c>
      <c r="W1" s="6" t="s">
        <v>18</v>
      </c>
      <c r="X1" s="75" t="s">
        <v>19</v>
      </c>
      <c r="Y1" s="6" t="s">
        <v>20</v>
      </c>
      <c r="Z1" s="6" t="s">
        <v>21</v>
      </c>
      <c r="AA1" s="6" t="s">
        <v>22</v>
      </c>
      <c r="AB1" s="6" t="s">
        <v>23</v>
      </c>
      <c r="AC1" s="6" t="s">
        <v>24</v>
      </c>
      <c r="AD1" s="6" t="s">
        <v>25</v>
      </c>
      <c r="AE1" s="6" t="s">
        <v>26</v>
      </c>
      <c r="AF1" s="6" t="s">
        <v>27</v>
      </c>
      <c r="AG1" s="169" t="s">
        <v>2091</v>
      </c>
    </row>
    <row r="2" spans="1:33" ht="33" x14ac:dyDescent="0.3">
      <c r="A2" s="6" t="s">
        <v>28</v>
      </c>
      <c r="B2" s="6" t="s">
        <v>29</v>
      </c>
      <c r="C2" s="6" t="s">
        <v>29</v>
      </c>
      <c r="D2" s="6" t="s">
        <v>30</v>
      </c>
      <c r="E2" s="6" t="s">
        <v>31</v>
      </c>
      <c r="F2" s="7" t="s">
        <v>32</v>
      </c>
      <c r="G2" s="6" t="s">
        <v>33</v>
      </c>
      <c r="H2" s="6" t="s">
        <v>33</v>
      </c>
      <c r="I2" s="6" t="s">
        <v>33</v>
      </c>
      <c r="J2" s="6" t="s">
        <v>34</v>
      </c>
      <c r="K2" s="6" t="s">
        <v>34</v>
      </c>
      <c r="L2" s="8" t="s">
        <v>35</v>
      </c>
      <c r="M2" s="8" t="s">
        <v>35</v>
      </c>
      <c r="N2" s="8" t="s">
        <v>35</v>
      </c>
      <c r="O2" s="9" t="s">
        <v>35</v>
      </c>
      <c r="P2" s="10" t="s">
        <v>35</v>
      </c>
      <c r="Q2" s="10" t="s">
        <v>35</v>
      </c>
      <c r="R2" s="11" t="s">
        <v>35</v>
      </c>
      <c r="S2" s="11" t="s">
        <v>35</v>
      </c>
      <c r="T2" s="11" t="s">
        <v>35</v>
      </c>
      <c r="U2" s="11" t="s">
        <v>35</v>
      </c>
      <c r="V2" s="11" t="s">
        <v>33</v>
      </c>
      <c r="W2" s="6" t="s">
        <v>30</v>
      </c>
      <c r="X2" s="75" t="s">
        <v>30</v>
      </c>
      <c r="Y2" s="6" t="s">
        <v>30</v>
      </c>
      <c r="Z2" s="6" t="s">
        <v>30</v>
      </c>
      <c r="AA2" s="6" t="s">
        <v>30</v>
      </c>
      <c r="AB2" s="6" t="s">
        <v>30</v>
      </c>
      <c r="AC2" s="6" t="s">
        <v>36</v>
      </c>
      <c r="AD2" s="6" t="s">
        <v>30</v>
      </c>
      <c r="AE2" s="6" t="s">
        <v>30</v>
      </c>
      <c r="AF2" s="6" t="s">
        <v>30</v>
      </c>
      <c r="AG2" s="169" t="s">
        <v>2092</v>
      </c>
    </row>
    <row r="3" spans="1:33" x14ac:dyDescent="0.3">
      <c r="A3" s="6" t="s">
        <v>37</v>
      </c>
      <c r="B3" s="6" t="s">
        <v>38</v>
      </c>
      <c r="C3" s="6" t="s">
        <v>39</v>
      </c>
      <c r="D3" s="6" t="s">
        <v>40</v>
      </c>
      <c r="E3" s="6" t="s">
        <v>37</v>
      </c>
      <c r="F3" s="7" t="s">
        <v>37</v>
      </c>
      <c r="G3" s="6" t="s">
        <v>37</v>
      </c>
      <c r="H3" s="6" t="s">
        <v>37</v>
      </c>
      <c r="I3" s="6" t="s">
        <v>1989</v>
      </c>
      <c r="J3" s="6" t="s">
        <v>37</v>
      </c>
      <c r="K3" s="6" t="s">
        <v>37</v>
      </c>
      <c r="L3" s="8" t="s">
        <v>37</v>
      </c>
      <c r="M3" s="8" t="s">
        <v>37</v>
      </c>
      <c r="N3" s="8" t="s">
        <v>37</v>
      </c>
      <c r="O3" s="9" t="s">
        <v>37</v>
      </c>
      <c r="P3" s="10" t="s">
        <v>37</v>
      </c>
      <c r="Q3" s="10" t="s">
        <v>37</v>
      </c>
      <c r="R3" s="11" t="s">
        <v>37</v>
      </c>
      <c r="S3" s="11" t="s">
        <v>37</v>
      </c>
      <c r="T3" s="11" t="s">
        <v>37</v>
      </c>
      <c r="U3" s="11" t="s">
        <v>37</v>
      </c>
      <c r="V3" s="11" t="s">
        <v>40</v>
      </c>
      <c r="W3" s="6" t="s">
        <v>40</v>
      </c>
      <c r="X3" s="75" t="s">
        <v>40</v>
      </c>
      <c r="Y3" s="6" t="s">
        <v>40</v>
      </c>
      <c r="Z3" s="6" t="s">
        <v>40</v>
      </c>
      <c r="AA3" s="6" t="s">
        <v>40</v>
      </c>
      <c r="AB3" s="6" t="s">
        <v>40</v>
      </c>
      <c r="AC3" s="6" t="s">
        <v>40</v>
      </c>
      <c r="AD3" s="6" t="s">
        <v>40</v>
      </c>
      <c r="AE3" s="6" t="s">
        <v>37</v>
      </c>
      <c r="AF3" s="6" t="s">
        <v>37</v>
      </c>
      <c r="AG3" s="169" t="s">
        <v>1954</v>
      </c>
    </row>
    <row r="4" spans="1:33" x14ac:dyDescent="0.3">
      <c r="A4" s="12" t="s">
        <v>976</v>
      </c>
      <c r="B4" s="12" t="s">
        <v>977</v>
      </c>
      <c r="C4" s="5" t="s">
        <v>650</v>
      </c>
      <c r="D4" s="5"/>
      <c r="E4" s="5" t="s">
        <v>58</v>
      </c>
      <c r="F4" s="18" t="s">
        <v>624</v>
      </c>
      <c r="G4" s="5" t="s">
        <v>45</v>
      </c>
      <c r="H4" s="5" t="s">
        <v>477</v>
      </c>
      <c r="I4" s="5" t="s">
        <v>477</v>
      </c>
      <c r="J4" s="5">
        <v>10</v>
      </c>
      <c r="K4" s="5">
        <v>10</v>
      </c>
      <c r="L4" s="5" t="s">
        <v>978</v>
      </c>
      <c r="M4" s="5" t="s">
        <v>979</v>
      </c>
      <c r="N4" s="5" t="s">
        <v>980</v>
      </c>
      <c r="O4" s="5"/>
      <c r="P4" s="14"/>
      <c r="Q4" s="5" t="s">
        <v>3719</v>
      </c>
      <c r="R4" s="14"/>
      <c r="S4" s="14"/>
      <c r="T4" s="14"/>
      <c r="U4" s="14"/>
      <c r="V4" s="5" t="b">
        <v>1</v>
      </c>
      <c r="W4" s="5" t="s">
        <v>981</v>
      </c>
      <c r="X4" s="5"/>
      <c r="Y4" s="5"/>
      <c r="Z4" s="5"/>
      <c r="AA4" s="5"/>
      <c r="AB4" s="15" t="s">
        <v>481</v>
      </c>
      <c r="AC4" s="97">
        <v>1.1000000000000001</v>
      </c>
      <c r="AD4" s="16"/>
      <c r="AE4" s="16"/>
      <c r="AF4" s="16"/>
      <c r="AG4" s="1" t="s">
        <v>2106</v>
      </c>
    </row>
    <row r="5" spans="1:33" x14ac:dyDescent="0.3">
      <c r="A5" s="12" t="s">
        <v>982</v>
      </c>
      <c r="B5" s="12" t="s">
        <v>983</v>
      </c>
      <c r="C5" s="5" t="s">
        <v>521</v>
      </c>
      <c r="D5" s="5"/>
      <c r="E5" s="5" t="s">
        <v>143</v>
      </c>
      <c r="F5" s="18" t="s">
        <v>624</v>
      </c>
      <c r="G5" s="5" t="s">
        <v>45</v>
      </c>
      <c r="H5" s="5" t="s">
        <v>477</v>
      </c>
      <c r="I5" s="5" t="s">
        <v>477</v>
      </c>
      <c r="J5" s="5">
        <v>10</v>
      </c>
      <c r="K5" s="5">
        <v>10</v>
      </c>
      <c r="L5" s="5"/>
      <c r="M5" s="5"/>
      <c r="N5" s="5"/>
      <c r="O5" s="5"/>
      <c r="P5" s="14"/>
      <c r="Q5" s="14"/>
      <c r="R5" s="14"/>
      <c r="S5" s="14"/>
      <c r="T5" s="14"/>
      <c r="U5" s="14"/>
      <c r="V5" s="5" t="b">
        <v>1</v>
      </c>
      <c r="W5" s="5" t="s">
        <v>984</v>
      </c>
      <c r="X5" s="5"/>
      <c r="Y5" s="5"/>
      <c r="Z5" s="5"/>
      <c r="AA5" s="5"/>
      <c r="AB5" s="15" t="s">
        <v>481</v>
      </c>
      <c r="AC5" s="97">
        <v>0.9</v>
      </c>
      <c r="AD5" s="16"/>
      <c r="AE5" s="16"/>
      <c r="AF5" s="16"/>
      <c r="AG5" s="1" t="s">
        <v>2104</v>
      </c>
    </row>
    <row r="6" spans="1:33" x14ac:dyDescent="0.3">
      <c r="A6" s="12">
        <v>1110002003</v>
      </c>
      <c r="B6" s="12" t="s">
        <v>1955</v>
      </c>
      <c r="C6" s="5" t="s">
        <v>1956</v>
      </c>
      <c r="D6" s="5"/>
      <c r="E6" s="5" t="s">
        <v>58</v>
      </c>
      <c r="F6" s="18" t="s">
        <v>624</v>
      </c>
      <c r="G6" s="5" t="s">
        <v>45</v>
      </c>
      <c r="H6" s="5" t="s">
        <v>477</v>
      </c>
      <c r="I6" s="5" t="s">
        <v>477</v>
      </c>
      <c r="J6" s="5">
        <v>10</v>
      </c>
      <c r="K6" s="5">
        <v>10</v>
      </c>
      <c r="L6" s="5"/>
      <c r="M6" s="5"/>
      <c r="N6" s="5"/>
      <c r="O6" s="5" t="s">
        <v>1957</v>
      </c>
      <c r="P6" s="14"/>
      <c r="Q6" s="14"/>
      <c r="R6" s="14"/>
      <c r="S6" s="14"/>
      <c r="T6" s="14"/>
      <c r="U6" s="14"/>
      <c r="V6" s="5" t="b">
        <v>1</v>
      </c>
      <c r="W6" s="5" t="s">
        <v>984</v>
      </c>
      <c r="X6" s="5"/>
      <c r="Y6" s="5"/>
      <c r="Z6" s="5"/>
      <c r="AA6" s="5"/>
      <c r="AB6" s="15" t="s">
        <v>481</v>
      </c>
      <c r="AC6" s="97">
        <v>0.9</v>
      </c>
      <c r="AD6" s="16"/>
      <c r="AE6" s="16"/>
      <c r="AF6" s="16"/>
      <c r="AG6" s="1" t="s">
        <v>2105</v>
      </c>
    </row>
    <row r="7" spans="1:33" x14ac:dyDescent="0.3">
      <c r="A7" s="12">
        <v>1110002004</v>
      </c>
      <c r="B7" s="12" t="s">
        <v>2799</v>
      </c>
      <c r="C7" s="5" t="s">
        <v>2800</v>
      </c>
      <c r="D7" s="5"/>
      <c r="E7" s="5" t="s">
        <v>43</v>
      </c>
      <c r="F7" s="18" t="s">
        <v>545</v>
      </c>
      <c r="G7" s="5" t="s">
        <v>45</v>
      </c>
      <c r="H7" s="5" t="s">
        <v>477</v>
      </c>
      <c r="I7" s="5" t="s">
        <v>477</v>
      </c>
      <c r="J7" s="5">
        <v>10</v>
      </c>
      <c r="K7" s="5">
        <v>10</v>
      </c>
      <c r="L7" s="5" t="s">
        <v>799</v>
      </c>
      <c r="M7" s="5" t="s">
        <v>800</v>
      </c>
      <c r="N7" s="5" t="s">
        <v>801</v>
      </c>
      <c r="O7" s="5" t="s">
        <v>3788</v>
      </c>
      <c r="P7" s="14" t="s">
        <v>3789</v>
      </c>
      <c r="Q7" s="14" t="s">
        <v>3720</v>
      </c>
      <c r="R7" s="14"/>
      <c r="S7" s="14"/>
      <c r="T7" s="14"/>
      <c r="U7" s="14"/>
      <c r="V7" s="5" t="b">
        <v>1</v>
      </c>
      <c r="W7" s="5" t="s">
        <v>3721</v>
      </c>
      <c r="X7" s="5"/>
      <c r="Y7" s="5"/>
      <c r="Z7" s="5"/>
      <c r="AA7" s="5"/>
      <c r="AB7" s="15" t="s">
        <v>481</v>
      </c>
      <c r="AC7" s="97">
        <v>0.9</v>
      </c>
      <c r="AD7" s="16"/>
      <c r="AE7" s="16"/>
      <c r="AF7" s="16"/>
      <c r="AG7" s="1" t="s">
        <v>2105</v>
      </c>
    </row>
    <row r="8" spans="1:33" x14ac:dyDescent="0.3">
      <c r="A8" s="12">
        <v>1110002005</v>
      </c>
      <c r="B8" s="12" t="s">
        <v>977</v>
      </c>
      <c r="C8" s="5" t="s">
        <v>650</v>
      </c>
      <c r="D8" s="5"/>
      <c r="E8" s="5" t="s">
        <v>58</v>
      </c>
      <c r="F8" s="18" t="s">
        <v>624</v>
      </c>
      <c r="G8" s="5" t="s">
        <v>45</v>
      </c>
      <c r="H8" s="5" t="s">
        <v>477</v>
      </c>
      <c r="I8" s="5" t="s">
        <v>477</v>
      </c>
      <c r="J8" s="5">
        <v>10</v>
      </c>
      <c r="K8" s="5">
        <v>10</v>
      </c>
      <c r="L8" s="5" t="s">
        <v>978</v>
      </c>
      <c r="M8" s="5" t="s">
        <v>979</v>
      </c>
      <c r="N8" s="5" t="s">
        <v>980</v>
      </c>
      <c r="O8" s="5"/>
      <c r="P8" s="14"/>
      <c r="Q8" s="5" t="s">
        <v>3722</v>
      </c>
      <c r="R8" s="14"/>
      <c r="S8" s="14"/>
      <c r="T8" s="14"/>
      <c r="U8" s="14"/>
      <c r="V8" s="5" t="b">
        <v>1</v>
      </c>
      <c r="W8" s="5" t="s">
        <v>981</v>
      </c>
      <c r="X8" s="5"/>
      <c r="Y8" s="5"/>
      <c r="Z8" s="5"/>
      <c r="AA8" s="5"/>
      <c r="AB8" s="15" t="s">
        <v>481</v>
      </c>
      <c r="AC8" s="97">
        <v>0.8</v>
      </c>
      <c r="AD8" s="16"/>
      <c r="AE8" s="16"/>
      <c r="AF8" s="16"/>
      <c r="AG8" s="1" t="s">
        <v>2106</v>
      </c>
    </row>
    <row r="9" spans="1:33" x14ac:dyDescent="0.3">
      <c r="A9" s="12">
        <v>1110002006</v>
      </c>
      <c r="B9" s="12" t="s">
        <v>3962</v>
      </c>
      <c r="C9" s="5" t="s">
        <v>796</v>
      </c>
      <c r="D9" s="5"/>
      <c r="E9" s="5" t="s">
        <v>43</v>
      </c>
      <c r="F9" s="18" t="s">
        <v>545</v>
      </c>
      <c r="G9" s="5" t="s">
        <v>45</v>
      </c>
      <c r="H9" s="5" t="s">
        <v>477</v>
      </c>
      <c r="I9" s="5" t="s">
        <v>477</v>
      </c>
      <c r="J9" s="5">
        <v>10</v>
      </c>
      <c r="K9" s="5">
        <v>10</v>
      </c>
      <c r="L9" s="5" t="s">
        <v>3963</v>
      </c>
      <c r="M9" s="5" t="s">
        <v>3964</v>
      </c>
      <c r="N9" s="5" t="s">
        <v>3965</v>
      </c>
      <c r="O9" s="5" t="s">
        <v>3966</v>
      </c>
      <c r="P9" s="14" t="s">
        <v>3967</v>
      </c>
      <c r="Q9" s="5" t="s">
        <v>3968</v>
      </c>
      <c r="R9" s="14"/>
      <c r="S9" s="14"/>
      <c r="T9" s="14"/>
      <c r="U9" s="14"/>
      <c r="V9" s="5" t="b">
        <v>1</v>
      </c>
      <c r="W9" s="5" t="s">
        <v>3961</v>
      </c>
      <c r="X9" s="5"/>
      <c r="Y9" s="5"/>
      <c r="Z9" s="5"/>
      <c r="AA9" s="5"/>
      <c r="AB9" s="15" t="s">
        <v>481</v>
      </c>
      <c r="AC9" s="97">
        <v>0.9</v>
      </c>
      <c r="AD9" s="16"/>
      <c r="AE9" s="16"/>
      <c r="AF9" s="16"/>
      <c r="AG9" s="1" t="s">
        <v>2105</v>
      </c>
    </row>
    <row r="10" spans="1:33" x14ac:dyDescent="0.3">
      <c r="A10" s="12"/>
      <c r="B10" s="12"/>
      <c r="C10" s="5"/>
      <c r="D10" s="5"/>
      <c r="E10" s="5"/>
      <c r="F10" s="18"/>
      <c r="G10" s="5"/>
      <c r="H10" s="5"/>
      <c r="I10" s="5"/>
      <c r="J10" s="5"/>
      <c r="K10" s="5"/>
      <c r="L10" s="5"/>
      <c r="M10" s="5"/>
      <c r="N10" s="5"/>
      <c r="O10" s="5"/>
      <c r="P10" s="14"/>
      <c r="Q10" s="14"/>
      <c r="R10" s="14"/>
      <c r="S10" s="14"/>
      <c r="T10" s="14"/>
      <c r="U10" s="14"/>
      <c r="V10" s="5"/>
      <c r="W10" s="5"/>
      <c r="X10" s="5"/>
      <c r="Y10" s="5"/>
      <c r="Z10" s="5"/>
      <c r="AA10" s="5"/>
      <c r="AB10" s="15"/>
      <c r="AC10" s="97"/>
      <c r="AD10" s="16"/>
      <c r="AE10" s="16"/>
      <c r="AF10" s="16"/>
    </row>
  </sheetData>
  <phoneticPr fontId="1" type="noConversion"/>
  <conditionalFormatting sqref="A7">
    <cfRule type="duplicateValues" dxfId="20" priority="11"/>
  </conditionalFormatting>
  <conditionalFormatting sqref="A8:A9">
    <cfRule type="duplicateValues" dxfId="19" priority="6"/>
  </conditionalFormatting>
  <conditionalFormatting sqref="A10:A1048576 A1:A6">
    <cfRule type="duplicateValues" dxfId="18" priority="17"/>
  </conditionalFormatting>
  <conditionalFormatting sqref="A7:K7">
    <cfRule type="containsBlanks" dxfId="17" priority="12">
      <formula>LEN(TRIM(A7))=0</formula>
    </cfRule>
  </conditionalFormatting>
  <conditionalFormatting sqref="A1:T6 A10:T10">
    <cfRule type="containsBlanks" dxfId="16" priority="21">
      <formula>LEN(TRIM(A1))=0</formula>
    </cfRule>
  </conditionalFormatting>
  <conditionalFormatting sqref="A8:T9">
    <cfRule type="containsBlanks" dxfId="15" priority="7">
      <formula>LEN(TRIM(A8))=0</formula>
    </cfRule>
  </conditionalFormatting>
  <conditionalFormatting sqref="A1:AF10">
    <cfRule type="containsText" dxfId="14" priority="1" operator="containsText" text="FALSE">
      <formula>NOT(ISERROR(SEARCH("FALSE",A1)))</formula>
    </cfRule>
  </conditionalFormatting>
  <conditionalFormatting sqref="L7:T7">
    <cfRule type="containsBlanks" dxfId="13" priority="2">
      <formula>LEN(TRIM(L7))=0</formula>
    </cfRule>
  </conditionalFormatting>
  <conditionalFormatting sqref="U1:AF10">
    <cfRule type="containsBlanks" dxfId="12" priority="4">
      <formula>LEN(TRIM(U1))=0</formula>
    </cfRule>
  </conditionalFormatting>
  <pageMargins left="0.75" right="0.75" top="1" bottom="1" header="0.5" footer="0.5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358"/>
  <sheetViews>
    <sheetView topLeftCell="A229" zoomScaleNormal="100" workbookViewId="0">
      <selection activeCell="C252" sqref="C252"/>
    </sheetView>
  </sheetViews>
  <sheetFormatPr defaultRowHeight="16.5" x14ac:dyDescent="0.3"/>
  <cols>
    <col min="2" max="2" width="20.375" bestFit="1" customWidth="1"/>
    <col min="3" max="3" width="27.5" bestFit="1" customWidth="1"/>
    <col min="4" max="4" width="8" customWidth="1"/>
    <col min="5" max="5" width="4.75" bestFit="1" customWidth="1"/>
    <col min="6" max="6" width="14.125" bestFit="1" customWidth="1"/>
    <col min="7" max="7" width="9" bestFit="1" customWidth="1"/>
    <col min="8" max="8" width="8.625" bestFit="1" customWidth="1"/>
    <col min="9" max="9" width="38.5" bestFit="1" customWidth="1"/>
    <col min="10" max="10" width="10.375" customWidth="1"/>
  </cols>
  <sheetData>
    <row r="2" spans="2:15" x14ac:dyDescent="0.3">
      <c r="B2" s="4" t="s">
        <v>985</v>
      </c>
      <c r="C2" s="4" t="s">
        <v>986</v>
      </c>
      <c r="D2" s="4" t="s">
        <v>987</v>
      </c>
      <c r="E2" s="4" t="s">
        <v>988</v>
      </c>
      <c r="F2" s="4" t="s">
        <v>989</v>
      </c>
      <c r="G2" s="4" t="s">
        <v>990</v>
      </c>
      <c r="H2" s="4" t="s">
        <v>991</v>
      </c>
      <c r="I2" s="4" t="s">
        <v>992</v>
      </c>
      <c r="J2" s="4" t="s">
        <v>993</v>
      </c>
      <c r="N2" t="s">
        <v>994</v>
      </c>
      <c r="O2" t="s">
        <v>995</v>
      </c>
    </row>
    <row r="3" spans="2:15" x14ac:dyDescent="0.3">
      <c r="B3" s="35" t="s">
        <v>42</v>
      </c>
      <c r="C3" s="35" t="s">
        <v>996</v>
      </c>
      <c r="D3" s="35" t="s">
        <v>997</v>
      </c>
      <c r="E3" s="2" t="s">
        <v>998</v>
      </c>
      <c r="F3" s="2"/>
      <c r="G3" s="2" t="s">
        <v>43</v>
      </c>
      <c r="H3" s="2" t="str">
        <f>IF(OR(LEFT(G3,1)="T",LEFT(G3,1)="A"),"근거리","원거리")</f>
        <v>근거리</v>
      </c>
      <c r="I3" s="2" t="str">
        <f>LOWER(VLOOKUP(E3,$N$2:$O$5,2,FALSE)&amp;G3&amp;"_"&amp;C3)</f>
        <v>m_s_attacker_solid_turretmk1_1</v>
      </c>
      <c r="J3" s="2"/>
      <c r="N3" t="s">
        <v>999</v>
      </c>
      <c r="O3" t="s">
        <v>1000</v>
      </c>
    </row>
    <row r="4" spans="2:15" x14ac:dyDescent="0.3">
      <c r="B4" s="35" t="s">
        <v>46</v>
      </c>
      <c r="C4" s="35" t="s">
        <v>1001</v>
      </c>
      <c r="D4" s="35" t="s">
        <v>997</v>
      </c>
      <c r="E4" s="2" t="s">
        <v>998</v>
      </c>
      <c r="F4" s="2"/>
      <c r="G4" s="2" t="s">
        <v>47</v>
      </c>
      <c r="H4" s="2" t="str">
        <f t="shared" ref="H4:H96" si="0">IF(OR(LEFT(G4,1)="T",LEFT(G4,1)="A"),"근거리","원거리")</f>
        <v>원거리</v>
      </c>
      <c r="I4" s="2" t="str">
        <f t="shared" ref="I4:I96" si="1">LOWER(VLOOKUP(E4,$N$2:$O$5,2,FALSE)&amp;G4&amp;"_"&amp;C4)</f>
        <v>m_s_ranger_spider_turret_prototype_1</v>
      </c>
      <c r="J4" s="2"/>
      <c r="N4" t="s">
        <v>1002</v>
      </c>
      <c r="O4" t="s">
        <v>1003</v>
      </c>
    </row>
    <row r="5" spans="2:15" x14ac:dyDescent="0.3">
      <c r="B5" s="35" t="s">
        <v>48</v>
      </c>
      <c r="C5" s="35" t="s">
        <v>1004</v>
      </c>
      <c r="D5" s="35" t="s">
        <v>997</v>
      </c>
      <c r="E5" s="2" t="s">
        <v>998</v>
      </c>
      <c r="F5" s="2"/>
      <c r="G5" s="2" t="s">
        <v>43</v>
      </c>
      <c r="H5" s="2" t="str">
        <f t="shared" si="0"/>
        <v>근거리</v>
      </c>
      <c r="I5" s="2" t="str">
        <f t="shared" si="1"/>
        <v>m_s_attacker_electric_drone_1</v>
      </c>
      <c r="J5" s="2"/>
      <c r="N5" t="s">
        <v>998</v>
      </c>
      <c r="O5" t="s">
        <v>1005</v>
      </c>
    </row>
    <row r="6" spans="2:15" x14ac:dyDescent="0.3">
      <c r="B6" s="35" t="s">
        <v>52</v>
      </c>
      <c r="C6" s="35" t="s">
        <v>1006</v>
      </c>
      <c r="D6" s="35" t="s">
        <v>997</v>
      </c>
      <c r="E6" s="2" t="s">
        <v>998</v>
      </c>
      <c r="F6" s="2"/>
      <c r="G6" s="2" t="s">
        <v>47</v>
      </c>
      <c r="H6" s="2" t="str">
        <f t="shared" si="0"/>
        <v>원거리</v>
      </c>
      <c r="I6" s="2" t="str">
        <f t="shared" si="1"/>
        <v>m_s_ranger_jamming_drone_1</v>
      </c>
      <c r="J6" s="2"/>
    </row>
    <row r="7" spans="2:15" x14ac:dyDescent="0.3">
      <c r="B7" s="35" t="s">
        <v>56</v>
      </c>
      <c r="C7" s="35" t="s">
        <v>1007</v>
      </c>
      <c r="D7" s="35" t="s">
        <v>997</v>
      </c>
      <c r="E7" s="2" t="s">
        <v>1002</v>
      </c>
      <c r="F7" s="2"/>
      <c r="G7" s="2" t="s">
        <v>47</v>
      </c>
      <c r="H7" s="2" t="str">
        <f t="shared" si="0"/>
        <v>원거리</v>
      </c>
      <c r="I7" s="2" t="str">
        <f t="shared" si="1"/>
        <v>m_m_ranger_trooper_sniper_1</v>
      </c>
      <c r="J7" s="2"/>
    </row>
    <row r="8" spans="2:15" x14ac:dyDescent="0.3">
      <c r="B8" s="35" t="s">
        <v>57</v>
      </c>
      <c r="C8" s="35" t="s">
        <v>1008</v>
      </c>
      <c r="D8" s="35" t="s">
        <v>997</v>
      </c>
      <c r="E8" s="2" t="s">
        <v>1002</v>
      </c>
      <c r="F8" s="2"/>
      <c r="G8" s="2" t="s">
        <v>58</v>
      </c>
      <c r="H8" s="2" t="str">
        <f t="shared" si="0"/>
        <v>근거리</v>
      </c>
      <c r="I8" s="2" t="str">
        <f t="shared" si="1"/>
        <v>m_m_tanker_trooper_guard_1</v>
      </c>
      <c r="J8" s="2"/>
      <c r="N8" t="s">
        <v>1832</v>
      </c>
    </row>
    <row r="9" spans="2:15" x14ac:dyDescent="0.3">
      <c r="B9" s="35" t="s">
        <v>59</v>
      </c>
      <c r="C9" s="35" t="s">
        <v>1009</v>
      </c>
      <c r="D9" s="35" t="s">
        <v>997</v>
      </c>
      <c r="E9" s="2" t="s">
        <v>1002</v>
      </c>
      <c r="F9" s="2"/>
      <c r="G9" s="2" t="s">
        <v>43</v>
      </c>
      <c r="H9" s="2" t="str">
        <f t="shared" si="0"/>
        <v>근거리</v>
      </c>
      <c r="I9" s="2" t="str">
        <f t="shared" si="1"/>
        <v>m_m_attacker_trooper_champion_1</v>
      </c>
      <c r="J9" s="2"/>
    </row>
    <row r="10" spans="2:15" x14ac:dyDescent="0.3">
      <c r="B10" s="35" t="s">
        <v>60</v>
      </c>
      <c r="C10" s="35" t="s">
        <v>1010</v>
      </c>
      <c r="D10" s="35" t="s">
        <v>997</v>
      </c>
      <c r="E10" s="2" t="s">
        <v>1002</v>
      </c>
      <c r="F10" s="2"/>
      <c r="G10" s="2" t="s">
        <v>47</v>
      </c>
      <c r="H10" s="2" t="str">
        <f t="shared" si="0"/>
        <v>원거리</v>
      </c>
      <c r="I10" s="2" t="str">
        <f t="shared" si="1"/>
        <v>m_m_ranger_trooper_demolisher_1</v>
      </c>
      <c r="J10" s="2"/>
    </row>
    <row r="11" spans="2:15" x14ac:dyDescent="0.3">
      <c r="B11" s="35" t="s">
        <v>61</v>
      </c>
      <c r="C11" s="35" t="s">
        <v>1011</v>
      </c>
      <c r="D11" s="35" t="s">
        <v>997</v>
      </c>
      <c r="E11" s="2" t="s">
        <v>1002</v>
      </c>
      <c r="F11" s="2"/>
      <c r="G11" s="2" t="s">
        <v>43</v>
      </c>
      <c r="H11" s="2" t="str">
        <f t="shared" si="0"/>
        <v>근거리</v>
      </c>
      <c r="I11" s="2" t="str">
        <f t="shared" si="1"/>
        <v>m_m_attacker_trooper_inferno_1</v>
      </c>
      <c r="J11" s="2"/>
    </row>
    <row r="12" spans="2:15" x14ac:dyDescent="0.3">
      <c r="B12" s="101" t="s">
        <v>66</v>
      </c>
      <c r="C12" s="101" t="s">
        <v>1172</v>
      </c>
      <c r="D12" s="101" t="s">
        <v>997</v>
      </c>
      <c r="E12" s="2" t="s">
        <v>998</v>
      </c>
      <c r="F12" s="2"/>
      <c r="G12" s="2" t="s">
        <v>43</v>
      </c>
      <c r="H12" s="2" t="str">
        <f t="shared" si="0"/>
        <v>근거리</v>
      </c>
      <c r="I12" s="2" t="str">
        <f t="shared" si="1"/>
        <v>m_s_attacker_solid_turretmk1_2</v>
      </c>
      <c r="J12" s="2"/>
    </row>
    <row r="13" spans="2:15" x14ac:dyDescent="0.3">
      <c r="B13" s="101" t="s">
        <v>67</v>
      </c>
      <c r="C13" s="101" t="s">
        <v>1173</v>
      </c>
      <c r="D13" s="101" t="s">
        <v>997</v>
      </c>
      <c r="E13" s="2" t="s">
        <v>998</v>
      </c>
      <c r="F13" s="2"/>
      <c r="G13" s="2" t="s">
        <v>47</v>
      </c>
      <c r="H13" s="2" t="str">
        <f t="shared" si="0"/>
        <v>원거리</v>
      </c>
      <c r="I13" s="2" t="str">
        <f t="shared" si="1"/>
        <v>m_s_ranger_spider_turret_prototype_2</v>
      </c>
      <c r="J13" s="2"/>
    </row>
    <row r="14" spans="2:15" x14ac:dyDescent="0.3">
      <c r="B14" s="101" t="s">
        <v>68</v>
      </c>
      <c r="C14" s="101" t="s">
        <v>1174</v>
      </c>
      <c r="D14" s="101" t="s">
        <v>997</v>
      </c>
      <c r="E14" s="2" t="s">
        <v>998</v>
      </c>
      <c r="F14" s="2"/>
      <c r="G14" s="2" t="s">
        <v>43</v>
      </c>
      <c r="H14" s="2" t="str">
        <f t="shared" si="0"/>
        <v>근거리</v>
      </c>
      <c r="I14" s="2" t="str">
        <f t="shared" si="1"/>
        <v>m_s_attacker_electric_drone_2</v>
      </c>
      <c r="J14" s="2"/>
    </row>
    <row r="15" spans="2:15" x14ac:dyDescent="0.3">
      <c r="B15" s="101" t="s">
        <v>69</v>
      </c>
      <c r="C15" s="101" t="s">
        <v>1175</v>
      </c>
      <c r="D15" s="101" t="s">
        <v>997</v>
      </c>
      <c r="E15" s="2" t="s">
        <v>998</v>
      </c>
      <c r="F15" s="2"/>
      <c r="G15" s="2" t="s">
        <v>47</v>
      </c>
      <c r="H15" s="2" t="str">
        <f t="shared" si="0"/>
        <v>원거리</v>
      </c>
      <c r="I15" s="2" t="str">
        <f t="shared" si="1"/>
        <v>m_s_ranger_jamming_drone_2</v>
      </c>
      <c r="J15" s="2"/>
    </row>
    <row r="16" spans="2:15" x14ac:dyDescent="0.3">
      <c r="B16" s="101" t="s">
        <v>70</v>
      </c>
      <c r="C16" s="101" t="s">
        <v>1176</v>
      </c>
      <c r="D16" s="101" t="s">
        <v>997</v>
      </c>
      <c r="E16" s="2" t="s">
        <v>1002</v>
      </c>
      <c r="F16" s="2"/>
      <c r="G16" s="2" t="s">
        <v>47</v>
      </c>
      <c r="H16" s="2" t="str">
        <f t="shared" si="0"/>
        <v>원거리</v>
      </c>
      <c r="I16" s="2" t="str">
        <f t="shared" si="1"/>
        <v>m_m_ranger_trooper_sniper_2</v>
      </c>
      <c r="J16" s="2"/>
    </row>
    <row r="17" spans="2:10" x14ac:dyDescent="0.3">
      <c r="B17" s="101" t="s">
        <v>71</v>
      </c>
      <c r="C17" s="101" t="s">
        <v>1177</v>
      </c>
      <c r="D17" s="101" t="s">
        <v>997</v>
      </c>
      <c r="E17" s="2" t="s">
        <v>1002</v>
      </c>
      <c r="F17" s="2"/>
      <c r="G17" s="2" t="s">
        <v>58</v>
      </c>
      <c r="H17" s="2" t="str">
        <f t="shared" si="0"/>
        <v>근거리</v>
      </c>
      <c r="I17" s="2" t="str">
        <f t="shared" si="1"/>
        <v>m_m_tanker_trooper_guard_2</v>
      </c>
      <c r="J17" s="2"/>
    </row>
    <row r="18" spans="2:10" x14ac:dyDescent="0.3">
      <c r="B18" s="101" t="s">
        <v>72</v>
      </c>
      <c r="C18" s="101" t="s">
        <v>1178</v>
      </c>
      <c r="D18" s="101" t="s">
        <v>997</v>
      </c>
      <c r="E18" s="2" t="s">
        <v>1002</v>
      </c>
      <c r="F18" s="2"/>
      <c r="G18" s="2" t="s">
        <v>43</v>
      </c>
      <c r="H18" s="2" t="str">
        <f t="shared" si="0"/>
        <v>근거리</v>
      </c>
      <c r="I18" s="2" t="str">
        <f t="shared" si="1"/>
        <v>m_m_attacker_trooper_champion_2</v>
      </c>
      <c r="J18" s="2"/>
    </row>
    <row r="19" spans="2:10" x14ac:dyDescent="0.3">
      <c r="B19" s="101" t="s">
        <v>73</v>
      </c>
      <c r="C19" s="101" t="s">
        <v>1179</v>
      </c>
      <c r="D19" s="101" t="s">
        <v>997</v>
      </c>
      <c r="E19" s="2" t="s">
        <v>1002</v>
      </c>
      <c r="F19" s="2"/>
      <c r="G19" s="2" t="s">
        <v>47</v>
      </c>
      <c r="H19" s="2" t="str">
        <f t="shared" si="0"/>
        <v>원거리</v>
      </c>
      <c r="I19" s="2" t="str">
        <f t="shared" si="1"/>
        <v>m_m_ranger_trooper_demolisher_2</v>
      </c>
      <c r="J19" s="2"/>
    </row>
    <row r="20" spans="2:10" x14ac:dyDescent="0.3">
      <c r="B20" s="101" t="s">
        <v>74</v>
      </c>
      <c r="C20" s="101" t="s">
        <v>1180</v>
      </c>
      <c r="D20" s="101" t="s">
        <v>997</v>
      </c>
      <c r="E20" s="2" t="s">
        <v>1002</v>
      </c>
      <c r="F20" s="2"/>
      <c r="G20" s="2" t="s">
        <v>43</v>
      </c>
      <c r="H20" s="2" t="str">
        <f t="shared" si="0"/>
        <v>근거리</v>
      </c>
      <c r="I20" s="2" t="str">
        <f t="shared" si="1"/>
        <v>m_m_attacker_trooper_inferno_2</v>
      </c>
      <c r="J20" s="2"/>
    </row>
    <row r="21" spans="2:10" x14ac:dyDescent="0.3">
      <c r="B21" s="102" t="s">
        <v>62</v>
      </c>
      <c r="C21" s="102" t="s">
        <v>1012</v>
      </c>
      <c r="D21" s="102" t="s">
        <v>997</v>
      </c>
      <c r="E21" s="2" t="s">
        <v>1195</v>
      </c>
      <c r="F21" s="2"/>
      <c r="G21" s="2" t="s">
        <v>47</v>
      </c>
      <c r="H21" s="2" t="str">
        <f t="shared" si="0"/>
        <v>원거리</v>
      </c>
      <c r="I21" s="105" t="s">
        <v>1196</v>
      </c>
      <c r="J21" s="2"/>
    </row>
    <row r="22" spans="2:10" x14ac:dyDescent="0.3">
      <c r="B22" s="102" t="s">
        <v>63</v>
      </c>
      <c r="C22" s="102" t="s">
        <v>1013</v>
      </c>
      <c r="D22" s="102" t="s">
        <v>997</v>
      </c>
      <c r="E22" s="2" t="s">
        <v>999</v>
      </c>
      <c r="F22" s="2"/>
      <c r="G22" s="2" t="s">
        <v>43</v>
      </c>
      <c r="H22" s="2" t="str">
        <f t="shared" si="0"/>
        <v>근거리</v>
      </c>
      <c r="I22" s="2" t="str">
        <f t="shared" si="1"/>
        <v>m_l_attacker_harbor_crab_1</v>
      </c>
      <c r="J22" s="2"/>
    </row>
    <row r="23" spans="2:10" x14ac:dyDescent="0.3">
      <c r="B23" s="102" t="s">
        <v>65</v>
      </c>
      <c r="C23" s="102" t="s">
        <v>1014</v>
      </c>
      <c r="D23" s="102" t="s">
        <v>997</v>
      </c>
      <c r="E23" s="2" t="s">
        <v>999</v>
      </c>
      <c r="F23" s="2"/>
      <c r="G23" s="2" t="s">
        <v>58</v>
      </c>
      <c r="H23" s="2" t="str">
        <f t="shared" si="0"/>
        <v>근거리</v>
      </c>
      <c r="I23" s="2" t="str">
        <f t="shared" si="1"/>
        <v>m_l_tanker_harbor_punch_1</v>
      </c>
      <c r="J23" s="2"/>
    </row>
    <row r="24" spans="2:10" x14ac:dyDescent="0.3">
      <c r="B24" s="102" t="s">
        <v>75</v>
      </c>
      <c r="C24" s="102" t="s">
        <v>1015</v>
      </c>
      <c r="D24" s="102" t="s">
        <v>997</v>
      </c>
      <c r="E24" s="2" t="s">
        <v>994</v>
      </c>
      <c r="F24" s="2"/>
      <c r="G24" s="2" t="s">
        <v>58</v>
      </c>
      <c r="H24" s="2" t="str">
        <f t="shared" si="0"/>
        <v>근거리</v>
      </c>
      <c r="I24" s="2" t="str">
        <f t="shared" si="1"/>
        <v>m_boss_tanker_gallius_1</v>
      </c>
      <c r="J24" s="2"/>
    </row>
    <row r="25" spans="2:10" x14ac:dyDescent="0.3">
      <c r="B25" s="102" t="s">
        <v>79</v>
      </c>
      <c r="C25" s="102" t="s">
        <v>1016</v>
      </c>
      <c r="D25" s="102" t="s">
        <v>997</v>
      </c>
      <c r="E25" s="2" t="s">
        <v>994</v>
      </c>
      <c r="F25" s="2"/>
      <c r="G25" s="2" t="s">
        <v>58</v>
      </c>
      <c r="H25" s="2" t="str">
        <f t="shared" si="0"/>
        <v>근거리</v>
      </c>
      <c r="I25" s="2" t="str">
        <f t="shared" si="1"/>
        <v>m_boss_tanker_gallius_2</v>
      </c>
      <c r="J25" s="2"/>
    </row>
    <row r="26" spans="2:10" x14ac:dyDescent="0.3">
      <c r="B26" s="21" t="s">
        <v>83</v>
      </c>
      <c r="C26" s="21" t="s">
        <v>1017</v>
      </c>
      <c r="D26" s="21" t="s">
        <v>1018</v>
      </c>
      <c r="E26" s="2" t="s">
        <v>998</v>
      </c>
      <c r="F26" s="2"/>
      <c r="G26" s="2" t="s">
        <v>43</v>
      </c>
      <c r="H26" s="2" t="str">
        <f t="shared" si="0"/>
        <v>근거리</v>
      </c>
      <c r="I26" s="2" t="str">
        <f t="shared" si="1"/>
        <v>m_s_attacker_turtle_mechamk3_3</v>
      </c>
      <c r="J26" s="2"/>
    </row>
    <row r="27" spans="2:10" x14ac:dyDescent="0.3">
      <c r="B27" s="21" t="s">
        <v>84</v>
      </c>
      <c r="C27" s="21" t="s">
        <v>1019</v>
      </c>
      <c r="D27" s="21" t="s">
        <v>1018</v>
      </c>
      <c r="E27" s="2" t="s">
        <v>998</v>
      </c>
      <c r="F27" s="2"/>
      <c r="G27" s="2" t="s">
        <v>47</v>
      </c>
      <c r="H27" s="2" t="str">
        <f t="shared" si="0"/>
        <v>원거리</v>
      </c>
      <c r="I27" s="2" t="str">
        <f t="shared" si="1"/>
        <v>m_s_ranger_scorpion_turretmk2_3</v>
      </c>
      <c r="J27" s="2"/>
    </row>
    <row r="28" spans="2:10" x14ac:dyDescent="0.3">
      <c r="B28" s="21" t="s">
        <v>85</v>
      </c>
      <c r="C28" s="21" t="s">
        <v>1020</v>
      </c>
      <c r="D28" s="21" t="s">
        <v>1018</v>
      </c>
      <c r="E28" s="2" t="s">
        <v>998</v>
      </c>
      <c r="F28" s="2"/>
      <c r="G28" s="2" t="s">
        <v>43</v>
      </c>
      <c r="H28" s="2" t="str">
        <f t="shared" si="0"/>
        <v>근거리</v>
      </c>
      <c r="I28" s="2" t="str">
        <f t="shared" si="1"/>
        <v>m_s_attacker_rhino_mechamk3_3</v>
      </c>
      <c r="J28" s="2"/>
    </row>
    <row r="29" spans="2:10" x14ac:dyDescent="0.3">
      <c r="B29" s="21" t="s">
        <v>86</v>
      </c>
      <c r="C29" s="21" t="s">
        <v>1021</v>
      </c>
      <c r="D29" s="21" t="s">
        <v>1018</v>
      </c>
      <c r="E29" s="2" t="s">
        <v>998</v>
      </c>
      <c r="F29" s="2"/>
      <c r="G29" s="2" t="s">
        <v>47</v>
      </c>
      <c r="H29" s="2" t="str">
        <f t="shared" si="0"/>
        <v>원거리</v>
      </c>
      <c r="I29" s="2" t="str">
        <f t="shared" si="1"/>
        <v>m_s_ranger_spider_turretmk2_3</v>
      </c>
      <c r="J29" s="2"/>
    </row>
    <row r="30" spans="2:10" x14ac:dyDescent="0.3">
      <c r="B30" s="21" t="s">
        <v>87</v>
      </c>
      <c r="C30" s="21" t="s">
        <v>1022</v>
      </c>
      <c r="D30" s="21" t="s">
        <v>1018</v>
      </c>
      <c r="E30" s="2" t="s">
        <v>998</v>
      </c>
      <c r="F30" s="2"/>
      <c r="G30" s="2" t="s">
        <v>47</v>
      </c>
      <c r="H30" s="2" t="str">
        <f t="shared" si="0"/>
        <v>원거리</v>
      </c>
      <c r="I30" s="2" t="str">
        <f t="shared" si="1"/>
        <v>m_s_ranger_hellfire_drone_3</v>
      </c>
      <c r="J30" s="2"/>
    </row>
    <row r="31" spans="2:10" x14ac:dyDescent="0.3">
      <c r="B31" s="21" t="s">
        <v>88</v>
      </c>
      <c r="C31" s="21" t="s">
        <v>1023</v>
      </c>
      <c r="D31" s="21" t="s">
        <v>1018</v>
      </c>
      <c r="E31" s="2" t="s">
        <v>1002</v>
      </c>
      <c r="F31" s="2"/>
      <c r="G31" s="2" t="s">
        <v>43</v>
      </c>
      <c r="H31" s="2" t="str">
        <f t="shared" si="0"/>
        <v>근거리</v>
      </c>
      <c r="I31" s="2" t="str">
        <f t="shared" si="1"/>
        <v>m_m_attacker_silhouette_champion_3</v>
      </c>
      <c r="J31" s="2"/>
    </row>
    <row r="32" spans="2:10" x14ac:dyDescent="0.3">
      <c r="B32" s="21" t="s">
        <v>89</v>
      </c>
      <c r="C32" s="21" t="s">
        <v>1024</v>
      </c>
      <c r="D32" s="21" t="s">
        <v>1018</v>
      </c>
      <c r="E32" s="2" t="s">
        <v>1002</v>
      </c>
      <c r="F32" s="2"/>
      <c r="G32" s="2" t="s">
        <v>47</v>
      </c>
      <c r="H32" s="2" t="str">
        <f t="shared" si="0"/>
        <v>원거리</v>
      </c>
      <c r="I32" s="2" t="str">
        <f t="shared" si="1"/>
        <v>m_m_ranger_silhouette_demolisher_3</v>
      </c>
      <c r="J32" s="2"/>
    </row>
    <row r="33" spans="2:10" x14ac:dyDescent="0.3">
      <c r="B33" s="21" t="s">
        <v>90</v>
      </c>
      <c r="C33" s="21" t="s">
        <v>1025</v>
      </c>
      <c r="D33" s="21" t="s">
        <v>1018</v>
      </c>
      <c r="E33" s="2" t="s">
        <v>1002</v>
      </c>
      <c r="F33" s="2"/>
      <c r="G33" s="2" t="s">
        <v>58</v>
      </c>
      <c r="H33" s="2" t="str">
        <f t="shared" si="0"/>
        <v>근거리</v>
      </c>
      <c r="I33" s="2" t="str">
        <f t="shared" si="1"/>
        <v>m_m_tanker_silhouette_guard_3</v>
      </c>
      <c r="J33" s="2"/>
    </row>
    <row r="34" spans="2:10" x14ac:dyDescent="0.3">
      <c r="B34" s="21" t="s">
        <v>91</v>
      </c>
      <c r="C34" s="21" t="s">
        <v>1026</v>
      </c>
      <c r="D34" s="21" t="s">
        <v>1018</v>
      </c>
      <c r="E34" s="2" t="s">
        <v>1002</v>
      </c>
      <c r="F34" s="2"/>
      <c r="G34" s="2" t="s">
        <v>43</v>
      </c>
      <c r="H34" s="2" t="str">
        <f t="shared" si="0"/>
        <v>근거리</v>
      </c>
      <c r="I34" s="2" t="str">
        <f t="shared" si="1"/>
        <v>m_m_attacker_silhouette_inferno_3</v>
      </c>
      <c r="J34" s="2"/>
    </row>
    <row r="35" spans="2:10" x14ac:dyDescent="0.3">
      <c r="B35" s="112" t="s">
        <v>1227</v>
      </c>
      <c r="C35" s="112" t="s">
        <v>1228</v>
      </c>
      <c r="D35" s="112" t="s">
        <v>1018</v>
      </c>
      <c r="E35" s="2" t="s">
        <v>998</v>
      </c>
      <c r="F35" s="2"/>
      <c r="G35" s="2" t="s">
        <v>43</v>
      </c>
      <c r="H35" s="2" t="str">
        <f t="shared" si="0"/>
        <v>근거리</v>
      </c>
      <c r="I35" s="2" t="str">
        <f t="shared" si="1"/>
        <v>m_s_attacker_turtle_mechamk3_4</v>
      </c>
      <c r="J35" s="2"/>
    </row>
    <row r="36" spans="2:10" x14ac:dyDescent="0.3">
      <c r="B36" s="112" t="s">
        <v>1229</v>
      </c>
      <c r="C36" s="112" t="s">
        <v>1230</v>
      </c>
      <c r="D36" s="112" t="s">
        <v>1018</v>
      </c>
      <c r="E36" s="2" t="s">
        <v>998</v>
      </c>
      <c r="F36" s="2"/>
      <c r="G36" s="2" t="s">
        <v>47</v>
      </c>
      <c r="H36" s="2" t="str">
        <f t="shared" si="0"/>
        <v>원거리</v>
      </c>
      <c r="I36" s="2" t="str">
        <f t="shared" si="1"/>
        <v>m_s_ranger_scorpion_turretmk2_4</v>
      </c>
      <c r="J36" s="2"/>
    </row>
    <row r="37" spans="2:10" x14ac:dyDescent="0.3">
      <c r="B37" s="112" t="s">
        <v>1231</v>
      </c>
      <c r="C37" s="112" t="s">
        <v>1232</v>
      </c>
      <c r="D37" s="112" t="s">
        <v>1018</v>
      </c>
      <c r="E37" s="2" t="s">
        <v>998</v>
      </c>
      <c r="F37" s="2"/>
      <c r="G37" s="2" t="s">
        <v>43</v>
      </c>
      <c r="H37" s="2" t="str">
        <f t="shared" si="0"/>
        <v>근거리</v>
      </c>
      <c r="I37" s="2" t="str">
        <f t="shared" si="1"/>
        <v>m_s_attacker_rhino_mechamk3_4</v>
      </c>
      <c r="J37" s="2"/>
    </row>
    <row r="38" spans="2:10" x14ac:dyDescent="0.3">
      <c r="B38" s="112" t="s">
        <v>1233</v>
      </c>
      <c r="C38" s="112" t="s">
        <v>1234</v>
      </c>
      <c r="D38" s="112" t="s">
        <v>1018</v>
      </c>
      <c r="E38" s="2" t="s">
        <v>998</v>
      </c>
      <c r="F38" s="2"/>
      <c r="G38" s="2" t="s">
        <v>47</v>
      </c>
      <c r="H38" s="2" t="str">
        <f t="shared" si="0"/>
        <v>원거리</v>
      </c>
      <c r="I38" s="2" t="str">
        <f t="shared" si="1"/>
        <v>m_s_ranger_spider_turretmk2_4</v>
      </c>
      <c r="J38" s="2"/>
    </row>
    <row r="39" spans="2:10" x14ac:dyDescent="0.3">
      <c r="B39" s="112" t="s">
        <v>1235</v>
      </c>
      <c r="C39" s="112" t="s">
        <v>1236</v>
      </c>
      <c r="D39" s="112" t="s">
        <v>1018</v>
      </c>
      <c r="E39" s="2" t="s">
        <v>998</v>
      </c>
      <c r="F39" s="2"/>
      <c r="G39" s="2" t="s">
        <v>47</v>
      </c>
      <c r="H39" s="2" t="str">
        <f t="shared" si="0"/>
        <v>원거리</v>
      </c>
      <c r="I39" s="2" t="str">
        <f t="shared" si="1"/>
        <v>m_s_ranger_hellfire_drone_4</v>
      </c>
      <c r="J39" s="2"/>
    </row>
    <row r="40" spans="2:10" x14ac:dyDescent="0.3">
      <c r="B40" s="112" t="s">
        <v>1237</v>
      </c>
      <c r="C40" s="112" t="s">
        <v>1395</v>
      </c>
      <c r="D40" s="112" t="s">
        <v>1018</v>
      </c>
      <c r="E40" s="2" t="s">
        <v>1002</v>
      </c>
      <c r="F40" s="2"/>
      <c r="G40" s="2" t="s">
        <v>43</v>
      </c>
      <c r="H40" s="2" t="str">
        <f t="shared" si="0"/>
        <v>근거리</v>
      </c>
      <c r="I40" s="2" t="str">
        <f t="shared" si="1"/>
        <v>m_m_attacker_trooper_silhouette_champion_4</v>
      </c>
      <c r="J40" s="2"/>
    </row>
    <row r="41" spans="2:10" x14ac:dyDescent="0.3">
      <c r="B41" s="112" t="s">
        <v>1238</v>
      </c>
      <c r="C41" s="112" t="s">
        <v>1396</v>
      </c>
      <c r="D41" s="112" t="s">
        <v>1018</v>
      </c>
      <c r="E41" s="2" t="s">
        <v>1002</v>
      </c>
      <c r="F41" s="2"/>
      <c r="G41" s="2" t="s">
        <v>47</v>
      </c>
      <c r="H41" s="2" t="str">
        <f t="shared" si="0"/>
        <v>원거리</v>
      </c>
      <c r="I41" s="2" t="str">
        <f t="shared" si="1"/>
        <v>m_m_ranger_trooper_silhouette_demolisher_4</v>
      </c>
      <c r="J41" s="2"/>
    </row>
    <row r="42" spans="2:10" x14ac:dyDescent="0.3">
      <c r="B42" s="112" t="s">
        <v>1239</v>
      </c>
      <c r="C42" s="112" t="s">
        <v>1397</v>
      </c>
      <c r="D42" s="112" t="s">
        <v>1018</v>
      </c>
      <c r="E42" s="2" t="s">
        <v>1002</v>
      </c>
      <c r="F42" s="2"/>
      <c r="G42" s="2" t="s">
        <v>58</v>
      </c>
      <c r="H42" s="2" t="str">
        <f t="shared" si="0"/>
        <v>근거리</v>
      </c>
      <c r="I42" s="2" t="str">
        <f t="shared" si="1"/>
        <v>m_m_tanker_trooper_silhouette_guard_4</v>
      </c>
      <c r="J42" s="2"/>
    </row>
    <row r="43" spans="2:10" x14ac:dyDescent="0.3">
      <c r="B43" s="112" t="s">
        <v>1240</v>
      </c>
      <c r="C43" s="112" t="s">
        <v>1398</v>
      </c>
      <c r="D43" s="112" t="s">
        <v>1018</v>
      </c>
      <c r="E43" s="2" t="s">
        <v>1002</v>
      </c>
      <c r="F43" s="2"/>
      <c r="G43" s="2" t="s">
        <v>43</v>
      </c>
      <c r="H43" s="2" t="str">
        <f t="shared" si="0"/>
        <v>근거리</v>
      </c>
      <c r="I43" s="2" t="str">
        <f t="shared" si="1"/>
        <v>m_m_attacker_trooper_silhouette_inferno_4</v>
      </c>
      <c r="J43" s="2"/>
    </row>
    <row r="44" spans="2:10" x14ac:dyDescent="0.3">
      <c r="B44" s="21" t="s">
        <v>92</v>
      </c>
      <c r="C44" s="21" t="s">
        <v>1027</v>
      </c>
      <c r="D44" s="21" t="s">
        <v>1018</v>
      </c>
      <c r="E44" s="2" t="s">
        <v>1204</v>
      </c>
      <c r="F44" s="2"/>
      <c r="G44" s="2" t="s">
        <v>43</v>
      </c>
      <c r="H44" s="2" t="str">
        <f t="shared" si="0"/>
        <v>근거리</v>
      </c>
      <c r="I44" s="105" t="s">
        <v>1201</v>
      </c>
      <c r="J44" s="2"/>
    </row>
    <row r="45" spans="2:10" x14ac:dyDescent="0.3">
      <c r="B45" s="21" t="s">
        <v>93</v>
      </c>
      <c r="C45" s="21" t="s">
        <v>1028</v>
      </c>
      <c r="D45" s="21" t="s">
        <v>1018</v>
      </c>
      <c r="E45" s="2" t="s">
        <v>999</v>
      </c>
      <c r="F45" s="2"/>
      <c r="G45" s="2" t="s">
        <v>47</v>
      </c>
      <c r="H45" s="2" t="str">
        <f t="shared" si="0"/>
        <v>원거리</v>
      </c>
      <c r="I45" s="106" t="s">
        <v>1202</v>
      </c>
      <c r="J45" s="2"/>
    </row>
    <row r="46" spans="2:10" x14ac:dyDescent="0.3">
      <c r="B46" s="21" t="s">
        <v>94</v>
      </c>
      <c r="C46" s="21" t="s">
        <v>1029</v>
      </c>
      <c r="D46" s="21" t="s">
        <v>1018</v>
      </c>
      <c r="E46" s="2" t="s">
        <v>999</v>
      </c>
      <c r="F46" s="2"/>
      <c r="G46" s="2" t="s">
        <v>58</v>
      </c>
      <c r="H46" s="3" t="str">
        <f t="shared" si="0"/>
        <v>근거리</v>
      </c>
      <c r="I46" s="107" t="s">
        <v>1203</v>
      </c>
      <c r="J46" s="2"/>
    </row>
    <row r="47" spans="2:10" x14ac:dyDescent="0.3">
      <c r="B47" s="21" t="s">
        <v>95</v>
      </c>
      <c r="C47" s="21" t="s">
        <v>1030</v>
      </c>
      <c r="D47" s="21" t="s">
        <v>1018</v>
      </c>
      <c r="E47" s="2" t="s">
        <v>994</v>
      </c>
      <c r="F47" s="2"/>
      <c r="G47" s="2" t="s">
        <v>47</v>
      </c>
      <c r="H47" s="2" t="str">
        <f t="shared" si="0"/>
        <v>원거리</v>
      </c>
      <c r="I47" s="2" t="str">
        <f t="shared" si="1"/>
        <v>m_boss_ranger_cassandra_1</v>
      </c>
      <c r="J47" s="2"/>
    </row>
    <row r="48" spans="2:10" x14ac:dyDescent="0.3">
      <c r="B48" s="21" t="s">
        <v>101</v>
      </c>
      <c r="C48" s="21" t="s">
        <v>1031</v>
      </c>
      <c r="D48" s="21" t="s">
        <v>1018</v>
      </c>
      <c r="E48" s="2" t="s">
        <v>994</v>
      </c>
      <c r="F48" s="2"/>
      <c r="G48" s="2" t="s">
        <v>47</v>
      </c>
      <c r="H48" s="2" t="str">
        <f t="shared" si="0"/>
        <v>원거리</v>
      </c>
      <c r="I48" s="2" t="str">
        <f t="shared" si="1"/>
        <v>m_boss_ranger_cassandra_2</v>
      </c>
      <c r="J48" s="2"/>
    </row>
    <row r="49" spans="2:10" x14ac:dyDescent="0.3">
      <c r="B49" s="20" t="s">
        <v>106</v>
      </c>
      <c r="C49" s="20" t="s">
        <v>1032</v>
      </c>
      <c r="D49" s="20" t="s">
        <v>1033</v>
      </c>
      <c r="E49" s="2" t="s">
        <v>998</v>
      </c>
      <c r="F49" s="2"/>
      <c r="G49" s="2" t="s">
        <v>43</v>
      </c>
      <c r="H49" s="2" t="str">
        <f t="shared" si="0"/>
        <v>근거리</v>
      </c>
      <c r="I49" s="2" t="str">
        <f t="shared" si="1"/>
        <v>m_s_attacker_brain_hunter_1</v>
      </c>
      <c r="J49" s="2"/>
    </row>
    <row r="50" spans="2:10" x14ac:dyDescent="0.3">
      <c r="B50" s="20" t="s">
        <v>107</v>
      </c>
      <c r="C50" s="20" t="s">
        <v>1034</v>
      </c>
      <c r="D50" s="20" t="s">
        <v>1033</v>
      </c>
      <c r="E50" s="2" t="s">
        <v>998</v>
      </c>
      <c r="F50" s="2"/>
      <c r="G50" s="2" t="s">
        <v>43</v>
      </c>
      <c r="H50" s="2" t="str">
        <f t="shared" si="0"/>
        <v>근거리</v>
      </c>
      <c r="I50" s="2" t="str">
        <f t="shared" si="1"/>
        <v>m_s_attacker_infmecha_2</v>
      </c>
      <c r="J50" s="2"/>
    </row>
    <row r="51" spans="2:10" x14ac:dyDescent="0.3">
      <c r="B51" s="20" t="s">
        <v>108</v>
      </c>
      <c r="C51" s="20" t="s">
        <v>1035</v>
      </c>
      <c r="D51" s="20" t="s">
        <v>1033</v>
      </c>
      <c r="E51" s="2" t="s">
        <v>998</v>
      </c>
      <c r="F51" s="2"/>
      <c r="G51" s="2" t="s">
        <v>47</v>
      </c>
      <c r="H51" s="2" t="str">
        <f t="shared" si="0"/>
        <v>원거리</v>
      </c>
      <c r="I51" s="2" t="str">
        <f t="shared" si="1"/>
        <v>m_s_ranger_core_hunter_1</v>
      </c>
      <c r="J51" s="2"/>
    </row>
    <row r="52" spans="2:10" x14ac:dyDescent="0.3">
      <c r="B52" s="20" t="s">
        <v>109</v>
      </c>
      <c r="C52" s="20" t="s">
        <v>1036</v>
      </c>
      <c r="D52" s="20" t="s">
        <v>1033</v>
      </c>
      <c r="E52" s="2" t="s">
        <v>998</v>
      </c>
      <c r="F52" s="2"/>
      <c r="G52" s="2" t="s">
        <v>47</v>
      </c>
      <c r="H52" s="2" t="str">
        <f t="shared" si="0"/>
        <v>원거리</v>
      </c>
      <c r="I52" s="2" t="str">
        <f t="shared" si="1"/>
        <v>m_s_ranger_infturret_2</v>
      </c>
      <c r="J52" s="2"/>
    </row>
    <row r="53" spans="2:10" x14ac:dyDescent="0.3">
      <c r="B53" s="20" t="s">
        <v>110</v>
      </c>
      <c r="C53" s="20" t="s">
        <v>1037</v>
      </c>
      <c r="D53" s="20" t="s">
        <v>1033</v>
      </c>
      <c r="E53" s="2" t="s">
        <v>1002</v>
      </c>
      <c r="F53" s="2"/>
      <c r="G53" s="2" t="s">
        <v>58</v>
      </c>
      <c r="H53" s="2" t="str">
        <f t="shared" si="0"/>
        <v>근거리</v>
      </c>
      <c r="I53" s="2" t="str">
        <f t="shared" si="1"/>
        <v>m_m_tanker_infdust_shield_2</v>
      </c>
      <c r="J53" s="2"/>
    </row>
    <row r="54" spans="2:10" x14ac:dyDescent="0.3">
      <c r="B54" s="20" t="s">
        <v>111</v>
      </c>
      <c r="C54" s="20" t="s">
        <v>1038</v>
      </c>
      <c r="D54" s="20" t="s">
        <v>1033</v>
      </c>
      <c r="E54" s="2" t="s">
        <v>1002</v>
      </c>
      <c r="F54" s="2"/>
      <c r="G54" s="2" t="s">
        <v>43</v>
      </c>
      <c r="H54" s="2" t="str">
        <f t="shared" si="0"/>
        <v>근거리</v>
      </c>
      <c r="I54" s="2" t="str">
        <f t="shared" si="1"/>
        <v>m_m_attacker_infdust_gauntlet_2</v>
      </c>
      <c r="J54" s="2"/>
    </row>
    <row r="55" spans="2:10" x14ac:dyDescent="0.3">
      <c r="B55" s="20" t="s">
        <v>112</v>
      </c>
      <c r="C55" s="20" t="s">
        <v>1039</v>
      </c>
      <c r="D55" s="20" t="s">
        <v>1033</v>
      </c>
      <c r="E55" s="2" t="s">
        <v>1002</v>
      </c>
      <c r="F55" s="2"/>
      <c r="G55" s="2" t="s">
        <v>47</v>
      </c>
      <c r="H55" s="2" t="str">
        <f t="shared" si="0"/>
        <v>원거리</v>
      </c>
      <c r="I55" s="2" t="str">
        <f t="shared" si="1"/>
        <v>m_m_ranger_infdust_rifle_2</v>
      </c>
      <c r="J55" s="2"/>
    </row>
    <row r="56" spans="2:10" x14ac:dyDescent="0.3">
      <c r="B56" s="20" t="s">
        <v>113</v>
      </c>
      <c r="C56" s="20" t="s">
        <v>1040</v>
      </c>
      <c r="D56" s="20" t="s">
        <v>1033</v>
      </c>
      <c r="E56" s="2" t="s">
        <v>1002</v>
      </c>
      <c r="F56" s="2"/>
      <c r="G56" s="2" t="s">
        <v>47</v>
      </c>
      <c r="H56" s="2" t="str">
        <f t="shared" si="0"/>
        <v>원거리</v>
      </c>
      <c r="I56" s="2" t="str">
        <f t="shared" si="1"/>
        <v>m_m_ranger_infdust_launcher_2</v>
      </c>
      <c r="J56" s="2"/>
    </row>
    <row r="57" spans="2:10" x14ac:dyDescent="0.3">
      <c r="B57" s="20" t="s">
        <v>114</v>
      </c>
      <c r="C57" s="20" t="s">
        <v>1041</v>
      </c>
      <c r="D57" s="20" t="s">
        <v>1033</v>
      </c>
      <c r="E57" s="2" t="s">
        <v>1002</v>
      </c>
      <c r="F57" s="2"/>
      <c r="G57" s="2" t="s">
        <v>43</v>
      </c>
      <c r="H57" s="2" t="str">
        <f t="shared" si="0"/>
        <v>근거리</v>
      </c>
      <c r="I57" s="2" t="str">
        <f t="shared" si="1"/>
        <v>m_m_attacker_head_snatcher_1</v>
      </c>
      <c r="J57" s="2"/>
    </row>
    <row r="58" spans="2:10" x14ac:dyDescent="0.3">
      <c r="B58" s="20" t="s">
        <v>115</v>
      </c>
      <c r="C58" s="20" t="s">
        <v>1042</v>
      </c>
      <c r="D58" s="20" t="s">
        <v>1033</v>
      </c>
      <c r="E58" s="2" t="s">
        <v>1002</v>
      </c>
      <c r="F58" s="2"/>
      <c r="G58" s="2" t="s">
        <v>47</v>
      </c>
      <c r="H58" s="2" t="str">
        <f t="shared" si="0"/>
        <v>원거리</v>
      </c>
      <c r="I58" s="2" t="str">
        <f t="shared" si="1"/>
        <v>m_m_ranger_core_snatcher_1</v>
      </c>
      <c r="J58" s="2"/>
    </row>
    <row r="59" spans="2:10" x14ac:dyDescent="0.3">
      <c r="B59" s="20" t="s">
        <v>1241</v>
      </c>
      <c r="C59" s="20" t="s">
        <v>1242</v>
      </c>
      <c r="D59" s="20" t="s">
        <v>1033</v>
      </c>
      <c r="E59" s="2" t="s">
        <v>998</v>
      </c>
      <c r="F59" s="2"/>
      <c r="G59" s="2" t="s">
        <v>43</v>
      </c>
      <c r="H59" s="2" t="str">
        <f t="shared" si="0"/>
        <v>근거리</v>
      </c>
      <c r="I59" s="2" t="str">
        <f t="shared" si="1"/>
        <v>m_s_attacker_brain_hunter_2</v>
      </c>
      <c r="J59" s="2"/>
    </row>
    <row r="60" spans="2:10" x14ac:dyDescent="0.3">
      <c r="B60" s="20" t="s">
        <v>1243</v>
      </c>
      <c r="C60" s="20" t="s">
        <v>1244</v>
      </c>
      <c r="D60" s="20" t="s">
        <v>1033</v>
      </c>
      <c r="E60" s="2" t="s">
        <v>998</v>
      </c>
      <c r="F60" s="2"/>
      <c r="G60" s="2" t="s">
        <v>43</v>
      </c>
      <c r="H60" s="2" t="str">
        <f t="shared" si="0"/>
        <v>근거리</v>
      </c>
      <c r="I60" s="2" t="str">
        <f t="shared" si="1"/>
        <v>m_s_attacker_infmecha_3</v>
      </c>
      <c r="J60" s="2"/>
    </row>
    <row r="61" spans="2:10" x14ac:dyDescent="0.3">
      <c r="B61" s="20" t="s">
        <v>1245</v>
      </c>
      <c r="C61" s="20" t="s">
        <v>1246</v>
      </c>
      <c r="D61" s="20" t="s">
        <v>1033</v>
      </c>
      <c r="E61" s="2" t="s">
        <v>998</v>
      </c>
      <c r="F61" s="2"/>
      <c r="G61" s="2" t="s">
        <v>47</v>
      </c>
      <c r="H61" s="2" t="str">
        <f t="shared" si="0"/>
        <v>원거리</v>
      </c>
      <c r="I61" s="2" t="str">
        <f t="shared" si="1"/>
        <v>m_s_ranger_core_hunter_2</v>
      </c>
      <c r="J61" s="2"/>
    </row>
    <row r="62" spans="2:10" x14ac:dyDescent="0.3">
      <c r="B62" s="20" t="s">
        <v>1247</v>
      </c>
      <c r="C62" s="20" t="s">
        <v>1248</v>
      </c>
      <c r="D62" s="20" t="s">
        <v>1033</v>
      </c>
      <c r="E62" s="2" t="s">
        <v>998</v>
      </c>
      <c r="F62" s="2"/>
      <c r="G62" s="2" t="s">
        <v>47</v>
      </c>
      <c r="H62" s="2" t="str">
        <f t="shared" si="0"/>
        <v>원거리</v>
      </c>
      <c r="I62" s="2" t="str">
        <f t="shared" si="1"/>
        <v>m_s_ranger_infturret_3</v>
      </c>
      <c r="J62" s="2"/>
    </row>
    <row r="63" spans="2:10" x14ac:dyDescent="0.3">
      <c r="B63" s="20" t="s">
        <v>1249</v>
      </c>
      <c r="C63" s="20" t="s">
        <v>1250</v>
      </c>
      <c r="D63" s="20" t="s">
        <v>1033</v>
      </c>
      <c r="E63" s="2" t="s">
        <v>1002</v>
      </c>
      <c r="F63" s="2"/>
      <c r="G63" s="2" t="s">
        <v>58</v>
      </c>
      <c r="H63" s="2" t="str">
        <f t="shared" si="0"/>
        <v>근거리</v>
      </c>
      <c r="I63" s="2" t="str">
        <f t="shared" si="1"/>
        <v>m_m_tanker_infdust_shield_3</v>
      </c>
      <c r="J63" s="2"/>
    </row>
    <row r="64" spans="2:10" x14ac:dyDescent="0.3">
      <c r="B64" s="20" t="s">
        <v>1251</v>
      </c>
      <c r="C64" s="20" t="s">
        <v>1252</v>
      </c>
      <c r="D64" s="20" t="s">
        <v>1033</v>
      </c>
      <c r="E64" s="2" t="s">
        <v>1002</v>
      </c>
      <c r="F64" s="2"/>
      <c r="G64" s="2" t="s">
        <v>43</v>
      </c>
      <c r="H64" s="2" t="str">
        <f t="shared" si="0"/>
        <v>근거리</v>
      </c>
      <c r="I64" s="2" t="str">
        <f t="shared" si="1"/>
        <v>m_m_attacker_infdust_gauntlet_3</v>
      </c>
      <c r="J64" s="2"/>
    </row>
    <row r="65" spans="2:10" x14ac:dyDescent="0.3">
      <c r="B65" s="20" t="s">
        <v>1253</v>
      </c>
      <c r="C65" s="20" t="s">
        <v>1254</v>
      </c>
      <c r="D65" s="20" t="s">
        <v>1033</v>
      </c>
      <c r="E65" s="2" t="s">
        <v>1002</v>
      </c>
      <c r="F65" s="2"/>
      <c r="G65" s="2" t="s">
        <v>47</v>
      </c>
      <c r="H65" s="2" t="str">
        <f t="shared" si="0"/>
        <v>원거리</v>
      </c>
      <c r="I65" s="2" t="str">
        <f t="shared" si="1"/>
        <v>m_m_ranger_infdust_rifle_3</v>
      </c>
      <c r="J65" s="2"/>
    </row>
    <row r="66" spans="2:10" x14ac:dyDescent="0.3">
      <c r="B66" s="20" t="s">
        <v>1255</v>
      </c>
      <c r="C66" s="20" t="s">
        <v>1256</v>
      </c>
      <c r="D66" s="20" t="s">
        <v>1033</v>
      </c>
      <c r="E66" s="2" t="s">
        <v>1002</v>
      </c>
      <c r="F66" s="2"/>
      <c r="G66" s="2" t="s">
        <v>47</v>
      </c>
      <c r="H66" s="2" t="str">
        <f t="shared" si="0"/>
        <v>원거리</v>
      </c>
      <c r="I66" s="2" t="str">
        <f t="shared" si="1"/>
        <v>m_m_ranger_infdust_launcher_3</v>
      </c>
      <c r="J66" s="2"/>
    </row>
    <row r="67" spans="2:10" x14ac:dyDescent="0.3">
      <c r="B67" s="20" t="s">
        <v>1257</v>
      </c>
      <c r="C67" s="20" t="s">
        <v>1258</v>
      </c>
      <c r="D67" s="20" t="s">
        <v>1033</v>
      </c>
      <c r="E67" s="2" t="s">
        <v>1002</v>
      </c>
      <c r="F67" s="2"/>
      <c r="G67" s="2" t="s">
        <v>43</v>
      </c>
      <c r="H67" s="2" t="str">
        <f t="shared" si="0"/>
        <v>근거리</v>
      </c>
      <c r="I67" s="2" t="str">
        <f t="shared" si="1"/>
        <v>m_m_attacker_head_snatcher_2</v>
      </c>
      <c r="J67" s="2"/>
    </row>
    <row r="68" spans="2:10" x14ac:dyDescent="0.3">
      <c r="B68" s="20" t="s">
        <v>1259</v>
      </c>
      <c r="C68" s="20" t="s">
        <v>1260</v>
      </c>
      <c r="D68" s="20" t="s">
        <v>1033</v>
      </c>
      <c r="E68" s="2" t="s">
        <v>1002</v>
      </c>
      <c r="F68" s="2"/>
      <c r="G68" s="2" t="s">
        <v>47</v>
      </c>
      <c r="H68" s="2" t="str">
        <f t="shared" si="0"/>
        <v>원거리</v>
      </c>
      <c r="I68" s="2" t="str">
        <f t="shared" si="1"/>
        <v>m_m_ranger_core_snatcher_2</v>
      </c>
      <c r="J68" s="2"/>
    </row>
    <row r="69" spans="2:10" x14ac:dyDescent="0.3">
      <c r="B69" s="20" t="s">
        <v>116</v>
      </c>
      <c r="C69" s="20" t="s">
        <v>1043</v>
      </c>
      <c r="D69" s="20" t="s">
        <v>1033</v>
      </c>
      <c r="E69" s="2" t="s">
        <v>999</v>
      </c>
      <c r="F69" s="2"/>
      <c r="G69" s="2" t="s">
        <v>43</v>
      </c>
      <c r="H69" s="2" t="str">
        <f t="shared" si="0"/>
        <v>근거리</v>
      </c>
      <c r="I69" s="2" t="str">
        <f t="shared" si="1"/>
        <v>m_l_attacker_grima_alpha_1</v>
      </c>
      <c r="J69" s="2"/>
    </row>
    <row r="70" spans="2:10" x14ac:dyDescent="0.3">
      <c r="B70" s="20" t="s">
        <v>117</v>
      </c>
      <c r="C70" s="20" t="s">
        <v>1044</v>
      </c>
      <c r="D70" s="20" t="s">
        <v>1033</v>
      </c>
      <c r="E70" s="2" t="s">
        <v>999</v>
      </c>
      <c r="F70" s="2"/>
      <c r="G70" s="2" t="s">
        <v>47</v>
      </c>
      <c r="H70" s="2" t="str">
        <f t="shared" si="0"/>
        <v>원거리</v>
      </c>
      <c r="I70" s="2" t="str">
        <f t="shared" si="1"/>
        <v>m_l_ranger_draindermis_1</v>
      </c>
      <c r="J70" s="2"/>
    </row>
    <row r="71" spans="2:10" x14ac:dyDescent="0.3">
      <c r="B71" s="20" t="s">
        <v>118</v>
      </c>
      <c r="C71" s="20" t="s">
        <v>1045</v>
      </c>
      <c r="D71" s="20" t="s">
        <v>1033</v>
      </c>
      <c r="E71" s="2" t="s">
        <v>999</v>
      </c>
      <c r="F71" s="2"/>
      <c r="G71" s="2" t="s">
        <v>43</v>
      </c>
      <c r="H71" s="2" t="str">
        <f t="shared" si="0"/>
        <v>근거리</v>
      </c>
      <c r="I71" s="2" t="str">
        <f t="shared" si="1"/>
        <v>m_l_attacker_grima_beta_1</v>
      </c>
      <c r="J71" s="2"/>
    </row>
    <row r="72" spans="2:10" x14ac:dyDescent="0.3">
      <c r="B72" s="20" t="s">
        <v>119</v>
      </c>
      <c r="C72" s="20" t="s">
        <v>1046</v>
      </c>
      <c r="D72" s="20" t="s">
        <v>1033</v>
      </c>
      <c r="E72" s="2" t="s">
        <v>994</v>
      </c>
      <c r="F72" s="2"/>
      <c r="G72" s="2" t="s">
        <v>43</v>
      </c>
      <c r="H72" s="2" t="str">
        <f t="shared" si="0"/>
        <v>근거리</v>
      </c>
      <c r="I72" s="2" t="str">
        <f t="shared" si="1"/>
        <v>m_boss_attacker_theomega_1</v>
      </c>
      <c r="J72" s="2"/>
    </row>
    <row r="73" spans="2:10" x14ac:dyDescent="0.3">
      <c r="B73" s="20" t="s">
        <v>123</v>
      </c>
      <c r="C73" s="20" t="s">
        <v>1047</v>
      </c>
      <c r="D73" s="20" t="s">
        <v>1033</v>
      </c>
      <c r="E73" s="2" t="s">
        <v>994</v>
      </c>
      <c r="F73" s="2"/>
      <c r="G73" s="2" t="s">
        <v>43</v>
      </c>
      <c r="H73" s="2" t="str">
        <f t="shared" si="0"/>
        <v>근거리</v>
      </c>
      <c r="I73" s="2" t="str">
        <f t="shared" si="1"/>
        <v>m_boss_attacker_theomega_3</v>
      </c>
      <c r="J73" s="2"/>
    </row>
    <row r="74" spans="2:10" x14ac:dyDescent="0.3">
      <c r="B74" s="36" t="s">
        <v>126</v>
      </c>
      <c r="C74" s="36" t="s">
        <v>1048</v>
      </c>
      <c r="D74" s="36" t="s">
        <v>1049</v>
      </c>
      <c r="E74" s="2" t="s">
        <v>998</v>
      </c>
      <c r="F74" s="2"/>
      <c r="G74" s="2" t="s">
        <v>47</v>
      </c>
      <c r="H74" s="2" t="str">
        <f t="shared" si="0"/>
        <v>원거리</v>
      </c>
      <c r="I74" s="2" t="str">
        <f t="shared" si="1"/>
        <v>m_s_ranger_friendly_walking_eyeball_1</v>
      </c>
      <c r="J74" s="2"/>
    </row>
    <row r="75" spans="2:10" x14ac:dyDescent="0.3">
      <c r="B75" s="36" t="s">
        <v>130</v>
      </c>
      <c r="C75" s="36" t="s">
        <v>1050</v>
      </c>
      <c r="D75" s="36" t="s">
        <v>1049</v>
      </c>
      <c r="E75" s="2" t="s">
        <v>998</v>
      </c>
      <c r="F75" s="2"/>
      <c r="G75" s="2" t="s">
        <v>43</v>
      </c>
      <c r="H75" s="2" t="str">
        <f t="shared" si="0"/>
        <v>근거리</v>
      </c>
      <c r="I75" s="2" t="str">
        <f t="shared" si="1"/>
        <v>m_s_attacker_friendly_patrol_1</v>
      </c>
      <c r="J75" s="2"/>
    </row>
    <row r="76" spans="2:10" x14ac:dyDescent="0.3">
      <c r="B76" s="36" t="s">
        <v>134</v>
      </c>
      <c r="C76" s="36" t="s">
        <v>1051</v>
      </c>
      <c r="D76" s="36" t="s">
        <v>1049</v>
      </c>
      <c r="E76" s="2" t="s">
        <v>998</v>
      </c>
      <c r="F76" s="2"/>
      <c r="G76" s="2" t="s">
        <v>47</v>
      </c>
      <c r="H76" s="2" t="str">
        <f t="shared" si="0"/>
        <v>원거리</v>
      </c>
      <c r="I76" s="2" t="str">
        <f t="shared" si="1"/>
        <v>m_s_ranger_friendly_walking_eyeball_2</v>
      </c>
      <c r="J76" s="2"/>
    </row>
    <row r="77" spans="2:10" x14ac:dyDescent="0.3">
      <c r="B77" s="36" t="s">
        <v>138</v>
      </c>
      <c r="C77" s="36" t="s">
        <v>1052</v>
      </c>
      <c r="D77" s="36" t="s">
        <v>1049</v>
      </c>
      <c r="E77" s="2" t="s">
        <v>998</v>
      </c>
      <c r="F77" s="2"/>
      <c r="G77" s="2" t="s">
        <v>43</v>
      </c>
      <c r="H77" s="2" t="str">
        <f t="shared" si="0"/>
        <v>근거리</v>
      </c>
      <c r="I77" s="2" t="str">
        <f t="shared" si="1"/>
        <v>m_s_attacker_friendly_patrol_2</v>
      </c>
      <c r="J77" s="2"/>
    </row>
    <row r="78" spans="2:10" x14ac:dyDescent="0.3">
      <c r="B78" s="36" t="s">
        <v>139</v>
      </c>
      <c r="C78" s="36" t="s">
        <v>1053</v>
      </c>
      <c r="D78" s="36" t="s">
        <v>1049</v>
      </c>
      <c r="E78" s="2" t="s">
        <v>1002</v>
      </c>
      <c r="F78" s="2"/>
      <c r="G78" s="2" t="s">
        <v>43</v>
      </c>
      <c r="H78" s="2" t="str">
        <f t="shared" si="0"/>
        <v>근거리</v>
      </c>
      <c r="I78" s="2" t="str">
        <f t="shared" si="1"/>
        <v>m_m_attacker_friendly_edge_eyeball_1</v>
      </c>
      <c r="J78" s="2"/>
    </row>
    <row r="79" spans="2:10" x14ac:dyDescent="0.3">
      <c r="B79" s="36" t="s">
        <v>140</v>
      </c>
      <c r="C79" s="36" t="s">
        <v>1054</v>
      </c>
      <c r="D79" s="36" t="s">
        <v>1049</v>
      </c>
      <c r="E79" s="2" t="s">
        <v>1002</v>
      </c>
      <c r="F79" s="2"/>
      <c r="G79" s="2" t="s">
        <v>47</v>
      </c>
      <c r="H79" s="2" t="str">
        <f t="shared" si="0"/>
        <v>원거리</v>
      </c>
      <c r="I79" s="2" t="str">
        <f t="shared" si="1"/>
        <v>m_m_ranger_friendly_electric_eyeball_1</v>
      </c>
      <c r="J79" s="2"/>
    </row>
    <row r="80" spans="2:10" x14ac:dyDescent="0.3">
      <c r="B80" s="36" t="s">
        <v>141</v>
      </c>
      <c r="C80" s="36" t="s">
        <v>1055</v>
      </c>
      <c r="D80" s="36" t="s">
        <v>1049</v>
      </c>
      <c r="E80" s="2" t="s">
        <v>1002</v>
      </c>
      <c r="F80" s="2"/>
      <c r="G80" s="2" t="s">
        <v>43</v>
      </c>
      <c r="H80" s="2" t="str">
        <f t="shared" si="0"/>
        <v>근거리</v>
      </c>
      <c r="I80" s="2" t="str">
        <f t="shared" si="1"/>
        <v>m_m_attacker_friendly_sawpatrol_1</v>
      </c>
      <c r="J80" s="2"/>
    </row>
    <row r="81" spans="2:10" x14ac:dyDescent="0.3">
      <c r="B81" s="36" t="s">
        <v>142</v>
      </c>
      <c r="C81" s="36" t="s">
        <v>1056</v>
      </c>
      <c r="D81" s="36" t="s">
        <v>1049</v>
      </c>
      <c r="E81" s="2" t="s">
        <v>1002</v>
      </c>
      <c r="F81" s="2"/>
      <c r="G81" s="2" t="s">
        <v>143</v>
      </c>
      <c r="H81" s="2" t="str">
        <f t="shared" si="0"/>
        <v>원거리</v>
      </c>
      <c r="I81" s="2" t="str">
        <f t="shared" si="1"/>
        <v>m_m_supporter_friendly_staffpatrol_1</v>
      </c>
      <c r="J81" s="2"/>
    </row>
    <row r="82" spans="2:10" x14ac:dyDescent="0.3">
      <c r="B82" s="36" t="s">
        <v>144</v>
      </c>
      <c r="C82" s="36" t="s">
        <v>1057</v>
      </c>
      <c r="D82" s="36" t="s">
        <v>1049</v>
      </c>
      <c r="E82" s="2" t="s">
        <v>1002</v>
      </c>
      <c r="F82" s="2"/>
      <c r="G82" s="2" t="s">
        <v>43</v>
      </c>
      <c r="H82" s="2" t="str">
        <f t="shared" si="0"/>
        <v>근거리</v>
      </c>
      <c r="I82" s="2" t="str">
        <f t="shared" si="1"/>
        <v>m_m_attacker_friendly_sicklepatrol_1</v>
      </c>
      <c r="J82" s="2"/>
    </row>
    <row r="83" spans="2:10" x14ac:dyDescent="0.3">
      <c r="B83" s="36" t="s">
        <v>145</v>
      </c>
      <c r="C83" s="36" t="s">
        <v>1967</v>
      </c>
      <c r="D83" s="36" t="s">
        <v>1049</v>
      </c>
      <c r="E83" s="2" t="s">
        <v>1002</v>
      </c>
      <c r="F83" s="2"/>
      <c r="G83" s="2" t="s">
        <v>43</v>
      </c>
      <c r="H83" s="2" t="str">
        <f t="shared" si="0"/>
        <v>근거리</v>
      </c>
      <c r="I83" s="2" t="str">
        <f t="shared" si="1"/>
        <v>m_m_attacker_friendly_security_1</v>
      </c>
      <c r="J83" s="2"/>
    </row>
    <row r="84" spans="2:10" x14ac:dyDescent="0.3">
      <c r="B84" s="36" t="s">
        <v>146</v>
      </c>
      <c r="C84" s="36" t="s">
        <v>1058</v>
      </c>
      <c r="D84" s="36" t="s">
        <v>1049</v>
      </c>
      <c r="E84" s="2" t="s">
        <v>1002</v>
      </c>
      <c r="F84" s="2"/>
      <c r="G84" s="2" t="s">
        <v>47</v>
      </c>
      <c r="H84" s="2" t="str">
        <f t="shared" si="0"/>
        <v>원거리</v>
      </c>
      <c r="I84" s="2" t="str">
        <f t="shared" si="1"/>
        <v>m_m_ranger_friendly_cannon_1</v>
      </c>
      <c r="J84" s="2"/>
    </row>
    <row r="85" spans="2:10" x14ac:dyDescent="0.3">
      <c r="B85" s="36" t="s">
        <v>147</v>
      </c>
      <c r="C85" s="36" t="s">
        <v>1059</v>
      </c>
      <c r="D85" s="36" t="s">
        <v>1049</v>
      </c>
      <c r="E85" s="2" t="s">
        <v>1002</v>
      </c>
      <c r="F85" s="2"/>
      <c r="G85" s="2" t="s">
        <v>47</v>
      </c>
      <c r="H85" s="2" t="str">
        <f t="shared" si="0"/>
        <v>원거리</v>
      </c>
      <c r="I85" s="2" t="str">
        <f t="shared" si="1"/>
        <v>m_m_ranger_friendly_gun_1</v>
      </c>
      <c r="J85" s="2"/>
    </row>
    <row r="86" spans="2:10" x14ac:dyDescent="0.3">
      <c r="B86" s="36" t="s">
        <v>1261</v>
      </c>
      <c r="C86" s="36" t="s">
        <v>1262</v>
      </c>
      <c r="D86" s="36" t="s">
        <v>1049</v>
      </c>
      <c r="E86" s="2" t="s">
        <v>998</v>
      </c>
      <c r="F86" s="2"/>
      <c r="G86" s="2" t="s">
        <v>47</v>
      </c>
      <c r="H86" s="2" t="str">
        <f t="shared" si="0"/>
        <v>원거리</v>
      </c>
      <c r="I86" s="2" t="str">
        <f t="shared" si="1"/>
        <v>m_s_ranger_friendly_walking_eyeball_3</v>
      </c>
      <c r="J86" s="2"/>
    </row>
    <row r="87" spans="2:10" x14ac:dyDescent="0.3">
      <c r="B87" s="36" t="s">
        <v>1263</v>
      </c>
      <c r="C87" s="36" t="s">
        <v>1264</v>
      </c>
      <c r="D87" s="36" t="s">
        <v>1049</v>
      </c>
      <c r="E87" s="2" t="s">
        <v>998</v>
      </c>
      <c r="F87" s="2"/>
      <c r="G87" s="2" t="s">
        <v>43</v>
      </c>
      <c r="H87" s="2" t="str">
        <f t="shared" si="0"/>
        <v>근거리</v>
      </c>
      <c r="I87" s="2" t="str">
        <f t="shared" si="1"/>
        <v>m_s_attacker_friendly_patrol_3</v>
      </c>
      <c r="J87" s="2"/>
    </row>
    <row r="88" spans="2:10" x14ac:dyDescent="0.3">
      <c r="B88" s="36" t="s">
        <v>1265</v>
      </c>
      <c r="C88" s="36" t="s">
        <v>1266</v>
      </c>
      <c r="D88" s="36" t="s">
        <v>1049</v>
      </c>
      <c r="E88" s="2" t="s">
        <v>1002</v>
      </c>
      <c r="F88" s="2"/>
      <c r="G88" s="2" t="s">
        <v>43</v>
      </c>
      <c r="H88" s="2" t="str">
        <f t="shared" si="0"/>
        <v>근거리</v>
      </c>
      <c r="I88" s="2" t="str">
        <f t="shared" si="1"/>
        <v>m_m_attacker_friendly_edge_eyeball_2</v>
      </c>
      <c r="J88" s="2"/>
    </row>
    <row r="89" spans="2:10" x14ac:dyDescent="0.3">
      <c r="B89" s="36" t="s">
        <v>1267</v>
      </c>
      <c r="C89" s="36" t="s">
        <v>1268</v>
      </c>
      <c r="D89" s="36" t="s">
        <v>1049</v>
      </c>
      <c r="E89" s="2" t="s">
        <v>1002</v>
      </c>
      <c r="F89" s="2"/>
      <c r="G89" s="2" t="s">
        <v>47</v>
      </c>
      <c r="H89" s="2" t="str">
        <f t="shared" si="0"/>
        <v>원거리</v>
      </c>
      <c r="I89" s="2" t="str">
        <f t="shared" si="1"/>
        <v>m_m_ranger_friendly_electric_eyeball_2</v>
      </c>
      <c r="J89" s="2"/>
    </row>
    <row r="90" spans="2:10" x14ac:dyDescent="0.3">
      <c r="B90" s="36" t="s">
        <v>1269</v>
      </c>
      <c r="C90" s="36" t="s">
        <v>1270</v>
      </c>
      <c r="D90" s="36" t="s">
        <v>1049</v>
      </c>
      <c r="E90" s="2" t="s">
        <v>1002</v>
      </c>
      <c r="F90" s="2"/>
      <c r="G90" s="2" t="s">
        <v>43</v>
      </c>
      <c r="H90" s="2" t="str">
        <f t="shared" si="0"/>
        <v>근거리</v>
      </c>
      <c r="I90" s="2" t="str">
        <f t="shared" si="1"/>
        <v>m_m_attacker_friendly_sawpatrol_2</v>
      </c>
      <c r="J90" s="2"/>
    </row>
    <row r="91" spans="2:10" x14ac:dyDescent="0.3">
      <c r="B91" s="36" t="s">
        <v>1271</v>
      </c>
      <c r="C91" s="36" t="s">
        <v>1272</v>
      </c>
      <c r="D91" s="36" t="s">
        <v>1049</v>
      </c>
      <c r="E91" s="2" t="s">
        <v>1002</v>
      </c>
      <c r="F91" s="2"/>
      <c r="G91" s="2" t="s">
        <v>143</v>
      </c>
      <c r="H91" s="2" t="str">
        <f t="shared" si="0"/>
        <v>원거리</v>
      </c>
      <c r="I91" s="2" t="str">
        <f t="shared" si="1"/>
        <v>m_m_supporter_friendly_staffpatrol_2</v>
      </c>
      <c r="J91" s="2"/>
    </row>
    <row r="92" spans="2:10" x14ac:dyDescent="0.3">
      <c r="B92" s="36" t="s">
        <v>1273</v>
      </c>
      <c r="C92" s="36" t="s">
        <v>1274</v>
      </c>
      <c r="D92" s="36" t="s">
        <v>1049</v>
      </c>
      <c r="E92" s="2" t="s">
        <v>1002</v>
      </c>
      <c r="F92" s="2"/>
      <c r="G92" s="2" t="s">
        <v>43</v>
      </c>
      <c r="H92" s="2" t="str">
        <f t="shared" si="0"/>
        <v>근거리</v>
      </c>
      <c r="I92" s="2" t="str">
        <f t="shared" si="1"/>
        <v>m_m_attacker_friendly_sicklepatrol_2</v>
      </c>
      <c r="J92" s="2"/>
    </row>
    <row r="93" spans="2:10" x14ac:dyDescent="0.3">
      <c r="B93" s="36" t="s">
        <v>1275</v>
      </c>
      <c r="C93" s="36" t="s">
        <v>1447</v>
      </c>
      <c r="D93" s="36" t="s">
        <v>1049</v>
      </c>
      <c r="E93" s="2" t="s">
        <v>1002</v>
      </c>
      <c r="F93" s="2"/>
      <c r="G93" s="2" t="s">
        <v>43</v>
      </c>
      <c r="H93" s="2" t="str">
        <f t="shared" si="0"/>
        <v>근거리</v>
      </c>
      <c r="I93" s="2" t="str">
        <f t="shared" si="1"/>
        <v>m_m_attacker_friendly_security_2</v>
      </c>
      <c r="J93" s="2"/>
    </row>
    <row r="94" spans="2:10" x14ac:dyDescent="0.3">
      <c r="B94" s="36" t="s">
        <v>1276</v>
      </c>
      <c r="C94" s="36" t="s">
        <v>1277</v>
      </c>
      <c r="D94" s="36" t="s">
        <v>1049</v>
      </c>
      <c r="E94" s="2" t="s">
        <v>1002</v>
      </c>
      <c r="F94" s="2"/>
      <c r="G94" s="2" t="s">
        <v>47</v>
      </c>
      <c r="H94" s="2" t="str">
        <f t="shared" si="0"/>
        <v>원거리</v>
      </c>
      <c r="I94" s="2" t="str">
        <f t="shared" si="1"/>
        <v>m_m_ranger_friendly_cannon_2</v>
      </c>
      <c r="J94" s="2"/>
    </row>
    <row r="95" spans="2:10" x14ac:dyDescent="0.3">
      <c r="B95" s="36" t="s">
        <v>1278</v>
      </c>
      <c r="C95" s="36" t="s">
        <v>1279</v>
      </c>
      <c r="D95" s="36" t="s">
        <v>1049</v>
      </c>
      <c r="E95" s="2" t="s">
        <v>1002</v>
      </c>
      <c r="F95" s="2"/>
      <c r="G95" s="2" t="s">
        <v>47</v>
      </c>
      <c r="H95" s="2" t="str">
        <f t="shared" si="0"/>
        <v>원거리</v>
      </c>
      <c r="I95" s="2" t="str">
        <f t="shared" si="1"/>
        <v>m_m_ranger_friendly_gun_2</v>
      </c>
      <c r="J95" s="2"/>
    </row>
    <row r="96" spans="2:10" x14ac:dyDescent="0.3">
      <c r="B96" s="36" t="s">
        <v>148</v>
      </c>
      <c r="C96" s="36" t="s">
        <v>1060</v>
      </c>
      <c r="D96" s="36" t="s">
        <v>1049</v>
      </c>
      <c r="E96" s="2" t="s">
        <v>999</v>
      </c>
      <c r="F96" s="2"/>
      <c r="G96" s="2" t="s">
        <v>47</v>
      </c>
      <c r="H96" s="2" t="str">
        <f t="shared" si="0"/>
        <v>원거리</v>
      </c>
      <c r="I96" s="2" t="str">
        <f t="shared" si="1"/>
        <v>m_l_ranger_friendly_railgun_1</v>
      </c>
      <c r="J96" s="2"/>
    </row>
    <row r="97" spans="2:10" x14ac:dyDescent="0.3">
      <c r="B97" s="36" t="s">
        <v>149</v>
      </c>
      <c r="C97" s="36" t="s">
        <v>1061</v>
      </c>
      <c r="D97" s="36" t="s">
        <v>1049</v>
      </c>
      <c r="E97" s="2" t="s">
        <v>999</v>
      </c>
      <c r="F97" s="2"/>
      <c r="G97" s="2" t="s">
        <v>58</v>
      </c>
      <c r="H97" s="2" t="str">
        <f t="shared" ref="H97:H201" si="2">IF(OR(LEFT(G97,1)="T",LEFT(G97,1)="A"),"근거리","원거리")</f>
        <v>근거리</v>
      </c>
      <c r="I97" s="2" t="str">
        <f t="shared" ref="I97:I201" si="3">LOWER(VLOOKUP(E97,$N$2:$O$5,2,FALSE)&amp;G97&amp;"_"&amp;C97)</f>
        <v>m_l_tanker_friendly_punch_1</v>
      </c>
      <c r="J97" s="2"/>
    </row>
    <row r="98" spans="2:10" x14ac:dyDescent="0.3">
      <c r="B98" s="36" t="s">
        <v>150</v>
      </c>
      <c r="C98" s="36" t="s">
        <v>1062</v>
      </c>
      <c r="D98" s="36" t="s">
        <v>1049</v>
      </c>
      <c r="E98" s="2" t="s">
        <v>999</v>
      </c>
      <c r="F98" s="2"/>
      <c r="G98" s="2" t="s">
        <v>43</v>
      </c>
      <c r="H98" s="2" t="str">
        <f t="shared" si="2"/>
        <v>근거리</v>
      </c>
      <c r="I98" s="2" t="str">
        <f t="shared" si="3"/>
        <v>m_l_attacker_friendly_pincers_1</v>
      </c>
      <c r="J98" s="2"/>
    </row>
    <row r="99" spans="2:10" x14ac:dyDescent="0.3">
      <c r="B99" s="36" t="s">
        <v>151</v>
      </c>
      <c r="C99" s="36" t="s">
        <v>1063</v>
      </c>
      <c r="D99" s="36" t="s">
        <v>1049</v>
      </c>
      <c r="E99" s="2" t="s">
        <v>994</v>
      </c>
      <c r="F99" s="2"/>
      <c r="G99" s="2" t="s">
        <v>43</v>
      </c>
      <c r="H99" s="2" t="str">
        <f t="shared" si="2"/>
        <v>근거리</v>
      </c>
      <c r="I99" s="2" t="str">
        <f t="shared" si="3"/>
        <v>m_boss_attacker_nullaxe_1</v>
      </c>
      <c r="J99" s="2"/>
    </row>
    <row r="100" spans="2:10" x14ac:dyDescent="0.3">
      <c r="B100" s="36" t="s">
        <v>154</v>
      </c>
      <c r="C100" s="36" t="s">
        <v>1064</v>
      </c>
      <c r="D100" s="36" t="s">
        <v>1049</v>
      </c>
      <c r="E100" s="2" t="s">
        <v>994</v>
      </c>
      <c r="F100" s="2"/>
      <c r="G100" s="2" t="s">
        <v>43</v>
      </c>
      <c r="H100" s="2" t="str">
        <f t="shared" si="2"/>
        <v>근거리</v>
      </c>
      <c r="I100" s="2" t="str">
        <f t="shared" si="3"/>
        <v>m_boss_attacker_nullaxe_2</v>
      </c>
      <c r="J100" s="2"/>
    </row>
    <row r="101" spans="2:10" x14ac:dyDescent="0.3">
      <c r="B101" s="35" t="s">
        <v>157</v>
      </c>
      <c r="C101" s="35" t="s">
        <v>1065</v>
      </c>
      <c r="D101" s="35" t="s">
        <v>1066</v>
      </c>
      <c r="E101" s="2" t="s">
        <v>998</v>
      </c>
      <c r="F101" s="2"/>
      <c r="G101" s="2" t="s">
        <v>43</v>
      </c>
      <c r="H101" s="2" t="str">
        <f t="shared" si="2"/>
        <v>근거리</v>
      </c>
      <c r="I101" s="2" t="str">
        <f t="shared" si="3"/>
        <v>m_s_attacker_killer_drone_4</v>
      </c>
      <c r="J101" s="2"/>
    </row>
    <row r="102" spans="2:10" x14ac:dyDescent="0.3">
      <c r="B102" s="35" t="s">
        <v>158</v>
      </c>
      <c r="C102" s="35" t="s">
        <v>1067</v>
      </c>
      <c r="D102" s="35" t="s">
        <v>1066</v>
      </c>
      <c r="E102" s="2" t="s">
        <v>998</v>
      </c>
      <c r="F102" s="2"/>
      <c r="G102" s="2" t="s">
        <v>43</v>
      </c>
      <c r="H102" s="2" t="str">
        <f t="shared" si="2"/>
        <v>근거리</v>
      </c>
      <c r="I102" s="2" t="str">
        <f t="shared" si="3"/>
        <v>m_s_attacker_killer_drone_2</v>
      </c>
      <c r="J102" s="2"/>
    </row>
    <row r="103" spans="2:10" x14ac:dyDescent="0.3">
      <c r="B103" s="35" t="s">
        <v>159</v>
      </c>
      <c r="C103" s="35" t="s">
        <v>1068</v>
      </c>
      <c r="D103" s="35" t="s">
        <v>1066</v>
      </c>
      <c r="E103" s="2" t="s">
        <v>998</v>
      </c>
      <c r="F103" s="2"/>
      <c r="G103" s="2" t="s">
        <v>43</v>
      </c>
      <c r="H103" s="2" t="str">
        <f t="shared" si="2"/>
        <v>근거리</v>
      </c>
      <c r="I103" s="2" t="str">
        <f t="shared" si="3"/>
        <v>m_s_attacker_terminate_drone_3</v>
      </c>
      <c r="J103" s="2"/>
    </row>
    <row r="104" spans="2:10" x14ac:dyDescent="0.3">
      <c r="B104" s="35" t="s">
        <v>160</v>
      </c>
      <c r="C104" s="35" t="s">
        <v>1069</v>
      </c>
      <c r="D104" s="35" t="s">
        <v>1066</v>
      </c>
      <c r="E104" s="2" t="s">
        <v>998</v>
      </c>
      <c r="F104" s="2"/>
      <c r="G104" s="2" t="s">
        <v>43</v>
      </c>
      <c r="H104" s="2" t="str">
        <f t="shared" si="2"/>
        <v>근거리</v>
      </c>
      <c r="I104" s="2" t="str">
        <f t="shared" si="3"/>
        <v>m_s_attacker_clock_thunderdog_1</v>
      </c>
      <c r="J104" s="2"/>
    </row>
    <row r="105" spans="2:10" x14ac:dyDescent="0.3">
      <c r="B105" s="35" t="s">
        <v>161</v>
      </c>
      <c r="C105" s="35" t="s">
        <v>1070</v>
      </c>
      <c r="D105" s="35" t="s">
        <v>1066</v>
      </c>
      <c r="E105" s="2" t="s">
        <v>1002</v>
      </c>
      <c r="F105" s="2"/>
      <c r="G105" s="2" t="s">
        <v>47</v>
      </c>
      <c r="H105" s="2" t="str">
        <f t="shared" si="2"/>
        <v>원거리</v>
      </c>
      <c r="I105" s="2" t="str">
        <f t="shared" si="3"/>
        <v>m_m_ranger_labtrooper_rifle_1</v>
      </c>
      <c r="J105" s="2"/>
    </row>
    <row r="106" spans="2:10" x14ac:dyDescent="0.3">
      <c r="B106" s="35" t="s">
        <v>162</v>
      </c>
      <c r="C106" s="35" t="s">
        <v>1071</v>
      </c>
      <c r="D106" s="35" t="s">
        <v>1066</v>
      </c>
      <c r="E106" s="2" t="s">
        <v>1002</v>
      </c>
      <c r="F106" s="2"/>
      <c r="G106" s="2" t="s">
        <v>58</v>
      </c>
      <c r="H106" s="2" t="str">
        <f t="shared" si="2"/>
        <v>근거리</v>
      </c>
      <c r="I106" s="2" t="str">
        <f t="shared" si="3"/>
        <v>m_m_tanker_labtrooper_shield_1</v>
      </c>
      <c r="J106" s="2"/>
    </row>
    <row r="107" spans="2:10" x14ac:dyDescent="0.3">
      <c r="B107" s="35" t="s">
        <v>163</v>
      </c>
      <c r="C107" s="35" t="s">
        <v>1072</v>
      </c>
      <c r="D107" s="35" t="s">
        <v>1066</v>
      </c>
      <c r="E107" s="2" t="s">
        <v>1002</v>
      </c>
      <c r="F107" s="2"/>
      <c r="G107" s="2" t="s">
        <v>43</v>
      </c>
      <c r="H107" s="2" t="str">
        <f t="shared" si="2"/>
        <v>근거리</v>
      </c>
      <c r="I107" s="2" t="str">
        <f t="shared" si="3"/>
        <v>m_m_attacker_labtrooper_flame_1</v>
      </c>
      <c r="J107" s="2"/>
    </row>
    <row r="108" spans="2:10" x14ac:dyDescent="0.3">
      <c r="B108" s="35" t="s">
        <v>164</v>
      </c>
      <c r="C108" s="35" t="s">
        <v>1073</v>
      </c>
      <c r="D108" s="35" t="s">
        <v>1066</v>
      </c>
      <c r="E108" s="2" t="s">
        <v>1002</v>
      </c>
      <c r="F108" s="2"/>
      <c r="G108" s="2" t="s">
        <v>47</v>
      </c>
      <c r="H108" s="2" t="str">
        <f t="shared" si="2"/>
        <v>원거리</v>
      </c>
      <c r="I108" s="2" t="str">
        <f t="shared" si="3"/>
        <v>m_m_ranger_labtrooper_launcher_1</v>
      </c>
      <c r="J108" s="2"/>
    </row>
    <row r="109" spans="2:10" x14ac:dyDescent="0.3">
      <c r="B109" s="35" t="s">
        <v>165</v>
      </c>
      <c r="C109" s="35" t="s">
        <v>1074</v>
      </c>
      <c r="D109" s="35" t="s">
        <v>1066</v>
      </c>
      <c r="E109" s="2" t="s">
        <v>1002</v>
      </c>
      <c r="F109" s="2"/>
      <c r="G109" s="2" t="s">
        <v>143</v>
      </c>
      <c r="H109" s="2" t="str">
        <f t="shared" si="2"/>
        <v>원거리</v>
      </c>
      <c r="I109" s="2" t="str">
        <f t="shared" si="3"/>
        <v>m_m_supporter_silhouette_flyer_3</v>
      </c>
      <c r="J109" s="2"/>
    </row>
    <row r="110" spans="2:10" x14ac:dyDescent="0.3">
      <c r="B110" s="35" t="s">
        <v>166</v>
      </c>
      <c r="C110" s="35" t="s">
        <v>1075</v>
      </c>
      <c r="D110" s="35" t="s">
        <v>1066</v>
      </c>
      <c r="E110" s="2" t="s">
        <v>1002</v>
      </c>
      <c r="F110" s="2"/>
      <c r="G110" s="2" t="s">
        <v>47</v>
      </c>
      <c r="H110" s="2" t="str">
        <f t="shared" si="2"/>
        <v>원거리</v>
      </c>
      <c r="I110" s="2" t="str">
        <f t="shared" si="3"/>
        <v>m_m_ranger_harbor_cannon_1</v>
      </c>
      <c r="J110" s="2"/>
    </row>
    <row r="111" spans="2:10" x14ac:dyDescent="0.3">
      <c r="B111" s="35" t="s">
        <v>1280</v>
      </c>
      <c r="C111" s="35" t="s">
        <v>1281</v>
      </c>
      <c r="D111" s="35" t="s">
        <v>1066</v>
      </c>
      <c r="E111" s="2" t="s">
        <v>998</v>
      </c>
      <c r="F111" s="2"/>
      <c r="G111" s="2" t="s">
        <v>43</v>
      </c>
      <c r="H111" s="2" t="str">
        <f t="shared" si="2"/>
        <v>근거리</v>
      </c>
      <c r="I111" s="2" t="str">
        <f t="shared" si="3"/>
        <v>m_s_attacker_killer_drone_6</v>
      </c>
      <c r="J111" s="2"/>
    </row>
    <row r="112" spans="2:10" x14ac:dyDescent="0.3">
      <c r="B112" s="35" t="s">
        <v>1282</v>
      </c>
      <c r="C112" s="35" t="s">
        <v>1283</v>
      </c>
      <c r="D112" s="35" t="s">
        <v>1066</v>
      </c>
      <c r="E112" s="2" t="s">
        <v>998</v>
      </c>
      <c r="F112" s="2"/>
      <c r="G112" s="2" t="s">
        <v>43</v>
      </c>
      <c r="H112" s="2" t="str">
        <f t="shared" si="2"/>
        <v>근거리</v>
      </c>
      <c r="I112" s="2" t="str">
        <f t="shared" si="3"/>
        <v>m_s_attacker_killer_drone_5</v>
      </c>
      <c r="J112" s="2"/>
    </row>
    <row r="113" spans="2:10" x14ac:dyDescent="0.3">
      <c r="B113" s="35" t="s">
        <v>1284</v>
      </c>
      <c r="C113" s="35" t="s">
        <v>1285</v>
      </c>
      <c r="D113" s="35" t="s">
        <v>1066</v>
      </c>
      <c r="E113" s="2" t="s">
        <v>998</v>
      </c>
      <c r="F113" s="2"/>
      <c r="G113" s="2" t="s">
        <v>43</v>
      </c>
      <c r="H113" s="2" t="str">
        <f t="shared" si="2"/>
        <v>근거리</v>
      </c>
      <c r="I113" s="2" t="str">
        <f t="shared" si="3"/>
        <v>m_s_attacker_terminate_drone_4</v>
      </c>
      <c r="J113" s="2"/>
    </row>
    <row r="114" spans="2:10" x14ac:dyDescent="0.3">
      <c r="B114" s="35" t="s">
        <v>1286</v>
      </c>
      <c r="C114" s="35" t="s">
        <v>1287</v>
      </c>
      <c r="D114" s="35" t="s">
        <v>1066</v>
      </c>
      <c r="E114" s="2" t="s">
        <v>998</v>
      </c>
      <c r="F114" s="2"/>
      <c r="G114" s="2" t="s">
        <v>43</v>
      </c>
      <c r="H114" s="2" t="str">
        <f t="shared" si="2"/>
        <v>근거리</v>
      </c>
      <c r="I114" s="2" t="str">
        <f t="shared" si="3"/>
        <v>m_s_attacker_clock_thunderdog_2</v>
      </c>
      <c r="J114" s="2"/>
    </row>
    <row r="115" spans="2:10" x14ac:dyDescent="0.3">
      <c r="B115" s="35" t="s">
        <v>1288</v>
      </c>
      <c r="C115" s="35" t="s">
        <v>1289</v>
      </c>
      <c r="D115" s="35" t="s">
        <v>1066</v>
      </c>
      <c r="E115" s="2" t="s">
        <v>1002</v>
      </c>
      <c r="F115" s="2"/>
      <c r="G115" s="2" t="s">
        <v>47</v>
      </c>
      <c r="H115" s="2" t="str">
        <f t="shared" si="2"/>
        <v>원거리</v>
      </c>
      <c r="I115" s="2" t="str">
        <f t="shared" si="3"/>
        <v>m_m_ranger_labtrooper_rifle_2</v>
      </c>
      <c r="J115" s="2"/>
    </row>
    <row r="116" spans="2:10" x14ac:dyDescent="0.3">
      <c r="B116" s="35" t="s">
        <v>1290</v>
      </c>
      <c r="C116" s="35" t="s">
        <v>1291</v>
      </c>
      <c r="D116" s="35" t="s">
        <v>1066</v>
      </c>
      <c r="E116" s="2" t="s">
        <v>1002</v>
      </c>
      <c r="F116" s="2"/>
      <c r="G116" s="2" t="s">
        <v>58</v>
      </c>
      <c r="H116" s="2" t="str">
        <f t="shared" si="2"/>
        <v>근거리</v>
      </c>
      <c r="I116" s="2" t="str">
        <f t="shared" si="3"/>
        <v>m_m_tanker_labtrooper_shield_2</v>
      </c>
      <c r="J116" s="2"/>
    </row>
    <row r="117" spans="2:10" x14ac:dyDescent="0.3">
      <c r="B117" s="35" t="s">
        <v>1292</v>
      </c>
      <c r="C117" s="35" t="s">
        <v>1293</v>
      </c>
      <c r="D117" s="35" t="s">
        <v>1066</v>
      </c>
      <c r="E117" s="2" t="s">
        <v>1002</v>
      </c>
      <c r="F117" s="2"/>
      <c r="G117" s="2" t="s">
        <v>43</v>
      </c>
      <c r="H117" s="2" t="str">
        <f t="shared" si="2"/>
        <v>근거리</v>
      </c>
      <c r="I117" s="2" t="str">
        <f t="shared" si="3"/>
        <v>m_m_attacker_labtrooper_flame_2</v>
      </c>
      <c r="J117" s="2"/>
    </row>
    <row r="118" spans="2:10" x14ac:dyDescent="0.3">
      <c r="B118" s="35" t="s">
        <v>1294</v>
      </c>
      <c r="C118" s="35" t="s">
        <v>1295</v>
      </c>
      <c r="D118" s="35" t="s">
        <v>1066</v>
      </c>
      <c r="E118" s="2" t="s">
        <v>1002</v>
      </c>
      <c r="F118" s="2"/>
      <c r="G118" s="2" t="s">
        <v>47</v>
      </c>
      <c r="H118" s="2" t="str">
        <f t="shared" si="2"/>
        <v>원거리</v>
      </c>
      <c r="I118" s="2" t="str">
        <f t="shared" si="3"/>
        <v>m_m_ranger_labtrooper_launcher_2</v>
      </c>
      <c r="J118" s="2"/>
    </row>
    <row r="119" spans="2:10" x14ac:dyDescent="0.3">
      <c r="B119" s="35" t="s">
        <v>1296</v>
      </c>
      <c r="C119" s="35" t="s">
        <v>1297</v>
      </c>
      <c r="D119" s="35" t="s">
        <v>1066</v>
      </c>
      <c r="E119" s="2" t="s">
        <v>1002</v>
      </c>
      <c r="F119" s="2"/>
      <c r="G119" s="2" t="s">
        <v>143</v>
      </c>
      <c r="H119" s="2" t="str">
        <f t="shared" si="2"/>
        <v>원거리</v>
      </c>
      <c r="I119" s="2" t="str">
        <f t="shared" si="3"/>
        <v>m_m_supporter_silhouette_flyer_4</v>
      </c>
      <c r="J119" s="2"/>
    </row>
    <row r="120" spans="2:10" x14ac:dyDescent="0.3">
      <c r="B120" s="35" t="s">
        <v>1298</v>
      </c>
      <c r="C120" s="35" t="s">
        <v>1299</v>
      </c>
      <c r="D120" s="35" t="s">
        <v>1066</v>
      </c>
      <c r="E120" s="2" t="s">
        <v>1002</v>
      </c>
      <c r="F120" s="2"/>
      <c r="G120" s="2" t="s">
        <v>47</v>
      </c>
      <c r="H120" s="2" t="str">
        <f t="shared" si="2"/>
        <v>원거리</v>
      </c>
      <c r="I120" s="2" t="str">
        <f t="shared" si="3"/>
        <v>m_m_ranger_harbor_cannon_2</v>
      </c>
      <c r="J120" s="2"/>
    </row>
    <row r="121" spans="2:10" x14ac:dyDescent="0.3">
      <c r="B121" s="35" t="s">
        <v>167</v>
      </c>
      <c r="C121" s="35" t="s">
        <v>1076</v>
      </c>
      <c r="D121" s="35" t="s">
        <v>1066</v>
      </c>
      <c r="E121" s="2" t="s">
        <v>999</v>
      </c>
      <c r="F121" s="2"/>
      <c r="G121" s="2" t="s">
        <v>47</v>
      </c>
      <c r="H121" s="2" t="str">
        <f t="shared" si="2"/>
        <v>원거리</v>
      </c>
      <c r="I121" s="2" t="str">
        <f t="shared" si="3"/>
        <v>m_l_ranger_labsuit_gun_1</v>
      </c>
      <c r="J121" s="2"/>
    </row>
    <row r="122" spans="2:10" x14ac:dyDescent="0.3">
      <c r="B122" s="35" t="s">
        <v>168</v>
      </c>
      <c r="C122" s="35" t="s">
        <v>1077</v>
      </c>
      <c r="D122" s="35" t="s">
        <v>1066</v>
      </c>
      <c r="E122" s="2" t="s">
        <v>999</v>
      </c>
      <c r="F122" s="2"/>
      <c r="G122" s="2" t="s">
        <v>58</v>
      </c>
      <c r="H122" s="2" t="str">
        <f t="shared" si="2"/>
        <v>근거리</v>
      </c>
      <c r="I122" s="2" t="str">
        <f t="shared" si="3"/>
        <v>m_l_tanker_labmecha_punch_1</v>
      </c>
      <c r="J122" s="2"/>
    </row>
    <row r="123" spans="2:10" x14ac:dyDescent="0.3">
      <c r="B123" s="35" t="s">
        <v>169</v>
      </c>
      <c r="C123" s="35" t="s">
        <v>1078</v>
      </c>
      <c r="D123" s="35" t="s">
        <v>1066</v>
      </c>
      <c r="E123" s="2" t="s">
        <v>999</v>
      </c>
      <c r="F123" s="2"/>
      <c r="G123" s="2" t="s">
        <v>47</v>
      </c>
      <c r="H123" s="2" t="str">
        <f t="shared" si="2"/>
        <v>원거리</v>
      </c>
      <c r="I123" s="2" t="str">
        <f t="shared" si="3"/>
        <v>m_l_ranger_labsuit_cannon_1</v>
      </c>
      <c r="J123" s="2"/>
    </row>
    <row r="124" spans="2:10" x14ac:dyDescent="0.3">
      <c r="B124" s="35" t="s">
        <v>170</v>
      </c>
      <c r="C124" s="35" t="s">
        <v>1079</v>
      </c>
      <c r="D124" s="35" t="s">
        <v>1066</v>
      </c>
      <c r="E124" s="2" t="s">
        <v>994</v>
      </c>
      <c r="F124" s="2"/>
      <c r="G124" s="2" t="s">
        <v>43</v>
      </c>
      <c r="H124" s="2" t="str">
        <f t="shared" si="2"/>
        <v>근거리</v>
      </c>
      <c r="I124" s="2" t="str">
        <f t="shared" si="3"/>
        <v>m_boss_attacker_goliath_1</v>
      </c>
      <c r="J124" s="2"/>
    </row>
    <row r="125" spans="2:10" x14ac:dyDescent="0.3">
      <c r="B125" s="35" t="s">
        <v>1971</v>
      </c>
      <c r="C125" s="35" t="s">
        <v>2080</v>
      </c>
      <c r="D125" s="35" t="s">
        <v>1066</v>
      </c>
      <c r="E125" s="2" t="s">
        <v>994</v>
      </c>
      <c r="F125" s="2"/>
      <c r="G125" s="2" t="s">
        <v>43</v>
      </c>
      <c r="H125" s="2" t="str">
        <f t="shared" ref="H125" si="4">IF(OR(LEFT(G125,1)="T",LEFT(G125,1)="A"),"근거리","원거리")</f>
        <v>근거리</v>
      </c>
      <c r="I125" s="2" t="str">
        <f t="shared" ref="I125" si="5">LOWER(VLOOKUP(E125,$N$2:$O$5,2,FALSE)&amp;G125&amp;"_"&amp;C125)</f>
        <v>m_boss_attacker_goliath_4</v>
      </c>
      <c r="J125" s="2"/>
    </row>
    <row r="126" spans="2:10" x14ac:dyDescent="0.3">
      <c r="B126" s="21" t="s">
        <v>175</v>
      </c>
      <c r="C126" s="21" t="s">
        <v>1080</v>
      </c>
      <c r="D126" s="21" t="s">
        <v>1081</v>
      </c>
      <c r="E126" s="2" t="s">
        <v>998</v>
      </c>
      <c r="F126" s="2"/>
      <c r="G126" s="2" t="s">
        <v>43</v>
      </c>
      <c r="H126" s="2" t="str">
        <f t="shared" si="2"/>
        <v>근거리</v>
      </c>
      <c r="I126" s="2" t="str">
        <f t="shared" si="3"/>
        <v>m_s_attacker_polluter_patrol_1</v>
      </c>
      <c r="J126" s="2"/>
    </row>
    <row r="127" spans="2:10" x14ac:dyDescent="0.3">
      <c r="B127" s="21" t="s">
        <v>176</v>
      </c>
      <c r="C127" s="21" t="s">
        <v>1082</v>
      </c>
      <c r="D127" s="21" t="s">
        <v>1081</v>
      </c>
      <c r="E127" s="2" t="s">
        <v>998</v>
      </c>
      <c r="F127" s="2"/>
      <c r="G127" s="2" t="s">
        <v>47</v>
      </c>
      <c r="H127" s="2" t="str">
        <f t="shared" si="2"/>
        <v>원거리</v>
      </c>
      <c r="I127" s="2" t="str">
        <f t="shared" si="3"/>
        <v>m_s_ranger_polluter_eyeball_1</v>
      </c>
      <c r="J127" s="2"/>
    </row>
    <row r="128" spans="2:10" x14ac:dyDescent="0.3">
      <c r="B128" s="21" t="s">
        <v>177</v>
      </c>
      <c r="C128" s="21" t="s">
        <v>1083</v>
      </c>
      <c r="D128" s="21" t="s">
        <v>1081</v>
      </c>
      <c r="E128" s="2" t="s">
        <v>998</v>
      </c>
      <c r="F128" s="2"/>
      <c r="G128" s="2" t="s">
        <v>43</v>
      </c>
      <c r="H128" s="2" t="str">
        <f t="shared" si="2"/>
        <v>근거리</v>
      </c>
      <c r="I128" s="2" t="str">
        <f t="shared" si="3"/>
        <v>m_s_attacker_polluter_exploder_1</v>
      </c>
      <c r="J128" s="2"/>
    </row>
    <row r="129" spans="2:10" x14ac:dyDescent="0.3">
      <c r="B129" s="21" t="s">
        <v>178</v>
      </c>
      <c r="C129" s="21" t="s">
        <v>1084</v>
      </c>
      <c r="D129" s="21" t="s">
        <v>1081</v>
      </c>
      <c r="E129" s="2" t="s">
        <v>1002</v>
      </c>
      <c r="F129" s="2"/>
      <c r="G129" s="2" t="s">
        <v>43</v>
      </c>
      <c r="H129" s="2" t="str">
        <f t="shared" si="2"/>
        <v>근거리</v>
      </c>
      <c r="I129" s="2" t="str">
        <f t="shared" si="3"/>
        <v>m_m_attacker_polluter_1</v>
      </c>
      <c r="J129" s="2"/>
    </row>
    <row r="130" spans="2:10" x14ac:dyDescent="0.3">
      <c r="B130" s="21" t="s">
        <v>179</v>
      </c>
      <c r="C130" s="21" t="s">
        <v>1085</v>
      </c>
      <c r="D130" s="21" t="s">
        <v>1081</v>
      </c>
      <c r="E130" s="2" t="s">
        <v>1002</v>
      </c>
      <c r="F130" s="2"/>
      <c r="G130" s="2" t="s">
        <v>43</v>
      </c>
      <c r="H130" s="2" t="str">
        <f t="shared" si="2"/>
        <v>근거리</v>
      </c>
      <c r="I130" s="2" t="str">
        <f t="shared" si="3"/>
        <v>m_m_attacker_polluter_edge_1</v>
      </c>
      <c r="J130" s="2"/>
    </row>
    <row r="131" spans="2:10" x14ac:dyDescent="0.3">
      <c r="B131" s="21" t="s">
        <v>180</v>
      </c>
      <c r="C131" s="21" t="s">
        <v>1086</v>
      </c>
      <c r="D131" s="21" t="s">
        <v>1081</v>
      </c>
      <c r="E131" s="2" t="s">
        <v>1002</v>
      </c>
      <c r="F131" s="2"/>
      <c r="G131" s="2" t="s">
        <v>47</v>
      </c>
      <c r="H131" s="2" t="str">
        <f t="shared" si="2"/>
        <v>원거리</v>
      </c>
      <c r="I131" s="2" t="str">
        <f t="shared" si="3"/>
        <v>m_m_ranger_polluter_fluid_1</v>
      </c>
      <c r="J131" s="2"/>
    </row>
    <row r="132" spans="2:10" x14ac:dyDescent="0.3">
      <c r="B132" s="21" t="s">
        <v>181</v>
      </c>
      <c r="C132" s="21" t="s">
        <v>1087</v>
      </c>
      <c r="D132" s="21" t="s">
        <v>1081</v>
      </c>
      <c r="E132" s="2" t="s">
        <v>1002</v>
      </c>
      <c r="F132" s="2"/>
      <c r="G132" s="2" t="s">
        <v>47</v>
      </c>
      <c r="H132" s="2" t="str">
        <f t="shared" si="2"/>
        <v>원거리</v>
      </c>
      <c r="I132" s="2" t="str">
        <f t="shared" si="3"/>
        <v>m_m_ranger_polluter_liquid_1</v>
      </c>
      <c r="J132" s="2"/>
    </row>
    <row r="133" spans="2:10" x14ac:dyDescent="0.3">
      <c r="B133" s="21" t="s">
        <v>182</v>
      </c>
      <c r="C133" s="21" t="s">
        <v>1088</v>
      </c>
      <c r="D133" s="21" t="s">
        <v>1081</v>
      </c>
      <c r="E133" s="2" t="s">
        <v>1002</v>
      </c>
      <c r="F133" s="2"/>
      <c r="G133" s="2" t="s">
        <v>143</v>
      </c>
      <c r="H133" s="2" t="str">
        <f t="shared" si="2"/>
        <v>원거리</v>
      </c>
      <c r="I133" s="2" t="str">
        <f t="shared" si="3"/>
        <v>m_m_supporter_polluter_fog_1</v>
      </c>
      <c r="J133" s="2"/>
    </row>
    <row r="134" spans="2:10" x14ac:dyDescent="0.3">
      <c r="B134" s="21" t="s">
        <v>183</v>
      </c>
      <c r="C134" s="21" t="s">
        <v>1089</v>
      </c>
      <c r="D134" s="21" t="s">
        <v>1081</v>
      </c>
      <c r="E134" s="2" t="s">
        <v>1002</v>
      </c>
      <c r="F134" s="2"/>
      <c r="G134" s="2" t="s">
        <v>143</v>
      </c>
      <c r="H134" s="2" t="str">
        <f t="shared" si="2"/>
        <v>원거리</v>
      </c>
      <c r="I134" s="2" t="str">
        <f t="shared" si="3"/>
        <v>m_m_supporter_polluter_haze_1</v>
      </c>
      <c r="J134" s="2"/>
    </row>
    <row r="135" spans="2:10" x14ac:dyDescent="0.3">
      <c r="B135" s="21" t="s">
        <v>1300</v>
      </c>
      <c r="C135" s="21" t="s">
        <v>1301</v>
      </c>
      <c r="D135" s="21" t="s">
        <v>1081</v>
      </c>
      <c r="E135" s="2" t="s">
        <v>998</v>
      </c>
      <c r="F135" s="2"/>
      <c r="G135" s="2" t="s">
        <v>43</v>
      </c>
      <c r="H135" s="2" t="str">
        <f t="shared" si="2"/>
        <v>근거리</v>
      </c>
      <c r="I135" s="2" t="str">
        <f t="shared" si="3"/>
        <v>m_s_attacker_polluter_patrol_2</v>
      </c>
      <c r="J135" s="2"/>
    </row>
    <row r="136" spans="2:10" x14ac:dyDescent="0.3">
      <c r="B136" s="21" t="s">
        <v>1302</v>
      </c>
      <c r="C136" s="21" t="s">
        <v>1303</v>
      </c>
      <c r="D136" s="21" t="s">
        <v>1081</v>
      </c>
      <c r="E136" s="2" t="s">
        <v>998</v>
      </c>
      <c r="F136" s="2"/>
      <c r="G136" s="2" t="s">
        <v>47</v>
      </c>
      <c r="H136" s="2" t="str">
        <f t="shared" si="2"/>
        <v>원거리</v>
      </c>
      <c r="I136" s="2" t="str">
        <f t="shared" si="3"/>
        <v>m_s_ranger_polluter_eyeball_2</v>
      </c>
      <c r="J136" s="2"/>
    </row>
    <row r="137" spans="2:10" x14ac:dyDescent="0.3">
      <c r="B137" s="21" t="s">
        <v>1304</v>
      </c>
      <c r="C137" s="21" t="s">
        <v>1305</v>
      </c>
      <c r="D137" s="21" t="s">
        <v>1081</v>
      </c>
      <c r="E137" s="2" t="s">
        <v>998</v>
      </c>
      <c r="F137" s="2"/>
      <c r="G137" s="2" t="s">
        <v>43</v>
      </c>
      <c r="H137" s="2" t="str">
        <f t="shared" si="2"/>
        <v>근거리</v>
      </c>
      <c r="I137" s="2" t="str">
        <f t="shared" si="3"/>
        <v>m_s_attacker_polluter_exploder_2</v>
      </c>
      <c r="J137" s="2"/>
    </row>
    <row r="138" spans="2:10" x14ac:dyDescent="0.3">
      <c r="B138" s="21" t="s">
        <v>1306</v>
      </c>
      <c r="C138" s="21" t="s">
        <v>1307</v>
      </c>
      <c r="D138" s="21" t="s">
        <v>1081</v>
      </c>
      <c r="E138" s="2" t="s">
        <v>1002</v>
      </c>
      <c r="F138" s="2"/>
      <c r="G138" s="2" t="s">
        <v>43</v>
      </c>
      <c r="H138" s="2" t="str">
        <f t="shared" si="2"/>
        <v>근거리</v>
      </c>
      <c r="I138" s="2" t="str">
        <f t="shared" si="3"/>
        <v>m_m_attacker_polluter_2</v>
      </c>
      <c r="J138" s="2"/>
    </row>
    <row r="139" spans="2:10" x14ac:dyDescent="0.3">
      <c r="B139" s="21" t="s">
        <v>1308</v>
      </c>
      <c r="C139" s="21" t="s">
        <v>1309</v>
      </c>
      <c r="D139" s="21" t="s">
        <v>1081</v>
      </c>
      <c r="E139" s="2" t="s">
        <v>1002</v>
      </c>
      <c r="F139" s="2"/>
      <c r="G139" s="2" t="s">
        <v>43</v>
      </c>
      <c r="H139" s="2" t="str">
        <f t="shared" si="2"/>
        <v>근거리</v>
      </c>
      <c r="I139" s="2" t="str">
        <f t="shared" si="3"/>
        <v>m_m_attacker_polluter_edge_2</v>
      </c>
      <c r="J139" s="2"/>
    </row>
    <row r="140" spans="2:10" x14ac:dyDescent="0.3">
      <c r="B140" s="21" t="s">
        <v>1310</v>
      </c>
      <c r="C140" s="21" t="s">
        <v>1311</v>
      </c>
      <c r="D140" s="21" t="s">
        <v>1081</v>
      </c>
      <c r="E140" s="2" t="s">
        <v>1002</v>
      </c>
      <c r="F140" s="2"/>
      <c r="G140" s="2" t="s">
        <v>47</v>
      </c>
      <c r="H140" s="2" t="str">
        <f t="shared" si="2"/>
        <v>원거리</v>
      </c>
      <c r="I140" s="2" t="str">
        <f t="shared" si="3"/>
        <v>m_m_ranger_polluter_fluid_2</v>
      </c>
      <c r="J140" s="2"/>
    </row>
    <row r="141" spans="2:10" x14ac:dyDescent="0.3">
      <c r="B141" s="21" t="s">
        <v>1312</v>
      </c>
      <c r="C141" s="21" t="s">
        <v>1313</v>
      </c>
      <c r="D141" s="21" t="s">
        <v>1081</v>
      </c>
      <c r="E141" s="2" t="s">
        <v>1002</v>
      </c>
      <c r="F141" s="2"/>
      <c r="G141" s="2" t="s">
        <v>47</v>
      </c>
      <c r="H141" s="2" t="str">
        <f t="shared" si="2"/>
        <v>원거리</v>
      </c>
      <c r="I141" s="2" t="str">
        <f t="shared" si="3"/>
        <v>m_m_ranger_polluter_liquid_2</v>
      </c>
      <c r="J141" s="2"/>
    </row>
    <row r="142" spans="2:10" x14ac:dyDescent="0.3">
      <c r="B142" s="21" t="s">
        <v>1314</v>
      </c>
      <c r="C142" s="21" t="s">
        <v>1315</v>
      </c>
      <c r="D142" s="21" t="s">
        <v>1081</v>
      </c>
      <c r="E142" s="2" t="s">
        <v>1002</v>
      </c>
      <c r="F142" s="2"/>
      <c r="G142" s="2" t="s">
        <v>143</v>
      </c>
      <c r="H142" s="2" t="str">
        <f t="shared" si="2"/>
        <v>원거리</v>
      </c>
      <c r="I142" s="2" t="str">
        <f t="shared" si="3"/>
        <v>m_m_supporter_polluter_fog_2</v>
      </c>
      <c r="J142" s="2"/>
    </row>
    <row r="143" spans="2:10" x14ac:dyDescent="0.3">
      <c r="B143" s="21" t="s">
        <v>1316</v>
      </c>
      <c r="C143" s="21" t="s">
        <v>1317</v>
      </c>
      <c r="D143" s="21" t="s">
        <v>1081</v>
      </c>
      <c r="E143" s="2" t="s">
        <v>1002</v>
      </c>
      <c r="F143" s="2"/>
      <c r="G143" s="2" t="s">
        <v>143</v>
      </c>
      <c r="H143" s="2" t="str">
        <f t="shared" si="2"/>
        <v>원거리</v>
      </c>
      <c r="I143" s="2" t="str">
        <f t="shared" si="3"/>
        <v>m_m_supporter_polluter_haze_2</v>
      </c>
      <c r="J143" s="2"/>
    </row>
    <row r="144" spans="2:10" x14ac:dyDescent="0.3">
      <c r="B144" s="21" t="s">
        <v>184</v>
      </c>
      <c r="C144" s="21" t="s">
        <v>1090</v>
      </c>
      <c r="D144" s="21" t="s">
        <v>1081</v>
      </c>
      <c r="E144" s="2" t="s">
        <v>999</v>
      </c>
      <c r="F144" s="2"/>
      <c r="G144" s="2" t="s">
        <v>43</v>
      </c>
      <c r="H144" s="2" t="str">
        <f t="shared" si="2"/>
        <v>근거리</v>
      </c>
      <c r="I144" s="2" t="str">
        <f t="shared" si="3"/>
        <v>m_l_attacker_polluter_chunk_1</v>
      </c>
      <c r="J144" s="2"/>
    </row>
    <row r="145" spans="2:10" x14ac:dyDescent="0.3">
      <c r="B145" s="21" t="s">
        <v>185</v>
      </c>
      <c r="C145" s="21" t="s">
        <v>1091</v>
      </c>
      <c r="D145" s="21" t="s">
        <v>1081</v>
      </c>
      <c r="E145" s="2" t="s">
        <v>999</v>
      </c>
      <c r="F145" s="2"/>
      <c r="G145" s="2" t="s">
        <v>43</v>
      </c>
      <c r="H145" s="2" t="str">
        <f t="shared" si="2"/>
        <v>근거리</v>
      </c>
      <c r="I145" s="2" t="str">
        <f t="shared" si="3"/>
        <v>m_l_attacker_polluter_spike_1</v>
      </c>
      <c r="J145" s="2"/>
    </row>
    <row r="146" spans="2:10" x14ac:dyDescent="0.3">
      <c r="B146" s="21" t="s">
        <v>186</v>
      </c>
      <c r="C146" s="21" t="s">
        <v>1092</v>
      </c>
      <c r="D146" s="21" t="s">
        <v>1081</v>
      </c>
      <c r="E146" s="2" t="s">
        <v>999</v>
      </c>
      <c r="F146" s="2"/>
      <c r="G146" s="2" t="s">
        <v>47</v>
      </c>
      <c r="H146" s="2" t="str">
        <f t="shared" si="2"/>
        <v>원거리</v>
      </c>
      <c r="I146" s="2" t="str">
        <f t="shared" si="3"/>
        <v>m_l_ranger_polluter_bloblauncher_1</v>
      </c>
      <c r="J146" s="2"/>
    </row>
    <row r="147" spans="2:10" x14ac:dyDescent="0.3">
      <c r="B147" s="21" t="s">
        <v>187</v>
      </c>
      <c r="C147" s="21" t="s">
        <v>1093</v>
      </c>
      <c r="D147" s="21" t="s">
        <v>1081</v>
      </c>
      <c r="E147" s="2" t="s">
        <v>994</v>
      </c>
      <c r="F147" s="2"/>
      <c r="G147" s="2" t="s">
        <v>43</v>
      </c>
      <c r="H147" s="2" t="str">
        <f t="shared" si="2"/>
        <v>근거리</v>
      </c>
      <c r="I147" s="2" t="str">
        <f t="shared" si="3"/>
        <v>m_boss_attacker_toxic_1</v>
      </c>
      <c r="J147" s="2"/>
    </row>
    <row r="148" spans="2:10" x14ac:dyDescent="0.3">
      <c r="B148" s="21" t="s">
        <v>1399</v>
      </c>
      <c r="C148" s="21" t="s">
        <v>1412</v>
      </c>
      <c r="D148" s="21" t="s">
        <v>1081</v>
      </c>
      <c r="E148" s="2" t="s">
        <v>994</v>
      </c>
      <c r="F148" s="2"/>
      <c r="G148" s="2" t="s">
        <v>43</v>
      </c>
      <c r="H148" s="2" t="str">
        <f t="shared" ref="H148" si="6">IF(OR(LEFT(G148,1)="T",LEFT(G148,1)="A"),"근거리","원거리")</f>
        <v>근거리</v>
      </c>
      <c r="I148" s="2" t="str">
        <f t="shared" ref="I148" si="7">LOWER(VLOOKUP(E148,$N$2:$O$5,2,FALSE)&amp;G148&amp;"_"&amp;C148)</f>
        <v>m_boss_attacker_toxic_3</v>
      </c>
      <c r="J148" s="2"/>
    </row>
    <row r="149" spans="2:10" x14ac:dyDescent="0.3">
      <c r="B149" s="20" t="s">
        <v>191</v>
      </c>
      <c r="C149" s="20" t="s">
        <v>1094</v>
      </c>
      <c r="D149" s="20" t="s">
        <v>1095</v>
      </c>
      <c r="E149" s="2" t="s">
        <v>998</v>
      </c>
      <c r="F149" s="2"/>
      <c r="G149" s="2" t="s">
        <v>43</v>
      </c>
      <c r="H149" s="2" t="str">
        <f t="shared" si="2"/>
        <v>근거리</v>
      </c>
      <c r="I149" s="2" t="str">
        <f t="shared" si="3"/>
        <v>m_s_attacker_clock_clawdog_1</v>
      </c>
      <c r="J149" s="2"/>
    </row>
    <row r="150" spans="2:10" x14ac:dyDescent="0.3">
      <c r="B150" s="20" t="s">
        <v>192</v>
      </c>
      <c r="C150" s="20" t="s">
        <v>1096</v>
      </c>
      <c r="D150" s="20" t="s">
        <v>1095</v>
      </c>
      <c r="E150" s="2" t="s">
        <v>998</v>
      </c>
      <c r="F150" s="2"/>
      <c r="G150" s="2" t="s">
        <v>47</v>
      </c>
      <c r="H150" s="2" t="str">
        <f t="shared" si="2"/>
        <v>원거리</v>
      </c>
      <c r="I150" s="2" t="str">
        <f t="shared" si="3"/>
        <v>m_s_ranger_clock_flamedog_1</v>
      </c>
      <c r="J150" s="2"/>
    </row>
    <row r="151" spans="2:10" x14ac:dyDescent="0.3">
      <c r="B151" s="20" t="s">
        <v>193</v>
      </c>
      <c r="C151" s="20" t="s">
        <v>1097</v>
      </c>
      <c r="D151" s="20" t="s">
        <v>1095</v>
      </c>
      <c r="E151" s="2" t="s">
        <v>1002</v>
      </c>
      <c r="F151" s="2"/>
      <c r="G151" s="2" t="s">
        <v>43</v>
      </c>
      <c r="H151" s="2" t="str">
        <f t="shared" si="2"/>
        <v>근거리</v>
      </c>
      <c r="I151" s="2" t="str">
        <f t="shared" si="3"/>
        <v>m_m_attacker_clock_spear_1</v>
      </c>
      <c r="J151" s="2"/>
    </row>
    <row r="152" spans="2:10" x14ac:dyDescent="0.3">
      <c r="B152" s="20" t="s">
        <v>194</v>
      </c>
      <c r="C152" s="20" t="s">
        <v>1098</v>
      </c>
      <c r="D152" s="20" t="s">
        <v>1095</v>
      </c>
      <c r="E152" s="2" t="s">
        <v>1002</v>
      </c>
      <c r="F152" s="2"/>
      <c r="G152" s="2" t="s">
        <v>47</v>
      </c>
      <c r="H152" s="2" t="str">
        <f t="shared" si="2"/>
        <v>원거리</v>
      </c>
      <c r="I152" s="2" t="str">
        <f t="shared" si="3"/>
        <v>m_m_ranger_clock_squire_1</v>
      </c>
      <c r="J152" s="2"/>
    </row>
    <row r="153" spans="2:10" x14ac:dyDescent="0.3">
      <c r="B153" s="20" t="s">
        <v>195</v>
      </c>
      <c r="C153" s="20" t="s">
        <v>1099</v>
      </c>
      <c r="D153" s="20" t="s">
        <v>1095</v>
      </c>
      <c r="E153" s="2" t="s">
        <v>1002</v>
      </c>
      <c r="F153" s="2"/>
      <c r="G153" s="2" t="s">
        <v>47</v>
      </c>
      <c r="H153" s="2" t="str">
        <f t="shared" si="2"/>
        <v>원거리</v>
      </c>
      <c r="I153" s="2" t="str">
        <f t="shared" si="3"/>
        <v>m_m_ranger_clock_crossbow_1</v>
      </c>
      <c r="J153" s="2"/>
    </row>
    <row r="154" spans="2:10" x14ac:dyDescent="0.3">
      <c r="B154" s="20" t="s">
        <v>196</v>
      </c>
      <c r="C154" s="20" t="s">
        <v>1100</v>
      </c>
      <c r="D154" s="20" t="s">
        <v>1095</v>
      </c>
      <c r="E154" s="2" t="s">
        <v>1002</v>
      </c>
      <c r="F154" s="2"/>
      <c r="G154" s="2" t="s">
        <v>43</v>
      </c>
      <c r="H154" s="2" t="str">
        <f t="shared" si="2"/>
        <v>근거리</v>
      </c>
      <c r="I154" s="2" t="str">
        <f t="shared" si="3"/>
        <v>m_m_attacker_clock_shield_1</v>
      </c>
      <c r="J154" s="2"/>
    </row>
    <row r="155" spans="2:10" x14ac:dyDescent="0.3">
      <c r="B155" s="20" t="s">
        <v>197</v>
      </c>
      <c r="C155" s="20" t="s">
        <v>1101</v>
      </c>
      <c r="D155" s="20" t="s">
        <v>1095</v>
      </c>
      <c r="E155" s="2" t="s">
        <v>1002</v>
      </c>
      <c r="F155" s="2"/>
      <c r="G155" s="2" t="s">
        <v>47</v>
      </c>
      <c r="H155" s="2" t="str">
        <f t="shared" si="2"/>
        <v>원거리</v>
      </c>
      <c r="I155" s="2" t="str">
        <f t="shared" si="3"/>
        <v>m_m_ranger_clock_clown_1</v>
      </c>
      <c r="J155" s="2"/>
    </row>
    <row r="156" spans="2:10" x14ac:dyDescent="0.3">
      <c r="B156" s="20" t="s">
        <v>198</v>
      </c>
      <c r="C156" s="20" t="s">
        <v>1102</v>
      </c>
      <c r="D156" s="20" t="s">
        <v>1095</v>
      </c>
      <c r="E156" s="2" t="s">
        <v>1002</v>
      </c>
      <c r="F156" s="2"/>
      <c r="G156" s="2" t="s">
        <v>43</v>
      </c>
      <c r="H156" s="2" t="str">
        <f t="shared" si="2"/>
        <v>근거리</v>
      </c>
      <c r="I156" s="2" t="str">
        <f t="shared" si="3"/>
        <v>m_m_attacker_clock_draftee_1</v>
      </c>
      <c r="J156" s="2"/>
    </row>
    <row r="157" spans="2:10" x14ac:dyDescent="0.3">
      <c r="B157" s="20" t="s">
        <v>200</v>
      </c>
      <c r="C157" s="20" t="s">
        <v>1103</v>
      </c>
      <c r="D157" s="20" t="s">
        <v>1095</v>
      </c>
      <c r="E157" s="2" t="s">
        <v>1002</v>
      </c>
      <c r="F157" s="2"/>
      <c r="G157" s="2" t="s">
        <v>43</v>
      </c>
      <c r="H157" s="2" t="str">
        <f t="shared" si="2"/>
        <v>근거리</v>
      </c>
      <c r="I157" s="105" t="s">
        <v>1205</v>
      </c>
      <c r="J157" s="2"/>
    </row>
    <row r="158" spans="2:10" x14ac:dyDescent="0.3">
      <c r="B158" s="20" t="s">
        <v>2066</v>
      </c>
      <c r="C158" s="20" t="s">
        <v>2067</v>
      </c>
      <c r="D158" s="20" t="s">
        <v>1095</v>
      </c>
      <c r="E158" s="2" t="s">
        <v>1002</v>
      </c>
      <c r="F158" s="2"/>
      <c r="G158" s="2" t="s">
        <v>43</v>
      </c>
      <c r="H158" s="2" t="str">
        <f t="shared" ref="H158" si="8">IF(OR(LEFT(G158,1)="T",LEFT(G158,1)="A"),"근거리","원거리")</f>
        <v>근거리</v>
      </c>
      <c r="I158" s="105" t="s">
        <v>2068</v>
      </c>
      <c r="J158" s="2"/>
    </row>
    <row r="159" spans="2:10" x14ac:dyDescent="0.3">
      <c r="B159" s="20" t="s">
        <v>1418</v>
      </c>
      <c r="C159" s="20" t="s">
        <v>1426</v>
      </c>
      <c r="D159" s="20" t="s">
        <v>1095</v>
      </c>
      <c r="E159" s="2" t="s">
        <v>998</v>
      </c>
      <c r="F159" s="2"/>
      <c r="G159" s="2" t="s">
        <v>43</v>
      </c>
      <c r="H159" s="2" t="str">
        <f t="shared" si="2"/>
        <v>근거리</v>
      </c>
      <c r="I159" s="123" t="str">
        <f t="shared" ref="I159:I166" si="9">LOWER(VLOOKUP(E159,$N$2:$O$5,2,FALSE)&amp;G159&amp;"_"&amp;C159)</f>
        <v>m_s_attacker_clock_clawdog_2</v>
      </c>
      <c r="J159" s="2"/>
    </row>
    <row r="160" spans="2:10" x14ac:dyDescent="0.3">
      <c r="B160" s="20" t="s">
        <v>1419</v>
      </c>
      <c r="C160" s="20" t="s">
        <v>1427</v>
      </c>
      <c r="D160" s="20" t="s">
        <v>1095</v>
      </c>
      <c r="E160" s="2" t="s">
        <v>998</v>
      </c>
      <c r="F160" s="2"/>
      <c r="G160" s="2" t="s">
        <v>47</v>
      </c>
      <c r="H160" s="2" t="str">
        <f t="shared" si="2"/>
        <v>원거리</v>
      </c>
      <c r="I160" s="123" t="str">
        <f t="shared" si="9"/>
        <v>m_s_ranger_clock_flamedog_2</v>
      </c>
      <c r="J160" s="2"/>
    </row>
    <row r="161" spans="2:10" x14ac:dyDescent="0.3">
      <c r="B161" s="20" t="s">
        <v>1420</v>
      </c>
      <c r="C161" s="20" t="s">
        <v>1428</v>
      </c>
      <c r="D161" s="20" t="s">
        <v>1095</v>
      </c>
      <c r="E161" s="2" t="s">
        <v>1002</v>
      </c>
      <c r="F161" s="2"/>
      <c r="G161" s="2" t="s">
        <v>43</v>
      </c>
      <c r="H161" s="2" t="str">
        <f t="shared" si="2"/>
        <v>근거리</v>
      </c>
      <c r="I161" s="123" t="str">
        <f t="shared" si="9"/>
        <v>m_m_attacker_clock_spear_2</v>
      </c>
      <c r="J161" s="2"/>
    </row>
    <row r="162" spans="2:10" x14ac:dyDescent="0.3">
      <c r="B162" s="20" t="s">
        <v>1421</v>
      </c>
      <c r="C162" s="20" t="s">
        <v>1429</v>
      </c>
      <c r="D162" s="20" t="s">
        <v>1095</v>
      </c>
      <c r="E162" s="2" t="s">
        <v>1002</v>
      </c>
      <c r="F162" s="2"/>
      <c r="G162" s="2" t="s">
        <v>47</v>
      </c>
      <c r="H162" s="2" t="str">
        <f t="shared" si="2"/>
        <v>원거리</v>
      </c>
      <c r="I162" s="123" t="str">
        <f t="shared" si="9"/>
        <v>m_m_ranger_clock_squire_2</v>
      </c>
      <c r="J162" s="2"/>
    </row>
    <row r="163" spans="2:10" x14ac:dyDescent="0.3">
      <c r="B163" s="20" t="s">
        <v>1422</v>
      </c>
      <c r="C163" s="20" t="s">
        <v>1430</v>
      </c>
      <c r="D163" s="20" t="s">
        <v>1095</v>
      </c>
      <c r="E163" s="2" t="s">
        <v>1002</v>
      </c>
      <c r="F163" s="2"/>
      <c r="G163" s="2" t="s">
        <v>47</v>
      </c>
      <c r="H163" s="2" t="str">
        <f t="shared" si="2"/>
        <v>원거리</v>
      </c>
      <c r="I163" s="123" t="str">
        <f t="shared" si="9"/>
        <v>m_m_ranger_clock_crossbow_2</v>
      </c>
      <c r="J163" s="2"/>
    </row>
    <row r="164" spans="2:10" x14ac:dyDescent="0.3">
      <c r="B164" s="20" t="s">
        <v>1423</v>
      </c>
      <c r="C164" s="20" t="s">
        <v>1431</v>
      </c>
      <c r="D164" s="20" t="s">
        <v>1095</v>
      </c>
      <c r="E164" s="2" t="s">
        <v>1002</v>
      </c>
      <c r="F164" s="2"/>
      <c r="G164" s="2" t="s">
        <v>43</v>
      </c>
      <c r="H164" s="2" t="str">
        <f t="shared" si="2"/>
        <v>근거리</v>
      </c>
      <c r="I164" s="123" t="str">
        <f t="shared" si="9"/>
        <v>m_m_attacker_clock_shield_2</v>
      </c>
      <c r="J164" s="2"/>
    </row>
    <row r="165" spans="2:10" x14ac:dyDescent="0.3">
      <c r="B165" s="20" t="s">
        <v>1424</v>
      </c>
      <c r="C165" s="20" t="s">
        <v>1432</v>
      </c>
      <c r="D165" s="20" t="s">
        <v>1095</v>
      </c>
      <c r="E165" s="2" t="s">
        <v>1002</v>
      </c>
      <c r="F165" s="2"/>
      <c r="G165" s="2" t="s">
        <v>47</v>
      </c>
      <c r="H165" s="2" t="str">
        <f t="shared" si="2"/>
        <v>원거리</v>
      </c>
      <c r="I165" s="123" t="str">
        <f t="shared" si="9"/>
        <v>m_m_ranger_clock_clown_2</v>
      </c>
      <c r="J165" s="2"/>
    </row>
    <row r="166" spans="2:10" x14ac:dyDescent="0.3">
      <c r="B166" s="20" t="s">
        <v>1425</v>
      </c>
      <c r="C166" s="20" t="s">
        <v>1433</v>
      </c>
      <c r="D166" s="20" t="s">
        <v>1095</v>
      </c>
      <c r="E166" s="2" t="s">
        <v>1002</v>
      </c>
      <c r="F166" s="2"/>
      <c r="G166" s="2" t="s">
        <v>43</v>
      </c>
      <c r="H166" s="2" t="str">
        <f t="shared" si="2"/>
        <v>근거리</v>
      </c>
      <c r="I166" s="123" t="str">
        <f t="shared" si="9"/>
        <v>m_m_attacker_clock_draftee_2</v>
      </c>
      <c r="J166" s="2"/>
    </row>
    <row r="167" spans="2:10" x14ac:dyDescent="0.3">
      <c r="B167" s="20" t="s">
        <v>201</v>
      </c>
      <c r="C167" s="20" t="s">
        <v>1104</v>
      </c>
      <c r="D167" s="20" t="s">
        <v>1095</v>
      </c>
      <c r="E167" s="2" t="s">
        <v>999</v>
      </c>
      <c r="F167" s="2"/>
      <c r="G167" s="2" t="s">
        <v>43</v>
      </c>
      <c r="H167" s="2" t="str">
        <f t="shared" si="2"/>
        <v>근거리</v>
      </c>
      <c r="I167" s="2" t="str">
        <f t="shared" si="3"/>
        <v>m_l_attacker_clock_noble_knight_1</v>
      </c>
      <c r="J167" s="2"/>
    </row>
    <row r="168" spans="2:10" x14ac:dyDescent="0.3">
      <c r="B168" s="20" t="s">
        <v>203</v>
      </c>
      <c r="C168" s="20" t="s">
        <v>1105</v>
      </c>
      <c r="D168" s="20" t="s">
        <v>1095</v>
      </c>
      <c r="E168" s="2" t="s">
        <v>999</v>
      </c>
      <c r="F168" s="2"/>
      <c r="G168" s="2" t="s">
        <v>47</v>
      </c>
      <c r="H168" s="2" t="str">
        <f t="shared" si="2"/>
        <v>원거리</v>
      </c>
      <c r="I168" s="2" t="str">
        <f t="shared" si="3"/>
        <v>m_l_ranger_clock_noble_bishop_1</v>
      </c>
      <c r="J168" s="2"/>
    </row>
    <row r="169" spans="2:10" x14ac:dyDescent="0.3">
      <c r="B169" s="20" t="s">
        <v>204</v>
      </c>
      <c r="C169" s="20" t="s">
        <v>1106</v>
      </c>
      <c r="D169" s="20" t="s">
        <v>1095</v>
      </c>
      <c r="E169" s="2" t="s">
        <v>999</v>
      </c>
      <c r="F169" s="2"/>
      <c r="G169" s="2" t="s">
        <v>43</v>
      </c>
      <c r="H169" s="2" t="str">
        <f t="shared" si="2"/>
        <v>근거리</v>
      </c>
      <c r="I169" s="2" t="str">
        <f t="shared" si="3"/>
        <v>m_l_attacker_clock_noble_keeper_1</v>
      </c>
      <c r="J169" s="2"/>
    </row>
    <row r="170" spans="2:10" x14ac:dyDescent="0.3">
      <c r="B170" s="20" t="s">
        <v>205</v>
      </c>
      <c r="C170" s="20" t="s">
        <v>1107</v>
      </c>
      <c r="D170" s="20" t="s">
        <v>1095</v>
      </c>
      <c r="E170" s="2" t="s">
        <v>994</v>
      </c>
      <c r="F170" s="2"/>
      <c r="G170" s="2" t="s">
        <v>43</v>
      </c>
      <c r="H170" s="2" t="str">
        <f t="shared" si="2"/>
        <v>근거리</v>
      </c>
      <c r="I170" s="2" t="str">
        <f t="shared" si="3"/>
        <v>m_boss_attacker_clock_royal_queen_1</v>
      </c>
      <c r="J170" s="2"/>
    </row>
    <row r="171" spans="2:10" x14ac:dyDescent="0.3">
      <c r="B171" s="20" t="s">
        <v>209</v>
      </c>
      <c r="C171" s="20" t="s">
        <v>1108</v>
      </c>
      <c r="D171" s="20" t="s">
        <v>1095</v>
      </c>
      <c r="E171" s="2" t="s">
        <v>994</v>
      </c>
      <c r="F171" s="2"/>
      <c r="G171" s="2" t="s">
        <v>43</v>
      </c>
      <c r="H171" s="2" t="str">
        <f t="shared" si="2"/>
        <v>근거리</v>
      </c>
      <c r="I171" s="2" t="str">
        <f t="shared" si="3"/>
        <v>m_boss_attacker_clock_royal_queen_2</v>
      </c>
      <c r="J171" s="2"/>
    </row>
    <row r="172" spans="2:10" x14ac:dyDescent="0.3">
      <c r="B172" s="36" t="s">
        <v>211</v>
      </c>
      <c r="C172" s="36" t="s">
        <v>1109</v>
      </c>
      <c r="D172" s="36" t="s">
        <v>1110</v>
      </c>
      <c r="E172" s="2" t="s">
        <v>998</v>
      </c>
      <c r="F172" s="2"/>
      <c r="G172" s="2" t="s">
        <v>43</v>
      </c>
      <c r="H172" s="2" t="str">
        <f t="shared" si="2"/>
        <v>근거리</v>
      </c>
      <c r="I172" s="2" t="str">
        <f t="shared" si="3"/>
        <v>m_s_attacker_plants_sticky_1</v>
      </c>
      <c r="J172" s="2"/>
    </row>
    <row r="173" spans="2:10" x14ac:dyDescent="0.3">
      <c r="B173" s="36" t="s">
        <v>212</v>
      </c>
      <c r="C173" s="36" t="s">
        <v>1964</v>
      </c>
      <c r="D173" s="36" t="s">
        <v>1110</v>
      </c>
      <c r="E173" s="2" t="s">
        <v>998</v>
      </c>
      <c r="F173" s="2"/>
      <c r="G173" s="2" t="s">
        <v>1216</v>
      </c>
      <c r="H173" s="2" t="str">
        <f t="shared" si="2"/>
        <v>원거리</v>
      </c>
      <c r="I173" s="2" t="str">
        <f t="shared" si="3"/>
        <v>m_s_ranger_plants_stinger_1</v>
      </c>
      <c r="J173" s="2"/>
    </row>
    <row r="174" spans="2:10" x14ac:dyDescent="0.3">
      <c r="B174" s="36" t="s">
        <v>213</v>
      </c>
      <c r="C174" s="36" t="s">
        <v>1111</v>
      </c>
      <c r="D174" s="36" t="s">
        <v>1110</v>
      </c>
      <c r="E174" s="2" t="s">
        <v>1002</v>
      </c>
      <c r="F174" s="2"/>
      <c r="G174" s="2" t="s">
        <v>43</v>
      </c>
      <c r="H174" s="2" t="str">
        <f t="shared" si="2"/>
        <v>근거리</v>
      </c>
      <c r="I174" s="2" t="str">
        <f t="shared" si="3"/>
        <v>m_m_attacker_plants_bark_1</v>
      </c>
      <c r="J174" s="2"/>
    </row>
    <row r="175" spans="2:10" x14ac:dyDescent="0.3">
      <c r="B175" s="36" t="s">
        <v>214</v>
      </c>
      <c r="C175" s="36" t="s">
        <v>1112</v>
      </c>
      <c r="D175" s="36" t="s">
        <v>1110</v>
      </c>
      <c r="E175" s="2" t="s">
        <v>1002</v>
      </c>
      <c r="F175" s="2"/>
      <c r="G175" s="2" t="s">
        <v>43</v>
      </c>
      <c r="H175" s="2" t="str">
        <f t="shared" si="2"/>
        <v>근거리</v>
      </c>
      <c r="I175" s="2" t="str">
        <f t="shared" si="3"/>
        <v>m_m_attacker_plants_branch_1</v>
      </c>
      <c r="J175" s="2"/>
    </row>
    <row r="176" spans="2:10" x14ac:dyDescent="0.3">
      <c r="B176" s="36" t="s">
        <v>215</v>
      </c>
      <c r="C176" s="36" t="s">
        <v>1113</v>
      </c>
      <c r="D176" s="36" t="s">
        <v>1110</v>
      </c>
      <c r="E176" s="2" t="s">
        <v>1002</v>
      </c>
      <c r="F176" s="2"/>
      <c r="G176" s="2" t="s">
        <v>47</v>
      </c>
      <c r="H176" s="2" t="str">
        <f t="shared" si="2"/>
        <v>원거리</v>
      </c>
      <c r="I176" s="2" t="str">
        <f t="shared" si="3"/>
        <v>m_m_ranger_plants_shooter_1</v>
      </c>
      <c r="J176" s="2"/>
    </row>
    <row r="177" spans="2:10" x14ac:dyDescent="0.3">
      <c r="B177" s="36" t="s">
        <v>216</v>
      </c>
      <c r="C177" s="36" t="s">
        <v>1114</v>
      </c>
      <c r="D177" s="36" t="s">
        <v>1110</v>
      </c>
      <c r="E177" s="2" t="s">
        <v>1002</v>
      </c>
      <c r="F177" s="2"/>
      <c r="G177" s="2" t="s">
        <v>47</v>
      </c>
      <c r="H177" s="2" t="str">
        <f t="shared" si="2"/>
        <v>원거리</v>
      </c>
      <c r="I177" s="2" t="str">
        <f t="shared" si="3"/>
        <v>m_m_ranger_plants_cannon_1</v>
      </c>
      <c r="J177" s="2"/>
    </row>
    <row r="178" spans="2:10" x14ac:dyDescent="0.3">
      <c r="B178" s="36" t="s">
        <v>217</v>
      </c>
      <c r="C178" s="36" t="s">
        <v>1115</v>
      </c>
      <c r="D178" s="36" t="s">
        <v>1110</v>
      </c>
      <c r="E178" s="2" t="s">
        <v>1002</v>
      </c>
      <c r="F178" s="2"/>
      <c r="G178" s="2" t="s">
        <v>58</v>
      </c>
      <c r="H178" s="2" t="str">
        <f t="shared" si="2"/>
        <v>근거리</v>
      </c>
      <c r="I178" s="2" t="str">
        <f t="shared" si="3"/>
        <v>m_m_tanker_creeper_seed_1</v>
      </c>
      <c r="J178" s="2"/>
    </row>
    <row r="179" spans="2:10" x14ac:dyDescent="0.3">
      <c r="B179" s="36" t="s">
        <v>218</v>
      </c>
      <c r="C179" s="36" t="s">
        <v>1116</v>
      </c>
      <c r="D179" s="36" t="s">
        <v>1110</v>
      </c>
      <c r="E179" s="2" t="s">
        <v>1002</v>
      </c>
      <c r="F179" s="2"/>
      <c r="G179" s="2" t="s">
        <v>47</v>
      </c>
      <c r="H179" s="2" t="str">
        <f t="shared" si="2"/>
        <v>원거리</v>
      </c>
      <c r="I179" s="2" t="str">
        <f t="shared" si="3"/>
        <v>m_m_ranger_plants_garden_1</v>
      </c>
      <c r="J179" s="2"/>
    </row>
    <row r="180" spans="2:10" x14ac:dyDescent="0.3">
      <c r="B180" s="36" t="s">
        <v>1891</v>
      </c>
      <c r="C180" s="36" t="s">
        <v>1899</v>
      </c>
      <c r="D180" s="36" t="s">
        <v>1110</v>
      </c>
      <c r="E180" s="2" t="s">
        <v>998</v>
      </c>
      <c r="F180" s="2"/>
      <c r="G180" s="2" t="s">
        <v>43</v>
      </c>
      <c r="H180" s="2" t="str">
        <f t="shared" si="2"/>
        <v>근거리</v>
      </c>
      <c r="I180" s="2" t="str">
        <f t="shared" si="3"/>
        <v>m_s_attacker_plants_sticky_2</v>
      </c>
      <c r="J180" s="2"/>
    </row>
    <row r="181" spans="2:10" x14ac:dyDescent="0.3">
      <c r="B181" s="36" t="s">
        <v>1892</v>
      </c>
      <c r="C181" s="36" t="s">
        <v>1965</v>
      </c>
      <c r="D181" s="36" t="s">
        <v>1110</v>
      </c>
      <c r="E181" s="2" t="s">
        <v>998</v>
      </c>
      <c r="F181" s="2"/>
      <c r="G181" s="2" t="s">
        <v>1216</v>
      </c>
      <c r="H181" s="2" t="str">
        <f t="shared" si="2"/>
        <v>원거리</v>
      </c>
      <c r="I181" s="2" t="str">
        <f t="shared" si="3"/>
        <v>m_s_ranger_plants_stinger_2</v>
      </c>
      <c r="J181" s="2"/>
    </row>
    <row r="182" spans="2:10" x14ac:dyDescent="0.3">
      <c r="B182" s="36" t="s">
        <v>1893</v>
      </c>
      <c r="C182" s="36" t="s">
        <v>1900</v>
      </c>
      <c r="D182" s="36" t="s">
        <v>1110</v>
      </c>
      <c r="E182" s="2" t="s">
        <v>1002</v>
      </c>
      <c r="F182" s="2"/>
      <c r="G182" s="2" t="s">
        <v>43</v>
      </c>
      <c r="H182" s="2" t="str">
        <f t="shared" si="2"/>
        <v>근거리</v>
      </c>
      <c r="I182" s="2" t="str">
        <f t="shared" si="3"/>
        <v>m_m_attacker_plants_bark_2</v>
      </c>
      <c r="J182" s="2"/>
    </row>
    <row r="183" spans="2:10" x14ac:dyDescent="0.3">
      <c r="B183" s="36" t="s">
        <v>1894</v>
      </c>
      <c r="C183" s="36" t="s">
        <v>1901</v>
      </c>
      <c r="D183" s="36" t="s">
        <v>1110</v>
      </c>
      <c r="E183" s="2" t="s">
        <v>1002</v>
      </c>
      <c r="F183" s="2"/>
      <c r="G183" s="2" t="s">
        <v>43</v>
      </c>
      <c r="H183" s="2" t="str">
        <f t="shared" si="2"/>
        <v>근거리</v>
      </c>
      <c r="I183" s="2" t="str">
        <f t="shared" si="3"/>
        <v>m_m_attacker_plants_branch_2</v>
      </c>
      <c r="J183" s="2"/>
    </row>
    <row r="184" spans="2:10" x14ac:dyDescent="0.3">
      <c r="B184" s="36" t="s">
        <v>1895</v>
      </c>
      <c r="C184" s="36" t="s">
        <v>1902</v>
      </c>
      <c r="D184" s="36" t="s">
        <v>1110</v>
      </c>
      <c r="E184" s="2" t="s">
        <v>1002</v>
      </c>
      <c r="F184" s="2"/>
      <c r="G184" s="2" t="s">
        <v>47</v>
      </c>
      <c r="H184" s="2" t="str">
        <f t="shared" si="2"/>
        <v>원거리</v>
      </c>
      <c r="I184" s="2" t="str">
        <f t="shared" si="3"/>
        <v>m_m_ranger_plants_shooter_2</v>
      </c>
      <c r="J184" s="2"/>
    </row>
    <row r="185" spans="2:10" x14ac:dyDescent="0.3">
      <c r="B185" s="36" t="s">
        <v>1896</v>
      </c>
      <c r="C185" s="36" t="s">
        <v>1903</v>
      </c>
      <c r="D185" s="36" t="s">
        <v>1110</v>
      </c>
      <c r="E185" s="2" t="s">
        <v>1002</v>
      </c>
      <c r="F185" s="2"/>
      <c r="G185" s="2" t="s">
        <v>47</v>
      </c>
      <c r="H185" s="2" t="str">
        <f t="shared" si="2"/>
        <v>원거리</v>
      </c>
      <c r="I185" s="2" t="str">
        <f t="shared" si="3"/>
        <v>m_m_ranger_plants_cannon_2</v>
      </c>
      <c r="J185" s="2"/>
    </row>
    <row r="186" spans="2:10" x14ac:dyDescent="0.3">
      <c r="B186" s="36" t="s">
        <v>1897</v>
      </c>
      <c r="C186" s="36" t="s">
        <v>1904</v>
      </c>
      <c r="D186" s="36" t="s">
        <v>1110</v>
      </c>
      <c r="E186" s="2" t="s">
        <v>1002</v>
      </c>
      <c r="F186" s="2"/>
      <c r="G186" s="2" t="s">
        <v>58</v>
      </c>
      <c r="H186" s="2" t="str">
        <f t="shared" ref="H186:H187" si="10">IF(OR(LEFT(G186,1)="T",LEFT(G186,1)="A"),"근거리","원거리")</f>
        <v>근거리</v>
      </c>
      <c r="I186" s="2" t="str">
        <f t="shared" si="3"/>
        <v>m_m_tanker_creeper_seed_2</v>
      </c>
      <c r="J186" s="2"/>
    </row>
    <row r="187" spans="2:10" x14ac:dyDescent="0.3">
      <c r="B187" s="36" t="s">
        <v>1898</v>
      </c>
      <c r="C187" s="36" t="s">
        <v>1905</v>
      </c>
      <c r="D187" s="36" t="s">
        <v>1110</v>
      </c>
      <c r="E187" s="2" t="s">
        <v>1002</v>
      </c>
      <c r="F187" s="2"/>
      <c r="G187" s="2" t="s">
        <v>47</v>
      </c>
      <c r="H187" s="2" t="str">
        <f t="shared" si="10"/>
        <v>원거리</v>
      </c>
      <c r="I187" s="2" t="str">
        <f t="shared" si="3"/>
        <v>m_m_ranger_plants_garden_2</v>
      </c>
      <c r="J187" s="2"/>
    </row>
    <row r="188" spans="2:10" x14ac:dyDescent="0.3">
      <c r="B188" s="36" t="s">
        <v>219</v>
      </c>
      <c r="C188" s="36" t="s">
        <v>1117</v>
      </c>
      <c r="D188" s="36" t="s">
        <v>1110</v>
      </c>
      <c r="E188" s="2" t="s">
        <v>999</v>
      </c>
      <c r="F188" s="2"/>
      <c r="G188" s="2" t="s">
        <v>47</v>
      </c>
      <c r="H188" s="2" t="str">
        <f t="shared" si="2"/>
        <v>원거리</v>
      </c>
      <c r="I188" s="2" t="str">
        <f t="shared" si="3"/>
        <v>m_l_ranger_plants_mortor_1</v>
      </c>
      <c r="J188" s="2"/>
    </row>
    <row r="189" spans="2:10" x14ac:dyDescent="0.3">
      <c r="B189" s="36" t="s">
        <v>220</v>
      </c>
      <c r="C189" s="36" t="s">
        <v>1118</v>
      </c>
      <c r="D189" s="36" t="s">
        <v>1110</v>
      </c>
      <c r="E189" s="2" t="s">
        <v>999</v>
      </c>
      <c r="F189" s="2"/>
      <c r="G189" s="2" t="s">
        <v>58</v>
      </c>
      <c r="H189" s="2" t="str">
        <f t="shared" si="2"/>
        <v>근거리</v>
      </c>
      <c r="I189" s="2" t="str">
        <f t="shared" si="3"/>
        <v>m_l_tanker_plants_robust_1</v>
      </c>
      <c r="J189" s="2"/>
    </row>
    <row r="190" spans="2:10" x14ac:dyDescent="0.3">
      <c r="B190" s="36" t="s">
        <v>221</v>
      </c>
      <c r="C190" s="36" t="s">
        <v>1119</v>
      </c>
      <c r="D190" s="36" t="s">
        <v>1110</v>
      </c>
      <c r="E190" s="2" t="s">
        <v>999</v>
      </c>
      <c r="F190" s="2"/>
      <c r="G190" s="2" t="s">
        <v>43</v>
      </c>
      <c r="H190" s="2" t="str">
        <f t="shared" si="2"/>
        <v>근거리</v>
      </c>
      <c r="I190" s="2" t="str">
        <f t="shared" si="3"/>
        <v>m_l_attacker_plants_decay_1</v>
      </c>
      <c r="J190" s="2"/>
    </row>
    <row r="191" spans="2:10" x14ac:dyDescent="0.3">
      <c r="B191" s="36" t="s">
        <v>222</v>
      </c>
      <c r="C191" s="36" t="s">
        <v>1120</v>
      </c>
      <c r="D191" s="36" t="s">
        <v>1110</v>
      </c>
      <c r="E191" s="2" t="s">
        <v>994</v>
      </c>
      <c r="F191" s="2"/>
      <c r="G191" s="2" t="s">
        <v>43</v>
      </c>
      <c r="H191" s="2" t="str">
        <f t="shared" si="2"/>
        <v>근거리</v>
      </c>
      <c r="I191" s="2" t="str">
        <f t="shared" si="3"/>
        <v>m_boss_attacker_crawler_1</v>
      </c>
      <c r="J191" s="2"/>
    </row>
    <row r="192" spans="2:10" x14ac:dyDescent="0.3">
      <c r="B192" s="36" t="s">
        <v>2088</v>
      </c>
      <c r="C192" s="36" t="s">
        <v>2089</v>
      </c>
      <c r="D192" s="36" t="s">
        <v>1110</v>
      </c>
      <c r="E192" s="2" t="s">
        <v>994</v>
      </c>
      <c r="F192" s="2"/>
      <c r="G192" s="2" t="s">
        <v>43</v>
      </c>
      <c r="H192" s="2" t="str">
        <f t="shared" ref="H192:H194" si="11">IF(OR(LEFT(G192,1)="T",LEFT(G192,1)="A"),"근거리","원거리")</f>
        <v>근거리</v>
      </c>
      <c r="I192" s="2" t="str">
        <f t="shared" ref="I192:I194" si="12">LOWER(VLOOKUP(E192,$N$2:$O$5,2,FALSE)&amp;G192&amp;"_"&amp;C192)</f>
        <v>m_boss_attacker_skull_crawler_1</v>
      </c>
      <c r="J192" s="2"/>
    </row>
    <row r="193" spans="2:10" x14ac:dyDescent="0.3">
      <c r="B193" s="35" t="s">
        <v>2731</v>
      </c>
      <c r="C193" s="35" t="s">
        <v>2734</v>
      </c>
      <c r="D193" s="35" t="s">
        <v>2738</v>
      </c>
      <c r="E193" s="2" t="s">
        <v>994</v>
      </c>
      <c r="F193" s="2"/>
      <c r="G193" s="2" t="s">
        <v>2733</v>
      </c>
      <c r="H193" s="2" t="str">
        <f t="shared" si="11"/>
        <v>근거리</v>
      </c>
      <c r="I193" s="2" t="str">
        <f t="shared" si="12"/>
        <v>m_boss_tanker_barnacle_builder_1</v>
      </c>
      <c r="J193" s="2"/>
    </row>
    <row r="194" spans="2:10" x14ac:dyDescent="0.3">
      <c r="B194" s="21" t="s">
        <v>2732</v>
      </c>
      <c r="C194" s="21" t="s">
        <v>2735</v>
      </c>
      <c r="D194" s="21" t="s">
        <v>2737</v>
      </c>
      <c r="E194" s="2" t="s">
        <v>994</v>
      </c>
      <c r="F194" s="2"/>
      <c r="G194" s="2" t="s">
        <v>2736</v>
      </c>
      <c r="H194" s="2" t="str">
        <f t="shared" si="11"/>
        <v>근거리</v>
      </c>
      <c r="I194" s="2" t="str">
        <f t="shared" si="12"/>
        <v>m_boss_attacker_mindloader_1</v>
      </c>
      <c r="J194" s="2"/>
    </row>
    <row r="195" spans="2:10" x14ac:dyDescent="0.3">
      <c r="B195" s="2" t="s">
        <v>302</v>
      </c>
      <c r="C195" s="2" t="s">
        <v>1121</v>
      </c>
      <c r="D195" s="2"/>
      <c r="E195" s="2" t="s">
        <v>998</v>
      </c>
      <c r="F195" s="2"/>
      <c r="G195" s="2" t="s">
        <v>43</v>
      </c>
      <c r="H195" s="2" t="str">
        <f t="shared" si="2"/>
        <v>근거리</v>
      </c>
      <c r="I195" s="2" t="str">
        <f t="shared" si="3"/>
        <v>m_s_attacker_turtle_mechamk1_1</v>
      </c>
      <c r="J195" s="2"/>
    </row>
    <row r="196" spans="2:10" x14ac:dyDescent="0.3">
      <c r="B196" s="2" t="s">
        <v>1122</v>
      </c>
      <c r="C196" s="2" t="s">
        <v>1123</v>
      </c>
      <c r="D196" s="2"/>
      <c r="E196" s="2" t="s">
        <v>998</v>
      </c>
      <c r="F196" s="2"/>
      <c r="G196" s="2" t="s">
        <v>47</v>
      </c>
      <c r="H196" s="2" t="str">
        <f t="shared" si="2"/>
        <v>원거리</v>
      </c>
      <c r="I196" s="2" t="str">
        <f t="shared" si="3"/>
        <v>m_s_ranger_scorpion_turretmk3_3</v>
      </c>
      <c r="J196" s="2"/>
    </row>
    <row r="197" spans="2:10" x14ac:dyDescent="0.3">
      <c r="B197" s="2" t="s">
        <v>1124</v>
      </c>
      <c r="C197" s="2" t="s">
        <v>1125</v>
      </c>
      <c r="D197" s="2"/>
      <c r="E197" s="2" t="s">
        <v>998</v>
      </c>
      <c r="F197" s="2"/>
      <c r="G197" s="2" t="s">
        <v>143</v>
      </c>
      <c r="H197" s="2" t="str">
        <f t="shared" si="2"/>
        <v>원거리</v>
      </c>
      <c r="I197" s="2" t="str">
        <f t="shared" si="3"/>
        <v>m_s_supporter_healing_drone_1</v>
      </c>
      <c r="J197" s="2"/>
    </row>
    <row r="198" spans="2:10" x14ac:dyDescent="0.3">
      <c r="B198" s="2" t="s">
        <v>343</v>
      </c>
      <c r="C198" s="2" t="s">
        <v>1126</v>
      </c>
      <c r="D198" s="2"/>
      <c r="E198" s="2" t="s">
        <v>998</v>
      </c>
      <c r="F198" s="2"/>
      <c r="G198" s="2" t="s">
        <v>143</v>
      </c>
      <c r="H198" s="2" t="str">
        <f t="shared" si="2"/>
        <v>원거리</v>
      </c>
      <c r="I198" s="2" t="str">
        <f t="shared" si="3"/>
        <v>m_s_supporter_regeneration_drone_3</v>
      </c>
      <c r="J198" s="2"/>
    </row>
    <row r="199" spans="2:10" x14ac:dyDescent="0.3">
      <c r="B199" s="2" t="s">
        <v>1127</v>
      </c>
      <c r="C199" s="2" t="s">
        <v>1128</v>
      </c>
      <c r="D199" s="2"/>
      <c r="E199" s="2" t="s">
        <v>994</v>
      </c>
      <c r="F199" s="2"/>
      <c r="G199" s="2" t="s">
        <v>47</v>
      </c>
      <c r="H199" s="2" t="str">
        <f t="shared" si="2"/>
        <v>원거리</v>
      </c>
      <c r="I199" s="2" t="str">
        <f t="shared" si="3"/>
        <v>m_boss_ranger_2301000000000</v>
      </c>
      <c r="J199" s="2"/>
    </row>
    <row r="200" spans="2:10" x14ac:dyDescent="0.3">
      <c r="B200" s="2" t="s">
        <v>224</v>
      </c>
      <c r="C200" s="2" t="s">
        <v>1129</v>
      </c>
      <c r="D200" s="2"/>
      <c r="E200" s="2" t="s">
        <v>994</v>
      </c>
      <c r="F200" s="2"/>
      <c r="G200" s="2" t="s">
        <v>47</v>
      </c>
      <c r="H200" s="2" t="str">
        <f t="shared" si="2"/>
        <v>원거리</v>
      </c>
      <c r="I200" s="2" t="str">
        <f t="shared" si="3"/>
        <v>m_boss_ranger_eperiusunit_1</v>
      </c>
      <c r="J200" s="2"/>
    </row>
    <row r="201" spans="2:10" x14ac:dyDescent="0.3">
      <c r="B201" s="2" t="s">
        <v>1130</v>
      </c>
      <c r="C201" s="2" t="s">
        <v>1131</v>
      </c>
      <c r="D201" s="2"/>
      <c r="E201" s="2" t="s">
        <v>994</v>
      </c>
      <c r="F201" s="2"/>
      <c r="G201" s="2" t="s">
        <v>47</v>
      </c>
      <c r="H201" s="2" t="str">
        <f t="shared" si="2"/>
        <v>원거리</v>
      </c>
      <c r="I201" s="2" t="str">
        <f t="shared" si="3"/>
        <v>m_boss_ranger_eperiusunit_2</v>
      </c>
      <c r="J201" s="2"/>
    </row>
    <row r="202" spans="2:10" x14ac:dyDescent="0.3">
      <c r="B202" s="2" t="s">
        <v>1132</v>
      </c>
      <c r="C202" s="2" t="s">
        <v>1133</v>
      </c>
      <c r="D202" s="2"/>
      <c r="E202" s="2" t="s">
        <v>994</v>
      </c>
      <c r="F202" s="2"/>
      <c r="G202" s="2" t="s">
        <v>47</v>
      </c>
      <c r="H202" s="2" t="str">
        <f t="shared" ref="H202:H241" si="13">IF(OR(LEFT(G202,1)="T",LEFT(G202,1)="A"),"근거리","원거리")</f>
        <v>원거리</v>
      </c>
      <c r="I202" s="2" t="str">
        <f t="shared" ref="I202:I241" si="14">LOWER(VLOOKUP(E202,$N$2:$O$5,2,FALSE)&amp;G202&amp;"_"&amp;C202)</f>
        <v>m_boss_ranger_eperiusunit_3</v>
      </c>
      <c r="J202" s="2"/>
    </row>
    <row r="203" spans="2:10" x14ac:dyDescent="0.3">
      <c r="B203" s="2" t="s">
        <v>1213</v>
      </c>
      <c r="C203" s="2" t="s">
        <v>1214</v>
      </c>
      <c r="D203" s="2"/>
      <c r="E203" s="2" t="s">
        <v>1215</v>
      </c>
      <c r="F203" s="2"/>
      <c r="G203" s="2" t="s">
        <v>1216</v>
      </c>
      <c r="H203" s="2" t="str">
        <f t="shared" si="13"/>
        <v>원거리</v>
      </c>
      <c r="I203" s="2" t="str">
        <f t="shared" si="14"/>
        <v>m_boss_ranger_marionne_1</v>
      </c>
      <c r="J203" s="2"/>
    </row>
    <row r="204" spans="2:10" x14ac:dyDescent="0.3">
      <c r="B204" s="2" t="s">
        <v>1857</v>
      </c>
      <c r="C204" s="2" t="s">
        <v>1858</v>
      </c>
      <c r="D204" s="2"/>
      <c r="E204" s="2" t="s">
        <v>1859</v>
      </c>
      <c r="F204" s="2"/>
      <c r="G204" s="2" t="s">
        <v>1860</v>
      </c>
      <c r="H204" s="2" t="str">
        <f t="shared" si="13"/>
        <v>근거리</v>
      </c>
      <c r="I204" s="2" t="str">
        <f t="shared" si="14"/>
        <v>m_m_attacker_marionne_puppet_1</v>
      </c>
      <c r="J204" s="2"/>
    </row>
    <row r="205" spans="2:10" x14ac:dyDescent="0.3">
      <c r="B205" s="2" t="s">
        <v>248</v>
      </c>
      <c r="C205" s="2" t="s">
        <v>1134</v>
      </c>
      <c r="D205" s="2"/>
      <c r="E205" s="2" t="s">
        <v>994</v>
      </c>
      <c r="F205" s="2"/>
      <c r="G205" s="2" t="s">
        <v>43</v>
      </c>
      <c r="H205" s="2" t="str">
        <f t="shared" si="13"/>
        <v>근거리</v>
      </c>
      <c r="I205" s="2" t="str">
        <f t="shared" si="14"/>
        <v>m_boss_attacker_gigantooth_1</v>
      </c>
      <c r="J205" s="2"/>
    </row>
    <row r="206" spans="2:10" x14ac:dyDescent="0.3">
      <c r="B206" s="2" t="s">
        <v>251</v>
      </c>
      <c r="C206" s="2" t="s">
        <v>1135</v>
      </c>
      <c r="D206" s="2"/>
      <c r="E206" s="2" t="s">
        <v>994</v>
      </c>
      <c r="F206" s="2"/>
      <c r="G206" s="2" t="s">
        <v>43</v>
      </c>
      <c r="H206" s="2" t="str">
        <f t="shared" si="13"/>
        <v>근거리</v>
      </c>
      <c r="I206" s="2" t="str">
        <f t="shared" si="14"/>
        <v>m_boss_attacker_gigantooth_2</v>
      </c>
      <c r="J206" s="2"/>
    </row>
    <row r="207" spans="2:10" x14ac:dyDescent="0.3">
      <c r="B207" s="2" t="s">
        <v>255</v>
      </c>
      <c r="C207" s="2" t="s">
        <v>1136</v>
      </c>
      <c r="D207" s="2"/>
      <c r="E207" s="2" t="s">
        <v>994</v>
      </c>
      <c r="F207" s="2"/>
      <c r="G207" s="2" t="s">
        <v>43</v>
      </c>
      <c r="H207" s="2" t="str">
        <f t="shared" si="13"/>
        <v>근거리</v>
      </c>
      <c r="I207" s="2" t="str">
        <f t="shared" si="14"/>
        <v>m_boss_attacker_kara_1</v>
      </c>
      <c r="J207" s="2"/>
    </row>
    <row r="208" spans="2:10" x14ac:dyDescent="0.3">
      <c r="B208" s="2" t="s">
        <v>1415</v>
      </c>
      <c r="C208" s="2" t="s">
        <v>1416</v>
      </c>
      <c r="D208" s="2"/>
      <c r="E208" s="2" t="s">
        <v>994</v>
      </c>
      <c r="F208" s="2"/>
      <c r="G208" s="2" t="s">
        <v>43</v>
      </c>
      <c r="H208" s="2" t="str">
        <f t="shared" ref="H208" si="15">IF(OR(LEFT(G208,1)="T",LEFT(G208,1)="A"),"근거리","원거리")</f>
        <v>근거리</v>
      </c>
      <c r="I208" s="2" t="str">
        <f t="shared" ref="I208" si="16">LOWER(VLOOKUP(E208,$N$2:$O$5,2,FALSE)&amp;G208&amp;"_"&amp;C208)</f>
        <v>m_boss_attacker_kara_2</v>
      </c>
      <c r="J208" s="2"/>
    </row>
    <row r="209" spans="2:10" x14ac:dyDescent="0.3">
      <c r="B209" s="2" t="s">
        <v>1137</v>
      </c>
      <c r="C209" s="2" t="s">
        <v>1138</v>
      </c>
      <c r="D209" s="2"/>
      <c r="E209" s="2" t="s">
        <v>994</v>
      </c>
      <c r="F209" s="2"/>
      <c r="G209" s="2" t="s">
        <v>43</v>
      </c>
      <c r="H209" s="2" t="str">
        <f t="shared" si="13"/>
        <v>근거리</v>
      </c>
      <c r="I209" s="2" t="str">
        <f t="shared" si="14"/>
        <v>m_boss_attacker_theomega_2</v>
      </c>
      <c r="J209" s="2"/>
    </row>
    <row r="210" spans="2:10" x14ac:dyDescent="0.3">
      <c r="B210" s="2" t="s">
        <v>238</v>
      </c>
      <c r="C210" s="2" t="s">
        <v>1139</v>
      </c>
      <c r="D210" s="2"/>
      <c r="E210" s="2" t="s">
        <v>994</v>
      </c>
      <c r="F210" s="2"/>
      <c r="G210" s="2" t="s">
        <v>43</v>
      </c>
      <c r="H210" s="2" t="str">
        <f t="shared" si="13"/>
        <v>근거리</v>
      </c>
      <c r="I210" s="2" t="str">
        <f t="shared" si="14"/>
        <v>m_boss_attacker_goliath_2</v>
      </c>
      <c r="J210" s="2"/>
    </row>
    <row r="211" spans="2:10" x14ac:dyDescent="0.3">
      <c r="B211" s="2" t="s">
        <v>230</v>
      </c>
      <c r="C211" s="2" t="s">
        <v>1140</v>
      </c>
      <c r="D211" s="2"/>
      <c r="E211" s="2" t="s">
        <v>994</v>
      </c>
      <c r="F211" s="2"/>
      <c r="G211" s="2" t="s">
        <v>43</v>
      </c>
      <c r="H211" s="2" t="str">
        <f t="shared" si="13"/>
        <v>근거리</v>
      </c>
      <c r="I211" s="2" t="str">
        <f t="shared" si="14"/>
        <v>m_boss_attacker_toxic_2</v>
      </c>
      <c r="J211" s="2"/>
    </row>
    <row r="212" spans="2:10" x14ac:dyDescent="0.3">
      <c r="B212" s="2" t="s">
        <v>308</v>
      </c>
      <c r="C212" s="2" t="s">
        <v>1141</v>
      </c>
      <c r="D212" s="2"/>
      <c r="E212" s="2" t="s">
        <v>998</v>
      </c>
      <c r="F212" s="2"/>
      <c r="G212" s="2" t="s">
        <v>47</v>
      </c>
      <c r="H212" s="2" t="str">
        <f t="shared" si="13"/>
        <v>원거리</v>
      </c>
      <c r="I212" s="2" t="str">
        <f t="shared" si="14"/>
        <v>m_s_ranger_hellfire_drone_2</v>
      </c>
      <c r="J212" s="2"/>
    </row>
    <row r="213" spans="2:10" x14ac:dyDescent="0.3">
      <c r="B213" s="2" t="s">
        <v>366</v>
      </c>
      <c r="C213" s="2" t="s">
        <v>1142</v>
      </c>
      <c r="D213" s="2"/>
      <c r="E213" s="2" t="s">
        <v>1002</v>
      </c>
      <c r="F213" s="2"/>
      <c r="G213" s="2" t="s">
        <v>58</v>
      </c>
      <c r="H213" s="2" t="str">
        <f t="shared" si="13"/>
        <v>근거리</v>
      </c>
      <c r="I213" s="2" t="str">
        <f t="shared" si="14"/>
        <v>m_m_tanker_heavy_trooper_shield_1</v>
      </c>
      <c r="J213" s="2"/>
    </row>
    <row r="214" spans="2:10" x14ac:dyDescent="0.3">
      <c r="B214" s="2" t="s">
        <v>362</v>
      </c>
      <c r="C214" s="2" t="s">
        <v>1143</v>
      </c>
      <c r="D214" s="2"/>
      <c r="E214" s="2" t="s">
        <v>1002</v>
      </c>
      <c r="F214" s="2"/>
      <c r="G214" s="2" t="s">
        <v>43</v>
      </c>
      <c r="H214" s="2" t="str">
        <f t="shared" si="13"/>
        <v>근거리</v>
      </c>
      <c r="I214" s="2" t="str">
        <f t="shared" si="14"/>
        <v>m_m_attacker_heavy_trooper_guantlet_1</v>
      </c>
      <c r="J214" s="2"/>
    </row>
    <row r="215" spans="2:10" x14ac:dyDescent="0.3">
      <c r="B215" s="2" t="s">
        <v>325</v>
      </c>
      <c r="C215" s="2" t="s">
        <v>1144</v>
      </c>
      <c r="D215" s="2"/>
      <c r="E215" s="2" t="s">
        <v>1002</v>
      </c>
      <c r="F215" s="2"/>
      <c r="G215" s="2" t="s">
        <v>43</v>
      </c>
      <c r="H215" s="2" t="str">
        <f t="shared" si="13"/>
        <v>근거리</v>
      </c>
      <c r="I215" s="2" t="str">
        <f t="shared" si="14"/>
        <v>m_m_attacker_heavy_trooper_flame_1</v>
      </c>
      <c r="J215" s="2"/>
    </row>
    <row r="216" spans="2:10" x14ac:dyDescent="0.3">
      <c r="B216" s="2" t="s">
        <v>322</v>
      </c>
      <c r="C216" s="2" t="s">
        <v>1145</v>
      </c>
      <c r="D216" s="2"/>
      <c r="E216" s="2" t="s">
        <v>1002</v>
      </c>
      <c r="F216" s="2"/>
      <c r="G216" s="2" t="s">
        <v>47</v>
      </c>
      <c r="H216" s="2" t="str">
        <f t="shared" si="13"/>
        <v>원거리</v>
      </c>
      <c r="I216" s="2" t="str">
        <f t="shared" si="14"/>
        <v>m_m_ranger_heavy_trooper_rifle_1</v>
      </c>
      <c r="J216" s="2"/>
    </row>
    <row r="217" spans="2:10" x14ac:dyDescent="0.3">
      <c r="B217" s="2" t="s">
        <v>317</v>
      </c>
      <c r="C217" s="2" t="s">
        <v>1146</v>
      </c>
      <c r="D217" s="2"/>
      <c r="E217" s="2" t="s">
        <v>1002</v>
      </c>
      <c r="F217" s="2"/>
      <c r="G217" s="2" t="s">
        <v>47</v>
      </c>
      <c r="H217" s="2" t="str">
        <f t="shared" si="13"/>
        <v>원거리</v>
      </c>
      <c r="I217" s="2" t="str">
        <f t="shared" si="14"/>
        <v>m_m_ranger_heavy_trooper_launcher_1</v>
      </c>
      <c r="J217" s="2"/>
    </row>
    <row r="218" spans="2:10" x14ac:dyDescent="0.3">
      <c r="B218" s="2" t="s">
        <v>394</v>
      </c>
      <c r="C218" s="2" t="s">
        <v>1147</v>
      </c>
      <c r="D218" s="2"/>
      <c r="E218" s="2" t="s">
        <v>1002</v>
      </c>
      <c r="F218" s="2"/>
      <c r="G218" s="2" t="s">
        <v>58</v>
      </c>
      <c r="H218" s="2" t="str">
        <f t="shared" si="13"/>
        <v>근거리</v>
      </c>
      <c r="I218" s="2" t="str">
        <f t="shared" si="14"/>
        <v>m_m_tanker_cube_tier01_01</v>
      </c>
      <c r="J218" s="2"/>
    </row>
    <row r="219" spans="2:10" x14ac:dyDescent="0.3">
      <c r="B219" s="2" t="s">
        <v>399</v>
      </c>
      <c r="C219" s="2" t="s">
        <v>1148</v>
      </c>
      <c r="D219" s="2"/>
      <c r="E219" s="2" t="s">
        <v>1002</v>
      </c>
      <c r="F219" s="2"/>
      <c r="G219" s="2" t="s">
        <v>58</v>
      </c>
      <c r="H219" s="2" t="str">
        <f t="shared" si="13"/>
        <v>근거리</v>
      </c>
      <c r="I219" s="2" t="str">
        <f t="shared" si="14"/>
        <v>m_m_tanker_cube_tier01_02</v>
      </c>
      <c r="J219" s="2"/>
    </row>
    <row r="220" spans="2:10" x14ac:dyDescent="0.3">
      <c r="B220" s="2" t="s">
        <v>402</v>
      </c>
      <c r="C220" s="2" t="s">
        <v>1149</v>
      </c>
      <c r="D220" s="2"/>
      <c r="E220" s="2" t="s">
        <v>1002</v>
      </c>
      <c r="F220" s="2"/>
      <c r="G220" s="2" t="s">
        <v>58</v>
      </c>
      <c r="H220" s="2" t="str">
        <f t="shared" si="13"/>
        <v>근거리</v>
      </c>
      <c r="I220" s="2" t="str">
        <f t="shared" si="14"/>
        <v>m_m_tanker_cube_tier01_03</v>
      </c>
      <c r="J220" s="2"/>
    </row>
    <row r="221" spans="2:10" x14ac:dyDescent="0.3">
      <c r="B221" s="2" t="s">
        <v>405</v>
      </c>
      <c r="C221" s="2" t="s">
        <v>1150</v>
      </c>
      <c r="D221" s="2"/>
      <c r="E221" s="2" t="s">
        <v>1002</v>
      </c>
      <c r="F221" s="2"/>
      <c r="G221" s="2" t="s">
        <v>58</v>
      </c>
      <c r="H221" s="2" t="str">
        <f t="shared" si="13"/>
        <v>근거리</v>
      </c>
      <c r="I221" s="2" t="str">
        <f t="shared" si="14"/>
        <v>m_m_tanker_cube_tier01_04</v>
      </c>
      <c r="J221" s="2"/>
    </row>
    <row r="222" spans="2:10" x14ac:dyDescent="0.3">
      <c r="B222" s="2" t="s">
        <v>408</v>
      </c>
      <c r="C222" s="2" t="s">
        <v>1151</v>
      </c>
      <c r="D222" s="2"/>
      <c r="E222" s="2" t="s">
        <v>1002</v>
      </c>
      <c r="F222" s="2"/>
      <c r="G222" s="2" t="s">
        <v>58</v>
      </c>
      <c r="H222" s="2" t="str">
        <f t="shared" si="13"/>
        <v>근거리</v>
      </c>
      <c r="I222" s="2" t="str">
        <f t="shared" si="14"/>
        <v>m_m_tanker_cube_tier01_05</v>
      </c>
      <c r="J222" s="2"/>
    </row>
    <row r="223" spans="2:10" x14ac:dyDescent="0.3">
      <c r="B223" s="2" t="s">
        <v>411</v>
      </c>
      <c r="C223" s="2" t="s">
        <v>1152</v>
      </c>
      <c r="D223" s="2"/>
      <c r="E223" s="2" t="s">
        <v>1002</v>
      </c>
      <c r="F223" s="2"/>
      <c r="G223" s="2" t="s">
        <v>58</v>
      </c>
      <c r="H223" s="2" t="str">
        <f t="shared" si="13"/>
        <v>근거리</v>
      </c>
      <c r="I223" s="2" t="str">
        <f t="shared" si="14"/>
        <v>m_m_tanker_cube_tier02_01</v>
      </c>
      <c r="J223" s="2"/>
    </row>
    <row r="224" spans="2:10" x14ac:dyDescent="0.3">
      <c r="B224" s="2" t="s">
        <v>415</v>
      </c>
      <c r="C224" s="2" t="s">
        <v>1153</v>
      </c>
      <c r="D224" s="2"/>
      <c r="E224" s="2" t="s">
        <v>1002</v>
      </c>
      <c r="F224" s="2"/>
      <c r="G224" s="2" t="s">
        <v>58</v>
      </c>
      <c r="H224" s="2" t="str">
        <f t="shared" si="13"/>
        <v>근거리</v>
      </c>
      <c r="I224" s="2" t="str">
        <f t="shared" si="14"/>
        <v>m_m_tanker_cube_tier02_02</v>
      </c>
      <c r="J224" s="2"/>
    </row>
    <row r="225" spans="2:10" x14ac:dyDescent="0.3">
      <c r="B225" s="2" t="s">
        <v>418</v>
      </c>
      <c r="C225" s="2" t="s">
        <v>1154</v>
      </c>
      <c r="D225" s="2"/>
      <c r="E225" s="2" t="s">
        <v>1002</v>
      </c>
      <c r="F225" s="2"/>
      <c r="G225" s="2" t="s">
        <v>58</v>
      </c>
      <c r="H225" s="2" t="str">
        <f t="shared" si="13"/>
        <v>근거리</v>
      </c>
      <c r="I225" s="2" t="str">
        <f t="shared" si="14"/>
        <v>m_m_tanker_cube_tier02_03</v>
      </c>
      <c r="J225" s="2"/>
    </row>
    <row r="226" spans="2:10" x14ac:dyDescent="0.3">
      <c r="B226" s="2" t="s">
        <v>421</v>
      </c>
      <c r="C226" s="2" t="s">
        <v>1155</v>
      </c>
      <c r="D226" s="2"/>
      <c r="E226" s="2" t="s">
        <v>1002</v>
      </c>
      <c r="F226" s="2"/>
      <c r="G226" s="2" t="s">
        <v>58</v>
      </c>
      <c r="H226" s="2" t="str">
        <f t="shared" si="13"/>
        <v>근거리</v>
      </c>
      <c r="I226" s="2" t="str">
        <f t="shared" si="14"/>
        <v>m_m_tanker_cube_tier02_04</v>
      </c>
      <c r="J226" s="2"/>
    </row>
    <row r="227" spans="2:10" x14ac:dyDescent="0.3">
      <c r="B227" s="2" t="s">
        <v>424</v>
      </c>
      <c r="C227" s="2" t="s">
        <v>1156</v>
      </c>
      <c r="D227" s="2"/>
      <c r="E227" s="2" t="s">
        <v>1002</v>
      </c>
      <c r="F227" s="2"/>
      <c r="G227" s="2" t="s">
        <v>58</v>
      </c>
      <c r="H227" s="2" t="str">
        <f t="shared" si="13"/>
        <v>근거리</v>
      </c>
      <c r="I227" s="2" t="str">
        <f t="shared" si="14"/>
        <v>m_m_tanker_cube_tier02_05</v>
      </c>
      <c r="J227" s="2"/>
    </row>
    <row r="228" spans="2:10" x14ac:dyDescent="0.3">
      <c r="B228" s="2" t="s">
        <v>427</v>
      </c>
      <c r="C228" s="2" t="s">
        <v>1157</v>
      </c>
      <c r="D228" s="2"/>
      <c r="E228" s="2" t="s">
        <v>1002</v>
      </c>
      <c r="F228" s="2"/>
      <c r="G228" s="2" t="s">
        <v>58</v>
      </c>
      <c r="H228" s="2" t="str">
        <f t="shared" si="13"/>
        <v>근거리</v>
      </c>
      <c r="I228" s="2" t="str">
        <f t="shared" si="14"/>
        <v>m_m_tanker_cube_tier03_01</v>
      </c>
      <c r="J228" s="2"/>
    </row>
    <row r="229" spans="2:10" x14ac:dyDescent="0.3">
      <c r="B229" s="2" t="s">
        <v>431</v>
      </c>
      <c r="C229" s="2" t="s">
        <v>1158</v>
      </c>
      <c r="D229" s="2"/>
      <c r="E229" s="2" t="s">
        <v>1002</v>
      </c>
      <c r="F229" s="2"/>
      <c r="G229" s="2" t="s">
        <v>58</v>
      </c>
      <c r="H229" s="2" t="str">
        <f t="shared" si="13"/>
        <v>근거리</v>
      </c>
      <c r="I229" s="2" t="str">
        <f t="shared" si="14"/>
        <v>m_m_tanker_cube_tier03_02</v>
      </c>
      <c r="J229" s="2"/>
    </row>
    <row r="230" spans="2:10" x14ac:dyDescent="0.3">
      <c r="B230" s="2" t="s">
        <v>434</v>
      </c>
      <c r="C230" s="2" t="s">
        <v>1159</v>
      </c>
      <c r="D230" s="2"/>
      <c r="E230" s="2" t="s">
        <v>1002</v>
      </c>
      <c r="F230" s="2"/>
      <c r="G230" s="2" t="s">
        <v>58</v>
      </c>
      <c r="H230" s="2" t="str">
        <f t="shared" si="13"/>
        <v>근거리</v>
      </c>
      <c r="I230" s="2" t="str">
        <f t="shared" si="14"/>
        <v>m_m_tanker_cube_tier03_03</v>
      </c>
      <c r="J230" s="2"/>
    </row>
    <row r="231" spans="2:10" x14ac:dyDescent="0.3">
      <c r="B231" s="2" t="s">
        <v>437</v>
      </c>
      <c r="C231" s="2" t="s">
        <v>1160</v>
      </c>
      <c r="D231" s="2"/>
      <c r="E231" s="2" t="s">
        <v>1002</v>
      </c>
      <c r="F231" s="2"/>
      <c r="G231" s="2" t="s">
        <v>58</v>
      </c>
      <c r="H231" s="2" t="str">
        <f t="shared" si="13"/>
        <v>근거리</v>
      </c>
      <c r="I231" s="2" t="str">
        <f t="shared" si="14"/>
        <v>m_m_tanker_cube_tier03_04</v>
      </c>
      <c r="J231" s="2"/>
    </row>
    <row r="232" spans="2:10" x14ac:dyDescent="0.3">
      <c r="B232" s="2" t="s">
        <v>440</v>
      </c>
      <c r="C232" s="2" t="s">
        <v>1161</v>
      </c>
      <c r="D232" s="2"/>
      <c r="E232" s="2" t="s">
        <v>1002</v>
      </c>
      <c r="F232" s="2"/>
      <c r="G232" s="2" t="s">
        <v>58</v>
      </c>
      <c r="H232" s="2" t="str">
        <f t="shared" si="13"/>
        <v>근거리</v>
      </c>
      <c r="I232" s="2" t="str">
        <f t="shared" si="14"/>
        <v>m_m_tanker_cube_tier03_05</v>
      </c>
      <c r="J232" s="2"/>
    </row>
    <row r="233" spans="2:10" x14ac:dyDescent="0.3">
      <c r="B233" s="2" t="s">
        <v>443</v>
      </c>
      <c r="C233" s="2" t="s">
        <v>1162</v>
      </c>
      <c r="D233" s="2"/>
      <c r="E233" s="2" t="s">
        <v>1002</v>
      </c>
      <c r="F233" s="2"/>
      <c r="G233" s="2" t="s">
        <v>58</v>
      </c>
      <c r="H233" s="2" t="str">
        <f t="shared" si="13"/>
        <v>근거리</v>
      </c>
      <c r="I233" s="2" t="str">
        <f t="shared" si="14"/>
        <v>m_m_tanker_cube_tier04_01</v>
      </c>
      <c r="J233" s="2"/>
    </row>
    <row r="234" spans="2:10" x14ac:dyDescent="0.3">
      <c r="B234" s="2" t="s">
        <v>447</v>
      </c>
      <c r="C234" s="2" t="s">
        <v>1163</v>
      </c>
      <c r="D234" s="2"/>
      <c r="E234" s="2" t="s">
        <v>1002</v>
      </c>
      <c r="F234" s="2"/>
      <c r="G234" s="2" t="s">
        <v>58</v>
      </c>
      <c r="H234" s="2" t="str">
        <f t="shared" si="13"/>
        <v>근거리</v>
      </c>
      <c r="I234" s="2" t="str">
        <f t="shared" si="14"/>
        <v>m_m_tanker_cube_tier04_02</v>
      </c>
      <c r="J234" s="2"/>
    </row>
    <row r="235" spans="2:10" x14ac:dyDescent="0.3">
      <c r="B235" s="2" t="s">
        <v>450</v>
      </c>
      <c r="C235" s="2" t="s">
        <v>1164</v>
      </c>
      <c r="D235" s="2"/>
      <c r="E235" s="2" t="s">
        <v>1002</v>
      </c>
      <c r="F235" s="2"/>
      <c r="G235" s="2" t="s">
        <v>58</v>
      </c>
      <c r="H235" s="2" t="str">
        <f t="shared" si="13"/>
        <v>근거리</v>
      </c>
      <c r="I235" s="2" t="str">
        <f t="shared" si="14"/>
        <v>m_m_tanker_cube_tier04_03</v>
      </c>
      <c r="J235" s="2"/>
    </row>
    <row r="236" spans="2:10" x14ac:dyDescent="0.3">
      <c r="B236" s="2" t="s">
        <v>453</v>
      </c>
      <c r="C236" s="2" t="s">
        <v>1165</v>
      </c>
      <c r="D236" s="2"/>
      <c r="E236" s="2" t="s">
        <v>1002</v>
      </c>
      <c r="F236" s="2"/>
      <c r="G236" s="2" t="s">
        <v>58</v>
      </c>
      <c r="H236" s="2" t="str">
        <f t="shared" si="13"/>
        <v>근거리</v>
      </c>
      <c r="I236" s="2" t="str">
        <f t="shared" si="14"/>
        <v>m_m_tanker_cube_tier04_04</v>
      </c>
      <c r="J236" s="2"/>
    </row>
    <row r="237" spans="2:10" x14ac:dyDescent="0.3">
      <c r="B237" s="2" t="s">
        <v>456</v>
      </c>
      <c r="C237" s="2" t="s">
        <v>1166</v>
      </c>
      <c r="D237" s="2"/>
      <c r="E237" s="2" t="s">
        <v>1002</v>
      </c>
      <c r="F237" s="2"/>
      <c r="G237" s="2" t="s">
        <v>58</v>
      </c>
      <c r="H237" s="2" t="str">
        <f t="shared" si="13"/>
        <v>근거리</v>
      </c>
      <c r="I237" s="2" t="str">
        <f t="shared" si="14"/>
        <v>m_m_tanker_cube_tier04_05</v>
      </c>
      <c r="J237" s="2"/>
    </row>
    <row r="238" spans="2:10" x14ac:dyDescent="0.3">
      <c r="B238" s="2" t="s">
        <v>459</v>
      </c>
      <c r="C238" s="2" t="s">
        <v>1167</v>
      </c>
      <c r="D238" s="2"/>
      <c r="E238" s="2" t="s">
        <v>1002</v>
      </c>
      <c r="F238" s="2"/>
      <c r="G238" s="2" t="s">
        <v>58</v>
      </c>
      <c r="H238" s="2" t="str">
        <f t="shared" si="13"/>
        <v>근거리</v>
      </c>
      <c r="I238" s="2" t="str">
        <f t="shared" si="14"/>
        <v>m_m_tanker_cube_tier05_01</v>
      </c>
      <c r="J238" s="2"/>
    </row>
    <row r="239" spans="2:10" x14ac:dyDescent="0.3">
      <c r="B239" s="2" t="s">
        <v>463</v>
      </c>
      <c r="C239" s="2" t="s">
        <v>1168</v>
      </c>
      <c r="D239" s="2"/>
      <c r="E239" s="2" t="s">
        <v>1002</v>
      </c>
      <c r="F239" s="2"/>
      <c r="G239" s="2" t="s">
        <v>58</v>
      </c>
      <c r="H239" s="2" t="str">
        <f t="shared" si="13"/>
        <v>근거리</v>
      </c>
      <c r="I239" s="2" t="str">
        <f t="shared" si="14"/>
        <v>m_m_tanker_cube_tier05_02</v>
      </c>
      <c r="J239" s="2"/>
    </row>
    <row r="240" spans="2:10" x14ac:dyDescent="0.3">
      <c r="B240" s="2" t="s">
        <v>466</v>
      </c>
      <c r="C240" s="2" t="s">
        <v>1169</v>
      </c>
      <c r="D240" s="2"/>
      <c r="E240" s="2" t="s">
        <v>1002</v>
      </c>
      <c r="F240" s="2"/>
      <c r="G240" s="2" t="s">
        <v>58</v>
      </c>
      <c r="H240" s="2" t="str">
        <f t="shared" si="13"/>
        <v>근거리</v>
      </c>
      <c r="I240" s="2" t="str">
        <f t="shared" si="14"/>
        <v>m_m_tanker_cube_tier05_03</v>
      </c>
      <c r="J240" s="2"/>
    </row>
    <row r="241" spans="2:10" x14ac:dyDescent="0.3">
      <c r="B241" s="2" t="s">
        <v>469</v>
      </c>
      <c r="C241" s="2" t="s">
        <v>1170</v>
      </c>
      <c r="D241" s="2"/>
      <c r="E241" s="2" t="s">
        <v>1002</v>
      </c>
      <c r="F241" s="2"/>
      <c r="G241" s="2" t="s">
        <v>58</v>
      </c>
      <c r="H241" s="2" t="str">
        <f t="shared" si="13"/>
        <v>근거리</v>
      </c>
      <c r="I241" s="2" t="str">
        <f t="shared" si="14"/>
        <v>m_m_tanker_cube_tier05_04</v>
      </c>
      <c r="J241" s="2"/>
    </row>
    <row r="242" spans="2:10" x14ac:dyDescent="0.3">
      <c r="B242" s="2" t="s">
        <v>472</v>
      </c>
      <c r="C242" s="2" t="s">
        <v>1171</v>
      </c>
      <c r="D242" s="2"/>
      <c r="E242" s="2" t="s">
        <v>1002</v>
      </c>
      <c r="F242" s="2"/>
      <c r="G242" s="2" t="s">
        <v>58</v>
      </c>
      <c r="H242" s="2" t="str">
        <f t="shared" ref="H242" si="17">IF(OR(LEFT(G242,1)="T",LEFT(G242,1)="A"),"근거리","원거리")</f>
        <v>근거리</v>
      </c>
      <c r="I242" s="2" t="str">
        <f t="shared" ref="I242" si="18">LOWER(VLOOKUP(E242,$N$2:$O$5,2,FALSE)&amp;G242&amp;"_"&amp;C242)</f>
        <v>m_m_tanker_cube_tier05_05</v>
      </c>
      <c r="J242" s="2"/>
    </row>
    <row r="243" spans="2:10" x14ac:dyDescent="0.3">
      <c r="B243" s="2" t="s">
        <v>2107</v>
      </c>
      <c r="C243" s="2" t="s">
        <v>2113</v>
      </c>
      <c r="D243" s="2"/>
      <c r="E243" s="2" t="s">
        <v>2109</v>
      </c>
      <c r="F243" s="2"/>
      <c r="G243" s="2" t="s">
        <v>58</v>
      </c>
      <c r="H243" s="2" t="str">
        <f t="shared" ref="H243:H248" si="19">IF(OR(LEFT(G243,1)="T",LEFT(G243,1)="A"),"근거리","원거리")</f>
        <v>근거리</v>
      </c>
      <c r="I243" s="2" t="str">
        <f t="shared" ref="I243:I248" si="20">LOWER(VLOOKUP(E243,$N$2:$O$5,2,FALSE)&amp;G243&amp;"_"&amp;C243)</f>
        <v>m_m_tanker_trapburger_1</v>
      </c>
      <c r="J243" s="2"/>
    </row>
    <row r="244" spans="2:10" x14ac:dyDescent="0.3">
      <c r="B244" s="2" t="s">
        <v>2108</v>
      </c>
      <c r="C244" s="2" t="s">
        <v>2114</v>
      </c>
      <c r="D244" s="2"/>
      <c r="E244" s="2" t="s">
        <v>1002</v>
      </c>
      <c r="F244" s="2"/>
      <c r="G244" s="2" t="s">
        <v>58</v>
      </c>
      <c r="H244" s="2" t="str">
        <f t="shared" si="19"/>
        <v>근거리</v>
      </c>
      <c r="I244" s="2" t="str">
        <f t="shared" si="20"/>
        <v>m_m_tanker_trapburger_2</v>
      </c>
      <c r="J244" s="2"/>
    </row>
    <row r="245" spans="2:10" x14ac:dyDescent="0.3">
      <c r="B245" s="2" t="s">
        <v>2805</v>
      </c>
      <c r="C245" s="2" t="s">
        <v>2808</v>
      </c>
      <c r="D245" s="2"/>
      <c r="E245" s="2" t="s">
        <v>2806</v>
      </c>
      <c r="F245" s="2"/>
      <c r="G245" s="2" t="s">
        <v>2807</v>
      </c>
      <c r="H245" s="2" t="str">
        <f t="shared" si="19"/>
        <v>원거리</v>
      </c>
      <c r="I245" s="2" t="str">
        <f t="shared" si="20"/>
        <v>m_boss_ranger_gamemaster_1</v>
      </c>
      <c r="J245" s="2"/>
    </row>
    <row r="246" spans="2:10" x14ac:dyDescent="0.3">
      <c r="B246" s="2" t="s">
        <v>3747</v>
      </c>
      <c r="C246" s="2" t="s">
        <v>3748</v>
      </c>
      <c r="D246" s="2"/>
      <c r="E246" s="2" t="s">
        <v>3749</v>
      </c>
      <c r="F246" s="2"/>
      <c r="G246" s="2" t="s">
        <v>3750</v>
      </c>
      <c r="H246" s="2" t="str">
        <f t="shared" si="19"/>
        <v>근거리</v>
      </c>
      <c r="I246" s="2" t="str">
        <f t="shared" si="20"/>
        <v>m_boss_attacker_mechatoa_1</v>
      </c>
      <c r="J246" s="2"/>
    </row>
    <row r="247" spans="2:10" x14ac:dyDescent="0.3">
      <c r="B247" s="2" t="s">
        <v>3751</v>
      </c>
      <c r="C247" s="2" t="s">
        <v>3752</v>
      </c>
      <c r="D247" s="2"/>
      <c r="E247" s="2" t="s">
        <v>1002</v>
      </c>
      <c r="F247" s="2"/>
      <c r="G247" s="2" t="s">
        <v>43</v>
      </c>
      <c r="H247" s="2" t="str">
        <f t="shared" ref="H247" si="21">IF(OR(LEFT(G247,1)="T",LEFT(G247,1)="A"),"근거리","원거리")</f>
        <v>근거리</v>
      </c>
      <c r="I247" s="2" t="str">
        <f t="shared" ref="I247" si="22">LOWER(VLOOKUP(E247,$N$2:$O$5,2,FALSE)&amp;G247&amp;"_"&amp;C247)</f>
        <v>m_m_attacker_mechakanata_1</v>
      </c>
      <c r="J247" s="2"/>
    </row>
    <row r="248" spans="2:10" x14ac:dyDescent="0.3">
      <c r="B248" s="2" t="s">
        <v>3754</v>
      </c>
      <c r="C248" s="2" t="s">
        <v>3753</v>
      </c>
      <c r="D248" s="2"/>
      <c r="E248" s="2" t="s">
        <v>994</v>
      </c>
      <c r="F248" s="2"/>
      <c r="G248" s="2" t="s">
        <v>2812</v>
      </c>
      <c r="H248" s="2" t="str">
        <f t="shared" si="19"/>
        <v>근거리</v>
      </c>
      <c r="I248" s="2" t="str">
        <f t="shared" si="20"/>
        <v>m_boss_attacker_pandahappy_1</v>
      </c>
      <c r="J248" s="2"/>
    </row>
    <row r="249" spans="2:10" x14ac:dyDescent="0.3">
      <c r="B249" s="2" t="s">
        <v>3807</v>
      </c>
      <c r="C249" s="2" t="s">
        <v>3815</v>
      </c>
      <c r="D249" s="2"/>
      <c r="E249" s="2" t="s">
        <v>994</v>
      </c>
      <c r="F249" s="2"/>
      <c r="G249" s="2" t="s">
        <v>3821</v>
      </c>
      <c r="H249" s="2" t="str">
        <f t="shared" ref="H249:H255" si="23">IF(OR(LEFT(G249,1)="T",LEFT(G249,1)="A"),"근거리","원거리")</f>
        <v>원거리</v>
      </c>
      <c r="I249" s="2" t="str">
        <f t="shared" ref="I249:I255" si="24">LOWER(VLOOKUP(E249,$N$2:$O$5,2,FALSE)&amp;G249&amp;"_"&amp;C249)</f>
        <v>m_boss_ranger_oldguardian_1</v>
      </c>
      <c r="J249" s="2"/>
    </row>
    <row r="250" spans="2:10" x14ac:dyDescent="0.3">
      <c r="B250" s="2" t="s">
        <v>3809</v>
      </c>
      <c r="C250" s="2" t="s">
        <v>3816</v>
      </c>
      <c r="D250" s="2"/>
      <c r="E250" s="2" t="s">
        <v>994</v>
      </c>
      <c r="F250" s="2"/>
      <c r="G250" s="2" t="s">
        <v>3821</v>
      </c>
      <c r="H250" s="2" t="str">
        <f t="shared" si="23"/>
        <v>원거리</v>
      </c>
      <c r="I250" s="2" t="str">
        <f t="shared" si="24"/>
        <v>m_boss_ranger_sibiurobot_1</v>
      </c>
      <c r="J250" s="2"/>
    </row>
    <row r="251" spans="2:10" x14ac:dyDescent="0.3">
      <c r="B251" s="2" t="s">
        <v>3811</v>
      </c>
      <c r="C251" s="2" t="s">
        <v>3817</v>
      </c>
      <c r="D251" s="2"/>
      <c r="E251" s="2" t="s">
        <v>994</v>
      </c>
      <c r="F251" s="2"/>
      <c r="G251" s="2" t="s">
        <v>3822</v>
      </c>
      <c r="H251" s="2" t="str">
        <f t="shared" si="23"/>
        <v>원거리</v>
      </c>
      <c r="I251" s="2" t="str">
        <f t="shared" si="24"/>
        <v>m_boss_supporter_dronenest_1</v>
      </c>
      <c r="J251" s="2"/>
    </row>
    <row r="252" spans="2:10" x14ac:dyDescent="0.3">
      <c r="B252" s="2" t="s">
        <v>3830</v>
      </c>
      <c r="C252" s="2" t="s">
        <v>3827</v>
      </c>
      <c r="D252" s="2"/>
      <c r="E252" s="2" t="s">
        <v>998</v>
      </c>
      <c r="F252" s="2"/>
      <c r="G252" s="2" t="s">
        <v>47</v>
      </c>
      <c r="H252" s="2" t="s">
        <v>3828</v>
      </c>
      <c r="I252" s="2" t="str">
        <f t="shared" ref="I252" si="25">LOWER(VLOOKUP(E252,$N$2:$O$5,2,FALSE)&amp;G252&amp;"_"&amp;C252)</f>
        <v>m_s_ranger_interceptor_1</v>
      </c>
      <c r="J252" s="2"/>
    </row>
    <row r="253" spans="2:10" x14ac:dyDescent="0.3">
      <c r="B253" s="2" t="s">
        <v>3812</v>
      </c>
      <c r="C253" s="2" t="s">
        <v>3818</v>
      </c>
      <c r="D253" s="2"/>
      <c r="E253" s="2" t="s">
        <v>994</v>
      </c>
      <c r="F253" s="2"/>
      <c r="G253" s="2" t="s">
        <v>3823</v>
      </c>
      <c r="H253" s="2" t="str">
        <f t="shared" si="23"/>
        <v>근거리</v>
      </c>
      <c r="I253" s="2" t="str">
        <f t="shared" si="24"/>
        <v>m_boss_attacker_theantiqualos_1</v>
      </c>
      <c r="J253" s="2"/>
    </row>
    <row r="254" spans="2:10" x14ac:dyDescent="0.3">
      <c r="B254" s="2" t="s">
        <v>3813</v>
      </c>
      <c r="C254" s="2" t="s">
        <v>3819</v>
      </c>
      <c r="D254" s="2"/>
      <c r="E254" s="2" t="s">
        <v>994</v>
      </c>
      <c r="F254" s="2"/>
      <c r="G254" s="2" t="s">
        <v>3821</v>
      </c>
      <c r="H254" s="2" t="str">
        <f t="shared" si="23"/>
        <v>원거리</v>
      </c>
      <c r="I254" s="2" t="str">
        <f t="shared" si="24"/>
        <v>m_boss_ranger_metamorphage_1</v>
      </c>
      <c r="J254" s="2"/>
    </row>
    <row r="255" spans="2:10" x14ac:dyDescent="0.3">
      <c r="B255" s="2" t="s">
        <v>3814</v>
      </c>
      <c r="C255" s="2" t="s">
        <v>3820</v>
      </c>
      <c r="D255" s="2"/>
      <c r="E255" s="2" t="s">
        <v>994</v>
      </c>
      <c r="F255" s="2"/>
      <c r="G255" s="2" t="s">
        <v>3821</v>
      </c>
      <c r="H255" s="2" t="str">
        <f t="shared" si="23"/>
        <v>원거리</v>
      </c>
      <c r="I255" s="2" t="str">
        <f t="shared" si="24"/>
        <v>m_boss_ranger_lettercarrier_1</v>
      </c>
      <c r="J255" s="2"/>
    </row>
    <row r="256" spans="2:10" x14ac:dyDescent="0.3">
      <c r="B256" s="2"/>
      <c r="C256" s="2"/>
      <c r="D256" s="2"/>
      <c r="E256" s="2"/>
      <c r="F256" s="2"/>
      <c r="G256" s="2"/>
      <c r="H256" s="2"/>
      <c r="I256" s="2"/>
      <c r="J256" s="2"/>
    </row>
    <row r="257" spans="2:10" x14ac:dyDescent="0.3">
      <c r="B257" s="2"/>
      <c r="C257" s="2"/>
      <c r="D257" s="2"/>
      <c r="E257" s="2"/>
      <c r="F257" s="2"/>
      <c r="G257" s="2"/>
      <c r="H257" s="2"/>
      <c r="I257" s="2"/>
      <c r="J257" s="2"/>
    </row>
    <row r="258" spans="2:10" x14ac:dyDescent="0.3">
      <c r="B258" s="2"/>
      <c r="C258" s="2"/>
      <c r="D258" s="2"/>
      <c r="E258" s="2"/>
      <c r="F258" s="2"/>
      <c r="G258" s="2"/>
      <c r="H258" s="2"/>
      <c r="I258" s="2"/>
      <c r="J258" s="2"/>
    </row>
    <row r="259" spans="2:10" x14ac:dyDescent="0.3">
      <c r="B259" s="2"/>
      <c r="C259" s="2"/>
      <c r="D259" s="2"/>
      <c r="E259" s="2"/>
      <c r="F259" s="2"/>
      <c r="G259" s="2"/>
      <c r="H259" s="2"/>
      <c r="I259" s="2"/>
      <c r="J259" s="2"/>
    </row>
    <row r="260" spans="2:10" x14ac:dyDescent="0.3">
      <c r="B260" s="2"/>
      <c r="C260" s="2"/>
      <c r="D260" s="2"/>
      <c r="E260" s="2"/>
      <c r="F260" s="2"/>
      <c r="G260" s="2"/>
      <c r="H260" s="2"/>
      <c r="I260" s="2"/>
      <c r="J260" s="2"/>
    </row>
    <row r="261" spans="2:10" x14ac:dyDescent="0.3">
      <c r="B261" s="2"/>
      <c r="C261" s="2"/>
      <c r="D261" s="2"/>
      <c r="E261" s="2"/>
      <c r="F261" s="2"/>
      <c r="G261" s="2"/>
      <c r="H261" s="2"/>
      <c r="I261" s="2"/>
      <c r="J261" s="2"/>
    </row>
    <row r="262" spans="2:10" x14ac:dyDescent="0.3">
      <c r="B262" s="2"/>
      <c r="C262" s="2"/>
      <c r="D262" s="2"/>
      <c r="E262" s="2"/>
      <c r="F262" s="2"/>
      <c r="G262" s="2"/>
      <c r="H262" s="2"/>
      <c r="I262" s="2"/>
      <c r="J262" s="2"/>
    </row>
    <row r="263" spans="2:10" x14ac:dyDescent="0.3">
      <c r="B263" s="2"/>
      <c r="C263" s="2"/>
      <c r="D263" s="2"/>
      <c r="E263" s="2"/>
      <c r="F263" s="2"/>
      <c r="G263" s="2"/>
      <c r="H263" s="2"/>
      <c r="I263" s="2"/>
      <c r="J263" s="2"/>
    </row>
    <row r="264" spans="2:10" x14ac:dyDescent="0.3">
      <c r="B264" s="2"/>
      <c r="C264" s="2"/>
      <c r="D264" s="2"/>
      <c r="E264" s="2"/>
      <c r="F264" s="2"/>
      <c r="G264" s="2"/>
      <c r="H264" s="2"/>
      <c r="I264" s="2"/>
      <c r="J264" s="2"/>
    </row>
    <row r="265" spans="2:10" x14ac:dyDescent="0.3">
      <c r="B265" s="2"/>
      <c r="C265" s="2"/>
      <c r="D265" s="2"/>
      <c r="E265" s="2"/>
      <c r="F265" s="2"/>
      <c r="G265" s="2"/>
      <c r="H265" s="2"/>
      <c r="I265" s="2"/>
      <c r="J265" s="2"/>
    </row>
    <row r="266" spans="2:10" x14ac:dyDescent="0.3">
      <c r="B266" s="2"/>
      <c r="C266" s="2"/>
      <c r="D266" s="2"/>
      <c r="E266" s="2"/>
      <c r="F266" s="2"/>
      <c r="G266" s="2"/>
      <c r="H266" s="2"/>
      <c r="I266" s="2"/>
      <c r="J266" s="2"/>
    </row>
    <row r="267" spans="2:10" x14ac:dyDescent="0.3">
      <c r="B267" s="2"/>
      <c r="C267" s="2"/>
      <c r="D267" s="2"/>
      <c r="E267" s="2"/>
      <c r="F267" s="2"/>
      <c r="G267" s="2"/>
      <c r="H267" s="2"/>
      <c r="I267" s="2"/>
      <c r="J267" s="2"/>
    </row>
    <row r="268" spans="2:10" x14ac:dyDescent="0.3">
      <c r="B268" s="2"/>
      <c r="C268" s="2"/>
      <c r="D268" s="2"/>
      <c r="E268" s="2"/>
      <c r="F268" s="2"/>
      <c r="G268" s="2"/>
      <c r="H268" s="2"/>
      <c r="I268" s="2"/>
      <c r="J268" s="2"/>
    </row>
    <row r="269" spans="2:10" x14ac:dyDescent="0.3">
      <c r="B269" s="2"/>
      <c r="C269" s="2"/>
      <c r="D269" s="2"/>
      <c r="E269" s="2"/>
      <c r="F269" s="2"/>
      <c r="G269" s="2"/>
      <c r="H269" s="2"/>
      <c r="I269" s="2"/>
      <c r="J269" s="2"/>
    </row>
    <row r="270" spans="2:10" x14ac:dyDescent="0.3">
      <c r="B270" s="2"/>
      <c r="C270" s="2"/>
      <c r="D270" s="2"/>
      <c r="E270" s="2"/>
      <c r="F270" s="2"/>
      <c r="G270" s="2"/>
      <c r="H270" s="2"/>
      <c r="I270" s="2"/>
      <c r="J270" s="2"/>
    </row>
    <row r="271" spans="2:10" x14ac:dyDescent="0.3">
      <c r="B271" s="2"/>
      <c r="C271" s="2"/>
      <c r="D271" s="2"/>
      <c r="E271" s="2"/>
      <c r="F271" s="2"/>
      <c r="G271" s="2"/>
      <c r="H271" s="2"/>
      <c r="I271" s="2"/>
      <c r="J271" s="2"/>
    </row>
    <row r="272" spans="2:10" x14ac:dyDescent="0.3">
      <c r="B272" s="2"/>
      <c r="C272" s="2"/>
      <c r="D272" s="2"/>
      <c r="E272" s="2"/>
      <c r="F272" s="2"/>
      <c r="G272" s="2"/>
      <c r="H272" s="2"/>
      <c r="I272" s="2"/>
      <c r="J272" s="2"/>
    </row>
    <row r="273" spans="2:10" x14ac:dyDescent="0.3">
      <c r="B273" s="2"/>
      <c r="C273" s="2"/>
      <c r="D273" s="2"/>
      <c r="E273" s="2"/>
      <c r="F273" s="2"/>
      <c r="G273" s="2"/>
      <c r="H273" s="2"/>
      <c r="I273" s="2"/>
      <c r="J273" s="2"/>
    </row>
    <row r="274" spans="2:10" x14ac:dyDescent="0.3">
      <c r="B274" s="2"/>
      <c r="C274" s="2"/>
      <c r="D274" s="2"/>
      <c r="E274" s="2"/>
      <c r="F274" s="2"/>
      <c r="G274" s="2"/>
      <c r="H274" s="2"/>
      <c r="I274" s="2"/>
      <c r="J274" s="2"/>
    </row>
    <row r="275" spans="2:10" x14ac:dyDescent="0.3">
      <c r="B275" s="2"/>
      <c r="C275" s="2"/>
      <c r="D275" s="2"/>
      <c r="E275" s="2"/>
      <c r="F275" s="2"/>
      <c r="G275" s="2"/>
      <c r="H275" s="2"/>
      <c r="I275" s="2"/>
      <c r="J275" s="2"/>
    </row>
    <row r="276" spans="2:10" x14ac:dyDescent="0.3">
      <c r="B276" s="2"/>
      <c r="C276" s="2"/>
      <c r="D276" s="2"/>
      <c r="E276" s="2"/>
      <c r="F276" s="2"/>
      <c r="G276" s="2"/>
      <c r="H276" s="2"/>
      <c r="I276" s="2"/>
      <c r="J276" s="2"/>
    </row>
    <row r="277" spans="2:10" x14ac:dyDescent="0.3">
      <c r="B277" s="2"/>
      <c r="C277" s="2"/>
      <c r="D277" s="2"/>
      <c r="E277" s="2"/>
      <c r="F277" s="2"/>
      <c r="G277" s="2"/>
      <c r="H277" s="2"/>
      <c r="I277" s="2"/>
      <c r="J277" s="2"/>
    </row>
    <row r="278" spans="2:10" x14ac:dyDescent="0.3">
      <c r="B278" s="2"/>
      <c r="C278" s="2"/>
      <c r="D278" s="2"/>
      <c r="E278" s="2"/>
      <c r="F278" s="2"/>
      <c r="G278" s="2"/>
      <c r="H278" s="2"/>
      <c r="I278" s="2"/>
      <c r="J278" s="2"/>
    </row>
    <row r="279" spans="2:10" x14ac:dyDescent="0.3">
      <c r="B279" s="2"/>
      <c r="C279" s="2"/>
      <c r="D279" s="2"/>
      <c r="E279" s="2"/>
      <c r="F279" s="2"/>
      <c r="G279" s="2"/>
      <c r="H279" s="2"/>
      <c r="I279" s="2"/>
      <c r="J279" s="2"/>
    </row>
    <row r="280" spans="2:10" x14ac:dyDescent="0.3">
      <c r="B280" s="2"/>
      <c r="C280" s="2"/>
      <c r="D280" s="2"/>
      <c r="E280" s="2"/>
      <c r="F280" s="2"/>
      <c r="G280" s="2"/>
      <c r="H280" s="2"/>
      <c r="I280" s="2"/>
      <c r="J280" s="2"/>
    </row>
    <row r="281" spans="2:10" x14ac:dyDescent="0.3">
      <c r="B281" s="2"/>
      <c r="C281" s="2"/>
      <c r="D281" s="2"/>
      <c r="E281" s="2"/>
      <c r="F281" s="2"/>
      <c r="G281" s="2"/>
      <c r="H281" s="2"/>
      <c r="I281" s="2"/>
      <c r="J281" s="2"/>
    </row>
    <row r="282" spans="2:10" x14ac:dyDescent="0.3">
      <c r="B282" s="2"/>
      <c r="C282" s="2"/>
      <c r="D282" s="2"/>
      <c r="E282" s="2"/>
      <c r="F282" s="2"/>
      <c r="G282" s="2"/>
      <c r="H282" s="2"/>
      <c r="I282" s="2"/>
      <c r="J282" s="2"/>
    </row>
    <row r="283" spans="2:10" x14ac:dyDescent="0.3">
      <c r="B283" s="2"/>
      <c r="C283" s="2"/>
      <c r="D283" s="2"/>
      <c r="E283" s="2"/>
      <c r="F283" s="2"/>
      <c r="G283" s="2"/>
      <c r="H283" s="2"/>
      <c r="I283" s="2"/>
      <c r="J283" s="2"/>
    </row>
    <row r="284" spans="2:10" x14ac:dyDescent="0.3">
      <c r="B284" s="2"/>
      <c r="C284" s="2"/>
      <c r="D284" s="2"/>
      <c r="E284" s="2"/>
      <c r="F284" s="2"/>
      <c r="G284" s="2"/>
      <c r="H284" s="2"/>
      <c r="I284" s="2"/>
      <c r="J284" s="2"/>
    </row>
    <row r="285" spans="2:10" x14ac:dyDescent="0.3">
      <c r="B285" s="2"/>
      <c r="C285" s="2"/>
      <c r="D285" s="2"/>
      <c r="E285" s="2"/>
      <c r="F285" s="2"/>
      <c r="G285" s="2"/>
      <c r="H285" s="2"/>
      <c r="I285" s="2"/>
      <c r="J285" s="2"/>
    </row>
    <row r="286" spans="2:10" x14ac:dyDescent="0.3">
      <c r="B286" s="2"/>
      <c r="C286" s="2"/>
      <c r="D286" s="2"/>
      <c r="E286" s="2"/>
      <c r="F286" s="2"/>
      <c r="G286" s="2"/>
      <c r="H286" s="2"/>
      <c r="I286" s="2"/>
      <c r="J286" s="2"/>
    </row>
    <row r="287" spans="2:10" x14ac:dyDescent="0.3">
      <c r="B287" s="2"/>
      <c r="C287" s="2"/>
      <c r="D287" s="2"/>
      <c r="E287" s="2"/>
      <c r="F287" s="2"/>
      <c r="G287" s="2"/>
      <c r="H287" s="2"/>
      <c r="I287" s="2"/>
      <c r="J287" s="2"/>
    </row>
    <row r="288" spans="2:10" x14ac:dyDescent="0.3">
      <c r="B288" s="2"/>
      <c r="C288" s="2"/>
      <c r="D288" s="2"/>
      <c r="E288" s="2"/>
      <c r="F288" s="2"/>
      <c r="G288" s="2"/>
      <c r="H288" s="2"/>
      <c r="I288" s="2"/>
      <c r="J288" s="2"/>
    </row>
    <row r="289" spans="2:10" x14ac:dyDescent="0.3">
      <c r="B289" s="2"/>
      <c r="C289" s="2"/>
      <c r="D289" s="2"/>
      <c r="E289" s="2"/>
      <c r="F289" s="2"/>
      <c r="G289" s="2"/>
      <c r="H289" s="2"/>
      <c r="I289" s="2"/>
      <c r="J289" s="2"/>
    </row>
    <row r="290" spans="2:10" x14ac:dyDescent="0.3">
      <c r="B290" s="2"/>
      <c r="C290" s="2"/>
      <c r="D290" s="2"/>
      <c r="E290" s="2"/>
      <c r="F290" s="2"/>
      <c r="G290" s="2"/>
      <c r="H290" s="2"/>
      <c r="I290" s="2"/>
      <c r="J290" s="2"/>
    </row>
    <row r="291" spans="2:10" x14ac:dyDescent="0.3">
      <c r="B291" s="2"/>
      <c r="C291" s="2"/>
      <c r="D291" s="2"/>
      <c r="E291" s="2"/>
      <c r="F291" s="2"/>
      <c r="G291" s="2"/>
      <c r="H291" s="2"/>
      <c r="I291" s="2"/>
      <c r="J291" s="2"/>
    </row>
    <row r="292" spans="2:10" x14ac:dyDescent="0.3">
      <c r="B292" s="2"/>
      <c r="C292" s="2"/>
      <c r="D292" s="2"/>
      <c r="E292" s="2"/>
      <c r="F292" s="2"/>
      <c r="G292" s="2"/>
      <c r="H292" s="2"/>
      <c r="I292" s="2"/>
      <c r="J292" s="2"/>
    </row>
    <row r="293" spans="2:10" x14ac:dyDescent="0.3">
      <c r="B293" s="2"/>
      <c r="C293" s="2"/>
      <c r="D293" s="2"/>
      <c r="E293" s="2"/>
      <c r="F293" s="2"/>
      <c r="G293" s="2"/>
      <c r="H293" s="2"/>
      <c r="I293" s="2"/>
      <c r="J293" s="2"/>
    </row>
    <row r="294" spans="2:10" x14ac:dyDescent="0.3">
      <c r="B294" s="2"/>
      <c r="C294" s="2"/>
      <c r="D294" s="2"/>
      <c r="E294" s="2"/>
      <c r="F294" s="2"/>
      <c r="G294" s="2"/>
      <c r="H294" s="2"/>
      <c r="I294" s="2"/>
      <c r="J294" s="2"/>
    </row>
    <row r="295" spans="2:10" x14ac:dyDescent="0.3">
      <c r="B295" s="2"/>
      <c r="C295" s="2"/>
      <c r="D295" s="2"/>
      <c r="E295" s="2"/>
      <c r="F295" s="2"/>
      <c r="G295" s="2"/>
      <c r="H295" s="2"/>
      <c r="I295" s="2"/>
      <c r="J295" s="2"/>
    </row>
    <row r="296" spans="2:10" x14ac:dyDescent="0.3">
      <c r="B296" s="2"/>
      <c r="C296" s="2"/>
      <c r="D296" s="2"/>
      <c r="E296" s="2"/>
      <c r="F296" s="2"/>
      <c r="G296" s="2"/>
      <c r="H296" s="2"/>
      <c r="I296" s="2"/>
      <c r="J296" s="2"/>
    </row>
    <row r="297" spans="2:10" x14ac:dyDescent="0.3">
      <c r="B297" s="2"/>
      <c r="C297" s="2"/>
      <c r="D297" s="2"/>
      <c r="E297" s="2"/>
      <c r="F297" s="2"/>
      <c r="G297" s="2"/>
      <c r="H297" s="2"/>
      <c r="I297" s="2"/>
      <c r="J297" s="2"/>
    </row>
    <row r="298" spans="2:10" x14ac:dyDescent="0.3">
      <c r="B298" s="2"/>
      <c r="C298" s="2"/>
      <c r="D298" s="2"/>
      <c r="E298" s="2"/>
      <c r="F298" s="2"/>
      <c r="G298" s="2"/>
      <c r="H298" s="2"/>
      <c r="I298" s="2"/>
      <c r="J298" s="2"/>
    </row>
    <row r="299" spans="2:10" x14ac:dyDescent="0.3">
      <c r="B299" s="2"/>
      <c r="C299" s="2"/>
      <c r="D299" s="2"/>
      <c r="E299" s="2"/>
      <c r="F299" s="2"/>
      <c r="G299" s="2"/>
      <c r="H299" s="2"/>
      <c r="I299" s="2"/>
      <c r="J299" s="2"/>
    </row>
    <row r="300" spans="2:10" x14ac:dyDescent="0.3">
      <c r="B300" s="2"/>
      <c r="C300" s="2"/>
      <c r="D300" s="2"/>
      <c r="E300" s="2"/>
      <c r="F300" s="2"/>
      <c r="G300" s="2"/>
      <c r="H300" s="2"/>
      <c r="I300" s="2"/>
      <c r="J300" s="2"/>
    </row>
    <row r="301" spans="2:10" x14ac:dyDescent="0.3">
      <c r="B301" s="2"/>
      <c r="C301" s="2"/>
      <c r="D301" s="2"/>
      <c r="E301" s="2"/>
      <c r="F301" s="2"/>
      <c r="G301" s="2"/>
      <c r="H301" s="2"/>
      <c r="I301" s="2"/>
      <c r="J301" s="2"/>
    </row>
    <row r="302" spans="2:10" x14ac:dyDescent="0.3">
      <c r="B302" s="2"/>
      <c r="C302" s="2"/>
      <c r="D302" s="2"/>
      <c r="E302" s="2"/>
      <c r="F302" s="2"/>
      <c r="G302" s="2"/>
      <c r="H302" s="2"/>
      <c r="I302" s="2"/>
      <c r="J302" s="2"/>
    </row>
    <row r="303" spans="2:10" x14ac:dyDescent="0.3">
      <c r="B303" s="2"/>
      <c r="C303" s="2"/>
      <c r="D303" s="2"/>
      <c r="E303" s="2"/>
      <c r="F303" s="2"/>
      <c r="G303" s="2"/>
      <c r="H303" s="2"/>
      <c r="I303" s="2"/>
      <c r="J303" s="2"/>
    </row>
    <row r="304" spans="2:10" x14ac:dyDescent="0.3">
      <c r="B304" s="2"/>
      <c r="C304" s="2"/>
      <c r="D304" s="2"/>
      <c r="E304" s="2"/>
      <c r="F304" s="2"/>
      <c r="G304" s="2"/>
      <c r="H304" s="2"/>
      <c r="I304" s="2"/>
      <c r="J304" s="2"/>
    </row>
    <row r="305" spans="2:10" x14ac:dyDescent="0.3">
      <c r="B305" s="2"/>
      <c r="C305" s="2"/>
      <c r="D305" s="2"/>
      <c r="E305" s="2"/>
      <c r="F305" s="2"/>
      <c r="G305" s="2"/>
      <c r="H305" s="2"/>
      <c r="I305" s="2"/>
      <c r="J305" s="2"/>
    </row>
    <row r="306" spans="2:10" x14ac:dyDescent="0.3">
      <c r="B306" s="2"/>
      <c r="C306" s="2"/>
      <c r="D306" s="2"/>
      <c r="E306" s="2"/>
      <c r="F306" s="2"/>
      <c r="G306" s="2"/>
      <c r="H306" s="2"/>
      <c r="I306" s="2"/>
      <c r="J306" s="2"/>
    </row>
    <row r="307" spans="2:10" x14ac:dyDescent="0.3">
      <c r="B307" s="2"/>
      <c r="C307" s="2"/>
      <c r="D307" s="2"/>
      <c r="E307" s="2"/>
      <c r="F307" s="2"/>
      <c r="G307" s="2"/>
      <c r="H307" s="2"/>
      <c r="I307" s="2"/>
      <c r="J307" s="2"/>
    </row>
    <row r="308" spans="2:10" x14ac:dyDescent="0.3">
      <c r="B308" s="2"/>
      <c r="C308" s="2"/>
      <c r="D308" s="2"/>
      <c r="E308" s="2"/>
      <c r="F308" s="2"/>
      <c r="G308" s="2"/>
      <c r="H308" s="2"/>
      <c r="I308" s="2"/>
      <c r="J308" s="2"/>
    </row>
    <row r="309" spans="2:10" x14ac:dyDescent="0.3">
      <c r="B309" s="2"/>
      <c r="C309" s="2"/>
      <c r="D309" s="2"/>
      <c r="E309" s="2"/>
      <c r="F309" s="2"/>
      <c r="G309" s="2"/>
      <c r="H309" s="2"/>
      <c r="I309" s="2"/>
      <c r="J309" s="2"/>
    </row>
    <row r="310" spans="2:10" x14ac:dyDescent="0.3">
      <c r="B310" s="2"/>
      <c r="C310" s="2"/>
      <c r="D310" s="2"/>
      <c r="E310" s="2"/>
      <c r="F310" s="2"/>
      <c r="G310" s="2"/>
      <c r="H310" s="2"/>
      <c r="I310" s="2"/>
      <c r="J310" s="2"/>
    </row>
    <row r="311" spans="2:10" x14ac:dyDescent="0.3">
      <c r="B311" s="2"/>
      <c r="C311" s="2"/>
      <c r="D311" s="2"/>
      <c r="E311" s="2"/>
      <c r="F311" s="2"/>
      <c r="G311" s="2"/>
      <c r="H311" s="2"/>
      <c r="I311" s="2"/>
      <c r="J311" s="2"/>
    </row>
    <row r="312" spans="2:10" x14ac:dyDescent="0.3">
      <c r="B312" s="2"/>
      <c r="C312" s="2"/>
      <c r="D312" s="2"/>
      <c r="E312" s="2"/>
      <c r="F312" s="2"/>
      <c r="G312" s="2"/>
      <c r="H312" s="2"/>
      <c r="I312" s="2"/>
      <c r="J312" s="2"/>
    </row>
    <row r="313" spans="2:10" x14ac:dyDescent="0.3">
      <c r="B313" s="2"/>
      <c r="C313" s="2"/>
      <c r="D313" s="2"/>
      <c r="E313" s="2"/>
      <c r="F313" s="2"/>
      <c r="G313" s="2"/>
      <c r="H313" s="2"/>
      <c r="I313" s="2"/>
      <c r="J313" s="2"/>
    </row>
    <row r="314" spans="2:10" x14ac:dyDescent="0.3">
      <c r="B314" s="2"/>
      <c r="C314" s="2"/>
      <c r="D314" s="2"/>
      <c r="E314" s="2"/>
      <c r="F314" s="2"/>
      <c r="G314" s="2"/>
      <c r="H314" s="2"/>
      <c r="I314" s="2"/>
      <c r="J314" s="2"/>
    </row>
    <row r="315" spans="2:10" x14ac:dyDescent="0.3">
      <c r="B315" s="2"/>
      <c r="C315" s="2"/>
      <c r="D315" s="2"/>
      <c r="E315" s="2"/>
      <c r="F315" s="2"/>
      <c r="G315" s="2"/>
      <c r="H315" s="2"/>
      <c r="I315" s="2"/>
      <c r="J315" s="2"/>
    </row>
    <row r="316" spans="2:10" x14ac:dyDescent="0.3">
      <c r="B316" s="2"/>
      <c r="C316" s="2"/>
      <c r="D316" s="2"/>
      <c r="E316" s="2"/>
      <c r="F316" s="2"/>
      <c r="G316" s="2"/>
      <c r="H316" s="2"/>
      <c r="I316" s="2"/>
      <c r="J316" s="2"/>
    </row>
    <row r="317" spans="2:10" x14ac:dyDescent="0.3">
      <c r="B317" s="2"/>
      <c r="C317" s="2"/>
      <c r="D317" s="2"/>
      <c r="E317" s="2"/>
      <c r="F317" s="2"/>
      <c r="G317" s="2"/>
      <c r="H317" s="2"/>
      <c r="I317" s="2"/>
      <c r="J317" s="2"/>
    </row>
    <row r="318" spans="2:10" x14ac:dyDescent="0.3">
      <c r="B318" s="2"/>
      <c r="C318" s="2"/>
      <c r="D318" s="2"/>
      <c r="E318" s="2"/>
      <c r="F318" s="2"/>
      <c r="G318" s="2"/>
      <c r="H318" s="2"/>
      <c r="I318" s="2"/>
      <c r="J318" s="2"/>
    </row>
    <row r="319" spans="2:10" x14ac:dyDescent="0.3">
      <c r="B319" s="2"/>
      <c r="C319" s="2"/>
      <c r="D319" s="2"/>
      <c r="E319" s="2"/>
      <c r="F319" s="2"/>
      <c r="G319" s="2"/>
      <c r="H319" s="2"/>
      <c r="I319" s="2"/>
      <c r="J319" s="2"/>
    </row>
    <row r="320" spans="2:10" x14ac:dyDescent="0.3">
      <c r="B320" s="2"/>
      <c r="C320" s="2"/>
      <c r="D320" s="2"/>
      <c r="E320" s="2"/>
      <c r="F320" s="2"/>
      <c r="G320" s="2"/>
      <c r="H320" s="2"/>
      <c r="I320" s="2"/>
      <c r="J320" s="2"/>
    </row>
    <row r="321" spans="2:10" x14ac:dyDescent="0.3">
      <c r="B321" s="2"/>
      <c r="C321" s="2"/>
      <c r="D321" s="2"/>
      <c r="E321" s="2"/>
      <c r="F321" s="2"/>
      <c r="G321" s="2"/>
      <c r="H321" s="2"/>
      <c r="I321" s="2"/>
      <c r="J321" s="2"/>
    </row>
    <row r="322" spans="2:10" x14ac:dyDescent="0.3">
      <c r="B322" s="2"/>
      <c r="C322" s="2"/>
      <c r="D322" s="2"/>
      <c r="E322" s="2"/>
      <c r="F322" s="2"/>
      <c r="G322" s="2"/>
      <c r="H322" s="2"/>
      <c r="I322" s="2"/>
      <c r="J322" s="2"/>
    </row>
    <row r="323" spans="2:10" x14ac:dyDescent="0.3">
      <c r="B323" s="2"/>
      <c r="C323" s="2"/>
      <c r="D323" s="2"/>
      <c r="E323" s="2"/>
      <c r="F323" s="2"/>
      <c r="G323" s="2"/>
      <c r="H323" s="2"/>
      <c r="I323" s="2"/>
      <c r="J323" s="2"/>
    </row>
    <row r="324" spans="2:10" x14ac:dyDescent="0.3">
      <c r="B324" s="2"/>
      <c r="C324" s="2"/>
      <c r="D324" s="2"/>
      <c r="E324" s="2"/>
      <c r="F324" s="2"/>
      <c r="G324" s="2"/>
      <c r="H324" s="2"/>
      <c r="I324" s="2"/>
      <c r="J324" s="2"/>
    </row>
    <row r="325" spans="2:10" x14ac:dyDescent="0.3">
      <c r="B325" s="2"/>
      <c r="C325" s="2"/>
      <c r="D325" s="2"/>
      <c r="E325" s="2"/>
      <c r="F325" s="2"/>
      <c r="G325" s="2"/>
      <c r="H325" s="2"/>
      <c r="I325" s="2"/>
      <c r="J325" s="2"/>
    </row>
    <row r="326" spans="2:10" x14ac:dyDescent="0.3">
      <c r="B326" s="2"/>
      <c r="C326" s="2"/>
      <c r="D326" s="2"/>
      <c r="E326" s="2"/>
      <c r="F326" s="2"/>
      <c r="G326" s="2"/>
      <c r="H326" s="2"/>
      <c r="I326" s="2"/>
      <c r="J326" s="2"/>
    </row>
    <row r="327" spans="2:10" x14ac:dyDescent="0.3">
      <c r="B327" s="2"/>
      <c r="C327" s="2"/>
      <c r="D327" s="2"/>
      <c r="E327" s="2"/>
      <c r="F327" s="2"/>
      <c r="G327" s="2"/>
      <c r="H327" s="2"/>
      <c r="I327" s="2"/>
      <c r="J327" s="2"/>
    </row>
    <row r="328" spans="2:10" x14ac:dyDescent="0.3">
      <c r="B328" s="2"/>
      <c r="C328" s="2"/>
      <c r="D328" s="2"/>
      <c r="E328" s="2"/>
      <c r="F328" s="2"/>
      <c r="G328" s="2"/>
      <c r="H328" s="2"/>
      <c r="I328" s="2"/>
      <c r="J328" s="2"/>
    </row>
    <row r="329" spans="2:10" x14ac:dyDescent="0.3">
      <c r="B329" s="2"/>
      <c r="C329" s="2"/>
      <c r="D329" s="2"/>
      <c r="E329" s="2"/>
      <c r="F329" s="2"/>
      <c r="G329" s="2"/>
      <c r="H329" s="2"/>
      <c r="I329" s="2"/>
      <c r="J329" s="2"/>
    </row>
    <row r="330" spans="2:10" x14ac:dyDescent="0.3">
      <c r="B330" s="2"/>
      <c r="C330" s="2"/>
      <c r="D330" s="2"/>
      <c r="E330" s="2"/>
      <c r="F330" s="2"/>
      <c r="G330" s="2"/>
      <c r="H330" s="2"/>
      <c r="I330" s="2"/>
      <c r="J330" s="2"/>
    </row>
    <row r="331" spans="2:10" x14ac:dyDescent="0.3">
      <c r="B331" s="2"/>
      <c r="C331" s="2"/>
      <c r="D331" s="2"/>
      <c r="E331" s="2"/>
      <c r="F331" s="2"/>
      <c r="G331" s="2"/>
      <c r="H331" s="2"/>
      <c r="I331" s="2"/>
      <c r="J331" s="2"/>
    </row>
    <row r="332" spans="2:10" x14ac:dyDescent="0.3">
      <c r="B332" s="2"/>
      <c r="C332" s="2"/>
      <c r="D332" s="2"/>
      <c r="E332" s="2"/>
      <c r="F332" s="2"/>
      <c r="G332" s="2"/>
      <c r="H332" s="2"/>
      <c r="I332" s="2"/>
      <c r="J332" s="2"/>
    </row>
    <row r="333" spans="2:10" x14ac:dyDescent="0.3">
      <c r="B333" s="2"/>
      <c r="C333" s="2"/>
      <c r="D333" s="2"/>
      <c r="E333" s="2"/>
      <c r="F333" s="2"/>
      <c r="G333" s="2"/>
      <c r="H333" s="2"/>
      <c r="I333" s="2"/>
      <c r="J333" s="2"/>
    </row>
    <row r="334" spans="2:10" x14ac:dyDescent="0.3">
      <c r="B334" s="2"/>
      <c r="C334" s="2"/>
      <c r="D334" s="2"/>
      <c r="E334" s="2"/>
      <c r="F334" s="2"/>
      <c r="G334" s="2"/>
      <c r="H334" s="2"/>
      <c r="I334" s="2"/>
      <c r="J334" s="2"/>
    </row>
    <row r="335" spans="2:10" x14ac:dyDescent="0.3">
      <c r="B335" s="2"/>
      <c r="C335" s="2"/>
      <c r="D335" s="2"/>
      <c r="E335" s="2"/>
      <c r="F335" s="2"/>
      <c r="G335" s="2"/>
      <c r="H335" s="2"/>
      <c r="I335" s="2"/>
      <c r="J335" s="2"/>
    </row>
    <row r="336" spans="2:10" x14ac:dyDescent="0.3">
      <c r="B336" s="2"/>
      <c r="C336" s="2"/>
      <c r="D336" s="2"/>
      <c r="E336" s="2"/>
      <c r="F336" s="2"/>
      <c r="G336" s="2"/>
      <c r="H336" s="2"/>
      <c r="I336" s="2"/>
      <c r="J336" s="2"/>
    </row>
    <row r="337" spans="2:10" x14ac:dyDescent="0.3">
      <c r="B337" s="2"/>
      <c r="C337" s="2"/>
      <c r="D337" s="2"/>
      <c r="E337" s="2"/>
      <c r="F337" s="2"/>
      <c r="G337" s="2"/>
      <c r="H337" s="2"/>
      <c r="I337" s="2"/>
      <c r="J337" s="2"/>
    </row>
    <row r="338" spans="2:10" x14ac:dyDescent="0.3">
      <c r="B338" s="2"/>
      <c r="C338" s="2"/>
      <c r="D338" s="2"/>
      <c r="E338" s="2"/>
      <c r="F338" s="2"/>
      <c r="G338" s="2"/>
      <c r="H338" s="2"/>
      <c r="I338" s="2"/>
      <c r="J338" s="2"/>
    </row>
    <row r="339" spans="2:10" x14ac:dyDescent="0.3">
      <c r="B339" s="2"/>
      <c r="C339" s="2"/>
      <c r="D339" s="2"/>
      <c r="E339" s="2"/>
      <c r="F339" s="2"/>
      <c r="G339" s="2"/>
      <c r="H339" s="2"/>
      <c r="I339" s="2"/>
      <c r="J339" s="2"/>
    </row>
    <row r="340" spans="2:10" x14ac:dyDescent="0.3">
      <c r="B340" s="2"/>
      <c r="C340" s="2"/>
      <c r="D340" s="2"/>
      <c r="E340" s="2"/>
      <c r="F340" s="2"/>
      <c r="G340" s="2"/>
      <c r="H340" s="2"/>
      <c r="I340" s="2"/>
      <c r="J340" s="2"/>
    </row>
    <row r="341" spans="2:10" x14ac:dyDescent="0.3">
      <c r="B341" s="2"/>
      <c r="C341" s="2"/>
      <c r="D341" s="2"/>
      <c r="E341" s="2"/>
      <c r="F341" s="2"/>
      <c r="G341" s="2"/>
      <c r="H341" s="2"/>
      <c r="I341" s="2"/>
      <c r="J341" s="2"/>
    </row>
    <row r="342" spans="2:10" x14ac:dyDescent="0.3">
      <c r="B342" s="2"/>
      <c r="C342" s="2"/>
      <c r="D342" s="2"/>
      <c r="E342" s="2"/>
      <c r="F342" s="2"/>
      <c r="G342" s="2"/>
      <c r="H342" s="2"/>
      <c r="I342" s="2"/>
      <c r="J342" s="2"/>
    </row>
    <row r="343" spans="2:10" x14ac:dyDescent="0.3">
      <c r="B343" s="2"/>
      <c r="C343" s="2"/>
      <c r="D343" s="2"/>
      <c r="E343" s="2"/>
      <c r="F343" s="2"/>
      <c r="G343" s="2"/>
      <c r="H343" s="2"/>
      <c r="I343" s="2"/>
      <c r="J343" s="2"/>
    </row>
    <row r="344" spans="2:10" x14ac:dyDescent="0.3">
      <c r="B344" s="2"/>
      <c r="C344" s="2"/>
      <c r="D344" s="2"/>
      <c r="E344" s="2"/>
      <c r="F344" s="2"/>
      <c r="G344" s="2"/>
      <c r="H344" s="2"/>
      <c r="I344" s="2"/>
      <c r="J344" s="2"/>
    </row>
    <row r="345" spans="2:10" x14ac:dyDescent="0.3">
      <c r="B345" s="2"/>
      <c r="C345" s="2"/>
      <c r="D345" s="2"/>
      <c r="E345" s="2"/>
      <c r="F345" s="2"/>
      <c r="G345" s="2"/>
      <c r="H345" s="2"/>
      <c r="I345" s="2"/>
      <c r="J345" s="2"/>
    </row>
    <row r="346" spans="2:10" x14ac:dyDescent="0.3">
      <c r="B346" s="2"/>
      <c r="C346" s="2"/>
      <c r="D346" s="2"/>
      <c r="E346" s="2"/>
      <c r="F346" s="2"/>
      <c r="G346" s="2"/>
      <c r="H346" s="2"/>
      <c r="I346" s="2"/>
      <c r="J346" s="2"/>
    </row>
    <row r="347" spans="2:10" x14ac:dyDescent="0.3">
      <c r="B347" s="2"/>
      <c r="C347" s="2"/>
      <c r="D347" s="2"/>
      <c r="E347" s="2"/>
      <c r="F347" s="2"/>
      <c r="G347" s="2"/>
      <c r="H347" s="2"/>
      <c r="I347" s="2"/>
      <c r="J347" s="2"/>
    </row>
    <row r="348" spans="2:10" x14ac:dyDescent="0.3">
      <c r="B348" s="2"/>
      <c r="C348" s="2"/>
      <c r="D348" s="2"/>
      <c r="E348" s="2"/>
      <c r="F348" s="2"/>
      <c r="G348" s="2"/>
      <c r="H348" s="2"/>
      <c r="I348" s="2"/>
      <c r="J348" s="2"/>
    </row>
    <row r="349" spans="2:10" x14ac:dyDescent="0.3">
      <c r="B349" s="2"/>
      <c r="C349" s="2"/>
      <c r="D349" s="2"/>
      <c r="E349" s="2"/>
      <c r="F349" s="2"/>
      <c r="G349" s="2"/>
      <c r="H349" s="2"/>
      <c r="I349" s="2"/>
      <c r="J349" s="2"/>
    </row>
    <row r="350" spans="2:10" x14ac:dyDescent="0.3">
      <c r="B350" s="2"/>
      <c r="C350" s="2"/>
      <c r="D350" s="2"/>
      <c r="E350" s="2"/>
      <c r="F350" s="2"/>
      <c r="G350" s="2"/>
      <c r="H350" s="2"/>
      <c r="I350" s="2"/>
      <c r="J350" s="2"/>
    </row>
    <row r="351" spans="2:10" x14ac:dyDescent="0.3">
      <c r="B351" s="2"/>
      <c r="C351" s="2"/>
      <c r="D351" s="2"/>
      <c r="E351" s="2"/>
      <c r="F351" s="2"/>
      <c r="G351" s="2"/>
      <c r="H351" s="2"/>
      <c r="I351" s="2"/>
      <c r="J351" s="2"/>
    </row>
    <row r="352" spans="2:10" x14ac:dyDescent="0.3">
      <c r="B352" s="2"/>
      <c r="C352" s="2"/>
      <c r="D352" s="2"/>
      <c r="E352" s="2"/>
      <c r="F352" s="2"/>
      <c r="G352" s="2"/>
      <c r="H352" s="2"/>
      <c r="I352" s="2"/>
      <c r="J352" s="2"/>
    </row>
    <row r="353" spans="2:10" x14ac:dyDescent="0.3">
      <c r="B353" s="2"/>
      <c r="C353" s="2"/>
      <c r="D353" s="2"/>
      <c r="E353" s="2"/>
      <c r="F353" s="2"/>
      <c r="G353" s="2"/>
      <c r="H353" s="2"/>
      <c r="I353" s="2"/>
      <c r="J353" s="2"/>
    </row>
    <row r="354" spans="2:10" x14ac:dyDescent="0.3">
      <c r="B354" s="2"/>
      <c r="C354" s="2"/>
      <c r="D354" s="2"/>
      <c r="E354" s="2"/>
      <c r="F354" s="2"/>
      <c r="G354" s="2"/>
      <c r="H354" s="2"/>
      <c r="I354" s="2"/>
      <c r="J354" s="2"/>
    </row>
    <row r="355" spans="2:10" x14ac:dyDescent="0.3">
      <c r="B355" s="2"/>
      <c r="C355" s="2"/>
      <c r="D355" s="2"/>
      <c r="E355" s="2"/>
      <c r="F355" s="2"/>
      <c r="G355" s="2"/>
      <c r="H355" s="2"/>
      <c r="I355" s="2"/>
      <c r="J355" s="2"/>
    </row>
    <row r="356" spans="2:10" x14ac:dyDescent="0.3">
      <c r="B356" s="2"/>
      <c r="C356" s="2"/>
      <c r="D356" s="2"/>
      <c r="E356" s="2"/>
      <c r="F356" s="2"/>
      <c r="G356" s="2"/>
      <c r="H356" s="2"/>
      <c r="I356" s="2"/>
      <c r="J356" s="2"/>
    </row>
    <row r="357" spans="2:10" x14ac:dyDescent="0.3">
      <c r="B357" s="2"/>
      <c r="C357" s="2"/>
      <c r="D357" s="2"/>
      <c r="E357" s="2"/>
      <c r="F357" s="2"/>
      <c r="G357" s="2"/>
      <c r="H357" s="2"/>
      <c r="I357" s="2"/>
      <c r="J357" s="2"/>
    </row>
    <row r="358" spans="2:10" x14ac:dyDescent="0.3">
      <c r="B358" s="2"/>
      <c r="C358" s="2"/>
      <c r="D358" s="2"/>
      <c r="E358" s="2"/>
      <c r="F358" s="2"/>
      <c r="G358" s="2"/>
      <c r="H358" s="2"/>
      <c r="I358" s="2"/>
      <c r="J358" s="2"/>
    </row>
  </sheetData>
  <phoneticPr fontId="1" type="noConversion"/>
  <conditionalFormatting sqref="B1:B34 B44:B1048576">
    <cfRule type="duplicateValues" dxfId="11" priority="4"/>
  </conditionalFormatting>
  <conditionalFormatting sqref="B35:B43">
    <cfRule type="duplicateValues" dxfId="10" priority="3"/>
  </conditionalFormatting>
  <conditionalFormatting sqref="E3:E358">
    <cfRule type="containsText" dxfId="9" priority="5" operator="containsText" text="소형">
      <formula>NOT(ISERROR(SEARCH("소형",E3)))</formula>
    </cfRule>
    <cfRule type="containsText" dxfId="8" priority="6" operator="containsText" text="일반">
      <formula>NOT(ISERROR(SEARCH("일반",E3)))</formula>
    </cfRule>
    <cfRule type="containsText" dxfId="7" priority="7" operator="containsText" text="중간">
      <formula>NOT(ISERROR(SEARCH("중간",E3)))</formula>
    </cfRule>
    <cfRule type="containsText" dxfId="6" priority="8" operator="containsText" text="보스">
      <formula>NOT(ISERROR(SEARCH("보스",E3)))</formula>
    </cfRule>
  </conditionalFormatting>
  <conditionalFormatting sqref="G3:G358">
    <cfRule type="containsText" dxfId="5" priority="11" operator="containsText" text="Support">
      <formula>NOT(ISERROR(SEARCH("Support",G3)))</formula>
    </cfRule>
    <cfRule type="containsText" dxfId="4" priority="12" operator="containsText" text="Ranger">
      <formula>NOT(ISERROR(SEARCH("Ranger",G3)))</formula>
    </cfRule>
    <cfRule type="containsText" dxfId="3" priority="13" operator="containsText" text="Attacker">
      <formula>NOT(ISERROR(SEARCH("Attacker",G3)))</formula>
    </cfRule>
    <cfRule type="containsText" dxfId="2" priority="14" operator="containsText" text="Tanker">
      <formula>NOT(ISERROR(SEARCH("Tanker",G3)))</formula>
    </cfRule>
  </conditionalFormatting>
  <conditionalFormatting sqref="H3:I358">
    <cfRule type="cellIs" dxfId="1" priority="9" operator="equal">
      <formula>"원거리"</formula>
    </cfRule>
    <cfRule type="containsText" dxfId="0" priority="10" operator="containsText" text="근거리">
      <formula>NOT(ISERROR(SEARCH("근거리",H3)))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00"/>
  <sheetViews>
    <sheetView workbookViewId="0">
      <selection activeCell="F26" sqref="F26"/>
    </sheetView>
  </sheetViews>
  <sheetFormatPr defaultRowHeight="16.5" x14ac:dyDescent="0.3"/>
  <cols>
    <col min="1" max="1" width="15.625" bestFit="1" customWidth="1"/>
    <col min="2" max="2" width="11.625" bestFit="1" customWidth="1"/>
    <col min="3" max="3" width="17.375" bestFit="1" customWidth="1"/>
    <col min="4" max="4" width="6.75" bestFit="1" customWidth="1"/>
  </cols>
  <sheetData>
    <row r="1" spans="1:4" x14ac:dyDescent="0.3">
      <c r="A1" t="s">
        <v>2</v>
      </c>
      <c r="B1" t="s">
        <v>1821</v>
      </c>
      <c r="C1" t="s">
        <v>1451</v>
      </c>
      <c r="D1" t="s">
        <v>1808</v>
      </c>
    </row>
    <row r="2" spans="1:4" x14ac:dyDescent="0.3">
      <c r="A2" t="s">
        <v>1452</v>
      </c>
      <c r="B2">
        <v>1010000000</v>
      </c>
      <c r="C2">
        <v>600</v>
      </c>
      <c r="D2">
        <f>IF(쿼리1[[#This Row],[Value.Duration]]/100&lt;=10,10,ROUND(쿼리1[[#This Row],[Value.Duration]]/100*0.7,-1))</f>
        <v>10</v>
      </c>
    </row>
    <row r="3" spans="1:4" x14ac:dyDescent="0.3">
      <c r="A3" t="s">
        <v>2115</v>
      </c>
      <c r="B3">
        <v>1010910001</v>
      </c>
      <c r="C3">
        <v>666</v>
      </c>
      <c r="D3">
        <f>IF(쿼리1[[#This Row],[Value.Duration]]/100&lt;=10,10,ROUND(쿼리1[[#This Row],[Value.Duration]]/100*0.7,-1))</f>
        <v>10</v>
      </c>
    </row>
    <row r="4" spans="1:4" x14ac:dyDescent="0.3">
      <c r="A4" t="s">
        <v>1453</v>
      </c>
      <c r="B4">
        <v>1010910002</v>
      </c>
      <c r="C4">
        <v>533</v>
      </c>
      <c r="D4">
        <f>IF(쿼리1[[#This Row],[Value.Duration]]/100&lt;=10,10,ROUND(쿼리1[[#This Row],[Value.Duration]]/100*0.7,-1))</f>
        <v>10</v>
      </c>
    </row>
    <row r="5" spans="1:4" x14ac:dyDescent="0.3">
      <c r="A5" t="s">
        <v>1454</v>
      </c>
      <c r="B5">
        <v>1010710001</v>
      </c>
      <c r="C5">
        <v>666</v>
      </c>
      <c r="D5">
        <f>IF(쿼리1[[#This Row],[Value.Duration]]/100&lt;=10,10,ROUND(쿼리1[[#This Row],[Value.Duration]]/100*0.7,-1))</f>
        <v>10</v>
      </c>
    </row>
    <row r="6" spans="1:4" x14ac:dyDescent="0.3">
      <c r="A6" t="s">
        <v>1455</v>
      </c>
      <c r="B6">
        <v>1010710002</v>
      </c>
      <c r="C6">
        <v>566</v>
      </c>
      <c r="D6">
        <f>IF(쿼리1[[#This Row],[Value.Duration]]/100&lt;=10,10,ROUND(쿼리1[[#This Row],[Value.Duration]]/100*0.7,-1))</f>
        <v>10</v>
      </c>
    </row>
    <row r="7" spans="1:4" x14ac:dyDescent="0.3">
      <c r="A7" t="s">
        <v>1456</v>
      </c>
      <c r="B7">
        <v>1010710003</v>
      </c>
      <c r="C7">
        <v>800</v>
      </c>
      <c r="D7">
        <f>IF(쿼리1[[#This Row],[Value.Duration]]/100&lt;=10,10,ROUND(쿼리1[[#This Row],[Value.Duration]]/100*0.7,-1))</f>
        <v>10</v>
      </c>
    </row>
    <row r="8" spans="1:4" x14ac:dyDescent="0.3">
      <c r="A8" t="s">
        <v>1457</v>
      </c>
      <c r="B8">
        <v>1010510001</v>
      </c>
      <c r="C8">
        <v>600</v>
      </c>
      <c r="D8">
        <f>IF(쿼리1[[#This Row],[Value.Duration]]/100&lt;=10,10,ROUND(쿼리1[[#This Row],[Value.Duration]]/100*0.7,-1))</f>
        <v>10</v>
      </c>
    </row>
    <row r="9" spans="1:4" x14ac:dyDescent="0.3">
      <c r="A9" t="s">
        <v>1458</v>
      </c>
      <c r="B9">
        <v>1010510002</v>
      </c>
      <c r="C9">
        <v>666</v>
      </c>
      <c r="D9">
        <f>IF(쿼리1[[#This Row],[Value.Duration]]/100&lt;=10,10,ROUND(쿼리1[[#This Row],[Value.Duration]]/100*0.7,-1))</f>
        <v>10</v>
      </c>
    </row>
    <row r="10" spans="1:4" x14ac:dyDescent="0.3">
      <c r="A10" t="s">
        <v>1459</v>
      </c>
      <c r="B10">
        <v>1010310001</v>
      </c>
      <c r="C10">
        <v>600</v>
      </c>
      <c r="D10">
        <f>IF(쿼리1[[#This Row],[Value.Duration]]/100&lt;=10,10,ROUND(쿼리1[[#This Row],[Value.Duration]]/100*0.7,-1))</f>
        <v>10</v>
      </c>
    </row>
    <row r="11" spans="1:4" x14ac:dyDescent="0.3">
      <c r="A11" t="s">
        <v>2116</v>
      </c>
      <c r="B11">
        <v>1010210001</v>
      </c>
      <c r="C11">
        <v>600</v>
      </c>
      <c r="D11">
        <f>IF(쿼리1[[#This Row],[Value.Duration]]/100&lt;=10,10,ROUND(쿼리1[[#This Row],[Value.Duration]]/100*0.7,-1))</f>
        <v>10</v>
      </c>
    </row>
    <row r="12" spans="1:4" x14ac:dyDescent="0.3">
      <c r="A12" t="s">
        <v>1460</v>
      </c>
      <c r="B12">
        <v>1010920002</v>
      </c>
      <c r="C12">
        <v>600</v>
      </c>
      <c r="D12">
        <f>IF(쿼리1[[#This Row],[Value.Duration]]/100&lt;=10,10,ROUND(쿼리1[[#This Row],[Value.Duration]]/100*0.7,-1))</f>
        <v>10</v>
      </c>
    </row>
    <row r="13" spans="1:4" x14ac:dyDescent="0.3">
      <c r="A13" t="s">
        <v>1461</v>
      </c>
      <c r="B13">
        <v>1010920003</v>
      </c>
      <c r="C13">
        <v>600</v>
      </c>
      <c r="D13">
        <f>IF(쿼리1[[#This Row],[Value.Duration]]/100&lt;=10,10,ROUND(쿼리1[[#This Row],[Value.Duration]]/100*0.7,-1))</f>
        <v>10</v>
      </c>
    </row>
    <row r="14" spans="1:4" x14ac:dyDescent="0.3">
      <c r="A14" t="s">
        <v>1462</v>
      </c>
      <c r="B14">
        <v>1010920004</v>
      </c>
      <c r="C14">
        <v>800</v>
      </c>
      <c r="D14">
        <f>IF(쿼리1[[#This Row],[Value.Duration]]/100&lt;=10,10,ROUND(쿼리1[[#This Row],[Value.Duration]]/100*0.7,-1))</f>
        <v>10</v>
      </c>
    </row>
    <row r="15" spans="1:4" x14ac:dyDescent="0.3">
      <c r="A15" t="s">
        <v>1463</v>
      </c>
      <c r="B15">
        <v>1010920005</v>
      </c>
      <c r="C15">
        <v>666</v>
      </c>
      <c r="D15">
        <f>IF(쿼리1[[#This Row],[Value.Duration]]/100&lt;=10,10,ROUND(쿼리1[[#This Row],[Value.Duration]]/100*0.7,-1))</f>
        <v>10</v>
      </c>
    </row>
    <row r="16" spans="1:4" x14ac:dyDescent="0.3">
      <c r="A16" t="s">
        <v>2813</v>
      </c>
      <c r="B16">
        <v>1010920006</v>
      </c>
      <c r="C16">
        <v>733</v>
      </c>
      <c r="D16">
        <f>IF(쿼리1[[#This Row],[Value.Duration]]/100&lt;=10,10,ROUND(쿼리1[[#This Row],[Value.Duration]]/100*0.7,-1))</f>
        <v>10</v>
      </c>
    </row>
    <row r="17" spans="1:4" x14ac:dyDescent="0.3">
      <c r="A17" t="s">
        <v>1464</v>
      </c>
      <c r="B17">
        <v>1010720001</v>
      </c>
      <c r="C17">
        <v>666</v>
      </c>
      <c r="D17">
        <f>IF(쿼리1[[#This Row],[Value.Duration]]/100&lt;=10,10,ROUND(쿼리1[[#This Row],[Value.Duration]]/100*0.7,-1))</f>
        <v>10</v>
      </c>
    </row>
    <row r="18" spans="1:4" x14ac:dyDescent="0.3">
      <c r="A18" t="s">
        <v>1465</v>
      </c>
      <c r="B18">
        <v>1010720002</v>
      </c>
      <c r="C18">
        <v>533</v>
      </c>
      <c r="D18">
        <f>IF(쿼리1[[#This Row],[Value.Duration]]/100&lt;=10,10,ROUND(쿼리1[[#This Row],[Value.Duration]]/100*0.7,-1))</f>
        <v>10</v>
      </c>
    </row>
    <row r="19" spans="1:4" x14ac:dyDescent="0.3">
      <c r="A19" t="s">
        <v>1466</v>
      </c>
      <c r="B19">
        <v>1010720003</v>
      </c>
      <c r="C19">
        <v>466</v>
      </c>
      <c r="D19">
        <f>IF(쿼리1[[#This Row],[Value.Duration]]/100&lt;=10,10,ROUND(쿼리1[[#This Row],[Value.Duration]]/100*0.7,-1))</f>
        <v>10</v>
      </c>
    </row>
    <row r="20" spans="1:4" x14ac:dyDescent="0.3">
      <c r="A20" t="s">
        <v>1467</v>
      </c>
      <c r="B20">
        <v>1010720004</v>
      </c>
      <c r="C20">
        <v>666</v>
      </c>
      <c r="D20">
        <f>IF(쿼리1[[#This Row],[Value.Duration]]/100&lt;=10,10,ROUND(쿼리1[[#This Row],[Value.Duration]]/100*0.7,-1))</f>
        <v>10</v>
      </c>
    </row>
    <row r="21" spans="1:4" x14ac:dyDescent="0.3">
      <c r="A21" t="s">
        <v>1468</v>
      </c>
      <c r="B21">
        <v>1010720005</v>
      </c>
      <c r="C21">
        <v>533</v>
      </c>
      <c r="D21">
        <f>IF(쿼리1[[#This Row],[Value.Duration]]/100&lt;=10,10,ROUND(쿼리1[[#This Row],[Value.Duration]]/100*0.7,-1))</f>
        <v>10</v>
      </c>
    </row>
    <row r="22" spans="1:4" x14ac:dyDescent="0.3">
      <c r="A22" t="s">
        <v>1469</v>
      </c>
      <c r="B22">
        <v>1010720006</v>
      </c>
      <c r="C22">
        <v>600</v>
      </c>
      <c r="D22">
        <f>IF(쿼리1[[#This Row],[Value.Duration]]/100&lt;=10,10,ROUND(쿼리1[[#This Row],[Value.Duration]]/100*0.7,-1))</f>
        <v>10</v>
      </c>
    </row>
    <row r="23" spans="1:4" x14ac:dyDescent="0.3">
      <c r="A23" t="s">
        <v>1470</v>
      </c>
      <c r="B23">
        <v>1010720007</v>
      </c>
      <c r="C23">
        <v>533</v>
      </c>
      <c r="D23">
        <f>IF(쿼리1[[#This Row],[Value.Duration]]/100&lt;=10,10,ROUND(쿼리1[[#This Row],[Value.Duration]]/100*0.7,-1))</f>
        <v>10</v>
      </c>
    </row>
    <row r="24" spans="1:4" x14ac:dyDescent="0.3">
      <c r="A24" t="s">
        <v>1471</v>
      </c>
      <c r="B24">
        <v>1010520001</v>
      </c>
      <c r="C24">
        <v>666</v>
      </c>
      <c r="D24">
        <f>IF(쿼리1[[#This Row],[Value.Duration]]/100&lt;=10,10,ROUND(쿼리1[[#This Row],[Value.Duration]]/100*0.7,-1))</f>
        <v>10</v>
      </c>
    </row>
    <row r="25" spans="1:4" x14ac:dyDescent="0.3">
      <c r="A25" t="s">
        <v>1472</v>
      </c>
      <c r="B25">
        <v>1010520002</v>
      </c>
      <c r="C25">
        <v>466</v>
      </c>
      <c r="D25">
        <f>IF(쿼리1[[#This Row],[Value.Duration]]/100&lt;=10,10,ROUND(쿼리1[[#This Row],[Value.Duration]]/100*0.7,-1))</f>
        <v>10</v>
      </c>
    </row>
    <row r="26" spans="1:4" x14ac:dyDescent="0.3">
      <c r="A26" t="s">
        <v>1473</v>
      </c>
      <c r="B26">
        <v>1010520003</v>
      </c>
      <c r="C26">
        <v>666</v>
      </c>
      <c r="D26">
        <f>IF(쿼리1[[#This Row],[Value.Duration]]/100&lt;=10,10,ROUND(쿼리1[[#This Row],[Value.Duration]]/100*0.7,-1))</f>
        <v>10</v>
      </c>
    </row>
    <row r="27" spans="1:4" x14ac:dyDescent="0.3">
      <c r="A27" t="s">
        <v>1474</v>
      </c>
      <c r="B27">
        <v>1010520004</v>
      </c>
      <c r="C27">
        <v>800</v>
      </c>
      <c r="D27">
        <f>IF(쿼리1[[#This Row],[Value.Duration]]/100&lt;=10,10,ROUND(쿼리1[[#This Row],[Value.Duration]]/100*0.7,-1))</f>
        <v>10</v>
      </c>
    </row>
    <row r="28" spans="1:4" x14ac:dyDescent="0.3">
      <c r="A28" t="s">
        <v>1475</v>
      </c>
      <c r="B28">
        <v>1010520005</v>
      </c>
      <c r="C28">
        <v>666</v>
      </c>
      <c r="D28">
        <f>IF(쿼리1[[#This Row],[Value.Duration]]/100&lt;=10,10,ROUND(쿼리1[[#This Row],[Value.Duration]]/100*0.7,-1))</f>
        <v>10</v>
      </c>
    </row>
    <row r="29" spans="1:4" x14ac:dyDescent="0.3">
      <c r="A29" t="s">
        <v>1476</v>
      </c>
      <c r="B29">
        <v>1010320001</v>
      </c>
      <c r="C29">
        <v>600</v>
      </c>
      <c r="D29">
        <f>IF(쿼리1[[#This Row],[Value.Duration]]/100&lt;=10,10,ROUND(쿼리1[[#This Row],[Value.Duration]]/100*0.7,-1))</f>
        <v>10</v>
      </c>
    </row>
    <row r="30" spans="1:4" x14ac:dyDescent="0.3">
      <c r="A30" t="s">
        <v>1477</v>
      </c>
      <c r="B30">
        <v>1010320002</v>
      </c>
      <c r="C30">
        <v>533</v>
      </c>
      <c r="D30">
        <f>IF(쿼리1[[#This Row],[Value.Duration]]/100&lt;=10,10,ROUND(쿼리1[[#This Row],[Value.Duration]]/100*0.7,-1))</f>
        <v>10</v>
      </c>
    </row>
    <row r="31" spans="1:4" x14ac:dyDescent="0.3">
      <c r="A31" t="s">
        <v>2117</v>
      </c>
      <c r="B31">
        <v>1010220001</v>
      </c>
      <c r="C31">
        <v>600</v>
      </c>
      <c r="D31">
        <f>IF(쿼리1[[#This Row],[Value.Duration]]/100&lt;=10,10,ROUND(쿼리1[[#This Row],[Value.Duration]]/100*0.7,-1))</f>
        <v>10</v>
      </c>
    </row>
    <row r="32" spans="1:4" x14ac:dyDescent="0.3">
      <c r="A32" t="s">
        <v>1478</v>
      </c>
      <c r="B32">
        <v>1010930001</v>
      </c>
      <c r="C32">
        <v>533</v>
      </c>
      <c r="D32">
        <f>IF(쿼리1[[#This Row],[Value.Duration]]/100&lt;=10,10,ROUND(쿼리1[[#This Row],[Value.Duration]]/100*0.7,-1))</f>
        <v>10</v>
      </c>
    </row>
    <row r="33" spans="1:4" x14ac:dyDescent="0.3">
      <c r="A33" t="s">
        <v>1479</v>
      </c>
      <c r="B33">
        <v>1010930002</v>
      </c>
      <c r="C33">
        <v>733</v>
      </c>
      <c r="D33">
        <f>IF(쿼리1[[#This Row],[Value.Duration]]/100&lt;=10,10,ROUND(쿼리1[[#This Row],[Value.Duration]]/100*0.7,-1))</f>
        <v>10</v>
      </c>
    </row>
    <row r="34" spans="1:4" x14ac:dyDescent="0.3">
      <c r="A34" t="s">
        <v>1480</v>
      </c>
      <c r="B34">
        <v>1010930003</v>
      </c>
      <c r="C34">
        <v>533</v>
      </c>
      <c r="D34">
        <f>IF(쿼리1[[#This Row],[Value.Duration]]/100&lt;=10,10,ROUND(쿼리1[[#This Row],[Value.Duration]]/100*0.7,-1))</f>
        <v>10</v>
      </c>
    </row>
    <row r="35" spans="1:4" x14ac:dyDescent="0.3">
      <c r="A35" t="s">
        <v>1481</v>
      </c>
      <c r="B35">
        <v>1010930004</v>
      </c>
      <c r="C35">
        <v>666</v>
      </c>
      <c r="D35">
        <f>IF(쿼리1[[#This Row],[Value.Duration]]/100&lt;=10,10,ROUND(쿼리1[[#This Row],[Value.Duration]]/100*0.7,-1))</f>
        <v>10</v>
      </c>
    </row>
    <row r="36" spans="1:4" x14ac:dyDescent="0.3">
      <c r="A36" t="s">
        <v>1482</v>
      </c>
      <c r="B36">
        <v>1010930005</v>
      </c>
      <c r="C36">
        <v>1066</v>
      </c>
      <c r="D36">
        <f>IF(쿼리1[[#This Row],[Value.Duration]]/100&lt;=10,10,ROUND(쿼리1[[#This Row],[Value.Duration]]/100*0.7,-1))</f>
        <v>10</v>
      </c>
    </row>
    <row r="37" spans="1:4" x14ac:dyDescent="0.3">
      <c r="A37" t="s">
        <v>1483</v>
      </c>
      <c r="B37">
        <v>1010730001</v>
      </c>
      <c r="C37">
        <v>533</v>
      </c>
      <c r="D37">
        <f>IF(쿼리1[[#This Row],[Value.Duration]]/100&lt;=10,10,ROUND(쿼리1[[#This Row],[Value.Duration]]/100*0.7,-1))</f>
        <v>10</v>
      </c>
    </row>
    <row r="38" spans="1:4" x14ac:dyDescent="0.3">
      <c r="A38" t="s">
        <v>1484</v>
      </c>
      <c r="B38">
        <v>1010730002</v>
      </c>
      <c r="C38">
        <v>600</v>
      </c>
      <c r="D38">
        <f>IF(쿼리1[[#This Row],[Value.Duration]]/100&lt;=10,10,ROUND(쿼리1[[#This Row],[Value.Duration]]/100*0.7,-1))</f>
        <v>10</v>
      </c>
    </row>
    <row r="39" spans="1:4" x14ac:dyDescent="0.3">
      <c r="A39" t="s">
        <v>1485</v>
      </c>
      <c r="B39">
        <v>1010730003</v>
      </c>
      <c r="C39">
        <v>666</v>
      </c>
      <c r="D39">
        <f>IF(쿼리1[[#This Row],[Value.Duration]]/100&lt;=10,10,ROUND(쿼리1[[#This Row],[Value.Duration]]/100*0.7,-1))</f>
        <v>10</v>
      </c>
    </row>
    <row r="40" spans="1:4" x14ac:dyDescent="0.3">
      <c r="A40" t="s">
        <v>1486</v>
      </c>
      <c r="B40">
        <v>1010730004</v>
      </c>
      <c r="C40">
        <v>666</v>
      </c>
      <c r="D40">
        <f>IF(쿼리1[[#This Row],[Value.Duration]]/100&lt;=10,10,ROUND(쿼리1[[#This Row],[Value.Duration]]/100*0.7,-1))</f>
        <v>10</v>
      </c>
    </row>
    <row r="41" spans="1:4" x14ac:dyDescent="0.3">
      <c r="A41" t="s">
        <v>1487</v>
      </c>
      <c r="B41">
        <v>1010730005</v>
      </c>
      <c r="C41">
        <v>533</v>
      </c>
      <c r="D41">
        <f>IF(쿼리1[[#This Row],[Value.Duration]]/100&lt;=10,10,ROUND(쿼리1[[#This Row],[Value.Duration]]/100*0.7,-1))</f>
        <v>10</v>
      </c>
    </row>
    <row r="42" spans="1:4" x14ac:dyDescent="0.3">
      <c r="A42" t="s">
        <v>1488</v>
      </c>
      <c r="B42">
        <v>1010530001</v>
      </c>
      <c r="C42">
        <v>666</v>
      </c>
      <c r="D42">
        <f>IF(쿼리1[[#This Row],[Value.Duration]]/100&lt;=10,10,ROUND(쿼리1[[#This Row],[Value.Duration]]/100*0.7,-1))</f>
        <v>10</v>
      </c>
    </row>
    <row r="43" spans="1:4" x14ac:dyDescent="0.3">
      <c r="A43" t="s">
        <v>1489</v>
      </c>
      <c r="B43">
        <v>1010530002</v>
      </c>
      <c r="C43">
        <v>600</v>
      </c>
      <c r="D43">
        <f>IF(쿼리1[[#This Row],[Value.Duration]]/100&lt;=10,10,ROUND(쿼리1[[#This Row],[Value.Duration]]/100*0.7,-1))</f>
        <v>10</v>
      </c>
    </row>
    <row r="44" spans="1:4" x14ac:dyDescent="0.3">
      <c r="A44" t="s">
        <v>1490</v>
      </c>
      <c r="B44">
        <v>1010530003</v>
      </c>
      <c r="C44">
        <v>533</v>
      </c>
      <c r="D44">
        <f>IF(쿼리1[[#This Row],[Value.Duration]]/100&lt;=10,10,ROUND(쿼리1[[#This Row],[Value.Duration]]/100*0.7,-1))</f>
        <v>10</v>
      </c>
    </row>
    <row r="45" spans="1:4" x14ac:dyDescent="0.3">
      <c r="A45" t="s">
        <v>1491</v>
      </c>
      <c r="B45">
        <v>1010530004</v>
      </c>
      <c r="C45">
        <v>533</v>
      </c>
      <c r="D45">
        <f>IF(쿼리1[[#This Row],[Value.Duration]]/100&lt;=10,10,ROUND(쿼리1[[#This Row],[Value.Duration]]/100*0.7,-1))</f>
        <v>10</v>
      </c>
    </row>
    <row r="46" spans="1:4" x14ac:dyDescent="0.3">
      <c r="A46" t="s">
        <v>1492</v>
      </c>
      <c r="B46">
        <v>1010330001</v>
      </c>
      <c r="C46">
        <v>600</v>
      </c>
      <c r="D46">
        <f>IF(쿼리1[[#This Row],[Value.Duration]]/100&lt;=10,10,ROUND(쿼리1[[#This Row],[Value.Duration]]/100*0.7,-1))</f>
        <v>10</v>
      </c>
    </row>
    <row r="47" spans="1:4" x14ac:dyDescent="0.3">
      <c r="A47" t="s">
        <v>1493</v>
      </c>
      <c r="B47">
        <v>1010330002</v>
      </c>
      <c r="C47">
        <v>533</v>
      </c>
      <c r="D47">
        <f>IF(쿼리1[[#This Row],[Value.Duration]]/100&lt;=10,10,ROUND(쿼리1[[#This Row],[Value.Duration]]/100*0.7,-1))</f>
        <v>10</v>
      </c>
    </row>
    <row r="48" spans="1:4" x14ac:dyDescent="0.3">
      <c r="A48" t="s">
        <v>2118</v>
      </c>
      <c r="B48">
        <v>1010230001</v>
      </c>
      <c r="C48">
        <v>600</v>
      </c>
      <c r="D48">
        <f>IF(쿼리1[[#This Row],[Value.Duration]]/100&lt;=10,10,ROUND(쿼리1[[#This Row],[Value.Duration]]/100*0.7,-1))</f>
        <v>10</v>
      </c>
    </row>
    <row r="49" spans="1:4" x14ac:dyDescent="0.3">
      <c r="A49" t="s">
        <v>1494</v>
      </c>
      <c r="B49">
        <v>1010940001</v>
      </c>
      <c r="C49">
        <v>633</v>
      </c>
      <c r="D49">
        <f>IF(쿼리1[[#This Row],[Value.Duration]]/100&lt;=10,10,ROUND(쿼리1[[#This Row],[Value.Duration]]/100*0.7,-1))</f>
        <v>10</v>
      </c>
    </row>
    <row r="50" spans="1:4" x14ac:dyDescent="0.3">
      <c r="A50" t="s">
        <v>1495</v>
      </c>
      <c r="B50">
        <v>1010940002</v>
      </c>
      <c r="C50">
        <v>600</v>
      </c>
      <c r="D50">
        <f>IF(쿼리1[[#This Row],[Value.Duration]]/100&lt;=10,10,ROUND(쿼리1[[#This Row],[Value.Duration]]/100*0.7,-1))</f>
        <v>10</v>
      </c>
    </row>
    <row r="51" spans="1:4" x14ac:dyDescent="0.3">
      <c r="A51" t="s">
        <v>1496</v>
      </c>
      <c r="B51">
        <v>1010940003</v>
      </c>
      <c r="C51">
        <v>666</v>
      </c>
      <c r="D51">
        <f>IF(쿼리1[[#This Row],[Value.Duration]]/100&lt;=10,10,ROUND(쿼리1[[#This Row],[Value.Duration]]/100*0.7,-1))</f>
        <v>10</v>
      </c>
    </row>
    <row r="52" spans="1:4" x14ac:dyDescent="0.3">
      <c r="A52" t="s">
        <v>1497</v>
      </c>
      <c r="B52">
        <v>1010740001</v>
      </c>
      <c r="C52">
        <v>666</v>
      </c>
      <c r="D52">
        <f>IF(쿼리1[[#This Row],[Value.Duration]]/100&lt;=10,10,ROUND(쿼리1[[#This Row],[Value.Duration]]/100*0.7,-1))</f>
        <v>10</v>
      </c>
    </row>
    <row r="53" spans="1:4" x14ac:dyDescent="0.3">
      <c r="A53" t="s">
        <v>1498</v>
      </c>
      <c r="B53">
        <v>1010740002</v>
      </c>
      <c r="C53">
        <v>733</v>
      </c>
      <c r="D53">
        <f>IF(쿼리1[[#This Row],[Value.Duration]]/100&lt;=10,10,ROUND(쿼리1[[#This Row],[Value.Duration]]/100*0.7,-1))</f>
        <v>10</v>
      </c>
    </row>
    <row r="54" spans="1:4" x14ac:dyDescent="0.3">
      <c r="A54" t="s">
        <v>2119</v>
      </c>
      <c r="B54">
        <v>1010540001</v>
      </c>
      <c r="C54">
        <v>666</v>
      </c>
      <c r="D54">
        <f>IF(쿼리1[[#This Row],[Value.Duration]]/100&lt;=10,10,ROUND(쿼리1[[#This Row],[Value.Duration]]/100*0.7,-1))</f>
        <v>10</v>
      </c>
    </row>
    <row r="55" spans="1:4" x14ac:dyDescent="0.3">
      <c r="A55" t="s">
        <v>1499</v>
      </c>
      <c r="B55">
        <v>1010340001</v>
      </c>
      <c r="C55">
        <v>533</v>
      </c>
      <c r="D55">
        <f>IF(쿼리1[[#This Row],[Value.Duration]]/100&lt;=10,10,ROUND(쿼리1[[#This Row],[Value.Duration]]/100*0.7,-1))</f>
        <v>10</v>
      </c>
    </row>
    <row r="56" spans="1:4" x14ac:dyDescent="0.3">
      <c r="A56" t="s">
        <v>2120</v>
      </c>
      <c r="B56">
        <v>1010240001</v>
      </c>
      <c r="C56">
        <v>666</v>
      </c>
      <c r="D56">
        <f>IF(쿼리1[[#This Row],[Value.Duration]]/100&lt;=10,10,ROUND(쿼리1[[#This Row],[Value.Duration]]/100*0.7,-1))</f>
        <v>10</v>
      </c>
    </row>
    <row r="57" spans="1:4" x14ac:dyDescent="0.3">
      <c r="A57" t="s">
        <v>1807</v>
      </c>
      <c r="B57">
        <v>1110002001</v>
      </c>
      <c r="C57">
        <v>533</v>
      </c>
      <c r="D57">
        <f>IF(쿼리1[[#This Row],[Value.Duration]]/100&lt;=10,10,ROUND(쿼리1[[#This Row],[Value.Duration]]/100*0.7,-1))</f>
        <v>10</v>
      </c>
    </row>
    <row r="58" spans="1:4" x14ac:dyDescent="0.3">
      <c r="A58" t="s">
        <v>2814</v>
      </c>
      <c r="B58">
        <v>1110002004</v>
      </c>
      <c r="C58">
        <v>466</v>
      </c>
      <c r="D58">
        <f>IF(쿼리1[[#This Row],[Value.Duration]]/100&lt;=10,10,ROUND(쿼리1[[#This Row],[Value.Duration]]/100*0.7,-1))</f>
        <v>10</v>
      </c>
    </row>
    <row r="59" spans="1:4" x14ac:dyDescent="0.3">
      <c r="A59" t="s">
        <v>1748</v>
      </c>
      <c r="B59">
        <v>1110101001</v>
      </c>
      <c r="C59">
        <v>600</v>
      </c>
      <c r="D59">
        <f>IF(쿼리1[[#This Row],[Value.Duration]]/100&lt;=10,10,ROUND(쿼리1[[#This Row],[Value.Duration]]/100*0.7,-1))</f>
        <v>10</v>
      </c>
    </row>
    <row r="60" spans="1:4" x14ac:dyDescent="0.3">
      <c r="A60" t="s">
        <v>1749</v>
      </c>
      <c r="B60">
        <v>1110101002</v>
      </c>
      <c r="C60">
        <v>600</v>
      </c>
      <c r="D60">
        <f>IF(쿼리1[[#This Row],[Value.Duration]]/100&lt;=10,10,ROUND(쿼리1[[#This Row],[Value.Duration]]/100*0.7,-1))</f>
        <v>10</v>
      </c>
    </row>
    <row r="61" spans="1:4" x14ac:dyDescent="0.3">
      <c r="A61" t="s">
        <v>1750</v>
      </c>
      <c r="B61">
        <v>1110101003</v>
      </c>
      <c r="C61">
        <v>533</v>
      </c>
      <c r="D61">
        <f>IF(쿼리1[[#This Row],[Value.Duration]]/100&lt;=10,10,ROUND(쿼리1[[#This Row],[Value.Duration]]/100*0.7,-1))</f>
        <v>10</v>
      </c>
    </row>
    <row r="62" spans="1:4" x14ac:dyDescent="0.3">
      <c r="A62" t="s">
        <v>1751</v>
      </c>
      <c r="B62">
        <v>1110101004</v>
      </c>
      <c r="C62">
        <v>1666</v>
      </c>
      <c r="D62">
        <f>IF(쿼리1[[#This Row],[Value.Duration]]/100&lt;=10,10,ROUND(쿼리1[[#This Row],[Value.Duration]]/100*0.7,-1))</f>
        <v>10</v>
      </c>
    </row>
    <row r="63" spans="1:4" x14ac:dyDescent="0.3">
      <c r="A63" t="s">
        <v>1752</v>
      </c>
      <c r="B63">
        <v>1110101005</v>
      </c>
      <c r="C63">
        <v>800</v>
      </c>
      <c r="D63">
        <f>IF(쿼리1[[#This Row],[Value.Duration]]/100&lt;=10,10,ROUND(쿼리1[[#This Row],[Value.Duration]]/100*0.7,-1))</f>
        <v>10</v>
      </c>
    </row>
    <row r="64" spans="1:4" x14ac:dyDescent="0.3">
      <c r="A64" t="s">
        <v>1753</v>
      </c>
      <c r="B64">
        <v>1110101006</v>
      </c>
      <c r="C64">
        <v>1666</v>
      </c>
      <c r="D64">
        <f>IF(쿼리1[[#This Row],[Value.Duration]]/100&lt;=10,10,ROUND(쿼리1[[#This Row],[Value.Duration]]/100*0.7,-1))</f>
        <v>10</v>
      </c>
    </row>
    <row r="65" spans="1:4" x14ac:dyDescent="0.3">
      <c r="A65" t="s">
        <v>1754</v>
      </c>
      <c r="B65">
        <v>1110101007</v>
      </c>
      <c r="C65">
        <v>1200</v>
      </c>
      <c r="D65">
        <f>IF(쿼리1[[#This Row],[Value.Duration]]/100&lt;=10,10,ROUND(쿼리1[[#This Row],[Value.Duration]]/100*0.7,-1))</f>
        <v>10</v>
      </c>
    </row>
    <row r="66" spans="1:4" x14ac:dyDescent="0.3">
      <c r="A66" t="s">
        <v>1815</v>
      </c>
      <c r="B66">
        <v>1110101008</v>
      </c>
      <c r="C66">
        <v>600</v>
      </c>
      <c r="D66">
        <f>IF(쿼리1[[#This Row],[Value.Duration]]/100&lt;=10,10,ROUND(쿼리1[[#This Row],[Value.Duration]]/100*0.7,-1))</f>
        <v>10</v>
      </c>
    </row>
    <row r="67" spans="1:4" x14ac:dyDescent="0.3">
      <c r="A67" t="s">
        <v>1816</v>
      </c>
      <c r="B67">
        <v>1110101009</v>
      </c>
      <c r="C67">
        <v>600</v>
      </c>
      <c r="D67">
        <f>IF(쿼리1[[#This Row],[Value.Duration]]/100&lt;=10,10,ROUND(쿼리1[[#This Row],[Value.Duration]]/100*0.7,-1))</f>
        <v>10</v>
      </c>
    </row>
    <row r="68" spans="1:4" x14ac:dyDescent="0.3">
      <c r="A68" t="s">
        <v>1817</v>
      </c>
      <c r="B68">
        <v>1110101010</v>
      </c>
      <c r="C68">
        <v>533</v>
      </c>
      <c r="D68">
        <f>IF(쿼리1[[#This Row],[Value.Duration]]/100&lt;=10,10,ROUND(쿼리1[[#This Row],[Value.Duration]]/100*0.7,-1))</f>
        <v>10</v>
      </c>
    </row>
    <row r="69" spans="1:4" x14ac:dyDescent="0.3">
      <c r="A69" t="s">
        <v>1818</v>
      </c>
      <c r="B69">
        <v>1110101011</v>
      </c>
      <c r="C69">
        <v>800</v>
      </c>
      <c r="D69">
        <f>IF(쿼리1[[#This Row],[Value.Duration]]/100&lt;=10,10,ROUND(쿼리1[[#This Row],[Value.Duration]]/100*0.7,-1))</f>
        <v>10</v>
      </c>
    </row>
    <row r="70" spans="1:4" x14ac:dyDescent="0.3">
      <c r="A70" t="s">
        <v>1819</v>
      </c>
      <c r="B70">
        <v>1110101012</v>
      </c>
      <c r="C70">
        <v>666</v>
      </c>
      <c r="D70">
        <f>IF(쿼리1[[#This Row],[Value.Duration]]/100&lt;=10,10,ROUND(쿼리1[[#This Row],[Value.Duration]]/100*0.7,-1))</f>
        <v>10</v>
      </c>
    </row>
    <row r="71" spans="1:4" x14ac:dyDescent="0.3">
      <c r="A71" t="s">
        <v>1820</v>
      </c>
      <c r="B71">
        <v>1110101013</v>
      </c>
      <c r="C71">
        <v>1200</v>
      </c>
      <c r="D71">
        <f>IF(쿼리1[[#This Row],[Value.Duration]]/100&lt;=10,10,ROUND(쿼리1[[#This Row],[Value.Duration]]/100*0.7,-1))</f>
        <v>10</v>
      </c>
    </row>
    <row r="72" spans="1:4" x14ac:dyDescent="0.3">
      <c r="A72" t="s">
        <v>1755</v>
      </c>
      <c r="B72">
        <v>1110001001</v>
      </c>
      <c r="C72">
        <v>533</v>
      </c>
      <c r="D72">
        <f>IF(쿼리1[[#This Row],[Value.Duration]]/100&lt;=10,10,ROUND(쿼리1[[#This Row],[Value.Duration]]/100*0.7,-1))</f>
        <v>10</v>
      </c>
    </row>
    <row r="73" spans="1:4" x14ac:dyDescent="0.3">
      <c r="A73" t="s">
        <v>1756</v>
      </c>
      <c r="B73">
        <v>1110001002</v>
      </c>
      <c r="C73">
        <v>600</v>
      </c>
      <c r="D73">
        <f>IF(쿼리1[[#This Row],[Value.Duration]]/100&lt;=10,10,ROUND(쿼리1[[#This Row],[Value.Duration]]/100*0.7,-1))</f>
        <v>10</v>
      </c>
    </row>
    <row r="74" spans="1:4" x14ac:dyDescent="0.3">
      <c r="A74" t="s">
        <v>1757</v>
      </c>
      <c r="B74">
        <v>1110001003</v>
      </c>
      <c r="C74">
        <v>666</v>
      </c>
      <c r="D74">
        <f>IF(쿼리1[[#This Row],[Value.Duration]]/100&lt;=10,10,ROUND(쿼리1[[#This Row],[Value.Duration]]/100*0.7,-1))</f>
        <v>10</v>
      </c>
    </row>
    <row r="75" spans="1:4" x14ac:dyDescent="0.3">
      <c r="A75" t="s">
        <v>1758</v>
      </c>
      <c r="B75">
        <v>1110001004</v>
      </c>
      <c r="C75">
        <v>1600</v>
      </c>
      <c r="D75">
        <f>IF(쿼리1[[#This Row],[Value.Duration]]/100&lt;=10,10,ROUND(쿼리1[[#This Row],[Value.Duration]]/100*0.7,-1))</f>
        <v>10</v>
      </c>
    </row>
    <row r="76" spans="1:4" x14ac:dyDescent="0.3">
      <c r="A76" t="s">
        <v>1759</v>
      </c>
      <c r="B76">
        <v>1110001005</v>
      </c>
      <c r="C76">
        <v>1600</v>
      </c>
      <c r="D76">
        <f>IF(쿼리1[[#This Row],[Value.Duration]]/100&lt;=10,10,ROUND(쿼리1[[#This Row],[Value.Duration]]/100*0.7,-1))</f>
        <v>10</v>
      </c>
    </row>
    <row r="77" spans="1:4" x14ac:dyDescent="0.3">
      <c r="A77" t="s">
        <v>1760</v>
      </c>
      <c r="B77">
        <v>1110701001</v>
      </c>
      <c r="C77">
        <v>600</v>
      </c>
      <c r="D77">
        <f>IF(쿼리1[[#This Row],[Value.Duration]]/100&lt;=10,10,ROUND(쿼리1[[#This Row],[Value.Duration]]/100*0.7,-1))</f>
        <v>10</v>
      </c>
    </row>
    <row r="78" spans="1:4" x14ac:dyDescent="0.3">
      <c r="A78" t="s">
        <v>1761</v>
      </c>
      <c r="B78">
        <v>1110701002</v>
      </c>
      <c r="C78">
        <v>600</v>
      </c>
      <c r="D78">
        <f>IF(쿼리1[[#This Row],[Value.Duration]]/100&lt;=10,10,ROUND(쿼리1[[#This Row],[Value.Duration]]/100*0.7,-1))</f>
        <v>10</v>
      </c>
    </row>
    <row r="79" spans="1:4" x14ac:dyDescent="0.3">
      <c r="A79" t="s">
        <v>1762</v>
      </c>
      <c r="B79">
        <v>1110701003</v>
      </c>
      <c r="C79">
        <v>533</v>
      </c>
      <c r="D79">
        <f>IF(쿼리1[[#This Row],[Value.Duration]]/100&lt;=10,10,ROUND(쿼리1[[#This Row],[Value.Duration]]/100*0.7,-1))</f>
        <v>10</v>
      </c>
    </row>
    <row r="80" spans="1:4" x14ac:dyDescent="0.3">
      <c r="A80" t="s">
        <v>1763</v>
      </c>
      <c r="B80">
        <v>1110701004</v>
      </c>
      <c r="C80">
        <v>600</v>
      </c>
      <c r="D80">
        <f>IF(쿼리1[[#This Row],[Value.Duration]]/100&lt;=10,10,ROUND(쿼리1[[#This Row],[Value.Duration]]/100*0.7,-1))</f>
        <v>10</v>
      </c>
    </row>
    <row r="81" spans="1:4" x14ac:dyDescent="0.3">
      <c r="A81" t="s">
        <v>1764</v>
      </c>
      <c r="B81">
        <v>1110701005</v>
      </c>
      <c r="C81">
        <v>533</v>
      </c>
      <c r="D81">
        <f>IF(쿼리1[[#This Row],[Value.Duration]]/100&lt;=10,10,ROUND(쿼리1[[#This Row],[Value.Duration]]/100*0.7,-1))</f>
        <v>10</v>
      </c>
    </row>
    <row r="82" spans="1:4" x14ac:dyDescent="0.3">
      <c r="A82" t="s">
        <v>1765</v>
      </c>
      <c r="B82">
        <v>1110701006</v>
      </c>
      <c r="C82">
        <v>600</v>
      </c>
      <c r="D82">
        <f>IF(쿼리1[[#This Row],[Value.Duration]]/100&lt;=10,10,ROUND(쿼리1[[#This Row],[Value.Duration]]/100*0.7,-1))</f>
        <v>10</v>
      </c>
    </row>
    <row r="83" spans="1:4" x14ac:dyDescent="0.3">
      <c r="A83" t="s">
        <v>1766</v>
      </c>
      <c r="B83">
        <v>1110701007</v>
      </c>
      <c r="C83">
        <v>666</v>
      </c>
      <c r="D83">
        <f>IF(쿼리1[[#This Row],[Value.Duration]]/100&lt;=10,10,ROUND(쿼리1[[#This Row],[Value.Duration]]/100*0.7,-1))</f>
        <v>10</v>
      </c>
    </row>
    <row r="84" spans="1:4" x14ac:dyDescent="0.3">
      <c r="A84" t="s">
        <v>1767</v>
      </c>
      <c r="B84">
        <v>1110701008</v>
      </c>
      <c r="C84">
        <v>533</v>
      </c>
      <c r="D84">
        <f>IF(쿼리1[[#This Row],[Value.Duration]]/100&lt;=10,10,ROUND(쿼리1[[#This Row],[Value.Duration]]/100*0.7,-1))</f>
        <v>10</v>
      </c>
    </row>
    <row r="85" spans="1:4" x14ac:dyDescent="0.3">
      <c r="A85" t="s">
        <v>1768</v>
      </c>
      <c r="B85">
        <v>1110701009</v>
      </c>
      <c r="C85">
        <v>600</v>
      </c>
      <c r="D85">
        <f>IF(쿼리1[[#This Row],[Value.Duration]]/100&lt;=10,10,ROUND(쿼리1[[#This Row],[Value.Duration]]/100*0.7,-1))</f>
        <v>10</v>
      </c>
    </row>
    <row r="86" spans="1:4" x14ac:dyDescent="0.3">
      <c r="A86" t="s">
        <v>1769</v>
      </c>
      <c r="B86">
        <v>1110701010</v>
      </c>
      <c r="C86">
        <v>666</v>
      </c>
      <c r="D86">
        <f>IF(쿼리1[[#This Row],[Value.Duration]]/100&lt;=10,10,ROUND(쿼리1[[#This Row],[Value.Duration]]/100*0.7,-1))</f>
        <v>10</v>
      </c>
    </row>
    <row r="87" spans="1:4" x14ac:dyDescent="0.3">
      <c r="A87" t="s">
        <v>1770</v>
      </c>
      <c r="B87">
        <v>1110701011</v>
      </c>
      <c r="C87">
        <v>800</v>
      </c>
      <c r="D87">
        <f>IF(쿼리1[[#This Row],[Value.Duration]]/100&lt;=10,10,ROUND(쿼리1[[#This Row],[Value.Duration]]/100*0.7,-1))</f>
        <v>10</v>
      </c>
    </row>
    <row r="88" spans="1:4" x14ac:dyDescent="0.3">
      <c r="A88" t="s">
        <v>1771</v>
      </c>
      <c r="B88">
        <v>1110701012</v>
      </c>
      <c r="C88">
        <v>666</v>
      </c>
      <c r="D88">
        <f>IF(쿼리1[[#This Row],[Value.Duration]]/100&lt;=10,10,ROUND(쿼리1[[#This Row],[Value.Duration]]/100*0.7,-1))</f>
        <v>10</v>
      </c>
    </row>
    <row r="89" spans="1:4" x14ac:dyDescent="0.3">
      <c r="A89" t="s">
        <v>1772</v>
      </c>
      <c r="B89">
        <v>1110701013</v>
      </c>
      <c r="C89">
        <v>666</v>
      </c>
      <c r="D89">
        <f>IF(쿼리1[[#This Row],[Value.Duration]]/100&lt;=10,10,ROUND(쿼리1[[#This Row],[Value.Duration]]/100*0.7,-1))</f>
        <v>10</v>
      </c>
    </row>
    <row r="90" spans="1:4" x14ac:dyDescent="0.3">
      <c r="A90" t="s">
        <v>1773</v>
      </c>
      <c r="B90">
        <v>1110701014</v>
      </c>
      <c r="C90">
        <v>533</v>
      </c>
      <c r="D90">
        <f>IF(쿼리1[[#This Row],[Value.Duration]]/100&lt;=10,10,ROUND(쿼리1[[#This Row],[Value.Duration]]/100*0.7,-1))</f>
        <v>10</v>
      </c>
    </row>
    <row r="91" spans="1:4" x14ac:dyDescent="0.3">
      <c r="A91" t="s">
        <v>1774</v>
      </c>
      <c r="B91">
        <v>1110701015</v>
      </c>
      <c r="C91">
        <v>533</v>
      </c>
      <c r="D91">
        <f>IF(쿼리1[[#This Row],[Value.Duration]]/100&lt;=10,10,ROUND(쿼리1[[#This Row],[Value.Duration]]/100*0.7,-1))</f>
        <v>10</v>
      </c>
    </row>
    <row r="92" spans="1:4" x14ac:dyDescent="0.3">
      <c r="A92" t="s">
        <v>1775</v>
      </c>
      <c r="B92">
        <v>1110701016</v>
      </c>
      <c r="C92">
        <v>533</v>
      </c>
      <c r="D92">
        <f>IF(쿼리1[[#This Row],[Value.Duration]]/100&lt;=10,10,ROUND(쿼리1[[#This Row],[Value.Duration]]/100*0.7,-1))</f>
        <v>10</v>
      </c>
    </row>
    <row r="93" spans="1:4" x14ac:dyDescent="0.3">
      <c r="A93" t="s">
        <v>1776</v>
      </c>
      <c r="B93">
        <v>1110701017</v>
      </c>
      <c r="C93">
        <v>666</v>
      </c>
      <c r="D93">
        <f>IF(쿼리1[[#This Row],[Value.Duration]]/100&lt;=10,10,ROUND(쿼리1[[#This Row],[Value.Duration]]/100*0.7,-1))</f>
        <v>10</v>
      </c>
    </row>
    <row r="94" spans="1:4" x14ac:dyDescent="0.3">
      <c r="A94" t="s">
        <v>1777</v>
      </c>
      <c r="B94">
        <v>1110701018</v>
      </c>
      <c r="C94">
        <v>533</v>
      </c>
      <c r="D94">
        <f>IF(쿼리1[[#This Row],[Value.Duration]]/100&lt;=10,10,ROUND(쿼리1[[#This Row],[Value.Duration]]/100*0.7,-1))</f>
        <v>10</v>
      </c>
    </row>
    <row r="95" spans="1:4" x14ac:dyDescent="0.3">
      <c r="A95" t="s">
        <v>1778</v>
      </c>
      <c r="B95">
        <v>1110701019</v>
      </c>
      <c r="C95">
        <v>666</v>
      </c>
      <c r="D95">
        <f>IF(쿼리1[[#This Row],[Value.Duration]]/100&lt;=10,10,ROUND(쿼리1[[#This Row],[Value.Duration]]/100*0.7,-1))</f>
        <v>10</v>
      </c>
    </row>
    <row r="96" spans="1:4" x14ac:dyDescent="0.3">
      <c r="A96" t="s">
        <v>1779</v>
      </c>
      <c r="B96">
        <v>1110701020</v>
      </c>
      <c r="C96">
        <v>1066</v>
      </c>
      <c r="D96">
        <f>IF(쿼리1[[#This Row],[Value.Duration]]/100&lt;=10,10,ROUND(쿼리1[[#This Row],[Value.Duration]]/100*0.7,-1))</f>
        <v>10</v>
      </c>
    </row>
    <row r="97" spans="1:4" x14ac:dyDescent="0.3">
      <c r="A97" t="s">
        <v>1780</v>
      </c>
      <c r="B97">
        <v>1110701021</v>
      </c>
      <c r="C97">
        <v>666</v>
      </c>
      <c r="D97">
        <f>IF(쿼리1[[#This Row],[Value.Duration]]/100&lt;=10,10,ROUND(쿼리1[[#This Row],[Value.Duration]]/100*0.7,-1))</f>
        <v>10</v>
      </c>
    </row>
    <row r="98" spans="1:4" x14ac:dyDescent="0.3">
      <c r="A98" t="s">
        <v>1781</v>
      </c>
      <c r="B98">
        <v>1110701022</v>
      </c>
      <c r="C98">
        <v>566</v>
      </c>
      <c r="D98">
        <f>IF(쿼리1[[#This Row],[Value.Duration]]/100&lt;=10,10,ROUND(쿼리1[[#This Row],[Value.Duration]]/100*0.7,-1))</f>
        <v>10</v>
      </c>
    </row>
    <row r="99" spans="1:4" x14ac:dyDescent="0.3">
      <c r="A99" t="s">
        <v>1782</v>
      </c>
      <c r="B99">
        <v>1110701023</v>
      </c>
      <c r="C99">
        <v>666</v>
      </c>
      <c r="D99">
        <f>IF(쿼리1[[#This Row],[Value.Duration]]/100&lt;=10,10,ROUND(쿼리1[[#This Row],[Value.Duration]]/100*0.7,-1))</f>
        <v>10</v>
      </c>
    </row>
    <row r="100" spans="1:4" x14ac:dyDescent="0.3">
      <c r="A100" t="s">
        <v>1783</v>
      </c>
      <c r="B100">
        <v>1110701024</v>
      </c>
      <c r="C100">
        <v>600</v>
      </c>
      <c r="D100">
        <f>IF(쿼리1[[#This Row],[Value.Duration]]/100&lt;=10,10,ROUND(쿼리1[[#This Row],[Value.Duration]]/100*0.7,-1))</f>
        <v>10</v>
      </c>
    </row>
    <row r="101" spans="1:4" x14ac:dyDescent="0.3">
      <c r="A101" t="s">
        <v>1784</v>
      </c>
      <c r="B101">
        <v>1110701025</v>
      </c>
      <c r="C101">
        <v>600</v>
      </c>
      <c r="D101">
        <f>IF(쿼리1[[#This Row],[Value.Duration]]/100&lt;=10,10,ROUND(쿼리1[[#This Row],[Value.Duration]]/100*0.7,-1))</f>
        <v>10</v>
      </c>
    </row>
    <row r="102" spans="1:4" x14ac:dyDescent="0.3">
      <c r="A102" t="s">
        <v>1785</v>
      </c>
      <c r="B102">
        <v>1110701026</v>
      </c>
      <c r="C102">
        <v>800</v>
      </c>
      <c r="D102">
        <f>IF(쿼리1[[#This Row],[Value.Duration]]/100&lt;=10,10,ROUND(쿼리1[[#This Row],[Value.Duration]]/100*0.7,-1))</f>
        <v>10</v>
      </c>
    </row>
    <row r="103" spans="1:4" x14ac:dyDescent="0.3">
      <c r="A103" t="s">
        <v>1786</v>
      </c>
      <c r="B103">
        <v>1110701027</v>
      </c>
      <c r="C103">
        <v>666</v>
      </c>
      <c r="D103">
        <f>IF(쿼리1[[#This Row],[Value.Duration]]/100&lt;=10,10,ROUND(쿼리1[[#This Row],[Value.Duration]]/100*0.7,-1))</f>
        <v>10</v>
      </c>
    </row>
    <row r="104" spans="1:4" x14ac:dyDescent="0.3">
      <c r="A104" t="s">
        <v>1787</v>
      </c>
      <c r="B104">
        <v>1110701028</v>
      </c>
      <c r="C104">
        <v>533</v>
      </c>
      <c r="D104">
        <f>IF(쿼리1[[#This Row],[Value.Duration]]/100&lt;=10,10,ROUND(쿼리1[[#This Row],[Value.Duration]]/100*0.7,-1))</f>
        <v>10</v>
      </c>
    </row>
    <row r="105" spans="1:4" x14ac:dyDescent="0.3">
      <c r="A105" t="s">
        <v>1788</v>
      </c>
      <c r="B105">
        <v>1110701029</v>
      </c>
      <c r="C105">
        <v>466</v>
      </c>
      <c r="D105">
        <f>IF(쿼리1[[#This Row],[Value.Duration]]/100&lt;=10,10,ROUND(쿼리1[[#This Row],[Value.Duration]]/100*0.7,-1))</f>
        <v>10</v>
      </c>
    </row>
    <row r="106" spans="1:4" x14ac:dyDescent="0.3">
      <c r="A106" t="s">
        <v>1789</v>
      </c>
      <c r="B106">
        <v>1110701030</v>
      </c>
      <c r="C106">
        <v>533</v>
      </c>
      <c r="D106">
        <f>IF(쿼리1[[#This Row],[Value.Duration]]/100&lt;=10,10,ROUND(쿼리1[[#This Row],[Value.Duration]]/100*0.7,-1))</f>
        <v>10</v>
      </c>
    </row>
    <row r="107" spans="1:4" x14ac:dyDescent="0.3">
      <c r="A107" t="s">
        <v>1790</v>
      </c>
      <c r="B107">
        <v>1110701031</v>
      </c>
      <c r="C107">
        <v>600</v>
      </c>
      <c r="D107">
        <f>IF(쿼리1[[#This Row],[Value.Duration]]/100&lt;=10,10,ROUND(쿼리1[[#This Row],[Value.Duration]]/100*0.7,-1))</f>
        <v>10</v>
      </c>
    </row>
    <row r="108" spans="1:4" x14ac:dyDescent="0.3">
      <c r="A108" t="s">
        <v>1791</v>
      </c>
      <c r="B108">
        <v>1110701032</v>
      </c>
      <c r="C108">
        <v>466</v>
      </c>
      <c r="D108">
        <f>IF(쿼리1[[#This Row],[Value.Duration]]/100&lt;=10,10,ROUND(쿼리1[[#This Row],[Value.Duration]]/100*0.7,-1))</f>
        <v>10</v>
      </c>
    </row>
    <row r="109" spans="1:4" x14ac:dyDescent="0.3">
      <c r="A109" t="s">
        <v>1792</v>
      </c>
      <c r="B109">
        <v>1110701033</v>
      </c>
      <c r="C109">
        <v>666</v>
      </c>
      <c r="D109">
        <f>IF(쿼리1[[#This Row],[Value.Duration]]/100&lt;=10,10,ROUND(쿼리1[[#This Row],[Value.Duration]]/100*0.7,-1))</f>
        <v>10</v>
      </c>
    </row>
    <row r="110" spans="1:4" x14ac:dyDescent="0.3">
      <c r="A110" t="s">
        <v>1793</v>
      </c>
      <c r="B110">
        <v>1110701034</v>
      </c>
      <c r="C110">
        <v>800</v>
      </c>
      <c r="D110">
        <f>IF(쿼리1[[#This Row],[Value.Duration]]/100&lt;=10,10,ROUND(쿼리1[[#This Row],[Value.Duration]]/100*0.7,-1))</f>
        <v>10</v>
      </c>
    </row>
    <row r="111" spans="1:4" x14ac:dyDescent="0.3">
      <c r="A111" t="s">
        <v>1794</v>
      </c>
      <c r="B111">
        <v>1110701035</v>
      </c>
      <c r="C111">
        <v>666</v>
      </c>
      <c r="D111">
        <f>IF(쿼리1[[#This Row],[Value.Duration]]/100&lt;=10,10,ROUND(쿼리1[[#This Row],[Value.Duration]]/100*0.7,-1))</f>
        <v>10</v>
      </c>
    </row>
    <row r="112" spans="1:4" x14ac:dyDescent="0.3">
      <c r="A112" t="s">
        <v>1795</v>
      </c>
      <c r="B112">
        <v>1110701036</v>
      </c>
      <c r="C112">
        <v>533</v>
      </c>
      <c r="D112">
        <f>IF(쿼리1[[#This Row],[Value.Duration]]/100&lt;=10,10,ROUND(쿼리1[[#This Row],[Value.Duration]]/100*0.7,-1))</f>
        <v>10</v>
      </c>
    </row>
    <row r="113" spans="1:4" x14ac:dyDescent="0.3">
      <c r="A113" t="s">
        <v>1796</v>
      </c>
      <c r="B113">
        <v>1110701037</v>
      </c>
      <c r="C113">
        <v>533</v>
      </c>
      <c r="D113">
        <f>IF(쿼리1[[#This Row],[Value.Duration]]/100&lt;=10,10,ROUND(쿼리1[[#This Row],[Value.Duration]]/100*0.7,-1))</f>
        <v>10</v>
      </c>
    </row>
    <row r="114" spans="1:4" x14ac:dyDescent="0.3">
      <c r="A114" t="s">
        <v>1797</v>
      </c>
      <c r="B114">
        <v>1110701038</v>
      </c>
      <c r="C114">
        <v>733</v>
      </c>
      <c r="D114">
        <f>IF(쿼리1[[#This Row],[Value.Duration]]/100&lt;=10,10,ROUND(쿼리1[[#This Row],[Value.Duration]]/100*0.7,-1))</f>
        <v>10</v>
      </c>
    </row>
    <row r="115" spans="1:4" x14ac:dyDescent="0.3">
      <c r="A115" t="s">
        <v>1798</v>
      </c>
      <c r="B115">
        <v>1110701039</v>
      </c>
      <c r="C115">
        <v>666</v>
      </c>
      <c r="D115">
        <f>IF(쿼리1[[#This Row],[Value.Duration]]/100&lt;=10,10,ROUND(쿼리1[[#This Row],[Value.Duration]]/100*0.7,-1))</f>
        <v>10</v>
      </c>
    </row>
    <row r="116" spans="1:4" x14ac:dyDescent="0.3">
      <c r="A116" t="s">
        <v>1799</v>
      </c>
      <c r="B116">
        <v>1110701040</v>
      </c>
      <c r="C116">
        <v>600</v>
      </c>
      <c r="D116">
        <f>IF(쿼리1[[#This Row],[Value.Duration]]/100&lt;=10,10,ROUND(쿼리1[[#This Row],[Value.Duration]]/100*0.7,-1))</f>
        <v>10</v>
      </c>
    </row>
    <row r="117" spans="1:4" x14ac:dyDescent="0.3">
      <c r="A117" t="s">
        <v>1800</v>
      </c>
      <c r="B117">
        <v>1110701041</v>
      </c>
      <c r="C117">
        <v>666</v>
      </c>
      <c r="D117">
        <f>IF(쿼리1[[#This Row],[Value.Duration]]/100&lt;=10,10,ROUND(쿼리1[[#This Row],[Value.Duration]]/100*0.7,-1))</f>
        <v>10</v>
      </c>
    </row>
    <row r="118" spans="1:4" x14ac:dyDescent="0.3">
      <c r="A118" t="s">
        <v>1801</v>
      </c>
      <c r="B118">
        <v>1110701042</v>
      </c>
      <c r="C118">
        <v>666</v>
      </c>
      <c r="D118">
        <f>IF(쿼리1[[#This Row],[Value.Duration]]/100&lt;=10,10,ROUND(쿼리1[[#This Row],[Value.Duration]]/100*0.7,-1))</f>
        <v>10</v>
      </c>
    </row>
    <row r="119" spans="1:4" x14ac:dyDescent="0.3">
      <c r="A119" t="s">
        <v>1802</v>
      </c>
      <c r="B119">
        <v>1110701043</v>
      </c>
      <c r="C119">
        <v>533</v>
      </c>
      <c r="D119">
        <f>IF(쿼리1[[#This Row],[Value.Duration]]/100&lt;=10,10,ROUND(쿼리1[[#This Row],[Value.Duration]]/100*0.7,-1))</f>
        <v>10</v>
      </c>
    </row>
    <row r="120" spans="1:4" x14ac:dyDescent="0.3">
      <c r="A120" t="s">
        <v>1803</v>
      </c>
      <c r="B120">
        <v>1110701044</v>
      </c>
      <c r="C120">
        <v>533</v>
      </c>
      <c r="D120">
        <f>IF(쿼리1[[#This Row],[Value.Duration]]/100&lt;=10,10,ROUND(쿼리1[[#This Row],[Value.Duration]]/100*0.7,-1))</f>
        <v>10</v>
      </c>
    </row>
    <row r="121" spans="1:4" x14ac:dyDescent="0.3">
      <c r="A121" t="s">
        <v>1804</v>
      </c>
      <c r="B121">
        <v>1110701045</v>
      </c>
      <c r="C121">
        <v>633</v>
      </c>
      <c r="D121">
        <f>IF(쿼리1[[#This Row],[Value.Duration]]/100&lt;=10,10,ROUND(쿼리1[[#This Row],[Value.Duration]]/100*0.7,-1))</f>
        <v>10</v>
      </c>
    </row>
    <row r="122" spans="1:4" x14ac:dyDescent="0.3">
      <c r="A122" t="s">
        <v>1805</v>
      </c>
      <c r="B122">
        <v>1110701046</v>
      </c>
      <c r="C122">
        <v>600</v>
      </c>
      <c r="D122">
        <f>IF(쿼리1[[#This Row],[Value.Duration]]/100&lt;=10,10,ROUND(쿼리1[[#This Row],[Value.Duration]]/100*0.7,-1))</f>
        <v>10</v>
      </c>
    </row>
    <row r="123" spans="1:4" x14ac:dyDescent="0.3">
      <c r="A123" t="s">
        <v>1806</v>
      </c>
      <c r="B123">
        <v>1110701047</v>
      </c>
      <c r="C123">
        <v>733</v>
      </c>
      <c r="D123">
        <f>IF(쿼리1[[#This Row],[Value.Duration]]/100&lt;=10,10,ROUND(쿼리1[[#This Row],[Value.Duration]]/100*0.7,-1))</f>
        <v>10</v>
      </c>
    </row>
    <row r="124" spans="1:4" x14ac:dyDescent="0.3">
      <c r="A124" t="s">
        <v>2712</v>
      </c>
      <c r="B124">
        <v>1110701048</v>
      </c>
      <c r="C124">
        <v>600</v>
      </c>
      <c r="D124">
        <f>IF(쿼리1[[#This Row],[Value.Duration]]/100&lt;=10,10,ROUND(쿼리1[[#This Row],[Value.Duration]]/100*0.7,-1))</f>
        <v>10</v>
      </c>
    </row>
    <row r="125" spans="1:4" x14ac:dyDescent="0.3">
      <c r="A125" t="s">
        <v>2713</v>
      </c>
      <c r="B125">
        <v>1110701049</v>
      </c>
      <c r="C125">
        <v>600</v>
      </c>
      <c r="D125">
        <f>IF(쿼리1[[#This Row],[Value.Duration]]/100&lt;=10,10,ROUND(쿼리1[[#This Row],[Value.Duration]]/100*0.7,-1))</f>
        <v>10</v>
      </c>
    </row>
    <row r="126" spans="1:4" x14ac:dyDescent="0.3">
      <c r="A126" t="s">
        <v>2714</v>
      </c>
      <c r="B126">
        <v>1110701050</v>
      </c>
      <c r="C126">
        <v>600</v>
      </c>
      <c r="D126">
        <f>IF(쿼리1[[#This Row],[Value.Duration]]/100&lt;=10,10,ROUND(쿼리1[[#This Row],[Value.Duration]]/100*0.7,-1))</f>
        <v>10</v>
      </c>
    </row>
    <row r="127" spans="1:4" x14ac:dyDescent="0.3">
      <c r="A127" t="s">
        <v>2715</v>
      </c>
      <c r="B127">
        <v>1110701051</v>
      </c>
      <c r="C127">
        <v>666</v>
      </c>
      <c r="D127">
        <f>IF(쿼리1[[#This Row],[Value.Duration]]/100&lt;=10,10,ROUND(쿼리1[[#This Row],[Value.Duration]]/100*0.7,-1))</f>
        <v>10</v>
      </c>
    </row>
    <row r="128" spans="1:4" x14ac:dyDescent="0.3">
      <c r="A128" t="s">
        <v>2716</v>
      </c>
      <c r="B128">
        <v>1110701052</v>
      </c>
      <c r="C128">
        <v>666</v>
      </c>
      <c r="D128">
        <f>IF(쿼리1[[#This Row],[Value.Duration]]/100&lt;=10,10,ROUND(쿼리1[[#This Row],[Value.Duration]]/100*0.7,-1))</f>
        <v>10</v>
      </c>
    </row>
    <row r="129" spans="1:4" x14ac:dyDescent="0.3">
      <c r="A129" t="s">
        <v>2188</v>
      </c>
      <c r="B129">
        <v>1210203107</v>
      </c>
      <c r="C129">
        <v>666</v>
      </c>
      <c r="D129">
        <f>IF(쿼리1[[#This Row],[Value.Duration]]/100&lt;=10,10,ROUND(쿼리1[[#This Row],[Value.Duration]]/100*0.7,-1))</f>
        <v>10</v>
      </c>
    </row>
    <row r="130" spans="1:4" x14ac:dyDescent="0.3">
      <c r="A130" t="s">
        <v>2189</v>
      </c>
      <c r="B130">
        <v>1210203108</v>
      </c>
      <c r="C130">
        <v>733</v>
      </c>
      <c r="D130">
        <f>IF(쿼리1[[#This Row],[Value.Duration]]/100&lt;=10,10,ROUND(쿼리1[[#This Row],[Value.Duration]]/100*0.7,-1))</f>
        <v>10</v>
      </c>
    </row>
    <row r="131" spans="1:4" x14ac:dyDescent="0.3">
      <c r="A131" t="s">
        <v>2190</v>
      </c>
      <c r="B131">
        <v>1210203109</v>
      </c>
      <c r="C131">
        <v>1133</v>
      </c>
      <c r="D131">
        <f>IF(쿼리1[[#This Row],[Value.Duration]]/100&lt;=10,10,ROUND(쿼리1[[#This Row],[Value.Duration]]/100*0.7,-1))</f>
        <v>10</v>
      </c>
    </row>
    <row r="132" spans="1:4" x14ac:dyDescent="0.3">
      <c r="A132" t="s">
        <v>2191</v>
      </c>
      <c r="B132">
        <v>1210203110</v>
      </c>
      <c r="C132">
        <v>433</v>
      </c>
      <c r="D132">
        <f>IF(쿼리1[[#This Row],[Value.Duration]]/100&lt;=10,10,ROUND(쿼리1[[#This Row],[Value.Duration]]/100*0.7,-1))</f>
        <v>10</v>
      </c>
    </row>
    <row r="133" spans="1:4" x14ac:dyDescent="0.3">
      <c r="A133" t="s">
        <v>2192</v>
      </c>
      <c r="B133">
        <v>1210203111</v>
      </c>
      <c r="C133">
        <v>533</v>
      </c>
      <c r="D133">
        <f>IF(쿼리1[[#This Row],[Value.Duration]]/100&lt;=10,10,ROUND(쿼리1[[#This Row],[Value.Duration]]/100*0.7,-1))</f>
        <v>10</v>
      </c>
    </row>
    <row r="134" spans="1:4" x14ac:dyDescent="0.3">
      <c r="A134" t="s">
        <v>2193</v>
      </c>
      <c r="B134">
        <v>1210203112</v>
      </c>
      <c r="C134">
        <v>1566</v>
      </c>
      <c r="D134">
        <f>IF(쿼리1[[#This Row],[Value.Duration]]/100&lt;=10,10,ROUND(쿼리1[[#This Row],[Value.Duration]]/100*0.7,-1))</f>
        <v>10</v>
      </c>
    </row>
    <row r="135" spans="1:4" x14ac:dyDescent="0.3">
      <c r="A135" t="s">
        <v>2194</v>
      </c>
      <c r="B135">
        <v>1210203113</v>
      </c>
      <c r="C135">
        <v>533</v>
      </c>
      <c r="D135">
        <f>IF(쿼리1[[#This Row],[Value.Duration]]/100&lt;=10,10,ROUND(쿼리1[[#This Row],[Value.Duration]]/100*0.7,-1))</f>
        <v>10</v>
      </c>
    </row>
    <row r="136" spans="1:4" x14ac:dyDescent="0.3">
      <c r="A136" t="s">
        <v>2195</v>
      </c>
      <c r="B136">
        <v>1210203114</v>
      </c>
      <c r="C136">
        <v>800</v>
      </c>
      <c r="D136">
        <f>IF(쿼리1[[#This Row],[Value.Duration]]/100&lt;=10,10,ROUND(쿼리1[[#This Row],[Value.Duration]]/100*0.7,-1))</f>
        <v>10</v>
      </c>
    </row>
    <row r="137" spans="1:4" x14ac:dyDescent="0.3">
      <c r="A137" t="s">
        <v>2196</v>
      </c>
      <c r="B137">
        <v>1210203115</v>
      </c>
      <c r="C137">
        <v>666</v>
      </c>
      <c r="D137">
        <f>IF(쿼리1[[#This Row],[Value.Duration]]/100&lt;=10,10,ROUND(쿼리1[[#This Row],[Value.Duration]]/100*0.7,-1))</f>
        <v>10</v>
      </c>
    </row>
    <row r="138" spans="1:4" x14ac:dyDescent="0.3">
      <c r="A138" t="s">
        <v>2197</v>
      </c>
      <c r="B138">
        <v>1210203116</v>
      </c>
      <c r="C138">
        <v>600</v>
      </c>
      <c r="D138">
        <f>IF(쿼리1[[#This Row],[Value.Duration]]/100&lt;=10,10,ROUND(쿼리1[[#This Row],[Value.Duration]]/100*0.7,-1))</f>
        <v>10</v>
      </c>
    </row>
    <row r="139" spans="1:4" x14ac:dyDescent="0.3">
      <c r="A139" t="s">
        <v>2198</v>
      </c>
      <c r="B139">
        <v>1210203117</v>
      </c>
      <c r="C139">
        <v>666</v>
      </c>
      <c r="D139">
        <f>IF(쿼리1[[#This Row],[Value.Duration]]/100&lt;=10,10,ROUND(쿼리1[[#This Row],[Value.Duration]]/100*0.7,-1))</f>
        <v>10</v>
      </c>
    </row>
    <row r="140" spans="1:4" x14ac:dyDescent="0.3">
      <c r="A140" t="s">
        <v>2199</v>
      </c>
      <c r="B140">
        <v>1210203118</v>
      </c>
      <c r="C140">
        <v>733</v>
      </c>
      <c r="D140">
        <f>IF(쿼리1[[#This Row],[Value.Duration]]/100&lt;=10,10,ROUND(쿼리1[[#This Row],[Value.Duration]]/100*0.7,-1))</f>
        <v>10</v>
      </c>
    </row>
    <row r="141" spans="1:4" x14ac:dyDescent="0.3">
      <c r="A141" t="s">
        <v>2200</v>
      </c>
      <c r="B141">
        <v>1210203119</v>
      </c>
      <c r="C141">
        <v>1133</v>
      </c>
      <c r="D141">
        <f>IF(쿼리1[[#This Row],[Value.Duration]]/100&lt;=10,10,ROUND(쿼리1[[#This Row],[Value.Duration]]/100*0.7,-1))</f>
        <v>10</v>
      </c>
    </row>
    <row r="142" spans="1:4" x14ac:dyDescent="0.3">
      <c r="A142" t="s">
        <v>2201</v>
      </c>
      <c r="B142">
        <v>1210203120</v>
      </c>
      <c r="C142">
        <v>433</v>
      </c>
      <c r="D142">
        <f>IF(쿼리1[[#This Row],[Value.Duration]]/100&lt;=10,10,ROUND(쿼리1[[#This Row],[Value.Duration]]/100*0.7,-1))</f>
        <v>10</v>
      </c>
    </row>
    <row r="143" spans="1:4" x14ac:dyDescent="0.3">
      <c r="A143" t="s">
        <v>2202</v>
      </c>
      <c r="B143">
        <v>1210203201</v>
      </c>
      <c r="C143">
        <v>1600</v>
      </c>
      <c r="D143">
        <f>IF(쿼리1[[#This Row],[Value.Duration]]/100&lt;=10,10,ROUND(쿼리1[[#This Row],[Value.Duration]]/100*0.7,-1))</f>
        <v>10</v>
      </c>
    </row>
    <row r="144" spans="1:4" x14ac:dyDescent="0.3">
      <c r="A144" t="s">
        <v>2203</v>
      </c>
      <c r="B144">
        <v>1210203202</v>
      </c>
      <c r="C144">
        <v>1333</v>
      </c>
      <c r="D144">
        <f>IF(쿼리1[[#This Row],[Value.Duration]]/100&lt;=10,10,ROUND(쿼리1[[#This Row],[Value.Duration]]/100*0.7,-1))</f>
        <v>10</v>
      </c>
    </row>
    <row r="145" spans="1:4" x14ac:dyDescent="0.3">
      <c r="A145" t="s">
        <v>2204</v>
      </c>
      <c r="B145">
        <v>1210203203</v>
      </c>
      <c r="C145">
        <v>1600</v>
      </c>
      <c r="D145">
        <f>IF(쿼리1[[#This Row],[Value.Duration]]/100&lt;=10,10,ROUND(쿼리1[[#This Row],[Value.Duration]]/100*0.7,-1))</f>
        <v>10</v>
      </c>
    </row>
    <row r="146" spans="1:4" x14ac:dyDescent="0.3">
      <c r="A146" t="s">
        <v>2205</v>
      </c>
      <c r="B146">
        <v>1210203301</v>
      </c>
      <c r="C146">
        <v>1600</v>
      </c>
      <c r="D146">
        <f>IF(쿼리1[[#This Row],[Value.Duration]]/100&lt;=10,10,ROUND(쿼리1[[#This Row],[Value.Duration]]/100*0.7,-1))</f>
        <v>10</v>
      </c>
    </row>
    <row r="147" spans="1:4" x14ac:dyDescent="0.3">
      <c r="A147" t="s">
        <v>2206</v>
      </c>
      <c r="B147">
        <v>1210203302</v>
      </c>
      <c r="C147">
        <v>1600</v>
      </c>
      <c r="D147">
        <f>IF(쿼리1[[#This Row],[Value.Duration]]/100&lt;=10,10,ROUND(쿼리1[[#This Row],[Value.Duration]]/100*0.7,-1))</f>
        <v>10</v>
      </c>
    </row>
    <row r="148" spans="1:4" x14ac:dyDescent="0.3">
      <c r="A148" t="s">
        <v>2207</v>
      </c>
      <c r="B148">
        <v>1210204101</v>
      </c>
      <c r="C148">
        <v>1600</v>
      </c>
      <c r="D148">
        <f>IF(쿼리1[[#This Row],[Value.Duration]]/100&lt;=10,10,ROUND(쿼리1[[#This Row],[Value.Duration]]/100*0.7,-1))</f>
        <v>10</v>
      </c>
    </row>
    <row r="149" spans="1:4" x14ac:dyDescent="0.3">
      <c r="A149" t="s">
        <v>2208</v>
      </c>
      <c r="B149">
        <v>1210204102</v>
      </c>
      <c r="C149">
        <v>666</v>
      </c>
      <c r="D149">
        <f>IF(쿼리1[[#This Row],[Value.Duration]]/100&lt;=10,10,ROUND(쿼리1[[#This Row],[Value.Duration]]/100*0.7,-1))</f>
        <v>10</v>
      </c>
    </row>
    <row r="150" spans="1:4" x14ac:dyDescent="0.3">
      <c r="A150" t="s">
        <v>2209</v>
      </c>
      <c r="B150">
        <v>1210204103</v>
      </c>
      <c r="C150">
        <v>1600</v>
      </c>
      <c r="D150">
        <f>IF(쿼리1[[#This Row],[Value.Duration]]/100&lt;=10,10,ROUND(쿼리1[[#This Row],[Value.Duration]]/100*0.7,-1))</f>
        <v>10</v>
      </c>
    </row>
    <row r="151" spans="1:4" x14ac:dyDescent="0.3">
      <c r="A151" t="s">
        <v>2210</v>
      </c>
      <c r="B151">
        <v>1210204104</v>
      </c>
      <c r="C151">
        <v>666</v>
      </c>
      <c r="D151">
        <f>IF(쿼리1[[#This Row],[Value.Duration]]/100&lt;=10,10,ROUND(쿼리1[[#This Row],[Value.Duration]]/100*0.7,-1))</f>
        <v>10</v>
      </c>
    </row>
    <row r="152" spans="1:4" x14ac:dyDescent="0.3">
      <c r="A152" t="s">
        <v>2211</v>
      </c>
      <c r="B152">
        <v>1210204105</v>
      </c>
      <c r="C152">
        <v>666</v>
      </c>
      <c r="D152">
        <f>IF(쿼리1[[#This Row],[Value.Duration]]/100&lt;=10,10,ROUND(쿼리1[[#This Row],[Value.Duration]]/100*0.7,-1))</f>
        <v>10</v>
      </c>
    </row>
    <row r="153" spans="1:4" x14ac:dyDescent="0.3">
      <c r="A153" t="s">
        <v>2212</v>
      </c>
      <c r="B153">
        <v>1210204106</v>
      </c>
      <c r="C153">
        <v>466</v>
      </c>
      <c r="D153">
        <f>IF(쿼리1[[#This Row],[Value.Duration]]/100&lt;=10,10,ROUND(쿼리1[[#This Row],[Value.Duration]]/100*0.7,-1))</f>
        <v>10</v>
      </c>
    </row>
    <row r="154" spans="1:4" x14ac:dyDescent="0.3">
      <c r="A154" t="s">
        <v>2213</v>
      </c>
      <c r="B154">
        <v>1210204107</v>
      </c>
      <c r="C154">
        <v>1066</v>
      </c>
      <c r="D154">
        <f>IF(쿼리1[[#This Row],[Value.Duration]]/100&lt;=10,10,ROUND(쿼리1[[#This Row],[Value.Duration]]/100*0.7,-1))</f>
        <v>10</v>
      </c>
    </row>
    <row r="155" spans="1:4" x14ac:dyDescent="0.3">
      <c r="A155" t="s">
        <v>2214</v>
      </c>
      <c r="B155">
        <v>1210204108</v>
      </c>
      <c r="C155">
        <v>866</v>
      </c>
      <c r="D155">
        <f>IF(쿼리1[[#This Row],[Value.Duration]]/100&lt;=10,10,ROUND(쿼리1[[#This Row],[Value.Duration]]/100*0.7,-1))</f>
        <v>10</v>
      </c>
    </row>
    <row r="156" spans="1:4" x14ac:dyDescent="0.3">
      <c r="A156" t="s">
        <v>2215</v>
      </c>
      <c r="B156">
        <v>1210204109</v>
      </c>
      <c r="C156">
        <v>666</v>
      </c>
      <c r="D156">
        <f>IF(쿼리1[[#This Row],[Value.Duration]]/100&lt;=10,10,ROUND(쿼리1[[#This Row],[Value.Duration]]/100*0.7,-1))</f>
        <v>10</v>
      </c>
    </row>
    <row r="157" spans="1:4" x14ac:dyDescent="0.3">
      <c r="A157" t="s">
        <v>2216</v>
      </c>
      <c r="B157">
        <v>1210204110</v>
      </c>
      <c r="C157">
        <v>500</v>
      </c>
      <c r="D157">
        <f>IF(쿼리1[[#This Row],[Value.Duration]]/100&lt;=10,10,ROUND(쿼리1[[#This Row],[Value.Duration]]/100*0.7,-1))</f>
        <v>10</v>
      </c>
    </row>
    <row r="158" spans="1:4" x14ac:dyDescent="0.3">
      <c r="A158" t="s">
        <v>2217</v>
      </c>
      <c r="B158">
        <v>1210204111</v>
      </c>
      <c r="C158">
        <v>1500</v>
      </c>
      <c r="D158">
        <f>IF(쿼리1[[#This Row],[Value.Duration]]/100&lt;=10,10,ROUND(쿼리1[[#This Row],[Value.Duration]]/100*0.7,-1))</f>
        <v>10</v>
      </c>
    </row>
    <row r="159" spans="1:4" x14ac:dyDescent="0.3">
      <c r="A159" t="s">
        <v>2218</v>
      </c>
      <c r="B159">
        <v>1210204112</v>
      </c>
      <c r="C159">
        <v>933</v>
      </c>
      <c r="D159">
        <f>IF(쿼리1[[#This Row],[Value.Duration]]/100&lt;=10,10,ROUND(쿼리1[[#This Row],[Value.Duration]]/100*0.7,-1))</f>
        <v>10</v>
      </c>
    </row>
    <row r="160" spans="1:4" x14ac:dyDescent="0.3">
      <c r="A160" t="s">
        <v>2219</v>
      </c>
      <c r="B160">
        <v>1210204113</v>
      </c>
      <c r="C160">
        <v>1600</v>
      </c>
      <c r="D160">
        <f>IF(쿼리1[[#This Row],[Value.Duration]]/100&lt;=10,10,ROUND(쿼리1[[#This Row],[Value.Duration]]/100*0.7,-1))</f>
        <v>10</v>
      </c>
    </row>
    <row r="161" spans="1:4" x14ac:dyDescent="0.3">
      <c r="A161" t="s">
        <v>2220</v>
      </c>
      <c r="B161">
        <v>1210204114</v>
      </c>
      <c r="C161">
        <v>666</v>
      </c>
      <c r="D161">
        <f>IF(쿼리1[[#This Row],[Value.Duration]]/100&lt;=10,10,ROUND(쿼리1[[#This Row],[Value.Duration]]/100*0.7,-1))</f>
        <v>10</v>
      </c>
    </row>
    <row r="162" spans="1:4" x14ac:dyDescent="0.3">
      <c r="A162" t="s">
        <v>2221</v>
      </c>
      <c r="B162">
        <v>1210204115</v>
      </c>
      <c r="C162">
        <v>666</v>
      </c>
      <c r="D162">
        <f>IF(쿼리1[[#This Row],[Value.Duration]]/100&lt;=10,10,ROUND(쿼리1[[#This Row],[Value.Duration]]/100*0.7,-1))</f>
        <v>10</v>
      </c>
    </row>
    <row r="163" spans="1:4" x14ac:dyDescent="0.3">
      <c r="A163" t="s">
        <v>2222</v>
      </c>
      <c r="B163">
        <v>1210204116</v>
      </c>
      <c r="C163">
        <v>466</v>
      </c>
      <c r="D163">
        <f>IF(쿼리1[[#This Row],[Value.Duration]]/100&lt;=10,10,ROUND(쿼리1[[#This Row],[Value.Duration]]/100*0.7,-1))</f>
        <v>10</v>
      </c>
    </row>
    <row r="164" spans="1:4" x14ac:dyDescent="0.3">
      <c r="A164" t="s">
        <v>2223</v>
      </c>
      <c r="B164">
        <v>1210204117</v>
      </c>
      <c r="C164">
        <v>1066</v>
      </c>
      <c r="D164">
        <f>IF(쿼리1[[#This Row],[Value.Duration]]/100&lt;=10,10,ROUND(쿼리1[[#This Row],[Value.Duration]]/100*0.7,-1))</f>
        <v>10</v>
      </c>
    </row>
    <row r="165" spans="1:4" x14ac:dyDescent="0.3">
      <c r="A165" t="s">
        <v>2224</v>
      </c>
      <c r="B165">
        <v>1210204118</v>
      </c>
      <c r="C165">
        <v>866</v>
      </c>
      <c r="D165">
        <f>IF(쿼리1[[#This Row],[Value.Duration]]/100&lt;=10,10,ROUND(쿼리1[[#This Row],[Value.Duration]]/100*0.7,-1))</f>
        <v>10</v>
      </c>
    </row>
    <row r="166" spans="1:4" x14ac:dyDescent="0.3">
      <c r="A166" t="s">
        <v>2225</v>
      </c>
      <c r="B166">
        <v>1210204119</v>
      </c>
      <c r="C166">
        <v>666</v>
      </c>
      <c r="D166">
        <f>IF(쿼리1[[#This Row],[Value.Duration]]/100&lt;=10,10,ROUND(쿼리1[[#This Row],[Value.Duration]]/100*0.7,-1))</f>
        <v>10</v>
      </c>
    </row>
    <row r="167" spans="1:4" x14ac:dyDescent="0.3">
      <c r="A167" t="s">
        <v>2226</v>
      </c>
      <c r="B167">
        <v>1210204120</v>
      </c>
      <c r="C167">
        <v>500</v>
      </c>
      <c r="D167">
        <f>IF(쿼리1[[#This Row],[Value.Duration]]/100&lt;=10,10,ROUND(쿼리1[[#This Row],[Value.Duration]]/100*0.7,-1))</f>
        <v>10</v>
      </c>
    </row>
    <row r="168" spans="1:4" x14ac:dyDescent="0.3">
      <c r="A168" t="s">
        <v>2227</v>
      </c>
      <c r="B168">
        <v>1210204121</v>
      </c>
      <c r="C168">
        <v>1500</v>
      </c>
      <c r="D168">
        <f>IF(쿼리1[[#This Row],[Value.Duration]]/100&lt;=10,10,ROUND(쿼리1[[#This Row],[Value.Duration]]/100*0.7,-1))</f>
        <v>10</v>
      </c>
    </row>
    <row r="169" spans="1:4" x14ac:dyDescent="0.3">
      <c r="A169" t="s">
        <v>2228</v>
      </c>
      <c r="B169">
        <v>1210204122</v>
      </c>
      <c r="C169">
        <v>933</v>
      </c>
      <c r="D169">
        <f>IF(쿼리1[[#This Row],[Value.Duration]]/100&lt;=10,10,ROUND(쿼리1[[#This Row],[Value.Duration]]/100*0.7,-1))</f>
        <v>10</v>
      </c>
    </row>
    <row r="170" spans="1:4" x14ac:dyDescent="0.3">
      <c r="A170" t="s">
        <v>2229</v>
      </c>
      <c r="B170">
        <v>1210204201</v>
      </c>
      <c r="C170">
        <v>1333</v>
      </c>
      <c r="D170">
        <f>IF(쿼리1[[#This Row],[Value.Duration]]/100&lt;=10,10,ROUND(쿼리1[[#This Row],[Value.Duration]]/100*0.7,-1))</f>
        <v>10</v>
      </c>
    </row>
    <row r="171" spans="1:4" x14ac:dyDescent="0.3">
      <c r="A171" t="s">
        <v>2230</v>
      </c>
      <c r="B171">
        <v>1210204202</v>
      </c>
      <c r="C171">
        <v>933</v>
      </c>
      <c r="D171">
        <f>IF(쿼리1[[#This Row],[Value.Duration]]/100&lt;=10,10,ROUND(쿼리1[[#This Row],[Value.Duration]]/100*0.7,-1))</f>
        <v>10</v>
      </c>
    </row>
    <row r="172" spans="1:4" x14ac:dyDescent="0.3">
      <c r="A172" t="s">
        <v>2231</v>
      </c>
      <c r="B172">
        <v>1210204203</v>
      </c>
      <c r="C172">
        <v>800</v>
      </c>
      <c r="D172">
        <f>IF(쿼리1[[#This Row],[Value.Duration]]/100&lt;=10,10,ROUND(쿼리1[[#This Row],[Value.Duration]]/100*0.7,-1))</f>
        <v>10</v>
      </c>
    </row>
    <row r="173" spans="1:4" x14ac:dyDescent="0.3">
      <c r="A173" t="s">
        <v>2232</v>
      </c>
      <c r="B173">
        <v>1210204301</v>
      </c>
      <c r="C173">
        <v>600</v>
      </c>
      <c r="D173">
        <f>IF(쿼리1[[#This Row],[Value.Duration]]/100&lt;=10,10,ROUND(쿼리1[[#This Row],[Value.Duration]]/100*0.7,-1))</f>
        <v>10</v>
      </c>
    </row>
    <row r="174" spans="1:4" x14ac:dyDescent="0.3">
      <c r="A174" t="s">
        <v>2233</v>
      </c>
      <c r="B174">
        <v>1210204302</v>
      </c>
      <c r="C174">
        <v>600</v>
      </c>
      <c r="D174">
        <f>IF(쿼리1[[#This Row],[Value.Duration]]/100&lt;=10,10,ROUND(쿼리1[[#This Row],[Value.Duration]]/100*0.7,-1))</f>
        <v>10</v>
      </c>
    </row>
    <row r="175" spans="1:4" x14ac:dyDescent="0.3">
      <c r="A175" t="s">
        <v>2234</v>
      </c>
      <c r="B175">
        <v>1210205101</v>
      </c>
      <c r="C175">
        <v>800</v>
      </c>
      <c r="D175">
        <f>IF(쿼리1[[#This Row],[Value.Duration]]/100&lt;=10,10,ROUND(쿼리1[[#This Row],[Value.Duration]]/100*0.7,-1))</f>
        <v>10</v>
      </c>
    </row>
    <row r="176" spans="1:4" x14ac:dyDescent="0.3">
      <c r="A176" t="s">
        <v>2235</v>
      </c>
      <c r="B176">
        <v>1210205102</v>
      </c>
      <c r="C176">
        <v>800</v>
      </c>
      <c r="D176">
        <f>IF(쿼리1[[#This Row],[Value.Duration]]/100&lt;=10,10,ROUND(쿼리1[[#This Row],[Value.Duration]]/100*0.7,-1))</f>
        <v>10</v>
      </c>
    </row>
    <row r="177" spans="1:4" x14ac:dyDescent="0.3">
      <c r="A177" t="s">
        <v>2236</v>
      </c>
      <c r="B177">
        <v>1210205103</v>
      </c>
      <c r="C177">
        <v>800</v>
      </c>
      <c r="D177">
        <f>IF(쿼리1[[#This Row],[Value.Duration]]/100&lt;=10,10,ROUND(쿼리1[[#This Row],[Value.Duration]]/100*0.7,-1))</f>
        <v>10</v>
      </c>
    </row>
    <row r="178" spans="1:4" x14ac:dyDescent="0.3">
      <c r="A178" t="s">
        <v>2237</v>
      </c>
      <c r="B178">
        <v>1210205104</v>
      </c>
      <c r="C178">
        <v>533</v>
      </c>
      <c r="D178">
        <f>IF(쿼리1[[#This Row],[Value.Duration]]/100&lt;=10,10,ROUND(쿼리1[[#This Row],[Value.Duration]]/100*0.7,-1))</f>
        <v>10</v>
      </c>
    </row>
    <row r="179" spans="1:4" x14ac:dyDescent="0.3">
      <c r="A179" t="s">
        <v>2238</v>
      </c>
      <c r="B179">
        <v>1210205105</v>
      </c>
      <c r="C179">
        <v>666</v>
      </c>
      <c r="D179">
        <f>IF(쿼리1[[#This Row],[Value.Duration]]/100&lt;=10,10,ROUND(쿼리1[[#This Row],[Value.Duration]]/100*0.7,-1))</f>
        <v>10</v>
      </c>
    </row>
    <row r="180" spans="1:4" x14ac:dyDescent="0.3">
      <c r="A180" t="s">
        <v>2239</v>
      </c>
      <c r="B180">
        <v>1210205106</v>
      </c>
      <c r="C180">
        <v>666</v>
      </c>
      <c r="D180">
        <f>IF(쿼리1[[#This Row],[Value.Duration]]/100&lt;=10,10,ROUND(쿼리1[[#This Row],[Value.Duration]]/100*0.7,-1))</f>
        <v>10</v>
      </c>
    </row>
    <row r="181" spans="1:4" x14ac:dyDescent="0.3">
      <c r="A181" t="s">
        <v>2240</v>
      </c>
      <c r="B181">
        <v>1210205107</v>
      </c>
      <c r="C181">
        <v>600</v>
      </c>
      <c r="D181">
        <f>IF(쿼리1[[#This Row],[Value.Duration]]/100&lt;=10,10,ROUND(쿼리1[[#This Row],[Value.Duration]]/100*0.7,-1))</f>
        <v>10</v>
      </c>
    </row>
    <row r="182" spans="1:4" x14ac:dyDescent="0.3">
      <c r="A182" t="s">
        <v>2241</v>
      </c>
      <c r="B182">
        <v>1210205108</v>
      </c>
      <c r="C182">
        <v>766</v>
      </c>
      <c r="D182">
        <f>IF(쿼리1[[#This Row],[Value.Duration]]/100&lt;=10,10,ROUND(쿼리1[[#This Row],[Value.Duration]]/100*0.7,-1))</f>
        <v>10</v>
      </c>
    </row>
    <row r="183" spans="1:4" x14ac:dyDescent="0.3">
      <c r="A183" t="s">
        <v>2242</v>
      </c>
      <c r="B183">
        <v>1210205109</v>
      </c>
      <c r="C183">
        <v>1066</v>
      </c>
      <c r="D183">
        <f>IF(쿼리1[[#This Row],[Value.Duration]]/100&lt;=10,10,ROUND(쿼리1[[#This Row],[Value.Duration]]/100*0.7,-1))</f>
        <v>10</v>
      </c>
    </row>
    <row r="184" spans="1:4" x14ac:dyDescent="0.3">
      <c r="A184" t="s">
        <v>2243</v>
      </c>
      <c r="B184">
        <v>1210205110</v>
      </c>
      <c r="C184">
        <v>2700</v>
      </c>
      <c r="D184">
        <f>IF(쿼리1[[#This Row],[Value.Duration]]/100&lt;=10,10,ROUND(쿼리1[[#This Row],[Value.Duration]]/100*0.7,-1))</f>
        <v>20</v>
      </c>
    </row>
    <row r="185" spans="1:4" x14ac:dyDescent="0.3">
      <c r="A185" t="s">
        <v>2244</v>
      </c>
      <c r="B185">
        <v>1210205111</v>
      </c>
      <c r="C185">
        <v>800</v>
      </c>
      <c r="D185">
        <f>IF(쿼리1[[#This Row],[Value.Duration]]/100&lt;=10,10,ROUND(쿼리1[[#This Row],[Value.Duration]]/100*0.7,-1))</f>
        <v>10</v>
      </c>
    </row>
    <row r="186" spans="1:4" x14ac:dyDescent="0.3">
      <c r="A186" t="s">
        <v>2245</v>
      </c>
      <c r="B186">
        <v>1210205112</v>
      </c>
      <c r="C186">
        <v>800</v>
      </c>
      <c r="D186">
        <f>IF(쿼리1[[#This Row],[Value.Duration]]/100&lt;=10,10,ROUND(쿼리1[[#This Row],[Value.Duration]]/100*0.7,-1))</f>
        <v>10</v>
      </c>
    </row>
    <row r="187" spans="1:4" x14ac:dyDescent="0.3">
      <c r="A187" t="s">
        <v>2246</v>
      </c>
      <c r="B187">
        <v>1210205113</v>
      </c>
      <c r="C187">
        <v>800</v>
      </c>
      <c r="D187">
        <f>IF(쿼리1[[#This Row],[Value.Duration]]/100&lt;=10,10,ROUND(쿼리1[[#This Row],[Value.Duration]]/100*0.7,-1))</f>
        <v>10</v>
      </c>
    </row>
    <row r="188" spans="1:4" x14ac:dyDescent="0.3">
      <c r="A188" t="s">
        <v>2247</v>
      </c>
      <c r="B188">
        <v>1210205114</v>
      </c>
      <c r="C188">
        <v>533</v>
      </c>
      <c r="D188">
        <f>IF(쿼리1[[#This Row],[Value.Duration]]/100&lt;=10,10,ROUND(쿼리1[[#This Row],[Value.Duration]]/100*0.7,-1))</f>
        <v>10</v>
      </c>
    </row>
    <row r="189" spans="1:4" x14ac:dyDescent="0.3">
      <c r="A189" t="s">
        <v>2248</v>
      </c>
      <c r="B189">
        <v>1210205115</v>
      </c>
      <c r="C189">
        <v>666</v>
      </c>
      <c r="D189">
        <f>IF(쿼리1[[#This Row],[Value.Duration]]/100&lt;=10,10,ROUND(쿼리1[[#This Row],[Value.Duration]]/100*0.7,-1))</f>
        <v>10</v>
      </c>
    </row>
    <row r="190" spans="1:4" x14ac:dyDescent="0.3">
      <c r="A190" t="s">
        <v>2249</v>
      </c>
      <c r="B190">
        <v>1210205116</v>
      </c>
      <c r="C190">
        <v>666</v>
      </c>
      <c r="D190">
        <f>IF(쿼리1[[#This Row],[Value.Duration]]/100&lt;=10,10,ROUND(쿼리1[[#This Row],[Value.Duration]]/100*0.7,-1))</f>
        <v>10</v>
      </c>
    </row>
    <row r="191" spans="1:4" x14ac:dyDescent="0.3">
      <c r="A191" t="s">
        <v>2250</v>
      </c>
      <c r="B191">
        <v>1210205117</v>
      </c>
      <c r="C191">
        <v>600</v>
      </c>
      <c r="D191">
        <f>IF(쿼리1[[#This Row],[Value.Duration]]/100&lt;=10,10,ROUND(쿼리1[[#This Row],[Value.Duration]]/100*0.7,-1))</f>
        <v>10</v>
      </c>
    </row>
    <row r="192" spans="1:4" x14ac:dyDescent="0.3">
      <c r="A192" t="s">
        <v>2251</v>
      </c>
      <c r="B192">
        <v>1210205118</v>
      </c>
      <c r="C192">
        <v>766</v>
      </c>
      <c r="D192">
        <f>IF(쿼리1[[#This Row],[Value.Duration]]/100&lt;=10,10,ROUND(쿼리1[[#This Row],[Value.Duration]]/100*0.7,-1))</f>
        <v>10</v>
      </c>
    </row>
    <row r="193" spans="1:4" x14ac:dyDescent="0.3">
      <c r="A193" t="s">
        <v>2252</v>
      </c>
      <c r="B193">
        <v>1210205119</v>
      </c>
      <c r="C193">
        <v>1066</v>
      </c>
      <c r="D193">
        <f>IF(쿼리1[[#This Row],[Value.Duration]]/100&lt;=10,10,ROUND(쿼리1[[#This Row],[Value.Duration]]/100*0.7,-1))</f>
        <v>10</v>
      </c>
    </row>
    <row r="194" spans="1:4" x14ac:dyDescent="0.3">
      <c r="A194" t="s">
        <v>2253</v>
      </c>
      <c r="B194">
        <v>1210205120</v>
      </c>
      <c r="C194">
        <v>2700</v>
      </c>
      <c r="D194">
        <f>IF(쿼리1[[#This Row],[Value.Duration]]/100&lt;=10,10,ROUND(쿼리1[[#This Row],[Value.Duration]]/100*0.7,-1))</f>
        <v>20</v>
      </c>
    </row>
    <row r="195" spans="1:4" x14ac:dyDescent="0.3">
      <c r="A195" t="s">
        <v>2254</v>
      </c>
      <c r="B195">
        <v>1210205201</v>
      </c>
      <c r="C195">
        <v>933</v>
      </c>
      <c r="D195">
        <f>IF(쿼리1[[#This Row],[Value.Duration]]/100&lt;=10,10,ROUND(쿼리1[[#This Row],[Value.Duration]]/100*0.7,-1))</f>
        <v>10</v>
      </c>
    </row>
    <row r="196" spans="1:4" x14ac:dyDescent="0.3">
      <c r="A196" t="s">
        <v>2255</v>
      </c>
      <c r="B196">
        <v>1210205202</v>
      </c>
      <c r="C196">
        <v>800</v>
      </c>
      <c r="D196">
        <f>IF(쿼리1[[#This Row],[Value.Duration]]/100&lt;=10,10,ROUND(쿼리1[[#This Row],[Value.Duration]]/100*0.7,-1))</f>
        <v>10</v>
      </c>
    </row>
    <row r="197" spans="1:4" x14ac:dyDescent="0.3">
      <c r="A197" t="s">
        <v>2256</v>
      </c>
      <c r="B197">
        <v>1210205203</v>
      </c>
      <c r="C197">
        <v>1500</v>
      </c>
      <c r="D197">
        <f>IF(쿼리1[[#This Row],[Value.Duration]]/100&lt;=10,10,ROUND(쿼리1[[#This Row],[Value.Duration]]/100*0.7,-1))</f>
        <v>10</v>
      </c>
    </row>
    <row r="198" spans="1:4" x14ac:dyDescent="0.3">
      <c r="A198" t="s">
        <v>2257</v>
      </c>
      <c r="B198">
        <v>1210205301</v>
      </c>
      <c r="C198">
        <v>933</v>
      </c>
      <c r="D198">
        <f>IF(쿼리1[[#This Row],[Value.Duration]]/100&lt;=10,10,ROUND(쿼리1[[#This Row],[Value.Duration]]/100*0.7,-1))</f>
        <v>10</v>
      </c>
    </row>
    <row r="199" spans="1:4" x14ac:dyDescent="0.3">
      <c r="A199" t="s">
        <v>2258</v>
      </c>
      <c r="B199">
        <v>1210205302</v>
      </c>
      <c r="C199">
        <v>933</v>
      </c>
      <c r="D199">
        <f>IF(쿼리1[[#This Row],[Value.Duration]]/100&lt;=10,10,ROUND(쿼리1[[#This Row],[Value.Duration]]/100*0.7,-1))</f>
        <v>10</v>
      </c>
    </row>
    <row r="200" spans="1:4" x14ac:dyDescent="0.3">
      <c r="A200" t="s">
        <v>2259</v>
      </c>
      <c r="B200">
        <v>1210206101</v>
      </c>
      <c r="C200">
        <v>533</v>
      </c>
      <c r="D200">
        <f>IF(쿼리1[[#This Row],[Value.Duration]]/100&lt;=10,10,ROUND(쿼리1[[#This Row],[Value.Duration]]/100*0.7,-1))</f>
        <v>10</v>
      </c>
    </row>
    <row r="201" spans="1:4" x14ac:dyDescent="0.3">
      <c r="A201" t="s">
        <v>2260</v>
      </c>
      <c r="B201">
        <v>1210206102</v>
      </c>
      <c r="C201">
        <v>400</v>
      </c>
      <c r="D201">
        <f>IF(쿼리1[[#This Row],[Value.Duration]]/100&lt;=10,10,ROUND(쿼리1[[#This Row],[Value.Duration]]/100*0.7,-1))</f>
        <v>10</v>
      </c>
    </row>
    <row r="202" spans="1:4" x14ac:dyDescent="0.3">
      <c r="A202" t="s">
        <v>2261</v>
      </c>
      <c r="B202">
        <v>1210206103</v>
      </c>
      <c r="C202">
        <v>733</v>
      </c>
      <c r="D202">
        <f>IF(쿼리1[[#This Row],[Value.Duration]]/100&lt;=10,10,ROUND(쿼리1[[#This Row],[Value.Duration]]/100*0.7,-1))</f>
        <v>10</v>
      </c>
    </row>
    <row r="203" spans="1:4" x14ac:dyDescent="0.3">
      <c r="A203" t="s">
        <v>2262</v>
      </c>
      <c r="B203">
        <v>1210206104</v>
      </c>
      <c r="C203">
        <v>800</v>
      </c>
      <c r="D203">
        <f>IF(쿼리1[[#This Row],[Value.Duration]]/100&lt;=10,10,ROUND(쿼리1[[#This Row],[Value.Duration]]/100*0.7,-1))</f>
        <v>10</v>
      </c>
    </row>
    <row r="204" spans="1:4" x14ac:dyDescent="0.3">
      <c r="A204" t="s">
        <v>2263</v>
      </c>
      <c r="B204">
        <v>1210206105</v>
      </c>
      <c r="C204">
        <v>833</v>
      </c>
      <c r="D204">
        <f>IF(쿼리1[[#This Row],[Value.Duration]]/100&lt;=10,10,ROUND(쿼리1[[#This Row],[Value.Duration]]/100*0.7,-1))</f>
        <v>10</v>
      </c>
    </row>
    <row r="205" spans="1:4" x14ac:dyDescent="0.3">
      <c r="A205" t="s">
        <v>2264</v>
      </c>
      <c r="B205">
        <v>1210206106</v>
      </c>
      <c r="C205">
        <v>533</v>
      </c>
      <c r="D205">
        <f>IF(쿼리1[[#This Row],[Value.Duration]]/100&lt;=10,10,ROUND(쿼리1[[#This Row],[Value.Duration]]/100*0.7,-1))</f>
        <v>10</v>
      </c>
    </row>
    <row r="206" spans="1:4" x14ac:dyDescent="0.3">
      <c r="A206" t="s">
        <v>2265</v>
      </c>
      <c r="B206">
        <v>1210206107</v>
      </c>
      <c r="C206">
        <v>533</v>
      </c>
      <c r="D206">
        <f>IF(쿼리1[[#This Row],[Value.Duration]]/100&lt;=10,10,ROUND(쿼리1[[#This Row],[Value.Duration]]/100*0.7,-1))</f>
        <v>10</v>
      </c>
    </row>
    <row r="207" spans="1:4" x14ac:dyDescent="0.3">
      <c r="A207" t="s">
        <v>2266</v>
      </c>
      <c r="B207">
        <v>1210206108</v>
      </c>
      <c r="C207">
        <v>1133</v>
      </c>
      <c r="D207">
        <f>IF(쿼리1[[#This Row],[Value.Duration]]/100&lt;=10,10,ROUND(쿼리1[[#This Row],[Value.Duration]]/100*0.7,-1))</f>
        <v>10</v>
      </c>
    </row>
    <row r="208" spans="1:4" x14ac:dyDescent="0.3">
      <c r="A208" t="s">
        <v>2267</v>
      </c>
      <c r="B208">
        <v>1210206109</v>
      </c>
      <c r="C208">
        <v>1133</v>
      </c>
      <c r="D208">
        <f>IF(쿼리1[[#This Row],[Value.Duration]]/100&lt;=10,10,ROUND(쿼리1[[#This Row],[Value.Duration]]/100*0.7,-1))</f>
        <v>10</v>
      </c>
    </row>
    <row r="209" spans="1:4" x14ac:dyDescent="0.3">
      <c r="A209" t="s">
        <v>2268</v>
      </c>
      <c r="B209">
        <v>1210206110</v>
      </c>
      <c r="C209">
        <v>533</v>
      </c>
      <c r="D209">
        <f>IF(쿼리1[[#This Row],[Value.Duration]]/100&lt;=10,10,ROUND(쿼리1[[#This Row],[Value.Duration]]/100*0.7,-1))</f>
        <v>10</v>
      </c>
    </row>
    <row r="210" spans="1:4" x14ac:dyDescent="0.3">
      <c r="A210" t="s">
        <v>2269</v>
      </c>
      <c r="B210">
        <v>1210206111</v>
      </c>
      <c r="C210">
        <v>400</v>
      </c>
      <c r="D210">
        <f>IF(쿼리1[[#This Row],[Value.Duration]]/100&lt;=10,10,ROUND(쿼리1[[#This Row],[Value.Duration]]/100*0.7,-1))</f>
        <v>10</v>
      </c>
    </row>
    <row r="211" spans="1:4" x14ac:dyDescent="0.3">
      <c r="A211" t="s">
        <v>2270</v>
      </c>
      <c r="B211">
        <v>1210206112</v>
      </c>
      <c r="C211">
        <v>733</v>
      </c>
      <c r="D211">
        <f>IF(쿼리1[[#This Row],[Value.Duration]]/100&lt;=10,10,ROUND(쿼리1[[#This Row],[Value.Duration]]/100*0.7,-1))</f>
        <v>10</v>
      </c>
    </row>
    <row r="212" spans="1:4" x14ac:dyDescent="0.3">
      <c r="A212" t="s">
        <v>2271</v>
      </c>
      <c r="B212">
        <v>1210206113</v>
      </c>
      <c r="C212">
        <v>800</v>
      </c>
      <c r="D212">
        <f>IF(쿼리1[[#This Row],[Value.Duration]]/100&lt;=10,10,ROUND(쿼리1[[#This Row],[Value.Duration]]/100*0.7,-1))</f>
        <v>10</v>
      </c>
    </row>
    <row r="213" spans="1:4" x14ac:dyDescent="0.3">
      <c r="A213" t="s">
        <v>2272</v>
      </c>
      <c r="B213">
        <v>1210206114</v>
      </c>
      <c r="C213">
        <v>833</v>
      </c>
      <c r="D213">
        <f>IF(쿼리1[[#This Row],[Value.Duration]]/100&lt;=10,10,ROUND(쿼리1[[#This Row],[Value.Duration]]/100*0.7,-1))</f>
        <v>10</v>
      </c>
    </row>
    <row r="214" spans="1:4" x14ac:dyDescent="0.3">
      <c r="A214" t="s">
        <v>2273</v>
      </c>
      <c r="B214">
        <v>1210206115</v>
      </c>
      <c r="C214">
        <v>533</v>
      </c>
      <c r="D214">
        <f>IF(쿼리1[[#This Row],[Value.Duration]]/100&lt;=10,10,ROUND(쿼리1[[#This Row],[Value.Duration]]/100*0.7,-1))</f>
        <v>10</v>
      </c>
    </row>
    <row r="215" spans="1:4" x14ac:dyDescent="0.3">
      <c r="A215" t="s">
        <v>2274</v>
      </c>
      <c r="B215">
        <v>1210206116</v>
      </c>
      <c r="C215">
        <v>533</v>
      </c>
      <c r="D215">
        <f>IF(쿼리1[[#This Row],[Value.Duration]]/100&lt;=10,10,ROUND(쿼리1[[#This Row],[Value.Duration]]/100*0.7,-1))</f>
        <v>10</v>
      </c>
    </row>
    <row r="216" spans="1:4" x14ac:dyDescent="0.3">
      <c r="A216" t="s">
        <v>2275</v>
      </c>
      <c r="B216">
        <v>1210206117</v>
      </c>
      <c r="C216">
        <v>1133</v>
      </c>
      <c r="D216">
        <f>IF(쿼리1[[#This Row],[Value.Duration]]/100&lt;=10,10,ROUND(쿼리1[[#This Row],[Value.Duration]]/100*0.7,-1))</f>
        <v>10</v>
      </c>
    </row>
    <row r="217" spans="1:4" x14ac:dyDescent="0.3">
      <c r="A217" t="s">
        <v>2276</v>
      </c>
      <c r="B217">
        <v>1210206118</v>
      </c>
      <c r="C217">
        <v>1133</v>
      </c>
      <c r="D217">
        <f>IF(쿼리1[[#This Row],[Value.Duration]]/100&lt;=10,10,ROUND(쿼리1[[#This Row],[Value.Duration]]/100*0.7,-1))</f>
        <v>10</v>
      </c>
    </row>
    <row r="218" spans="1:4" x14ac:dyDescent="0.3">
      <c r="A218" t="s">
        <v>2277</v>
      </c>
      <c r="B218">
        <v>1210206201</v>
      </c>
      <c r="C218">
        <v>1000</v>
      </c>
      <c r="D218">
        <f>IF(쿼리1[[#This Row],[Value.Duration]]/100&lt;=10,10,ROUND(쿼리1[[#This Row],[Value.Duration]]/100*0.7,-1))</f>
        <v>10</v>
      </c>
    </row>
    <row r="219" spans="1:4" x14ac:dyDescent="0.3">
      <c r="A219" t="s">
        <v>2278</v>
      </c>
      <c r="B219">
        <v>1210206202</v>
      </c>
      <c r="C219">
        <v>800</v>
      </c>
      <c r="D219">
        <f>IF(쿼리1[[#This Row],[Value.Duration]]/100&lt;=10,10,ROUND(쿼리1[[#This Row],[Value.Duration]]/100*0.7,-1))</f>
        <v>10</v>
      </c>
    </row>
    <row r="220" spans="1:4" x14ac:dyDescent="0.3">
      <c r="A220" t="s">
        <v>2279</v>
      </c>
      <c r="B220">
        <v>1210206203</v>
      </c>
      <c r="C220">
        <v>666</v>
      </c>
      <c r="D220">
        <f>IF(쿼리1[[#This Row],[Value.Duration]]/100&lt;=10,10,ROUND(쿼리1[[#This Row],[Value.Duration]]/100*0.7,-1))</f>
        <v>10</v>
      </c>
    </row>
    <row r="221" spans="1:4" x14ac:dyDescent="0.3">
      <c r="A221" t="s">
        <v>2280</v>
      </c>
      <c r="B221">
        <v>1210206301</v>
      </c>
      <c r="C221">
        <v>1033</v>
      </c>
      <c r="D221">
        <f>IF(쿼리1[[#This Row],[Value.Duration]]/100&lt;=10,10,ROUND(쿼리1[[#This Row],[Value.Duration]]/100*0.7,-1))</f>
        <v>10</v>
      </c>
    </row>
    <row r="222" spans="1:4" x14ac:dyDescent="0.3">
      <c r="A222" t="s">
        <v>2281</v>
      </c>
      <c r="B222">
        <v>1210206302</v>
      </c>
      <c r="C222">
        <v>1033</v>
      </c>
      <c r="D222">
        <f>IF(쿼리1[[#This Row],[Value.Duration]]/100&lt;=10,10,ROUND(쿼리1[[#This Row],[Value.Duration]]/100*0.7,-1))</f>
        <v>10</v>
      </c>
    </row>
    <row r="223" spans="1:4" x14ac:dyDescent="0.3">
      <c r="A223" t="s">
        <v>2282</v>
      </c>
      <c r="B223">
        <v>1210207101</v>
      </c>
      <c r="C223">
        <v>533</v>
      </c>
      <c r="D223">
        <f>IF(쿼리1[[#This Row],[Value.Duration]]/100&lt;=10,10,ROUND(쿼리1[[#This Row],[Value.Duration]]/100*0.7,-1))</f>
        <v>10</v>
      </c>
    </row>
    <row r="224" spans="1:4" x14ac:dyDescent="0.3">
      <c r="A224" t="s">
        <v>2283</v>
      </c>
      <c r="B224">
        <v>1210207102</v>
      </c>
      <c r="C224">
        <v>533</v>
      </c>
      <c r="D224">
        <f>IF(쿼리1[[#This Row],[Value.Duration]]/100&lt;=10,10,ROUND(쿼리1[[#This Row],[Value.Duration]]/100*0.7,-1))</f>
        <v>10</v>
      </c>
    </row>
    <row r="225" spans="1:4" x14ac:dyDescent="0.3">
      <c r="A225" t="s">
        <v>2284</v>
      </c>
      <c r="B225">
        <v>1210207103</v>
      </c>
      <c r="C225">
        <v>466</v>
      </c>
      <c r="D225">
        <f>IF(쿼리1[[#This Row],[Value.Duration]]/100&lt;=10,10,ROUND(쿼리1[[#This Row],[Value.Duration]]/100*0.7,-1))</f>
        <v>10</v>
      </c>
    </row>
    <row r="226" spans="1:4" x14ac:dyDescent="0.3">
      <c r="A226" t="s">
        <v>2285</v>
      </c>
      <c r="B226">
        <v>1210207104</v>
      </c>
      <c r="C226">
        <v>600</v>
      </c>
      <c r="D226">
        <f>IF(쿼리1[[#This Row],[Value.Duration]]/100&lt;=10,10,ROUND(쿼리1[[#This Row],[Value.Duration]]/100*0.7,-1))</f>
        <v>10</v>
      </c>
    </row>
    <row r="227" spans="1:4" x14ac:dyDescent="0.3">
      <c r="A227" t="s">
        <v>2286</v>
      </c>
      <c r="B227">
        <v>1210207105</v>
      </c>
      <c r="C227">
        <v>466</v>
      </c>
      <c r="D227">
        <f>IF(쿼리1[[#This Row],[Value.Duration]]/100&lt;=10,10,ROUND(쿼리1[[#This Row],[Value.Duration]]/100*0.7,-1))</f>
        <v>10</v>
      </c>
    </row>
    <row r="228" spans="1:4" x14ac:dyDescent="0.3">
      <c r="A228" t="s">
        <v>2287</v>
      </c>
      <c r="B228">
        <v>1210207106</v>
      </c>
      <c r="C228">
        <v>533</v>
      </c>
      <c r="D228">
        <f>IF(쿼리1[[#This Row],[Value.Duration]]/100&lt;=10,10,ROUND(쿼리1[[#This Row],[Value.Duration]]/100*0.7,-1))</f>
        <v>10</v>
      </c>
    </row>
    <row r="229" spans="1:4" x14ac:dyDescent="0.3">
      <c r="A229" t="s">
        <v>2288</v>
      </c>
      <c r="B229">
        <v>1210207107</v>
      </c>
      <c r="C229">
        <v>933</v>
      </c>
      <c r="D229">
        <f>IF(쿼리1[[#This Row],[Value.Duration]]/100&lt;=10,10,ROUND(쿼리1[[#This Row],[Value.Duration]]/100*0.7,-1))</f>
        <v>10</v>
      </c>
    </row>
    <row r="230" spans="1:4" x14ac:dyDescent="0.3">
      <c r="A230" t="s">
        <v>2289</v>
      </c>
      <c r="B230">
        <v>1210207108</v>
      </c>
      <c r="C230">
        <v>466</v>
      </c>
      <c r="D230">
        <f>IF(쿼리1[[#This Row],[Value.Duration]]/100&lt;=10,10,ROUND(쿼리1[[#This Row],[Value.Duration]]/100*0.7,-1))</f>
        <v>10</v>
      </c>
    </row>
    <row r="231" spans="1:4" x14ac:dyDescent="0.3">
      <c r="A231" t="s">
        <v>2290</v>
      </c>
      <c r="B231">
        <v>1210207109</v>
      </c>
      <c r="C231">
        <v>666</v>
      </c>
      <c r="D231">
        <f>IF(쿼리1[[#This Row],[Value.Duration]]/100&lt;=10,10,ROUND(쿼리1[[#This Row],[Value.Duration]]/100*0.7,-1))</f>
        <v>10</v>
      </c>
    </row>
    <row r="232" spans="1:4" x14ac:dyDescent="0.3">
      <c r="A232" t="s">
        <v>2291</v>
      </c>
      <c r="B232">
        <v>1210207110</v>
      </c>
      <c r="C232">
        <v>533</v>
      </c>
      <c r="D232">
        <f>IF(쿼리1[[#This Row],[Value.Duration]]/100&lt;=10,10,ROUND(쿼리1[[#This Row],[Value.Duration]]/100*0.7,-1))</f>
        <v>10</v>
      </c>
    </row>
    <row r="233" spans="1:4" x14ac:dyDescent="0.3">
      <c r="A233" t="s">
        <v>2292</v>
      </c>
      <c r="B233">
        <v>1210207111</v>
      </c>
      <c r="C233">
        <v>533</v>
      </c>
      <c r="D233">
        <f>IF(쿼리1[[#This Row],[Value.Duration]]/100&lt;=10,10,ROUND(쿼리1[[#This Row],[Value.Duration]]/100*0.7,-1))</f>
        <v>10</v>
      </c>
    </row>
    <row r="234" spans="1:4" x14ac:dyDescent="0.3">
      <c r="A234" t="s">
        <v>2293</v>
      </c>
      <c r="B234">
        <v>1210207112</v>
      </c>
      <c r="C234">
        <v>466</v>
      </c>
      <c r="D234">
        <f>IF(쿼리1[[#This Row],[Value.Duration]]/100&lt;=10,10,ROUND(쿼리1[[#This Row],[Value.Duration]]/100*0.7,-1))</f>
        <v>10</v>
      </c>
    </row>
    <row r="235" spans="1:4" x14ac:dyDescent="0.3">
      <c r="A235" t="s">
        <v>2294</v>
      </c>
      <c r="B235">
        <v>1210207113</v>
      </c>
      <c r="C235">
        <v>600</v>
      </c>
      <c r="D235">
        <f>IF(쿼리1[[#This Row],[Value.Duration]]/100&lt;=10,10,ROUND(쿼리1[[#This Row],[Value.Duration]]/100*0.7,-1))</f>
        <v>10</v>
      </c>
    </row>
    <row r="236" spans="1:4" x14ac:dyDescent="0.3">
      <c r="A236" t="s">
        <v>2295</v>
      </c>
      <c r="B236">
        <v>1210207114</v>
      </c>
      <c r="C236">
        <v>466</v>
      </c>
      <c r="D236">
        <f>IF(쿼리1[[#This Row],[Value.Duration]]/100&lt;=10,10,ROUND(쿼리1[[#This Row],[Value.Duration]]/100*0.7,-1))</f>
        <v>10</v>
      </c>
    </row>
    <row r="237" spans="1:4" x14ac:dyDescent="0.3">
      <c r="A237" t="s">
        <v>2296</v>
      </c>
      <c r="B237">
        <v>1210207115</v>
      </c>
      <c r="C237">
        <v>533</v>
      </c>
      <c r="D237">
        <f>IF(쿼리1[[#This Row],[Value.Duration]]/100&lt;=10,10,ROUND(쿼리1[[#This Row],[Value.Duration]]/100*0.7,-1))</f>
        <v>10</v>
      </c>
    </row>
    <row r="238" spans="1:4" x14ac:dyDescent="0.3">
      <c r="A238" t="s">
        <v>2297</v>
      </c>
      <c r="B238">
        <v>1210207116</v>
      </c>
      <c r="C238">
        <v>933</v>
      </c>
      <c r="D238">
        <f>IF(쿼리1[[#This Row],[Value.Duration]]/100&lt;=10,10,ROUND(쿼리1[[#This Row],[Value.Duration]]/100*0.7,-1))</f>
        <v>10</v>
      </c>
    </row>
    <row r="239" spans="1:4" x14ac:dyDescent="0.3">
      <c r="A239" t="s">
        <v>2298</v>
      </c>
      <c r="B239">
        <v>1210207117</v>
      </c>
      <c r="C239">
        <v>466</v>
      </c>
      <c r="D239">
        <f>IF(쿼리1[[#This Row],[Value.Duration]]/100&lt;=10,10,ROUND(쿼리1[[#This Row],[Value.Duration]]/100*0.7,-1))</f>
        <v>10</v>
      </c>
    </row>
    <row r="240" spans="1:4" x14ac:dyDescent="0.3">
      <c r="A240" t="s">
        <v>2299</v>
      </c>
      <c r="B240">
        <v>1210207118</v>
      </c>
      <c r="C240">
        <v>666</v>
      </c>
      <c r="D240">
        <f>IF(쿼리1[[#This Row],[Value.Duration]]/100&lt;=10,10,ROUND(쿼리1[[#This Row],[Value.Duration]]/100*0.7,-1))</f>
        <v>10</v>
      </c>
    </row>
    <row r="241" spans="1:4" x14ac:dyDescent="0.3">
      <c r="A241" t="s">
        <v>2300</v>
      </c>
      <c r="B241">
        <v>1210207201</v>
      </c>
      <c r="C241">
        <v>666</v>
      </c>
      <c r="D241">
        <f>IF(쿼리1[[#This Row],[Value.Duration]]/100&lt;=10,10,ROUND(쿼리1[[#This Row],[Value.Duration]]/100*0.7,-1))</f>
        <v>10</v>
      </c>
    </row>
    <row r="242" spans="1:4" x14ac:dyDescent="0.3">
      <c r="A242" t="s">
        <v>2301</v>
      </c>
      <c r="B242">
        <v>1210207202</v>
      </c>
      <c r="C242">
        <v>933</v>
      </c>
      <c r="D242">
        <f>IF(쿼리1[[#This Row],[Value.Duration]]/100&lt;=10,10,ROUND(쿼리1[[#This Row],[Value.Duration]]/100*0.7,-1))</f>
        <v>10</v>
      </c>
    </row>
    <row r="243" spans="1:4" x14ac:dyDescent="0.3">
      <c r="A243" t="s">
        <v>2302</v>
      </c>
      <c r="B243">
        <v>1210207203</v>
      </c>
      <c r="C243">
        <v>1833</v>
      </c>
      <c r="D243">
        <f>IF(쿼리1[[#This Row],[Value.Duration]]/100&lt;=10,10,ROUND(쿼리1[[#This Row],[Value.Duration]]/100*0.7,-1))</f>
        <v>10</v>
      </c>
    </row>
    <row r="244" spans="1:4" x14ac:dyDescent="0.3">
      <c r="A244" t="s">
        <v>2303</v>
      </c>
      <c r="B244">
        <v>1210207301</v>
      </c>
      <c r="C244">
        <v>800</v>
      </c>
      <c r="D244">
        <f>IF(쿼리1[[#This Row],[Value.Duration]]/100&lt;=10,10,ROUND(쿼리1[[#This Row],[Value.Duration]]/100*0.7,-1))</f>
        <v>10</v>
      </c>
    </row>
    <row r="245" spans="1:4" x14ac:dyDescent="0.3">
      <c r="A245" t="s">
        <v>2304</v>
      </c>
      <c r="B245">
        <v>1210207302</v>
      </c>
      <c r="C245">
        <v>800</v>
      </c>
      <c r="D245">
        <f>IF(쿼리1[[#This Row],[Value.Duration]]/100&lt;=10,10,ROUND(쿼리1[[#This Row],[Value.Duration]]/100*0.7,-1))</f>
        <v>10</v>
      </c>
    </row>
    <row r="246" spans="1:4" x14ac:dyDescent="0.3">
      <c r="A246" t="s">
        <v>2305</v>
      </c>
      <c r="B246">
        <v>1210208101</v>
      </c>
      <c r="C246">
        <v>533</v>
      </c>
      <c r="D246">
        <f>IF(쿼리1[[#This Row],[Value.Duration]]/100&lt;=10,10,ROUND(쿼리1[[#This Row],[Value.Duration]]/100*0.7,-1))</f>
        <v>10</v>
      </c>
    </row>
    <row r="247" spans="1:4" x14ac:dyDescent="0.3">
      <c r="A247" t="s">
        <v>2306</v>
      </c>
      <c r="B247">
        <v>1210208102</v>
      </c>
      <c r="C247">
        <v>666</v>
      </c>
      <c r="D247">
        <f>IF(쿼리1[[#This Row],[Value.Duration]]/100&lt;=10,10,ROUND(쿼리1[[#This Row],[Value.Duration]]/100*0.7,-1))</f>
        <v>10</v>
      </c>
    </row>
    <row r="248" spans="1:4" x14ac:dyDescent="0.3">
      <c r="A248" t="s">
        <v>2307</v>
      </c>
      <c r="B248">
        <v>1210208103</v>
      </c>
      <c r="C248">
        <v>733</v>
      </c>
      <c r="D248">
        <f>IF(쿼리1[[#This Row],[Value.Duration]]/100&lt;=10,10,ROUND(쿼리1[[#This Row],[Value.Duration]]/100*0.7,-1))</f>
        <v>10</v>
      </c>
    </row>
    <row r="249" spans="1:4" x14ac:dyDescent="0.3">
      <c r="A249" t="s">
        <v>2308</v>
      </c>
      <c r="B249">
        <v>1210208104</v>
      </c>
      <c r="C249">
        <v>733</v>
      </c>
      <c r="D249">
        <f>IF(쿼리1[[#This Row],[Value.Duration]]/100&lt;=10,10,ROUND(쿼리1[[#This Row],[Value.Duration]]/100*0.7,-1))</f>
        <v>10</v>
      </c>
    </row>
    <row r="250" spans="1:4" x14ac:dyDescent="0.3">
      <c r="A250" t="s">
        <v>2309</v>
      </c>
      <c r="B250">
        <v>1210208105</v>
      </c>
      <c r="C250">
        <v>733</v>
      </c>
      <c r="D250">
        <f>IF(쿼리1[[#This Row],[Value.Duration]]/100&lt;=10,10,ROUND(쿼리1[[#This Row],[Value.Duration]]/100*0.7,-1))</f>
        <v>10</v>
      </c>
    </row>
    <row r="251" spans="1:4" x14ac:dyDescent="0.3">
      <c r="A251" t="s">
        <v>2310</v>
      </c>
      <c r="B251">
        <v>1210208106</v>
      </c>
      <c r="C251">
        <v>733</v>
      </c>
      <c r="D251">
        <f>IF(쿼리1[[#This Row],[Value.Duration]]/100&lt;=10,10,ROUND(쿼리1[[#This Row],[Value.Duration]]/100*0.7,-1))</f>
        <v>10</v>
      </c>
    </row>
    <row r="252" spans="1:4" x14ac:dyDescent="0.3">
      <c r="A252" t="s">
        <v>2311</v>
      </c>
      <c r="B252">
        <v>1210208107</v>
      </c>
      <c r="C252">
        <v>1000</v>
      </c>
      <c r="D252">
        <f>IF(쿼리1[[#This Row],[Value.Duration]]/100&lt;=10,10,ROUND(쿼리1[[#This Row],[Value.Duration]]/100*0.7,-1))</f>
        <v>10</v>
      </c>
    </row>
    <row r="253" spans="1:4" x14ac:dyDescent="0.3">
      <c r="A253" t="s">
        <v>2312</v>
      </c>
      <c r="B253">
        <v>1210208108</v>
      </c>
      <c r="C253">
        <v>733</v>
      </c>
      <c r="D253">
        <f>IF(쿼리1[[#This Row],[Value.Duration]]/100&lt;=10,10,ROUND(쿼리1[[#This Row],[Value.Duration]]/100*0.7,-1))</f>
        <v>10</v>
      </c>
    </row>
    <row r="254" spans="1:4" x14ac:dyDescent="0.3">
      <c r="A254" t="s">
        <v>2313</v>
      </c>
      <c r="B254">
        <v>1210208109</v>
      </c>
      <c r="C254">
        <v>533</v>
      </c>
      <c r="D254">
        <f>IF(쿼리1[[#This Row],[Value.Duration]]/100&lt;=10,10,ROUND(쿼리1[[#This Row],[Value.Duration]]/100*0.7,-1))</f>
        <v>10</v>
      </c>
    </row>
    <row r="255" spans="1:4" x14ac:dyDescent="0.3">
      <c r="A255" t="s">
        <v>2314</v>
      </c>
      <c r="B255">
        <v>1210208110</v>
      </c>
      <c r="C255">
        <v>666</v>
      </c>
      <c r="D255">
        <f>IF(쿼리1[[#This Row],[Value.Duration]]/100&lt;=10,10,ROUND(쿼리1[[#This Row],[Value.Duration]]/100*0.7,-1))</f>
        <v>10</v>
      </c>
    </row>
    <row r="256" spans="1:4" x14ac:dyDescent="0.3">
      <c r="A256" t="s">
        <v>2315</v>
      </c>
      <c r="B256">
        <v>1210208111</v>
      </c>
      <c r="C256">
        <v>733</v>
      </c>
      <c r="D256">
        <f>IF(쿼리1[[#This Row],[Value.Duration]]/100&lt;=10,10,ROUND(쿼리1[[#This Row],[Value.Duration]]/100*0.7,-1))</f>
        <v>10</v>
      </c>
    </row>
    <row r="257" spans="1:4" x14ac:dyDescent="0.3">
      <c r="A257" t="s">
        <v>2316</v>
      </c>
      <c r="B257">
        <v>1210208112</v>
      </c>
      <c r="C257">
        <v>733</v>
      </c>
      <c r="D257">
        <f>IF(쿼리1[[#This Row],[Value.Duration]]/100&lt;=10,10,ROUND(쿼리1[[#This Row],[Value.Duration]]/100*0.7,-1))</f>
        <v>10</v>
      </c>
    </row>
    <row r="258" spans="1:4" x14ac:dyDescent="0.3">
      <c r="A258" t="s">
        <v>2317</v>
      </c>
      <c r="B258">
        <v>1210208113</v>
      </c>
      <c r="C258">
        <v>733</v>
      </c>
      <c r="D258">
        <f>IF(쿼리1[[#This Row],[Value.Duration]]/100&lt;=10,10,ROUND(쿼리1[[#This Row],[Value.Duration]]/100*0.7,-1))</f>
        <v>10</v>
      </c>
    </row>
    <row r="259" spans="1:4" x14ac:dyDescent="0.3">
      <c r="A259" t="s">
        <v>2318</v>
      </c>
      <c r="B259">
        <v>1210208114</v>
      </c>
      <c r="C259">
        <v>733</v>
      </c>
      <c r="D259">
        <f>IF(쿼리1[[#This Row],[Value.Duration]]/100&lt;=10,10,ROUND(쿼리1[[#This Row],[Value.Duration]]/100*0.7,-1))</f>
        <v>10</v>
      </c>
    </row>
    <row r="260" spans="1:4" x14ac:dyDescent="0.3">
      <c r="A260" t="s">
        <v>2319</v>
      </c>
      <c r="B260">
        <v>1210208115</v>
      </c>
      <c r="C260">
        <v>1000</v>
      </c>
      <c r="D260">
        <f>IF(쿼리1[[#This Row],[Value.Duration]]/100&lt;=10,10,ROUND(쿼리1[[#This Row],[Value.Duration]]/100*0.7,-1))</f>
        <v>10</v>
      </c>
    </row>
    <row r="261" spans="1:4" x14ac:dyDescent="0.3">
      <c r="A261" t="s">
        <v>2320</v>
      </c>
      <c r="B261">
        <v>1210208116</v>
      </c>
      <c r="C261">
        <v>733</v>
      </c>
      <c r="D261">
        <f>IF(쿼리1[[#This Row],[Value.Duration]]/100&lt;=10,10,ROUND(쿼리1[[#This Row],[Value.Duration]]/100*0.7,-1))</f>
        <v>10</v>
      </c>
    </row>
    <row r="262" spans="1:4" x14ac:dyDescent="0.3">
      <c r="A262" t="s">
        <v>2321</v>
      </c>
      <c r="B262">
        <v>1210208117</v>
      </c>
      <c r="C262">
        <v>733</v>
      </c>
      <c r="D262">
        <f>IF(쿼리1[[#This Row],[Value.Duration]]/100&lt;=10,10,ROUND(쿼리1[[#This Row],[Value.Duration]]/100*0.7,-1))</f>
        <v>10</v>
      </c>
    </row>
    <row r="263" spans="1:4" x14ac:dyDescent="0.3">
      <c r="A263" t="s">
        <v>2322</v>
      </c>
      <c r="B263">
        <v>1210208118</v>
      </c>
      <c r="C263">
        <v>733</v>
      </c>
      <c r="D263">
        <f>IF(쿼리1[[#This Row],[Value.Duration]]/100&lt;=10,10,ROUND(쿼리1[[#This Row],[Value.Duration]]/100*0.7,-1))</f>
        <v>10</v>
      </c>
    </row>
    <row r="264" spans="1:4" x14ac:dyDescent="0.3">
      <c r="A264" t="s">
        <v>2323</v>
      </c>
      <c r="B264">
        <v>1210208201</v>
      </c>
      <c r="C264">
        <v>1200</v>
      </c>
      <c r="D264">
        <f>IF(쿼리1[[#This Row],[Value.Duration]]/100&lt;=10,10,ROUND(쿼리1[[#This Row],[Value.Duration]]/100*0.7,-1))</f>
        <v>10</v>
      </c>
    </row>
    <row r="265" spans="1:4" x14ac:dyDescent="0.3">
      <c r="A265" t="s">
        <v>2324</v>
      </c>
      <c r="B265">
        <v>1210208202</v>
      </c>
      <c r="C265">
        <v>1000</v>
      </c>
      <c r="D265">
        <f>IF(쿼리1[[#This Row],[Value.Duration]]/100&lt;=10,10,ROUND(쿼리1[[#This Row],[Value.Duration]]/100*0.7,-1))</f>
        <v>10</v>
      </c>
    </row>
    <row r="266" spans="1:4" x14ac:dyDescent="0.3">
      <c r="A266" t="s">
        <v>2325</v>
      </c>
      <c r="B266">
        <v>1210208203</v>
      </c>
      <c r="C266">
        <v>1600</v>
      </c>
      <c r="D266">
        <f>IF(쿼리1[[#This Row],[Value.Duration]]/100&lt;=10,10,ROUND(쿼리1[[#This Row],[Value.Duration]]/100*0.7,-1))</f>
        <v>10</v>
      </c>
    </row>
    <row r="267" spans="1:4" x14ac:dyDescent="0.3">
      <c r="A267" t="s">
        <v>2326</v>
      </c>
      <c r="B267">
        <v>1210208301</v>
      </c>
      <c r="C267">
        <v>1600</v>
      </c>
      <c r="D267">
        <f>IF(쿼리1[[#This Row],[Value.Duration]]/100&lt;=10,10,ROUND(쿼리1[[#This Row],[Value.Duration]]/100*0.7,-1))</f>
        <v>10</v>
      </c>
    </row>
    <row r="268" spans="1:4" x14ac:dyDescent="0.3">
      <c r="A268" t="s">
        <v>2327</v>
      </c>
      <c r="B268">
        <v>1210208302</v>
      </c>
      <c r="C268">
        <v>1733</v>
      </c>
      <c r="D268">
        <f>IF(쿼리1[[#This Row],[Value.Duration]]/100&lt;=10,10,ROUND(쿼리1[[#This Row],[Value.Duration]]/100*0.7,-1))</f>
        <v>10</v>
      </c>
    </row>
    <row r="269" spans="1:4" x14ac:dyDescent="0.3">
      <c r="A269" t="s">
        <v>2328</v>
      </c>
      <c r="B269">
        <v>1310201101</v>
      </c>
      <c r="C269">
        <v>1633</v>
      </c>
      <c r="D269">
        <f>IF(쿼리1[[#This Row],[Value.Duration]]/100&lt;=10,10,ROUND(쿼리1[[#This Row],[Value.Duration]]/100*0.7,-1))</f>
        <v>10</v>
      </c>
    </row>
    <row r="270" spans="1:4" x14ac:dyDescent="0.3">
      <c r="A270" t="s">
        <v>2329</v>
      </c>
      <c r="B270">
        <v>1310201102</v>
      </c>
      <c r="C270">
        <v>4000</v>
      </c>
      <c r="D270">
        <f>IF(쿼리1[[#This Row],[Value.Duration]]/100&lt;=10,10,ROUND(쿼리1[[#This Row],[Value.Duration]]/100*0.7,-1))</f>
        <v>30</v>
      </c>
    </row>
    <row r="271" spans="1:4" x14ac:dyDescent="0.3">
      <c r="A271" t="s">
        <v>2330</v>
      </c>
      <c r="B271">
        <v>1310201103</v>
      </c>
      <c r="C271">
        <v>800</v>
      </c>
      <c r="D271">
        <f>IF(쿼리1[[#This Row],[Value.Duration]]/100&lt;=10,10,ROUND(쿼리1[[#This Row],[Value.Duration]]/100*0.7,-1))</f>
        <v>10</v>
      </c>
    </row>
    <row r="272" spans="1:4" x14ac:dyDescent="0.3">
      <c r="A272" t="s">
        <v>2331</v>
      </c>
      <c r="B272">
        <v>1310201104</v>
      </c>
      <c r="C272">
        <v>1666</v>
      </c>
      <c r="D272">
        <f>IF(쿼리1[[#This Row],[Value.Duration]]/100&lt;=10,10,ROUND(쿼리1[[#This Row],[Value.Duration]]/100*0.7,-1))</f>
        <v>10</v>
      </c>
    </row>
    <row r="273" spans="1:4" x14ac:dyDescent="0.3">
      <c r="A273" t="s">
        <v>2332</v>
      </c>
      <c r="B273">
        <v>1310201105</v>
      </c>
      <c r="C273">
        <v>666</v>
      </c>
      <c r="D273">
        <f>IF(쿼리1[[#This Row],[Value.Duration]]/100&lt;=10,10,ROUND(쿼리1[[#This Row],[Value.Duration]]/100*0.7,-1))</f>
        <v>10</v>
      </c>
    </row>
    <row r="274" spans="1:4" x14ac:dyDescent="0.3">
      <c r="A274" t="s">
        <v>2333</v>
      </c>
      <c r="B274">
        <v>1310201106</v>
      </c>
      <c r="C274">
        <v>666</v>
      </c>
      <c r="D274">
        <f>IF(쿼리1[[#This Row],[Value.Duration]]/100&lt;=10,10,ROUND(쿼리1[[#This Row],[Value.Duration]]/100*0.7,-1))</f>
        <v>10</v>
      </c>
    </row>
    <row r="275" spans="1:4" x14ac:dyDescent="0.3">
      <c r="A275" t="s">
        <v>2334</v>
      </c>
      <c r="B275">
        <v>1310201107</v>
      </c>
      <c r="C275">
        <v>600</v>
      </c>
      <c r="D275">
        <f>IF(쿼리1[[#This Row],[Value.Duration]]/100&lt;=10,10,ROUND(쿼리1[[#This Row],[Value.Duration]]/100*0.7,-1))</f>
        <v>10</v>
      </c>
    </row>
    <row r="276" spans="1:4" x14ac:dyDescent="0.3">
      <c r="A276" t="s">
        <v>2335</v>
      </c>
      <c r="B276">
        <v>1310201108</v>
      </c>
      <c r="C276">
        <v>733</v>
      </c>
      <c r="D276">
        <f>IF(쿼리1[[#This Row],[Value.Duration]]/100&lt;=10,10,ROUND(쿼리1[[#This Row],[Value.Duration]]/100*0.7,-1))</f>
        <v>10</v>
      </c>
    </row>
    <row r="277" spans="1:4" x14ac:dyDescent="0.3">
      <c r="A277" t="s">
        <v>2336</v>
      </c>
      <c r="B277">
        <v>1310201109</v>
      </c>
      <c r="C277">
        <v>800</v>
      </c>
      <c r="D277">
        <f>IF(쿼리1[[#This Row],[Value.Duration]]/100&lt;=10,10,ROUND(쿼리1[[#This Row],[Value.Duration]]/100*0.7,-1))</f>
        <v>10</v>
      </c>
    </row>
    <row r="278" spans="1:4" x14ac:dyDescent="0.3">
      <c r="A278" t="s">
        <v>2337</v>
      </c>
      <c r="B278">
        <v>1310201110</v>
      </c>
      <c r="C278">
        <v>1633</v>
      </c>
      <c r="D278">
        <f>IF(쿼리1[[#This Row],[Value.Duration]]/100&lt;=10,10,ROUND(쿼리1[[#This Row],[Value.Duration]]/100*0.7,-1))</f>
        <v>10</v>
      </c>
    </row>
    <row r="279" spans="1:4" x14ac:dyDescent="0.3">
      <c r="A279" t="s">
        <v>2338</v>
      </c>
      <c r="B279">
        <v>1310201111</v>
      </c>
      <c r="C279">
        <v>4000</v>
      </c>
      <c r="D279">
        <f>IF(쿼리1[[#This Row],[Value.Duration]]/100&lt;=10,10,ROUND(쿼리1[[#This Row],[Value.Duration]]/100*0.7,-1))</f>
        <v>30</v>
      </c>
    </row>
    <row r="280" spans="1:4" x14ac:dyDescent="0.3">
      <c r="A280" t="s">
        <v>2339</v>
      </c>
      <c r="B280">
        <v>1310201112</v>
      </c>
      <c r="C280">
        <v>800</v>
      </c>
      <c r="D280">
        <f>IF(쿼리1[[#This Row],[Value.Duration]]/100&lt;=10,10,ROUND(쿼리1[[#This Row],[Value.Duration]]/100*0.7,-1))</f>
        <v>10</v>
      </c>
    </row>
    <row r="281" spans="1:4" x14ac:dyDescent="0.3">
      <c r="A281" t="s">
        <v>2340</v>
      </c>
      <c r="B281">
        <v>1310201113</v>
      </c>
      <c r="C281">
        <v>1666</v>
      </c>
      <c r="D281">
        <f>IF(쿼리1[[#This Row],[Value.Duration]]/100&lt;=10,10,ROUND(쿼리1[[#This Row],[Value.Duration]]/100*0.7,-1))</f>
        <v>10</v>
      </c>
    </row>
    <row r="282" spans="1:4" x14ac:dyDescent="0.3">
      <c r="A282" t="s">
        <v>2341</v>
      </c>
      <c r="B282">
        <v>1310201114</v>
      </c>
      <c r="C282">
        <v>666</v>
      </c>
      <c r="D282">
        <f>IF(쿼리1[[#This Row],[Value.Duration]]/100&lt;=10,10,ROUND(쿼리1[[#This Row],[Value.Duration]]/100*0.7,-1))</f>
        <v>10</v>
      </c>
    </row>
    <row r="283" spans="1:4" x14ac:dyDescent="0.3">
      <c r="A283" t="s">
        <v>2342</v>
      </c>
      <c r="B283">
        <v>1310201115</v>
      </c>
      <c r="C283">
        <v>666</v>
      </c>
      <c r="D283">
        <f>IF(쿼리1[[#This Row],[Value.Duration]]/100&lt;=10,10,ROUND(쿼리1[[#This Row],[Value.Duration]]/100*0.7,-1))</f>
        <v>10</v>
      </c>
    </row>
    <row r="284" spans="1:4" x14ac:dyDescent="0.3">
      <c r="A284" t="s">
        <v>2343</v>
      </c>
      <c r="B284">
        <v>1310201116</v>
      </c>
      <c r="C284">
        <v>600</v>
      </c>
      <c r="D284">
        <f>IF(쿼리1[[#This Row],[Value.Duration]]/100&lt;=10,10,ROUND(쿼리1[[#This Row],[Value.Duration]]/100*0.7,-1))</f>
        <v>10</v>
      </c>
    </row>
    <row r="285" spans="1:4" x14ac:dyDescent="0.3">
      <c r="A285" t="s">
        <v>2344</v>
      </c>
      <c r="B285">
        <v>1310201117</v>
      </c>
      <c r="C285">
        <v>733</v>
      </c>
      <c r="D285">
        <f>IF(쿼리1[[#This Row],[Value.Duration]]/100&lt;=10,10,ROUND(쿼리1[[#This Row],[Value.Duration]]/100*0.7,-1))</f>
        <v>10</v>
      </c>
    </row>
    <row r="286" spans="1:4" x14ac:dyDescent="0.3">
      <c r="A286" t="s">
        <v>2345</v>
      </c>
      <c r="B286">
        <v>1310201118</v>
      </c>
      <c r="C286">
        <v>800</v>
      </c>
      <c r="D286">
        <f>IF(쿼리1[[#This Row],[Value.Duration]]/100&lt;=10,10,ROUND(쿼리1[[#This Row],[Value.Duration]]/100*0.7,-1))</f>
        <v>10</v>
      </c>
    </row>
    <row r="287" spans="1:4" x14ac:dyDescent="0.3">
      <c r="A287" t="s">
        <v>2346</v>
      </c>
      <c r="B287">
        <v>1310201201</v>
      </c>
      <c r="C287">
        <v>1200</v>
      </c>
      <c r="D287">
        <f>IF(쿼리1[[#This Row],[Value.Duration]]/100&lt;=10,10,ROUND(쿼리1[[#This Row],[Value.Duration]]/100*0.7,-1))</f>
        <v>10</v>
      </c>
    </row>
    <row r="288" spans="1:4" x14ac:dyDescent="0.3">
      <c r="A288" t="s">
        <v>2347</v>
      </c>
      <c r="B288">
        <v>1310201202</v>
      </c>
      <c r="C288">
        <v>666</v>
      </c>
      <c r="D288">
        <f>IF(쿼리1[[#This Row],[Value.Duration]]/100&lt;=10,10,ROUND(쿼리1[[#This Row],[Value.Duration]]/100*0.7,-1))</f>
        <v>10</v>
      </c>
    </row>
    <row r="289" spans="1:4" x14ac:dyDescent="0.3">
      <c r="A289" t="s">
        <v>2348</v>
      </c>
      <c r="B289">
        <v>1310201203</v>
      </c>
      <c r="C289">
        <v>1333</v>
      </c>
      <c r="D289">
        <f>IF(쿼리1[[#This Row],[Value.Duration]]/100&lt;=10,10,ROUND(쿼리1[[#This Row],[Value.Duration]]/100*0.7,-1))</f>
        <v>10</v>
      </c>
    </row>
    <row r="290" spans="1:4" x14ac:dyDescent="0.3">
      <c r="A290" t="s">
        <v>2349</v>
      </c>
      <c r="B290">
        <v>1310201301</v>
      </c>
      <c r="C290">
        <v>1666</v>
      </c>
      <c r="D290">
        <f>IF(쿼리1[[#This Row],[Value.Duration]]/100&lt;=10,10,ROUND(쿼리1[[#This Row],[Value.Duration]]/100*0.7,-1))</f>
        <v>10</v>
      </c>
    </row>
    <row r="291" spans="1:4" x14ac:dyDescent="0.3">
      <c r="A291" t="s">
        <v>2350</v>
      </c>
      <c r="B291">
        <v>1310201302</v>
      </c>
      <c r="C291">
        <v>1666</v>
      </c>
      <c r="D291">
        <f>IF(쿼리1[[#This Row],[Value.Duration]]/100&lt;=10,10,ROUND(쿼리1[[#This Row],[Value.Duration]]/100*0.7,-1))</f>
        <v>10</v>
      </c>
    </row>
    <row r="292" spans="1:4" x14ac:dyDescent="0.3">
      <c r="A292" t="s">
        <v>2351</v>
      </c>
      <c r="B292">
        <v>1310202101</v>
      </c>
      <c r="C292">
        <v>1566</v>
      </c>
      <c r="D292">
        <f>IF(쿼리1[[#This Row],[Value.Duration]]/100&lt;=10,10,ROUND(쿼리1[[#This Row],[Value.Duration]]/100*0.7,-1))</f>
        <v>10</v>
      </c>
    </row>
    <row r="293" spans="1:4" x14ac:dyDescent="0.3">
      <c r="A293" t="s">
        <v>2352</v>
      </c>
      <c r="B293">
        <v>1310202102</v>
      </c>
      <c r="C293">
        <v>800</v>
      </c>
      <c r="D293">
        <f>IF(쿼리1[[#This Row],[Value.Duration]]/100&lt;=10,10,ROUND(쿼리1[[#This Row],[Value.Duration]]/100*0.7,-1))</f>
        <v>10</v>
      </c>
    </row>
    <row r="294" spans="1:4" x14ac:dyDescent="0.3">
      <c r="A294" t="s">
        <v>2353</v>
      </c>
      <c r="B294">
        <v>1310202103</v>
      </c>
      <c r="C294">
        <v>1633</v>
      </c>
      <c r="D294">
        <f>IF(쿼리1[[#This Row],[Value.Duration]]/100&lt;=10,10,ROUND(쿼리1[[#This Row],[Value.Duration]]/100*0.7,-1))</f>
        <v>10</v>
      </c>
    </row>
    <row r="295" spans="1:4" x14ac:dyDescent="0.3">
      <c r="A295" t="s">
        <v>2354</v>
      </c>
      <c r="B295">
        <v>1310202104</v>
      </c>
      <c r="C295">
        <v>800</v>
      </c>
      <c r="D295">
        <f>IF(쿼리1[[#This Row],[Value.Duration]]/100&lt;=10,10,ROUND(쿼리1[[#This Row],[Value.Duration]]/100*0.7,-1))</f>
        <v>10</v>
      </c>
    </row>
    <row r="296" spans="1:4" x14ac:dyDescent="0.3">
      <c r="A296" t="s">
        <v>2355</v>
      </c>
      <c r="B296">
        <v>1310202105</v>
      </c>
      <c r="C296">
        <v>1666</v>
      </c>
      <c r="D296">
        <f>IF(쿼리1[[#This Row],[Value.Duration]]/100&lt;=10,10,ROUND(쿼리1[[#This Row],[Value.Duration]]/100*0.7,-1))</f>
        <v>10</v>
      </c>
    </row>
    <row r="297" spans="1:4" x14ac:dyDescent="0.3">
      <c r="A297" t="s">
        <v>2356</v>
      </c>
      <c r="B297">
        <v>1310202106</v>
      </c>
      <c r="C297">
        <v>600</v>
      </c>
      <c r="D297">
        <f>IF(쿼리1[[#This Row],[Value.Duration]]/100&lt;=10,10,ROUND(쿼리1[[#This Row],[Value.Duration]]/100*0.7,-1))</f>
        <v>10</v>
      </c>
    </row>
    <row r="298" spans="1:4" x14ac:dyDescent="0.3">
      <c r="A298" t="s">
        <v>2357</v>
      </c>
      <c r="B298">
        <v>1310202107</v>
      </c>
      <c r="C298">
        <v>733</v>
      </c>
      <c r="D298">
        <f>IF(쿼리1[[#This Row],[Value.Duration]]/100&lt;=10,10,ROUND(쿼리1[[#This Row],[Value.Duration]]/100*0.7,-1))</f>
        <v>10</v>
      </c>
    </row>
    <row r="299" spans="1:4" x14ac:dyDescent="0.3">
      <c r="A299" t="s">
        <v>2358</v>
      </c>
      <c r="B299">
        <v>1310202108</v>
      </c>
      <c r="C299">
        <v>666</v>
      </c>
      <c r="D299">
        <f>IF(쿼리1[[#This Row],[Value.Duration]]/100&lt;=10,10,ROUND(쿼리1[[#This Row],[Value.Duration]]/100*0.7,-1))</f>
        <v>10</v>
      </c>
    </row>
    <row r="300" spans="1:4" x14ac:dyDescent="0.3">
      <c r="A300" t="s">
        <v>2359</v>
      </c>
      <c r="B300">
        <v>1310202109</v>
      </c>
      <c r="C300">
        <v>800</v>
      </c>
      <c r="D300">
        <f>IF(쿼리1[[#This Row],[Value.Duration]]/100&lt;=10,10,ROUND(쿼리1[[#This Row],[Value.Duration]]/100*0.7,-1))</f>
        <v>10</v>
      </c>
    </row>
    <row r="301" spans="1:4" x14ac:dyDescent="0.3">
      <c r="A301" t="s">
        <v>2360</v>
      </c>
      <c r="B301">
        <v>1310202110</v>
      </c>
      <c r="C301">
        <v>1566</v>
      </c>
      <c r="D301">
        <f>IF(쿼리1[[#This Row],[Value.Duration]]/100&lt;=10,10,ROUND(쿼리1[[#This Row],[Value.Duration]]/100*0.7,-1))</f>
        <v>10</v>
      </c>
    </row>
    <row r="302" spans="1:4" x14ac:dyDescent="0.3">
      <c r="A302" t="s">
        <v>2361</v>
      </c>
      <c r="B302">
        <v>1310202111</v>
      </c>
      <c r="C302">
        <v>800</v>
      </c>
      <c r="D302">
        <f>IF(쿼리1[[#This Row],[Value.Duration]]/100&lt;=10,10,ROUND(쿼리1[[#This Row],[Value.Duration]]/100*0.7,-1))</f>
        <v>10</v>
      </c>
    </row>
    <row r="303" spans="1:4" x14ac:dyDescent="0.3">
      <c r="A303" t="s">
        <v>2362</v>
      </c>
      <c r="B303">
        <v>1310202112</v>
      </c>
      <c r="C303">
        <v>1633</v>
      </c>
      <c r="D303">
        <f>IF(쿼리1[[#This Row],[Value.Duration]]/100&lt;=10,10,ROUND(쿼리1[[#This Row],[Value.Duration]]/100*0.7,-1))</f>
        <v>10</v>
      </c>
    </row>
    <row r="304" spans="1:4" x14ac:dyDescent="0.3">
      <c r="A304" t="s">
        <v>2363</v>
      </c>
      <c r="B304">
        <v>1310202113</v>
      </c>
      <c r="C304">
        <v>800</v>
      </c>
      <c r="D304">
        <f>IF(쿼리1[[#This Row],[Value.Duration]]/100&lt;=10,10,ROUND(쿼리1[[#This Row],[Value.Duration]]/100*0.7,-1))</f>
        <v>10</v>
      </c>
    </row>
    <row r="305" spans="1:4" x14ac:dyDescent="0.3">
      <c r="A305" t="s">
        <v>2364</v>
      </c>
      <c r="B305">
        <v>1310202114</v>
      </c>
      <c r="C305">
        <v>1666</v>
      </c>
      <c r="D305">
        <f>IF(쿼리1[[#This Row],[Value.Duration]]/100&lt;=10,10,ROUND(쿼리1[[#This Row],[Value.Duration]]/100*0.7,-1))</f>
        <v>10</v>
      </c>
    </row>
    <row r="306" spans="1:4" x14ac:dyDescent="0.3">
      <c r="A306" t="s">
        <v>2365</v>
      </c>
      <c r="B306">
        <v>1310202115</v>
      </c>
      <c r="C306">
        <v>600</v>
      </c>
      <c r="D306">
        <f>IF(쿼리1[[#This Row],[Value.Duration]]/100&lt;=10,10,ROUND(쿼리1[[#This Row],[Value.Duration]]/100*0.7,-1))</f>
        <v>10</v>
      </c>
    </row>
    <row r="307" spans="1:4" x14ac:dyDescent="0.3">
      <c r="A307" t="s">
        <v>2366</v>
      </c>
      <c r="B307">
        <v>1310202116</v>
      </c>
      <c r="C307">
        <v>733</v>
      </c>
      <c r="D307">
        <f>IF(쿼리1[[#This Row],[Value.Duration]]/100&lt;=10,10,ROUND(쿼리1[[#This Row],[Value.Duration]]/100*0.7,-1))</f>
        <v>10</v>
      </c>
    </row>
    <row r="308" spans="1:4" x14ac:dyDescent="0.3">
      <c r="A308" t="s">
        <v>2367</v>
      </c>
      <c r="B308">
        <v>1310202117</v>
      </c>
      <c r="C308">
        <v>666</v>
      </c>
      <c r="D308">
        <f>IF(쿼리1[[#This Row],[Value.Duration]]/100&lt;=10,10,ROUND(쿼리1[[#This Row],[Value.Duration]]/100*0.7,-1))</f>
        <v>10</v>
      </c>
    </row>
    <row r="309" spans="1:4" x14ac:dyDescent="0.3">
      <c r="A309" t="s">
        <v>2368</v>
      </c>
      <c r="B309">
        <v>1310202118</v>
      </c>
      <c r="C309">
        <v>800</v>
      </c>
      <c r="D309">
        <f>IF(쿼리1[[#This Row],[Value.Duration]]/100&lt;=10,10,ROUND(쿼리1[[#This Row],[Value.Duration]]/100*0.7,-1))</f>
        <v>10</v>
      </c>
    </row>
    <row r="310" spans="1:4" x14ac:dyDescent="0.3">
      <c r="A310" t="s">
        <v>2369</v>
      </c>
      <c r="B310">
        <v>1310202201</v>
      </c>
      <c r="C310">
        <v>1200</v>
      </c>
      <c r="D310">
        <f>IF(쿼리1[[#This Row],[Value.Duration]]/100&lt;=10,10,ROUND(쿼리1[[#This Row],[Value.Duration]]/100*0.7,-1))</f>
        <v>10</v>
      </c>
    </row>
    <row r="311" spans="1:4" x14ac:dyDescent="0.3">
      <c r="A311" t="s">
        <v>2370</v>
      </c>
      <c r="B311">
        <v>1310202202</v>
      </c>
      <c r="C311">
        <v>1333</v>
      </c>
      <c r="D311">
        <f>IF(쿼리1[[#This Row],[Value.Duration]]/100&lt;=10,10,ROUND(쿼리1[[#This Row],[Value.Duration]]/100*0.7,-1))</f>
        <v>10</v>
      </c>
    </row>
    <row r="312" spans="1:4" x14ac:dyDescent="0.3">
      <c r="A312" t="s">
        <v>2371</v>
      </c>
      <c r="B312">
        <v>1310202203</v>
      </c>
      <c r="C312">
        <v>1600</v>
      </c>
      <c r="D312">
        <f>IF(쿼리1[[#This Row],[Value.Duration]]/100&lt;=10,10,ROUND(쿼리1[[#This Row],[Value.Duration]]/100*0.7,-1))</f>
        <v>10</v>
      </c>
    </row>
    <row r="313" spans="1:4" x14ac:dyDescent="0.3">
      <c r="A313" t="s">
        <v>2372</v>
      </c>
      <c r="B313">
        <v>1310202301</v>
      </c>
      <c r="C313">
        <v>2000</v>
      </c>
      <c r="D313">
        <f>IF(쿼리1[[#This Row],[Value.Duration]]/100&lt;=10,10,ROUND(쿼리1[[#This Row],[Value.Duration]]/100*0.7,-1))</f>
        <v>10</v>
      </c>
    </row>
    <row r="314" spans="1:4" x14ac:dyDescent="0.3">
      <c r="A314" t="s">
        <v>2373</v>
      </c>
      <c r="B314">
        <v>1310202302</v>
      </c>
      <c r="C314">
        <v>2000</v>
      </c>
      <c r="D314">
        <f>IF(쿼리1[[#This Row],[Value.Duration]]/100&lt;=10,10,ROUND(쿼리1[[#This Row],[Value.Duration]]/100*0.7,-1))</f>
        <v>10</v>
      </c>
    </row>
    <row r="315" spans="1:4" x14ac:dyDescent="0.3">
      <c r="A315" t="s">
        <v>2374</v>
      </c>
      <c r="B315">
        <v>1310203101</v>
      </c>
      <c r="C315">
        <v>533</v>
      </c>
      <c r="D315">
        <f>IF(쿼리1[[#This Row],[Value.Duration]]/100&lt;=10,10,ROUND(쿼리1[[#This Row],[Value.Duration]]/100*0.7,-1))</f>
        <v>10</v>
      </c>
    </row>
    <row r="316" spans="1:4" x14ac:dyDescent="0.3">
      <c r="A316" t="s">
        <v>2375</v>
      </c>
      <c r="B316">
        <v>1310203102</v>
      </c>
      <c r="C316">
        <v>1566</v>
      </c>
      <c r="D316">
        <f>IF(쿼리1[[#This Row],[Value.Duration]]/100&lt;=10,10,ROUND(쿼리1[[#This Row],[Value.Duration]]/100*0.7,-1))</f>
        <v>10</v>
      </c>
    </row>
    <row r="317" spans="1:4" x14ac:dyDescent="0.3">
      <c r="A317" t="s">
        <v>2376</v>
      </c>
      <c r="B317">
        <v>1310203103</v>
      </c>
      <c r="C317">
        <v>533</v>
      </c>
      <c r="D317">
        <f>IF(쿼리1[[#This Row],[Value.Duration]]/100&lt;=10,10,ROUND(쿼리1[[#This Row],[Value.Duration]]/100*0.7,-1))</f>
        <v>10</v>
      </c>
    </row>
    <row r="318" spans="1:4" x14ac:dyDescent="0.3">
      <c r="A318" t="s">
        <v>2377</v>
      </c>
      <c r="B318">
        <v>1310203104</v>
      </c>
      <c r="C318">
        <v>800</v>
      </c>
      <c r="D318">
        <f>IF(쿼리1[[#This Row],[Value.Duration]]/100&lt;=10,10,ROUND(쿼리1[[#This Row],[Value.Duration]]/100*0.7,-1))</f>
        <v>10</v>
      </c>
    </row>
    <row r="319" spans="1:4" x14ac:dyDescent="0.3">
      <c r="A319" t="s">
        <v>2378</v>
      </c>
      <c r="B319">
        <v>1310203105</v>
      </c>
      <c r="C319">
        <v>666</v>
      </c>
      <c r="D319">
        <f>IF(쿼리1[[#This Row],[Value.Duration]]/100&lt;=10,10,ROUND(쿼리1[[#This Row],[Value.Duration]]/100*0.7,-1))</f>
        <v>10</v>
      </c>
    </row>
    <row r="320" spans="1:4" x14ac:dyDescent="0.3">
      <c r="A320" t="s">
        <v>2379</v>
      </c>
      <c r="B320">
        <v>1310203106</v>
      </c>
      <c r="C320">
        <v>600</v>
      </c>
      <c r="D320">
        <f>IF(쿼리1[[#This Row],[Value.Duration]]/100&lt;=10,10,ROUND(쿼리1[[#This Row],[Value.Duration]]/100*0.7,-1))</f>
        <v>10</v>
      </c>
    </row>
    <row r="321" spans="1:4" x14ac:dyDescent="0.3">
      <c r="A321" t="s">
        <v>2380</v>
      </c>
      <c r="B321">
        <v>1310203107</v>
      </c>
      <c r="C321">
        <v>666</v>
      </c>
      <c r="D321">
        <f>IF(쿼리1[[#This Row],[Value.Duration]]/100&lt;=10,10,ROUND(쿼리1[[#This Row],[Value.Duration]]/100*0.7,-1))</f>
        <v>10</v>
      </c>
    </row>
    <row r="322" spans="1:4" x14ac:dyDescent="0.3">
      <c r="A322" t="s">
        <v>2381</v>
      </c>
      <c r="B322">
        <v>1310203108</v>
      </c>
      <c r="C322">
        <v>733</v>
      </c>
      <c r="D322">
        <f>IF(쿼리1[[#This Row],[Value.Duration]]/100&lt;=10,10,ROUND(쿼리1[[#This Row],[Value.Duration]]/100*0.7,-1))</f>
        <v>10</v>
      </c>
    </row>
    <row r="323" spans="1:4" x14ac:dyDescent="0.3">
      <c r="A323" t="s">
        <v>2382</v>
      </c>
      <c r="B323">
        <v>1310203109</v>
      </c>
      <c r="C323">
        <v>1133</v>
      </c>
      <c r="D323">
        <f>IF(쿼리1[[#This Row],[Value.Duration]]/100&lt;=10,10,ROUND(쿼리1[[#This Row],[Value.Duration]]/100*0.7,-1))</f>
        <v>10</v>
      </c>
    </row>
    <row r="324" spans="1:4" x14ac:dyDescent="0.3">
      <c r="A324" t="s">
        <v>2383</v>
      </c>
      <c r="B324">
        <v>1310203110</v>
      </c>
      <c r="C324">
        <v>433</v>
      </c>
      <c r="D324">
        <f>IF(쿼리1[[#This Row],[Value.Duration]]/100&lt;=10,10,ROUND(쿼리1[[#This Row],[Value.Duration]]/100*0.7,-1))</f>
        <v>10</v>
      </c>
    </row>
    <row r="325" spans="1:4" x14ac:dyDescent="0.3">
      <c r="A325" t="s">
        <v>2384</v>
      </c>
      <c r="B325">
        <v>1310203111</v>
      </c>
      <c r="C325">
        <v>533</v>
      </c>
      <c r="D325">
        <f>IF(쿼리1[[#This Row],[Value.Duration]]/100&lt;=10,10,ROUND(쿼리1[[#This Row],[Value.Duration]]/100*0.7,-1))</f>
        <v>10</v>
      </c>
    </row>
    <row r="326" spans="1:4" x14ac:dyDescent="0.3">
      <c r="A326" t="s">
        <v>2385</v>
      </c>
      <c r="B326">
        <v>1310203112</v>
      </c>
      <c r="C326">
        <v>1566</v>
      </c>
      <c r="D326">
        <f>IF(쿼리1[[#This Row],[Value.Duration]]/100&lt;=10,10,ROUND(쿼리1[[#This Row],[Value.Duration]]/100*0.7,-1))</f>
        <v>10</v>
      </c>
    </row>
    <row r="327" spans="1:4" x14ac:dyDescent="0.3">
      <c r="A327" t="s">
        <v>2386</v>
      </c>
      <c r="B327">
        <v>1310203113</v>
      </c>
      <c r="C327">
        <v>533</v>
      </c>
      <c r="D327">
        <f>IF(쿼리1[[#This Row],[Value.Duration]]/100&lt;=10,10,ROUND(쿼리1[[#This Row],[Value.Duration]]/100*0.7,-1))</f>
        <v>10</v>
      </c>
    </row>
    <row r="328" spans="1:4" x14ac:dyDescent="0.3">
      <c r="A328" t="s">
        <v>2387</v>
      </c>
      <c r="B328">
        <v>1310203114</v>
      </c>
      <c r="C328">
        <v>800</v>
      </c>
      <c r="D328">
        <f>IF(쿼리1[[#This Row],[Value.Duration]]/100&lt;=10,10,ROUND(쿼리1[[#This Row],[Value.Duration]]/100*0.7,-1))</f>
        <v>10</v>
      </c>
    </row>
    <row r="329" spans="1:4" x14ac:dyDescent="0.3">
      <c r="A329" t="s">
        <v>2388</v>
      </c>
      <c r="B329">
        <v>1310203115</v>
      </c>
      <c r="C329">
        <v>666</v>
      </c>
      <c r="D329">
        <f>IF(쿼리1[[#This Row],[Value.Duration]]/100&lt;=10,10,ROUND(쿼리1[[#This Row],[Value.Duration]]/100*0.7,-1))</f>
        <v>10</v>
      </c>
    </row>
    <row r="330" spans="1:4" x14ac:dyDescent="0.3">
      <c r="A330" t="s">
        <v>2389</v>
      </c>
      <c r="B330">
        <v>1310203116</v>
      </c>
      <c r="C330">
        <v>600</v>
      </c>
      <c r="D330">
        <f>IF(쿼리1[[#This Row],[Value.Duration]]/100&lt;=10,10,ROUND(쿼리1[[#This Row],[Value.Duration]]/100*0.7,-1))</f>
        <v>10</v>
      </c>
    </row>
    <row r="331" spans="1:4" x14ac:dyDescent="0.3">
      <c r="A331" t="s">
        <v>2390</v>
      </c>
      <c r="B331">
        <v>1310203117</v>
      </c>
      <c r="C331">
        <v>666</v>
      </c>
      <c r="D331">
        <f>IF(쿼리1[[#This Row],[Value.Duration]]/100&lt;=10,10,ROUND(쿼리1[[#This Row],[Value.Duration]]/100*0.7,-1))</f>
        <v>10</v>
      </c>
    </row>
    <row r="332" spans="1:4" x14ac:dyDescent="0.3">
      <c r="A332" t="s">
        <v>2391</v>
      </c>
      <c r="B332">
        <v>1310203118</v>
      </c>
      <c r="C332">
        <v>733</v>
      </c>
      <c r="D332">
        <f>IF(쿼리1[[#This Row],[Value.Duration]]/100&lt;=10,10,ROUND(쿼리1[[#This Row],[Value.Duration]]/100*0.7,-1))</f>
        <v>10</v>
      </c>
    </row>
    <row r="333" spans="1:4" x14ac:dyDescent="0.3">
      <c r="A333" t="s">
        <v>2392</v>
      </c>
      <c r="B333">
        <v>1310203119</v>
      </c>
      <c r="C333">
        <v>1133</v>
      </c>
      <c r="D333">
        <f>IF(쿼리1[[#This Row],[Value.Duration]]/100&lt;=10,10,ROUND(쿼리1[[#This Row],[Value.Duration]]/100*0.7,-1))</f>
        <v>10</v>
      </c>
    </row>
    <row r="334" spans="1:4" x14ac:dyDescent="0.3">
      <c r="A334" t="s">
        <v>2393</v>
      </c>
      <c r="B334">
        <v>1310203120</v>
      </c>
      <c r="C334">
        <v>433</v>
      </c>
      <c r="D334">
        <f>IF(쿼리1[[#This Row],[Value.Duration]]/100&lt;=10,10,ROUND(쿼리1[[#This Row],[Value.Duration]]/100*0.7,-1))</f>
        <v>10</v>
      </c>
    </row>
    <row r="335" spans="1:4" x14ac:dyDescent="0.3">
      <c r="A335" t="s">
        <v>2394</v>
      </c>
      <c r="B335">
        <v>1310203201</v>
      </c>
      <c r="C335">
        <v>1600</v>
      </c>
      <c r="D335">
        <f>IF(쿼리1[[#This Row],[Value.Duration]]/100&lt;=10,10,ROUND(쿼리1[[#This Row],[Value.Duration]]/100*0.7,-1))</f>
        <v>10</v>
      </c>
    </row>
    <row r="336" spans="1:4" x14ac:dyDescent="0.3">
      <c r="A336" t="s">
        <v>2395</v>
      </c>
      <c r="B336">
        <v>1310203202</v>
      </c>
      <c r="C336">
        <v>1333</v>
      </c>
      <c r="D336">
        <f>IF(쿼리1[[#This Row],[Value.Duration]]/100&lt;=10,10,ROUND(쿼리1[[#This Row],[Value.Duration]]/100*0.7,-1))</f>
        <v>10</v>
      </c>
    </row>
    <row r="337" spans="1:4" x14ac:dyDescent="0.3">
      <c r="A337" t="s">
        <v>2396</v>
      </c>
      <c r="B337">
        <v>1310203203</v>
      </c>
      <c r="C337">
        <v>1600</v>
      </c>
      <c r="D337">
        <f>IF(쿼리1[[#This Row],[Value.Duration]]/100&lt;=10,10,ROUND(쿼리1[[#This Row],[Value.Duration]]/100*0.7,-1))</f>
        <v>10</v>
      </c>
    </row>
    <row r="338" spans="1:4" x14ac:dyDescent="0.3">
      <c r="A338" t="s">
        <v>2397</v>
      </c>
      <c r="B338">
        <v>1310203301</v>
      </c>
      <c r="C338">
        <v>1600</v>
      </c>
      <c r="D338">
        <f>IF(쿼리1[[#This Row],[Value.Duration]]/100&lt;=10,10,ROUND(쿼리1[[#This Row],[Value.Duration]]/100*0.7,-1))</f>
        <v>10</v>
      </c>
    </row>
    <row r="339" spans="1:4" x14ac:dyDescent="0.3">
      <c r="A339" t="s">
        <v>2398</v>
      </c>
      <c r="B339">
        <v>1310203302</v>
      </c>
      <c r="C339">
        <v>1600</v>
      </c>
      <c r="D339">
        <f>IF(쿼리1[[#This Row],[Value.Duration]]/100&lt;=10,10,ROUND(쿼리1[[#This Row],[Value.Duration]]/100*0.7,-1))</f>
        <v>10</v>
      </c>
    </row>
    <row r="340" spans="1:4" x14ac:dyDescent="0.3">
      <c r="A340" t="s">
        <v>2399</v>
      </c>
      <c r="B340">
        <v>1310204101</v>
      </c>
      <c r="C340">
        <v>1600</v>
      </c>
      <c r="D340">
        <f>IF(쿼리1[[#This Row],[Value.Duration]]/100&lt;=10,10,ROUND(쿼리1[[#This Row],[Value.Duration]]/100*0.7,-1))</f>
        <v>10</v>
      </c>
    </row>
    <row r="341" spans="1:4" x14ac:dyDescent="0.3">
      <c r="A341" t="s">
        <v>2400</v>
      </c>
      <c r="B341">
        <v>1310204102</v>
      </c>
      <c r="C341">
        <v>666</v>
      </c>
      <c r="D341">
        <f>IF(쿼리1[[#This Row],[Value.Duration]]/100&lt;=10,10,ROUND(쿼리1[[#This Row],[Value.Duration]]/100*0.7,-1))</f>
        <v>10</v>
      </c>
    </row>
    <row r="342" spans="1:4" x14ac:dyDescent="0.3">
      <c r="A342" t="s">
        <v>2401</v>
      </c>
      <c r="B342">
        <v>1310204103</v>
      </c>
      <c r="C342">
        <v>1600</v>
      </c>
      <c r="D342">
        <f>IF(쿼리1[[#This Row],[Value.Duration]]/100&lt;=10,10,ROUND(쿼리1[[#This Row],[Value.Duration]]/100*0.7,-1))</f>
        <v>10</v>
      </c>
    </row>
    <row r="343" spans="1:4" x14ac:dyDescent="0.3">
      <c r="A343" t="s">
        <v>2402</v>
      </c>
      <c r="B343">
        <v>1310204104</v>
      </c>
      <c r="C343">
        <v>666</v>
      </c>
      <c r="D343">
        <f>IF(쿼리1[[#This Row],[Value.Duration]]/100&lt;=10,10,ROUND(쿼리1[[#This Row],[Value.Duration]]/100*0.7,-1))</f>
        <v>10</v>
      </c>
    </row>
    <row r="344" spans="1:4" x14ac:dyDescent="0.3">
      <c r="A344" t="s">
        <v>2403</v>
      </c>
      <c r="B344">
        <v>1310204105</v>
      </c>
      <c r="C344">
        <v>666</v>
      </c>
      <c r="D344">
        <f>IF(쿼리1[[#This Row],[Value.Duration]]/100&lt;=10,10,ROUND(쿼리1[[#This Row],[Value.Duration]]/100*0.7,-1))</f>
        <v>10</v>
      </c>
    </row>
    <row r="345" spans="1:4" x14ac:dyDescent="0.3">
      <c r="A345" t="s">
        <v>2404</v>
      </c>
      <c r="B345">
        <v>1310204106</v>
      </c>
      <c r="C345">
        <v>466</v>
      </c>
      <c r="D345">
        <f>IF(쿼리1[[#This Row],[Value.Duration]]/100&lt;=10,10,ROUND(쿼리1[[#This Row],[Value.Duration]]/100*0.7,-1))</f>
        <v>10</v>
      </c>
    </row>
    <row r="346" spans="1:4" x14ac:dyDescent="0.3">
      <c r="A346" t="s">
        <v>2405</v>
      </c>
      <c r="B346">
        <v>1310204107</v>
      </c>
      <c r="C346">
        <v>1066</v>
      </c>
      <c r="D346">
        <f>IF(쿼리1[[#This Row],[Value.Duration]]/100&lt;=10,10,ROUND(쿼리1[[#This Row],[Value.Duration]]/100*0.7,-1))</f>
        <v>10</v>
      </c>
    </row>
    <row r="347" spans="1:4" x14ac:dyDescent="0.3">
      <c r="A347" t="s">
        <v>2406</v>
      </c>
      <c r="B347">
        <v>1310204108</v>
      </c>
      <c r="C347">
        <v>866</v>
      </c>
      <c r="D347">
        <f>IF(쿼리1[[#This Row],[Value.Duration]]/100&lt;=10,10,ROUND(쿼리1[[#This Row],[Value.Duration]]/100*0.7,-1))</f>
        <v>10</v>
      </c>
    </row>
    <row r="348" spans="1:4" x14ac:dyDescent="0.3">
      <c r="A348" t="s">
        <v>2407</v>
      </c>
      <c r="B348">
        <v>1310204109</v>
      </c>
      <c r="C348">
        <v>666</v>
      </c>
      <c r="D348">
        <f>IF(쿼리1[[#This Row],[Value.Duration]]/100&lt;=10,10,ROUND(쿼리1[[#This Row],[Value.Duration]]/100*0.7,-1))</f>
        <v>10</v>
      </c>
    </row>
    <row r="349" spans="1:4" x14ac:dyDescent="0.3">
      <c r="A349" t="s">
        <v>2408</v>
      </c>
      <c r="B349">
        <v>1310204110</v>
      </c>
      <c r="C349">
        <v>500</v>
      </c>
      <c r="D349">
        <f>IF(쿼리1[[#This Row],[Value.Duration]]/100&lt;=10,10,ROUND(쿼리1[[#This Row],[Value.Duration]]/100*0.7,-1))</f>
        <v>10</v>
      </c>
    </row>
    <row r="350" spans="1:4" x14ac:dyDescent="0.3">
      <c r="A350" t="s">
        <v>2409</v>
      </c>
      <c r="B350">
        <v>1310204111</v>
      </c>
      <c r="C350">
        <v>1500</v>
      </c>
      <c r="D350">
        <f>IF(쿼리1[[#This Row],[Value.Duration]]/100&lt;=10,10,ROUND(쿼리1[[#This Row],[Value.Duration]]/100*0.7,-1))</f>
        <v>10</v>
      </c>
    </row>
    <row r="351" spans="1:4" x14ac:dyDescent="0.3">
      <c r="A351" t="s">
        <v>2410</v>
      </c>
      <c r="B351">
        <v>1310204112</v>
      </c>
      <c r="C351">
        <v>933</v>
      </c>
      <c r="D351">
        <f>IF(쿼리1[[#This Row],[Value.Duration]]/100&lt;=10,10,ROUND(쿼리1[[#This Row],[Value.Duration]]/100*0.7,-1))</f>
        <v>10</v>
      </c>
    </row>
    <row r="352" spans="1:4" x14ac:dyDescent="0.3">
      <c r="A352" t="s">
        <v>2411</v>
      </c>
      <c r="B352">
        <v>1310204113</v>
      </c>
      <c r="C352">
        <v>1600</v>
      </c>
      <c r="D352">
        <f>IF(쿼리1[[#This Row],[Value.Duration]]/100&lt;=10,10,ROUND(쿼리1[[#This Row],[Value.Duration]]/100*0.7,-1))</f>
        <v>10</v>
      </c>
    </row>
    <row r="353" spans="1:4" x14ac:dyDescent="0.3">
      <c r="A353" t="s">
        <v>2412</v>
      </c>
      <c r="B353">
        <v>1310204114</v>
      </c>
      <c r="C353">
        <v>666</v>
      </c>
      <c r="D353">
        <f>IF(쿼리1[[#This Row],[Value.Duration]]/100&lt;=10,10,ROUND(쿼리1[[#This Row],[Value.Duration]]/100*0.7,-1))</f>
        <v>10</v>
      </c>
    </row>
    <row r="354" spans="1:4" x14ac:dyDescent="0.3">
      <c r="A354" t="s">
        <v>2413</v>
      </c>
      <c r="B354">
        <v>1310204115</v>
      </c>
      <c r="C354">
        <v>666</v>
      </c>
      <c r="D354">
        <f>IF(쿼리1[[#This Row],[Value.Duration]]/100&lt;=10,10,ROUND(쿼리1[[#This Row],[Value.Duration]]/100*0.7,-1))</f>
        <v>10</v>
      </c>
    </row>
    <row r="355" spans="1:4" x14ac:dyDescent="0.3">
      <c r="A355" t="s">
        <v>2414</v>
      </c>
      <c r="B355">
        <v>1310204116</v>
      </c>
      <c r="C355">
        <v>466</v>
      </c>
      <c r="D355">
        <f>IF(쿼리1[[#This Row],[Value.Duration]]/100&lt;=10,10,ROUND(쿼리1[[#This Row],[Value.Duration]]/100*0.7,-1))</f>
        <v>10</v>
      </c>
    </row>
    <row r="356" spans="1:4" x14ac:dyDescent="0.3">
      <c r="A356" t="s">
        <v>2415</v>
      </c>
      <c r="B356">
        <v>1310204117</v>
      </c>
      <c r="C356">
        <v>1066</v>
      </c>
      <c r="D356">
        <f>IF(쿼리1[[#This Row],[Value.Duration]]/100&lt;=10,10,ROUND(쿼리1[[#This Row],[Value.Duration]]/100*0.7,-1))</f>
        <v>10</v>
      </c>
    </row>
    <row r="357" spans="1:4" x14ac:dyDescent="0.3">
      <c r="A357" t="s">
        <v>2416</v>
      </c>
      <c r="B357">
        <v>1310204118</v>
      </c>
      <c r="C357">
        <v>866</v>
      </c>
      <c r="D357">
        <f>IF(쿼리1[[#This Row],[Value.Duration]]/100&lt;=10,10,ROUND(쿼리1[[#This Row],[Value.Duration]]/100*0.7,-1))</f>
        <v>10</v>
      </c>
    </row>
    <row r="358" spans="1:4" x14ac:dyDescent="0.3">
      <c r="A358" t="s">
        <v>2417</v>
      </c>
      <c r="B358">
        <v>1310204119</v>
      </c>
      <c r="C358">
        <v>666</v>
      </c>
      <c r="D358">
        <f>IF(쿼리1[[#This Row],[Value.Duration]]/100&lt;=10,10,ROUND(쿼리1[[#This Row],[Value.Duration]]/100*0.7,-1))</f>
        <v>10</v>
      </c>
    </row>
    <row r="359" spans="1:4" x14ac:dyDescent="0.3">
      <c r="A359" t="s">
        <v>2418</v>
      </c>
      <c r="B359">
        <v>1310204120</v>
      </c>
      <c r="C359">
        <v>500</v>
      </c>
      <c r="D359">
        <f>IF(쿼리1[[#This Row],[Value.Duration]]/100&lt;=10,10,ROUND(쿼리1[[#This Row],[Value.Duration]]/100*0.7,-1))</f>
        <v>10</v>
      </c>
    </row>
    <row r="360" spans="1:4" x14ac:dyDescent="0.3">
      <c r="A360" t="s">
        <v>2419</v>
      </c>
      <c r="B360">
        <v>1310204121</v>
      </c>
      <c r="C360">
        <v>1500</v>
      </c>
      <c r="D360">
        <f>IF(쿼리1[[#This Row],[Value.Duration]]/100&lt;=10,10,ROUND(쿼리1[[#This Row],[Value.Duration]]/100*0.7,-1))</f>
        <v>10</v>
      </c>
    </row>
    <row r="361" spans="1:4" x14ac:dyDescent="0.3">
      <c r="A361" t="s">
        <v>2420</v>
      </c>
      <c r="B361">
        <v>1310204122</v>
      </c>
      <c r="C361">
        <v>933</v>
      </c>
      <c r="D361">
        <f>IF(쿼리1[[#This Row],[Value.Duration]]/100&lt;=10,10,ROUND(쿼리1[[#This Row],[Value.Duration]]/100*0.7,-1))</f>
        <v>10</v>
      </c>
    </row>
    <row r="362" spans="1:4" x14ac:dyDescent="0.3">
      <c r="A362" t="s">
        <v>2421</v>
      </c>
      <c r="B362">
        <v>1310204201</v>
      </c>
      <c r="C362">
        <v>1333</v>
      </c>
      <c r="D362">
        <f>IF(쿼리1[[#This Row],[Value.Duration]]/100&lt;=10,10,ROUND(쿼리1[[#This Row],[Value.Duration]]/100*0.7,-1))</f>
        <v>10</v>
      </c>
    </row>
    <row r="363" spans="1:4" x14ac:dyDescent="0.3">
      <c r="A363" t="s">
        <v>2422</v>
      </c>
      <c r="B363">
        <v>1310204202</v>
      </c>
      <c r="C363">
        <v>933</v>
      </c>
      <c r="D363">
        <f>IF(쿼리1[[#This Row],[Value.Duration]]/100&lt;=10,10,ROUND(쿼리1[[#This Row],[Value.Duration]]/100*0.7,-1))</f>
        <v>10</v>
      </c>
    </row>
    <row r="364" spans="1:4" x14ac:dyDescent="0.3">
      <c r="A364" t="s">
        <v>2423</v>
      </c>
      <c r="B364">
        <v>1310204203</v>
      </c>
      <c r="C364">
        <v>800</v>
      </c>
      <c r="D364">
        <f>IF(쿼리1[[#This Row],[Value.Duration]]/100&lt;=10,10,ROUND(쿼리1[[#This Row],[Value.Duration]]/100*0.7,-1))</f>
        <v>10</v>
      </c>
    </row>
    <row r="365" spans="1:4" x14ac:dyDescent="0.3">
      <c r="A365" t="s">
        <v>2424</v>
      </c>
      <c r="B365">
        <v>1310204301</v>
      </c>
      <c r="C365">
        <v>600</v>
      </c>
      <c r="D365">
        <f>IF(쿼리1[[#This Row],[Value.Duration]]/100&lt;=10,10,ROUND(쿼리1[[#This Row],[Value.Duration]]/100*0.7,-1))</f>
        <v>10</v>
      </c>
    </row>
    <row r="366" spans="1:4" x14ac:dyDescent="0.3">
      <c r="A366" t="s">
        <v>2425</v>
      </c>
      <c r="B366">
        <v>1310204302</v>
      </c>
      <c r="C366">
        <v>600</v>
      </c>
      <c r="D366">
        <f>IF(쿼리1[[#This Row],[Value.Duration]]/100&lt;=10,10,ROUND(쿼리1[[#This Row],[Value.Duration]]/100*0.7,-1))</f>
        <v>10</v>
      </c>
    </row>
    <row r="367" spans="1:4" x14ac:dyDescent="0.3">
      <c r="A367" t="s">
        <v>2426</v>
      </c>
      <c r="B367">
        <v>1310205101</v>
      </c>
      <c r="C367">
        <v>800</v>
      </c>
      <c r="D367">
        <f>IF(쿼리1[[#This Row],[Value.Duration]]/100&lt;=10,10,ROUND(쿼리1[[#This Row],[Value.Duration]]/100*0.7,-1))</f>
        <v>10</v>
      </c>
    </row>
    <row r="368" spans="1:4" x14ac:dyDescent="0.3">
      <c r="A368" t="s">
        <v>2427</v>
      </c>
      <c r="B368">
        <v>1310205102</v>
      </c>
      <c r="C368">
        <v>800</v>
      </c>
      <c r="D368">
        <f>IF(쿼리1[[#This Row],[Value.Duration]]/100&lt;=10,10,ROUND(쿼리1[[#This Row],[Value.Duration]]/100*0.7,-1))</f>
        <v>10</v>
      </c>
    </row>
    <row r="369" spans="1:4" x14ac:dyDescent="0.3">
      <c r="A369" t="s">
        <v>2428</v>
      </c>
      <c r="B369">
        <v>1310205103</v>
      </c>
      <c r="C369">
        <v>800</v>
      </c>
      <c r="D369">
        <f>IF(쿼리1[[#This Row],[Value.Duration]]/100&lt;=10,10,ROUND(쿼리1[[#This Row],[Value.Duration]]/100*0.7,-1))</f>
        <v>10</v>
      </c>
    </row>
    <row r="370" spans="1:4" x14ac:dyDescent="0.3">
      <c r="A370" t="s">
        <v>2429</v>
      </c>
      <c r="B370">
        <v>1310205104</v>
      </c>
      <c r="C370">
        <v>533</v>
      </c>
      <c r="D370">
        <f>IF(쿼리1[[#This Row],[Value.Duration]]/100&lt;=10,10,ROUND(쿼리1[[#This Row],[Value.Duration]]/100*0.7,-1))</f>
        <v>10</v>
      </c>
    </row>
    <row r="371" spans="1:4" x14ac:dyDescent="0.3">
      <c r="A371" t="s">
        <v>2430</v>
      </c>
      <c r="B371">
        <v>1310205105</v>
      </c>
      <c r="C371">
        <v>666</v>
      </c>
      <c r="D371">
        <f>IF(쿼리1[[#This Row],[Value.Duration]]/100&lt;=10,10,ROUND(쿼리1[[#This Row],[Value.Duration]]/100*0.7,-1))</f>
        <v>10</v>
      </c>
    </row>
    <row r="372" spans="1:4" x14ac:dyDescent="0.3">
      <c r="A372" t="s">
        <v>2431</v>
      </c>
      <c r="B372">
        <v>1310205106</v>
      </c>
      <c r="C372">
        <v>666</v>
      </c>
      <c r="D372">
        <f>IF(쿼리1[[#This Row],[Value.Duration]]/100&lt;=10,10,ROUND(쿼리1[[#This Row],[Value.Duration]]/100*0.7,-1))</f>
        <v>10</v>
      </c>
    </row>
    <row r="373" spans="1:4" x14ac:dyDescent="0.3">
      <c r="A373" t="s">
        <v>2432</v>
      </c>
      <c r="B373">
        <v>1310205107</v>
      </c>
      <c r="C373">
        <v>600</v>
      </c>
      <c r="D373">
        <f>IF(쿼리1[[#This Row],[Value.Duration]]/100&lt;=10,10,ROUND(쿼리1[[#This Row],[Value.Duration]]/100*0.7,-1))</f>
        <v>10</v>
      </c>
    </row>
    <row r="374" spans="1:4" x14ac:dyDescent="0.3">
      <c r="A374" t="s">
        <v>2433</v>
      </c>
      <c r="B374">
        <v>1310205108</v>
      </c>
      <c r="C374">
        <v>766</v>
      </c>
      <c r="D374">
        <f>IF(쿼리1[[#This Row],[Value.Duration]]/100&lt;=10,10,ROUND(쿼리1[[#This Row],[Value.Duration]]/100*0.7,-1))</f>
        <v>10</v>
      </c>
    </row>
    <row r="375" spans="1:4" x14ac:dyDescent="0.3">
      <c r="A375" t="s">
        <v>2434</v>
      </c>
      <c r="B375">
        <v>1310205109</v>
      </c>
      <c r="C375">
        <v>1066</v>
      </c>
      <c r="D375">
        <f>IF(쿼리1[[#This Row],[Value.Duration]]/100&lt;=10,10,ROUND(쿼리1[[#This Row],[Value.Duration]]/100*0.7,-1))</f>
        <v>10</v>
      </c>
    </row>
    <row r="376" spans="1:4" x14ac:dyDescent="0.3">
      <c r="A376" t="s">
        <v>2435</v>
      </c>
      <c r="B376">
        <v>1310205110</v>
      </c>
      <c r="C376">
        <v>2700</v>
      </c>
      <c r="D376">
        <f>IF(쿼리1[[#This Row],[Value.Duration]]/100&lt;=10,10,ROUND(쿼리1[[#This Row],[Value.Duration]]/100*0.7,-1))</f>
        <v>20</v>
      </c>
    </row>
    <row r="377" spans="1:4" x14ac:dyDescent="0.3">
      <c r="A377" t="s">
        <v>2436</v>
      </c>
      <c r="B377">
        <v>1310205111</v>
      </c>
      <c r="C377">
        <v>800</v>
      </c>
      <c r="D377">
        <f>IF(쿼리1[[#This Row],[Value.Duration]]/100&lt;=10,10,ROUND(쿼리1[[#This Row],[Value.Duration]]/100*0.7,-1))</f>
        <v>10</v>
      </c>
    </row>
    <row r="378" spans="1:4" x14ac:dyDescent="0.3">
      <c r="A378" t="s">
        <v>1675</v>
      </c>
      <c r="B378">
        <v>1111201001</v>
      </c>
      <c r="C378">
        <v>1033</v>
      </c>
      <c r="D378">
        <f>IF(쿼리1[[#This Row],[Value.Duration]]/100&lt;=10,10,ROUND(쿼리1[[#This Row],[Value.Duration]]/100*0.7,-1))</f>
        <v>10</v>
      </c>
    </row>
    <row r="379" spans="1:4" x14ac:dyDescent="0.3">
      <c r="A379" t="s">
        <v>1676</v>
      </c>
      <c r="B379">
        <v>1111202001</v>
      </c>
      <c r="C379">
        <v>933</v>
      </c>
      <c r="D379">
        <f>IF(쿼리1[[#This Row],[Value.Duration]]/100&lt;=10,10,ROUND(쿼리1[[#This Row],[Value.Duration]]/100*0.7,-1))</f>
        <v>10</v>
      </c>
    </row>
    <row r="380" spans="1:4" x14ac:dyDescent="0.3">
      <c r="A380" t="s">
        <v>1677</v>
      </c>
      <c r="B380">
        <v>1111202002</v>
      </c>
      <c r="C380">
        <v>933</v>
      </c>
      <c r="D380">
        <f>IF(쿼리1[[#This Row],[Value.Duration]]/100&lt;=10,10,ROUND(쿼리1[[#This Row],[Value.Duration]]/100*0.7,-1))</f>
        <v>10</v>
      </c>
    </row>
    <row r="381" spans="1:4" x14ac:dyDescent="0.3">
      <c r="A381" t="s">
        <v>1678</v>
      </c>
      <c r="B381">
        <v>1111401001</v>
      </c>
      <c r="C381">
        <v>800</v>
      </c>
      <c r="D381">
        <f>IF(쿼리1[[#This Row],[Value.Duration]]/100&lt;=10,10,ROUND(쿼리1[[#This Row],[Value.Duration]]/100*0.7,-1))</f>
        <v>10</v>
      </c>
    </row>
    <row r="382" spans="1:4" x14ac:dyDescent="0.3">
      <c r="A382" t="s">
        <v>1679</v>
      </c>
      <c r="B382">
        <v>1111401002</v>
      </c>
      <c r="C382">
        <v>666</v>
      </c>
      <c r="D382">
        <f>IF(쿼리1[[#This Row],[Value.Duration]]/100&lt;=10,10,ROUND(쿼리1[[#This Row],[Value.Duration]]/100*0.7,-1))</f>
        <v>10</v>
      </c>
    </row>
    <row r="383" spans="1:4" x14ac:dyDescent="0.3">
      <c r="A383" t="s">
        <v>1878</v>
      </c>
      <c r="B383">
        <v>1111401003</v>
      </c>
      <c r="C383">
        <v>666</v>
      </c>
      <c r="D383">
        <f>IF(쿼리1[[#This Row],[Value.Duration]]/100&lt;=10,10,ROUND(쿼리1[[#This Row],[Value.Duration]]/100*0.7,-1))</f>
        <v>10</v>
      </c>
    </row>
    <row r="384" spans="1:4" x14ac:dyDescent="0.3">
      <c r="A384" t="s">
        <v>1879</v>
      </c>
      <c r="B384">
        <v>1111401004</v>
      </c>
      <c r="C384">
        <v>666</v>
      </c>
      <c r="D384">
        <f>IF(쿼리1[[#This Row],[Value.Duration]]/100&lt;=10,10,ROUND(쿼리1[[#This Row],[Value.Duration]]/100*0.7,-1))</f>
        <v>10</v>
      </c>
    </row>
    <row r="385" spans="1:4" x14ac:dyDescent="0.3">
      <c r="A385" t="s">
        <v>1680</v>
      </c>
      <c r="B385">
        <v>1110501001</v>
      </c>
      <c r="C385">
        <v>1200</v>
      </c>
      <c r="D385">
        <f>IF(쿼리1[[#This Row],[Value.Duration]]/100&lt;=10,10,ROUND(쿼리1[[#This Row],[Value.Duration]]/100*0.7,-1))</f>
        <v>10</v>
      </c>
    </row>
    <row r="386" spans="1:4" x14ac:dyDescent="0.3">
      <c r="A386" t="s">
        <v>1681</v>
      </c>
      <c r="B386">
        <v>1110501002</v>
      </c>
      <c r="C386">
        <v>1200</v>
      </c>
      <c r="D386">
        <f>IF(쿼리1[[#This Row],[Value.Duration]]/100&lt;=10,10,ROUND(쿼리1[[#This Row],[Value.Duration]]/100*0.7,-1))</f>
        <v>10</v>
      </c>
    </row>
    <row r="387" spans="1:4" x14ac:dyDescent="0.3">
      <c r="A387" t="s">
        <v>1682</v>
      </c>
      <c r="B387">
        <v>1110502001</v>
      </c>
      <c r="C387">
        <v>1000</v>
      </c>
      <c r="D387">
        <f>IF(쿼리1[[#This Row],[Value.Duration]]/100&lt;=10,10,ROUND(쿼리1[[#This Row],[Value.Duration]]/100*0.7,-1))</f>
        <v>10</v>
      </c>
    </row>
    <row r="388" spans="1:4" x14ac:dyDescent="0.3">
      <c r="A388" t="s">
        <v>1683</v>
      </c>
      <c r="B388">
        <v>1110502002</v>
      </c>
      <c r="C388">
        <v>1000</v>
      </c>
      <c r="D388">
        <f>IF(쿼리1[[#This Row],[Value.Duration]]/100&lt;=10,10,ROUND(쿼리1[[#This Row],[Value.Duration]]/100*0.7,-1))</f>
        <v>10</v>
      </c>
    </row>
    <row r="389" spans="1:4" x14ac:dyDescent="0.3">
      <c r="A389" t="s">
        <v>2815</v>
      </c>
      <c r="B389">
        <v>1110503001</v>
      </c>
      <c r="C389">
        <v>1666</v>
      </c>
      <c r="D389">
        <f>IF(쿼리1[[#This Row],[Value.Duration]]/100&lt;=10,10,ROUND(쿼리1[[#This Row],[Value.Duration]]/100*0.7,-1))</f>
        <v>10</v>
      </c>
    </row>
    <row r="390" spans="1:4" x14ac:dyDescent="0.3">
      <c r="A390" t="s">
        <v>2816</v>
      </c>
      <c r="B390">
        <v>1110504001</v>
      </c>
      <c r="C390">
        <v>1733</v>
      </c>
      <c r="D390">
        <f>IF(쿼리1[[#This Row],[Value.Duration]]/100&lt;=10,10,ROUND(쿼리1[[#This Row],[Value.Duration]]/100*0.7,-1))</f>
        <v>10</v>
      </c>
    </row>
    <row r="391" spans="1:4" x14ac:dyDescent="0.3">
      <c r="A391" t="s">
        <v>2817</v>
      </c>
      <c r="B391">
        <v>1110504000</v>
      </c>
      <c r="C391">
        <v>933</v>
      </c>
      <c r="D391">
        <f>IF(쿼리1[[#This Row],[Value.Duration]]/100&lt;=10,10,ROUND(쿼리1[[#This Row],[Value.Duration]]/100*0.7,-1))</f>
        <v>10</v>
      </c>
    </row>
    <row r="392" spans="1:4" x14ac:dyDescent="0.3">
      <c r="A392" t="s">
        <v>1684</v>
      </c>
      <c r="B392">
        <v>1111101001</v>
      </c>
      <c r="C392">
        <v>533</v>
      </c>
      <c r="D392">
        <f>IF(쿼리1[[#This Row],[Value.Duration]]/100&lt;=10,10,ROUND(쿼리1[[#This Row],[Value.Duration]]/100*0.7,-1))</f>
        <v>10</v>
      </c>
    </row>
    <row r="393" spans="1:4" x14ac:dyDescent="0.3">
      <c r="A393" t="s">
        <v>1685</v>
      </c>
      <c r="B393">
        <v>1111101002</v>
      </c>
      <c r="C393">
        <v>600</v>
      </c>
      <c r="D393">
        <f>IF(쿼리1[[#This Row],[Value.Duration]]/100&lt;=10,10,ROUND(쿼리1[[#This Row],[Value.Duration]]/100*0.7,-1))</f>
        <v>10</v>
      </c>
    </row>
    <row r="394" spans="1:4" x14ac:dyDescent="0.3">
      <c r="A394" t="s">
        <v>1686</v>
      </c>
      <c r="B394">
        <v>1111101003</v>
      </c>
      <c r="C394">
        <v>666</v>
      </c>
      <c r="D394">
        <f>IF(쿼리1[[#This Row],[Value.Duration]]/100&lt;=10,10,ROUND(쿼리1[[#This Row],[Value.Duration]]/100*0.7,-1))</f>
        <v>10</v>
      </c>
    </row>
    <row r="395" spans="1:4" x14ac:dyDescent="0.3">
      <c r="A395" t="s">
        <v>1687</v>
      </c>
      <c r="B395">
        <v>1111301001</v>
      </c>
      <c r="C395">
        <v>2000</v>
      </c>
      <c r="D395">
        <f>IF(쿼리1[[#This Row],[Value.Duration]]/100&lt;=10,10,ROUND(쿼리1[[#This Row],[Value.Duration]]/100*0.7,-1))</f>
        <v>10</v>
      </c>
    </row>
    <row r="396" spans="1:4" x14ac:dyDescent="0.3">
      <c r="A396" t="s">
        <v>1880</v>
      </c>
      <c r="B396">
        <v>1111301002</v>
      </c>
      <c r="C396">
        <v>2000</v>
      </c>
      <c r="D396">
        <f>IF(쿼리1[[#This Row],[Value.Duration]]/100&lt;=10,10,ROUND(쿼리1[[#This Row],[Value.Duration]]/100*0.7,-1))</f>
        <v>10</v>
      </c>
    </row>
    <row r="397" spans="1:4" x14ac:dyDescent="0.3">
      <c r="A397" t="s">
        <v>1881</v>
      </c>
      <c r="B397">
        <v>1111301011</v>
      </c>
      <c r="C397">
        <v>1666</v>
      </c>
      <c r="D397">
        <f>IF(쿼리1[[#This Row],[Value.Duration]]/100&lt;=10,10,ROUND(쿼리1[[#This Row],[Value.Duration]]/100*0.7,-1))</f>
        <v>10</v>
      </c>
    </row>
    <row r="398" spans="1:4" x14ac:dyDescent="0.3">
      <c r="A398" t="s">
        <v>1882</v>
      </c>
      <c r="B398">
        <v>1111301012</v>
      </c>
      <c r="C398">
        <v>1666</v>
      </c>
      <c r="D398">
        <f>IF(쿼리1[[#This Row],[Value.Duration]]/100&lt;=10,10,ROUND(쿼리1[[#This Row],[Value.Duration]]/100*0.7,-1))</f>
        <v>10</v>
      </c>
    </row>
    <row r="399" spans="1:4" x14ac:dyDescent="0.3">
      <c r="A399" t="s">
        <v>1883</v>
      </c>
      <c r="B399">
        <v>1111301021</v>
      </c>
      <c r="C399">
        <v>1600</v>
      </c>
      <c r="D399">
        <f>IF(쿼리1[[#This Row],[Value.Duration]]/100&lt;=10,10,ROUND(쿼리1[[#This Row],[Value.Duration]]/100*0.7,-1))</f>
        <v>10</v>
      </c>
    </row>
    <row r="400" spans="1:4" x14ac:dyDescent="0.3">
      <c r="A400" t="s">
        <v>1884</v>
      </c>
      <c r="B400">
        <v>1111301022</v>
      </c>
      <c r="C400">
        <v>1600</v>
      </c>
      <c r="D400">
        <f>IF(쿼리1[[#This Row],[Value.Duration]]/100&lt;=10,10,ROUND(쿼리1[[#This Row],[Value.Duration]]/100*0.7,-1))</f>
        <v>10</v>
      </c>
    </row>
    <row r="401" spans="1:4" x14ac:dyDescent="0.3">
      <c r="A401" t="s">
        <v>1885</v>
      </c>
      <c r="B401">
        <v>1111301031</v>
      </c>
      <c r="C401">
        <v>600</v>
      </c>
      <c r="D401">
        <f>IF(쿼리1[[#This Row],[Value.Duration]]/100&lt;=10,10,ROUND(쿼리1[[#This Row],[Value.Duration]]/100*0.7,-1))</f>
        <v>10</v>
      </c>
    </row>
    <row r="402" spans="1:4" x14ac:dyDescent="0.3">
      <c r="A402" t="s">
        <v>1886</v>
      </c>
      <c r="B402">
        <v>1111301032</v>
      </c>
      <c r="C402">
        <v>600</v>
      </c>
      <c r="D402">
        <f>IF(쿼리1[[#This Row],[Value.Duration]]/100&lt;=10,10,ROUND(쿼리1[[#This Row],[Value.Duration]]/100*0.7,-1))</f>
        <v>10</v>
      </c>
    </row>
    <row r="403" spans="1:4" x14ac:dyDescent="0.3">
      <c r="A403" t="s">
        <v>1887</v>
      </c>
      <c r="B403">
        <v>1111301041</v>
      </c>
      <c r="C403">
        <v>800</v>
      </c>
      <c r="D403">
        <f>IF(쿼리1[[#This Row],[Value.Duration]]/100&lt;=10,10,ROUND(쿼리1[[#This Row],[Value.Duration]]/100*0.7,-1))</f>
        <v>10</v>
      </c>
    </row>
    <row r="404" spans="1:4" x14ac:dyDescent="0.3">
      <c r="A404" t="s">
        <v>2717</v>
      </c>
      <c r="B404">
        <v>1111301042</v>
      </c>
      <c r="C404">
        <v>800</v>
      </c>
      <c r="D404">
        <f>IF(쿼리1[[#This Row],[Value.Duration]]/100&lt;=10,10,ROUND(쿼리1[[#This Row],[Value.Duration]]/100*0.7,-1))</f>
        <v>10</v>
      </c>
    </row>
    <row r="405" spans="1:4" x14ac:dyDescent="0.3">
      <c r="A405" t="s">
        <v>2718</v>
      </c>
      <c r="B405">
        <v>1111301051</v>
      </c>
      <c r="C405">
        <v>1033</v>
      </c>
      <c r="D405">
        <f>IF(쿼리1[[#This Row],[Value.Duration]]/100&lt;=10,10,ROUND(쿼리1[[#This Row],[Value.Duration]]/100*0.7,-1))</f>
        <v>10</v>
      </c>
    </row>
    <row r="406" spans="1:4" x14ac:dyDescent="0.3">
      <c r="A406" t="s">
        <v>2719</v>
      </c>
      <c r="B406">
        <v>1111301052</v>
      </c>
      <c r="C406">
        <v>1033</v>
      </c>
      <c r="D406">
        <f>IF(쿼리1[[#This Row],[Value.Duration]]/100&lt;=10,10,ROUND(쿼리1[[#This Row],[Value.Duration]]/100*0.7,-1))</f>
        <v>10</v>
      </c>
    </row>
    <row r="407" spans="1:4" x14ac:dyDescent="0.3">
      <c r="A407" t="s">
        <v>2720</v>
      </c>
      <c r="B407">
        <v>1111301061</v>
      </c>
      <c r="C407">
        <v>933</v>
      </c>
      <c r="D407">
        <f>IF(쿼리1[[#This Row],[Value.Duration]]/100&lt;=10,10,ROUND(쿼리1[[#This Row],[Value.Duration]]/100*0.7,-1))</f>
        <v>10</v>
      </c>
    </row>
    <row r="408" spans="1:4" x14ac:dyDescent="0.3">
      <c r="A408" t="s">
        <v>2721</v>
      </c>
      <c r="B408">
        <v>1111301062</v>
      </c>
      <c r="C408">
        <v>933</v>
      </c>
      <c r="D408">
        <f>IF(쿼리1[[#This Row],[Value.Duration]]/100&lt;=10,10,ROUND(쿼리1[[#This Row],[Value.Duration]]/100*0.7,-1))</f>
        <v>10</v>
      </c>
    </row>
    <row r="409" spans="1:4" x14ac:dyDescent="0.3">
      <c r="A409" t="s">
        <v>2722</v>
      </c>
      <c r="B409">
        <v>1111301071</v>
      </c>
      <c r="C409">
        <v>1600</v>
      </c>
      <c r="D409">
        <f>IF(쿼리1[[#This Row],[Value.Duration]]/100&lt;=10,10,ROUND(쿼리1[[#This Row],[Value.Duration]]/100*0.7,-1))</f>
        <v>10</v>
      </c>
    </row>
    <row r="410" spans="1:4" x14ac:dyDescent="0.3">
      <c r="A410" t="s">
        <v>2723</v>
      </c>
      <c r="B410">
        <v>1111301072</v>
      </c>
      <c r="C410">
        <v>1733</v>
      </c>
      <c r="D410">
        <f>IF(쿼리1[[#This Row],[Value.Duration]]/100&lt;=10,10,ROUND(쿼리1[[#This Row],[Value.Duration]]/100*0.7,-1))</f>
        <v>10</v>
      </c>
    </row>
    <row r="411" spans="1:4" x14ac:dyDescent="0.3">
      <c r="A411" t="s">
        <v>1688</v>
      </c>
      <c r="B411">
        <v>1110301001</v>
      </c>
      <c r="C411">
        <v>1633</v>
      </c>
      <c r="D411">
        <f>IF(쿼리1[[#This Row],[Value.Duration]]/100&lt;=10,10,ROUND(쿼리1[[#This Row],[Value.Duration]]/100*0.7,-1))</f>
        <v>10</v>
      </c>
    </row>
    <row r="412" spans="1:4" x14ac:dyDescent="0.3">
      <c r="A412" t="s">
        <v>1689</v>
      </c>
      <c r="B412">
        <v>1110301002</v>
      </c>
      <c r="C412">
        <v>4000</v>
      </c>
      <c r="D412">
        <f>IF(쿼리1[[#This Row],[Value.Duration]]/100&lt;=10,10,ROUND(쿼리1[[#This Row],[Value.Duration]]/100*0.7,-1))</f>
        <v>30</v>
      </c>
    </row>
    <row r="413" spans="1:4" x14ac:dyDescent="0.3">
      <c r="A413" t="s">
        <v>1690</v>
      </c>
      <c r="B413">
        <v>1110301003</v>
      </c>
      <c r="C413">
        <v>1566</v>
      </c>
      <c r="D413">
        <f>IF(쿼리1[[#This Row],[Value.Duration]]/100&lt;=10,10,ROUND(쿼리1[[#This Row],[Value.Duration]]/100*0.7,-1))</f>
        <v>10</v>
      </c>
    </row>
    <row r="414" spans="1:4" x14ac:dyDescent="0.3">
      <c r="A414" t="s">
        <v>1691</v>
      </c>
      <c r="B414">
        <v>1110301004</v>
      </c>
      <c r="C414">
        <v>1566</v>
      </c>
      <c r="D414">
        <f>IF(쿼리1[[#This Row],[Value.Duration]]/100&lt;=10,10,ROUND(쿼리1[[#This Row],[Value.Duration]]/100*0.7,-1))</f>
        <v>10</v>
      </c>
    </row>
    <row r="415" spans="1:4" x14ac:dyDescent="0.3">
      <c r="A415" t="s">
        <v>1692</v>
      </c>
      <c r="B415">
        <v>1110301005</v>
      </c>
      <c r="C415">
        <v>800</v>
      </c>
      <c r="D415">
        <f>IF(쿼리1[[#This Row],[Value.Duration]]/100&lt;=10,10,ROUND(쿼리1[[#This Row],[Value.Duration]]/100*0.7,-1))</f>
        <v>10</v>
      </c>
    </row>
    <row r="416" spans="1:4" x14ac:dyDescent="0.3">
      <c r="A416" t="s">
        <v>1693</v>
      </c>
      <c r="B416">
        <v>1110301006</v>
      </c>
      <c r="C416">
        <v>1633</v>
      </c>
      <c r="D416">
        <f>IF(쿼리1[[#This Row],[Value.Duration]]/100&lt;=10,10,ROUND(쿼리1[[#This Row],[Value.Duration]]/100*0.7,-1))</f>
        <v>10</v>
      </c>
    </row>
    <row r="417" spans="1:4" x14ac:dyDescent="0.3">
      <c r="A417" t="s">
        <v>1694</v>
      </c>
      <c r="B417">
        <v>1110302001</v>
      </c>
      <c r="C417">
        <v>1666</v>
      </c>
      <c r="D417">
        <f>IF(쿼리1[[#This Row],[Value.Duration]]/100&lt;=10,10,ROUND(쿼리1[[#This Row],[Value.Duration]]/100*0.7,-1))</f>
        <v>10</v>
      </c>
    </row>
    <row r="418" spans="1:4" x14ac:dyDescent="0.3">
      <c r="A418" t="s">
        <v>1695</v>
      </c>
      <c r="B418">
        <v>1110302002</v>
      </c>
      <c r="C418">
        <v>1666</v>
      </c>
      <c r="D418">
        <f>IF(쿼리1[[#This Row],[Value.Duration]]/100&lt;=10,10,ROUND(쿼리1[[#This Row],[Value.Duration]]/100*0.7,-1))</f>
        <v>10</v>
      </c>
    </row>
    <row r="419" spans="1:4" x14ac:dyDescent="0.3">
      <c r="A419" t="s">
        <v>1696</v>
      </c>
      <c r="B419">
        <v>1110302003</v>
      </c>
      <c r="C419">
        <v>733</v>
      </c>
      <c r="D419">
        <f>IF(쿼리1[[#This Row],[Value.Duration]]/100&lt;=10,10,ROUND(쿼리1[[#This Row],[Value.Duration]]/100*0.7,-1))</f>
        <v>10</v>
      </c>
    </row>
    <row r="420" spans="1:4" x14ac:dyDescent="0.3">
      <c r="A420" t="s">
        <v>1697</v>
      </c>
      <c r="B420">
        <v>1110302004</v>
      </c>
      <c r="C420">
        <v>666</v>
      </c>
      <c r="D420">
        <f>IF(쿼리1[[#This Row],[Value.Duration]]/100&lt;=10,10,ROUND(쿼리1[[#This Row],[Value.Duration]]/100*0.7,-1))</f>
        <v>10</v>
      </c>
    </row>
    <row r="421" spans="1:4" x14ac:dyDescent="0.3">
      <c r="A421" t="s">
        <v>1698</v>
      </c>
      <c r="B421">
        <v>1110302005</v>
      </c>
      <c r="C421">
        <v>800</v>
      </c>
      <c r="D421">
        <f>IF(쿼리1[[#This Row],[Value.Duration]]/100&lt;=10,10,ROUND(쿼리1[[#This Row],[Value.Duration]]/100*0.7,-1))</f>
        <v>10</v>
      </c>
    </row>
    <row r="422" spans="1:4" x14ac:dyDescent="0.3">
      <c r="A422" t="s">
        <v>1699</v>
      </c>
      <c r="B422">
        <v>1110302006</v>
      </c>
      <c r="C422">
        <v>1600</v>
      </c>
      <c r="D422">
        <f>IF(쿼리1[[#This Row],[Value.Duration]]/100&lt;=10,10,ROUND(쿼리1[[#This Row],[Value.Duration]]/100*0.7,-1))</f>
        <v>10</v>
      </c>
    </row>
    <row r="423" spans="1:4" x14ac:dyDescent="0.3">
      <c r="A423" t="s">
        <v>1700</v>
      </c>
      <c r="B423">
        <v>1110302007</v>
      </c>
      <c r="C423">
        <v>1333</v>
      </c>
      <c r="D423">
        <f>IF(쿼리1[[#This Row],[Value.Duration]]/100&lt;=10,10,ROUND(쿼리1[[#This Row],[Value.Duration]]/100*0.7,-1))</f>
        <v>10</v>
      </c>
    </row>
    <row r="424" spans="1:4" x14ac:dyDescent="0.3">
      <c r="A424" t="s">
        <v>1701</v>
      </c>
      <c r="B424">
        <v>1110302008</v>
      </c>
      <c r="C424">
        <v>1600</v>
      </c>
      <c r="D424">
        <f>IF(쿼리1[[#This Row],[Value.Duration]]/100&lt;=10,10,ROUND(쿼리1[[#This Row],[Value.Duration]]/100*0.7,-1))</f>
        <v>10</v>
      </c>
    </row>
    <row r="425" spans="1:4" x14ac:dyDescent="0.3">
      <c r="A425" t="s">
        <v>1702</v>
      </c>
      <c r="B425">
        <v>1110302009</v>
      </c>
      <c r="C425">
        <v>800</v>
      </c>
      <c r="D425">
        <f>IF(쿼리1[[#This Row],[Value.Duration]]/100&lt;=10,10,ROUND(쿼리1[[#This Row],[Value.Duration]]/100*0.7,-1))</f>
        <v>10</v>
      </c>
    </row>
    <row r="426" spans="1:4" x14ac:dyDescent="0.3">
      <c r="A426" t="s">
        <v>1703</v>
      </c>
      <c r="B426">
        <v>1110302010</v>
      </c>
      <c r="C426">
        <v>2700</v>
      </c>
      <c r="D426">
        <f>IF(쿼리1[[#This Row],[Value.Duration]]/100&lt;=10,10,ROUND(쿼리1[[#This Row],[Value.Duration]]/100*0.7,-1))</f>
        <v>20</v>
      </c>
    </row>
    <row r="427" spans="1:4" x14ac:dyDescent="0.3">
      <c r="A427" t="s">
        <v>1704</v>
      </c>
      <c r="B427">
        <v>1110303001</v>
      </c>
      <c r="C427">
        <v>1666</v>
      </c>
      <c r="D427">
        <f>IF(쿼리1[[#This Row],[Value.Duration]]/100&lt;=10,10,ROUND(쿼리1[[#This Row],[Value.Duration]]/100*0.7,-1))</f>
        <v>10</v>
      </c>
    </row>
    <row r="428" spans="1:4" x14ac:dyDescent="0.3">
      <c r="A428" t="s">
        <v>1705</v>
      </c>
      <c r="B428">
        <v>1110303002</v>
      </c>
      <c r="C428">
        <v>1666</v>
      </c>
      <c r="D428">
        <f>IF(쿼리1[[#This Row],[Value.Duration]]/100&lt;=10,10,ROUND(쿼리1[[#This Row],[Value.Duration]]/100*0.7,-1))</f>
        <v>10</v>
      </c>
    </row>
    <row r="429" spans="1:4" x14ac:dyDescent="0.3">
      <c r="A429" t="s">
        <v>1706</v>
      </c>
      <c r="B429">
        <v>1110303003</v>
      </c>
      <c r="C429">
        <v>1600</v>
      </c>
      <c r="D429">
        <f>IF(쿼리1[[#This Row],[Value.Duration]]/100&lt;=10,10,ROUND(쿼리1[[#This Row],[Value.Duration]]/100*0.7,-1))</f>
        <v>10</v>
      </c>
    </row>
    <row r="430" spans="1:4" x14ac:dyDescent="0.3">
      <c r="A430" t="s">
        <v>1707</v>
      </c>
      <c r="B430">
        <v>1110304001</v>
      </c>
      <c r="C430">
        <v>533</v>
      </c>
      <c r="D430">
        <f>IF(쿼리1[[#This Row],[Value.Duration]]/100&lt;=10,10,ROUND(쿼리1[[#This Row],[Value.Duration]]/100*0.7,-1))</f>
        <v>10</v>
      </c>
    </row>
    <row r="431" spans="1:4" x14ac:dyDescent="0.3">
      <c r="A431" t="s">
        <v>1708</v>
      </c>
      <c r="B431">
        <v>1110304002</v>
      </c>
      <c r="C431">
        <v>733</v>
      </c>
      <c r="D431">
        <f>IF(쿼리1[[#This Row],[Value.Duration]]/100&lt;=10,10,ROUND(쿼리1[[#This Row],[Value.Duration]]/100*0.7,-1))</f>
        <v>10</v>
      </c>
    </row>
    <row r="432" spans="1:4" x14ac:dyDescent="0.3">
      <c r="A432" t="s">
        <v>1709</v>
      </c>
      <c r="B432">
        <v>1110305001</v>
      </c>
      <c r="C432">
        <v>800</v>
      </c>
      <c r="D432">
        <f>IF(쿼리1[[#This Row],[Value.Duration]]/100&lt;=10,10,ROUND(쿼리1[[#This Row],[Value.Duration]]/100*0.7,-1))</f>
        <v>10</v>
      </c>
    </row>
    <row r="433" spans="1:4" x14ac:dyDescent="0.3">
      <c r="A433" t="s">
        <v>1710</v>
      </c>
      <c r="B433">
        <v>1110305002</v>
      </c>
      <c r="C433">
        <v>666</v>
      </c>
      <c r="D433">
        <f>IF(쿼리1[[#This Row],[Value.Duration]]/100&lt;=10,10,ROUND(쿼리1[[#This Row],[Value.Duration]]/100*0.7,-1))</f>
        <v>10</v>
      </c>
    </row>
    <row r="434" spans="1:4" x14ac:dyDescent="0.3">
      <c r="A434" t="s">
        <v>1711</v>
      </c>
      <c r="B434">
        <v>1110305003</v>
      </c>
      <c r="C434">
        <v>600</v>
      </c>
      <c r="D434">
        <f>IF(쿼리1[[#This Row],[Value.Duration]]/100&lt;=10,10,ROUND(쿼리1[[#This Row],[Value.Duration]]/100*0.7,-1))</f>
        <v>10</v>
      </c>
    </row>
    <row r="435" spans="1:4" x14ac:dyDescent="0.3">
      <c r="A435" t="s">
        <v>1712</v>
      </c>
      <c r="B435">
        <v>1110305004</v>
      </c>
      <c r="C435">
        <v>666</v>
      </c>
      <c r="D435">
        <f>IF(쿼리1[[#This Row],[Value.Duration]]/100&lt;=10,10,ROUND(쿼리1[[#This Row],[Value.Duration]]/100*0.7,-1))</f>
        <v>10</v>
      </c>
    </row>
    <row r="436" spans="1:4" x14ac:dyDescent="0.3">
      <c r="A436" t="s">
        <v>1713</v>
      </c>
      <c r="B436">
        <v>1110305005</v>
      </c>
      <c r="C436">
        <v>666</v>
      </c>
      <c r="D436">
        <f>IF(쿼리1[[#This Row],[Value.Duration]]/100&lt;=10,10,ROUND(쿼리1[[#This Row],[Value.Duration]]/100*0.7,-1))</f>
        <v>10</v>
      </c>
    </row>
    <row r="437" spans="1:4" x14ac:dyDescent="0.3">
      <c r="A437" t="s">
        <v>1714</v>
      </c>
      <c r="B437">
        <v>1110305006</v>
      </c>
      <c r="C437">
        <v>466</v>
      </c>
      <c r="D437">
        <f>IF(쿼리1[[#This Row],[Value.Duration]]/100&lt;=10,10,ROUND(쿼리1[[#This Row],[Value.Duration]]/100*0.7,-1))</f>
        <v>10</v>
      </c>
    </row>
    <row r="438" spans="1:4" x14ac:dyDescent="0.3">
      <c r="A438" t="s">
        <v>1715</v>
      </c>
      <c r="B438">
        <v>1110305007</v>
      </c>
      <c r="C438">
        <v>933</v>
      </c>
      <c r="D438">
        <f>IF(쿼리1[[#This Row],[Value.Duration]]/100&lt;=10,10,ROUND(쿼리1[[#This Row],[Value.Duration]]/100*0.7,-1))</f>
        <v>10</v>
      </c>
    </row>
    <row r="439" spans="1:4" x14ac:dyDescent="0.3">
      <c r="A439" t="s">
        <v>1716</v>
      </c>
      <c r="B439">
        <v>1110305008</v>
      </c>
      <c r="C439">
        <v>800</v>
      </c>
      <c r="D439">
        <f>IF(쿼리1[[#This Row],[Value.Duration]]/100&lt;=10,10,ROUND(쿼리1[[#This Row],[Value.Duration]]/100*0.7,-1))</f>
        <v>10</v>
      </c>
    </row>
    <row r="440" spans="1:4" x14ac:dyDescent="0.3">
      <c r="A440" t="s">
        <v>1717</v>
      </c>
      <c r="B440">
        <v>1110305009</v>
      </c>
      <c r="C440">
        <v>933</v>
      </c>
      <c r="D440">
        <f>IF(쿼리1[[#This Row],[Value.Duration]]/100&lt;=10,10,ROUND(쿼리1[[#This Row],[Value.Duration]]/100*0.7,-1))</f>
        <v>10</v>
      </c>
    </row>
    <row r="441" spans="1:4" x14ac:dyDescent="0.3">
      <c r="A441" t="s">
        <v>1718</v>
      </c>
      <c r="B441">
        <v>1110305010</v>
      </c>
      <c r="C441">
        <v>666</v>
      </c>
      <c r="D441">
        <f>IF(쿼리1[[#This Row],[Value.Duration]]/100&lt;=10,10,ROUND(쿼리1[[#This Row],[Value.Duration]]/100*0.7,-1))</f>
        <v>10</v>
      </c>
    </row>
    <row r="442" spans="1:4" x14ac:dyDescent="0.3">
      <c r="A442" t="s">
        <v>1719</v>
      </c>
      <c r="B442">
        <v>1110305011</v>
      </c>
      <c r="C442">
        <v>533</v>
      </c>
      <c r="D442">
        <f>IF(쿼리1[[#This Row],[Value.Duration]]/100&lt;=10,10,ROUND(쿼리1[[#This Row],[Value.Duration]]/100*0.7,-1))</f>
        <v>10</v>
      </c>
    </row>
    <row r="443" spans="1:4" x14ac:dyDescent="0.3">
      <c r="A443" t="s">
        <v>1720</v>
      </c>
      <c r="B443">
        <v>1110305012</v>
      </c>
      <c r="C443">
        <v>1133</v>
      </c>
      <c r="D443">
        <f>IF(쿼리1[[#This Row],[Value.Duration]]/100&lt;=10,10,ROUND(쿼리1[[#This Row],[Value.Duration]]/100*0.7,-1))</f>
        <v>10</v>
      </c>
    </row>
    <row r="444" spans="1:4" x14ac:dyDescent="0.3">
      <c r="A444" t="s">
        <v>1721</v>
      </c>
      <c r="B444">
        <v>1110305013</v>
      </c>
      <c r="C444">
        <v>800</v>
      </c>
      <c r="D444">
        <f>IF(쿼리1[[#This Row],[Value.Duration]]/100&lt;=10,10,ROUND(쿼리1[[#This Row],[Value.Duration]]/100*0.7,-1))</f>
        <v>10</v>
      </c>
    </row>
    <row r="445" spans="1:4" x14ac:dyDescent="0.3">
      <c r="A445" t="s">
        <v>1722</v>
      </c>
      <c r="B445">
        <v>1110305014</v>
      </c>
      <c r="C445">
        <v>1000</v>
      </c>
      <c r="D445">
        <f>IF(쿼리1[[#This Row],[Value.Duration]]/100&lt;=10,10,ROUND(쿼리1[[#This Row],[Value.Duration]]/100*0.7,-1))</f>
        <v>10</v>
      </c>
    </row>
    <row r="446" spans="1:4" x14ac:dyDescent="0.3">
      <c r="A446" t="s">
        <v>1723</v>
      </c>
      <c r="B446">
        <v>1110401001</v>
      </c>
      <c r="C446">
        <v>1333</v>
      </c>
      <c r="D446">
        <f>IF(쿼리1[[#This Row],[Value.Duration]]/100&lt;=10,10,ROUND(쿼리1[[#This Row],[Value.Duration]]/100*0.7,-1))</f>
        <v>10</v>
      </c>
    </row>
    <row r="447" spans="1:4" x14ac:dyDescent="0.3">
      <c r="A447" t="s">
        <v>1724</v>
      </c>
      <c r="B447">
        <v>1110401002</v>
      </c>
      <c r="C447">
        <v>1333</v>
      </c>
      <c r="D447">
        <f>IF(쿼리1[[#This Row],[Value.Duration]]/100&lt;=10,10,ROUND(쿼리1[[#This Row],[Value.Duration]]/100*0.7,-1))</f>
        <v>10</v>
      </c>
    </row>
    <row r="448" spans="1:4" x14ac:dyDescent="0.3">
      <c r="A448" t="s">
        <v>1725</v>
      </c>
      <c r="B448">
        <v>1110401003</v>
      </c>
      <c r="C448">
        <v>1333</v>
      </c>
      <c r="D448">
        <f>IF(쿼리1[[#This Row],[Value.Duration]]/100&lt;=10,10,ROUND(쿼리1[[#This Row],[Value.Duration]]/100*0.7,-1))</f>
        <v>10</v>
      </c>
    </row>
    <row r="449" spans="1:4" x14ac:dyDescent="0.3">
      <c r="A449" t="s">
        <v>1726</v>
      </c>
      <c r="B449">
        <v>1110401004</v>
      </c>
      <c r="C449">
        <v>1333</v>
      </c>
      <c r="D449">
        <f>IF(쿼리1[[#This Row],[Value.Duration]]/100&lt;=10,10,ROUND(쿼리1[[#This Row],[Value.Duration]]/100*0.7,-1))</f>
        <v>10</v>
      </c>
    </row>
    <row r="450" spans="1:4" x14ac:dyDescent="0.3">
      <c r="A450" t="s">
        <v>1727</v>
      </c>
      <c r="B450">
        <v>1110401005</v>
      </c>
      <c r="C450">
        <v>1333</v>
      </c>
      <c r="D450">
        <f>IF(쿼리1[[#This Row],[Value.Duration]]/100&lt;=10,10,ROUND(쿼리1[[#This Row],[Value.Duration]]/100*0.7,-1))</f>
        <v>10</v>
      </c>
    </row>
    <row r="451" spans="1:4" x14ac:dyDescent="0.3">
      <c r="A451" t="s">
        <v>1728</v>
      </c>
      <c r="B451">
        <v>1110401006</v>
      </c>
      <c r="C451">
        <v>1333</v>
      </c>
      <c r="D451">
        <f>IF(쿼리1[[#This Row],[Value.Duration]]/100&lt;=10,10,ROUND(쿼리1[[#This Row],[Value.Duration]]/100*0.7,-1))</f>
        <v>10</v>
      </c>
    </row>
    <row r="452" spans="1:4" x14ac:dyDescent="0.3">
      <c r="A452" t="s">
        <v>1729</v>
      </c>
      <c r="B452">
        <v>1110401007</v>
      </c>
      <c r="C452">
        <v>1333</v>
      </c>
      <c r="D452">
        <f>IF(쿼리1[[#This Row],[Value.Duration]]/100&lt;=10,10,ROUND(쿼리1[[#This Row],[Value.Duration]]/100*0.7,-1))</f>
        <v>10</v>
      </c>
    </row>
    <row r="453" spans="1:4" x14ac:dyDescent="0.3">
      <c r="A453" t="s">
        <v>1730</v>
      </c>
      <c r="B453">
        <v>1110401008</v>
      </c>
      <c r="C453">
        <v>1333</v>
      </c>
      <c r="D453">
        <f>IF(쿼리1[[#This Row],[Value.Duration]]/100&lt;=10,10,ROUND(쿼리1[[#This Row],[Value.Duration]]/100*0.7,-1))</f>
        <v>10</v>
      </c>
    </row>
    <row r="454" spans="1:4" x14ac:dyDescent="0.3">
      <c r="A454" t="s">
        <v>1731</v>
      </c>
      <c r="B454">
        <v>1110401009</v>
      </c>
      <c r="C454">
        <v>1333</v>
      </c>
      <c r="D454">
        <f>IF(쿼리1[[#This Row],[Value.Duration]]/100&lt;=10,10,ROUND(쿼리1[[#This Row],[Value.Duration]]/100*0.7,-1))</f>
        <v>10</v>
      </c>
    </row>
    <row r="455" spans="1:4" x14ac:dyDescent="0.3">
      <c r="A455" t="s">
        <v>1732</v>
      </c>
      <c r="B455">
        <v>1110401010</v>
      </c>
      <c r="C455">
        <v>1333</v>
      </c>
      <c r="D455">
        <f>IF(쿼리1[[#This Row],[Value.Duration]]/100&lt;=10,10,ROUND(쿼리1[[#This Row],[Value.Duration]]/100*0.7,-1))</f>
        <v>10</v>
      </c>
    </row>
    <row r="456" spans="1:4" x14ac:dyDescent="0.3">
      <c r="A456" t="s">
        <v>1733</v>
      </c>
      <c r="B456">
        <v>1110401011</v>
      </c>
      <c r="C456">
        <v>1333</v>
      </c>
      <c r="D456">
        <f>IF(쿼리1[[#This Row],[Value.Duration]]/100&lt;=10,10,ROUND(쿼리1[[#This Row],[Value.Duration]]/100*0.7,-1))</f>
        <v>10</v>
      </c>
    </row>
    <row r="457" spans="1:4" x14ac:dyDescent="0.3">
      <c r="A457" t="s">
        <v>1734</v>
      </c>
      <c r="B457">
        <v>1110401012</v>
      </c>
      <c r="C457">
        <v>1333</v>
      </c>
      <c r="D457">
        <f>IF(쿼리1[[#This Row],[Value.Duration]]/100&lt;=10,10,ROUND(쿼리1[[#This Row],[Value.Duration]]/100*0.7,-1))</f>
        <v>10</v>
      </c>
    </row>
    <row r="458" spans="1:4" x14ac:dyDescent="0.3">
      <c r="A458" t="s">
        <v>1735</v>
      </c>
      <c r="B458">
        <v>1110401013</v>
      </c>
      <c r="C458">
        <v>1333</v>
      </c>
      <c r="D458">
        <f>IF(쿼리1[[#This Row],[Value.Duration]]/100&lt;=10,10,ROUND(쿼리1[[#This Row],[Value.Duration]]/100*0.7,-1))</f>
        <v>10</v>
      </c>
    </row>
    <row r="459" spans="1:4" x14ac:dyDescent="0.3">
      <c r="A459" t="s">
        <v>1736</v>
      </c>
      <c r="B459">
        <v>1110401014</v>
      </c>
      <c r="C459">
        <v>1333</v>
      </c>
      <c r="D459">
        <f>IF(쿼리1[[#This Row],[Value.Duration]]/100&lt;=10,10,ROUND(쿼리1[[#This Row],[Value.Duration]]/100*0.7,-1))</f>
        <v>10</v>
      </c>
    </row>
    <row r="460" spans="1:4" x14ac:dyDescent="0.3">
      <c r="A460" t="s">
        <v>1737</v>
      </c>
      <c r="B460">
        <v>1110401015</v>
      </c>
      <c r="C460">
        <v>1333</v>
      </c>
      <c r="D460">
        <f>IF(쿼리1[[#This Row],[Value.Duration]]/100&lt;=10,10,ROUND(쿼리1[[#This Row],[Value.Duration]]/100*0.7,-1))</f>
        <v>10</v>
      </c>
    </row>
    <row r="461" spans="1:4" x14ac:dyDescent="0.3">
      <c r="A461" t="s">
        <v>1738</v>
      </c>
      <c r="B461">
        <v>1110401016</v>
      </c>
      <c r="C461">
        <v>1333</v>
      </c>
      <c r="D461">
        <f>IF(쿼리1[[#This Row],[Value.Duration]]/100&lt;=10,10,ROUND(쿼리1[[#This Row],[Value.Duration]]/100*0.7,-1))</f>
        <v>10</v>
      </c>
    </row>
    <row r="462" spans="1:4" x14ac:dyDescent="0.3">
      <c r="A462" t="s">
        <v>1739</v>
      </c>
      <c r="B462">
        <v>1110401017</v>
      </c>
      <c r="C462">
        <v>1333</v>
      </c>
      <c r="D462">
        <f>IF(쿼리1[[#This Row],[Value.Duration]]/100&lt;=10,10,ROUND(쿼리1[[#This Row],[Value.Duration]]/100*0.7,-1))</f>
        <v>10</v>
      </c>
    </row>
    <row r="463" spans="1:4" x14ac:dyDescent="0.3">
      <c r="A463" t="s">
        <v>1740</v>
      </c>
      <c r="B463">
        <v>1110401018</v>
      </c>
      <c r="C463">
        <v>1333</v>
      </c>
      <c r="D463">
        <f>IF(쿼리1[[#This Row],[Value.Duration]]/100&lt;=10,10,ROUND(쿼리1[[#This Row],[Value.Duration]]/100*0.7,-1))</f>
        <v>10</v>
      </c>
    </row>
    <row r="464" spans="1:4" x14ac:dyDescent="0.3">
      <c r="A464" t="s">
        <v>1741</v>
      </c>
      <c r="B464">
        <v>1110401019</v>
      </c>
      <c r="C464">
        <v>1333</v>
      </c>
      <c r="D464">
        <f>IF(쿼리1[[#This Row],[Value.Duration]]/100&lt;=10,10,ROUND(쿼리1[[#This Row],[Value.Duration]]/100*0.7,-1))</f>
        <v>10</v>
      </c>
    </row>
    <row r="465" spans="1:4" x14ac:dyDescent="0.3">
      <c r="A465" t="s">
        <v>1742</v>
      </c>
      <c r="B465">
        <v>1110401020</v>
      </c>
      <c r="C465">
        <v>1333</v>
      </c>
      <c r="D465">
        <f>IF(쿼리1[[#This Row],[Value.Duration]]/100&lt;=10,10,ROUND(쿼리1[[#This Row],[Value.Duration]]/100*0.7,-1))</f>
        <v>10</v>
      </c>
    </row>
    <row r="466" spans="1:4" x14ac:dyDescent="0.3">
      <c r="A466" t="s">
        <v>1743</v>
      </c>
      <c r="B466">
        <v>1110401021</v>
      </c>
      <c r="C466">
        <v>1333</v>
      </c>
      <c r="D466">
        <f>IF(쿼리1[[#This Row],[Value.Duration]]/100&lt;=10,10,ROUND(쿼리1[[#This Row],[Value.Duration]]/100*0.7,-1))</f>
        <v>10</v>
      </c>
    </row>
    <row r="467" spans="1:4" x14ac:dyDescent="0.3">
      <c r="A467" t="s">
        <v>1744</v>
      </c>
      <c r="B467">
        <v>1110401022</v>
      </c>
      <c r="C467">
        <v>1333</v>
      </c>
      <c r="D467">
        <f>IF(쿼리1[[#This Row],[Value.Duration]]/100&lt;=10,10,ROUND(쿼리1[[#This Row],[Value.Duration]]/100*0.7,-1))</f>
        <v>10</v>
      </c>
    </row>
    <row r="468" spans="1:4" x14ac:dyDescent="0.3">
      <c r="A468" t="s">
        <v>1745</v>
      </c>
      <c r="B468">
        <v>1110401023</v>
      </c>
      <c r="C468">
        <v>1333</v>
      </c>
      <c r="D468">
        <f>IF(쿼리1[[#This Row],[Value.Duration]]/100&lt;=10,10,ROUND(쿼리1[[#This Row],[Value.Duration]]/100*0.7,-1))</f>
        <v>10</v>
      </c>
    </row>
    <row r="469" spans="1:4" x14ac:dyDescent="0.3">
      <c r="A469" t="s">
        <v>1746</v>
      </c>
      <c r="B469">
        <v>1110401024</v>
      </c>
      <c r="C469">
        <v>1333</v>
      </c>
      <c r="D469">
        <f>IF(쿼리1[[#This Row],[Value.Duration]]/100&lt;=10,10,ROUND(쿼리1[[#This Row],[Value.Duration]]/100*0.7,-1))</f>
        <v>10</v>
      </c>
    </row>
    <row r="470" spans="1:4" x14ac:dyDescent="0.3">
      <c r="A470" t="s">
        <v>1747</v>
      </c>
      <c r="B470">
        <v>1110401025</v>
      </c>
      <c r="C470">
        <v>1333</v>
      </c>
      <c r="D470">
        <f>IF(쿼리1[[#This Row],[Value.Duration]]/100&lt;=10,10,ROUND(쿼리1[[#This Row],[Value.Duration]]/100*0.7,-1))</f>
        <v>10</v>
      </c>
    </row>
    <row r="471" spans="1:4" x14ac:dyDescent="0.3">
      <c r="A471" t="s">
        <v>2724</v>
      </c>
      <c r="B471">
        <v>1110401101</v>
      </c>
      <c r="C471">
        <v>733</v>
      </c>
      <c r="D471">
        <f>IF(쿼리1[[#This Row],[Value.Duration]]/100&lt;=10,10,ROUND(쿼리1[[#This Row],[Value.Duration]]/100*0.7,-1))</f>
        <v>10</v>
      </c>
    </row>
    <row r="472" spans="1:4" x14ac:dyDescent="0.3">
      <c r="A472" t="s">
        <v>2725</v>
      </c>
      <c r="B472">
        <v>1110401102</v>
      </c>
      <c r="C472">
        <v>733</v>
      </c>
      <c r="D472">
        <f>IF(쿼리1[[#This Row],[Value.Duration]]/100&lt;=10,10,ROUND(쿼리1[[#This Row],[Value.Duration]]/100*0.7,-1))</f>
        <v>10</v>
      </c>
    </row>
    <row r="473" spans="1:4" x14ac:dyDescent="0.3">
      <c r="A473" t="s">
        <v>1888</v>
      </c>
      <c r="B473">
        <v>1110200101</v>
      </c>
      <c r="C473">
        <v>566</v>
      </c>
      <c r="D473">
        <f>IF(쿼리1[[#This Row],[Value.Duration]]/100&lt;=10,10,ROUND(쿼리1[[#This Row],[Value.Duration]]/100*0.7,-1))</f>
        <v>10</v>
      </c>
    </row>
    <row r="474" spans="1:4" x14ac:dyDescent="0.3">
      <c r="A474" t="s">
        <v>1889</v>
      </c>
      <c r="B474">
        <v>1110200102</v>
      </c>
      <c r="C474">
        <v>666</v>
      </c>
      <c r="D474">
        <f>IF(쿼리1[[#This Row],[Value.Duration]]/100&lt;=10,10,ROUND(쿼리1[[#This Row],[Value.Duration]]/100*0.7,-1))</f>
        <v>10</v>
      </c>
    </row>
    <row r="475" spans="1:4" x14ac:dyDescent="0.3">
      <c r="A475" t="s">
        <v>1890</v>
      </c>
      <c r="B475">
        <v>1110200103</v>
      </c>
      <c r="C475">
        <v>1666</v>
      </c>
      <c r="D475">
        <f>IF(쿼리1[[#This Row],[Value.Duration]]/100&lt;=10,10,ROUND(쿼리1[[#This Row],[Value.Duration]]/100*0.7,-1))</f>
        <v>10</v>
      </c>
    </row>
    <row r="476" spans="1:4" x14ac:dyDescent="0.3">
      <c r="A476" t="s">
        <v>2726</v>
      </c>
      <c r="B476">
        <v>1111601301</v>
      </c>
      <c r="C476">
        <v>1666</v>
      </c>
      <c r="D476">
        <f>IF(쿼리1[[#This Row],[Value.Duration]]/100&lt;=10,10,ROUND(쿼리1[[#This Row],[Value.Duration]]/100*0.7,-1))</f>
        <v>10</v>
      </c>
    </row>
    <row r="477" spans="1:4" x14ac:dyDescent="0.3">
      <c r="A477" t="s">
        <v>2727</v>
      </c>
      <c r="B477">
        <v>1111601302</v>
      </c>
      <c r="C477">
        <v>666</v>
      </c>
      <c r="D477">
        <f>IF(쿼리1[[#This Row],[Value.Duration]]/100&lt;=10,10,ROUND(쿼리1[[#This Row],[Value.Duration]]/100*0.7,-1))</f>
        <v>10</v>
      </c>
    </row>
    <row r="478" spans="1:4" x14ac:dyDescent="0.3">
      <c r="A478" t="s">
        <v>2728</v>
      </c>
      <c r="B478">
        <v>1111601303</v>
      </c>
      <c r="C478">
        <v>633</v>
      </c>
      <c r="D478">
        <f>IF(쿼리1[[#This Row],[Value.Duration]]/100&lt;=10,10,ROUND(쿼리1[[#This Row],[Value.Duration]]/100*0.7,-1))</f>
        <v>10</v>
      </c>
    </row>
    <row r="479" spans="1:4" x14ac:dyDescent="0.3">
      <c r="A479" t="s">
        <v>2729</v>
      </c>
      <c r="B479">
        <v>1111601304</v>
      </c>
      <c r="C479">
        <v>633</v>
      </c>
      <c r="D479">
        <f>IF(쿼리1[[#This Row],[Value.Duration]]/100&lt;=10,10,ROUND(쿼리1[[#This Row],[Value.Duration]]/100*0.7,-1))</f>
        <v>10</v>
      </c>
    </row>
    <row r="480" spans="1:4" x14ac:dyDescent="0.3">
      <c r="A480" t="s">
        <v>2730</v>
      </c>
      <c r="B480">
        <v>1111601305</v>
      </c>
      <c r="C480">
        <v>600</v>
      </c>
      <c r="D480">
        <f>IF(쿼리1[[#This Row],[Value.Duration]]/100&lt;=10,10,ROUND(쿼리1[[#This Row],[Value.Duration]]/100*0.7,-1))</f>
        <v>10</v>
      </c>
    </row>
    <row r="481" spans="1:4" x14ac:dyDescent="0.3">
      <c r="A481" t="s">
        <v>2818</v>
      </c>
      <c r="B481">
        <v>1211201001</v>
      </c>
      <c r="C481">
        <v>1033</v>
      </c>
      <c r="D481">
        <f>IF(쿼리1[[#This Row],[Value.Duration]]/100&lt;=10,10,ROUND(쿼리1[[#This Row],[Value.Duration]]/100*0.7,-1))</f>
        <v>10</v>
      </c>
    </row>
    <row r="482" spans="1:4" x14ac:dyDescent="0.3">
      <c r="A482" t="s">
        <v>2819</v>
      </c>
      <c r="B482">
        <v>1211202001</v>
      </c>
      <c r="C482">
        <v>933</v>
      </c>
      <c r="D482">
        <f>IF(쿼리1[[#This Row],[Value.Duration]]/100&lt;=10,10,ROUND(쿼리1[[#This Row],[Value.Duration]]/100*0.7,-1))</f>
        <v>10</v>
      </c>
    </row>
    <row r="483" spans="1:4" x14ac:dyDescent="0.3">
      <c r="A483" t="s">
        <v>2820</v>
      </c>
      <c r="B483">
        <v>1211202002</v>
      </c>
      <c r="C483">
        <v>933</v>
      </c>
      <c r="D483">
        <f>IF(쿼리1[[#This Row],[Value.Duration]]/100&lt;=10,10,ROUND(쿼리1[[#This Row],[Value.Duration]]/100*0.7,-1))</f>
        <v>10</v>
      </c>
    </row>
    <row r="484" spans="1:4" x14ac:dyDescent="0.3">
      <c r="A484" t="s">
        <v>2821</v>
      </c>
      <c r="B484">
        <v>1211401001</v>
      </c>
      <c r="C484">
        <v>800</v>
      </c>
      <c r="D484">
        <f>IF(쿼리1[[#This Row],[Value.Duration]]/100&lt;=10,10,ROUND(쿼리1[[#This Row],[Value.Duration]]/100*0.7,-1))</f>
        <v>10</v>
      </c>
    </row>
    <row r="485" spans="1:4" x14ac:dyDescent="0.3">
      <c r="A485" t="s">
        <v>2822</v>
      </c>
      <c r="B485">
        <v>1211401002</v>
      </c>
      <c r="C485">
        <v>666</v>
      </c>
      <c r="D485">
        <f>IF(쿼리1[[#This Row],[Value.Duration]]/100&lt;=10,10,ROUND(쿼리1[[#This Row],[Value.Duration]]/100*0.7,-1))</f>
        <v>10</v>
      </c>
    </row>
    <row r="486" spans="1:4" x14ac:dyDescent="0.3">
      <c r="A486" t="s">
        <v>2823</v>
      </c>
      <c r="B486">
        <v>1211401003</v>
      </c>
      <c r="C486">
        <v>666</v>
      </c>
      <c r="D486">
        <f>IF(쿼리1[[#This Row],[Value.Duration]]/100&lt;=10,10,ROUND(쿼리1[[#This Row],[Value.Duration]]/100*0.7,-1))</f>
        <v>10</v>
      </c>
    </row>
    <row r="487" spans="1:4" x14ac:dyDescent="0.3">
      <c r="A487" t="s">
        <v>2824</v>
      </c>
      <c r="B487">
        <v>1211401004</v>
      </c>
      <c r="C487">
        <v>666</v>
      </c>
      <c r="D487">
        <f>IF(쿼리1[[#This Row],[Value.Duration]]/100&lt;=10,10,ROUND(쿼리1[[#This Row],[Value.Duration]]/100*0.7,-1))</f>
        <v>10</v>
      </c>
    </row>
    <row r="488" spans="1:4" x14ac:dyDescent="0.3">
      <c r="A488" t="s">
        <v>2825</v>
      </c>
      <c r="B488">
        <v>1210501001</v>
      </c>
      <c r="C488">
        <v>1200</v>
      </c>
      <c r="D488">
        <f>IF(쿼리1[[#This Row],[Value.Duration]]/100&lt;=10,10,ROUND(쿼리1[[#This Row],[Value.Duration]]/100*0.7,-1))</f>
        <v>10</v>
      </c>
    </row>
    <row r="489" spans="1:4" x14ac:dyDescent="0.3">
      <c r="A489" t="s">
        <v>2826</v>
      </c>
      <c r="B489">
        <v>1210501002</v>
      </c>
      <c r="C489">
        <v>1200</v>
      </c>
      <c r="D489">
        <f>IF(쿼리1[[#This Row],[Value.Duration]]/100&lt;=10,10,ROUND(쿼리1[[#This Row],[Value.Duration]]/100*0.7,-1))</f>
        <v>10</v>
      </c>
    </row>
    <row r="490" spans="1:4" x14ac:dyDescent="0.3">
      <c r="A490" t="s">
        <v>2827</v>
      </c>
      <c r="B490">
        <v>1210502001</v>
      </c>
      <c r="C490">
        <v>1000</v>
      </c>
      <c r="D490">
        <f>IF(쿼리1[[#This Row],[Value.Duration]]/100&lt;=10,10,ROUND(쿼리1[[#This Row],[Value.Duration]]/100*0.7,-1))</f>
        <v>10</v>
      </c>
    </row>
    <row r="491" spans="1:4" x14ac:dyDescent="0.3">
      <c r="A491" t="s">
        <v>2828</v>
      </c>
      <c r="B491">
        <v>1210502002</v>
      </c>
      <c r="C491">
        <v>1000</v>
      </c>
      <c r="D491">
        <f>IF(쿼리1[[#This Row],[Value.Duration]]/100&lt;=10,10,ROUND(쿼리1[[#This Row],[Value.Duration]]/100*0.7,-1))</f>
        <v>10</v>
      </c>
    </row>
    <row r="492" spans="1:4" x14ac:dyDescent="0.3">
      <c r="A492" t="s">
        <v>2829</v>
      </c>
      <c r="B492">
        <v>1210503001</v>
      </c>
      <c r="C492">
        <v>1666</v>
      </c>
      <c r="D492">
        <f>IF(쿼리1[[#This Row],[Value.Duration]]/100&lt;=10,10,ROUND(쿼리1[[#This Row],[Value.Duration]]/100*0.7,-1))</f>
        <v>10</v>
      </c>
    </row>
    <row r="493" spans="1:4" x14ac:dyDescent="0.3">
      <c r="A493" t="s">
        <v>2830</v>
      </c>
      <c r="B493">
        <v>1210504001</v>
      </c>
      <c r="C493">
        <v>1733</v>
      </c>
      <c r="D493">
        <f>IF(쿼리1[[#This Row],[Value.Duration]]/100&lt;=10,10,ROUND(쿼리1[[#This Row],[Value.Duration]]/100*0.7,-1))</f>
        <v>10</v>
      </c>
    </row>
    <row r="494" spans="1:4" x14ac:dyDescent="0.3">
      <c r="A494" t="s">
        <v>2831</v>
      </c>
      <c r="B494">
        <v>1210504000</v>
      </c>
      <c r="C494">
        <v>933</v>
      </c>
      <c r="D494">
        <f>IF(쿼리1[[#This Row],[Value.Duration]]/100&lt;=10,10,ROUND(쿼리1[[#This Row],[Value.Duration]]/100*0.7,-1))</f>
        <v>10</v>
      </c>
    </row>
    <row r="495" spans="1:4" x14ac:dyDescent="0.3">
      <c r="A495" t="s">
        <v>2832</v>
      </c>
      <c r="B495">
        <v>1211101001</v>
      </c>
      <c r="C495">
        <v>533</v>
      </c>
      <c r="D495">
        <f>IF(쿼리1[[#This Row],[Value.Duration]]/100&lt;=10,10,ROUND(쿼리1[[#This Row],[Value.Duration]]/100*0.7,-1))</f>
        <v>10</v>
      </c>
    </row>
    <row r="496" spans="1:4" x14ac:dyDescent="0.3">
      <c r="A496" t="s">
        <v>2833</v>
      </c>
      <c r="B496">
        <v>1211101002</v>
      </c>
      <c r="C496">
        <v>600</v>
      </c>
      <c r="D496">
        <f>IF(쿼리1[[#This Row],[Value.Duration]]/100&lt;=10,10,ROUND(쿼리1[[#This Row],[Value.Duration]]/100*0.7,-1))</f>
        <v>10</v>
      </c>
    </row>
    <row r="497" spans="1:4" x14ac:dyDescent="0.3">
      <c r="A497" t="s">
        <v>2834</v>
      </c>
      <c r="B497">
        <v>1211101003</v>
      </c>
      <c r="C497">
        <v>666</v>
      </c>
      <c r="D497">
        <f>IF(쿼리1[[#This Row],[Value.Duration]]/100&lt;=10,10,ROUND(쿼리1[[#This Row],[Value.Duration]]/100*0.7,-1))</f>
        <v>10</v>
      </c>
    </row>
    <row r="498" spans="1:4" x14ac:dyDescent="0.3">
      <c r="A498" t="s">
        <v>2835</v>
      </c>
      <c r="B498">
        <v>1211301001</v>
      </c>
      <c r="C498">
        <v>2000</v>
      </c>
      <c r="D498">
        <f>IF(쿼리1[[#This Row],[Value.Duration]]/100&lt;=10,10,ROUND(쿼리1[[#This Row],[Value.Duration]]/100*0.7,-1))</f>
        <v>10</v>
      </c>
    </row>
    <row r="499" spans="1:4" x14ac:dyDescent="0.3">
      <c r="A499" t="s">
        <v>2836</v>
      </c>
      <c r="B499">
        <v>1211301002</v>
      </c>
      <c r="C499">
        <v>2000</v>
      </c>
      <c r="D499">
        <f>IF(쿼리1[[#This Row],[Value.Duration]]/100&lt;=10,10,ROUND(쿼리1[[#This Row],[Value.Duration]]/100*0.7,-1))</f>
        <v>10</v>
      </c>
    </row>
    <row r="500" spans="1:4" x14ac:dyDescent="0.3">
      <c r="A500" t="s">
        <v>2837</v>
      </c>
      <c r="B500">
        <v>1211301011</v>
      </c>
      <c r="C500">
        <v>1666</v>
      </c>
      <c r="D500">
        <f>IF(쿼리1[[#This Row],[Value.Duration]]/100&lt;=10,10,ROUND(쿼리1[[#This Row],[Value.Duration]]/100*0.7,-1))</f>
        <v>10</v>
      </c>
    </row>
    <row r="501" spans="1:4" x14ac:dyDescent="0.3">
      <c r="A501" t="s">
        <v>2838</v>
      </c>
      <c r="B501">
        <v>1211301012</v>
      </c>
      <c r="C501">
        <v>1666</v>
      </c>
      <c r="D501">
        <f>IF(쿼리1[[#This Row],[Value.Duration]]/100&lt;=10,10,ROUND(쿼리1[[#This Row],[Value.Duration]]/100*0.7,-1))</f>
        <v>10</v>
      </c>
    </row>
    <row r="502" spans="1:4" x14ac:dyDescent="0.3">
      <c r="A502" t="s">
        <v>2839</v>
      </c>
      <c r="B502">
        <v>1211301021</v>
      </c>
      <c r="C502">
        <v>1600</v>
      </c>
      <c r="D502">
        <f>IF(쿼리1[[#This Row],[Value.Duration]]/100&lt;=10,10,ROUND(쿼리1[[#This Row],[Value.Duration]]/100*0.7,-1))</f>
        <v>10</v>
      </c>
    </row>
    <row r="503" spans="1:4" x14ac:dyDescent="0.3">
      <c r="A503" t="s">
        <v>2840</v>
      </c>
      <c r="B503">
        <v>1211301022</v>
      </c>
      <c r="C503">
        <v>1600</v>
      </c>
      <c r="D503">
        <f>IF(쿼리1[[#This Row],[Value.Duration]]/100&lt;=10,10,ROUND(쿼리1[[#This Row],[Value.Duration]]/100*0.7,-1))</f>
        <v>10</v>
      </c>
    </row>
    <row r="504" spans="1:4" x14ac:dyDescent="0.3">
      <c r="A504" t="s">
        <v>2841</v>
      </c>
      <c r="B504">
        <v>1211301031</v>
      </c>
      <c r="C504">
        <v>600</v>
      </c>
      <c r="D504">
        <f>IF(쿼리1[[#This Row],[Value.Duration]]/100&lt;=10,10,ROUND(쿼리1[[#This Row],[Value.Duration]]/100*0.7,-1))</f>
        <v>10</v>
      </c>
    </row>
    <row r="505" spans="1:4" x14ac:dyDescent="0.3">
      <c r="A505" t="s">
        <v>2842</v>
      </c>
      <c r="B505">
        <v>1211301032</v>
      </c>
      <c r="C505">
        <v>600</v>
      </c>
      <c r="D505">
        <f>IF(쿼리1[[#This Row],[Value.Duration]]/100&lt;=10,10,ROUND(쿼리1[[#This Row],[Value.Duration]]/100*0.7,-1))</f>
        <v>10</v>
      </c>
    </row>
    <row r="506" spans="1:4" x14ac:dyDescent="0.3">
      <c r="A506" t="s">
        <v>2843</v>
      </c>
      <c r="B506">
        <v>1211301041</v>
      </c>
      <c r="C506">
        <v>800</v>
      </c>
      <c r="D506">
        <f>IF(쿼리1[[#This Row],[Value.Duration]]/100&lt;=10,10,ROUND(쿼리1[[#This Row],[Value.Duration]]/100*0.7,-1))</f>
        <v>10</v>
      </c>
    </row>
    <row r="507" spans="1:4" x14ac:dyDescent="0.3">
      <c r="A507" t="s">
        <v>2844</v>
      </c>
      <c r="B507">
        <v>1211301042</v>
      </c>
      <c r="C507">
        <v>800</v>
      </c>
      <c r="D507">
        <f>IF(쿼리1[[#This Row],[Value.Duration]]/100&lt;=10,10,ROUND(쿼리1[[#This Row],[Value.Duration]]/100*0.7,-1))</f>
        <v>10</v>
      </c>
    </row>
    <row r="508" spans="1:4" x14ac:dyDescent="0.3">
      <c r="A508" t="s">
        <v>2845</v>
      </c>
      <c r="B508">
        <v>1211301051</v>
      </c>
      <c r="C508">
        <v>1033</v>
      </c>
      <c r="D508">
        <f>IF(쿼리1[[#This Row],[Value.Duration]]/100&lt;=10,10,ROUND(쿼리1[[#This Row],[Value.Duration]]/100*0.7,-1))</f>
        <v>10</v>
      </c>
    </row>
    <row r="509" spans="1:4" x14ac:dyDescent="0.3">
      <c r="A509" t="s">
        <v>2846</v>
      </c>
      <c r="B509">
        <v>1211301052</v>
      </c>
      <c r="C509">
        <v>1033</v>
      </c>
      <c r="D509">
        <f>IF(쿼리1[[#This Row],[Value.Duration]]/100&lt;=10,10,ROUND(쿼리1[[#This Row],[Value.Duration]]/100*0.7,-1))</f>
        <v>10</v>
      </c>
    </row>
    <row r="510" spans="1:4" x14ac:dyDescent="0.3">
      <c r="A510" t="s">
        <v>2847</v>
      </c>
      <c r="B510">
        <v>1211301061</v>
      </c>
      <c r="C510">
        <v>933</v>
      </c>
      <c r="D510">
        <f>IF(쿼리1[[#This Row],[Value.Duration]]/100&lt;=10,10,ROUND(쿼리1[[#This Row],[Value.Duration]]/100*0.7,-1))</f>
        <v>10</v>
      </c>
    </row>
    <row r="511" spans="1:4" x14ac:dyDescent="0.3">
      <c r="A511" t="s">
        <v>2848</v>
      </c>
      <c r="B511">
        <v>1211301062</v>
      </c>
      <c r="C511">
        <v>933</v>
      </c>
      <c r="D511">
        <f>IF(쿼리1[[#This Row],[Value.Duration]]/100&lt;=10,10,ROUND(쿼리1[[#This Row],[Value.Duration]]/100*0.7,-1))</f>
        <v>10</v>
      </c>
    </row>
    <row r="512" spans="1:4" x14ac:dyDescent="0.3">
      <c r="A512" t="s">
        <v>2849</v>
      </c>
      <c r="B512">
        <v>1211301071</v>
      </c>
      <c r="C512">
        <v>1600</v>
      </c>
      <c r="D512">
        <f>IF(쿼리1[[#This Row],[Value.Duration]]/100&lt;=10,10,ROUND(쿼리1[[#This Row],[Value.Duration]]/100*0.7,-1))</f>
        <v>10</v>
      </c>
    </row>
    <row r="513" spans="1:4" x14ac:dyDescent="0.3">
      <c r="A513" t="s">
        <v>2850</v>
      </c>
      <c r="B513">
        <v>1211301072</v>
      </c>
      <c r="C513">
        <v>1733</v>
      </c>
      <c r="D513">
        <f>IF(쿼리1[[#This Row],[Value.Duration]]/100&lt;=10,10,ROUND(쿼리1[[#This Row],[Value.Duration]]/100*0.7,-1))</f>
        <v>10</v>
      </c>
    </row>
    <row r="514" spans="1:4" x14ac:dyDescent="0.3">
      <c r="A514" t="s">
        <v>2851</v>
      </c>
      <c r="B514">
        <v>1210301001</v>
      </c>
      <c r="C514">
        <v>1633</v>
      </c>
      <c r="D514">
        <f>IF(쿼리1[[#This Row],[Value.Duration]]/100&lt;=10,10,ROUND(쿼리1[[#This Row],[Value.Duration]]/100*0.7,-1))</f>
        <v>10</v>
      </c>
    </row>
    <row r="515" spans="1:4" x14ac:dyDescent="0.3">
      <c r="A515" t="s">
        <v>2852</v>
      </c>
      <c r="B515">
        <v>1210301002</v>
      </c>
      <c r="C515">
        <v>4000</v>
      </c>
      <c r="D515">
        <f>IF(쿼리1[[#This Row],[Value.Duration]]/100&lt;=10,10,ROUND(쿼리1[[#This Row],[Value.Duration]]/100*0.7,-1))</f>
        <v>30</v>
      </c>
    </row>
    <row r="516" spans="1:4" x14ac:dyDescent="0.3">
      <c r="A516" t="s">
        <v>2853</v>
      </c>
      <c r="B516">
        <v>1210301003</v>
      </c>
      <c r="C516">
        <v>1566</v>
      </c>
      <c r="D516">
        <f>IF(쿼리1[[#This Row],[Value.Duration]]/100&lt;=10,10,ROUND(쿼리1[[#This Row],[Value.Duration]]/100*0.7,-1))</f>
        <v>10</v>
      </c>
    </row>
    <row r="517" spans="1:4" x14ac:dyDescent="0.3">
      <c r="A517" t="s">
        <v>2854</v>
      </c>
      <c r="B517">
        <v>1210301004</v>
      </c>
      <c r="C517">
        <v>1566</v>
      </c>
      <c r="D517">
        <f>IF(쿼리1[[#This Row],[Value.Duration]]/100&lt;=10,10,ROUND(쿼리1[[#This Row],[Value.Duration]]/100*0.7,-1))</f>
        <v>10</v>
      </c>
    </row>
    <row r="518" spans="1:4" x14ac:dyDescent="0.3">
      <c r="A518" t="s">
        <v>2855</v>
      </c>
      <c r="B518">
        <v>1210301005</v>
      </c>
      <c r="C518">
        <v>800</v>
      </c>
      <c r="D518">
        <f>IF(쿼리1[[#This Row],[Value.Duration]]/100&lt;=10,10,ROUND(쿼리1[[#This Row],[Value.Duration]]/100*0.7,-1))</f>
        <v>10</v>
      </c>
    </row>
    <row r="519" spans="1:4" x14ac:dyDescent="0.3">
      <c r="A519" t="s">
        <v>2856</v>
      </c>
      <c r="B519">
        <v>1210301006</v>
      </c>
      <c r="C519">
        <v>1633</v>
      </c>
      <c r="D519">
        <f>IF(쿼리1[[#This Row],[Value.Duration]]/100&lt;=10,10,ROUND(쿼리1[[#This Row],[Value.Duration]]/100*0.7,-1))</f>
        <v>10</v>
      </c>
    </row>
    <row r="520" spans="1:4" x14ac:dyDescent="0.3">
      <c r="A520" t="s">
        <v>2857</v>
      </c>
      <c r="B520">
        <v>1210302001</v>
      </c>
      <c r="C520">
        <v>1666</v>
      </c>
      <c r="D520">
        <f>IF(쿼리1[[#This Row],[Value.Duration]]/100&lt;=10,10,ROUND(쿼리1[[#This Row],[Value.Duration]]/100*0.7,-1))</f>
        <v>10</v>
      </c>
    </row>
    <row r="521" spans="1:4" x14ac:dyDescent="0.3">
      <c r="A521" t="s">
        <v>2858</v>
      </c>
      <c r="B521">
        <v>1210302002</v>
      </c>
      <c r="C521">
        <v>1666</v>
      </c>
      <c r="D521">
        <f>IF(쿼리1[[#This Row],[Value.Duration]]/100&lt;=10,10,ROUND(쿼리1[[#This Row],[Value.Duration]]/100*0.7,-1))</f>
        <v>10</v>
      </c>
    </row>
    <row r="522" spans="1:4" x14ac:dyDescent="0.3">
      <c r="A522" t="s">
        <v>2859</v>
      </c>
      <c r="B522">
        <v>1210302003</v>
      </c>
      <c r="C522">
        <v>733</v>
      </c>
      <c r="D522">
        <f>IF(쿼리1[[#This Row],[Value.Duration]]/100&lt;=10,10,ROUND(쿼리1[[#This Row],[Value.Duration]]/100*0.7,-1))</f>
        <v>10</v>
      </c>
    </row>
    <row r="523" spans="1:4" x14ac:dyDescent="0.3">
      <c r="A523" t="s">
        <v>2860</v>
      </c>
      <c r="B523">
        <v>1210302004</v>
      </c>
      <c r="C523">
        <v>666</v>
      </c>
      <c r="D523">
        <f>IF(쿼리1[[#This Row],[Value.Duration]]/100&lt;=10,10,ROUND(쿼리1[[#This Row],[Value.Duration]]/100*0.7,-1))</f>
        <v>10</v>
      </c>
    </row>
    <row r="524" spans="1:4" x14ac:dyDescent="0.3">
      <c r="A524" t="s">
        <v>2861</v>
      </c>
      <c r="B524">
        <v>1210302005</v>
      </c>
      <c r="C524">
        <v>800</v>
      </c>
      <c r="D524">
        <f>IF(쿼리1[[#This Row],[Value.Duration]]/100&lt;=10,10,ROUND(쿼리1[[#This Row],[Value.Duration]]/100*0.7,-1))</f>
        <v>10</v>
      </c>
    </row>
    <row r="525" spans="1:4" x14ac:dyDescent="0.3">
      <c r="A525" t="s">
        <v>2862</v>
      </c>
      <c r="B525">
        <v>1210302006</v>
      </c>
      <c r="C525">
        <v>1600</v>
      </c>
      <c r="D525">
        <f>IF(쿼리1[[#This Row],[Value.Duration]]/100&lt;=10,10,ROUND(쿼리1[[#This Row],[Value.Duration]]/100*0.7,-1))</f>
        <v>10</v>
      </c>
    </row>
    <row r="526" spans="1:4" x14ac:dyDescent="0.3">
      <c r="A526" t="s">
        <v>2863</v>
      </c>
      <c r="B526">
        <v>1210302007</v>
      </c>
      <c r="C526">
        <v>1333</v>
      </c>
      <c r="D526">
        <f>IF(쿼리1[[#This Row],[Value.Duration]]/100&lt;=10,10,ROUND(쿼리1[[#This Row],[Value.Duration]]/100*0.7,-1))</f>
        <v>10</v>
      </c>
    </row>
    <row r="527" spans="1:4" x14ac:dyDescent="0.3">
      <c r="A527" t="s">
        <v>2864</v>
      </c>
      <c r="B527">
        <v>1210302008</v>
      </c>
      <c r="C527">
        <v>1600</v>
      </c>
      <c r="D527">
        <f>IF(쿼리1[[#This Row],[Value.Duration]]/100&lt;=10,10,ROUND(쿼리1[[#This Row],[Value.Duration]]/100*0.7,-1))</f>
        <v>10</v>
      </c>
    </row>
    <row r="528" spans="1:4" x14ac:dyDescent="0.3">
      <c r="A528" t="s">
        <v>2865</v>
      </c>
      <c r="B528">
        <v>1210302009</v>
      </c>
      <c r="C528">
        <v>800</v>
      </c>
      <c r="D528">
        <f>IF(쿼리1[[#This Row],[Value.Duration]]/100&lt;=10,10,ROUND(쿼리1[[#This Row],[Value.Duration]]/100*0.7,-1))</f>
        <v>10</v>
      </c>
    </row>
    <row r="529" spans="1:4" x14ac:dyDescent="0.3">
      <c r="A529" t="s">
        <v>2866</v>
      </c>
      <c r="B529">
        <v>1210302010</v>
      </c>
      <c r="C529">
        <v>2700</v>
      </c>
      <c r="D529">
        <f>IF(쿼리1[[#This Row],[Value.Duration]]/100&lt;=10,10,ROUND(쿼리1[[#This Row],[Value.Duration]]/100*0.7,-1))</f>
        <v>20</v>
      </c>
    </row>
    <row r="530" spans="1:4" x14ac:dyDescent="0.3">
      <c r="A530" t="s">
        <v>2867</v>
      </c>
      <c r="B530">
        <v>1210303001</v>
      </c>
      <c r="C530">
        <v>1666</v>
      </c>
      <c r="D530">
        <f>IF(쿼리1[[#This Row],[Value.Duration]]/100&lt;=10,10,ROUND(쿼리1[[#This Row],[Value.Duration]]/100*0.7,-1))</f>
        <v>10</v>
      </c>
    </row>
    <row r="531" spans="1:4" x14ac:dyDescent="0.3">
      <c r="A531" t="s">
        <v>2868</v>
      </c>
      <c r="B531">
        <v>1210303002</v>
      </c>
      <c r="C531">
        <v>1666</v>
      </c>
      <c r="D531">
        <f>IF(쿼리1[[#This Row],[Value.Duration]]/100&lt;=10,10,ROUND(쿼리1[[#This Row],[Value.Duration]]/100*0.7,-1))</f>
        <v>10</v>
      </c>
    </row>
    <row r="532" spans="1:4" x14ac:dyDescent="0.3">
      <c r="A532" t="s">
        <v>2869</v>
      </c>
      <c r="B532">
        <v>1210303003</v>
      </c>
      <c r="C532">
        <v>1600</v>
      </c>
      <c r="D532">
        <f>IF(쿼리1[[#This Row],[Value.Duration]]/100&lt;=10,10,ROUND(쿼리1[[#This Row],[Value.Duration]]/100*0.7,-1))</f>
        <v>10</v>
      </c>
    </row>
    <row r="533" spans="1:4" x14ac:dyDescent="0.3">
      <c r="A533" t="s">
        <v>2870</v>
      </c>
      <c r="B533">
        <v>1210304001</v>
      </c>
      <c r="C533">
        <v>533</v>
      </c>
      <c r="D533">
        <f>IF(쿼리1[[#This Row],[Value.Duration]]/100&lt;=10,10,ROUND(쿼리1[[#This Row],[Value.Duration]]/100*0.7,-1))</f>
        <v>10</v>
      </c>
    </row>
    <row r="534" spans="1:4" x14ac:dyDescent="0.3">
      <c r="A534" t="s">
        <v>2871</v>
      </c>
      <c r="B534">
        <v>1210304002</v>
      </c>
      <c r="C534">
        <v>733</v>
      </c>
      <c r="D534">
        <f>IF(쿼리1[[#This Row],[Value.Duration]]/100&lt;=10,10,ROUND(쿼리1[[#This Row],[Value.Duration]]/100*0.7,-1))</f>
        <v>10</v>
      </c>
    </row>
    <row r="535" spans="1:4" x14ac:dyDescent="0.3">
      <c r="A535" t="s">
        <v>2872</v>
      </c>
      <c r="B535">
        <v>1210305001</v>
      </c>
      <c r="C535">
        <v>800</v>
      </c>
      <c r="D535">
        <f>IF(쿼리1[[#This Row],[Value.Duration]]/100&lt;=10,10,ROUND(쿼리1[[#This Row],[Value.Duration]]/100*0.7,-1))</f>
        <v>10</v>
      </c>
    </row>
    <row r="536" spans="1:4" x14ac:dyDescent="0.3">
      <c r="A536" t="s">
        <v>2873</v>
      </c>
      <c r="B536">
        <v>1210305002</v>
      </c>
      <c r="C536">
        <v>666</v>
      </c>
      <c r="D536">
        <f>IF(쿼리1[[#This Row],[Value.Duration]]/100&lt;=10,10,ROUND(쿼리1[[#This Row],[Value.Duration]]/100*0.7,-1))</f>
        <v>10</v>
      </c>
    </row>
    <row r="537" spans="1:4" x14ac:dyDescent="0.3">
      <c r="A537" t="s">
        <v>2874</v>
      </c>
      <c r="B537">
        <v>1210305003</v>
      </c>
      <c r="C537">
        <v>600</v>
      </c>
      <c r="D537">
        <f>IF(쿼리1[[#This Row],[Value.Duration]]/100&lt;=10,10,ROUND(쿼리1[[#This Row],[Value.Duration]]/100*0.7,-1))</f>
        <v>10</v>
      </c>
    </row>
    <row r="538" spans="1:4" x14ac:dyDescent="0.3">
      <c r="A538" t="s">
        <v>2875</v>
      </c>
      <c r="B538">
        <v>1210305004</v>
      </c>
      <c r="C538">
        <v>666</v>
      </c>
      <c r="D538">
        <f>IF(쿼리1[[#This Row],[Value.Duration]]/100&lt;=10,10,ROUND(쿼리1[[#This Row],[Value.Duration]]/100*0.7,-1))</f>
        <v>10</v>
      </c>
    </row>
    <row r="539" spans="1:4" x14ac:dyDescent="0.3">
      <c r="A539" t="s">
        <v>2876</v>
      </c>
      <c r="B539">
        <v>1210305005</v>
      </c>
      <c r="C539">
        <v>666</v>
      </c>
      <c r="D539">
        <f>IF(쿼리1[[#This Row],[Value.Duration]]/100&lt;=10,10,ROUND(쿼리1[[#This Row],[Value.Duration]]/100*0.7,-1))</f>
        <v>10</v>
      </c>
    </row>
    <row r="540" spans="1:4" x14ac:dyDescent="0.3">
      <c r="A540" t="s">
        <v>2877</v>
      </c>
      <c r="B540">
        <v>1210305006</v>
      </c>
      <c r="C540">
        <v>466</v>
      </c>
      <c r="D540">
        <f>IF(쿼리1[[#This Row],[Value.Duration]]/100&lt;=10,10,ROUND(쿼리1[[#This Row],[Value.Duration]]/100*0.7,-1))</f>
        <v>10</v>
      </c>
    </row>
    <row r="541" spans="1:4" x14ac:dyDescent="0.3">
      <c r="A541" t="s">
        <v>2878</v>
      </c>
      <c r="B541">
        <v>1210305007</v>
      </c>
      <c r="C541">
        <v>933</v>
      </c>
      <c r="D541">
        <f>IF(쿼리1[[#This Row],[Value.Duration]]/100&lt;=10,10,ROUND(쿼리1[[#This Row],[Value.Duration]]/100*0.7,-1))</f>
        <v>10</v>
      </c>
    </row>
    <row r="542" spans="1:4" x14ac:dyDescent="0.3">
      <c r="A542" t="s">
        <v>2879</v>
      </c>
      <c r="B542">
        <v>1210305008</v>
      </c>
      <c r="C542">
        <v>800</v>
      </c>
      <c r="D542">
        <f>IF(쿼리1[[#This Row],[Value.Duration]]/100&lt;=10,10,ROUND(쿼리1[[#This Row],[Value.Duration]]/100*0.7,-1))</f>
        <v>10</v>
      </c>
    </row>
    <row r="543" spans="1:4" x14ac:dyDescent="0.3">
      <c r="A543" t="s">
        <v>2880</v>
      </c>
      <c r="B543">
        <v>1210305009</v>
      </c>
      <c r="C543">
        <v>933</v>
      </c>
      <c r="D543">
        <f>IF(쿼리1[[#This Row],[Value.Duration]]/100&lt;=10,10,ROUND(쿼리1[[#This Row],[Value.Duration]]/100*0.7,-1))</f>
        <v>10</v>
      </c>
    </row>
    <row r="544" spans="1:4" x14ac:dyDescent="0.3">
      <c r="A544" t="s">
        <v>2881</v>
      </c>
      <c r="B544">
        <v>1210305010</v>
      </c>
      <c r="C544">
        <v>666</v>
      </c>
      <c r="D544">
        <f>IF(쿼리1[[#This Row],[Value.Duration]]/100&lt;=10,10,ROUND(쿼리1[[#This Row],[Value.Duration]]/100*0.7,-1))</f>
        <v>10</v>
      </c>
    </row>
    <row r="545" spans="1:4" x14ac:dyDescent="0.3">
      <c r="A545" t="s">
        <v>2882</v>
      </c>
      <c r="B545">
        <v>1210305011</v>
      </c>
      <c r="C545">
        <v>533</v>
      </c>
      <c r="D545">
        <f>IF(쿼리1[[#This Row],[Value.Duration]]/100&lt;=10,10,ROUND(쿼리1[[#This Row],[Value.Duration]]/100*0.7,-1))</f>
        <v>10</v>
      </c>
    </row>
    <row r="546" spans="1:4" x14ac:dyDescent="0.3">
      <c r="A546" t="s">
        <v>2883</v>
      </c>
      <c r="B546">
        <v>1210305012</v>
      </c>
      <c r="C546">
        <v>1133</v>
      </c>
      <c r="D546">
        <f>IF(쿼리1[[#This Row],[Value.Duration]]/100&lt;=10,10,ROUND(쿼리1[[#This Row],[Value.Duration]]/100*0.7,-1))</f>
        <v>10</v>
      </c>
    </row>
    <row r="547" spans="1:4" x14ac:dyDescent="0.3">
      <c r="A547" t="s">
        <v>2884</v>
      </c>
      <c r="B547">
        <v>1210305013</v>
      </c>
      <c r="C547">
        <v>800</v>
      </c>
      <c r="D547">
        <f>IF(쿼리1[[#This Row],[Value.Duration]]/100&lt;=10,10,ROUND(쿼리1[[#This Row],[Value.Duration]]/100*0.7,-1))</f>
        <v>10</v>
      </c>
    </row>
    <row r="548" spans="1:4" x14ac:dyDescent="0.3">
      <c r="A548" t="s">
        <v>2885</v>
      </c>
      <c r="B548">
        <v>1210305014</v>
      </c>
      <c r="C548">
        <v>1000</v>
      </c>
      <c r="D548">
        <f>IF(쿼리1[[#This Row],[Value.Duration]]/100&lt;=10,10,ROUND(쿼리1[[#This Row],[Value.Duration]]/100*0.7,-1))</f>
        <v>10</v>
      </c>
    </row>
    <row r="549" spans="1:4" x14ac:dyDescent="0.3">
      <c r="A549" t="s">
        <v>2886</v>
      </c>
      <c r="B549">
        <v>1210401001</v>
      </c>
      <c r="C549">
        <v>1333</v>
      </c>
      <c r="D549">
        <f>IF(쿼리1[[#This Row],[Value.Duration]]/100&lt;=10,10,ROUND(쿼리1[[#This Row],[Value.Duration]]/100*0.7,-1))</f>
        <v>10</v>
      </c>
    </row>
    <row r="550" spans="1:4" x14ac:dyDescent="0.3">
      <c r="A550" t="s">
        <v>2887</v>
      </c>
      <c r="B550">
        <v>1210401002</v>
      </c>
      <c r="C550">
        <v>1333</v>
      </c>
      <c r="D550">
        <f>IF(쿼리1[[#This Row],[Value.Duration]]/100&lt;=10,10,ROUND(쿼리1[[#This Row],[Value.Duration]]/100*0.7,-1))</f>
        <v>10</v>
      </c>
    </row>
    <row r="551" spans="1:4" x14ac:dyDescent="0.3">
      <c r="A551" t="s">
        <v>2888</v>
      </c>
      <c r="B551">
        <v>1210401003</v>
      </c>
      <c r="C551">
        <v>1333</v>
      </c>
      <c r="D551">
        <f>IF(쿼리1[[#This Row],[Value.Duration]]/100&lt;=10,10,ROUND(쿼리1[[#This Row],[Value.Duration]]/100*0.7,-1))</f>
        <v>10</v>
      </c>
    </row>
    <row r="552" spans="1:4" x14ac:dyDescent="0.3">
      <c r="A552" t="s">
        <v>2889</v>
      </c>
      <c r="B552">
        <v>1210401004</v>
      </c>
      <c r="C552">
        <v>1333</v>
      </c>
      <c r="D552">
        <f>IF(쿼리1[[#This Row],[Value.Duration]]/100&lt;=10,10,ROUND(쿼리1[[#This Row],[Value.Duration]]/100*0.7,-1))</f>
        <v>10</v>
      </c>
    </row>
    <row r="553" spans="1:4" x14ac:dyDescent="0.3">
      <c r="A553" t="s">
        <v>2890</v>
      </c>
      <c r="B553">
        <v>1210401005</v>
      </c>
      <c r="C553">
        <v>1333</v>
      </c>
      <c r="D553">
        <f>IF(쿼리1[[#This Row],[Value.Duration]]/100&lt;=10,10,ROUND(쿼리1[[#This Row],[Value.Duration]]/100*0.7,-1))</f>
        <v>10</v>
      </c>
    </row>
    <row r="554" spans="1:4" x14ac:dyDescent="0.3">
      <c r="A554" t="s">
        <v>2891</v>
      </c>
      <c r="B554">
        <v>1210401006</v>
      </c>
      <c r="C554">
        <v>1333</v>
      </c>
      <c r="D554">
        <f>IF(쿼리1[[#This Row],[Value.Duration]]/100&lt;=10,10,ROUND(쿼리1[[#This Row],[Value.Duration]]/100*0.7,-1))</f>
        <v>10</v>
      </c>
    </row>
    <row r="555" spans="1:4" x14ac:dyDescent="0.3">
      <c r="A555" t="s">
        <v>2892</v>
      </c>
      <c r="B555">
        <v>1210401007</v>
      </c>
      <c r="C555">
        <v>1333</v>
      </c>
      <c r="D555">
        <f>IF(쿼리1[[#This Row],[Value.Duration]]/100&lt;=10,10,ROUND(쿼리1[[#This Row],[Value.Duration]]/100*0.7,-1))</f>
        <v>10</v>
      </c>
    </row>
    <row r="556" spans="1:4" x14ac:dyDescent="0.3">
      <c r="A556" t="s">
        <v>2893</v>
      </c>
      <c r="B556">
        <v>1210401008</v>
      </c>
      <c r="C556">
        <v>1333</v>
      </c>
      <c r="D556">
        <f>IF(쿼리1[[#This Row],[Value.Duration]]/100&lt;=10,10,ROUND(쿼리1[[#This Row],[Value.Duration]]/100*0.7,-1))</f>
        <v>10</v>
      </c>
    </row>
    <row r="557" spans="1:4" x14ac:dyDescent="0.3">
      <c r="A557" t="s">
        <v>2894</v>
      </c>
      <c r="B557">
        <v>1210401009</v>
      </c>
      <c r="C557">
        <v>1333</v>
      </c>
      <c r="D557">
        <f>IF(쿼리1[[#This Row],[Value.Duration]]/100&lt;=10,10,ROUND(쿼리1[[#This Row],[Value.Duration]]/100*0.7,-1))</f>
        <v>10</v>
      </c>
    </row>
    <row r="558" spans="1:4" x14ac:dyDescent="0.3">
      <c r="A558" t="s">
        <v>2895</v>
      </c>
      <c r="B558">
        <v>1210401010</v>
      </c>
      <c r="C558">
        <v>1333</v>
      </c>
      <c r="D558">
        <f>IF(쿼리1[[#This Row],[Value.Duration]]/100&lt;=10,10,ROUND(쿼리1[[#This Row],[Value.Duration]]/100*0.7,-1))</f>
        <v>10</v>
      </c>
    </row>
    <row r="559" spans="1:4" x14ac:dyDescent="0.3">
      <c r="A559" t="s">
        <v>2896</v>
      </c>
      <c r="B559">
        <v>1210401011</v>
      </c>
      <c r="C559">
        <v>1333</v>
      </c>
      <c r="D559">
        <f>IF(쿼리1[[#This Row],[Value.Duration]]/100&lt;=10,10,ROUND(쿼리1[[#This Row],[Value.Duration]]/100*0.7,-1))</f>
        <v>10</v>
      </c>
    </row>
    <row r="560" spans="1:4" x14ac:dyDescent="0.3">
      <c r="A560" t="s">
        <v>2897</v>
      </c>
      <c r="B560">
        <v>1210401012</v>
      </c>
      <c r="C560">
        <v>1333</v>
      </c>
      <c r="D560">
        <f>IF(쿼리1[[#This Row],[Value.Duration]]/100&lt;=10,10,ROUND(쿼리1[[#This Row],[Value.Duration]]/100*0.7,-1))</f>
        <v>10</v>
      </c>
    </row>
    <row r="561" spans="1:4" x14ac:dyDescent="0.3">
      <c r="A561" t="s">
        <v>2898</v>
      </c>
      <c r="B561">
        <v>1210401013</v>
      </c>
      <c r="C561">
        <v>1333</v>
      </c>
      <c r="D561">
        <f>IF(쿼리1[[#This Row],[Value.Duration]]/100&lt;=10,10,ROUND(쿼리1[[#This Row],[Value.Duration]]/100*0.7,-1))</f>
        <v>10</v>
      </c>
    </row>
    <row r="562" spans="1:4" x14ac:dyDescent="0.3">
      <c r="A562" t="s">
        <v>2899</v>
      </c>
      <c r="B562">
        <v>1210401014</v>
      </c>
      <c r="C562">
        <v>1333</v>
      </c>
      <c r="D562">
        <f>IF(쿼리1[[#This Row],[Value.Duration]]/100&lt;=10,10,ROUND(쿼리1[[#This Row],[Value.Duration]]/100*0.7,-1))</f>
        <v>10</v>
      </c>
    </row>
    <row r="563" spans="1:4" x14ac:dyDescent="0.3">
      <c r="A563" t="s">
        <v>2900</v>
      </c>
      <c r="B563">
        <v>1210401015</v>
      </c>
      <c r="C563">
        <v>1333</v>
      </c>
      <c r="D563">
        <f>IF(쿼리1[[#This Row],[Value.Duration]]/100&lt;=10,10,ROUND(쿼리1[[#This Row],[Value.Duration]]/100*0.7,-1))</f>
        <v>10</v>
      </c>
    </row>
    <row r="564" spans="1:4" x14ac:dyDescent="0.3">
      <c r="A564" t="s">
        <v>2901</v>
      </c>
      <c r="B564">
        <v>1210401016</v>
      </c>
      <c r="C564">
        <v>1333</v>
      </c>
      <c r="D564">
        <f>IF(쿼리1[[#This Row],[Value.Duration]]/100&lt;=10,10,ROUND(쿼리1[[#This Row],[Value.Duration]]/100*0.7,-1))</f>
        <v>10</v>
      </c>
    </row>
    <row r="565" spans="1:4" x14ac:dyDescent="0.3">
      <c r="A565" t="s">
        <v>2902</v>
      </c>
      <c r="B565">
        <v>1210401017</v>
      </c>
      <c r="C565">
        <v>1333</v>
      </c>
      <c r="D565">
        <f>IF(쿼리1[[#This Row],[Value.Duration]]/100&lt;=10,10,ROUND(쿼리1[[#This Row],[Value.Duration]]/100*0.7,-1))</f>
        <v>10</v>
      </c>
    </row>
    <row r="566" spans="1:4" x14ac:dyDescent="0.3">
      <c r="A566" t="s">
        <v>2903</v>
      </c>
      <c r="B566">
        <v>1210401018</v>
      </c>
      <c r="C566">
        <v>1333</v>
      </c>
      <c r="D566">
        <f>IF(쿼리1[[#This Row],[Value.Duration]]/100&lt;=10,10,ROUND(쿼리1[[#This Row],[Value.Duration]]/100*0.7,-1))</f>
        <v>10</v>
      </c>
    </row>
    <row r="567" spans="1:4" x14ac:dyDescent="0.3">
      <c r="A567" t="s">
        <v>2904</v>
      </c>
      <c r="B567">
        <v>1210401019</v>
      </c>
      <c r="C567">
        <v>1333</v>
      </c>
      <c r="D567">
        <f>IF(쿼리1[[#This Row],[Value.Duration]]/100&lt;=10,10,ROUND(쿼리1[[#This Row],[Value.Duration]]/100*0.7,-1))</f>
        <v>10</v>
      </c>
    </row>
    <row r="568" spans="1:4" x14ac:dyDescent="0.3">
      <c r="A568" t="s">
        <v>2905</v>
      </c>
      <c r="B568">
        <v>1210401020</v>
      </c>
      <c r="C568">
        <v>1333</v>
      </c>
      <c r="D568">
        <f>IF(쿼리1[[#This Row],[Value.Duration]]/100&lt;=10,10,ROUND(쿼리1[[#This Row],[Value.Duration]]/100*0.7,-1))</f>
        <v>10</v>
      </c>
    </row>
    <row r="569" spans="1:4" x14ac:dyDescent="0.3">
      <c r="A569" t="s">
        <v>2906</v>
      </c>
      <c r="B569">
        <v>1210401021</v>
      </c>
      <c r="C569">
        <v>1333</v>
      </c>
      <c r="D569">
        <f>IF(쿼리1[[#This Row],[Value.Duration]]/100&lt;=10,10,ROUND(쿼리1[[#This Row],[Value.Duration]]/100*0.7,-1))</f>
        <v>10</v>
      </c>
    </row>
    <row r="570" spans="1:4" x14ac:dyDescent="0.3">
      <c r="A570" t="s">
        <v>2907</v>
      </c>
      <c r="B570">
        <v>1210401022</v>
      </c>
      <c r="C570">
        <v>1333</v>
      </c>
      <c r="D570">
        <f>IF(쿼리1[[#This Row],[Value.Duration]]/100&lt;=10,10,ROUND(쿼리1[[#This Row],[Value.Duration]]/100*0.7,-1))</f>
        <v>10</v>
      </c>
    </row>
    <row r="571" spans="1:4" x14ac:dyDescent="0.3">
      <c r="A571" t="s">
        <v>2908</v>
      </c>
      <c r="B571">
        <v>1210401023</v>
      </c>
      <c r="C571">
        <v>1333</v>
      </c>
      <c r="D571">
        <f>IF(쿼리1[[#This Row],[Value.Duration]]/100&lt;=10,10,ROUND(쿼리1[[#This Row],[Value.Duration]]/100*0.7,-1))</f>
        <v>10</v>
      </c>
    </row>
    <row r="572" spans="1:4" x14ac:dyDescent="0.3">
      <c r="A572" t="s">
        <v>2909</v>
      </c>
      <c r="B572">
        <v>1210401024</v>
      </c>
      <c r="C572">
        <v>1333</v>
      </c>
      <c r="D572">
        <f>IF(쿼리1[[#This Row],[Value.Duration]]/100&lt;=10,10,ROUND(쿼리1[[#This Row],[Value.Duration]]/100*0.7,-1))</f>
        <v>10</v>
      </c>
    </row>
    <row r="573" spans="1:4" x14ac:dyDescent="0.3">
      <c r="A573" t="s">
        <v>2910</v>
      </c>
      <c r="B573">
        <v>1210401025</v>
      </c>
      <c r="C573">
        <v>1333</v>
      </c>
      <c r="D573">
        <f>IF(쿼리1[[#This Row],[Value.Duration]]/100&lt;=10,10,ROUND(쿼리1[[#This Row],[Value.Duration]]/100*0.7,-1))</f>
        <v>10</v>
      </c>
    </row>
    <row r="574" spans="1:4" x14ac:dyDescent="0.3">
      <c r="A574" t="s">
        <v>2911</v>
      </c>
      <c r="B574">
        <v>1210401101</v>
      </c>
      <c r="C574">
        <v>733</v>
      </c>
      <c r="D574">
        <f>IF(쿼리1[[#This Row],[Value.Duration]]/100&lt;=10,10,ROUND(쿼리1[[#This Row],[Value.Duration]]/100*0.7,-1))</f>
        <v>10</v>
      </c>
    </row>
    <row r="575" spans="1:4" x14ac:dyDescent="0.3">
      <c r="A575" t="s">
        <v>2912</v>
      </c>
      <c r="B575">
        <v>1210401102</v>
      </c>
      <c r="C575">
        <v>733</v>
      </c>
      <c r="D575">
        <f>IF(쿼리1[[#This Row],[Value.Duration]]/100&lt;=10,10,ROUND(쿼리1[[#This Row],[Value.Duration]]/100*0.7,-1))</f>
        <v>10</v>
      </c>
    </row>
    <row r="576" spans="1:4" x14ac:dyDescent="0.3">
      <c r="A576" t="s">
        <v>2913</v>
      </c>
      <c r="B576">
        <v>1210200101</v>
      </c>
      <c r="C576">
        <v>566</v>
      </c>
      <c r="D576">
        <f>IF(쿼리1[[#This Row],[Value.Duration]]/100&lt;=10,10,ROUND(쿼리1[[#This Row],[Value.Duration]]/100*0.7,-1))</f>
        <v>10</v>
      </c>
    </row>
    <row r="577" spans="1:4" x14ac:dyDescent="0.3">
      <c r="A577" t="s">
        <v>2914</v>
      </c>
      <c r="B577">
        <v>1210200102</v>
      </c>
      <c r="C577">
        <v>666</v>
      </c>
      <c r="D577">
        <f>IF(쿼리1[[#This Row],[Value.Duration]]/100&lt;=10,10,ROUND(쿼리1[[#This Row],[Value.Duration]]/100*0.7,-1))</f>
        <v>10</v>
      </c>
    </row>
    <row r="578" spans="1:4" x14ac:dyDescent="0.3">
      <c r="A578" t="s">
        <v>2915</v>
      </c>
      <c r="B578">
        <v>1210200103</v>
      </c>
      <c r="C578">
        <v>1666</v>
      </c>
      <c r="D578">
        <f>IF(쿼리1[[#This Row],[Value.Duration]]/100&lt;=10,10,ROUND(쿼리1[[#This Row],[Value.Duration]]/100*0.7,-1))</f>
        <v>10</v>
      </c>
    </row>
    <row r="579" spans="1:4" x14ac:dyDescent="0.3">
      <c r="A579" t="s">
        <v>2916</v>
      </c>
      <c r="B579">
        <v>1211601301</v>
      </c>
      <c r="C579">
        <v>733</v>
      </c>
      <c r="D579">
        <f>IF(쿼리1[[#This Row],[Value.Duration]]/100&lt;=10,10,ROUND(쿼리1[[#This Row],[Value.Duration]]/100*0.7,-1))</f>
        <v>10</v>
      </c>
    </row>
    <row r="580" spans="1:4" x14ac:dyDescent="0.3">
      <c r="A580" t="s">
        <v>2917</v>
      </c>
      <c r="B580">
        <v>1211601302</v>
      </c>
      <c r="C580">
        <v>666</v>
      </c>
      <c r="D580">
        <f>IF(쿼리1[[#This Row],[Value.Duration]]/100&lt;=10,10,ROUND(쿼리1[[#This Row],[Value.Duration]]/100*0.7,-1))</f>
        <v>10</v>
      </c>
    </row>
    <row r="581" spans="1:4" x14ac:dyDescent="0.3">
      <c r="A581" t="s">
        <v>2918</v>
      </c>
      <c r="B581">
        <v>1211601303</v>
      </c>
      <c r="C581">
        <v>633</v>
      </c>
      <c r="D581">
        <f>IF(쿼리1[[#This Row],[Value.Duration]]/100&lt;=10,10,ROUND(쿼리1[[#This Row],[Value.Duration]]/100*0.7,-1))</f>
        <v>10</v>
      </c>
    </row>
    <row r="582" spans="1:4" x14ac:dyDescent="0.3">
      <c r="A582" t="s">
        <v>2919</v>
      </c>
      <c r="B582">
        <v>1211601304</v>
      </c>
      <c r="C582">
        <v>633</v>
      </c>
      <c r="D582">
        <f>IF(쿼리1[[#This Row],[Value.Duration]]/100&lt;=10,10,ROUND(쿼리1[[#This Row],[Value.Duration]]/100*0.7,-1))</f>
        <v>10</v>
      </c>
    </row>
    <row r="583" spans="1:4" x14ac:dyDescent="0.3">
      <c r="A583" t="s">
        <v>2920</v>
      </c>
      <c r="B583">
        <v>1211601305</v>
      </c>
      <c r="C583">
        <v>600</v>
      </c>
      <c r="D583">
        <f>IF(쿼리1[[#This Row],[Value.Duration]]/100&lt;=10,10,ROUND(쿼리1[[#This Row],[Value.Duration]]/100*0.7,-1))</f>
        <v>10</v>
      </c>
    </row>
    <row r="584" spans="1:4" x14ac:dyDescent="0.3">
      <c r="A584" t="s">
        <v>2921</v>
      </c>
      <c r="B584">
        <v>1311201001</v>
      </c>
      <c r="C584">
        <v>1033</v>
      </c>
      <c r="D584">
        <f>IF(쿼리1[[#This Row],[Value.Duration]]/100&lt;=10,10,ROUND(쿼리1[[#This Row],[Value.Duration]]/100*0.7,-1))</f>
        <v>10</v>
      </c>
    </row>
    <row r="585" spans="1:4" x14ac:dyDescent="0.3">
      <c r="A585" t="s">
        <v>2922</v>
      </c>
      <c r="B585">
        <v>1311202001</v>
      </c>
      <c r="C585">
        <v>933</v>
      </c>
      <c r="D585">
        <f>IF(쿼리1[[#This Row],[Value.Duration]]/100&lt;=10,10,ROUND(쿼리1[[#This Row],[Value.Duration]]/100*0.7,-1))</f>
        <v>10</v>
      </c>
    </row>
    <row r="586" spans="1:4" x14ac:dyDescent="0.3">
      <c r="A586" t="s">
        <v>2923</v>
      </c>
      <c r="B586">
        <v>1311202002</v>
      </c>
      <c r="C586">
        <v>933</v>
      </c>
      <c r="D586">
        <f>IF(쿼리1[[#This Row],[Value.Duration]]/100&lt;=10,10,ROUND(쿼리1[[#This Row],[Value.Duration]]/100*0.7,-1))</f>
        <v>10</v>
      </c>
    </row>
    <row r="587" spans="1:4" x14ac:dyDescent="0.3">
      <c r="A587" t="s">
        <v>2924</v>
      </c>
      <c r="B587">
        <v>1311401001</v>
      </c>
      <c r="C587">
        <v>800</v>
      </c>
      <c r="D587">
        <f>IF(쿼리1[[#This Row],[Value.Duration]]/100&lt;=10,10,ROUND(쿼리1[[#This Row],[Value.Duration]]/100*0.7,-1))</f>
        <v>10</v>
      </c>
    </row>
    <row r="588" spans="1:4" x14ac:dyDescent="0.3">
      <c r="A588" t="s">
        <v>2925</v>
      </c>
      <c r="B588">
        <v>1311401002</v>
      </c>
      <c r="C588">
        <v>666</v>
      </c>
      <c r="D588">
        <f>IF(쿼리1[[#This Row],[Value.Duration]]/100&lt;=10,10,ROUND(쿼리1[[#This Row],[Value.Duration]]/100*0.7,-1))</f>
        <v>10</v>
      </c>
    </row>
    <row r="589" spans="1:4" x14ac:dyDescent="0.3">
      <c r="A589" t="s">
        <v>2926</v>
      </c>
      <c r="B589">
        <v>1311401003</v>
      </c>
      <c r="C589">
        <v>666</v>
      </c>
      <c r="D589">
        <f>IF(쿼리1[[#This Row],[Value.Duration]]/100&lt;=10,10,ROUND(쿼리1[[#This Row],[Value.Duration]]/100*0.7,-1))</f>
        <v>10</v>
      </c>
    </row>
    <row r="590" spans="1:4" x14ac:dyDescent="0.3">
      <c r="A590" t="s">
        <v>2927</v>
      </c>
      <c r="B590">
        <v>1311401004</v>
      </c>
      <c r="C590">
        <v>666</v>
      </c>
      <c r="D590">
        <f>IF(쿼리1[[#This Row],[Value.Duration]]/100&lt;=10,10,ROUND(쿼리1[[#This Row],[Value.Duration]]/100*0.7,-1))</f>
        <v>10</v>
      </c>
    </row>
    <row r="591" spans="1:4" x14ac:dyDescent="0.3">
      <c r="A591" t="s">
        <v>2928</v>
      </c>
      <c r="B591">
        <v>1310501001</v>
      </c>
      <c r="C591">
        <v>1200</v>
      </c>
      <c r="D591">
        <f>IF(쿼리1[[#This Row],[Value.Duration]]/100&lt;=10,10,ROUND(쿼리1[[#This Row],[Value.Duration]]/100*0.7,-1))</f>
        <v>10</v>
      </c>
    </row>
    <row r="592" spans="1:4" x14ac:dyDescent="0.3">
      <c r="A592" t="s">
        <v>2929</v>
      </c>
      <c r="B592">
        <v>1310501002</v>
      </c>
      <c r="C592">
        <v>1200</v>
      </c>
      <c r="D592">
        <f>IF(쿼리1[[#This Row],[Value.Duration]]/100&lt;=10,10,ROUND(쿼리1[[#This Row],[Value.Duration]]/100*0.7,-1))</f>
        <v>10</v>
      </c>
    </row>
    <row r="593" spans="1:4" x14ac:dyDescent="0.3">
      <c r="A593" t="s">
        <v>2930</v>
      </c>
      <c r="B593">
        <v>1310502001</v>
      </c>
      <c r="C593">
        <v>1000</v>
      </c>
      <c r="D593">
        <f>IF(쿼리1[[#This Row],[Value.Duration]]/100&lt;=10,10,ROUND(쿼리1[[#This Row],[Value.Duration]]/100*0.7,-1))</f>
        <v>10</v>
      </c>
    </row>
    <row r="594" spans="1:4" x14ac:dyDescent="0.3">
      <c r="A594" t="s">
        <v>2931</v>
      </c>
      <c r="B594">
        <v>1310502002</v>
      </c>
      <c r="C594">
        <v>1000</v>
      </c>
      <c r="D594">
        <f>IF(쿼리1[[#This Row],[Value.Duration]]/100&lt;=10,10,ROUND(쿼리1[[#This Row],[Value.Duration]]/100*0.7,-1))</f>
        <v>10</v>
      </c>
    </row>
    <row r="595" spans="1:4" x14ac:dyDescent="0.3">
      <c r="A595" t="s">
        <v>2932</v>
      </c>
      <c r="B595">
        <v>1310503001</v>
      </c>
      <c r="C595">
        <v>1666</v>
      </c>
      <c r="D595">
        <f>IF(쿼리1[[#This Row],[Value.Duration]]/100&lt;=10,10,ROUND(쿼리1[[#This Row],[Value.Duration]]/100*0.7,-1))</f>
        <v>10</v>
      </c>
    </row>
    <row r="596" spans="1:4" x14ac:dyDescent="0.3">
      <c r="A596" t="s">
        <v>2933</v>
      </c>
      <c r="B596">
        <v>1310504001</v>
      </c>
      <c r="C596">
        <v>1733</v>
      </c>
      <c r="D596">
        <f>IF(쿼리1[[#This Row],[Value.Duration]]/100&lt;=10,10,ROUND(쿼리1[[#This Row],[Value.Duration]]/100*0.7,-1))</f>
        <v>10</v>
      </c>
    </row>
    <row r="597" spans="1:4" x14ac:dyDescent="0.3">
      <c r="A597" t="s">
        <v>2934</v>
      </c>
      <c r="B597">
        <v>1310504000</v>
      </c>
      <c r="C597">
        <v>933</v>
      </c>
      <c r="D597">
        <f>IF(쿼리1[[#This Row],[Value.Duration]]/100&lt;=10,10,ROUND(쿼리1[[#This Row],[Value.Duration]]/100*0.7,-1))</f>
        <v>10</v>
      </c>
    </row>
    <row r="598" spans="1:4" x14ac:dyDescent="0.3">
      <c r="A598" t="s">
        <v>2935</v>
      </c>
      <c r="B598">
        <v>1311101001</v>
      </c>
      <c r="C598">
        <v>533</v>
      </c>
      <c r="D598">
        <f>IF(쿼리1[[#This Row],[Value.Duration]]/100&lt;=10,10,ROUND(쿼리1[[#This Row],[Value.Duration]]/100*0.7,-1))</f>
        <v>10</v>
      </c>
    </row>
    <row r="599" spans="1:4" x14ac:dyDescent="0.3">
      <c r="A599" t="s">
        <v>2936</v>
      </c>
      <c r="B599">
        <v>1311101002</v>
      </c>
      <c r="C599">
        <v>600</v>
      </c>
      <c r="D599">
        <f>IF(쿼리1[[#This Row],[Value.Duration]]/100&lt;=10,10,ROUND(쿼리1[[#This Row],[Value.Duration]]/100*0.7,-1))</f>
        <v>10</v>
      </c>
    </row>
    <row r="600" spans="1:4" x14ac:dyDescent="0.3">
      <c r="A600" t="s">
        <v>2937</v>
      </c>
      <c r="B600">
        <v>1311101003</v>
      </c>
      <c r="C600">
        <v>666</v>
      </c>
      <c r="D600">
        <f>IF(쿼리1[[#This Row],[Value.Duration]]/100&lt;=10,10,ROUND(쿼리1[[#This Row],[Value.Duration]]/100*0.7,-1))</f>
        <v>10</v>
      </c>
    </row>
    <row r="601" spans="1:4" x14ac:dyDescent="0.3">
      <c r="A601" t="s">
        <v>2938</v>
      </c>
      <c r="B601">
        <v>1311301001</v>
      </c>
      <c r="C601">
        <v>2000</v>
      </c>
      <c r="D601">
        <f>IF(쿼리1[[#This Row],[Value.Duration]]/100&lt;=10,10,ROUND(쿼리1[[#This Row],[Value.Duration]]/100*0.7,-1))</f>
        <v>10</v>
      </c>
    </row>
    <row r="602" spans="1:4" x14ac:dyDescent="0.3">
      <c r="A602" t="s">
        <v>2939</v>
      </c>
      <c r="B602">
        <v>1311301002</v>
      </c>
      <c r="C602">
        <v>2000</v>
      </c>
      <c r="D602">
        <f>IF(쿼리1[[#This Row],[Value.Duration]]/100&lt;=10,10,ROUND(쿼리1[[#This Row],[Value.Duration]]/100*0.7,-1))</f>
        <v>10</v>
      </c>
    </row>
    <row r="603" spans="1:4" x14ac:dyDescent="0.3">
      <c r="A603" t="s">
        <v>2940</v>
      </c>
      <c r="B603">
        <v>1311301011</v>
      </c>
      <c r="C603">
        <v>1666</v>
      </c>
      <c r="D603">
        <f>IF(쿼리1[[#This Row],[Value.Duration]]/100&lt;=10,10,ROUND(쿼리1[[#This Row],[Value.Duration]]/100*0.7,-1))</f>
        <v>10</v>
      </c>
    </row>
    <row r="604" spans="1:4" x14ac:dyDescent="0.3">
      <c r="A604" t="s">
        <v>2941</v>
      </c>
      <c r="B604">
        <v>1311301012</v>
      </c>
      <c r="C604">
        <v>1666</v>
      </c>
      <c r="D604">
        <f>IF(쿼리1[[#This Row],[Value.Duration]]/100&lt;=10,10,ROUND(쿼리1[[#This Row],[Value.Duration]]/100*0.7,-1))</f>
        <v>10</v>
      </c>
    </row>
    <row r="605" spans="1:4" x14ac:dyDescent="0.3">
      <c r="A605" t="s">
        <v>2942</v>
      </c>
      <c r="B605">
        <v>1311301021</v>
      </c>
      <c r="C605">
        <v>1600</v>
      </c>
      <c r="D605">
        <f>IF(쿼리1[[#This Row],[Value.Duration]]/100&lt;=10,10,ROUND(쿼리1[[#This Row],[Value.Duration]]/100*0.7,-1))</f>
        <v>10</v>
      </c>
    </row>
    <row r="606" spans="1:4" x14ac:dyDescent="0.3">
      <c r="A606" t="s">
        <v>2943</v>
      </c>
      <c r="B606">
        <v>1311301022</v>
      </c>
      <c r="C606">
        <v>1600</v>
      </c>
      <c r="D606">
        <f>IF(쿼리1[[#This Row],[Value.Duration]]/100&lt;=10,10,ROUND(쿼리1[[#This Row],[Value.Duration]]/100*0.7,-1))</f>
        <v>10</v>
      </c>
    </row>
    <row r="607" spans="1:4" x14ac:dyDescent="0.3">
      <c r="A607" t="s">
        <v>2944</v>
      </c>
      <c r="B607">
        <v>1311301031</v>
      </c>
      <c r="C607">
        <v>600</v>
      </c>
      <c r="D607">
        <f>IF(쿼리1[[#This Row],[Value.Duration]]/100&lt;=10,10,ROUND(쿼리1[[#This Row],[Value.Duration]]/100*0.7,-1))</f>
        <v>10</v>
      </c>
    </row>
    <row r="608" spans="1:4" x14ac:dyDescent="0.3">
      <c r="A608" t="s">
        <v>2945</v>
      </c>
      <c r="B608">
        <v>1311301032</v>
      </c>
      <c r="C608">
        <v>600</v>
      </c>
      <c r="D608">
        <f>IF(쿼리1[[#This Row],[Value.Duration]]/100&lt;=10,10,ROUND(쿼리1[[#This Row],[Value.Duration]]/100*0.7,-1))</f>
        <v>10</v>
      </c>
    </row>
    <row r="609" spans="1:4" x14ac:dyDescent="0.3">
      <c r="A609" t="s">
        <v>2946</v>
      </c>
      <c r="B609">
        <v>1311301041</v>
      </c>
      <c r="C609">
        <v>800</v>
      </c>
      <c r="D609">
        <f>IF(쿼리1[[#This Row],[Value.Duration]]/100&lt;=10,10,ROUND(쿼리1[[#This Row],[Value.Duration]]/100*0.7,-1))</f>
        <v>10</v>
      </c>
    </row>
    <row r="610" spans="1:4" x14ac:dyDescent="0.3">
      <c r="A610" t="s">
        <v>2947</v>
      </c>
      <c r="B610">
        <v>1311301042</v>
      </c>
      <c r="C610">
        <v>800</v>
      </c>
      <c r="D610">
        <f>IF(쿼리1[[#This Row],[Value.Duration]]/100&lt;=10,10,ROUND(쿼리1[[#This Row],[Value.Duration]]/100*0.7,-1))</f>
        <v>10</v>
      </c>
    </row>
    <row r="611" spans="1:4" x14ac:dyDescent="0.3">
      <c r="A611" t="s">
        <v>2948</v>
      </c>
      <c r="B611">
        <v>1311301051</v>
      </c>
      <c r="C611">
        <v>1033</v>
      </c>
      <c r="D611">
        <f>IF(쿼리1[[#This Row],[Value.Duration]]/100&lt;=10,10,ROUND(쿼리1[[#This Row],[Value.Duration]]/100*0.7,-1))</f>
        <v>10</v>
      </c>
    </row>
    <row r="612" spans="1:4" x14ac:dyDescent="0.3">
      <c r="A612" t="s">
        <v>2949</v>
      </c>
      <c r="B612">
        <v>1311301052</v>
      </c>
      <c r="C612">
        <v>1033</v>
      </c>
      <c r="D612">
        <f>IF(쿼리1[[#This Row],[Value.Duration]]/100&lt;=10,10,ROUND(쿼리1[[#This Row],[Value.Duration]]/100*0.7,-1))</f>
        <v>10</v>
      </c>
    </row>
    <row r="613" spans="1:4" x14ac:dyDescent="0.3">
      <c r="A613" t="s">
        <v>2950</v>
      </c>
      <c r="B613">
        <v>1311301061</v>
      </c>
      <c r="C613">
        <v>933</v>
      </c>
      <c r="D613">
        <f>IF(쿼리1[[#This Row],[Value.Duration]]/100&lt;=10,10,ROUND(쿼리1[[#This Row],[Value.Duration]]/100*0.7,-1))</f>
        <v>10</v>
      </c>
    </row>
    <row r="614" spans="1:4" x14ac:dyDescent="0.3">
      <c r="A614" t="s">
        <v>2951</v>
      </c>
      <c r="B614">
        <v>1311301062</v>
      </c>
      <c r="C614">
        <v>933</v>
      </c>
      <c r="D614">
        <f>IF(쿼리1[[#This Row],[Value.Duration]]/100&lt;=10,10,ROUND(쿼리1[[#This Row],[Value.Duration]]/100*0.7,-1))</f>
        <v>10</v>
      </c>
    </row>
    <row r="615" spans="1:4" x14ac:dyDescent="0.3">
      <c r="A615" t="s">
        <v>2952</v>
      </c>
      <c r="B615">
        <v>1311301071</v>
      </c>
      <c r="C615">
        <v>1600</v>
      </c>
      <c r="D615">
        <f>IF(쿼리1[[#This Row],[Value.Duration]]/100&lt;=10,10,ROUND(쿼리1[[#This Row],[Value.Duration]]/100*0.7,-1))</f>
        <v>10</v>
      </c>
    </row>
    <row r="616" spans="1:4" x14ac:dyDescent="0.3">
      <c r="A616" t="s">
        <v>2953</v>
      </c>
      <c r="B616">
        <v>1311301072</v>
      </c>
      <c r="C616">
        <v>1733</v>
      </c>
      <c r="D616">
        <f>IF(쿼리1[[#This Row],[Value.Duration]]/100&lt;=10,10,ROUND(쿼리1[[#This Row],[Value.Duration]]/100*0.7,-1))</f>
        <v>10</v>
      </c>
    </row>
    <row r="617" spans="1:4" x14ac:dyDescent="0.3">
      <c r="A617" t="s">
        <v>2954</v>
      </c>
      <c r="B617">
        <v>1310301001</v>
      </c>
      <c r="C617">
        <v>1633</v>
      </c>
      <c r="D617">
        <f>IF(쿼리1[[#This Row],[Value.Duration]]/100&lt;=10,10,ROUND(쿼리1[[#This Row],[Value.Duration]]/100*0.7,-1))</f>
        <v>10</v>
      </c>
    </row>
    <row r="618" spans="1:4" x14ac:dyDescent="0.3">
      <c r="A618" t="s">
        <v>2955</v>
      </c>
      <c r="B618">
        <v>1310301002</v>
      </c>
      <c r="C618">
        <v>4000</v>
      </c>
      <c r="D618">
        <f>IF(쿼리1[[#This Row],[Value.Duration]]/100&lt;=10,10,ROUND(쿼리1[[#This Row],[Value.Duration]]/100*0.7,-1))</f>
        <v>30</v>
      </c>
    </row>
    <row r="619" spans="1:4" x14ac:dyDescent="0.3">
      <c r="A619" t="s">
        <v>2956</v>
      </c>
      <c r="B619">
        <v>1310301003</v>
      </c>
      <c r="C619">
        <v>1566</v>
      </c>
      <c r="D619">
        <f>IF(쿼리1[[#This Row],[Value.Duration]]/100&lt;=10,10,ROUND(쿼리1[[#This Row],[Value.Duration]]/100*0.7,-1))</f>
        <v>10</v>
      </c>
    </row>
    <row r="620" spans="1:4" x14ac:dyDescent="0.3">
      <c r="A620" t="s">
        <v>2957</v>
      </c>
      <c r="B620">
        <v>1310301004</v>
      </c>
      <c r="C620">
        <v>1566</v>
      </c>
      <c r="D620">
        <f>IF(쿼리1[[#This Row],[Value.Duration]]/100&lt;=10,10,ROUND(쿼리1[[#This Row],[Value.Duration]]/100*0.7,-1))</f>
        <v>10</v>
      </c>
    </row>
    <row r="621" spans="1:4" x14ac:dyDescent="0.3">
      <c r="A621" t="s">
        <v>2958</v>
      </c>
      <c r="B621">
        <v>1310301005</v>
      </c>
      <c r="C621">
        <v>800</v>
      </c>
      <c r="D621">
        <f>IF(쿼리1[[#This Row],[Value.Duration]]/100&lt;=10,10,ROUND(쿼리1[[#This Row],[Value.Duration]]/100*0.7,-1))</f>
        <v>10</v>
      </c>
    </row>
    <row r="622" spans="1:4" x14ac:dyDescent="0.3">
      <c r="A622" t="s">
        <v>2959</v>
      </c>
      <c r="B622">
        <v>1310301006</v>
      </c>
      <c r="C622">
        <v>1633</v>
      </c>
      <c r="D622">
        <f>IF(쿼리1[[#This Row],[Value.Duration]]/100&lt;=10,10,ROUND(쿼리1[[#This Row],[Value.Duration]]/100*0.7,-1))</f>
        <v>10</v>
      </c>
    </row>
    <row r="623" spans="1:4" x14ac:dyDescent="0.3">
      <c r="A623" t="s">
        <v>2960</v>
      </c>
      <c r="B623">
        <v>1310302001</v>
      </c>
      <c r="C623">
        <v>1666</v>
      </c>
      <c r="D623">
        <f>IF(쿼리1[[#This Row],[Value.Duration]]/100&lt;=10,10,ROUND(쿼리1[[#This Row],[Value.Duration]]/100*0.7,-1))</f>
        <v>10</v>
      </c>
    </row>
    <row r="624" spans="1:4" x14ac:dyDescent="0.3">
      <c r="A624" t="s">
        <v>2961</v>
      </c>
      <c r="B624">
        <v>1310302002</v>
      </c>
      <c r="C624">
        <v>1666</v>
      </c>
      <c r="D624">
        <f>IF(쿼리1[[#This Row],[Value.Duration]]/100&lt;=10,10,ROUND(쿼리1[[#This Row],[Value.Duration]]/100*0.7,-1))</f>
        <v>10</v>
      </c>
    </row>
    <row r="625" spans="1:4" x14ac:dyDescent="0.3">
      <c r="A625" t="s">
        <v>2962</v>
      </c>
      <c r="B625">
        <v>1310302003</v>
      </c>
      <c r="C625">
        <v>733</v>
      </c>
      <c r="D625">
        <f>IF(쿼리1[[#This Row],[Value.Duration]]/100&lt;=10,10,ROUND(쿼리1[[#This Row],[Value.Duration]]/100*0.7,-1))</f>
        <v>10</v>
      </c>
    </row>
    <row r="626" spans="1:4" x14ac:dyDescent="0.3">
      <c r="A626" t="s">
        <v>2963</v>
      </c>
      <c r="B626">
        <v>1310302004</v>
      </c>
      <c r="C626">
        <v>666</v>
      </c>
      <c r="D626">
        <f>IF(쿼리1[[#This Row],[Value.Duration]]/100&lt;=10,10,ROUND(쿼리1[[#This Row],[Value.Duration]]/100*0.7,-1))</f>
        <v>10</v>
      </c>
    </row>
    <row r="627" spans="1:4" x14ac:dyDescent="0.3">
      <c r="A627" t="s">
        <v>2964</v>
      </c>
      <c r="B627">
        <v>1310302005</v>
      </c>
      <c r="C627">
        <v>800</v>
      </c>
      <c r="D627">
        <f>IF(쿼리1[[#This Row],[Value.Duration]]/100&lt;=10,10,ROUND(쿼리1[[#This Row],[Value.Duration]]/100*0.7,-1))</f>
        <v>10</v>
      </c>
    </row>
    <row r="628" spans="1:4" x14ac:dyDescent="0.3">
      <c r="A628" t="s">
        <v>2965</v>
      </c>
      <c r="B628">
        <v>1310302006</v>
      </c>
      <c r="C628">
        <v>1600</v>
      </c>
      <c r="D628">
        <f>IF(쿼리1[[#This Row],[Value.Duration]]/100&lt;=10,10,ROUND(쿼리1[[#This Row],[Value.Duration]]/100*0.7,-1))</f>
        <v>10</v>
      </c>
    </row>
    <row r="629" spans="1:4" x14ac:dyDescent="0.3">
      <c r="A629" t="s">
        <v>2966</v>
      </c>
      <c r="B629">
        <v>1310302007</v>
      </c>
      <c r="C629">
        <v>1333</v>
      </c>
      <c r="D629">
        <f>IF(쿼리1[[#This Row],[Value.Duration]]/100&lt;=10,10,ROUND(쿼리1[[#This Row],[Value.Duration]]/100*0.7,-1))</f>
        <v>10</v>
      </c>
    </row>
    <row r="630" spans="1:4" x14ac:dyDescent="0.3">
      <c r="A630" t="s">
        <v>2967</v>
      </c>
      <c r="B630">
        <v>1310302008</v>
      </c>
      <c r="C630">
        <v>1600</v>
      </c>
      <c r="D630">
        <f>IF(쿼리1[[#This Row],[Value.Duration]]/100&lt;=10,10,ROUND(쿼리1[[#This Row],[Value.Duration]]/100*0.7,-1))</f>
        <v>10</v>
      </c>
    </row>
    <row r="631" spans="1:4" x14ac:dyDescent="0.3">
      <c r="A631" t="s">
        <v>2968</v>
      </c>
      <c r="B631">
        <v>1310302009</v>
      </c>
      <c r="C631">
        <v>800</v>
      </c>
      <c r="D631">
        <f>IF(쿼리1[[#This Row],[Value.Duration]]/100&lt;=10,10,ROUND(쿼리1[[#This Row],[Value.Duration]]/100*0.7,-1))</f>
        <v>10</v>
      </c>
    </row>
    <row r="632" spans="1:4" x14ac:dyDescent="0.3">
      <c r="A632" t="s">
        <v>2969</v>
      </c>
      <c r="B632">
        <v>1310302010</v>
      </c>
      <c r="C632">
        <v>2700</v>
      </c>
      <c r="D632">
        <f>IF(쿼리1[[#This Row],[Value.Duration]]/100&lt;=10,10,ROUND(쿼리1[[#This Row],[Value.Duration]]/100*0.7,-1))</f>
        <v>20</v>
      </c>
    </row>
    <row r="633" spans="1:4" x14ac:dyDescent="0.3">
      <c r="A633" t="s">
        <v>2970</v>
      </c>
      <c r="B633">
        <v>1310303001</v>
      </c>
      <c r="C633">
        <v>1666</v>
      </c>
      <c r="D633">
        <f>IF(쿼리1[[#This Row],[Value.Duration]]/100&lt;=10,10,ROUND(쿼리1[[#This Row],[Value.Duration]]/100*0.7,-1))</f>
        <v>10</v>
      </c>
    </row>
    <row r="634" spans="1:4" x14ac:dyDescent="0.3">
      <c r="A634" t="s">
        <v>2971</v>
      </c>
      <c r="B634">
        <v>1310303002</v>
      </c>
      <c r="C634">
        <v>1666</v>
      </c>
      <c r="D634">
        <f>IF(쿼리1[[#This Row],[Value.Duration]]/100&lt;=10,10,ROUND(쿼리1[[#This Row],[Value.Duration]]/100*0.7,-1))</f>
        <v>10</v>
      </c>
    </row>
    <row r="635" spans="1:4" x14ac:dyDescent="0.3">
      <c r="A635" t="s">
        <v>2972</v>
      </c>
      <c r="B635">
        <v>1310303003</v>
      </c>
      <c r="C635">
        <v>1600</v>
      </c>
      <c r="D635">
        <f>IF(쿼리1[[#This Row],[Value.Duration]]/100&lt;=10,10,ROUND(쿼리1[[#This Row],[Value.Duration]]/100*0.7,-1))</f>
        <v>10</v>
      </c>
    </row>
    <row r="636" spans="1:4" x14ac:dyDescent="0.3">
      <c r="A636" t="s">
        <v>2973</v>
      </c>
      <c r="B636">
        <v>1310304001</v>
      </c>
      <c r="C636">
        <v>533</v>
      </c>
      <c r="D636">
        <f>IF(쿼리1[[#This Row],[Value.Duration]]/100&lt;=10,10,ROUND(쿼리1[[#This Row],[Value.Duration]]/100*0.7,-1))</f>
        <v>10</v>
      </c>
    </row>
    <row r="637" spans="1:4" x14ac:dyDescent="0.3">
      <c r="A637" t="s">
        <v>2974</v>
      </c>
      <c r="B637">
        <v>1310304002</v>
      </c>
      <c r="C637">
        <v>733</v>
      </c>
      <c r="D637">
        <f>IF(쿼리1[[#This Row],[Value.Duration]]/100&lt;=10,10,ROUND(쿼리1[[#This Row],[Value.Duration]]/100*0.7,-1))</f>
        <v>10</v>
      </c>
    </row>
    <row r="638" spans="1:4" x14ac:dyDescent="0.3">
      <c r="A638" t="s">
        <v>2975</v>
      </c>
      <c r="B638">
        <v>1310305001</v>
      </c>
      <c r="C638">
        <v>800</v>
      </c>
      <c r="D638">
        <f>IF(쿼리1[[#This Row],[Value.Duration]]/100&lt;=10,10,ROUND(쿼리1[[#This Row],[Value.Duration]]/100*0.7,-1))</f>
        <v>10</v>
      </c>
    </row>
    <row r="639" spans="1:4" x14ac:dyDescent="0.3">
      <c r="A639" t="s">
        <v>2976</v>
      </c>
      <c r="B639">
        <v>1310305002</v>
      </c>
      <c r="C639">
        <v>666</v>
      </c>
      <c r="D639">
        <f>IF(쿼리1[[#This Row],[Value.Duration]]/100&lt;=10,10,ROUND(쿼리1[[#This Row],[Value.Duration]]/100*0.7,-1))</f>
        <v>10</v>
      </c>
    </row>
    <row r="640" spans="1:4" x14ac:dyDescent="0.3">
      <c r="A640" t="s">
        <v>2977</v>
      </c>
      <c r="B640">
        <v>1310305003</v>
      </c>
      <c r="C640">
        <v>600</v>
      </c>
      <c r="D640">
        <f>IF(쿼리1[[#This Row],[Value.Duration]]/100&lt;=10,10,ROUND(쿼리1[[#This Row],[Value.Duration]]/100*0.7,-1))</f>
        <v>10</v>
      </c>
    </row>
    <row r="641" spans="1:4" x14ac:dyDescent="0.3">
      <c r="A641" t="s">
        <v>2978</v>
      </c>
      <c r="B641">
        <v>1310305004</v>
      </c>
      <c r="C641">
        <v>666</v>
      </c>
      <c r="D641">
        <f>IF(쿼리1[[#This Row],[Value.Duration]]/100&lt;=10,10,ROUND(쿼리1[[#This Row],[Value.Duration]]/100*0.7,-1))</f>
        <v>10</v>
      </c>
    </row>
    <row r="642" spans="1:4" x14ac:dyDescent="0.3">
      <c r="A642" t="s">
        <v>2979</v>
      </c>
      <c r="B642">
        <v>1310305005</v>
      </c>
      <c r="C642">
        <v>666</v>
      </c>
      <c r="D642">
        <f>IF(쿼리1[[#This Row],[Value.Duration]]/100&lt;=10,10,ROUND(쿼리1[[#This Row],[Value.Duration]]/100*0.7,-1))</f>
        <v>10</v>
      </c>
    </row>
    <row r="643" spans="1:4" x14ac:dyDescent="0.3">
      <c r="A643" t="s">
        <v>2980</v>
      </c>
      <c r="B643">
        <v>1310305006</v>
      </c>
      <c r="C643">
        <v>466</v>
      </c>
      <c r="D643">
        <f>IF(쿼리1[[#This Row],[Value.Duration]]/100&lt;=10,10,ROUND(쿼리1[[#This Row],[Value.Duration]]/100*0.7,-1))</f>
        <v>10</v>
      </c>
    </row>
    <row r="644" spans="1:4" x14ac:dyDescent="0.3">
      <c r="A644" t="s">
        <v>2981</v>
      </c>
      <c r="B644">
        <v>1310305007</v>
      </c>
      <c r="C644">
        <v>933</v>
      </c>
      <c r="D644">
        <f>IF(쿼리1[[#This Row],[Value.Duration]]/100&lt;=10,10,ROUND(쿼리1[[#This Row],[Value.Duration]]/100*0.7,-1))</f>
        <v>10</v>
      </c>
    </row>
    <row r="645" spans="1:4" x14ac:dyDescent="0.3">
      <c r="A645" t="s">
        <v>2982</v>
      </c>
      <c r="B645">
        <v>1310305008</v>
      </c>
      <c r="C645">
        <v>800</v>
      </c>
      <c r="D645">
        <f>IF(쿼리1[[#This Row],[Value.Duration]]/100&lt;=10,10,ROUND(쿼리1[[#This Row],[Value.Duration]]/100*0.7,-1))</f>
        <v>10</v>
      </c>
    </row>
    <row r="646" spans="1:4" x14ac:dyDescent="0.3">
      <c r="A646" t="s">
        <v>2983</v>
      </c>
      <c r="B646">
        <v>1310305009</v>
      </c>
      <c r="C646">
        <v>933</v>
      </c>
      <c r="D646">
        <f>IF(쿼리1[[#This Row],[Value.Duration]]/100&lt;=10,10,ROUND(쿼리1[[#This Row],[Value.Duration]]/100*0.7,-1))</f>
        <v>10</v>
      </c>
    </row>
    <row r="647" spans="1:4" x14ac:dyDescent="0.3">
      <c r="A647" t="s">
        <v>2984</v>
      </c>
      <c r="B647">
        <v>1310305010</v>
      </c>
      <c r="C647">
        <v>666</v>
      </c>
      <c r="D647">
        <f>IF(쿼리1[[#This Row],[Value.Duration]]/100&lt;=10,10,ROUND(쿼리1[[#This Row],[Value.Duration]]/100*0.7,-1))</f>
        <v>10</v>
      </c>
    </row>
    <row r="648" spans="1:4" x14ac:dyDescent="0.3">
      <c r="A648" t="s">
        <v>2985</v>
      </c>
      <c r="B648">
        <v>1310305011</v>
      </c>
      <c r="C648">
        <v>533</v>
      </c>
      <c r="D648">
        <f>IF(쿼리1[[#This Row],[Value.Duration]]/100&lt;=10,10,ROUND(쿼리1[[#This Row],[Value.Duration]]/100*0.7,-1))</f>
        <v>10</v>
      </c>
    </row>
    <row r="649" spans="1:4" x14ac:dyDescent="0.3">
      <c r="A649" t="s">
        <v>2986</v>
      </c>
      <c r="B649">
        <v>1310305012</v>
      </c>
      <c r="C649">
        <v>1133</v>
      </c>
      <c r="D649">
        <f>IF(쿼리1[[#This Row],[Value.Duration]]/100&lt;=10,10,ROUND(쿼리1[[#This Row],[Value.Duration]]/100*0.7,-1))</f>
        <v>10</v>
      </c>
    </row>
    <row r="650" spans="1:4" x14ac:dyDescent="0.3">
      <c r="A650" t="s">
        <v>2987</v>
      </c>
      <c r="B650">
        <v>1310305013</v>
      </c>
      <c r="C650">
        <v>800</v>
      </c>
      <c r="D650">
        <f>IF(쿼리1[[#This Row],[Value.Duration]]/100&lt;=10,10,ROUND(쿼리1[[#This Row],[Value.Duration]]/100*0.7,-1))</f>
        <v>10</v>
      </c>
    </row>
    <row r="651" spans="1:4" x14ac:dyDescent="0.3">
      <c r="A651" t="s">
        <v>2988</v>
      </c>
      <c r="B651">
        <v>1310305014</v>
      </c>
      <c r="C651">
        <v>1000</v>
      </c>
      <c r="D651">
        <f>IF(쿼리1[[#This Row],[Value.Duration]]/100&lt;=10,10,ROUND(쿼리1[[#This Row],[Value.Duration]]/100*0.7,-1))</f>
        <v>10</v>
      </c>
    </row>
    <row r="652" spans="1:4" x14ac:dyDescent="0.3">
      <c r="A652" t="s">
        <v>2989</v>
      </c>
      <c r="B652">
        <v>1310401001</v>
      </c>
      <c r="C652">
        <v>1333</v>
      </c>
      <c r="D652">
        <f>IF(쿼리1[[#This Row],[Value.Duration]]/100&lt;=10,10,ROUND(쿼리1[[#This Row],[Value.Duration]]/100*0.7,-1))</f>
        <v>10</v>
      </c>
    </row>
    <row r="653" spans="1:4" x14ac:dyDescent="0.3">
      <c r="A653" t="s">
        <v>2990</v>
      </c>
      <c r="B653">
        <v>1310401002</v>
      </c>
      <c r="C653">
        <v>1333</v>
      </c>
      <c r="D653">
        <f>IF(쿼리1[[#This Row],[Value.Duration]]/100&lt;=10,10,ROUND(쿼리1[[#This Row],[Value.Duration]]/100*0.7,-1))</f>
        <v>10</v>
      </c>
    </row>
    <row r="654" spans="1:4" x14ac:dyDescent="0.3">
      <c r="A654" t="s">
        <v>2991</v>
      </c>
      <c r="B654">
        <v>1310401003</v>
      </c>
      <c r="C654">
        <v>1333</v>
      </c>
      <c r="D654">
        <f>IF(쿼리1[[#This Row],[Value.Duration]]/100&lt;=10,10,ROUND(쿼리1[[#This Row],[Value.Duration]]/100*0.7,-1))</f>
        <v>10</v>
      </c>
    </row>
    <row r="655" spans="1:4" x14ac:dyDescent="0.3">
      <c r="A655" t="s">
        <v>2992</v>
      </c>
      <c r="B655">
        <v>1310401004</v>
      </c>
      <c r="C655">
        <v>1333</v>
      </c>
      <c r="D655">
        <f>IF(쿼리1[[#This Row],[Value.Duration]]/100&lt;=10,10,ROUND(쿼리1[[#This Row],[Value.Duration]]/100*0.7,-1))</f>
        <v>10</v>
      </c>
    </row>
    <row r="656" spans="1:4" x14ac:dyDescent="0.3">
      <c r="A656" t="s">
        <v>2993</v>
      </c>
      <c r="B656">
        <v>1310401005</v>
      </c>
      <c r="C656">
        <v>1333</v>
      </c>
      <c r="D656">
        <f>IF(쿼리1[[#This Row],[Value.Duration]]/100&lt;=10,10,ROUND(쿼리1[[#This Row],[Value.Duration]]/100*0.7,-1))</f>
        <v>10</v>
      </c>
    </row>
    <row r="657" spans="1:4" x14ac:dyDescent="0.3">
      <c r="A657" t="s">
        <v>2994</v>
      </c>
      <c r="B657">
        <v>1310401006</v>
      </c>
      <c r="C657">
        <v>1333</v>
      </c>
      <c r="D657">
        <f>IF(쿼리1[[#This Row],[Value.Duration]]/100&lt;=10,10,ROUND(쿼리1[[#This Row],[Value.Duration]]/100*0.7,-1))</f>
        <v>10</v>
      </c>
    </row>
    <row r="658" spans="1:4" x14ac:dyDescent="0.3">
      <c r="A658" t="s">
        <v>2995</v>
      </c>
      <c r="B658">
        <v>1310401007</v>
      </c>
      <c r="C658">
        <v>1333</v>
      </c>
      <c r="D658">
        <f>IF(쿼리1[[#This Row],[Value.Duration]]/100&lt;=10,10,ROUND(쿼리1[[#This Row],[Value.Duration]]/100*0.7,-1))</f>
        <v>10</v>
      </c>
    </row>
    <row r="659" spans="1:4" x14ac:dyDescent="0.3">
      <c r="A659" t="s">
        <v>2996</v>
      </c>
      <c r="B659">
        <v>1310401008</v>
      </c>
      <c r="C659">
        <v>1333</v>
      </c>
      <c r="D659">
        <f>IF(쿼리1[[#This Row],[Value.Duration]]/100&lt;=10,10,ROUND(쿼리1[[#This Row],[Value.Duration]]/100*0.7,-1))</f>
        <v>10</v>
      </c>
    </row>
    <row r="660" spans="1:4" x14ac:dyDescent="0.3">
      <c r="A660" t="s">
        <v>2997</v>
      </c>
      <c r="B660">
        <v>1310401009</v>
      </c>
      <c r="C660">
        <v>1333</v>
      </c>
      <c r="D660">
        <f>IF(쿼리1[[#This Row],[Value.Duration]]/100&lt;=10,10,ROUND(쿼리1[[#This Row],[Value.Duration]]/100*0.7,-1))</f>
        <v>10</v>
      </c>
    </row>
    <row r="661" spans="1:4" x14ac:dyDescent="0.3">
      <c r="A661" t="s">
        <v>2998</v>
      </c>
      <c r="B661">
        <v>1310401010</v>
      </c>
      <c r="C661">
        <v>1333</v>
      </c>
      <c r="D661">
        <f>IF(쿼리1[[#This Row],[Value.Duration]]/100&lt;=10,10,ROUND(쿼리1[[#This Row],[Value.Duration]]/100*0.7,-1))</f>
        <v>10</v>
      </c>
    </row>
    <row r="662" spans="1:4" x14ac:dyDescent="0.3">
      <c r="A662" t="s">
        <v>2999</v>
      </c>
      <c r="B662">
        <v>1310401011</v>
      </c>
      <c r="C662">
        <v>1333</v>
      </c>
      <c r="D662">
        <f>IF(쿼리1[[#This Row],[Value.Duration]]/100&lt;=10,10,ROUND(쿼리1[[#This Row],[Value.Duration]]/100*0.7,-1))</f>
        <v>10</v>
      </c>
    </row>
    <row r="663" spans="1:4" x14ac:dyDescent="0.3">
      <c r="A663" t="s">
        <v>3000</v>
      </c>
      <c r="B663">
        <v>1310401012</v>
      </c>
      <c r="C663">
        <v>1333</v>
      </c>
      <c r="D663">
        <f>IF(쿼리1[[#This Row],[Value.Duration]]/100&lt;=10,10,ROUND(쿼리1[[#This Row],[Value.Duration]]/100*0.7,-1))</f>
        <v>10</v>
      </c>
    </row>
    <row r="664" spans="1:4" x14ac:dyDescent="0.3">
      <c r="A664" t="s">
        <v>3001</v>
      </c>
      <c r="B664">
        <v>1310401013</v>
      </c>
      <c r="C664">
        <v>1333</v>
      </c>
      <c r="D664">
        <f>IF(쿼리1[[#This Row],[Value.Duration]]/100&lt;=10,10,ROUND(쿼리1[[#This Row],[Value.Duration]]/100*0.7,-1))</f>
        <v>10</v>
      </c>
    </row>
    <row r="665" spans="1:4" x14ac:dyDescent="0.3">
      <c r="A665" t="s">
        <v>3002</v>
      </c>
      <c r="B665">
        <v>1310401014</v>
      </c>
      <c r="C665">
        <v>1333</v>
      </c>
      <c r="D665">
        <f>IF(쿼리1[[#This Row],[Value.Duration]]/100&lt;=10,10,ROUND(쿼리1[[#This Row],[Value.Duration]]/100*0.7,-1))</f>
        <v>10</v>
      </c>
    </row>
    <row r="666" spans="1:4" x14ac:dyDescent="0.3">
      <c r="A666" t="s">
        <v>3003</v>
      </c>
      <c r="B666">
        <v>1310401015</v>
      </c>
      <c r="C666">
        <v>1333</v>
      </c>
      <c r="D666">
        <f>IF(쿼리1[[#This Row],[Value.Duration]]/100&lt;=10,10,ROUND(쿼리1[[#This Row],[Value.Duration]]/100*0.7,-1))</f>
        <v>10</v>
      </c>
    </row>
    <row r="667" spans="1:4" x14ac:dyDescent="0.3">
      <c r="A667" t="s">
        <v>3004</v>
      </c>
      <c r="B667">
        <v>1310401016</v>
      </c>
      <c r="C667">
        <v>1333</v>
      </c>
      <c r="D667">
        <f>IF(쿼리1[[#This Row],[Value.Duration]]/100&lt;=10,10,ROUND(쿼리1[[#This Row],[Value.Duration]]/100*0.7,-1))</f>
        <v>10</v>
      </c>
    </row>
    <row r="668" spans="1:4" x14ac:dyDescent="0.3">
      <c r="A668" t="s">
        <v>3005</v>
      </c>
      <c r="B668">
        <v>1310401017</v>
      </c>
      <c r="C668">
        <v>1333</v>
      </c>
      <c r="D668">
        <f>IF(쿼리1[[#This Row],[Value.Duration]]/100&lt;=10,10,ROUND(쿼리1[[#This Row],[Value.Duration]]/100*0.7,-1))</f>
        <v>10</v>
      </c>
    </row>
    <row r="669" spans="1:4" x14ac:dyDescent="0.3">
      <c r="A669" t="s">
        <v>3006</v>
      </c>
      <c r="B669">
        <v>1310401018</v>
      </c>
      <c r="C669">
        <v>1333</v>
      </c>
      <c r="D669">
        <f>IF(쿼리1[[#This Row],[Value.Duration]]/100&lt;=10,10,ROUND(쿼리1[[#This Row],[Value.Duration]]/100*0.7,-1))</f>
        <v>10</v>
      </c>
    </row>
    <row r="670" spans="1:4" x14ac:dyDescent="0.3">
      <c r="A670" t="s">
        <v>3007</v>
      </c>
      <c r="B670">
        <v>1310401019</v>
      </c>
      <c r="C670">
        <v>1333</v>
      </c>
      <c r="D670">
        <f>IF(쿼리1[[#This Row],[Value.Duration]]/100&lt;=10,10,ROUND(쿼리1[[#This Row],[Value.Duration]]/100*0.7,-1))</f>
        <v>10</v>
      </c>
    </row>
    <row r="671" spans="1:4" x14ac:dyDescent="0.3">
      <c r="A671" t="s">
        <v>3008</v>
      </c>
      <c r="B671">
        <v>1310401020</v>
      </c>
      <c r="C671">
        <v>1333</v>
      </c>
      <c r="D671">
        <f>IF(쿼리1[[#This Row],[Value.Duration]]/100&lt;=10,10,ROUND(쿼리1[[#This Row],[Value.Duration]]/100*0.7,-1))</f>
        <v>10</v>
      </c>
    </row>
    <row r="672" spans="1:4" x14ac:dyDescent="0.3">
      <c r="A672" t="s">
        <v>3009</v>
      </c>
      <c r="B672">
        <v>1310401021</v>
      </c>
      <c r="C672">
        <v>1333</v>
      </c>
      <c r="D672">
        <f>IF(쿼리1[[#This Row],[Value.Duration]]/100&lt;=10,10,ROUND(쿼리1[[#This Row],[Value.Duration]]/100*0.7,-1))</f>
        <v>10</v>
      </c>
    </row>
    <row r="673" spans="1:4" x14ac:dyDescent="0.3">
      <c r="A673" t="s">
        <v>3010</v>
      </c>
      <c r="B673">
        <v>1310401022</v>
      </c>
      <c r="C673">
        <v>1333</v>
      </c>
      <c r="D673">
        <f>IF(쿼리1[[#This Row],[Value.Duration]]/100&lt;=10,10,ROUND(쿼리1[[#This Row],[Value.Duration]]/100*0.7,-1))</f>
        <v>10</v>
      </c>
    </row>
    <row r="674" spans="1:4" x14ac:dyDescent="0.3">
      <c r="A674" t="s">
        <v>3011</v>
      </c>
      <c r="B674">
        <v>1310401023</v>
      </c>
      <c r="C674">
        <v>1333</v>
      </c>
      <c r="D674">
        <f>IF(쿼리1[[#This Row],[Value.Duration]]/100&lt;=10,10,ROUND(쿼리1[[#This Row],[Value.Duration]]/100*0.7,-1))</f>
        <v>10</v>
      </c>
    </row>
    <row r="675" spans="1:4" x14ac:dyDescent="0.3">
      <c r="A675" t="s">
        <v>3012</v>
      </c>
      <c r="B675">
        <v>1310401024</v>
      </c>
      <c r="C675">
        <v>1333</v>
      </c>
      <c r="D675">
        <f>IF(쿼리1[[#This Row],[Value.Duration]]/100&lt;=10,10,ROUND(쿼리1[[#This Row],[Value.Duration]]/100*0.7,-1))</f>
        <v>10</v>
      </c>
    </row>
    <row r="676" spans="1:4" x14ac:dyDescent="0.3">
      <c r="A676" t="s">
        <v>3013</v>
      </c>
      <c r="B676">
        <v>1310401025</v>
      </c>
      <c r="C676">
        <v>1333</v>
      </c>
      <c r="D676">
        <f>IF(쿼리1[[#This Row],[Value.Duration]]/100&lt;=10,10,ROUND(쿼리1[[#This Row],[Value.Duration]]/100*0.7,-1))</f>
        <v>10</v>
      </c>
    </row>
    <row r="677" spans="1:4" x14ac:dyDescent="0.3">
      <c r="A677" t="s">
        <v>3014</v>
      </c>
      <c r="B677">
        <v>1310401101</v>
      </c>
      <c r="C677">
        <v>733</v>
      </c>
      <c r="D677">
        <f>IF(쿼리1[[#This Row],[Value.Duration]]/100&lt;=10,10,ROUND(쿼리1[[#This Row],[Value.Duration]]/100*0.7,-1))</f>
        <v>10</v>
      </c>
    </row>
    <row r="678" spans="1:4" x14ac:dyDescent="0.3">
      <c r="A678" t="s">
        <v>3015</v>
      </c>
      <c r="B678">
        <v>1310401102</v>
      </c>
      <c r="C678">
        <v>733</v>
      </c>
      <c r="D678">
        <f>IF(쿼리1[[#This Row],[Value.Duration]]/100&lt;=10,10,ROUND(쿼리1[[#This Row],[Value.Duration]]/100*0.7,-1))</f>
        <v>10</v>
      </c>
    </row>
    <row r="679" spans="1:4" x14ac:dyDescent="0.3">
      <c r="A679" t="s">
        <v>3016</v>
      </c>
      <c r="B679">
        <v>1310200101</v>
      </c>
      <c r="C679">
        <v>566</v>
      </c>
      <c r="D679">
        <f>IF(쿼리1[[#This Row],[Value.Duration]]/100&lt;=10,10,ROUND(쿼리1[[#This Row],[Value.Duration]]/100*0.7,-1))</f>
        <v>10</v>
      </c>
    </row>
    <row r="680" spans="1:4" x14ac:dyDescent="0.3">
      <c r="A680" t="s">
        <v>3017</v>
      </c>
      <c r="B680">
        <v>1310200102</v>
      </c>
      <c r="C680">
        <v>666</v>
      </c>
      <c r="D680">
        <f>IF(쿼리1[[#This Row],[Value.Duration]]/100&lt;=10,10,ROUND(쿼리1[[#This Row],[Value.Duration]]/100*0.7,-1))</f>
        <v>10</v>
      </c>
    </row>
    <row r="681" spans="1:4" x14ac:dyDescent="0.3">
      <c r="A681" t="s">
        <v>3018</v>
      </c>
      <c r="B681">
        <v>1310200103</v>
      </c>
      <c r="C681">
        <v>1666</v>
      </c>
      <c r="D681">
        <f>IF(쿼리1[[#This Row],[Value.Duration]]/100&lt;=10,10,ROUND(쿼리1[[#This Row],[Value.Duration]]/100*0.7,-1))</f>
        <v>10</v>
      </c>
    </row>
    <row r="682" spans="1:4" x14ac:dyDescent="0.3">
      <c r="A682" t="s">
        <v>3019</v>
      </c>
      <c r="B682">
        <v>1311601301</v>
      </c>
      <c r="C682">
        <v>733</v>
      </c>
      <c r="D682">
        <f>IF(쿼리1[[#This Row],[Value.Duration]]/100&lt;=10,10,ROUND(쿼리1[[#This Row],[Value.Duration]]/100*0.7,-1))</f>
        <v>10</v>
      </c>
    </row>
    <row r="683" spans="1:4" x14ac:dyDescent="0.3">
      <c r="A683" t="s">
        <v>3020</v>
      </c>
      <c r="B683">
        <v>1311601302</v>
      </c>
      <c r="C683">
        <v>666</v>
      </c>
      <c r="D683">
        <f>IF(쿼리1[[#This Row],[Value.Duration]]/100&lt;=10,10,ROUND(쿼리1[[#This Row],[Value.Duration]]/100*0.7,-1))</f>
        <v>10</v>
      </c>
    </row>
    <row r="684" spans="1:4" x14ac:dyDescent="0.3">
      <c r="A684" t="s">
        <v>3021</v>
      </c>
      <c r="B684">
        <v>1311601303</v>
      </c>
      <c r="C684">
        <v>633</v>
      </c>
      <c r="D684">
        <f>IF(쿼리1[[#This Row],[Value.Duration]]/100&lt;=10,10,ROUND(쿼리1[[#This Row],[Value.Duration]]/100*0.7,-1))</f>
        <v>10</v>
      </c>
    </row>
    <row r="685" spans="1:4" x14ac:dyDescent="0.3">
      <c r="A685" t="s">
        <v>3022</v>
      </c>
      <c r="B685">
        <v>1311601304</v>
      </c>
      <c r="C685">
        <v>633</v>
      </c>
      <c r="D685">
        <f>IF(쿼리1[[#This Row],[Value.Duration]]/100&lt;=10,10,ROUND(쿼리1[[#This Row],[Value.Duration]]/100*0.7,-1))</f>
        <v>10</v>
      </c>
    </row>
    <row r="686" spans="1:4" x14ac:dyDescent="0.3">
      <c r="A686" t="s">
        <v>3023</v>
      </c>
      <c r="B686">
        <v>1311601305</v>
      </c>
      <c r="C686">
        <v>600</v>
      </c>
      <c r="D686">
        <f>IF(쿼리1[[#This Row],[Value.Duration]]/100&lt;=10,10,ROUND(쿼리1[[#This Row],[Value.Duration]]/100*0.7,-1))</f>
        <v>10</v>
      </c>
    </row>
    <row r="687" spans="1:4" x14ac:dyDescent="0.3">
      <c r="A687" t="s">
        <v>3024</v>
      </c>
      <c r="B687">
        <v>1411201001</v>
      </c>
      <c r="C687">
        <v>1033</v>
      </c>
      <c r="D687">
        <f>IF(쿼리1[[#This Row],[Value.Duration]]/100&lt;=10,10,ROUND(쿼리1[[#This Row],[Value.Duration]]/100*0.7,-1))</f>
        <v>10</v>
      </c>
    </row>
    <row r="688" spans="1:4" x14ac:dyDescent="0.3">
      <c r="A688" t="s">
        <v>3025</v>
      </c>
      <c r="B688">
        <v>1411202001</v>
      </c>
      <c r="C688">
        <v>933</v>
      </c>
      <c r="D688">
        <f>IF(쿼리1[[#This Row],[Value.Duration]]/100&lt;=10,10,ROUND(쿼리1[[#This Row],[Value.Duration]]/100*0.7,-1))</f>
        <v>10</v>
      </c>
    </row>
    <row r="689" spans="1:4" x14ac:dyDescent="0.3">
      <c r="A689" t="s">
        <v>3026</v>
      </c>
      <c r="B689">
        <v>1411202002</v>
      </c>
      <c r="C689">
        <v>933</v>
      </c>
      <c r="D689">
        <f>IF(쿼리1[[#This Row],[Value.Duration]]/100&lt;=10,10,ROUND(쿼리1[[#This Row],[Value.Duration]]/100*0.7,-1))</f>
        <v>10</v>
      </c>
    </row>
    <row r="690" spans="1:4" x14ac:dyDescent="0.3">
      <c r="A690" t="s">
        <v>3027</v>
      </c>
      <c r="B690">
        <v>1411401001</v>
      </c>
      <c r="C690">
        <v>800</v>
      </c>
      <c r="D690">
        <f>IF(쿼리1[[#This Row],[Value.Duration]]/100&lt;=10,10,ROUND(쿼리1[[#This Row],[Value.Duration]]/100*0.7,-1))</f>
        <v>10</v>
      </c>
    </row>
    <row r="691" spans="1:4" x14ac:dyDescent="0.3">
      <c r="A691" t="s">
        <v>3028</v>
      </c>
      <c r="B691">
        <v>1411401002</v>
      </c>
      <c r="C691">
        <v>666</v>
      </c>
      <c r="D691">
        <f>IF(쿼리1[[#This Row],[Value.Duration]]/100&lt;=10,10,ROUND(쿼리1[[#This Row],[Value.Duration]]/100*0.7,-1))</f>
        <v>10</v>
      </c>
    </row>
    <row r="692" spans="1:4" x14ac:dyDescent="0.3">
      <c r="A692" t="s">
        <v>3029</v>
      </c>
      <c r="B692">
        <v>1411401003</v>
      </c>
      <c r="C692">
        <v>666</v>
      </c>
      <c r="D692">
        <f>IF(쿼리1[[#This Row],[Value.Duration]]/100&lt;=10,10,ROUND(쿼리1[[#This Row],[Value.Duration]]/100*0.7,-1))</f>
        <v>10</v>
      </c>
    </row>
    <row r="693" spans="1:4" x14ac:dyDescent="0.3">
      <c r="A693" t="s">
        <v>3030</v>
      </c>
      <c r="B693">
        <v>1411401004</v>
      </c>
      <c r="C693">
        <v>666</v>
      </c>
      <c r="D693">
        <f>IF(쿼리1[[#This Row],[Value.Duration]]/100&lt;=10,10,ROUND(쿼리1[[#This Row],[Value.Duration]]/100*0.7,-1))</f>
        <v>10</v>
      </c>
    </row>
    <row r="694" spans="1:4" x14ac:dyDescent="0.3">
      <c r="A694" t="s">
        <v>3031</v>
      </c>
      <c r="B694">
        <v>1410501001</v>
      </c>
      <c r="C694">
        <v>1200</v>
      </c>
      <c r="D694">
        <f>IF(쿼리1[[#This Row],[Value.Duration]]/100&lt;=10,10,ROUND(쿼리1[[#This Row],[Value.Duration]]/100*0.7,-1))</f>
        <v>10</v>
      </c>
    </row>
    <row r="695" spans="1:4" x14ac:dyDescent="0.3">
      <c r="A695" t="s">
        <v>3032</v>
      </c>
      <c r="B695">
        <v>1410501002</v>
      </c>
      <c r="C695">
        <v>1200</v>
      </c>
      <c r="D695">
        <f>IF(쿼리1[[#This Row],[Value.Duration]]/100&lt;=10,10,ROUND(쿼리1[[#This Row],[Value.Duration]]/100*0.7,-1))</f>
        <v>10</v>
      </c>
    </row>
    <row r="696" spans="1:4" x14ac:dyDescent="0.3">
      <c r="A696" t="s">
        <v>3033</v>
      </c>
      <c r="B696">
        <v>1410502001</v>
      </c>
      <c r="C696">
        <v>1000</v>
      </c>
      <c r="D696">
        <f>IF(쿼리1[[#This Row],[Value.Duration]]/100&lt;=10,10,ROUND(쿼리1[[#This Row],[Value.Duration]]/100*0.7,-1))</f>
        <v>10</v>
      </c>
    </row>
    <row r="697" spans="1:4" x14ac:dyDescent="0.3">
      <c r="A697" t="s">
        <v>3034</v>
      </c>
      <c r="B697">
        <v>1410502002</v>
      </c>
      <c r="C697">
        <v>1000</v>
      </c>
      <c r="D697">
        <f>IF(쿼리1[[#This Row],[Value.Duration]]/100&lt;=10,10,ROUND(쿼리1[[#This Row],[Value.Duration]]/100*0.7,-1))</f>
        <v>10</v>
      </c>
    </row>
    <row r="698" spans="1:4" x14ac:dyDescent="0.3">
      <c r="A698" t="s">
        <v>3035</v>
      </c>
      <c r="B698">
        <v>1410503001</v>
      </c>
      <c r="C698">
        <v>1666</v>
      </c>
      <c r="D698">
        <f>IF(쿼리1[[#This Row],[Value.Duration]]/100&lt;=10,10,ROUND(쿼리1[[#This Row],[Value.Duration]]/100*0.7,-1))</f>
        <v>10</v>
      </c>
    </row>
    <row r="699" spans="1:4" x14ac:dyDescent="0.3">
      <c r="A699" t="s">
        <v>3036</v>
      </c>
      <c r="B699">
        <v>1410504001</v>
      </c>
      <c r="C699">
        <v>1733</v>
      </c>
      <c r="D699">
        <f>IF(쿼리1[[#This Row],[Value.Duration]]/100&lt;=10,10,ROUND(쿼리1[[#This Row],[Value.Duration]]/100*0.7,-1))</f>
        <v>10</v>
      </c>
    </row>
    <row r="700" spans="1:4" x14ac:dyDescent="0.3">
      <c r="A700" t="s">
        <v>3037</v>
      </c>
      <c r="B700">
        <v>1410504000</v>
      </c>
      <c r="C700">
        <v>933</v>
      </c>
      <c r="D700">
        <f>IF(쿼리1[[#This Row],[Value.Duration]]/100&lt;=10,10,ROUND(쿼리1[[#This Row],[Value.Duration]]/100*0.7,-1))</f>
        <v>10</v>
      </c>
    </row>
    <row r="701" spans="1:4" x14ac:dyDescent="0.3">
      <c r="A701" t="s">
        <v>3038</v>
      </c>
      <c r="B701">
        <v>1411101001</v>
      </c>
      <c r="C701">
        <v>533</v>
      </c>
      <c r="D701">
        <f>IF(쿼리1[[#This Row],[Value.Duration]]/100&lt;=10,10,ROUND(쿼리1[[#This Row],[Value.Duration]]/100*0.7,-1))</f>
        <v>10</v>
      </c>
    </row>
    <row r="702" spans="1:4" x14ac:dyDescent="0.3">
      <c r="A702" t="s">
        <v>3039</v>
      </c>
      <c r="B702">
        <v>1411101002</v>
      </c>
      <c r="C702">
        <v>600</v>
      </c>
      <c r="D702">
        <f>IF(쿼리1[[#This Row],[Value.Duration]]/100&lt;=10,10,ROUND(쿼리1[[#This Row],[Value.Duration]]/100*0.7,-1))</f>
        <v>10</v>
      </c>
    </row>
    <row r="703" spans="1:4" x14ac:dyDescent="0.3">
      <c r="A703" t="s">
        <v>3040</v>
      </c>
      <c r="B703">
        <v>1411101003</v>
      </c>
      <c r="C703">
        <v>666</v>
      </c>
      <c r="D703">
        <f>IF(쿼리1[[#This Row],[Value.Duration]]/100&lt;=10,10,ROUND(쿼리1[[#This Row],[Value.Duration]]/100*0.7,-1))</f>
        <v>10</v>
      </c>
    </row>
    <row r="704" spans="1:4" x14ac:dyDescent="0.3">
      <c r="A704" t="s">
        <v>3041</v>
      </c>
      <c r="B704">
        <v>1411301001</v>
      </c>
      <c r="C704">
        <v>2000</v>
      </c>
      <c r="D704">
        <f>IF(쿼리1[[#This Row],[Value.Duration]]/100&lt;=10,10,ROUND(쿼리1[[#This Row],[Value.Duration]]/100*0.7,-1))</f>
        <v>10</v>
      </c>
    </row>
    <row r="705" spans="1:4" x14ac:dyDescent="0.3">
      <c r="A705" t="s">
        <v>3042</v>
      </c>
      <c r="B705">
        <v>1411301002</v>
      </c>
      <c r="C705">
        <v>2000</v>
      </c>
      <c r="D705">
        <f>IF(쿼리1[[#This Row],[Value.Duration]]/100&lt;=10,10,ROUND(쿼리1[[#This Row],[Value.Duration]]/100*0.7,-1))</f>
        <v>10</v>
      </c>
    </row>
    <row r="706" spans="1:4" x14ac:dyDescent="0.3">
      <c r="A706" t="s">
        <v>3043</v>
      </c>
      <c r="B706">
        <v>1411301011</v>
      </c>
      <c r="C706">
        <v>1666</v>
      </c>
      <c r="D706">
        <f>IF(쿼리1[[#This Row],[Value.Duration]]/100&lt;=10,10,ROUND(쿼리1[[#This Row],[Value.Duration]]/100*0.7,-1))</f>
        <v>10</v>
      </c>
    </row>
    <row r="707" spans="1:4" x14ac:dyDescent="0.3">
      <c r="A707" t="s">
        <v>3044</v>
      </c>
      <c r="B707">
        <v>1411301012</v>
      </c>
      <c r="C707">
        <v>1666</v>
      </c>
      <c r="D707">
        <f>IF(쿼리1[[#This Row],[Value.Duration]]/100&lt;=10,10,ROUND(쿼리1[[#This Row],[Value.Duration]]/100*0.7,-1))</f>
        <v>10</v>
      </c>
    </row>
    <row r="708" spans="1:4" x14ac:dyDescent="0.3">
      <c r="A708" t="s">
        <v>3045</v>
      </c>
      <c r="B708">
        <v>1411301021</v>
      </c>
      <c r="C708">
        <v>1600</v>
      </c>
      <c r="D708">
        <f>IF(쿼리1[[#This Row],[Value.Duration]]/100&lt;=10,10,ROUND(쿼리1[[#This Row],[Value.Duration]]/100*0.7,-1))</f>
        <v>10</v>
      </c>
    </row>
    <row r="709" spans="1:4" x14ac:dyDescent="0.3">
      <c r="A709" t="s">
        <v>3046</v>
      </c>
      <c r="B709">
        <v>1411301022</v>
      </c>
      <c r="C709">
        <v>1600</v>
      </c>
      <c r="D709">
        <f>IF(쿼리1[[#This Row],[Value.Duration]]/100&lt;=10,10,ROUND(쿼리1[[#This Row],[Value.Duration]]/100*0.7,-1))</f>
        <v>10</v>
      </c>
    </row>
    <row r="710" spans="1:4" x14ac:dyDescent="0.3">
      <c r="A710" t="s">
        <v>3047</v>
      </c>
      <c r="B710">
        <v>1411301031</v>
      </c>
      <c r="C710">
        <v>600</v>
      </c>
      <c r="D710">
        <f>IF(쿼리1[[#This Row],[Value.Duration]]/100&lt;=10,10,ROUND(쿼리1[[#This Row],[Value.Duration]]/100*0.7,-1))</f>
        <v>10</v>
      </c>
    </row>
    <row r="711" spans="1:4" x14ac:dyDescent="0.3">
      <c r="A711" t="s">
        <v>3048</v>
      </c>
      <c r="B711">
        <v>1411301032</v>
      </c>
      <c r="C711">
        <v>600</v>
      </c>
      <c r="D711">
        <f>IF(쿼리1[[#This Row],[Value.Duration]]/100&lt;=10,10,ROUND(쿼리1[[#This Row],[Value.Duration]]/100*0.7,-1))</f>
        <v>10</v>
      </c>
    </row>
    <row r="712" spans="1:4" x14ac:dyDescent="0.3">
      <c r="A712" t="s">
        <v>3049</v>
      </c>
      <c r="B712">
        <v>1411301041</v>
      </c>
      <c r="C712">
        <v>800</v>
      </c>
      <c r="D712">
        <f>IF(쿼리1[[#This Row],[Value.Duration]]/100&lt;=10,10,ROUND(쿼리1[[#This Row],[Value.Duration]]/100*0.7,-1))</f>
        <v>10</v>
      </c>
    </row>
    <row r="713" spans="1:4" x14ac:dyDescent="0.3">
      <c r="A713" t="s">
        <v>3050</v>
      </c>
      <c r="B713">
        <v>1411301042</v>
      </c>
      <c r="C713">
        <v>800</v>
      </c>
      <c r="D713">
        <f>IF(쿼리1[[#This Row],[Value.Duration]]/100&lt;=10,10,ROUND(쿼리1[[#This Row],[Value.Duration]]/100*0.7,-1))</f>
        <v>10</v>
      </c>
    </row>
    <row r="714" spans="1:4" x14ac:dyDescent="0.3">
      <c r="A714" t="s">
        <v>3051</v>
      </c>
      <c r="B714">
        <v>1411301051</v>
      </c>
      <c r="C714">
        <v>1033</v>
      </c>
      <c r="D714">
        <f>IF(쿼리1[[#This Row],[Value.Duration]]/100&lt;=10,10,ROUND(쿼리1[[#This Row],[Value.Duration]]/100*0.7,-1))</f>
        <v>10</v>
      </c>
    </row>
    <row r="715" spans="1:4" x14ac:dyDescent="0.3">
      <c r="A715" t="s">
        <v>3052</v>
      </c>
      <c r="B715">
        <v>1411301052</v>
      </c>
      <c r="C715">
        <v>1033</v>
      </c>
      <c r="D715">
        <f>IF(쿼리1[[#This Row],[Value.Duration]]/100&lt;=10,10,ROUND(쿼리1[[#This Row],[Value.Duration]]/100*0.7,-1))</f>
        <v>10</v>
      </c>
    </row>
    <row r="716" spans="1:4" x14ac:dyDescent="0.3">
      <c r="A716" t="s">
        <v>3053</v>
      </c>
      <c r="B716">
        <v>1411301061</v>
      </c>
      <c r="C716">
        <v>933</v>
      </c>
      <c r="D716">
        <f>IF(쿼리1[[#This Row],[Value.Duration]]/100&lt;=10,10,ROUND(쿼리1[[#This Row],[Value.Duration]]/100*0.7,-1))</f>
        <v>10</v>
      </c>
    </row>
    <row r="717" spans="1:4" x14ac:dyDescent="0.3">
      <c r="A717" t="s">
        <v>3054</v>
      </c>
      <c r="B717">
        <v>1411301062</v>
      </c>
      <c r="C717">
        <v>933</v>
      </c>
      <c r="D717">
        <f>IF(쿼리1[[#This Row],[Value.Duration]]/100&lt;=10,10,ROUND(쿼리1[[#This Row],[Value.Duration]]/100*0.7,-1))</f>
        <v>10</v>
      </c>
    </row>
    <row r="718" spans="1:4" x14ac:dyDescent="0.3">
      <c r="A718" t="s">
        <v>3055</v>
      </c>
      <c r="B718">
        <v>1411301071</v>
      </c>
      <c r="C718">
        <v>1600</v>
      </c>
      <c r="D718">
        <f>IF(쿼리1[[#This Row],[Value.Duration]]/100&lt;=10,10,ROUND(쿼리1[[#This Row],[Value.Duration]]/100*0.7,-1))</f>
        <v>10</v>
      </c>
    </row>
    <row r="719" spans="1:4" x14ac:dyDescent="0.3">
      <c r="A719" t="s">
        <v>3056</v>
      </c>
      <c r="B719">
        <v>1411301072</v>
      </c>
      <c r="C719">
        <v>1733</v>
      </c>
      <c r="D719">
        <f>IF(쿼리1[[#This Row],[Value.Duration]]/100&lt;=10,10,ROUND(쿼리1[[#This Row],[Value.Duration]]/100*0.7,-1))</f>
        <v>10</v>
      </c>
    </row>
    <row r="720" spans="1:4" x14ac:dyDescent="0.3">
      <c r="A720" t="s">
        <v>3057</v>
      </c>
      <c r="B720">
        <v>1410301001</v>
      </c>
      <c r="C720">
        <v>1633</v>
      </c>
      <c r="D720">
        <f>IF(쿼리1[[#This Row],[Value.Duration]]/100&lt;=10,10,ROUND(쿼리1[[#This Row],[Value.Duration]]/100*0.7,-1))</f>
        <v>10</v>
      </c>
    </row>
    <row r="721" spans="1:4" x14ac:dyDescent="0.3">
      <c r="A721" t="s">
        <v>3058</v>
      </c>
      <c r="B721">
        <v>1410301002</v>
      </c>
      <c r="C721">
        <v>4000</v>
      </c>
      <c r="D721">
        <f>IF(쿼리1[[#This Row],[Value.Duration]]/100&lt;=10,10,ROUND(쿼리1[[#This Row],[Value.Duration]]/100*0.7,-1))</f>
        <v>30</v>
      </c>
    </row>
    <row r="722" spans="1:4" x14ac:dyDescent="0.3">
      <c r="A722" t="s">
        <v>3059</v>
      </c>
      <c r="B722">
        <v>1410301003</v>
      </c>
      <c r="C722">
        <v>1566</v>
      </c>
      <c r="D722">
        <f>IF(쿼리1[[#This Row],[Value.Duration]]/100&lt;=10,10,ROUND(쿼리1[[#This Row],[Value.Duration]]/100*0.7,-1))</f>
        <v>10</v>
      </c>
    </row>
    <row r="723" spans="1:4" x14ac:dyDescent="0.3">
      <c r="A723" t="s">
        <v>3060</v>
      </c>
      <c r="B723">
        <v>1410301004</v>
      </c>
      <c r="C723">
        <v>1566</v>
      </c>
      <c r="D723">
        <f>IF(쿼리1[[#This Row],[Value.Duration]]/100&lt;=10,10,ROUND(쿼리1[[#This Row],[Value.Duration]]/100*0.7,-1))</f>
        <v>10</v>
      </c>
    </row>
    <row r="724" spans="1:4" x14ac:dyDescent="0.3">
      <c r="A724" t="s">
        <v>3061</v>
      </c>
      <c r="B724">
        <v>1410301005</v>
      </c>
      <c r="C724">
        <v>800</v>
      </c>
      <c r="D724">
        <f>IF(쿼리1[[#This Row],[Value.Duration]]/100&lt;=10,10,ROUND(쿼리1[[#This Row],[Value.Duration]]/100*0.7,-1))</f>
        <v>10</v>
      </c>
    </row>
    <row r="725" spans="1:4" x14ac:dyDescent="0.3">
      <c r="A725" t="s">
        <v>3062</v>
      </c>
      <c r="B725">
        <v>1410301006</v>
      </c>
      <c r="C725">
        <v>1633</v>
      </c>
      <c r="D725">
        <f>IF(쿼리1[[#This Row],[Value.Duration]]/100&lt;=10,10,ROUND(쿼리1[[#This Row],[Value.Duration]]/100*0.7,-1))</f>
        <v>10</v>
      </c>
    </row>
    <row r="726" spans="1:4" x14ac:dyDescent="0.3">
      <c r="A726" t="s">
        <v>3063</v>
      </c>
      <c r="B726">
        <v>1410302001</v>
      </c>
      <c r="C726">
        <v>1666</v>
      </c>
      <c r="D726">
        <f>IF(쿼리1[[#This Row],[Value.Duration]]/100&lt;=10,10,ROUND(쿼리1[[#This Row],[Value.Duration]]/100*0.7,-1))</f>
        <v>10</v>
      </c>
    </row>
    <row r="727" spans="1:4" x14ac:dyDescent="0.3">
      <c r="A727" t="s">
        <v>3064</v>
      </c>
      <c r="B727">
        <v>1410302002</v>
      </c>
      <c r="C727">
        <v>1666</v>
      </c>
      <c r="D727">
        <f>IF(쿼리1[[#This Row],[Value.Duration]]/100&lt;=10,10,ROUND(쿼리1[[#This Row],[Value.Duration]]/100*0.7,-1))</f>
        <v>10</v>
      </c>
    </row>
    <row r="728" spans="1:4" x14ac:dyDescent="0.3">
      <c r="A728" t="s">
        <v>3065</v>
      </c>
      <c r="B728">
        <v>1410302003</v>
      </c>
      <c r="C728">
        <v>733</v>
      </c>
      <c r="D728">
        <f>IF(쿼리1[[#This Row],[Value.Duration]]/100&lt;=10,10,ROUND(쿼리1[[#This Row],[Value.Duration]]/100*0.7,-1))</f>
        <v>10</v>
      </c>
    </row>
    <row r="729" spans="1:4" x14ac:dyDescent="0.3">
      <c r="A729" t="s">
        <v>3066</v>
      </c>
      <c r="B729">
        <v>1410302004</v>
      </c>
      <c r="C729">
        <v>666</v>
      </c>
      <c r="D729">
        <f>IF(쿼리1[[#This Row],[Value.Duration]]/100&lt;=10,10,ROUND(쿼리1[[#This Row],[Value.Duration]]/100*0.7,-1))</f>
        <v>10</v>
      </c>
    </row>
    <row r="730" spans="1:4" x14ac:dyDescent="0.3">
      <c r="A730" t="s">
        <v>3067</v>
      </c>
      <c r="B730">
        <v>1410302005</v>
      </c>
      <c r="C730">
        <v>800</v>
      </c>
      <c r="D730">
        <f>IF(쿼리1[[#This Row],[Value.Duration]]/100&lt;=10,10,ROUND(쿼리1[[#This Row],[Value.Duration]]/100*0.7,-1))</f>
        <v>10</v>
      </c>
    </row>
    <row r="731" spans="1:4" x14ac:dyDescent="0.3">
      <c r="A731" t="s">
        <v>3068</v>
      </c>
      <c r="B731">
        <v>1410302006</v>
      </c>
      <c r="C731">
        <v>1600</v>
      </c>
      <c r="D731">
        <f>IF(쿼리1[[#This Row],[Value.Duration]]/100&lt;=10,10,ROUND(쿼리1[[#This Row],[Value.Duration]]/100*0.7,-1))</f>
        <v>10</v>
      </c>
    </row>
    <row r="732" spans="1:4" x14ac:dyDescent="0.3">
      <c r="A732" t="s">
        <v>3069</v>
      </c>
      <c r="B732">
        <v>1410302007</v>
      </c>
      <c r="C732">
        <v>1333</v>
      </c>
      <c r="D732">
        <f>IF(쿼리1[[#This Row],[Value.Duration]]/100&lt;=10,10,ROUND(쿼리1[[#This Row],[Value.Duration]]/100*0.7,-1))</f>
        <v>10</v>
      </c>
    </row>
    <row r="733" spans="1:4" x14ac:dyDescent="0.3">
      <c r="A733" t="s">
        <v>3070</v>
      </c>
      <c r="B733">
        <v>1410302008</v>
      </c>
      <c r="C733">
        <v>1600</v>
      </c>
      <c r="D733">
        <f>IF(쿼리1[[#This Row],[Value.Duration]]/100&lt;=10,10,ROUND(쿼리1[[#This Row],[Value.Duration]]/100*0.7,-1))</f>
        <v>10</v>
      </c>
    </row>
    <row r="734" spans="1:4" x14ac:dyDescent="0.3">
      <c r="A734" t="s">
        <v>3071</v>
      </c>
      <c r="B734">
        <v>1410302009</v>
      </c>
      <c r="C734">
        <v>800</v>
      </c>
      <c r="D734">
        <f>IF(쿼리1[[#This Row],[Value.Duration]]/100&lt;=10,10,ROUND(쿼리1[[#This Row],[Value.Duration]]/100*0.7,-1))</f>
        <v>10</v>
      </c>
    </row>
    <row r="735" spans="1:4" x14ac:dyDescent="0.3">
      <c r="A735" t="s">
        <v>3072</v>
      </c>
      <c r="B735">
        <v>1410302010</v>
      </c>
      <c r="C735">
        <v>2700</v>
      </c>
      <c r="D735">
        <f>IF(쿼리1[[#This Row],[Value.Duration]]/100&lt;=10,10,ROUND(쿼리1[[#This Row],[Value.Duration]]/100*0.7,-1))</f>
        <v>20</v>
      </c>
    </row>
    <row r="736" spans="1:4" x14ac:dyDescent="0.3">
      <c r="A736" t="s">
        <v>3073</v>
      </c>
      <c r="B736">
        <v>1410303001</v>
      </c>
      <c r="C736">
        <v>1666</v>
      </c>
      <c r="D736">
        <f>IF(쿼리1[[#This Row],[Value.Duration]]/100&lt;=10,10,ROUND(쿼리1[[#This Row],[Value.Duration]]/100*0.7,-1))</f>
        <v>10</v>
      </c>
    </row>
    <row r="737" spans="1:4" x14ac:dyDescent="0.3">
      <c r="A737" t="s">
        <v>3074</v>
      </c>
      <c r="B737">
        <v>1410303002</v>
      </c>
      <c r="C737">
        <v>1666</v>
      </c>
      <c r="D737">
        <f>IF(쿼리1[[#This Row],[Value.Duration]]/100&lt;=10,10,ROUND(쿼리1[[#This Row],[Value.Duration]]/100*0.7,-1))</f>
        <v>10</v>
      </c>
    </row>
    <row r="738" spans="1:4" x14ac:dyDescent="0.3">
      <c r="A738" t="s">
        <v>3075</v>
      </c>
      <c r="B738">
        <v>1410303003</v>
      </c>
      <c r="C738">
        <v>1600</v>
      </c>
      <c r="D738">
        <f>IF(쿼리1[[#This Row],[Value.Duration]]/100&lt;=10,10,ROUND(쿼리1[[#This Row],[Value.Duration]]/100*0.7,-1))</f>
        <v>10</v>
      </c>
    </row>
    <row r="739" spans="1:4" x14ac:dyDescent="0.3">
      <c r="A739" t="s">
        <v>3076</v>
      </c>
      <c r="B739">
        <v>1410304001</v>
      </c>
      <c r="C739">
        <v>533</v>
      </c>
      <c r="D739">
        <f>IF(쿼리1[[#This Row],[Value.Duration]]/100&lt;=10,10,ROUND(쿼리1[[#This Row],[Value.Duration]]/100*0.7,-1))</f>
        <v>10</v>
      </c>
    </row>
    <row r="740" spans="1:4" x14ac:dyDescent="0.3">
      <c r="A740" t="s">
        <v>3077</v>
      </c>
      <c r="B740">
        <v>1410304002</v>
      </c>
      <c r="C740">
        <v>733</v>
      </c>
      <c r="D740">
        <f>IF(쿼리1[[#This Row],[Value.Duration]]/100&lt;=10,10,ROUND(쿼리1[[#This Row],[Value.Duration]]/100*0.7,-1))</f>
        <v>10</v>
      </c>
    </row>
    <row r="741" spans="1:4" x14ac:dyDescent="0.3">
      <c r="A741" t="s">
        <v>3078</v>
      </c>
      <c r="B741">
        <v>1410305001</v>
      </c>
      <c r="C741">
        <v>800</v>
      </c>
      <c r="D741">
        <f>IF(쿼리1[[#This Row],[Value.Duration]]/100&lt;=10,10,ROUND(쿼리1[[#This Row],[Value.Duration]]/100*0.7,-1))</f>
        <v>10</v>
      </c>
    </row>
    <row r="742" spans="1:4" x14ac:dyDescent="0.3">
      <c r="A742" t="s">
        <v>3079</v>
      </c>
      <c r="B742">
        <v>1410305002</v>
      </c>
      <c r="C742">
        <v>666</v>
      </c>
      <c r="D742">
        <f>IF(쿼리1[[#This Row],[Value.Duration]]/100&lt;=10,10,ROUND(쿼리1[[#This Row],[Value.Duration]]/100*0.7,-1))</f>
        <v>10</v>
      </c>
    </row>
    <row r="743" spans="1:4" x14ac:dyDescent="0.3">
      <c r="A743" t="s">
        <v>3080</v>
      </c>
      <c r="B743">
        <v>1410305003</v>
      </c>
      <c r="C743">
        <v>600</v>
      </c>
      <c r="D743">
        <f>IF(쿼리1[[#This Row],[Value.Duration]]/100&lt;=10,10,ROUND(쿼리1[[#This Row],[Value.Duration]]/100*0.7,-1))</f>
        <v>10</v>
      </c>
    </row>
    <row r="744" spans="1:4" x14ac:dyDescent="0.3">
      <c r="A744" t="s">
        <v>3081</v>
      </c>
      <c r="B744">
        <v>1410305004</v>
      </c>
      <c r="C744">
        <v>666</v>
      </c>
      <c r="D744">
        <f>IF(쿼리1[[#This Row],[Value.Duration]]/100&lt;=10,10,ROUND(쿼리1[[#This Row],[Value.Duration]]/100*0.7,-1))</f>
        <v>10</v>
      </c>
    </row>
    <row r="745" spans="1:4" x14ac:dyDescent="0.3">
      <c r="A745" t="s">
        <v>3082</v>
      </c>
      <c r="B745">
        <v>1410305005</v>
      </c>
      <c r="C745">
        <v>666</v>
      </c>
      <c r="D745">
        <f>IF(쿼리1[[#This Row],[Value.Duration]]/100&lt;=10,10,ROUND(쿼리1[[#This Row],[Value.Duration]]/100*0.7,-1))</f>
        <v>10</v>
      </c>
    </row>
    <row r="746" spans="1:4" x14ac:dyDescent="0.3">
      <c r="A746" t="s">
        <v>3083</v>
      </c>
      <c r="B746">
        <v>1410305006</v>
      </c>
      <c r="C746">
        <v>466</v>
      </c>
      <c r="D746">
        <f>IF(쿼리1[[#This Row],[Value.Duration]]/100&lt;=10,10,ROUND(쿼리1[[#This Row],[Value.Duration]]/100*0.7,-1))</f>
        <v>10</v>
      </c>
    </row>
    <row r="747" spans="1:4" x14ac:dyDescent="0.3">
      <c r="A747" t="s">
        <v>3084</v>
      </c>
      <c r="B747">
        <v>1410305007</v>
      </c>
      <c r="C747">
        <v>933</v>
      </c>
      <c r="D747">
        <f>IF(쿼리1[[#This Row],[Value.Duration]]/100&lt;=10,10,ROUND(쿼리1[[#This Row],[Value.Duration]]/100*0.7,-1))</f>
        <v>10</v>
      </c>
    </row>
    <row r="748" spans="1:4" x14ac:dyDescent="0.3">
      <c r="A748" t="s">
        <v>3085</v>
      </c>
      <c r="B748">
        <v>1410305008</v>
      </c>
      <c r="C748">
        <v>800</v>
      </c>
      <c r="D748">
        <f>IF(쿼리1[[#This Row],[Value.Duration]]/100&lt;=10,10,ROUND(쿼리1[[#This Row],[Value.Duration]]/100*0.7,-1))</f>
        <v>10</v>
      </c>
    </row>
    <row r="749" spans="1:4" x14ac:dyDescent="0.3">
      <c r="A749" t="s">
        <v>3086</v>
      </c>
      <c r="B749">
        <v>1410305009</v>
      </c>
      <c r="C749">
        <v>933</v>
      </c>
      <c r="D749">
        <f>IF(쿼리1[[#This Row],[Value.Duration]]/100&lt;=10,10,ROUND(쿼리1[[#This Row],[Value.Duration]]/100*0.7,-1))</f>
        <v>10</v>
      </c>
    </row>
    <row r="750" spans="1:4" x14ac:dyDescent="0.3">
      <c r="A750" t="s">
        <v>3087</v>
      </c>
      <c r="B750">
        <v>1410305010</v>
      </c>
      <c r="C750">
        <v>666</v>
      </c>
      <c r="D750">
        <f>IF(쿼리1[[#This Row],[Value.Duration]]/100&lt;=10,10,ROUND(쿼리1[[#This Row],[Value.Duration]]/100*0.7,-1))</f>
        <v>10</v>
      </c>
    </row>
    <row r="751" spans="1:4" x14ac:dyDescent="0.3">
      <c r="A751" t="s">
        <v>3088</v>
      </c>
      <c r="B751">
        <v>1410305011</v>
      </c>
      <c r="C751">
        <v>533</v>
      </c>
      <c r="D751">
        <f>IF(쿼리1[[#This Row],[Value.Duration]]/100&lt;=10,10,ROUND(쿼리1[[#This Row],[Value.Duration]]/100*0.7,-1))</f>
        <v>10</v>
      </c>
    </row>
    <row r="752" spans="1:4" x14ac:dyDescent="0.3">
      <c r="A752" t="s">
        <v>3089</v>
      </c>
      <c r="B752">
        <v>1410305012</v>
      </c>
      <c r="C752">
        <v>1133</v>
      </c>
      <c r="D752">
        <f>IF(쿼리1[[#This Row],[Value.Duration]]/100&lt;=10,10,ROUND(쿼리1[[#This Row],[Value.Duration]]/100*0.7,-1))</f>
        <v>10</v>
      </c>
    </row>
    <row r="753" spans="1:4" x14ac:dyDescent="0.3">
      <c r="A753" t="s">
        <v>3090</v>
      </c>
      <c r="B753">
        <v>1410305013</v>
      </c>
      <c r="C753">
        <v>800</v>
      </c>
      <c r="D753">
        <f>IF(쿼리1[[#This Row],[Value.Duration]]/100&lt;=10,10,ROUND(쿼리1[[#This Row],[Value.Duration]]/100*0.7,-1))</f>
        <v>10</v>
      </c>
    </row>
    <row r="754" spans="1:4" x14ac:dyDescent="0.3">
      <c r="A754" t="s">
        <v>3091</v>
      </c>
      <c r="B754">
        <v>1410305014</v>
      </c>
      <c r="C754">
        <v>1000</v>
      </c>
      <c r="D754">
        <f>IF(쿼리1[[#This Row],[Value.Duration]]/100&lt;=10,10,ROUND(쿼리1[[#This Row],[Value.Duration]]/100*0.7,-1))</f>
        <v>10</v>
      </c>
    </row>
    <row r="755" spans="1:4" x14ac:dyDescent="0.3">
      <c r="A755" t="s">
        <v>3092</v>
      </c>
      <c r="B755">
        <v>1410401001</v>
      </c>
      <c r="C755">
        <v>1333</v>
      </c>
      <c r="D755">
        <f>IF(쿼리1[[#This Row],[Value.Duration]]/100&lt;=10,10,ROUND(쿼리1[[#This Row],[Value.Duration]]/100*0.7,-1))</f>
        <v>10</v>
      </c>
    </row>
    <row r="756" spans="1:4" x14ac:dyDescent="0.3">
      <c r="A756" t="s">
        <v>3093</v>
      </c>
      <c r="B756">
        <v>1410401002</v>
      </c>
      <c r="C756">
        <v>1333</v>
      </c>
      <c r="D756">
        <f>IF(쿼리1[[#This Row],[Value.Duration]]/100&lt;=10,10,ROUND(쿼리1[[#This Row],[Value.Duration]]/100*0.7,-1))</f>
        <v>10</v>
      </c>
    </row>
    <row r="757" spans="1:4" x14ac:dyDescent="0.3">
      <c r="A757" t="s">
        <v>3094</v>
      </c>
      <c r="B757">
        <v>1410401003</v>
      </c>
      <c r="C757">
        <v>1333</v>
      </c>
      <c r="D757">
        <f>IF(쿼리1[[#This Row],[Value.Duration]]/100&lt;=10,10,ROUND(쿼리1[[#This Row],[Value.Duration]]/100*0.7,-1))</f>
        <v>10</v>
      </c>
    </row>
    <row r="758" spans="1:4" x14ac:dyDescent="0.3">
      <c r="A758" t="s">
        <v>3095</v>
      </c>
      <c r="B758">
        <v>1410401004</v>
      </c>
      <c r="C758">
        <v>1333</v>
      </c>
      <c r="D758">
        <f>IF(쿼리1[[#This Row],[Value.Duration]]/100&lt;=10,10,ROUND(쿼리1[[#This Row],[Value.Duration]]/100*0.7,-1))</f>
        <v>10</v>
      </c>
    </row>
    <row r="759" spans="1:4" x14ac:dyDescent="0.3">
      <c r="A759" t="s">
        <v>3096</v>
      </c>
      <c r="B759">
        <v>1410401005</v>
      </c>
      <c r="C759">
        <v>1333</v>
      </c>
      <c r="D759">
        <f>IF(쿼리1[[#This Row],[Value.Duration]]/100&lt;=10,10,ROUND(쿼리1[[#This Row],[Value.Duration]]/100*0.7,-1))</f>
        <v>10</v>
      </c>
    </row>
    <row r="760" spans="1:4" x14ac:dyDescent="0.3">
      <c r="A760" t="s">
        <v>3097</v>
      </c>
      <c r="B760">
        <v>1410401006</v>
      </c>
      <c r="C760">
        <v>1333</v>
      </c>
      <c r="D760">
        <f>IF(쿼리1[[#This Row],[Value.Duration]]/100&lt;=10,10,ROUND(쿼리1[[#This Row],[Value.Duration]]/100*0.7,-1))</f>
        <v>10</v>
      </c>
    </row>
    <row r="761" spans="1:4" x14ac:dyDescent="0.3">
      <c r="A761" t="s">
        <v>3098</v>
      </c>
      <c r="B761">
        <v>1410401007</v>
      </c>
      <c r="C761">
        <v>1333</v>
      </c>
      <c r="D761">
        <f>IF(쿼리1[[#This Row],[Value.Duration]]/100&lt;=10,10,ROUND(쿼리1[[#This Row],[Value.Duration]]/100*0.7,-1))</f>
        <v>10</v>
      </c>
    </row>
    <row r="762" spans="1:4" x14ac:dyDescent="0.3">
      <c r="A762" t="s">
        <v>3099</v>
      </c>
      <c r="B762">
        <v>1410401008</v>
      </c>
      <c r="C762">
        <v>1333</v>
      </c>
      <c r="D762">
        <f>IF(쿼리1[[#This Row],[Value.Duration]]/100&lt;=10,10,ROUND(쿼리1[[#This Row],[Value.Duration]]/100*0.7,-1))</f>
        <v>10</v>
      </c>
    </row>
    <row r="763" spans="1:4" x14ac:dyDescent="0.3">
      <c r="A763" t="s">
        <v>3100</v>
      </c>
      <c r="B763">
        <v>1410401009</v>
      </c>
      <c r="C763">
        <v>1333</v>
      </c>
      <c r="D763">
        <f>IF(쿼리1[[#This Row],[Value.Duration]]/100&lt;=10,10,ROUND(쿼리1[[#This Row],[Value.Duration]]/100*0.7,-1))</f>
        <v>10</v>
      </c>
    </row>
    <row r="764" spans="1:4" x14ac:dyDescent="0.3">
      <c r="A764" t="s">
        <v>3101</v>
      </c>
      <c r="B764">
        <v>1410401010</v>
      </c>
      <c r="C764">
        <v>1333</v>
      </c>
      <c r="D764">
        <f>IF(쿼리1[[#This Row],[Value.Duration]]/100&lt;=10,10,ROUND(쿼리1[[#This Row],[Value.Duration]]/100*0.7,-1))</f>
        <v>10</v>
      </c>
    </row>
    <row r="765" spans="1:4" x14ac:dyDescent="0.3">
      <c r="A765" t="s">
        <v>3102</v>
      </c>
      <c r="B765">
        <v>1410401011</v>
      </c>
      <c r="C765">
        <v>1333</v>
      </c>
      <c r="D765">
        <f>IF(쿼리1[[#This Row],[Value.Duration]]/100&lt;=10,10,ROUND(쿼리1[[#This Row],[Value.Duration]]/100*0.7,-1))</f>
        <v>10</v>
      </c>
    </row>
    <row r="766" spans="1:4" x14ac:dyDescent="0.3">
      <c r="A766" t="s">
        <v>3103</v>
      </c>
      <c r="B766">
        <v>1410401012</v>
      </c>
      <c r="C766">
        <v>1333</v>
      </c>
      <c r="D766">
        <f>IF(쿼리1[[#This Row],[Value.Duration]]/100&lt;=10,10,ROUND(쿼리1[[#This Row],[Value.Duration]]/100*0.7,-1))</f>
        <v>10</v>
      </c>
    </row>
    <row r="767" spans="1:4" x14ac:dyDescent="0.3">
      <c r="A767" t="s">
        <v>3104</v>
      </c>
      <c r="B767">
        <v>1410401013</v>
      </c>
      <c r="C767">
        <v>1333</v>
      </c>
      <c r="D767">
        <f>IF(쿼리1[[#This Row],[Value.Duration]]/100&lt;=10,10,ROUND(쿼리1[[#This Row],[Value.Duration]]/100*0.7,-1))</f>
        <v>10</v>
      </c>
    </row>
    <row r="768" spans="1:4" x14ac:dyDescent="0.3">
      <c r="A768" t="s">
        <v>3105</v>
      </c>
      <c r="B768">
        <v>1410401014</v>
      </c>
      <c r="C768">
        <v>1333</v>
      </c>
      <c r="D768">
        <f>IF(쿼리1[[#This Row],[Value.Duration]]/100&lt;=10,10,ROUND(쿼리1[[#This Row],[Value.Duration]]/100*0.7,-1))</f>
        <v>10</v>
      </c>
    </row>
    <row r="769" spans="1:4" x14ac:dyDescent="0.3">
      <c r="A769" t="s">
        <v>3106</v>
      </c>
      <c r="B769">
        <v>1410401015</v>
      </c>
      <c r="C769">
        <v>1333</v>
      </c>
      <c r="D769">
        <f>IF(쿼리1[[#This Row],[Value.Duration]]/100&lt;=10,10,ROUND(쿼리1[[#This Row],[Value.Duration]]/100*0.7,-1))</f>
        <v>10</v>
      </c>
    </row>
    <row r="770" spans="1:4" x14ac:dyDescent="0.3">
      <c r="A770" t="s">
        <v>3107</v>
      </c>
      <c r="B770">
        <v>1410401016</v>
      </c>
      <c r="C770">
        <v>1333</v>
      </c>
      <c r="D770">
        <f>IF(쿼리1[[#This Row],[Value.Duration]]/100&lt;=10,10,ROUND(쿼리1[[#This Row],[Value.Duration]]/100*0.7,-1))</f>
        <v>10</v>
      </c>
    </row>
    <row r="771" spans="1:4" x14ac:dyDescent="0.3">
      <c r="A771" t="s">
        <v>3108</v>
      </c>
      <c r="B771">
        <v>1410401017</v>
      </c>
      <c r="C771">
        <v>1333</v>
      </c>
      <c r="D771">
        <f>IF(쿼리1[[#This Row],[Value.Duration]]/100&lt;=10,10,ROUND(쿼리1[[#This Row],[Value.Duration]]/100*0.7,-1))</f>
        <v>10</v>
      </c>
    </row>
    <row r="772" spans="1:4" x14ac:dyDescent="0.3">
      <c r="A772" t="s">
        <v>3109</v>
      </c>
      <c r="B772">
        <v>1410401018</v>
      </c>
      <c r="C772">
        <v>1333</v>
      </c>
      <c r="D772">
        <f>IF(쿼리1[[#This Row],[Value.Duration]]/100&lt;=10,10,ROUND(쿼리1[[#This Row],[Value.Duration]]/100*0.7,-1))</f>
        <v>10</v>
      </c>
    </row>
    <row r="773" spans="1:4" x14ac:dyDescent="0.3">
      <c r="A773" t="s">
        <v>3110</v>
      </c>
      <c r="B773">
        <v>1410401019</v>
      </c>
      <c r="C773">
        <v>1333</v>
      </c>
      <c r="D773">
        <f>IF(쿼리1[[#This Row],[Value.Duration]]/100&lt;=10,10,ROUND(쿼리1[[#This Row],[Value.Duration]]/100*0.7,-1))</f>
        <v>10</v>
      </c>
    </row>
    <row r="774" spans="1:4" x14ac:dyDescent="0.3">
      <c r="A774" t="s">
        <v>3111</v>
      </c>
      <c r="B774">
        <v>1410401020</v>
      </c>
      <c r="C774">
        <v>1333</v>
      </c>
      <c r="D774">
        <f>IF(쿼리1[[#This Row],[Value.Duration]]/100&lt;=10,10,ROUND(쿼리1[[#This Row],[Value.Duration]]/100*0.7,-1))</f>
        <v>10</v>
      </c>
    </row>
    <row r="775" spans="1:4" x14ac:dyDescent="0.3">
      <c r="A775" t="s">
        <v>3112</v>
      </c>
      <c r="B775">
        <v>1410401021</v>
      </c>
      <c r="C775">
        <v>1333</v>
      </c>
      <c r="D775">
        <f>IF(쿼리1[[#This Row],[Value.Duration]]/100&lt;=10,10,ROUND(쿼리1[[#This Row],[Value.Duration]]/100*0.7,-1))</f>
        <v>10</v>
      </c>
    </row>
    <row r="776" spans="1:4" x14ac:dyDescent="0.3">
      <c r="A776" t="s">
        <v>3113</v>
      </c>
      <c r="B776">
        <v>1410401022</v>
      </c>
      <c r="C776">
        <v>1333</v>
      </c>
      <c r="D776">
        <f>IF(쿼리1[[#This Row],[Value.Duration]]/100&lt;=10,10,ROUND(쿼리1[[#This Row],[Value.Duration]]/100*0.7,-1))</f>
        <v>10</v>
      </c>
    </row>
    <row r="777" spans="1:4" x14ac:dyDescent="0.3">
      <c r="A777" t="s">
        <v>3114</v>
      </c>
      <c r="B777">
        <v>1410401023</v>
      </c>
      <c r="C777">
        <v>1333</v>
      </c>
      <c r="D777">
        <f>IF(쿼리1[[#This Row],[Value.Duration]]/100&lt;=10,10,ROUND(쿼리1[[#This Row],[Value.Duration]]/100*0.7,-1))</f>
        <v>10</v>
      </c>
    </row>
    <row r="778" spans="1:4" x14ac:dyDescent="0.3">
      <c r="A778" t="s">
        <v>3115</v>
      </c>
      <c r="B778">
        <v>1410401024</v>
      </c>
      <c r="C778">
        <v>1333</v>
      </c>
      <c r="D778">
        <f>IF(쿼리1[[#This Row],[Value.Duration]]/100&lt;=10,10,ROUND(쿼리1[[#This Row],[Value.Duration]]/100*0.7,-1))</f>
        <v>10</v>
      </c>
    </row>
    <row r="779" spans="1:4" x14ac:dyDescent="0.3">
      <c r="A779" t="s">
        <v>3116</v>
      </c>
      <c r="B779">
        <v>1410401025</v>
      </c>
      <c r="C779">
        <v>1333</v>
      </c>
      <c r="D779">
        <f>IF(쿼리1[[#This Row],[Value.Duration]]/100&lt;=10,10,ROUND(쿼리1[[#This Row],[Value.Duration]]/100*0.7,-1))</f>
        <v>10</v>
      </c>
    </row>
    <row r="780" spans="1:4" x14ac:dyDescent="0.3">
      <c r="A780" t="s">
        <v>3117</v>
      </c>
      <c r="B780">
        <v>1410401101</v>
      </c>
      <c r="C780">
        <v>733</v>
      </c>
      <c r="D780">
        <f>IF(쿼리1[[#This Row],[Value.Duration]]/100&lt;=10,10,ROUND(쿼리1[[#This Row],[Value.Duration]]/100*0.7,-1))</f>
        <v>10</v>
      </c>
    </row>
    <row r="781" spans="1:4" x14ac:dyDescent="0.3">
      <c r="A781" t="s">
        <v>3118</v>
      </c>
      <c r="B781">
        <v>1410401102</v>
      </c>
      <c r="C781">
        <v>733</v>
      </c>
      <c r="D781">
        <f>IF(쿼리1[[#This Row],[Value.Duration]]/100&lt;=10,10,ROUND(쿼리1[[#This Row],[Value.Duration]]/100*0.7,-1))</f>
        <v>10</v>
      </c>
    </row>
    <row r="782" spans="1:4" x14ac:dyDescent="0.3">
      <c r="A782" t="s">
        <v>3119</v>
      </c>
      <c r="B782">
        <v>1410200101</v>
      </c>
      <c r="C782">
        <v>566</v>
      </c>
      <c r="D782">
        <f>IF(쿼리1[[#This Row],[Value.Duration]]/100&lt;=10,10,ROUND(쿼리1[[#This Row],[Value.Duration]]/100*0.7,-1))</f>
        <v>10</v>
      </c>
    </row>
    <row r="783" spans="1:4" x14ac:dyDescent="0.3">
      <c r="A783" t="s">
        <v>3120</v>
      </c>
      <c r="B783">
        <v>1410200102</v>
      </c>
      <c r="C783">
        <v>666</v>
      </c>
      <c r="D783">
        <f>IF(쿼리1[[#This Row],[Value.Duration]]/100&lt;=10,10,ROUND(쿼리1[[#This Row],[Value.Duration]]/100*0.7,-1))</f>
        <v>10</v>
      </c>
    </row>
    <row r="784" spans="1:4" x14ac:dyDescent="0.3">
      <c r="A784" t="s">
        <v>3121</v>
      </c>
      <c r="B784">
        <v>1410200103</v>
      </c>
      <c r="C784">
        <v>1666</v>
      </c>
      <c r="D784">
        <f>IF(쿼리1[[#This Row],[Value.Duration]]/100&lt;=10,10,ROUND(쿼리1[[#This Row],[Value.Duration]]/100*0.7,-1))</f>
        <v>10</v>
      </c>
    </row>
    <row r="785" spans="1:4" x14ac:dyDescent="0.3">
      <c r="A785" t="s">
        <v>3122</v>
      </c>
      <c r="B785">
        <v>1411601301</v>
      </c>
      <c r="C785">
        <v>733</v>
      </c>
      <c r="D785">
        <f>IF(쿼리1[[#This Row],[Value.Duration]]/100&lt;=10,10,ROUND(쿼리1[[#This Row],[Value.Duration]]/100*0.7,-1))</f>
        <v>10</v>
      </c>
    </row>
    <row r="786" spans="1:4" x14ac:dyDescent="0.3">
      <c r="A786" t="s">
        <v>3123</v>
      </c>
      <c r="B786">
        <v>1411601302</v>
      </c>
      <c r="C786">
        <v>666</v>
      </c>
      <c r="D786">
        <f>IF(쿼리1[[#This Row],[Value.Duration]]/100&lt;=10,10,ROUND(쿼리1[[#This Row],[Value.Duration]]/100*0.7,-1))</f>
        <v>10</v>
      </c>
    </row>
    <row r="787" spans="1:4" x14ac:dyDescent="0.3">
      <c r="A787" t="s">
        <v>3124</v>
      </c>
      <c r="B787">
        <v>1411601303</v>
      </c>
      <c r="C787">
        <v>633</v>
      </c>
      <c r="D787">
        <f>IF(쿼리1[[#This Row],[Value.Duration]]/100&lt;=10,10,ROUND(쿼리1[[#This Row],[Value.Duration]]/100*0.7,-1))</f>
        <v>10</v>
      </c>
    </row>
    <row r="788" spans="1:4" x14ac:dyDescent="0.3">
      <c r="A788" t="s">
        <v>3125</v>
      </c>
      <c r="B788">
        <v>1411601304</v>
      </c>
      <c r="C788">
        <v>633</v>
      </c>
      <c r="D788">
        <f>IF(쿼리1[[#This Row],[Value.Duration]]/100&lt;=10,10,ROUND(쿼리1[[#This Row],[Value.Duration]]/100*0.7,-1))</f>
        <v>10</v>
      </c>
    </row>
    <row r="789" spans="1:4" x14ac:dyDescent="0.3">
      <c r="A789" t="s">
        <v>3126</v>
      </c>
      <c r="B789">
        <v>1411601305</v>
      </c>
      <c r="C789">
        <v>600</v>
      </c>
      <c r="D789">
        <f>IF(쿼리1[[#This Row],[Value.Duration]]/100&lt;=10,10,ROUND(쿼리1[[#This Row],[Value.Duration]]/100*0.7,-1))</f>
        <v>10</v>
      </c>
    </row>
    <row r="790" spans="1:4" x14ac:dyDescent="0.3">
      <c r="A790" t="s">
        <v>3127</v>
      </c>
      <c r="B790">
        <v>1511201001</v>
      </c>
      <c r="C790">
        <v>1033</v>
      </c>
      <c r="D790">
        <f>IF(쿼리1[[#This Row],[Value.Duration]]/100&lt;=10,10,ROUND(쿼리1[[#This Row],[Value.Duration]]/100*0.7,-1))</f>
        <v>10</v>
      </c>
    </row>
    <row r="791" spans="1:4" x14ac:dyDescent="0.3">
      <c r="A791" t="s">
        <v>3128</v>
      </c>
      <c r="B791">
        <v>1511202001</v>
      </c>
      <c r="C791">
        <v>933</v>
      </c>
      <c r="D791">
        <f>IF(쿼리1[[#This Row],[Value.Duration]]/100&lt;=10,10,ROUND(쿼리1[[#This Row],[Value.Duration]]/100*0.7,-1))</f>
        <v>10</v>
      </c>
    </row>
    <row r="792" spans="1:4" x14ac:dyDescent="0.3">
      <c r="A792" t="s">
        <v>3129</v>
      </c>
      <c r="B792">
        <v>1511202002</v>
      </c>
      <c r="C792">
        <v>933</v>
      </c>
      <c r="D792">
        <f>IF(쿼리1[[#This Row],[Value.Duration]]/100&lt;=10,10,ROUND(쿼리1[[#This Row],[Value.Duration]]/100*0.7,-1))</f>
        <v>10</v>
      </c>
    </row>
    <row r="793" spans="1:4" x14ac:dyDescent="0.3">
      <c r="A793" t="s">
        <v>3130</v>
      </c>
      <c r="B793">
        <v>1511401001</v>
      </c>
      <c r="C793">
        <v>800</v>
      </c>
      <c r="D793">
        <f>IF(쿼리1[[#This Row],[Value.Duration]]/100&lt;=10,10,ROUND(쿼리1[[#This Row],[Value.Duration]]/100*0.7,-1))</f>
        <v>10</v>
      </c>
    </row>
    <row r="794" spans="1:4" x14ac:dyDescent="0.3">
      <c r="A794" t="s">
        <v>3131</v>
      </c>
      <c r="B794">
        <v>1511401002</v>
      </c>
      <c r="C794">
        <v>666</v>
      </c>
      <c r="D794">
        <f>IF(쿼리1[[#This Row],[Value.Duration]]/100&lt;=10,10,ROUND(쿼리1[[#This Row],[Value.Duration]]/100*0.7,-1))</f>
        <v>10</v>
      </c>
    </row>
    <row r="795" spans="1:4" x14ac:dyDescent="0.3">
      <c r="A795" t="s">
        <v>3132</v>
      </c>
      <c r="B795">
        <v>1511401003</v>
      </c>
      <c r="C795">
        <v>666</v>
      </c>
      <c r="D795">
        <f>IF(쿼리1[[#This Row],[Value.Duration]]/100&lt;=10,10,ROUND(쿼리1[[#This Row],[Value.Duration]]/100*0.7,-1))</f>
        <v>10</v>
      </c>
    </row>
    <row r="796" spans="1:4" x14ac:dyDescent="0.3">
      <c r="A796" t="s">
        <v>3133</v>
      </c>
      <c r="B796">
        <v>1511401004</v>
      </c>
      <c r="C796">
        <v>666</v>
      </c>
      <c r="D796">
        <f>IF(쿼리1[[#This Row],[Value.Duration]]/100&lt;=10,10,ROUND(쿼리1[[#This Row],[Value.Duration]]/100*0.7,-1))</f>
        <v>10</v>
      </c>
    </row>
    <row r="797" spans="1:4" x14ac:dyDescent="0.3">
      <c r="A797" t="s">
        <v>3134</v>
      </c>
      <c r="B797">
        <v>1510501001</v>
      </c>
      <c r="C797">
        <v>1200</v>
      </c>
      <c r="D797">
        <f>IF(쿼리1[[#This Row],[Value.Duration]]/100&lt;=10,10,ROUND(쿼리1[[#This Row],[Value.Duration]]/100*0.7,-1))</f>
        <v>10</v>
      </c>
    </row>
    <row r="798" spans="1:4" x14ac:dyDescent="0.3">
      <c r="A798" t="s">
        <v>3135</v>
      </c>
      <c r="B798">
        <v>1510501002</v>
      </c>
      <c r="C798">
        <v>1200</v>
      </c>
      <c r="D798">
        <f>IF(쿼리1[[#This Row],[Value.Duration]]/100&lt;=10,10,ROUND(쿼리1[[#This Row],[Value.Duration]]/100*0.7,-1))</f>
        <v>10</v>
      </c>
    </row>
    <row r="799" spans="1:4" x14ac:dyDescent="0.3">
      <c r="A799" t="s">
        <v>3136</v>
      </c>
      <c r="B799">
        <v>1510502001</v>
      </c>
      <c r="C799">
        <v>1000</v>
      </c>
      <c r="D799">
        <f>IF(쿼리1[[#This Row],[Value.Duration]]/100&lt;=10,10,ROUND(쿼리1[[#This Row],[Value.Duration]]/100*0.7,-1))</f>
        <v>10</v>
      </c>
    </row>
    <row r="800" spans="1:4" x14ac:dyDescent="0.3">
      <c r="A800" t="s">
        <v>3137</v>
      </c>
      <c r="B800">
        <v>1510502002</v>
      </c>
      <c r="C800">
        <v>1000</v>
      </c>
      <c r="D800">
        <f>IF(쿼리1[[#This Row],[Value.Duration]]/100&lt;=10,10,ROUND(쿼리1[[#This Row],[Value.Duration]]/100*0.7,-1))</f>
        <v>10</v>
      </c>
    </row>
    <row r="801" spans="1:4" x14ac:dyDescent="0.3">
      <c r="A801" t="s">
        <v>3138</v>
      </c>
      <c r="B801">
        <v>1510503001</v>
      </c>
      <c r="C801">
        <v>1666</v>
      </c>
      <c r="D801">
        <f>IF(쿼리1[[#This Row],[Value.Duration]]/100&lt;=10,10,ROUND(쿼리1[[#This Row],[Value.Duration]]/100*0.7,-1))</f>
        <v>10</v>
      </c>
    </row>
    <row r="802" spans="1:4" x14ac:dyDescent="0.3">
      <c r="A802" t="s">
        <v>3139</v>
      </c>
      <c r="B802">
        <v>1510504001</v>
      </c>
      <c r="C802">
        <v>1733</v>
      </c>
      <c r="D802">
        <f>IF(쿼리1[[#This Row],[Value.Duration]]/100&lt;=10,10,ROUND(쿼리1[[#This Row],[Value.Duration]]/100*0.7,-1))</f>
        <v>10</v>
      </c>
    </row>
    <row r="803" spans="1:4" x14ac:dyDescent="0.3">
      <c r="A803" t="s">
        <v>3140</v>
      </c>
      <c r="B803">
        <v>1510504000</v>
      </c>
      <c r="C803">
        <v>933</v>
      </c>
      <c r="D803">
        <f>IF(쿼리1[[#This Row],[Value.Duration]]/100&lt;=10,10,ROUND(쿼리1[[#This Row],[Value.Duration]]/100*0.7,-1))</f>
        <v>10</v>
      </c>
    </row>
    <row r="804" spans="1:4" x14ac:dyDescent="0.3">
      <c r="A804" t="s">
        <v>3141</v>
      </c>
      <c r="B804">
        <v>1511101001</v>
      </c>
      <c r="C804">
        <v>533</v>
      </c>
      <c r="D804">
        <f>IF(쿼리1[[#This Row],[Value.Duration]]/100&lt;=10,10,ROUND(쿼리1[[#This Row],[Value.Duration]]/100*0.7,-1))</f>
        <v>10</v>
      </c>
    </row>
    <row r="805" spans="1:4" x14ac:dyDescent="0.3">
      <c r="A805" t="s">
        <v>3142</v>
      </c>
      <c r="B805">
        <v>1511101002</v>
      </c>
      <c r="C805">
        <v>600</v>
      </c>
      <c r="D805">
        <f>IF(쿼리1[[#This Row],[Value.Duration]]/100&lt;=10,10,ROUND(쿼리1[[#This Row],[Value.Duration]]/100*0.7,-1))</f>
        <v>10</v>
      </c>
    </row>
    <row r="806" spans="1:4" x14ac:dyDescent="0.3">
      <c r="A806" t="s">
        <v>3143</v>
      </c>
      <c r="B806">
        <v>1511101003</v>
      </c>
      <c r="C806">
        <v>666</v>
      </c>
      <c r="D806">
        <f>IF(쿼리1[[#This Row],[Value.Duration]]/100&lt;=10,10,ROUND(쿼리1[[#This Row],[Value.Duration]]/100*0.7,-1))</f>
        <v>10</v>
      </c>
    </row>
    <row r="807" spans="1:4" x14ac:dyDescent="0.3">
      <c r="A807" t="s">
        <v>3144</v>
      </c>
      <c r="B807">
        <v>1511301001</v>
      </c>
      <c r="C807">
        <v>2000</v>
      </c>
      <c r="D807">
        <f>IF(쿼리1[[#This Row],[Value.Duration]]/100&lt;=10,10,ROUND(쿼리1[[#This Row],[Value.Duration]]/100*0.7,-1))</f>
        <v>10</v>
      </c>
    </row>
    <row r="808" spans="1:4" x14ac:dyDescent="0.3">
      <c r="A808" t="s">
        <v>3145</v>
      </c>
      <c r="B808">
        <v>1511301002</v>
      </c>
      <c r="C808">
        <v>2000</v>
      </c>
      <c r="D808">
        <f>IF(쿼리1[[#This Row],[Value.Duration]]/100&lt;=10,10,ROUND(쿼리1[[#This Row],[Value.Duration]]/100*0.7,-1))</f>
        <v>10</v>
      </c>
    </row>
    <row r="809" spans="1:4" x14ac:dyDescent="0.3">
      <c r="A809" t="s">
        <v>3146</v>
      </c>
      <c r="B809">
        <v>1511301011</v>
      </c>
      <c r="C809">
        <v>1666</v>
      </c>
      <c r="D809">
        <f>IF(쿼리1[[#This Row],[Value.Duration]]/100&lt;=10,10,ROUND(쿼리1[[#This Row],[Value.Duration]]/100*0.7,-1))</f>
        <v>10</v>
      </c>
    </row>
    <row r="810" spans="1:4" x14ac:dyDescent="0.3">
      <c r="A810" t="s">
        <v>3147</v>
      </c>
      <c r="B810">
        <v>1511301012</v>
      </c>
      <c r="C810">
        <v>1666</v>
      </c>
      <c r="D810">
        <f>IF(쿼리1[[#This Row],[Value.Duration]]/100&lt;=10,10,ROUND(쿼리1[[#This Row],[Value.Duration]]/100*0.7,-1))</f>
        <v>10</v>
      </c>
    </row>
    <row r="811" spans="1:4" x14ac:dyDescent="0.3">
      <c r="A811" t="s">
        <v>3148</v>
      </c>
      <c r="B811">
        <v>1511301021</v>
      </c>
      <c r="C811">
        <v>1600</v>
      </c>
      <c r="D811">
        <f>IF(쿼리1[[#This Row],[Value.Duration]]/100&lt;=10,10,ROUND(쿼리1[[#This Row],[Value.Duration]]/100*0.7,-1))</f>
        <v>10</v>
      </c>
    </row>
    <row r="812" spans="1:4" x14ac:dyDescent="0.3">
      <c r="A812" t="s">
        <v>3149</v>
      </c>
      <c r="B812">
        <v>1511301022</v>
      </c>
      <c r="C812">
        <v>1600</v>
      </c>
      <c r="D812">
        <f>IF(쿼리1[[#This Row],[Value.Duration]]/100&lt;=10,10,ROUND(쿼리1[[#This Row],[Value.Duration]]/100*0.7,-1))</f>
        <v>10</v>
      </c>
    </row>
    <row r="813" spans="1:4" x14ac:dyDescent="0.3">
      <c r="A813" t="s">
        <v>3150</v>
      </c>
      <c r="B813">
        <v>1511301031</v>
      </c>
      <c r="C813">
        <v>600</v>
      </c>
      <c r="D813">
        <f>IF(쿼리1[[#This Row],[Value.Duration]]/100&lt;=10,10,ROUND(쿼리1[[#This Row],[Value.Duration]]/100*0.7,-1))</f>
        <v>10</v>
      </c>
    </row>
    <row r="814" spans="1:4" x14ac:dyDescent="0.3">
      <c r="A814" t="s">
        <v>3151</v>
      </c>
      <c r="B814">
        <v>1511301032</v>
      </c>
      <c r="C814">
        <v>600</v>
      </c>
      <c r="D814">
        <f>IF(쿼리1[[#This Row],[Value.Duration]]/100&lt;=10,10,ROUND(쿼리1[[#This Row],[Value.Duration]]/100*0.7,-1))</f>
        <v>10</v>
      </c>
    </row>
    <row r="815" spans="1:4" x14ac:dyDescent="0.3">
      <c r="A815" t="s">
        <v>3152</v>
      </c>
      <c r="B815">
        <v>1511301041</v>
      </c>
      <c r="C815">
        <v>800</v>
      </c>
      <c r="D815">
        <f>IF(쿼리1[[#This Row],[Value.Duration]]/100&lt;=10,10,ROUND(쿼리1[[#This Row],[Value.Duration]]/100*0.7,-1))</f>
        <v>10</v>
      </c>
    </row>
    <row r="816" spans="1:4" x14ac:dyDescent="0.3">
      <c r="A816" t="s">
        <v>3153</v>
      </c>
      <c r="B816">
        <v>1511301042</v>
      </c>
      <c r="C816">
        <v>800</v>
      </c>
      <c r="D816">
        <f>IF(쿼리1[[#This Row],[Value.Duration]]/100&lt;=10,10,ROUND(쿼리1[[#This Row],[Value.Duration]]/100*0.7,-1))</f>
        <v>10</v>
      </c>
    </row>
    <row r="817" spans="1:4" x14ac:dyDescent="0.3">
      <c r="A817" t="s">
        <v>3154</v>
      </c>
      <c r="B817">
        <v>1511301051</v>
      </c>
      <c r="C817">
        <v>1033</v>
      </c>
      <c r="D817">
        <f>IF(쿼리1[[#This Row],[Value.Duration]]/100&lt;=10,10,ROUND(쿼리1[[#This Row],[Value.Duration]]/100*0.7,-1))</f>
        <v>10</v>
      </c>
    </row>
    <row r="818" spans="1:4" x14ac:dyDescent="0.3">
      <c r="A818" t="s">
        <v>3155</v>
      </c>
      <c r="B818">
        <v>1511301052</v>
      </c>
      <c r="C818">
        <v>1033</v>
      </c>
      <c r="D818">
        <f>IF(쿼리1[[#This Row],[Value.Duration]]/100&lt;=10,10,ROUND(쿼리1[[#This Row],[Value.Duration]]/100*0.7,-1))</f>
        <v>10</v>
      </c>
    </row>
    <row r="819" spans="1:4" x14ac:dyDescent="0.3">
      <c r="A819" t="s">
        <v>3156</v>
      </c>
      <c r="B819">
        <v>1511301061</v>
      </c>
      <c r="C819">
        <v>933</v>
      </c>
      <c r="D819">
        <f>IF(쿼리1[[#This Row],[Value.Duration]]/100&lt;=10,10,ROUND(쿼리1[[#This Row],[Value.Duration]]/100*0.7,-1))</f>
        <v>10</v>
      </c>
    </row>
    <row r="820" spans="1:4" x14ac:dyDescent="0.3">
      <c r="A820" t="s">
        <v>3157</v>
      </c>
      <c r="B820">
        <v>1511301062</v>
      </c>
      <c r="C820">
        <v>933</v>
      </c>
      <c r="D820">
        <f>IF(쿼리1[[#This Row],[Value.Duration]]/100&lt;=10,10,ROUND(쿼리1[[#This Row],[Value.Duration]]/100*0.7,-1))</f>
        <v>10</v>
      </c>
    </row>
    <row r="821" spans="1:4" x14ac:dyDescent="0.3">
      <c r="A821" t="s">
        <v>3158</v>
      </c>
      <c r="B821">
        <v>1511301071</v>
      </c>
      <c r="C821">
        <v>1600</v>
      </c>
      <c r="D821">
        <f>IF(쿼리1[[#This Row],[Value.Duration]]/100&lt;=10,10,ROUND(쿼리1[[#This Row],[Value.Duration]]/100*0.7,-1))</f>
        <v>10</v>
      </c>
    </row>
    <row r="822" spans="1:4" x14ac:dyDescent="0.3">
      <c r="A822" t="s">
        <v>3159</v>
      </c>
      <c r="B822">
        <v>1511301072</v>
      </c>
      <c r="C822">
        <v>1733</v>
      </c>
      <c r="D822">
        <f>IF(쿼리1[[#This Row],[Value.Duration]]/100&lt;=10,10,ROUND(쿼리1[[#This Row],[Value.Duration]]/100*0.7,-1))</f>
        <v>10</v>
      </c>
    </row>
    <row r="823" spans="1:4" x14ac:dyDescent="0.3">
      <c r="A823" t="s">
        <v>3160</v>
      </c>
      <c r="B823">
        <v>1510301001</v>
      </c>
      <c r="C823">
        <v>1633</v>
      </c>
      <c r="D823">
        <f>IF(쿼리1[[#This Row],[Value.Duration]]/100&lt;=10,10,ROUND(쿼리1[[#This Row],[Value.Duration]]/100*0.7,-1))</f>
        <v>10</v>
      </c>
    </row>
    <row r="824" spans="1:4" x14ac:dyDescent="0.3">
      <c r="A824" t="s">
        <v>3161</v>
      </c>
      <c r="B824">
        <v>1510301002</v>
      </c>
      <c r="C824">
        <v>4000</v>
      </c>
      <c r="D824">
        <f>IF(쿼리1[[#This Row],[Value.Duration]]/100&lt;=10,10,ROUND(쿼리1[[#This Row],[Value.Duration]]/100*0.7,-1))</f>
        <v>30</v>
      </c>
    </row>
    <row r="825" spans="1:4" x14ac:dyDescent="0.3">
      <c r="A825" t="s">
        <v>3162</v>
      </c>
      <c r="B825">
        <v>1510301003</v>
      </c>
      <c r="C825">
        <v>1566</v>
      </c>
      <c r="D825">
        <f>IF(쿼리1[[#This Row],[Value.Duration]]/100&lt;=10,10,ROUND(쿼리1[[#This Row],[Value.Duration]]/100*0.7,-1))</f>
        <v>10</v>
      </c>
    </row>
    <row r="826" spans="1:4" x14ac:dyDescent="0.3">
      <c r="A826" t="s">
        <v>3163</v>
      </c>
      <c r="B826">
        <v>1510301004</v>
      </c>
      <c r="C826">
        <v>1566</v>
      </c>
      <c r="D826">
        <f>IF(쿼리1[[#This Row],[Value.Duration]]/100&lt;=10,10,ROUND(쿼리1[[#This Row],[Value.Duration]]/100*0.7,-1))</f>
        <v>10</v>
      </c>
    </row>
    <row r="827" spans="1:4" x14ac:dyDescent="0.3">
      <c r="A827" t="s">
        <v>3164</v>
      </c>
      <c r="B827">
        <v>1510301005</v>
      </c>
      <c r="C827">
        <v>800</v>
      </c>
      <c r="D827">
        <f>IF(쿼리1[[#This Row],[Value.Duration]]/100&lt;=10,10,ROUND(쿼리1[[#This Row],[Value.Duration]]/100*0.7,-1))</f>
        <v>10</v>
      </c>
    </row>
    <row r="828" spans="1:4" x14ac:dyDescent="0.3">
      <c r="A828" t="s">
        <v>3165</v>
      </c>
      <c r="B828">
        <v>1510301006</v>
      </c>
      <c r="C828">
        <v>1633</v>
      </c>
      <c r="D828">
        <f>IF(쿼리1[[#This Row],[Value.Duration]]/100&lt;=10,10,ROUND(쿼리1[[#This Row],[Value.Duration]]/100*0.7,-1))</f>
        <v>10</v>
      </c>
    </row>
    <row r="829" spans="1:4" x14ac:dyDescent="0.3">
      <c r="A829" t="s">
        <v>3166</v>
      </c>
      <c r="B829">
        <v>1510302001</v>
      </c>
      <c r="C829">
        <v>1666</v>
      </c>
      <c r="D829">
        <f>IF(쿼리1[[#This Row],[Value.Duration]]/100&lt;=10,10,ROUND(쿼리1[[#This Row],[Value.Duration]]/100*0.7,-1))</f>
        <v>10</v>
      </c>
    </row>
    <row r="830" spans="1:4" x14ac:dyDescent="0.3">
      <c r="A830" t="s">
        <v>3167</v>
      </c>
      <c r="B830">
        <v>1510302002</v>
      </c>
      <c r="C830">
        <v>1666</v>
      </c>
      <c r="D830">
        <f>IF(쿼리1[[#This Row],[Value.Duration]]/100&lt;=10,10,ROUND(쿼리1[[#This Row],[Value.Duration]]/100*0.7,-1))</f>
        <v>10</v>
      </c>
    </row>
    <row r="831" spans="1:4" x14ac:dyDescent="0.3">
      <c r="A831" t="s">
        <v>3168</v>
      </c>
      <c r="B831">
        <v>1510302003</v>
      </c>
      <c r="C831">
        <v>733</v>
      </c>
      <c r="D831">
        <f>IF(쿼리1[[#This Row],[Value.Duration]]/100&lt;=10,10,ROUND(쿼리1[[#This Row],[Value.Duration]]/100*0.7,-1))</f>
        <v>10</v>
      </c>
    </row>
    <row r="832" spans="1:4" x14ac:dyDescent="0.3">
      <c r="A832" t="s">
        <v>3169</v>
      </c>
      <c r="B832">
        <v>1510302004</v>
      </c>
      <c r="C832">
        <v>666</v>
      </c>
      <c r="D832">
        <f>IF(쿼리1[[#This Row],[Value.Duration]]/100&lt;=10,10,ROUND(쿼리1[[#This Row],[Value.Duration]]/100*0.7,-1))</f>
        <v>10</v>
      </c>
    </row>
    <row r="833" spans="1:4" x14ac:dyDescent="0.3">
      <c r="A833" t="s">
        <v>3170</v>
      </c>
      <c r="B833">
        <v>1510302005</v>
      </c>
      <c r="C833">
        <v>800</v>
      </c>
      <c r="D833">
        <f>IF(쿼리1[[#This Row],[Value.Duration]]/100&lt;=10,10,ROUND(쿼리1[[#This Row],[Value.Duration]]/100*0.7,-1))</f>
        <v>10</v>
      </c>
    </row>
    <row r="834" spans="1:4" x14ac:dyDescent="0.3">
      <c r="A834" t="s">
        <v>3171</v>
      </c>
      <c r="B834">
        <v>1510302006</v>
      </c>
      <c r="C834">
        <v>1600</v>
      </c>
      <c r="D834">
        <f>IF(쿼리1[[#This Row],[Value.Duration]]/100&lt;=10,10,ROUND(쿼리1[[#This Row],[Value.Duration]]/100*0.7,-1))</f>
        <v>10</v>
      </c>
    </row>
    <row r="835" spans="1:4" x14ac:dyDescent="0.3">
      <c r="A835" t="s">
        <v>3172</v>
      </c>
      <c r="B835">
        <v>1510302007</v>
      </c>
      <c r="C835">
        <v>1333</v>
      </c>
      <c r="D835">
        <f>IF(쿼리1[[#This Row],[Value.Duration]]/100&lt;=10,10,ROUND(쿼리1[[#This Row],[Value.Duration]]/100*0.7,-1))</f>
        <v>10</v>
      </c>
    </row>
    <row r="836" spans="1:4" x14ac:dyDescent="0.3">
      <c r="A836" t="s">
        <v>3173</v>
      </c>
      <c r="B836">
        <v>1510302008</v>
      </c>
      <c r="C836">
        <v>1600</v>
      </c>
      <c r="D836">
        <f>IF(쿼리1[[#This Row],[Value.Duration]]/100&lt;=10,10,ROUND(쿼리1[[#This Row],[Value.Duration]]/100*0.7,-1))</f>
        <v>10</v>
      </c>
    </row>
    <row r="837" spans="1:4" x14ac:dyDescent="0.3">
      <c r="A837" t="s">
        <v>3174</v>
      </c>
      <c r="B837">
        <v>1510302009</v>
      </c>
      <c r="C837">
        <v>800</v>
      </c>
      <c r="D837">
        <f>IF(쿼리1[[#This Row],[Value.Duration]]/100&lt;=10,10,ROUND(쿼리1[[#This Row],[Value.Duration]]/100*0.7,-1))</f>
        <v>10</v>
      </c>
    </row>
    <row r="838" spans="1:4" x14ac:dyDescent="0.3">
      <c r="A838" t="s">
        <v>3175</v>
      </c>
      <c r="B838">
        <v>1510302010</v>
      </c>
      <c r="C838">
        <v>2700</v>
      </c>
      <c r="D838">
        <f>IF(쿼리1[[#This Row],[Value.Duration]]/100&lt;=10,10,ROUND(쿼리1[[#This Row],[Value.Duration]]/100*0.7,-1))</f>
        <v>20</v>
      </c>
    </row>
    <row r="839" spans="1:4" x14ac:dyDescent="0.3">
      <c r="A839" t="s">
        <v>3176</v>
      </c>
      <c r="B839">
        <v>1510303001</v>
      </c>
      <c r="C839">
        <v>1666</v>
      </c>
      <c r="D839">
        <f>IF(쿼리1[[#This Row],[Value.Duration]]/100&lt;=10,10,ROUND(쿼리1[[#This Row],[Value.Duration]]/100*0.7,-1))</f>
        <v>10</v>
      </c>
    </row>
    <row r="840" spans="1:4" x14ac:dyDescent="0.3">
      <c r="A840" t="s">
        <v>3177</v>
      </c>
      <c r="B840">
        <v>1510303002</v>
      </c>
      <c r="C840">
        <v>1666</v>
      </c>
      <c r="D840">
        <f>IF(쿼리1[[#This Row],[Value.Duration]]/100&lt;=10,10,ROUND(쿼리1[[#This Row],[Value.Duration]]/100*0.7,-1))</f>
        <v>10</v>
      </c>
    </row>
    <row r="841" spans="1:4" x14ac:dyDescent="0.3">
      <c r="A841" t="s">
        <v>3178</v>
      </c>
      <c r="B841">
        <v>1510303003</v>
      </c>
      <c r="C841">
        <v>1600</v>
      </c>
      <c r="D841">
        <f>IF(쿼리1[[#This Row],[Value.Duration]]/100&lt;=10,10,ROUND(쿼리1[[#This Row],[Value.Duration]]/100*0.7,-1))</f>
        <v>10</v>
      </c>
    </row>
    <row r="842" spans="1:4" x14ac:dyDescent="0.3">
      <c r="A842" t="s">
        <v>3179</v>
      </c>
      <c r="B842">
        <v>1510304001</v>
      </c>
      <c r="C842">
        <v>533</v>
      </c>
      <c r="D842">
        <f>IF(쿼리1[[#This Row],[Value.Duration]]/100&lt;=10,10,ROUND(쿼리1[[#This Row],[Value.Duration]]/100*0.7,-1))</f>
        <v>10</v>
      </c>
    </row>
    <row r="843" spans="1:4" x14ac:dyDescent="0.3">
      <c r="A843" t="s">
        <v>3180</v>
      </c>
      <c r="B843">
        <v>1510304002</v>
      </c>
      <c r="C843">
        <v>733</v>
      </c>
      <c r="D843">
        <f>IF(쿼리1[[#This Row],[Value.Duration]]/100&lt;=10,10,ROUND(쿼리1[[#This Row],[Value.Duration]]/100*0.7,-1))</f>
        <v>10</v>
      </c>
    </row>
    <row r="844" spans="1:4" x14ac:dyDescent="0.3">
      <c r="A844" t="s">
        <v>3181</v>
      </c>
      <c r="B844">
        <v>1510305001</v>
      </c>
      <c r="C844">
        <v>800</v>
      </c>
      <c r="D844">
        <f>IF(쿼리1[[#This Row],[Value.Duration]]/100&lt;=10,10,ROUND(쿼리1[[#This Row],[Value.Duration]]/100*0.7,-1))</f>
        <v>10</v>
      </c>
    </row>
    <row r="845" spans="1:4" x14ac:dyDescent="0.3">
      <c r="A845" t="s">
        <v>3182</v>
      </c>
      <c r="B845">
        <v>1510305002</v>
      </c>
      <c r="C845">
        <v>666</v>
      </c>
      <c r="D845">
        <f>IF(쿼리1[[#This Row],[Value.Duration]]/100&lt;=10,10,ROUND(쿼리1[[#This Row],[Value.Duration]]/100*0.7,-1))</f>
        <v>10</v>
      </c>
    </row>
    <row r="846" spans="1:4" x14ac:dyDescent="0.3">
      <c r="A846" t="s">
        <v>3183</v>
      </c>
      <c r="B846">
        <v>1510305003</v>
      </c>
      <c r="C846">
        <v>600</v>
      </c>
      <c r="D846">
        <f>IF(쿼리1[[#This Row],[Value.Duration]]/100&lt;=10,10,ROUND(쿼리1[[#This Row],[Value.Duration]]/100*0.7,-1))</f>
        <v>10</v>
      </c>
    </row>
    <row r="847" spans="1:4" x14ac:dyDescent="0.3">
      <c r="A847" t="s">
        <v>3184</v>
      </c>
      <c r="B847">
        <v>1510305004</v>
      </c>
      <c r="C847">
        <v>666</v>
      </c>
      <c r="D847">
        <f>IF(쿼리1[[#This Row],[Value.Duration]]/100&lt;=10,10,ROUND(쿼리1[[#This Row],[Value.Duration]]/100*0.7,-1))</f>
        <v>10</v>
      </c>
    </row>
    <row r="848" spans="1:4" x14ac:dyDescent="0.3">
      <c r="A848" t="s">
        <v>3185</v>
      </c>
      <c r="B848">
        <v>1510305005</v>
      </c>
      <c r="C848">
        <v>666</v>
      </c>
      <c r="D848">
        <f>IF(쿼리1[[#This Row],[Value.Duration]]/100&lt;=10,10,ROUND(쿼리1[[#This Row],[Value.Duration]]/100*0.7,-1))</f>
        <v>10</v>
      </c>
    </row>
    <row r="849" spans="1:4" x14ac:dyDescent="0.3">
      <c r="A849" t="s">
        <v>3186</v>
      </c>
      <c r="B849">
        <v>1510305006</v>
      </c>
      <c r="C849">
        <v>466</v>
      </c>
      <c r="D849">
        <f>IF(쿼리1[[#This Row],[Value.Duration]]/100&lt;=10,10,ROUND(쿼리1[[#This Row],[Value.Duration]]/100*0.7,-1))</f>
        <v>10</v>
      </c>
    </row>
    <row r="850" spans="1:4" x14ac:dyDescent="0.3">
      <c r="A850" t="s">
        <v>3187</v>
      </c>
      <c r="B850">
        <v>1510305007</v>
      </c>
      <c r="C850">
        <v>933</v>
      </c>
      <c r="D850">
        <f>IF(쿼리1[[#This Row],[Value.Duration]]/100&lt;=10,10,ROUND(쿼리1[[#This Row],[Value.Duration]]/100*0.7,-1))</f>
        <v>10</v>
      </c>
    </row>
    <row r="851" spans="1:4" x14ac:dyDescent="0.3">
      <c r="A851" t="s">
        <v>3188</v>
      </c>
      <c r="B851">
        <v>1510305008</v>
      </c>
      <c r="C851">
        <v>800</v>
      </c>
      <c r="D851">
        <f>IF(쿼리1[[#This Row],[Value.Duration]]/100&lt;=10,10,ROUND(쿼리1[[#This Row],[Value.Duration]]/100*0.7,-1))</f>
        <v>10</v>
      </c>
    </row>
    <row r="852" spans="1:4" x14ac:dyDescent="0.3">
      <c r="A852" t="s">
        <v>3189</v>
      </c>
      <c r="B852">
        <v>1510305009</v>
      </c>
      <c r="C852">
        <v>933</v>
      </c>
      <c r="D852">
        <f>IF(쿼리1[[#This Row],[Value.Duration]]/100&lt;=10,10,ROUND(쿼리1[[#This Row],[Value.Duration]]/100*0.7,-1))</f>
        <v>10</v>
      </c>
    </row>
    <row r="853" spans="1:4" x14ac:dyDescent="0.3">
      <c r="A853" t="s">
        <v>3190</v>
      </c>
      <c r="B853">
        <v>1510305010</v>
      </c>
      <c r="C853">
        <v>666</v>
      </c>
      <c r="D853">
        <f>IF(쿼리1[[#This Row],[Value.Duration]]/100&lt;=10,10,ROUND(쿼리1[[#This Row],[Value.Duration]]/100*0.7,-1))</f>
        <v>10</v>
      </c>
    </row>
    <row r="854" spans="1:4" x14ac:dyDescent="0.3">
      <c r="A854" t="s">
        <v>3191</v>
      </c>
      <c r="B854">
        <v>1510305011</v>
      </c>
      <c r="C854">
        <v>533</v>
      </c>
      <c r="D854">
        <f>IF(쿼리1[[#This Row],[Value.Duration]]/100&lt;=10,10,ROUND(쿼리1[[#This Row],[Value.Duration]]/100*0.7,-1))</f>
        <v>10</v>
      </c>
    </row>
    <row r="855" spans="1:4" x14ac:dyDescent="0.3">
      <c r="A855" t="s">
        <v>3192</v>
      </c>
      <c r="B855">
        <v>1510305012</v>
      </c>
      <c r="C855">
        <v>1133</v>
      </c>
      <c r="D855">
        <f>IF(쿼리1[[#This Row],[Value.Duration]]/100&lt;=10,10,ROUND(쿼리1[[#This Row],[Value.Duration]]/100*0.7,-1))</f>
        <v>10</v>
      </c>
    </row>
    <row r="856" spans="1:4" x14ac:dyDescent="0.3">
      <c r="A856" t="s">
        <v>3193</v>
      </c>
      <c r="B856">
        <v>1510305013</v>
      </c>
      <c r="C856">
        <v>800</v>
      </c>
      <c r="D856">
        <f>IF(쿼리1[[#This Row],[Value.Duration]]/100&lt;=10,10,ROUND(쿼리1[[#This Row],[Value.Duration]]/100*0.7,-1))</f>
        <v>10</v>
      </c>
    </row>
    <row r="857" spans="1:4" x14ac:dyDescent="0.3">
      <c r="A857" t="s">
        <v>3194</v>
      </c>
      <c r="B857">
        <v>1510305014</v>
      </c>
      <c r="C857">
        <v>1000</v>
      </c>
      <c r="D857">
        <f>IF(쿼리1[[#This Row],[Value.Duration]]/100&lt;=10,10,ROUND(쿼리1[[#This Row],[Value.Duration]]/100*0.7,-1))</f>
        <v>10</v>
      </c>
    </row>
    <row r="858" spans="1:4" x14ac:dyDescent="0.3">
      <c r="A858" t="s">
        <v>3195</v>
      </c>
      <c r="B858">
        <v>1510401001</v>
      </c>
      <c r="C858">
        <v>1333</v>
      </c>
      <c r="D858">
        <f>IF(쿼리1[[#This Row],[Value.Duration]]/100&lt;=10,10,ROUND(쿼리1[[#This Row],[Value.Duration]]/100*0.7,-1))</f>
        <v>10</v>
      </c>
    </row>
    <row r="859" spans="1:4" x14ac:dyDescent="0.3">
      <c r="A859" t="s">
        <v>3196</v>
      </c>
      <c r="B859">
        <v>1510401002</v>
      </c>
      <c r="C859">
        <v>1333</v>
      </c>
      <c r="D859">
        <f>IF(쿼리1[[#This Row],[Value.Duration]]/100&lt;=10,10,ROUND(쿼리1[[#This Row],[Value.Duration]]/100*0.7,-1))</f>
        <v>10</v>
      </c>
    </row>
    <row r="860" spans="1:4" x14ac:dyDescent="0.3">
      <c r="A860" t="s">
        <v>3197</v>
      </c>
      <c r="B860">
        <v>1510401003</v>
      </c>
      <c r="C860">
        <v>1333</v>
      </c>
      <c r="D860">
        <f>IF(쿼리1[[#This Row],[Value.Duration]]/100&lt;=10,10,ROUND(쿼리1[[#This Row],[Value.Duration]]/100*0.7,-1))</f>
        <v>10</v>
      </c>
    </row>
    <row r="861" spans="1:4" x14ac:dyDescent="0.3">
      <c r="A861" t="s">
        <v>3198</v>
      </c>
      <c r="B861">
        <v>1510401004</v>
      </c>
      <c r="C861">
        <v>1333</v>
      </c>
      <c r="D861">
        <f>IF(쿼리1[[#This Row],[Value.Duration]]/100&lt;=10,10,ROUND(쿼리1[[#This Row],[Value.Duration]]/100*0.7,-1))</f>
        <v>10</v>
      </c>
    </row>
    <row r="862" spans="1:4" x14ac:dyDescent="0.3">
      <c r="A862" t="s">
        <v>3199</v>
      </c>
      <c r="B862">
        <v>1510401005</v>
      </c>
      <c r="C862">
        <v>1333</v>
      </c>
      <c r="D862">
        <f>IF(쿼리1[[#This Row],[Value.Duration]]/100&lt;=10,10,ROUND(쿼리1[[#This Row],[Value.Duration]]/100*0.7,-1))</f>
        <v>10</v>
      </c>
    </row>
    <row r="863" spans="1:4" x14ac:dyDescent="0.3">
      <c r="A863" t="s">
        <v>3200</v>
      </c>
      <c r="B863">
        <v>1510401006</v>
      </c>
      <c r="C863">
        <v>1333</v>
      </c>
      <c r="D863">
        <f>IF(쿼리1[[#This Row],[Value.Duration]]/100&lt;=10,10,ROUND(쿼리1[[#This Row],[Value.Duration]]/100*0.7,-1))</f>
        <v>10</v>
      </c>
    </row>
    <row r="864" spans="1:4" x14ac:dyDescent="0.3">
      <c r="A864" t="s">
        <v>3201</v>
      </c>
      <c r="B864">
        <v>1510401007</v>
      </c>
      <c r="C864">
        <v>1333</v>
      </c>
      <c r="D864">
        <f>IF(쿼리1[[#This Row],[Value.Duration]]/100&lt;=10,10,ROUND(쿼리1[[#This Row],[Value.Duration]]/100*0.7,-1))</f>
        <v>10</v>
      </c>
    </row>
    <row r="865" spans="1:4" x14ac:dyDescent="0.3">
      <c r="A865" t="s">
        <v>3202</v>
      </c>
      <c r="B865">
        <v>1510401008</v>
      </c>
      <c r="C865">
        <v>1333</v>
      </c>
      <c r="D865">
        <f>IF(쿼리1[[#This Row],[Value.Duration]]/100&lt;=10,10,ROUND(쿼리1[[#This Row],[Value.Duration]]/100*0.7,-1))</f>
        <v>10</v>
      </c>
    </row>
    <row r="866" spans="1:4" x14ac:dyDescent="0.3">
      <c r="A866" t="s">
        <v>3203</v>
      </c>
      <c r="B866">
        <v>1510401009</v>
      </c>
      <c r="C866">
        <v>1333</v>
      </c>
      <c r="D866">
        <f>IF(쿼리1[[#This Row],[Value.Duration]]/100&lt;=10,10,ROUND(쿼리1[[#This Row],[Value.Duration]]/100*0.7,-1))</f>
        <v>10</v>
      </c>
    </row>
    <row r="867" spans="1:4" x14ac:dyDescent="0.3">
      <c r="A867" t="s">
        <v>3204</v>
      </c>
      <c r="B867">
        <v>1510401010</v>
      </c>
      <c r="C867">
        <v>1333</v>
      </c>
      <c r="D867">
        <f>IF(쿼리1[[#This Row],[Value.Duration]]/100&lt;=10,10,ROUND(쿼리1[[#This Row],[Value.Duration]]/100*0.7,-1))</f>
        <v>10</v>
      </c>
    </row>
    <row r="868" spans="1:4" x14ac:dyDescent="0.3">
      <c r="A868" t="s">
        <v>3205</v>
      </c>
      <c r="B868">
        <v>1510401011</v>
      </c>
      <c r="C868">
        <v>1333</v>
      </c>
      <c r="D868">
        <f>IF(쿼리1[[#This Row],[Value.Duration]]/100&lt;=10,10,ROUND(쿼리1[[#This Row],[Value.Duration]]/100*0.7,-1))</f>
        <v>10</v>
      </c>
    </row>
    <row r="869" spans="1:4" x14ac:dyDescent="0.3">
      <c r="A869" t="s">
        <v>3206</v>
      </c>
      <c r="B869">
        <v>1510401012</v>
      </c>
      <c r="C869">
        <v>1333</v>
      </c>
      <c r="D869">
        <f>IF(쿼리1[[#This Row],[Value.Duration]]/100&lt;=10,10,ROUND(쿼리1[[#This Row],[Value.Duration]]/100*0.7,-1))</f>
        <v>10</v>
      </c>
    </row>
    <row r="870" spans="1:4" x14ac:dyDescent="0.3">
      <c r="A870" t="s">
        <v>3207</v>
      </c>
      <c r="B870">
        <v>1510401013</v>
      </c>
      <c r="C870">
        <v>1333</v>
      </c>
      <c r="D870">
        <f>IF(쿼리1[[#This Row],[Value.Duration]]/100&lt;=10,10,ROUND(쿼리1[[#This Row],[Value.Duration]]/100*0.7,-1))</f>
        <v>10</v>
      </c>
    </row>
    <row r="871" spans="1:4" x14ac:dyDescent="0.3">
      <c r="A871" t="s">
        <v>3208</v>
      </c>
      <c r="B871">
        <v>1510401014</v>
      </c>
      <c r="C871">
        <v>1333</v>
      </c>
      <c r="D871">
        <f>IF(쿼리1[[#This Row],[Value.Duration]]/100&lt;=10,10,ROUND(쿼리1[[#This Row],[Value.Duration]]/100*0.7,-1))</f>
        <v>10</v>
      </c>
    </row>
    <row r="872" spans="1:4" x14ac:dyDescent="0.3">
      <c r="A872" t="s">
        <v>3209</v>
      </c>
      <c r="B872">
        <v>1510401015</v>
      </c>
      <c r="C872">
        <v>1333</v>
      </c>
      <c r="D872">
        <f>IF(쿼리1[[#This Row],[Value.Duration]]/100&lt;=10,10,ROUND(쿼리1[[#This Row],[Value.Duration]]/100*0.7,-1))</f>
        <v>10</v>
      </c>
    </row>
    <row r="873" spans="1:4" x14ac:dyDescent="0.3">
      <c r="A873" t="s">
        <v>3210</v>
      </c>
      <c r="B873">
        <v>1510401016</v>
      </c>
      <c r="C873">
        <v>1333</v>
      </c>
      <c r="D873">
        <f>IF(쿼리1[[#This Row],[Value.Duration]]/100&lt;=10,10,ROUND(쿼리1[[#This Row],[Value.Duration]]/100*0.7,-1))</f>
        <v>10</v>
      </c>
    </row>
    <row r="874" spans="1:4" x14ac:dyDescent="0.3">
      <c r="A874" t="s">
        <v>3211</v>
      </c>
      <c r="B874">
        <v>1510401017</v>
      </c>
      <c r="C874">
        <v>1333</v>
      </c>
      <c r="D874">
        <f>IF(쿼리1[[#This Row],[Value.Duration]]/100&lt;=10,10,ROUND(쿼리1[[#This Row],[Value.Duration]]/100*0.7,-1))</f>
        <v>10</v>
      </c>
    </row>
    <row r="875" spans="1:4" x14ac:dyDescent="0.3">
      <c r="A875" t="s">
        <v>3212</v>
      </c>
      <c r="B875">
        <v>1510401018</v>
      </c>
      <c r="C875">
        <v>1333</v>
      </c>
      <c r="D875">
        <f>IF(쿼리1[[#This Row],[Value.Duration]]/100&lt;=10,10,ROUND(쿼리1[[#This Row],[Value.Duration]]/100*0.7,-1))</f>
        <v>10</v>
      </c>
    </row>
    <row r="876" spans="1:4" x14ac:dyDescent="0.3">
      <c r="A876" t="s">
        <v>3213</v>
      </c>
      <c r="B876">
        <v>1510401019</v>
      </c>
      <c r="C876">
        <v>1333</v>
      </c>
      <c r="D876">
        <f>IF(쿼리1[[#This Row],[Value.Duration]]/100&lt;=10,10,ROUND(쿼리1[[#This Row],[Value.Duration]]/100*0.7,-1))</f>
        <v>10</v>
      </c>
    </row>
    <row r="877" spans="1:4" x14ac:dyDescent="0.3">
      <c r="A877" t="s">
        <v>3214</v>
      </c>
      <c r="B877">
        <v>1510401020</v>
      </c>
      <c r="C877">
        <v>1333</v>
      </c>
      <c r="D877">
        <f>IF(쿼리1[[#This Row],[Value.Duration]]/100&lt;=10,10,ROUND(쿼리1[[#This Row],[Value.Duration]]/100*0.7,-1))</f>
        <v>10</v>
      </c>
    </row>
    <row r="878" spans="1:4" x14ac:dyDescent="0.3">
      <c r="A878" t="s">
        <v>3215</v>
      </c>
      <c r="B878">
        <v>1510401021</v>
      </c>
      <c r="C878">
        <v>1333</v>
      </c>
      <c r="D878">
        <f>IF(쿼리1[[#This Row],[Value.Duration]]/100&lt;=10,10,ROUND(쿼리1[[#This Row],[Value.Duration]]/100*0.7,-1))</f>
        <v>10</v>
      </c>
    </row>
    <row r="879" spans="1:4" x14ac:dyDescent="0.3">
      <c r="A879" t="s">
        <v>3216</v>
      </c>
      <c r="B879">
        <v>1510401022</v>
      </c>
      <c r="C879">
        <v>1333</v>
      </c>
      <c r="D879">
        <f>IF(쿼리1[[#This Row],[Value.Duration]]/100&lt;=10,10,ROUND(쿼리1[[#This Row],[Value.Duration]]/100*0.7,-1))</f>
        <v>10</v>
      </c>
    </row>
    <row r="880" spans="1:4" x14ac:dyDescent="0.3">
      <c r="A880" t="s">
        <v>3217</v>
      </c>
      <c r="B880">
        <v>1510401023</v>
      </c>
      <c r="C880">
        <v>1333</v>
      </c>
      <c r="D880">
        <f>IF(쿼리1[[#This Row],[Value.Duration]]/100&lt;=10,10,ROUND(쿼리1[[#This Row],[Value.Duration]]/100*0.7,-1))</f>
        <v>10</v>
      </c>
    </row>
    <row r="881" spans="1:4" x14ac:dyDescent="0.3">
      <c r="A881" t="s">
        <v>3218</v>
      </c>
      <c r="B881">
        <v>1510401024</v>
      </c>
      <c r="C881">
        <v>1333</v>
      </c>
      <c r="D881">
        <f>IF(쿼리1[[#This Row],[Value.Duration]]/100&lt;=10,10,ROUND(쿼리1[[#This Row],[Value.Duration]]/100*0.7,-1))</f>
        <v>10</v>
      </c>
    </row>
    <row r="882" spans="1:4" x14ac:dyDescent="0.3">
      <c r="A882" t="s">
        <v>3219</v>
      </c>
      <c r="B882">
        <v>1510401025</v>
      </c>
      <c r="C882">
        <v>1333</v>
      </c>
      <c r="D882">
        <f>IF(쿼리1[[#This Row],[Value.Duration]]/100&lt;=10,10,ROUND(쿼리1[[#This Row],[Value.Duration]]/100*0.7,-1))</f>
        <v>10</v>
      </c>
    </row>
    <row r="883" spans="1:4" x14ac:dyDescent="0.3">
      <c r="A883" t="s">
        <v>3220</v>
      </c>
      <c r="B883">
        <v>1510401101</v>
      </c>
      <c r="C883">
        <v>733</v>
      </c>
      <c r="D883">
        <f>IF(쿼리1[[#This Row],[Value.Duration]]/100&lt;=10,10,ROUND(쿼리1[[#This Row],[Value.Duration]]/100*0.7,-1))</f>
        <v>10</v>
      </c>
    </row>
    <row r="884" spans="1:4" x14ac:dyDescent="0.3">
      <c r="A884" t="s">
        <v>3221</v>
      </c>
      <c r="B884">
        <v>1510401102</v>
      </c>
      <c r="C884">
        <v>733</v>
      </c>
      <c r="D884">
        <f>IF(쿼리1[[#This Row],[Value.Duration]]/100&lt;=10,10,ROUND(쿼리1[[#This Row],[Value.Duration]]/100*0.7,-1))</f>
        <v>10</v>
      </c>
    </row>
    <row r="885" spans="1:4" x14ac:dyDescent="0.3">
      <c r="A885" t="s">
        <v>3222</v>
      </c>
      <c r="B885">
        <v>1510200101</v>
      </c>
      <c r="C885">
        <v>566</v>
      </c>
      <c r="D885">
        <f>IF(쿼리1[[#This Row],[Value.Duration]]/100&lt;=10,10,ROUND(쿼리1[[#This Row],[Value.Duration]]/100*0.7,-1))</f>
        <v>10</v>
      </c>
    </row>
    <row r="886" spans="1:4" x14ac:dyDescent="0.3">
      <c r="A886" t="s">
        <v>3223</v>
      </c>
      <c r="B886">
        <v>1510200102</v>
      </c>
      <c r="C886">
        <v>666</v>
      </c>
      <c r="D886">
        <f>IF(쿼리1[[#This Row],[Value.Duration]]/100&lt;=10,10,ROUND(쿼리1[[#This Row],[Value.Duration]]/100*0.7,-1))</f>
        <v>10</v>
      </c>
    </row>
    <row r="887" spans="1:4" x14ac:dyDescent="0.3">
      <c r="A887" t="s">
        <v>3224</v>
      </c>
      <c r="B887">
        <v>1510200103</v>
      </c>
      <c r="C887">
        <v>1666</v>
      </c>
      <c r="D887">
        <f>IF(쿼리1[[#This Row],[Value.Duration]]/100&lt;=10,10,ROUND(쿼리1[[#This Row],[Value.Duration]]/100*0.7,-1))</f>
        <v>10</v>
      </c>
    </row>
    <row r="888" spans="1:4" x14ac:dyDescent="0.3">
      <c r="A888" t="s">
        <v>3225</v>
      </c>
      <c r="B888">
        <v>1511601301</v>
      </c>
      <c r="C888">
        <v>733</v>
      </c>
      <c r="D888">
        <f>IF(쿼리1[[#This Row],[Value.Duration]]/100&lt;=10,10,ROUND(쿼리1[[#This Row],[Value.Duration]]/100*0.7,-1))</f>
        <v>10</v>
      </c>
    </row>
    <row r="889" spans="1:4" x14ac:dyDescent="0.3">
      <c r="A889" t="s">
        <v>3226</v>
      </c>
      <c r="B889">
        <v>1511601302</v>
      </c>
      <c r="C889">
        <v>666</v>
      </c>
      <c r="D889">
        <f>IF(쿼리1[[#This Row],[Value.Duration]]/100&lt;=10,10,ROUND(쿼리1[[#This Row],[Value.Duration]]/100*0.7,-1))</f>
        <v>10</v>
      </c>
    </row>
    <row r="890" spans="1:4" x14ac:dyDescent="0.3">
      <c r="A890" t="s">
        <v>3227</v>
      </c>
      <c r="B890">
        <v>1511601303</v>
      </c>
      <c r="C890">
        <v>633</v>
      </c>
      <c r="D890">
        <f>IF(쿼리1[[#This Row],[Value.Duration]]/100&lt;=10,10,ROUND(쿼리1[[#This Row],[Value.Duration]]/100*0.7,-1))</f>
        <v>10</v>
      </c>
    </row>
    <row r="891" spans="1:4" x14ac:dyDescent="0.3">
      <c r="A891" t="s">
        <v>3228</v>
      </c>
      <c r="B891">
        <v>1511601304</v>
      </c>
      <c r="C891">
        <v>633</v>
      </c>
      <c r="D891">
        <f>IF(쿼리1[[#This Row],[Value.Duration]]/100&lt;=10,10,ROUND(쿼리1[[#This Row],[Value.Duration]]/100*0.7,-1))</f>
        <v>10</v>
      </c>
    </row>
    <row r="892" spans="1:4" x14ac:dyDescent="0.3">
      <c r="A892" t="s">
        <v>3229</v>
      </c>
      <c r="B892">
        <v>1511601305</v>
      </c>
      <c r="C892">
        <v>600</v>
      </c>
      <c r="D892">
        <f>IF(쿼리1[[#This Row],[Value.Duration]]/100&lt;=10,10,ROUND(쿼리1[[#This Row],[Value.Duration]]/100*0.7,-1))</f>
        <v>10</v>
      </c>
    </row>
    <row r="893" spans="1:4" x14ac:dyDescent="0.3">
      <c r="A893" t="s">
        <v>3230</v>
      </c>
      <c r="B893">
        <v>1611201001</v>
      </c>
      <c r="C893">
        <v>1033</v>
      </c>
      <c r="D893">
        <f>IF(쿼리1[[#This Row],[Value.Duration]]/100&lt;=10,10,ROUND(쿼리1[[#This Row],[Value.Duration]]/100*0.7,-1))</f>
        <v>10</v>
      </c>
    </row>
    <row r="894" spans="1:4" x14ac:dyDescent="0.3">
      <c r="A894" t="s">
        <v>3231</v>
      </c>
      <c r="B894">
        <v>1611202001</v>
      </c>
      <c r="C894">
        <v>933</v>
      </c>
      <c r="D894">
        <f>IF(쿼리1[[#This Row],[Value.Duration]]/100&lt;=10,10,ROUND(쿼리1[[#This Row],[Value.Duration]]/100*0.7,-1))</f>
        <v>10</v>
      </c>
    </row>
    <row r="895" spans="1:4" x14ac:dyDescent="0.3">
      <c r="A895" t="s">
        <v>3232</v>
      </c>
      <c r="B895">
        <v>1611202002</v>
      </c>
      <c r="C895">
        <v>933</v>
      </c>
      <c r="D895">
        <f>IF(쿼리1[[#This Row],[Value.Duration]]/100&lt;=10,10,ROUND(쿼리1[[#This Row],[Value.Duration]]/100*0.7,-1))</f>
        <v>10</v>
      </c>
    </row>
    <row r="896" spans="1:4" x14ac:dyDescent="0.3">
      <c r="A896" t="s">
        <v>3233</v>
      </c>
      <c r="B896">
        <v>1611401001</v>
      </c>
      <c r="C896">
        <v>800</v>
      </c>
      <c r="D896">
        <f>IF(쿼리1[[#This Row],[Value.Duration]]/100&lt;=10,10,ROUND(쿼리1[[#This Row],[Value.Duration]]/100*0.7,-1))</f>
        <v>10</v>
      </c>
    </row>
    <row r="897" spans="1:4" x14ac:dyDescent="0.3">
      <c r="A897" t="s">
        <v>3234</v>
      </c>
      <c r="B897">
        <v>1611401002</v>
      </c>
      <c r="C897">
        <v>666</v>
      </c>
      <c r="D897">
        <f>IF(쿼리1[[#This Row],[Value.Duration]]/100&lt;=10,10,ROUND(쿼리1[[#This Row],[Value.Duration]]/100*0.7,-1))</f>
        <v>10</v>
      </c>
    </row>
    <row r="898" spans="1:4" x14ac:dyDescent="0.3">
      <c r="A898" t="s">
        <v>3235</v>
      </c>
      <c r="B898">
        <v>1611401003</v>
      </c>
      <c r="C898">
        <v>666</v>
      </c>
      <c r="D898">
        <f>IF(쿼리1[[#This Row],[Value.Duration]]/100&lt;=10,10,ROUND(쿼리1[[#This Row],[Value.Duration]]/100*0.7,-1))</f>
        <v>10</v>
      </c>
    </row>
    <row r="899" spans="1:4" x14ac:dyDescent="0.3">
      <c r="A899" t="s">
        <v>3236</v>
      </c>
      <c r="B899">
        <v>1611401004</v>
      </c>
      <c r="C899">
        <v>666</v>
      </c>
      <c r="D899">
        <f>IF(쿼리1[[#This Row],[Value.Duration]]/100&lt;=10,10,ROUND(쿼리1[[#This Row],[Value.Duration]]/100*0.7,-1))</f>
        <v>10</v>
      </c>
    </row>
    <row r="900" spans="1:4" x14ac:dyDescent="0.3">
      <c r="A900" t="s">
        <v>3237</v>
      </c>
      <c r="B900">
        <v>1610501001</v>
      </c>
      <c r="C900">
        <v>1200</v>
      </c>
      <c r="D900">
        <f>IF(쿼리1[[#This Row],[Value.Duration]]/100&lt;=10,10,ROUND(쿼리1[[#This Row],[Value.Duration]]/100*0.7,-1))</f>
        <v>10</v>
      </c>
    </row>
    <row r="901" spans="1:4" x14ac:dyDescent="0.3">
      <c r="A901" t="s">
        <v>3238</v>
      </c>
      <c r="B901">
        <v>1610501002</v>
      </c>
      <c r="C901">
        <v>1200</v>
      </c>
      <c r="D901">
        <f>IF(쿼리1[[#This Row],[Value.Duration]]/100&lt;=10,10,ROUND(쿼리1[[#This Row],[Value.Duration]]/100*0.7,-1))</f>
        <v>10</v>
      </c>
    </row>
    <row r="902" spans="1:4" x14ac:dyDescent="0.3">
      <c r="A902" t="s">
        <v>3239</v>
      </c>
      <c r="B902">
        <v>1610502001</v>
      </c>
      <c r="C902">
        <v>1000</v>
      </c>
      <c r="D902">
        <f>IF(쿼리1[[#This Row],[Value.Duration]]/100&lt;=10,10,ROUND(쿼리1[[#This Row],[Value.Duration]]/100*0.7,-1))</f>
        <v>10</v>
      </c>
    </row>
    <row r="903" spans="1:4" x14ac:dyDescent="0.3">
      <c r="A903" t="s">
        <v>3240</v>
      </c>
      <c r="B903">
        <v>1610502002</v>
      </c>
      <c r="C903">
        <v>1000</v>
      </c>
      <c r="D903">
        <f>IF(쿼리1[[#This Row],[Value.Duration]]/100&lt;=10,10,ROUND(쿼리1[[#This Row],[Value.Duration]]/100*0.7,-1))</f>
        <v>10</v>
      </c>
    </row>
    <row r="904" spans="1:4" x14ac:dyDescent="0.3">
      <c r="A904" t="s">
        <v>3241</v>
      </c>
      <c r="B904">
        <v>1610503001</v>
      </c>
      <c r="C904">
        <v>1666</v>
      </c>
      <c r="D904">
        <f>IF(쿼리1[[#This Row],[Value.Duration]]/100&lt;=10,10,ROUND(쿼리1[[#This Row],[Value.Duration]]/100*0.7,-1))</f>
        <v>10</v>
      </c>
    </row>
    <row r="905" spans="1:4" x14ac:dyDescent="0.3">
      <c r="A905" t="s">
        <v>3242</v>
      </c>
      <c r="B905">
        <v>1610504001</v>
      </c>
      <c r="C905">
        <v>1733</v>
      </c>
      <c r="D905">
        <f>IF(쿼리1[[#This Row],[Value.Duration]]/100&lt;=10,10,ROUND(쿼리1[[#This Row],[Value.Duration]]/100*0.7,-1))</f>
        <v>10</v>
      </c>
    </row>
    <row r="906" spans="1:4" x14ac:dyDescent="0.3">
      <c r="A906" t="s">
        <v>3243</v>
      </c>
      <c r="B906">
        <v>1610504000</v>
      </c>
      <c r="C906">
        <v>933</v>
      </c>
      <c r="D906">
        <f>IF(쿼리1[[#This Row],[Value.Duration]]/100&lt;=10,10,ROUND(쿼리1[[#This Row],[Value.Duration]]/100*0.7,-1))</f>
        <v>10</v>
      </c>
    </row>
    <row r="907" spans="1:4" x14ac:dyDescent="0.3">
      <c r="A907" t="s">
        <v>3244</v>
      </c>
      <c r="B907">
        <v>1611101001</v>
      </c>
      <c r="C907">
        <v>533</v>
      </c>
      <c r="D907">
        <f>IF(쿼리1[[#This Row],[Value.Duration]]/100&lt;=10,10,ROUND(쿼리1[[#This Row],[Value.Duration]]/100*0.7,-1))</f>
        <v>10</v>
      </c>
    </row>
    <row r="908" spans="1:4" x14ac:dyDescent="0.3">
      <c r="A908" t="s">
        <v>3245</v>
      </c>
      <c r="B908">
        <v>1611101002</v>
      </c>
      <c r="C908">
        <v>600</v>
      </c>
      <c r="D908">
        <f>IF(쿼리1[[#This Row],[Value.Duration]]/100&lt;=10,10,ROUND(쿼리1[[#This Row],[Value.Duration]]/100*0.7,-1))</f>
        <v>10</v>
      </c>
    </row>
    <row r="909" spans="1:4" x14ac:dyDescent="0.3">
      <c r="A909" t="s">
        <v>3246</v>
      </c>
      <c r="B909">
        <v>1611101003</v>
      </c>
      <c r="C909">
        <v>666</v>
      </c>
      <c r="D909">
        <f>IF(쿼리1[[#This Row],[Value.Duration]]/100&lt;=10,10,ROUND(쿼리1[[#This Row],[Value.Duration]]/100*0.7,-1))</f>
        <v>10</v>
      </c>
    </row>
    <row r="910" spans="1:4" x14ac:dyDescent="0.3">
      <c r="A910" t="s">
        <v>3247</v>
      </c>
      <c r="B910">
        <v>1611301001</v>
      </c>
      <c r="C910">
        <v>2000</v>
      </c>
      <c r="D910">
        <f>IF(쿼리1[[#This Row],[Value.Duration]]/100&lt;=10,10,ROUND(쿼리1[[#This Row],[Value.Duration]]/100*0.7,-1))</f>
        <v>10</v>
      </c>
    </row>
    <row r="911" spans="1:4" x14ac:dyDescent="0.3">
      <c r="A911" t="s">
        <v>3248</v>
      </c>
      <c r="B911">
        <v>1611301002</v>
      </c>
      <c r="C911">
        <v>2000</v>
      </c>
      <c r="D911">
        <f>IF(쿼리1[[#This Row],[Value.Duration]]/100&lt;=10,10,ROUND(쿼리1[[#This Row],[Value.Duration]]/100*0.7,-1))</f>
        <v>10</v>
      </c>
    </row>
    <row r="912" spans="1:4" x14ac:dyDescent="0.3">
      <c r="A912" t="s">
        <v>3249</v>
      </c>
      <c r="B912">
        <v>1611301011</v>
      </c>
      <c r="C912">
        <v>1666</v>
      </c>
      <c r="D912">
        <f>IF(쿼리1[[#This Row],[Value.Duration]]/100&lt;=10,10,ROUND(쿼리1[[#This Row],[Value.Duration]]/100*0.7,-1))</f>
        <v>10</v>
      </c>
    </row>
    <row r="913" spans="1:4" x14ac:dyDescent="0.3">
      <c r="A913" t="s">
        <v>3250</v>
      </c>
      <c r="B913">
        <v>1611301012</v>
      </c>
      <c r="C913">
        <v>1666</v>
      </c>
      <c r="D913">
        <f>IF(쿼리1[[#This Row],[Value.Duration]]/100&lt;=10,10,ROUND(쿼리1[[#This Row],[Value.Duration]]/100*0.7,-1))</f>
        <v>10</v>
      </c>
    </row>
    <row r="914" spans="1:4" x14ac:dyDescent="0.3">
      <c r="A914" t="s">
        <v>3251</v>
      </c>
      <c r="B914">
        <v>1611301021</v>
      </c>
      <c r="C914">
        <v>1600</v>
      </c>
      <c r="D914">
        <f>IF(쿼리1[[#This Row],[Value.Duration]]/100&lt;=10,10,ROUND(쿼리1[[#This Row],[Value.Duration]]/100*0.7,-1))</f>
        <v>10</v>
      </c>
    </row>
    <row r="915" spans="1:4" x14ac:dyDescent="0.3">
      <c r="A915" t="s">
        <v>3252</v>
      </c>
      <c r="B915">
        <v>1611301022</v>
      </c>
      <c r="C915">
        <v>1600</v>
      </c>
      <c r="D915">
        <f>IF(쿼리1[[#This Row],[Value.Duration]]/100&lt;=10,10,ROUND(쿼리1[[#This Row],[Value.Duration]]/100*0.7,-1))</f>
        <v>10</v>
      </c>
    </row>
    <row r="916" spans="1:4" x14ac:dyDescent="0.3">
      <c r="A916" t="s">
        <v>3253</v>
      </c>
      <c r="B916">
        <v>1611301031</v>
      </c>
      <c r="C916">
        <v>600</v>
      </c>
      <c r="D916">
        <f>IF(쿼리1[[#This Row],[Value.Duration]]/100&lt;=10,10,ROUND(쿼리1[[#This Row],[Value.Duration]]/100*0.7,-1))</f>
        <v>10</v>
      </c>
    </row>
    <row r="917" spans="1:4" x14ac:dyDescent="0.3">
      <c r="A917" t="s">
        <v>3254</v>
      </c>
      <c r="B917">
        <v>1611301032</v>
      </c>
      <c r="C917">
        <v>600</v>
      </c>
      <c r="D917">
        <f>IF(쿼리1[[#This Row],[Value.Duration]]/100&lt;=10,10,ROUND(쿼리1[[#This Row],[Value.Duration]]/100*0.7,-1))</f>
        <v>10</v>
      </c>
    </row>
    <row r="918" spans="1:4" x14ac:dyDescent="0.3">
      <c r="A918" t="s">
        <v>3255</v>
      </c>
      <c r="B918">
        <v>1611301041</v>
      </c>
      <c r="C918">
        <v>800</v>
      </c>
      <c r="D918">
        <f>IF(쿼리1[[#This Row],[Value.Duration]]/100&lt;=10,10,ROUND(쿼리1[[#This Row],[Value.Duration]]/100*0.7,-1))</f>
        <v>10</v>
      </c>
    </row>
    <row r="919" spans="1:4" x14ac:dyDescent="0.3">
      <c r="A919" t="s">
        <v>3256</v>
      </c>
      <c r="B919">
        <v>1611301042</v>
      </c>
      <c r="C919">
        <v>800</v>
      </c>
      <c r="D919">
        <f>IF(쿼리1[[#This Row],[Value.Duration]]/100&lt;=10,10,ROUND(쿼리1[[#This Row],[Value.Duration]]/100*0.7,-1))</f>
        <v>10</v>
      </c>
    </row>
    <row r="920" spans="1:4" x14ac:dyDescent="0.3">
      <c r="A920" t="s">
        <v>3257</v>
      </c>
      <c r="B920">
        <v>1611301051</v>
      </c>
      <c r="C920">
        <v>1033</v>
      </c>
      <c r="D920">
        <f>IF(쿼리1[[#This Row],[Value.Duration]]/100&lt;=10,10,ROUND(쿼리1[[#This Row],[Value.Duration]]/100*0.7,-1))</f>
        <v>10</v>
      </c>
    </row>
    <row r="921" spans="1:4" x14ac:dyDescent="0.3">
      <c r="A921" t="s">
        <v>3258</v>
      </c>
      <c r="B921">
        <v>1611301052</v>
      </c>
      <c r="C921">
        <v>1033</v>
      </c>
      <c r="D921">
        <f>IF(쿼리1[[#This Row],[Value.Duration]]/100&lt;=10,10,ROUND(쿼리1[[#This Row],[Value.Duration]]/100*0.7,-1))</f>
        <v>10</v>
      </c>
    </row>
    <row r="922" spans="1:4" x14ac:dyDescent="0.3">
      <c r="A922" t="s">
        <v>3259</v>
      </c>
      <c r="B922">
        <v>1611301061</v>
      </c>
      <c r="C922">
        <v>933</v>
      </c>
      <c r="D922">
        <f>IF(쿼리1[[#This Row],[Value.Duration]]/100&lt;=10,10,ROUND(쿼리1[[#This Row],[Value.Duration]]/100*0.7,-1))</f>
        <v>10</v>
      </c>
    </row>
    <row r="923" spans="1:4" x14ac:dyDescent="0.3">
      <c r="A923" t="s">
        <v>3260</v>
      </c>
      <c r="B923">
        <v>1611301062</v>
      </c>
      <c r="C923">
        <v>933</v>
      </c>
      <c r="D923">
        <f>IF(쿼리1[[#This Row],[Value.Duration]]/100&lt;=10,10,ROUND(쿼리1[[#This Row],[Value.Duration]]/100*0.7,-1))</f>
        <v>10</v>
      </c>
    </row>
    <row r="924" spans="1:4" x14ac:dyDescent="0.3">
      <c r="A924" t="s">
        <v>3261</v>
      </c>
      <c r="B924">
        <v>1611301071</v>
      </c>
      <c r="C924">
        <v>1600</v>
      </c>
      <c r="D924">
        <f>IF(쿼리1[[#This Row],[Value.Duration]]/100&lt;=10,10,ROUND(쿼리1[[#This Row],[Value.Duration]]/100*0.7,-1))</f>
        <v>10</v>
      </c>
    </row>
    <row r="925" spans="1:4" x14ac:dyDescent="0.3">
      <c r="A925" t="s">
        <v>3262</v>
      </c>
      <c r="B925">
        <v>1611301072</v>
      </c>
      <c r="C925">
        <v>1733</v>
      </c>
      <c r="D925">
        <f>IF(쿼리1[[#This Row],[Value.Duration]]/100&lt;=10,10,ROUND(쿼리1[[#This Row],[Value.Duration]]/100*0.7,-1))</f>
        <v>10</v>
      </c>
    </row>
    <row r="926" spans="1:4" x14ac:dyDescent="0.3">
      <c r="A926" t="s">
        <v>3263</v>
      </c>
      <c r="B926">
        <v>1610301001</v>
      </c>
      <c r="C926">
        <v>1633</v>
      </c>
      <c r="D926">
        <f>IF(쿼리1[[#This Row],[Value.Duration]]/100&lt;=10,10,ROUND(쿼리1[[#This Row],[Value.Duration]]/100*0.7,-1))</f>
        <v>10</v>
      </c>
    </row>
    <row r="927" spans="1:4" x14ac:dyDescent="0.3">
      <c r="A927" t="s">
        <v>3264</v>
      </c>
      <c r="B927">
        <v>1610301002</v>
      </c>
      <c r="C927">
        <v>4000</v>
      </c>
      <c r="D927">
        <f>IF(쿼리1[[#This Row],[Value.Duration]]/100&lt;=10,10,ROUND(쿼리1[[#This Row],[Value.Duration]]/100*0.7,-1))</f>
        <v>30</v>
      </c>
    </row>
    <row r="928" spans="1:4" x14ac:dyDescent="0.3">
      <c r="A928" t="s">
        <v>3265</v>
      </c>
      <c r="B928">
        <v>1610301003</v>
      </c>
      <c r="C928">
        <v>1566</v>
      </c>
      <c r="D928">
        <f>IF(쿼리1[[#This Row],[Value.Duration]]/100&lt;=10,10,ROUND(쿼리1[[#This Row],[Value.Duration]]/100*0.7,-1))</f>
        <v>10</v>
      </c>
    </row>
    <row r="929" spans="1:4" x14ac:dyDescent="0.3">
      <c r="A929" t="s">
        <v>3266</v>
      </c>
      <c r="B929">
        <v>1610301004</v>
      </c>
      <c r="C929">
        <v>1566</v>
      </c>
      <c r="D929">
        <f>IF(쿼리1[[#This Row],[Value.Duration]]/100&lt;=10,10,ROUND(쿼리1[[#This Row],[Value.Duration]]/100*0.7,-1))</f>
        <v>10</v>
      </c>
    </row>
    <row r="930" spans="1:4" x14ac:dyDescent="0.3">
      <c r="A930" t="s">
        <v>3267</v>
      </c>
      <c r="B930">
        <v>1610301005</v>
      </c>
      <c r="C930">
        <v>800</v>
      </c>
      <c r="D930">
        <f>IF(쿼리1[[#This Row],[Value.Duration]]/100&lt;=10,10,ROUND(쿼리1[[#This Row],[Value.Duration]]/100*0.7,-1))</f>
        <v>10</v>
      </c>
    </row>
    <row r="931" spans="1:4" x14ac:dyDescent="0.3">
      <c r="A931" t="s">
        <v>3268</v>
      </c>
      <c r="B931">
        <v>1610301006</v>
      </c>
      <c r="C931">
        <v>1633</v>
      </c>
      <c r="D931">
        <f>IF(쿼리1[[#This Row],[Value.Duration]]/100&lt;=10,10,ROUND(쿼리1[[#This Row],[Value.Duration]]/100*0.7,-1))</f>
        <v>10</v>
      </c>
    </row>
    <row r="932" spans="1:4" x14ac:dyDescent="0.3">
      <c r="A932" t="s">
        <v>3269</v>
      </c>
      <c r="B932">
        <v>1610302001</v>
      </c>
      <c r="C932">
        <v>1666</v>
      </c>
      <c r="D932">
        <f>IF(쿼리1[[#This Row],[Value.Duration]]/100&lt;=10,10,ROUND(쿼리1[[#This Row],[Value.Duration]]/100*0.7,-1))</f>
        <v>10</v>
      </c>
    </row>
    <row r="933" spans="1:4" x14ac:dyDescent="0.3">
      <c r="A933" t="s">
        <v>3270</v>
      </c>
      <c r="B933">
        <v>1610302002</v>
      </c>
      <c r="C933">
        <v>1666</v>
      </c>
      <c r="D933">
        <f>IF(쿼리1[[#This Row],[Value.Duration]]/100&lt;=10,10,ROUND(쿼리1[[#This Row],[Value.Duration]]/100*0.7,-1))</f>
        <v>10</v>
      </c>
    </row>
    <row r="934" spans="1:4" x14ac:dyDescent="0.3">
      <c r="A934" t="s">
        <v>3271</v>
      </c>
      <c r="B934">
        <v>1610302003</v>
      </c>
      <c r="C934">
        <v>733</v>
      </c>
      <c r="D934">
        <f>IF(쿼리1[[#This Row],[Value.Duration]]/100&lt;=10,10,ROUND(쿼리1[[#This Row],[Value.Duration]]/100*0.7,-1))</f>
        <v>10</v>
      </c>
    </row>
    <row r="935" spans="1:4" x14ac:dyDescent="0.3">
      <c r="A935" t="s">
        <v>3272</v>
      </c>
      <c r="B935">
        <v>1610302004</v>
      </c>
      <c r="C935">
        <v>666</v>
      </c>
      <c r="D935">
        <f>IF(쿼리1[[#This Row],[Value.Duration]]/100&lt;=10,10,ROUND(쿼리1[[#This Row],[Value.Duration]]/100*0.7,-1))</f>
        <v>10</v>
      </c>
    </row>
    <row r="936" spans="1:4" x14ac:dyDescent="0.3">
      <c r="A936" t="s">
        <v>3273</v>
      </c>
      <c r="B936">
        <v>1610302005</v>
      </c>
      <c r="C936">
        <v>800</v>
      </c>
      <c r="D936">
        <f>IF(쿼리1[[#This Row],[Value.Duration]]/100&lt;=10,10,ROUND(쿼리1[[#This Row],[Value.Duration]]/100*0.7,-1))</f>
        <v>10</v>
      </c>
    </row>
    <row r="937" spans="1:4" x14ac:dyDescent="0.3">
      <c r="A937" t="s">
        <v>3274</v>
      </c>
      <c r="B937">
        <v>1610302006</v>
      </c>
      <c r="C937">
        <v>1600</v>
      </c>
      <c r="D937">
        <f>IF(쿼리1[[#This Row],[Value.Duration]]/100&lt;=10,10,ROUND(쿼리1[[#This Row],[Value.Duration]]/100*0.7,-1))</f>
        <v>10</v>
      </c>
    </row>
    <row r="938" spans="1:4" x14ac:dyDescent="0.3">
      <c r="A938" t="s">
        <v>3275</v>
      </c>
      <c r="B938">
        <v>1610302007</v>
      </c>
      <c r="C938">
        <v>1333</v>
      </c>
      <c r="D938">
        <f>IF(쿼리1[[#This Row],[Value.Duration]]/100&lt;=10,10,ROUND(쿼리1[[#This Row],[Value.Duration]]/100*0.7,-1))</f>
        <v>10</v>
      </c>
    </row>
    <row r="939" spans="1:4" x14ac:dyDescent="0.3">
      <c r="A939" t="s">
        <v>3276</v>
      </c>
      <c r="B939">
        <v>1610302008</v>
      </c>
      <c r="C939">
        <v>1600</v>
      </c>
      <c r="D939">
        <f>IF(쿼리1[[#This Row],[Value.Duration]]/100&lt;=10,10,ROUND(쿼리1[[#This Row],[Value.Duration]]/100*0.7,-1))</f>
        <v>10</v>
      </c>
    </row>
    <row r="940" spans="1:4" x14ac:dyDescent="0.3">
      <c r="A940" t="s">
        <v>3277</v>
      </c>
      <c r="B940">
        <v>1610302009</v>
      </c>
      <c r="C940">
        <v>800</v>
      </c>
      <c r="D940">
        <f>IF(쿼리1[[#This Row],[Value.Duration]]/100&lt;=10,10,ROUND(쿼리1[[#This Row],[Value.Duration]]/100*0.7,-1))</f>
        <v>10</v>
      </c>
    </row>
    <row r="941" spans="1:4" x14ac:dyDescent="0.3">
      <c r="A941" t="s">
        <v>3278</v>
      </c>
      <c r="B941">
        <v>1610302010</v>
      </c>
      <c r="C941">
        <v>2700</v>
      </c>
      <c r="D941">
        <f>IF(쿼리1[[#This Row],[Value.Duration]]/100&lt;=10,10,ROUND(쿼리1[[#This Row],[Value.Duration]]/100*0.7,-1))</f>
        <v>20</v>
      </c>
    </row>
    <row r="942" spans="1:4" x14ac:dyDescent="0.3">
      <c r="A942" t="s">
        <v>3279</v>
      </c>
      <c r="B942">
        <v>1610303001</v>
      </c>
      <c r="C942">
        <v>1666</v>
      </c>
      <c r="D942">
        <f>IF(쿼리1[[#This Row],[Value.Duration]]/100&lt;=10,10,ROUND(쿼리1[[#This Row],[Value.Duration]]/100*0.7,-1))</f>
        <v>10</v>
      </c>
    </row>
    <row r="943" spans="1:4" x14ac:dyDescent="0.3">
      <c r="A943" t="s">
        <v>3280</v>
      </c>
      <c r="B943">
        <v>1610303002</v>
      </c>
      <c r="C943">
        <v>1666</v>
      </c>
      <c r="D943">
        <f>IF(쿼리1[[#This Row],[Value.Duration]]/100&lt;=10,10,ROUND(쿼리1[[#This Row],[Value.Duration]]/100*0.7,-1))</f>
        <v>10</v>
      </c>
    </row>
    <row r="944" spans="1:4" x14ac:dyDescent="0.3">
      <c r="A944" t="s">
        <v>3281</v>
      </c>
      <c r="B944">
        <v>1610303003</v>
      </c>
      <c r="C944">
        <v>1600</v>
      </c>
      <c r="D944">
        <f>IF(쿼리1[[#This Row],[Value.Duration]]/100&lt;=10,10,ROUND(쿼리1[[#This Row],[Value.Duration]]/100*0.7,-1))</f>
        <v>10</v>
      </c>
    </row>
    <row r="945" spans="1:4" x14ac:dyDescent="0.3">
      <c r="A945" t="s">
        <v>3282</v>
      </c>
      <c r="B945">
        <v>1610304001</v>
      </c>
      <c r="C945">
        <v>533</v>
      </c>
      <c r="D945">
        <f>IF(쿼리1[[#This Row],[Value.Duration]]/100&lt;=10,10,ROUND(쿼리1[[#This Row],[Value.Duration]]/100*0.7,-1))</f>
        <v>10</v>
      </c>
    </row>
    <row r="946" spans="1:4" x14ac:dyDescent="0.3">
      <c r="A946" t="s">
        <v>3283</v>
      </c>
      <c r="B946">
        <v>1610304002</v>
      </c>
      <c r="C946">
        <v>733</v>
      </c>
      <c r="D946">
        <f>IF(쿼리1[[#This Row],[Value.Duration]]/100&lt;=10,10,ROUND(쿼리1[[#This Row],[Value.Duration]]/100*0.7,-1))</f>
        <v>10</v>
      </c>
    </row>
    <row r="947" spans="1:4" x14ac:dyDescent="0.3">
      <c r="A947" t="s">
        <v>3284</v>
      </c>
      <c r="B947">
        <v>1610305001</v>
      </c>
      <c r="C947">
        <v>800</v>
      </c>
      <c r="D947">
        <f>IF(쿼리1[[#This Row],[Value.Duration]]/100&lt;=10,10,ROUND(쿼리1[[#This Row],[Value.Duration]]/100*0.7,-1))</f>
        <v>10</v>
      </c>
    </row>
    <row r="948" spans="1:4" x14ac:dyDescent="0.3">
      <c r="A948" t="s">
        <v>3285</v>
      </c>
      <c r="B948">
        <v>1610305002</v>
      </c>
      <c r="C948">
        <v>666</v>
      </c>
      <c r="D948">
        <f>IF(쿼리1[[#This Row],[Value.Duration]]/100&lt;=10,10,ROUND(쿼리1[[#This Row],[Value.Duration]]/100*0.7,-1))</f>
        <v>10</v>
      </c>
    </row>
    <row r="949" spans="1:4" x14ac:dyDescent="0.3">
      <c r="A949" t="s">
        <v>3286</v>
      </c>
      <c r="B949">
        <v>1610305003</v>
      </c>
      <c r="C949">
        <v>600</v>
      </c>
      <c r="D949">
        <f>IF(쿼리1[[#This Row],[Value.Duration]]/100&lt;=10,10,ROUND(쿼리1[[#This Row],[Value.Duration]]/100*0.7,-1))</f>
        <v>10</v>
      </c>
    </row>
    <row r="950" spans="1:4" x14ac:dyDescent="0.3">
      <c r="A950" t="s">
        <v>3287</v>
      </c>
      <c r="B950">
        <v>1610305004</v>
      </c>
      <c r="C950">
        <v>666</v>
      </c>
      <c r="D950">
        <f>IF(쿼리1[[#This Row],[Value.Duration]]/100&lt;=10,10,ROUND(쿼리1[[#This Row],[Value.Duration]]/100*0.7,-1))</f>
        <v>10</v>
      </c>
    </row>
    <row r="951" spans="1:4" x14ac:dyDescent="0.3">
      <c r="A951" t="s">
        <v>3288</v>
      </c>
      <c r="B951">
        <v>1610305005</v>
      </c>
      <c r="C951">
        <v>666</v>
      </c>
      <c r="D951">
        <f>IF(쿼리1[[#This Row],[Value.Duration]]/100&lt;=10,10,ROUND(쿼리1[[#This Row],[Value.Duration]]/100*0.7,-1))</f>
        <v>10</v>
      </c>
    </row>
    <row r="952" spans="1:4" x14ac:dyDescent="0.3">
      <c r="A952" t="s">
        <v>3289</v>
      </c>
      <c r="B952">
        <v>1610305006</v>
      </c>
      <c r="C952">
        <v>466</v>
      </c>
      <c r="D952">
        <f>IF(쿼리1[[#This Row],[Value.Duration]]/100&lt;=10,10,ROUND(쿼리1[[#This Row],[Value.Duration]]/100*0.7,-1))</f>
        <v>10</v>
      </c>
    </row>
    <row r="953" spans="1:4" x14ac:dyDescent="0.3">
      <c r="A953" t="s">
        <v>3290</v>
      </c>
      <c r="B953">
        <v>1610305007</v>
      </c>
      <c r="C953">
        <v>933</v>
      </c>
      <c r="D953">
        <f>IF(쿼리1[[#This Row],[Value.Duration]]/100&lt;=10,10,ROUND(쿼리1[[#This Row],[Value.Duration]]/100*0.7,-1))</f>
        <v>10</v>
      </c>
    </row>
    <row r="954" spans="1:4" x14ac:dyDescent="0.3">
      <c r="A954" t="s">
        <v>3291</v>
      </c>
      <c r="B954">
        <v>1610305008</v>
      </c>
      <c r="C954">
        <v>800</v>
      </c>
      <c r="D954">
        <f>IF(쿼리1[[#This Row],[Value.Duration]]/100&lt;=10,10,ROUND(쿼리1[[#This Row],[Value.Duration]]/100*0.7,-1))</f>
        <v>10</v>
      </c>
    </row>
    <row r="955" spans="1:4" x14ac:dyDescent="0.3">
      <c r="A955" t="s">
        <v>3292</v>
      </c>
      <c r="B955">
        <v>1610305009</v>
      </c>
      <c r="C955">
        <v>933</v>
      </c>
      <c r="D955">
        <f>IF(쿼리1[[#This Row],[Value.Duration]]/100&lt;=10,10,ROUND(쿼리1[[#This Row],[Value.Duration]]/100*0.7,-1))</f>
        <v>10</v>
      </c>
    </row>
    <row r="956" spans="1:4" x14ac:dyDescent="0.3">
      <c r="A956" t="s">
        <v>3293</v>
      </c>
      <c r="B956">
        <v>1610305010</v>
      </c>
      <c r="C956">
        <v>666</v>
      </c>
      <c r="D956">
        <f>IF(쿼리1[[#This Row],[Value.Duration]]/100&lt;=10,10,ROUND(쿼리1[[#This Row],[Value.Duration]]/100*0.7,-1))</f>
        <v>10</v>
      </c>
    </row>
    <row r="957" spans="1:4" x14ac:dyDescent="0.3">
      <c r="A957" t="s">
        <v>3294</v>
      </c>
      <c r="B957">
        <v>1610305011</v>
      </c>
      <c r="C957">
        <v>533</v>
      </c>
      <c r="D957">
        <f>IF(쿼리1[[#This Row],[Value.Duration]]/100&lt;=10,10,ROUND(쿼리1[[#This Row],[Value.Duration]]/100*0.7,-1))</f>
        <v>10</v>
      </c>
    </row>
    <row r="958" spans="1:4" x14ac:dyDescent="0.3">
      <c r="A958" t="s">
        <v>3295</v>
      </c>
      <c r="B958">
        <v>1610305012</v>
      </c>
      <c r="C958">
        <v>1133</v>
      </c>
      <c r="D958">
        <f>IF(쿼리1[[#This Row],[Value.Duration]]/100&lt;=10,10,ROUND(쿼리1[[#This Row],[Value.Duration]]/100*0.7,-1))</f>
        <v>10</v>
      </c>
    </row>
    <row r="959" spans="1:4" x14ac:dyDescent="0.3">
      <c r="A959" t="s">
        <v>3296</v>
      </c>
      <c r="B959">
        <v>1610305013</v>
      </c>
      <c r="C959">
        <v>800</v>
      </c>
      <c r="D959">
        <f>IF(쿼리1[[#This Row],[Value.Duration]]/100&lt;=10,10,ROUND(쿼리1[[#This Row],[Value.Duration]]/100*0.7,-1))</f>
        <v>10</v>
      </c>
    </row>
    <row r="960" spans="1:4" x14ac:dyDescent="0.3">
      <c r="A960" t="s">
        <v>3297</v>
      </c>
      <c r="B960">
        <v>1610305014</v>
      </c>
      <c r="C960">
        <v>1000</v>
      </c>
      <c r="D960">
        <f>IF(쿼리1[[#This Row],[Value.Duration]]/100&lt;=10,10,ROUND(쿼리1[[#This Row],[Value.Duration]]/100*0.7,-1))</f>
        <v>10</v>
      </c>
    </row>
    <row r="961" spans="1:4" x14ac:dyDescent="0.3">
      <c r="A961" t="s">
        <v>3298</v>
      </c>
      <c r="B961">
        <v>1610401001</v>
      </c>
      <c r="C961">
        <v>1333</v>
      </c>
      <c r="D961">
        <f>IF(쿼리1[[#This Row],[Value.Duration]]/100&lt;=10,10,ROUND(쿼리1[[#This Row],[Value.Duration]]/100*0.7,-1))</f>
        <v>10</v>
      </c>
    </row>
    <row r="962" spans="1:4" x14ac:dyDescent="0.3">
      <c r="A962" t="s">
        <v>3299</v>
      </c>
      <c r="B962">
        <v>1610401002</v>
      </c>
      <c r="C962">
        <v>1333</v>
      </c>
      <c r="D962">
        <f>IF(쿼리1[[#This Row],[Value.Duration]]/100&lt;=10,10,ROUND(쿼리1[[#This Row],[Value.Duration]]/100*0.7,-1))</f>
        <v>10</v>
      </c>
    </row>
    <row r="963" spans="1:4" x14ac:dyDescent="0.3">
      <c r="A963" t="s">
        <v>3300</v>
      </c>
      <c r="B963">
        <v>1610401003</v>
      </c>
      <c r="C963">
        <v>1333</v>
      </c>
      <c r="D963">
        <f>IF(쿼리1[[#This Row],[Value.Duration]]/100&lt;=10,10,ROUND(쿼리1[[#This Row],[Value.Duration]]/100*0.7,-1))</f>
        <v>10</v>
      </c>
    </row>
    <row r="964" spans="1:4" x14ac:dyDescent="0.3">
      <c r="A964" t="s">
        <v>3301</v>
      </c>
      <c r="B964">
        <v>1610401004</v>
      </c>
      <c r="C964">
        <v>1333</v>
      </c>
      <c r="D964">
        <f>IF(쿼리1[[#This Row],[Value.Duration]]/100&lt;=10,10,ROUND(쿼리1[[#This Row],[Value.Duration]]/100*0.7,-1))</f>
        <v>10</v>
      </c>
    </row>
    <row r="965" spans="1:4" x14ac:dyDescent="0.3">
      <c r="A965" t="s">
        <v>3302</v>
      </c>
      <c r="B965">
        <v>1610401005</v>
      </c>
      <c r="C965">
        <v>1333</v>
      </c>
      <c r="D965">
        <f>IF(쿼리1[[#This Row],[Value.Duration]]/100&lt;=10,10,ROUND(쿼리1[[#This Row],[Value.Duration]]/100*0.7,-1))</f>
        <v>10</v>
      </c>
    </row>
    <row r="966" spans="1:4" x14ac:dyDescent="0.3">
      <c r="A966" t="s">
        <v>3303</v>
      </c>
      <c r="B966">
        <v>1610401006</v>
      </c>
      <c r="C966">
        <v>1333</v>
      </c>
      <c r="D966">
        <f>IF(쿼리1[[#This Row],[Value.Duration]]/100&lt;=10,10,ROUND(쿼리1[[#This Row],[Value.Duration]]/100*0.7,-1))</f>
        <v>10</v>
      </c>
    </row>
    <row r="967" spans="1:4" x14ac:dyDescent="0.3">
      <c r="A967" t="s">
        <v>3304</v>
      </c>
      <c r="B967">
        <v>1610401007</v>
      </c>
      <c r="C967">
        <v>1333</v>
      </c>
      <c r="D967">
        <f>IF(쿼리1[[#This Row],[Value.Duration]]/100&lt;=10,10,ROUND(쿼리1[[#This Row],[Value.Duration]]/100*0.7,-1))</f>
        <v>10</v>
      </c>
    </row>
    <row r="968" spans="1:4" x14ac:dyDescent="0.3">
      <c r="A968" t="s">
        <v>3305</v>
      </c>
      <c r="B968">
        <v>1610401008</v>
      </c>
      <c r="C968">
        <v>1333</v>
      </c>
      <c r="D968">
        <f>IF(쿼리1[[#This Row],[Value.Duration]]/100&lt;=10,10,ROUND(쿼리1[[#This Row],[Value.Duration]]/100*0.7,-1))</f>
        <v>10</v>
      </c>
    </row>
    <row r="969" spans="1:4" x14ac:dyDescent="0.3">
      <c r="A969" t="s">
        <v>3306</v>
      </c>
      <c r="B969">
        <v>1610401009</v>
      </c>
      <c r="C969">
        <v>1333</v>
      </c>
      <c r="D969">
        <f>IF(쿼리1[[#This Row],[Value.Duration]]/100&lt;=10,10,ROUND(쿼리1[[#This Row],[Value.Duration]]/100*0.7,-1))</f>
        <v>10</v>
      </c>
    </row>
    <row r="970" spans="1:4" x14ac:dyDescent="0.3">
      <c r="A970" t="s">
        <v>3307</v>
      </c>
      <c r="B970">
        <v>1610401010</v>
      </c>
      <c r="C970">
        <v>1333</v>
      </c>
      <c r="D970">
        <f>IF(쿼리1[[#This Row],[Value.Duration]]/100&lt;=10,10,ROUND(쿼리1[[#This Row],[Value.Duration]]/100*0.7,-1))</f>
        <v>10</v>
      </c>
    </row>
    <row r="971" spans="1:4" x14ac:dyDescent="0.3">
      <c r="A971" t="s">
        <v>3308</v>
      </c>
      <c r="B971">
        <v>1610401011</v>
      </c>
      <c r="C971">
        <v>1333</v>
      </c>
      <c r="D971">
        <f>IF(쿼리1[[#This Row],[Value.Duration]]/100&lt;=10,10,ROUND(쿼리1[[#This Row],[Value.Duration]]/100*0.7,-1))</f>
        <v>10</v>
      </c>
    </row>
    <row r="972" spans="1:4" x14ac:dyDescent="0.3">
      <c r="A972" t="s">
        <v>3309</v>
      </c>
      <c r="B972">
        <v>1610401012</v>
      </c>
      <c r="C972">
        <v>1333</v>
      </c>
      <c r="D972">
        <f>IF(쿼리1[[#This Row],[Value.Duration]]/100&lt;=10,10,ROUND(쿼리1[[#This Row],[Value.Duration]]/100*0.7,-1))</f>
        <v>10</v>
      </c>
    </row>
    <row r="973" spans="1:4" x14ac:dyDescent="0.3">
      <c r="A973" t="s">
        <v>3310</v>
      </c>
      <c r="B973">
        <v>1610401013</v>
      </c>
      <c r="C973">
        <v>1333</v>
      </c>
      <c r="D973">
        <f>IF(쿼리1[[#This Row],[Value.Duration]]/100&lt;=10,10,ROUND(쿼리1[[#This Row],[Value.Duration]]/100*0.7,-1))</f>
        <v>10</v>
      </c>
    </row>
    <row r="974" spans="1:4" x14ac:dyDescent="0.3">
      <c r="A974" t="s">
        <v>3311</v>
      </c>
      <c r="B974">
        <v>1610401014</v>
      </c>
      <c r="C974">
        <v>1333</v>
      </c>
      <c r="D974">
        <f>IF(쿼리1[[#This Row],[Value.Duration]]/100&lt;=10,10,ROUND(쿼리1[[#This Row],[Value.Duration]]/100*0.7,-1))</f>
        <v>10</v>
      </c>
    </row>
    <row r="975" spans="1:4" x14ac:dyDescent="0.3">
      <c r="A975" t="s">
        <v>3312</v>
      </c>
      <c r="B975">
        <v>1610401015</v>
      </c>
      <c r="C975">
        <v>1333</v>
      </c>
      <c r="D975">
        <f>IF(쿼리1[[#This Row],[Value.Duration]]/100&lt;=10,10,ROUND(쿼리1[[#This Row],[Value.Duration]]/100*0.7,-1))</f>
        <v>10</v>
      </c>
    </row>
    <row r="976" spans="1:4" x14ac:dyDescent="0.3">
      <c r="A976" t="s">
        <v>3313</v>
      </c>
      <c r="B976">
        <v>1610401016</v>
      </c>
      <c r="C976">
        <v>1333</v>
      </c>
      <c r="D976">
        <f>IF(쿼리1[[#This Row],[Value.Duration]]/100&lt;=10,10,ROUND(쿼리1[[#This Row],[Value.Duration]]/100*0.7,-1))</f>
        <v>10</v>
      </c>
    </row>
    <row r="977" spans="1:4" x14ac:dyDescent="0.3">
      <c r="A977" t="s">
        <v>3314</v>
      </c>
      <c r="B977">
        <v>1610401017</v>
      </c>
      <c r="C977">
        <v>1333</v>
      </c>
      <c r="D977">
        <f>IF(쿼리1[[#This Row],[Value.Duration]]/100&lt;=10,10,ROUND(쿼리1[[#This Row],[Value.Duration]]/100*0.7,-1))</f>
        <v>10</v>
      </c>
    </row>
    <row r="978" spans="1:4" x14ac:dyDescent="0.3">
      <c r="A978" t="s">
        <v>3315</v>
      </c>
      <c r="B978">
        <v>1610401018</v>
      </c>
      <c r="C978">
        <v>1333</v>
      </c>
      <c r="D978">
        <f>IF(쿼리1[[#This Row],[Value.Duration]]/100&lt;=10,10,ROUND(쿼리1[[#This Row],[Value.Duration]]/100*0.7,-1))</f>
        <v>10</v>
      </c>
    </row>
    <row r="979" spans="1:4" x14ac:dyDescent="0.3">
      <c r="A979" t="s">
        <v>3316</v>
      </c>
      <c r="B979">
        <v>1610401019</v>
      </c>
      <c r="C979">
        <v>1333</v>
      </c>
      <c r="D979">
        <f>IF(쿼리1[[#This Row],[Value.Duration]]/100&lt;=10,10,ROUND(쿼리1[[#This Row],[Value.Duration]]/100*0.7,-1))</f>
        <v>10</v>
      </c>
    </row>
    <row r="980" spans="1:4" x14ac:dyDescent="0.3">
      <c r="A980" t="s">
        <v>3317</v>
      </c>
      <c r="B980">
        <v>1610401020</v>
      </c>
      <c r="C980">
        <v>1333</v>
      </c>
      <c r="D980">
        <f>IF(쿼리1[[#This Row],[Value.Duration]]/100&lt;=10,10,ROUND(쿼리1[[#This Row],[Value.Duration]]/100*0.7,-1))</f>
        <v>10</v>
      </c>
    </row>
    <row r="981" spans="1:4" x14ac:dyDescent="0.3">
      <c r="A981" t="s">
        <v>3318</v>
      </c>
      <c r="B981">
        <v>1610401021</v>
      </c>
      <c r="C981">
        <v>1333</v>
      </c>
      <c r="D981">
        <f>IF(쿼리1[[#This Row],[Value.Duration]]/100&lt;=10,10,ROUND(쿼리1[[#This Row],[Value.Duration]]/100*0.7,-1))</f>
        <v>10</v>
      </c>
    </row>
    <row r="982" spans="1:4" x14ac:dyDescent="0.3">
      <c r="A982" t="s">
        <v>3319</v>
      </c>
      <c r="B982">
        <v>1610401022</v>
      </c>
      <c r="C982">
        <v>1333</v>
      </c>
      <c r="D982">
        <f>IF(쿼리1[[#This Row],[Value.Duration]]/100&lt;=10,10,ROUND(쿼리1[[#This Row],[Value.Duration]]/100*0.7,-1))</f>
        <v>10</v>
      </c>
    </row>
    <row r="983" spans="1:4" x14ac:dyDescent="0.3">
      <c r="A983" t="s">
        <v>3320</v>
      </c>
      <c r="B983">
        <v>1610401023</v>
      </c>
      <c r="C983">
        <v>1333</v>
      </c>
      <c r="D983">
        <f>IF(쿼리1[[#This Row],[Value.Duration]]/100&lt;=10,10,ROUND(쿼리1[[#This Row],[Value.Duration]]/100*0.7,-1))</f>
        <v>10</v>
      </c>
    </row>
    <row r="984" spans="1:4" x14ac:dyDescent="0.3">
      <c r="A984" t="s">
        <v>3321</v>
      </c>
      <c r="B984">
        <v>1610401024</v>
      </c>
      <c r="C984">
        <v>1333</v>
      </c>
      <c r="D984">
        <f>IF(쿼리1[[#This Row],[Value.Duration]]/100&lt;=10,10,ROUND(쿼리1[[#This Row],[Value.Duration]]/100*0.7,-1))</f>
        <v>10</v>
      </c>
    </row>
    <row r="985" spans="1:4" x14ac:dyDescent="0.3">
      <c r="A985" t="s">
        <v>3322</v>
      </c>
      <c r="B985">
        <v>1610401025</v>
      </c>
      <c r="C985">
        <v>1333</v>
      </c>
      <c r="D985">
        <f>IF(쿼리1[[#This Row],[Value.Duration]]/100&lt;=10,10,ROUND(쿼리1[[#This Row],[Value.Duration]]/100*0.7,-1))</f>
        <v>10</v>
      </c>
    </row>
    <row r="986" spans="1:4" x14ac:dyDescent="0.3">
      <c r="A986" t="s">
        <v>3323</v>
      </c>
      <c r="B986">
        <v>1610401101</v>
      </c>
      <c r="C986">
        <v>733</v>
      </c>
      <c r="D986">
        <f>IF(쿼리1[[#This Row],[Value.Duration]]/100&lt;=10,10,ROUND(쿼리1[[#This Row],[Value.Duration]]/100*0.7,-1))</f>
        <v>10</v>
      </c>
    </row>
    <row r="987" spans="1:4" x14ac:dyDescent="0.3">
      <c r="A987" t="s">
        <v>3324</v>
      </c>
      <c r="B987">
        <v>1610401102</v>
      </c>
      <c r="C987">
        <v>733</v>
      </c>
      <c r="D987">
        <f>IF(쿼리1[[#This Row],[Value.Duration]]/100&lt;=10,10,ROUND(쿼리1[[#This Row],[Value.Duration]]/100*0.7,-1))</f>
        <v>10</v>
      </c>
    </row>
    <row r="988" spans="1:4" x14ac:dyDescent="0.3">
      <c r="A988" t="s">
        <v>3325</v>
      </c>
      <c r="B988">
        <v>1610200101</v>
      </c>
      <c r="C988">
        <v>566</v>
      </c>
      <c r="D988">
        <f>IF(쿼리1[[#This Row],[Value.Duration]]/100&lt;=10,10,ROUND(쿼리1[[#This Row],[Value.Duration]]/100*0.7,-1))</f>
        <v>10</v>
      </c>
    </row>
    <row r="989" spans="1:4" x14ac:dyDescent="0.3">
      <c r="A989" t="s">
        <v>3326</v>
      </c>
      <c r="B989">
        <v>1610200102</v>
      </c>
      <c r="C989">
        <v>666</v>
      </c>
      <c r="D989">
        <f>IF(쿼리1[[#This Row],[Value.Duration]]/100&lt;=10,10,ROUND(쿼리1[[#This Row],[Value.Duration]]/100*0.7,-1))</f>
        <v>10</v>
      </c>
    </row>
    <row r="990" spans="1:4" x14ac:dyDescent="0.3">
      <c r="A990" t="s">
        <v>3327</v>
      </c>
      <c r="B990">
        <v>1610200103</v>
      </c>
      <c r="C990">
        <v>1666</v>
      </c>
      <c r="D990">
        <f>IF(쿼리1[[#This Row],[Value.Duration]]/100&lt;=10,10,ROUND(쿼리1[[#This Row],[Value.Duration]]/100*0.7,-1))</f>
        <v>10</v>
      </c>
    </row>
    <row r="991" spans="1:4" x14ac:dyDescent="0.3">
      <c r="A991" t="s">
        <v>3328</v>
      </c>
      <c r="B991">
        <v>1611601301</v>
      </c>
      <c r="C991">
        <v>733</v>
      </c>
      <c r="D991">
        <f>IF(쿼리1[[#This Row],[Value.Duration]]/100&lt;=10,10,ROUND(쿼리1[[#This Row],[Value.Duration]]/100*0.7,-1))</f>
        <v>10</v>
      </c>
    </row>
    <row r="992" spans="1:4" x14ac:dyDescent="0.3">
      <c r="A992" t="s">
        <v>3329</v>
      </c>
      <c r="B992">
        <v>1611601302</v>
      </c>
      <c r="C992">
        <v>666</v>
      </c>
      <c r="D992">
        <f>IF(쿼리1[[#This Row],[Value.Duration]]/100&lt;=10,10,ROUND(쿼리1[[#This Row],[Value.Duration]]/100*0.7,-1))</f>
        <v>10</v>
      </c>
    </row>
    <row r="993" spans="1:4" x14ac:dyDescent="0.3">
      <c r="A993" t="s">
        <v>3330</v>
      </c>
      <c r="B993">
        <v>1611601303</v>
      </c>
      <c r="C993">
        <v>633</v>
      </c>
      <c r="D993">
        <f>IF(쿼리1[[#This Row],[Value.Duration]]/100&lt;=10,10,ROUND(쿼리1[[#This Row],[Value.Duration]]/100*0.7,-1))</f>
        <v>10</v>
      </c>
    </row>
    <row r="994" spans="1:4" x14ac:dyDescent="0.3">
      <c r="A994" t="s">
        <v>3331</v>
      </c>
      <c r="B994">
        <v>1611601304</v>
      </c>
      <c r="C994">
        <v>633</v>
      </c>
      <c r="D994">
        <f>IF(쿼리1[[#This Row],[Value.Duration]]/100&lt;=10,10,ROUND(쿼리1[[#This Row],[Value.Duration]]/100*0.7,-1))</f>
        <v>10</v>
      </c>
    </row>
    <row r="995" spans="1:4" x14ac:dyDescent="0.3">
      <c r="A995" t="s">
        <v>3332</v>
      </c>
      <c r="B995">
        <v>1611601305</v>
      </c>
      <c r="C995">
        <v>600</v>
      </c>
      <c r="D995">
        <f>IF(쿼리1[[#This Row],[Value.Duration]]/100&lt;=10,10,ROUND(쿼리1[[#This Row],[Value.Duration]]/100*0.7,-1))</f>
        <v>10</v>
      </c>
    </row>
    <row r="996" spans="1:4" x14ac:dyDescent="0.3">
      <c r="A996" t="s">
        <v>1500</v>
      </c>
      <c r="B996">
        <v>1110201101</v>
      </c>
      <c r="C996">
        <v>1633</v>
      </c>
      <c r="D996">
        <f>IF(쿼리1[[#This Row],[Value.Duration]]/100&lt;=10,10,ROUND(쿼리1[[#This Row],[Value.Duration]]/100*0.7,-1))</f>
        <v>10</v>
      </c>
    </row>
    <row r="997" spans="1:4" x14ac:dyDescent="0.3">
      <c r="A997" t="s">
        <v>1501</v>
      </c>
      <c r="B997">
        <v>1110201102</v>
      </c>
      <c r="C997">
        <v>4000</v>
      </c>
      <c r="D997">
        <f>IF(쿼리1[[#This Row],[Value.Duration]]/100&lt;=10,10,ROUND(쿼리1[[#This Row],[Value.Duration]]/100*0.7,-1))</f>
        <v>30</v>
      </c>
    </row>
    <row r="998" spans="1:4" x14ac:dyDescent="0.3">
      <c r="A998" t="s">
        <v>1502</v>
      </c>
      <c r="B998">
        <v>1110201103</v>
      </c>
      <c r="C998">
        <v>800</v>
      </c>
      <c r="D998">
        <f>IF(쿼리1[[#This Row],[Value.Duration]]/100&lt;=10,10,ROUND(쿼리1[[#This Row],[Value.Duration]]/100*0.7,-1))</f>
        <v>10</v>
      </c>
    </row>
    <row r="999" spans="1:4" x14ac:dyDescent="0.3">
      <c r="A999" t="s">
        <v>1503</v>
      </c>
      <c r="B999">
        <v>1110201104</v>
      </c>
      <c r="C999">
        <v>1666</v>
      </c>
      <c r="D999">
        <f>IF(쿼리1[[#This Row],[Value.Duration]]/100&lt;=10,10,ROUND(쿼리1[[#This Row],[Value.Duration]]/100*0.7,-1))</f>
        <v>10</v>
      </c>
    </row>
    <row r="1000" spans="1:4" x14ac:dyDescent="0.3">
      <c r="A1000" t="s">
        <v>1504</v>
      </c>
      <c r="B1000">
        <v>1110201105</v>
      </c>
      <c r="C1000">
        <v>666</v>
      </c>
      <c r="D1000">
        <f>IF(쿼리1[[#This Row],[Value.Duration]]/100&lt;=10,10,ROUND(쿼리1[[#This Row],[Value.Duration]]/100*0.7,-1))</f>
        <v>10</v>
      </c>
    </row>
    <row r="1001" spans="1:4" x14ac:dyDescent="0.3">
      <c r="A1001" t="s">
        <v>1505</v>
      </c>
      <c r="B1001">
        <v>1110201106</v>
      </c>
      <c r="C1001">
        <v>666</v>
      </c>
      <c r="D1001">
        <f>IF(쿼리1[[#This Row],[Value.Duration]]/100&lt;=10,10,ROUND(쿼리1[[#This Row],[Value.Duration]]/100*0.7,-1))</f>
        <v>10</v>
      </c>
    </row>
    <row r="1002" spans="1:4" x14ac:dyDescent="0.3">
      <c r="A1002" t="s">
        <v>1506</v>
      </c>
      <c r="B1002">
        <v>1110201107</v>
      </c>
      <c r="C1002">
        <v>600</v>
      </c>
      <c r="D1002">
        <f>IF(쿼리1[[#This Row],[Value.Duration]]/100&lt;=10,10,ROUND(쿼리1[[#This Row],[Value.Duration]]/100*0.7,-1))</f>
        <v>10</v>
      </c>
    </row>
    <row r="1003" spans="1:4" x14ac:dyDescent="0.3">
      <c r="A1003" t="s">
        <v>1507</v>
      </c>
      <c r="B1003">
        <v>1110201108</v>
      </c>
      <c r="C1003">
        <v>733</v>
      </c>
      <c r="D1003">
        <f>IF(쿼리1[[#This Row],[Value.Duration]]/100&lt;=10,10,ROUND(쿼리1[[#This Row],[Value.Duration]]/100*0.7,-1))</f>
        <v>10</v>
      </c>
    </row>
    <row r="1004" spans="1:4" x14ac:dyDescent="0.3">
      <c r="A1004" t="s">
        <v>1508</v>
      </c>
      <c r="B1004">
        <v>1110201109</v>
      </c>
      <c r="C1004">
        <v>800</v>
      </c>
      <c r="D1004">
        <f>IF(쿼리1[[#This Row],[Value.Duration]]/100&lt;=10,10,ROUND(쿼리1[[#This Row],[Value.Duration]]/100*0.7,-1))</f>
        <v>10</v>
      </c>
    </row>
    <row r="1005" spans="1:4" x14ac:dyDescent="0.3">
      <c r="A1005" t="s">
        <v>1509</v>
      </c>
      <c r="B1005">
        <v>1110201110</v>
      </c>
      <c r="C1005">
        <v>1633</v>
      </c>
      <c r="D1005">
        <f>IF(쿼리1[[#This Row],[Value.Duration]]/100&lt;=10,10,ROUND(쿼리1[[#This Row],[Value.Duration]]/100*0.7,-1))</f>
        <v>10</v>
      </c>
    </row>
    <row r="1006" spans="1:4" x14ac:dyDescent="0.3">
      <c r="A1006" t="s">
        <v>1510</v>
      </c>
      <c r="B1006">
        <v>1110201111</v>
      </c>
      <c r="C1006">
        <v>4000</v>
      </c>
      <c r="D1006">
        <f>IF(쿼리1[[#This Row],[Value.Duration]]/100&lt;=10,10,ROUND(쿼리1[[#This Row],[Value.Duration]]/100*0.7,-1))</f>
        <v>30</v>
      </c>
    </row>
    <row r="1007" spans="1:4" x14ac:dyDescent="0.3">
      <c r="A1007" t="s">
        <v>1511</v>
      </c>
      <c r="B1007">
        <v>1110201112</v>
      </c>
      <c r="C1007">
        <v>800</v>
      </c>
      <c r="D1007">
        <f>IF(쿼리1[[#This Row],[Value.Duration]]/100&lt;=10,10,ROUND(쿼리1[[#This Row],[Value.Duration]]/100*0.7,-1))</f>
        <v>10</v>
      </c>
    </row>
    <row r="1008" spans="1:4" x14ac:dyDescent="0.3">
      <c r="A1008" t="s">
        <v>1512</v>
      </c>
      <c r="B1008">
        <v>1110201113</v>
      </c>
      <c r="C1008">
        <v>1666</v>
      </c>
      <c r="D1008">
        <f>IF(쿼리1[[#This Row],[Value.Duration]]/100&lt;=10,10,ROUND(쿼리1[[#This Row],[Value.Duration]]/100*0.7,-1))</f>
        <v>10</v>
      </c>
    </row>
    <row r="1009" spans="1:4" x14ac:dyDescent="0.3">
      <c r="A1009" t="s">
        <v>1513</v>
      </c>
      <c r="B1009">
        <v>1110201114</v>
      </c>
      <c r="C1009">
        <v>666</v>
      </c>
      <c r="D1009">
        <f>IF(쿼리1[[#This Row],[Value.Duration]]/100&lt;=10,10,ROUND(쿼리1[[#This Row],[Value.Duration]]/100*0.7,-1))</f>
        <v>10</v>
      </c>
    </row>
    <row r="1010" spans="1:4" x14ac:dyDescent="0.3">
      <c r="A1010" t="s">
        <v>1514</v>
      </c>
      <c r="B1010">
        <v>1110201115</v>
      </c>
      <c r="C1010">
        <v>666</v>
      </c>
      <c r="D1010">
        <f>IF(쿼리1[[#This Row],[Value.Duration]]/100&lt;=10,10,ROUND(쿼리1[[#This Row],[Value.Duration]]/100*0.7,-1))</f>
        <v>10</v>
      </c>
    </row>
    <row r="1011" spans="1:4" x14ac:dyDescent="0.3">
      <c r="A1011" t="s">
        <v>1515</v>
      </c>
      <c r="B1011">
        <v>1110201116</v>
      </c>
      <c r="C1011">
        <v>600</v>
      </c>
      <c r="D1011">
        <f>IF(쿼리1[[#This Row],[Value.Duration]]/100&lt;=10,10,ROUND(쿼리1[[#This Row],[Value.Duration]]/100*0.7,-1))</f>
        <v>10</v>
      </c>
    </row>
    <row r="1012" spans="1:4" x14ac:dyDescent="0.3">
      <c r="A1012" t="s">
        <v>1516</v>
      </c>
      <c r="B1012">
        <v>1110201117</v>
      </c>
      <c r="C1012">
        <v>733</v>
      </c>
      <c r="D1012">
        <f>IF(쿼리1[[#This Row],[Value.Duration]]/100&lt;=10,10,ROUND(쿼리1[[#This Row],[Value.Duration]]/100*0.7,-1))</f>
        <v>10</v>
      </c>
    </row>
    <row r="1013" spans="1:4" x14ac:dyDescent="0.3">
      <c r="A1013" t="s">
        <v>1517</v>
      </c>
      <c r="B1013">
        <v>1110201118</v>
      </c>
      <c r="C1013">
        <v>800</v>
      </c>
      <c r="D1013">
        <f>IF(쿼리1[[#This Row],[Value.Duration]]/100&lt;=10,10,ROUND(쿼리1[[#This Row],[Value.Duration]]/100*0.7,-1))</f>
        <v>10</v>
      </c>
    </row>
    <row r="1014" spans="1:4" x14ac:dyDescent="0.3">
      <c r="A1014" t="s">
        <v>1518</v>
      </c>
      <c r="B1014">
        <v>1110201201</v>
      </c>
      <c r="C1014">
        <v>1200</v>
      </c>
      <c r="D1014">
        <f>IF(쿼리1[[#This Row],[Value.Duration]]/100&lt;=10,10,ROUND(쿼리1[[#This Row],[Value.Duration]]/100*0.7,-1))</f>
        <v>10</v>
      </c>
    </row>
    <row r="1015" spans="1:4" x14ac:dyDescent="0.3">
      <c r="A1015" t="s">
        <v>1519</v>
      </c>
      <c r="B1015">
        <v>1110201202</v>
      </c>
      <c r="C1015">
        <v>666</v>
      </c>
      <c r="D1015">
        <f>IF(쿼리1[[#This Row],[Value.Duration]]/100&lt;=10,10,ROUND(쿼리1[[#This Row],[Value.Duration]]/100*0.7,-1))</f>
        <v>10</v>
      </c>
    </row>
    <row r="1016" spans="1:4" x14ac:dyDescent="0.3">
      <c r="A1016" t="s">
        <v>1520</v>
      </c>
      <c r="B1016">
        <v>1110201203</v>
      </c>
      <c r="C1016">
        <v>1333</v>
      </c>
      <c r="D1016">
        <f>IF(쿼리1[[#This Row],[Value.Duration]]/100&lt;=10,10,ROUND(쿼리1[[#This Row],[Value.Duration]]/100*0.7,-1))</f>
        <v>10</v>
      </c>
    </row>
    <row r="1017" spans="1:4" x14ac:dyDescent="0.3">
      <c r="A1017" t="s">
        <v>1521</v>
      </c>
      <c r="B1017">
        <v>1110201301</v>
      </c>
      <c r="C1017">
        <v>1666</v>
      </c>
      <c r="D1017">
        <f>IF(쿼리1[[#This Row],[Value.Duration]]/100&lt;=10,10,ROUND(쿼리1[[#This Row],[Value.Duration]]/100*0.7,-1))</f>
        <v>10</v>
      </c>
    </row>
    <row r="1018" spans="1:4" x14ac:dyDescent="0.3">
      <c r="A1018" t="s">
        <v>1522</v>
      </c>
      <c r="B1018">
        <v>1110201302</v>
      </c>
      <c r="C1018">
        <v>1666</v>
      </c>
      <c r="D1018">
        <f>IF(쿼리1[[#This Row],[Value.Duration]]/100&lt;=10,10,ROUND(쿼리1[[#This Row],[Value.Duration]]/100*0.7,-1))</f>
        <v>10</v>
      </c>
    </row>
    <row r="1019" spans="1:4" x14ac:dyDescent="0.3">
      <c r="A1019" t="s">
        <v>1523</v>
      </c>
      <c r="B1019">
        <v>1110202101</v>
      </c>
      <c r="C1019">
        <v>1566</v>
      </c>
      <c r="D1019">
        <f>IF(쿼리1[[#This Row],[Value.Duration]]/100&lt;=10,10,ROUND(쿼리1[[#This Row],[Value.Duration]]/100*0.7,-1))</f>
        <v>10</v>
      </c>
    </row>
    <row r="1020" spans="1:4" x14ac:dyDescent="0.3">
      <c r="A1020" t="s">
        <v>1524</v>
      </c>
      <c r="B1020">
        <v>1110202102</v>
      </c>
      <c r="C1020">
        <v>800</v>
      </c>
      <c r="D1020">
        <f>IF(쿼리1[[#This Row],[Value.Duration]]/100&lt;=10,10,ROUND(쿼리1[[#This Row],[Value.Duration]]/100*0.7,-1))</f>
        <v>10</v>
      </c>
    </row>
    <row r="1021" spans="1:4" x14ac:dyDescent="0.3">
      <c r="A1021" t="s">
        <v>1525</v>
      </c>
      <c r="B1021">
        <v>1110202103</v>
      </c>
      <c r="C1021">
        <v>1633</v>
      </c>
      <c r="D1021">
        <f>IF(쿼리1[[#This Row],[Value.Duration]]/100&lt;=10,10,ROUND(쿼리1[[#This Row],[Value.Duration]]/100*0.7,-1))</f>
        <v>10</v>
      </c>
    </row>
    <row r="1022" spans="1:4" x14ac:dyDescent="0.3">
      <c r="A1022" t="s">
        <v>1526</v>
      </c>
      <c r="B1022">
        <v>1110202104</v>
      </c>
      <c r="C1022">
        <v>800</v>
      </c>
      <c r="D1022">
        <f>IF(쿼리1[[#This Row],[Value.Duration]]/100&lt;=10,10,ROUND(쿼리1[[#This Row],[Value.Duration]]/100*0.7,-1))</f>
        <v>10</v>
      </c>
    </row>
    <row r="1023" spans="1:4" x14ac:dyDescent="0.3">
      <c r="A1023" t="s">
        <v>1527</v>
      </c>
      <c r="B1023">
        <v>1110202105</v>
      </c>
      <c r="C1023">
        <v>1666</v>
      </c>
      <c r="D1023">
        <f>IF(쿼리1[[#This Row],[Value.Duration]]/100&lt;=10,10,ROUND(쿼리1[[#This Row],[Value.Duration]]/100*0.7,-1))</f>
        <v>10</v>
      </c>
    </row>
    <row r="1024" spans="1:4" x14ac:dyDescent="0.3">
      <c r="A1024" t="s">
        <v>1528</v>
      </c>
      <c r="B1024">
        <v>1110202106</v>
      </c>
      <c r="C1024">
        <v>600</v>
      </c>
      <c r="D1024">
        <f>IF(쿼리1[[#This Row],[Value.Duration]]/100&lt;=10,10,ROUND(쿼리1[[#This Row],[Value.Duration]]/100*0.7,-1))</f>
        <v>10</v>
      </c>
    </row>
    <row r="1025" spans="1:4" x14ac:dyDescent="0.3">
      <c r="A1025" t="s">
        <v>1529</v>
      </c>
      <c r="B1025">
        <v>1110202107</v>
      </c>
      <c r="C1025">
        <v>733</v>
      </c>
      <c r="D1025">
        <f>IF(쿼리1[[#This Row],[Value.Duration]]/100&lt;=10,10,ROUND(쿼리1[[#This Row],[Value.Duration]]/100*0.7,-1))</f>
        <v>10</v>
      </c>
    </row>
    <row r="1026" spans="1:4" x14ac:dyDescent="0.3">
      <c r="A1026" t="s">
        <v>1530</v>
      </c>
      <c r="B1026">
        <v>1110202108</v>
      </c>
      <c r="C1026">
        <v>666</v>
      </c>
      <c r="D1026">
        <f>IF(쿼리1[[#This Row],[Value.Duration]]/100&lt;=10,10,ROUND(쿼리1[[#This Row],[Value.Duration]]/100*0.7,-1))</f>
        <v>10</v>
      </c>
    </row>
    <row r="1027" spans="1:4" x14ac:dyDescent="0.3">
      <c r="A1027" t="s">
        <v>1531</v>
      </c>
      <c r="B1027">
        <v>1110202109</v>
      </c>
      <c r="C1027">
        <v>800</v>
      </c>
      <c r="D1027">
        <f>IF(쿼리1[[#This Row],[Value.Duration]]/100&lt;=10,10,ROUND(쿼리1[[#This Row],[Value.Duration]]/100*0.7,-1))</f>
        <v>10</v>
      </c>
    </row>
    <row r="1028" spans="1:4" x14ac:dyDescent="0.3">
      <c r="A1028" t="s">
        <v>1532</v>
      </c>
      <c r="B1028">
        <v>1110202110</v>
      </c>
      <c r="C1028">
        <v>1566</v>
      </c>
      <c r="D1028">
        <f>IF(쿼리1[[#This Row],[Value.Duration]]/100&lt;=10,10,ROUND(쿼리1[[#This Row],[Value.Duration]]/100*0.7,-1))</f>
        <v>10</v>
      </c>
    </row>
    <row r="1029" spans="1:4" x14ac:dyDescent="0.3">
      <c r="A1029" t="s">
        <v>1533</v>
      </c>
      <c r="B1029">
        <v>1110202111</v>
      </c>
      <c r="C1029">
        <v>800</v>
      </c>
      <c r="D1029">
        <f>IF(쿼리1[[#This Row],[Value.Duration]]/100&lt;=10,10,ROUND(쿼리1[[#This Row],[Value.Duration]]/100*0.7,-1))</f>
        <v>10</v>
      </c>
    </row>
    <row r="1030" spans="1:4" x14ac:dyDescent="0.3">
      <c r="A1030" t="s">
        <v>1534</v>
      </c>
      <c r="B1030">
        <v>1110202112</v>
      </c>
      <c r="C1030">
        <v>1633</v>
      </c>
      <c r="D1030">
        <f>IF(쿼리1[[#This Row],[Value.Duration]]/100&lt;=10,10,ROUND(쿼리1[[#This Row],[Value.Duration]]/100*0.7,-1))</f>
        <v>10</v>
      </c>
    </row>
    <row r="1031" spans="1:4" x14ac:dyDescent="0.3">
      <c r="A1031" t="s">
        <v>1535</v>
      </c>
      <c r="B1031">
        <v>1110202113</v>
      </c>
      <c r="C1031">
        <v>800</v>
      </c>
      <c r="D1031">
        <f>IF(쿼리1[[#This Row],[Value.Duration]]/100&lt;=10,10,ROUND(쿼리1[[#This Row],[Value.Duration]]/100*0.7,-1))</f>
        <v>10</v>
      </c>
    </row>
    <row r="1032" spans="1:4" x14ac:dyDescent="0.3">
      <c r="A1032" t="s">
        <v>1536</v>
      </c>
      <c r="B1032">
        <v>1110202114</v>
      </c>
      <c r="C1032">
        <v>1666</v>
      </c>
      <c r="D1032">
        <f>IF(쿼리1[[#This Row],[Value.Duration]]/100&lt;=10,10,ROUND(쿼리1[[#This Row],[Value.Duration]]/100*0.7,-1))</f>
        <v>10</v>
      </c>
    </row>
    <row r="1033" spans="1:4" x14ac:dyDescent="0.3">
      <c r="A1033" t="s">
        <v>1537</v>
      </c>
      <c r="B1033">
        <v>1110202115</v>
      </c>
      <c r="C1033">
        <v>600</v>
      </c>
      <c r="D1033">
        <f>IF(쿼리1[[#This Row],[Value.Duration]]/100&lt;=10,10,ROUND(쿼리1[[#This Row],[Value.Duration]]/100*0.7,-1))</f>
        <v>10</v>
      </c>
    </row>
    <row r="1034" spans="1:4" x14ac:dyDescent="0.3">
      <c r="A1034" t="s">
        <v>1538</v>
      </c>
      <c r="B1034">
        <v>1110202116</v>
      </c>
      <c r="C1034">
        <v>733</v>
      </c>
      <c r="D1034">
        <f>IF(쿼리1[[#This Row],[Value.Duration]]/100&lt;=10,10,ROUND(쿼리1[[#This Row],[Value.Duration]]/100*0.7,-1))</f>
        <v>10</v>
      </c>
    </row>
    <row r="1035" spans="1:4" x14ac:dyDescent="0.3">
      <c r="A1035" t="s">
        <v>1539</v>
      </c>
      <c r="B1035">
        <v>1110202117</v>
      </c>
      <c r="C1035">
        <v>666</v>
      </c>
      <c r="D1035">
        <f>IF(쿼리1[[#This Row],[Value.Duration]]/100&lt;=10,10,ROUND(쿼리1[[#This Row],[Value.Duration]]/100*0.7,-1))</f>
        <v>10</v>
      </c>
    </row>
    <row r="1036" spans="1:4" x14ac:dyDescent="0.3">
      <c r="A1036" t="s">
        <v>1540</v>
      </c>
      <c r="B1036">
        <v>1110202118</v>
      </c>
      <c r="C1036">
        <v>800</v>
      </c>
      <c r="D1036">
        <f>IF(쿼리1[[#This Row],[Value.Duration]]/100&lt;=10,10,ROUND(쿼리1[[#This Row],[Value.Duration]]/100*0.7,-1))</f>
        <v>10</v>
      </c>
    </row>
    <row r="1037" spans="1:4" x14ac:dyDescent="0.3">
      <c r="A1037" t="s">
        <v>1541</v>
      </c>
      <c r="B1037">
        <v>1110202201</v>
      </c>
      <c r="C1037">
        <v>1200</v>
      </c>
      <c r="D1037">
        <f>IF(쿼리1[[#This Row],[Value.Duration]]/100&lt;=10,10,ROUND(쿼리1[[#This Row],[Value.Duration]]/100*0.7,-1))</f>
        <v>10</v>
      </c>
    </row>
    <row r="1038" spans="1:4" x14ac:dyDescent="0.3">
      <c r="A1038" t="s">
        <v>1542</v>
      </c>
      <c r="B1038">
        <v>1110202202</v>
      </c>
      <c r="C1038">
        <v>1333</v>
      </c>
      <c r="D1038">
        <f>IF(쿼리1[[#This Row],[Value.Duration]]/100&lt;=10,10,ROUND(쿼리1[[#This Row],[Value.Duration]]/100*0.7,-1))</f>
        <v>10</v>
      </c>
    </row>
    <row r="1039" spans="1:4" x14ac:dyDescent="0.3">
      <c r="A1039" t="s">
        <v>1543</v>
      </c>
      <c r="B1039">
        <v>1110202203</v>
      </c>
      <c r="C1039">
        <v>1600</v>
      </c>
      <c r="D1039">
        <f>IF(쿼리1[[#This Row],[Value.Duration]]/100&lt;=10,10,ROUND(쿼리1[[#This Row],[Value.Duration]]/100*0.7,-1))</f>
        <v>10</v>
      </c>
    </row>
    <row r="1040" spans="1:4" x14ac:dyDescent="0.3">
      <c r="A1040" t="s">
        <v>1544</v>
      </c>
      <c r="B1040">
        <v>1110202301</v>
      </c>
      <c r="C1040">
        <v>2000</v>
      </c>
      <c r="D1040">
        <f>IF(쿼리1[[#This Row],[Value.Duration]]/100&lt;=10,10,ROUND(쿼리1[[#This Row],[Value.Duration]]/100*0.7,-1))</f>
        <v>10</v>
      </c>
    </row>
    <row r="1041" spans="1:4" x14ac:dyDescent="0.3">
      <c r="A1041" t="s">
        <v>1545</v>
      </c>
      <c r="B1041">
        <v>1110202302</v>
      </c>
      <c r="C1041">
        <v>2000</v>
      </c>
      <c r="D1041">
        <f>IF(쿼리1[[#This Row],[Value.Duration]]/100&lt;=10,10,ROUND(쿼리1[[#This Row],[Value.Duration]]/100*0.7,-1))</f>
        <v>10</v>
      </c>
    </row>
    <row r="1042" spans="1:4" x14ac:dyDescent="0.3">
      <c r="A1042" t="s">
        <v>1546</v>
      </c>
      <c r="B1042">
        <v>1110203101</v>
      </c>
      <c r="C1042">
        <v>533</v>
      </c>
      <c r="D1042">
        <f>IF(쿼리1[[#This Row],[Value.Duration]]/100&lt;=10,10,ROUND(쿼리1[[#This Row],[Value.Duration]]/100*0.7,-1))</f>
        <v>10</v>
      </c>
    </row>
    <row r="1043" spans="1:4" x14ac:dyDescent="0.3">
      <c r="A1043" t="s">
        <v>1547</v>
      </c>
      <c r="B1043">
        <v>1110203102</v>
      </c>
      <c r="C1043">
        <v>1566</v>
      </c>
      <c r="D1043">
        <f>IF(쿼리1[[#This Row],[Value.Duration]]/100&lt;=10,10,ROUND(쿼리1[[#This Row],[Value.Duration]]/100*0.7,-1))</f>
        <v>10</v>
      </c>
    </row>
    <row r="1044" spans="1:4" x14ac:dyDescent="0.3">
      <c r="A1044" t="s">
        <v>1548</v>
      </c>
      <c r="B1044">
        <v>1110203103</v>
      </c>
      <c r="C1044">
        <v>533</v>
      </c>
      <c r="D1044">
        <f>IF(쿼리1[[#This Row],[Value.Duration]]/100&lt;=10,10,ROUND(쿼리1[[#This Row],[Value.Duration]]/100*0.7,-1))</f>
        <v>10</v>
      </c>
    </row>
    <row r="1045" spans="1:4" x14ac:dyDescent="0.3">
      <c r="A1045" t="s">
        <v>1549</v>
      </c>
      <c r="B1045">
        <v>1110203104</v>
      </c>
      <c r="C1045">
        <v>800</v>
      </c>
      <c r="D1045">
        <f>IF(쿼리1[[#This Row],[Value.Duration]]/100&lt;=10,10,ROUND(쿼리1[[#This Row],[Value.Duration]]/100*0.7,-1))</f>
        <v>10</v>
      </c>
    </row>
    <row r="1046" spans="1:4" x14ac:dyDescent="0.3">
      <c r="A1046" t="s">
        <v>1550</v>
      </c>
      <c r="B1046">
        <v>1110203105</v>
      </c>
      <c r="C1046">
        <v>666</v>
      </c>
      <c r="D1046">
        <f>IF(쿼리1[[#This Row],[Value.Duration]]/100&lt;=10,10,ROUND(쿼리1[[#This Row],[Value.Duration]]/100*0.7,-1))</f>
        <v>10</v>
      </c>
    </row>
    <row r="1047" spans="1:4" x14ac:dyDescent="0.3">
      <c r="A1047" t="s">
        <v>1551</v>
      </c>
      <c r="B1047">
        <v>1110203106</v>
      </c>
      <c r="C1047">
        <v>600</v>
      </c>
      <c r="D1047">
        <f>IF(쿼리1[[#This Row],[Value.Duration]]/100&lt;=10,10,ROUND(쿼리1[[#This Row],[Value.Duration]]/100*0.7,-1))</f>
        <v>10</v>
      </c>
    </row>
    <row r="1048" spans="1:4" x14ac:dyDescent="0.3">
      <c r="A1048" t="s">
        <v>1552</v>
      </c>
      <c r="B1048">
        <v>1110203107</v>
      </c>
      <c r="C1048">
        <v>666</v>
      </c>
      <c r="D1048">
        <f>IF(쿼리1[[#This Row],[Value.Duration]]/100&lt;=10,10,ROUND(쿼리1[[#This Row],[Value.Duration]]/100*0.7,-1))</f>
        <v>10</v>
      </c>
    </row>
    <row r="1049" spans="1:4" x14ac:dyDescent="0.3">
      <c r="A1049" t="s">
        <v>1553</v>
      </c>
      <c r="B1049">
        <v>1110203108</v>
      </c>
      <c r="C1049">
        <v>733</v>
      </c>
      <c r="D1049">
        <f>IF(쿼리1[[#This Row],[Value.Duration]]/100&lt;=10,10,ROUND(쿼리1[[#This Row],[Value.Duration]]/100*0.7,-1))</f>
        <v>10</v>
      </c>
    </row>
    <row r="1050" spans="1:4" x14ac:dyDescent="0.3">
      <c r="A1050" t="s">
        <v>1554</v>
      </c>
      <c r="B1050">
        <v>1110203109</v>
      </c>
      <c r="C1050">
        <v>1133</v>
      </c>
      <c r="D1050">
        <f>IF(쿼리1[[#This Row],[Value.Duration]]/100&lt;=10,10,ROUND(쿼리1[[#This Row],[Value.Duration]]/100*0.7,-1))</f>
        <v>10</v>
      </c>
    </row>
    <row r="1051" spans="1:4" x14ac:dyDescent="0.3">
      <c r="A1051" t="s">
        <v>1555</v>
      </c>
      <c r="B1051">
        <v>1110203110</v>
      </c>
      <c r="C1051">
        <v>433</v>
      </c>
      <c r="D1051">
        <f>IF(쿼리1[[#This Row],[Value.Duration]]/100&lt;=10,10,ROUND(쿼리1[[#This Row],[Value.Duration]]/100*0.7,-1))</f>
        <v>10</v>
      </c>
    </row>
    <row r="1052" spans="1:4" x14ac:dyDescent="0.3">
      <c r="A1052" t="s">
        <v>1556</v>
      </c>
      <c r="B1052">
        <v>1110203111</v>
      </c>
      <c r="C1052">
        <v>533</v>
      </c>
      <c r="D1052">
        <f>IF(쿼리1[[#This Row],[Value.Duration]]/100&lt;=10,10,ROUND(쿼리1[[#This Row],[Value.Duration]]/100*0.7,-1))</f>
        <v>10</v>
      </c>
    </row>
    <row r="1053" spans="1:4" x14ac:dyDescent="0.3">
      <c r="A1053" t="s">
        <v>1557</v>
      </c>
      <c r="B1053">
        <v>1110203112</v>
      </c>
      <c r="C1053">
        <v>1566</v>
      </c>
      <c r="D1053">
        <f>IF(쿼리1[[#This Row],[Value.Duration]]/100&lt;=10,10,ROUND(쿼리1[[#This Row],[Value.Duration]]/100*0.7,-1))</f>
        <v>10</v>
      </c>
    </row>
    <row r="1054" spans="1:4" x14ac:dyDescent="0.3">
      <c r="A1054" t="s">
        <v>1558</v>
      </c>
      <c r="B1054">
        <v>1110203113</v>
      </c>
      <c r="C1054">
        <v>533</v>
      </c>
      <c r="D1054">
        <f>IF(쿼리1[[#This Row],[Value.Duration]]/100&lt;=10,10,ROUND(쿼리1[[#This Row],[Value.Duration]]/100*0.7,-1))</f>
        <v>10</v>
      </c>
    </row>
    <row r="1055" spans="1:4" x14ac:dyDescent="0.3">
      <c r="A1055" t="s">
        <v>1559</v>
      </c>
      <c r="B1055">
        <v>1110203114</v>
      </c>
      <c r="C1055">
        <v>800</v>
      </c>
      <c r="D1055">
        <f>IF(쿼리1[[#This Row],[Value.Duration]]/100&lt;=10,10,ROUND(쿼리1[[#This Row],[Value.Duration]]/100*0.7,-1))</f>
        <v>10</v>
      </c>
    </row>
    <row r="1056" spans="1:4" x14ac:dyDescent="0.3">
      <c r="A1056" t="s">
        <v>1560</v>
      </c>
      <c r="B1056">
        <v>1110203115</v>
      </c>
      <c r="C1056">
        <v>666</v>
      </c>
      <c r="D1056">
        <f>IF(쿼리1[[#This Row],[Value.Duration]]/100&lt;=10,10,ROUND(쿼리1[[#This Row],[Value.Duration]]/100*0.7,-1))</f>
        <v>10</v>
      </c>
    </row>
    <row r="1057" spans="1:4" x14ac:dyDescent="0.3">
      <c r="A1057" t="s">
        <v>1561</v>
      </c>
      <c r="B1057">
        <v>1110203116</v>
      </c>
      <c r="C1057">
        <v>600</v>
      </c>
      <c r="D1057">
        <f>IF(쿼리1[[#This Row],[Value.Duration]]/100&lt;=10,10,ROUND(쿼리1[[#This Row],[Value.Duration]]/100*0.7,-1))</f>
        <v>10</v>
      </c>
    </row>
    <row r="1058" spans="1:4" x14ac:dyDescent="0.3">
      <c r="A1058" t="s">
        <v>1562</v>
      </c>
      <c r="B1058">
        <v>1110203117</v>
      </c>
      <c r="C1058">
        <v>666</v>
      </c>
      <c r="D1058">
        <f>IF(쿼리1[[#This Row],[Value.Duration]]/100&lt;=10,10,ROUND(쿼리1[[#This Row],[Value.Duration]]/100*0.7,-1))</f>
        <v>10</v>
      </c>
    </row>
    <row r="1059" spans="1:4" x14ac:dyDescent="0.3">
      <c r="A1059" t="s">
        <v>1563</v>
      </c>
      <c r="B1059">
        <v>1110203118</v>
      </c>
      <c r="C1059">
        <v>733</v>
      </c>
      <c r="D1059">
        <f>IF(쿼리1[[#This Row],[Value.Duration]]/100&lt;=10,10,ROUND(쿼리1[[#This Row],[Value.Duration]]/100*0.7,-1))</f>
        <v>10</v>
      </c>
    </row>
    <row r="1060" spans="1:4" x14ac:dyDescent="0.3">
      <c r="A1060" t="s">
        <v>1564</v>
      </c>
      <c r="B1060">
        <v>1110203119</v>
      </c>
      <c r="C1060">
        <v>1133</v>
      </c>
      <c r="D1060">
        <f>IF(쿼리1[[#This Row],[Value.Duration]]/100&lt;=10,10,ROUND(쿼리1[[#This Row],[Value.Duration]]/100*0.7,-1))</f>
        <v>10</v>
      </c>
    </row>
    <row r="1061" spans="1:4" x14ac:dyDescent="0.3">
      <c r="A1061" t="s">
        <v>1565</v>
      </c>
      <c r="B1061">
        <v>1110203120</v>
      </c>
      <c r="C1061">
        <v>433</v>
      </c>
      <c r="D1061">
        <f>IF(쿼리1[[#This Row],[Value.Duration]]/100&lt;=10,10,ROUND(쿼리1[[#This Row],[Value.Duration]]/100*0.7,-1))</f>
        <v>10</v>
      </c>
    </row>
    <row r="1062" spans="1:4" x14ac:dyDescent="0.3">
      <c r="A1062" t="s">
        <v>1566</v>
      </c>
      <c r="B1062">
        <v>1110203201</v>
      </c>
      <c r="C1062">
        <v>1600</v>
      </c>
      <c r="D1062">
        <f>IF(쿼리1[[#This Row],[Value.Duration]]/100&lt;=10,10,ROUND(쿼리1[[#This Row],[Value.Duration]]/100*0.7,-1))</f>
        <v>10</v>
      </c>
    </row>
    <row r="1063" spans="1:4" x14ac:dyDescent="0.3">
      <c r="A1063" t="s">
        <v>1567</v>
      </c>
      <c r="B1063">
        <v>1110203202</v>
      </c>
      <c r="C1063">
        <v>1333</v>
      </c>
      <c r="D1063">
        <f>IF(쿼리1[[#This Row],[Value.Duration]]/100&lt;=10,10,ROUND(쿼리1[[#This Row],[Value.Duration]]/100*0.7,-1))</f>
        <v>10</v>
      </c>
    </row>
    <row r="1064" spans="1:4" x14ac:dyDescent="0.3">
      <c r="A1064" t="s">
        <v>1568</v>
      </c>
      <c r="B1064">
        <v>1110203203</v>
      </c>
      <c r="C1064">
        <v>1600</v>
      </c>
      <c r="D1064">
        <f>IF(쿼리1[[#This Row],[Value.Duration]]/100&lt;=10,10,ROUND(쿼리1[[#This Row],[Value.Duration]]/100*0.7,-1))</f>
        <v>10</v>
      </c>
    </row>
    <row r="1065" spans="1:4" x14ac:dyDescent="0.3">
      <c r="A1065" t="s">
        <v>1569</v>
      </c>
      <c r="B1065">
        <v>1110203301</v>
      </c>
      <c r="C1065">
        <v>1600</v>
      </c>
      <c r="D1065">
        <f>IF(쿼리1[[#This Row],[Value.Duration]]/100&lt;=10,10,ROUND(쿼리1[[#This Row],[Value.Duration]]/100*0.7,-1))</f>
        <v>10</v>
      </c>
    </row>
    <row r="1066" spans="1:4" x14ac:dyDescent="0.3">
      <c r="A1066" t="s">
        <v>1570</v>
      </c>
      <c r="B1066">
        <v>1110203302</v>
      </c>
      <c r="C1066">
        <v>1600</v>
      </c>
      <c r="D1066">
        <f>IF(쿼리1[[#This Row],[Value.Duration]]/100&lt;=10,10,ROUND(쿼리1[[#This Row],[Value.Duration]]/100*0.7,-1))</f>
        <v>10</v>
      </c>
    </row>
    <row r="1067" spans="1:4" x14ac:dyDescent="0.3">
      <c r="A1067" t="s">
        <v>1571</v>
      </c>
      <c r="B1067">
        <v>1110204101</v>
      </c>
      <c r="C1067">
        <v>1600</v>
      </c>
      <c r="D1067">
        <f>IF(쿼리1[[#This Row],[Value.Duration]]/100&lt;=10,10,ROUND(쿼리1[[#This Row],[Value.Duration]]/100*0.7,-1))</f>
        <v>10</v>
      </c>
    </row>
    <row r="1068" spans="1:4" x14ac:dyDescent="0.3">
      <c r="A1068" t="s">
        <v>1572</v>
      </c>
      <c r="B1068">
        <v>1110204102</v>
      </c>
      <c r="C1068">
        <v>666</v>
      </c>
      <c r="D1068">
        <f>IF(쿼리1[[#This Row],[Value.Duration]]/100&lt;=10,10,ROUND(쿼리1[[#This Row],[Value.Duration]]/100*0.7,-1))</f>
        <v>10</v>
      </c>
    </row>
    <row r="1069" spans="1:4" x14ac:dyDescent="0.3">
      <c r="A1069" t="s">
        <v>1573</v>
      </c>
      <c r="B1069">
        <v>1110204103</v>
      </c>
      <c r="C1069">
        <v>1600</v>
      </c>
      <c r="D1069">
        <f>IF(쿼리1[[#This Row],[Value.Duration]]/100&lt;=10,10,ROUND(쿼리1[[#This Row],[Value.Duration]]/100*0.7,-1))</f>
        <v>10</v>
      </c>
    </row>
    <row r="1070" spans="1:4" x14ac:dyDescent="0.3">
      <c r="A1070" t="s">
        <v>1574</v>
      </c>
      <c r="B1070">
        <v>1110204104</v>
      </c>
      <c r="C1070">
        <v>666</v>
      </c>
      <c r="D1070">
        <f>IF(쿼리1[[#This Row],[Value.Duration]]/100&lt;=10,10,ROUND(쿼리1[[#This Row],[Value.Duration]]/100*0.7,-1))</f>
        <v>10</v>
      </c>
    </row>
    <row r="1071" spans="1:4" x14ac:dyDescent="0.3">
      <c r="A1071" t="s">
        <v>1575</v>
      </c>
      <c r="B1071">
        <v>1110204105</v>
      </c>
      <c r="C1071">
        <v>666</v>
      </c>
      <c r="D1071">
        <f>IF(쿼리1[[#This Row],[Value.Duration]]/100&lt;=10,10,ROUND(쿼리1[[#This Row],[Value.Duration]]/100*0.7,-1))</f>
        <v>10</v>
      </c>
    </row>
    <row r="1072" spans="1:4" x14ac:dyDescent="0.3">
      <c r="A1072" t="s">
        <v>1576</v>
      </c>
      <c r="B1072">
        <v>1110204106</v>
      </c>
      <c r="C1072">
        <v>466</v>
      </c>
      <c r="D1072">
        <f>IF(쿼리1[[#This Row],[Value.Duration]]/100&lt;=10,10,ROUND(쿼리1[[#This Row],[Value.Duration]]/100*0.7,-1))</f>
        <v>10</v>
      </c>
    </row>
    <row r="1073" spans="1:4" x14ac:dyDescent="0.3">
      <c r="A1073" t="s">
        <v>1577</v>
      </c>
      <c r="B1073">
        <v>1110204107</v>
      </c>
      <c r="C1073">
        <v>1066</v>
      </c>
      <c r="D1073">
        <f>IF(쿼리1[[#This Row],[Value.Duration]]/100&lt;=10,10,ROUND(쿼리1[[#This Row],[Value.Duration]]/100*0.7,-1))</f>
        <v>10</v>
      </c>
    </row>
    <row r="1074" spans="1:4" x14ac:dyDescent="0.3">
      <c r="A1074" t="s">
        <v>1578</v>
      </c>
      <c r="B1074">
        <v>1110204108</v>
      </c>
      <c r="C1074">
        <v>866</v>
      </c>
      <c r="D1074">
        <f>IF(쿼리1[[#This Row],[Value.Duration]]/100&lt;=10,10,ROUND(쿼리1[[#This Row],[Value.Duration]]/100*0.7,-1))</f>
        <v>10</v>
      </c>
    </row>
    <row r="1075" spans="1:4" x14ac:dyDescent="0.3">
      <c r="A1075" t="s">
        <v>1579</v>
      </c>
      <c r="B1075">
        <v>1110204109</v>
      </c>
      <c r="C1075">
        <v>666</v>
      </c>
      <c r="D1075">
        <f>IF(쿼리1[[#This Row],[Value.Duration]]/100&lt;=10,10,ROUND(쿼리1[[#This Row],[Value.Duration]]/100*0.7,-1))</f>
        <v>10</v>
      </c>
    </row>
    <row r="1076" spans="1:4" x14ac:dyDescent="0.3">
      <c r="A1076" t="s">
        <v>1580</v>
      </c>
      <c r="B1076">
        <v>1110204110</v>
      </c>
      <c r="C1076">
        <v>500</v>
      </c>
      <c r="D1076">
        <f>IF(쿼리1[[#This Row],[Value.Duration]]/100&lt;=10,10,ROUND(쿼리1[[#This Row],[Value.Duration]]/100*0.7,-1))</f>
        <v>10</v>
      </c>
    </row>
    <row r="1077" spans="1:4" x14ac:dyDescent="0.3">
      <c r="A1077" t="s">
        <v>1581</v>
      </c>
      <c r="B1077">
        <v>1110204111</v>
      </c>
      <c r="C1077">
        <v>1500</v>
      </c>
      <c r="D1077">
        <f>IF(쿼리1[[#This Row],[Value.Duration]]/100&lt;=10,10,ROUND(쿼리1[[#This Row],[Value.Duration]]/100*0.7,-1))</f>
        <v>10</v>
      </c>
    </row>
    <row r="1078" spans="1:4" x14ac:dyDescent="0.3">
      <c r="A1078" t="s">
        <v>1582</v>
      </c>
      <c r="B1078">
        <v>1110204112</v>
      </c>
      <c r="C1078">
        <v>933</v>
      </c>
      <c r="D1078">
        <f>IF(쿼리1[[#This Row],[Value.Duration]]/100&lt;=10,10,ROUND(쿼리1[[#This Row],[Value.Duration]]/100*0.7,-1))</f>
        <v>10</v>
      </c>
    </row>
    <row r="1079" spans="1:4" x14ac:dyDescent="0.3">
      <c r="A1079" t="s">
        <v>1583</v>
      </c>
      <c r="B1079">
        <v>1110204113</v>
      </c>
      <c r="C1079">
        <v>1600</v>
      </c>
      <c r="D1079">
        <f>IF(쿼리1[[#This Row],[Value.Duration]]/100&lt;=10,10,ROUND(쿼리1[[#This Row],[Value.Duration]]/100*0.7,-1))</f>
        <v>10</v>
      </c>
    </row>
    <row r="1080" spans="1:4" x14ac:dyDescent="0.3">
      <c r="A1080" t="s">
        <v>1584</v>
      </c>
      <c r="B1080">
        <v>1110204114</v>
      </c>
      <c r="C1080">
        <v>666</v>
      </c>
      <c r="D1080">
        <f>IF(쿼리1[[#This Row],[Value.Duration]]/100&lt;=10,10,ROUND(쿼리1[[#This Row],[Value.Duration]]/100*0.7,-1))</f>
        <v>10</v>
      </c>
    </row>
    <row r="1081" spans="1:4" x14ac:dyDescent="0.3">
      <c r="A1081" t="s">
        <v>1585</v>
      </c>
      <c r="B1081">
        <v>1110204115</v>
      </c>
      <c r="C1081">
        <v>666</v>
      </c>
      <c r="D1081">
        <f>IF(쿼리1[[#This Row],[Value.Duration]]/100&lt;=10,10,ROUND(쿼리1[[#This Row],[Value.Duration]]/100*0.7,-1))</f>
        <v>10</v>
      </c>
    </row>
    <row r="1082" spans="1:4" x14ac:dyDescent="0.3">
      <c r="A1082" t="s">
        <v>1586</v>
      </c>
      <c r="B1082">
        <v>1110204116</v>
      </c>
      <c r="C1082">
        <v>466</v>
      </c>
      <c r="D1082">
        <f>IF(쿼리1[[#This Row],[Value.Duration]]/100&lt;=10,10,ROUND(쿼리1[[#This Row],[Value.Duration]]/100*0.7,-1))</f>
        <v>10</v>
      </c>
    </row>
    <row r="1083" spans="1:4" x14ac:dyDescent="0.3">
      <c r="A1083" t="s">
        <v>1587</v>
      </c>
      <c r="B1083">
        <v>1110204117</v>
      </c>
      <c r="C1083">
        <v>1066</v>
      </c>
      <c r="D1083">
        <f>IF(쿼리1[[#This Row],[Value.Duration]]/100&lt;=10,10,ROUND(쿼리1[[#This Row],[Value.Duration]]/100*0.7,-1))</f>
        <v>10</v>
      </c>
    </row>
    <row r="1084" spans="1:4" x14ac:dyDescent="0.3">
      <c r="A1084" t="s">
        <v>1588</v>
      </c>
      <c r="B1084">
        <v>1110204118</v>
      </c>
      <c r="C1084">
        <v>866</v>
      </c>
      <c r="D1084">
        <f>IF(쿼리1[[#This Row],[Value.Duration]]/100&lt;=10,10,ROUND(쿼리1[[#This Row],[Value.Duration]]/100*0.7,-1))</f>
        <v>10</v>
      </c>
    </row>
    <row r="1085" spans="1:4" x14ac:dyDescent="0.3">
      <c r="A1085" t="s">
        <v>1589</v>
      </c>
      <c r="B1085">
        <v>1110204119</v>
      </c>
      <c r="C1085">
        <v>666</v>
      </c>
      <c r="D1085">
        <f>IF(쿼리1[[#This Row],[Value.Duration]]/100&lt;=10,10,ROUND(쿼리1[[#This Row],[Value.Duration]]/100*0.7,-1))</f>
        <v>10</v>
      </c>
    </row>
    <row r="1086" spans="1:4" x14ac:dyDescent="0.3">
      <c r="A1086" t="s">
        <v>1590</v>
      </c>
      <c r="B1086">
        <v>1110204120</v>
      </c>
      <c r="C1086">
        <v>500</v>
      </c>
      <c r="D1086">
        <f>IF(쿼리1[[#This Row],[Value.Duration]]/100&lt;=10,10,ROUND(쿼리1[[#This Row],[Value.Duration]]/100*0.7,-1))</f>
        <v>10</v>
      </c>
    </row>
    <row r="1087" spans="1:4" x14ac:dyDescent="0.3">
      <c r="A1087" t="s">
        <v>1591</v>
      </c>
      <c r="B1087">
        <v>1110204121</v>
      </c>
      <c r="C1087">
        <v>1500</v>
      </c>
      <c r="D1087">
        <f>IF(쿼리1[[#This Row],[Value.Duration]]/100&lt;=10,10,ROUND(쿼리1[[#This Row],[Value.Duration]]/100*0.7,-1))</f>
        <v>10</v>
      </c>
    </row>
    <row r="1088" spans="1:4" x14ac:dyDescent="0.3">
      <c r="A1088" t="s">
        <v>1592</v>
      </c>
      <c r="B1088">
        <v>1110204122</v>
      </c>
      <c r="C1088">
        <v>933</v>
      </c>
      <c r="D1088">
        <f>IF(쿼리1[[#This Row],[Value.Duration]]/100&lt;=10,10,ROUND(쿼리1[[#This Row],[Value.Duration]]/100*0.7,-1))</f>
        <v>10</v>
      </c>
    </row>
    <row r="1089" spans="1:4" x14ac:dyDescent="0.3">
      <c r="A1089" t="s">
        <v>1593</v>
      </c>
      <c r="B1089">
        <v>1110204201</v>
      </c>
      <c r="C1089">
        <v>1333</v>
      </c>
      <c r="D1089">
        <f>IF(쿼리1[[#This Row],[Value.Duration]]/100&lt;=10,10,ROUND(쿼리1[[#This Row],[Value.Duration]]/100*0.7,-1))</f>
        <v>10</v>
      </c>
    </row>
    <row r="1090" spans="1:4" x14ac:dyDescent="0.3">
      <c r="A1090" t="s">
        <v>1594</v>
      </c>
      <c r="B1090">
        <v>1110204202</v>
      </c>
      <c r="C1090">
        <v>933</v>
      </c>
      <c r="D1090">
        <f>IF(쿼리1[[#This Row],[Value.Duration]]/100&lt;=10,10,ROUND(쿼리1[[#This Row],[Value.Duration]]/100*0.7,-1))</f>
        <v>10</v>
      </c>
    </row>
    <row r="1091" spans="1:4" x14ac:dyDescent="0.3">
      <c r="A1091" t="s">
        <v>1595</v>
      </c>
      <c r="B1091">
        <v>1110204203</v>
      </c>
      <c r="C1091">
        <v>800</v>
      </c>
      <c r="D1091">
        <f>IF(쿼리1[[#This Row],[Value.Duration]]/100&lt;=10,10,ROUND(쿼리1[[#This Row],[Value.Duration]]/100*0.7,-1))</f>
        <v>10</v>
      </c>
    </row>
    <row r="1092" spans="1:4" x14ac:dyDescent="0.3">
      <c r="A1092" t="s">
        <v>1596</v>
      </c>
      <c r="B1092">
        <v>1110204301</v>
      </c>
      <c r="C1092">
        <v>600</v>
      </c>
      <c r="D1092">
        <f>IF(쿼리1[[#This Row],[Value.Duration]]/100&lt;=10,10,ROUND(쿼리1[[#This Row],[Value.Duration]]/100*0.7,-1))</f>
        <v>10</v>
      </c>
    </row>
    <row r="1093" spans="1:4" x14ac:dyDescent="0.3">
      <c r="A1093" t="s">
        <v>1597</v>
      </c>
      <c r="B1093">
        <v>1110204302</v>
      </c>
      <c r="C1093">
        <v>600</v>
      </c>
      <c r="D1093">
        <f>IF(쿼리1[[#This Row],[Value.Duration]]/100&lt;=10,10,ROUND(쿼리1[[#This Row],[Value.Duration]]/100*0.7,-1))</f>
        <v>10</v>
      </c>
    </row>
    <row r="1094" spans="1:4" x14ac:dyDescent="0.3">
      <c r="A1094" t="s">
        <v>1598</v>
      </c>
      <c r="B1094">
        <v>1110205101</v>
      </c>
      <c r="C1094">
        <v>800</v>
      </c>
      <c r="D1094">
        <f>IF(쿼리1[[#This Row],[Value.Duration]]/100&lt;=10,10,ROUND(쿼리1[[#This Row],[Value.Duration]]/100*0.7,-1))</f>
        <v>10</v>
      </c>
    </row>
    <row r="1095" spans="1:4" x14ac:dyDescent="0.3">
      <c r="A1095" t="s">
        <v>1599</v>
      </c>
      <c r="B1095">
        <v>1110205102</v>
      </c>
      <c r="C1095">
        <v>800</v>
      </c>
      <c r="D1095">
        <f>IF(쿼리1[[#This Row],[Value.Duration]]/100&lt;=10,10,ROUND(쿼리1[[#This Row],[Value.Duration]]/100*0.7,-1))</f>
        <v>10</v>
      </c>
    </row>
    <row r="1096" spans="1:4" x14ac:dyDescent="0.3">
      <c r="A1096" t="s">
        <v>1600</v>
      </c>
      <c r="B1096">
        <v>1110205103</v>
      </c>
      <c r="C1096">
        <v>800</v>
      </c>
      <c r="D1096">
        <f>IF(쿼리1[[#This Row],[Value.Duration]]/100&lt;=10,10,ROUND(쿼리1[[#This Row],[Value.Duration]]/100*0.7,-1))</f>
        <v>10</v>
      </c>
    </row>
    <row r="1097" spans="1:4" x14ac:dyDescent="0.3">
      <c r="A1097" t="s">
        <v>1601</v>
      </c>
      <c r="B1097">
        <v>1110205104</v>
      </c>
      <c r="C1097">
        <v>533</v>
      </c>
      <c r="D1097">
        <f>IF(쿼리1[[#This Row],[Value.Duration]]/100&lt;=10,10,ROUND(쿼리1[[#This Row],[Value.Duration]]/100*0.7,-1))</f>
        <v>10</v>
      </c>
    </row>
    <row r="1098" spans="1:4" x14ac:dyDescent="0.3">
      <c r="A1098" t="s">
        <v>1602</v>
      </c>
      <c r="B1098">
        <v>1110205105</v>
      </c>
      <c r="C1098">
        <v>666</v>
      </c>
      <c r="D1098">
        <f>IF(쿼리1[[#This Row],[Value.Duration]]/100&lt;=10,10,ROUND(쿼리1[[#This Row],[Value.Duration]]/100*0.7,-1))</f>
        <v>10</v>
      </c>
    </row>
    <row r="1099" spans="1:4" x14ac:dyDescent="0.3">
      <c r="A1099" t="s">
        <v>1603</v>
      </c>
      <c r="B1099">
        <v>1110205106</v>
      </c>
      <c r="C1099">
        <v>666</v>
      </c>
      <c r="D1099">
        <f>IF(쿼리1[[#This Row],[Value.Duration]]/100&lt;=10,10,ROUND(쿼리1[[#This Row],[Value.Duration]]/100*0.7,-1))</f>
        <v>10</v>
      </c>
    </row>
    <row r="1100" spans="1:4" x14ac:dyDescent="0.3">
      <c r="A1100" t="s">
        <v>1604</v>
      </c>
      <c r="B1100">
        <v>1110205107</v>
      </c>
      <c r="C1100">
        <v>600</v>
      </c>
      <c r="D1100">
        <f>IF(쿼리1[[#This Row],[Value.Duration]]/100&lt;=10,10,ROUND(쿼리1[[#This Row],[Value.Duration]]/100*0.7,-1))</f>
        <v>10</v>
      </c>
    </row>
    <row r="1101" spans="1:4" x14ac:dyDescent="0.3">
      <c r="A1101" t="s">
        <v>1605</v>
      </c>
      <c r="B1101">
        <v>1110205108</v>
      </c>
      <c r="C1101">
        <v>766</v>
      </c>
      <c r="D1101">
        <f>IF(쿼리1[[#This Row],[Value.Duration]]/100&lt;=10,10,ROUND(쿼리1[[#This Row],[Value.Duration]]/100*0.7,-1))</f>
        <v>10</v>
      </c>
    </row>
    <row r="1102" spans="1:4" x14ac:dyDescent="0.3">
      <c r="A1102" t="s">
        <v>1606</v>
      </c>
      <c r="B1102">
        <v>1110205109</v>
      </c>
      <c r="C1102">
        <v>1066</v>
      </c>
      <c r="D1102">
        <f>IF(쿼리1[[#This Row],[Value.Duration]]/100&lt;=10,10,ROUND(쿼리1[[#This Row],[Value.Duration]]/100*0.7,-1))</f>
        <v>10</v>
      </c>
    </row>
    <row r="1103" spans="1:4" x14ac:dyDescent="0.3">
      <c r="A1103" t="s">
        <v>1607</v>
      </c>
      <c r="B1103">
        <v>1110205110</v>
      </c>
      <c r="C1103">
        <v>2700</v>
      </c>
      <c r="D1103">
        <f>IF(쿼리1[[#This Row],[Value.Duration]]/100&lt;=10,10,ROUND(쿼리1[[#This Row],[Value.Duration]]/100*0.7,-1))</f>
        <v>20</v>
      </c>
    </row>
    <row r="1104" spans="1:4" x14ac:dyDescent="0.3">
      <c r="A1104" t="s">
        <v>1608</v>
      </c>
      <c r="B1104">
        <v>1110205111</v>
      </c>
      <c r="C1104">
        <v>800</v>
      </c>
      <c r="D1104">
        <f>IF(쿼리1[[#This Row],[Value.Duration]]/100&lt;=10,10,ROUND(쿼리1[[#This Row],[Value.Duration]]/100*0.7,-1))</f>
        <v>10</v>
      </c>
    </row>
    <row r="1105" spans="1:4" x14ac:dyDescent="0.3">
      <c r="A1105" t="s">
        <v>1609</v>
      </c>
      <c r="B1105">
        <v>1110205112</v>
      </c>
      <c r="C1105">
        <v>800</v>
      </c>
      <c r="D1105">
        <f>IF(쿼리1[[#This Row],[Value.Duration]]/100&lt;=10,10,ROUND(쿼리1[[#This Row],[Value.Duration]]/100*0.7,-1))</f>
        <v>10</v>
      </c>
    </row>
    <row r="1106" spans="1:4" x14ac:dyDescent="0.3">
      <c r="A1106" t="s">
        <v>1610</v>
      </c>
      <c r="B1106">
        <v>1110205113</v>
      </c>
      <c r="C1106">
        <v>800</v>
      </c>
      <c r="D1106">
        <f>IF(쿼리1[[#This Row],[Value.Duration]]/100&lt;=10,10,ROUND(쿼리1[[#This Row],[Value.Duration]]/100*0.7,-1))</f>
        <v>10</v>
      </c>
    </row>
    <row r="1107" spans="1:4" x14ac:dyDescent="0.3">
      <c r="A1107" t="s">
        <v>1611</v>
      </c>
      <c r="B1107">
        <v>1110205114</v>
      </c>
      <c r="C1107">
        <v>533</v>
      </c>
      <c r="D1107">
        <f>IF(쿼리1[[#This Row],[Value.Duration]]/100&lt;=10,10,ROUND(쿼리1[[#This Row],[Value.Duration]]/100*0.7,-1))</f>
        <v>10</v>
      </c>
    </row>
    <row r="1108" spans="1:4" x14ac:dyDescent="0.3">
      <c r="A1108" t="s">
        <v>1612</v>
      </c>
      <c r="B1108">
        <v>1110205115</v>
      </c>
      <c r="C1108">
        <v>666</v>
      </c>
      <c r="D1108">
        <f>IF(쿼리1[[#This Row],[Value.Duration]]/100&lt;=10,10,ROUND(쿼리1[[#This Row],[Value.Duration]]/100*0.7,-1))</f>
        <v>10</v>
      </c>
    </row>
    <row r="1109" spans="1:4" x14ac:dyDescent="0.3">
      <c r="A1109" t="s">
        <v>1613</v>
      </c>
      <c r="B1109">
        <v>1110205116</v>
      </c>
      <c r="C1109">
        <v>666</v>
      </c>
      <c r="D1109">
        <f>IF(쿼리1[[#This Row],[Value.Duration]]/100&lt;=10,10,ROUND(쿼리1[[#This Row],[Value.Duration]]/100*0.7,-1))</f>
        <v>10</v>
      </c>
    </row>
    <row r="1110" spans="1:4" x14ac:dyDescent="0.3">
      <c r="A1110" t="s">
        <v>1614</v>
      </c>
      <c r="B1110">
        <v>1110205117</v>
      </c>
      <c r="C1110">
        <v>600</v>
      </c>
      <c r="D1110">
        <f>IF(쿼리1[[#This Row],[Value.Duration]]/100&lt;=10,10,ROUND(쿼리1[[#This Row],[Value.Duration]]/100*0.7,-1))</f>
        <v>10</v>
      </c>
    </row>
    <row r="1111" spans="1:4" x14ac:dyDescent="0.3">
      <c r="A1111" t="s">
        <v>1615</v>
      </c>
      <c r="B1111">
        <v>1110205118</v>
      </c>
      <c r="C1111">
        <v>766</v>
      </c>
      <c r="D1111">
        <f>IF(쿼리1[[#This Row],[Value.Duration]]/100&lt;=10,10,ROUND(쿼리1[[#This Row],[Value.Duration]]/100*0.7,-1))</f>
        <v>10</v>
      </c>
    </row>
    <row r="1112" spans="1:4" x14ac:dyDescent="0.3">
      <c r="A1112" t="s">
        <v>1616</v>
      </c>
      <c r="B1112">
        <v>1110205119</v>
      </c>
      <c r="C1112">
        <v>1066</v>
      </c>
      <c r="D1112">
        <f>IF(쿼리1[[#This Row],[Value.Duration]]/100&lt;=10,10,ROUND(쿼리1[[#This Row],[Value.Duration]]/100*0.7,-1))</f>
        <v>10</v>
      </c>
    </row>
    <row r="1113" spans="1:4" x14ac:dyDescent="0.3">
      <c r="A1113" t="s">
        <v>1617</v>
      </c>
      <c r="B1113">
        <v>1110205120</v>
      </c>
      <c r="C1113">
        <v>2700</v>
      </c>
      <c r="D1113">
        <f>IF(쿼리1[[#This Row],[Value.Duration]]/100&lt;=10,10,ROUND(쿼리1[[#This Row],[Value.Duration]]/100*0.7,-1))</f>
        <v>20</v>
      </c>
    </row>
    <row r="1114" spans="1:4" x14ac:dyDescent="0.3">
      <c r="A1114" t="s">
        <v>1618</v>
      </c>
      <c r="B1114">
        <v>1110205201</v>
      </c>
      <c r="C1114">
        <v>933</v>
      </c>
      <c r="D1114">
        <f>IF(쿼리1[[#This Row],[Value.Duration]]/100&lt;=10,10,ROUND(쿼리1[[#This Row],[Value.Duration]]/100*0.7,-1))</f>
        <v>10</v>
      </c>
    </row>
    <row r="1115" spans="1:4" x14ac:dyDescent="0.3">
      <c r="A1115" t="s">
        <v>1619</v>
      </c>
      <c r="B1115">
        <v>1110205202</v>
      </c>
      <c r="C1115">
        <v>800</v>
      </c>
      <c r="D1115">
        <f>IF(쿼리1[[#This Row],[Value.Duration]]/100&lt;=10,10,ROUND(쿼리1[[#This Row],[Value.Duration]]/100*0.7,-1))</f>
        <v>10</v>
      </c>
    </row>
    <row r="1116" spans="1:4" x14ac:dyDescent="0.3">
      <c r="A1116" t="s">
        <v>1620</v>
      </c>
      <c r="B1116">
        <v>1110205203</v>
      </c>
      <c r="C1116">
        <v>1500</v>
      </c>
      <c r="D1116">
        <f>IF(쿼리1[[#This Row],[Value.Duration]]/100&lt;=10,10,ROUND(쿼리1[[#This Row],[Value.Duration]]/100*0.7,-1))</f>
        <v>10</v>
      </c>
    </row>
    <row r="1117" spans="1:4" x14ac:dyDescent="0.3">
      <c r="A1117" t="s">
        <v>1621</v>
      </c>
      <c r="B1117">
        <v>1110205301</v>
      </c>
      <c r="C1117">
        <v>933</v>
      </c>
      <c r="D1117">
        <f>IF(쿼리1[[#This Row],[Value.Duration]]/100&lt;=10,10,ROUND(쿼리1[[#This Row],[Value.Duration]]/100*0.7,-1))</f>
        <v>10</v>
      </c>
    </row>
    <row r="1118" spans="1:4" x14ac:dyDescent="0.3">
      <c r="A1118" t="s">
        <v>2121</v>
      </c>
      <c r="B1118">
        <v>1110205302</v>
      </c>
      <c r="C1118">
        <v>933</v>
      </c>
      <c r="D1118">
        <f>IF(쿼리1[[#This Row],[Value.Duration]]/100&lt;=10,10,ROUND(쿼리1[[#This Row],[Value.Duration]]/100*0.7,-1))</f>
        <v>10</v>
      </c>
    </row>
    <row r="1119" spans="1:4" x14ac:dyDescent="0.3">
      <c r="A1119" t="s">
        <v>1622</v>
      </c>
      <c r="B1119">
        <v>1110206101</v>
      </c>
      <c r="C1119">
        <v>533</v>
      </c>
      <c r="D1119">
        <f>IF(쿼리1[[#This Row],[Value.Duration]]/100&lt;=10,10,ROUND(쿼리1[[#This Row],[Value.Duration]]/100*0.7,-1))</f>
        <v>10</v>
      </c>
    </row>
    <row r="1120" spans="1:4" x14ac:dyDescent="0.3">
      <c r="A1120" t="s">
        <v>1623</v>
      </c>
      <c r="B1120">
        <v>1110206102</v>
      </c>
      <c r="C1120">
        <v>400</v>
      </c>
      <c r="D1120">
        <f>IF(쿼리1[[#This Row],[Value.Duration]]/100&lt;=10,10,ROUND(쿼리1[[#This Row],[Value.Duration]]/100*0.7,-1))</f>
        <v>10</v>
      </c>
    </row>
    <row r="1121" spans="1:4" x14ac:dyDescent="0.3">
      <c r="A1121" t="s">
        <v>1624</v>
      </c>
      <c r="B1121">
        <v>1110206103</v>
      </c>
      <c r="C1121">
        <v>733</v>
      </c>
      <c r="D1121">
        <f>IF(쿼리1[[#This Row],[Value.Duration]]/100&lt;=10,10,ROUND(쿼리1[[#This Row],[Value.Duration]]/100*0.7,-1))</f>
        <v>10</v>
      </c>
    </row>
    <row r="1122" spans="1:4" x14ac:dyDescent="0.3">
      <c r="A1122" t="s">
        <v>1625</v>
      </c>
      <c r="B1122">
        <v>1110206104</v>
      </c>
      <c r="C1122">
        <v>800</v>
      </c>
      <c r="D1122">
        <f>IF(쿼리1[[#This Row],[Value.Duration]]/100&lt;=10,10,ROUND(쿼리1[[#This Row],[Value.Duration]]/100*0.7,-1))</f>
        <v>10</v>
      </c>
    </row>
    <row r="1123" spans="1:4" x14ac:dyDescent="0.3">
      <c r="A1123" t="s">
        <v>1626</v>
      </c>
      <c r="B1123">
        <v>1110206105</v>
      </c>
      <c r="C1123">
        <v>833</v>
      </c>
      <c r="D1123">
        <f>IF(쿼리1[[#This Row],[Value.Duration]]/100&lt;=10,10,ROUND(쿼리1[[#This Row],[Value.Duration]]/100*0.7,-1))</f>
        <v>10</v>
      </c>
    </row>
    <row r="1124" spans="1:4" x14ac:dyDescent="0.3">
      <c r="A1124" t="s">
        <v>1627</v>
      </c>
      <c r="B1124">
        <v>1110206106</v>
      </c>
      <c r="C1124">
        <v>533</v>
      </c>
      <c r="D1124">
        <f>IF(쿼리1[[#This Row],[Value.Duration]]/100&lt;=10,10,ROUND(쿼리1[[#This Row],[Value.Duration]]/100*0.7,-1))</f>
        <v>10</v>
      </c>
    </row>
    <row r="1125" spans="1:4" x14ac:dyDescent="0.3">
      <c r="A1125" t="s">
        <v>1628</v>
      </c>
      <c r="B1125">
        <v>1110206107</v>
      </c>
      <c r="C1125">
        <v>533</v>
      </c>
      <c r="D1125">
        <f>IF(쿼리1[[#This Row],[Value.Duration]]/100&lt;=10,10,ROUND(쿼리1[[#This Row],[Value.Duration]]/100*0.7,-1))</f>
        <v>10</v>
      </c>
    </row>
    <row r="1126" spans="1:4" x14ac:dyDescent="0.3">
      <c r="A1126" t="s">
        <v>1629</v>
      </c>
      <c r="B1126">
        <v>1110206108</v>
      </c>
      <c r="C1126">
        <v>1133</v>
      </c>
      <c r="D1126">
        <f>IF(쿼리1[[#This Row],[Value.Duration]]/100&lt;=10,10,ROUND(쿼리1[[#This Row],[Value.Duration]]/100*0.7,-1))</f>
        <v>10</v>
      </c>
    </row>
    <row r="1127" spans="1:4" x14ac:dyDescent="0.3">
      <c r="A1127" t="s">
        <v>1630</v>
      </c>
      <c r="B1127">
        <v>1110206109</v>
      </c>
      <c r="C1127">
        <v>1133</v>
      </c>
      <c r="D1127">
        <f>IF(쿼리1[[#This Row],[Value.Duration]]/100&lt;=10,10,ROUND(쿼리1[[#This Row],[Value.Duration]]/100*0.7,-1))</f>
        <v>10</v>
      </c>
    </row>
    <row r="1128" spans="1:4" x14ac:dyDescent="0.3">
      <c r="A1128" t="s">
        <v>1631</v>
      </c>
      <c r="B1128">
        <v>1110206110</v>
      </c>
      <c r="C1128">
        <v>533</v>
      </c>
      <c r="D1128">
        <f>IF(쿼리1[[#This Row],[Value.Duration]]/100&lt;=10,10,ROUND(쿼리1[[#This Row],[Value.Duration]]/100*0.7,-1))</f>
        <v>10</v>
      </c>
    </row>
    <row r="1129" spans="1:4" x14ac:dyDescent="0.3">
      <c r="A1129" t="s">
        <v>1632</v>
      </c>
      <c r="B1129">
        <v>1110206111</v>
      </c>
      <c r="C1129">
        <v>400</v>
      </c>
      <c r="D1129">
        <f>IF(쿼리1[[#This Row],[Value.Duration]]/100&lt;=10,10,ROUND(쿼리1[[#This Row],[Value.Duration]]/100*0.7,-1))</f>
        <v>10</v>
      </c>
    </row>
    <row r="1130" spans="1:4" x14ac:dyDescent="0.3">
      <c r="A1130" t="s">
        <v>1633</v>
      </c>
      <c r="B1130">
        <v>1110206112</v>
      </c>
      <c r="C1130">
        <v>733</v>
      </c>
      <c r="D1130">
        <f>IF(쿼리1[[#This Row],[Value.Duration]]/100&lt;=10,10,ROUND(쿼리1[[#This Row],[Value.Duration]]/100*0.7,-1))</f>
        <v>10</v>
      </c>
    </row>
    <row r="1131" spans="1:4" x14ac:dyDescent="0.3">
      <c r="A1131" t="s">
        <v>1634</v>
      </c>
      <c r="B1131">
        <v>1110206113</v>
      </c>
      <c r="C1131">
        <v>800</v>
      </c>
      <c r="D1131">
        <f>IF(쿼리1[[#This Row],[Value.Duration]]/100&lt;=10,10,ROUND(쿼리1[[#This Row],[Value.Duration]]/100*0.7,-1))</f>
        <v>10</v>
      </c>
    </row>
    <row r="1132" spans="1:4" x14ac:dyDescent="0.3">
      <c r="A1132" t="s">
        <v>1635</v>
      </c>
      <c r="B1132">
        <v>1110206114</v>
      </c>
      <c r="C1132">
        <v>833</v>
      </c>
      <c r="D1132">
        <f>IF(쿼리1[[#This Row],[Value.Duration]]/100&lt;=10,10,ROUND(쿼리1[[#This Row],[Value.Duration]]/100*0.7,-1))</f>
        <v>10</v>
      </c>
    </row>
    <row r="1133" spans="1:4" x14ac:dyDescent="0.3">
      <c r="A1133" t="s">
        <v>1636</v>
      </c>
      <c r="B1133">
        <v>1110206115</v>
      </c>
      <c r="C1133">
        <v>533</v>
      </c>
      <c r="D1133">
        <f>IF(쿼리1[[#This Row],[Value.Duration]]/100&lt;=10,10,ROUND(쿼리1[[#This Row],[Value.Duration]]/100*0.7,-1))</f>
        <v>10</v>
      </c>
    </row>
    <row r="1134" spans="1:4" x14ac:dyDescent="0.3">
      <c r="A1134" t="s">
        <v>1637</v>
      </c>
      <c r="B1134">
        <v>1110206116</v>
      </c>
      <c r="C1134">
        <v>533</v>
      </c>
      <c r="D1134">
        <f>IF(쿼리1[[#This Row],[Value.Duration]]/100&lt;=10,10,ROUND(쿼리1[[#This Row],[Value.Duration]]/100*0.7,-1))</f>
        <v>10</v>
      </c>
    </row>
    <row r="1135" spans="1:4" x14ac:dyDescent="0.3">
      <c r="A1135" t="s">
        <v>1638</v>
      </c>
      <c r="B1135">
        <v>1110206117</v>
      </c>
      <c r="C1135">
        <v>1133</v>
      </c>
      <c r="D1135">
        <f>IF(쿼리1[[#This Row],[Value.Duration]]/100&lt;=10,10,ROUND(쿼리1[[#This Row],[Value.Duration]]/100*0.7,-1))</f>
        <v>10</v>
      </c>
    </row>
    <row r="1136" spans="1:4" x14ac:dyDescent="0.3">
      <c r="A1136" t="s">
        <v>1639</v>
      </c>
      <c r="B1136">
        <v>1110206118</v>
      </c>
      <c r="C1136">
        <v>1133</v>
      </c>
      <c r="D1136">
        <f>IF(쿼리1[[#This Row],[Value.Duration]]/100&lt;=10,10,ROUND(쿼리1[[#This Row],[Value.Duration]]/100*0.7,-1))</f>
        <v>10</v>
      </c>
    </row>
    <row r="1137" spans="1:4" x14ac:dyDescent="0.3">
      <c r="A1137" t="s">
        <v>1640</v>
      </c>
      <c r="B1137">
        <v>1110206201</v>
      </c>
      <c r="C1137">
        <v>1000</v>
      </c>
      <c r="D1137">
        <f>IF(쿼리1[[#This Row],[Value.Duration]]/100&lt;=10,10,ROUND(쿼리1[[#This Row],[Value.Duration]]/100*0.7,-1))</f>
        <v>10</v>
      </c>
    </row>
    <row r="1138" spans="1:4" x14ac:dyDescent="0.3">
      <c r="A1138" t="s">
        <v>1641</v>
      </c>
      <c r="B1138">
        <v>1110206202</v>
      </c>
      <c r="C1138">
        <v>800</v>
      </c>
      <c r="D1138">
        <f>IF(쿼리1[[#This Row],[Value.Duration]]/100&lt;=10,10,ROUND(쿼리1[[#This Row],[Value.Duration]]/100*0.7,-1))</f>
        <v>10</v>
      </c>
    </row>
    <row r="1139" spans="1:4" x14ac:dyDescent="0.3">
      <c r="A1139" t="s">
        <v>1642</v>
      </c>
      <c r="B1139">
        <v>1110206203</v>
      </c>
      <c r="C1139">
        <v>666</v>
      </c>
      <c r="D1139">
        <f>IF(쿼리1[[#This Row],[Value.Duration]]/100&lt;=10,10,ROUND(쿼리1[[#This Row],[Value.Duration]]/100*0.7,-1))</f>
        <v>10</v>
      </c>
    </row>
    <row r="1140" spans="1:4" x14ac:dyDescent="0.3">
      <c r="A1140" t="s">
        <v>1643</v>
      </c>
      <c r="B1140">
        <v>1110206301</v>
      </c>
      <c r="C1140">
        <v>1033</v>
      </c>
      <c r="D1140">
        <f>IF(쿼리1[[#This Row],[Value.Duration]]/100&lt;=10,10,ROUND(쿼리1[[#This Row],[Value.Duration]]/100*0.7,-1))</f>
        <v>10</v>
      </c>
    </row>
    <row r="1141" spans="1:4" x14ac:dyDescent="0.3">
      <c r="A1141" t="s">
        <v>1644</v>
      </c>
      <c r="B1141">
        <v>1110206302</v>
      </c>
      <c r="C1141">
        <v>1033</v>
      </c>
      <c r="D1141">
        <f>IF(쿼리1[[#This Row],[Value.Duration]]/100&lt;=10,10,ROUND(쿼리1[[#This Row],[Value.Duration]]/100*0.7,-1))</f>
        <v>10</v>
      </c>
    </row>
    <row r="1142" spans="1:4" x14ac:dyDescent="0.3">
      <c r="A1142" t="s">
        <v>1645</v>
      </c>
      <c r="B1142">
        <v>1110207101</v>
      </c>
      <c r="C1142">
        <v>533</v>
      </c>
      <c r="D1142">
        <f>IF(쿼리1[[#This Row],[Value.Duration]]/100&lt;=10,10,ROUND(쿼리1[[#This Row],[Value.Duration]]/100*0.7,-1))</f>
        <v>10</v>
      </c>
    </row>
    <row r="1143" spans="1:4" x14ac:dyDescent="0.3">
      <c r="A1143" t="s">
        <v>1646</v>
      </c>
      <c r="B1143">
        <v>1110207102</v>
      </c>
      <c r="C1143">
        <v>533</v>
      </c>
      <c r="D1143">
        <f>IF(쿼리1[[#This Row],[Value.Duration]]/100&lt;=10,10,ROUND(쿼리1[[#This Row],[Value.Duration]]/100*0.7,-1))</f>
        <v>10</v>
      </c>
    </row>
    <row r="1144" spans="1:4" x14ac:dyDescent="0.3">
      <c r="A1144" t="s">
        <v>1647</v>
      </c>
      <c r="B1144">
        <v>1110207103</v>
      </c>
      <c r="C1144">
        <v>466</v>
      </c>
      <c r="D1144">
        <f>IF(쿼리1[[#This Row],[Value.Duration]]/100&lt;=10,10,ROUND(쿼리1[[#This Row],[Value.Duration]]/100*0.7,-1))</f>
        <v>10</v>
      </c>
    </row>
    <row r="1145" spans="1:4" x14ac:dyDescent="0.3">
      <c r="A1145" t="s">
        <v>1648</v>
      </c>
      <c r="B1145">
        <v>1110207104</v>
      </c>
      <c r="C1145">
        <v>600</v>
      </c>
      <c r="D1145">
        <f>IF(쿼리1[[#This Row],[Value.Duration]]/100&lt;=10,10,ROUND(쿼리1[[#This Row],[Value.Duration]]/100*0.7,-1))</f>
        <v>10</v>
      </c>
    </row>
    <row r="1146" spans="1:4" x14ac:dyDescent="0.3">
      <c r="A1146" t="s">
        <v>1649</v>
      </c>
      <c r="B1146">
        <v>1110207105</v>
      </c>
      <c r="C1146">
        <v>466</v>
      </c>
      <c r="D1146">
        <f>IF(쿼리1[[#This Row],[Value.Duration]]/100&lt;=10,10,ROUND(쿼리1[[#This Row],[Value.Duration]]/100*0.7,-1))</f>
        <v>10</v>
      </c>
    </row>
    <row r="1147" spans="1:4" x14ac:dyDescent="0.3">
      <c r="A1147" t="s">
        <v>1650</v>
      </c>
      <c r="B1147">
        <v>1110207106</v>
      </c>
      <c r="C1147">
        <v>533</v>
      </c>
      <c r="D1147">
        <f>IF(쿼리1[[#This Row],[Value.Duration]]/100&lt;=10,10,ROUND(쿼리1[[#This Row],[Value.Duration]]/100*0.7,-1))</f>
        <v>10</v>
      </c>
    </row>
    <row r="1148" spans="1:4" x14ac:dyDescent="0.3">
      <c r="A1148" t="s">
        <v>1651</v>
      </c>
      <c r="B1148">
        <v>1110207107</v>
      </c>
      <c r="C1148">
        <v>933</v>
      </c>
      <c r="D1148">
        <f>IF(쿼리1[[#This Row],[Value.Duration]]/100&lt;=10,10,ROUND(쿼리1[[#This Row],[Value.Duration]]/100*0.7,-1))</f>
        <v>10</v>
      </c>
    </row>
    <row r="1149" spans="1:4" x14ac:dyDescent="0.3">
      <c r="A1149" t="s">
        <v>1652</v>
      </c>
      <c r="B1149">
        <v>1110207108</v>
      </c>
      <c r="C1149">
        <v>466</v>
      </c>
      <c r="D1149">
        <f>IF(쿼리1[[#This Row],[Value.Duration]]/100&lt;=10,10,ROUND(쿼리1[[#This Row],[Value.Duration]]/100*0.7,-1))</f>
        <v>10</v>
      </c>
    </row>
    <row r="1150" spans="1:4" x14ac:dyDescent="0.3">
      <c r="A1150" t="s">
        <v>1653</v>
      </c>
      <c r="B1150">
        <v>1110207109</v>
      </c>
      <c r="C1150">
        <v>666</v>
      </c>
      <c r="D1150">
        <f>IF(쿼리1[[#This Row],[Value.Duration]]/100&lt;=10,10,ROUND(쿼리1[[#This Row],[Value.Duration]]/100*0.7,-1))</f>
        <v>10</v>
      </c>
    </row>
    <row r="1151" spans="1:4" x14ac:dyDescent="0.3">
      <c r="A1151" t="s">
        <v>1654</v>
      </c>
      <c r="B1151">
        <v>1110207110</v>
      </c>
      <c r="C1151">
        <v>533</v>
      </c>
      <c r="D1151">
        <f>IF(쿼리1[[#This Row],[Value.Duration]]/100&lt;=10,10,ROUND(쿼리1[[#This Row],[Value.Duration]]/100*0.7,-1))</f>
        <v>10</v>
      </c>
    </row>
    <row r="1152" spans="1:4" x14ac:dyDescent="0.3">
      <c r="A1152" t="s">
        <v>1655</v>
      </c>
      <c r="B1152">
        <v>1110207111</v>
      </c>
      <c r="C1152">
        <v>533</v>
      </c>
      <c r="D1152">
        <f>IF(쿼리1[[#This Row],[Value.Duration]]/100&lt;=10,10,ROUND(쿼리1[[#This Row],[Value.Duration]]/100*0.7,-1))</f>
        <v>10</v>
      </c>
    </row>
    <row r="1153" spans="1:4" x14ac:dyDescent="0.3">
      <c r="A1153" t="s">
        <v>1656</v>
      </c>
      <c r="B1153">
        <v>1110207112</v>
      </c>
      <c r="C1153">
        <v>466</v>
      </c>
      <c r="D1153">
        <f>IF(쿼리1[[#This Row],[Value.Duration]]/100&lt;=10,10,ROUND(쿼리1[[#This Row],[Value.Duration]]/100*0.7,-1))</f>
        <v>10</v>
      </c>
    </row>
    <row r="1154" spans="1:4" x14ac:dyDescent="0.3">
      <c r="A1154" t="s">
        <v>1657</v>
      </c>
      <c r="B1154">
        <v>1110207113</v>
      </c>
      <c r="C1154">
        <v>600</v>
      </c>
      <c r="D1154">
        <f>IF(쿼리1[[#This Row],[Value.Duration]]/100&lt;=10,10,ROUND(쿼리1[[#This Row],[Value.Duration]]/100*0.7,-1))</f>
        <v>10</v>
      </c>
    </row>
    <row r="1155" spans="1:4" x14ac:dyDescent="0.3">
      <c r="A1155" t="s">
        <v>1658</v>
      </c>
      <c r="B1155">
        <v>1110207114</v>
      </c>
      <c r="C1155">
        <v>466</v>
      </c>
      <c r="D1155">
        <f>IF(쿼리1[[#This Row],[Value.Duration]]/100&lt;=10,10,ROUND(쿼리1[[#This Row],[Value.Duration]]/100*0.7,-1))</f>
        <v>10</v>
      </c>
    </row>
    <row r="1156" spans="1:4" x14ac:dyDescent="0.3">
      <c r="A1156" t="s">
        <v>1659</v>
      </c>
      <c r="B1156">
        <v>1110207115</v>
      </c>
      <c r="C1156">
        <v>533</v>
      </c>
      <c r="D1156">
        <f>IF(쿼리1[[#This Row],[Value.Duration]]/100&lt;=10,10,ROUND(쿼리1[[#This Row],[Value.Duration]]/100*0.7,-1))</f>
        <v>10</v>
      </c>
    </row>
    <row r="1157" spans="1:4" x14ac:dyDescent="0.3">
      <c r="A1157" t="s">
        <v>1660</v>
      </c>
      <c r="B1157">
        <v>1110207116</v>
      </c>
      <c r="C1157">
        <v>933</v>
      </c>
      <c r="D1157">
        <f>IF(쿼리1[[#This Row],[Value.Duration]]/100&lt;=10,10,ROUND(쿼리1[[#This Row],[Value.Duration]]/100*0.7,-1))</f>
        <v>10</v>
      </c>
    </row>
    <row r="1158" spans="1:4" x14ac:dyDescent="0.3">
      <c r="A1158" t="s">
        <v>1661</v>
      </c>
      <c r="B1158">
        <v>1110207117</v>
      </c>
      <c r="C1158">
        <v>466</v>
      </c>
      <c r="D1158">
        <f>IF(쿼리1[[#This Row],[Value.Duration]]/100&lt;=10,10,ROUND(쿼리1[[#This Row],[Value.Duration]]/100*0.7,-1))</f>
        <v>10</v>
      </c>
    </row>
    <row r="1159" spans="1:4" x14ac:dyDescent="0.3">
      <c r="A1159" t="s">
        <v>2122</v>
      </c>
      <c r="B1159">
        <v>1110207118</v>
      </c>
      <c r="C1159">
        <v>666</v>
      </c>
      <c r="D1159">
        <f>IF(쿼리1[[#This Row],[Value.Duration]]/100&lt;=10,10,ROUND(쿼리1[[#This Row],[Value.Duration]]/100*0.7,-1))</f>
        <v>10</v>
      </c>
    </row>
    <row r="1160" spans="1:4" x14ac:dyDescent="0.3">
      <c r="A1160" t="s">
        <v>1662</v>
      </c>
      <c r="B1160">
        <v>1110207201</v>
      </c>
      <c r="C1160">
        <v>666</v>
      </c>
      <c r="D1160">
        <f>IF(쿼리1[[#This Row],[Value.Duration]]/100&lt;=10,10,ROUND(쿼리1[[#This Row],[Value.Duration]]/100*0.7,-1))</f>
        <v>10</v>
      </c>
    </row>
    <row r="1161" spans="1:4" x14ac:dyDescent="0.3">
      <c r="A1161" t="s">
        <v>1663</v>
      </c>
      <c r="B1161">
        <v>1110207202</v>
      </c>
      <c r="C1161">
        <v>933</v>
      </c>
      <c r="D1161">
        <f>IF(쿼리1[[#This Row],[Value.Duration]]/100&lt;=10,10,ROUND(쿼리1[[#This Row],[Value.Duration]]/100*0.7,-1))</f>
        <v>10</v>
      </c>
    </row>
    <row r="1162" spans="1:4" x14ac:dyDescent="0.3">
      <c r="A1162" t="s">
        <v>1664</v>
      </c>
      <c r="B1162">
        <v>1110207203</v>
      </c>
      <c r="C1162">
        <v>1833</v>
      </c>
      <c r="D1162">
        <f>IF(쿼리1[[#This Row],[Value.Duration]]/100&lt;=10,10,ROUND(쿼리1[[#This Row],[Value.Duration]]/100*0.7,-1))</f>
        <v>10</v>
      </c>
    </row>
    <row r="1163" spans="1:4" x14ac:dyDescent="0.3">
      <c r="A1163" t="s">
        <v>1665</v>
      </c>
      <c r="B1163">
        <v>1110207301</v>
      </c>
      <c r="C1163">
        <v>800</v>
      </c>
      <c r="D1163">
        <f>IF(쿼리1[[#This Row],[Value.Duration]]/100&lt;=10,10,ROUND(쿼리1[[#This Row],[Value.Duration]]/100*0.7,-1))</f>
        <v>10</v>
      </c>
    </row>
    <row r="1164" spans="1:4" x14ac:dyDescent="0.3">
      <c r="A1164" t="s">
        <v>1666</v>
      </c>
      <c r="B1164">
        <v>1110207302</v>
      </c>
      <c r="C1164">
        <v>800</v>
      </c>
      <c r="D1164">
        <f>IF(쿼리1[[#This Row],[Value.Duration]]/100&lt;=10,10,ROUND(쿼리1[[#This Row],[Value.Duration]]/100*0.7,-1))</f>
        <v>10</v>
      </c>
    </row>
    <row r="1165" spans="1:4" x14ac:dyDescent="0.3">
      <c r="A1165" t="s">
        <v>1667</v>
      </c>
      <c r="B1165">
        <v>1110208101</v>
      </c>
      <c r="C1165">
        <v>533</v>
      </c>
      <c r="D1165">
        <f>IF(쿼리1[[#This Row],[Value.Duration]]/100&lt;=10,10,ROUND(쿼리1[[#This Row],[Value.Duration]]/100*0.7,-1))</f>
        <v>10</v>
      </c>
    </row>
    <row r="1166" spans="1:4" x14ac:dyDescent="0.3">
      <c r="A1166" t="s">
        <v>1668</v>
      </c>
      <c r="B1166">
        <v>1110208102</v>
      </c>
      <c r="C1166">
        <v>666</v>
      </c>
      <c r="D1166">
        <f>IF(쿼리1[[#This Row],[Value.Duration]]/100&lt;=10,10,ROUND(쿼리1[[#This Row],[Value.Duration]]/100*0.7,-1))</f>
        <v>10</v>
      </c>
    </row>
    <row r="1167" spans="1:4" x14ac:dyDescent="0.3">
      <c r="A1167" t="s">
        <v>1669</v>
      </c>
      <c r="B1167">
        <v>1110208103</v>
      </c>
      <c r="C1167">
        <v>733</v>
      </c>
      <c r="D1167">
        <f>IF(쿼리1[[#This Row],[Value.Duration]]/100&lt;=10,10,ROUND(쿼리1[[#This Row],[Value.Duration]]/100*0.7,-1))</f>
        <v>10</v>
      </c>
    </row>
    <row r="1168" spans="1:4" x14ac:dyDescent="0.3">
      <c r="A1168" t="s">
        <v>1670</v>
      </c>
      <c r="B1168">
        <v>1110208104</v>
      </c>
      <c r="C1168">
        <v>733</v>
      </c>
      <c r="D1168">
        <f>IF(쿼리1[[#This Row],[Value.Duration]]/100&lt;=10,10,ROUND(쿼리1[[#This Row],[Value.Duration]]/100*0.7,-1))</f>
        <v>10</v>
      </c>
    </row>
    <row r="1169" spans="1:4" x14ac:dyDescent="0.3">
      <c r="A1169" t="s">
        <v>1671</v>
      </c>
      <c r="B1169">
        <v>1110208105</v>
      </c>
      <c r="C1169">
        <v>733</v>
      </c>
      <c r="D1169">
        <f>IF(쿼리1[[#This Row],[Value.Duration]]/100&lt;=10,10,ROUND(쿼리1[[#This Row],[Value.Duration]]/100*0.7,-1))</f>
        <v>10</v>
      </c>
    </row>
    <row r="1170" spans="1:4" x14ac:dyDescent="0.3">
      <c r="A1170" t="s">
        <v>1672</v>
      </c>
      <c r="B1170">
        <v>1110208106</v>
      </c>
      <c r="C1170">
        <v>733</v>
      </c>
      <c r="D1170">
        <f>IF(쿼리1[[#This Row],[Value.Duration]]/100&lt;=10,10,ROUND(쿼리1[[#This Row],[Value.Duration]]/100*0.7,-1))</f>
        <v>10</v>
      </c>
    </row>
    <row r="1171" spans="1:4" x14ac:dyDescent="0.3">
      <c r="A1171" t="s">
        <v>1876</v>
      </c>
      <c r="B1171">
        <v>1110208107</v>
      </c>
      <c r="C1171">
        <v>1000</v>
      </c>
      <c r="D1171">
        <f>IF(쿼리1[[#This Row],[Value.Duration]]/100&lt;=10,10,ROUND(쿼리1[[#This Row],[Value.Duration]]/100*0.7,-1))</f>
        <v>10</v>
      </c>
    </row>
    <row r="1172" spans="1:4" x14ac:dyDescent="0.3">
      <c r="A1172" t="s">
        <v>1673</v>
      </c>
      <c r="B1172">
        <v>1110208108</v>
      </c>
      <c r="C1172">
        <v>733</v>
      </c>
      <c r="D1172">
        <f>IF(쿼리1[[#This Row],[Value.Duration]]/100&lt;=10,10,ROUND(쿼리1[[#This Row],[Value.Duration]]/100*0.7,-1))</f>
        <v>10</v>
      </c>
    </row>
    <row r="1173" spans="1:4" x14ac:dyDescent="0.3">
      <c r="A1173" t="s">
        <v>2123</v>
      </c>
      <c r="B1173">
        <v>1110208109</v>
      </c>
      <c r="C1173">
        <v>533</v>
      </c>
      <c r="D1173">
        <f>IF(쿼리1[[#This Row],[Value.Duration]]/100&lt;=10,10,ROUND(쿼리1[[#This Row],[Value.Duration]]/100*0.7,-1))</f>
        <v>10</v>
      </c>
    </row>
    <row r="1174" spans="1:4" x14ac:dyDescent="0.3">
      <c r="A1174" t="s">
        <v>2124</v>
      </c>
      <c r="B1174">
        <v>1110208110</v>
      </c>
      <c r="C1174">
        <v>666</v>
      </c>
      <c r="D1174">
        <f>IF(쿼리1[[#This Row],[Value.Duration]]/100&lt;=10,10,ROUND(쿼리1[[#This Row],[Value.Duration]]/100*0.7,-1))</f>
        <v>10</v>
      </c>
    </row>
    <row r="1175" spans="1:4" x14ac:dyDescent="0.3">
      <c r="A1175" t="s">
        <v>1674</v>
      </c>
      <c r="B1175">
        <v>1110208111</v>
      </c>
      <c r="C1175">
        <v>733</v>
      </c>
      <c r="D1175">
        <f>IF(쿼리1[[#This Row],[Value.Duration]]/100&lt;=10,10,ROUND(쿼리1[[#This Row],[Value.Duration]]/100*0.7,-1))</f>
        <v>10</v>
      </c>
    </row>
    <row r="1176" spans="1:4" x14ac:dyDescent="0.3">
      <c r="A1176" t="s">
        <v>1877</v>
      </c>
      <c r="B1176">
        <v>1110208112</v>
      </c>
      <c r="C1176">
        <v>733</v>
      </c>
      <c r="D1176">
        <f>IF(쿼리1[[#This Row],[Value.Duration]]/100&lt;=10,10,ROUND(쿼리1[[#This Row],[Value.Duration]]/100*0.7,-1))</f>
        <v>10</v>
      </c>
    </row>
    <row r="1177" spans="1:4" x14ac:dyDescent="0.3">
      <c r="A1177" t="s">
        <v>2125</v>
      </c>
      <c r="B1177">
        <v>1110208113</v>
      </c>
      <c r="C1177">
        <v>733</v>
      </c>
      <c r="D1177">
        <f>IF(쿼리1[[#This Row],[Value.Duration]]/100&lt;=10,10,ROUND(쿼리1[[#This Row],[Value.Duration]]/100*0.7,-1))</f>
        <v>10</v>
      </c>
    </row>
    <row r="1178" spans="1:4" x14ac:dyDescent="0.3">
      <c r="A1178" t="s">
        <v>2126</v>
      </c>
      <c r="B1178">
        <v>1110208114</v>
      </c>
      <c r="C1178">
        <v>733</v>
      </c>
      <c r="D1178">
        <f>IF(쿼리1[[#This Row],[Value.Duration]]/100&lt;=10,10,ROUND(쿼리1[[#This Row],[Value.Duration]]/100*0.7,-1))</f>
        <v>10</v>
      </c>
    </row>
    <row r="1179" spans="1:4" x14ac:dyDescent="0.3">
      <c r="A1179" t="s">
        <v>2127</v>
      </c>
      <c r="B1179">
        <v>1110208115</v>
      </c>
      <c r="C1179">
        <v>1000</v>
      </c>
      <c r="D1179">
        <f>IF(쿼리1[[#This Row],[Value.Duration]]/100&lt;=10,10,ROUND(쿼리1[[#This Row],[Value.Duration]]/100*0.7,-1))</f>
        <v>10</v>
      </c>
    </row>
    <row r="1180" spans="1:4" x14ac:dyDescent="0.3">
      <c r="A1180" t="s">
        <v>2128</v>
      </c>
      <c r="B1180">
        <v>1110208116</v>
      </c>
      <c r="C1180">
        <v>733</v>
      </c>
      <c r="D1180">
        <f>IF(쿼리1[[#This Row],[Value.Duration]]/100&lt;=10,10,ROUND(쿼리1[[#This Row],[Value.Duration]]/100*0.7,-1))</f>
        <v>10</v>
      </c>
    </row>
    <row r="1181" spans="1:4" x14ac:dyDescent="0.3">
      <c r="A1181" t="s">
        <v>2129</v>
      </c>
      <c r="B1181">
        <v>1110208117</v>
      </c>
      <c r="C1181">
        <v>733</v>
      </c>
      <c r="D1181">
        <f>IF(쿼리1[[#This Row],[Value.Duration]]/100&lt;=10,10,ROUND(쿼리1[[#This Row],[Value.Duration]]/100*0.7,-1))</f>
        <v>10</v>
      </c>
    </row>
    <row r="1182" spans="1:4" x14ac:dyDescent="0.3">
      <c r="A1182" t="s">
        <v>2130</v>
      </c>
      <c r="B1182">
        <v>1110208118</v>
      </c>
      <c r="C1182">
        <v>733</v>
      </c>
      <c r="D1182">
        <f>IF(쿼리1[[#This Row],[Value.Duration]]/100&lt;=10,10,ROUND(쿼리1[[#This Row],[Value.Duration]]/100*0.7,-1))</f>
        <v>10</v>
      </c>
    </row>
    <row r="1183" spans="1:4" x14ac:dyDescent="0.3">
      <c r="A1183" t="s">
        <v>2131</v>
      </c>
      <c r="B1183">
        <v>1110208201</v>
      </c>
      <c r="C1183">
        <v>1200</v>
      </c>
      <c r="D1183">
        <f>IF(쿼리1[[#This Row],[Value.Duration]]/100&lt;=10,10,ROUND(쿼리1[[#This Row],[Value.Duration]]/100*0.7,-1))</f>
        <v>10</v>
      </c>
    </row>
    <row r="1184" spans="1:4" x14ac:dyDescent="0.3">
      <c r="A1184" t="s">
        <v>2132</v>
      </c>
      <c r="B1184">
        <v>1110208202</v>
      </c>
      <c r="C1184">
        <v>1000</v>
      </c>
      <c r="D1184">
        <f>IF(쿼리1[[#This Row],[Value.Duration]]/100&lt;=10,10,ROUND(쿼리1[[#This Row],[Value.Duration]]/100*0.7,-1))</f>
        <v>10</v>
      </c>
    </row>
    <row r="1185" spans="1:4" x14ac:dyDescent="0.3">
      <c r="A1185" t="s">
        <v>2133</v>
      </c>
      <c r="B1185">
        <v>1110208203</v>
      </c>
      <c r="C1185">
        <v>1600</v>
      </c>
      <c r="D1185">
        <f>IF(쿼리1[[#This Row],[Value.Duration]]/100&lt;=10,10,ROUND(쿼리1[[#This Row],[Value.Duration]]/100*0.7,-1))</f>
        <v>10</v>
      </c>
    </row>
    <row r="1186" spans="1:4" x14ac:dyDescent="0.3">
      <c r="A1186" t="s">
        <v>2134</v>
      </c>
      <c r="B1186">
        <v>1110208301</v>
      </c>
      <c r="C1186">
        <v>1600</v>
      </c>
      <c r="D1186">
        <f>IF(쿼리1[[#This Row],[Value.Duration]]/100&lt;=10,10,ROUND(쿼리1[[#This Row],[Value.Duration]]/100*0.7,-1))</f>
        <v>10</v>
      </c>
    </row>
    <row r="1187" spans="1:4" x14ac:dyDescent="0.3">
      <c r="A1187" t="s">
        <v>2135</v>
      </c>
      <c r="B1187">
        <v>1110208302</v>
      </c>
      <c r="C1187">
        <v>1733</v>
      </c>
      <c r="D1187">
        <f>IF(쿼리1[[#This Row],[Value.Duration]]/100&lt;=10,10,ROUND(쿼리1[[#This Row],[Value.Duration]]/100*0.7,-1))</f>
        <v>10</v>
      </c>
    </row>
    <row r="1188" spans="1:4" x14ac:dyDescent="0.3">
      <c r="A1188" t="s">
        <v>3333</v>
      </c>
      <c r="B1188">
        <v>1110209301</v>
      </c>
      <c r="C1188">
        <v>1666</v>
      </c>
      <c r="D1188">
        <f>IF(쿼리1[[#This Row],[Value.Duration]]/100&lt;=10,10,ROUND(쿼리1[[#This Row],[Value.Duration]]/100*0.7,-1))</f>
        <v>10</v>
      </c>
    </row>
    <row r="1189" spans="1:4" x14ac:dyDescent="0.3">
      <c r="A1189" t="s">
        <v>3334</v>
      </c>
      <c r="B1189">
        <v>1110210301</v>
      </c>
      <c r="C1189">
        <v>1733</v>
      </c>
      <c r="D1189">
        <f>IF(쿼리1[[#This Row],[Value.Duration]]/100&lt;=10,10,ROUND(쿼리1[[#This Row],[Value.Duration]]/100*0.7,-1))</f>
        <v>10</v>
      </c>
    </row>
    <row r="1190" spans="1:4" x14ac:dyDescent="0.3">
      <c r="A1190" t="s">
        <v>2136</v>
      </c>
      <c r="B1190">
        <v>1210201101</v>
      </c>
      <c r="C1190">
        <v>1633</v>
      </c>
      <c r="D1190">
        <f>IF(쿼리1[[#This Row],[Value.Duration]]/100&lt;=10,10,ROUND(쿼리1[[#This Row],[Value.Duration]]/100*0.7,-1))</f>
        <v>10</v>
      </c>
    </row>
    <row r="1191" spans="1:4" x14ac:dyDescent="0.3">
      <c r="A1191" t="s">
        <v>2137</v>
      </c>
      <c r="B1191">
        <v>1210201102</v>
      </c>
      <c r="C1191">
        <v>4000</v>
      </c>
      <c r="D1191">
        <f>IF(쿼리1[[#This Row],[Value.Duration]]/100&lt;=10,10,ROUND(쿼리1[[#This Row],[Value.Duration]]/100*0.7,-1))</f>
        <v>30</v>
      </c>
    </row>
    <row r="1192" spans="1:4" x14ac:dyDescent="0.3">
      <c r="A1192" t="s">
        <v>2138</v>
      </c>
      <c r="B1192">
        <v>1210201103</v>
      </c>
      <c r="C1192">
        <v>800</v>
      </c>
      <c r="D1192">
        <f>IF(쿼리1[[#This Row],[Value.Duration]]/100&lt;=10,10,ROUND(쿼리1[[#This Row],[Value.Duration]]/100*0.7,-1))</f>
        <v>10</v>
      </c>
    </row>
    <row r="1193" spans="1:4" x14ac:dyDescent="0.3">
      <c r="A1193" t="s">
        <v>2139</v>
      </c>
      <c r="B1193">
        <v>1210201104</v>
      </c>
      <c r="C1193">
        <v>1666</v>
      </c>
      <c r="D1193">
        <f>IF(쿼리1[[#This Row],[Value.Duration]]/100&lt;=10,10,ROUND(쿼리1[[#This Row],[Value.Duration]]/100*0.7,-1))</f>
        <v>10</v>
      </c>
    </row>
    <row r="1194" spans="1:4" x14ac:dyDescent="0.3">
      <c r="A1194" t="s">
        <v>2140</v>
      </c>
      <c r="B1194">
        <v>1210201105</v>
      </c>
      <c r="C1194">
        <v>666</v>
      </c>
      <c r="D1194">
        <f>IF(쿼리1[[#This Row],[Value.Duration]]/100&lt;=10,10,ROUND(쿼리1[[#This Row],[Value.Duration]]/100*0.7,-1))</f>
        <v>10</v>
      </c>
    </row>
    <row r="1195" spans="1:4" x14ac:dyDescent="0.3">
      <c r="A1195" t="s">
        <v>2141</v>
      </c>
      <c r="B1195">
        <v>1210201106</v>
      </c>
      <c r="C1195">
        <v>666</v>
      </c>
      <c r="D1195">
        <f>IF(쿼리1[[#This Row],[Value.Duration]]/100&lt;=10,10,ROUND(쿼리1[[#This Row],[Value.Duration]]/100*0.7,-1))</f>
        <v>10</v>
      </c>
    </row>
    <row r="1196" spans="1:4" x14ac:dyDescent="0.3">
      <c r="A1196" t="s">
        <v>2142</v>
      </c>
      <c r="B1196">
        <v>1210201107</v>
      </c>
      <c r="C1196">
        <v>600</v>
      </c>
      <c r="D1196">
        <f>IF(쿼리1[[#This Row],[Value.Duration]]/100&lt;=10,10,ROUND(쿼리1[[#This Row],[Value.Duration]]/100*0.7,-1))</f>
        <v>10</v>
      </c>
    </row>
    <row r="1197" spans="1:4" x14ac:dyDescent="0.3">
      <c r="A1197" t="s">
        <v>2143</v>
      </c>
      <c r="B1197">
        <v>1210201108</v>
      </c>
      <c r="C1197">
        <v>733</v>
      </c>
      <c r="D1197">
        <f>IF(쿼리1[[#This Row],[Value.Duration]]/100&lt;=10,10,ROUND(쿼리1[[#This Row],[Value.Duration]]/100*0.7,-1))</f>
        <v>10</v>
      </c>
    </row>
    <row r="1198" spans="1:4" x14ac:dyDescent="0.3">
      <c r="A1198" t="s">
        <v>2144</v>
      </c>
      <c r="B1198">
        <v>1210201109</v>
      </c>
      <c r="C1198">
        <v>800</v>
      </c>
      <c r="D1198">
        <f>IF(쿼리1[[#This Row],[Value.Duration]]/100&lt;=10,10,ROUND(쿼리1[[#This Row],[Value.Duration]]/100*0.7,-1))</f>
        <v>10</v>
      </c>
    </row>
    <row r="1199" spans="1:4" x14ac:dyDescent="0.3">
      <c r="A1199" t="s">
        <v>2145</v>
      </c>
      <c r="B1199">
        <v>1210201110</v>
      </c>
      <c r="C1199">
        <v>1633</v>
      </c>
      <c r="D1199">
        <f>IF(쿼리1[[#This Row],[Value.Duration]]/100&lt;=10,10,ROUND(쿼리1[[#This Row],[Value.Duration]]/100*0.7,-1))</f>
        <v>10</v>
      </c>
    </row>
    <row r="1200" spans="1:4" x14ac:dyDescent="0.3">
      <c r="A1200" t="s">
        <v>2146</v>
      </c>
      <c r="B1200">
        <v>1210201111</v>
      </c>
      <c r="C1200">
        <v>4000</v>
      </c>
      <c r="D1200">
        <f>IF(쿼리1[[#This Row],[Value.Duration]]/100&lt;=10,10,ROUND(쿼리1[[#This Row],[Value.Duration]]/100*0.7,-1))</f>
        <v>30</v>
      </c>
    </row>
    <row r="1201" spans="1:4" x14ac:dyDescent="0.3">
      <c r="A1201" t="s">
        <v>2147</v>
      </c>
      <c r="B1201">
        <v>1210201112</v>
      </c>
      <c r="C1201">
        <v>800</v>
      </c>
      <c r="D1201">
        <f>IF(쿼리1[[#This Row],[Value.Duration]]/100&lt;=10,10,ROUND(쿼리1[[#This Row],[Value.Duration]]/100*0.7,-1))</f>
        <v>10</v>
      </c>
    </row>
    <row r="1202" spans="1:4" x14ac:dyDescent="0.3">
      <c r="A1202" t="s">
        <v>2148</v>
      </c>
      <c r="B1202">
        <v>1210201113</v>
      </c>
      <c r="C1202">
        <v>1666</v>
      </c>
      <c r="D1202">
        <f>IF(쿼리1[[#This Row],[Value.Duration]]/100&lt;=10,10,ROUND(쿼리1[[#This Row],[Value.Duration]]/100*0.7,-1))</f>
        <v>10</v>
      </c>
    </row>
    <row r="1203" spans="1:4" x14ac:dyDescent="0.3">
      <c r="A1203" t="s">
        <v>2149</v>
      </c>
      <c r="B1203">
        <v>1210201114</v>
      </c>
      <c r="C1203">
        <v>666</v>
      </c>
      <c r="D1203">
        <f>IF(쿼리1[[#This Row],[Value.Duration]]/100&lt;=10,10,ROUND(쿼리1[[#This Row],[Value.Duration]]/100*0.7,-1))</f>
        <v>10</v>
      </c>
    </row>
    <row r="1204" spans="1:4" x14ac:dyDescent="0.3">
      <c r="A1204" t="s">
        <v>2150</v>
      </c>
      <c r="B1204">
        <v>1210201115</v>
      </c>
      <c r="C1204">
        <v>666</v>
      </c>
      <c r="D1204">
        <f>IF(쿼리1[[#This Row],[Value.Duration]]/100&lt;=10,10,ROUND(쿼리1[[#This Row],[Value.Duration]]/100*0.7,-1))</f>
        <v>10</v>
      </c>
    </row>
    <row r="1205" spans="1:4" x14ac:dyDescent="0.3">
      <c r="A1205" t="s">
        <v>2151</v>
      </c>
      <c r="B1205">
        <v>1210201116</v>
      </c>
      <c r="C1205">
        <v>600</v>
      </c>
      <c r="D1205">
        <f>IF(쿼리1[[#This Row],[Value.Duration]]/100&lt;=10,10,ROUND(쿼리1[[#This Row],[Value.Duration]]/100*0.7,-1))</f>
        <v>10</v>
      </c>
    </row>
    <row r="1206" spans="1:4" x14ac:dyDescent="0.3">
      <c r="A1206" t="s">
        <v>2152</v>
      </c>
      <c r="B1206">
        <v>1210201117</v>
      </c>
      <c r="C1206">
        <v>733</v>
      </c>
      <c r="D1206">
        <f>IF(쿼리1[[#This Row],[Value.Duration]]/100&lt;=10,10,ROUND(쿼리1[[#This Row],[Value.Duration]]/100*0.7,-1))</f>
        <v>10</v>
      </c>
    </row>
    <row r="1207" spans="1:4" x14ac:dyDescent="0.3">
      <c r="A1207" t="s">
        <v>2153</v>
      </c>
      <c r="B1207">
        <v>1210201118</v>
      </c>
      <c r="C1207">
        <v>800</v>
      </c>
      <c r="D1207">
        <f>IF(쿼리1[[#This Row],[Value.Duration]]/100&lt;=10,10,ROUND(쿼리1[[#This Row],[Value.Duration]]/100*0.7,-1))</f>
        <v>10</v>
      </c>
    </row>
    <row r="1208" spans="1:4" x14ac:dyDescent="0.3">
      <c r="A1208" t="s">
        <v>2154</v>
      </c>
      <c r="B1208">
        <v>1210201201</v>
      </c>
      <c r="C1208">
        <v>1200</v>
      </c>
      <c r="D1208">
        <f>IF(쿼리1[[#This Row],[Value.Duration]]/100&lt;=10,10,ROUND(쿼리1[[#This Row],[Value.Duration]]/100*0.7,-1))</f>
        <v>10</v>
      </c>
    </row>
    <row r="1209" spans="1:4" x14ac:dyDescent="0.3">
      <c r="A1209" t="s">
        <v>2155</v>
      </c>
      <c r="B1209">
        <v>1210201202</v>
      </c>
      <c r="C1209">
        <v>666</v>
      </c>
      <c r="D1209">
        <f>IF(쿼리1[[#This Row],[Value.Duration]]/100&lt;=10,10,ROUND(쿼리1[[#This Row],[Value.Duration]]/100*0.7,-1))</f>
        <v>10</v>
      </c>
    </row>
    <row r="1210" spans="1:4" x14ac:dyDescent="0.3">
      <c r="A1210" t="s">
        <v>2156</v>
      </c>
      <c r="B1210">
        <v>1210201203</v>
      </c>
      <c r="C1210">
        <v>1333</v>
      </c>
      <c r="D1210">
        <f>IF(쿼리1[[#This Row],[Value.Duration]]/100&lt;=10,10,ROUND(쿼리1[[#This Row],[Value.Duration]]/100*0.7,-1))</f>
        <v>10</v>
      </c>
    </row>
    <row r="1211" spans="1:4" x14ac:dyDescent="0.3">
      <c r="A1211" t="s">
        <v>2157</v>
      </c>
      <c r="B1211">
        <v>1210201301</v>
      </c>
      <c r="C1211">
        <v>1666</v>
      </c>
      <c r="D1211">
        <f>IF(쿼리1[[#This Row],[Value.Duration]]/100&lt;=10,10,ROUND(쿼리1[[#This Row],[Value.Duration]]/100*0.7,-1))</f>
        <v>10</v>
      </c>
    </row>
    <row r="1212" spans="1:4" x14ac:dyDescent="0.3">
      <c r="A1212" t="s">
        <v>2158</v>
      </c>
      <c r="B1212">
        <v>1210201302</v>
      </c>
      <c r="C1212">
        <v>1666</v>
      </c>
      <c r="D1212">
        <f>IF(쿼리1[[#This Row],[Value.Duration]]/100&lt;=10,10,ROUND(쿼리1[[#This Row],[Value.Duration]]/100*0.7,-1))</f>
        <v>10</v>
      </c>
    </row>
    <row r="1213" spans="1:4" x14ac:dyDescent="0.3">
      <c r="A1213" t="s">
        <v>2159</v>
      </c>
      <c r="B1213">
        <v>1210202101</v>
      </c>
      <c r="C1213">
        <v>1566</v>
      </c>
      <c r="D1213">
        <f>IF(쿼리1[[#This Row],[Value.Duration]]/100&lt;=10,10,ROUND(쿼리1[[#This Row],[Value.Duration]]/100*0.7,-1))</f>
        <v>10</v>
      </c>
    </row>
    <row r="1214" spans="1:4" x14ac:dyDescent="0.3">
      <c r="A1214" t="s">
        <v>2160</v>
      </c>
      <c r="B1214">
        <v>1210202102</v>
      </c>
      <c r="C1214">
        <v>800</v>
      </c>
      <c r="D1214">
        <f>IF(쿼리1[[#This Row],[Value.Duration]]/100&lt;=10,10,ROUND(쿼리1[[#This Row],[Value.Duration]]/100*0.7,-1))</f>
        <v>10</v>
      </c>
    </row>
    <row r="1215" spans="1:4" x14ac:dyDescent="0.3">
      <c r="A1215" t="s">
        <v>2161</v>
      </c>
      <c r="B1215">
        <v>1210202103</v>
      </c>
      <c r="C1215">
        <v>1633</v>
      </c>
      <c r="D1215">
        <f>IF(쿼리1[[#This Row],[Value.Duration]]/100&lt;=10,10,ROUND(쿼리1[[#This Row],[Value.Duration]]/100*0.7,-1))</f>
        <v>10</v>
      </c>
    </row>
    <row r="1216" spans="1:4" x14ac:dyDescent="0.3">
      <c r="A1216" t="s">
        <v>2162</v>
      </c>
      <c r="B1216">
        <v>1210202104</v>
      </c>
      <c r="C1216">
        <v>800</v>
      </c>
      <c r="D1216">
        <f>IF(쿼리1[[#This Row],[Value.Duration]]/100&lt;=10,10,ROUND(쿼리1[[#This Row],[Value.Duration]]/100*0.7,-1))</f>
        <v>10</v>
      </c>
    </row>
    <row r="1217" spans="1:4" x14ac:dyDescent="0.3">
      <c r="A1217" t="s">
        <v>2163</v>
      </c>
      <c r="B1217">
        <v>1210202105</v>
      </c>
      <c r="C1217">
        <v>1666</v>
      </c>
      <c r="D1217">
        <f>IF(쿼리1[[#This Row],[Value.Duration]]/100&lt;=10,10,ROUND(쿼리1[[#This Row],[Value.Duration]]/100*0.7,-1))</f>
        <v>10</v>
      </c>
    </row>
    <row r="1218" spans="1:4" x14ac:dyDescent="0.3">
      <c r="A1218" t="s">
        <v>2164</v>
      </c>
      <c r="B1218">
        <v>1210202106</v>
      </c>
      <c r="C1218">
        <v>600</v>
      </c>
      <c r="D1218">
        <f>IF(쿼리1[[#This Row],[Value.Duration]]/100&lt;=10,10,ROUND(쿼리1[[#This Row],[Value.Duration]]/100*0.7,-1))</f>
        <v>10</v>
      </c>
    </row>
    <row r="1219" spans="1:4" x14ac:dyDescent="0.3">
      <c r="A1219" t="s">
        <v>2165</v>
      </c>
      <c r="B1219">
        <v>1210202107</v>
      </c>
      <c r="C1219">
        <v>733</v>
      </c>
      <c r="D1219">
        <f>IF(쿼리1[[#This Row],[Value.Duration]]/100&lt;=10,10,ROUND(쿼리1[[#This Row],[Value.Duration]]/100*0.7,-1))</f>
        <v>10</v>
      </c>
    </row>
    <row r="1220" spans="1:4" x14ac:dyDescent="0.3">
      <c r="A1220" t="s">
        <v>2166</v>
      </c>
      <c r="B1220">
        <v>1210202108</v>
      </c>
      <c r="C1220">
        <v>666</v>
      </c>
      <c r="D1220">
        <f>IF(쿼리1[[#This Row],[Value.Duration]]/100&lt;=10,10,ROUND(쿼리1[[#This Row],[Value.Duration]]/100*0.7,-1))</f>
        <v>10</v>
      </c>
    </row>
    <row r="1221" spans="1:4" x14ac:dyDescent="0.3">
      <c r="A1221" t="s">
        <v>2167</v>
      </c>
      <c r="B1221">
        <v>1210202109</v>
      </c>
      <c r="C1221">
        <v>800</v>
      </c>
      <c r="D1221">
        <f>IF(쿼리1[[#This Row],[Value.Duration]]/100&lt;=10,10,ROUND(쿼리1[[#This Row],[Value.Duration]]/100*0.7,-1))</f>
        <v>10</v>
      </c>
    </row>
    <row r="1222" spans="1:4" x14ac:dyDescent="0.3">
      <c r="A1222" t="s">
        <v>2168</v>
      </c>
      <c r="B1222">
        <v>1210202110</v>
      </c>
      <c r="C1222">
        <v>1566</v>
      </c>
      <c r="D1222">
        <f>IF(쿼리1[[#This Row],[Value.Duration]]/100&lt;=10,10,ROUND(쿼리1[[#This Row],[Value.Duration]]/100*0.7,-1))</f>
        <v>10</v>
      </c>
    </row>
    <row r="1223" spans="1:4" x14ac:dyDescent="0.3">
      <c r="A1223" t="s">
        <v>2169</v>
      </c>
      <c r="B1223">
        <v>1210202111</v>
      </c>
      <c r="C1223">
        <v>800</v>
      </c>
      <c r="D1223">
        <f>IF(쿼리1[[#This Row],[Value.Duration]]/100&lt;=10,10,ROUND(쿼리1[[#This Row],[Value.Duration]]/100*0.7,-1))</f>
        <v>10</v>
      </c>
    </row>
    <row r="1224" spans="1:4" x14ac:dyDescent="0.3">
      <c r="A1224" t="s">
        <v>2170</v>
      </c>
      <c r="B1224">
        <v>1210202112</v>
      </c>
      <c r="C1224">
        <v>1633</v>
      </c>
      <c r="D1224">
        <f>IF(쿼리1[[#This Row],[Value.Duration]]/100&lt;=10,10,ROUND(쿼리1[[#This Row],[Value.Duration]]/100*0.7,-1))</f>
        <v>10</v>
      </c>
    </row>
    <row r="1225" spans="1:4" x14ac:dyDescent="0.3">
      <c r="A1225" t="s">
        <v>2171</v>
      </c>
      <c r="B1225">
        <v>1210202113</v>
      </c>
      <c r="C1225">
        <v>800</v>
      </c>
      <c r="D1225">
        <f>IF(쿼리1[[#This Row],[Value.Duration]]/100&lt;=10,10,ROUND(쿼리1[[#This Row],[Value.Duration]]/100*0.7,-1))</f>
        <v>10</v>
      </c>
    </row>
    <row r="1226" spans="1:4" x14ac:dyDescent="0.3">
      <c r="A1226" t="s">
        <v>2172</v>
      </c>
      <c r="B1226">
        <v>1210202114</v>
      </c>
      <c r="C1226">
        <v>1666</v>
      </c>
      <c r="D1226">
        <f>IF(쿼리1[[#This Row],[Value.Duration]]/100&lt;=10,10,ROUND(쿼리1[[#This Row],[Value.Duration]]/100*0.7,-1))</f>
        <v>10</v>
      </c>
    </row>
    <row r="1227" spans="1:4" x14ac:dyDescent="0.3">
      <c r="A1227" t="s">
        <v>2173</v>
      </c>
      <c r="B1227">
        <v>1210202115</v>
      </c>
      <c r="C1227">
        <v>600</v>
      </c>
      <c r="D1227">
        <f>IF(쿼리1[[#This Row],[Value.Duration]]/100&lt;=10,10,ROUND(쿼리1[[#This Row],[Value.Duration]]/100*0.7,-1))</f>
        <v>10</v>
      </c>
    </row>
    <row r="1228" spans="1:4" x14ac:dyDescent="0.3">
      <c r="A1228" t="s">
        <v>2174</v>
      </c>
      <c r="B1228">
        <v>1210202116</v>
      </c>
      <c r="C1228">
        <v>733</v>
      </c>
      <c r="D1228">
        <f>IF(쿼리1[[#This Row],[Value.Duration]]/100&lt;=10,10,ROUND(쿼리1[[#This Row],[Value.Duration]]/100*0.7,-1))</f>
        <v>10</v>
      </c>
    </row>
    <row r="1229" spans="1:4" x14ac:dyDescent="0.3">
      <c r="A1229" t="s">
        <v>2175</v>
      </c>
      <c r="B1229">
        <v>1210202117</v>
      </c>
      <c r="C1229">
        <v>666</v>
      </c>
      <c r="D1229">
        <f>IF(쿼리1[[#This Row],[Value.Duration]]/100&lt;=10,10,ROUND(쿼리1[[#This Row],[Value.Duration]]/100*0.7,-1))</f>
        <v>10</v>
      </c>
    </row>
    <row r="1230" spans="1:4" x14ac:dyDescent="0.3">
      <c r="A1230" t="s">
        <v>2176</v>
      </c>
      <c r="B1230">
        <v>1210202118</v>
      </c>
      <c r="C1230">
        <v>800</v>
      </c>
      <c r="D1230">
        <f>IF(쿼리1[[#This Row],[Value.Duration]]/100&lt;=10,10,ROUND(쿼리1[[#This Row],[Value.Duration]]/100*0.7,-1))</f>
        <v>10</v>
      </c>
    </row>
    <row r="1231" spans="1:4" x14ac:dyDescent="0.3">
      <c r="A1231" t="s">
        <v>2177</v>
      </c>
      <c r="B1231">
        <v>1210202201</v>
      </c>
      <c r="C1231">
        <v>1200</v>
      </c>
      <c r="D1231">
        <f>IF(쿼리1[[#This Row],[Value.Duration]]/100&lt;=10,10,ROUND(쿼리1[[#This Row],[Value.Duration]]/100*0.7,-1))</f>
        <v>10</v>
      </c>
    </row>
    <row r="1232" spans="1:4" x14ac:dyDescent="0.3">
      <c r="A1232" t="s">
        <v>2178</v>
      </c>
      <c r="B1232">
        <v>1210202202</v>
      </c>
      <c r="C1232">
        <v>1333</v>
      </c>
      <c r="D1232">
        <f>IF(쿼리1[[#This Row],[Value.Duration]]/100&lt;=10,10,ROUND(쿼리1[[#This Row],[Value.Duration]]/100*0.7,-1))</f>
        <v>10</v>
      </c>
    </row>
    <row r="1233" spans="1:4" x14ac:dyDescent="0.3">
      <c r="A1233" t="s">
        <v>2179</v>
      </c>
      <c r="B1233">
        <v>1210202203</v>
      </c>
      <c r="C1233">
        <v>1600</v>
      </c>
      <c r="D1233">
        <f>IF(쿼리1[[#This Row],[Value.Duration]]/100&lt;=10,10,ROUND(쿼리1[[#This Row],[Value.Duration]]/100*0.7,-1))</f>
        <v>10</v>
      </c>
    </row>
    <row r="1234" spans="1:4" x14ac:dyDescent="0.3">
      <c r="A1234" t="s">
        <v>2180</v>
      </c>
      <c r="B1234">
        <v>1210202301</v>
      </c>
      <c r="C1234">
        <v>2000</v>
      </c>
      <c r="D1234">
        <f>IF(쿼리1[[#This Row],[Value.Duration]]/100&lt;=10,10,ROUND(쿼리1[[#This Row],[Value.Duration]]/100*0.7,-1))</f>
        <v>10</v>
      </c>
    </row>
    <row r="1235" spans="1:4" x14ac:dyDescent="0.3">
      <c r="A1235" t="s">
        <v>2181</v>
      </c>
      <c r="B1235">
        <v>1210202302</v>
      </c>
      <c r="C1235">
        <v>2000</v>
      </c>
      <c r="D1235">
        <f>IF(쿼리1[[#This Row],[Value.Duration]]/100&lt;=10,10,ROUND(쿼리1[[#This Row],[Value.Duration]]/100*0.7,-1))</f>
        <v>10</v>
      </c>
    </row>
    <row r="1236" spans="1:4" x14ac:dyDescent="0.3">
      <c r="A1236" t="s">
        <v>2182</v>
      </c>
      <c r="B1236">
        <v>1210203101</v>
      </c>
      <c r="C1236">
        <v>533</v>
      </c>
      <c r="D1236">
        <f>IF(쿼리1[[#This Row],[Value.Duration]]/100&lt;=10,10,ROUND(쿼리1[[#This Row],[Value.Duration]]/100*0.7,-1))</f>
        <v>10</v>
      </c>
    </row>
    <row r="1237" spans="1:4" x14ac:dyDescent="0.3">
      <c r="A1237" t="s">
        <v>2183</v>
      </c>
      <c r="B1237">
        <v>1210203102</v>
      </c>
      <c r="C1237">
        <v>1566</v>
      </c>
      <c r="D1237">
        <f>IF(쿼리1[[#This Row],[Value.Duration]]/100&lt;=10,10,ROUND(쿼리1[[#This Row],[Value.Duration]]/100*0.7,-1))</f>
        <v>10</v>
      </c>
    </row>
    <row r="1238" spans="1:4" x14ac:dyDescent="0.3">
      <c r="A1238" t="s">
        <v>2184</v>
      </c>
      <c r="B1238">
        <v>1210203103</v>
      </c>
      <c r="C1238">
        <v>533</v>
      </c>
      <c r="D1238">
        <f>IF(쿼리1[[#This Row],[Value.Duration]]/100&lt;=10,10,ROUND(쿼리1[[#This Row],[Value.Duration]]/100*0.7,-1))</f>
        <v>10</v>
      </c>
    </row>
    <row r="1239" spans="1:4" x14ac:dyDescent="0.3">
      <c r="A1239" t="s">
        <v>2185</v>
      </c>
      <c r="B1239">
        <v>1210203104</v>
      </c>
      <c r="C1239">
        <v>800</v>
      </c>
      <c r="D1239">
        <f>IF(쿼리1[[#This Row],[Value.Duration]]/100&lt;=10,10,ROUND(쿼리1[[#This Row],[Value.Duration]]/100*0.7,-1))</f>
        <v>10</v>
      </c>
    </row>
    <row r="1240" spans="1:4" x14ac:dyDescent="0.3">
      <c r="A1240" t="s">
        <v>2186</v>
      </c>
      <c r="B1240">
        <v>1210203105</v>
      </c>
      <c r="C1240">
        <v>666</v>
      </c>
      <c r="D1240">
        <f>IF(쿼리1[[#This Row],[Value.Duration]]/100&lt;=10,10,ROUND(쿼리1[[#This Row],[Value.Duration]]/100*0.7,-1))</f>
        <v>10</v>
      </c>
    </row>
    <row r="1241" spans="1:4" x14ac:dyDescent="0.3">
      <c r="A1241" t="s">
        <v>2187</v>
      </c>
      <c r="B1241">
        <v>1210203106</v>
      </c>
      <c r="C1241">
        <v>600</v>
      </c>
      <c r="D1241">
        <f>IF(쿼리1[[#This Row],[Value.Duration]]/100&lt;=10,10,ROUND(쿼리1[[#This Row],[Value.Duration]]/100*0.7,-1))</f>
        <v>10</v>
      </c>
    </row>
    <row r="1242" spans="1:4" x14ac:dyDescent="0.3">
      <c r="A1242" t="s">
        <v>2437</v>
      </c>
      <c r="B1242">
        <v>1310205112</v>
      </c>
      <c r="C1242">
        <v>800</v>
      </c>
      <c r="D1242">
        <f>IF(쿼리1[[#This Row],[Value.Duration]]/100&lt;=10,10,ROUND(쿼리1[[#This Row],[Value.Duration]]/100*0.7,-1))</f>
        <v>10</v>
      </c>
    </row>
    <row r="1243" spans="1:4" x14ac:dyDescent="0.3">
      <c r="A1243" t="s">
        <v>2438</v>
      </c>
      <c r="B1243">
        <v>1310205113</v>
      </c>
      <c r="C1243">
        <v>800</v>
      </c>
      <c r="D1243">
        <f>IF(쿼리1[[#This Row],[Value.Duration]]/100&lt;=10,10,ROUND(쿼리1[[#This Row],[Value.Duration]]/100*0.7,-1))</f>
        <v>10</v>
      </c>
    </row>
    <row r="1244" spans="1:4" x14ac:dyDescent="0.3">
      <c r="A1244" t="s">
        <v>2439</v>
      </c>
      <c r="B1244">
        <v>1310205114</v>
      </c>
      <c r="C1244">
        <v>533</v>
      </c>
      <c r="D1244">
        <f>IF(쿼리1[[#This Row],[Value.Duration]]/100&lt;=10,10,ROUND(쿼리1[[#This Row],[Value.Duration]]/100*0.7,-1))</f>
        <v>10</v>
      </c>
    </row>
    <row r="1245" spans="1:4" x14ac:dyDescent="0.3">
      <c r="A1245" t="s">
        <v>2440</v>
      </c>
      <c r="B1245">
        <v>1310205115</v>
      </c>
      <c r="C1245">
        <v>666</v>
      </c>
      <c r="D1245">
        <f>IF(쿼리1[[#This Row],[Value.Duration]]/100&lt;=10,10,ROUND(쿼리1[[#This Row],[Value.Duration]]/100*0.7,-1))</f>
        <v>10</v>
      </c>
    </row>
    <row r="1246" spans="1:4" x14ac:dyDescent="0.3">
      <c r="A1246" t="s">
        <v>2441</v>
      </c>
      <c r="B1246">
        <v>1310205116</v>
      </c>
      <c r="C1246">
        <v>666</v>
      </c>
      <c r="D1246">
        <f>IF(쿼리1[[#This Row],[Value.Duration]]/100&lt;=10,10,ROUND(쿼리1[[#This Row],[Value.Duration]]/100*0.7,-1))</f>
        <v>10</v>
      </c>
    </row>
    <row r="1247" spans="1:4" x14ac:dyDescent="0.3">
      <c r="A1247" t="s">
        <v>2442</v>
      </c>
      <c r="B1247">
        <v>1310205117</v>
      </c>
      <c r="C1247">
        <v>600</v>
      </c>
      <c r="D1247">
        <f>IF(쿼리1[[#This Row],[Value.Duration]]/100&lt;=10,10,ROUND(쿼리1[[#This Row],[Value.Duration]]/100*0.7,-1))</f>
        <v>10</v>
      </c>
    </row>
    <row r="1248" spans="1:4" x14ac:dyDescent="0.3">
      <c r="A1248" t="s">
        <v>2443</v>
      </c>
      <c r="B1248">
        <v>1310205118</v>
      </c>
      <c r="C1248">
        <v>766</v>
      </c>
      <c r="D1248">
        <f>IF(쿼리1[[#This Row],[Value.Duration]]/100&lt;=10,10,ROUND(쿼리1[[#This Row],[Value.Duration]]/100*0.7,-1))</f>
        <v>10</v>
      </c>
    </row>
    <row r="1249" spans="1:4" x14ac:dyDescent="0.3">
      <c r="A1249" t="s">
        <v>2444</v>
      </c>
      <c r="B1249">
        <v>1310205119</v>
      </c>
      <c r="C1249">
        <v>1066</v>
      </c>
      <c r="D1249">
        <f>IF(쿼리1[[#This Row],[Value.Duration]]/100&lt;=10,10,ROUND(쿼리1[[#This Row],[Value.Duration]]/100*0.7,-1))</f>
        <v>10</v>
      </c>
    </row>
    <row r="1250" spans="1:4" x14ac:dyDescent="0.3">
      <c r="A1250" t="s">
        <v>2445</v>
      </c>
      <c r="B1250">
        <v>1310205120</v>
      </c>
      <c r="C1250">
        <v>2700</v>
      </c>
      <c r="D1250">
        <f>IF(쿼리1[[#This Row],[Value.Duration]]/100&lt;=10,10,ROUND(쿼리1[[#This Row],[Value.Duration]]/100*0.7,-1))</f>
        <v>20</v>
      </c>
    </row>
    <row r="1251" spans="1:4" x14ac:dyDescent="0.3">
      <c r="A1251" t="s">
        <v>2446</v>
      </c>
      <c r="B1251">
        <v>1310205201</v>
      </c>
      <c r="C1251">
        <v>933</v>
      </c>
      <c r="D1251">
        <f>IF(쿼리1[[#This Row],[Value.Duration]]/100&lt;=10,10,ROUND(쿼리1[[#This Row],[Value.Duration]]/100*0.7,-1))</f>
        <v>10</v>
      </c>
    </row>
    <row r="1252" spans="1:4" x14ac:dyDescent="0.3">
      <c r="A1252" t="s">
        <v>2447</v>
      </c>
      <c r="B1252">
        <v>1310205202</v>
      </c>
      <c r="C1252">
        <v>800</v>
      </c>
      <c r="D1252">
        <f>IF(쿼리1[[#This Row],[Value.Duration]]/100&lt;=10,10,ROUND(쿼리1[[#This Row],[Value.Duration]]/100*0.7,-1))</f>
        <v>10</v>
      </c>
    </row>
    <row r="1253" spans="1:4" x14ac:dyDescent="0.3">
      <c r="A1253" t="s">
        <v>2448</v>
      </c>
      <c r="B1253">
        <v>1310205203</v>
      </c>
      <c r="C1253">
        <v>1500</v>
      </c>
      <c r="D1253">
        <f>IF(쿼리1[[#This Row],[Value.Duration]]/100&lt;=10,10,ROUND(쿼리1[[#This Row],[Value.Duration]]/100*0.7,-1))</f>
        <v>10</v>
      </c>
    </row>
    <row r="1254" spans="1:4" x14ac:dyDescent="0.3">
      <c r="A1254" t="s">
        <v>2449</v>
      </c>
      <c r="B1254">
        <v>1310205301</v>
      </c>
      <c r="C1254">
        <v>933</v>
      </c>
      <c r="D1254">
        <f>IF(쿼리1[[#This Row],[Value.Duration]]/100&lt;=10,10,ROUND(쿼리1[[#This Row],[Value.Duration]]/100*0.7,-1))</f>
        <v>10</v>
      </c>
    </row>
    <row r="1255" spans="1:4" x14ac:dyDescent="0.3">
      <c r="A1255" t="s">
        <v>2450</v>
      </c>
      <c r="B1255">
        <v>1310205302</v>
      </c>
      <c r="C1255">
        <v>933</v>
      </c>
      <c r="D1255">
        <f>IF(쿼리1[[#This Row],[Value.Duration]]/100&lt;=10,10,ROUND(쿼리1[[#This Row],[Value.Duration]]/100*0.7,-1))</f>
        <v>10</v>
      </c>
    </row>
    <row r="1256" spans="1:4" x14ac:dyDescent="0.3">
      <c r="A1256" t="s">
        <v>2451</v>
      </c>
      <c r="B1256">
        <v>1310206101</v>
      </c>
      <c r="C1256">
        <v>533</v>
      </c>
      <c r="D1256">
        <f>IF(쿼리1[[#This Row],[Value.Duration]]/100&lt;=10,10,ROUND(쿼리1[[#This Row],[Value.Duration]]/100*0.7,-1))</f>
        <v>10</v>
      </c>
    </row>
    <row r="1257" spans="1:4" x14ac:dyDescent="0.3">
      <c r="A1257" t="s">
        <v>2452</v>
      </c>
      <c r="B1257">
        <v>1310206102</v>
      </c>
      <c r="C1257">
        <v>400</v>
      </c>
      <c r="D1257">
        <f>IF(쿼리1[[#This Row],[Value.Duration]]/100&lt;=10,10,ROUND(쿼리1[[#This Row],[Value.Duration]]/100*0.7,-1))</f>
        <v>10</v>
      </c>
    </row>
    <row r="1258" spans="1:4" x14ac:dyDescent="0.3">
      <c r="A1258" t="s">
        <v>2453</v>
      </c>
      <c r="B1258">
        <v>1310206103</v>
      </c>
      <c r="C1258">
        <v>733</v>
      </c>
      <c r="D1258">
        <f>IF(쿼리1[[#This Row],[Value.Duration]]/100&lt;=10,10,ROUND(쿼리1[[#This Row],[Value.Duration]]/100*0.7,-1))</f>
        <v>10</v>
      </c>
    </row>
    <row r="1259" spans="1:4" x14ac:dyDescent="0.3">
      <c r="A1259" t="s">
        <v>2454</v>
      </c>
      <c r="B1259">
        <v>1310206104</v>
      </c>
      <c r="C1259">
        <v>800</v>
      </c>
      <c r="D1259">
        <f>IF(쿼리1[[#This Row],[Value.Duration]]/100&lt;=10,10,ROUND(쿼리1[[#This Row],[Value.Duration]]/100*0.7,-1))</f>
        <v>10</v>
      </c>
    </row>
    <row r="1260" spans="1:4" x14ac:dyDescent="0.3">
      <c r="A1260" t="s">
        <v>2455</v>
      </c>
      <c r="B1260">
        <v>1310206105</v>
      </c>
      <c r="C1260">
        <v>833</v>
      </c>
      <c r="D1260">
        <f>IF(쿼리1[[#This Row],[Value.Duration]]/100&lt;=10,10,ROUND(쿼리1[[#This Row],[Value.Duration]]/100*0.7,-1))</f>
        <v>10</v>
      </c>
    </row>
    <row r="1261" spans="1:4" x14ac:dyDescent="0.3">
      <c r="A1261" t="s">
        <v>2456</v>
      </c>
      <c r="B1261">
        <v>1310206106</v>
      </c>
      <c r="C1261">
        <v>533</v>
      </c>
      <c r="D1261">
        <f>IF(쿼리1[[#This Row],[Value.Duration]]/100&lt;=10,10,ROUND(쿼리1[[#This Row],[Value.Duration]]/100*0.7,-1))</f>
        <v>10</v>
      </c>
    </row>
    <row r="1262" spans="1:4" x14ac:dyDescent="0.3">
      <c r="A1262" t="s">
        <v>2457</v>
      </c>
      <c r="B1262">
        <v>1310206107</v>
      </c>
      <c r="C1262">
        <v>533</v>
      </c>
      <c r="D1262">
        <f>IF(쿼리1[[#This Row],[Value.Duration]]/100&lt;=10,10,ROUND(쿼리1[[#This Row],[Value.Duration]]/100*0.7,-1))</f>
        <v>10</v>
      </c>
    </row>
    <row r="1263" spans="1:4" x14ac:dyDescent="0.3">
      <c r="A1263" t="s">
        <v>2458</v>
      </c>
      <c r="B1263">
        <v>1310206108</v>
      </c>
      <c r="C1263">
        <v>1133</v>
      </c>
      <c r="D1263">
        <f>IF(쿼리1[[#This Row],[Value.Duration]]/100&lt;=10,10,ROUND(쿼리1[[#This Row],[Value.Duration]]/100*0.7,-1))</f>
        <v>10</v>
      </c>
    </row>
    <row r="1264" spans="1:4" x14ac:dyDescent="0.3">
      <c r="A1264" t="s">
        <v>2459</v>
      </c>
      <c r="B1264">
        <v>1310206109</v>
      </c>
      <c r="C1264">
        <v>1133</v>
      </c>
      <c r="D1264">
        <f>IF(쿼리1[[#This Row],[Value.Duration]]/100&lt;=10,10,ROUND(쿼리1[[#This Row],[Value.Duration]]/100*0.7,-1))</f>
        <v>10</v>
      </c>
    </row>
    <row r="1265" spans="1:4" x14ac:dyDescent="0.3">
      <c r="A1265" t="s">
        <v>2460</v>
      </c>
      <c r="B1265">
        <v>1310206110</v>
      </c>
      <c r="C1265">
        <v>533</v>
      </c>
      <c r="D1265">
        <f>IF(쿼리1[[#This Row],[Value.Duration]]/100&lt;=10,10,ROUND(쿼리1[[#This Row],[Value.Duration]]/100*0.7,-1))</f>
        <v>10</v>
      </c>
    </row>
    <row r="1266" spans="1:4" x14ac:dyDescent="0.3">
      <c r="A1266" t="s">
        <v>2461</v>
      </c>
      <c r="B1266">
        <v>1310206111</v>
      </c>
      <c r="C1266">
        <v>400</v>
      </c>
      <c r="D1266">
        <f>IF(쿼리1[[#This Row],[Value.Duration]]/100&lt;=10,10,ROUND(쿼리1[[#This Row],[Value.Duration]]/100*0.7,-1))</f>
        <v>10</v>
      </c>
    </row>
    <row r="1267" spans="1:4" x14ac:dyDescent="0.3">
      <c r="A1267" t="s">
        <v>2462</v>
      </c>
      <c r="B1267">
        <v>1310206112</v>
      </c>
      <c r="C1267">
        <v>733</v>
      </c>
      <c r="D1267">
        <f>IF(쿼리1[[#This Row],[Value.Duration]]/100&lt;=10,10,ROUND(쿼리1[[#This Row],[Value.Duration]]/100*0.7,-1))</f>
        <v>10</v>
      </c>
    </row>
    <row r="1268" spans="1:4" x14ac:dyDescent="0.3">
      <c r="A1268" t="s">
        <v>2463</v>
      </c>
      <c r="B1268">
        <v>1310206113</v>
      </c>
      <c r="C1268">
        <v>800</v>
      </c>
      <c r="D1268">
        <f>IF(쿼리1[[#This Row],[Value.Duration]]/100&lt;=10,10,ROUND(쿼리1[[#This Row],[Value.Duration]]/100*0.7,-1))</f>
        <v>10</v>
      </c>
    </row>
    <row r="1269" spans="1:4" x14ac:dyDescent="0.3">
      <c r="A1269" t="s">
        <v>2464</v>
      </c>
      <c r="B1269">
        <v>1310206114</v>
      </c>
      <c r="C1269">
        <v>833</v>
      </c>
      <c r="D1269">
        <f>IF(쿼리1[[#This Row],[Value.Duration]]/100&lt;=10,10,ROUND(쿼리1[[#This Row],[Value.Duration]]/100*0.7,-1))</f>
        <v>10</v>
      </c>
    </row>
    <row r="1270" spans="1:4" x14ac:dyDescent="0.3">
      <c r="A1270" t="s">
        <v>2465</v>
      </c>
      <c r="B1270">
        <v>1310206115</v>
      </c>
      <c r="C1270">
        <v>533</v>
      </c>
      <c r="D1270">
        <f>IF(쿼리1[[#This Row],[Value.Duration]]/100&lt;=10,10,ROUND(쿼리1[[#This Row],[Value.Duration]]/100*0.7,-1))</f>
        <v>10</v>
      </c>
    </row>
    <row r="1271" spans="1:4" x14ac:dyDescent="0.3">
      <c r="A1271" t="s">
        <v>2466</v>
      </c>
      <c r="B1271">
        <v>1310206116</v>
      </c>
      <c r="C1271">
        <v>533</v>
      </c>
      <c r="D1271">
        <f>IF(쿼리1[[#This Row],[Value.Duration]]/100&lt;=10,10,ROUND(쿼리1[[#This Row],[Value.Duration]]/100*0.7,-1))</f>
        <v>10</v>
      </c>
    </row>
    <row r="1272" spans="1:4" x14ac:dyDescent="0.3">
      <c r="A1272" t="s">
        <v>2467</v>
      </c>
      <c r="B1272">
        <v>1310206117</v>
      </c>
      <c r="C1272">
        <v>1133</v>
      </c>
      <c r="D1272">
        <f>IF(쿼리1[[#This Row],[Value.Duration]]/100&lt;=10,10,ROUND(쿼리1[[#This Row],[Value.Duration]]/100*0.7,-1))</f>
        <v>10</v>
      </c>
    </row>
    <row r="1273" spans="1:4" x14ac:dyDescent="0.3">
      <c r="A1273" t="s">
        <v>2468</v>
      </c>
      <c r="B1273">
        <v>1310206118</v>
      </c>
      <c r="C1273">
        <v>1133</v>
      </c>
      <c r="D1273">
        <f>IF(쿼리1[[#This Row],[Value.Duration]]/100&lt;=10,10,ROUND(쿼리1[[#This Row],[Value.Duration]]/100*0.7,-1))</f>
        <v>10</v>
      </c>
    </row>
    <row r="1274" spans="1:4" x14ac:dyDescent="0.3">
      <c r="A1274" t="s">
        <v>2469</v>
      </c>
      <c r="B1274">
        <v>1310206201</v>
      </c>
      <c r="C1274">
        <v>1000</v>
      </c>
      <c r="D1274">
        <f>IF(쿼리1[[#This Row],[Value.Duration]]/100&lt;=10,10,ROUND(쿼리1[[#This Row],[Value.Duration]]/100*0.7,-1))</f>
        <v>10</v>
      </c>
    </row>
    <row r="1275" spans="1:4" x14ac:dyDescent="0.3">
      <c r="A1275" t="s">
        <v>2470</v>
      </c>
      <c r="B1275">
        <v>1310206202</v>
      </c>
      <c r="C1275">
        <v>800</v>
      </c>
      <c r="D1275">
        <f>IF(쿼리1[[#This Row],[Value.Duration]]/100&lt;=10,10,ROUND(쿼리1[[#This Row],[Value.Duration]]/100*0.7,-1))</f>
        <v>10</v>
      </c>
    </row>
    <row r="1276" spans="1:4" x14ac:dyDescent="0.3">
      <c r="A1276" t="s">
        <v>2471</v>
      </c>
      <c r="B1276">
        <v>1310206203</v>
      </c>
      <c r="C1276">
        <v>666</v>
      </c>
      <c r="D1276">
        <f>IF(쿼리1[[#This Row],[Value.Duration]]/100&lt;=10,10,ROUND(쿼리1[[#This Row],[Value.Duration]]/100*0.7,-1))</f>
        <v>10</v>
      </c>
    </row>
    <row r="1277" spans="1:4" x14ac:dyDescent="0.3">
      <c r="A1277" t="s">
        <v>2472</v>
      </c>
      <c r="B1277">
        <v>1310206301</v>
      </c>
      <c r="C1277">
        <v>1033</v>
      </c>
      <c r="D1277">
        <f>IF(쿼리1[[#This Row],[Value.Duration]]/100&lt;=10,10,ROUND(쿼리1[[#This Row],[Value.Duration]]/100*0.7,-1))</f>
        <v>10</v>
      </c>
    </row>
    <row r="1278" spans="1:4" x14ac:dyDescent="0.3">
      <c r="A1278" t="s">
        <v>2473</v>
      </c>
      <c r="B1278">
        <v>1310206302</v>
      </c>
      <c r="C1278">
        <v>1033</v>
      </c>
      <c r="D1278">
        <f>IF(쿼리1[[#This Row],[Value.Duration]]/100&lt;=10,10,ROUND(쿼리1[[#This Row],[Value.Duration]]/100*0.7,-1))</f>
        <v>10</v>
      </c>
    </row>
    <row r="1279" spans="1:4" x14ac:dyDescent="0.3">
      <c r="A1279" t="s">
        <v>2474</v>
      </c>
      <c r="B1279">
        <v>1310207101</v>
      </c>
      <c r="C1279">
        <v>533</v>
      </c>
      <c r="D1279">
        <f>IF(쿼리1[[#This Row],[Value.Duration]]/100&lt;=10,10,ROUND(쿼리1[[#This Row],[Value.Duration]]/100*0.7,-1))</f>
        <v>10</v>
      </c>
    </row>
    <row r="1280" spans="1:4" x14ac:dyDescent="0.3">
      <c r="A1280" t="s">
        <v>2475</v>
      </c>
      <c r="B1280">
        <v>1310207102</v>
      </c>
      <c r="C1280">
        <v>533</v>
      </c>
      <c r="D1280">
        <f>IF(쿼리1[[#This Row],[Value.Duration]]/100&lt;=10,10,ROUND(쿼리1[[#This Row],[Value.Duration]]/100*0.7,-1))</f>
        <v>10</v>
      </c>
    </row>
    <row r="1281" spans="1:4" x14ac:dyDescent="0.3">
      <c r="A1281" t="s">
        <v>2476</v>
      </c>
      <c r="B1281">
        <v>1310207103</v>
      </c>
      <c r="C1281">
        <v>466</v>
      </c>
      <c r="D1281">
        <f>IF(쿼리1[[#This Row],[Value.Duration]]/100&lt;=10,10,ROUND(쿼리1[[#This Row],[Value.Duration]]/100*0.7,-1))</f>
        <v>10</v>
      </c>
    </row>
    <row r="1282" spans="1:4" x14ac:dyDescent="0.3">
      <c r="A1282" t="s">
        <v>2477</v>
      </c>
      <c r="B1282">
        <v>1310207104</v>
      </c>
      <c r="C1282">
        <v>600</v>
      </c>
      <c r="D1282">
        <f>IF(쿼리1[[#This Row],[Value.Duration]]/100&lt;=10,10,ROUND(쿼리1[[#This Row],[Value.Duration]]/100*0.7,-1))</f>
        <v>10</v>
      </c>
    </row>
    <row r="1283" spans="1:4" x14ac:dyDescent="0.3">
      <c r="A1283" t="s">
        <v>2478</v>
      </c>
      <c r="B1283">
        <v>1310207105</v>
      </c>
      <c r="C1283">
        <v>466</v>
      </c>
      <c r="D1283">
        <f>IF(쿼리1[[#This Row],[Value.Duration]]/100&lt;=10,10,ROUND(쿼리1[[#This Row],[Value.Duration]]/100*0.7,-1))</f>
        <v>10</v>
      </c>
    </row>
    <row r="1284" spans="1:4" x14ac:dyDescent="0.3">
      <c r="A1284" t="s">
        <v>2479</v>
      </c>
      <c r="B1284">
        <v>1310207106</v>
      </c>
      <c r="C1284">
        <v>533</v>
      </c>
      <c r="D1284">
        <f>IF(쿼리1[[#This Row],[Value.Duration]]/100&lt;=10,10,ROUND(쿼리1[[#This Row],[Value.Duration]]/100*0.7,-1))</f>
        <v>10</v>
      </c>
    </row>
    <row r="1285" spans="1:4" x14ac:dyDescent="0.3">
      <c r="A1285" t="s">
        <v>2480</v>
      </c>
      <c r="B1285">
        <v>1310207107</v>
      </c>
      <c r="C1285">
        <v>933</v>
      </c>
      <c r="D1285">
        <f>IF(쿼리1[[#This Row],[Value.Duration]]/100&lt;=10,10,ROUND(쿼리1[[#This Row],[Value.Duration]]/100*0.7,-1))</f>
        <v>10</v>
      </c>
    </row>
    <row r="1286" spans="1:4" x14ac:dyDescent="0.3">
      <c r="A1286" t="s">
        <v>2481</v>
      </c>
      <c r="B1286">
        <v>1310207108</v>
      </c>
      <c r="C1286">
        <v>466</v>
      </c>
      <c r="D1286">
        <f>IF(쿼리1[[#This Row],[Value.Duration]]/100&lt;=10,10,ROUND(쿼리1[[#This Row],[Value.Duration]]/100*0.7,-1))</f>
        <v>10</v>
      </c>
    </row>
    <row r="1287" spans="1:4" x14ac:dyDescent="0.3">
      <c r="A1287" t="s">
        <v>2482</v>
      </c>
      <c r="B1287">
        <v>1310207109</v>
      </c>
      <c r="C1287">
        <v>666</v>
      </c>
      <c r="D1287">
        <f>IF(쿼리1[[#This Row],[Value.Duration]]/100&lt;=10,10,ROUND(쿼리1[[#This Row],[Value.Duration]]/100*0.7,-1))</f>
        <v>10</v>
      </c>
    </row>
    <row r="1288" spans="1:4" x14ac:dyDescent="0.3">
      <c r="A1288" t="s">
        <v>2483</v>
      </c>
      <c r="B1288">
        <v>1310207110</v>
      </c>
      <c r="C1288">
        <v>533</v>
      </c>
      <c r="D1288">
        <f>IF(쿼리1[[#This Row],[Value.Duration]]/100&lt;=10,10,ROUND(쿼리1[[#This Row],[Value.Duration]]/100*0.7,-1))</f>
        <v>10</v>
      </c>
    </row>
    <row r="1289" spans="1:4" x14ac:dyDescent="0.3">
      <c r="A1289" t="s">
        <v>2484</v>
      </c>
      <c r="B1289">
        <v>1310207111</v>
      </c>
      <c r="C1289">
        <v>533</v>
      </c>
      <c r="D1289">
        <f>IF(쿼리1[[#This Row],[Value.Duration]]/100&lt;=10,10,ROUND(쿼리1[[#This Row],[Value.Duration]]/100*0.7,-1))</f>
        <v>10</v>
      </c>
    </row>
    <row r="1290" spans="1:4" x14ac:dyDescent="0.3">
      <c r="A1290" t="s">
        <v>2485</v>
      </c>
      <c r="B1290">
        <v>1310207112</v>
      </c>
      <c r="C1290">
        <v>466</v>
      </c>
      <c r="D1290">
        <f>IF(쿼리1[[#This Row],[Value.Duration]]/100&lt;=10,10,ROUND(쿼리1[[#This Row],[Value.Duration]]/100*0.7,-1))</f>
        <v>10</v>
      </c>
    </row>
    <row r="1291" spans="1:4" x14ac:dyDescent="0.3">
      <c r="A1291" t="s">
        <v>2486</v>
      </c>
      <c r="B1291">
        <v>1310207113</v>
      </c>
      <c r="C1291">
        <v>600</v>
      </c>
      <c r="D1291">
        <f>IF(쿼리1[[#This Row],[Value.Duration]]/100&lt;=10,10,ROUND(쿼리1[[#This Row],[Value.Duration]]/100*0.7,-1))</f>
        <v>10</v>
      </c>
    </row>
    <row r="1292" spans="1:4" x14ac:dyDescent="0.3">
      <c r="A1292" t="s">
        <v>2487</v>
      </c>
      <c r="B1292">
        <v>1310207114</v>
      </c>
      <c r="C1292">
        <v>466</v>
      </c>
      <c r="D1292">
        <f>IF(쿼리1[[#This Row],[Value.Duration]]/100&lt;=10,10,ROUND(쿼리1[[#This Row],[Value.Duration]]/100*0.7,-1))</f>
        <v>10</v>
      </c>
    </row>
    <row r="1293" spans="1:4" x14ac:dyDescent="0.3">
      <c r="A1293" t="s">
        <v>2488</v>
      </c>
      <c r="B1293">
        <v>1310207115</v>
      </c>
      <c r="C1293">
        <v>533</v>
      </c>
      <c r="D1293">
        <f>IF(쿼리1[[#This Row],[Value.Duration]]/100&lt;=10,10,ROUND(쿼리1[[#This Row],[Value.Duration]]/100*0.7,-1))</f>
        <v>10</v>
      </c>
    </row>
    <row r="1294" spans="1:4" x14ac:dyDescent="0.3">
      <c r="A1294" t="s">
        <v>2489</v>
      </c>
      <c r="B1294">
        <v>1310207116</v>
      </c>
      <c r="C1294">
        <v>933</v>
      </c>
      <c r="D1294">
        <f>IF(쿼리1[[#This Row],[Value.Duration]]/100&lt;=10,10,ROUND(쿼리1[[#This Row],[Value.Duration]]/100*0.7,-1))</f>
        <v>10</v>
      </c>
    </row>
    <row r="1295" spans="1:4" x14ac:dyDescent="0.3">
      <c r="A1295" t="s">
        <v>2490</v>
      </c>
      <c r="B1295">
        <v>1310207117</v>
      </c>
      <c r="C1295">
        <v>466</v>
      </c>
      <c r="D1295">
        <f>IF(쿼리1[[#This Row],[Value.Duration]]/100&lt;=10,10,ROUND(쿼리1[[#This Row],[Value.Duration]]/100*0.7,-1))</f>
        <v>10</v>
      </c>
    </row>
    <row r="1296" spans="1:4" x14ac:dyDescent="0.3">
      <c r="A1296" t="s">
        <v>2491</v>
      </c>
      <c r="B1296">
        <v>1310207118</v>
      </c>
      <c r="C1296">
        <v>666</v>
      </c>
      <c r="D1296">
        <f>IF(쿼리1[[#This Row],[Value.Duration]]/100&lt;=10,10,ROUND(쿼리1[[#This Row],[Value.Duration]]/100*0.7,-1))</f>
        <v>10</v>
      </c>
    </row>
    <row r="1297" spans="1:4" x14ac:dyDescent="0.3">
      <c r="A1297" t="s">
        <v>2492</v>
      </c>
      <c r="B1297">
        <v>1310207201</v>
      </c>
      <c r="C1297">
        <v>666</v>
      </c>
      <c r="D1297">
        <f>IF(쿼리1[[#This Row],[Value.Duration]]/100&lt;=10,10,ROUND(쿼리1[[#This Row],[Value.Duration]]/100*0.7,-1))</f>
        <v>10</v>
      </c>
    </row>
    <row r="1298" spans="1:4" x14ac:dyDescent="0.3">
      <c r="A1298" t="s">
        <v>2493</v>
      </c>
      <c r="B1298">
        <v>1310207202</v>
      </c>
      <c r="C1298">
        <v>933</v>
      </c>
      <c r="D1298">
        <f>IF(쿼리1[[#This Row],[Value.Duration]]/100&lt;=10,10,ROUND(쿼리1[[#This Row],[Value.Duration]]/100*0.7,-1))</f>
        <v>10</v>
      </c>
    </row>
    <row r="1299" spans="1:4" x14ac:dyDescent="0.3">
      <c r="A1299" t="s">
        <v>2494</v>
      </c>
      <c r="B1299">
        <v>1310207203</v>
      </c>
      <c r="C1299">
        <v>1833</v>
      </c>
      <c r="D1299">
        <f>IF(쿼리1[[#This Row],[Value.Duration]]/100&lt;=10,10,ROUND(쿼리1[[#This Row],[Value.Duration]]/100*0.7,-1))</f>
        <v>10</v>
      </c>
    </row>
    <row r="1300" spans="1:4" x14ac:dyDescent="0.3">
      <c r="A1300" t="s">
        <v>2495</v>
      </c>
      <c r="B1300">
        <v>1310207301</v>
      </c>
      <c r="C1300">
        <v>800</v>
      </c>
      <c r="D1300">
        <f>IF(쿼리1[[#This Row],[Value.Duration]]/100&lt;=10,10,ROUND(쿼리1[[#This Row],[Value.Duration]]/100*0.7,-1))</f>
        <v>10</v>
      </c>
    </row>
    <row r="1301" spans="1:4" x14ac:dyDescent="0.3">
      <c r="A1301" t="s">
        <v>2496</v>
      </c>
      <c r="B1301">
        <v>1310207302</v>
      </c>
      <c r="C1301">
        <v>800</v>
      </c>
      <c r="D1301">
        <f>IF(쿼리1[[#This Row],[Value.Duration]]/100&lt;=10,10,ROUND(쿼리1[[#This Row],[Value.Duration]]/100*0.7,-1))</f>
        <v>10</v>
      </c>
    </row>
    <row r="1302" spans="1:4" x14ac:dyDescent="0.3">
      <c r="A1302" t="s">
        <v>2497</v>
      </c>
      <c r="B1302">
        <v>1310208101</v>
      </c>
      <c r="C1302">
        <v>533</v>
      </c>
      <c r="D1302">
        <f>IF(쿼리1[[#This Row],[Value.Duration]]/100&lt;=10,10,ROUND(쿼리1[[#This Row],[Value.Duration]]/100*0.7,-1))</f>
        <v>10</v>
      </c>
    </row>
    <row r="1303" spans="1:4" x14ac:dyDescent="0.3">
      <c r="A1303" t="s">
        <v>2498</v>
      </c>
      <c r="B1303">
        <v>1310208102</v>
      </c>
      <c r="C1303">
        <v>666</v>
      </c>
      <c r="D1303">
        <f>IF(쿼리1[[#This Row],[Value.Duration]]/100&lt;=10,10,ROUND(쿼리1[[#This Row],[Value.Duration]]/100*0.7,-1))</f>
        <v>10</v>
      </c>
    </row>
    <row r="1304" spans="1:4" x14ac:dyDescent="0.3">
      <c r="A1304" t="s">
        <v>2499</v>
      </c>
      <c r="B1304">
        <v>1310208103</v>
      </c>
      <c r="C1304">
        <v>733</v>
      </c>
      <c r="D1304">
        <f>IF(쿼리1[[#This Row],[Value.Duration]]/100&lt;=10,10,ROUND(쿼리1[[#This Row],[Value.Duration]]/100*0.7,-1))</f>
        <v>10</v>
      </c>
    </row>
    <row r="1305" spans="1:4" x14ac:dyDescent="0.3">
      <c r="A1305" t="s">
        <v>2500</v>
      </c>
      <c r="B1305">
        <v>1310208104</v>
      </c>
      <c r="C1305">
        <v>733</v>
      </c>
      <c r="D1305">
        <f>IF(쿼리1[[#This Row],[Value.Duration]]/100&lt;=10,10,ROUND(쿼리1[[#This Row],[Value.Duration]]/100*0.7,-1))</f>
        <v>10</v>
      </c>
    </row>
    <row r="1306" spans="1:4" x14ac:dyDescent="0.3">
      <c r="A1306" t="s">
        <v>2501</v>
      </c>
      <c r="B1306">
        <v>1310208105</v>
      </c>
      <c r="C1306">
        <v>733</v>
      </c>
      <c r="D1306">
        <f>IF(쿼리1[[#This Row],[Value.Duration]]/100&lt;=10,10,ROUND(쿼리1[[#This Row],[Value.Duration]]/100*0.7,-1))</f>
        <v>10</v>
      </c>
    </row>
    <row r="1307" spans="1:4" x14ac:dyDescent="0.3">
      <c r="A1307" t="s">
        <v>2502</v>
      </c>
      <c r="B1307">
        <v>1310208106</v>
      </c>
      <c r="C1307">
        <v>733</v>
      </c>
      <c r="D1307">
        <f>IF(쿼리1[[#This Row],[Value.Duration]]/100&lt;=10,10,ROUND(쿼리1[[#This Row],[Value.Duration]]/100*0.7,-1))</f>
        <v>10</v>
      </c>
    </row>
    <row r="1308" spans="1:4" x14ac:dyDescent="0.3">
      <c r="A1308" t="s">
        <v>2503</v>
      </c>
      <c r="B1308">
        <v>1310208107</v>
      </c>
      <c r="C1308">
        <v>1000</v>
      </c>
      <c r="D1308">
        <f>IF(쿼리1[[#This Row],[Value.Duration]]/100&lt;=10,10,ROUND(쿼리1[[#This Row],[Value.Duration]]/100*0.7,-1))</f>
        <v>10</v>
      </c>
    </row>
    <row r="1309" spans="1:4" x14ac:dyDescent="0.3">
      <c r="A1309" t="s">
        <v>2504</v>
      </c>
      <c r="B1309">
        <v>1310208108</v>
      </c>
      <c r="C1309">
        <v>733</v>
      </c>
      <c r="D1309">
        <f>IF(쿼리1[[#This Row],[Value.Duration]]/100&lt;=10,10,ROUND(쿼리1[[#This Row],[Value.Duration]]/100*0.7,-1))</f>
        <v>10</v>
      </c>
    </row>
    <row r="1310" spans="1:4" x14ac:dyDescent="0.3">
      <c r="A1310" t="s">
        <v>2505</v>
      </c>
      <c r="B1310">
        <v>1310208109</v>
      </c>
      <c r="C1310">
        <v>533</v>
      </c>
      <c r="D1310">
        <f>IF(쿼리1[[#This Row],[Value.Duration]]/100&lt;=10,10,ROUND(쿼리1[[#This Row],[Value.Duration]]/100*0.7,-1))</f>
        <v>10</v>
      </c>
    </row>
    <row r="1311" spans="1:4" x14ac:dyDescent="0.3">
      <c r="A1311" t="s">
        <v>2506</v>
      </c>
      <c r="B1311">
        <v>1310208110</v>
      </c>
      <c r="C1311">
        <v>666</v>
      </c>
      <c r="D1311">
        <f>IF(쿼리1[[#This Row],[Value.Duration]]/100&lt;=10,10,ROUND(쿼리1[[#This Row],[Value.Duration]]/100*0.7,-1))</f>
        <v>10</v>
      </c>
    </row>
    <row r="1312" spans="1:4" x14ac:dyDescent="0.3">
      <c r="A1312" t="s">
        <v>2507</v>
      </c>
      <c r="B1312">
        <v>1310208111</v>
      </c>
      <c r="C1312">
        <v>733</v>
      </c>
      <c r="D1312">
        <f>IF(쿼리1[[#This Row],[Value.Duration]]/100&lt;=10,10,ROUND(쿼리1[[#This Row],[Value.Duration]]/100*0.7,-1))</f>
        <v>10</v>
      </c>
    </row>
    <row r="1313" spans="1:4" x14ac:dyDescent="0.3">
      <c r="A1313" t="s">
        <v>2508</v>
      </c>
      <c r="B1313">
        <v>1310208112</v>
      </c>
      <c r="C1313">
        <v>733</v>
      </c>
      <c r="D1313">
        <f>IF(쿼리1[[#This Row],[Value.Duration]]/100&lt;=10,10,ROUND(쿼리1[[#This Row],[Value.Duration]]/100*0.7,-1))</f>
        <v>10</v>
      </c>
    </row>
    <row r="1314" spans="1:4" x14ac:dyDescent="0.3">
      <c r="A1314" t="s">
        <v>2509</v>
      </c>
      <c r="B1314">
        <v>1310208113</v>
      </c>
      <c r="C1314">
        <v>733</v>
      </c>
      <c r="D1314">
        <f>IF(쿼리1[[#This Row],[Value.Duration]]/100&lt;=10,10,ROUND(쿼리1[[#This Row],[Value.Duration]]/100*0.7,-1))</f>
        <v>10</v>
      </c>
    </row>
    <row r="1315" spans="1:4" x14ac:dyDescent="0.3">
      <c r="A1315" t="s">
        <v>2510</v>
      </c>
      <c r="B1315">
        <v>1310208114</v>
      </c>
      <c r="C1315">
        <v>733</v>
      </c>
      <c r="D1315">
        <f>IF(쿼리1[[#This Row],[Value.Duration]]/100&lt;=10,10,ROUND(쿼리1[[#This Row],[Value.Duration]]/100*0.7,-1))</f>
        <v>10</v>
      </c>
    </row>
    <row r="1316" spans="1:4" x14ac:dyDescent="0.3">
      <c r="A1316" t="s">
        <v>2511</v>
      </c>
      <c r="B1316">
        <v>1310208115</v>
      </c>
      <c r="C1316">
        <v>1000</v>
      </c>
      <c r="D1316">
        <f>IF(쿼리1[[#This Row],[Value.Duration]]/100&lt;=10,10,ROUND(쿼리1[[#This Row],[Value.Duration]]/100*0.7,-1))</f>
        <v>10</v>
      </c>
    </row>
    <row r="1317" spans="1:4" x14ac:dyDescent="0.3">
      <c r="A1317" t="s">
        <v>2512</v>
      </c>
      <c r="B1317">
        <v>1310208116</v>
      </c>
      <c r="C1317">
        <v>733</v>
      </c>
      <c r="D1317">
        <f>IF(쿼리1[[#This Row],[Value.Duration]]/100&lt;=10,10,ROUND(쿼리1[[#This Row],[Value.Duration]]/100*0.7,-1))</f>
        <v>10</v>
      </c>
    </row>
    <row r="1318" spans="1:4" x14ac:dyDescent="0.3">
      <c r="A1318" t="s">
        <v>2513</v>
      </c>
      <c r="B1318">
        <v>1310208117</v>
      </c>
      <c r="C1318">
        <v>733</v>
      </c>
      <c r="D1318">
        <f>IF(쿼리1[[#This Row],[Value.Duration]]/100&lt;=10,10,ROUND(쿼리1[[#This Row],[Value.Duration]]/100*0.7,-1))</f>
        <v>10</v>
      </c>
    </row>
    <row r="1319" spans="1:4" x14ac:dyDescent="0.3">
      <c r="A1319" t="s">
        <v>2514</v>
      </c>
      <c r="B1319">
        <v>1310208118</v>
      </c>
      <c r="C1319">
        <v>733</v>
      </c>
      <c r="D1319">
        <f>IF(쿼리1[[#This Row],[Value.Duration]]/100&lt;=10,10,ROUND(쿼리1[[#This Row],[Value.Duration]]/100*0.7,-1))</f>
        <v>10</v>
      </c>
    </row>
    <row r="1320" spans="1:4" x14ac:dyDescent="0.3">
      <c r="A1320" t="s">
        <v>2515</v>
      </c>
      <c r="B1320">
        <v>1310208201</v>
      </c>
      <c r="C1320">
        <v>1200</v>
      </c>
      <c r="D1320">
        <f>IF(쿼리1[[#This Row],[Value.Duration]]/100&lt;=10,10,ROUND(쿼리1[[#This Row],[Value.Duration]]/100*0.7,-1))</f>
        <v>10</v>
      </c>
    </row>
    <row r="1321" spans="1:4" x14ac:dyDescent="0.3">
      <c r="A1321" t="s">
        <v>2516</v>
      </c>
      <c r="B1321">
        <v>1310208202</v>
      </c>
      <c r="C1321">
        <v>1000</v>
      </c>
      <c r="D1321">
        <f>IF(쿼리1[[#This Row],[Value.Duration]]/100&lt;=10,10,ROUND(쿼리1[[#This Row],[Value.Duration]]/100*0.7,-1))</f>
        <v>10</v>
      </c>
    </row>
    <row r="1322" spans="1:4" x14ac:dyDescent="0.3">
      <c r="A1322" t="s">
        <v>2517</v>
      </c>
      <c r="B1322">
        <v>1310208203</v>
      </c>
      <c r="C1322">
        <v>1600</v>
      </c>
      <c r="D1322">
        <f>IF(쿼리1[[#This Row],[Value.Duration]]/100&lt;=10,10,ROUND(쿼리1[[#This Row],[Value.Duration]]/100*0.7,-1))</f>
        <v>10</v>
      </c>
    </row>
    <row r="1323" spans="1:4" x14ac:dyDescent="0.3">
      <c r="A1323" t="s">
        <v>2518</v>
      </c>
      <c r="B1323">
        <v>1310208301</v>
      </c>
      <c r="C1323">
        <v>1600</v>
      </c>
      <c r="D1323">
        <f>IF(쿼리1[[#This Row],[Value.Duration]]/100&lt;=10,10,ROUND(쿼리1[[#This Row],[Value.Duration]]/100*0.7,-1))</f>
        <v>10</v>
      </c>
    </row>
    <row r="1324" spans="1:4" x14ac:dyDescent="0.3">
      <c r="A1324" t="s">
        <v>2519</v>
      </c>
      <c r="B1324">
        <v>1310208302</v>
      </c>
      <c r="C1324">
        <v>1733</v>
      </c>
      <c r="D1324">
        <f>IF(쿼리1[[#This Row],[Value.Duration]]/100&lt;=10,10,ROUND(쿼리1[[#This Row],[Value.Duration]]/100*0.7,-1))</f>
        <v>10</v>
      </c>
    </row>
    <row r="1325" spans="1:4" x14ac:dyDescent="0.3">
      <c r="A1325" t="s">
        <v>2520</v>
      </c>
      <c r="B1325">
        <v>1410201101</v>
      </c>
      <c r="C1325">
        <v>1633</v>
      </c>
      <c r="D1325">
        <f>IF(쿼리1[[#This Row],[Value.Duration]]/100&lt;=10,10,ROUND(쿼리1[[#This Row],[Value.Duration]]/100*0.7,-1))</f>
        <v>10</v>
      </c>
    </row>
    <row r="1326" spans="1:4" x14ac:dyDescent="0.3">
      <c r="A1326" t="s">
        <v>2521</v>
      </c>
      <c r="B1326">
        <v>1410201102</v>
      </c>
      <c r="C1326">
        <v>4000</v>
      </c>
      <c r="D1326">
        <f>IF(쿼리1[[#This Row],[Value.Duration]]/100&lt;=10,10,ROUND(쿼리1[[#This Row],[Value.Duration]]/100*0.7,-1))</f>
        <v>30</v>
      </c>
    </row>
    <row r="1327" spans="1:4" x14ac:dyDescent="0.3">
      <c r="A1327" t="s">
        <v>2522</v>
      </c>
      <c r="B1327">
        <v>1410201103</v>
      </c>
      <c r="C1327">
        <v>800</v>
      </c>
      <c r="D1327">
        <f>IF(쿼리1[[#This Row],[Value.Duration]]/100&lt;=10,10,ROUND(쿼리1[[#This Row],[Value.Duration]]/100*0.7,-1))</f>
        <v>10</v>
      </c>
    </row>
    <row r="1328" spans="1:4" x14ac:dyDescent="0.3">
      <c r="A1328" t="s">
        <v>2523</v>
      </c>
      <c r="B1328">
        <v>1410201104</v>
      </c>
      <c r="C1328">
        <v>1666</v>
      </c>
      <c r="D1328">
        <f>IF(쿼리1[[#This Row],[Value.Duration]]/100&lt;=10,10,ROUND(쿼리1[[#This Row],[Value.Duration]]/100*0.7,-1))</f>
        <v>10</v>
      </c>
    </row>
    <row r="1329" spans="1:4" x14ac:dyDescent="0.3">
      <c r="A1329" t="s">
        <v>2524</v>
      </c>
      <c r="B1329">
        <v>1410201105</v>
      </c>
      <c r="C1329">
        <v>666</v>
      </c>
      <c r="D1329">
        <f>IF(쿼리1[[#This Row],[Value.Duration]]/100&lt;=10,10,ROUND(쿼리1[[#This Row],[Value.Duration]]/100*0.7,-1))</f>
        <v>10</v>
      </c>
    </row>
    <row r="1330" spans="1:4" x14ac:dyDescent="0.3">
      <c r="A1330" t="s">
        <v>2525</v>
      </c>
      <c r="B1330">
        <v>1410201106</v>
      </c>
      <c r="C1330">
        <v>666</v>
      </c>
      <c r="D1330">
        <f>IF(쿼리1[[#This Row],[Value.Duration]]/100&lt;=10,10,ROUND(쿼리1[[#This Row],[Value.Duration]]/100*0.7,-1))</f>
        <v>10</v>
      </c>
    </row>
    <row r="1331" spans="1:4" x14ac:dyDescent="0.3">
      <c r="A1331" t="s">
        <v>2526</v>
      </c>
      <c r="B1331">
        <v>1410201107</v>
      </c>
      <c r="C1331">
        <v>600</v>
      </c>
      <c r="D1331">
        <f>IF(쿼리1[[#This Row],[Value.Duration]]/100&lt;=10,10,ROUND(쿼리1[[#This Row],[Value.Duration]]/100*0.7,-1))</f>
        <v>10</v>
      </c>
    </row>
    <row r="1332" spans="1:4" x14ac:dyDescent="0.3">
      <c r="A1332" t="s">
        <v>2527</v>
      </c>
      <c r="B1332">
        <v>1410201108</v>
      </c>
      <c r="C1332">
        <v>733</v>
      </c>
      <c r="D1332">
        <f>IF(쿼리1[[#This Row],[Value.Duration]]/100&lt;=10,10,ROUND(쿼리1[[#This Row],[Value.Duration]]/100*0.7,-1))</f>
        <v>10</v>
      </c>
    </row>
    <row r="1333" spans="1:4" x14ac:dyDescent="0.3">
      <c r="A1333" t="s">
        <v>2528</v>
      </c>
      <c r="B1333">
        <v>1410201109</v>
      </c>
      <c r="C1333">
        <v>800</v>
      </c>
      <c r="D1333">
        <f>IF(쿼리1[[#This Row],[Value.Duration]]/100&lt;=10,10,ROUND(쿼리1[[#This Row],[Value.Duration]]/100*0.7,-1))</f>
        <v>10</v>
      </c>
    </row>
    <row r="1334" spans="1:4" x14ac:dyDescent="0.3">
      <c r="A1334" t="s">
        <v>2529</v>
      </c>
      <c r="B1334">
        <v>1410201110</v>
      </c>
      <c r="C1334">
        <v>1633</v>
      </c>
      <c r="D1334">
        <f>IF(쿼리1[[#This Row],[Value.Duration]]/100&lt;=10,10,ROUND(쿼리1[[#This Row],[Value.Duration]]/100*0.7,-1))</f>
        <v>10</v>
      </c>
    </row>
    <row r="1335" spans="1:4" x14ac:dyDescent="0.3">
      <c r="A1335" t="s">
        <v>2530</v>
      </c>
      <c r="B1335">
        <v>1410201111</v>
      </c>
      <c r="C1335">
        <v>4000</v>
      </c>
      <c r="D1335">
        <f>IF(쿼리1[[#This Row],[Value.Duration]]/100&lt;=10,10,ROUND(쿼리1[[#This Row],[Value.Duration]]/100*0.7,-1))</f>
        <v>30</v>
      </c>
    </row>
    <row r="1336" spans="1:4" x14ac:dyDescent="0.3">
      <c r="A1336" t="s">
        <v>2531</v>
      </c>
      <c r="B1336">
        <v>1410201112</v>
      </c>
      <c r="C1336">
        <v>800</v>
      </c>
      <c r="D1336">
        <f>IF(쿼리1[[#This Row],[Value.Duration]]/100&lt;=10,10,ROUND(쿼리1[[#This Row],[Value.Duration]]/100*0.7,-1))</f>
        <v>10</v>
      </c>
    </row>
    <row r="1337" spans="1:4" x14ac:dyDescent="0.3">
      <c r="A1337" t="s">
        <v>2532</v>
      </c>
      <c r="B1337">
        <v>1410201113</v>
      </c>
      <c r="C1337">
        <v>1666</v>
      </c>
      <c r="D1337">
        <f>IF(쿼리1[[#This Row],[Value.Duration]]/100&lt;=10,10,ROUND(쿼리1[[#This Row],[Value.Duration]]/100*0.7,-1))</f>
        <v>10</v>
      </c>
    </row>
    <row r="1338" spans="1:4" x14ac:dyDescent="0.3">
      <c r="A1338" t="s">
        <v>2533</v>
      </c>
      <c r="B1338">
        <v>1410201114</v>
      </c>
      <c r="C1338">
        <v>666</v>
      </c>
      <c r="D1338">
        <f>IF(쿼리1[[#This Row],[Value.Duration]]/100&lt;=10,10,ROUND(쿼리1[[#This Row],[Value.Duration]]/100*0.7,-1))</f>
        <v>10</v>
      </c>
    </row>
    <row r="1339" spans="1:4" x14ac:dyDescent="0.3">
      <c r="A1339" t="s">
        <v>2534</v>
      </c>
      <c r="B1339">
        <v>1410201115</v>
      </c>
      <c r="C1339">
        <v>666</v>
      </c>
      <c r="D1339">
        <f>IF(쿼리1[[#This Row],[Value.Duration]]/100&lt;=10,10,ROUND(쿼리1[[#This Row],[Value.Duration]]/100*0.7,-1))</f>
        <v>10</v>
      </c>
    </row>
    <row r="1340" spans="1:4" x14ac:dyDescent="0.3">
      <c r="A1340" t="s">
        <v>2535</v>
      </c>
      <c r="B1340">
        <v>1410201116</v>
      </c>
      <c r="C1340">
        <v>600</v>
      </c>
      <c r="D1340">
        <f>IF(쿼리1[[#This Row],[Value.Duration]]/100&lt;=10,10,ROUND(쿼리1[[#This Row],[Value.Duration]]/100*0.7,-1))</f>
        <v>10</v>
      </c>
    </row>
    <row r="1341" spans="1:4" x14ac:dyDescent="0.3">
      <c r="A1341" t="s">
        <v>2536</v>
      </c>
      <c r="B1341">
        <v>1410201117</v>
      </c>
      <c r="C1341">
        <v>733</v>
      </c>
      <c r="D1341">
        <f>IF(쿼리1[[#This Row],[Value.Duration]]/100&lt;=10,10,ROUND(쿼리1[[#This Row],[Value.Duration]]/100*0.7,-1))</f>
        <v>10</v>
      </c>
    </row>
    <row r="1342" spans="1:4" x14ac:dyDescent="0.3">
      <c r="A1342" t="s">
        <v>2537</v>
      </c>
      <c r="B1342">
        <v>1410201118</v>
      </c>
      <c r="C1342">
        <v>800</v>
      </c>
      <c r="D1342">
        <f>IF(쿼리1[[#This Row],[Value.Duration]]/100&lt;=10,10,ROUND(쿼리1[[#This Row],[Value.Duration]]/100*0.7,-1))</f>
        <v>10</v>
      </c>
    </row>
    <row r="1343" spans="1:4" x14ac:dyDescent="0.3">
      <c r="A1343" t="s">
        <v>2538</v>
      </c>
      <c r="B1343">
        <v>1410201201</v>
      </c>
      <c r="C1343">
        <v>1200</v>
      </c>
      <c r="D1343">
        <f>IF(쿼리1[[#This Row],[Value.Duration]]/100&lt;=10,10,ROUND(쿼리1[[#This Row],[Value.Duration]]/100*0.7,-1))</f>
        <v>10</v>
      </c>
    </row>
    <row r="1344" spans="1:4" x14ac:dyDescent="0.3">
      <c r="A1344" t="s">
        <v>2539</v>
      </c>
      <c r="B1344">
        <v>1410201202</v>
      </c>
      <c r="C1344">
        <v>666</v>
      </c>
      <c r="D1344">
        <f>IF(쿼리1[[#This Row],[Value.Duration]]/100&lt;=10,10,ROUND(쿼리1[[#This Row],[Value.Duration]]/100*0.7,-1))</f>
        <v>10</v>
      </c>
    </row>
    <row r="1345" spans="1:4" x14ac:dyDescent="0.3">
      <c r="A1345" t="s">
        <v>2540</v>
      </c>
      <c r="B1345">
        <v>1410201203</v>
      </c>
      <c r="C1345">
        <v>1333</v>
      </c>
      <c r="D1345">
        <f>IF(쿼리1[[#This Row],[Value.Duration]]/100&lt;=10,10,ROUND(쿼리1[[#This Row],[Value.Duration]]/100*0.7,-1))</f>
        <v>10</v>
      </c>
    </row>
    <row r="1346" spans="1:4" x14ac:dyDescent="0.3">
      <c r="A1346" t="s">
        <v>2541</v>
      </c>
      <c r="B1346">
        <v>1410201301</v>
      </c>
      <c r="C1346">
        <v>1666</v>
      </c>
      <c r="D1346">
        <f>IF(쿼리1[[#This Row],[Value.Duration]]/100&lt;=10,10,ROUND(쿼리1[[#This Row],[Value.Duration]]/100*0.7,-1))</f>
        <v>10</v>
      </c>
    </row>
    <row r="1347" spans="1:4" x14ac:dyDescent="0.3">
      <c r="A1347" t="s">
        <v>2542</v>
      </c>
      <c r="B1347">
        <v>1410201302</v>
      </c>
      <c r="C1347">
        <v>1666</v>
      </c>
      <c r="D1347">
        <f>IF(쿼리1[[#This Row],[Value.Duration]]/100&lt;=10,10,ROUND(쿼리1[[#This Row],[Value.Duration]]/100*0.7,-1))</f>
        <v>10</v>
      </c>
    </row>
    <row r="1348" spans="1:4" x14ac:dyDescent="0.3">
      <c r="A1348" t="s">
        <v>2543</v>
      </c>
      <c r="B1348">
        <v>1410202101</v>
      </c>
      <c r="C1348">
        <v>1566</v>
      </c>
      <c r="D1348">
        <f>IF(쿼리1[[#This Row],[Value.Duration]]/100&lt;=10,10,ROUND(쿼리1[[#This Row],[Value.Duration]]/100*0.7,-1))</f>
        <v>10</v>
      </c>
    </row>
    <row r="1349" spans="1:4" x14ac:dyDescent="0.3">
      <c r="A1349" t="s">
        <v>2544</v>
      </c>
      <c r="B1349">
        <v>1410202102</v>
      </c>
      <c r="C1349">
        <v>800</v>
      </c>
      <c r="D1349">
        <f>IF(쿼리1[[#This Row],[Value.Duration]]/100&lt;=10,10,ROUND(쿼리1[[#This Row],[Value.Duration]]/100*0.7,-1))</f>
        <v>10</v>
      </c>
    </row>
    <row r="1350" spans="1:4" x14ac:dyDescent="0.3">
      <c r="A1350" t="s">
        <v>2545</v>
      </c>
      <c r="B1350">
        <v>1410202103</v>
      </c>
      <c r="C1350">
        <v>1633</v>
      </c>
      <c r="D1350">
        <f>IF(쿼리1[[#This Row],[Value.Duration]]/100&lt;=10,10,ROUND(쿼리1[[#This Row],[Value.Duration]]/100*0.7,-1))</f>
        <v>10</v>
      </c>
    </row>
    <row r="1351" spans="1:4" x14ac:dyDescent="0.3">
      <c r="A1351" t="s">
        <v>2546</v>
      </c>
      <c r="B1351">
        <v>1410202104</v>
      </c>
      <c r="C1351">
        <v>800</v>
      </c>
      <c r="D1351">
        <f>IF(쿼리1[[#This Row],[Value.Duration]]/100&lt;=10,10,ROUND(쿼리1[[#This Row],[Value.Duration]]/100*0.7,-1))</f>
        <v>10</v>
      </c>
    </row>
    <row r="1352" spans="1:4" x14ac:dyDescent="0.3">
      <c r="A1352" t="s">
        <v>2547</v>
      </c>
      <c r="B1352">
        <v>1410202105</v>
      </c>
      <c r="C1352">
        <v>1666</v>
      </c>
      <c r="D1352">
        <f>IF(쿼리1[[#This Row],[Value.Duration]]/100&lt;=10,10,ROUND(쿼리1[[#This Row],[Value.Duration]]/100*0.7,-1))</f>
        <v>10</v>
      </c>
    </row>
    <row r="1353" spans="1:4" x14ac:dyDescent="0.3">
      <c r="A1353" t="s">
        <v>2548</v>
      </c>
      <c r="B1353">
        <v>1410202106</v>
      </c>
      <c r="C1353">
        <v>600</v>
      </c>
      <c r="D1353">
        <f>IF(쿼리1[[#This Row],[Value.Duration]]/100&lt;=10,10,ROUND(쿼리1[[#This Row],[Value.Duration]]/100*0.7,-1))</f>
        <v>10</v>
      </c>
    </row>
    <row r="1354" spans="1:4" x14ac:dyDescent="0.3">
      <c r="A1354" t="s">
        <v>2549</v>
      </c>
      <c r="B1354">
        <v>1410202107</v>
      </c>
      <c r="C1354">
        <v>733</v>
      </c>
      <c r="D1354">
        <f>IF(쿼리1[[#This Row],[Value.Duration]]/100&lt;=10,10,ROUND(쿼리1[[#This Row],[Value.Duration]]/100*0.7,-1))</f>
        <v>10</v>
      </c>
    </row>
    <row r="1355" spans="1:4" x14ac:dyDescent="0.3">
      <c r="A1355" t="s">
        <v>2550</v>
      </c>
      <c r="B1355">
        <v>1410202108</v>
      </c>
      <c r="C1355">
        <v>666</v>
      </c>
      <c r="D1355">
        <f>IF(쿼리1[[#This Row],[Value.Duration]]/100&lt;=10,10,ROUND(쿼리1[[#This Row],[Value.Duration]]/100*0.7,-1))</f>
        <v>10</v>
      </c>
    </row>
    <row r="1356" spans="1:4" x14ac:dyDescent="0.3">
      <c r="A1356" t="s">
        <v>2551</v>
      </c>
      <c r="B1356">
        <v>1410202109</v>
      </c>
      <c r="C1356">
        <v>800</v>
      </c>
      <c r="D1356">
        <f>IF(쿼리1[[#This Row],[Value.Duration]]/100&lt;=10,10,ROUND(쿼리1[[#This Row],[Value.Duration]]/100*0.7,-1))</f>
        <v>10</v>
      </c>
    </row>
    <row r="1357" spans="1:4" x14ac:dyDescent="0.3">
      <c r="A1357" t="s">
        <v>2552</v>
      </c>
      <c r="B1357">
        <v>1410202110</v>
      </c>
      <c r="C1357">
        <v>1566</v>
      </c>
      <c r="D1357">
        <f>IF(쿼리1[[#This Row],[Value.Duration]]/100&lt;=10,10,ROUND(쿼리1[[#This Row],[Value.Duration]]/100*0.7,-1))</f>
        <v>10</v>
      </c>
    </row>
    <row r="1358" spans="1:4" x14ac:dyDescent="0.3">
      <c r="A1358" t="s">
        <v>2553</v>
      </c>
      <c r="B1358">
        <v>1410202111</v>
      </c>
      <c r="C1358">
        <v>800</v>
      </c>
      <c r="D1358">
        <f>IF(쿼리1[[#This Row],[Value.Duration]]/100&lt;=10,10,ROUND(쿼리1[[#This Row],[Value.Duration]]/100*0.7,-1))</f>
        <v>10</v>
      </c>
    </row>
    <row r="1359" spans="1:4" x14ac:dyDescent="0.3">
      <c r="A1359" t="s">
        <v>2554</v>
      </c>
      <c r="B1359">
        <v>1410202112</v>
      </c>
      <c r="C1359">
        <v>1633</v>
      </c>
      <c r="D1359">
        <f>IF(쿼리1[[#This Row],[Value.Duration]]/100&lt;=10,10,ROUND(쿼리1[[#This Row],[Value.Duration]]/100*0.7,-1))</f>
        <v>10</v>
      </c>
    </row>
    <row r="1360" spans="1:4" x14ac:dyDescent="0.3">
      <c r="A1360" t="s">
        <v>2555</v>
      </c>
      <c r="B1360">
        <v>1410202113</v>
      </c>
      <c r="C1360">
        <v>800</v>
      </c>
      <c r="D1360">
        <f>IF(쿼리1[[#This Row],[Value.Duration]]/100&lt;=10,10,ROUND(쿼리1[[#This Row],[Value.Duration]]/100*0.7,-1))</f>
        <v>10</v>
      </c>
    </row>
    <row r="1361" spans="1:4" x14ac:dyDescent="0.3">
      <c r="A1361" t="s">
        <v>2556</v>
      </c>
      <c r="B1361">
        <v>1410202114</v>
      </c>
      <c r="C1361">
        <v>1666</v>
      </c>
      <c r="D1361">
        <f>IF(쿼리1[[#This Row],[Value.Duration]]/100&lt;=10,10,ROUND(쿼리1[[#This Row],[Value.Duration]]/100*0.7,-1))</f>
        <v>10</v>
      </c>
    </row>
    <row r="1362" spans="1:4" x14ac:dyDescent="0.3">
      <c r="A1362" t="s">
        <v>2557</v>
      </c>
      <c r="B1362">
        <v>1410202115</v>
      </c>
      <c r="C1362">
        <v>600</v>
      </c>
      <c r="D1362">
        <f>IF(쿼리1[[#This Row],[Value.Duration]]/100&lt;=10,10,ROUND(쿼리1[[#This Row],[Value.Duration]]/100*0.7,-1))</f>
        <v>10</v>
      </c>
    </row>
    <row r="1363" spans="1:4" x14ac:dyDescent="0.3">
      <c r="A1363" t="s">
        <v>2558</v>
      </c>
      <c r="B1363">
        <v>1410202116</v>
      </c>
      <c r="C1363">
        <v>733</v>
      </c>
      <c r="D1363">
        <f>IF(쿼리1[[#This Row],[Value.Duration]]/100&lt;=10,10,ROUND(쿼리1[[#This Row],[Value.Duration]]/100*0.7,-1))</f>
        <v>10</v>
      </c>
    </row>
    <row r="1364" spans="1:4" x14ac:dyDescent="0.3">
      <c r="A1364" t="s">
        <v>2559</v>
      </c>
      <c r="B1364">
        <v>1410202117</v>
      </c>
      <c r="C1364">
        <v>666</v>
      </c>
      <c r="D1364">
        <f>IF(쿼리1[[#This Row],[Value.Duration]]/100&lt;=10,10,ROUND(쿼리1[[#This Row],[Value.Duration]]/100*0.7,-1))</f>
        <v>10</v>
      </c>
    </row>
    <row r="1365" spans="1:4" x14ac:dyDescent="0.3">
      <c r="A1365" t="s">
        <v>2560</v>
      </c>
      <c r="B1365">
        <v>1410202118</v>
      </c>
      <c r="C1365">
        <v>800</v>
      </c>
      <c r="D1365">
        <f>IF(쿼리1[[#This Row],[Value.Duration]]/100&lt;=10,10,ROUND(쿼리1[[#This Row],[Value.Duration]]/100*0.7,-1))</f>
        <v>10</v>
      </c>
    </row>
    <row r="1366" spans="1:4" x14ac:dyDescent="0.3">
      <c r="A1366" t="s">
        <v>2561</v>
      </c>
      <c r="B1366">
        <v>1410202201</v>
      </c>
      <c r="C1366">
        <v>1200</v>
      </c>
      <c r="D1366">
        <f>IF(쿼리1[[#This Row],[Value.Duration]]/100&lt;=10,10,ROUND(쿼리1[[#This Row],[Value.Duration]]/100*0.7,-1))</f>
        <v>10</v>
      </c>
    </row>
    <row r="1367" spans="1:4" x14ac:dyDescent="0.3">
      <c r="A1367" t="s">
        <v>2562</v>
      </c>
      <c r="B1367">
        <v>1410202202</v>
      </c>
      <c r="C1367">
        <v>1333</v>
      </c>
      <c r="D1367">
        <f>IF(쿼리1[[#This Row],[Value.Duration]]/100&lt;=10,10,ROUND(쿼리1[[#This Row],[Value.Duration]]/100*0.7,-1))</f>
        <v>10</v>
      </c>
    </row>
    <row r="1368" spans="1:4" x14ac:dyDescent="0.3">
      <c r="A1368" t="s">
        <v>2563</v>
      </c>
      <c r="B1368">
        <v>1410202203</v>
      </c>
      <c r="C1368">
        <v>1600</v>
      </c>
      <c r="D1368">
        <f>IF(쿼리1[[#This Row],[Value.Duration]]/100&lt;=10,10,ROUND(쿼리1[[#This Row],[Value.Duration]]/100*0.7,-1))</f>
        <v>10</v>
      </c>
    </row>
    <row r="1369" spans="1:4" x14ac:dyDescent="0.3">
      <c r="A1369" t="s">
        <v>2564</v>
      </c>
      <c r="B1369">
        <v>1410202301</v>
      </c>
      <c r="C1369">
        <v>2000</v>
      </c>
      <c r="D1369">
        <f>IF(쿼리1[[#This Row],[Value.Duration]]/100&lt;=10,10,ROUND(쿼리1[[#This Row],[Value.Duration]]/100*0.7,-1))</f>
        <v>10</v>
      </c>
    </row>
    <row r="1370" spans="1:4" x14ac:dyDescent="0.3">
      <c r="A1370" t="s">
        <v>2565</v>
      </c>
      <c r="B1370">
        <v>1410202302</v>
      </c>
      <c r="C1370">
        <v>2000</v>
      </c>
      <c r="D1370">
        <f>IF(쿼리1[[#This Row],[Value.Duration]]/100&lt;=10,10,ROUND(쿼리1[[#This Row],[Value.Duration]]/100*0.7,-1))</f>
        <v>10</v>
      </c>
    </row>
    <row r="1371" spans="1:4" x14ac:dyDescent="0.3">
      <c r="A1371" t="s">
        <v>2566</v>
      </c>
      <c r="B1371">
        <v>1410203101</v>
      </c>
      <c r="C1371">
        <v>533</v>
      </c>
      <c r="D1371">
        <f>IF(쿼리1[[#This Row],[Value.Duration]]/100&lt;=10,10,ROUND(쿼리1[[#This Row],[Value.Duration]]/100*0.7,-1))</f>
        <v>10</v>
      </c>
    </row>
    <row r="1372" spans="1:4" x14ac:dyDescent="0.3">
      <c r="A1372" t="s">
        <v>2567</v>
      </c>
      <c r="B1372">
        <v>1410203102</v>
      </c>
      <c r="C1372">
        <v>1566</v>
      </c>
      <c r="D1372">
        <f>IF(쿼리1[[#This Row],[Value.Duration]]/100&lt;=10,10,ROUND(쿼리1[[#This Row],[Value.Duration]]/100*0.7,-1))</f>
        <v>10</v>
      </c>
    </row>
    <row r="1373" spans="1:4" x14ac:dyDescent="0.3">
      <c r="A1373" t="s">
        <v>2568</v>
      </c>
      <c r="B1373">
        <v>1410203103</v>
      </c>
      <c r="C1373">
        <v>533</v>
      </c>
      <c r="D1373">
        <f>IF(쿼리1[[#This Row],[Value.Duration]]/100&lt;=10,10,ROUND(쿼리1[[#This Row],[Value.Duration]]/100*0.7,-1))</f>
        <v>10</v>
      </c>
    </row>
    <row r="1374" spans="1:4" x14ac:dyDescent="0.3">
      <c r="A1374" t="s">
        <v>2569</v>
      </c>
      <c r="B1374">
        <v>1410203104</v>
      </c>
      <c r="C1374">
        <v>800</v>
      </c>
      <c r="D1374">
        <f>IF(쿼리1[[#This Row],[Value.Duration]]/100&lt;=10,10,ROUND(쿼리1[[#This Row],[Value.Duration]]/100*0.7,-1))</f>
        <v>10</v>
      </c>
    </row>
    <row r="1375" spans="1:4" x14ac:dyDescent="0.3">
      <c r="A1375" t="s">
        <v>2570</v>
      </c>
      <c r="B1375">
        <v>1410203105</v>
      </c>
      <c r="C1375">
        <v>666</v>
      </c>
      <c r="D1375">
        <f>IF(쿼리1[[#This Row],[Value.Duration]]/100&lt;=10,10,ROUND(쿼리1[[#This Row],[Value.Duration]]/100*0.7,-1))</f>
        <v>10</v>
      </c>
    </row>
    <row r="1376" spans="1:4" x14ac:dyDescent="0.3">
      <c r="A1376" t="s">
        <v>2571</v>
      </c>
      <c r="B1376">
        <v>1410203106</v>
      </c>
      <c r="C1376">
        <v>600</v>
      </c>
      <c r="D1376">
        <f>IF(쿼리1[[#This Row],[Value.Duration]]/100&lt;=10,10,ROUND(쿼리1[[#This Row],[Value.Duration]]/100*0.7,-1))</f>
        <v>10</v>
      </c>
    </row>
    <row r="1377" spans="1:4" x14ac:dyDescent="0.3">
      <c r="A1377" t="s">
        <v>2572</v>
      </c>
      <c r="B1377">
        <v>1410203107</v>
      </c>
      <c r="C1377">
        <v>666</v>
      </c>
      <c r="D1377">
        <f>IF(쿼리1[[#This Row],[Value.Duration]]/100&lt;=10,10,ROUND(쿼리1[[#This Row],[Value.Duration]]/100*0.7,-1))</f>
        <v>10</v>
      </c>
    </row>
    <row r="1378" spans="1:4" x14ac:dyDescent="0.3">
      <c r="A1378" t="s">
        <v>2573</v>
      </c>
      <c r="B1378">
        <v>1410203108</v>
      </c>
      <c r="C1378">
        <v>733</v>
      </c>
      <c r="D1378">
        <f>IF(쿼리1[[#This Row],[Value.Duration]]/100&lt;=10,10,ROUND(쿼리1[[#This Row],[Value.Duration]]/100*0.7,-1))</f>
        <v>10</v>
      </c>
    </row>
    <row r="1379" spans="1:4" x14ac:dyDescent="0.3">
      <c r="A1379" t="s">
        <v>2574</v>
      </c>
      <c r="B1379">
        <v>1410203109</v>
      </c>
      <c r="C1379">
        <v>1133</v>
      </c>
      <c r="D1379">
        <f>IF(쿼리1[[#This Row],[Value.Duration]]/100&lt;=10,10,ROUND(쿼리1[[#This Row],[Value.Duration]]/100*0.7,-1))</f>
        <v>10</v>
      </c>
    </row>
    <row r="1380" spans="1:4" x14ac:dyDescent="0.3">
      <c r="A1380" t="s">
        <v>2575</v>
      </c>
      <c r="B1380">
        <v>1410203110</v>
      </c>
      <c r="C1380">
        <v>433</v>
      </c>
      <c r="D1380">
        <f>IF(쿼리1[[#This Row],[Value.Duration]]/100&lt;=10,10,ROUND(쿼리1[[#This Row],[Value.Duration]]/100*0.7,-1))</f>
        <v>10</v>
      </c>
    </row>
    <row r="1381" spans="1:4" x14ac:dyDescent="0.3">
      <c r="A1381" t="s">
        <v>2576</v>
      </c>
      <c r="B1381">
        <v>1410203111</v>
      </c>
      <c r="C1381">
        <v>533</v>
      </c>
      <c r="D1381">
        <f>IF(쿼리1[[#This Row],[Value.Duration]]/100&lt;=10,10,ROUND(쿼리1[[#This Row],[Value.Duration]]/100*0.7,-1))</f>
        <v>10</v>
      </c>
    </row>
    <row r="1382" spans="1:4" x14ac:dyDescent="0.3">
      <c r="A1382" t="s">
        <v>2577</v>
      </c>
      <c r="B1382">
        <v>1410203112</v>
      </c>
      <c r="C1382">
        <v>1566</v>
      </c>
      <c r="D1382">
        <f>IF(쿼리1[[#This Row],[Value.Duration]]/100&lt;=10,10,ROUND(쿼리1[[#This Row],[Value.Duration]]/100*0.7,-1))</f>
        <v>10</v>
      </c>
    </row>
    <row r="1383" spans="1:4" x14ac:dyDescent="0.3">
      <c r="A1383" t="s">
        <v>2578</v>
      </c>
      <c r="B1383">
        <v>1410203113</v>
      </c>
      <c r="C1383">
        <v>533</v>
      </c>
      <c r="D1383">
        <f>IF(쿼리1[[#This Row],[Value.Duration]]/100&lt;=10,10,ROUND(쿼리1[[#This Row],[Value.Duration]]/100*0.7,-1))</f>
        <v>10</v>
      </c>
    </row>
    <row r="1384" spans="1:4" x14ac:dyDescent="0.3">
      <c r="A1384" t="s">
        <v>2579</v>
      </c>
      <c r="B1384">
        <v>1410203114</v>
      </c>
      <c r="C1384">
        <v>800</v>
      </c>
      <c r="D1384">
        <f>IF(쿼리1[[#This Row],[Value.Duration]]/100&lt;=10,10,ROUND(쿼리1[[#This Row],[Value.Duration]]/100*0.7,-1))</f>
        <v>10</v>
      </c>
    </row>
    <row r="1385" spans="1:4" x14ac:dyDescent="0.3">
      <c r="A1385" t="s">
        <v>2580</v>
      </c>
      <c r="B1385">
        <v>1410203115</v>
      </c>
      <c r="C1385">
        <v>666</v>
      </c>
      <c r="D1385">
        <f>IF(쿼리1[[#This Row],[Value.Duration]]/100&lt;=10,10,ROUND(쿼리1[[#This Row],[Value.Duration]]/100*0.7,-1))</f>
        <v>10</v>
      </c>
    </row>
    <row r="1386" spans="1:4" x14ac:dyDescent="0.3">
      <c r="A1386" t="s">
        <v>2581</v>
      </c>
      <c r="B1386">
        <v>1410203116</v>
      </c>
      <c r="C1386">
        <v>600</v>
      </c>
      <c r="D1386">
        <f>IF(쿼리1[[#This Row],[Value.Duration]]/100&lt;=10,10,ROUND(쿼리1[[#This Row],[Value.Duration]]/100*0.7,-1))</f>
        <v>10</v>
      </c>
    </row>
    <row r="1387" spans="1:4" x14ac:dyDescent="0.3">
      <c r="A1387" t="s">
        <v>2582</v>
      </c>
      <c r="B1387">
        <v>1410203117</v>
      </c>
      <c r="C1387">
        <v>666</v>
      </c>
      <c r="D1387">
        <f>IF(쿼리1[[#This Row],[Value.Duration]]/100&lt;=10,10,ROUND(쿼리1[[#This Row],[Value.Duration]]/100*0.7,-1))</f>
        <v>10</v>
      </c>
    </row>
    <row r="1388" spans="1:4" x14ac:dyDescent="0.3">
      <c r="A1388" t="s">
        <v>2583</v>
      </c>
      <c r="B1388">
        <v>1410203118</v>
      </c>
      <c r="C1388">
        <v>733</v>
      </c>
      <c r="D1388">
        <f>IF(쿼리1[[#This Row],[Value.Duration]]/100&lt;=10,10,ROUND(쿼리1[[#This Row],[Value.Duration]]/100*0.7,-1))</f>
        <v>10</v>
      </c>
    </row>
    <row r="1389" spans="1:4" x14ac:dyDescent="0.3">
      <c r="A1389" t="s">
        <v>2584</v>
      </c>
      <c r="B1389">
        <v>1410203119</v>
      </c>
      <c r="C1389">
        <v>1133</v>
      </c>
      <c r="D1389">
        <f>IF(쿼리1[[#This Row],[Value.Duration]]/100&lt;=10,10,ROUND(쿼리1[[#This Row],[Value.Duration]]/100*0.7,-1))</f>
        <v>10</v>
      </c>
    </row>
    <row r="1390" spans="1:4" x14ac:dyDescent="0.3">
      <c r="A1390" t="s">
        <v>2585</v>
      </c>
      <c r="B1390">
        <v>1410203120</v>
      </c>
      <c r="C1390">
        <v>433</v>
      </c>
      <c r="D1390">
        <f>IF(쿼리1[[#This Row],[Value.Duration]]/100&lt;=10,10,ROUND(쿼리1[[#This Row],[Value.Duration]]/100*0.7,-1))</f>
        <v>10</v>
      </c>
    </row>
    <row r="1391" spans="1:4" x14ac:dyDescent="0.3">
      <c r="A1391" t="s">
        <v>2586</v>
      </c>
      <c r="B1391">
        <v>1410203201</v>
      </c>
      <c r="C1391">
        <v>1600</v>
      </c>
      <c r="D1391">
        <f>IF(쿼리1[[#This Row],[Value.Duration]]/100&lt;=10,10,ROUND(쿼리1[[#This Row],[Value.Duration]]/100*0.7,-1))</f>
        <v>10</v>
      </c>
    </row>
    <row r="1392" spans="1:4" x14ac:dyDescent="0.3">
      <c r="A1392" t="s">
        <v>2587</v>
      </c>
      <c r="B1392">
        <v>1410203202</v>
      </c>
      <c r="C1392">
        <v>1333</v>
      </c>
      <c r="D1392">
        <f>IF(쿼리1[[#This Row],[Value.Duration]]/100&lt;=10,10,ROUND(쿼리1[[#This Row],[Value.Duration]]/100*0.7,-1))</f>
        <v>10</v>
      </c>
    </row>
    <row r="1393" spans="1:4" x14ac:dyDescent="0.3">
      <c r="A1393" t="s">
        <v>2588</v>
      </c>
      <c r="B1393">
        <v>1410203203</v>
      </c>
      <c r="C1393">
        <v>1600</v>
      </c>
      <c r="D1393">
        <f>IF(쿼리1[[#This Row],[Value.Duration]]/100&lt;=10,10,ROUND(쿼리1[[#This Row],[Value.Duration]]/100*0.7,-1))</f>
        <v>10</v>
      </c>
    </row>
    <row r="1394" spans="1:4" x14ac:dyDescent="0.3">
      <c r="A1394" t="s">
        <v>2589</v>
      </c>
      <c r="B1394">
        <v>1410203301</v>
      </c>
      <c r="C1394">
        <v>1600</v>
      </c>
      <c r="D1394">
        <f>IF(쿼리1[[#This Row],[Value.Duration]]/100&lt;=10,10,ROUND(쿼리1[[#This Row],[Value.Duration]]/100*0.7,-1))</f>
        <v>10</v>
      </c>
    </row>
    <row r="1395" spans="1:4" x14ac:dyDescent="0.3">
      <c r="A1395" t="s">
        <v>2590</v>
      </c>
      <c r="B1395">
        <v>1410203302</v>
      </c>
      <c r="C1395">
        <v>1600</v>
      </c>
      <c r="D1395">
        <f>IF(쿼리1[[#This Row],[Value.Duration]]/100&lt;=10,10,ROUND(쿼리1[[#This Row],[Value.Duration]]/100*0.7,-1))</f>
        <v>10</v>
      </c>
    </row>
    <row r="1396" spans="1:4" x14ac:dyDescent="0.3">
      <c r="A1396" t="s">
        <v>2591</v>
      </c>
      <c r="B1396">
        <v>1410204101</v>
      </c>
      <c r="C1396">
        <v>1600</v>
      </c>
      <c r="D1396">
        <f>IF(쿼리1[[#This Row],[Value.Duration]]/100&lt;=10,10,ROUND(쿼리1[[#This Row],[Value.Duration]]/100*0.7,-1))</f>
        <v>10</v>
      </c>
    </row>
    <row r="1397" spans="1:4" x14ac:dyDescent="0.3">
      <c r="A1397" t="s">
        <v>2592</v>
      </c>
      <c r="B1397">
        <v>1410204102</v>
      </c>
      <c r="C1397">
        <v>666</v>
      </c>
      <c r="D1397">
        <f>IF(쿼리1[[#This Row],[Value.Duration]]/100&lt;=10,10,ROUND(쿼리1[[#This Row],[Value.Duration]]/100*0.7,-1))</f>
        <v>10</v>
      </c>
    </row>
    <row r="1398" spans="1:4" x14ac:dyDescent="0.3">
      <c r="A1398" t="s">
        <v>2593</v>
      </c>
      <c r="B1398">
        <v>1410204103</v>
      </c>
      <c r="C1398">
        <v>1600</v>
      </c>
      <c r="D1398">
        <f>IF(쿼리1[[#This Row],[Value.Duration]]/100&lt;=10,10,ROUND(쿼리1[[#This Row],[Value.Duration]]/100*0.7,-1))</f>
        <v>10</v>
      </c>
    </row>
    <row r="1399" spans="1:4" x14ac:dyDescent="0.3">
      <c r="A1399" t="s">
        <v>2594</v>
      </c>
      <c r="B1399">
        <v>1410204104</v>
      </c>
      <c r="C1399">
        <v>666</v>
      </c>
      <c r="D1399">
        <f>IF(쿼리1[[#This Row],[Value.Duration]]/100&lt;=10,10,ROUND(쿼리1[[#This Row],[Value.Duration]]/100*0.7,-1))</f>
        <v>10</v>
      </c>
    </row>
    <row r="1400" spans="1:4" x14ac:dyDescent="0.3">
      <c r="A1400" t="s">
        <v>2595</v>
      </c>
      <c r="B1400">
        <v>1410204105</v>
      </c>
      <c r="C1400">
        <v>666</v>
      </c>
      <c r="D1400">
        <f>IF(쿼리1[[#This Row],[Value.Duration]]/100&lt;=10,10,ROUND(쿼리1[[#This Row],[Value.Duration]]/100*0.7,-1))</f>
        <v>10</v>
      </c>
    </row>
    <row r="1401" spans="1:4" x14ac:dyDescent="0.3">
      <c r="A1401" t="s">
        <v>2596</v>
      </c>
      <c r="B1401">
        <v>1410204106</v>
      </c>
      <c r="C1401">
        <v>466</v>
      </c>
      <c r="D1401">
        <f>IF(쿼리1[[#This Row],[Value.Duration]]/100&lt;=10,10,ROUND(쿼리1[[#This Row],[Value.Duration]]/100*0.7,-1))</f>
        <v>10</v>
      </c>
    </row>
    <row r="1402" spans="1:4" x14ac:dyDescent="0.3">
      <c r="A1402" t="s">
        <v>2597</v>
      </c>
      <c r="B1402">
        <v>1410204107</v>
      </c>
      <c r="C1402">
        <v>1066</v>
      </c>
      <c r="D1402">
        <f>IF(쿼리1[[#This Row],[Value.Duration]]/100&lt;=10,10,ROUND(쿼리1[[#This Row],[Value.Duration]]/100*0.7,-1))</f>
        <v>10</v>
      </c>
    </row>
    <row r="1403" spans="1:4" x14ac:dyDescent="0.3">
      <c r="A1403" t="s">
        <v>2598</v>
      </c>
      <c r="B1403">
        <v>1410204108</v>
      </c>
      <c r="C1403">
        <v>866</v>
      </c>
      <c r="D1403">
        <f>IF(쿼리1[[#This Row],[Value.Duration]]/100&lt;=10,10,ROUND(쿼리1[[#This Row],[Value.Duration]]/100*0.7,-1))</f>
        <v>10</v>
      </c>
    </row>
    <row r="1404" spans="1:4" x14ac:dyDescent="0.3">
      <c r="A1404" t="s">
        <v>2599</v>
      </c>
      <c r="B1404">
        <v>1410204109</v>
      </c>
      <c r="C1404">
        <v>666</v>
      </c>
      <c r="D1404">
        <f>IF(쿼리1[[#This Row],[Value.Duration]]/100&lt;=10,10,ROUND(쿼리1[[#This Row],[Value.Duration]]/100*0.7,-1))</f>
        <v>10</v>
      </c>
    </row>
    <row r="1405" spans="1:4" x14ac:dyDescent="0.3">
      <c r="A1405" t="s">
        <v>2600</v>
      </c>
      <c r="B1405">
        <v>1410204110</v>
      </c>
      <c r="C1405">
        <v>500</v>
      </c>
      <c r="D1405">
        <f>IF(쿼리1[[#This Row],[Value.Duration]]/100&lt;=10,10,ROUND(쿼리1[[#This Row],[Value.Duration]]/100*0.7,-1))</f>
        <v>10</v>
      </c>
    </row>
    <row r="1406" spans="1:4" x14ac:dyDescent="0.3">
      <c r="A1406" t="s">
        <v>2601</v>
      </c>
      <c r="B1406">
        <v>1410204111</v>
      </c>
      <c r="C1406">
        <v>1500</v>
      </c>
      <c r="D1406">
        <f>IF(쿼리1[[#This Row],[Value.Duration]]/100&lt;=10,10,ROUND(쿼리1[[#This Row],[Value.Duration]]/100*0.7,-1))</f>
        <v>10</v>
      </c>
    </row>
    <row r="1407" spans="1:4" x14ac:dyDescent="0.3">
      <c r="A1407" t="s">
        <v>2602</v>
      </c>
      <c r="B1407">
        <v>1410204112</v>
      </c>
      <c r="C1407">
        <v>933</v>
      </c>
      <c r="D1407">
        <f>IF(쿼리1[[#This Row],[Value.Duration]]/100&lt;=10,10,ROUND(쿼리1[[#This Row],[Value.Duration]]/100*0.7,-1))</f>
        <v>10</v>
      </c>
    </row>
    <row r="1408" spans="1:4" x14ac:dyDescent="0.3">
      <c r="A1408" t="s">
        <v>2603</v>
      </c>
      <c r="B1408">
        <v>1410204113</v>
      </c>
      <c r="C1408">
        <v>1600</v>
      </c>
      <c r="D1408">
        <f>IF(쿼리1[[#This Row],[Value.Duration]]/100&lt;=10,10,ROUND(쿼리1[[#This Row],[Value.Duration]]/100*0.7,-1))</f>
        <v>10</v>
      </c>
    </row>
    <row r="1409" spans="1:4" x14ac:dyDescent="0.3">
      <c r="A1409" t="s">
        <v>2604</v>
      </c>
      <c r="B1409">
        <v>1410204114</v>
      </c>
      <c r="C1409">
        <v>666</v>
      </c>
      <c r="D1409">
        <f>IF(쿼리1[[#This Row],[Value.Duration]]/100&lt;=10,10,ROUND(쿼리1[[#This Row],[Value.Duration]]/100*0.7,-1))</f>
        <v>10</v>
      </c>
    </row>
    <row r="1410" spans="1:4" x14ac:dyDescent="0.3">
      <c r="A1410" t="s">
        <v>2605</v>
      </c>
      <c r="B1410">
        <v>1410204115</v>
      </c>
      <c r="C1410">
        <v>666</v>
      </c>
      <c r="D1410">
        <f>IF(쿼리1[[#This Row],[Value.Duration]]/100&lt;=10,10,ROUND(쿼리1[[#This Row],[Value.Duration]]/100*0.7,-1))</f>
        <v>10</v>
      </c>
    </row>
    <row r="1411" spans="1:4" x14ac:dyDescent="0.3">
      <c r="A1411" t="s">
        <v>2606</v>
      </c>
      <c r="B1411">
        <v>1410204116</v>
      </c>
      <c r="C1411">
        <v>466</v>
      </c>
      <c r="D1411">
        <f>IF(쿼리1[[#This Row],[Value.Duration]]/100&lt;=10,10,ROUND(쿼리1[[#This Row],[Value.Duration]]/100*0.7,-1))</f>
        <v>10</v>
      </c>
    </row>
    <row r="1412" spans="1:4" x14ac:dyDescent="0.3">
      <c r="A1412" t="s">
        <v>2607</v>
      </c>
      <c r="B1412">
        <v>1410204117</v>
      </c>
      <c r="C1412">
        <v>1066</v>
      </c>
      <c r="D1412">
        <f>IF(쿼리1[[#This Row],[Value.Duration]]/100&lt;=10,10,ROUND(쿼리1[[#This Row],[Value.Duration]]/100*0.7,-1))</f>
        <v>10</v>
      </c>
    </row>
    <row r="1413" spans="1:4" x14ac:dyDescent="0.3">
      <c r="A1413" t="s">
        <v>2608</v>
      </c>
      <c r="B1413">
        <v>1410204118</v>
      </c>
      <c r="C1413">
        <v>866</v>
      </c>
      <c r="D1413">
        <f>IF(쿼리1[[#This Row],[Value.Duration]]/100&lt;=10,10,ROUND(쿼리1[[#This Row],[Value.Duration]]/100*0.7,-1))</f>
        <v>10</v>
      </c>
    </row>
    <row r="1414" spans="1:4" x14ac:dyDescent="0.3">
      <c r="A1414" t="s">
        <v>2609</v>
      </c>
      <c r="B1414">
        <v>1410204119</v>
      </c>
      <c r="C1414">
        <v>666</v>
      </c>
      <c r="D1414">
        <f>IF(쿼리1[[#This Row],[Value.Duration]]/100&lt;=10,10,ROUND(쿼리1[[#This Row],[Value.Duration]]/100*0.7,-1))</f>
        <v>10</v>
      </c>
    </row>
    <row r="1415" spans="1:4" x14ac:dyDescent="0.3">
      <c r="A1415" t="s">
        <v>2610</v>
      </c>
      <c r="B1415">
        <v>1410204120</v>
      </c>
      <c r="C1415">
        <v>500</v>
      </c>
      <c r="D1415">
        <f>IF(쿼리1[[#This Row],[Value.Duration]]/100&lt;=10,10,ROUND(쿼리1[[#This Row],[Value.Duration]]/100*0.7,-1))</f>
        <v>10</v>
      </c>
    </row>
    <row r="1416" spans="1:4" x14ac:dyDescent="0.3">
      <c r="A1416" t="s">
        <v>2611</v>
      </c>
      <c r="B1416">
        <v>1410204121</v>
      </c>
      <c r="C1416">
        <v>1500</v>
      </c>
      <c r="D1416">
        <f>IF(쿼리1[[#This Row],[Value.Duration]]/100&lt;=10,10,ROUND(쿼리1[[#This Row],[Value.Duration]]/100*0.7,-1))</f>
        <v>10</v>
      </c>
    </row>
    <row r="1417" spans="1:4" x14ac:dyDescent="0.3">
      <c r="A1417" t="s">
        <v>2612</v>
      </c>
      <c r="B1417">
        <v>1410204122</v>
      </c>
      <c r="C1417">
        <v>933</v>
      </c>
      <c r="D1417">
        <f>IF(쿼리1[[#This Row],[Value.Duration]]/100&lt;=10,10,ROUND(쿼리1[[#This Row],[Value.Duration]]/100*0.7,-1))</f>
        <v>10</v>
      </c>
    </row>
    <row r="1418" spans="1:4" x14ac:dyDescent="0.3">
      <c r="A1418" t="s">
        <v>2613</v>
      </c>
      <c r="B1418">
        <v>1410204201</v>
      </c>
      <c r="C1418">
        <v>1333</v>
      </c>
      <c r="D1418">
        <f>IF(쿼리1[[#This Row],[Value.Duration]]/100&lt;=10,10,ROUND(쿼리1[[#This Row],[Value.Duration]]/100*0.7,-1))</f>
        <v>10</v>
      </c>
    </row>
    <row r="1419" spans="1:4" x14ac:dyDescent="0.3">
      <c r="A1419" t="s">
        <v>2614</v>
      </c>
      <c r="B1419">
        <v>1410204202</v>
      </c>
      <c r="C1419">
        <v>933</v>
      </c>
      <c r="D1419">
        <f>IF(쿼리1[[#This Row],[Value.Duration]]/100&lt;=10,10,ROUND(쿼리1[[#This Row],[Value.Duration]]/100*0.7,-1))</f>
        <v>10</v>
      </c>
    </row>
    <row r="1420" spans="1:4" x14ac:dyDescent="0.3">
      <c r="A1420" t="s">
        <v>2615</v>
      </c>
      <c r="B1420">
        <v>1410204203</v>
      </c>
      <c r="C1420">
        <v>800</v>
      </c>
      <c r="D1420">
        <f>IF(쿼리1[[#This Row],[Value.Duration]]/100&lt;=10,10,ROUND(쿼리1[[#This Row],[Value.Duration]]/100*0.7,-1))</f>
        <v>10</v>
      </c>
    </row>
    <row r="1421" spans="1:4" x14ac:dyDescent="0.3">
      <c r="A1421" t="s">
        <v>2616</v>
      </c>
      <c r="B1421">
        <v>1410204301</v>
      </c>
      <c r="C1421">
        <v>600</v>
      </c>
      <c r="D1421">
        <f>IF(쿼리1[[#This Row],[Value.Duration]]/100&lt;=10,10,ROUND(쿼리1[[#This Row],[Value.Duration]]/100*0.7,-1))</f>
        <v>10</v>
      </c>
    </row>
    <row r="1422" spans="1:4" x14ac:dyDescent="0.3">
      <c r="A1422" t="s">
        <v>2617</v>
      </c>
      <c r="B1422">
        <v>1410204302</v>
      </c>
      <c r="C1422">
        <v>600</v>
      </c>
      <c r="D1422">
        <f>IF(쿼리1[[#This Row],[Value.Duration]]/100&lt;=10,10,ROUND(쿼리1[[#This Row],[Value.Duration]]/100*0.7,-1))</f>
        <v>10</v>
      </c>
    </row>
    <row r="1423" spans="1:4" x14ac:dyDescent="0.3">
      <c r="A1423" t="s">
        <v>2618</v>
      </c>
      <c r="B1423">
        <v>1410205101</v>
      </c>
      <c r="C1423">
        <v>800</v>
      </c>
      <c r="D1423">
        <f>IF(쿼리1[[#This Row],[Value.Duration]]/100&lt;=10,10,ROUND(쿼리1[[#This Row],[Value.Duration]]/100*0.7,-1))</f>
        <v>10</v>
      </c>
    </row>
    <row r="1424" spans="1:4" x14ac:dyDescent="0.3">
      <c r="A1424" t="s">
        <v>2619</v>
      </c>
      <c r="B1424">
        <v>1410205102</v>
      </c>
      <c r="C1424">
        <v>800</v>
      </c>
      <c r="D1424">
        <f>IF(쿼리1[[#This Row],[Value.Duration]]/100&lt;=10,10,ROUND(쿼리1[[#This Row],[Value.Duration]]/100*0.7,-1))</f>
        <v>10</v>
      </c>
    </row>
    <row r="1425" spans="1:4" x14ac:dyDescent="0.3">
      <c r="A1425" t="s">
        <v>2620</v>
      </c>
      <c r="B1425">
        <v>1410205103</v>
      </c>
      <c r="C1425">
        <v>800</v>
      </c>
      <c r="D1425">
        <f>IF(쿼리1[[#This Row],[Value.Duration]]/100&lt;=10,10,ROUND(쿼리1[[#This Row],[Value.Duration]]/100*0.7,-1))</f>
        <v>10</v>
      </c>
    </row>
    <row r="1426" spans="1:4" x14ac:dyDescent="0.3">
      <c r="A1426" t="s">
        <v>2621</v>
      </c>
      <c r="B1426">
        <v>1410205104</v>
      </c>
      <c r="C1426">
        <v>533</v>
      </c>
      <c r="D1426">
        <f>IF(쿼리1[[#This Row],[Value.Duration]]/100&lt;=10,10,ROUND(쿼리1[[#This Row],[Value.Duration]]/100*0.7,-1))</f>
        <v>10</v>
      </c>
    </row>
    <row r="1427" spans="1:4" x14ac:dyDescent="0.3">
      <c r="A1427" t="s">
        <v>2622</v>
      </c>
      <c r="B1427">
        <v>1410205105</v>
      </c>
      <c r="C1427">
        <v>666</v>
      </c>
      <c r="D1427">
        <f>IF(쿼리1[[#This Row],[Value.Duration]]/100&lt;=10,10,ROUND(쿼리1[[#This Row],[Value.Duration]]/100*0.7,-1))</f>
        <v>10</v>
      </c>
    </row>
    <row r="1428" spans="1:4" x14ac:dyDescent="0.3">
      <c r="A1428" t="s">
        <v>2623</v>
      </c>
      <c r="B1428">
        <v>1410205106</v>
      </c>
      <c r="C1428">
        <v>666</v>
      </c>
      <c r="D1428">
        <f>IF(쿼리1[[#This Row],[Value.Duration]]/100&lt;=10,10,ROUND(쿼리1[[#This Row],[Value.Duration]]/100*0.7,-1))</f>
        <v>10</v>
      </c>
    </row>
    <row r="1429" spans="1:4" x14ac:dyDescent="0.3">
      <c r="A1429" t="s">
        <v>2624</v>
      </c>
      <c r="B1429">
        <v>1410205107</v>
      </c>
      <c r="C1429">
        <v>600</v>
      </c>
      <c r="D1429">
        <f>IF(쿼리1[[#This Row],[Value.Duration]]/100&lt;=10,10,ROUND(쿼리1[[#This Row],[Value.Duration]]/100*0.7,-1))</f>
        <v>10</v>
      </c>
    </row>
    <row r="1430" spans="1:4" x14ac:dyDescent="0.3">
      <c r="A1430" t="s">
        <v>2625</v>
      </c>
      <c r="B1430">
        <v>1410205108</v>
      </c>
      <c r="C1430">
        <v>766</v>
      </c>
      <c r="D1430">
        <f>IF(쿼리1[[#This Row],[Value.Duration]]/100&lt;=10,10,ROUND(쿼리1[[#This Row],[Value.Duration]]/100*0.7,-1))</f>
        <v>10</v>
      </c>
    </row>
    <row r="1431" spans="1:4" x14ac:dyDescent="0.3">
      <c r="A1431" t="s">
        <v>2626</v>
      </c>
      <c r="B1431">
        <v>1410205109</v>
      </c>
      <c r="C1431">
        <v>1066</v>
      </c>
      <c r="D1431">
        <f>IF(쿼리1[[#This Row],[Value.Duration]]/100&lt;=10,10,ROUND(쿼리1[[#This Row],[Value.Duration]]/100*0.7,-1))</f>
        <v>10</v>
      </c>
    </row>
    <row r="1432" spans="1:4" x14ac:dyDescent="0.3">
      <c r="A1432" t="s">
        <v>2627</v>
      </c>
      <c r="B1432">
        <v>1410205110</v>
      </c>
      <c r="C1432">
        <v>2700</v>
      </c>
      <c r="D1432">
        <f>IF(쿼리1[[#This Row],[Value.Duration]]/100&lt;=10,10,ROUND(쿼리1[[#This Row],[Value.Duration]]/100*0.7,-1))</f>
        <v>20</v>
      </c>
    </row>
    <row r="1433" spans="1:4" x14ac:dyDescent="0.3">
      <c r="A1433" t="s">
        <v>2628</v>
      </c>
      <c r="B1433">
        <v>1410205111</v>
      </c>
      <c r="C1433">
        <v>800</v>
      </c>
      <c r="D1433">
        <f>IF(쿼리1[[#This Row],[Value.Duration]]/100&lt;=10,10,ROUND(쿼리1[[#This Row],[Value.Duration]]/100*0.7,-1))</f>
        <v>10</v>
      </c>
    </row>
    <row r="1434" spans="1:4" x14ac:dyDescent="0.3">
      <c r="A1434" t="s">
        <v>2629</v>
      </c>
      <c r="B1434">
        <v>1410205112</v>
      </c>
      <c r="C1434">
        <v>800</v>
      </c>
      <c r="D1434">
        <f>IF(쿼리1[[#This Row],[Value.Duration]]/100&lt;=10,10,ROUND(쿼리1[[#This Row],[Value.Duration]]/100*0.7,-1))</f>
        <v>10</v>
      </c>
    </row>
    <row r="1435" spans="1:4" x14ac:dyDescent="0.3">
      <c r="A1435" t="s">
        <v>2630</v>
      </c>
      <c r="B1435">
        <v>1410205113</v>
      </c>
      <c r="C1435">
        <v>800</v>
      </c>
      <c r="D1435">
        <f>IF(쿼리1[[#This Row],[Value.Duration]]/100&lt;=10,10,ROUND(쿼리1[[#This Row],[Value.Duration]]/100*0.7,-1))</f>
        <v>10</v>
      </c>
    </row>
    <row r="1436" spans="1:4" x14ac:dyDescent="0.3">
      <c r="A1436" t="s">
        <v>2631</v>
      </c>
      <c r="B1436">
        <v>1410205114</v>
      </c>
      <c r="C1436">
        <v>533</v>
      </c>
      <c r="D1436">
        <f>IF(쿼리1[[#This Row],[Value.Duration]]/100&lt;=10,10,ROUND(쿼리1[[#This Row],[Value.Duration]]/100*0.7,-1))</f>
        <v>10</v>
      </c>
    </row>
    <row r="1437" spans="1:4" x14ac:dyDescent="0.3">
      <c r="A1437" t="s">
        <v>2632</v>
      </c>
      <c r="B1437">
        <v>1410205115</v>
      </c>
      <c r="C1437">
        <v>666</v>
      </c>
      <c r="D1437">
        <f>IF(쿼리1[[#This Row],[Value.Duration]]/100&lt;=10,10,ROUND(쿼리1[[#This Row],[Value.Duration]]/100*0.7,-1))</f>
        <v>10</v>
      </c>
    </row>
    <row r="1438" spans="1:4" x14ac:dyDescent="0.3">
      <c r="A1438" t="s">
        <v>2633</v>
      </c>
      <c r="B1438">
        <v>1410205116</v>
      </c>
      <c r="C1438">
        <v>666</v>
      </c>
      <c r="D1438">
        <f>IF(쿼리1[[#This Row],[Value.Duration]]/100&lt;=10,10,ROUND(쿼리1[[#This Row],[Value.Duration]]/100*0.7,-1))</f>
        <v>10</v>
      </c>
    </row>
    <row r="1439" spans="1:4" x14ac:dyDescent="0.3">
      <c r="A1439" t="s">
        <v>2634</v>
      </c>
      <c r="B1439">
        <v>1410205117</v>
      </c>
      <c r="C1439">
        <v>600</v>
      </c>
      <c r="D1439">
        <f>IF(쿼리1[[#This Row],[Value.Duration]]/100&lt;=10,10,ROUND(쿼리1[[#This Row],[Value.Duration]]/100*0.7,-1))</f>
        <v>10</v>
      </c>
    </row>
    <row r="1440" spans="1:4" x14ac:dyDescent="0.3">
      <c r="A1440" t="s">
        <v>2635</v>
      </c>
      <c r="B1440">
        <v>1410205118</v>
      </c>
      <c r="C1440">
        <v>766</v>
      </c>
      <c r="D1440">
        <f>IF(쿼리1[[#This Row],[Value.Duration]]/100&lt;=10,10,ROUND(쿼리1[[#This Row],[Value.Duration]]/100*0.7,-1))</f>
        <v>10</v>
      </c>
    </row>
    <row r="1441" spans="1:4" x14ac:dyDescent="0.3">
      <c r="A1441" t="s">
        <v>2636</v>
      </c>
      <c r="B1441">
        <v>1410205119</v>
      </c>
      <c r="C1441">
        <v>1066</v>
      </c>
      <c r="D1441">
        <f>IF(쿼리1[[#This Row],[Value.Duration]]/100&lt;=10,10,ROUND(쿼리1[[#This Row],[Value.Duration]]/100*0.7,-1))</f>
        <v>10</v>
      </c>
    </row>
    <row r="1442" spans="1:4" x14ac:dyDescent="0.3">
      <c r="A1442" t="s">
        <v>2637</v>
      </c>
      <c r="B1442">
        <v>1410205120</v>
      </c>
      <c r="C1442">
        <v>2700</v>
      </c>
      <c r="D1442">
        <f>IF(쿼리1[[#This Row],[Value.Duration]]/100&lt;=10,10,ROUND(쿼리1[[#This Row],[Value.Duration]]/100*0.7,-1))</f>
        <v>20</v>
      </c>
    </row>
    <row r="1443" spans="1:4" x14ac:dyDescent="0.3">
      <c r="A1443" t="s">
        <v>2638</v>
      </c>
      <c r="B1443">
        <v>1410205201</v>
      </c>
      <c r="C1443">
        <v>933</v>
      </c>
      <c r="D1443">
        <f>IF(쿼리1[[#This Row],[Value.Duration]]/100&lt;=10,10,ROUND(쿼리1[[#This Row],[Value.Duration]]/100*0.7,-1))</f>
        <v>10</v>
      </c>
    </row>
    <row r="1444" spans="1:4" x14ac:dyDescent="0.3">
      <c r="A1444" t="s">
        <v>2639</v>
      </c>
      <c r="B1444">
        <v>1410205202</v>
      </c>
      <c r="C1444">
        <v>800</v>
      </c>
      <c r="D1444">
        <f>IF(쿼리1[[#This Row],[Value.Duration]]/100&lt;=10,10,ROUND(쿼리1[[#This Row],[Value.Duration]]/100*0.7,-1))</f>
        <v>10</v>
      </c>
    </row>
    <row r="1445" spans="1:4" x14ac:dyDescent="0.3">
      <c r="A1445" t="s">
        <v>2640</v>
      </c>
      <c r="B1445">
        <v>1410205203</v>
      </c>
      <c r="C1445">
        <v>1500</v>
      </c>
      <c r="D1445">
        <f>IF(쿼리1[[#This Row],[Value.Duration]]/100&lt;=10,10,ROUND(쿼리1[[#This Row],[Value.Duration]]/100*0.7,-1))</f>
        <v>10</v>
      </c>
    </row>
    <row r="1446" spans="1:4" x14ac:dyDescent="0.3">
      <c r="A1446" t="s">
        <v>2641</v>
      </c>
      <c r="B1446">
        <v>1410205301</v>
      </c>
      <c r="C1446">
        <v>933</v>
      </c>
      <c r="D1446">
        <f>IF(쿼리1[[#This Row],[Value.Duration]]/100&lt;=10,10,ROUND(쿼리1[[#This Row],[Value.Duration]]/100*0.7,-1))</f>
        <v>10</v>
      </c>
    </row>
    <row r="1447" spans="1:4" x14ac:dyDescent="0.3">
      <c r="A1447" t="s">
        <v>2642</v>
      </c>
      <c r="B1447">
        <v>1410205302</v>
      </c>
      <c r="C1447">
        <v>933</v>
      </c>
      <c r="D1447">
        <f>IF(쿼리1[[#This Row],[Value.Duration]]/100&lt;=10,10,ROUND(쿼리1[[#This Row],[Value.Duration]]/100*0.7,-1))</f>
        <v>10</v>
      </c>
    </row>
    <row r="1448" spans="1:4" x14ac:dyDescent="0.3">
      <c r="A1448" t="s">
        <v>2643</v>
      </c>
      <c r="B1448">
        <v>1410206101</v>
      </c>
      <c r="C1448">
        <v>533</v>
      </c>
      <c r="D1448">
        <f>IF(쿼리1[[#This Row],[Value.Duration]]/100&lt;=10,10,ROUND(쿼리1[[#This Row],[Value.Duration]]/100*0.7,-1))</f>
        <v>10</v>
      </c>
    </row>
    <row r="1449" spans="1:4" x14ac:dyDescent="0.3">
      <c r="A1449" t="s">
        <v>2644</v>
      </c>
      <c r="B1449">
        <v>1410206102</v>
      </c>
      <c r="C1449">
        <v>400</v>
      </c>
      <c r="D1449">
        <f>IF(쿼리1[[#This Row],[Value.Duration]]/100&lt;=10,10,ROUND(쿼리1[[#This Row],[Value.Duration]]/100*0.7,-1))</f>
        <v>10</v>
      </c>
    </row>
    <row r="1450" spans="1:4" x14ac:dyDescent="0.3">
      <c r="A1450" t="s">
        <v>2645</v>
      </c>
      <c r="B1450">
        <v>1410206103</v>
      </c>
      <c r="C1450">
        <v>733</v>
      </c>
      <c r="D1450">
        <f>IF(쿼리1[[#This Row],[Value.Duration]]/100&lt;=10,10,ROUND(쿼리1[[#This Row],[Value.Duration]]/100*0.7,-1))</f>
        <v>10</v>
      </c>
    </row>
    <row r="1451" spans="1:4" x14ac:dyDescent="0.3">
      <c r="A1451" t="s">
        <v>2646</v>
      </c>
      <c r="B1451">
        <v>1410206104</v>
      </c>
      <c r="C1451">
        <v>800</v>
      </c>
      <c r="D1451">
        <f>IF(쿼리1[[#This Row],[Value.Duration]]/100&lt;=10,10,ROUND(쿼리1[[#This Row],[Value.Duration]]/100*0.7,-1))</f>
        <v>10</v>
      </c>
    </row>
    <row r="1452" spans="1:4" x14ac:dyDescent="0.3">
      <c r="A1452" t="s">
        <v>2647</v>
      </c>
      <c r="B1452">
        <v>1410206105</v>
      </c>
      <c r="C1452">
        <v>833</v>
      </c>
      <c r="D1452">
        <f>IF(쿼리1[[#This Row],[Value.Duration]]/100&lt;=10,10,ROUND(쿼리1[[#This Row],[Value.Duration]]/100*0.7,-1))</f>
        <v>10</v>
      </c>
    </row>
    <row r="1453" spans="1:4" x14ac:dyDescent="0.3">
      <c r="A1453" t="s">
        <v>2648</v>
      </c>
      <c r="B1453">
        <v>1410206106</v>
      </c>
      <c r="C1453">
        <v>533</v>
      </c>
      <c r="D1453">
        <f>IF(쿼리1[[#This Row],[Value.Duration]]/100&lt;=10,10,ROUND(쿼리1[[#This Row],[Value.Duration]]/100*0.7,-1))</f>
        <v>10</v>
      </c>
    </row>
    <row r="1454" spans="1:4" x14ac:dyDescent="0.3">
      <c r="A1454" t="s">
        <v>2649</v>
      </c>
      <c r="B1454">
        <v>1410206107</v>
      </c>
      <c r="C1454">
        <v>533</v>
      </c>
      <c r="D1454">
        <f>IF(쿼리1[[#This Row],[Value.Duration]]/100&lt;=10,10,ROUND(쿼리1[[#This Row],[Value.Duration]]/100*0.7,-1))</f>
        <v>10</v>
      </c>
    </row>
    <row r="1455" spans="1:4" x14ac:dyDescent="0.3">
      <c r="A1455" t="s">
        <v>2650</v>
      </c>
      <c r="B1455">
        <v>1410206108</v>
      </c>
      <c r="C1455">
        <v>1133</v>
      </c>
      <c r="D1455">
        <f>IF(쿼리1[[#This Row],[Value.Duration]]/100&lt;=10,10,ROUND(쿼리1[[#This Row],[Value.Duration]]/100*0.7,-1))</f>
        <v>10</v>
      </c>
    </row>
    <row r="1456" spans="1:4" x14ac:dyDescent="0.3">
      <c r="A1456" t="s">
        <v>2651</v>
      </c>
      <c r="B1456">
        <v>1410206109</v>
      </c>
      <c r="C1456">
        <v>1133</v>
      </c>
      <c r="D1456">
        <f>IF(쿼리1[[#This Row],[Value.Duration]]/100&lt;=10,10,ROUND(쿼리1[[#This Row],[Value.Duration]]/100*0.7,-1))</f>
        <v>10</v>
      </c>
    </row>
    <row r="1457" spans="1:4" x14ac:dyDescent="0.3">
      <c r="A1457" t="s">
        <v>2652</v>
      </c>
      <c r="B1457">
        <v>1410206110</v>
      </c>
      <c r="C1457">
        <v>533</v>
      </c>
      <c r="D1457">
        <f>IF(쿼리1[[#This Row],[Value.Duration]]/100&lt;=10,10,ROUND(쿼리1[[#This Row],[Value.Duration]]/100*0.7,-1))</f>
        <v>10</v>
      </c>
    </row>
    <row r="1458" spans="1:4" x14ac:dyDescent="0.3">
      <c r="A1458" t="s">
        <v>2653</v>
      </c>
      <c r="B1458">
        <v>1410206111</v>
      </c>
      <c r="C1458">
        <v>400</v>
      </c>
      <c r="D1458">
        <f>IF(쿼리1[[#This Row],[Value.Duration]]/100&lt;=10,10,ROUND(쿼리1[[#This Row],[Value.Duration]]/100*0.7,-1))</f>
        <v>10</v>
      </c>
    </row>
    <row r="1459" spans="1:4" x14ac:dyDescent="0.3">
      <c r="A1459" t="s">
        <v>2654</v>
      </c>
      <c r="B1459">
        <v>1410206112</v>
      </c>
      <c r="C1459">
        <v>733</v>
      </c>
      <c r="D1459">
        <f>IF(쿼리1[[#This Row],[Value.Duration]]/100&lt;=10,10,ROUND(쿼리1[[#This Row],[Value.Duration]]/100*0.7,-1))</f>
        <v>10</v>
      </c>
    </row>
    <row r="1460" spans="1:4" x14ac:dyDescent="0.3">
      <c r="A1460" t="s">
        <v>2655</v>
      </c>
      <c r="B1460">
        <v>1410206113</v>
      </c>
      <c r="C1460">
        <v>800</v>
      </c>
      <c r="D1460">
        <f>IF(쿼리1[[#This Row],[Value.Duration]]/100&lt;=10,10,ROUND(쿼리1[[#This Row],[Value.Duration]]/100*0.7,-1))</f>
        <v>10</v>
      </c>
    </row>
    <row r="1461" spans="1:4" x14ac:dyDescent="0.3">
      <c r="A1461" t="s">
        <v>2656</v>
      </c>
      <c r="B1461">
        <v>1410206114</v>
      </c>
      <c r="C1461">
        <v>833</v>
      </c>
      <c r="D1461">
        <f>IF(쿼리1[[#This Row],[Value.Duration]]/100&lt;=10,10,ROUND(쿼리1[[#This Row],[Value.Duration]]/100*0.7,-1))</f>
        <v>10</v>
      </c>
    </row>
    <row r="1462" spans="1:4" x14ac:dyDescent="0.3">
      <c r="A1462" t="s">
        <v>2657</v>
      </c>
      <c r="B1462">
        <v>1410206115</v>
      </c>
      <c r="C1462">
        <v>533</v>
      </c>
      <c r="D1462">
        <f>IF(쿼리1[[#This Row],[Value.Duration]]/100&lt;=10,10,ROUND(쿼리1[[#This Row],[Value.Duration]]/100*0.7,-1))</f>
        <v>10</v>
      </c>
    </row>
    <row r="1463" spans="1:4" x14ac:dyDescent="0.3">
      <c r="A1463" t="s">
        <v>2658</v>
      </c>
      <c r="B1463">
        <v>1410206116</v>
      </c>
      <c r="C1463">
        <v>533</v>
      </c>
      <c r="D1463">
        <f>IF(쿼리1[[#This Row],[Value.Duration]]/100&lt;=10,10,ROUND(쿼리1[[#This Row],[Value.Duration]]/100*0.7,-1))</f>
        <v>10</v>
      </c>
    </row>
    <row r="1464" spans="1:4" x14ac:dyDescent="0.3">
      <c r="A1464" t="s">
        <v>2659</v>
      </c>
      <c r="B1464">
        <v>1410206117</v>
      </c>
      <c r="C1464">
        <v>1133</v>
      </c>
      <c r="D1464">
        <f>IF(쿼리1[[#This Row],[Value.Duration]]/100&lt;=10,10,ROUND(쿼리1[[#This Row],[Value.Duration]]/100*0.7,-1))</f>
        <v>10</v>
      </c>
    </row>
    <row r="1465" spans="1:4" x14ac:dyDescent="0.3">
      <c r="A1465" t="s">
        <v>2660</v>
      </c>
      <c r="B1465">
        <v>1410206118</v>
      </c>
      <c r="C1465">
        <v>1133</v>
      </c>
      <c r="D1465">
        <f>IF(쿼리1[[#This Row],[Value.Duration]]/100&lt;=10,10,ROUND(쿼리1[[#This Row],[Value.Duration]]/100*0.7,-1))</f>
        <v>10</v>
      </c>
    </row>
    <row r="1466" spans="1:4" x14ac:dyDescent="0.3">
      <c r="A1466" t="s">
        <v>2661</v>
      </c>
      <c r="B1466">
        <v>1410206201</v>
      </c>
      <c r="C1466">
        <v>1000</v>
      </c>
      <c r="D1466">
        <f>IF(쿼리1[[#This Row],[Value.Duration]]/100&lt;=10,10,ROUND(쿼리1[[#This Row],[Value.Duration]]/100*0.7,-1))</f>
        <v>10</v>
      </c>
    </row>
    <row r="1467" spans="1:4" x14ac:dyDescent="0.3">
      <c r="A1467" t="s">
        <v>2662</v>
      </c>
      <c r="B1467">
        <v>1410206202</v>
      </c>
      <c r="C1467">
        <v>800</v>
      </c>
      <c r="D1467">
        <f>IF(쿼리1[[#This Row],[Value.Duration]]/100&lt;=10,10,ROUND(쿼리1[[#This Row],[Value.Duration]]/100*0.7,-1))</f>
        <v>10</v>
      </c>
    </row>
    <row r="1468" spans="1:4" x14ac:dyDescent="0.3">
      <c r="A1468" t="s">
        <v>2663</v>
      </c>
      <c r="B1468">
        <v>1410206203</v>
      </c>
      <c r="C1468">
        <v>666</v>
      </c>
      <c r="D1468">
        <f>IF(쿼리1[[#This Row],[Value.Duration]]/100&lt;=10,10,ROUND(쿼리1[[#This Row],[Value.Duration]]/100*0.7,-1))</f>
        <v>10</v>
      </c>
    </row>
    <row r="1469" spans="1:4" x14ac:dyDescent="0.3">
      <c r="A1469" t="s">
        <v>2664</v>
      </c>
      <c r="B1469">
        <v>1410206301</v>
      </c>
      <c r="C1469">
        <v>1033</v>
      </c>
      <c r="D1469">
        <f>IF(쿼리1[[#This Row],[Value.Duration]]/100&lt;=10,10,ROUND(쿼리1[[#This Row],[Value.Duration]]/100*0.7,-1))</f>
        <v>10</v>
      </c>
    </row>
    <row r="1470" spans="1:4" x14ac:dyDescent="0.3">
      <c r="A1470" t="s">
        <v>2665</v>
      </c>
      <c r="B1470">
        <v>1410206302</v>
      </c>
      <c r="C1470">
        <v>1033</v>
      </c>
      <c r="D1470">
        <f>IF(쿼리1[[#This Row],[Value.Duration]]/100&lt;=10,10,ROUND(쿼리1[[#This Row],[Value.Duration]]/100*0.7,-1))</f>
        <v>10</v>
      </c>
    </row>
    <row r="1471" spans="1:4" x14ac:dyDescent="0.3">
      <c r="A1471" t="s">
        <v>2666</v>
      </c>
      <c r="B1471">
        <v>1410207101</v>
      </c>
      <c r="C1471">
        <v>533</v>
      </c>
      <c r="D1471">
        <f>IF(쿼리1[[#This Row],[Value.Duration]]/100&lt;=10,10,ROUND(쿼리1[[#This Row],[Value.Duration]]/100*0.7,-1))</f>
        <v>10</v>
      </c>
    </row>
    <row r="1472" spans="1:4" x14ac:dyDescent="0.3">
      <c r="A1472" t="s">
        <v>2667</v>
      </c>
      <c r="B1472">
        <v>1410207102</v>
      </c>
      <c r="C1472">
        <v>533</v>
      </c>
      <c r="D1472">
        <f>IF(쿼리1[[#This Row],[Value.Duration]]/100&lt;=10,10,ROUND(쿼리1[[#This Row],[Value.Duration]]/100*0.7,-1))</f>
        <v>10</v>
      </c>
    </row>
    <row r="1473" spans="1:4" x14ac:dyDescent="0.3">
      <c r="A1473" t="s">
        <v>2668</v>
      </c>
      <c r="B1473">
        <v>1410207103</v>
      </c>
      <c r="C1473">
        <v>466</v>
      </c>
      <c r="D1473">
        <f>IF(쿼리1[[#This Row],[Value.Duration]]/100&lt;=10,10,ROUND(쿼리1[[#This Row],[Value.Duration]]/100*0.7,-1))</f>
        <v>10</v>
      </c>
    </row>
    <row r="1474" spans="1:4" x14ac:dyDescent="0.3">
      <c r="A1474" t="s">
        <v>2669</v>
      </c>
      <c r="B1474">
        <v>1410207104</v>
      </c>
      <c r="C1474">
        <v>600</v>
      </c>
      <c r="D1474">
        <f>IF(쿼리1[[#This Row],[Value.Duration]]/100&lt;=10,10,ROUND(쿼리1[[#This Row],[Value.Duration]]/100*0.7,-1))</f>
        <v>10</v>
      </c>
    </row>
    <row r="1475" spans="1:4" x14ac:dyDescent="0.3">
      <c r="A1475" t="s">
        <v>2670</v>
      </c>
      <c r="B1475">
        <v>1410207105</v>
      </c>
      <c r="C1475">
        <v>466</v>
      </c>
      <c r="D1475">
        <f>IF(쿼리1[[#This Row],[Value.Duration]]/100&lt;=10,10,ROUND(쿼리1[[#This Row],[Value.Duration]]/100*0.7,-1))</f>
        <v>10</v>
      </c>
    </row>
    <row r="1476" spans="1:4" x14ac:dyDescent="0.3">
      <c r="A1476" t="s">
        <v>2671</v>
      </c>
      <c r="B1476">
        <v>1410207106</v>
      </c>
      <c r="C1476">
        <v>533</v>
      </c>
      <c r="D1476">
        <f>IF(쿼리1[[#This Row],[Value.Duration]]/100&lt;=10,10,ROUND(쿼리1[[#This Row],[Value.Duration]]/100*0.7,-1))</f>
        <v>10</v>
      </c>
    </row>
    <row r="1477" spans="1:4" x14ac:dyDescent="0.3">
      <c r="A1477" t="s">
        <v>2672</v>
      </c>
      <c r="B1477">
        <v>1410207107</v>
      </c>
      <c r="C1477">
        <v>933</v>
      </c>
      <c r="D1477">
        <f>IF(쿼리1[[#This Row],[Value.Duration]]/100&lt;=10,10,ROUND(쿼리1[[#This Row],[Value.Duration]]/100*0.7,-1))</f>
        <v>10</v>
      </c>
    </row>
    <row r="1478" spans="1:4" x14ac:dyDescent="0.3">
      <c r="A1478" t="s">
        <v>2673</v>
      </c>
      <c r="B1478">
        <v>1410207108</v>
      </c>
      <c r="C1478">
        <v>466</v>
      </c>
      <c r="D1478">
        <f>IF(쿼리1[[#This Row],[Value.Duration]]/100&lt;=10,10,ROUND(쿼리1[[#This Row],[Value.Duration]]/100*0.7,-1))</f>
        <v>10</v>
      </c>
    </row>
    <row r="1479" spans="1:4" x14ac:dyDescent="0.3">
      <c r="A1479" t="s">
        <v>2674</v>
      </c>
      <c r="B1479">
        <v>1410207109</v>
      </c>
      <c r="C1479">
        <v>666</v>
      </c>
      <c r="D1479">
        <f>IF(쿼리1[[#This Row],[Value.Duration]]/100&lt;=10,10,ROUND(쿼리1[[#This Row],[Value.Duration]]/100*0.7,-1))</f>
        <v>10</v>
      </c>
    </row>
    <row r="1480" spans="1:4" x14ac:dyDescent="0.3">
      <c r="A1480" t="s">
        <v>2675</v>
      </c>
      <c r="B1480">
        <v>1410207110</v>
      </c>
      <c r="C1480">
        <v>533</v>
      </c>
      <c r="D1480">
        <f>IF(쿼리1[[#This Row],[Value.Duration]]/100&lt;=10,10,ROUND(쿼리1[[#This Row],[Value.Duration]]/100*0.7,-1))</f>
        <v>10</v>
      </c>
    </row>
    <row r="1481" spans="1:4" x14ac:dyDescent="0.3">
      <c r="A1481" t="s">
        <v>2676</v>
      </c>
      <c r="B1481">
        <v>1410207111</v>
      </c>
      <c r="C1481">
        <v>533</v>
      </c>
      <c r="D1481">
        <f>IF(쿼리1[[#This Row],[Value.Duration]]/100&lt;=10,10,ROUND(쿼리1[[#This Row],[Value.Duration]]/100*0.7,-1))</f>
        <v>10</v>
      </c>
    </row>
    <row r="1482" spans="1:4" x14ac:dyDescent="0.3">
      <c r="A1482" t="s">
        <v>2677</v>
      </c>
      <c r="B1482">
        <v>1410207112</v>
      </c>
      <c r="C1482">
        <v>466</v>
      </c>
      <c r="D1482">
        <f>IF(쿼리1[[#This Row],[Value.Duration]]/100&lt;=10,10,ROUND(쿼리1[[#This Row],[Value.Duration]]/100*0.7,-1))</f>
        <v>10</v>
      </c>
    </row>
    <row r="1483" spans="1:4" x14ac:dyDescent="0.3">
      <c r="A1483" t="s">
        <v>2678</v>
      </c>
      <c r="B1483">
        <v>1410207113</v>
      </c>
      <c r="C1483">
        <v>600</v>
      </c>
      <c r="D1483">
        <f>IF(쿼리1[[#This Row],[Value.Duration]]/100&lt;=10,10,ROUND(쿼리1[[#This Row],[Value.Duration]]/100*0.7,-1))</f>
        <v>10</v>
      </c>
    </row>
    <row r="1484" spans="1:4" x14ac:dyDescent="0.3">
      <c r="A1484" t="s">
        <v>2679</v>
      </c>
      <c r="B1484">
        <v>1410207114</v>
      </c>
      <c r="C1484">
        <v>466</v>
      </c>
      <c r="D1484">
        <f>IF(쿼리1[[#This Row],[Value.Duration]]/100&lt;=10,10,ROUND(쿼리1[[#This Row],[Value.Duration]]/100*0.7,-1))</f>
        <v>10</v>
      </c>
    </row>
    <row r="1485" spans="1:4" x14ac:dyDescent="0.3">
      <c r="A1485" t="s">
        <v>2680</v>
      </c>
      <c r="B1485">
        <v>1410207115</v>
      </c>
      <c r="C1485">
        <v>533</v>
      </c>
      <c r="D1485">
        <f>IF(쿼리1[[#This Row],[Value.Duration]]/100&lt;=10,10,ROUND(쿼리1[[#This Row],[Value.Duration]]/100*0.7,-1))</f>
        <v>10</v>
      </c>
    </row>
    <row r="1486" spans="1:4" x14ac:dyDescent="0.3">
      <c r="A1486" t="s">
        <v>2681</v>
      </c>
      <c r="B1486">
        <v>1410207116</v>
      </c>
      <c r="C1486">
        <v>933</v>
      </c>
      <c r="D1486">
        <f>IF(쿼리1[[#This Row],[Value.Duration]]/100&lt;=10,10,ROUND(쿼리1[[#This Row],[Value.Duration]]/100*0.7,-1))</f>
        <v>10</v>
      </c>
    </row>
    <row r="1487" spans="1:4" x14ac:dyDescent="0.3">
      <c r="A1487" t="s">
        <v>2682</v>
      </c>
      <c r="B1487">
        <v>1410207117</v>
      </c>
      <c r="C1487">
        <v>466</v>
      </c>
      <c r="D1487">
        <f>IF(쿼리1[[#This Row],[Value.Duration]]/100&lt;=10,10,ROUND(쿼리1[[#This Row],[Value.Duration]]/100*0.7,-1))</f>
        <v>10</v>
      </c>
    </row>
    <row r="1488" spans="1:4" x14ac:dyDescent="0.3">
      <c r="A1488" t="s">
        <v>2683</v>
      </c>
      <c r="B1488">
        <v>1410207118</v>
      </c>
      <c r="C1488">
        <v>666</v>
      </c>
      <c r="D1488">
        <f>IF(쿼리1[[#This Row],[Value.Duration]]/100&lt;=10,10,ROUND(쿼리1[[#This Row],[Value.Duration]]/100*0.7,-1))</f>
        <v>10</v>
      </c>
    </row>
    <row r="1489" spans="1:4" x14ac:dyDescent="0.3">
      <c r="A1489" t="s">
        <v>2684</v>
      </c>
      <c r="B1489">
        <v>1410207201</v>
      </c>
      <c r="C1489">
        <v>666</v>
      </c>
      <c r="D1489">
        <f>IF(쿼리1[[#This Row],[Value.Duration]]/100&lt;=10,10,ROUND(쿼리1[[#This Row],[Value.Duration]]/100*0.7,-1))</f>
        <v>10</v>
      </c>
    </row>
    <row r="1490" spans="1:4" x14ac:dyDescent="0.3">
      <c r="A1490" t="s">
        <v>2685</v>
      </c>
      <c r="B1490">
        <v>1410207202</v>
      </c>
      <c r="C1490">
        <v>933</v>
      </c>
      <c r="D1490">
        <f>IF(쿼리1[[#This Row],[Value.Duration]]/100&lt;=10,10,ROUND(쿼리1[[#This Row],[Value.Duration]]/100*0.7,-1))</f>
        <v>10</v>
      </c>
    </row>
    <row r="1491" spans="1:4" x14ac:dyDescent="0.3">
      <c r="A1491" t="s">
        <v>3335</v>
      </c>
      <c r="B1491">
        <v>1610202108</v>
      </c>
      <c r="C1491">
        <v>666</v>
      </c>
      <c r="D1491">
        <f>IF(쿼리1[[#This Row],[Value.Duration]]/100&lt;=10,10,ROUND(쿼리1[[#This Row],[Value.Duration]]/100*0.7,-1))</f>
        <v>10</v>
      </c>
    </row>
    <row r="1492" spans="1:4" x14ac:dyDescent="0.3">
      <c r="A1492" t="s">
        <v>3336</v>
      </c>
      <c r="B1492">
        <v>1610202109</v>
      </c>
      <c r="C1492">
        <v>800</v>
      </c>
      <c r="D1492">
        <f>IF(쿼리1[[#This Row],[Value.Duration]]/100&lt;=10,10,ROUND(쿼리1[[#This Row],[Value.Duration]]/100*0.7,-1))</f>
        <v>10</v>
      </c>
    </row>
    <row r="1493" spans="1:4" x14ac:dyDescent="0.3">
      <c r="A1493" t="s">
        <v>3337</v>
      </c>
      <c r="B1493">
        <v>1610202110</v>
      </c>
      <c r="C1493">
        <v>1566</v>
      </c>
      <c r="D1493">
        <f>IF(쿼리1[[#This Row],[Value.Duration]]/100&lt;=10,10,ROUND(쿼리1[[#This Row],[Value.Duration]]/100*0.7,-1))</f>
        <v>10</v>
      </c>
    </row>
    <row r="1494" spans="1:4" x14ac:dyDescent="0.3">
      <c r="A1494" t="s">
        <v>3338</v>
      </c>
      <c r="B1494">
        <v>1610202111</v>
      </c>
      <c r="C1494">
        <v>800</v>
      </c>
      <c r="D1494">
        <f>IF(쿼리1[[#This Row],[Value.Duration]]/100&lt;=10,10,ROUND(쿼리1[[#This Row],[Value.Duration]]/100*0.7,-1))</f>
        <v>10</v>
      </c>
    </row>
    <row r="1495" spans="1:4" x14ac:dyDescent="0.3">
      <c r="A1495" t="s">
        <v>3339</v>
      </c>
      <c r="B1495">
        <v>1610202112</v>
      </c>
      <c r="C1495">
        <v>1633</v>
      </c>
      <c r="D1495">
        <f>IF(쿼리1[[#This Row],[Value.Duration]]/100&lt;=10,10,ROUND(쿼리1[[#This Row],[Value.Duration]]/100*0.7,-1))</f>
        <v>10</v>
      </c>
    </row>
    <row r="1496" spans="1:4" x14ac:dyDescent="0.3">
      <c r="A1496" t="s">
        <v>3340</v>
      </c>
      <c r="B1496">
        <v>1610202113</v>
      </c>
      <c r="C1496">
        <v>800</v>
      </c>
      <c r="D1496">
        <f>IF(쿼리1[[#This Row],[Value.Duration]]/100&lt;=10,10,ROUND(쿼리1[[#This Row],[Value.Duration]]/100*0.7,-1))</f>
        <v>10</v>
      </c>
    </row>
    <row r="1497" spans="1:4" x14ac:dyDescent="0.3">
      <c r="A1497" t="s">
        <v>3341</v>
      </c>
      <c r="B1497">
        <v>1610202114</v>
      </c>
      <c r="C1497">
        <v>1666</v>
      </c>
      <c r="D1497">
        <f>IF(쿼리1[[#This Row],[Value.Duration]]/100&lt;=10,10,ROUND(쿼리1[[#This Row],[Value.Duration]]/100*0.7,-1))</f>
        <v>10</v>
      </c>
    </row>
    <row r="1498" spans="1:4" x14ac:dyDescent="0.3">
      <c r="A1498" t="s">
        <v>3342</v>
      </c>
      <c r="B1498">
        <v>1610202115</v>
      </c>
      <c r="C1498">
        <v>600</v>
      </c>
      <c r="D1498">
        <f>IF(쿼리1[[#This Row],[Value.Duration]]/100&lt;=10,10,ROUND(쿼리1[[#This Row],[Value.Duration]]/100*0.7,-1))</f>
        <v>10</v>
      </c>
    </row>
    <row r="1499" spans="1:4" x14ac:dyDescent="0.3">
      <c r="A1499" t="s">
        <v>3343</v>
      </c>
      <c r="B1499">
        <v>1610202116</v>
      </c>
      <c r="C1499">
        <v>733</v>
      </c>
      <c r="D1499">
        <f>IF(쿼리1[[#This Row],[Value.Duration]]/100&lt;=10,10,ROUND(쿼리1[[#This Row],[Value.Duration]]/100*0.7,-1))</f>
        <v>10</v>
      </c>
    </row>
    <row r="1500" spans="1:4" x14ac:dyDescent="0.3">
      <c r="A1500" t="s">
        <v>3344</v>
      </c>
      <c r="B1500">
        <v>1610202117</v>
      </c>
      <c r="C1500">
        <v>666</v>
      </c>
      <c r="D1500">
        <f>IF(쿼리1[[#This Row],[Value.Duration]]/100&lt;=10,10,ROUND(쿼리1[[#This Row],[Value.Duration]]/100*0.7,-1))</f>
        <v>10</v>
      </c>
    </row>
    <row r="1501" spans="1:4" x14ac:dyDescent="0.3">
      <c r="A1501" t="s">
        <v>3345</v>
      </c>
      <c r="B1501">
        <v>1610202118</v>
      </c>
      <c r="C1501">
        <v>800</v>
      </c>
      <c r="D1501">
        <f>IF(쿼리1[[#This Row],[Value.Duration]]/100&lt;=10,10,ROUND(쿼리1[[#This Row],[Value.Duration]]/100*0.7,-1))</f>
        <v>10</v>
      </c>
    </row>
    <row r="1502" spans="1:4" x14ac:dyDescent="0.3">
      <c r="A1502" t="s">
        <v>3346</v>
      </c>
      <c r="B1502">
        <v>1610202201</v>
      </c>
      <c r="C1502">
        <v>1200</v>
      </c>
      <c r="D1502">
        <f>IF(쿼리1[[#This Row],[Value.Duration]]/100&lt;=10,10,ROUND(쿼리1[[#This Row],[Value.Duration]]/100*0.7,-1))</f>
        <v>10</v>
      </c>
    </row>
    <row r="1503" spans="1:4" x14ac:dyDescent="0.3">
      <c r="A1503" t="s">
        <v>3347</v>
      </c>
      <c r="B1503">
        <v>1610202202</v>
      </c>
      <c r="C1503">
        <v>1333</v>
      </c>
      <c r="D1503">
        <f>IF(쿼리1[[#This Row],[Value.Duration]]/100&lt;=10,10,ROUND(쿼리1[[#This Row],[Value.Duration]]/100*0.7,-1))</f>
        <v>10</v>
      </c>
    </row>
    <row r="1504" spans="1:4" x14ac:dyDescent="0.3">
      <c r="A1504" t="s">
        <v>3348</v>
      </c>
      <c r="B1504">
        <v>1610202203</v>
      </c>
      <c r="C1504">
        <v>1600</v>
      </c>
      <c r="D1504">
        <f>IF(쿼리1[[#This Row],[Value.Duration]]/100&lt;=10,10,ROUND(쿼리1[[#This Row],[Value.Duration]]/100*0.7,-1))</f>
        <v>10</v>
      </c>
    </row>
    <row r="1505" spans="1:4" x14ac:dyDescent="0.3">
      <c r="A1505" t="s">
        <v>3349</v>
      </c>
      <c r="B1505">
        <v>1610202301</v>
      </c>
      <c r="C1505">
        <v>2000</v>
      </c>
      <c r="D1505">
        <f>IF(쿼리1[[#This Row],[Value.Duration]]/100&lt;=10,10,ROUND(쿼리1[[#This Row],[Value.Duration]]/100*0.7,-1))</f>
        <v>10</v>
      </c>
    </row>
    <row r="1506" spans="1:4" x14ac:dyDescent="0.3">
      <c r="A1506" t="s">
        <v>3350</v>
      </c>
      <c r="B1506">
        <v>1610202302</v>
      </c>
      <c r="C1506">
        <v>2000</v>
      </c>
      <c r="D1506">
        <f>IF(쿼리1[[#This Row],[Value.Duration]]/100&lt;=10,10,ROUND(쿼리1[[#This Row],[Value.Duration]]/100*0.7,-1))</f>
        <v>10</v>
      </c>
    </row>
    <row r="1507" spans="1:4" x14ac:dyDescent="0.3">
      <c r="A1507" t="s">
        <v>3351</v>
      </c>
      <c r="B1507">
        <v>1610203101</v>
      </c>
      <c r="C1507">
        <v>533</v>
      </c>
      <c r="D1507">
        <f>IF(쿼리1[[#This Row],[Value.Duration]]/100&lt;=10,10,ROUND(쿼리1[[#This Row],[Value.Duration]]/100*0.7,-1))</f>
        <v>10</v>
      </c>
    </row>
    <row r="1508" spans="1:4" x14ac:dyDescent="0.3">
      <c r="A1508" t="s">
        <v>3352</v>
      </c>
      <c r="B1508">
        <v>1610203102</v>
      </c>
      <c r="C1508">
        <v>1566</v>
      </c>
      <c r="D1508">
        <f>IF(쿼리1[[#This Row],[Value.Duration]]/100&lt;=10,10,ROUND(쿼리1[[#This Row],[Value.Duration]]/100*0.7,-1))</f>
        <v>10</v>
      </c>
    </row>
    <row r="1509" spans="1:4" x14ac:dyDescent="0.3">
      <c r="A1509" t="s">
        <v>3353</v>
      </c>
      <c r="B1509">
        <v>1610203103</v>
      </c>
      <c r="C1509">
        <v>533</v>
      </c>
      <c r="D1509">
        <f>IF(쿼리1[[#This Row],[Value.Duration]]/100&lt;=10,10,ROUND(쿼리1[[#This Row],[Value.Duration]]/100*0.7,-1))</f>
        <v>10</v>
      </c>
    </row>
    <row r="1510" spans="1:4" x14ac:dyDescent="0.3">
      <c r="A1510" t="s">
        <v>3354</v>
      </c>
      <c r="B1510">
        <v>1610203104</v>
      </c>
      <c r="C1510">
        <v>800</v>
      </c>
      <c r="D1510">
        <f>IF(쿼리1[[#This Row],[Value.Duration]]/100&lt;=10,10,ROUND(쿼리1[[#This Row],[Value.Duration]]/100*0.7,-1))</f>
        <v>10</v>
      </c>
    </row>
    <row r="1511" spans="1:4" x14ac:dyDescent="0.3">
      <c r="A1511" t="s">
        <v>3355</v>
      </c>
      <c r="B1511">
        <v>1610203105</v>
      </c>
      <c r="C1511">
        <v>666</v>
      </c>
      <c r="D1511">
        <f>IF(쿼리1[[#This Row],[Value.Duration]]/100&lt;=10,10,ROUND(쿼리1[[#This Row],[Value.Duration]]/100*0.7,-1))</f>
        <v>10</v>
      </c>
    </row>
    <row r="1512" spans="1:4" x14ac:dyDescent="0.3">
      <c r="A1512" t="s">
        <v>3356</v>
      </c>
      <c r="B1512">
        <v>1610203106</v>
      </c>
      <c r="C1512">
        <v>600</v>
      </c>
      <c r="D1512">
        <f>IF(쿼리1[[#This Row],[Value.Duration]]/100&lt;=10,10,ROUND(쿼리1[[#This Row],[Value.Duration]]/100*0.7,-1))</f>
        <v>10</v>
      </c>
    </row>
    <row r="1513" spans="1:4" x14ac:dyDescent="0.3">
      <c r="A1513" t="s">
        <v>3357</v>
      </c>
      <c r="B1513">
        <v>1610203107</v>
      </c>
      <c r="C1513">
        <v>666</v>
      </c>
      <c r="D1513">
        <f>IF(쿼리1[[#This Row],[Value.Duration]]/100&lt;=10,10,ROUND(쿼리1[[#This Row],[Value.Duration]]/100*0.7,-1))</f>
        <v>10</v>
      </c>
    </row>
    <row r="1514" spans="1:4" x14ac:dyDescent="0.3">
      <c r="A1514" t="s">
        <v>3358</v>
      </c>
      <c r="B1514">
        <v>1610203108</v>
      </c>
      <c r="C1514">
        <v>733</v>
      </c>
      <c r="D1514">
        <f>IF(쿼리1[[#This Row],[Value.Duration]]/100&lt;=10,10,ROUND(쿼리1[[#This Row],[Value.Duration]]/100*0.7,-1))</f>
        <v>10</v>
      </c>
    </row>
    <row r="1515" spans="1:4" x14ac:dyDescent="0.3">
      <c r="A1515" t="s">
        <v>3359</v>
      </c>
      <c r="B1515">
        <v>1610203109</v>
      </c>
      <c r="C1515">
        <v>1133</v>
      </c>
      <c r="D1515">
        <f>IF(쿼리1[[#This Row],[Value.Duration]]/100&lt;=10,10,ROUND(쿼리1[[#This Row],[Value.Duration]]/100*0.7,-1))</f>
        <v>10</v>
      </c>
    </row>
    <row r="1516" spans="1:4" x14ac:dyDescent="0.3">
      <c r="A1516" t="s">
        <v>3360</v>
      </c>
      <c r="B1516">
        <v>1610203110</v>
      </c>
      <c r="C1516">
        <v>433</v>
      </c>
      <c r="D1516">
        <f>IF(쿼리1[[#This Row],[Value.Duration]]/100&lt;=10,10,ROUND(쿼리1[[#This Row],[Value.Duration]]/100*0.7,-1))</f>
        <v>10</v>
      </c>
    </row>
    <row r="1517" spans="1:4" x14ac:dyDescent="0.3">
      <c r="A1517" t="s">
        <v>3361</v>
      </c>
      <c r="B1517">
        <v>1610203111</v>
      </c>
      <c r="C1517">
        <v>533</v>
      </c>
      <c r="D1517">
        <f>IF(쿼리1[[#This Row],[Value.Duration]]/100&lt;=10,10,ROUND(쿼리1[[#This Row],[Value.Duration]]/100*0.7,-1))</f>
        <v>10</v>
      </c>
    </row>
    <row r="1518" spans="1:4" x14ac:dyDescent="0.3">
      <c r="A1518" t="s">
        <v>3362</v>
      </c>
      <c r="B1518">
        <v>1610203112</v>
      </c>
      <c r="C1518">
        <v>1566</v>
      </c>
      <c r="D1518">
        <f>IF(쿼리1[[#This Row],[Value.Duration]]/100&lt;=10,10,ROUND(쿼리1[[#This Row],[Value.Duration]]/100*0.7,-1))</f>
        <v>10</v>
      </c>
    </row>
    <row r="1519" spans="1:4" x14ac:dyDescent="0.3">
      <c r="A1519" t="s">
        <v>3363</v>
      </c>
      <c r="B1519">
        <v>1610203113</v>
      </c>
      <c r="C1519">
        <v>533</v>
      </c>
      <c r="D1519">
        <f>IF(쿼리1[[#This Row],[Value.Duration]]/100&lt;=10,10,ROUND(쿼리1[[#This Row],[Value.Duration]]/100*0.7,-1))</f>
        <v>10</v>
      </c>
    </row>
    <row r="1520" spans="1:4" x14ac:dyDescent="0.3">
      <c r="A1520" t="s">
        <v>3364</v>
      </c>
      <c r="B1520">
        <v>1610203114</v>
      </c>
      <c r="C1520">
        <v>800</v>
      </c>
      <c r="D1520">
        <f>IF(쿼리1[[#This Row],[Value.Duration]]/100&lt;=10,10,ROUND(쿼리1[[#This Row],[Value.Duration]]/100*0.7,-1))</f>
        <v>10</v>
      </c>
    </row>
    <row r="1521" spans="1:4" x14ac:dyDescent="0.3">
      <c r="A1521" t="s">
        <v>3365</v>
      </c>
      <c r="B1521">
        <v>1610203115</v>
      </c>
      <c r="C1521">
        <v>666</v>
      </c>
      <c r="D1521">
        <f>IF(쿼리1[[#This Row],[Value.Duration]]/100&lt;=10,10,ROUND(쿼리1[[#This Row],[Value.Duration]]/100*0.7,-1))</f>
        <v>10</v>
      </c>
    </row>
    <row r="1522" spans="1:4" x14ac:dyDescent="0.3">
      <c r="A1522" t="s">
        <v>3366</v>
      </c>
      <c r="B1522">
        <v>1610203116</v>
      </c>
      <c r="C1522">
        <v>600</v>
      </c>
      <c r="D1522">
        <f>IF(쿼리1[[#This Row],[Value.Duration]]/100&lt;=10,10,ROUND(쿼리1[[#This Row],[Value.Duration]]/100*0.7,-1))</f>
        <v>10</v>
      </c>
    </row>
    <row r="1523" spans="1:4" x14ac:dyDescent="0.3">
      <c r="A1523" t="s">
        <v>3367</v>
      </c>
      <c r="B1523">
        <v>1610203117</v>
      </c>
      <c r="C1523">
        <v>666</v>
      </c>
      <c r="D1523">
        <f>IF(쿼리1[[#This Row],[Value.Duration]]/100&lt;=10,10,ROUND(쿼리1[[#This Row],[Value.Duration]]/100*0.7,-1))</f>
        <v>10</v>
      </c>
    </row>
    <row r="1524" spans="1:4" x14ac:dyDescent="0.3">
      <c r="A1524" t="s">
        <v>3368</v>
      </c>
      <c r="B1524">
        <v>1610203118</v>
      </c>
      <c r="C1524">
        <v>733</v>
      </c>
      <c r="D1524">
        <f>IF(쿼리1[[#This Row],[Value.Duration]]/100&lt;=10,10,ROUND(쿼리1[[#This Row],[Value.Duration]]/100*0.7,-1))</f>
        <v>10</v>
      </c>
    </row>
    <row r="1525" spans="1:4" x14ac:dyDescent="0.3">
      <c r="A1525" t="s">
        <v>3369</v>
      </c>
      <c r="B1525">
        <v>1610203119</v>
      </c>
      <c r="C1525">
        <v>1133</v>
      </c>
      <c r="D1525">
        <f>IF(쿼리1[[#This Row],[Value.Duration]]/100&lt;=10,10,ROUND(쿼리1[[#This Row],[Value.Duration]]/100*0.7,-1))</f>
        <v>10</v>
      </c>
    </row>
    <row r="1526" spans="1:4" x14ac:dyDescent="0.3">
      <c r="A1526" t="s">
        <v>3370</v>
      </c>
      <c r="B1526">
        <v>1610203120</v>
      </c>
      <c r="C1526">
        <v>433</v>
      </c>
      <c r="D1526">
        <f>IF(쿼리1[[#This Row],[Value.Duration]]/100&lt;=10,10,ROUND(쿼리1[[#This Row],[Value.Duration]]/100*0.7,-1))</f>
        <v>10</v>
      </c>
    </row>
    <row r="1527" spans="1:4" x14ac:dyDescent="0.3">
      <c r="A1527" t="s">
        <v>3371</v>
      </c>
      <c r="B1527">
        <v>1610203201</v>
      </c>
      <c r="C1527">
        <v>1600</v>
      </c>
      <c r="D1527">
        <f>IF(쿼리1[[#This Row],[Value.Duration]]/100&lt;=10,10,ROUND(쿼리1[[#This Row],[Value.Duration]]/100*0.7,-1))</f>
        <v>10</v>
      </c>
    </row>
    <row r="1528" spans="1:4" x14ac:dyDescent="0.3">
      <c r="A1528" t="s">
        <v>3372</v>
      </c>
      <c r="B1528">
        <v>1610203202</v>
      </c>
      <c r="C1528">
        <v>1333</v>
      </c>
      <c r="D1528">
        <f>IF(쿼리1[[#This Row],[Value.Duration]]/100&lt;=10,10,ROUND(쿼리1[[#This Row],[Value.Duration]]/100*0.7,-1))</f>
        <v>10</v>
      </c>
    </row>
    <row r="1529" spans="1:4" x14ac:dyDescent="0.3">
      <c r="A1529" t="s">
        <v>3373</v>
      </c>
      <c r="B1529">
        <v>1610203203</v>
      </c>
      <c r="C1529">
        <v>1600</v>
      </c>
      <c r="D1529">
        <f>IF(쿼리1[[#This Row],[Value.Duration]]/100&lt;=10,10,ROUND(쿼리1[[#This Row],[Value.Duration]]/100*0.7,-1))</f>
        <v>10</v>
      </c>
    </row>
    <row r="1530" spans="1:4" x14ac:dyDescent="0.3">
      <c r="A1530" t="s">
        <v>3374</v>
      </c>
      <c r="B1530">
        <v>1610203301</v>
      </c>
      <c r="C1530">
        <v>1600</v>
      </c>
      <c r="D1530">
        <f>IF(쿼리1[[#This Row],[Value.Duration]]/100&lt;=10,10,ROUND(쿼리1[[#This Row],[Value.Duration]]/100*0.7,-1))</f>
        <v>10</v>
      </c>
    </row>
    <row r="1531" spans="1:4" x14ac:dyDescent="0.3">
      <c r="A1531" t="s">
        <v>3375</v>
      </c>
      <c r="B1531">
        <v>1610203302</v>
      </c>
      <c r="C1531">
        <v>1600</v>
      </c>
      <c r="D1531">
        <f>IF(쿼리1[[#This Row],[Value.Duration]]/100&lt;=10,10,ROUND(쿼리1[[#This Row],[Value.Duration]]/100*0.7,-1))</f>
        <v>10</v>
      </c>
    </row>
    <row r="1532" spans="1:4" x14ac:dyDescent="0.3">
      <c r="A1532" t="s">
        <v>3376</v>
      </c>
      <c r="B1532">
        <v>1610204101</v>
      </c>
      <c r="C1532">
        <v>1600</v>
      </c>
      <c r="D1532">
        <f>IF(쿼리1[[#This Row],[Value.Duration]]/100&lt;=10,10,ROUND(쿼리1[[#This Row],[Value.Duration]]/100*0.7,-1))</f>
        <v>10</v>
      </c>
    </row>
    <row r="1533" spans="1:4" x14ac:dyDescent="0.3">
      <c r="A1533" t="s">
        <v>3377</v>
      </c>
      <c r="B1533">
        <v>1610204102</v>
      </c>
      <c r="C1533">
        <v>666</v>
      </c>
      <c r="D1533">
        <f>IF(쿼리1[[#This Row],[Value.Duration]]/100&lt;=10,10,ROUND(쿼리1[[#This Row],[Value.Duration]]/100*0.7,-1))</f>
        <v>10</v>
      </c>
    </row>
    <row r="1534" spans="1:4" x14ac:dyDescent="0.3">
      <c r="A1534" t="s">
        <v>3378</v>
      </c>
      <c r="B1534">
        <v>1610204103</v>
      </c>
      <c r="C1534">
        <v>1600</v>
      </c>
      <c r="D1534">
        <f>IF(쿼리1[[#This Row],[Value.Duration]]/100&lt;=10,10,ROUND(쿼리1[[#This Row],[Value.Duration]]/100*0.7,-1))</f>
        <v>10</v>
      </c>
    </row>
    <row r="1535" spans="1:4" x14ac:dyDescent="0.3">
      <c r="A1535" t="s">
        <v>3379</v>
      </c>
      <c r="B1535">
        <v>1610204104</v>
      </c>
      <c r="C1535">
        <v>666</v>
      </c>
      <c r="D1535">
        <f>IF(쿼리1[[#This Row],[Value.Duration]]/100&lt;=10,10,ROUND(쿼리1[[#This Row],[Value.Duration]]/100*0.7,-1))</f>
        <v>10</v>
      </c>
    </row>
    <row r="1536" spans="1:4" x14ac:dyDescent="0.3">
      <c r="A1536" t="s">
        <v>3380</v>
      </c>
      <c r="B1536">
        <v>1610204105</v>
      </c>
      <c r="C1536">
        <v>666</v>
      </c>
      <c r="D1536">
        <f>IF(쿼리1[[#This Row],[Value.Duration]]/100&lt;=10,10,ROUND(쿼리1[[#This Row],[Value.Duration]]/100*0.7,-1))</f>
        <v>10</v>
      </c>
    </row>
    <row r="1537" spans="1:4" x14ac:dyDescent="0.3">
      <c r="A1537" t="s">
        <v>3381</v>
      </c>
      <c r="B1537">
        <v>1610204106</v>
      </c>
      <c r="C1537">
        <v>466</v>
      </c>
      <c r="D1537">
        <f>IF(쿼리1[[#This Row],[Value.Duration]]/100&lt;=10,10,ROUND(쿼리1[[#This Row],[Value.Duration]]/100*0.7,-1))</f>
        <v>10</v>
      </c>
    </row>
    <row r="1538" spans="1:4" x14ac:dyDescent="0.3">
      <c r="A1538" t="s">
        <v>3382</v>
      </c>
      <c r="B1538">
        <v>1610204107</v>
      </c>
      <c r="C1538">
        <v>1066</v>
      </c>
      <c r="D1538">
        <f>IF(쿼리1[[#This Row],[Value.Duration]]/100&lt;=10,10,ROUND(쿼리1[[#This Row],[Value.Duration]]/100*0.7,-1))</f>
        <v>10</v>
      </c>
    </row>
    <row r="1539" spans="1:4" x14ac:dyDescent="0.3">
      <c r="A1539" t="s">
        <v>3383</v>
      </c>
      <c r="B1539">
        <v>1610204108</v>
      </c>
      <c r="C1539">
        <v>866</v>
      </c>
      <c r="D1539">
        <f>IF(쿼리1[[#This Row],[Value.Duration]]/100&lt;=10,10,ROUND(쿼리1[[#This Row],[Value.Duration]]/100*0.7,-1))</f>
        <v>10</v>
      </c>
    </row>
    <row r="1540" spans="1:4" x14ac:dyDescent="0.3">
      <c r="A1540" t="s">
        <v>3384</v>
      </c>
      <c r="B1540">
        <v>1610204109</v>
      </c>
      <c r="C1540">
        <v>666</v>
      </c>
      <c r="D1540">
        <f>IF(쿼리1[[#This Row],[Value.Duration]]/100&lt;=10,10,ROUND(쿼리1[[#This Row],[Value.Duration]]/100*0.7,-1))</f>
        <v>10</v>
      </c>
    </row>
    <row r="1541" spans="1:4" x14ac:dyDescent="0.3">
      <c r="A1541" t="s">
        <v>3385</v>
      </c>
      <c r="B1541">
        <v>1610204110</v>
      </c>
      <c r="C1541">
        <v>500</v>
      </c>
      <c r="D1541">
        <f>IF(쿼리1[[#This Row],[Value.Duration]]/100&lt;=10,10,ROUND(쿼리1[[#This Row],[Value.Duration]]/100*0.7,-1))</f>
        <v>10</v>
      </c>
    </row>
    <row r="1542" spans="1:4" x14ac:dyDescent="0.3">
      <c r="A1542" t="s">
        <v>3386</v>
      </c>
      <c r="B1542">
        <v>1610204111</v>
      </c>
      <c r="C1542">
        <v>1500</v>
      </c>
      <c r="D1542">
        <f>IF(쿼리1[[#This Row],[Value.Duration]]/100&lt;=10,10,ROUND(쿼리1[[#This Row],[Value.Duration]]/100*0.7,-1))</f>
        <v>10</v>
      </c>
    </row>
    <row r="1543" spans="1:4" x14ac:dyDescent="0.3">
      <c r="A1543" t="s">
        <v>3387</v>
      </c>
      <c r="B1543">
        <v>1610204112</v>
      </c>
      <c r="C1543">
        <v>933</v>
      </c>
      <c r="D1543">
        <f>IF(쿼리1[[#This Row],[Value.Duration]]/100&lt;=10,10,ROUND(쿼리1[[#This Row],[Value.Duration]]/100*0.7,-1))</f>
        <v>10</v>
      </c>
    </row>
    <row r="1544" spans="1:4" x14ac:dyDescent="0.3">
      <c r="A1544" t="s">
        <v>3388</v>
      </c>
      <c r="B1544">
        <v>1610204113</v>
      </c>
      <c r="C1544">
        <v>1600</v>
      </c>
      <c r="D1544">
        <f>IF(쿼리1[[#This Row],[Value.Duration]]/100&lt;=10,10,ROUND(쿼리1[[#This Row],[Value.Duration]]/100*0.7,-1))</f>
        <v>10</v>
      </c>
    </row>
    <row r="1545" spans="1:4" x14ac:dyDescent="0.3">
      <c r="A1545" t="s">
        <v>3389</v>
      </c>
      <c r="B1545">
        <v>1610204114</v>
      </c>
      <c r="C1545">
        <v>666</v>
      </c>
      <c r="D1545">
        <f>IF(쿼리1[[#This Row],[Value.Duration]]/100&lt;=10,10,ROUND(쿼리1[[#This Row],[Value.Duration]]/100*0.7,-1))</f>
        <v>10</v>
      </c>
    </row>
    <row r="1546" spans="1:4" x14ac:dyDescent="0.3">
      <c r="A1546" t="s">
        <v>3390</v>
      </c>
      <c r="B1546">
        <v>1610204115</v>
      </c>
      <c r="C1546">
        <v>666</v>
      </c>
      <c r="D1546">
        <f>IF(쿼리1[[#This Row],[Value.Duration]]/100&lt;=10,10,ROUND(쿼리1[[#This Row],[Value.Duration]]/100*0.7,-1))</f>
        <v>10</v>
      </c>
    </row>
    <row r="1547" spans="1:4" x14ac:dyDescent="0.3">
      <c r="A1547" t="s">
        <v>3391</v>
      </c>
      <c r="B1547">
        <v>1610204116</v>
      </c>
      <c r="C1547">
        <v>466</v>
      </c>
      <c r="D1547">
        <f>IF(쿼리1[[#This Row],[Value.Duration]]/100&lt;=10,10,ROUND(쿼리1[[#This Row],[Value.Duration]]/100*0.7,-1))</f>
        <v>10</v>
      </c>
    </row>
    <row r="1548" spans="1:4" x14ac:dyDescent="0.3">
      <c r="A1548" t="s">
        <v>3392</v>
      </c>
      <c r="B1548">
        <v>1610204117</v>
      </c>
      <c r="C1548">
        <v>1066</v>
      </c>
      <c r="D1548">
        <f>IF(쿼리1[[#This Row],[Value.Duration]]/100&lt;=10,10,ROUND(쿼리1[[#This Row],[Value.Duration]]/100*0.7,-1))</f>
        <v>10</v>
      </c>
    </row>
    <row r="1549" spans="1:4" x14ac:dyDescent="0.3">
      <c r="A1549" t="s">
        <v>3393</v>
      </c>
      <c r="B1549">
        <v>1610204118</v>
      </c>
      <c r="C1549">
        <v>866</v>
      </c>
      <c r="D1549">
        <f>IF(쿼리1[[#This Row],[Value.Duration]]/100&lt;=10,10,ROUND(쿼리1[[#This Row],[Value.Duration]]/100*0.7,-1))</f>
        <v>10</v>
      </c>
    </row>
    <row r="1550" spans="1:4" x14ac:dyDescent="0.3">
      <c r="A1550" t="s">
        <v>3394</v>
      </c>
      <c r="B1550">
        <v>1610204119</v>
      </c>
      <c r="C1550">
        <v>666</v>
      </c>
      <c r="D1550">
        <f>IF(쿼리1[[#This Row],[Value.Duration]]/100&lt;=10,10,ROUND(쿼리1[[#This Row],[Value.Duration]]/100*0.7,-1))</f>
        <v>10</v>
      </c>
    </row>
    <row r="1551" spans="1:4" x14ac:dyDescent="0.3">
      <c r="A1551" t="s">
        <v>3395</v>
      </c>
      <c r="B1551">
        <v>1610204120</v>
      </c>
      <c r="C1551">
        <v>500</v>
      </c>
      <c r="D1551">
        <f>IF(쿼리1[[#This Row],[Value.Duration]]/100&lt;=10,10,ROUND(쿼리1[[#This Row],[Value.Duration]]/100*0.7,-1))</f>
        <v>10</v>
      </c>
    </row>
    <row r="1552" spans="1:4" x14ac:dyDescent="0.3">
      <c r="A1552" t="s">
        <v>3396</v>
      </c>
      <c r="B1552">
        <v>1610204121</v>
      </c>
      <c r="C1552">
        <v>1500</v>
      </c>
      <c r="D1552">
        <f>IF(쿼리1[[#This Row],[Value.Duration]]/100&lt;=10,10,ROUND(쿼리1[[#This Row],[Value.Duration]]/100*0.7,-1))</f>
        <v>10</v>
      </c>
    </row>
    <row r="1553" spans="1:4" x14ac:dyDescent="0.3">
      <c r="A1553" t="s">
        <v>3397</v>
      </c>
      <c r="B1553">
        <v>1610204122</v>
      </c>
      <c r="C1553">
        <v>933</v>
      </c>
      <c r="D1553">
        <f>IF(쿼리1[[#This Row],[Value.Duration]]/100&lt;=10,10,ROUND(쿼리1[[#This Row],[Value.Duration]]/100*0.7,-1))</f>
        <v>10</v>
      </c>
    </row>
    <row r="1554" spans="1:4" x14ac:dyDescent="0.3">
      <c r="A1554" t="s">
        <v>3398</v>
      </c>
      <c r="B1554">
        <v>1610204201</v>
      </c>
      <c r="C1554">
        <v>1333</v>
      </c>
      <c r="D1554">
        <f>IF(쿼리1[[#This Row],[Value.Duration]]/100&lt;=10,10,ROUND(쿼리1[[#This Row],[Value.Duration]]/100*0.7,-1))</f>
        <v>10</v>
      </c>
    </row>
    <row r="1555" spans="1:4" x14ac:dyDescent="0.3">
      <c r="A1555" t="s">
        <v>3399</v>
      </c>
      <c r="B1555">
        <v>1610204202</v>
      </c>
      <c r="C1555">
        <v>933</v>
      </c>
      <c r="D1555">
        <f>IF(쿼리1[[#This Row],[Value.Duration]]/100&lt;=10,10,ROUND(쿼리1[[#This Row],[Value.Duration]]/100*0.7,-1))</f>
        <v>10</v>
      </c>
    </row>
    <row r="1556" spans="1:4" x14ac:dyDescent="0.3">
      <c r="A1556" t="s">
        <v>3400</v>
      </c>
      <c r="B1556">
        <v>1610204203</v>
      </c>
      <c r="C1556">
        <v>800</v>
      </c>
      <c r="D1556">
        <f>IF(쿼리1[[#This Row],[Value.Duration]]/100&lt;=10,10,ROUND(쿼리1[[#This Row],[Value.Duration]]/100*0.7,-1))</f>
        <v>10</v>
      </c>
    </row>
    <row r="1557" spans="1:4" x14ac:dyDescent="0.3">
      <c r="A1557" t="s">
        <v>3401</v>
      </c>
      <c r="B1557">
        <v>1610204301</v>
      </c>
      <c r="C1557">
        <v>600</v>
      </c>
      <c r="D1557">
        <f>IF(쿼리1[[#This Row],[Value.Duration]]/100&lt;=10,10,ROUND(쿼리1[[#This Row],[Value.Duration]]/100*0.7,-1))</f>
        <v>10</v>
      </c>
    </row>
    <row r="1558" spans="1:4" x14ac:dyDescent="0.3">
      <c r="A1558" t="s">
        <v>3402</v>
      </c>
      <c r="B1558">
        <v>1610204302</v>
      </c>
      <c r="C1558">
        <v>600</v>
      </c>
      <c r="D1558">
        <f>IF(쿼리1[[#This Row],[Value.Duration]]/100&lt;=10,10,ROUND(쿼리1[[#This Row],[Value.Duration]]/100*0.7,-1))</f>
        <v>10</v>
      </c>
    </row>
    <row r="1559" spans="1:4" x14ac:dyDescent="0.3">
      <c r="A1559" t="s">
        <v>3403</v>
      </c>
      <c r="B1559">
        <v>1610205101</v>
      </c>
      <c r="C1559">
        <v>800</v>
      </c>
      <c r="D1559">
        <f>IF(쿼리1[[#This Row],[Value.Duration]]/100&lt;=10,10,ROUND(쿼리1[[#This Row],[Value.Duration]]/100*0.7,-1))</f>
        <v>10</v>
      </c>
    </row>
    <row r="1560" spans="1:4" x14ac:dyDescent="0.3">
      <c r="A1560" t="s">
        <v>3404</v>
      </c>
      <c r="B1560">
        <v>1610205102</v>
      </c>
      <c r="C1560">
        <v>800</v>
      </c>
      <c r="D1560">
        <f>IF(쿼리1[[#This Row],[Value.Duration]]/100&lt;=10,10,ROUND(쿼리1[[#This Row],[Value.Duration]]/100*0.7,-1))</f>
        <v>10</v>
      </c>
    </row>
    <row r="1561" spans="1:4" x14ac:dyDescent="0.3">
      <c r="A1561" t="s">
        <v>3405</v>
      </c>
      <c r="B1561">
        <v>1610205103</v>
      </c>
      <c r="C1561">
        <v>800</v>
      </c>
      <c r="D1561">
        <f>IF(쿼리1[[#This Row],[Value.Duration]]/100&lt;=10,10,ROUND(쿼리1[[#This Row],[Value.Duration]]/100*0.7,-1))</f>
        <v>10</v>
      </c>
    </row>
    <row r="1562" spans="1:4" x14ac:dyDescent="0.3">
      <c r="A1562" t="s">
        <v>3406</v>
      </c>
      <c r="B1562">
        <v>1610205104</v>
      </c>
      <c r="C1562">
        <v>533</v>
      </c>
      <c r="D1562">
        <f>IF(쿼리1[[#This Row],[Value.Duration]]/100&lt;=10,10,ROUND(쿼리1[[#This Row],[Value.Duration]]/100*0.7,-1))</f>
        <v>10</v>
      </c>
    </row>
    <row r="1563" spans="1:4" x14ac:dyDescent="0.3">
      <c r="A1563" t="s">
        <v>3407</v>
      </c>
      <c r="B1563">
        <v>1610205105</v>
      </c>
      <c r="C1563">
        <v>666</v>
      </c>
      <c r="D1563">
        <f>IF(쿼리1[[#This Row],[Value.Duration]]/100&lt;=10,10,ROUND(쿼리1[[#This Row],[Value.Duration]]/100*0.7,-1))</f>
        <v>10</v>
      </c>
    </row>
    <row r="1564" spans="1:4" x14ac:dyDescent="0.3">
      <c r="A1564" t="s">
        <v>3408</v>
      </c>
      <c r="B1564">
        <v>1610205106</v>
      </c>
      <c r="C1564">
        <v>666</v>
      </c>
      <c r="D1564">
        <f>IF(쿼리1[[#This Row],[Value.Duration]]/100&lt;=10,10,ROUND(쿼리1[[#This Row],[Value.Duration]]/100*0.7,-1))</f>
        <v>10</v>
      </c>
    </row>
    <row r="1565" spans="1:4" x14ac:dyDescent="0.3">
      <c r="A1565" t="s">
        <v>3409</v>
      </c>
      <c r="B1565">
        <v>1610205107</v>
      </c>
      <c r="C1565">
        <v>600</v>
      </c>
      <c r="D1565">
        <f>IF(쿼리1[[#This Row],[Value.Duration]]/100&lt;=10,10,ROUND(쿼리1[[#This Row],[Value.Duration]]/100*0.7,-1))</f>
        <v>10</v>
      </c>
    </row>
    <row r="1566" spans="1:4" x14ac:dyDescent="0.3">
      <c r="A1566" t="s">
        <v>3410</v>
      </c>
      <c r="B1566">
        <v>1610205108</v>
      </c>
      <c r="C1566">
        <v>766</v>
      </c>
      <c r="D1566">
        <f>IF(쿼리1[[#This Row],[Value.Duration]]/100&lt;=10,10,ROUND(쿼리1[[#This Row],[Value.Duration]]/100*0.7,-1))</f>
        <v>10</v>
      </c>
    </row>
    <row r="1567" spans="1:4" x14ac:dyDescent="0.3">
      <c r="A1567" t="s">
        <v>3411</v>
      </c>
      <c r="B1567">
        <v>1610205109</v>
      </c>
      <c r="C1567">
        <v>1066</v>
      </c>
      <c r="D1567">
        <f>IF(쿼리1[[#This Row],[Value.Duration]]/100&lt;=10,10,ROUND(쿼리1[[#This Row],[Value.Duration]]/100*0.7,-1))</f>
        <v>10</v>
      </c>
    </row>
    <row r="1568" spans="1:4" x14ac:dyDescent="0.3">
      <c r="A1568" t="s">
        <v>3412</v>
      </c>
      <c r="B1568">
        <v>1610205110</v>
      </c>
      <c r="C1568">
        <v>2700</v>
      </c>
      <c r="D1568">
        <f>IF(쿼리1[[#This Row],[Value.Duration]]/100&lt;=10,10,ROUND(쿼리1[[#This Row],[Value.Duration]]/100*0.7,-1))</f>
        <v>20</v>
      </c>
    </row>
    <row r="1569" spans="1:4" x14ac:dyDescent="0.3">
      <c r="A1569" t="s">
        <v>3413</v>
      </c>
      <c r="B1569">
        <v>1610205111</v>
      </c>
      <c r="C1569">
        <v>800</v>
      </c>
      <c r="D1569">
        <f>IF(쿼리1[[#This Row],[Value.Duration]]/100&lt;=10,10,ROUND(쿼리1[[#This Row],[Value.Duration]]/100*0.7,-1))</f>
        <v>10</v>
      </c>
    </row>
    <row r="1570" spans="1:4" x14ac:dyDescent="0.3">
      <c r="A1570" t="s">
        <v>3414</v>
      </c>
      <c r="B1570">
        <v>1610205112</v>
      </c>
      <c r="C1570">
        <v>800</v>
      </c>
      <c r="D1570">
        <f>IF(쿼리1[[#This Row],[Value.Duration]]/100&lt;=10,10,ROUND(쿼리1[[#This Row],[Value.Duration]]/100*0.7,-1))</f>
        <v>10</v>
      </c>
    </row>
    <row r="1571" spans="1:4" x14ac:dyDescent="0.3">
      <c r="A1571" t="s">
        <v>3415</v>
      </c>
      <c r="B1571">
        <v>1610205113</v>
      </c>
      <c r="C1571">
        <v>800</v>
      </c>
      <c r="D1571">
        <f>IF(쿼리1[[#This Row],[Value.Duration]]/100&lt;=10,10,ROUND(쿼리1[[#This Row],[Value.Duration]]/100*0.7,-1))</f>
        <v>10</v>
      </c>
    </row>
    <row r="1572" spans="1:4" x14ac:dyDescent="0.3">
      <c r="A1572" t="s">
        <v>3416</v>
      </c>
      <c r="B1572">
        <v>1610205114</v>
      </c>
      <c r="C1572">
        <v>533</v>
      </c>
      <c r="D1572">
        <f>IF(쿼리1[[#This Row],[Value.Duration]]/100&lt;=10,10,ROUND(쿼리1[[#This Row],[Value.Duration]]/100*0.7,-1))</f>
        <v>10</v>
      </c>
    </row>
    <row r="1573" spans="1:4" x14ac:dyDescent="0.3">
      <c r="A1573" t="s">
        <v>3417</v>
      </c>
      <c r="B1573">
        <v>1610205115</v>
      </c>
      <c r="C1573">
        <v>666</v>
      </c>
      <c r="D1573">
        <f>IF(쿼리1[[#This Row],[Value.Duration]]/100&lt;=10,10,ROUND(쿼리1[[#This Row],[Value.Duration]]/100*0.7,-1))</f>
        <v>10</v>
      </c>
    </row>
    <row r="1574" spans="1:4" x14ac:dyDescent="0.3">
      <c r="A1574" t="s">
        <v>3418</v>
      </c>
      <c r="B1574">
        <v>1610205116</v>
      </c>
      <c r="C1574">
        <v>666</v>
      </c>
      <c r="D1574">
        <f>IF(쿼리1[[#This Row],[Value.Duration]]/100&lt;=10,10,ROUND(쿼리1[[#This Row],[Value.Duration]]/100*0.7,-1))</f>
        <v>10</v>
      </c>
    </row>
    <row r="1575" spans="1:4" x14ac:dyDescent="0.3">
      <c r="A1575" t="s">
        <v>3419</v>
      </c>
      <c r="B1575">
        <v>1610205117</v>
      </c>
      <c r="C1575">
        <v>600</v>
      </c>
      <c r="D1575">
        <f>IF(쿼리1[[#This Row],[Value.Duration]]/100&lt;=10,10,ROUND(쿼리1[[#This Row],[Value.Duration]]/100*0.7,-1))</f>
        <v>10</v>
      </c>
    </row>
    <row r="1576" spans="1:4" x14ac:dyDescent="0.3">
      <c r="A1576" t="s">
        <v>3420</v>
      </c>
      <c r="B1576">
        <v>1610205118</v>
      </c>
      <c r="C1576">
        <v>766</v>
      </c>
      <c r="D1576">
        <f>IF(쿼리1[[#This Row],[Value.Duration]]/100&lt;=10,10,ROUND(쿼리1[[#This Row],[Value.Duration]]/100*0.7,-1))</f>
        <v>10</v>
      </c>
    </row>
    <row r="1577" spans="1:4" x14ac:dyDescent="0.3">
      <c r="A1577" t="s">
        <v>3421</v>
      </c>
      <c r="B1577">
        <v>1610205119</v>
      </c>
      <c r="C1577">
        <v>1066</v>
      </c>
      <c r="D1577">
        <f>IF(쿼리1[[#This Row],[Value.Duration]]/100&lt;=10,10,ROUND(쿼리1[[#This Row],[Value.Duration]]/100*0.7,-1))</f>
        <v>10</v>
      </c>
    </row>
    <row r="1578" spans="1:4" x14ac:dyDescent="0.3">
      <c r="A1578" t="s">
        <v>3422</v>
      </c>
      <c r="B1578">
        <v>1610205120</v>
      </c>
      <c r="C1578">
        <v>2700</v>
      </c>
      <c r="D1578">
        <f>IF(쿼리1[[#This Row],[Value.Duration]]/100&lt;=10,10,ROUND(쿼리1[[#This Row],[Value.Duration]]/100*0.7,-1))</f>
        <v>20</v>
      </c>
    </row>
    <row r="1579" spans="1:4" x14ac:dyDescent="0.3">
      <c r="A1579" t="s">
        <v>3423</v>
      </c>
      <c r="B1579">
        <v>1610205201</v>
      </c>
      <c r="C1579">
        <v>933</v>
      </c>
      <c r="D1579">
        <f>IF(쿼리1[[#This Row],[Value.Duration]]/100&lt;=10,10,ROUND(쿼리1[[#This Row],[Value.Duration]]/100*0.7,-1))</f>
        <v>10</v>
      </c>
    </row>
    <row r="1580" spans="1:4" x14ac:dyDescent="0.3">
      <c r="A1580" t="s">
        <v>3424</v>
      </c>
      <c r="B1580">
        <v>1610205202</v>
      </c>
      <c r="C1580">
        <v>800</v>
      </c>
      <c r="D1580">
        <f>IF(쿼리1[[#This Row],[Value.Duration]]/100&lt;=10,10,ROUND(쿼리1[[#This Row],[Value.Duration]]/100*0.7,-1))</f>
        <v>10</v>
      </c>
    </row>
    <row r="1581" spans="1:4" x14ac:dyDescent="0.3">
      <c r="A1581" t="s">
        <v>3425</v>
      </c>
      <c r="B1581">
        <v>1610205203</v>
      </c>
      <c r="C1581">
        <v>1500</v>
      </c>
      <c r="D1581">
        <f>IF(쿼리1[[#This Row],[Value.Duration]]/100&lt;=10,10,ROUND(쿼리1[[#This Row],[Value.Duration]]/100*0.7,-1))</f>
        <v>10</v>
      </c>
    </row>
    <row r="1582" spans="1:4" x14ac:dyDescent="0.3">
      <c r="A1582" t="s">
        <v>3426</v>
      </c>
      <c r="B1582">
        <v>1610205301</v>
      </c>
      <c r="C1582">
        <v>933</v>
      </c>
      <c r="D1582">
        <f>IF(쿼리1[[#This Row],[Value.Duration]]/100&lt;=10,10,ROUND(쿼리1[[#This Row],[Value.Duration]]/100*0.7,-1))</f>
        <v>10</v>
      </c>
    </row>
    <row r="1583" spans="1:4" x14ac:dyDescent="0.3">
      <c r="A1583" t="s">
        <v>3427</v>
      </c>
      <c r="B1583">
        <v>1610205302</v>
      </c>
      <c r="C1583">
        <v>933</v>
      </c>
      <c r="D1583">
        <f>IF(쿼리1[[#This Row],[Value.Duration]]/100&lt;=10,10,ROUND(쿼리1[[#This Row],[Value.Duration]]/100*0.7,-1))</f>
        <v>10</v>
      </c>
    </row>
    <row r="1584" spans="1:4" x14ac:dyDescent="0.3">
      <c r="A1584" t="s">
        <v>3428</v>
      </c>
      <c r="B1584">
        <v>1610206101</v>
      </c>
      <c r="C1584">
        <v>533</v>
      </c>
      <c r="D1584">
        <f>IF(쿼리1[[#This Row],[Value.Duration]]/100&lt;=10,10,ROUND(쿼리1[[#This Row],[Value.Duration]]/100*0.7,-1))</f>
        <v>10</v>
      </c>
    </row>
    <row r="1585" spans="1:4" x14ac:dyDescent="0.3">
      <c r="A1585" t="s">
        <v>3429</v>
      </c>
      <c r="B1585">
        <v>1610206102</v>
      </c>
      <c r="C1585">
        <v>400</v>
      </c>
      <c r="D1585">
        <f>IF(쿼리1[[#This Row],[Value.Duration]]/100&lt;=10,10,ROUND(쿼리1[[#This Row],[Value.Duration]]/100*0.7,-1))</f>
        <v>10</v>
      </c>
    </row>
    <row r="1586" spans="1:4" x14ac:dyDescent="0.3">
      <c r="A1586" t="s">
        <v>3430</v>
      </c>
      <c r="B1586">
        <v>1610206103</v>
      </c>
      <c r="C1586">
        <v>733</v>
      </c>
      <c r="D1586">
        <f>IF(쿼리1[[#This Row],[Value.Duration]]/100&lt;=10,10,ROUND(쿼리1[[#This Row],[Value.Duration]]/100*0.7,-1))</f>
        <v>10</v>
      </c>
    </row>
    <row r="1587" spans="1:4" x14ac:dyDescent="0.3">
      <c r="A1587" t="s">
        <v>3431</v>
      </c>
      <c r="B1587">
        <v>1610206104</v>
      </c>
      <c r="C1587">
        <v>800</v>
      </c>
      <c r="D1587">
        <f>IF(쿼리1[[#This Row],[Value.Duration]]/100&lt;=10,10,ROUND(쿼리1[[#This Row],[Value.Duration]]/100*0.7,-1))</f>
        <v>10</v>
      </c>
    </row>
    <row r="1588" spans="1:4" x14ac:dyDescent="0.3">
      <c r="A1588" t="s">
        <v>3432</v>
      </c>
      <c r="B1588">
        <v>1610206105</v>
      </c>
      <c r="C1588">
        <v>833</v>
      </c>
      <c r="D1588">
        <f>IF(쿼리1[[#This Row],[Value.Duration]]/100&lt;=10,10,ROUND(쿼리1[[#This Row],[Value.Duration]]/100*0.7,-1))</f>
        <v>10</v>
      </c>
    </row>
    <row r="1589" spans="1:4" x14ac:dyDescent="0.3">
      <c r="A1589" t="s">
        <v>3433</v>
      </c>
      <c r="B1589">
        <v>1610206106</v>
      </c>
      <c r="C1589">
        <v>533</v>
      </c>
      <c r="D1589">
        <f>IF(쿼리1[[#This Row],[Value.Duration]]/100&lt;=10,10,ROUND(쿼리1[[#This Row],[Value.Duration]]/100*0.7,-1))</f>
        <v>10</v>
      </c>
    </row>
    <row r="1590" spans="1:4" x14ac:dyDescent="0.3">
      <c r="A1590" t="s">
        <v>3434</v>
      </c>
      <c r="B1590">
        <v>1610206107</v>
      </c>
      <c r="C1590">
        <v>533</v>
      </c>
      <c r="D1590">
        <f>IF(쿼리1[[#This Row],[Value.Duration]]/100&lt;=10,10,ROUND(쿼리1[[#This Row],[Value.Duration]]/100*0.7,-1))</f>
        <v>10</v>
      </c>
    </row>
    <row r="1591" spans="1:4" x14ac:dyDescent="0.3">
      <c r="A1591" t="s">
        <v>3435</v>
      </c>
      <c r="B1591">
        <v>1610206108</v>
      </c>
      <c r="C1591">
        <v>1133</v>
      </c>
      <c r="D1591">
        <f>IF(쿼리1[[#This Row],[Value.Duration]]/100&lt;=10,10,ROUND(쿼리1[[#This Row],[Value.Duration]]/100*0.7,-1))</f>
        <v>10</v>
      </c>
    </row>
    <row r="1592" spans="1:4" x14ac:dyDescent="0.3">
      <c r="A1592" t="s">
        <v>3436</v>
      </c>
      <c r="B1592">
        <v>1610206109</v>
      </c>
      <c r="C1592">
        <v>1133</v>
      </c>
      <c r="D1592">
        <f>IF(쿼리1[[#This Row],[Value.Duration]]/100&lt;=10,10,ROUND(쿼리1[[#This Row],[Value.Duration]]/100*0.7,-1))</f>
        <v>10</v>
      </c>
    </row>
    <row r="1593" spans="1:4" x14ac:dyDescent="0.3">
      <c r="A1593" t="s">
        <v>3437</v>
      </c>
      <c r="B1593">
        <v>1610206110</v>
      </c>
      <c r="C1593">
        <v>533</v>
      </c>
      <c r="D1593">
        <f>IF(쿼리1[[#This Row],[Value.Duration]]/100&lt;=10,10,ROUND(쿼리1[[#This Row],[Value.Duration]]/100*0.7,-1))</f>
        <v>10</v>
      </c>
    </row>
    <row r="1594" spans="1:4" x14ac:dyDescent="0.3">
      <c r="A1594" t="s">
        <v>3438</v>
      </c>
      <c r="B1594">
        <v>1610206111</v>
      </c>
      <c r="C1594">
        <v>400</v>
      </c>
      <c r="D1594">
        <f>IF(쿼리1[[#This Row],[Value.Duration]]/100&lt;=10,10,ROUND(쿼리1[[#This Row],[Value.Duration]]/100*0.7,-1))</f>
        <v>10</v>
      </c>
    </row>
    <row r="1595" spans="1:4" x14ac:dyDescent="0.3">
      <c r="A1595" t="s">
        <v>3439</v>
      </c>
      <c r="B1595">
        <v>1610206112</v>
      </c>
      <c r="C1595">
        <v>733</v>
      </c>
      <c r="D1595">
        <f>IF(쿼리1[[#This Row],[Value.Duration]]/100&lt;=10,10,ROUND(쿼리1[[#This Row],[Value.Duration]]/100*0.7,-1))</f>
        <v>10</v>
      </c>
    </row>
    <row r="1596" spans="1:4" x14ac:dyDescent="0.3">
      <c r="A1596" t="s">
        <v>3440</v>
      </c>
      <c r="B1596">
        <v>1610206113</v>
      </c>
      <c r="C1596">
        <v>800</v>
      </c>
      <c r="D1596">
        <f>IF(쿼리1[[#This Row],[Value.Duration]]/100&lt;=10,10,ROUND(쿼리1[[#This Row],[Value.Duration]]/100*0.7,-1))</f>
        <v>10</v>
      </c>
    </row>
    <row r="1597" spans="1:4" x14ac:dyDescent="0.3">
      <c r="A1597" t="s">
        <v>3441</v>
      </c>
      <c r="B1597">
        <v>1610206114</v>
      </c>
      <c r="C1597">
        <v>833</v>
      </c>
      <c r="D1597">
        <f>IF(쿼리1[[#This Row],[Value.Duration]]/100&lt;=10,10,ROUND(쿼리1[[#This Row],[Value.Duration]]/100*0.7,-1))</f>
        <v>10</v>
      </c>
    </row>
    <row r="1598" spans="1:4" x14ac:dyDescent="0.3">
      <c r="A1598" t="s">
        <v>3442</v>
      </c>
      <c r="B1598">
        <v>1610206115</v>
      </c>
      <c r="C1598">
        <v>533</v>
      </c>
      <c r="D1598">
        <f>IF(쿼리1[[#This Row],[Value.Duration]]/100&lt;=10,10,ROUND(쿼리1[[#This Row],[Value.Duration]]/100*0.7,-1))</f>
        <v>10</v>
      </c>
    </row>
    <row r="1599" spans="1:4" x14ac:dyDescent="0.3">
      <c r="A1599" t="s">
        <v>3443</v>
      </c>
      <c r="B1599">
        <v>1610206116</v>
      </c>
      <c r="C1599">
        <v>533</v>
      </c>
      <c r="D1599">
        <f>IF(쿼리1[[#This Row],[Value.Duration]]/100&lt;=10,10,ROUND(쿼리1[[#This Row],[Value.Duration]]/100*0.7,-1))</f>
        <v>10</v>
      </c>
    </row>
    <row r="1600" spans="1:4" x14ac:dyDescent="0.3">
      <c r="A1600" t="s">
        <v>3444</v>
      </c>
      <c r="B1600">
        <v>1610206117</v>
      </c>
      <c r="C1600">
        <v>1133</v>
      </c>
      <c r="D1600">
        <f>IF(쿼리1[[#This Row],[Value.Duration]]/100&lt;=10,10,ROUND(쿼리1[[#This Row],[Value.Duration]]/100*0.7,-1))</f>
        <v>10</v>
      </c>
    </row>
    <row r="1601" spans="1:4" x14ac:dyDescent="0.3">
      <c r="A1601" t="s">
        <v>3445</v>
      </c>
      <c r="B1601">
        <v>1610206118</v>
      </c>
      <c r="C1601">
        <v>1133</v>
      </c>
      <c r="D1601">
        <f>IF(쿼리1[[#This Row],[Value.Duration]]/100&lt;=10,10,ROUND(쿼리1[[#This Row],[Value.Duration]]/100*0.7,-1))</f>
        <v>10</v>
      </c>
    </row>
    <row r="1602" spans="1:4" x14ac:dyDescent="0.3">
      <c r="A1602" t="s">
        <v>3446</v>
      </c>
      <c r="B1602">
        <v>1610206201</v>
      </c>
      <c r="C1602">
        <v>1000</v>
      </c>
      <c r="D1602">
        <f>IF(쿼리1[[#This Row],[Value.Duration]]/100&lt;=10,10,ROUND(쿼리1[[#This Row],[Value.Duration]]/100*0.7,-1))</f>
        <v>10</v>
      </c>
    </row>
    <row r="1603" spans="1:4" x14ac:dyDescent="0.3">
      <c r="A1603" t="s">
        <v>3447</v>
      </c>
      <c r="B1603">
        <v>1610206202</v>
      </c>
      <c r="C1603">
        <v>800</v>
      </c>
      <c r="D1603">
        <f>IF(쿼리1[[#This Row],[Value.Duration]]/100&lt;=10,10,ROUND(쿼리1[[#This Row],[Value.Duration]]/100*0.7,-1))</f>
        <v>10</v>
      </c>
    </row>
    <row r="1604" spans="1:4" x14ac:dyDescent="0.3">
      <c r="A1604" t="s">
        <v>3448</v>
      </c>
      <c r="B1604">
        <v>1610206203</v>
      </c>
      <c r="C1604">
        <v>666</v>
      </c>
      <c r="D1604">
        <f>IF(쿼리1[[#This Row],[Value.Duration]]/100&lt;=10,10,ROUND(쿼리1[[#This Row],[Value.Duration]]/100*0.7,-1))</f>
        <v>10</v>
      </c>
    </row>
    <row r="1605" spans="1:4" x14ac:dyDescent="0.3">
      <c r="A1605" t="s">
        <v>3449</v>
      </c>
      <c r="B1605">
        <v>1610206301</v>
      </c>
      <c r="C1605">
        <v>1033</v>
      </c>
      <c r="D1605">
        <f>IF(쿼리1[[#This Row],[Value.Duration]]/100&lt;=10,10,ROUND(쿼리1[[#This Row],[Value.Duration]]/100*0.7,-1))</f>
        <v>10</v>
      </c>
    </row>
    <row r="1606" spans="1:4" x14ac:dyDescent="0.3">
      <c r="A1606" t="s">
        <v>3450</v>
      </c>
      <c r="B1606">
        <v>1610206302</v>
      </c>
      <c r="C1606">
        <v>1033</v>
      </c>
      <c r="D1606">
        <f>IF(쿼리1[[#This Row],[Value.Duration]]/100&lt;=10,10,ROUND(쿼리1[[#This Row],[Value.Duration]]/100*0.7,-1))</f>
        <v>10</v>
      </c>
    </row>
    <row r="1607" spans="1:4" x14ac:dyDescent="0.3">
      <c r="A1607" t="s">
        <v>3451</v>
      </c>
      <c r="B1607">
        <v>1610207101</v>
      </c>
      <c r="C1607">
        <v>533</v>
      </c>
      <c r="D1607">
        <f>IF(쿼리1[[#This Row],[Value.Duration]]/100&lt;=10,10,ROUND(쿼리1[[#This Row],[Value.Duration]]/100*0.7,-1))</f>
        <v>10</v>
      </c>
    </row>
    <row r="1608" spans="1:4" x14ac:dyDescent="0.3">
      <c r="A1608" t="s">
        <v>3452</v>
      </c>
      <c r="B1608">
        <v>1610207102</v>
      </c>
      <c r="C1608">
        <v>533</v>
      </c>
      <c r="D1608">
        <f>IF(쿼리1[[#This Row],[Value.Duration]]/100&lt;=10,10,ROUND(쿼리1[[#This Row],[Value.Duration]]/100*0.7,-1))</f>
        <v>10</v>
      </c>
    </row>
    <row r="1609" spans="1:4" x14ac:dyDescent="0.3">
      <c r="A1609" t="s">
        <v>3453</v>
      </c>
      <c r="B1609">
        <v>1610207103</v>
      </c>
      <c r="C1609">
        <v>466</v>
      </c>
      <c r="D1609">
        <f>IF(쿼리1[[#This Row],[Value.Duration]]/100&lt;=10,10,ROUND(쿼리1[[#This Row],[Value.Duration]]/100*0.7,-1))</f>
        <v>10</v>
      </c>
    </row>
    <row r="1610" spans="1:4" x14ac:dyDescent="0.3">
      <c r="A1610" t="s">
        <v>3454</v>
      </c>
      <c r="B1610">
        <v>1610207104</v>
      </c>
      <c r="C1610">
        <v>600</v>
      </c>
      <c r="D1610">
        <f>IF(쿼리1[[#This Row],[Value.Duration]]/100&lt;=10,10,ROUND(쿼리1[[#This Row],[Value.Duration]]/100*0.7,-1))</f>
        <v>10</v>
      </c>
    </row>
    <row r="1611" spans="1:4" x14ac:dyDescent="0.3">
      <c r="A1611" t="s">
        <v>3455</v>
      </c>
      <c r="B1611">
        <v>1610207105</v>
      </c>
      <c r="C1611">
        <v>466</v>
      </c>
      <c r="D1611">
        <f>IF(쿼리1[[#This Row],[Value.Duration]]/100&lt;=10,10,ROUND(쿼리1[[#This Row],[Value.Duration]]/100*0.7,-1))</f>
        <v>10</v>
      </c>
    </row>
    <row r="1612" spans="1:4" x14ac:dyDescent="0.3">
      <c r="A1612" t="s">
        <v>3456</v>
      </c>
      <c r="B1612">
        <v>1610207106</v>
      </c>
      <c r="C1612">
        <v>533</v>
      </c>
      <c r="D1612">
        <f>IF(쿼리1[[#This Row],[Value.Duration]]/100&lt;=10,10,ROUND(쿼리1[[#This Row],[Value.Duration]]/100*0.7,-1))</f>
        <v>10</v>
      </c>
    </row>
    <row r="1613" spans="1:4" x14ac:dyDescent="0.3">
      <c r="A1613" t="s">
        <v>3457</v>
      </c>
      <c r="B1613">
        <v>1610207107</v>
      </c>
      <c r="C1613">
        <v>933</v>
      </c>
      <c r="D1613">
        <f>IF(쿼리1[[#This Row],[Value.Duration]]/100&lt;=10,10,ROUND(쿼리1[[#This Row],[Value.Duration]]/100*0.7,-1))</f>
        <v>10</v>
      </c>
    </row>
    <row r="1614" spans="1:4" x14ac:dyDescent="0.3">
      <c r="A1614" t="s">
        <v>3458</v>
      </c>
      <c r="B1614">
        <v>1610207108</v>
      </c>
      <c r="C1614">
        <v>466</v>
      </c>
      <c r="D1614">
        <f>IF(쿼리1[[#This Row],[Value.Duration]]/100&lt;=10,10,ROUND(쿼리1[[#This Row],[Value.Duration]]/100*0.7,-1))</f>
        <v>10</v>
      </c>
    </row>
    <row r="1615" spans="1:4" x14ac:dyDescent="0.3">
      <c r="A1615" t="s">
        <v>3459</v>
      </c>
      <c r="B1615">
        <v>1610207109</v>
      </c>
      <c r="C1615">
        <v>666</v>
      </c>
      <c r="D1615">
        <f>IF(쿼리1[[#This Row],[Value.Duration]]/100&lt;=10,10,ROUND(쿼리1[[#This Row],[Value.Duration]]/100*0.7,-1))</f>
        <v>10</v>
      </c>
    </row>
    <row r="1616" spans="1:4" x14ac:dyDescent="0.3">
      <c r="A1616" t="s">
        <v>3460</v>
      </c>
      <c r="B1616">
        <v>1610207110</v>
      </c>
      <c r="C1616">
        <v>533</v>
      </c>
      <c r="D1616">
        <f>IF(쿼리1[[#This Row],[Value.Duration]]/100&lt;=10,10,ROUND(쿼리1[[#This Row],[Value.Duration]]/100*0.7,-1))</f>
        <v>10</v>
      </c>
    </row>
    <row r="1617" spans="1:4" x14ac:dyDescent="0.3">
      <c r="A1617" t="s">
        <v>3461</v>
      </c>
      <c r="B1617">
        <v>1610207111</v>
      </c>
      <c r="C1617">
        <v>533</v>
      </c>
      <c r="D1617">
        <f>IF(쿼리1[[#This Row],[Value.Duration]]/100&lt;=10,10,ROUND(쿼리1[[#This Row],[Value.Duration]]/100*0.7,-1))</f>
        <v>10</v>
      </c>
    </row>
    <row r="1618" spans="1:4" x14ac:dyDescent="0.3">
      <c r="A1618" t="s">
        <v>3462</v>
      </c>
      <c r="B1618">
        <v>1610207112</v>
      </c>
      <c r="C1618">
        <v>466</v>
      </c>
      <c r="D1618">
        <f>IF(쿼리1[[#This Row],[Value.Duration]]/100&lt;=10,10,ROUND(쿼리1[[#This Row],[Value.Duration]]/100*0.7,-1))</f>
        <v>10</v>
      </c>
    </row>
    <row r="1619" spans="1:4" x14ac:dyDescent="0.3">
      <c r="A1619" t="s">
        <v>3463</v>
      </c>
      <c r="B1619">
        <v>1610207113</v>
      </c>
      <c r="C1619">
        <v>600</v>
      </c>
      <c r="D1619">
        <f>IF(쿼리1[[#This Row],[Value.Duration]]/100&lt;=10,10,ROUND(쿼리1[[#This Row],[Value.Duration]]/100*0.7,-1))</f>
        <v>10</v>
      </c>
    </row>
    <row r="1620" spans="1:4" x14ac:dyDescent="0.3">
      <c r="A1620" t="s">
        <v>3464</v>
      </c>
      <c r="B1620">
        <v>1610207114</v>
      </c>
      <c r="C1620">
        <v>466</v>
      </c>
      <c r="D1620">
        <f>IF(쿼리1[[#This Row],[Value.Duration]]/100&lt;=10,10,ROUND(쿼리1[[#This Row],[Value.Duration]]/100*0.7,-1))</f>
        <v>10</v>
      </c>
    </row>
    <row r="1621" spans="1:4" x14ac:dyDescent="0.3">
      <c r="A1621" t="s">
        <v>3465</v>
      </c>
      <c r="B1621">
        <v>1610207115</v>
      </c>
      <c r="C1621">
        <v>533</v>
      </c>
      <c r="D1621">
        <f>IF(쿼리1[[#This Row],[Value.Duration]]/100&lt;=10,10,ROUND(쿼리1[[#This Row],[Value.Duration]]/100*0.7,-1))</f>
        <v>10</v>
      </c>
    </row>
    <row r="1622" spans="1:4" x14ac:dyDescent="0.3">
      <c r="A1622" t="s">
        <v>3466</v>
      </c>
      <c r="B1622">
        <v>1610207116</v>
      </c>
      <c r="C1622">
        <v>933</v>
      </c>
      <c r="D1622">
        <f>IF(쿼리1[[#This Row],[Value.Duration]]/100&lt;=10,10,ROUND(쿼리1[[#This Row],[Value.Duration]]/100*0.7,-1))</f>
        <v>10</v>
      </c>
    </row>
    <row r="1623" spans="1:4" x14ac:dyDescent="0.3">
      <c r="A1623" t="s">
        <v>3467</v>
      </c>
      <c r="B1623">
        <v>1610207117</v>
      </c>
      <c r="C1623">
        <v>466</v>
      </c>
      <c r="D1623">
        <f>IF(쿼리1[[#This Row],[Value.Duration]]/100&lt;=10,10,ROUND(쿼리1[[#This Row],[Value.Duration]]/100*0.7,-1))</f>
        <v>10</v>
      </c>
    </row>
    <row r="1624" spans="1:4" x14ac:dyDescent="0.3">
      <c r="A1624" t="s">
        <v>3468</v>
      </c>
      <c r="B1624">
        <v>1610207118</v>
      </c>
      <c r="C1624">
        <v>666</v>
      </c>
      <c r="D1624">
        <f>IF(쿼리1[[#This Row],[Value.Duration]]/100&lt;=10,10,ROUND(쿼리1[[#This Row],[Value.Duration]]/100*0.7,-1))</f>
        <v>10</v>
      </c>
    </row>
    <row r="1625" spans="1:4" x14ac:dyDescent="0.3">
      <c r="A1625" t="s">
        <v>3469</v>
      </c>
      <c r="B1625">
        <v>1610207201</v>
      </c>
      <c r="C1625">
        <v>666</v>
      </c>
      <c r="D1625">
        <f>IF(쿼리1[[#This Row],[Value.Duration]]/100&lt;=10,10,ROUND(쿼리1[[#This Row],[Value.Duration]]/100*0.7,-1))</f>
        <v>10</v>
      </c>
    </row>
    <row r="1626" spans="1:4" x14ac:dyDescent="0.3">
      <c r="A1626" t="s">
        <v>3470</v>
      </c>
      <c r="B1626">
        <v>1610207202</v>
      </c>
      <c r="C1626">
        <v>933</v>
      </c>
      <c r="D1626">
        <f>IF(쿼리1[[#This Row],[Value.Duration]]/100&lt;=10,10,ROUND(쿼리1[[#This Row],[Value.Duration]]/100*0.7,-1))</f>
        <v>10</v>
      </c>
    </row>
    <row r="1627" spans="1:4" x14ac:dyDescent="0.3">
      <c r="A1627" t="s">
        <v>3471</v>
      </c>
      <c r="B1627">
        <v>1610207203</v>
      </c>
      <c r="C1627">
        <v>1833</v>
      </c>
      <c r="D1627">
        <f>IF(쿼리1[[#This Row],[Value.Duration]]/100&lt;=10,10,ROUND(쿼리1[[#This Row],[Value.Duration]]/100*0.7,-1))</f>
        <v>10</v>
      </c>
    </row>
    <row r="1628" spans="1:4" x14ac:dyDescent="0.3">
      <c r="A1628" t="s">
        <v>3472</v>
      </c>
      <c r="B1628">
        <v>1610207301</v>
      </c>
      <c r="C1628">
        <v>800</v>
      </c>
      <c r="D1628">
        <f>IF(쿼리1[[#This Row],[Value.Duration]]/100&lt;=10,10,ROUND(쿼리1[[#This Row],[Value.Duration]]/100*0.7,-1))</f>
        <v>10</v>
      </c>
    </row>
    <row r="1629" spans="1:4" x14ac:dyDescent="0.3">
      <c r="A1629" t="s">
        <v>3473</v>
      </c>
      <c r="B1629">
        <v>1610207302</v>
      </c>
      <c r="C1629">
        <v>800</v>
      </c>
      <c r="D1629">
        <f>IF(쿼리1[[#This Row],[Value.Duration]]/100&lt;=10,10,ROUND(쿼리1[[#This Row],[Value.Duration]]/100*0.7,-1))</f>
        <v>10</v>
      </c>
    </row>
    <row r="1630" spans="1:4" x14ac:dyDescent="0.3">
      <c r="A1630" t="s">
        <v>3474</v>
      </c>
      <c r="B1630">
        <v>1610208101</v>
      </c>
      <c r="C1630">
        <v>533</v>
      </c>
      <c r="D1630">
        <f>IF(쿼리1[[#This Row],[Value.Duration]]/100&lt;=10,10,ROUND(쿼리1[[#This Row],[Value.Duration]]/100*0.7,-1))</f>
        <v>10</v>
      </c>
    </row>
    <row r="1631" spans="1:4" x14ac:dyDescent="0.3">
      <c r="A1631" t="s">
        <v>3475</v>
      </c>
      <c r="B1631">
        <v>1610208102</v>
      </c>
      <c r="C1631">
        <v>666</v>
      </c>
      <c r="D1631">
        <f>IF(쿼리1[[#This Row],[Value.Duration]]/100&lt;=10,10,ROUND(쿼리1[[#This Row],[Value.Duration]]/100*0.7,-1))</f>
        <v>10</v>
      </c>
    </row>
    <row r="1632" spans="1:4" x14ac:dyDescent="0.3">
      <c r="A1632" t="s">
        <v>3476</v>
      </c>
      <c r="B1632">
        <v>1610208103</v>
      </c>
      <c r="C1632">
        <v>733</v>
      </c>
      <c r="D1632">
        <f>IF(쿼리1[[#This Row],[Value.Duration]]/100&lt;=10,10,ROUND(쿼리1[[#This Row],[Value.Duration]]/100*0.7,-1))</f>
        <v>10</v>
      </c>
    </row>
    <row r="1633" spans="1:4" x14ac:dyDescent="0.3">
      <c r="A1633" t="s">
        <v>3477</v>
      </c>
      <c r="B1633">
        <v>1610208104</v>
      </c>
      <c r="C1633">
        <v>733</v>
      </c>
      <c r="D1633">
        <f>IF(쿼리1[[#This Row],[Value.Duration]]/100&lt;=10,10,ROUND(쿼리1[[#This Row],[Value.Duration]]/100*0.7,-1))</f>
        <v>10</v>
      </c>
    </row>
    <row r="1634" spans="1:4" x14ac:dyDescent="0.3">
      <c r="A1634" t="s">
        <v>3478</v>
      </c>
      <c r="B1634">
        <v>1610208105</v>
      </c>
      <c r="C1634">
        <v>733</v>
      </c>
      <c r="D1634">
        <f>IF(쿼리1[[#This Row],[Value.Duration]]/100&lt;=10,10,ROUND(쿼리1[[#This Row],[Value.Duration]]/100*0.7,-1))</f>
        <v>10</v>
      </c>
    </row>
    <row r="1635" spans="1:4" x14ac:dyDescent="0.3">
      <c r="A1635" t="s">
        <v>3479</v>
      </c>
      <c r="B1635">
        <v>1610208106</v>
      </c>
      <c r="C1635">
        <v>733</v>
      </c>
      <c r="D1635">
        <f>IF(쿼리1[[#This Row],[Value.Duration]]/100&lt;=10,10,ROUND(쿼리1[[#This Row],[Value.Duration]]/100*0.7,-1))</f>
        <v>10</v>
      </c>
    </row>
    <row r="1636" spans="1:4" x14ac:dyDescent="0.3">
      <c r="A1636" t="s">
        <v>3480</v>
      </c>
      <c r="B1636">
        <v>1610208107</v>
      </c>
      <c r="C1636">
        <v>1000</v>
      </c>
      <c r="D1636">
        <f>IF(쿼리1[[#This Row],[Value.Duration]]/100&lt;=10,10,ROUND(쿼리1[[#This Row],[Value.Duration]]/100*0.7,-1))</f>
        <v>10</v>
      </c>
    </row>
    <row r="1637" spans="1:4" x14ac:dyDescent="0.3">
      <c r="A1637" t="s">
        <v>3481</v>
      </c>
      <c r="B1637">
        <v>1610208108</v>
      </c>
      <c r="C1637">
        <v>733</v>
      </c>
      <c r="D1637">
        <f>IF(쿼리1[[#This Row],[Value.Duration]]/100&lt;=10,10,ROUND(쿼리1[[#This Row],[Value.Duration]]/100*0.7,-1))</f>
        <v>10</v>
      </c>
    </row>
    <row r="1638" spans="1:4" x14ac:dyDescent="0.3">
      <c r="A1638" t="s">
        <v>3482</v>
      </c>
      <c r="B1638">
        <v>1610208109</v>
      </c>
      <c r="C1638">
        <v>533</v>
      </c>
      <c r="D1638">
        <f>IF(쿼리1[[#This Row],[Value.Duration]]/100&lt;=10,10,ROUND(쿼리1[[#This Row],[Value.Duration]]/100*0.7,-1))</f>
        <v>10</v>
      </c>
    </row>
    <row r="1639" spans="1:4" x14ac:dyDescent="0.3">
      <c r="A1639" t="s">
        <v>3483</v>
      </c>
      <c r="B1639">
        <v>1610208110</v>
      </c>
      <c r="C1639">
        <v>666</v>
      </c>
      <c r="D1639">
        <f>IF(쿼리1[[#This Row],[Value.Duration]]/100&lt;=10,10,ROUND(쿼리1[[#This Row],[Value.Duration]]/100*0.7,-1))</f>
        <v>10</v>
      </c>
    </row>
    <row r="1640" spans="1:4" x14ac:dyDescent="0.3">
      <c r="A1640" t="s">
        <v>3484</v>
      </c>
      <c r="B1640">
        <v>1610208111</v>
      </c>
      <c r="C1640">
        <v>733</v>
      </c>
      <c r="D1640">
        <f>IF(쿼리1[[#This Row],[Value.Duration]]/100&lt;=10,10,ROUND(쿼리1[[#This Row],[Value.Duration]]/100*0.7,-1))</f>
        <v>10</v>
      </c>
    </row>
    <row r="1641" spans="1:4" x14ac:dyDescent="0.3">
      <c r="A1641" t="s">
        <v>3485</v>
      </c>
      <c r="B1641">
        <v>1610208112</v>
      </c>
      <c r="C1641">
        <v>733</v>
      </c>
      <c r="D1641">
        <f>IF(쿼리1[[#This Row],[Value.Duration]]/100&lt;=10,10,ROUND(쿼리1[[#This Row],[Value.Duration]]/100*0.7,-1))</f>
        <v>10</v>
      </c>
    </row>
    <row r="1642" spans="1:4" x14ac:dyDescent="0.3">
      <c r="A1642" t="s">
        <v>3486</v>
      </c>
      <c r="B1642">
        <v>1610208113</v>
      </c>
      <c r="C1642">
        <v>733</v>
      </c>
      <c r="D1642">
        <f>IF(쿼리1[[#This Row],[Value.Duration]]/100&lt;=10,10,ROUND(쿼리1[[#This Row],[Value.Duration]]/100*0.7,-1))</f>
        <v>10</v>
      </c>
    </row>
    <row r="1643" spans="1:4" x14ac:dyDescent="0.3">
      <c r="A1643" t="s">
        <v>3487</v>
      </c>
      <c r="B1643">
        <v>1610208114</v>
      </c>
      <c r="C1643">
        <v>733</v>
      </c>
      <c r="D1643">
        <f>IF(쿼리1[[#This Row],[Value.Duration]]/100&lt;=10,10,ROUND(쿼리1[[#This Row],[Value.Duration]]/100*0.7,-1))</f>
        <v>10</v>
      </c>
    </row>
    <row r="1644" spans="1:4" x14ac:dyDescent="0.3">
      <c r="A1644" t="s">
        <v>3488</v>
      </c>
      <c r="B1644">
        <v>1610208115</v>
      </c>
      <c r="C1644">
        <v>1000</v>
      </c>
      <c r="D1644">
        <f>IF(쿼리1[[#This Row],[Value.Duration]]/100&lt;=10,10,ROUND(쿼리1[[#This Row],[Value.Duration]]/100*0.7,-1))</f>
        <v>10</v>
      </c>
    </row>
    <row r="1645" spans="1:4" x14ac:dyDescent="0.3">
      <c r="A1645" t="s">
        <v>3489</v>
      </c>
      <c r="B1645">
        <v>1610208116</v>
      </c>
      <c r="C1645">
        <v>733</v>
      </c>
      <c r="D1645">
        <f>IF(쿼리1[[#This Row],[Value.Duration]]/100&lt;=10,10,ROUND(쿼리1[[#This Row],[Value.Duration]]/100*0.7,-1))</f>
        <v>10</v>
      </c>
    </row>
    <row r="1646" spans="1:4" x14ac:dyDescent="0.3">
      <c r="A1646" t="s">
        <v>3490</v>
      </c>
      <c r="B1646">
        <v>1610208117</v>
      </c>
      <c r="C1646">
        <v>733</v>
      </c>
      <c r="D1646">
        <f>IF(쿼리1[[#This Row],[Value.Duration]]/100&lt;=10,10,ROUND(쿼리1[[#This Row],[Value.Duration]]/100*0.7,-1))</f>
        <v>10</v>
      </c>
    </row>
    <row r="1647" spans="1:4" x14ac:dyDescent="0.3">
      <c r="A1647" t="s">
        <v>3491</v>
      </c>
      <c r="B1647">
        <v>1610208118</v>
      </c>
      <c r="C1647">
        <v>733</v>
      </c>
      <c r="D1647">
        <f>IF(쿼리1[[#This Row],[Value.Duration]]/100&lt;=10,10,ROUND(쿼리1[[#This Row],[Value.Duration]]/100*0.7,-1))</f>
        <v>10</v>
      </c>
    </row>
    <row r="1648" spans="1:4" x14ac:dyDescent="0.3">
      <c r="A1648" t="s">
        <v>3492</v>
      </c>
      <c r="B1648">
        <v>1610208201</v>
      </c>
      <c r="C1648">
        <v>1200</v>
      </c>
      <c r="D1648">
        <f>IF(쿼리1[[#This Row],[Value.Duration]]/100&lt;=10,10,ROUND(쿼리1[[#This Row],[Value.Duration]]/100*0.7,-1))</f>
        <v>10</v>
      </c>
    </row>
    <row r="1649" spans="1:4" x14ac:dyDescent="0.3">
      <c r="A1649" t="s">
        <v>3493</v>
      </c>
      <c r="B1649">
        <v>1610208202</v>
      </c>
      <c r="C1649">
        <v>1000</v>
      </c>
      <c r="D1649">
        <f>IF(쿼리1[[#This Row],[Value.Duration]]/100&lt;=10,10,ROUND(쿼리1[[#This Row],[Value.Duration]]/100*0.7,-1))</f>
        <v>10</v>
      </c>
    </row>
    <row r="1650" spans="1:4" x14ac:dyDescent="0.3">
      <c r="A1650" t="s">
        <v>3494</v>
      </c>
      <c r="B1650">
        <v>1610208203</v>
      </c>
      <c r="C1650">
        <v>1600</v>
      </c>
      <c r="D1650">
        <f>IF(쿼리1[[#This Row],[Value.Duration]]/100&lt;=10,10,ROUND(쿼리1[[#This Row],[Value.Duration]]/100*0.7,-1))</f>
        <v>10</v>
      </c>
    </row>
    <row r="1651" spans="1:4" x14ac:dyDescent="0.3">
      <c r="A1651" t="s">
        <v>3495</v>
      </c>
      <c r="B1651">
        <v>1610208301</v>
      </c>
      <c r="C1651">
        <v>1600</v>
      </c>
      <c r="D1651">
        <f>IF(쿼리1[[#This Row],[Value.Duration]]/100&lt;=10,10,ROUND(쿼리1[[#This Row],[Value.Duration]]/100*0.7,-1))</f>
        <v>10</v>
      </c>
    </row>
    <row r="1652" spans="1:4" x14ac:dyDescent="0.3">
      <c r="A1652" t="s">
        <v>3496</v>
      </c>
      <c r="B1652">
        <v>1610208302</v>
      </c>
      <c r="C1652">
        <v>1733</v>
      </c>
      <c r="D1652">
        <f>IF(쿼리1[[#This Row],[Value.Duration]]/100&lt;=10,10,ROUND(쿼리1[[#This Row],[Value.Duration]]/100*0.7,-1))</f>
        <v>10</v>
      </c>
    </row>
    <row r="1653" spans="1:4" x14ac:dyDescent="0.3">
      <c r="A1653" t="s">
        <v>2686</v>
      </c>
      <c r="B1653">
        <v>1410207203</v>
      </c>
      <c r="C1653">
        <v>1833</v>
      </c>
      <c r="D1653">
        <f>IF(쿼리1[[#This Row],[Value.Duration]]/100&lt;=10,10,ROUND(쿼리1[[#This Row],[Value.Duration]]/100*0.7,-1))</f>
        <v>10</v>
      </c>
    </row>
    <row r="1654" spans="1:4" x14ac:dyDescent="0.3">
      <c r="A1654" t="s">
        <v>2687</v>
      </c>
      <c r="B1654">
        <v>1410207301</v>
      </c>
      <c r="C1654">
        <v>800</v>
      </c>
      <c r="D1654">
        <f>IF(쿼리1[[#This Row],[Value.Duration]]/100&lt;=10,10,ROUND(쿼리1[[#This Row],[Value.Duration]]/100*0.7,-1))</f>
        <v>10</v>
      </c>
    </row>
    <row r="1655" spans="1:4" x14ac:dyDescent="0.3">
      <c r="A1655" t="s">
        <v>2688</v>
      </c>
      <c r="B1655">
        <v>1410207302</v>
      </c>
      <c r="C1655">
        <v>800</v>
      </c>
      <c r="D1655">
        <f>IF(쿼리1[[#This Row],[Value.Duration]]/100&lt;=10,10,ROUND(쿼리1[[#This Row],[Value.Duration]]/100*0.7,-1))</f>
        <v>10</v>
      </c>
    </row>
    <row r="1656" spans="1:4" x14ac:dyDescent="0.3">
      <c r="A1656" t="s">
        <v>2689</v>
      </c>
      <c r="B1656">
        <v>1410208101</v>
      </c>
      <c r="C1656">
        <v>533</v>
      </c>
      <c r="D1656">
        <f>IF(쿼리1[[#This Row],[Value.Duration]]/100&lt;=10,10,ROUND(쿼리1[[#This Row],[Value.Duration]]/100*0.7,-1))</f>
        <v>10</v>
      </c>
    </row>
    <row r="1657" spans="1:4" x14ac:dyDescent="0.3">
      <c r="A1657" t="s">
        <v>2690</v>
      </c>
      <c r="B1657">
        <v>1410208102</v>
      </c>
      <c r="C1657">
        <v>666</v>
      </c>
      <c r="D1657">
        <f>IF(쿼리1[[#This Row],[Value.Duration]]/100&lt;=10,10,ROUND(쿼리1[[#This Row],[Value.Duration]]/100*0.7,-1))</f>
        <v>10</v>
      </c>
    </row>
    <row r="1658" spans="1:4" x14ac:dyDescent="0.3">
      <c r="A1658" t="s">
        <v>2691</v>
      </c>
      <c r="B1658">
        <v>1410208103</v>
      </c>
      <c r="C1658">
        <v>733</v>
      </c>
      <c r="D1658">
        <f>IF(쿼리1[[#This Row],[Value.Duration]]/100&lt;=10,10,ROUND(쿼리1[[#This Row],[Value.Duration]]/100*0.7,-1))</f>
        <v>10</v>
      </c>
    </row>
    <row r="1659" spans="1:4" x14ac:dyDescent="0.3">
      <c r="A1659" t="s">
        <v>2692</v>
      </c>
      <c r="B1659">
        <v>1410208104</v>
      </c>
      <c r="C1659">
        <v>733</v>
      </c>
      <c r="D1659">
        <f>IF(쿼리1[[#This Row],[Value.Duration]]/100&lt;=10,10,ROUND(쿼리1[[#This Row],[Value.Duration]]/100*0.7,-1))</f>
        <v>10</v>
      </c>
    </row>
    <row r="1660" spans="1:4" x14ac:dyDescent="0.3">
      <c r="A1660" t="s">
        <v>2693</v>
      </c>
      <c r="B1660">
        <v>1410208105</v>
      </c>
      <c r="C1660">
        <v>733</v>
      </c>
      <c r="D1660">
        <f>IF(쿼리1[[#This Row],[Value.Duration]]/100&lt;=10,10,ROUND(쿼리1[[#This Row],[Value.Duration]]/100*0.7,-1))</f>
        <v>10</v>
      </c>
    </row>
    <row r="1661" spans="1:4" x14ac:dyDescent="0.3">
      <c r="A1661" t="s">
        <v>2694</v>
      </c>
      <c r="B1661">
        <v>1410208106</v>
      </c>
      <c r="C1661">
        <v>733</v>
      </c>
      <c r="D1661">
        <f>IF(쿼리1[[#This Row],[Value.Duration]]/100&lt;=10,10,ROUND(쿼리1[[#This Row],[Value.Duration]]/100*0.7,-1))</f>
        <v>10</v>
      </c>
    </row>
    <row r="1662" spans="1:4" x14ac:dyDescent="0.3">
      <c r="A1662" t="s">
        <v>2695</v>
      </c>
      <c r="B1662">
        <v>1410208107</v>
      </c>
      <c r="C1662">
        <v>1000</v>
      </c>
      <c r="D1662">
        <f>IF(쿼리1[[#This Row],[Value.Duration]]/100&lt;=10,10,ROUND(쿼리1[[#This Row],[Value.Duration]]/100*0.7,-1))</f>
        <v>10</v>
      </c>
    </row>
    <row r="1663" spans="1:4" x14ac:dyDescent="0.3">
      <c r="A1663" t="s">
        <v>2696</v>
      </c>
      <c r="B1663">
        <v>1410208108</v>
      </c>
      <c r="C1663">
        <v>733</v>
      </c>
      <c r="D1663">
        <f>IF(쿼리1[[#This Row],[Value.Duration]]/100&lt;=10,10,ROUND(쿼리1[[#This Row],[Value.Duration]]/100*0.7,-1))</f>
        <v>10</v>
      </c>
    </row>
    <row r="1664" spans="1:4" x14ac:dyDescent="0.3">
      <c r="A1664" t="s">
        <v>2697</v>
      </c>
      <c r="B1664">
        <v>1410208109</v>
      </c>
      <c r="C1664">
        <v>533</v>
      </c>
      <c r="D1664">
        <f>IF(쿼리1[[#This Row],[Value.Duration]]/100&lt;=10,10,ROUND(쿼리1[[#This Row],[Value.Duration]]/100*0.7,-1))</f>
        <v>10</v>
      </c>
    </row>
    <row r="1665" spans="1:4" x14ac:dyDescent="0.3">
      <c r="A1665" t="s">
        <v>2698</v>
      </c>
      <c r="B1665">
        <v>1410208110</v>
      </c>
      <c r="C1665">
        <v>666</v>
      </c>
      <c r="D1665">
        <f>IF(쿼리1[[#This Row],[Value.Duration]]/100&lt;=10,10,ROUND(쿼리1[[#This Row],[Value.Duration]]/100*0.7,-1))</f>
        <v>10</v>
      </c>
    </row>
    <row r="1666" spans="1:4" x14ac:dyDescent="0.3">
      <c r="A1666" t="s">
        <v>2699</v>
      </c>
      <c r="B1666">
        <v>1410208111</v>
      </c>
      <c r="C1666">
        <v>733</v>
      </c>
      <c r="D1666">
        <f>IF(쿼리1[[#This Row],[Value.Duration]]/100&lt;=10,10,ROUND(쿼리1[[#This Row],[Value.Duration]]/100*0.7,-1))</f>
        <v>10</v>
      </c>
    </row>
    <row r="1667" spans="1:4" x14ac:dyDescent="0.3">
      <c r="A1667" t="s">
        <v>2700</v>
      </c>
      <c r="B1667">
        <v>1410208112</v>
      </c>
      <c r="C1667">
        <v>733</v>
      </c>
      <c r="D1667">
        <f>IF(쿼리1[[#This Row],[Value.Duration]]/100&lt;=10,10,ROUND(쿼리1[[#This Row],[Value.Duration]]/100*0.7,-1))</f>
        <v>10</v>
      </c>
    </row>
    <row r="1668" spans="1:4" x14ac:dyDescent="0.3">
      <c r="A1668" t="s">
        <v>2701</v>
      </c>
      <c r="B1668">
        <v>1410208113</v>
      </c>
      <c r="C1668">
        <v>733</v>
      </c>
      <c r="D1668">
        <f>IF(쿼리1[[#This Row],[Value.Duration]]/100&lt;=10,10,ROUND(쿼리1[[#This Row],[Value.Duration]]/100*0.7,-1))</f>
        <v>10</v>
      </c>
    </row>
    <row r="1669" spans="1:4" x14ac:dyDescent="0.3">
      <c r="A1669" t="s">
        <v>2702</v>
      </c>
      <c r="B1669">
        <v>1410208114</v>
      </c>
      <c r="C1669">
        <v>733</v>
      </c>
      <c r="D1669">
        <f>IF(쿼리1[[#This Row],[Value.Duration]]/100&lt;=10,10,ROUND(쿼리1[[#This Row],[Value.Duration]]/100*0.7,-1))</f>
        <v>10</v>
      </c>
    </row>
    <row r="1670" spans="1:4" x14ac:dyDescent="0.3">
      <c r="A1670" t="s">
        <v>2703</v>
      </c>
      <c r="B1670">
        <v>1410208115</v>
      </c>
      <c r="C1670">
        <v>1000</v>
      </c>
      <c r="D1670">
        <f>IF(쿼리1[[#This Row],[Value.Duration]]/100&lt;=10,10,ROUND(쿼리1[[#This Row],[Value.Duration]]/100*0.7,-1))</f>
        <v>10</v>
      </c>
    </row>
    <row r="1671" spans="1:4" x14ac:dyDescent="0.3">
      <c r="A1671" t="s">
        <v>2704</v>
      </c>
      <c r="B1671">
        <v>1410208116</v>
      </c>
      <c r="C1671">
        <v>733</v>
      </c>
      <c r="D1671">
        <f>IF(쿼리1[[#This Row],[Value.Duration]]/100&lt;=10,10,ROUND(쿼리1[[#This Row],[Value.Duration]]/100*0.7,-1))</f>
        <v>10</v>
      </c>
    </row>
    <row r="1672" spans="1:4" x14ac:dyDescent="0.3">
      <c r="A1672" t="s">
        <v>2705</v>
      </c>
      <c r="B1672">
        <v>1410208117</v>
      </c>
      <c r="C1672">
        <v>733</v>
      </c>
      <c r="D1672">
        <f>IF(쿼리1[[#This Row],[Value.Duration]]/100&lt;=10,10,ROUND(쿼리1[[#This Row],[Value.Duration]]/100*0.7,-1))</f>
        <v>10</v>
      </c>
    </row>
    <row r="1673" spans="1:4" x14ac:dyDescent="0.3">
      <c r="A1673" t="s">
        <v>2706</v>
      </c>
      <c r="B1673">
        <v>1410208118</v>
      </c>
      <c r="C1673">
        <v>733</v>
      </c>
      <c r="D1673">
        <f>IF(쿼리1[[#This Row],[Value.Duration]]/100&lt;=10,10,ROUND(쿼리1[[#This Row],[Value.Duration]]/100*0.7,-1))</f>
        <v>10</v>
      </c>
    </row>
    <row r="1674" spans="1:4" x14ac:dyDescent="0.3">
      <c r="A1674" t="s">
        <v>2707</v>
      </c>
      <c r="B1674">
        <v>1410208201</v>
      </c>
      <c r="C1674">
        <v>1200</v>
      </c>
      <c r="D1674">
        <f>IF(쿼리1[[#This Row],[Value.Duration]]/100&lt;=10,10,ROUND(쿼리1[[#This Row],[Value.Duration]]/100*0.7,-1))</f>
        <v>10</v>
      </c>
    </row>
    <row r="1675" spans="1:4" x14ac:dyDescent="0.3">
      <c r="A1675" t="s">
        <v>2708</v>
      </c>
      <c r="B1675">
        <v>1410208202</v>
      </c>
      <c r="C1675">
        <v>1000</v>
      </c>
      <c r="D1675">
        <f>IF(쿼리1[[#This Row],[Value.Duration]]/100&lt;=10,10,ROUND(쿼리1[[#This Row],[Value.Duration]]/100*0.7,-1))</f>
        <v>10</v>
      </c>
    </row>
    <row r="1676" spans="1:4" x14ac:dyDescent="0.3">
      <c r="A1676" t="s">
        <v>2709</v>
      </c>
      <c r="B1676">
        <v>1410208203</v>
      </c>
      <c r="C1676">
        <v>1600</v>
      </c>
      <c r="D1676">
        <f>IF(쿼리1[[#This Row],[Value.Duration]]/100&lt;=10,10,ROUND(쿼리1[[#This Row],[Value.Duration]]/100*0.7,-1))</f>
        <v>10</v>
      </c>
    </row>
    <row r="1677" spans="1:4" x14ac:dyDescent="0.3">
      <c r="A1677" t="s">
        <v>2710</v>
      </c>
      <c r="B1677">
        <v>1410208301</v>
      </c>
      <c r="C1677">
        <v>1600</v>
      </c>
      <c r="D1677">
        <f>IF(쿼리1[[#This Row],[Value.Duration]]/100&lt;=10,10,ROUND(쿼리1[[#This Row],[Value.Duration]]/100*0.7,-1))</f>
        <v>10</v>
      </c>
    </row>
    <row r="1678" spans="1:4" x14ac:dyDescent="0.3">
      <c r="A1678" t="s">
        <v>2711</v>
      </c>
      <c r="B1678">
        <v>1410208302</v>
      </c>
      <c r="C1678">
        <v>1733</v>
      </c>
      <c r="D1678">
        <f>IF(쿼리1[[#This Row],[Value.Duration]]/100&lt;=10,10,ROUND(쿼리1[[#This Row],[Value.Duration]]/100*0.7,-1))</f>
        <v>10</v>
      </c>
    </row>
    <row r="1679" spans="1:4" x14ac:dyDescent="0.3">
      <c r="A1679" t="s">
        <v>3497</v>
      </c>
      <c r="B1679">
        <v>1510201101</v>
      </c>
      <c r="C1679">
        <v>1633</v>
      </c>
      <c r="D1679">
        <f>IF(쿼리1[[#This Row],[Value.Duration]]/100&lt;=10,10,ROUND(쿼리1[[#This Row],[Value.Duration]]/100*0.7,-1))</f>
        <v>10</v>
      </c>
    </row>
    <row r="1680" spans="1:4" x14ac:dyDescent="0.3">
      <c r="A1680" t="s">
        <v>3498</v>
      </c>
      <c r="B1680">
        <v>1510201102</v>
      </c>
      <c r="C1680">
        <v>4000</v>
      </c>
      <c r="D1680">
        <f>IF(쿼리1[[#This Row],[Value.Duration]]/100&lt;=10,10,ROUND(쿼리1[[#This Row],[Value.Duration]]/100*0.7,-1))</f>
        <v>30</v>
      </c>
    </row>
    <row r="1681" spans="1:4" x14ac:dyDescent="0.3">
      <c r="A1681" t="s">
        <v>3499</v>
      </c>
      <c r="B1681">
        <v>1510201103</v>
      </c>
      <c r="C1681">
        <v>800</v>
      </c>
      <c r="D1681">
        <f>IF(쿼리1[[#This Row],[Value.Duration]]/100&lt;=10,10,ROUND(쿼리1[[#This Row],[Value.Duration]]/100*0.7,-1))</f>
        <v>10</v>
      </c>
    </row>
    <row r="1682" spans="1:4" x14ac:dyDescent="0.3">
      <c r="A1682" t="s">
        <v>3500</v>
      </c>
      <c r="B1682">
        <v>1510201104</v>
      </c>
      <c r="C1682">
        <v>1666</v>
      </c>
      <c r="D1682">
        <f>IF(쿼리1[[#This Row],[Value.Duration]]/100&lt;=10,10,ROUND(쿼리1[[#This Row],[Value.Duration]]/100*0.7,-1))</f>
        <v>10</v>
      </c>
    </row>
    <row r="1683" spans="1:4" x14ac:dyDescent="0.3">
      <c r="A1683" t="s">
        <v>3501</v>
      </c>
      <c r="B1683">
        <v>1510201105</v>
      </c>
      <c r="C1683">
        <v>666</v>
      </c>
      <c r="D1683">
        <f>IF(쿼리1[[#This Row],[Value.Duration]]/100&lt;=10,10,ROUND(쿼리1[[#This Row],[Value.Duration]]/100*0.7,-1))</f>
        <v>10</v>
      </c>
    </row>
    <row r="1684" spans="1:4" x14ac:dyDescent="0.3">
      <c r="A1684" t="s">
        <v>3502</v>
      </c>
      <c r="B1684">
        <v>1510201106</v>
      </c>
      <c r="C1684">
        <v>666</v>
      </c>
      <c r="D1684">
        <f>IF(쿼리1[[#This Row],[Value.Duration]]/100&lt;=10,10,ROUND(쿼리1[[#This Row],[Value.Duration]]/100*0.7,-1))</f>
        <v>10</v>
      </c>
    </row>
    <row r="1685" spans="1:4" x14ac:dyDescent="0.3">
      <c r="A1685" t="s">
        <v>3503</v>
      </c>
      <c r="B1685">
        <v>1510201107</v>
      </c>
      <c r="C1685">
        <v>600</v>
      </c>
      <c r="D1685">
        <f>IF(쿼리1[[#This Row],[Value.Duration]]/100&lt;=10,10,ROUND(쿼리1[[#This Row],[Value.Duration]]/100*0.7,-1))</f>
        <v>10</v>
      </c>
    </row>
    <row r="1686" spans="1:4" x14ac:dyDescent="0.3">
      <c r="A1686" t="s">
        <v>3504</v>
      </c>
      <c r="B1686">
        <v>1510201108</v>
      </c>
      <c r="C1686">
        <v>733</v>
      </c>
      <c r="D1686">
        <f>IF(쿼리1[[#This Row],[Value.Duration]]/100&lt;=10,10,ROUND(쿼리1[[#This Row],[Value.Duration]]/100*0.7,-1))</f>
        <v>10</v>
      </c>
    </row>
    <row r="1687" spans="1:4" x14ac:dyDescent="0.3">
      <c r="A1687" t="s">
        <v>3505</v>
      </c>
      <c r="B1687">
        <v>1510201109</v>
      </c>
      <c r="C1687">
        <v>800</v>
      </c>
      <c r="D1687">
        <f>IF(쿼리1[[#This Row],[Value.Duration]]/100&lt;=10,10,ROUND(쿼리1[[#This Row],[Value.Duration]]/100*0.7,-1))</f>
        <v>10</v>
      </c>
    </row>
    <row r="1688" spans="1:4" x14ac:dyDescent="0.3">
      <c r="A1688" t="s">
        <v>3506</v>
      </c>
      <c r="B1688">
        <v>1510201110</v>
      </c>
      <c r="C1688">
        <v>1633</v>
      </c>
      <c r="D1688">
        <f>IF(쿼리1[[#This Row],[Value.Duration]]/100&lt;=10,10,ROUND(쿼리1[[#This Row],[Value.Duration]]/100*0.7,-1))</f>
        <v>10</v>
      </c>
    </row>
    <row r="1689" spans="1:4" x14ac:dyDescent="0.3">
      <c r="A1689" t="s">
        <v>3507</v>
      </c>
      <c r="B1689">
        <v>1510201111</v>
      </c>
      <c r="C1689">
        <v>4000</v>
      </c>
      <c r="D1689">
        <f>IF(쿼리1[[#This Row],[Value.Duration]]/100&lt;=10,10,ROUND(쿼리1[[#This Row],[Value.Duration]]/100*0.7,-1))</f>
        <v>30</v>
      </c>
    </row>
    <row r="1690" spans="1:4" x14ac:dyDescent="0.3">
      <c r="A1690" t="s">
        <v>3508</v>
      </c>
      <c r="B1690">
        <v>1510201112</v>
      </c>
      <c r="C1690">
        <v>800</v>
      </c>
      <c r="D1690">
        <f>IF(쿼리1[[#This Row],[Value.Duration]]/100&lt;=10,10,ROUND(쿼리1[[#This Row],[Value.Duration]]/100*0.7,-1))</f>
        <v>10</v>
      </c>
    </row>
    <row r="1691" spans="1:4" x14ac:dyDescent="0.3">
      <c r="A1691" t="s">
        <v>3509</v>
      </c>
      <c r="B1691">
        <v>1510201113</v>
      </c>
      <c r="C1691">
        <v>1666</v>
      </c>
      <c r="D1691">
        <f>IF(쿼리1[[#This Row],[Value.Duration]]/100&lt;=10,10,ROUND(쿼리1[[#This Row],[Value.Duration]]/100*0.7,-1))</f>
        <v>10</v>
      </c>
    </row>
    <row r="1692" spans="1:4" x14ac:dyDescent="0.3">
      <c r="A1692" t="s">
        <v>3510</v>
      </c>
      <c r="B1692">
        <v>1510201114</v>
      </c>
      <c r="C1692">
        <v>666</v>
      </c>
      <c r="D1692">
        <f>IF(쿼리1[[#This Row],[Value.Duration]]/100&lt;=10,10,ROUND(쿼리1[[#This Row],[Value.Duration]]/100*0.7,-1))</f>
        <v>10</v>
      </c>
    </row>
    <row r="1693" spans="1:4" x14ac:dyDescent="0.3">
      <c r="A1693" t="s">
        <v>3511</v>
      </c>
      <c r="B1693">
        <v>1510201115</v>
      </c>
      <c r="C1693">
        <v>666</v>
      </c>
      <c r="D1693">
        <f>IF(쿼리1[[#This Row],[Value.Duration]]/100&lt;=10,10,ROUND(쿼리1[[#This Row],[Value.Duration]]/100*0.7,-1))</f>
        <v>10</v>
      </c>
    </row>
    <row r="1694" spans="1:4" x14ac:dyDescent="0.3">
      <c r="A1694" t="s">
        <v>3512</v>
      </c>
      <c r="B1694">
        <v>1510201116</v>
      </c>
      <c r="C1694">
        <v>600</v>
      </c>
      <c r="D1694">
        <f>IF(쿼리1[[#This Row],[Value.Duration]]/100&lt;=10,10,ROUND(쿼리1[[#This Row],[Value.Duration]]/100*0.7,-1))</f>
        <v>10</v>
      </c>
    </row>
    <row r="1695" spans="1:4" x14ac:dyDescent="0.3">
      <c r="A1695" t="s">
        <v>3513</v>
      </c>
      <c r="B1695">
        <v>1510201117</v>
      </c>
      <c r="C1695">
        <v>733</v>
      </c>
      <c r="D1695">
        <f>IF(쿼리1[[#This Row],[Value.Duration]]/100&lt;=10,10,ROUND(쿼리1[[#This Row],[Value.Duration]]/100*0.7,-1))</f>
        <v>10</v>
      </c>
    </row>
    <row r="1696" spans="1:4" x14ac:dyDescent="0.3">
      <c r="A1696" t="s">
        <v>3514</v>
      </c>
      <c r="B1696">
        <v>1510201118</v>
      </c>
      <c r="C1696">
        <v>800</v>
      </c>
      <c r="D1696">
        <f>IF(쿼리1[[#This Row],[Value.Duration]]/100&lt;=10,10,ROUND(쿼리1[[#This Row],[Value.Duration]]/100*0.7,-1))</f>
        <v>10</v>
      </c>
    </row>
    <row r="1697" spans="1:4" x14ac:dyDescent="0.3">
      <c r="A1697" t="s">
        <v>3515</v>
      </c>
      <c r="B1697">
        <v>1510201201</v>
      </c>
      <c r="C1697">
        <v>1200</v>
      </c>
      <c r="D1697">
        <f>IF(쿼리1[[#This Row],[Value.Duration]]/100&lt;=10,10,ROUND(쿼리1[[#This Row],[Value.Duration]]/100*0.7,-1))</f>
        <v>10</v>
      </c>
    </row>
    <row r="1698" spans="1:4" x14ac:dyDescent="0.3">
      <c r="A1698" t="s">
        <v>3516</v>
      </c>
      <c r="B1698">
        <v>1510201202</v>
      </c>
      <c r="C1698">
        <v>666</v>
      </c>
      <c r="D1698">
        <f>IF(쿼리1[[#This Row],[Value.Duration]]/100&lt;=10,10,ROUND(쿼리1[[#This Row],[Value.Duration]]/100*0.7,-1))</f>
        <v>10</v>
      </c>
    </row>
    <row r="1699" spans="1:4" x14ac:dyDescent="0.3">
      <c r="A1699" t="s">
        <v>3517</v>
      </c>
      <c r="B1699">
        <v>1510201203</v>
      </c>
      <c r="C1699">
        <v>1333</v>
      </c>
      <c r="D1699">
        <f>IF(쿼리1[[#This Row],[Value.Duration]]/100&lt;=10,10,ROUND(쿼리1[[#This Row],[Value.Duration]]/100*0.7,-1))</f>
        <v>10</v>
      </c>
    </row>
    <row r="1700" spans="1:4" x14ac:dyDescent="0.3">
      <c r="A1700" t="s">
        <v>3518</v>
      </c>
      <c r="B1700">
        <v>1510201301</v>
      </c>
      <c r="C1700">
        <v>1666</v>
      </c>
      <c r="D1700">
        <f>IF(쿼리1[[#This Row],[Value.Duration]]/100&lt;=10,10,ROUND(쿼리1[[#This Row],[Value.Duration]]/100*0.7,-1))</f>
        <v>10</v>
      </c>
    </row>
    <row r="1701" spans="1:4" x14ac:dyDescent="0.3">
      <c r="A1701" t="s">
        <v>3519</v>
      </c>
      <c r="B1701">
        <v>1510201302</v>
      </c>
      <c r="C1701">
        <v>1666</v>
      </c>
      <c r="D1701">
        <f>IF(쿼리1[[#This Row],[Value.Duration]]/100&lt;=10,10,ROUND(쿼리1[[#This Row],[Value.Duration]]/100*0.7,-1))</f>
        <v>10</v>
      </c>
    </row>
    <row r="1702" spans="1:4" x14ac:dyDescent="0.3">
      <c r="A1702" t="s">
        <v>3520</v>
      </c>
      <c r="B1702">
        <v>1510202101</v>
      </c>
      <c r="C1702">
        <v>1566</v>
      </c>
      <c r="D1702">
        <f>IF(쿼리1[[#This Row],[Value.Duration]]/100&lt;=10,10,ROUND(쿼리1[[#This Row],[Value.Duration]]/100*0.7,-1))</f>
        <v>10</v>
      </c>
    </row>
    <row r="1703" spans="1:4" x14ac:dyDescent="0.3">
      <c r="A1703" t="s">
        <v>3521</v>
      </c>
      <c r="B1703">
        <v>1510202102</v>
      </c>
      <c r="C1703">
        <v>800</v>
      </c>
      <c r="D1703">
        <f>IF(쿼리1[[#This Row],[Value.Duration]]/100&lt;=10,10,ROUND(쿼리1[[#This Row],[Value.Duration]]/100*0.7,-1))</f>
        <v>10</v>
      </c>
    </row>
    <row r="1704" spans="1:4" x14ac:dyDescent="0.3">
      <c r="A1704" t="s">
        <v>3522</v>
      </c>
      <c r="B1704">
        <v>1510202103</v>
      </c>
      <c r="C1704">
        <v>1633</v>
      </c>
      <c r="D1704">
        <f>IF(쿼리1[[#This Row],[Value.Duration]]/100&lt;=10,10,ROUND(쿼리1[[#This Row],[Value.Duration]]/100*0.7,-1))</f>
        <v>10</v>
      </c>
    </row>
    <row r="1705" spans="1:4" x14ac:dyDescent="0.3">
      <c r="A1705" t="s">
        <v>3523</v>
      </c>
      <c r="B1705">
        <v>1510202104</v>
      </c>
      <c r="C1705">
        <v>800</v>
      </c>
      <c r="D1705">
        <f>IF(쿼리1[[#This Row],[Value.Duration]]/100&lt;=10,10,ROUND(쿼리1[[#This Row],[Value.Duration]]/100*0.7,-1))</f>
        <v>10</v>
      </c>
    </row>
    <row r="1706" spans="1:4" x14ac:dyDescent="0.3">
      <c r="A1706" t="s">
        <v>3524</v>
      </c>
      <c r="B1706">
        <v>1510202105</v>
      </c>
      <c r="C1706">
        <v>1666</v>
      </c>
      <c r="D1706">
        <f>IF(쿼리1[[#This Row],[Value.Duration]]/100&lt;=10,10,ROUND(쿼리1[[#This Row],[Value.Duration]]/100*0.7,-1))</f>
        <v>10</v>
      </c>
    </row>
    <row r="1707" spans="1:4" x14ac:dyDescent="0.3">
      <c r="A1707" t="s">
        <v>3525</v>
      </c>
      <c r="B1707">
        <v>1510202106</v>
      </c>
      <c r="C1707">
        <v>600</v>
      </c>
      <c r="D1707">
        <f>IF(쿼리1[[#This Row],[Value.Duration]]/100&lt;=10,10,ROUND(쿼리1[[#This Row],[Value.Duration]]/100*0.7,-1))</f>
        <v>10</v>
      </c>
    </row>
    <row r="1708" spans="1:4" x14ac:dyDescent="0.3">
      <c r="A1708" t="s">
        <v>3526</v>
      </c>
      <c r="B1708">
        <v>1510202107</v>
      </c>
      <c r="C1708">
        <v>733</v>
      </c>
      <c r="D1708">
        <f>IF(쿼리1[[#This Row],[Value.Duration]]/100&lt;=10,10,ROUND(쿼리1[[#This Row],[Value.Duration]]/100*0.7,-1))</f>
        <v>10</v>
      </c>
    </row>
    <row r="1709" spans="1:4" x14ac:dyDescent="0.3">
      <c r="A1709" t="s">
        <v>3527</v>
      </c>
      <c r="B1709">
        <v>1510202108</v>
      </c>
      <c r="C1709">
        <v>666</v>
      </c>
      <c r="D1709">
        <f>IF(쿼리1[[#This Row],[Value.Duration]]/100&lt;=10,10,ROUND(쿼리1[[#This Row],[Value.Duration]]/100*0.7,-1))</f>
        <v>10</v>
      </c>
    </row>
    <row r="1710" spans="1:4" x14ac:dyDescent="0.3">
      <c r="A1710" t="s">
        <v>3528</v>
      </c>
      <c r="B1710">
        <v>1510202109</v>
      </c>
      <c r="C1710">
        <v>800</v>
      </c>
      <c r="D1710">
        <f>IF(쿼리1[[#This Row],[Value.Duration]]/100&lt;=10,10,ROUND(쿼리1[[#This Row],[Value.Duration]]/100*0.7,-1))</f>
        <v>10</v>
      </c>
    </row>
    <row r="1711" spans="1:4" x14ac:dyDescent="0.3">
      <c r="A1711" t="s">
        <v>3529</v>
      </c>
      <c r="B1711">
        <v>1510202110</v>
      </c>
      <c r="C1711">
        <v>1566</v>
      </c>
      <c r="D1711">
        <f>IF(쿼리1[[#This Row],[Value.Duration]]/100&lt;=10,10,ROUND(쿼리1[[#This Row],[Value.Duration]]/100*0.7,-1))</f>
        <v>10</v>
      </c>
    </row>
    <row r="1712" spans="1:4" x14ac:dyDescent="0.3">
      <c r="A1712" t="s">
        <v>3530</v>
      </c>
      <c r="B1712">
        <v>1510202111</v>
      </c>
      <c r="C1712">
        <v>800</v>
      </c>
      <c r="D1712">
        <f>IF(쿼리1[[#This Row],[Value.Duration]]/100&lt;=10,10,ROUND(쿼리1[[#This Row],[Value.Duration]]/100*0.7,-1))</f>
        <v>10</v>
      </c>
    </row>
    <row r="1713" spans="1:4" x14ac:dyDescent="0.3">
      <c r="A1713" t="s">
        <v>3531</v>
      </c>
      <c r="B1713">
        <v>1510202112</v>
      </c>
      <c r="C1713">
        <v>1633</v>
      </c>
      <c r="D1713">
        <f>IF(쿼리1[[#This Row],[Value.Duration]]/100&lt;=10,10,ROUND(쿼리1[[#This Row],[Value.Duration]]/100*0.7,-1))</f>
        <v>10</v>
      </c>
    </row>
    <row r="1714" spans="1:4" x14ac:dyDescent="0.3">
      <c r="A1714" t="s">
        <v>3532</v>
      </c>
      <c r="B1714">
        <v>1510202113</v>
      </c>
      <c r="C1714">
        <v>800</v>
      </c>
      <c r="D1714">
        <f>IF(쿼리1[[#This Row],[Value.Duration]]/100&lt;=10,10,ROUND(쿼리1[[#This Row],[Value.Duration]]/100*0.7,-1))</f>
        <v>10</v>
      </c>
    </row>
    <row r="1715" spans="1:4" x14ac:dyDescent="0.3">
      <c r="A1715" t="s">
        <v>3533</v>
      </c>
      <c r="B1715">
        <v>1510202114</v>
      </c>
      <c r="C1715">
        <v>1666</v>
      </c>
      <c r="D1715">
        <f>IF(쿼리1[[#This Row],[Value.Duration]]/100&lt;=10,10,ROUND(쿼리1[[#This Row],[Value.Duration]]/100*0.7,-1))</f>
        <v>10</v>
      </c>
    </row>
    <row r="1716" spans="1:4" x14ac:dyDescent="0.3">
      <c r="A1716" t="s">
        <v>3534</v>
      </c>
      <c r="B1716">
        <v>1510202115</v>
      </c>
      <c r="C1716">
        <v>600</v>
      </c>
      <c r="D1716">
        <f>IF(쿼리1[[#This Row],[Value.Duration]]/100&lt;=10,10,ROUND(쿼리1[[#This Row],[Value.Duration]]/100*0.7,-1))</f>
        <v>10</v>
      </c>
    </row>
    <row r="1717" spans="1:4" x14ac:dyDescent="0.3">
      <c r="A1717" t="s">
        <v>3535</v>
      </c>
      <c r="B1717">
        <v>1510202116</v>
      </c>
      <c r="C1717">
        <v>733</v>
      </c>
      <c r="D1717">
        <f>IF(쿼리1[[#This Row],[Value.Duration]]/100&lt;=10,10,ROUND(쿼리1[[#This Row],[Value.Duration]]/100*0.7,-1))</f>
        <v>10</v>
      </c>
    </row>
    <row r="1718" spans="1:4" x14ac:dyDescent="0.3">
      <c r="A1718" t="s">
        <v>3536</v>
      </c>
      <c r="B1718">
        <v>1510202117</v>
      </c>
      <c r="C1718">
        <v>666</v>
      </c>
      <c r="D1718">
        <f>IF(쿼리1[[#This Row],[Value.Duration]]/100&lt;=10,10,ROUND(쿼리1[[#This Row],[Value.Duration]]/100*0.7,-1))</f>
        <v>10</v>
      </c>
    </row>
    <row r="1719" spans="1:4" x14ac:dyDescent="0.3">
      <c r="A1719" t="s">
        <v>3537</v>
      </c>
      <c r="B1719">
        <v>1510202118</v>
      </c>
      <c r="C1719">
        <v>800</v>
      </c>
      <c r="D1719">
        <f>IF(쿼리1[[#This Row],[Value.Duration]]/100&lt;=10,10,ROUND(쿼리1[[#This Row],[Value.Duration]]/100*0.7,-1))</f>
        <v>10</v>
      </c>
    </row>
    <row r="1720" spans="1:4" x14ac:dyDescent="0.3">
      <c r="A1720" t="s">
        <v>3538</v>
      </c>
      <c r="B1720">
        <v>1510202201</v>
      </c>
      <c r="C1720">
        <v>1200</v>
      </c>
      <c r="D1720">
        <f>IF(쿼리1[[#This Row],[Value.Duration]]/100&lt;=10,10,ROUND(쿼리1[[#This Row],[Value.Duration]]/100*0.7,-1))</f>
        <v>10</v>
      </c>
    </row>
    <row r="1721" spans="1:4" x14ac:dyDescent="0.3">
      <c r="A1721" t="s">
        <v>3539</v>
      </c>
      <c r="B1721">
        <v>1510202202</v>
      </c>
      <c r="C1721">
        <v>1333</v>
      </c>
      <c r="D1721">
        <f>IF(쿼리1[[#This Row],[Value.Duration]]/100&lt;=10,10,ROUND(쿼리1[[#This Row],[Value.Duration]]/100*0.7,-1))</f>
        <v>10</v>
      </c>
    </row>
    <row r="1722" spans="1:4" x14ac:dyDescent="0.3">
      <c r="A1722" t="s">
        <v>3540</v>
      </c>
      <c r="B1722">
        <v>1510202203</v>
      </c>
      <c r="C1722">
        <v>1600</v>
      </c>
      <c r="D1722">
        <f>IF(쿼리1[[#This Row],[Value.Duration]]/100&lt;=10,10,ROUND(쿼리1[[#This Row],[Value.Duration]]/100*0.7,-1))</f>
        <v>10</v>
      </c>
    </row>
    <row r="1723" spans="1:4" x14ac:dyDescent="0.3">
      <c r="A1723" t="s">
        <v>3541</v>
      </c>
      <c r="B1723">
        <v>1510202301</v>
      </c>
      <c r="C1723">
        <v>2000</v>
      </c>
      <c r="D1723">
        <f>IF(쿼리1[[#This Row],[Value.Duration]]/100&lt;=10,10,ROUND(쿼리1[[#This Row],[Value.Duration]]/100*0.7,-1))</f>
        <v>10</v>
      </c>
    </row>
    <row r="1724" spans="1:4" x14ac:dyDescent="0.3">
      <c r="A1724" t="s">
        <v>3542</v>
      </c>
      <c r="B1724">
        <v>1510202302</v>
      </c>
      <c r="C1724">
        <v>2000</v>
      </c>
      <c r="D1724">
        <f>IF(쿼리1[[#This Row],[Value.Duration]]/100&lt;=10,10,ROUND(쿼리1[[#This Row],[Value.Duration]]/100*0.7,-1))</f>
        <v>10</v>
      </c>
    </row>
    <row r="1725" spans="1:4" x14ac:dyDescent="0.3">
      <c r="A1725" t="s">
        <v>3543</v>
      </c>
      <c r="B1725">
        <v>1510203101</v>
      </c>
      <c r="C1725">
        <v>533</v>
      </c>
      <c r="D1725">
        <f>IF(쿼리1[[#This Row],[Value.Duration]]/100&lt;=10,10,ROUND(쿼리1[[#This Row],[Value.Duration]]/100*0.7,-1))</f>
        <v>10</v>
      </c>
    </row>
    <row r="1726" spans="1:4" x14ac:dyDescent="0.3">
      <c r="A1726" t="s">
        <v>3544</v>
      </c>
      <c r="B1726">
        <v>1510203102</v>
      </c>
      <c r="C1726">
        <v>1566</v>
      </c>
      <c r="D1726">
        <f>IF(쿼리1[[#This Row],[Value.Duration]]/100&lt;=10,10,ROUND(쿼리1[[#This Row],[Value.Duration]]/100*0.7,-1))</f>
        <v>10</v>
      </c>
    </row>
    <row r="1727" spans="1:4" x14ac:dyDescent="0.3">
      <c r="A1727" t="s">
        <v>3545</v>
      </c>
      <c r="B1727">
        <v>1510203103</v>
      </c>
      <c r="C1727">
        <v>533</v>
      </c>
      <c r="D1727">
        <f>IF(쿼리1[[#This Row],[Value.Duration]]/100&lt;=10,10,ROUND(쿼리1[[#This Row],[Value.Duration]]/100*0.7,-1))</f>
        <v>10</v>
      </c>
    </row>
    <row r="1728" spans="1:4" x14ac:dyDescent="0.3">
      <c r="A1728" t="s">
        <v>3546</v>
      </c>
      <c r="B1728">
        <v>1510203104</v>
      </c>
      <c r="C1728">
        <v>800</v>
      </c>
      <c r="D1728">
        <f>IF(쿼리1[[#This Row],[Value.Duration]]/100&lt;=10,10,ROUND(쿼리1[[#This Row],[Value.Duration]]/100*0.7,-1))</f>
        <v>10</v>
      </c>
    </row>
    <row r="1729" spans="1:4" x14ac:dyDescent="0.3">
      <c r="A1729" t="s">
        <v>3547</v>
      </c>
      <c r="B1729">
        <v>1510203105</v>
      </c>
      <c r="C1729">
        <v>666</v>
      </c>
      <c r="D1729">
        <f>IF(쿼리1[[#This Row],[Value.Duration]]/100&lt;=10,10,ROUND(쿼리1[[#This Row],[Value.Duration]]/100*0.7,-1))</f>
        <v>10</v>
      </c>
    </row>
    <row r="1730" spans="1:4" x14ac:dyDescent="0.3">
      <c r="A1730" t="s">
        <v>3548</v>
      </c>
      <c r="B1730">
        <v>1510203106</v>
      </c>
      <c r="C1730">
        <v>600</v>
      </c>
      <c r="D1730">
        <f>IF(쿼리1[[#This Row],[Value.Duration]]/100&lt;=10,10,ROUND(쿼리1[[#This Row],[Value.Duration]]/100*0.7,-1))</f>
        <v>10</v>
      </c>
    </row>
    <row r="1731" spans="1:4" x14ac:dyDescent="0.3">
      <c r="A1731" t="s">
        <v>3549</v>
      </c>
      <c r="B1731">
        <v>1510203107</v>
      </c>
      <c r="C1731">
        <v>666</v>
      </c>
      <c r="D1731">
        <f>IF(쿼리1[[#This Row],[Value.Duration]]/100&lt;=10,10,ROUND(쿼리1[[#This Row],[Value.Duration]]/100*0.7,-1))</f>
        <v>10</v>
      </c>
    </row>
    <row r="1732" spans="1:4" x14ac:dyDescent="0.3">
      <c r="A1732" t="s">
        <v>3550</v>
      </c>
      <c r="B1732">
        <v>1510203108</v>
      </c>
      <c r="C1732">
        <v>733</v>
      </c>
      <c r="D1732">
        <f>IF(쿼리1[[#This Row],[Value.Duration]]/100&lt;=10,10,ROUND(쿼리1[[#This Row],[Value.Duration]]/100*0.7,-1))</f>
        <v>10</v>
      </c>
    </row>
    <row r="1733" spans="1:4" x14ac:dyDescent="0.3">
      <c r="A1733" t="s">
        <v>3551</v>
      </c>
      <c r="B1733">
        <v>1510203109</v>
      </c>
      <c r="C1733">
        <v>1133</v>
      </c>
      <c r="D1733">
        <f>IF(쿼리1[[#This Row],[Value.Duration]]/100&lt;=10,10,ROUND(쿼리1[[#This Row],[Value.Duration]]/100*0.7,-1))</f>
        <v>10</v>
      </c>
    </row>
    <row r="1734" spans="1:4" x14ac:dyDescent="0.3">
      <c r="A1734" t="s">
        <v>3552</v>
      </c>
      <c r="B1734">
        <v>1510203110</v>
      </c>
      <c r="C1734">
        <v>433</v>
      </c>
      <c r="D1734">
        <f>IF(쿼리1[[#This Row],[Value.Duration]]/100&lt;=10,10,ROUND(쿼리1[[#This Row],[Value.Duration]]/100*0.7,-1))</f>
        <v>10</v>
      </c>
    </row>
    <row r="1735" spans="1:4" x14ac:dyDescent="0.3">
      <c r="A1735" t="s">
        <v>3553</v>
      </c>
      <c r="B1735">
        <v>1510203111</v>
      </c>
      <c r="C1735">
        <v>533</v>
      </c>
      <c r="D1735">
        <f>IF(쿼리1[[#This Row],[Value.Duration]]/100&lt;=10,10,ROUND(쿼리1[[#This Row],[Value.Duration]]/100*0.7,-1))</f>
        <v>10</v>
      </c>
    </row>
    <row r="1736" spans="1:4" x14ac:dyDescent="0.3">
      <c r="A1736" t="s">
        <v>3554</v>
      </c>
      <c r="B1736">
        <v>1510203112</v>
      </c>
      <c r="C1736">
        <v>1566</v>
      </c>
      <c r="D1736">
        <f>IF(쿼리1[[#This Row],[Value.Duration]]/100&lt;=10,10,ROUND(쿼리1[[#This Row],[Value.Duration]]/100*0.7,-1))</f>
        <v>10</v>
      </c>
    </row>
    <row r="1737" spans="1:4" x14ac:dyDescent="0.3">
      <c r="A1737" t="s">
        <v>3555</v>
      </c>
      <c r="B1737">
        <v>1510203113</v>
      </c>
      <c r="C1737">
        <v>533</v>
      </c>
      <c r="D1737">
        <f>IF(쿼리1[[#This Row],[Value.Duration]]/100&lt;=10,10,ROUND(쿼리1[[#This Row],[Value.Duration]]/100*0.7,-1))</f>
        <v>10</v>
      </c>
    </row>
    <row r="1738" spans="1:4" x14ac:dyDescent="0.3">
      <c r="A1738" t="s">
        <v>3556</v>
      </c>
      <c r="B1738">
        <v>1510203114</v>
      </c>
      <c r="C1738">
        <v>800</v>
      </c>
      <c r="D1738">
        <f>IF(쿼리1[[#This Row],[Value.Duration]]/100&lt;=10,10,ROUND(쿼리1[[#This Row],[Value.Duration]]/100*0.7,-1))</f>
        <v>10</v>
      </c>
    </row>
    <row r="1739" spans="1:4" x14ac:dyDescent="0.3">
      <c r="A1739" t="s">
        <v>3557</v>
      </c>
      <c r="B1739">
        <v>1510203115</v>
      </c>
      <c r="C1739">
        <v>666</v>
      </c>
      <c r="D1739">
        <f>IF(쿼리1[[#This Row],[Value.Duration]]/100&lt;=10,10,ROUND(쿼리1[[#This Row],[Value.Duration]]/100*0.7,-1))</f>
        <v>10</v>
      </c>
    </row>
    <row r="1740" spans="1:4" x14ac:dyDescent="0.3">
      <c r="A1740" t="s">
        <v>3558</v>
      </c>
      <c r="B1740">
        <v>1510203116</v>
      </c>
      <c r="C1740">
        <v>600</v>
      </c>
      <c r="D1740">
        <f>IF(쿼리1[[#This Row],[Value.Duration]]/100&lt;=10,10,ROUND(쿼리1[[#This Row],[Value.Duration]]/100*0.7,-1))</f>
        <v>10</v>
      </c>
    </row>
    <row r="1741" spans="1:4" x14ac:dyDescent="0.3">
      <c r="A1741" t="s">
        <v>3559</v>
      </c>
      <c r="B1741">
        <v>1510203117</v>
      </c>
      <c r="C1741">
        <v>666</v>
      </c>
      <c r="D1741">
        <f>IF(쿼리1[[#This Row],[Value.Duration]]/100&lt;=10,10,ROUND(쿼리1[[#This Row],[Value.Duration]]/100*0.7,-1))</f>
        <v>10</v>
      </c>
    </row>
    <row r="1742" spans="1:4" x14ac:dyDescent="0.3">
      <c r="A1742" t="s">
        <v>3560</v>
      </c>
      <c r="B1742">
        <v>1510203118</v>
      </c>
      <c r="C1742">
        <v>733</v>
      </c>
      <c r="D1742">
        <f>IF(쿼리1[[#This Row],[Value.Duration]]/100&lt;=10,10,ROUND(쿼리1[[#This Row],[Value.Duration]]/100*0.7,-1))</f>
        <v>10</v>
      </c>
    </row>
    <row r="1743" spans="1:4" x14ac:dyDescent="0.3">
      <c r="A1743" t="s">
        <v>3561</v>
      </c>
      <c r="B1743">
        <v>1510203119</v>
      </c>
      <c r="C1743">
        <v>1133</v>
      </c>
      <c r="D1743">
        <f>IF(쿼리1[[#This Row],[Value.Duration]]/100&lt;=10,10,ROUND(쿼리1[[#This Row],[Value.Duration]]/100*0.7,-1))</f>
        <v>10</v>
      </c>
    </row>
    <row r="1744" spans="1:4" x14ac:dyDescent="0.3">
      <c r="A1744" t="s">
        <v>3562</v>
      </c>
      <c r="B1744">
        <v>1510203120</v>
      </c>
      <c r="C1744">
        <v>433</v>
      </c>
      <c r="D1744">
        <f>IF(쿼리1[[#This Row],[Value.Duration]]/100&lt;=10,10,ROUND(쿼리1[[#This Row],[Value.Duration]]/100*0.7,-1))</f>
        <v>10</v>
      </c>
    </row>
    <row r="1745" spans="1:4" x14ac:dyDescent="0.3">
      <c r="A1745" t="s">
        <v>3563</v>
      </c>
      <c r="B1745">
        <v>1510203201</v>
      </c>
      <c r="C1745">
        <v>1600</v>
      </c>
      <c r="D1745">
        <f>IF(쿼리1[[#This Row],[Value.Duration]]/100&lt;=10,10,ROUND(쿼리1[[#This Row],[Value.Duration]]/100*0.7,-1))</f>
        <v>10</v>
      </c>
    </row>
    <row r="1746" spans="1:4" x14ac:dyDescent="0.3">
      <c r="A1746" t="s">
        <v>3564</v>
      </c>
      <c r="B1746">
        <v>1510203202</v>
      </c>
      <c r="C1746">
        <v>1333</v>
      </c>
      <c r="D1746">
        <f>IF(쿼리1[[#This Row],[Value.Duration]]/100&lt;=10,10,ROUND(쿼리1[[#This Row],[Value.Duration]]/100*0.7,-1))</f>
        <v>10</v>
      </c>
    </row>
    <row r="1747" spans="1:4" x14ac:dyDescent="0.3">
      <c r="A1747" t="s">
        <v>3565</v>
      </c>
      <c r="B1747">
        <v>1510203203</v>
      </c>
      <c r="C1747">
        <v>1600</v>
      </c>
      <c r="D1747">
        <f>IF(쿼리1[[#This Row],[Value.Duration]]/100&lt;=10,10,ROUND(쿼리1[[#This Row],[Value.Duration]]/100*0.7,-1))</f>
        <v>10</v>
      </c>
    </row>
    <row r="1748" spans="1:4" x14ac:dyDescent="0.3">
      <c r="A1748" t="s">
        <v>3566</v>
      </c>
      <c r="B1748">
        <v>1510203301</v>
      </c>
      <c r="C1748">
        <v>1600</v>
      </c>
      <c r="D1748">
        <f>IF(쿼리1[[#This Row],[Value.Duration]]/100&lt;=10,10,ROUND(쿼리1[[#This Row],[Value.Duration]]/100*0.7,-1))</f>
        <v>10</v>
      </c>
    </row>
    <row r="1749" spans="1:4" x14ac:dyDescent="0.3">
      <c r="A1749" t="s">
        <v>3567</v>
      </c>
      <c r="B1749">
        <v>1510203302</v>
      </c>
      <c r="C1749">
        <v>1600</v>
      </c>
      <c r="D1749">
        <f>IF(쿼리1[[#This Row],[Value.Duration]]/100&lt;=10,10,ROUND(쿼리1[[#This Row],[Value.Duration]]/100*0.7,-1))</f>
        <v>10</v>
      </c>
    </row>
    <row r="1750" spans="1:4" x14ac:dyDescent="0.3">
      <c r="A1750" t="s">
        <v>3568</v>
      </c>
      <c r="B1750">
        <v>1510204101</v>
      </c>
      <c r="C1750">
        <v>1600</v>
      </c>
      <c r="D1750">
        <f>IF(쿼리1[[#This Row],[Value.Duration]]/100&lt;=10,10,ROUND(쿼리1[[#This Row],[Value.Duration]]/100*0.7,-1))</f>
        <v>10</v>
      </c>
    </row>
    <row r="1751" spans="1:4" x14ac:dyDescent="0.3">
      <c r="A1751" t="s">
        <v>3569</v>
      </c>
      <c r="B1751">
        <v>1510204102</v>
      </c>
      <c r="C1751">
        <v>666</v>
      </c>
      <c r="D1751">
        <f>IF(쿼리1[[#This Row],[Value.Duration]]/100&lt;=10,10,ROUND(쿼리1[[#This Row],[Value.Duration]]/100*0.7,-1))</f>
        <v>10</v>
      </c>
    </row>
    <row r="1752" spans="1:4" x14ac:dyDescent="0.3">
      <c r="A1752" t="s">
        <v>3570</v>
      </c>
      <c r="B1752">
        <v>1510204103</v>
      </c>
      <c r="C1752">
        <v>1600</v>
      </c>
      <c r="D1752">
        <f>IF(쿼리1[[#This Row],[Value.Duration]]/100&lt;=10,10,ROUND(쿼리1[[#This Row],[Value.Duration]]/100*0.7,-1))</f>
        <v>10</v>
      </c>
    </row>
    <row r="1753" spans="1:4" x14ac:dyDescent="0.3">
      <c r="A1753" t="s">
        <v>3571</v>
      </c>
      <c r="B1753">
        <v>1510204104</v>
      </c>
      <c r="C1753">
        <v>666</v>
      </c>
      <c r="D1753">
        <f>IF(쿼리1[[#This Row],[Value.Duration]]/100&lt;=10,10,ROUND(쿼리1[[#This Row],[Value.Duration]]/100*0.7,-1))</f>
        <v>10</v>
      </c>
    </row>
    <row r="1754" spans="1:4" x14ac:dyDescent="0.3">
      <c r="A1754" t="s">
        <v>3572</v>
      </c>
      <c r="B1754">
        <v>1510204105</v>
      </c>
      <c r="C1754">
        <v>666</v>
      </c>
      <c r="D1754">
        <f>IF(쿼리1[[#This Row],[Value.Duration]]/100&lt;=10,10,ROUND(쿼리1[[#This Row],[Value.Duration]]/100*0.7,-1))</f>
        <v>10</v>
      </c>
    </row>
    <row r="1755" spans="1:4" x14ac:dyDescent="0.3">
      <c r="A1755" t="s">
        <v>3573</v>
      </c>
      <c r="B1755">
        <v>1510204106</v>
      </c>
      <c r="C1755">
        <v>466</v>
      </c>
      <c r="D1755">
        <f>IF(쿼리1[[#This Row],[Value.Duration]]/100&lt;=10,10,ROUND(쿼리1[[#This Row],[Value.Duration]]/100*0.7,-1))</f>
        <v>10</v>
      </c>
    </row>
    <row r="1756" spans="1:4" x14ac:dyDescent="0.3">
      <c r="A1756" t="s">
        <v>3574</v>
      </c>
      <c r="B1756">
        <v>1510204107</v>
      </c>
      <c r="C1756">
        <v>1066</v>
      </c>
      <c r="D1756">
        <f>IF(쿼리1[[#This Row],[Value.Duration]]/100&lt;=10,10,ROUND(쿼리1[[#This Row],[Value.Duration]]/100*0.7,-1))</f>
        <v>10</v>
      </c>
    </row>
    <row r="1757" spans="1:4" x14ac:dyDescent="0.3">
      <c r="A1757" t="s">
        <v>3575</v>
      </c>
      <c r="B1757">
        <v>1510204108</v>
      </c>
      <c r="C1757">
        <v>866</v>
      </c>
      <c r="D1757">
        <f>IF(쿼리1[[#This Row],[Value.Duration]]/100&lt;=10,10,ROUND(쿼리1[[#This Row],[Value.Duration]]/100*0.7,-1))</f>
        <v>10</v>
      </c>
    </row>
    <row r="1758" spans="1:4" x14ac:dyDescent="0.3">
      <c r="A1758" t="s">
        <v>3576</v>
      </c>
      <c r="B1758">
        <v>1510204109</v>
      </c>
      <c r="C1758">
        <v>666</v>
      </c>
      <c r="D1758">
        <f>IF(쿼리1[[#This Row],[Value.Duration]]/100&lt;=10,10,ROUND(쿼리1[[#This Row],[Value.Duration]]/100*0.7,-1))</f>
        <v>10</v>
      </c>
    </row>
    <row r="1759" spans="1:4" x14ac:dyDescent="0.3">
      <c r="A1759" t="s">
        <v>3577</v>
      </c>
      <c r="B1759">
        <v>1510204110</v>
      </c>
      <c r="C1759">
        <v>500</v>
      </c>
      <c r="D1759">
        <f>IF(쿼리1[[#This Row],[Value.Duration]]/100&lt;=10,10,ROUND(쿼리1[[#This Row],[Value.Duration]]/100*0.7,-1))</f>
        <v>10</v>
      </c>
    </row>
    <row r="1760" spans="1:4" x14ac:dyDescent="0.3">
      <c r="A1760" t="s">
        <v>3578</v>
      </c>
      <c r="B1760">
        <v>1510204111</v>
      </c>
      <c r="C1760">
        <v>1500</v>
      </c>
      <c r="D1760">
        <f>IF(쿼리1[[#This Row],[Value.Duration]]/100&lt;=10,10,ROUND(쿼리1[[#This Row],[Value.Duration]]/100*0.7,-1))</f>
        <v>10</v>
      </c>
    </row>
    <row r="1761" spans="1:4" x14ac:dyDescent="0.3">
      <c r="A1761" t="s">
        <v>3579</v>
      </c>
      <c r="B1761">
        <v>1510204112</v>
      </c>
      <c r="C1761">
        <v>933</v>
      </c>
      <c r="D1761">
        <f>IF(쿼리1[[#This Row],[Value.Duration]]/100&lt;=10,10,ROUND(쿼리1[[#This Row],[Value.Duration]]/100*0.7,-1))</f>
        <v>10</v>
      </c>
    </row>
    <row r="1762" spans="1:4" x14ac:dyDescent="0.3">
      <c r="A1762" t="s">
        <v>3580</v>
      </c>
      <c r="B1762">
        <v>1510204113</v>
      </c>
      <c r="C1762">
        <v>1600</v>
      </c>
      <c r="D1762">
        <f>IF(쿼리1[[#This Row],[Value.Duration]]/100&lt;=10,10,ROUND(쿼리1[[#This Row],[Value.Duration]]/100*0.7,-1))</f>
        <v>10</v>
      </c>
    </row>
    <row r="1763" spans="1:4" x14ac:dyDescent="0.3">
      <c r="A1763" t="s">
        <v>3581</v>
      </c>
      <c r="B1763">
        <v>1510204114</v>
      </c>
      <c r="C1763">
        <v>666</v>
      </c>
      <c r="D1763">
        <f>IF(쿼리1[[#This Row],[Value.Duration]]/100&lt;=10,10,ROUND(쿼리1[[#This Row],[Value.Duration]]/100*0.7,-1))</f>
        <v>10</v>
      </c>
    </row>
    <row r="1764" spans="1:4" x14ac:dyDescent="0.3">
      <c r="A1764" t="s">
        <v>3582</v>
      </c>
      <c r="B1764">
        <v>1510204115</v>
      </c>
      <c r="C1764">
        <v>666</v>
      </c>
      <c r="D1764">
        <f>IF(쿼리1[[#This Row],[Value.Duration]]/100&lt;=10,10,ROUND(쿼리1[[#This Row],[Value.Duration]]/100*0.7,-1))</f>
        <v>10</v>
      </c>
    </row>
    <row r="1765" spans="1:4" x14ac:dyDescent="0.3">
      <c r="A1765" t="s">
        <v>3583</v>
      </c>
      <c r="B1765">
        <v>1510204116</v>
      </c>
      <c r="C1765">
        <v>466</v>
      </c>
      <c r="D1765">
        <f>IF(쿼리1[[#This Row],[Value.Duration]]/100&lt;=10,10,ROUND(쿼리1[[#This Row],[Value.Duration]]/100*0.7,-1))</f>
        <v>10</v>
      </c>
    </row>
    <row r="1766" spans="1:4" x14ac:dyDescent="0.3">
      <c r="A1766" t="s">
        <v>3584</v>
      </c>
      <c r="B1766">
        <v>1510204117</v>
      </c>
      <c r="C1766">
        <v>1066</v>
      </c>
      <c r="D1766">
        <f>IF(쿼리1[[#This Row],[Value.Duration]]/100&lt;=10,10,ROUND(쿼리1[[#This Row],[Value.Duration]]/100*0.7,-1))</f>
        <v>10</v>
      </c>
    </row>
    <row r="1767" spans="1:4" x14ac:dyDescent="0.3">
      <c r="A1767" t="s">
        <v>3585</v>
      </c>
      <c r="B1767">
        <v>1510204118</v>
      </c>
      <c r="C1767">
        <v>866</v>
      </c>
      <c r="D1767">
        <f>IF(쿼리1[[#This Row],[Value.Duration]]/100&lt;=10,10,ROUND(쿼리1[[#This Row],[Value.Duration]]/100*0.7,-1))</f>
        <v>10</v>
      </c>
    </row>
    <row r="1768" spans="1:4" x14ac:dyDescent="0.3">
      <c r="A1768" t="s">
        <v>3586</v>
      </c>
      <c r="B1768">
        <v>1510204119</v>
      </c>
      <c r="C1768">
        <v>666</v>
      </c>
      <c r="D1768">
        <f>IF(쿼리1[[#This Row],[Value.Duration]]/100&lt;=10,10,ROUND(쿼리1[[#This Row],[Value.Duration]]/100*0.7,-1))</f>
        <v>10</v>
      </c>
    </row>
    <row r="1769" spans="1:4" x14ac:dyDescent="0.3">
      <c r="A1769" t="s">
        <v>3587</v>
      </c>
      <c r="B1769">
        <v>1510204120</v>
      </c>
      <c r="C1769">
        <v>500</v>
      </c>
      <c r="D1769">
        <f>IF(쿼리1[[#This Row],[Value.Duration]]/100&lt;=10,10,ROUND(쿼리1[[#This Row],[Value.Duration]]/100*0.7,-1))</f>
        <v>10</v>
      </c>
    </row>
    <row r="1770" spans="1:4" x14ac:dyDescent="0.3">
      <c r="A1770" t="s">
        <v>3588</v>
      </c>
      <c r="B1770">
        <v>1510204121</v>
      </c>
      <c r="C1770">
        <v>1500</v>
      </c>
      <c r="D1770">
        <f>IF(쿼리1[[#This Row],[Value.Duration]]/100&lt;=10,10,ROUND(쿼리1[[#This Row],[Value.Duration]]/100*0.7,-1))</f>
        <v>10</v>
      </c>
    </row>
    <row r="1771" spans="1:4" x14ac:dyDescent="0.3">
      <c r="A1771" t="s">
        <v>3589</v>
      </c>
      <c r="B1771">
        <v>1510204122</v>
      </c>
      <c r="C1771">
        <v>933</v>
      </c>
      <c r="D1771">
        <f>IF(쿼리1[[#This Row],[Value.Duration]]/100&lt;=10,10,ROUND(쿼리1[[#This Row],[Value.Duration]]/100*0.7,-1))</f>
        <v>10</v>
      </c>
    </row>
    <row r="1772" spans="1:4" x14ac:dyDescent="0.3">
      <c r="A1772" t="s">
        <v>3590</v>
      </c>
      <c r="B1772">
        <v>1510204201</v>
      </c>
      <c r="C1772">
        <v>1333</v>
      </c>
      <c r="D1772">
        <f>IF(쿼리1[[#This Row],[Value.Duration]]/100&lt;=10,10,ROUND(쿼리1[[#This Row],[Value.Duration]]/100*0.7,-1))</f>
        <v>10</v>
      </c>
    </row>
    <row r="1773" spans="1:4" x14ac:dyDescent="0.3">
      <c r="A1773" t="s">
        <v>3591</v>
      </c>
      <c r="B1773">
        <v>1510204202</v>
      </c>
      <c r="C1773">
        <v>933</v>
      </c>
      <c r="D1773">
        <f>IF(쿼리1[[#This Row],[Value.Duration]]/100&lt;=10,10,ROUND(쿼리1[[#This Row],[Value.Duration]]/100*0.7,-1))</f>
        <v>10</v>
      </c>
    </row>
    <row r="1774" spans="1:4" x14ac:dyDescent="0.3">
      <c r="A1774" t="s">
        <v>3592</v>
      </c>
      <c r="B1774">
        <v>1510204203</v>
      </c>
      <c r="C1774">
        <v>800</v>
      </c>
      <c r="D1774">
        <f>IF(쿼리1[[#This Row],[Value.Duration]]/100&lt;=10,10,ROUND(쿼리1[[#This Row],[Value.Duration]]/100*0.7,-1))</f>
        <v>10</v>
      </c>
    </row>
    <row r="1775" spans="1:4" x14ac:dyDescent="0.3">
      <c r="A1775" t="s">
        <v>3593</v>
      </c>
      <c r="B1775">
        <v>1510204301</v>
      </c>
      <c r="C1775">
        <v>600</v>
      </c>
      <c r="D1775">
        <f>IF(쿼리1[[#This Row],[Value.Duration]]/100&lt;=10,10,ROUND(쿼리1[[#This Row],[Value.Duration]]/100*0.7,-1))</f>
        <v>10</v>
      </c>
    </row>
    <row r="1776" spans="1:4" x14ac:dyDescent="0.3">
      <c r="A1776" t="s">
        <v>3594</v>
      </c>
      <c r="B1776">
        <v>1510204302</v>
      </c>
      <c r="C1776">
        <v>600</v>
      </c>
      <c r="D1776">
        <f>IF(쿼리1[[#This Row],[Value.Duration]]/100&lt;=10,10,ROUND(쿼리1[[#This Row],[Value.Duration]]/100*0.7,-1))</f>
        <v>10</v>
      </c>
    </row>
    <row r="1777" spans="1:4" x14ac:dyDescent="0.3">
      <c r="A1777" t="s">
        <v>3595</v>
      </c>
      <c r="B1777">
        <v>1510205101</v>
      </c>
      <c r="C1777">
        <v>800</v>
      </c>
      <c r="D1777">
        <f>IF(쿼리1[[#This Row],[Value.Duration]]/100&lt;=10,10,ROUND(쿼리1[[#This Row],[Value.Duration]]/100*0.7,-1))</f>
        <v>10</v>
      </c>
    </row>
    <row r="1778" spans="1:4" x14ac:dyDescent="0.3">
      <c r="A1778" t="s">
        <v>3596</v>
      </c>
      <c r="B1778">
        <v>1510205102</v>
      </c>
      <c r="C1778">
        <v>800</v>
      </c>
      <c r="D1778">
        <f>IF(쿼리1[[#This Row],[Value.Duration]]/100&lt;=10,10,ROUND(쿼리1[[#This Row],[Value.Duration]]/100*0.7,-1))</f>
        <v>10</v>
      </c>
    </row>
    <row r="1779" spans="1:4" x14ac:dyDescent="0.3">
      <c r="A1779" t="s">
        <v>3597</v>
      </c>
      <c r="B1779">
        <v>1510205103</v>
      </c>
      <c r="C1779">
        <v>800</v>
      </c>
      <c r="D1779">
        <f>IF(쿼리1[[#This Row],[Value.Duration]]/100&lt;=10,10,ROUND(쿼리1[[#This Row],[Value.Duration]]/100*0.7,-1))</f>
        <v>10</v>
      </c>
    </row>
    <row r="1780" spans="1:4" x14ac:dyDescent="0.3">
      <c r="A1780" t="s">
        <v>3598</v>
      </c>
      <c r="B1780">
        <v>1510205104</v>
      </c>
      <c r="C1780">
        <v>533</v>
      </c>
      <c r="D1780">
        <f>IF(쿼리1[[#This Row],[Value.Duration]]/100&lt;=10,10,ROUND(쿼리1[[#This Row],[Value.Duration]]/100*0.7,-1))</f>
        <v>10</v>
      </c>
    </row>
    <row r="1781" spans="1:4" x14ac:dyDescent="0.3">
      <c r="A1781" t="s">
        <v>3599</v>
      </c>
      <c r="B1781">
        <v>1510205105</v>
      </c>
      <c r="C1781">
        <v>666</v>
      </c>
      <c r="D1781">
        <f>IF(쿼리1[[#This Row],[Value.Duration]]/100&lt;=10,10,ROUND(쿼리1[[#This Row],[Value.Duration]]/100*0.7,-1))</f>
        <v>10</v>
      </c>
    </row>
    <row r="1782" spans="1:4" x14ac:dyDescent="0.3">
      <c r="A1782" t="s">
        <v>3600</v>
      </c>
      <c r="B1782">
        <v>1510205106</v>
      </c>
      <c r="C1782">
        <v>666</v>
      </c>
      <c r="D1782">
        <f>IF(쿼리1[[#This Row],[Value.Duration]]/100&lt;=10,10,ROUND(쿼리1[[#This Row],[Value.Duration]]/100*0.7,-1))</f>
        <v>10</v>
      </c>
    </row>
    <row r="1783" spans="1:4" x14ac:dyDescent="0.3">
      <c r="A1783" t="s">
        <v>3601</v>
      </c>
      <c r="B1783">
        <v>1510205107</v>
      </c>
      <c r="C1783">
        <v>600</v>
      </c>
      <c r="D1783">
        <f>IF(쿼리1[[#This Row],[Value.Duration]]/100&lt;=10,10,ROUND(쿼리1[[#This Row],[Value.Duration]]/100*0.7,-1))</f>
        <v>10</v>
      </c>
    </row>
    <row r="1784" spans="1:4" x14ac:dyDescent="0.3">
      <c r="A1784" t="s">
        <v>3602</v>
      </c>
      <c r="B1784">
        <v>1510205108</v>
      </c>
      <c r="C1784">
        <v>766</v>
      </c>
      <c r="D1784">
        <f>IF(쿼리1[[#This Row],[Value.Duration]]/100&lt;=10,10,ROUND(쿼리1[[#This Row],[Value.Duration]]/100*0.7,-1))</f>
        <v>10</v>
      </c>
    </row>
    <row r="1785" spans="1:4" x14ac:dyDescent="0.3">
      <c r="A1785" t="s">
        <v>3603</v>
      </c>
      <c r="B1785">
        <v>1510205109</v>
      </c>
      <c r="C1785">
        <v>1066</v>
      </c>
      <c r="D1785">
        <f>IF(쿼리1[[#This Row],[Value.Duration]]/100&lt;=10,10,ROUND(쿼리1[[#This Row],[Value.Duration]]/100*0.7,-1))</f>
        <v>10</v>
      </c>
    </row>
    <row r="1786" spans="1:4" x14ac:dyDescent="0.3">
      <c r="A1786" t="s">
        <v>3604</v>
      </c>
      <c r="B1786">
        <v>1510205110</v>
      </c>
      <c r="C1786">
        <v>2700</v>
      </c>
      <c r="D1786">
        <f>IF(쿼리1[[#This Row],[Value.Duration]]/100&lt;=10,10,ROUND(쿼리1[[#This Row],[Value.Duration]]/100*0.7,-1))</f>
        <v>20</v>
      </c>
    </row>
    <row r="1787" spans="1:4" x14ac:dyDescent="0.3">
      <c r="A1787" t="s">
        <v>3605</v>
      </c>
      <c r="B1787">
        <v>1510205111</v>
      </c>
      <c r="C1787">
        <v>800</v>
      </c>
      <c r="D1787">
        <f>IF(쿼리1[[#This Row],[Value.Duration]]/100&lt;=10,10,ROUND(쿼리1[[#This Row],[Value.Duration]]/100*0.7,-1))</f>
        <v>10</v>
      </c>
    </row>
    <row r="1788" spans="1:4" x14ac:dyDescent="0.3">
      <c r="A1788" t="s">
        <v>3606</v>
      </c>
      <c r="B1788">
        <v>1510205112</v>
      </c>
      <c r="C1788">
        <v>800</v>
      </c>
      <c r="D1788">
        <f>IF(쿼리1[[#This Row],[Value.Duration]]/100&lt;=10,10,ROUND(쿼리1[[#This Row],[Value.Duration]]/100*0.7,-1))</f>
        <v>10</v>
      </c>
    </row>
    <row r="1789" spans="1:4" x14ac:dyDescent="0.3">
      <c r="A1789" t="s">
        <v>3607</v>
      </c>
      <c r="B1789">
        <v>1510205113</v>
      </c>
      <c r="C1789">
        <v>800</v>
      </c>
      <c r="D1789">
        <f>IF(쿼리1[[#This Row],[Value.Duration]]/100&lt;=10,10,ROUND(쿼리1[[#This Row],[Value.Duration]]/100*0.7,-1))</f>
        <v>10</v>
      </c>
    </row>
    <row r="1790" spans="1:4" x14ac:dyDescent="0.3">
      <c r="A1790" t="s">
        <v>3608</v>
      </c>
      <c r="B1790">
        <v>1510205114</v>
      </c>
      <c r="C1790">
        <v>533</v>
      </c>
      <c r="D1790">
        <f>IF(쿼리1[[#This Row],[Value.Duration]]/100&lt;=10,10,ROUND(쿼리1[[#This Row],[Value.Duration]]/100*0.7,-1))</f>
        <v>10</v>
      </c>
    </row>
    <row r="1791" spans="1:4" x14ac:dyDescent="0.3">
      <c r="A1791" t="s">
        <v>3609</v>
      </c>
      <c r="B1791">
        <v>1510205115</v>
      </c>
      <c r="C1791">
        <v>666</v>
      </c>
      <c r="D1791">
        <f>IF(쿼리1[[#This Row],[Value.Duration]]/100&lt;=10,10,ROUND(쿼리1[[#This Row],[Value.Duration]]/100*0.7,-1))</f>
        <v>10</v>
      </c>
    </row>
    <row r="1792" spans="1:4" x14ac:dyDescent="0.3">
      <c r="A1792" t="s">
        <v>3610</v>
      </c>
      <c r="B1792">
        <v>1510205116</v>
      </c>
      <c r="C1792">
        <v>666</v>
      </c>
      <c r="D1792">
        <f>IF(쿼리1[[#This Row],[Value.Duration]]/100&lt;=10,10,ROUND(쿼리1[[#This Row],[Value.Duration]]/100*0.7,-1))</f>
        <v>10</v>
      </c>
    </row>
    <row r="1793" spans="1:4" x14ac:dyDescent="0.3">
      <c r="A1793" t="s">
        <v>3611</v>
      </c>
      <c r="B1793">
        <v>1510205117</v>
      </c>
      <c r="C1793">
        <v>600</v>
      </c>
      <c r="D1793">
        <f>IF(쿼리1[[#This Row],[Value.Duration]]/100&lt;=10,10,ROUND(쿼리1[[#This Row],[Value.Duration]]/100*0.7,-1))</f>
        <v>10</v>
      </c>
    </row>
    <row r="1794" spans="1:4" x14ac:dyDescent="0.3">
      <c r="A1794" t="s">
        <v>3612</v>
      </c>
      <c r="B1794">
        <v>1510205118</v>
      </c>
      <c r="C1794">
        <v>766</v>
      </c>
      <c r="D1794">
        <f>IF(쿼리1[[#This Row],[Value.Duration]]/100&lt;=10,10,ROUND(쿼리1[[#This Row],[Value.Duration]]/100*0.7,-1))</f>
        <v>10</v>
      </c>
    </row>
    <row r="1795" spans="1:4" x14ac:dyDescent="0.3">
      <c r="A1795" t="s">
        <v>3613</v>
      </c>
      <c r="B1795">
        <v>1510205119</v>
      </c>
      <c r="C1795">
        <v>1066</v>
      </c>
      <c r="D1795">
        <f>IF(쿼리1[[#This Row],[Value.Duration]]/100&lt;=10,10,ROUND(쿼리1[[#This Row],[Value.Duration]]/100*0.7,-1))</f>
        <v>10</v>
      </c>
    </row>
    <row r="1796" spans="1:4" x14ac:dyDescent="0.3">
      <c r="A1796" t="s">
        <v>3614</v>
      </c>
      <c r="B1796">
        <v>1510205120</v>
      </c>
      <c r="C1796">
        <v>2700</v>
      </c>
      <c r="D1796">
        <f>IF(쿼리1[[#This Row],[Value.Duration]]/100&lt;=10,10,ROUND(쿼리1[[#This Row],[Value.Duration]]/100*0.7,-1))</f>
        <v>20</v>
      </c>
    </row>
    <row r="1797" spans="1:4" x14ac:dyDescent="0.3">
      <c r="A1797" t="s">
        <v>3615</v>
      </c>
      <c r="B1797">
        <v>1510205201</v>
      </c>
      <c r="C1797">
        <v>933</v>
      </c>
      <c r="D1797">
        <f>IF(쿼리1[[#This Row],[Value.Duration]]/100&lt;=10,10,ROUND(쿼리1[[#This Row],[Value.Duration]]/100*0.7,-1))</f>
        <v>10</v>
      </c>
    </row>
    <row r="1798" spans="1:4" x14ac:dyDescent="0.3">
      <c r="A1798" t="s">
        <v>3616</v>
      </c>
      <c r="B1798">
        <v>1510205202</v>
      </c>
      <c r="C1798">
        <v>800</v>
      </c>
      <c r="D1798">
        <f>IF(쿼리1[[#This Row],[Value.Duration]]/100&lt;=10,10,ROUND(쿼리1[[#This Row],[Value.Duration]]/100*0.7,-1))</f>
        <v>10</v>
      </c>
    </row>
    <row r="1799" spans="1:4" x14ac:dyDescent="0.3">
      <c r="A1799" t="s">
        <v>3617</v>
      </c>
      <c r="B1799">
        <v>1510205203</v>
      </c>
      <c r="C1799">
        <v>1500</v>
      </c>
      <c r="D1799">
        <f>IF(쿼리1[[#This Row],[Value.Duration]]/100&lt;=10,10,ROUND(쿼리1[[#This Row],[Value.Duration]]/100*0.7,-1))</f>
        <v>10</v>
      </c>
    </row>
    <row r="1800" spans="1:4" x14ac:dyDescent="0.3">
      <c r="A1800" t="s">
        <v>3618</v>
      </c>
      <c r="B1800">
        <v>1510205301</v>
      </c>
      <c r="C1800">
        <v>933</v>
      </c>
      <c r="D1800">
        <f>IF(쿼리1[[#This Row],[Value.Duration]]/100&lt;=10,10,ROUND(쿼리1[[#This Row],[Value.Duration]]/100*0.7,-1))</f>
        <v>10</v>
      </c>
    </row>
    <row r="1801" spans="1:4" x14ac:dyDescent="0.3">
      <c r="A1801" t="s">
        <v>3619</v>
      </c>
      <c r="B1801">
        <v>1510205302</v>
      </c>
      <c r="C1801">
        <v>933</v>
      </c>
      <c r="D1801">
        <f>IF(쿼리1[[#This Row],[Value.Duration]]/100&lt;=10,10,ROUND(쿼리1[[#This Row],[Value.Duration]]/100*0.7,-1))</f>
        <v>10</v>
      </c>
    </row>
    <row r="1802" spans="1:4" x14ac:dyDescent="0.3">
      <c r="A1802" t="s">
        <v>3620</v>
      </c>
      <c r="B1802">
        <v>1510206101</v>
      </c>
      <c r="C1802">
        <v>533</v>
      </c>
      <c r="D1802">
        <f>IF(쿼리1[[#This Row],[Value.Duration]]/100&lt;=10,10,ROUND(쿼리1[[#This Row],[Value.Duration]]/100*0.7,-1))</f>
        <v>10</v>
      </c>
    </row>
    <row r="1803" spans="1:4" x14ac:dyDescent="0.3">
      <c r="A1803" t="s">
        <v>3621</v>
      </c>
      <c r="B1803">
        <v>1510206102</v>
      </c>
      <c r="C1803">
        <v>400</v>
      </c>
      <c r="D1803">
        <f>IF(쿼리1[[#This Row],[Value.Duration]]/100&lt;=10,10,ROUND(쿼리1[[#This Row],[Value.Duration]]/100*0.7,-1))</f>
        <v>10</v>
      </c>
    </row>
    <row r="1804" spans="1:4" x14ac:dyDescent="0.3">
      <c r="A1804" t="s">
        <v>3622</v>
      </c>
      <c r="B1804">
        <v>1510206103</v>
      </c>
      <c r="C1804">
        <v>733</v>
      </c>
      <c r="D1804">
        <f>IF(쿼리1[[#This Row],[Value.Duration]]/100&lt;=10,10,ROUND(쿼리1[[#This Row],[Value.Duration]]/100*0.7,-1))</f>
        <v>10</v>
      </c>
    </row>
    <row r="1805" spans="1:4" x14ac:dyDescent="0.3">
      <c r="A1805" t="s">
        <v>3623</v>
      </c>
      <c r="B1805">
        <v>1510206104</v>
      </c>
      <c r="C1805">
        <v>800</v>
      </c>
      <c r="D1805">
        <f>IF(쿼리1[[#This Row],[Value.Duration]]/100&lt;=10,10,ROUND(쿼리1[[#This Row],[Value.Duration]]/100*0.7,-1))</f>
        <v>10</v>
      </c>
    </row>
    <row r="1806" spans="1:4" x14ac:dyDescent="0.3">
      <c r="A1806" t="s">
        <v>3624</v>
      </c>
      <c r="B1806">
        <v>1510206105</v>
      </c>
      <c r="C1806">
        <v>833</v>
      </c>
      <c r="D1806">
        <f>IF(쿼리1[[#This Row],[Value.Duration]]/100&lt;=10,10,ROUND(쿼리1[[#This Row],[Value.Duration]]/100*0.7,-1))</f>
        <v>10</v>
      </c>
    </row>
    <row r="1807" spans="1:4" x14ac:dyDescent="0.3">
      <c r="A1807" t="s">
        <v>3625</v>
      </c>
      <c r="B1807">
        <v>1510206106</v>
      </c>
      <c r="C1807">
        <v>533</v>
      </c>
      <c r="D1807">
        <f>IF(쿼리1[[#This Row],[Value.Duration]]/100&lt;=10,10,ROUND(쿼리1[[#This Row],[Value.Duration]]/100*0.7,-1))</f>
        <v>10</v>
      </c>
    </row>
    <row r="1808" spans="1:4" x14ac:dyDescent="0.3">
      <c r="A1808" t="s">
        <v>3626</v>
      </c>
      <c r="B1808">
        <v>1510206107</v>
      </c>
      <c r="C1808">
        <v>533</v>
      </c>
      <c r="D1808">
        <f>IF(쿼리1[[#This Row],[Value.Duration]]/100&lt;=10,10,ROUND(쿼리1[[#This Row],[Value.Duration]]/100*0.7,-1))</f>
        <v>10</v>
      </c>
    </row>
    <row r="1809" spans="1:4" x14ac:dyDescent="0.3">
      <c r="A1809" t="s">
        <v>3627</v>
      </c>
      <c r="B1809">
        <v>1510206108</v>
      </c>
      <c r="C1809">
        <v>1133</v>
      </c>
      <c r="D1809">
        <f>IF(쿼리1[[#This Row],[Value.Duration]]/100&lt;=10,10,ROUND(쿼리1[[#This Row],[Value.Duration]]/100*0.7,-1))</f>
        <v>10</v>
      </c>
    </row>
    <row r="1810" spans="1:4" x14ac:dyDescent="0.3">
      <c r="A1810" t="s">
        <v>3628</v>
      </c>
      <c r="B1810">
        <v>1510206109</v>
      </c>
      <c r="C1810">
        <v>1133</v>
      </c>
      <c r="D1810">
        <f>IF(쿼리1[[#This Row],[Value.Duration]]/100&lt;=10,10,ROUND(쿼리1[[#This Row],[Value.Duration]]/100*0.7,-1))</f>
        <v>10</v>
      </c>
    </row>
    <row r="1811" spans="1:4" x14ac:dyDescent="0.3">
      <c r="A1811" t="s">
        <v>3629</v>
      </c>
      <c r="B1811">
        <v>1510206110</v>
      </c>
      <c r="C1811">
        <v>533</v>
      </c>
      <c r="D1811">
        <f>IF(쿼리1[[#This Row],[Value.Duration]]/100&lt;=10,10,ROUND(쿼리1[[#This Row],[Value.Duration]]/100*0.7,-1))</f>
        <v>10</v>
      </c>
    </row>
    <row r="1812" spans="1:4" x14ac:dyDescent="0.3">
      <c r="A1812" t="s">
        <v>3630</v>
      </c>
      <c r="B1812">
        <v>1510206111</v>
      </c>
      <c r="C1812">
        <v>400</v>
      </c>
      <c r="D1812">
        <f>IF(쿼리1[[#This Row],[Value.Duration]]/100&lt;=10,10,ROUND(쿼리1[[#This Row],[Value.Duration]]/100*0.7,-1))</f>
        <v>10</v>
      </c>
    </row>
    <row r="1813" spans="1:4" x14ac:dyDescent="0.3">
      <c r="A1813" t="s">
        <v>3631</v>
      </c>
      <c r="B1813">
        <v>1510206112</v>
      </c>
      <c r="C1813">
        <v>733</v>
      </c>
      <c r="D1813">
        <f>IF(쿼리1[[#This Row],[Value.Duration]]/100&lt;=10,10,ROUND(쿼리1[[#This Row],[Value.Duration]]/100*0.7,-1))</f>
        <v>10</v>
      </c>
    </row>
    <row r="1814" spans="1:4" x14ac:dyDescent="0.3">
      <c r="A1814" t="s">
        <v>3632</v>
      </c>
      <c r="B1814">
        <v>1510206113</v>
      </c>
      <c r="C1814">
        <v>800</v>
      </c>
      <c r="D1814">
        <f>IF(쿼리1[[#This Row],[Value.Duration]]/100&lt;=10,10,ROUND(쿼리1[[#This Row],[Value.Duration]]/100*0.7,-1))</f>
        <v>10</v>
      </c>
    </row>
    <row r="1815" spans="1:4" x14ac:dyDescent="0.3">
      <c r="A1815" t="s">
        <v>3633</v>
      </c>
      <c r="B1815">
        <v>1510206114</v>
      </c>
      <c r="C1815">
        <v>833</v>
      </c>
      <c r="D1815">
        <f>IF(쿼리1[[#This Row],[Value.Duration]]/100&lt;=10,10,ROUND(쿼리1[[#This Row],[Value.Duration]]/100*0.7,-1))</f>
        <v>10</v>
      </c>
    </row>
    <row r="1816" spans="1:4" x14ac:dyDescent="0.3">
      <c r="A1816" t="s">
        <v>3634</v>
      </c>
      <c r="B1816">
        <v>1510206115</v>
      </c>
      <c r="C1816">
        <v>533</v>
      </c>
      <c r="D1816">
        <f>IF(쿼리1[[#This Row],[Value.Duration]]/100&lt;=10,10,ROUND(쿼리1[[#This Row],[Value.Duration]]/100*0.7,-1))</f>
        <v>10</v>
      </c>
    </row>
    <row r="1817" spans="1:4" x14ac:dyDescent="0.3">
      <c r="A1817" t="s">
        <v>3635</v>
      </c>
      <c r="B1817">
        <v>1510206116</v>
      </c>
      <c r="C1817">
        <v>533</v>
      </c>
      <c r="D1817">
        <f>IF(쿼리1[[#This Row],[Value.Duration]]/100&lt;=10,10,ROUND(쿼리1[[#This Row],[Value.Duration]]/100*0.7,-1))</f>
        <v>10</v>
      </c>
    </row>
    <row r="1818" spans="1:4" x14ac:dyDescent="0.3">
      <c r="A1818" t="s">
        <v>3636</v>
      </c>
      <c r="B1818">
        <v>1510206117</v>
      </c>
      <c r="C1818">
        <v>1133</v>
      </c>
      <c r="D1818">
        <f>IF(쿼리1[[#This Row],[Value.Duration]]/100&lt;=10,10,ROUND(쿼리1[[#This Row],[Value.Duration]]/100*0.7,-1))</f>
        <v>10</v>
      </c>
    </row>
    <row r="1819" spans="1:4" x14ac:dyDescent="0.3">
      <c r="A1819" t="s">
        <v>3637</v>
      </c>
      <c r="B1819">
        <v>1510206118</v>
      </c>
      <c r="C1819">
        <v>1133</v>
      </c>
      <c r="D1819">
        <f>IF(쿼리1[[#This Row],[Value.Duration]]/100&lt;=10,10,ROUND(쿼리1[[#This Row],[Value.Duration]]/100*0.7,-1))</f>
        <v>10</v>
      </c>
    </row>
    <row r="1820" spans="1:4" x14ac:dyDescent="0.3">
      <c r="A1820" t="s">
        <v>3638</v>
      </c>
      <c r="B1820">
        <v>1510206201</v>
      </c>
      <c r="C1820">
        <v>1000</v>
      </c>
      <c r="D1820">
        <f>IF(쿼리1[[#This Row],[Value.Duration]]/100&lt;=10,10,ROUND(쿼리1[[#This Row],[Value.Duration]]/100*0.7,-1))</f>
        <v>10</v>
      </c>
    </row>
    <row r="1821" spans="1:4" x14ac:dyDescent="0.3">
      <c r="A1821" t="s">
        <v>3639</v>
      </c>
      <c r="B1821">
        <v>1510206202</v>
      </c>
      <c r="C1821">
        <v>800</v>
      </c>
      <c r="D1821">
        <f>IF(쿼리1[[#This Row],[Value.Duration]]/100&lt;=10,10,ROUND(쿼리1[[#This Row],[Value.Duration]]/100*0.7,-1))</f>
        <v>10</v>
      </c>
    </row>
    <row r="1822" spans="1:4" x14ac:dyDescent="0.3">
      <c r="A1822" t="s">
        <v>3640</v>
      </c>
      <c r="B1822">
        <v>1510206203</v>
      </c>
      <c r="C1822">
        <v>666</v>
      </c>
      <c r="D1822">
        <f>IF(쿼리1[[#This Row],[Value.Duration]]/100&lt;=10,10,ROUND(쿼리1[[#This Row],[Value.Duration]]/100*0.7,-1))</f>
        <v>10</v>
      </c>
    </row>
    <row r="1823" spans="1:4" x14ac:dyDescent="0.3">
      <c r="A1823" t="s">
        <v>3641</v>
      </c>
      <c r="B1823">
        <v>1510206301</v>
      </c>
      <c r="C1823">
        <v>1033</v>
      </c>
      <c r="D1823">
        <f>IF(쿼리1[[#This Row],[Value.Duration]]/100&lt;=10,10,ROUND(쿼리1[[#This Row],[Value.Duration]]/100*0.7,-1))</f>
        <v>10</v>
      </c>
    </row>
    <row r="1824" spans="1:4" x14ac:dyDescent="0.3">
      <c r="A1824" t="s">
        <v>3642</v>
      </c>
      <c r="B1824">
        <v>1510206302</v>
      </c>
      <c r="C1824">
        <v>1033</v>
      </c>
      <c r="D1824">
        <f>IF(쿼리1[[#This Row],[Value.Duration]]/100&lt;=10,10,ROUND(쿼리1[[#This Row],[Value.Duration]]/100*0.7,-1))</f>
        <v>10</v>
      </c>
    </row>
    <row r="1825" spans="1:4" x14ac:dyDescent="0.3">
      <c r="A1825" t="s">
        <v>3643</v>
      </c>
      <c r="B1825">
        <v>1510207101</v>
      </c>
      <c r="C1825">
        <v>533</v>
      </c>
      <c r="D1825">
        <f>IF(쿼리1[[#This Row],[Value.Duration]]/100&lt;=10,10,ROUND(쿼리1[[#This Row],[Value.Duration]]/100*0.7,-1))</f>
        <v>10</v>
      </c>
    </row>
    <row r="1826" spans="1:4" x14ac:dyDescent="0.3">
      <c r="A1826" t="s">
        <v>3644</v>
      </c>
      <c r="B1826">
        <v>1510207102</v>
      </c>
      <c r="C1826">
        <v>533</v>
      </c>
      <c r="D1826">
        <f>IF(쿼리1[[#This Row],[Value.Duration]]/100&lt;=10,10,ROUND(쿼리1[[#This Row],[Value.Duration]]/100*0.7,-1))</f>
        <v>10</v>
      </c>
    </row>
    <row r="1827" spans="1:4" x14ac:dyDescent="0.3">
      <c r="A1827" t="s">
        <v>3645</v>
      </c>
      <c r="B1827">
        <v>1510207103</v>
      </c>
      <c r="C1827">
        <v>466</v>
      </c>
      <c r="D1827">
        <f>IF(쿼리1[[#This Row],[Value.Duration]]/100&lt;=10,10,ROUND(쿼리1[[#This Row],[Value.Duration]]/100*0.7,-1))</f>
        <v>10</v>
      </c>
    </row>
    <row r="1828" spans="1:4" x14ac:dyDescent="0.3">
      <c r="A1828" t="s">
        <v>3646</v>
      </c>
      <c r="B1828">
        <v>1510207104</v>
      </c>
      <c r="C1828">
        <v>600</v>
      </c>
      <c r="D1828">
        <f>IF(쿼리1[[#This Row],[Value.Duration]]/100&lt;=10,10,ROUND(쿼리1[[#This Row],[Value.Duration]]/100*0.7,-1))</f>
        <v>10</v>
      </c>
    </row>
    <row r="1829" spans="1:4" x14ac:dyDescent="0.3">
      <c r="A1829" t="s">
        <v>3647</v>
      </c>
      <c r="B1829">
        <v>1510207105</v>
      </c>
      <c r="C1829">
        <v>466</v>
      </c>
      <c r="D1829">
        <f>IF(쿼리1[[#This Row],[Value.Duration]]/100&lt;=10,10,ROUND(쿼리1[[#This Row],[Value.Duration]]/100*0.7,-1))</f>
        <v>10</v>
      </c>
    </row>
    <row r="1830" spans="1:4" x14ac:dyDescent="0.3">
      <c r="A1830" t="s">
        <v>3648</v>
      </c>
      <c r="B1830">
        <v>1510207106</v>
      </c>
      <c r="C1830">
        <v>533</v>
      </c>
      <c r="D1830">
        <f>IF(쿼리1[[#This Row],[Value.Duration]]/100&lt;=10,10,ROUND(쿼리1[[#This Row],[Value.Duration]]/100*0.7,-1))</f>
        <v>10</v>
      </c>
    </row>
    <row r="1831" spans="1:4" x14ac:dyDescent="0.3">
      <c r="A1831" t="s">
        <v>3649</v>
      </c>
      <c r="B1831">
        <v>1510207107</v>
      </c>
      <c r="C1831">
        <v>933</v>
      </c>
      <c r="D1831">
        <f>IF(쿼리1[[#This Row],[Value.Duration]]/100&lt;=10,10,ROUND(쿼리1[[#This Row],[Value.Duration]]/100*0.7,-1))</f>
        <v>10</v>
      </c>
    </row>
    <row r="1832" spans="1:4" x14ac:dyDescent="0.3">
      <c r="A1832" t="s">
        <v>3650</v>
      </c>
      <c r="B1832">
        <v>1510207108</v>
      </c>
      <c r="C1832">
        <v>466</v>
      </c>
      <c r="D1832">
        <f>IF(쿼리1[[#This Row],[Value.Duration]]/100&lt;=10,10,ROUND(쿼리1[[#This Row],[Value.Duration]]/100*0.7,-1))</f>
        <v>10</v>
      </c>
    </row>
    <row r="1833" spans="1:4" x14ac:dyDescent="0.3">
      <c r="A1833" t="s">
        <v>3651</v>
      </c>
      <c r="B1833">
        <v>1510207109</v>
      </c>
      <c r="C1833">
        <v>666</v>
      </c>
      <c r="D1833">
        <f>IF(쿼리1[[#This Row],[Value.Duration]]/100&lt;=10,10,ROUND(쿼리1[[#This Row],[Value.Duration]]/100*0.7,-1))</f>
        <v>10</v>
      </c>
    </row>
    <row r="1834" spans="1:4" x14ac:dyDescent="0.3">
      <c r="A1834" t="s">
        <v>3652</v>
      </c>
      <c r="B1834">
        <v>1510207110</v>
      </c>
      <c r="C1834">
        <v>533</v>
      </c>
      <c r="D1834">
        <f>IF(쿼리1[[#This Row],[Value.Duration]]/100&lt;=10,10,ROUND(쿼리1[[#This Row],[Value.Duration]]/100*0.7,-1))</f>
        <v>10</v>
      </c>
    </row>
    <row r="1835" spans="1:4" x14ac:dyDescent="0.3">
      <c r="A1835" t="s">
        <v>3653</v>
      </c>
      <c r="B1835">
        <v>1510207111</v>
      </c>
      <c r="C1835">
        <v>533</v>
      </c>
      <c r="D1835">
        <f>IF(쿼리1[[#This Row],[Value.Duration]]/100&lt;=10,10,ROUND(쿼리1[[#This Row],[Value.Duration]]/100*0.7,-1))</f>
        <v>10</v>
      </c>
    </row>
    <row r="1836" spans="1:4" x14ac:dyDescent="0.3">
      <c r="A1836" t="s">
        <v>3654</v>
      </c>
      <c r="B1836">
        <v>1510207112</v>
      </c>
      <c r="C1836">
        <v>466</v>
      </c>
      <c r="D1836">
        <f>IF(쿼리1[[#This Row],[Value.Duration]]/100&lt;=10,10,ROUND(쿼리1[[#This Row],[Value.Duration]]/100*0.7,-1))</f>
        <v>10</v>
      </c>
    </row>
    <row r="1837" spans="1:4" x14ac:dyDescent="0.3">
      <c r="A1837" t="s">
        <v>3655</v>
      </c>
      <c r="B1837">
        <v>1510207113</v>
      </c>
      <c r="C1837">
        <v>600</v>
      </c>
      <c r="D1837">
        <f>IF(쿼리1[[#This Row],[Value.Duration]]/100&lt;=10,10,ROUND(쿼리1[[#This Row],[Value.Duration]]/100*0.7,-1))</f>
        <v>10</v>
      </c>
    </row>
    <row r="1838" spans="1:4" x14ac:dyDescent="0.3">
      <c r="A1838" t="s">
        <v>3656</v>
      </c>
      <c r="B1838">
        <v>1510207114</v>
      </c>
      <c r="C1838">
        <v>466</v>
      </c>
      <c r="D1838">
        <f>IF(쿼리1[[#This Row],[Value.Duration]]/100&lt;=10,10,ROUND(쿼리1[[#This Row],[Value.Duration]]/100*0.7,-1))</f>
        <v>10</v>
      </c>
    </row>
    <row r="1839" spans="1:4" x14ac:dyDescent="0.3">
      <c r="A1839" t="s">
        <v>3657</v>
      </c>
      <c r="B1839">
        <v>1510207115</v>
      </c>
      <c r="C1839">
        <v>533</v>
      </c>
      <c r="D1839">
        <f>IF(쿼리1[[#This Row],[Value.Duration]]/100&lt;=10,10,ROUND(쿼리1[[#This Row],[Value.Duration]]/100*0.7,-1))</f>
        <v>10</v>
      </c>
    </row>
    <row r="1840" spans="1:4" x14ac:dyDescent="0.3">
      <c r="A1840" t="s">
        <v>3658</v>
      </c>
      <c r="B1840">
        <v>1510207116</v>
      </c>
      <c r="C1840">
        <v>933</v>
      </c>
      <c r="D1840">
        <f>IF(쿼리1[[#This Row],[Value.Duration]]/100&lt;=10,10,ROUND(쿼리1[[#This Row],[Value.Duration]]/100*0.7,-1))</f>
        <v>10</v>
      </c>
    </row>
    <row r="1841" spans="1:4" x14ac:dyDescent="0.3">
      <c r="A1841" t="s">
        <v>3659</v>
      </c>
      <c r="B1841">
        <v>1510207117</v>
      </c>
      <c r="C1841">
        <v>466</v>
      </c>
      <c r="D1841">
        <f>IF(쿼리1[[#This Row],[Value.Duration]]/100&lt;=10,10,ROUND(쿼리1[[#This Row],[Value.Duration]]/100*0.7,-1))</f>
        <v>10</v>
      </c>
    </row>
    <row r="1842" spans="1:4" x14ac:dyDescent="0.3">
      <c r="A1842" t="s">
        <v>3660</v>
      </c>
      <c r="B1842">
        <v>1510207118</v>
      </c>
      <c r="C1842">
        <v>666</v>
      </c>
      <c r="D1842">
        <f>IF(쿼리1[[#This Row],[Value.Duration]]/100&lt;=10,10,ROUND(쿼리1[[#This Row],[Value.Duration]]/100*0.7,-1))</f>
        <v>10</v>
      </c>
    </row>
    <row r="1843" spans="1:4" x14ac:dyDescent="0.3">
      <c r="A1843" t="s">
        <v>3661</v>
      </c>
      <c r="B1843">
        <v>1510207201</v>
      </c>
      <c r="C1843">
        <v>666</v>
      </c>
      <c r="D1843">
        <f>IF(쿼리1[[#This Row],[Value.Duration]]/100&lt;=10,10,ROUND(쿼리1[[#This Row],[Value.Duration]]/100*0.7,-1))</f>
        <v>10</v>
      </c>
    </row>
    <row r="1844" spans="1:4" x14ac:dyDescent="0.3">
      <c r="A1844" t="s">
        <v>3662</v>
      </c>
      <c r="B1844">
        <v>1510207202</v>
      </c>
      <c r="C1844">
        <v>933</v>
      </c>
      <c r="D1844">
        <f>IF(쿼리1[[#This Row],[Value.Duration]]/100&lt;=10,10,ROUND(쿼리1[[#This Row],[Value.Duration]]/100*0.7,-1))</f>
        <v>10</v>
      </c>
    </row>
    <row r="1845" spans="1:4" x14ac:dyDescent="0.3">
      <c r="A1845" t="s">
        <v>3663</v>
      </c>
      <c r="B1845">
        <v>1510207203</v>
      </c>
      <c r="C1845">
        <v>1833</v>
      </c>
      <c r="D1845">
        <f>IF(쿼리1[[#This Row],[Value.Duration]]/100&lt;=10,10,ROUND(쿼리1[[#This Row],[Value.Duration]]/100*0.7,-1))</f>
        <v>10</v>
      </c>
    </row>
    <row r="1846" spans="1:4" x14ac:dyDescent="0.3">
      <c r="A1846" t="s">
        <v>3664</v>
      </c>
      <c r="B1846">
        <v>1510207301</v>
      </c>
      <c r="C1846">
        <v>800</v>
      </c>
      <c r="D1846">
        <f>IF(쿼리1[[#This Row],[Value.Duration]]/100&lt;=10,10,ROUND(쿼리1[[#This Row],[Value.Duration]]/100*0.7,-1))</f>
        <v>10</v>
      </c>
    </row>
    <row r="1847" spans="1:4" x14ac:dyDescent="0.3">
      <c r="A1847" t="s">
        <v>3665</v>
      </c>
      <c r="B1847">
        <v>1510207302</v>
      </c>
      <c r="C1847">
        <v>800</v>
      </c>
      <c r="D1847">
        <f>IF(쿼리1[[#This Row],[Value.Duration]]/100&lt;=10,10,ROUND(쿼리1[[#This Row],[Value.Duration]]/100*0.7,-1))</f>
        <v>10</v>
      </c>
    </row>
    <row r="1848" spans="1:4" x14ac:dyDescent="0.3">
      <c r="A1848" t="s">
        <v>3666</v>
      </c>
      <c r="B1848">
        <v>1510208101</v>
      </c>
      <c r="C1848">
        <v>533</v>
      </c>
      <c r="D1848">
        <f>IF(쿼리1[[#This Row],[Value.Duration]]/100&lt;=10,10,ROUND(쿼리1[[#This Row],[Value.Duration]]/100*0.7,-1))</f>
        <v>10</v>
      </c>
    </row>
    <row r="1849" spans="1:4" x14ac:dyDescent="0.3">
      <c r="A1849" t="s">
        <v>3667</v>
      </c>
      <c r="B1849">
        <v>1510208102</v>
      </c>
      <c r="C1849">
        <v>666</v>
      </c>
      <c r="D1849">
        <f>IF(쿼리1[[#This Row],[Value.Duration]]/100&lt;=10,10,ROUND(쿼리1[[#This Row],[Value.Duration]]/100*0.7,-1))</f>
        <v>10</v>
      </c>
    </row>
    <row r="1850" spans="1:4" x14ac:dyDescent="0.3">
      <c r="A1850" t="s">
        <v>3668</v>
      </c>
      <c r="B1850">
        <v>1510208103</v>
      </c>
      <c r="C1850">
        <v>733</v>
      </c>
      <c r="D1850">
        <f>IF(쿼리1[[#This Row],[Value.Duration]]/100&lt;=10,10,ROUND(쿼리1[[#This Row],[Value.Duration]]/100*0.7,-1))</f>
        <v>10</v>
      </c>
    </row>
    <row r="1851" spans="1:4" x14ac:dyDescent="0.3">
      <c r="A1851" t="s">
        <v>3669</v>
      </c>
      <c r="B1851">
        <v>1510208104</v>
      </c>
      <c r="C1851">
        <v>733</v>
      </c>
      <c r="D1851">
        <f>IF(쿼리1[[#This Row],[Value.Duration]]/100&lt;=10,10,ROUND(쿼리1[[#This Row],[Value.Duration]]/100*0.7,-1))</f>
        <v>10</v>
      </c>
    </row>
    <row r="1852" spans="1:4" x14ac:dyDescent="0.3">
      <c r="A1852" t="s">
        <v>3670</v>
      </c>
      <c r="B1852">
        <v>1510208105</v>
      </c>
      <c r="C1852">
        <v>733</v>
      </c>
      <c r="D1852">
        <f>IF(쿼리1[[#This Row],[Value.Duration]]/100&lt;=10,10,ROUND(쿼리1[[#This Row],[Value.Duration]]/100*0.7,-1))</f>
        <v>10</v>
      </c>
    </row>
    <row r="1853" spans="1:4" x14ac:dyDescent="0.3">
      <c r="A1853" t="s">
        <v>3671</v>
      </c>
      <c r="B1853">
        <v>1510208106</v>
      </c>
      <c r="C1853">
        <v>733</v>
      </c>
      <c r="D1853">
        <f>IF(쿼리1[[#This Row],[Value.Duration]]/100&lt;=10,10,ROUND(쿼리1[[#This Row],[Value.Duration]]/100*0.7,-1))</f>
        <v>10</v>
      </c>
    </row>
    <row r="1854" spans="1:4" x14ac:dyDescent="0.3">
      <c r="A1854" t="s">
        <v>3672</v>
      </c>
      <c r="B1854">
        <v>1510208107</v>
      </c>
      <c r="C1854">
        <v>1000</v>
      </c>
      <c r="D1854">
        <f>IF(쿼리1[[#This Row],[Value.Duration]]/100&lt;=10,10,ROUND(쿼리1[[#This Row],[Value.Duration]]/100*0.7,-1))</f>
        <v>10</v>
      </c>
    </row>
    <row r="1855" spans="1:4" x14ac:dyDescent="0.3">
      <c r="A1855" t="s">
        <v>3673</v>
      </c>
      <c r="B1855">
        <v>1510208108</v>
      </c>
      <c r="C1855">
        <v>733</v>
      </c>
      <c r="D1855">
        <f>IF(쿼리1[[#This Row],[Value.Duration]]/100&lt;=10,10,ROUND(쿼리1[[#This Row],[Value.Duration]]/100*0.7,-1))</f>
        <v>10</v>
      </c>
    </row>
    <row r="1856" spans="1:4" x14ac:dyDescent="0.3">
      <c r="A1856" t="s">
        <v>3674</v>
      </c>
      <c r="B1856">
        <v>1510208109</v>
      </c>
      <c r="C1856">
        <v>533</v>
      </c>
      <c r="D1856">
        <f>IF(쿼리1[[#This Row],[Value.Duration]]/100&lt;=10,10,ROUND(쿼리1[[#This Row],[Value.Duration]]/100*0.7,-1))</f>
        <v>10</v>
      </c>
    </row>
    <row r="1857" spans="1:4" x14ac:dyDescent="0.3">
      <c r="A1857" t="s">
        <v>3675</v>
      </c>
      <c r="B1857">
        <v>1510208110</v>
      </c>
      <c r="C1857">
        <v>666</v>
      </c>
      <c r="D1857">
        <f>IF(쿼리1[[#This Row],[Value.Duration]]/100&lt;=10,10,ROUND(쿼리1[[#This Row],[Value.Duration]]/100*0.7,-1))</f>
        <v>10</v>
      </c>
    </row>
    <row r="1858" spans="1:4" x14ac:dyDescent="0.3">
      <c r="A1858" t="s">
        <v>3676</v>
      </c>
      <c r="B1858">
        <v>1510208111</v>
      </c>
      <c r="C1858">
        <v>733</v>
      </c>
      <c r="D1858">
        <f>IF(쿼리1[[#This Row],[Value.Duration]]/100&lt;=10,10,ROUND(쿼리1[[#This Row],[Value.Duration]]/100*0.7,-1))</f>
        <v>10</v>
      </c>
    </row>
    <row r="1859" spans="1:4" x14ac:dyDescent="0.3">
      <c r="A1859" t="s">
        <v>3677</v>
      </c>
      <c r="B1859">
        <v>1510208112</v>
      </c>
      <c r="C1859">
        <v>733</v>
      </c>
      <c r="D1859">
        <f>IF(쿼리1[[#This Row],[Value.Duration]]/100&lt;=10,10,ROUND(쿼리1[[#This Row],[Value.Duration]]/100*0.7,-1))</f>
        <v>10</v>
      </c>
    </row>
    <row r="1860" spans="1:4" x14ac:dyDescent="0.3">
      <c r="A1860" t="s">
        <v>3678</v>
      </c>
      <c r="B1860">
        <v>1510208113</v>
      </c>
      <c r="C1860">
        <v>733</v>
      </c>
      <c r="D1860">
        <f>IF(쿼리1[[#This Row],[Value.Duration]]/100&lt;=10,10,ROUND(쿼리1[[#This Row],[Value.Duration]]/100*0.7,-1))</f>
        <v>10</v>
      </c>
    </row>
    <row r="1861" spans="1:4" x14ac:dyDescent="0.3">
      <c r="A1861" t="s">
        <v>3679</v>
      </c>
      <c r="B1861">
        <v>1510208114</v>
      </c>
      <c r="C1861">
        <v>733</v>
      </c>
      <c r="D1861">
        <f>IF(쿼리1[[#This Row],[Value.Duration]]/100&lt;=10,10,ROUND(쿼리1[[#This Row],[Value.Duration]]/100*0.7,-1))</f>
        <v>10</v>
      </c>
    </row>
    <row r="1862" spans="1:4" x14ac:dyDescent="0.3">
      <c r="A1862" t="s">
        <v>3680</v>
      </c>
      <c r="B1862">
        <v>1510208115</v>
      </c>
      <c r="C1862">
        <v>1000</v>
      </c>
      <c r="D1862">
        <f>IF(쿼리1[[#This Row],[Value.Duration]]/100&lt;=10,10,ROUND(쿼리1[[#This Row],[Value.Duration]]/100*0.7,-1))</f>
        <v>10</v>
      </c>
    </row>
    <row r="1863" spans="1:4" x14ac:dyDescent="0.3">
      <c r="A1863" t="s">
        <v>3681</v>
      </c>
      <c r="B1863">
        <v>1510208116</v>
      </c>
      <c r="C1863">
        <v>733</v>
      </c>
      <c r="D1863">
        <f>IF(쿼리1[[#This Row],[Value.Duration]]/100&lt;=10,10,ROUND(쿼리1[[#This Row],[Value.Duration]]/100*0.7,-1))</f>
        <v>10</v>
      </c>
    </row>
    <row r="1864" spans="1:4" x14ac:dyDescent="0.3">
      <c r="A1864" t="s">
        <v>3682</v>
      </c>
      <c r="B1864">
        <v>1510208117</v>
      </c>
      <c r="C1864">
        <v>733</v>
      </c>
      <c r="D1864">
        <f>IF(쿼리1[[#This Row],[Value.Duration]]/100&lt;=10,10,ROUND(쿼리1[[#This Row],[Value.Duration]]/100*0.7,-1))</f>
        <v>10</v>
      </c>
    </row>
    <row r="1865" spans="1:4" x14ac:dyDescent="0.3">
      <c r="A1865" t="s">
        <v>3683</v>
      </c>
      <c r="B1865">
        <v>1510208118</v>
      </c>
      <c r="C1865">
        <v>733</v>
      </c>
      <c r="D1865">
        <f>IF(쿼리1[[#This Row],[Value.Duration]]/100&lt;=10,10,ROUND(쿼리1[[#This Row],[Value.Duration]]/100*0.7,-1))</f>
        <v>10</v>
      </c>
    </row>
    <row r="1866" spans="1:4" x14ac:dyDescent="0.3">
      <c r="A1866" t="s">
        <v>3684</v>
      </c>
      <c r="B1866">
        <v>1510208201</v>
      </c>
      <c r="C1866">
        <v>1200</v>
      </c>
      <c r="D1866">
        <f>IF(쿼리1[[#This Row],[Value.Duration]]/100&lt;=10,10,ROUND(쿼리1[[#This Row],[Value.Duration]]/100*0.7,-1))</f>
        <v>10</v>
      </c>
    </row>
    <row r="1867" spans="1:4" x14ac:dyDescent="0.3">
      <c r="A1867" t="s">
        <v>3685</v>
      </c>
      <c r="B1867">
        <v>1510208202</v>
      </c>
      <c r="C1867">
        <v>1000</v>
      </c>
      <c r="D1867">
        <f>IF(쿼리1[[#This Row],[Value.Duration]]/100&lt;=10,10,ROUND(쿼리1[[#This Row],[Value.Duration]]/100*0.7,-1))</f>
        <v>10</v>
      </c>
    </row>
    <row r="1868" spans="1:4" x14ac:dyDescent="0.3">
      <c r="A1868" t="s">
        <v>3686</v>
      </c>
      <c r="B1868">
        <v>1510208203</v>
      </c>
      <c r="C1868">
        <v>1600</v>
      </c>
      <c r="D1868">
        <f>IF(쿼리1[[#This Row],[Value.Duration]]/100&lt;=10,10,ROUND(쿼리1[[#This Row],[Value.Duration]]/100*0.7,-1))</f>
        <v>10</v>
      </c>
    </row>
    <row r="1869" spans="1:4" x14ac:dyDescent="0.3">
      <c r="A1869" t="s">
        <v>3687</v>
      </c>
      <c r="B1869">
        <v>1510208301</v>
      </c>
      <c r="C1869">
        <v>1600</v>
      </c>
      <c r="D1869">
        <f>IF(쿼리1[[#This Row],[Value.Duration]]/100&lt;=10,10,ROUND(쿼리1[[#This Row],[Value.Duration]]/100*0.7,-1))</f>
        <v>10</v>
      </c>
    </row>
    <row r="1870" spans="1:4" x14ac:dyDescent="0.3">
      <c r="A1870" t="s">
        <v>3688</v>
      </c>
      <c r="B1870">
        <v>1510208302</v>
      </c>
      <c r="C1870">
        <v>1733</v>
      </c>
      <c r="D1870">
        <f>IF(쿼리1[[#This Row],[Value.Duration]]/100&lt;=10,10,ROUND(쿼리1[[#This Row],[Value.Duration]]/100*0.7,-1))</f>
        <v>10</v>
      </c>
    </row>
    <row r="1871" spans="1:4" x14ac:dyDescent="0.3">
      <c r="A1871" t="s">
        <v>3689</v>
      </c>
      <c r="B1871">
        <v>1610201101</v>
      </c>
      <c r="C1871">
        <v>1633</v>
      </c>
      <c r="D1871">
        <f>IF(쿼리1[[#This Row],[Value.Duration]]/100&lt;=10,10,ROUND(쿼리1[[#This Row],[Value.Duration]]/100*0.7,-1))</f>
        <v>10</v>
      </c>
    </row>
    <row r="1872" spans="1:4" x14ac:dyDescent="0.3">
      <c r="A1872" t="s">
        <v>3690</v>
      </c>
      <c r="B1872">
        <v>1610201102</v>
      </c>
      <c r="C1872">
        <v>4000</v>
      </c>
      <c r="D1872">
        <f>IF(쿼리1[[#This Row],[Value.Duration]]/100&lt;=10,10,ROUND(쿼리1[[#This Row],[Value.Duration]]/100*0.7,-1))</f>
        <v>30</v>
      </c>
    </row>
    <row r="1873" spans="1:4" x14ac:dyDescent="0.3">
      <c r="A1873" t="s">
        <v>3691</v>
      </c>
      <c r="B1873">
        <v>1610201103</v>
      </c>
      <c r="C1873">
        <v>800</v>
      </c>
      <c r="D1873">
        <f>IF(쿼리1[[#This Row],[Value.Duration]]/100&lt;=10,10,ROUND(쿼리1[[#This Row],[Value.Duration]]/100*0.7,-1))</f>
        <v>10</v>
      </c>
    </row>
    <row r="1874" spans="1:4" x14ac:dyDescent="0.3">
      <c r="A1874" t="s">
        <v>3692</v>
      </c>
      <c r="B1874">
        <v>1610201104</v>
      </c>
      <c r="C1874">
        <v>1666</v>
      </c>
      <c r="D1874">
        <f>IF(쿼리1[[#This Row],[Value.Duration]]/100&lt;=10,10,ROUND(쿼리1[[#This Row],[Value.Duration]]/100*0.7,-1))</f>
        <v>10</v>
      </c>
    </row>
    <row r="1875" spans="1:4" x14ac:dyDescent="0.3">
      <c r="A1875" t="s">
        <v>3693</v>
      </c>
      <c r="B1875">
        <v>1610201105</v>
      </c>
      <c r="C1875">
        <v>666</v>
      </c>
      <c r="D1875">
        <f>IF(쿼리1[[#This Row],[Value.Duration]]/100&lt;=10,10,ROUND(쿼리1[[#This Row],[Value.Duration]]/100*0.7,-1))</f>
        <v>10</v>
      </c>
    </row>
    <row r="1876" spans="1:4" x14ac:dyDescent="0.3">
      <c r="A1876" t="s">
        <v>3694</v>
      </c>
      <c r="B1876">
        <v>1610201106</v>
      </c>
      <c r="C1876">
        <v>666</v>
      </c>
      <c r="D1876">
        <f>IF(쿼리1[[#This Row],[Value.Duration]]/100&lt;=10,10,ROUND(쿼리1[[#This Row],[Value.Duration]]/100*0.7,-1))</f>
        <v>10</v>
      </c>
    </row>
    <row r="1877" spans="1:4" x14ac:dyDescent="0.3">
      <c r="A1877" t="s">
        <v>3695</v>
      </c>
      <c r="B1877">
        <v>1610201107</v>
      </c>
      <c r="C1877">
        <v>600</v>
      </c>
      <c r="D1877">
        <f>IF(쿼리1[[#This Row],[Value.Duration]]/100&lt;=10,10,ROUND(쿼리1[[#This Row],[Value.Duration]]/100*0.7,-1))</f>
        <v>10</v>
      </c>
    </row>
    <row r="1878" spans="1:4" x14ac:dyDescent="0.3">
      <c r="A1878" t="s">
        <v>3696</v>
      </c>
      <c r="B1878">
        <v>1610201108</v>
      </c>
      <c r="C1878">
        <v>733</v>
      </c>
      <c r="D1878">
        <f>IF(쿼리1[[#This Row],[Value.Duration]]/100&lt;=10,10,ROUND(쿼리1[[#This Row],[Value.Duration]]/100*0.7,-1))</f>
        <v>10</v>
      </c>
    </row>
    <row r="1879" spans="1:4" x14ac:dyDescent="0.3">
      <c r="A1879" t="s">
        <v>3697</v>
      </c>
      <c r="B1879">
        <v>1610201109</v>
      </c>
      <c r="C1879">
        <v>800</v>
      </c>
      <c r="D1879">
        <f>IF(쿼리1[[#This Row],[Value.Duration]]/100&lt;=10,10,ROUND(쿼리1[[#This Row],[Value.Duration]]/100*0.7,-1))</f>
        <v>10</v>
      </c>
    </row>
    <row r="1880" spans="1:4" x14ac:dyDescent="0.3">
      <c r="A1880" t="s">
        <v>3698</v>
      </c>
      <c r="B1880">
        <v>1610201110</v>
      </c>
      <c r="C1880">
        <v>1633</v>
      </c>
      <c r="D1880">
        <f>IF(쿼리1[[#This Row],[Value.Duration]]/100&lt;=10,10,ROUND(쿼리1[[#This Row],[Value.Duration]]/100*0.7,-1))</f>
        <v>10</v>
      </c>
    </row>
    <row r="1881" spans="1:4" x14ac:dyDescent="0.3">
      <c r="A1881" t="s">
        <v>3699</v>
      </c>
      <c r="B1881">
        <v>1610201111</v>
      </c>
      <c r="C1881">
        <v>4000</v>
      </c>
      <c r="D1881">
        <f>IF(쿼리1[[#This Row],[Value.Duration]]/100&lt;=10,10,ROUND(쿼리1[[#This Row],[Value.Duration]]/100*0.7,-1))</f>
        <v>30</v>
      </c>
    </row>
    <row r="1882" spans="1:4" x14ac:dyDescent="0.3">
      <c r="A1882" t="s">
        <v>3700</v>
      </c>
      <c r="B1882">
        <v>1610201112</v>
      </c>
      <c r="C1882">
        <v>800</v>
      </c>
      <c r="D1882">
        <f>IF(쿼리1[[#This Row],[Value.Duration]]/100&lt;=10,10,ROUND(쿼리1[[#This Row],[Value.Duration]]/100*0.7,-1))</f>
        <v>10</v>
      </c>
    </row>
    <row r="1883" spans="1:4" x14ac:dyDescent="0.3">
      <c r="A1883" t="s">
        <v>3701</v>
      </c>
      <c r="B1883">
        <v>1610201113</v>
      </c>
      <c r="C1883">
        <v>1666</v>
      </c>
      <c r="D1883">
        <f>IF(쿼리1[[#This Row],[Value.Duration]]/100&lt;=10,10,ROUND(쿼리1[[#This Row],[Value.Duration]]/100*0.7,-1))</f>
        <v>10</v>
      </c>
    </row>
    <row r="1884" spans="1:4" x14ac:dyDescent="0.3">
      <c r="A1884" t="s">
        <v>3702</v>
      </c>
      <c r="B1884">
        <v>1610201114</v>
      </c>
      <c r="C1884">
        <v>666</v>
      </c>
      <c r="D1884">
        <f>IF(쿼리1[[#This Row],[Value.Duration]]/100&lt;=10,10,ROUND(쿼리1[[#This Row],[Value.Duration]]/100*0.7,-1))</f>
        <v>10</v>
      </c>
    </row>
    <row r="1885" spans="1:4" x14ac:dyDescent="0.3">
      <c r="A1885" t="s">
        <v>3703</v>
      </c>
      <c r="B1885">
        <v>1610201115</v>
      </c>
      <c r="C1885">
        <v>666</v>
      </c>
      <c r="D1885">
        <f>IF(쿼리1[[#This Row],[Value.Duration]]/100&lt;=10,10,ROUND(쿼리1[[#This Row],[Value.Duration]]/100*0.7,-1))</f>
        <v>10</v>
      </c>
    </row>
    <row r="1886" spans="1:4" x14ac:dyDescent="0.3">
      <c r="A1886" t="s">
        <v>3704</v>
      </c>
      <c r="B1886">
        <v>1610201116</v>
      </c>
      <c r="C1886">
        <v>600</v>
      </c>
      <c r="D1886">
        <f>IF(쿼리1[[#This Row],[Value.Duration]]/100&lt;=10,10,ROUND(쿼리1[[#This Row],[Value.Duration]]/100*0.7,-1))</f>
        <v>10</v>
      </c>
    </row>
    <row r="1887" spans="1:4" x14ac:dyDescent="0.3">
      <c r="A1887" t="s">
        <v>3705</v>
      </c>
      <c r="B1887">
        <v>1610201117</v>
      </c>
      <c r="C1887">
        <v>733</v>
      </c>
      <c r="D1887">
        <f>IF(쿼리1[[#This Row],[Value.Duration]]/100&lt;=10,10,ROUND(쿼리1[[#This Row],[Value.Duration]]/100*0.7,-1))</f>
        <v>10</v>
      </c>
    </row>
    <row r="1888" spans="1:4" x14ac:dyDescent="0.3">
      <c r="A1888" t="s">
        <v>3706</v>
      </c>
      <c r="B1888">
        <v>1610201118</v>
      </c>
      <c r="C1888">
        <v>800</v>
      </c>
      <c r="D1888">
        <f>IF(쿼리1[[#This Row],[Value.Duration]]/100&lt;=10,10,ROUND(쿼리1[[#This Row],[Value.Duration]]/100*0.7,-1))</f>
        <v>10</v>
      </c>
    </row>
    <row r="1889" spans="1:4" x14ac:dyDescent="0.3">
      <c r="A1889" t="s">
        <v>3707</v>
      </c>
      <c r="B1889">
        <v>1610201201</v>
      </c>
      <c r="C1889">
        <v>1200</v>
      </c>
      <c r="D1889">
        <f>IF(쿼리1[[#This Row],[Value.Duration]]/100&lt;=10,10,ROUND(쿼리1[[#This Row],[Value.Duration]]/100*0.7,-1))</f>
        <v>10</v>
      </c>
    </row>
    <row r="1890" spans="1:4" x14ac:dyDescent="0.3">
      <c r="A1890" t="s">
        <v>3708</v>
      </c>
      <c r="B1890">
        <v>1610201202</v>
      </c>
      <c r="C1890">
        <v>666</v>
      </c>
      <c r="D1890">
        <f>IF(쿼리1[[#This Row],[Value.Duration]]/100&lt;=10,10,ROUND(쿼리1[[#This Row],[Value.Duration]]/100*0.7,-1))</f>
        <v>10</v>
      </c>
    </row>
    <row r="1891" spans="1:4" x14ac:dyDescent="0.3">
      <c r="A1891" t="s">
        <v>3709</v>
      </c>
      <c r="B1891">
        <v>1610201203</v>
      </c>
      <c r="C1891">
        <v>1333</v>
      </c>
      <c r="D1891">
        <f>IF(쿼리1[[#This Row],[Value.Duration]]/100&lt;=10,10,ROUND(쿼리1[[#This Row],[Value.Duration]]/100*0.7,-1))</f>
        <v>10</v>
      </c>
    </row>
    <row r="1892" spans="1:4" x14ac:dyDescent="0.3">
      <c r="A1892" t="s">
        <v>3710</v>
      </c>
      <c r="B1892">
        <v>1610201301</v>
      </c>
      <c r="C1892">
        <v>1666</v>
      </c>
      <c r="D1892">
        <f>IF(쿼리1[[#This Row],[Value.Duration]]/100&lt;=10,10,ROUND(쿼리1[[#This Row],[Value.Duration]]/100*0.7,-1))</f>
        <v>10</v>
      </c>
    </row>
    <row r="1893" spans="1:4" x14ac:dyDescent="0.3">
      <c r="A1893" t="s">
        <v>3711</v>
      </c>
      <c r="B1893">
        <v>1610201302</v>
      </c>
      <c r="C1893">
        <v>1666</v>
      </c>
      <c r="D1893">
        <f>IF(쿼리1[[#This Row],[Value.Duration]]/100&lt;=10,10,ROUND(쿼리1[[#This Row],[Value.Duration]]/100*0.7,-1))</f>
        <v>10</v>
      </c>
    </row>
    <row r="1894" spans="1:4" x14ac:dyDescent="0.3">
      <c r="A1894" t="s">
        <v>3712</v>
      </c>
      <c r="B1894">
        <v>1610202101</v>
      </c>
      <c r="C1894">
        <v>1566</v>
      </c>
      <c r="D1894">
        <f>IF(쿼리1[[#This Row],[Value.Duration]]/100&lt;=10,10,ROUND(쿼리1[[#This Row],[Value.Duration]]/100*0.7,-1))</f>
        <v>10</v>
      </c>
    </row>
    <row r="1895" spans="1:4" x14ac:dyDescent="0.3">
      <c r="A1895" t="s">
        <v>3713</v>
      </c>
      <c r="B1895">
        <v>1610202102</v>
      </c>
      <c r="C1895">
        <v>800</v>
      </c>
      <c r="D1895">
        <f>IF(쿼리1[[#This Row],[Value.Duration]]/100&lt;=10,10,ROUND(쿼리1[[#This Row],[Value.Duration]]/100*0.7,-1))</f>
        <v>10</v>
      </c>
    </row>
    <row r="1896" spans="1:4" x14ac:dyDescent="0.3">
      <c r="A1896" t="s">
        <v>3714</v>
      </c>
      <c r="B1896">
        <v>1610202103</v>
      </c>
      <c r="C1896">
        <v>1633</v>
      </c>
      <c r="D1896">
        <f>IF(쿼리1[[#This Row],[Value.Duration]]/100&lt;=10,10,ROUND(쿼리1[[#This Row],[Value.Duration]]/100*0.7,-1))</f>
        <v>10</v>
      </c>
    </row>
    <row r="1897" spans="1:4" x14ac:dyDescent="0.3">
      <c r="A1897" t="s">
        <v>3715</v>
      </c>
      <c r="B1897">
        <v>1610202104</v>
      </c>
      <c r="C1897">
        <v>800</v>
      </c>
      <c r="D1897">
        <f>IF(쿼리1[[#This Row],[Value.Duration]]/100&lt;=10,10,ROUND(쿼리1[[#This Row],[Value.Duration]]/100*0.7,-1))</f>
        <v>10</v>
      </c>
    </row>
    <row r="1898" spans="1:4" x14ac:dyDescent="0.3">
      <c r="A1898" t="s">
        <v>3716</v>
      </c>
      <c r="B1898">
        <v>1610202105</v>
      </c>
      <c r="C1898">
        <v>1666</v>
      </c>
      <c r="D1898">
        <f>IF(쿼리1[[#This Row],[Value.Duration]]/100&lt;=10,10,ROUND(쿼리1[[#This Row],[Value.Duration]]/100*0.7,-1))</f>
        <v>10</v>
      </c>
    </row>
    <row r="1899" spans="1:4" x14ac:dyDescent="0.3">
      <c r="A1899" t="s">
        <v>3717</v>
      </c>
      <c r="B1899">
        <v>1610202106</v>
      </c>
      <c r="C1899">
        <v>600</v>
      </c>
      <c r="D1899">
        <f>IF(쿼리1[[#This Row],[Value.Duration]]/100&lt;=10,10,ROUND(쿼리1[[#This Row],[Value.Duration]]/100*0.7,-1))</f>
        <v>10</v>
      </c>
    </row>
    <row r="1900" spans="1:4" x14ac:dyDescent="0.3">
      <c r="A1900" t="s">
        <v>3718</v>
      </c>
      <c r="B1900">
        <v>1610202107</v>
      </c>
      <c r="C1900">
        <v>733</v>
      </c>
      <c r="D1900">
        <f>IF(쿼리1[[#This Row],[Value.Duration]]/100&lt;=10,10,ROUND(쿼리1[[#This Row],[Value.Duration]]/100*0.7,-1))</f>
        <v>10</v>
      </c>
    </row>
  </sheetData>
  <phoneticPr fontId="1" type="noConversion"/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Monster</vt:lpstr>
      <vt:lpstr>Monster.Etc</vt:lpstr>
      <vt:lpstr>Monster.Contents</vt:lpstr>
      <vt:lpstr>Monster.CharacterSummon</vt:lpstr>
      <vt:lpstr>#Data</vt:lpstr>
      <vt:lpstr>#MoveData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조준희</cp:lastModifiedBy>
  <dcterms:created xsi:type="dcterms:W3CDTF">2020-12-22T17:36:25Z</dcterms:created>
  <dcterms:modified xsi:type="dcterms:W3CDTF">2024-06-07T10:32:50Z</dcterms:modified>
</cp:coreProperties>
</file>