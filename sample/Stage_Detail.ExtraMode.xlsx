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5941D6C7-C291-4AA6-BC4B-E51169E9E9A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tage.ExtraMode" sheetId="20" r:id="rId1"/>
    <sheet name="ExtraModeChapterCondition" sheetId="23" r:id="rId2"/>
    <sheet name="ExtraModeRatingReward" sheetId="22" r:id="rId3"/>
  </sheets>
  <calcPr calcId="181029"/>
</workbook>
</file>

<file path=xl/calcChain.xml><?xml version="1.0" encoding="utf-8"?>
<calcChain xmlns="http://schemas.openxmlformats.org/spreadsheetml/2006/main">
  <c r="C14" i="20" l="1"/>
  <c r="C13" i="20"/>
  <c r="C12" i="20"/>
  <c r="C11" i="20"/>
  <c r="C10" i="20"/>
  <c r="C9" i="20"/>
  <c r="C8" i="20"/>
  <c r="C7" i="20"/>
  <c r="C6" i="20"/>
  <c r="C5" i="20"/>
  <c r="A24" i="20" l="1"/>
  <c r="A23" i="20"/>
  <c r="A22" i="20"/>
  <c r="A21" i="20"/>
  <c r="A20" i="20"/>
  <c r="A19" i="20"/>
  <c r="A18" i="20"/>
  <c r="A17" i="20"/>
  <c r="A16" i="20"/>
  <c r="A15" i="20"/>
  <c r="A29" i="20" l="1"/>
  <c r="C19" i="20"/>
  <c r="A30" i="20"/>
  <c r="C20" i="20"/>
  <c r="A27" i="20"/>
  <c r="C17" i="20"/>
  <c r="A31" i="20"/>
  <c r="C21" i="20"/>
  <c r="A28" i="20"/>
  <c r="C18" i="20"/>
  <c r="A32" i="20"/>
  <c r="C22" i="20"/>
  <c r="A25" i="20"/>
  <c r="C15" i="20"/>
  <c r="A33" i="20"/>
  <c r="C23" i="20"/>
  <c r="A26" i="20"/>
  <c r="C16" i="20"/>
  <c r="A34" i="20"/>
  <c r="C24" i="20"/>
  <c r="B6" i="20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A37" i="20" l="1"/>
  <c r="C27" i="20"/>
  <c r="A43" i="20"/>
  <c r="C33" i="20"/>
  <c r="A35" i="20"/>
  <c r="C25" i="20"/>
  <c r="A44" i="20"/>
  <c r="C34" i="20"/>
  <c r="A40" i="20"/>
  <c r="C30" i="20"/>
  <c r="A42" i="20"/>
  <c r="C32" i="20"/>
  <c r="A41" i="20"/>
  <c r="C31" i="20"/>
  <c r="A36" i="20"/>
  <c r="C26" i="20"/>
  <c r="A38" i="20"/>
  <c r="C28" i="20"/>
  <c r="A39" i="20"/>
  <c r="C29" i="20"/>
  <c r="E15" i="20"/>
  <c r="A54" i="20" l="1"/>
  <c r="C44" i="20"/>
  <c r="A45" i="20"/>
  <c r="C35" i="20"/>
  <c r="A51" i="20"/>
  <c r="C41" i="20"/>
  <c r="A48" i="20"/>
  <c r="C38" i="20"/>
  <c r="A46" i="20"/>
  <c r="C36" i="20"/>
  <c r="A49" i="20"/>
  <c r="C39" i="20"/>
  <c r="A52" i="20"/>
  <c r="C42" i="20"/>
  <c r="A53" i="20"/>
  <c r="C43" i="20"/>
  <c r="A50" i="20"/>
  <c r="C40" i="20"/>
  <c r="A47" i="20"/>
  <c r="C37" i="20"/>
  <c r="AG104" i="20"/>
  <c r="AG103" i="20"/>
  <c r="AG102" i="20"/>
  <c r="AG101" i="20"/>
  <c r="AG100" i="20"/>
  <c r="AG99" i="20"/>
  <c r="AG98" i="20"/>
  <c r="AG97" i="20"/>
  <c r="AG96" i="20"/>
  <c r="AG95" i="20"/>
  <c r="AG94" i="20"/>
  <c r="AG93" i="20"/>
  <c r="AG92" i="20"/>
  <c r="AG91" i="20"/>
  <c r="AG90" i="20"/>
  <c r="AG89" i="20"/>
  <c r="E14" i="20"/>
  <c r="E13" i="20"/>
  <c r="E12" i="20"/>
  <c r="E11" i="20"/>
  <c r="E10" i="20"/>
  <c r="E9" i="20"/>
  <c r="E8" i="20"/>
  <c r="E7" i="20"/>
  <c r="E6" i="20"/>
  <c r="A63" i="20" l="1"/>
  <c r="C53" i="20"/>
  <c r="A58" i="20"/>
  <c r="C48" i="20"/>
  <c r="A61" i="20"/>
  <c r="C51" i="20"/>
  <c r="A57" i="20"/>
  <c r="C47" i="20"/>
  <c r="A59" i="20"/>
  <c r="C49" i="20"/>
  <c r="A55" i="20"/>
  <c r="C45" i="20"/>
  <c r="A62" i="20"/>
  <c r="C52" i="20"/>
  <c r="A60" i="20"/>
  <c r="C50" i="20"/>
  <c r="A56" i="20"/>
  <c r="C46" i="20"/>
  <c r="A64" i="20"/>
  <c r="C54" i="20"/>
  <c r="AG88" i="20"/>
  <c r="AG87" i="20"/>
  <c r="AG86" i="20"/>
  <c r="AG85" i="20"/>
  <c r="AG84" i="20"/>
  <c r="AG83" i="20"/>
  <c r="AG82" i="20"/>
  <c r="AG81" i="20"/>
  <c r="AG80" i="20"/>
  <c r="AG79" i="20"/>
  <c r="AG78" i="20"/>
  <c r="AG77" i="20"/>
  <c r="AG76" i="20"/>
  <c r="AG75" i="20"/>
  <c r="AG74" i="20"/>
  <c r="AG73" i="20"/>
  <c r="AG72" i="20"/>
  <c r="AG71" i="20"/>
  <c r="AG70" i="20"/>
  <c r="AG69" i="20"/>
  <c r="AG68" i="20"/>
  <c r="AG67" i="20"/>
  <c r="AG66" i="20"/>
  <c r="AG65" i="20"/>
  <c r="AG64" i="20"/>
  <c r="AG63" i="20"/>
  <c r="AG62" i="20"/>
  <c r="AG61" i="20"/>
  <c r="AG60" i="20"/>
  <c r="AG59" i="20"/>
  <c r="AG58" i="20"/>
  <c r="AG57" i="20"/>
  <c r="AG56" i="20"/>
  <c r="AG55" i="20"/>
  <c r="AG54" i="20"/>
  <c r="AG53" i="20"/>
  <c r="AG52" i="20"/>
  <c r="AG51" i="20"/>
  <c r="AG50" i="20"/>
  <c r="AG49" i="20"/>
  <c r="AG48" i="20"/>
  <c r="AG47" i="20"/>
  <c r="AG46" i="20"/>
  <c r="AG45" i="20"/>
  <c r="AG44" i="20"/>
  <c r="AG43" i="20"/>
  <c r="AG42" i="20"/>
  <c r="AG41" i="20"/>
  <c r="AG40" i="20"/>
  <c r="AG39" i="20"/>
  <c r="AG38" i="20"/>
  <c r="AG37" i="20"/>
  <c r="AG36" i="20"/>
  <c r="AG35" i="20"/>
  <c r="AG34" i="20"/>
  <c r="AG33" i="20"/>
  <c r="AG32" i="20"/>
  <c r="AG31" i="20"/>
  <c r="AG30" i="20"/>
  <c r="AG29" i="20"/>
  <c r="AG28" i="20"/>
  <c r="AG27" i="20"/>
  <c r="AG26" i="20"/>
  <c r="AG25" i="20"/>
  <c r="AG24" i="20"/>
  <c r="AG23" i="20"/>
  <c r="AG22" i="20"/>
  <c r="AG21" i="20"/>
  <c r="AG20" i="20"/>
  <c r="AG19" i="20"/>
  <c r="AG18" i="20"/>
  <c r="AG17" i="20"/>
  <c r="AG16" i="20"/>
  <c r="AG15" i="20"/>
  <c r="AG14" i="20"/>
  <c r="A69" i="20" l="1"/>
  <c r="C59" i="20"/>
  <c r="A66" i="20"/>
  <c r="C56" i="20"/>
  <c r="A70" i="20"/>
  <c r="C60" i="20"/>
  <c r="A67" i="20"/>
  <c r="C57" i="20"/>
  <c r="A73" i="20"/>
  <c r="C63" i="20"/>
  <c r="A72" i="20"/>
  <c r="C62" i="20"/>
  <c r="A71" i="20"/>
  <c r="C61" i="20"/>
  <c r="A74" i="20"/>
  <c r="C64" i="20"/>
  <c r="A65" i="20"/>
  <c r="C55" i="20"/>
  <c r="A68" i="20"/>
  <c r="C58" i="20"/>
  <c r="E23" i="20"/>
  <c r="E22" i="20"/>
  <c r="E16" i="20"/>
  <c r="E24" i="20"/>
  <c r="E17" i="20"/>
  <c r="E25" i="20"/>
  <c r="E18" i="20"/>
  <c r="E19" i="20"/>
  <c r="E20" i="20"/>
  <c r="E21" i="20"/>
  <c r="AG13" i="20"/>
  <c r="AG12" i="20"/>
  <c r="AG11" i="20"/>
  <c r="A75" i="20" l="1"/>
  <c r="C65" i="20"/>
  <c r="A79" i="20"/>
  <c r="C69" i="20"/>
  <c r="A84" i="20"/>
  <c r="C74" i="20"/>
  <c r="A77" i="20"/>
  <c r="C67" i="20"/>
  <c r="A80" i="20"/>
  <c r="C70" i="20"/>
  <c r="A83" i="20"/>
  <c r="C73" i="20"/>
  <c r="A81" i="20"/>
  <c r="C71" i="20"/>
  <c r="A78" i="20"/>
  <c r="C68" i="20"/>
  <c r="A82" i="20"/>
  <c r="C72" i="20"/>
  <c r="A76" i="20"/>
  <c r="C66" i="20"/>
  <c r="E33" i="20"/>
  <c r="E30" i="20"/>
  <c r="E28" i="20"/>
  <c r="E35" i="20"/>
  <c r="E32" i="20"/>
  <c r="E31" i="20"/>
  <c r="E29" i="20"/>
  <c r="E27" i="20"/>
  <c r="E34" i="20"/>
  <c r="E26" i="20"/>
  <c r="AG10" i="20"/>
  <c r="AG9" i="20"/>
  <c r="A94" i="20" l="1"/>
  <c r="C84" i="20"/>
  <c r="A88" i="20"/>
  <c r="C78" i="20"/>
  <c r="A87" i="20"/>
  <c r="C77" i="20"/>
  <c r="A86" i="20"/>
  <c r="C76" i="20"/>
  <c r="A91" i="20"/>
  <c r="C81" i="20"/>
  <c r="A93" i="20"/>
  <c r="C83" i="20"/>
  <c r="A89" i="20"/>
  <c r="C79" i="20"/>
  <c r="A92" i="20"/>
  <c r="C82" i="20"/>
  <c r="A90" i="20"/>
  <c r="C80" i="20"/>
  <c r="A85" i="20"/>
  <c r="C75" i="20"/>
  <c r="E41" i="20"/>
  <c r="E42" i="20"/>
  <c r="E37" i="20"/>
  <c r="E36" i="20"/>
  <c r="E40" i="20"/>
  <c r="E39" i="20"/>
  <c r="E38" i="20"/>
  <c r="E45" i="20"/>
  <c r="E44" i="20"/>
  <c r="E43" i="20"/>
  <c r="AG8" i="20"/>
  <c r="AG7" i="20"/>
  <c r="AG6" i="20"/>
  <c r="AG5" i="20"/>
  <c r="A95" i="20" l="1"/>
  <c r="C95" i="20" s="1"/>
  <c r="C85" i="20"/>
  <c r="A98" i="20"/>
  <c r="C98" i="20" s="1"/>
  <c r="C88" i="20"/>
  <c r="A96" i="20"/>
  <c r="C96" i="20" s="1"/>
  <c r="C86" i="20"/>
  <c r="A102" i="20"/>
  <c r="C102" i="20" s="1"/>
  <c r="C92" i="20"/>
  <c r="A99" i="20"/>
  <c r="C99" i="20" s="1"/>
  <c r="C89" i="20"/>
  <c r="A97" i="20"/>
  <c r="C97" i="20" s="1"/>
  <c r="C87" i="20"/>
  <c r="A103" i="20"/>
  <c r="C103" i="20" s="1"/>
  <c r="C93" i="20"/>
  <c r="A100" i="20"/>
  <c r="C100" i="20" s="1"/>
  <c r="C90" i="20"/>
  <c r="A101" i="20"/>
  <c r="C101" i="20" s="1"/>
  <c r="C91" i="20"/>
  <c r="A104" i="20"/>
  <c r="C104" i="20" s="1"/>
  <c r="C94" i="20"/>
  <c r="E47" i="20"/>
  <c r="E55" i="20"/>
  <c r="E50" i="20"/>
  <c r="E53" i="20"/>
  <c r="E48" i="20"/>
  <c r="E49" i="20"/>
  <c r="E46" i="20"/>
  <c r="E52" i="20"/>
  <c r="E54" i="20"/>
  <c r="E51" i="20"/>
  <c r="E60" i="20" l="1"/>
  <c r="E61" i="20"/>
  <c r="E65" i="20"/>
  <c r="E62" i="20"/>
  <c r="E63" i="20"/>
  <c r="E64" i="20"/>
  <c r="E57" i="20"/>
  <c r="E58" i="20"/>
  <c r="E56" i="20"/>
  <c r="E59" i="20"/>
  <c r="E68" i="20" l="1"/>
  <c r="E73" i="20"/>
  <c r="E75" i="20"/>
  <c r="E67" i="20"/>
  <c r="E71" i="20"/>
  <c r="E69" i="20"/>
  <c r="E72" i="20"/>
  <c r="E70" i="20"/>
  <c r="E66" i="20"/>
  <c r="E74" i="20"/>
  <c r="E84" i="20" l="1"/>
  <c r="E81" i="20"/>
  <c r="E83" i="20"/>
  <c r="E82" i="20"/>
  <c r="E80" i="20"/>
  <c r="E77" i="20"/>
  <c r="E76" i="20"/>
  <c r="E79" i="20"/>
  <c r="E78" i="20"/>
  <c r="E85" i="20"/>
  <c r="E89" i="20" l="1"/>
  <c r="E90" i="20"/>
  <c r="E95" i="20"/>
  <c r="E92" i="20"/>
  <c r="E94" i="20"/>
  <c r="E91" i="20"/>
  <c r="E86" i="20"/>
  <c r="E88" i="20"/>
  <c r="E87" i="20"/>
  <c r="E93" i="20"/>
  <c r="E104" i="20" l="1"/>
  <c r="E100" i="20"/>
  <c r="E96" i="20"/>
  <c r="E98" i="20"/>
  <c r="E102" i="20"/>
  <c r="E101" i="20"/>
  <c r="E99" i="20"/>
  <c r="E103" i="20"/>
  <c r="E97" i="20"/>
</calcChain>
</file>

<file path=xl/sharedStrings.xml><?xml version="1.0" encoding="utf-8"?>
<sst xmlns="http://schemas.openxmlformats.org/spreadsheetml/2006/main" count="728" uniqueCount="269">
  <si>
    <t>common</t>
  </si>
  <si>
    <t>Reward</t>
    <phoneticPr fontId="3" type="noConversion"/>
  </si>
  <si>
    <t>$Reward</t>
    <phoneticPr fontId="3" type="noConversion"/>
  </si>
  <si>
    <t>common</t>
    <phoneticPr fontId="3" type="noConversion"/>
  </si>
  <si>
    <t>int</t>
    <phoneticPr fontId="3" type="noConversion"/>
  </si>
  <si>
    <t>int?</t>
    <phoneticPr fontId="3" type="noConversion"/>
  </si>
  <si>
    <t>Point</t>
    <phoneticPr fontId="3" type="noConversion"/>
  </si>
  <si>
    <t>string</t>
    <phoneticPr fontId="3" type="noConversion"/>
  </si>
  <si>
    <t>BattleType</t>
    <phoneticPr fontId="3" type="noConversion"/>
  </si>
  <si>
    <t>client</t>
    <phoneticPr fontId="3" type="noConversion"/>
  </si>
  <si>
    <t>client</t>
  </si>
  <si>
    <t>StageModeType?</t>
    <phoneticPr fontId="3" type="noConversion"/>
  </si>
  <si>
    <t>Normal</t>
    <phoneticPr fontId="3" type="noConversion"/>
  </si>
  <si>
    <t>Id</t>
  </si>
  <si>
    <t>StageNumber</t>
  </si>
  <si>
    <t>ChapterId</t>
  </si>
  <si>
    <t>OrderNumber</t>
  </si>
  <si>
    <t>LimitStageId</t>
  </si>
  <si>
    <t>MercenaryLevelLimit</t>
  </si>
  <si>
    <t>Resource</t>
  </si>
  <si>
    <t>StageScene</t>
  </si>
  <si>
    <t>StageEnterCamera</t>
  </si>
  <si>
    <t>PlayerSetting</t>
  </si>
  <si>
    <t>RewardExp</t>
  </si>
  <si>
    <t>RandomReward</t>
  </si>
  <si>
    <t>BgmBookMark</t>
  </si>
  <si>
    <t>Bgm</t>
  </si>
  <si>
    <t>Condition</t>
  </si>
  <si>
    <t>ConditionValue</t>
  </si>
  <si>
    <t>ActiveCount</t>
  </si>
  <si>
    <t>Skill</t>
  </si>
  <si>
    <t>BattleRating</t>
  </si>
  <si>
    <t>LimitTime</t>
  </si>
  <si>
    <t>*string</t>
  </si>
  <si>
    <t>int</t>
  </si>
  <si>
    <t>$Chapter</t>
  </si>
  <si>
    <t>~ChapterId</t>
  </si>
  <si>
    <t>$Stage?</t>
  </si>
  <si>
    <t>string</t>
  </si>
  <si>
    <t>string</t>
    <phoneticPr fontId="7" type="noConversion"/>
  </si>
  <si>
    <t>[$MonsterSetting]</t>
    <phoneticPr fontId="3" type="noConversion"/>
  </si>
  <si>
    <t>$MonsterSetting?</t>
  </si>
  <si>
    <t>$Reward?</t>
  </si>
  <si>
    <t>[string]</t>
  </si>
  <si>
    <t>bool</t>
  </si>
  <si>
    <t>$Episode?</t>
  </si>
  <si>
    <t>bool</t>
    <phoneticPr fontId="3" type="noConversion"/>
  </si>
  <si>
    <t>PluginConditionType</t>
  </si>
  <si>
    <t>string?</t>
    <phoneticPr fontId="3" type="noConversion"/>
  </si>
  <si>
    <t>bool?</t>
    <phoneticPr fontId="3" type="noConversion"/>
  </si>
  <si>
    <t>client</t>
    <phoneticPr fontId="7" type="noConversion"/>
  </si>
  <si>
    <t>OnStart</t>
    <phoneticPr fontId="3" type="noConversion"/>
  </si>
  <si>
    <t>ChapterId</t>
    <phoneticPr fontId="3" type="noConversion"/>
  </si>
  <si>
    <t>*$Chapter</t>
    <phoneticPr fontId="3" type="noConversion"/>
  </si>
  <si>
    <t>PrimiumReward</t>
    <phoneticPr fontId="3" type="noConversion"/>
  </si>
  <si>
    <t>Condition</t>
    <phoneticPr fontId="3" type="noConversion"/>
  </si>
  <si>
    <t>[dsl]</t>
    <phoneticPr fontId="3" type="noConversion"/>
  </si>
  <si>
    <t>Index</t>
    <phoneticPr fontId="3" type="noConversion"/>
  </si>
  <si>
    <t>int</t>
    <phoneticPr fontId="3" type="noConversion"/>
  </si>
  <si>
    <t>common</t>
    <phoneticPr fontId="3" type="noConversion"/>
  </si>
  <si>
    <t>StageClear(스테이지380)</t>
  </si>
  <si>
    <t>Win&amp;AliveAll&amp;WithinSec60</t>
    <phoneticPr fontId="3" type="noConversion"/>
  </si>
  <si>
    <t>Win&amp;AliveAll&amp;WithinSec60</t>
  </si>
  <si>
    <t>OnStart</t>
  </si>
  <si>
    <t>Normal</t>
  </si>
  <si>
    <t>Name</t>
  </si>
  <si>
    <t>Desc</t>
  </si>
  <si>
    <t>Icon</t>
  </si>
  <si>
    <t>buffs</t>
  </si>
  <si>
    <t>StartTalk</t>
  </si>
  <si>
    <t>EndTalk</t>
  </si>
  <si>
    <t>ShowAuto</t>
  </si>
  <si>
    <t>UseIdle</t>
  </si>
  <si>
    <t>Tutorial</t>
  </si>
  <si>
    <t>BattleType</t>
  </si>
  <si>
    <t>BattleTypeValue</t>
  </si>
  <si>
    <t>StageMode</t>
  </si>
  <si>
    <t>StageIcon</t>
  </si>
  <si>
    <t>CharacterTimeline</t>
  </si>
  <si>
    <t>EnemyTimeline</t>
  </si>
  <si>
    <t>FormationActiveInitValue</t>
  </si>
  <si>
    <t>#</t>
  </si>
  <si>
    <t>#</t>
    <phoneticPr fontId="3" type="noConversion"/>
  </si>
  <si>
    <t>#클리어 보상</t>
    <phoneticPr fontId="3" type="noConversion"/>
  </si>
  <si>
    <t>#몬스터</t>
    <phoneticPr fontId="3" type="noConversion"/>
  </si>
  <si>
    <t>#3D배경</t>
    <phoneticPr fontId="3" type="noConversion"/>
  </si>
  <si>
    <t>#3별 조건</t>
    <phoneticPr fontId="3" type="noConversion"/>
  </si>
  <si>
    <t>Ex.Mode.10101</t>
  </si>
  <si>
    <t>Ex.Mode.10102</t>
  </si>
  <si>
    <t>Ex.Mode.10103</t>
  </si>
  <si>
    <t>Ex.Mode.10104</t>
  </si>
  <si>
    <t>Ex.Mode.10105</t>
  </si>
  <si>
    <t>Ex.Mode.10106</t>
  </si>
  <si>
    <t>Ex.Mode.10107</t>
  </si>
  <si>
    <t>Ex.Mode.10108</t>
  </si>
  <si>
    <t>Ex.Mode.10109</t>
  </si>
  <si>
    <t>Ex.Mode.10110</t>
  </si>
  <si>
    <t>Ex.Mode.101</t>
  </si>
  <si>
    <t>Ex.Mode.102</t>
  </si>
  <si>
    <t>Ex.Mode.103</t>
  </si>
  <si>
    <t>Ex.Mode.104</t>
  </si>
  <si>
    <t>Ex.Mode.105</t>
  </si>
  <si>
    <t>Ex.Mode.106</t>
  </si>
  <si>
    <t>Ex.Mode.107</t>
  </si>
  <si>
    <t>Ex.Mode.108</t>
  </si>
  <si>
    <t>Ex.Mode.109</t>
  </si>
  <si>
    <t>Ex.Mode.110</t>
  </si>
  <si>
    <t>StageClear(스테이지450)</t>
  </si>
  <si>
    <t>StageClear(스테이지525)</t>
  </si>
  <si>
    <t>StageClear(스테이지605)</t>
  </si>
  <si>
    <t>StageClear(스테이지690)</t>
  </si>
  <si>
    <t>StageClear(스테이지780)</t>
  </si>
  <si>
    <t>StageClear(스테이지875)</t>
  </si>
  <si>
    <t>StageClear(스테이지970)</t>
  </si>
  <si>
    <t>StageClear(스테이지1065)</t>
  </si>
  <si>
    <t>Extra.7.1</t>
  </si>
  <si>
    <t>Extra.7.2</t>
  </si>
  <si>
    <t>Extra.7.3</t>
  </si>
  <si>
    <t>Extra.7.4</t>
  </si>
  <si>
    <t>Extra.7.5</t>
  </si>
  <si>
    <t>Extra.7.6</t>
  </si>
  <si>
    <t>Extra.7.7</t>
  </si>
  <si>
    <t>Extra.7.8</t>
  </si>
  <si>
    <t>Extra.7.9</t>
  </si>
  <si>
    <t>Extra.7.10</t>
  </si>
  <si>
    <t>Extra.8.1</t>
  </si>
  <si>
    <t>Extra.8.2</t>
  </si>
  <si>
    <t>Extra.8.3</t>
  </si>
  <si>
    <t>Extra.8.4</t>
  </si>
  <si>
    <t>Extra.8.5</t>
  </si>
  <si>
    <t>Extra.8.6</t>
  </si>
  <si>
    <t>Extra.8.7</t>
  </si>
  <si>
    <t>Extra.8.8</t>
  </si>
  <si>
    <t>Extra.8.9</t>
  </si>
  <si>
    <t>Extra.8.10</t>
  </si>
  <si>
    <t>Extra.9.1</t>
  </si>
  <si>
    <t>Extra.9.2</t>
  </si>
  <si>
    <t>Extra.9.3</t>
  </si>
  <si>
    <t>Extra.9.4</t>
  </si>
  <si>
    <t>Extra.9.5</t>
  </si>
  <si>
    <t>Extra.9.6</t>
  </si>
  <si>
    <t>Extra.9.7</t>
  </si>
  <si>
    <t>Extra.9.8</t>
  </si>
  <si>
    <t>Extra.9.9</t>
  </si>
  <si>
    <t>Extra.9.10</t>
  </si>
  <si>
    <t>Extra.10.1</t>
  </si>
  <si>
    <t>Extra.10.2</t>
  </si>
  <si>
    <t>Extra.10.3</t>
  </si>
  <si>
    <t>Extra.10.4</t>
  </si>
  <si>
    <t>Extra.10.5</t>
  </si>
  <si>
    <t>Extra.10.6</t>
  </si>
  <si>
    <t>Extra.10.7</t>
  </si>
  <si>
    <t>Extra.10.8</t>
  </si>
  <si>
    <t>Extra.10.9</t>
  </si>
  <si>
    <t>Extra.10.10</t>
  </si>
  <si>
    <t>Extra.11.1</t>
  </si>
  <si>
    <t>Extra.11.2</t>
  </si>
  <si>
    <t>Extra.11.3</t>
  </si>
  <si>
    <t>Extra.11.4</t>
  </si>
  <si>
    <t>Extra.11.5</t>
  </si>
  <si>
    <t>Extra.11.6</t>
  </si>
  <si>
    <t>Extra.11.7</t>
  </si>
  <si>
    <t>Extra.11.8</t>
  </si>
  <si>
    <t>Extra.11.9</t>
  </si>
  <si>
    <t>Extra.11.10</t>
  </si>
  <si>
    <t>Extra.12.1</t>
  </si>
  <si>
    <t>Extra.12.2</t>
  </si>
  <si>
    <t>Extra.12.3</t>
  </si>
  <si>
    <t>Extra.12.4</t>
  </si>
  <si>
    <t>Extra.12.5</t>
  </si>
  <si>
    <t>Extra.12.6</t>
  </si>
  <si>
    <t>Extra.12.7</t>
  </si>
  <si>
    <t>Extra.12.8</t>
  </si>
  <si>
    <t>Extra.12.9</t>
  </si>
  <si>
    <t>Extra.12.10</t>
  </si>
  <si>
    <t>Extra.13.1</t>
  </si>
  <si>
    <t>Extra.13.2</t>
  </si>
  <si>
    <t>Extra.13.3</t>
  </si>
  <si>
    <t>Extra.13.4</t>
  </si>
  <si>
    <t>Extra.13.5</t>
  </si>
  <si>
    <t>Extra.13.6</t>
  </si>
  <si>
    <t>Extra.13.7</t>
  </si>
  <si>
    <t>Extra.13.8</t>
  </si>
  <si>
    <t>Extra.13.9</t>
  </si>
  <si>
    <t>Extra.13.10</t>
  </si>
  <si>
    <t>Extra.14.1</t>
  </si>
  <si>
    <t>Extra.14.2</t>
  </si>
  <si>
    <t>Extra.14.3</t>
  </si>
  <si>
    <t>Extra.14.4</t>
  </si>
  <si>
    <t>Extra.14.5</t>
  </si>
  <si>
    <t>Extra.14.6</t>
  </si>
  <si>
    <t>Extra.14.7</t>
  </si>
  <si>
    <t>Extra.14.8</t>
  </si>
  <si>
    <t>Extra.14.9</t>
  </si>
  <si>
    <t>Extra.14.10</t>
  </si>
  <si>
    <t>Extra.15.1</t>
  </si>
  <si>
    <t>Extra.15.2</t>
  </si>
  <si>
    <t>Extra.15.3</t>
  </si>
  <si>
    <t>Extra.15.4</t>
  </si>
  <si>
    <t>Extra.15.5</t>
  </si>
  <si>
    <t>Extra.15.6</t>
  </si>
  <si>
    <t>Extra.15.7</t>
  </si>
  <si>
    <t>Extra.15.8</t>
  </si>
  <si>
    <t>Extra.15.9</t>
  </si>
  <si>
    <t>Extra.15.10</t>
  </si>
  <si>
    <t>Extra.16.1</t>
  </si>
  <si>
    <t>Extra.16.2</t>
  </si>
  <si>
    <t>Extra.16.3</t>
  </si>
  <si>
    <t>Extra.16.4</t>
  </si>
  <si>
    <t>Extra.16.5</t>
  </si>
  <si>
    <t>Extra.16.6</t>
  </si>
  <si>
    <t>Extra.16.7</t>
  </si>
  <si>
    <t>Extra.16.8</t>
  </si>
  <si>
    <t>Extra.16.9</t>
  </si>
  <si>
    <t>Extra.16.10</t>
  </si>
  <si>
    <t>RewardPassPoint</t>
  </si>
  <si>
    <t>dsl?</t>
  </si>
  <si>
    <t>MonsterSetting1</t>
    <phoneticPr fontId="3" type="noConversion"/>
  </si>
  <si>
    <t>MonsterSetting2</t>
    <phoneticPr fontId="3" type="noConversion"/>
  </si>
  <si>
    <t>MonsterSetting3</t>
    <phoneticPr fontId="3" type="noConversion"/>
  </si>
  <si>
    <t>bg_seedside/bg_seedside_1.unity</t>
  </si>
  <si>
    <t>bg_seedside/bg_seedside_1_2.unity</t>
  </si>
  <si>
    <t>bg_seedside/bg_seedside_1_3.unity</t>
  </si>
  <si>
    <t>bg_seedside/bg_seedside_2_2.unity</t>
  </si>
  <si>
    <t>bg_seedside/bg_seedside_3.unity</t>
  </si>
  <si>
    <t>bg_ruined_city/bg_ruined_city_1.unity</t>
  </si>
  <si>
    <t>bg_ruined_city/bg_ruined_city_2.unity</t>
  </si>
  <si>
    <t>bg_ruined_city/bg_ruined_city_1_2.unity</t>
  </si>
  <si>
    <t>bg_ruined_city/bg_ruined_city_2_2.unity</t>
  </si>
  <si>
    <t>bg_ruined_city/bg_ruined_city_3.unity</t>
  </si>
  <si>
    <t>bg_ruined_city/bg_ruined_city_4.unity</t>
  </si>
  <si>
    <t>bg_graycity/bg_graycity_1.unity</t>
  </si>
  <si>
    <t>bg_graycity/bg_graycity_2.unity</t>
  </si>
  <si>
    <t>bg_graycity/bg_graycity_1_2.unity</t>
  </si>
  <si>
    <t>bg_graycity/bg_graycity_2_2.unity</t>
  </si>
  <si>
    <t>bg_graycity/bg_graycity_4.unity</t>
  </si>
  <si>
    <t>bg_graycity/bg_graycity_3.unity</t>
  </si>
  <si>
    <t>bg_collapse_city/bg_collapse_city_1.unity</t>
  </si>
  <si>
    <t>bg_collapse_city/bg_collapse_city_1_2.unity</t>
  </si>
  <si>
    <t>bg_collapse_city/bg_collapse_city_4.unity</t>
  </si>
  <si>
    <t>bg_collapse_city/bg_collapse_city_2_2.unity</t>
  </si>
  <si>
    <t>bg_collapse_city/bg_collapse_city_3.unity</t>
  </si>
  <si>
    <t>bg_clocktower/bg_clocktower_1.unity</t>
  </si>
  <si>
    <t>bg_clocktower/bg_clocktower_1_2.unity</t>
  </si>
  <si>
    <t>bg_clocktower/bg_clocktower_2.unity</t>
  </si>
  <si>
    <t>bg_clocktower/bg_clocktower_2_2.unity</t>
  </si>
  <si>
    <t>bg_clocktower/bg_clocktower_3.unity</t>
  </si>
  <si>
    <t>bg_clocktower/bg_clocktower_4.unity</t>
  </si>
  <si>
    <t>bg_ragingforest/bg_ragingforest_2.unity</t>
  </si>
  <si>
    <t>bg_ragingforest/bg_ragingforest_1.unity</t>
  </si>
  <si>
    <t>bg_ragingforest/bg_ragingforest_1_2.unity</t>
  </si>
  <si>
    <t>bg_ragingforest/bg_ragingforest_2_2.unity</t>
  </si>
  <si>
    <t>bg_ragingforest/bg_ragingforest_4.unity</t>
  </si>
  <si>
    <t>bg_ragingforest/bg_ragingforest_3.unity</t>
  </si>
  <si>
    <t>bg_Laboratory/bg_Laboratory_2.unity</t>
  </si>
  <si>
    <t>bg_Laboratory/bg_Laboratory_1.unity</t>
  </si>
  <si>
    <t>bg_Laboratory/bg_Laboratory_1_2.unity</t>
  </si>
  <si>
    <t>bg_Laboratory/bg_Laboratory_2_2.unity</t>
  </si>
  <si>
    <t>bg_Laboratory/bg_Laboratory_3.unity</t>
  </si>
  <si>
    <t>bg_Laboratory/bg_Laboratory_4.unity</t>
  </si>
  <si>
    <t>bg_rubbishdump/bg_rubbishdump_4.unity</t>
  </si>
  <si>
    <t>bg_rubbishdump/bg_rubbishdump_1.unity</t>
  </si>
  <si>
    <t>bg_rubbishdump/bg_rubbishdump_1_2.unity</t>
  </si>
  <si>
    <t>bg_rubbishdump/bg_rubbishdump_2.unity</t>
  </si>
  <si>
    <t>bg_rubbishdump/bg_rubbishdump_3.unity</t>
  </si>
  <si>
    <t>HiveLog</t>
    <phoneticPr fontId="3" type="noConversion"/>
  </si>
  <si>
    <t>#위젯에보상표시</t>
    <phoneticPr fontId="3" type="noConversion"/>
  </si>
  <si>
    <t>RewardMark</t>
    <phoneticPr fontId="3" type="noConversion"/>
  </si>
  <si>
    <t>bool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</si>
</sst>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1">
      <alignment horizontal="center"/>
    </xf>
    <xf numFmtId="0" fontId="2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0" fontId="5" fillId="0" borderId="0" xfId="0" applyFont="1"/>
    <xf numFmtId="0" fontId="5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</cellXfs>
  <cellStyles count="4">
    <cellStyle name="기본" xfId="1" xr:uid="{00000000-0005-0000-0000-000000000000}"/>
    <cellStyle name="표준" xfId="0" builtinId="0"/>
    <cellStyle name="표준 2" xfId="2" xr:uid="{00000000-0005-0000-0000-000002000000}"/>
    <cellStyle name="표준 2 2" xfId="3" xr:uid="{00000000-0005-0000-0000-000003000000}"/>
  </cellStyles>
  <dxfs count="5"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colors>
    <mruColors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7"/>
  <sheetViews>
    <sheetView tabSelected="1" topLeftCell="G1" workbookViewId="0">
      <selection activeCell="Q12" sqref="Q12"/>
    </sheetView>
  </sheetViews>
  <sheetFormatPr defaultRowHeight="13.5" x14ac:dyDescent="0.25"/>
  <cols>
    <col min="1" max="1" width="13.125" style="1" bestFit="1" customWidth="1"/>
    <col min="2" max="2" width="11.875" style="1" bestFit="1" customWidth="1"/>
    <col min="3" max="3" width="17.375" style="1" bestFit="1" customWidth="1"/>
    <col min="4" max="4" width="12.25" style="1" bestFit="1" customWidth="1"/>
    <col min="5" max="5" width="19.75" style="1" bestFit="1" customWidth="1"/>
    <col min="6" max="6" width="17.125" style="1" bestFit="1" customWidth="1"/>
    <col min="7" max="10" width="9" style="1"/>
    <col min="11" max="11" width="18.5" style="1" bestFit="1" customWidth="1"/>
    <col min="12" max="12" width="17.875" style="1" bestFit="1" customWidth="1"/>
    <col min="13" max="13" width="15.25" style="1" bestFit="1" customWidth="1"/>
    <col min="14" max="15" width="15.25" style="1" customWidth="1"/>
    <col min="16" max="16" width="15" style="1" bestFit="1" customWidth="1"/>
    <col min="17" max="17" width="9.75" style="1" bestFit="1" customWidth="1"/>
    <col min="18" max="18" width="9.75" style="1" customWidth="1"/>
    <col min="19" max="19" width="13.75" style="1" bestFit="1" customWidth="1"/>
    <col min="20" max="20" width="13.75" style="1" customWidth="1"/>
    <col min="21" max="21" width="9" style="1"/>
    <col min="22" max="22" width="12.875" style="1" bestFit="1" customWidth="1"/>
    <col min="23" max="25" width="9" style="1"/>
    <col min="26" max="26" width="9.25" style="1" bestFit="1" customWidth="1"/>
    <col min="27" max="27" width="9" style="1"/>
    <col min="28" max="28" width="17.625" style="1" bestFit="1" customWidth="1"/>
    <col min="29" max="29" width="13.125" style="1" bestFit="1" customWidth="1"/>
    <col min="30" max="30" width="12.125" style="1" bestFit="1" customWidth="1"/>
    <col min="31" max="32" width="9" style="1"/>
    <col min="33" max="33" width="9.125" style="1" bestFit="1" customWidth="1"/>
    <col min="34" max="34" width="13.625" style="1" bestFit="1" customWidth="1"/>
    <col min="35" max="35" width="22.75" style="1" bestFit="1" customWidth="1"/>
    <col min="36" max="36" width="8.375" style="1" bestFit="1" customWidth="1"/>
    <col min="37" max="37" width="14.75" style="1" bestFit="1" customWidth="1"/>
    <col min="38" max="38" width="8.875" style="1" bestFit="1" customWidth="1"/>
    <col min="39" max="39" width="15.25" style="1" bestFit="1" customWidth="1"/>
    <col min="40" max="40" width="12.75" style="1" bestFit="1" customWidth="1"/>
    <col min="41" max="41" width="21" style="1" bestFit="1" customWidth="1"/>
    <col min="42" max="16384" width="9" style="1"/>
  </cols>
  <sheetData>
    <row r="1" spans="1:42" x14ac:dyDescent="0.25">
      <c r="A1" s="4" t="s">
        <v>82</v>
      </c>
      <c r="B1" s="4" t="s">
        <v>81</v>
      </c>
      <c r="C1" s="4" t="s">
        <v>81</v>
      </c>
      <c r="D1" s="4" t="s">
        <v>81</v>
      </c>
      <c r="E1" s="4" t="s">
        <v>81</v>
      </c>
      <c r="F1" s="4" t="s">
        <v>81</v>
      </c>
      <c r="G1" s="4" t="s">
        <v>81</v>
      </c>
      <c r="H1" s="4" t="s">
        <v>81</v>
      </c>
      <c r="I1" s="4" t="s">
        <v>81</v>
      </c>
      <c r="J1" s="4" t="s">
        <v>81</v>
      </c>
      <c r="K1" s="4" t="s">
        <v>85</v>
      </c>
      <c r="L1" s="4" t="s">
        <v>81</v>
      </c>
      <c r="M1" s="4" t="s">
        <v>84</v>
      </c>
      <c r="N1" s="4" t="s">
        <v>84</v>
      </c>
      <c r="O1" s="4" t="s">
        <v>84</v>
      </c>
      <c r="P1" s="4" t="s">
        <v>81</v>
      </c>
      <c r="Q1" s="4" t="s">
        <v>81</v>
      </c>
      <c r="R1" s="4" t="s">
        <v>81</v>
      </c>
      <c r="S1" s="4" t="s">
        <v>83</v>
      </c>
      <c r="T1" s="4" t="s">
        <v>266</v>
      </c>
      <c r="U1" s="4" t="s">
        <v>81</v>
      </c>
      <c r="V1" s="4" t="s">
        <v>81</v>
      </c>
      <c r="W1" s="4" t="s">
        <v>81</v>
      </c>
      <c r="X1" s="4" t="s">
        <v>81</v>
      </c>
      <c r="Y1" s="4" t="s">
        <v>81</v>
      </c>
      <c r="Z1" s="4" t="s">
        <v>81</v>
      </c>
      <c r="AA1" s="4" t="s">
        <v>81</v>
      </c>
      <c r="AB1" s="5" t="s">
        <v>81</v>
      </c>
      <c r="AC1" s="5" t="s">
        <v>81</v>
      </c>
      <c r="AD1" s="5" t="s">
        <v>81</v>
      </c>
      <c r="AE1" s="5" t="s">
        <v>81</v>
      </c>
      <c r="AF1" s="5" t="s">
        <v>81</v>
      </c>
      <c r="AG1" s="3" t="s">
        <v>81</v>
      </c>
      <c r="AH1" s="3" t="s">
        <v>81</v>
      </c>
      <c r="AI1" s="3" t="s">
        <v>86</v>
      </c>
      <c r="AJ1" s="3" t="s">
        <v>81</v>
      </c>
      <c r="AK1" s="3" t="s">
        <v>81</v>
      </c>
      <c r="AL1" s="3" t="s">
        <v>81</v>
      </c>
      <c r="AM1" s="3" t="s">
        <v>81</v>
      </c>
      <c r="AN1" s="3" t="s">
        <v>81</v>
      </c>
      <c r="AO1" s="3" t="s">
        <v>81</v>
      </c>
      <c r="AP1" s="3" t="s">
        <v>81</v>
      </c>
    </row>
    <row r="2" spans="1:42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65</v>
      </c>
      <c r="H2" s="4" t="s">
        <v>66</v>
      </c>
      <c r="I2" s="4" t="s">
        <v>19</v>
      </c>
      <c r="J2" s="4" t="s">
        <v>67</v>
      </c>
      <c r="K2" s="4" t="s">
        <v>20</v>
      </c>
      <c r="L2" s="4" t="s">
        <v>21</v>
      </c>
      <c r="M2" s="4" t="s">
        <v>217</v>
      </c>
      <c r="N2" s="4" t="s">
        <v>218</v>
      </c>
      <c r="O2" s="4" t="s">
        <v>219</v>
      </c>
      <c r="P2" s="4" t="s">
        <v>22</v>
      </c>
      <c r="Q2" s="4" t="s">
        <v>23</v>
      </c>
      <c r="R2" s="18" t="s">
        <v>215</v>
      </c>
      <c r="S2" s="4" t="s">
        <v>24</v>
      </c>
      <c r="T2" s="4" t="s">
        <v>267</v>
      </c>
      <c r="U2" s="4" t="s">
        <v>68</v>
      </c>
      <c r="V2" s="4" t="s">
        <v>25</v>
      </c>
      <c r="W2" s="4" t="s">
        <v>26</v>
      </c>
      <c r="X2" s="4" t="s">
        <v>69</v>
      </c>
      <c r="Y2" s="4" t="s">
        <v>70</v>
      </c>
      <c r="Z2" s="4" t="s">
        <v>71</v>
      </c>
      <c r="AA2" s="4" t="s">
        <v>72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73</v>
      </c>
      <c r="AG2" s="3" t="s">
        <v>74</v>
      </c>
      <c r="AH2" s="3" t="s">
        <v>75</v>
      </c>
      <c r="AI2" s="3" t="s">
        <v>31</v>
      </c>
      <c r="AJ2" s="3" t="s">
        <v>32</v>
      </c>
      <c r="AK2" s="3" t="s">
        <v>76</v>
      </c>
      <c r="AL2" s="3" t="s">
        <v>77</v>
      </c>
      <c r="AM2" s="3" t="s">
        <v>78</v>
      </c>
      <c r="AN2" s="3" t="s">
        <v>79</v>
      </c>
      <c r="AO2" s="3" t="s">
        <v>80</v>
      </c>
      <c r="AP2" s="3" t="s">
        <v>265</v>
      </c>
    </row>
    <row r="3" spans="1:42" x14ac:dyDescent="0.25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5</v>
      </c>
      <c r="G3" s="4" t="s">
        <v>38</v>
      </c>
      <c r="H3" s="4" t="s">
        <v>38</v>
      </c>
      <c r="I3" s="4" t="s">
        <v>38</v>
      </c>
      <c r="J3" s="4" t="s">
        <v>39</v>
      </c>
      <c r="K3" s="4" t="s">
        <v>38</v>
      </c>
      <c r="L3" s="4" t="s">
        <v>5</v>
      </c>
      <c r="M3" s="4" t="s">
        <v>40</v>
      </c>
      <c r="N3" s="4" t="s">
        <v>40</v>
      </c>
      <c r="O3" s="4" t="s">
        <v>40</v>
      </c>
      <c r="P3" s="4" t="s">
        <v>41</v>
      </c>
      <c r="Q3" s="4" t="s">
        <v>34</v>
      </c>
      <c r="R3" s="19" t="s">
        <v>216</v>
      </c>
      <c r="S3" s="4" t="s">
        <v>42</v>
      </c>
      <c r="T3" s="4" t="s">
        <v>268</v>
      </c>
      <c r="U3" s="4" t="s">
        <v>43</v>
      </c>
      <c r="V3" s="4" t="s">
        <v>44</v>
      </c>
      <c r="W3" s="4" t="s">
        <v>38</v>
      </c>
      <c r="X3" s="4" t="s">
        <v>45</v>
      </c>
      <c r="Y3" s="4" t="s">
        <v>45</v>
      </c>
      <c r="Z3" s="4" t="s">
        <v>46</v>
      </c>
      <c r="AA3" s="4" t="s">
        <v>46</v>
      </c>
      <c r="AB3" s="5" t="s">
        <v>47</v>
      </c>
      <c r="AC3" s="5" t="s">
        <v>34</v>
      </c>
      <c r="AD3" s="5" t="s">
        <v>34</v>
      </c>
      <c r="AE3" s="5" t="s">
        <v>48</v>
      </c>
      <c r="AF3" s="5" t="s">
        <v>49</v>
      </c>
      <c r="AG3" s="3" t="s">
        <v>8</v>
      </c>
      <c r="AH3" s="3" t="s">
        <v>4</v>
      </c>
      <c r="AI3" s="3" t="s">
        <v>43</v>
      </c>
      <c r="AJ3" s="3" t="s">
        <v>34</v>
      </c>
      <c r="AK3" s="3" t="s">
        <v>11</v>
      </c>
      <c r="AL3" s="3" t="s">
        <v>48</v>
      </c>
      <c r="AM3" s="3" t="s">
        <v>7</v>
      </c>
      <c r="AN3" s="3" t="s">
        <v>7</v>
      </c>
      <c r="AO3" s="3" t="s">
        <v>5</v>
      </c>
      <c r="AP3" s="3" t="s">
        <v>48</v>
      </c>
    </row>
    <row r="4" spans="1:42" x14ac:dyDescent="0.25">
      <c r="A4" s="4" t="s">
        <v>0</v>
      </c>
      <c r="B4" s="4" t="s">
        <v>0</v>
      </c>
      <c r="C4" s="4" t="s">
        <v>0</v>
      </c>
      <c r="D4" s="4" t="s">
        <v>0</v>
      </c>
      <c r="E4" s="4" t="s">
        <v>0</v>
      </c>
      <c r="F4" s="4" t="s">
        <v>3</v>
      </c>
      <c r="G4" s="4" t="s">
        <v>0</v>
      </c>
      <c r="H4" s="4" t="s">
        <v>50</v>
      </c>
      <c r="I4" s="4" t="s">
        <v>50</v>
      </c>
      <c r="J4" s="4" t="s">
        <v>50</v>
      </c>
      <c r="K4" s="4" t="s">
        <v>3</v>
      </c>
      <c r="L4" s="4" t="s">
        <v>10</v>
      </c>
      <c r="M4" s="4" t="s">
        <v>0</v>
      </c>
      <c r="N4" s="4" t="s">
        <v>0</v>
      </c>
      <c r="O4" s="4" t="s">
        <v>0</v>
      </c>
      <c r="P4" s="4" t="s">
        <v>0</v>
      </c>
      <c r="Q4" s="4" t="s">
        <v>0</v>
      </c>
      <c r="R4" s="18" t="s">
        <v>0</v>
      </c>
      <c r="S4" s="4" t="s">
        <v>0</v>
      </c>
      <c r="T4" s="4" t="s">
        <v>9</v>
      </c>
      <c r="U4" s="4" t="s">
        <v>3</v>
      </c>
      <c r="V4" s="4" t="s">
        <v>10</v>
      </c>
      <c r="W4" s="4" t="s">
        <v>10</v>
      </c>
      <c r="X4" s="4" t="s">
        <v>3</v>
      </c>
      <c r="Y4" s="4" t="s">
        <v>3</v>
      </c>
      <c r="Z4" s="4" t="s">
        <v>10</v>
      </c>
      <c r="AA4" s="4" t="s">
        <v>9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3</v>
      </c>
      <c r="AG4" s="3" t="s">
        <v>3</v>
      </c>
      <c r="AH4" s="3" t="s">
        <v>3</v>
      </c>
      <c r="AI4" s="3" t="s">
        <v>0</v>
      </c>
      <c r="AJ4" s="3" t="s">
        <v>0</v>
      </c>
      <c r="AK4" s="3" t="s">
        <v>3</v>
      </c>
      <c r="AL4" s="3" t="s">
        <v>9</v>
      </c>
      <c r="AM4" s="3" t="s">
        <v>9</v>
      </c>
      <c r="AN4" s="3" t="s">
        <v>9</v>
      </c>
      <c r="AO4" s="3" t="s">
        <v>3</v>
      </c>
      <c r="AP4" s="3" t="s">
        <v>9</v>
      </c>
    </row>
    <row r="5" spans="1:42" x14ac:dyDescent="0.25">
      <c r="A5" s="10" t="s">
        <v>87</v>
      </c>
      <c r="B5" s="10">
        <v>20118001</v>
      </c>
      <c r="C5" s="10" t="str">
        <f>LEFT(A5,11)</f>
        <v>Ex.Mode.101</v>
      </c>
      <c r="D5" s="10">
        <v>1</v>
      </c>
      <c r="E5" s="10"/>
      <c r="F5" s="10"/>
      <c r="G5" s="10"/>
      <c r="H5" s="10"/>
      <c r="I5" s="10"/>
      <c r="J5" s="10"/>
      <c r="K5" s="10" t="s">
        <v>220</v>
      </c>
      <c r="L5" s="10"/>
      <c r="M5" s="11" t="s">
        <v>115</v>
      </c>
      <c r="N5" s="11"/>
      <c r="O5" s="11"/>
      <c r="P5" s="10"/>
      <c r="Q5" s="10">
        <v>0</v>
      </c>
      <c r="R5" s="10"/>
      <c r="S5" s="10">
        <v>10000101</v>
      </c>
      <c r="T5" s="10" t="b">
        <v>0</v>
      </c>
      <c r="U5" s="10"/>
      <c r="V5" s="10" t="b">
        <v>0</v>
      </c>
      <c r="W5" s="10"/>
      <c r="X5" s="10"/>
      <c r="Y5" s="10"/>
      <c r="Z5" s="10" t="b">
        <v>1</v>
      </c>
      <c r="AA5" s="10" t="b">
        <v>0</v>
      </c>
      <c r="AB5" s="10" t="s">
        <v>51</v>
      </c>
      <c r="AC5" s="10">
        <v>10</v>
      </c>
      <c r="AD5" s="10">
        <v>1</v>
      </c>
      <c r="AE5" s="10"/>
      <c r="AF5" s="10"/>
      <c r="AG5" s="10" t="str">
        <f t="shared" ref="AG5:AG10" si="0">IF(AH5=0,"Normal","Defense")</f>
        <v>Normal</v>
      </c>
      <c r="AH5" s="10">
        <v>0</v>
      </c>
      <c r="AI5" s="10" t="s">
        <v>61</v>
      </c>
      <c r="AJ5" s="10">
        <v>120</v>
      </c>
      <c r="AK5" s="10" t="s">
        <v>12</v>
      </c>
      <c r="AL5" s="10"/>
      <c r="AM5" s="10"/>
      <c r="AN5" s="10"/>
      <c r="AO5" s="10"/>
    </row>
    <row r="6" spans="1:42" x14ac:dyDescent="0.25">
      <c r="A6" s="10" t="s">
        <v>88</v>
      </c>
      <c r="B6" s="10">
        <f>B5+1</f>
        <v>20118002</v>
      </c>
      <c r="C6" s="10" t="str">
        <f t="shared" ref="C6:C69" si="1">LEFT(A6,11)</f>
        <v>Ex.Mode.101</v>
      </c>
      <c r="D6" s="10">
        <v>2</v>
      </c>
      <c r="E6" s="10" t="str">
        <f>A5</f>
        <v>Ex.Mode.10101</v>
      </c>
      <c r="F6" s="10"/>
      <c r="G6" s="10"/>
      <c r="H6" s="10"/>
      <c r="I6" s="10"/>
      <c r="J6" s="10"/>
      <c r="K6" s="10" t="s">
        <v>222</v>
      </c>
      <c r="L6" s="10"/>
      <c r="M6" s="11" t="s">
        <v>116</v>
      </c>
      <c r="N6" s="11"/>
      <c r="O6" s="11"/>
      <c r="P6" s="10"/>
      <c r="Q6" s="10">
        <v>0</v>
      </c>
      <c r="R6" s="10"/>
      <c r="S6" s="10">
        <v>10000102</v>
      </c>
      <c r="T6" s="10" t="b">
        <v>0</v>
      </c>
      <c r="U6" s="10"/>
      <c r="V6" s="10" t="b">
        <v>0</v>
      </c>
      <c r="W6" s="10"/>
      <c r="X6" s="10"/>
      <c r="Y6" s="10"/>
      <c r="Z6" s="10" t="b">
        <v>1</v>
      </c>
      <c r="AA6" s="10" t="b">
        <v>0</v>
      </c>
      <c r="AB6" s="10" t="s">
        <v>51</v>
      </c>
      <c r="AC6" s="10">
        <v>10</v>
      </c>
      <c r="AD6" s="10">
        <v>1</v>
      </c>
      <c r="AE6" s="10"/>
      <c r="AF6" s="10"/>
      <c r="AG6" s="10" t="str">
        <f t="shared" si="0"/>
        <v>Normal</v>
      </c>
      <c r="AH6" s="10">
        <v>0</v>
      </c>
      <c r="AI6" s="10" t="s">
        <v>62</v>
      </c>
      <c r="AJ6" s="10">
        <v>120</v>
      </c>
      <c r="AK6" s="10" t="s">
        <v>12</v>
      </c>
      <c r="AL6" s="10"/>
      <c r="AM6" s="10"/>
      <c r="AN6" s="10"/>
      <c r="AO6" s="10"/>
    </row>
    <row r="7" spans="1:42" x14ac:dyDescent="0.25">
      <c r="A7" s="10" t="s">
        <v>89</v>
      </c>
      <c r="B7" s="10">
        <f t="shared" ref="B7:B70" si="2">B6+1</f>
        <v>20118003</v>
      </c>
      <c r="C7" s="10" t="str">
        <f t="shared" si="1"/>
        <v>Ex.Mode.101</v>
      </c>
      <c r="D7" s="10">
        <v>3</v>
      </c>
      <c r="E7" s="10" t="str">
        <f t="shared" ref="E7:E70" si="3">A6</f>
        <v>Ex.Mode.10102</v>
      </c>
      <c r="F7" s="10"/>
      <c r="G7" s="10"/>
      <c r="H7" s="10"/>
      <c r="I7" s="10"/>
      <c r="J7" s="10"/>
      <c r="K7" s="10" t="s">
        <v>220</v>
      </c>
      <c r="L7" s="10"/>
      <c r="M7" s="11" t="s">
        <v>117</v>
      </c>
      <c r="N7" s="11"/>
      <c r="O7" s="11"/>
      <c r="P7" s="10"/>
      <c r="Q7" s="10">
        <v>0</v>
      </c>
      <c r="R7" s="10"/>
      <c r="S7" s="10">
        <v>10000103</v>
      </c>
      <c r="T7" s="10" t="b">
        <v>0</v>
      </c>
      <c r="U7" s="10"/>
      <c r="V7" s="10" t="b">
        <v>0</v>
      </c>
      <c r="W7" s="10"/>
      <c r="X7" s="10"/>
      <c r="Y7" s="10"/>
      <c r="Z7" s="10" t="b">
        <v>1</v>
      </c>
      <c r="AA7" s="10" t="b">
        <v>0</v>
      </c>
      <c r="AB7" s="10" t="s">
        <v>51</v>
      </c>
      <c r="AC7" s="10">
        <v>10</v>
      </c>
      <c r="AD7" s="10">
        <v>1</v>
      </c>
      <c r="AE7" s="10"/>
      <c r="AF7" s="10"/>
      <c r="AG7" s="10" t="str">
        <f t="shared" si="0"/>
        <v>Normal</v>
      </c>
      <c r="AH7" s="10">
        <v>0</v>
      </c>
      <c r="AI7" s="10" t="s">
        <v>62</v>
      </c>
      <c r="AJ7" s="10">
        <v>120</v>
      </c>
      <c r="AK7" s="10" t="s">
        <v>12</v>
      </c>
      <c r="AL7" s="10"/>
      <c r="AM7" s="10"/>
      <c r="AN7" s="10"/>
      <c r="AO7" s="10"/>
    </row>
    <row r="8" spans="1:42" x14ac:dyDescent="0.25">
      <c r="A8" s="10" t="s">
        <v>90</v>
      </c>
      <c r="B8" s="10">
        <f t="shared" si="2"/>
        <v>20118004</v>
      </c>
      <c r="C8" s="10" t="str">
        <f t="shared" si="1"/>
        <v>Ex.Mode.101</v>
      </c>
      <c r="D8" s="10">
        <v>4</v>
      </c>
      <c r="E8" s="10" t="str">
        <f t="shared" si="3"/>
        <v>Ex.Mode.10103</v>
      </c>
      <c r="F8" s="10"/>
      <c r="G8" s="10"/>
      <c r="H8" s="10"/>
      <c r="I8" s="10"/>
      <c r="J8" s="10"/>
      <c r="K8" s="10" t="s">
        <v>221</v>
      </c>
      <c r="L8" s="10"/>
      <c r="M8" s="11" t="s">
        <v>118</v>
      </c>
      <c r="N8" s="11"/>
      <c r="O8" s="11"/>
      <c r="P8" s="10"/>
      <c r="Q8" s="10">
        <v>0</v>
      </c>
      <c r="R8" s="10"/>
      <c r="S8" s="10">
        <v>10000104</v>
      </c>
      <c r="T8" s="10" t="b">
        <v>0</v>
      </c>
      <c r="U8" s="10"/>
      <c r="V8" s="10" t="b">
        <v>0</v>
      </c>
      <c r="W8" s="10"/>
      <c r="X8" s="10"/>
      <c r="Y8" s="10"/>
      <c r="Z8" s="10" t="b">
        <v>1</v>
      </c>
      <c r="AA8" s="10" t="b">
        <v>0</v>
      </c>
      <c r="AB8" s="10" t="s">
        <v>51</v>
      </c>
      <c r="AC8" s="10">
        <v>10</v>
      </c>
      <c r="AD8" s="10">
        <v>1</v>
      </c>
      <c r="AE8" s="10"/>
      <c r="AF8" s="10"/>
      <c r="AG8" s="10" t="str">
        <f t="shared" si="0"/>
        <v>Normal</v>
      </c>
      <c r="AH8" s="10">
        <v>0</v>
      </c>
      <c r="AI8" s="10" t="s">
        <v>62</v>
      </c>
      <c r="AJ8" s="10">
        <v>120</v>
      </c>
      <c r="AK8" s="10" t="s">
        <v>12</v>
      </c>
      <c r="AL8" s="10"/>
      <c r="AM8" s="10"/>
      <c r="AN8" s="10"/>
      <c r="AO8" s="10"/>
    </row>
    <row r="9" spans="1:42" x14ac:dyDescent="0.25">
      <c r="A9" s="10" t="s">
        <v>91</v>
      </c>
      <c r="B9" s="10">
        <f t="shared" si="2"/>
        <v>20118005</v>
      </c>
      <c r="C9" s="10" t="str">
        <f t="shared" si="1"/>
        <v>Ex.Mode.101</v>
      </c>
      <c r="D9" s="10">
        <v>5</v>
      </c>
      <c r="E9" s="10" t="str">
        <f t="shared" si="3"/>
        <v>Ex.Mode.10104</v>
      </c>
      <c r="F9" s="10"/>
      <c r="G9" s="10"/>
      <c r="H9" s="10"/>
      <c r="I9" s="10"/>
      <c r="J9" s="10"/>
      <c r="K9" s="10" t="s">
        <v>223</v>
      </c>
      <c r="L9" s="10"/>
      <c r="M9" s="11" t="s">
        <v>119</v>
      </c>
      <c r="N9" s="11"/>
      <c r="O9" s="11"/>
      <c r="P9" s="10"/>
      <c r="Q9" s="10">
        <v>0</v>
      </c>
      <c r="R9" s="10"/>
      <c r="S9" s="10">
        <v>10000105</v>
      </c>
      <c r="T9" s="10" t="b">
        <v>0</v>
      </c>
      <c r="U9" s="10"/>
      <c r="V9" s="10" t="b">
        <v>0</v>
      </c>
      <c r="W9" s="10"/>
      <c r="X9" s="10"/>
      <c r="Y9" s="10"/>
      <c r="Z9" s="10" t="b">
        <v>1</v>
      </c>
      <c r="AA9" s="10" t="b">
        <v>0</v>
      </c>
      <c r="AB9" s="10" t="s">
        <v>51</v>
      </c>
      <c r="AC9" s="10">
        <v>10</v>
      </c>
      <c r="AD9" s="10">
        <v>1</v>
      </c>
      <c r="AE9" s="10"/>
      <c r="AF9" s="10"/>
      <c r="AG9" s="10" t="str">
        <f t="shared" si="0"/>
        <v>Normal</v>
      </c>
      <c r="AH9" s="10">
        <v>0</v>
      </c>
      <c r="AI9" s="10" t="s">
        <v>62</v>
      </c>
      <c r="AJ9" s="10">
        <v>120</v>
      </c>
      <c r="AK9" s="10" t="s">
        <v>12</v>
      </c>
      <c r="AL9" s="10"/>
      <c r="AM9" s="10"/>
      <c r="AN9" s="10"/>
      <c r="AO9" s="10"/>
    </row>
    <row r="10" spans="1:42" x14ac:dyDescent="0.25">
      <c r="A10" s="10" t="s">
        <v>92</v>
      </c>
      <c r="B10" s="10">
        <f t="shared" si="2"/>
        <v>20118006</v>
      </c>
      <c r="C10" s="10" t="str">
        <f t="shared" si="1"/>
        <v>Ex.Mode.101</v>
      </c>
      <c r="D10" s="10">
        <v>6</v>
      </c>
      <c r="E10" s="10" t="str">
        <f t="shared" si="3"/>
        <v>Ex.Mode.10105</v>
      </c>
      <c r="F10" s="10"/>
      <c r="G10" s="10"/>
      <c r="H10" s="10"/>
      <c r="I10" s="10"/>
      <c r="J10" s="10"/>
      <c r="K10" s="10" t="s">
        <v>221</v>
      </c>
      <c r="L10" s="10"/>
      <c r="M10" s="11" t="s">
        <v>120</v>
      </c>
      <c r="N10" s="11"/>
      <c r="O10" s="11"/>
      <c r="P10" s="10"/>
      <c r="Q10" s="10">
        <v>0</v>
      </c>
      <c r="R10" s="10"/>
      <c r="S10" s="10">
        <v>10000106</v>
      </c>
      <c r="T10" s="10" t="b">
        <v>0</v>
      </c>
      <c r="U10" s="10"/>
      <c r="V10" s="10" t="b">
        <v>0</v>
      </c>
      <c r="W10" s="10"/>
      <c r="X10" s="10"/>
      <c r="Y10" s="10"/>
      <c r="Z10" s="10" t="b">
        <v>1</v>
      </c>
      <c r="AA10" s="10" t="b">
        <v>0</v>
      </c>
      <c r="AB10" s="10" t="s">
        <v>51</v>
      </c>
      <c r="AC10" s="10">
        <v>10</v>
      </c>
      <c r="AD10" s="10">
        <v>1</v>
      </c>
      <c r="AE10" s="10"/>
      <c r="AF10" s="10"/>
      <c r="AG10" s="10" t="str">
        <f t="shared" si="0"/>
        <v>Normal</v>
      </c>
      <c r="AH10" s="10">
        <v>0</v>
      </c>
      <c r="AI10" s="10" t="s">
        <v>62</v>
      </c>
      <c r="AJ10" s="10">
        <v>120</v>
      </c>
      <c r="AK10" s="10" t="s">
        <v>12</v>
      </c>
      <c r="AL10" s="10"/>
      <c r="AM10" s="10"/>
      <c r="AN10" s="10"/>
      <c r="AO10" s="10"/>
    </row>
    <row r="11" spans="1:42" x14ac:dyDescent="0.25">
      <c r="A11" s="10" t="s">
        <v>93</v>
      </c>
      <c r="B11" s="10">
        <f t="shared" si="2"/>
        <v>20118007</v>
      </c>
      <c r="C11" s="10" t="str">
        <f t="shared" si="1"/>
        <v>Ex.Mode.101</v>
      </c>
      <c r="D11" s="10">
        <v>7</v>
      </c>
      <c r="E11" s="10" t="str">
        <f t="shared" si="3"/>
        <v>Ex.Mode.10106</v>
      </c>
      <c r="F11" s="10"/>
      <c r="G11" s="10"/>
      <c r="H11" s="10"/>
      <c r="I11" s="10"/>
      <c r="J11" s="10"/>
      <c r="K11" s="10" t="s">
        <v>222</v>
      </c>
      <c r="L11" s="10"/>
      <c r="M11" s="11" t="s">
        <v>121</v>
      </c>
      <c r="N11" s="11"/>
      <c r="O11" s="11"/>
      <c r="P11" s="10"/>
      <c r="Q11" s="10">
        <v>0</v>
      </c>
      <c r="R11" s="10"/>
      <c r="S11" s="10">
        <v>10000107</v>
      </c>
      <c r="T11" s="10" t="b">
        <v>0</v>
      </c>
      <c r="U11" s="10"/>
      <c r="V11" s="10" t="b">
        <v>0</v>
      </c>
      <c r="W11" s="10"/>
      <c r="X11" s="10"/>
      <c r="Y11" s="10"/>
      <c r="Z11" s="10" t="b">
        <v>1</v>
      </c>
      <c r="AA11" s="10" t="b">
        <v>0</v>
      </c>
      <c r="AB11" s="10" t="s">
        <v>51</v>
      </c>
      <c r="AC11" s="10">
        <v>10</v>
      </c>
      <c r="AD11" s="10">
        <v>1</v>
      </c>
      <c r="AE11" s="10"/>
      <c r="AF11" s="10"/>
      <c r="AG11" s="10" t="str">
        <f t="shared" ref="AG11" si="4">IF(AH11=0,"Normal","Defense")</f>
        <v>Normal</v>
      </c>
      <c r="AH11" s="10">
        <v>0</v>
      </c>
      <c r="AI11" s="10" t="s">
        <v>62</v>
      </c>
      <c r="AJ11" s="10">
        <v>120</v>
      </c>
      <c r="AK11" s="10" t="s">
        <v>12</v>
      </c>
      <c r="AL11" s="10"/>
      <c r="AM11" s="10"/>
      <c r="AN11" s="10"/>
      <c r="AO11" s="10"/>
    </row>
    <row r="12" spans="1:42" x14ac:dyDescent="0.25">
      <c r="A12" s="10" t="s">
        <v>94</v>
      </c>
      <c r="B12" s="10">
        <f t="shared" si="2"/>
        <v>20118008</v>
      </c>
      <c r="C12" s="10" t="str">
        <f t="shared" si="1"/>
        <v>Ex.Mode.101</v>
      </c>
      <c r="D12" s="10">
        <v>8</v>
      </c>
      <c r="E12" s="10" t="str">
        <f t="shared" si="3"/>
        <v>Ex.Mode.10107</v>
      </c>
      <c r="F12" s="10"/>
      <c r="G12" s="10"/>
      <c r="H12" s="10"/>
      <c r="I12" s="10"/>
      <c r="J12" s="10"/>
      <c r="K12" s="10" t="s">
        <v>222</v>
      </c>
      <c r="L12" s="10"/>
      <c r="M12" s="11" t="s">
        <v>122</v>
      </c>
      <c r="N12" s="11"/>
      <c r="O12" s="11"/>
      <c r="P12" s="10"/>
      <c r="Q12" s="10">
        <v>0</v>
      </c>
      <c r="R12" s="10"/>
      <c r="S12" s="10">
        <v>10000108</v>
      </c>
      <c r="T12" s="10" t="b">
        <v>0</v>
      </c>
      <c r="U12" s="10"/>
      <c r="V12" s="10" t="b">
        <v>0</v>
      </c>
      <c r="W12" s="10"/>
      <c r="X12" s="10"/>
      <c r="Y12" s="10"/>
      <c r="Z12" s="10" t="b">
        <v>1</v>
      </c>
      <c r="AA12" s="10" t="b">
        <v>0</v>
      </c>
      <c r="AB12" s="10" t="s">
        <v>51</v>
      </c>
      <c r="AC12" s="10">
        <v>10</v>
      </c>
      <c r="AD12" s="10">
        <v>1</v>
      </c>
      <c r="AE12" s="10"/>
      <c r="AF12" s="10"/>
      <c r="AG12" s="10" t="str">
        <f t="shared" ref="AG12" si="5">IF(AH12=0,"Normal","Defense")</f>
        <v>Normal</v>
      </c>
      <c r="AH12" s="10">
        <v>0</v>
      </c>
      <c r="AI12" s="10" t="s">
        <v>62</v>
      </c>
      <c r="AJ12" s="10">
        <v>120</v>
      </c>
      <c r="AK12" s="10" t="s">
        <v>12</v>
      </c>
      <c r="AL12" s="10"/>
      <c r="AM12" s="10"/>
      <c r="AN12" s="10"/>
      <c r="AO12" s="10"/>
    </row>
    <row r="13" spans="1:42" x14ac:dyDescent="0.25">
      <c r="A13" s="10" t="s">
        <v>95</v>
      </c>
      <c r="B13" s="10">
        <f t="shared" si="2"/>
        <v>20118009</v>
      </c>
      <c r="C13" s="10" t="str">
        <f t="shared" si="1"/>
        <v>Ex.Mode.101</v>
      </c>
      <c r="D13" s="10">
        <v>9</v>
      </c>
      <c r="E13" s="10" t="str">
        <f t="shared" si="3"/>
        <v>Ex.Mode.10108</v>
      </c>
      <c r="F13" s="10"/>
      <c r="G13" s="10"/>
      <c r="H13" s="10"/>
      <c r="I13" s="10"/>
      <c r="J13" s="10"/>
      <c r="K13" s="10" t="s">
        <v>221</v>
      </c>
      <c r="L13" s="10"/>
      <c r="M13" s="11" t="s">
        <v>123</v>
      </c>
      <c r="N13" s="11"/>
      <c r="O13" s="11"/>
      <c r="P13" s="10"/>
      <c r="Q13" s="10">
        <v>0</v>
      </c>
      <c r="R13" s="10"/>
      <c r="S13" s="10">
        <v>10000109</v>
      </c>
      <c r="T13" s="10" t="b">
        <v>0</v>
      </c>
      <c r="U13" s="10"/>
      <c r="V13" s="10" t="b">
        <v>0</v>
      </c>
      <c r="W13" s="10"/>
      <c r="X13" s="10"/>
      <c r="Y13" s="10"/>
      <c r="Z13" s="10" t="b">
        <v>1</v>
      </c>
      <c r="AA13" s="10" t="b">
        <v>0</v>
      </c>
      <c r="AB13" s="10" t="s">
        <v>51</v>
      </c>
      <c r="AC13" s="10">
        <v>10</v>
      </c>
      <c r="AD13" s="10">
        <v>1</v>
      </c>
      <c r="AE13" s="10"/>
      <c r="AF13" s="10"/>
      <c r="AG13" s="10" t="str">
        <f t="shared" ref="AG13" si="6">IF(AH13=0,"Normal","Defense")</f>
        <v>Normal</v>
      </c>
      <c r="AH13" s="10">
        <v>0</v>
      </c>
      <c r="AI13" s="10" t="s">
        <v>62</v>
      </c>
      <c r="AJ13" s="10">
        <v>120</v>
      </c>
      <c r="AK13" s="10" t="s">
        <v>12</v>
      </c>
      <c r="AL13" s="10"/>
      <c r="AM13" s="10"/>
      <c r="AN13" s="10"/>
      <c r="AO13" s="10"/>
    </row>
    <row r="14" spans="1:42" x14ac:dyDescent="0.25">
      <c r="A14" s="10" t="s">
        <v>96</v>
      </c>
      <c r="B14" s="10">
        <f t="shared" si="2"/>
        <v>20118010</v>
      </c>
      <c r="C14" s="10" t="str">
        <f t="shared" si="1"/>
        <v>Ex.Mode.101</v>
      </c>
      <c r="D14" s="10">
        <v>10</v>
      </c>
      <c r="E14" s="10" t="str">
        <f t="shared" si="3"/>
        <v>Ex.Mode.10109</v>
      </c>
      <c r="F14" s="10"/>
      <c r="G14" s="10"/>
      <c r="H14" s="10"/>
      <c r="I14" s="10"/>
      <c r="J14" s="10"/>
      <c r="K14" s="10" t="s">
        <v>224</v>
      </c>
      <c r="L14" s="10"/>
      <c r="M14" s="11" t="s">
        <v>124</v>
      </c>
      <c r="N14" s="11"/>
      <c r="O14" s="11"/>
      <c r="P14" s="10"/>
      <c r="Q14" s="10">
        <v>0</v>
      </c>
      <c r="R14" s="10"/>
      <c r="S14" s="10">
        <v>10000110</v>
      </c>
      <c r="T14" s="10" t="b">
        <v>0</v>
      </c>
      <c r="U14" s="10"/>
      <c r="V14" s="10" t="b">
        <v>0</v>
      </c>
      <c r="W14" s="10"/>
      <c r="X14" s="10"/>
      <c r="Y14" s="10"/>
      <c r="Z14" s="10" t="b">
        <v>1</v>
      </c>
      <c r="AA14" s="10" t="b">
        <v>0</v>
      </c>
      <c r="AB14" s="10" t="s">
        <v>63</v>
      </c>
      <c r="AC14" s="10">
        <v>10</v>
      </c>
      <c r="AD14" s="10">
        <v>1</v>
      </c>
      <c r="AE14" s="10"/>
      <c r="AF14" s="10"/>
      <c r="AG14" s="10" t="str">
        <f t="shared" ref="AG14" si="7">IF(AH14=0,"Normal","Defense")</f>
        <v>Normal</v>
      </c>
      <c r="AH14" s="10">
        <v>0</v>
      </c>
      <c r="AI14" s="10" t="s">
        <v>62</v>
      </c>
      <c r="AJ14" s="10">
        <v>120</v>
      </c>
      <c r="AK14" s="10" t="s">
        <v>64</v>
      </c>
      <c r="AL14" s="10"/>
      <c r="AM14" s="10"/>
      <c r="AN14" s="10"/>
      <c r="AO14" s="10"/>
    </row>
    <row r="15" spans="1:42" x14ac:dyDescent="0.25">
      <c r="A15" s="14" t="str">
        <f t="shared" ref="A15:A46" si="8">"Ex.Mode."&amp;RIGHT(A5,5)+100</f>
        <v>Ex.Mode.10201</v>
      </c>
      <c r="B15" s="14">
        <f t="shared" si="2"/>
        <v>20118011</v>
      </c>
      <c r="C15" s="14" t="str">
        <f t="shared" si="1"/>
        <v>Ex.Mode.102</v>
      </c>
      <c r="D15" s="14">
        <v>1</v>
      </c>
      <c r="E15" s="14" t="str">
        <f t="shared" si="3"/>
        <v>Ex.Mode.10110</v>
      </c>
      <c r="F15" s="14"/>
      <c r="G15" s="14"/>
      <c r="H15" s="14"/>
      <c r="I15" s="14"/>
      <c r="J15" s="14"/>
      <c r="K15" s="14" t="s">
        <v>225</v>
      </c>
      <c r="L15" s="14"/>
      <c r="M15" s="15" t="s">
        <v>125</v>
      </c>
      <c r="N15" s="15"/>
      <c r="O15" s="15"/>
      <c r="P15" s="14"/>
      <c r="Q15" s="14">
        <v>0</v>
      </c>
      <c r="R15" s="14"/>
      <c r="S15" s="14">
        <v>10000201</v>
      </c>
      <c r="T15" s="14" t="b">
        <v>0</v>
      </c>
      <c r="U15" s="14"/>
      <c r="V15" s="14" t="b">
        <v>0</v>
      </c>
      <c r="W15" s="14"/>
      <c r="X15" s="14"/>
      <c r="Y15" s="14"/>
      <c r="Z15" s="14" t="b">
        <v>1</v>
      </c>
      <c r="AA15" s="14" t="b">
        <v>0</v>
      </c>
      <c r="AB15" s="14" t="s">
        <v>63</v>
      </c>
      <c r="AC15" s="14">
        <v>10</v>
      </c>
      <c r="AD15" s="14">
        <v>1</v>
      </c>
      <c r="AE15" s="14"/>
      <c r="AF15" s="14"/>
      <c r="AG15" s="14" t="str">
        <f t="shared" ref="AG15:AG78" si="9">IF(AH15=0,"Normal","Defense")</f>
        <v>Normal</v>
      </c>
      <c r="AH15" s="14">
        <v>0</v>
      </c>
      <c r="AI15" s="14" t="s">
        <v>62</v>
      </c>
      <c r="AJ15" s="14">
        <v>120</v>
      </c>
      <c r="AK15" s="14" t="s">
        <v>64</v>
      </c>
      <c r="AL15" s="14"/>
      <c r="AM15" s="14"/>
      <c r="AN15" s="14"/>
      <c r="AO15" s="14"/>
    </row>
    <row r="16" spans="1:42" x14ac:dyDescent="0.25">
      <c r="A16" s="14" t="str">
        <f t="shared" si="8"/>
        <v>Ex.Mode.10202</v>
      </c>
      <c r="B16" s="14">
        <f t="shared" si="2"/>
        <v>20118012</v>
      </c>
      <c r="C16" s="14" t="str">
        <f t="shared" si="1"/>
        <v>Ex.Mode.102</v>
      </c>
      <c r="D16" s="14">
        <v>2</v>
      </c>
      <c r="E16" s="14" t="str">
        <f t="shared" si="3"/>
        <v>Ex.Mode.10201</v>
      </c>
      <c r="F16" s="14"/>
      <c r="G16" s="14"/>
      <c r="H16" s="14"/>
      <c r="I16" s="14"/>
      <c r="J16" s="14"/>
      <c r="K16" s="14" t="s">
        <v>227</v>
      </c>
      <c r="L16" s="14"/>
      <c r="M16" s="15" t="s">
        <v>126</v>
      </c>
      <c r="N16" s="15"/>
      <c r="O16" s="15"/>
      <c r="P16" s="14"/>
      <c r="Q16" s="14">
        <v>0</v>
      </c>
      <c r="R16" s="14"/>
      <c r="S16" s="14">
        <v>10000202</v>
      </c>
      <c r="T16" s="14" t="b">
        <v>0</v>
      </c>
      <c r="U16" s="14"/>
      <c r="V16" s="14" t="b">
        <v>0</v>
      </c>
      <c r="W16" s="14"/>
      <c r="X16" s="14"/>
      <c r="Y16" s="14"/>
      <c r="Z16" s="14" t="b">
        <v>1</v>
      </c>
      <c r="AA16" s="14" t="b">
        <v>0</v>
      </c>
      <c r="AB16" s="14" t="s">
        <v>63</v>
      </c>
      <c r="AC16" s="14">
        <v>10</v>
      </c>
      <c r="AD16" s="14">
        <v>1</v>
      </c>
      <c r="AE16" s="14"/>
      <c r="AF16" s="14"/>
      <c r="AG16" s="14" t="str">
        <f t="shared" si="9"/>
        <v>Normal</v>
      </c>
      <c r="AH16" s="14">
        <v>0</v>
      </c>
      <c r="AI16" s="14" t="s">
        <v>62</v>
      </c>
      <c r="AJ16" s="14">
        <v>120</v>
      </c>
      <c r="AK16" s="14" t="s">
        <v>64</v>
      </c>
      <c r="AL16" s="14"/>
      <c r="AM16" s="14"/>
      <c r="AN16" s="14"/>
      <c r="AO16" s="14"/>
    </row>
    <row r="17" spans="1:41" x14ac:dyDescent="0.25">
      <c r="A17" s="14" t="str">
        <f t="shared" si="8"/>
        <v>Ex.Mode.10203</v>
      </c>
      <c r="B17" s="14">
        <f t="shared" si="2"/>
        <v>20118013</v>
      </c>
      <c r="C17" s="14" t="str">
        <f t="shared" si="1"/>
        <v>Ex.Mode.102</v>
      </c>
      <c r="D17" s="14">
        <v>3</v>
      </c>
      <c r="E17" s="14" t="str">
        <f t="shared" si="3"/>
        <v>Ex.Mode.10202</v>
      </c>
      <c r="F17" s="14"/>
      <c r="G17" s="14"/>
      <c r="H17" s="14"/>
      <c r="I17" s="14"/>
      <c r="J17" s="14"/>
      <c r="K17" s="14" t="s">
        <v>225</v>
      </c>
      <c r="L17" s="14"/>
      <c r="M17" s="15" t="s">
        <v>127</v>
      </c>
      <c r="N17" s="15"/>
      <c r="O17" s="15"/>
      <c r="P17" s="14"/>
      <c r="Q17" s="14">
        <v>0</v>
      </c>
      <c r="R17" s="14"/>
      <c r="S17" s="14">
        <v>10000203</v>
      </c>
      <c r="T17" s="14" t="b">
        <v>0</v>
      </c>
      <c r="U17" s="14"/>
      <c r="V17" s="14" t="b">
        <v>0</v>
      </c>
      <c r="W17" s="14"/>
      <c r="X17" s="14"/>
      <c r="Y17" s="14"/>
      <c r="Z17" s="14" t="b">
        <v>1</v>
      </c>
      <c r="AA17" s="14" t="b">
        <v>0</v>
      </c>
      <c r="AB17" s="14" t="s">
        <v>63</v>
      </c>
      <c r="AC17" s="14">
        <v>10</v>
      </c>
      <c r="AD17" s="14">
        <v>1</v>
      </c>
      <c r="AE17" s="14"/>
      <c r="AF17" s="14"/>
      <c r="AG17" s="14" t="str">
        <f t="shared" si="9"/>
        <v>Normal</v>
      </c>
      <c r="AH17" s="14">
        <v>0</v>
      </c>
      <c r="AI17" s="14" t="s">
        <v>62</v>
      </c>
      <c r="AJ17" s="14">
        <v>120</v>
      </c>
      <c r="AK17" s="14" t="s">
        <v>64</v>
      </c>
      <c r="AL17" s="14"/>
      <c r="AM17" s="14"/>
      <c r="AN17" s="14"/>
      <c r="AO17" s="14"/>
    </row>
    <row r="18" spans="1:41" x14ac:dyDescent="0.25">
      <c r="A18" s="14" t="str">
        <f t="shared" si="8"/>
        <v>Ex.Mode.10204</v>
      </c>
      <c r="B18" s="14">
        <f t="shared" si="2"/>
        <v>20118014</v>
      </c>
      <c r="C18" s="14" t="str">
        <f t="shared" si="1"/>
        <v>Ex.Mode.102</v>
      </c>
      <c r="D18" s="14">
        <v>4</v>
      </c>
      <c r="E18" s="14" t="str">
        <f t="shared" si="3"/>
        <v>Ex.Mode.10203</v>
      </c>
      <c r="F18" s="14"/>
      <c r="G18" s="14"/>
      <c r="H18" s="14"/>
      <c r="I18" s="14"/>
      <c r="J18" s="14"/>
      <c r="K18" s="14" t="s">
        <v>227</v>
      </c>
      <c r="L18" s="14"/>
      <c r="M18" s="15" t="s">
        <v>128</v>
      </c>
      <c r="N18" s="15"/>
      <c r="O18" s="15"/>
      <c r="P18" s="14"/>
      <c r="Q18" s="14">
        <v>0</v>
      </c>
      <c r="R18" s="14"/>
      <c r="S18" s="14">
        <v>10000204</v>
      </c>
      <c r="T18" s="14" t="b">
        <v>0</v>
      </c>
      <c r="U18" s="14"/>
      <c r="V18" s="14" t="b">
        <v>0</v>
      </c>
      <c r="W18" s="14"/>
      <c r="X18" s="14"/>
      <c r="Y18" s="14"/>
      <c r="Z18" s="14" t="b">
        <v>1</v>
      </c>
      <c r="AA18" s="14" t="b">
        <v>0</v>
      </c>
      <c r="AB18" s="14" t="s">
        <v>63</v>
      </c>
      <c r="AC18" s="14">
        <v>10</v>
      </c>
      <c r="AD18" s="14">
        <v>1</v>
      </c>
      <c r="AE18" s="14"/>
      <c r="AF18" s="14"/>
      <c r="AG18" s="14" t="str">
        <f t="shared" si="9"/>
        <v>Normal</v>
      </c>
      <c r="AH18" s="14">
        <v>0</v>
      </c>
      <c r="AI18" s="14" t="s">
        <v>62</v>
      </c>
      <c r="AJ18" s="14">
        <v>120</v>
      </c>
      <c r="AK18" s="14" t="s">
        <v>64</v>
      </c>
      <c r="AL18" s="14"/>
      <c r="AM18" s="14"/>
      <c r="AN18" s="14"/>
      <c r="AO18" s="14"/>
    </row>
    <row r="19" spans="1:41" x14ac:dyDescent="0.25">
      <c r="A19" s="14" t="str">
        <f t="shared" si="8"/>
        <v>Ex.Mode.10205</v>
      </c>
      <c r="B19" s="14">
        <f t="shared" si="2"/>
        <v>20118015</v>
      </c>
      <c r="C19" s="14" t="str">
        <f t="shared" si="1"/>
        <v>Ex.Mode.102</v>
      </c>
      <c r="D19" s="14">
        <v>5</v>
      </c>
      <c r="E19" s="14" t="str">
        <f t="shared" si="3"/>
        <v>Ex.Mode.10204</v>
      </c>
      <c r="F19" s="14"/>
      <c r="G19" s="14"/>
      <c r="H19" s="14"/>
      <c r="I19" s="14"/>
      <c r="J19" s="14"/>
      <c r="K19" s="14" t="s">
        <v>226</v>
      </c>
      <c r="L19" s="14"/>
      <c r="M19" s="15" t="s">
        <v>129</v>
      </c>
      <c r="N19" s="15"/>
      <c r="O19" s="15"/>
      <c r="P19" s="14"/>
      <c r="Q19" s="14">
        <v>0</v>
      </c>
      <c r="R19" s="14"/>
      <c r="S19" s="14">
        <v>10000205</v>
      </c>
      <c r="T19" s="14" t="b">
        <v>0</v>
      </c>
      <c r="U19" s="14"/>
      <c r="V19" s="14" t="b">
        <v>0</v>
      </c>
      <c r="W19" s="14"/>
      <c r="X19" s="14"/>
      <c r="Y19" s="14"/>
      <c r="Z19" s="14" t="b">
        <v>1</v>
      </c>
      <c r="AA19" s="14" t="b">
        <v>0</v>
      </c>
      <c r="AB19" s="14" t="s">
        <v>63</v>
      </c>
      <c r="AC19" s="14">
        <v>10</v>
      </c>
      <c r="AD19" s="14">
        <v>1</v>
      </c>
      <c r="AE19" s="14"/>
      <c r="AF19" s="14"/>
      <c r="AG19" s="14" t="str">
        <f t="shared" si="9"/>
        <v>Normal</v>
      </c>
      <c r="AH19" s="14">
        <v>0</v>
      </c>
      <c r="AI19" s="14" t="s">
        <v>62</v>
      </c>
      <c r="AJ19" s="14">
        <v>120</v>
      </c>
      <c r="AK19" s="14" t="s">
        <v>64</v>
      </c>
      <c r="AL19" s="14"/>
      <c r="AM19" s="14"/>
      <c r="AN19" s="14"/>
      <c r="AO19" s="14"/>
    </row>
    <row r="20" spans="1:41" x14ac:dyDescent="0.25">
      <c r="A20" s="14" t="str">
        <f t="shared" si="8"/>
        <v>Ex.Mode.10206</v>
      </c>
      <c r="B20" s="14">
        <f t="shared" si="2"/>
        <v>20118016</v>
      </c>
      <c r="C20" s="14" t="str">
        <f t="shared" si="1"/>
        <v>Ex.Mode.102</v>
      </c>
      <c r="D20" s="14">
        <v>6</v>
      </c>
      <c r="E20" s="14" t="str">
        <f t="shared" si="3"/>
        <v>Ex.Mode.10205</v>
      </c>
      <c r="F20" s="14"/>
      <c r="G20" s="14"/>
      <c r="H20" s="14"/>
      <c r="I20" s="14"/>
      <c r="J20" s="14"/>
      <c r="K20" s="14" t="s">
        <v>228</v>
      </c>
      <c r="L20" s="14"/>
      <c r="M20" s="15" t="s">
        <v>130</v>
      </c>
      <c r="N20" s="15"/>
      <c r="O20" s="15"/>
      <c r="P20" s="14"/>
      <c r="Q20" s="14">
        <v>0</v>
      </c>
      <c r="R20" s="14"/>
      <c r="S20" s="14">
        <v>10000206</v>
      </c>
      <c r="T20" s="14" t="b">
        <v>0</v>
      </c>
      <c r="U20" s="14"/>
      <c r="V20" s="14" t="b">
        <v>0</v>
      </c>
      <c r="W20" s="14"/>
      <c r="X20" s="14"/>
      <c r="Y20" s="14"/>
      <c r="Z20" s="14" t="b">
        <v>1</v>
      </c>
      <c r="AA20" s="14" t="b">
        <v>0</v>
      </c>
      <c r="AB20" s="14" t="s">
        <v>63</v>
      </c>
      <c r="AC20" s="14">
        <v>10</v>
      </c>
      <c r="AD20" s="14">
        <v>1</v>
      </c>
      <c r="AE20" s="14"/>
      <c r="AF20" s="14"/>
      <c r="AG20" s="14" t="str">
        <f t="shared" si="9"/>
        <v>Normal</v>
      </c>
      <c r="AH20" s="14">
        <v>0</v>
      </c>
      <c r="AI20" s="14" t="s">
        <v>62</v>
      </c>
      <c r="AJ20" s="14">
        <v>120</v>
      </c>
      <c r="AK20" s="14" t="s">
        <v>64</v>
      </c>
      <c r="AL20" s="14"/>
      <c r="AM20" s="14"/>
      <c r="AN20" s="14"/>
      <c r="AO20" s="14"/>
    </row>
    <row r="21" spans="1:41" x14ac:dyDescent="0.25">
      <c r="A21" s="14" t="str">
        <f t="shared" si="8"/>
        <v>Ex.Mode.10207</v>
      </c>
      <c r="B21" s="14">
        <f t="shared" si="2"/>
        <v>20118017</v>
      </c>
      <c r="C21" s="14" t="str">
        <f t="shared" si="1"/>
        <v>Ex.Mode.102</v>
      </c>
      <c r="D21" s="14">
        <v>7</v>
      </c>
      <c r="E21" s="14" t="str">
        <f t="shared" si="3"/>
        <v>Ex.Mode.10206</v>
      </c>
      <c r="F21" s="14"/>
      <c r="G21" s="14"/>
      <c r="H21" s="14"/>
      <c r="I21" s="14"/>
      <c r="J21" s="14"/>
      <c r="K21" s="14" t="s">
        <v>230</v>
      </c>
      <c r="L21" s="14"/>
      <c r="M21" s="15" t="s">
        <v>131</v>
      </c>
      <c r="N21" s="15"/>
      <c r="O21" s="15"/>
      <c r="P21" s="14"/>
      <c r="Q21" s="14">
        <v>0</v>
      </c>
      <c r="R21" s="14"/>
      <c r="S21" s="14">
        <v>10000207</v>
      </c>
      <c r="T21" s="14" t="b">
        <v>0</v>
      </c>
      <c r="U21" s="14"/>
      <c r="V21" s="14" t="b">
        <v>0</v>
      </c>
      <c r="W21" s="14"/>
      <c r="X21" s="14"/>
      <c r="Y21" s="14"/>
      <c r="Z21" s="14" t="b">
        <v>1</v>
      </c>
      <c r="AA21" s="14" t="b">
        <v>0</v>
      </c>
      <c r="AB21" s="14" t="s">
        <v>63</v>
      </c>
      <c r="AC21" s="14">
        <v>10</v>
      </c>
      <c r="AD21" s="14">
        <v>1</v>
      </c>
      <c r="AE21" s="14"/>
      <c r="AF21" s="14"/>
      <c r="AG21" s="14" t="str">
        <f t="shared" si="9"/>
        <v>Normal</v>
      </c>
      <c r="AH21" s="14">
        <v>0</v>
      </c>
      <c r="AI21" s="14" t="s">
        <v>62</v>
      </c>
      <c r="AJ21" s="14">
        <v>120</v>
      </c>
      <c r="AK21" s="14" t="s">
        <v>64</v>
      </c>
      <c r="AL21" s="14"/>
      <c r="AM21" s="14"/>
      <c r="AN21" s="14"/>
      <c r="AO21" s="14"/>
    </row>
    <row r="22" spans="1:41" x14ac:dyDescent="0.25">
      <c r="A22" s="14" t="str">
        <f t="shared" si="8"/>
        <v>Ex.Mode.10208</v>
      </c>
      <c r="B22" s="14">
        <f t="shared" si="2"/>
        <v>20118018</v>
      </c>
      <c r="C22" s="14" t="str">
        <f t="shared" si="1"/>
        <v>Ex.Mode.102</v>
      </c>
      <c r="D22" s="14">
        <v>8</v>
      </c>
      <c r="E22" s="14" t="str">
        <f t="shared" si="3"/>
        <v>Ex.Mode.10207</v>
      </c>
      <c r="F22" s="14"/>
      <c r="G22" s="14"/>
      <c r="H22" s="14"/>
      <c r="I22" s="14"/>
      <c r="J22" s="14"/>
      <c r="K22" s="14" t="s">
        <v>228</v>
      </c>
      <c r="L22" s="14"/>
      <c r="M22" s="15" t="s">
        <v>132</v>
      </c>
      <c r="N22" s="15"/>
      <c r="O22" s="15"/>
      <c r="P22" s="14"/>
      <c r="Q22" s="14">
        <v>0</v>
      </c>
      <c r="R22" s="14"/>
      <c r="S22" s="14">
        <v>10000208</v>
      </c>
      <c r="T22" s="14" t="b">
        <v>0</v>
      </c>
      <c r="U22" s="14"/>
      <c r="V22" s="14" t="b">
        <v>0</v>
      </c>
      <c r="W22" s="14"/>
      <c r="X22" s="14"/>
      <c r="Y22" s="14"/>
      <c r="Z22" s="14" t="b">
        <v>1</v>
      </c>
      <c r="AA22" s="14" t="b">
        <v>0</v>
      </c>
      <c r="AB22" s="14" t="s">
        <v>63</v>
      </c>
      <c r="AC22" s="14">
        <v>10</v>
      </c>
      <c r="AD22" s="14">
        <v>1</v>
      </c>
      <c r="AE22" s="14"/>
      <c r="AF22" s="14"/>
      <c r="AG22" s="14" t="str">
        <f t="shared" si="9"/>
        <v>Normal</v>
      </c>
      <c r="AH22" s="14">
        <v>0</v>
      </c>
      <c r="AI22" s="14" t="s">
        <v>62</v>
      </c>
      <c r="AJ22" s="14">
        <v>120</v>
      </c>
      <c r="AK22" s="14" t="s">
        <v>64</v>
      </c>
      <c r="AL22" s="14"/>
      <c r="AM22" s="14"/>
      <c r="AN22" s="14"/>
      <c r="AO22" s="14"/>
    </row>
    <row r="23" spans="1:41" x14ac:dyDescent="0.25">
      <c r="A23" s="14" t="str">
        <f t="shared" si="8"/>
        <v>Ex.Mode.10209</v>
      </c>
      <c r="B23" s="14">
        <f t="shared" si="2"/>
        <v>20118019</v>
      </c>
      <c r="C23" s="14" t="str">
        <f t="shared" si="1"/>
        <v>Ex.Mode.102</v>
      </c>
      <c r="D23" s="14">
        <v>9</v>
      </c>
      <c r="E23" s="14" t="str">
        <f t="shared" si="3"/>
        <v>Ex.Mode.10208</v>
      </c>
      <c r="F23" s="14"/>
      <c r="G23" s="14"/>
      <c r="H23" s="14"/>
      <c r="I23" s="14"/>
      <c r="J23" s="14"/>
      <c r="K23" s="14" t="s">
        <v>225</v>
      </c>
      <c r="L23" s="14"/>
      <c r="M23" s="15" t="s">
        <v>133</v>
      </c>
      <c r="N23" s="15"/>
      <c r="O23" s="15"/>
      <c r="P23" s="14"/>
      <c r="Q23" s="14">
        <v>0</v>
      </c>
      <c r="R23" s="14"/>
      <c r="S23" s="14">
        <v>10000209</v>
      </c>
      <c r="T23" s="14" t="b">
        <v>0</v>
      </c>
      <c r="U23" s="14"/>
      <c r="V23" s="14" t="b">
        <v>0</v>
      </c>
      <c r="W23" s="14"/>
      <c r="X23" s="14"/>
      <c r="Y23" s="14"/>
      <c r="Z23" s="14" t="b">
        <v>1</v>
      </c>
      <c r="AA23" s="14" t="b">
        <v>0</v>
      </c>
      <c r="AB23" s="14" t="s">
        <v>63</v>
      </c>
      <c r="AC23" s="14">
        <v>10</v>
      </c>
      <c r="AD23" s="14">
        <v>1</v>
      </c>
      <c r="AE23" s="14"/>
      <c r="AF23" s="14"/>
      <c r="AG23" s="14" t="str">
        <f t="shared" si="9"/>
        <v>Normal</v>
      </c>
      <c r="AH23" s="14">
        <v>0</v>
      </c>
      <c r="AI23" s="14" t="s">
        <v>62</v>
      </c>
      <c r="AJ23" s="14">
        <v>120</v>
      </c>
      <c r="AK23" s="14" t="s">
        <v>64</v>
      </c>
      <c r="AL23" s="14"/>
      <c r="AM23" s="14"/>
      <c r="AN23" s="14"/>
      <c r="AO23" s="14"/>
    </row>
    <row r="24" spans="1:41" x14ac:dyDescent="0.25">
      <c r="A24" s="14" t="str">
        <f t="shared" si="8"/>
        <v>Ex.Mode.10210</v>
      </c>
      <c r="B24" s="14">
        <f t="shared" si="2"/>
        <v>20118020</v>
      </c>
      <c r="C24" s="14" t="str">
        <f t="shared" si="1"/>
        <v>Ex.Mode.102</v>
      </c>
      <c r="D24" s="14">
        <v>10</v>
      </c>
      <c r="E24" s="14" t="str">
        <f t="shared" si="3"/>
        <v>Ex.Mode.10209</v>
      </c>
      <c r="F24" s="14"/>
      <c r="G24" s="14"/>
      <c r="H24" s="14"/>
      <c r="I24" s="14"/>
      <c r="J24" s="14"/>
      <c r="K24" s="14" t="s">
        <v>229</v>
      </c>
      <c r="L24" s="14"/>
      <c r="M24" s="15" t="s">
        <v>134</v>
      </c>
      <c r="N24" s="15"/>
      <c r="O24" s="15"/>
      <c r="P24" s="14"/>
      <c r="Q24" s="14">
        <v>0</v>
      </c>
      <c r="R24" s="14"/>
      <c r="S24" s="14">
        <v>10000210</v>
      </c>
      <c r="T24" s="14" t="b">
        <v>0</v>
      </c>
      <c r="U24" s="14"/>
      <c r="V24" s="14" t="b">
        <v>0</v>
      </c>
      <c r="W24" s="14"/>
      <c r="X24" s="14"/>
      <c r="Y24" s="14"/>
      <c r="Z24" s="14" t="b">
        <v>1</v>
      </c>
      <c r="AA24" s="14" t="b">
        <v>0</v>
      </c>
      <c r="AB24" s="14" t="s">
        <v>63</v>
      </c>
      <c r="AC24" s="14">
        <v>10</v>
      </c>
      <c r="AD24" s="14">
        <v>1</v>
      </c>
      <c r="AE24" s="14"/>
      <c r="AF24" s="14"/>
      <c r="AG24" s="14" t="str">
        <f t="shared" si="9"/>
        <v>Normal</v>
      </c>
      <c r="AH24" s="14">
        <v>0</v>
      </c>
      <c r="AI24" s="14" t="s">
        <v>62</v>
      </c>
      <c r="AJ24" s="14">
        <v>120</v>
      </c>
      <c r="AK24" s="14" t="s">
        <v>64</v>
      </c>
      <c r="AL24" s="14"/>
      <c r="AM24" s="14"/>
      <c r="AN24" s="14"/>
      <c r="AO24" s="14"/>
    </row>
    <row r="25" spans="1:41" x14ac:dyDescent="0.25">
      <c r="A25" s="12" t="str">
        <f t="shared" si="8"/>
        <v>Ex.Mode.10301</v>
      </c>
      <c r="B25" s="12">
        <f t="shared" si="2"/>
        <v>20118021</v>
      </c>
      <c r="C25" s="12" t="str">
        <f t="shared" si="1"/>
        <v>Ex.Mode.103</v>
      </c>
      <c r="D25" s="12">
        <v>1</v>
      </c>
      <c r="E25" s="12" t="str">
        <f t="shared" si="3"/>
        <v>Ex.Mode.10210</v>
      </c>
      <c r="F25" s="12"/>
      <c r="G25" s="12"/>
      <c r="H25" s="12"/>
      <c r="I25" s="12"/>
      <c r="J25" s="12"/>
      <c r="K25" s="12" t="s">
        <v>231</v>
      </c>
      <c r="L25" s="12"/>
      <c r="M25" s="13" t="s">
        <v>135</v>
      </c>
      <c r="N25" s="13"/>
      <c r="O25" s="13"/>
      <c r="P25" s="12"/>
      <c r="Q25" s="12">
        <v>0</v>
      </c>
      <c r="R25" s="12"/>
      <c r="S25" s="12">
        <v>10000301</v>
      </c>
      <c r="T25" s="12" t="b">
        <v>0</v>
      </c>
      <c r="U25" s="12"/>
      <c r="V25" s="12" t="b">
        <v>0</v>
      </c>
      <c r="W25" s="12"/>
      <c r="X25" s="12"/>
      <c r="Y25" s="12"/>
      <c r="Z25" s="12" t="b">
        <v>1</v>
      </c>
      <c r="AA25" s="12" t="b">
        <v>0</v>
      </c>
      <c r="AB25" s="12" t="s">
        <v>63</v>
      </c>
      <c r="AC25" s="12">
        <v>10</v>
      </c>
      <c r="AD25" s="12">
        <v>1</v>
      </c>
      <c r="AE25" s="12"/>
      <c r="AF25" s="12"/>
      <c r="AG25" s="12" t="str">
        <f t="shared" si="9"/>
        <v>Normal</v>
      </c>
      <c r="AH25" s="12">
        <v>0</v>
      </c>
      <c r="AI25" s="12" t="s">
        <v>62</v>
      </c>
      <c r="AJ25" s="12">
        <v>120</v>
      </c>
      <c r="AK25" s="12" t="s">
        <v>64</v>
      </c>
      <c r="AL25" s="12"/>
      <c r="AM25" s="12"/>
      <c r="AN25" s="12"/>
      <c r="AO25" s="12"/>
    </row>
    <row r="26" spans="1:41" x14ac:dyDescent="0.25">
      <c r="A26" s="12" t="str">
        <f t="shared" si="8"/>
        <v>Ex.Mode.10302</v>
      </c>
      <c r="B26" s="12">
        <f t="shared" si="2"/>
        <v>20118022</v>
      </c>
      <c r="C26" s="12" t="str">
        <f t="shared" si="1"/>
        <v>Ex.Mode.103</v>
      </c>
      <c r="D26" s="12">
        <v>2</v>
      </c>
      <c r="E26" s="12" t="str">
        <f t="shared" si="3"/>
        <v>Ex.Mode.10301</v>
      </c>
      <c r="F26" s="12"/>
      <c r="G26" s="12"/>
      <c r="H26" s="12"/>
      <c r="I26" s="12"/>
      <c r="J26" s="12"/>
      <c r="K26" s="12" t="s">
        <v>232</v>
      </c>
      <c r="L26" s="12"/>
      <c r="M26" s="13" t="s">
        <v>136</v>
      </c>
      <c r="N26" s="13"/>
      <c r="O26" s="13"/>
      <c r="P26" s="12"/>
      <c r="Q26" s="12">
        <v>0</v>
      </c>
      <c r="R26" s="12"/>
      <c r="S26" s="12">
        <v>10000302</v>
      </c>
      <c r="T26" s="12" t="b">
        <v>0</v>
      </c>
      <c r="U26" s="12"/>
      <c r="V26" s="12" t="b">
        <v>0</v>
      </c>
      <c r="W26" s="12"/>
      <c r="X26" s="12"/>
      <c r="Y26" s="12"/>
      <c r="Z26" s="12" t="b">
        <v>1</v>
      </c>
      <c r="AA26" s="12" t="b">
        <v>0</v>
      </c>
      <c r="AB26" s="12" t="s">
        <v>63</v>
      </c>
      <c r="AC26" s="12">
        <v>10</v>
      </c>
      <c r="AD26" s="12">
        <v>1</v>
      </c>
      <c r="AE26" s="12"/>
      <c r="AF26" s="12"/>
      <c r="AG26" s="12" t="str">
        <f t="shared" si="9"/>
        <v>Normal</v>
      </c>
      <c r="AH26" s="12">
        <v>0</v>
      </c>
      <c r="AI26" s="12" t="s">
        <v>62</v>
      </c>
      <c r="AJ26" s="12">
        <v>120</v>
      </c>
      <c r="AK26" s="12" t="s">
        <v>64</v>
      </c>
      <c r="AL26" s="12"/>
      <c r="AM26" s="12"/>
      <c r="AN26" s="12"/>
      <c r="AO26" s="12"/>
    </row>
    <row r="27" spans="1:41" x14ac:dyDescent="0.25">
      <c r="A27" s="12" t="str">
        <f t="shared" si="8"/>
        <v>Ex.Mode.10303</v>
      </c>
      <c r="B27" s="12">
        <f t="shared" si="2"/>
        <v>20118023</v>
      </c>
      <c r="C27" s="12" t="str">
        <f t="shared" si="1"/>
        <v>Ex.Mode.103</v>
      </c>
      <c r="D27" s="12">
        <v>3</v>
      </c>
      <c r="E27" s="12" t="str">
        <f t="shared" si="3"/>
        <v>Ex.Mode.10302</v>
      </c>
      <c r="F27" s="12"/>
      <c r="G27" s="12"/>
      <c r="H27" s="12"/>
      <c r="I27" s="12"/>
      <c r="J27" s="12"/>
      <c r="K27" s="12" t="s">
        <v>234</v>
      </c>
      <c r="L27" s="12"/>
      <c r="M27" s="13" t="s">
        <v>137</v>
      </c>
      <c r="N27" s="13"/>
      <c r="O27" s="13"/>
      <c r="P27" s="12"/>
      <c r="Q27" s="12">
        <v>0</v>
      </c>
      <c r="R27" s="12"/>
      <c r="S27" s="12">
        <v>10000303</v>
      </c>
      <c r="T27" s="12" t="b">
        <v>0</v>
      </c>
      <c r="U27" s="12"/>
      <c r="V27" s="12" t="b">
        <v>0</v>
      </c>
      <c r="W27" s="12"/>
      <c r="X27" s="12"/>
      <c r="Y27" s="12"/>
      <c r="Z27" s="12" t="b">
        <v>1</v>
      </c>
      <c r="AA27" s="12" t="b">
        <v>0</v>
      </c>
      <c r="AB27" s="12" t="s">
        <v>63</v>
      </c>
      <c r="AC27" s="12">
        <v>10</v>
      </c>
      <c r="AD27" s="12">
        <v>1</v>
      </c>
      <c r="AE27" s="12"/>
      <c r="AF27" s="12"/>
      <c r="AG27" s="12" t="str">
        <f t="shared" si="9"/>
        <v>Normal</v>
      </c>
      <c r="AH27" s="12">
        <v>0</v>
      </c>
      <c r="AI27" s="12" t="s">
        <v>62</v>
      </c>
      <c r="AJ27" s="12">
        <v>120</v>
      </c>
      <c r="AK27" s="12" t="s">
        <v>64</v>
      </c>
      <c r="AL27" s="12"/>
      <c r="AM27" s="12"/>
      <c r="AN27" s="12"/>
      <c r="AO27" s="12"/>
    </row>
    <row r="28" spans="1:41" x14ac:dyDescent="0.25">
      <c r="A28" s="12" t="str">
        <f t="shared" si="8"/>
        <v>Ex.Mode.10304</v>
      </c>
      <c r="B28" s="12">
        <f t="shared" si="2"/>
        <v>20118024</v>
      </c>
      <c r="C28" s="12" t="str">
        <f t="shared" si="1"/>
        <v>Ex.Mode.103</v>
      </c>
      <c r="D28" s="12">
        <v>4</v>
      </c>
      <c r="E28" s="12" t="str">
        <f t="shared" si="3"/>
        <v>Ex.Mode.10303</v>
      </c>
      <c r="F28" s="12"/>
      <c r="G28" s="12"/>
      <c r="H28" s="12"/>
      <c r="I28" s="12"/>
      <c r="J28" s="12"/>
      <c r="K28" s="12" t="s">
        <v>235</v>
      </c>
      <c r="L28" s="12"/>
      <c r="M28" s="13" t="s">
        <v>138</v>
      </c>
      <c r="N28" s="13"/>
      <c r="O28" s="13"/>
      <c r="P28" s="12"/>
      <c r="Q28" s="12">
        <v>0</v>
      </c>
      <c r="R28" s="12"/>
      <c r="S28" s="12">
        <v>10000304</v>
      </c>
      <c r="T28" s="12" t="b">
        <v>0</v>
      </c>
      <c r="U28" s="12"/>
      <c r="V28" s="12" t="b">
        <v>0</v>
      </c>
      <c r="W28" s="12"/>
      <c r="X28" s="12"/>
      <c r="Y28" s="12"/>
      <c r="Z28" s="12" t="b">
        <v>1</v>
      </c>
      <c r="AA28" s="12" t="b">
        <v>0</v>
      </c>
      <c r="AB28" s="12" t="s">
        <v>63</v>
      </c>
      <c r="AC28" s="12">
        <v>10</v>
      </c>
      <c r="AD28" s="12">
        <v>1</v>
      </c>
      <c r="AE28" s="12"/>
      <c r="AF28" s="12"/>
      <c r="AG28" s="12" t="str">
        <f t="shared" si="9"/>
        <v>Normal</v>
      </c>
      <c r="AH28" s="12">
        <v>0</v>
      </c>
      <c r="AI28" s="12" t="s">
        <v>62</v>
      </c>
      <c r="AJ28" s="12">
        <v>120</v>
      </c>
      <c r="AK28" s="12" t="s">
        <v>64</v>
      </c>
      <c r="AL28" s="12"/>
      <c r="AM28" s="12"/>
      <c r="AN28" s="12"/>
      <c r="AO28" s="12"/>
    </row>
    <row r="29" spans="1:41" x14ac:dyDescent="0.25">
      <c r="A29" s="12" t="str">
        <f t="shared" si="8"/>
        <v>Ex.Mode.10305</v>
      </c>
      <c r="B29" s="12">
        <f t="shared" si="2"/>
        <v>20118025</v>
      </c>
      <c r="C29" s="12" t="str">
        <f t="shared" si="1"/>
        <v>Ex.Mode.103</v>
      </c>
      <c r="D29" s="12">
        <v>5</v>
      </c>
      <c r="E29" s="12" t="str">
        <f t="shared" si="3"/>
        <v>Ex.Mode.10304</v>
      </c>
      <c r="F29" s="12"/>
      <c r="G29" s="12"/>
      <c r="H29" s="12"/>
      <c r="I29" s="12"/>
      <c r="J29" s="12"/>
      <c r="K29" s="12" t="s">
        <v>233</v>
      </c>
      <c r="L29" s="12"/>
      <c r="M29" s="13" t="s">
        <v>139</v>
      </c>
      <c r="N29" s="13"/>
      <c r="O29" s="13"/>
      <c r="P29" s="12"/>
      <c r="Q29" s="12">
        <v>0</v>
      </c>
      <c r="R29" s="12"/>
      <c r="S29" s="12">
        <v>10000305</v>
      </c>
      <c r="T29" s="12" t="b">
        <v>0</v>
      </c>
      <c r="U29" s="12"/>
      <c r="V29" s="12" t="b">
        <v>0</v>
      </c>
      <c r="W29" s="12"/>
      <c r="X29" s="12"/>
      <c r="Y29" s="12"/>
      <c r="Z29" s="12" t="b">
        <v>1</v>
      </c>
      <c r="AA29" s="12" t="b">
        <v>0</v>
      </c>
      <c r="AB29" s="12" t="s">
        <v>63</v>
      </c>
      <c r="AC29" s="12">
        <v>10</v>
      </c>
      <c r="AD29" s="12">
        <v>1</v>
      </c>
      <c r="AE29" s="12"/>
      <c r="AF29" s="12"/>
      <c r="AG29" s="12" t="str">
        <f t="shared" si="9"/>
        <v>Normal</v>
      </c>
      <c r="AH29" s="12">
        <v>0</v>
      </c>
      <c r="AI29" s="12" t="s">
        <v>62</v>
      </c>
      <c r="AJ29" s="12">
        <v>120</v>
      </c>
      <c r="AK29" s="12" t="s">
        <v>64</v>
      </c>
      <c r="AL29" s="12"/>
      <c r="AM29" s="12"/>
      <c r="AN29" s="12"/>
      <c r="AO29" s="12"/>
    </row>
    <row r="30" spans="1:41" x14ac:dyDescent="0.25">
      <c r="A30" s="12" t="str">
        <f t="shared" si="8"/>
        <v>Ex.Mode.10306</v>
      </c>
      <c r="B30" s="12">
        <f t="shared" si="2"/>
        <v>20118026</v>
      </c>
      <c r="C30" s="12" t="str">
        <f t="shared" si="1"/>
        <v>Ex.Mode.103</v>
      </c>
      <c r="D30" s="12">
        <v>6</v>
      </c>
      <c r="E30" s="12" t="str">
        <f t="shared" si="3"/>
        <v>Ex.Mode.10305</v>
      </c>
      <c r="F30" s="12"/>
      <c r="G30" s="12"/>
      <c r="H30" s="12"/>
      <c r="I30" s="12"/>
      <c r="J30" s="12"/>
      <c r="K30" s="12" t="s">
        <v>233</v>
      </c>
      <c r="L30" s="12"/>
      <c r="M30" s="13" t="s">
        <v>140</v>
      </c>
      <c r="N30" s="13"/>
      <c r="O30" s="13"/>
      <c r="P30" s="12"/>
      <c r="Q30" s="12">
        <v>0</v>
      </c>
      <c r="R30" s="12"/>
      <c r="S30" s="12">
        <v>10000306</v>
      </c>
      <c r="T30" s="12" t="b">
        <v>0</v>
      </c>
      <c r="U30" s="12"/>
      <c r="V30" s="12" t="b">
        <v>0</v>
      </c>
      <c r="W30" s="12"/>
      <c r="X30" s="12"/>
      <c r="Y30" s="12"/>
      <c r="Z30" s="12" t="b">
        <v>1</v>
      </c>
      <c r="AA30" s="12" t="b">
        <v>0</v>
      </c>
      <c r="AB30" s="12" t="s">
        <v>63</v>
      </c>
      <c r="AC30" s="12">
        <v>10</v>
      </c>
      <c r="AD30" s="12">
        <v>1</v>
      </c>
      <c r="AE30" s="12"/>
      <c r="AF30" s="12"/>
      <c r="AG30" s="12" t="str">
        <f t="shared" si="9"/>
        <v>Normal</v>
      </c>
      <c r="AH30" s="12">
        <v>0</v>
      </c>
      <c r="AI30" s="12" t="s">
        <v>62</v>
      </c>
      <c r="AJ30" s="12">
        <v>120</v>
      </c>
      <c r="AK30" s="12" t="s">
        <v>64</v>
      </c>
      <c r="AL30" s="12"/>
      <c r="AM30" s="12"/>
      <c r="AN30" s="12"/>
      <c r="AO30" s="12"/>
    </row>
    <row r="31" spans="1:41" x14ac:dyDescent="0.25">
      <c r="A31" s="12" t="str">
        <f t="shared" si="8"/>
        <v>Ex.Mode.10307</v>
      </c>
      <c r="B31" s="12">
        <f t="shared" si="2"/>
        <v>20118027</v>
      </c>
      <c r="C31" s="12" t="str">
        <f t="shared" si="1"/>
        <v>Ex.Mode.103</v>
      </c>
      <c r="D31" s="12">
        <v>7</v>
      </c>
      <c r="E31" s="12" t="str">
        <f t="shared" si="3"/>
        <v>Ex.Mode.10306</v>
      </c>
      <c r="F31" s="12"/>
      <c r="G31" s="12"/>
      <c r="H31" s="12"/>
      <c r="I31" s="12"/>
      <c r="J31" s="12"/>
      <c r="K31" s="12" t="s">
        <v>232</v>
      </c>
      <c r="L31" s="12"/>
      <c r="M31" s="13" t="s">
        <v>141</v>
      </c>
      <c r="N31" s="13"/>
      <c r="O31" s="13"/>
      <c r="P31" s="12"/>
      <c r="Q31" s="12">
        <v>0</v>
      </c>
      <c r="R31" s="12"/>
      <c r="S31" s="12">
        <v>10000307</v>
      </c>
      <c r="T31" s="12" t="b">
        <v>0</v>
      </c>
      <c r="U31" s="12"/>
      <c r="V31" s="12" t="b">
        <v>0</v>
      </c>
      <c r="W31" s="12"/>
      <c r="X31" s="12"/>
      <c r="Y31" s="12"/>
      <c r="Z31" s="12" t="b">
        <v>1</v>
      </c>
      <c r="AA31" s="12" t="b">
        <v>0</v>
      </c>
      <c r="AB31" s="12" t="s">
        <v>63</v>
      </c>
      <c r="AC31" s="12">
        <v>10</v>
      </c>
      <c r="AD31" s="12">
        <v>1</v>
      </c>
      <c r="AE31" s="12"/>
      <c r="AF31" s="12"/>
      <c r="AG31" s="12" t="str">
        <f t="shared" si="9"/>
        <v>Normal</v>
      </c>
      <c r="AH31" s="12">
        <v>0</v>
      </c>
      <c r="AI31" s="12" t="s">
        <v>62</v>
      </c>
      <c r="AJ31" s="12">
        <v>120</v>
      </c>
      <c r="AK31" s="12" t="s">
        <v>64</v>
      </c>
      <c r="AL31" s="12"/>
      <c r="AM31" s="12"/>
      <c r="AN31" s="12"/>
      <c r="AO31" s="12"/>
    </row>
    <row r="32" spans="1:41" x14ac:dyDescent="0.25">
      <c r="A32" s="12" t="str">
        <f t="shared" si="8"/>
        <v>Ex.Mode.10308</v>
      </c>
      <c r="B32" s="12">
        <f t="shared" si="2"/>
        <v>20118028</v>
      </c>
      <c r="C32" s="12" t="str">
        <f t="shared" si="1"/>
        <v>Ex.Mode.103</v>
      </c>
      <c r="D32" s="12">
        <v>8</v>
      </c>
      <c r="E32" s="12" t="str">
        <f t="shared" si="3"/>
        <v>Ex.Mode.10307</v>
      </c>
      <c r="F32" s="12"/>
      <c r="G32" s="12"/>
      <c r="H32" s="12"/>
      <c r="I32" s="12"/>
      <c r="J32" s="12"/>
      <c r="K32" s="12" t="s">
        <v>234</v>
      </c>
      <c r="L32" s="12"/>
      <c r="M32" s="13" t="s">
        <v>142</v>
      </c>
      <c r="N32" s="13"/>
      <c r="O32" s="13"/>
      <c r="P32" s="12"/>
      <c r="Q32" s="12">
        <v>0</v>
      </c>
      <c r="R32" s="12"/>
      <c r="S32" s="12">
        <v>10000308</v>
      </c>
      <c r="T32" s="12" t="b">
        <v>0</v>
      </c>
      <c r="U32" s="12"/>
      <c r="V32" s="12" t="b">
        <v>0</v>
      </c>
      <c r="W32" s="12"/>
      <c r="X32" s="12"/>
      <c r="Y32" s="12"/>
      <c r="Z32" s="12" t="b">
        <v>1</v>
      </c>
      <c r="AA32" s="12" t="b">
        <v>0</v>
      </c>
      <c r="AB32" s="12" t="s">
        <v>63</v>
      </c>
      <c r="AC32" s="12">
        <v>10</v>
      </c>
      <c r="AD32" s="12">
        <v>1</v>
      </c>
      <c r="AE32" s="12"/>
      <c r="AF32" s="12"/>
      <c r="AG32" s="12" t="str">
        <f t="shared" si="9"/>
        <v>Normal</v>
      </c>
      <c r="AH32" s="12">
        <v>0</v>
      </c>
      <c r="AI32" s="12" t="s">
        <v>62</v>
      </c>
      <c r="AJ32" s="12">
        <v>120</v>
      </c>
      <c r="AK32" s="12" t="s">
        <v>64</v>
      </c>
      <c r="AL32" s="12"/>
      <c r="AM32" s="12"/>
      <c r="AN32" s="12"/>
      <c r="AO32" s="12"/>
    </row>
    <row r="33" spans="1:41" x14ac:dyDescent="0.25">
      <c r="A33" s="12" t="str">
        <f t="shared" si="8"/>
        <v>Ex.Mode.10309</v>
      </c>
      <c r="B33" s="12">
        <f t="shared" si="2"/>
        <v>20118029</v>
      </c>
      <c r="C33" s="12" t="str">
        <f t="shared" si="1"/>
        <v>Ex.Mode.103</v>
      </c>
      <c r="D33" s="12">
        <v>9</v>
      </c>
      <c r="E33" s="12" t="str">
        <f t="shared" si="3"/>
        <v>Ex.Mode.10308</v>
      </c>
      <c r="F33" s="12"/>
      <c r="G33" s="12"/>
      <c r="H33" s="12"/>
      <c r="I33" s="12"/>
      <c r="J33" s="12"/>
      <c r="K33" s="12" t="s">
        <v>235</v>
      </c>
      <c r="L33" s="12"/>
      <c r="M33" s="13" t="s">
        <v>143</v>
      </c>
      <c r="N33" s="13"/>
      <c r="O33" s="13"/>
      <c r="P33" s="12"/>
      <c r="Q33" s="12">
        <v>0</v>
      </c>
      <c r="R33" s="12"/>
      <c r="S33" s="12">
        <v>10000309</v>
      </c>
      <c r="T33" s="12" t="b">
        <v>0</v>
      </c>
      <c r="U33" s="12"/>
      <c r="V33" s="12" t="b">
        <v>0</v>
      </c>
      <c r="W33" s="12"/>
      <c r="X33" s="12"/>
      <c r="Y33" s="12"/>
      <c r="Z33" s="12" t="b">
        <v>1</v>
      </c>
      <c r="AA33" s="12" t="b">
        <v>0</v>
      </c>
      <c r="AB33" s="12" t="s">
        <v>63</v>
      </c>
      <c r="AC33" s="12">
        <v>10</v>
      </c>
      <c r="AD33" s="12">
        <v>1</v>
      </c>
      <c r="AE33" s="12"/>
      <c r="AF33" s="12"/>
      <c r="AG33" s="12" t="str">
        <f t="shared" si="9"/>
        <v>Normal</v>
      </c>
      <c r="AH33" s="12">
        <v>0</v>
      </c>
      <c r="AI33" s="12" t="s">
        <v>62</v>
      </c>
      <c r="AJ33" s="12">
        <v>120</v>
      </c>
      <c r="AK33" s="12" t="s">
        <v>64</v>
      </c>
      <c r="AL33" s="12"/>
      <c r="AM33" s="12"/>
      <c r="AN33" s="12"/>
      <c r="AO33" s="12"/>
    </row>
    <row r="34" spans="1:41" x14ac:dyDescent="0.25">
      <c r="A34" s="12" t="str">
        <f t="shared" si="8"/>
        <v>Ex.Mode.10310</v>
      </c>
      <c r="B34" s="12">
        <f t="shared" si="2"/>
        <v>20118030</v>
      </c>
      <c r="C34" s="12" t="str">
        <f t="shared" si="1"/>
        <v>Ex.Mode.103</v>
      </c>
      <c r="D34" s="12">
        <v>10</v>
      </c>
      <c r="E34" s="12" t="str">
        <f t="shared" si="3"/>
        <v>Ex.Mode.10309</v>
      </c>
      <c r="F34" s="12"/>
      <c r="G34" s="12"/>
      <c r="H34" s="12"/>
      <c r="I34" s="12"/>
      <c r="J34" s="12"/>
      <c r="K34" s="12" t="s">
        <v>236</v>
      </c>
      <c r="L34" s="12"/>
      <c r="M34" s="13" t="s">
        <v>144</v>
      </c>
      <c r="N34" s="13"/>
      <c r="O34" s="13"/>
      <c r="P34" s="12"/>
      <c r="Q34" s="12">
        <v>0</v>
      </c>
      <c r="R34" s="12"/>
      <c r="S34" s="12">
        <v>10000310</v>
      </c>
      <c r="T34" s="12" t="b">
        <v>0</v>
      </c>
      <c r="U34" s="12"/>
      <c r="V34" s="12" t="b">
        <v>0</v>
      </c>
      <c r="W34" s="12"/>
      <c r="X34" s="12"/>
      <c r="Y34" s="12"/>
      <c r="Z34" s="12" t="b">
        <v>1</v>
      </c>
      <c r="AA34" s="12" t="b">
        <v>0</v>
      </c>
      <c r="AB34" s="12" t="s">
        <v>63</v>
      </c>
      <c r="AC34" s="12">
        <v>10</v>
      </c>
      <c r="AD34" s="12">
        <v>1</v>
      </c>
      <c r="AE34" s="12"/>
      <c r="AF34" s="12"/>
      <c r="AG34" s="12" t="str">
        <f t="shared" si="9"/>
        <v>Normal</v>
      </c>
      <c r="AH34" s="12">
        <v>0</v>
      </c>
      <c r="AI34" s="12" t="s">
        <v>62</v>
      </c>
      <c r="AJ34" s="12">
        <v>120</v>
      </c>
      <c r="AK34" s="12" t="s">
        <v>64</v>
      </c>
      <c r="AL34" s="12"/>
      <c r="AM34" s="12"/>
      <c r="AN34" s="12"/>
      <c r="AO34" s="12"/>
    </row>
    <row r="35" spans="1:41" x14ac:dyDescent="0.25">
      <c r="A35" s="10" t="str">
        <f t="shared" si="8"/>
        <v>Ex.Mode.10401</v>
      </c>
      <c r="B35" s="10">
        <f t="shared" si="2"/>
        <v>20118031</v>
      </c>
      <c r="C35" s="10" t="str">
        <f t="shared" si="1"/>
        <v>Ex.Mode.104</v>
      </c>
      <c r="D35" s="10">
        <v>1</v>
      </c>
      <c r="E35" s="10" t="str">
        <f t="shared" si="3"/>
        <v>Ex.Mode.10310</v>
      </c>
      <c r="F35" s="10"/>
      <c r="G35" s="10"/>
      <c r="H35" s="10"/>
      <c r="I35" s="10"/>
      <c r="J35" s="10"/>
      <c r="K35" s="10" t="s">
        <v>237</v>
      </c>
      <c r="L35" s="10"/>
      <c r="M35" s="11" t="s">
        <v>145</v>
      </c>
      <c r="N35" s="11"/>
      <c r="O35" s="11"/>
      <c r="P35" s="10"/>
      <c r="Q35" s="10">
        <v>0</v>
      </c>
      <c r="R35" s="10"/>
      <c r="S35" s="10">
        <v>10000401</v>
      </c>
      <c r="T35" s="10" t="b">
        <v>0</v>
      </c>
      <c r="U35" s="10"/>
      <c r="V35" s="10" t="b">
        <v>0</v>
      </c>
      <c r="W35" s="10"/>
      <c r="X35" s="10"/>
      <c r="Y35" s="10"/>
      <c r="Z35" s="10" t="b">
        <v>1</v>
      </c>
      <c r="AA35" s="10" t="b">
        <v>0</v>
      </c>
      <c r="AB35" s="10" t="s">
        <v>51</v>
      </c>
      <c r="AC35" s="10">
        <v>10</v>
      </c>
      <c r="AD35" s="10">
        <v>1</v>
      </c>
      <c r="AE35" s="10"/>
      <c r="AF35" s="10"/>
      <c r="AG35" s="10" t="str">
        <f t="shared" si="9"/>
        <v>Normal</v>
      </c>
      <c r="AH35" s="10">
        <v>0</v>
      </c>
      <c r="AI35" s="10" t="s">
        <v>61</v>
      </c>
      <c r="AJ35" s="10">
        <v>120</v>
      </c>
      <c r="AK35" s="10" t="s">
        <v>12</v>
      </c>
      <c r="AL35" s="10"/>
      <c r="AM35" s="10"/>
      <c r="AN35" s="10"/>
      <c r="AO35" s="10"/>
    </row>
    <row r="36" spans="1:41" x14ac:dyDescent="0.25">
      <c r="A36" s="10" t="str">
        <f t="shared" si="8"/>
        <v>Ex.Mode.10402</v>
      </c>
      <c r="B36" s="10">
        <f t="shared" si="2"/>
        <v>20118032</v>
      </c>
      <c r="C36" s="10" t="str">
        <f t="shared" si="1"/>
        <v>Ex.Mode.104</v>
      </c>
      <c r="D36" s="10">
        <v>2</v>
      </c>
      <c r="E36" s="10" t="str">
        <f t="shared" si="3"/>
        <v>Ex.Mode.10401</v>
      </c>
      <c r="F36" s="10"/>
      <c r="G36" s="10"/>
      <c r="H36" s="10"/>
      <c r="I36" s="10"/>
      <c r="J36" s="10"/>
      <c r="K36" s="10" t="s">
        <v>237</v>
      </c>
      <c r="L36" s="10"/>
      <c r="M36" s="11" t="s">
        <v>146</v>
      </c>
      <c r="N36" s="11"/>
      <c r="O36" s="11"/>
      <c r="P36" s="10"/>
      <c r="Q36" s="10">
        <v>0</v>
      </c>
      <c r="R36" s="10"/>
      <c r="S36" s="10">
        <v>10000402</v>
      </c>
      <c r="T36" s="10" t="b">
        <v>0</v>
      </c>
      <c r="U36" s="10"/>
      <c r="V36" s="10" t="b">
        <v>0</v>
      </c>
      <c r="W36" s="10"/>
      <c r="X36" s="10"/>
      <c r="Y36" s="10"/>
      <c r="Z36" s="10" t="b">
        <v>1</v>
      </c>
      <c r="AA36" s="10" t="b">
        <v>0</v>
      </c>
      <c r="AB36" s="10" t="s">
        <v>51</v>
      </c>
      <c r="AC36" s="10">
        <v>10</v>
      </c>
      <c r="AD36" s="10">
        <v>1</v>
      </c>
      <c r="AE36" s="10"/>
      <c r="AF36" s="10"/>
      <c r="AG36" s="10" t="str">
        <f t="shared" si="9"/>
        <v>Normal</v>
      </c>
      <c r="AH36" s="10">
        <v>0</v>
      </c>
      <c r="AI36" s="10" t="s">
        <v>62</v>
      </c>
      <c r="AJ36" s="10">
        <v>120</v>
      </c>
      <c r="AK36" s="10" t="s">
        <v>12</v>
      </c>
      <c r="AL36" s="10"/>
      <c r="AM36" s="10"/>
      <c r="AN36" s="10"/>
      <c r="AO36" s="10"/>
    </row>
    <row r="37" spans="1:41" x14ac:dyDescent="0.25">
      <c r="A37" s="10" t="str">
        <f t="shared" si="8"/>
        <v>Ex.Mode.10403</v>
      </c>
      <c r="B37" s="10">
        <f t="shared" si="2"/>
        <v>20118033</v>
      </c>
      <c r="C37" s="10" t="str">
        <f t="shared" si="1"/>
        <v>Ex.Mode.104</v>
      </c>
      <c r="D37" s="10">
        <v>3</v>
      </c>
      <c r="E37" s="10" t="str">
        <f t="shared" si="3"/>
        <v>Ex.Mode.10402</v>
      </c>
      <c r="F37" s="10"/>
      <c r="G37" s="10"/>
      <c r="H37" s="10"/>
      <c r="I37" s="10"/>
      <c r="J37" s="10"/>
      <c r="K37" s="10" t="s">
        <v>239</v>
      </c>
      <c r="L37" s="10"/>
      <c r="M37" s="11" t="s">
        <v>147</v>
      </c>
      <c r="N37" s="11"/>
      <c r="O37" s="11"/>
      <c r="P37" s="10"/>
      <c r="Q37" s="10">
        <v>0</v>
      </c>
      <c r="R37" s="10"/>
      <c r="S37" s="10">
        <v>10000403</v>
      </c>
      <c r="T37" s="10" t="b">
        <v>0</v>
      </c>
      <c r="U37" s="10"/>
      <c r="V37" s="10" t="b">
        <v>0</v>
      </c>
      <c r="W37" s="10"/>
      <c r="X37" s="10"/>
      <c r="Y37" s="10"/>
      <c r="Z37" s="10" t="b">
        <v>1</v>
      </c>
      <c r="AA37" s="10" t="b">
        <v>0</v>
      </c>
      <c r="AB37" s="10" t="s">
        <v>51</v>
      </c>
      <c r="AC37" s="10">
        <v>10</v>
      </c>
      <c r="AD37" s="10">
        <v>1</v>
      </c>
      <c r="AE37" s="10"/>
      <c r="AF37" s="10"/>
      <c r="AG37" s="10" t="str">
        <f t="shared" si="9"/>
        <v>Normal</v>
      </c>
      <c r="AH37" s="10">
        <v>0</v>
      </c>
      <c r="AI37" s="10" t="s">
        <v>62</v>
      </c>
      <c r="AJ37" s="10">
        <v>120</v>
      </c>
      <c r="AK37" s="10" t="s">
        <v>12</v>
      </c>
      <c r="AL37" s="10"/>
      <c r="AM37" s="10"/>
      <c r="AN37" s="10"/>
      <c r="AO37" s="10"/>
    </row>
    <row r="38" spans="1:41" x14ac:dyDescent="0.25">
      <c r="A38" s="10" t="str">
        <f t="shared" si="8"/>
        <v>Ex.Mode.10404</v>
      </c>
      <c r="B38" s="10">
        <f t="shared" si="2"/>
        <v>20118034</v>
      </c>
      <c r="C38" s="10" t="str">
        <f t="shared" si="1"/>
        <v>Ex.Mode.104</v>
      </c>
      <c r="D38" s="10">
        <v>4</v>
      </c>
      <c r="E38" s="10" t="str">
        <f t="shared" si="3"/>
        <v>Ex.Mode.10403</v>
      </c>
      <c r="F38" s="10"/>
      <c r="G38" s="10"/>
      <c r="H38" s="10"/>
      <c r="I38" s="10"/>
      <c r="J38" s="10"/>
      <c r="K38" s="10" t="s">
        <v>237</v>
      </c>
      <c r="L38" s="10"/>
      <c r="M38" s="11" t="s">
        <v>148</v>
      </c>
      <c r="N38" s="11"/>
      <c r="O38" s="11"/>
      <c r="P38" s="10"/>
      <c r="Q38" s="10">
        <v>0</v>
      </c>
      <c r="R38" s="10"/>
      <c r="S38" s="10">
        <v>10000404</v>
      </c>
      <c r="T38" s="10" t="b">
        <v>0</v>
      </c>
      <c r="U38" s="10"/>
      <c r="V38" s="10" t="b">
        <v>0</v>
      </c>
      <c r="W38" s="10"/>
      <c r="X38" s="10"/>
      <c r="Y38" s="10"/>
      <c r="Z38" s="10" t="b">
        <v>1</v>
      </c>
      <c r="AA38" s="10" t="b">
        <v>0</v>
      </c>
      <c r="AB38" s="10" t="s">
        <v>51</v>
      </c>
      <c r="AC38" s="10">
        <v>10</v>
      </c>
      <c r="AD38" s="10">
        <v>1</v>
      </c>
      <c r="AE38" s="10"/>
      <c r="AF38" s="10"/>
      <c r="AG38" s="10" t="str">
        <f t="shared" si="9"/>
        <v>Normal</v>
      </c>
      <c r="AH38" s="10">
        <v>0</v>
      </c>
      <c r="AI38" s="10" t="s">
        <v>62</v>
      </c>
      <c r="AJ38" s="10">
        <v>120</v>
      </c>
      <c r="AK38" s="10" t="s">
        <v>12</v>
      </c>
      <c r="AL38" s="10"/>
      <c r="AM38" s="10"/>
      <c r="AN38" s="10"/>
      <c r="AO38" s="10"/>
    </row>
    <row r="39" spans="1:41" x14ac:dyDescent="0.25">
      <c r="A39" s="10" t="str">
        <f t="shared" si="8"/>
        <v>Ex.Mode.10405</v>
      </c>
      <c r="B39" s="10">
        <f t="shared" si="2"/>
        <v>20118035</v>
      </c>
      <c r="C39" s="10" t="str">
        <f t="shared" si="1"/>
        <v>Ex.Mode.104</v>
      </c>
      <c r="D39" s="10">
        <v>5</v>
      </c>
      <c r="E39" s="10" t="str">
        <f t="shared" si="3"/>
        <v>Ex.Mode.10404</v>
      </c>
      <c r="F39" s="10"/>
      <c r="G39" s="10"/>
      <c r="H39" s="10"/>
      <c r="I39" s="10"/>
      <c r="J39" s="10"/>
      <c r="K39" s="10" t="s">
        <v>239</v>
      </c>
      <c r="L39" s="10"/>
      <c r="M39" s="11" t="s">
        <v>149</v>
      </c>
      <c r="N39" s="11"/>
      <c r="O39" s="11"/>
      <c r="P39" s="10"/>
      <c r="Q39" s="10">
        <v>0</v>
      </c>
      <c r="R39" s="10"/>
      <c r="S39" s="10">
        <v>10000405</v>
      </c>
      <c r="T39" s="10" t="b">
        <v>0</v>
      </c>
      <c r="U39" s="10"/>
      <c r="V39" s="10" t="b">
        <v>0</v>
      </c>
      <c r="W39" s="10"/>
      <c r="X39" s="10"/>
      <c r="Y39" s="10"/>
      <c r="Z39" s="10" t="b">
        <v>1</v>
      </c>
      <c r="AA39" s="10" t="b">
        <v>0</v>
      </c>
      <c r="AB39" s="10" t="s">
        <v>51</v>
      </c>
      <c r="AC39" s="10">
        <v>10</v>
      </c>
      <c r="AD39" s="10">
        <v>1</v>
      </c>
      <c r="AE39" s="10"/>
      <c r="AF39" s="10"/>
      <c r="AG39" s="10" t="str">
        <f t="shared" si="9"/>
        <v>Normal</v>
      </c>
      <c r="AH39" s="10">
        <v>0</v>
      </c>
      <c r="AI39" s="10" t="s">
        <v>62</v>
      </c>
      <c r="AJ39" s="10">
        <v>120</v>
      </c>
      <c r="AK39" s="10" t="s">
        <v>12</v>
      </c>
      <c r="AL39" s="10"/>
      <c r="AM39" s="10"/>
      <c r="AN39" s="10"/>
      <c r="AO39" s="10"/>
    </row>
    <row r="40" spans="1:41" x14ac:dyDescent="0.25">
      <c r="A40" s="10" t="str">
        <f t="shared" si="8"/>
        <v>Ex.Mode.10406</v>
      </c>
      <c r="B40" s="10">
        <f t="shared" si="2"/>
        <v>20118036</v>
      </c>
      <c r="C40" s="10" t="str">
        <f t="shared" si="1"/>
        <v>Ex.Mode.104</v>
      </c>
      <c r="D40" s="10">
        <v>6</v>
      </c>
      <c r="E40" s="10" t="str">
        <f t="shared" si="3"/>
        <v>Ex.Mode.10405</v>
      </c>
      <c r="F40" s="10"/>
      <c r="G40" s="10"/>
      <c r="H40" s="10"/>
      <c r="I40" s="10"/>
      <c r="J40" s="10"/>
      <c r="K40" s="10" t="s">
        <v>240</v>
      </c>
      <c r="L40" s="10"/>
      <c r="M40" s="11" t="s">
        <v>150</v>
      </c>
      <c r="N40" s="11"/>
      <c r="O40" s="11"/>
      <c r="P40" s="10"/>
      <c r="Q40" s="10">
        <v>0</v>
      </c>
      <c r="R40" s="10"/>
      <c r="S40" s="10">
        <v>10000406</v>
      </c>
      <c r="T40" s="10" t="b">
        <v>0</v>
      </c>
      <c r="U40" s="10"/>
      <c r="V40" s="10" t="b">
        <v>0</v>
      </c>
      <c r="W40" s="10"/>
      <c r="X40" s="10"/>
      <c r="Y40" s="10"/>
      <c r="Z40" s="10" t="b">
        <v>1</v>
      </c>
      <c r="AA40" s="10" t="b">
        <v>0</v>
      </c>
      <c r="AB40" s="10" t="s">
        <v>51</v>
      </c>
      <c r="AC40" s="10">
        <v>10</v>
      </c>
      <c r="AD40" s="10">
        <v>1</v>
      </c>
      <c r="AE40" s="10"/>
      <c r="AF40" s="10"/>
      <c r="AG40" s="10" t="str">
        <f t="shared" si="9"/>
        <v>Normal</v>
      </c>
      <c r="AH40" s="10">
        <v>0</v>
      </c>
      <c r="AI40" s="10" t="s">
        <v>62</v>
      </c>
      <c r="AJ40" s="10">
        <v>120</v>
      </c>
      <c r="AK40" s="10" t="s">
        <v>12</v>
      </c>
      <c r="AL40" s="10"/>
      <c r="AM40" s="10"/>
      <c r="AN40" s="10"/>
      <c r="AO40" s="10"/>
    </row>
    <row r="41" spans="1:41" x14ac:dyDescent="0.25">
      <c r="A41" s="10" t="str">
        <f t="shared" si="8"/>
        <v>Ex.Mode.10407</v>
      </c>
      <c r="B41" s="10">
        <f t="shared" si="2"/>
        <v>20118037</v>
      </c>
      <c r="C41" s="10" t="str">
        <f t="shared" si="1"/>
        <v>Ex.Mode.104</v>
      </c>
      <c r="D41" s="10">
        <v>7</v>
      </c>
      <c r="E41" s="10" t="str">
        <f t="shared" si="3"/>
        <v>Ex.Mode.10406</v>
      </c>
      <c r="F41" s="10"/>
      <c r="G41" s="10"/>
      <c r="H41" s="10"/>
      <c r="I41" s="10"/>
      <c r="J41" s="10"/>
      <c r="K41" s="10" t="s">
        <v>239</v>
      </c>
      <c r="L41" s="10"/>
      <c r="M41" s="11" t="s">
        <v>151</v>
      </c>
      <c r="N41" s="11"/>
      <c r="O41" s="11"/>
      <c r="P41" s="10"/>
      <c r="Q41" s="10">
        <v>0</v>
      </c>
      <c r="R41" s="10"/>
      <c r="S41" s="10">
        <v>10000407</v>
      </c>
      <c r="T41" s="10" t="b">
        <v>0</v>
      </c>
      <c r="U41" s="10"/>
      <c r="V41" s="10" t="b">
        <v>0</v>
      </c>
      <c r="W41" s="10"/>
      <c r="X41" s="10"/>
      <c r="Y41" s="10"/>
      <c r="Z41" s="10" t="b">
        <v>1</v>
      </c>
      <c r="AA41" s="10" t="b">
        <v>0</v>
      </c>
      <c r="AB41" s="10" t="s">
        <v>51</v>
      </c>
      <c r="AC41" s="10">
        <v>10</v>
      </c>
      <c r="AD41" s="10">
        <v>1</v>
      </c>
      <c r="AE41" s="10"/>
      <c r="AF41" s="10"/>
      <c r="AG41" s="10" t="str">
        <f t="shared" si="9"/>
        <v>Normal</v>
      </c>
      <c r="AH41" s="10">
        <v>0</v>
      </c>
      <c r="AI41" s="10" t="s">
        <v>62</v>
      </c>
      <c r="AJ41" s="10">
        <v>120</v>
      </c>
      <c r="AK41" s="10" t="s">
        <v>12</v>
      </c>
      <c r="AL41" s="10"/>
      <c r="AM41" s="10"/>
      <c r="AN41" s="10"/>
      <c r="AO41" s="10"/>
    </row>
    <row r="42" spans="1:41" x14ac:dyDescent="0.25">
      <c r="A42" s="10" t="str">
        <f t="shared" si="8"/>
        <v>Ex.Mode.10408</v>
      </c>
      <c r="B42" s="10">
        <f t="shared" si="2"/>
        <v>20118038</v>
      </c>
      <c r="C42" s="10" t="str">
        <f t="shared" si="1"/>
        <v>Ex.Mode.104</v>
      </c>
      <c r="D42" s="10">
        <v>8</v>
      </c>
      <c r="E42" s="10" t="str">
        <f t="shared" si="3"/>
        <v>Ex.Mode.10407</v>
      </c>
      <c r="F42" s="10"/>
      <c r="G42" s="10"/>
      <c r="H42" s="10"/>
      <c r="I42" s="10"/>
      <c r="J42" s="10"/>
      <c r="K42" s="10" t="s">
        <v>238</v>
      </c>
      <c r="L42" s="10"/>
      <c r="M42" s="11" t="s">
        <v>152</v>
      </c>
      <c r="N42" s="11"/>
      <c r="O42" s="11"/>
      <c r="P42" s="10"/>
      <c r="Q42" s="10">
        <v>0</v>
      </c>
      <c r="R42" s="10"/>
      <c r="S42" s="10">
        <v>10000408</v>
      </c>
      <c r="T42" s="10" t="b">
        <v>0</v>
      </c>
      <c r="U42" s="10"/>
      <c r="V42" s="10" t="b">
        <v>0</v>
      </c>
      <c r="W42" s="10"/>
      <c r="X42" s="10"/>
      <c r="Y42" s="10"/>
      <c r="Z42" s="10" t="b">
        <v>1</v>
      </c>
      <c r="AA42" s="10" t="b">
        <v>0</v>
      </c>
      <c r="AB42" s="10" t="s">
        <v>51</v>
      </c>
      <c r="AC42" s="10">
        <v>10</v>
      </c>
      <c r="AD42" s="10">
        <v>1</v>
      </c>
      <c r="AE42" s="10"/>
      <c r="AF42" s="10"/>
      <c r="AG42" s="10" t="str">
        <f t="shared" si="9"/>
        <v>Normal</v>
      </c>
      <c r="AH42" s="10">
        <v>0</v>
      </c>
      <c r="AI42" s="10" t="s">
        <v>62</v>
      </c>
      <c r="AJ42" s="10">
        <v>120</v>
      </c>
      <c r="AK42" s="10" t="s">
        <v>12</v>
      </c>
      <c r="AL42" s="10"/>
      <c r="AM42" s="10"/>
      <c r="AN42" s="10"/>
      <c r="AO42" s="10"/>
    </row>
    <row r="43" spans="1:41" x14ac:dyDescent="0.25">
      <c r="A43" s="10" t="str">
        <f t="shared" si="8"/>
        <v>Ex.Mode.10409</v>
      </c>
      <c r="B43" s="10">
        <f t="shared" si="2"/>
        <v>20118039</v>
      </c>
      <c r="C43" s="10" t="str">
        <f t="shared" si="1"/>
        <v>Ex.Mode.104</v>
      </c>
      <c r="D43" s="10">
        <v>9</v>
      </c>
      <c r="E43" s="10" t="str">
        <f t="shared" si="3"/>
        <v>Ex.Mode.10408</v>
      </c>
      <c r="F43" s="10"/>
      <c r="G43" s="10"/>
      <c r="H43" s="10"/>
      <c r="I43" s="10"/>
      <c r="J43" s="10"/>
      <c r="K43" s="10" t="s">
        <v>237</v>
      </c>
      <c r="L43" s="10"/>
      <c r="M43" s="11" t="s">
        <v>153</v>
      </c>
      <c r="N43" s="11"/>
      <c r="O43" s="11"/>
      <c r="P43" s="10"/>
      <c r="Q43" s="10">
        <v>0</v>
      </c>
      <c r="R43" s="10"/>
      <c r="S43" s="10">
        <v>10000409</v>
      </c>
      <c r="T43" s="10" t="b">
        <v>0</v>
      </c>
      <c r="U43" s="10"/>
      <c r="V43" s="10" t="b">
        <v>0</v>
      </c>
      <c r="W43" s="10"/>
      <c r="X43" s="10"/>
      <c r="Y43" s="10"/>
      <c r="Z43" s="10" t="b">
        <v>1</v>
      </c>
      <c r="AA43" s="10" t="b">
        <v>0</v>
      </c>
      <c r="AB43" s="10" t="s">
        <v>51</v>
      </c>
      <c r="AC43" s="10">
        <v>10</v>
      </c>
      <c r="AD43" s="10">
        <v>1</v>
      </c>
      <c r="AE43" s="10"/>
      <c r="AF43" s="10"/>
      <c r="AG43" s="10" t="str">
        <f t="shared" si="9"/>
        <v>Normal</v>
      </c>
      <c r="AH43" s="10">
        <v>0</v>
      </c>
      <c r="AI43" s="10" t="s">
        <v>62</v>
      </c>
      <c r="AJ43" s="10">
        <v>120</v>
      </c>
      <c r="AK43" s="10" t="s">
        <v>12</v>
      </c>
      <c r="AL43" s="10"/>
      <c r="AM43" s="10"/>
      <c r="AN43" s="10"/>
      <c r="AO43" s="10"/>
    </row>
    <row r="44" spans="1:41" x14ac:dyDescent="0.25">
      <c r="A44" s="10" t="str">
        <f t="shared" si="8"/>
        <v>Ex.Mode.10410</v>
      </c>
      <c r="B44" s="10">
        <f t="shared" si="2"/>
        <v>20118040</v>
      </c>
      <c r="C44" s="10" t="str">
        <f t="shared" si="1"/>
        <v>Ex.Mode.104</v>
      </c>
      <c r="D44" s="10">
        <v>10</v>
      </c>
      <c r="E44" s="10" t="str">
        <f t="shared" si="3"/>
        <v>Ex.Mode.10409</v>
      </c>
      <c r="F44" s="10"/>
      <c r="G44" s="10"/>
      <c r="H44" s="10"/>
      <c r="I44" s="10"/>
      <c r="J44" s="10"/>
      <c r="K44" s="10" t="s">
        <v>241</v>
      </c>
      <c r="L44" s="10"/>
      <c r="M44" s="11" t="s">
        <v>154</v>
      </c>
      <c r="N44" s="11"/>
      <c r="O44" s="11"/>
      <c r="P44" s="10"/>
      <c r="Q44" s="10">
        <v>0</v>
      </c>
      <c r="R44" s="10"/>
      <c r="S44" s="10">
        <v>10000410</v>
      </c>
      <c r="T44" s="10" t="b">
        <v>0</v>
      </c>
      <c r="U44" s="10"/>
      <c r="V44" s="10" t="b">
        <v>0</v>
      </c>
      <c r="W44" s="10"/>
      <c r="X44" s="10"/>
      <c r="Y44" s="10"/>
      <c r="Z44" s="10" t="b">
        <v>1</v>
      </c>
      <c r="AA44" s="10" t="b">
        <v>0</v>
      </c>
      <c r="AB44" s="10" t="s">
        <v>63</v>
      </c>
      <c r="AC44" s="10">
        <v>10</v>
      </c>
      <c r="AD44" s="10">
        <v>1</v>
      </c>
      <c r="AE44" s="10"/>
      <c r="AF44" s="10"/>
      <c r="AG44" s="10" t="str">
        <f t="shared" si="9"/>
        <v>Normal</v>
      </c>
      <c r="AH44" s="10">
        <v>0</v>
      </c>
      <c r="AI44" s="10" t="s">
        <v>62</v>
      </c>
      <c r="AJ44" s="10">
        <v>120</v>
      </c>
      <c r="AK44" s="10" t="s">
        <v>64</v>
      </c>
      <c r="AL44" s="10"/>
      <c r="AM44" s="10"/>
      <c r="AN44" s="10"/>
      <c r="AO44" s="10"/>
    </row>
    <row r="45" spans="1:41" x14ac:dyDescent="0.25">
      <c r="A45" s="14" t="str">
        <f t="shared" si="8"/>
        <v>Ex.Mode.10501</v>
      </c>
      <c r="B45" s="14">
        <f t="shared" si="2"/>
        <v>20118041</v>
      </c>
      <c r="C45" s="14" t="str">
        <f t="shared" si="1"/>
        <v>Ex.Mode.105</v>
      </c>
      <c r="D45" s="14">
        <v>1</v>
      </c>
      <c r="E45" s="14" t="str">
        <f t="shared" si="3"/>
        <v>Ex.Mode.10410</v>
      </c>
      <c r="F45" s="14"/>
      <c r="G45" s="14"/>
      <c r="H45" s="14"/>
      <c r="I45" s="14"/>
      <c r="J45" s="14"/>
      <c r="K45" s="14" t="s">
        <v>242</v>
      </c>
      <c r="L45" s="14"/>
      <c r="M45" s="15" t="s">
        <v>155</v>
      </c>
      <c r="N45" s="15"/>
      <c r="O45" s="15"/>
      <c r="P45" s="14"/>
      <c r="Q45" s="14">
        <v>0</v>
      </c>
      <c r="R45" s="14"/>
      <c r="S45" s="14">
        <v>10000501</v>
      </c>
      <c r="T45" s="14" t="b">
        <v>0</v>
      </c>
      <c r="U45" s="14"/>
      <c r="V45" s="14" t="b">
        <v>0</v>
      </c>
      <c r="W45" s="14"/>
      <c r="X45" s="14"/>
      <c r="Y45" s="14"/>
      <c r="Z45" s="14" t="b">
        <v>1</v>
      </c>
      <c r="AA45" s="14" t="b">
        <v>0</v>
      </c>
      <c r="AB45" s="14" t="s">
        <v>63</v>
      </c>
      <c r="AC45" s="14">
        <v>10</v>
      </c>
      <c r="AD45" s="14">
        <v>1</v>
      </c>
      <c r="AE45" s="14"/>
      <c r="AF45" s="14"/>
      <c r="AG45" s="14" t="str">
        <f t="shared" si="9"/>
        <v>Normal</v>
      </c>
      <c r="AH45" s="14">
        <v>0</v>
      </c>
      <c r="AI45" s="14" t="s">
        <v>62</v>
      </c>
      <c r="AJ45" s="14">
        <v>120</v>
      </c>
      <c r="AK45" s="14" t="s">
        <v>64</v>
      </c>
      <c r="AL45" s="14"/>
      <c r="AM45" s="14"/>
      <c r="AN45" s="14"/>
      <c r="AO45" s="14"/>
    </row>
    <row r="46" spans="1:41" x14ac:dyDescent="0.25">
      <c r="A46" s="14" t="str">
        <f t="shared" si="8"/>
        <v>Ex.Mode.10502</v>
      </c>
      <c r="B46" s="14">
        <f t="shared" si="2"/>
        <v>20118042</v>
      </c>
      <c r="C46" s="14" t="str">
        <f t="shared" si="1"/>
        <v>Ex.Mode.105</v>
      </c>
      <c r="D46" s="14">
        <v>2</v>
      </c>
      <c r="E46" s="14" t="str">
        <f t="shared" si="3"/>
        <v>Ex.Mode.10501</v>
      </c>
      <c r="F46" s="14"/>
      <c r="G46" s="14"/>
      <c r="H46" s="14"/>
      <c r="I46" s="14"/>
      <c r="J46" s="14"/>
      <c r="K46" s="14" t="s">
        <v>244</v>
      </c>
      <c r="L46" s="14"/>
      <c r="M46" s="15" t="s">
        <v>156</v>
      </c>
      <c r="N46" s="15"/>
      <c r="O46" s="15"/>
      <c r="P46" s="14"/>
      <c r="Q46" s="14">
        <v>0</v>
      </c>
      <c r="R46" s="14"/>
      <c r="S46" s="14">
        <v>10000502</v>
      </c>
      <c r="T46" s="14" t="b">
        <v>0</v>
      </c>
      <c r="U46" s="14"/>
      <c r="V46" s="14" t="b">
        <v>0</v>
      </c>
      <c r="W46" s="14"/>
      <c r="X46" s="14"/>
      <c r="Y46" s="14"/>
      <c r="Z46" s="14" t="b">
        <v>1</v>
      </c>
      <c r="AA46" s="14" t="b">
        <v>0</v>
      </c>
      <c r="AB46" s="14" t="s">
        <v>63</v>
      </c>
      <c r="AC46" s="14">
        <v>10</v>
      </c>
      <c r="AD46" s="14">
        <v>1</v>
      </c>
      <c r="AE46" s="14"/>
      <c r="AF46" s="14"/>
      <c r="AG46" s="14" t="str">
        <f t="shared" si="9"/>
        <v>Normal</v>
      </c>
      <c r="AH46" s="14">
        <v>0</v>
      </c>
      <c r="AI46" s="14" t="s">
        <v>62</v>
      </c>
      <c r="AJ46" s="14">
        <v>120</v>
      </c>
      <c r="AK46" s="14" t="s">
        <v>64</v>
      </c>
      <c r="AL46" s="14"/>
      <c r="AM46" s="14"/>
      <c r="AN46" s="14"/>
      <c r="AO46" s="14"/>
    </row>
    <row r="47" spans="1:41" x14ac:dyDescent="0.25">
      <c r="A47" s="14" t="str">
        <f t="shared" ref="A47:A78" si="10">"Ex.Mode."&amp;RIGHT(A37,5)+100</f>
        <v>Ex.Mode.10503</v>
      </c>
      <c r="B47" s="14">
        <f t="shared" si="2"/>
        <v>20118043</v>
      </c>
      <c r="C47" s="14" t="str">
        <f t="shared" si="1"/>
        <v>Ex.Mode.105</v>
      </c>
      <c r="D47" s="14">
        <v>3</v>
      </c>
      <c r="E47" s="14" t="str">
        <f t="shared" si="3"/>
        <v>Ex.Mode.10502</v>
      </c>
      <c r="F47" s="14"/>
      <c r="G47" s="14"/>
      <c r="H47" s="14"/>
      <c r="I47" s="14"/>
      <c r="J47" s="14"/>
      <c r="K47" s="14" t="s">
        <v>244</v>
      </c>
      <c r="L47" s="14"/>
      <c r="M47" s="15" t="s">
        <v>157</v>
      </c>
      <c r="N47" s="15"/>
      <c r="O47" s="15"/>
      <c r="P47" s="14"/>
      <c r="Q47" s="14">
        <v>0</v>
      </c>
      <c r="R47" s="14"/>
      <c r="S47" s="14">
        <v>10000503</v>
      </c>
      <c r="T47" s="14" t="b">
        <v>0</v>
      </c>
      <c r="U47" s="14"/>
      <c r="V47" s="14" t="b">
        <v>0</v>
      </c>
      <c r="W47" s="14"/>
      <c r="X47" s="14"/>
      <c r="Y47" s="14"/>
      <c r="Z47" s="14" t="b">
        <v>1</v>
      </c>
      <c r="AA47" s="14" t="b">
        <v>0</v>
      </c>
      <c r="AB47" s="14" t="s">
        <v>63</v>
      </c>
      <c r="AC47" s="14">
        <v>10</v>
      </c>
      <c r="AD47" s="14">
        <v>1</v>
      </c>
      <c r="AE47" s="14"/>
      <c r="AF47" s="14"/>
      <c r="AG47" s="14" t="str">
        <f t="shared" si="9"/>
        <v>Normal</v>
      </c>
      <c r="AH47" s="14">
        <v>0</v>
      </c>
      <c r="AI47" s="14" t="s">
        <v>62</v>
      </c>
      <c r="AJ47" s="14">
        <v>120</v>
      </c>
      <c r="AK47" s="14" t="s">
        <v>64</v>
      </c>
      <c r="AL47" s="14"/>
      <c r="AM47" s="14"/>
      <c r="AN47" s="14"/>
      <c r="AO47" s="14"/>
    </row>
    <row r="48" spans="1:41" x14ac:dyDescent="0.25">
      <c r="A48" s="14" t="str">
        <f t="shared" si="10"/>
        <v>Ex.Mode.10504</v>
      </c>
      <c r="B48" s="14">
        <f t="shared" si="2"/>
        <v>20118044</v>
      </c>
      <c r="C48" s="14" t="str">
        <f t="shared" si="1"/>
        <v>Ex.Mode.105</v>
      </c>
      <c r="D48" s="14">
        <v>4</v>
      </c>
      <c r="E48" s="14" t="str">
        <f t="shared" si="3"/>
        <v>Ex.Mode.10503</v>
      </c>
      <c r="F48" s="14"/>
      <c r="G48" s="14"/>
      <c r="H48" s="14"/>
      <c r="I48" s="14"/>
      <c r="J48" s="14"/>
      <c r="K48" s="14" t="s">
        <v>245</v>
      </c>
      <c r="L48" s="14"/>
      <c r="M48" s="15" t="s">
        <v>158</v>
      </c>
      <c r="N48" s="15"/>
      <c r="O48" s="15"/>
      <c r="P48" s="14"/>
      <c r="Q48" s="14">
        <v>0</v>
      </c>
      <c r="R48" s="14"/>
      <c r="S48" s="14">
        <v>10000504</v>
      </c>
      <c r="T48" s="14" t="b">
        <v>0</v>
      </c>
      <c r="U48" s="14"/>
      <c r="V48" s="14" t="b">
        <v>0</v>
      </c>
      <c r="W48" s="14"/>
      <c r="X48" s="14"/>
      <c r="Y48" s="14"/>
      <c r="Z48" s="14" t="b">
        <v>1</v>
      </c>
      <c r="AA48" s="14" t="b">
        <v>0</v>
      </c>
      <c r="AB48" s="14" t="s">
        <v>63</v>
      </c>
      <c r="AC48" s="14">
        <v>10</v>
      </c>
      <c r="AD48" s="14">
        <v>1</v>
      </c>
      <c r="AE48" s="14"/>
      <c r="AF48" s="14"/>
      <c r="AG48" s="14" t="str">
        <f t="shared" si="9"/>
        <v>Normal</v>
      </c>
      <c r="AH48" s="14">
        <v>0</v>
      </c>
      <c r="AI48" s="14" t="s">
        <v>62</v>
      </c>
      <c r="AJ48" s="14">
        <v>120</v>
      </c>
      <c r="AK48" s="14" t="s">
        <v>64</v>
      </c>
      <c r="AL48" s="14"/>
      <c r="AM48" s="14"/>
      <c r="AN48" s="14"/>
      <c r="AO48" s="14"/>
    </row>
    <row r="49" spans="1:41" x14ac:dyDescent="0.25">
      <c r="A49" s="14" t="str">
        <f t="shared" si="10"/>
        <v>Ex.Mode.10505</v>
      </c>
      <c r="B49" s="14">
        <f t="shared" si="2"/>
        <v>20118045</v>
      </c>
      <c r="C49" s="14" t="str">
        <f t="shared" si="1"/>
        <v>Ex.Mode.105</v>
      </c>
      <c r="D49" s="14">
        <v>5</v>
      </c>
      <c r="E49" s="14" t="str">
        <f t="shared" si="3"/>
        <v>Ex.Mode.10504</v>
      </c>
      <c r="F49" s="14"/>
      <c r="G49" s="14"/>
      <c r="H49" s="14"/>
      <c r="I49" s="14"/>
      <c r="J49" s="14"/>
      <c r="K49" s="14" t="s">
        <v>247</v>
      </c>
      <c r="L49" s="14"/>
      <c r="M49" s="15" t="s">
        <v>159</v>
      </c>
      <c r="N49" s="15"/>
      <c r="O49" s="15"/>
      <c r="P49" s="14"/>
      <c r="Q49" s="14">
        <v>0</v>
      </c>
      <c r="R49" s="14"/>
      <c r="S49" s="14">
        <v>10000505</v>
      </c>
      <c r="T49" s="14" t="b">
        <v>0</v>
      </c>
      <c r="U49" s="14"/>
      <c r="V49" s="14" t="b">
        <v>0</v>
      </c>
      <c r="W49" s="14"/>
      <c r="X49" s="14"/>
      <c r="Y49" s="14"/>
      <c r="Z49" s="14" t="b">
        <v>1</v>
      </c>
      <c r="AA49" s="14" t="b">
        <v>0</v>
      </c>
      <c r="AB49" s="14" t="s">
        <v>63</v>
      </c>
      <c r="AC49" s="14">
        <v>10</v>
      </c>
      <c r="AD49" s="14">
        <v>1</v>
      </c>
      <c r="AE49" s="14"/>
      <c r="AF49" s="14"/>
      <c r="AG49" s="14" t="str">
        <f t="shared" si="9"/>
        <v>Normal</v>
      </c>
      <c r="AH49" s="14">
        <v>0</v>
      </c>
      <c r="AI49" s="14" t="s">
        <v>62</v>
      </c>
      <c r="AJ49" s="14">
        <v>120</v>
      </c>
      <c r="AK49" s="14" t="s">
        <v>64</v>
      </c>
      <c r="AL49" s="14"/>
      <c r="AM49" s="14"/>
      <c r="AN49" s="14"/>
      <c r="AO49" s="14"/>
    </row>
    <row r="50" spans="1:41" x14ac:dyDescent="0.25">
      <c r="A50" s="14" t="str">
        <f t="shared" si="10"/>
        <v>Ex.Mode.10506</v>
      </c>
      <c r="B50" s="14">
        <f t="shared" si="2"/>
        <v>20118046</v>
      </c>
      <c r="C50" s="14" t="str">
        <f t="shared" si="1"/>
        <v>Ex.Mode.105</v>
      </c>
      <c r="D50" s="14">
        <v>6</v>
      </c>
      <c r="E50" s="14" t="str">
        <f t="shared" si="3"/>
        <v>Ex.Mode.10505</v>
      </c>
      <c r="F50" s="14"/>
      <c r="G50" s="14"/>
      <c r="H50" s="14"/>
      <c r="I50" s="14"/>
      <c r="J50" s="14"/>
      <c r="K50" s="14" t="s">
        <v>245</v>
      </c>
      <c r="L50" s="14"/>
      <c r="M50" s="15" t="s">
        <v>160</v>
      </c>
      <c r="N50" s="15"/>
      <c r="O50" s="15"/>
      <c r="P50" s="14"/>
      <c r="Q50" s="14">
        <v>0</v>
      </c>
      <c r="R50" s="14"/>
      <c r="S50" s="14">
        <v>10000506</v>
      </c>
      <c r="T50" s="14" t="b">
        <v>0</v>
      </c>
      <c r="U50" s="14"/>
      <c r="V50" s="14" t="b">
        <v>0</v>
      </c>
      <c r="W50" s="14"/>
      <c r="X50" s="14"/>
      <c r="Y50" s="14"/>
      <c r="Z50" s="14" t="b">
        <v>1</v>
      </c>
      <c r="AA50" s="14" t="b">
        <v>0</v>
      </c>
      <c r="AB50" s="14" t="s">
        <v>63</v>
      </c>
      <c r="AC50" s="14">
        <v>10</v>
      </c>
      <c r="AD50" s="14">
        <v>1</v>
      </c>
      <c r="AE50" s="14"/>
      <c r="AF50" s="14"/>
      <c r="AG50" s="14" t="str">
        <f t="shared" si="9"/>
        <v>Normal</v>
      </c>
      <c r="AH50" s="14">
        <v>0</v>
      </c>
      <c r="AI50" s="14" t="s">
        <v>62</v>
      </c>
      <c r="AJ50" s="14">
        <v>120</v>
      </c>
      <c r="AK50" s="14" t="s">
        <v>64</v>
      </c>
      <c r="AL50" s="14"/>
      <c r="AM50" s="14"/>
      <c r="AN50" s="14"/>
      <c r="AO50" s="14"/>
    </row>
    <row r="51" spans="1:41" x14ac:dyDescent="0.25">
      <c r="A51" s="14" t="str">
        <f t="shared" si="10"/>
        <v>Ex.Mode.10507</v>
      </c>
      <c r="B51" s="14">
        <f t="shared" si="2"/>
        <v>20118047</v>
      </c>
      <c r="C51" s="14" t="str">
        <f t="shared" si="1"/>
        <v>Ex.Mode.105</v>
      </c>
      <c r="D51" s="14">
        <v>7</v>
      </c>
      <c r="E51" s="14" t="str">
        <f t="shared" si="3"/>
        <v>Ex.Mode.10506</v>
      </c>
      <c r="F51" s="14"/>
      <c r="G51" s="14"/>
      <c r="H51" s="14"/>
      <c r="I51" s="14"/>
      <c r="J51" s="14"/>
      <c r="K51" s="14" t="s">
        <v>247</v>
      </c>
      <c r="L51" s="14"/>
      <c r="M51" s="15" t="s">
        <v>161</v>
      </c>
      <c r="N51" s="15"/>
      <c r="O51" s="15"/>
      <c r="P51" s="14"/>
      <c r="Q51" s="14">
        <v>0</v>
      </c>
      <c r="R51" s="14"/>
      <c r="S51" s="14">
        <v>10000507</v>
      </c>
      <c r="T51" s="14" t="b">
        <v>0</v>
      </c>
      <c r="U51" s="14"/>
      <c r="V51" s="14" t="b">
        <v>0</v>
      </c>
      <c r="W51" s="14"/>
      <c r="X51" s="14"/>
      <c r="Y51" s="14"/>
      <c r="Z51" s="14" t="b">
        <v>1</v>
      </c>
      <c r="AA51" s="14" t="b">
        <v>0</v>
      </c>
      <c r="AB51" s="14" t="s">
        <v>63</v>
      </c>
      <c r="AC51" s="14">
        <v>10</v>
      </c>
      <c r="AD51" s="14">
        <v>1</v>
      </c>
      <c r="AE51" s="14"/>
      <c r="AF51" s="14"/>
      <c r="AG51" s="14" t="str">
        <f t="shared" si="9"/>
        <v>Normal</v>
      </c>
      <c r="AH51" s="14">
        <v>0</v>
      </c>
      <c r="AI51" s="14" t="s">
        <v>62</v>
      </c>
      <c r="AJ51" s="14">
        <v>120</v>
      </c>
      <c r="AK51" s="14" t="s">
        <v>64</v>
      </c>
      <c r="AL51" s="14"/>
      <c r="AM51" s="14"/>
      <c r="AN51" s="14"/>
      <c r="AO51" s="14"/>
    </row>
    <row r="52" spans="1:41" x14ac:dyDescent="0.25">
      <c r="A52" s="14" t="str">
        <f t="shared" si="10"/>
        <v>Ex.Mode.10508</v>
      </c>
      <c r="B52" s="14">
        <f t="shared" si="2"/>
        <v>20118048</v>
      </c>
      <c r="C52" s="14" t="str">
        <f t="shared" si="1"/>
        <v>Ex.Mode.105</v>
      </c>
      <c r="D52" s="14">
        <v>8</v>
      </c>
      <c r="E52" s="14" t="str">
        <f t="shared" si="3"/>
        <v>Ex.Mode.10507</v>
      </c>
      <c r="F52" s="14"/>
      <c r="G52" s="14"/>
      <c r="H52" s="14"/>
      <c r="I52" s="14"/>
      <c r="J52" s="14"/>
      <c r="K52" s="14" t="s">
        <v>244</v>
      </c>
      <c r="L52" s="14"/>
      <c r="M52" s="15" t="s">
        <v>162</v>
      </c>
      <c r="N52" s="15"/>
      <c r="O52" s="15"/>
      <c r="P52" s="14"/>
      <c r="Q52" s="14">
        <v>0</v>
      </c>
      <c r="R52" s="14"/>
      <c r="S52" s="14">
        <v>10000508</v>
      </c>
      <c r="T52" s="14" t="b">
        <v>0</v>
      </c>
      <c r="U52" s="14"/>
      <c r="V52" s="14" t="b">
        <v>0</v>
      </c>
      <c r="W52" s="14"/>
      <c r="X52" s="14"/>
      <c r="Y52" s="14"/>
      <c r="Z52" s="14" t="b">
        <v>1</v>
      </c>
      <c r="AA52" s="14" t="b">
        <v>0</v>
      </c>
      <c r="AB52" s="14" t="s">
        <v>63</v>
      </c>
      <c r="AC52" s="14">
        <v>10</v>
      </c>
      <c r="AD52" s="14">
        <v>1</v>
      </c>
      <c r="AE52" s="14"/>
      <c r="AF52" s="14"/>
      <c r="AG52" s="14" t="str">
        <f t="shared" si="9"/>
        <v>Normal</v>
      </c>
      <c r="AH52" s="14">
        <v>0</v>
      </c>
      <c r="AI52" s="14" t="s">
        <v>62</v>
      </c>
      <c r="AJ52" s="14">
        <v>120</v>
      </c>
      <c r="AK52" s="14" t="s">
        <v>64</v>
      </c>
      <c r="AL52" s="14"/>
      <c r="AM52" s="14"/>
      <c r="AN52" s="14"/>
      <c r="AO52" s="14"/>
    </row>
    <row r="53" spans="1:41" x14ac:dyDescent="0.25">
      <c r="A53" s="14" t="str">
        <f t="shared" si="10"/>
        <v>Ex.Mode.10509</v>
      </c>
      <c r="B53" s="14">
        <f t="shared" si="2"/>
        <v>20118049</v>
      </c>
      <c r="C53" s="14" t="str">
        <f t="shared" si="1"/>
        <v>Ex.Mode.105</v>
      </c>
      <c r="D53" s="14">
        <v>9</v>
      </c>
      <c r="E53" s="14" t="str">
        <f t="shared" si="3"/>
        <v>Ex.Mode.10508</v>
      </c>
      <c r="F53" s="14"/>
      <c r="G53" s="14"/>
      <c r="H53" s="14"/>
      <c r="I53" s="14"/>
      <c r="J53" s="14"/>
      <c r="K53" s="14" t="s">
        <v>243</v>
      </c>
      <c r="L53" s="14"/>
      <c r="M53" s="15" t="s">
        <v>163</v>
      </c>
      <c r="N53" s="15"/>
      <c r="O53" s="15"/>
      <c r="P53" s="14"/>
      <c r="Q53" s="14">
        <v>0</v>
      </c>
      <c r="R53" s="14"/>
      <c r="S53" s="14">
        <v>10000509</v>
      </c>
      <c r="T53" s="14" t="b">
        <v>0</v>
      </c>
      <c r="U53" s="14"/>
      <c r="V53" s="14" t="b">
        <v>0</v>
      </c>
      <c r="W53" s="14"/>
      <c r="X53" s="14"/>
      <c r="Y53" s="14"/>
      <c r="Z53" s="14" t="b">
        <v>1</v>
      </c>
      <c r="AA53" s="14" t="b">
        <v>0</v>
      </c>
      <c r="AB53" s="14" t="s">
        <v>63</v>
      </c>
      <c r="AC53" s="14">
        <v>10</v>
      </c>
      <c r="AD53" s="14">
        <v>1</v>
      </c>
      <c r="AE53" s="14"/>
      <c r="AF53" s="14"/>
      <c r="AG53" s="14" t="str">
        <f t="shared" si="9"/>
        <v>Normal</v>
      </c>
      <c r="AH53" s="14">
        <v>0</v>
      </c>
      <c r="AI53" s="14" t="s">
        <v>62</v>
      </c>
      <c r="AJ53" s="14">
        <v>120</v>
      </c>
      <c r="AK53" s="14" t="s">
        <v>64</v>
      </c>
      <c r="AL53" s="14"/>
      <c r="AM53" s="14"/>
      <c r="AN53" s="14"/>
      <c r="AO53" s="14"/>
    </row>
    <row r="54" spans="1:41" x14ac:dyDescent="0.25">
      <c r="A54" s="14" t="str">
        <f t="shared" si="10"/>
        <v>Ex.Mode.10510</v>
      </c>
      <c r="B54" s="14">
        <f t="shared" si="2"/>
        <v>20118050</v>
      </c>
      <c r="C54" s="14" t="str">
        <f t="shared" si="1"/>
        <v>Ex.Mode.105</v>
      </c>
      <c r="D54" s="14">
        <v>10</v>
      </c>
      <c r="E54" s="14" t="str">
        <f t="shared" si="3"/>
        <v>Ex.Mode.10509</v>
      </c>
      <c r="F54" s="14"/>
      <c r="G54" s="14"/>
      <c r="H54" s="14"/>
      <c r="I54" s="14"/>
      <c r="J54" s="14"/>
      <c r="K54" s="14" t="s">
        <v>246</v>
      </c>
      <c r="L54" s="14"/>
      <c r="M54" s="15" t="s">
        <v>164</v>
      </c>
      <c r="N54" s="15"/>
      <c r="O54" s="15"/>
      <c r="P54" s="14"/>
      <c r="Q54" s="14">
        <v>0</v>
      </c>
      <c r="R54" s="14"/>
      <c r="S54" s="14">
        <v>10000510</v>
      </c>
      <c r="T54" s="14" t="b">
        <v>0</v>
      </c>
      <c r="U54" s="14"/>
      <c r="V54" s="14" t="b">
        <v>0</v>
      </c>
      <c r="W54" s="14"/>
      <c r="X54" s="14"/>
      <c r="Y54" s="14"/>
      <c r="Z54" s="14" t="b">
        <v>1</v>
      </c>
      <c r="AA54" s="14" t="b">
        <v>0</v>
      </c>
      <c r="AB54" s="14" t="s">
        <v>63</v>
      </c>
      <c r="AC54" s="14">
        <v>10</v>
      </c>
      <c r="AD54" s="14">
        <v>1</v>
      </c>
      <c r="AE54" s="14"/>
      <c r="AF54" s="14"/>
      <c r="AG54" s="14" t="str">
        <f t="shared" si="9"/>
        <v>Normal</v>
      </c>
      <c r="AH54" s="14">
        <v>0</v>
      </c>
      <c r="AI54" s="14" t="s">
        <v>62</v>
      </c>
      <c r="AJ54" s="14">
        <v>120</v>
      </c>
      <c r="AK54" s="14" t="s">
        <v>64</v>
      </c>
      <c r="AL54" s="14"/>
      <c r="AM54" s="14"/>
      <c r="AN54" s="14"/>
      <c r="AO54" s="14"/>
    </row>
    <row r="55" spans="1:41" x14ac:dyDescent="0.25">
      <c r="A55" s="12" t="str">
        <f t="shared" si="10"/>
        <v>Ex.Mode.10601</v>
      </c>
      <c r="B55" s="12">
        <f t="shared" si="2"/>
        <v>20118051</v>
      </c>
      <c r="C55" s="12" t="str">
        <f t="shared" si="1"/>
        <v>Ex.Mode.106</v>
      </c>
      <c r="D55" s="12">
        <v>1</v>
      </c>
      <c r="E55" s="12" t="str">
        <f t="shared" si="3"/>
        <v>Ex.Mode.10510</v>
      </c>
      <c r="F55" s="12"/>
      <c r="G55" s="12"/>
      <c r="H55" s="12"/>
      <c r="I55" s="12"/>
      <c r="J55" s="12"/>
      <c r="K55" s="12" t="s">
        <v>262</v>
      </c>
      <c r="L55" s="12"/>
      <c r="M55" s="13" t="s">
        <v>165</v>
      </c>
      <c r="N55" s="13"/>
      <c r="O55" s="13"/>
      <c r="P55" s="12"/>
      <c r="Q55" s="12">
        <v>0</v>
      </c>
      <c r="R55" s="12"/>
      <c r="S55" s="12">
        <v>10000601</v>
      </c>
      <c r="T55" s="12" t="b">
        <v>0</v>
      </c>
      <c r="U55" s="12"/>
      <c r="V55" s="12" t="b">
        <v>0</v>
      </c>
      <c r="W55" s="12"/>
      <c r="X55" s="12"/>
      <c r="Y55" s="12"/>
      <c r="Z55" s="12" t="b">
        <v>1</v>
      </c>
      <c r="AA55" s="12" t="b">
        <v>0</v>
      </c>
      <c r="AB55" s="12" t="s">
        <v>63</v>
      </c>
      <c r="AC55" s="12">
        <v>10</v>
      </c>
      <c r="AD55" s="12">
        <v>1</v>
      </c>
      <c r="AE55" s="12"/>
      <c r="AF55" s="12"/>
      <c r="AG55" s="12" t="str">
        <f t="shared" si="9"/>
        <v>Normal</v>
      </c>
      <c r="AH55" s="12">
        <v>0</v>
      </c>
      <c r="AI55" s="12" t="s">
        <v>62</v>
      </c>
      <c r="AJ55" s="12">
        <v>120</v>
      </c>
      <c r="AK55" s="12" t="s">
        <v>64</v>
      </c>
      <c r="AL55" s="12"/>
      <c r="AM55" s="12"/>
      <c r="AN55" s="12"/>
      <c r="AO55" s="12"/>
    </row>
    <row r="56" spans="1:41" x14ac:dyDescent="0.25">
      <c r="A56" s="12" t="str">
        <f t="shared" si="10"/>
        <v>Ex.Mode.10602</v>
      </c>
      <c r="B56" s="12">
        <f t="shared" si="2"/>
        <v>20118052</v>
      </c>
      <c r="C56" s="12" t="str">
        <f t="shared" si="1"/>
        <v>Ex.Mode.106</v>
      </c>
      <c r="D56" s="12">
        <v>2</v>
      </c>
      <c r="E56" s="12" t="str">
        <f t="shared" si="3"/>
        <v>Ex.Mode.10601</v>
      </c>
      <c r="F56" s="12"/>
      <c r="G56" s="12"/>
      <c r="H56" s="12"/>
      <c r="I56" s="12"/>
      <c r="J56" s="12"/>
      <c r="K56" s="12" t="s">
        <v>260</v>
      </c>
      <c r="L56" s="12"/>
      <c r="M56" s="13" t="s">
        <v>166</v>
      </c>
      <c r="N56" s="13"/>
      <c r="O56" s="13"/>
      <c r="P56" s="12"/>
      <c r="Q56" s="12">
        <v>0</v>
      </c>
      <c r="R56" s="12"/>
      <c r="S56" s="12">
        <v>10000602</v>
      </c>
      <c r="T56" s="12" t="b">
        <v>0</v>
      </c>
      <c r="U56" s="12"/>
      <c r="V56" s="12" t="b">
        <v>0</v>
      </c>
      <c r="W56" s="12"/>
      <c r="X56" s="12"/>
      <c r="Y56" s="12"/>
      <c r="Z56" s="12" t="b">
        <v>1</v>
      </c>
      <c r="AA56" s="12" t="b">
        <v>0</v>
      </c>
      <c r="AB56" s="12" t="s">
        <v>63</v>
      </c>
      <c r="AC56" s="12">
        <v>10</v>
      </c>
      <c r="AD56" s="12">
        <v>1</v>
      </c>
      <c r="AE56" s="12"/>
      <c r="AF56" s="12"/>
      <c r="AG56" s="12" t="str">
        <f t="shared" si="9"/>
        <v>Normal</v>
      </c>
      <c r="AH56" s="12">
        <v>0</v>
      </c>
      <c r="AI56" s="12" t="s">
        <v>62</v>
      </c>
      <c r="AJ56" s="12">
        <v>120</v>
      </c>
      <c r="AK56" s="12" t="s">
        <v>64</v>
      </c>
      <c r="AL56" s="12"/>
      <c r="AM56" s="12"/>
      <c r="AN56" s="12"/>
      <c r="AO56" s="12"/>
    </row>
    <row r="57" spans="1:41" x14ac:dyDescent="0.25">
      <c r="A57" s="12" t="str">
        <f t="shared" si="10"/>
        <v>Ex.Mode.10603</v>
      </c>
      <c r="B57" s="12">
        <f t="shared" si="2"/>
        <v>20118053</v>
      </c>
      <c r="C57" s="12" t="str">
        <f t="shared" si="1"/>
        <v>Ex.Mode.106</v>
      </c>
      <c r="D57" s="12">
        <v>3</v>
      </c>
      <c r="E57" s="12" t="str">
        <f t="shared" si="3"/>
        <v>Ex.Mode.10602</v>
      </c>
      <c r="F57" s="12"/>
      <c r="G57" s="12"/>
      <c r="H57" s="12"/>
      <c r="I57" s="12"/>
      <c r="J57" s="12"/>
      <c r="K57" s="12" t="s">
        <v>261</v>
      </c>
      <c r="L57" s="12"/>
      <c r="M57" s="13" t="s">
        <v>167</v>
      </c>
      <c r="N57" s="13"/>
      <c r="O57" s="13"/>
      <c r="P57" s="12"/>
      <c r="Q57" s="12">
        <v>0</v>
      </c>
      <c r="R57" s="12"/>
      <c r="S57" s="12">
        <v>10000603</v>
      </c>
      <c r="T57" s="12" t="b">
        <v>0</v>
      </c>
      <c r="U57" s="12"/>
      <c r="V57" s="12" t="b">
        <v>0</v>
      </c>
      <c r="W57" s="12"/>
      <c r="X57" s="12"/>
      <c r="Y57" s="12"/>
      <c r="Z57" s="12" t="b">
        <v>1</v>
      </c>
      <c r="AA57" s="12" t="b">
        <v>0</v>
      </c>
      <c r="AB57" s="12" t="s">
        <v>63</v>
      </c>
      <c r="AC57" s="12">
        <v>10</v>
      </c>
      <c r="AD57" s="12">
        <v>1</v>
      </c>
      <c r="AE57" s="12"/>
      <c r="AF57" s="12"/>
      <c r="AG57" s="12" t="str">
        <f t="shared" si="9"/>
        <v>Normal</v>
      </c>
      <c r="AH57" s="12">
        <v>0</v>
      </c>
      <c r="AI57" s="12" t="s">
        <v>62</v>
      </c>
      <c r="AJ57" s="12">
        <v>120</v>
      </c>
      <c r="AK57" s="12" t="s">
        <v>64</v>
      </c>
      <c r="AL57" s="12"/>
      <c r="AM57" s="12"/>
      <c r="AN57" s="12"/>
      <c r="AO57" s="12"/>
    </row>
    <row r="58" spans="1:41" x14ac:dyDescent="0.25">
      <c r="A58" s="12" t="str">
        <f t="shared" si="10"/>
        <v>Ex.Mode.10604</v>
      </c>
      <c r="B58" s="12">
        <f t="shared" si="2"/>
        <v>20118054</v>
      </c>
      <c r="C58" s="12" t="str">
        <f t="shared" si="1"/>
        <v>Ex.Mode.106</v>
      </c>
      <c r="D58" s="12">
        <v>4</v>
      </c>
      <c r="E58" s="12" t="str">
        <f t="shared" si="3"/>
        <v>Ex.Mode.10603</v>
      </c>
      <c r="F58" s="12"/>
      <c r="G58" s="12"/>
      <c r="H58" s="12"/>
      <c r="I58" s="12"/>
      <c r="J58" s="12"/>
      <c r="K58" s="12" t="s">
        <v>262</v>
      </c>
      <c r="L58" s="12"/>
      <c r="M58" s="13" t="s">
        <v>168</v>
      </c>
      <c r="N58" s="13"/>
      <c r="O58" s="13"/>
      <c r="P58" s="12"/>
      <c r="Q58" s="12">
        <v>0</v>
      </c>
      <c r="R58" s="12"/>
      <c r="S58" s="12">
        <v>10000604</v>
      </c>
      <c r="T58" s="12" t="b">
        <v>0</v>
      </c>
      <c r="U58" s="12"/>
      <c r="V58" s="12" t="b">
        <v>0</v>
      </c>
      <c r="W58" s="12"/>
      <c r="X58" s="12"/>
      <c r="Y58" s="12"/>
      <c r="Z58" s="12" t="b">
        <v>1</v>
      </c>
      <c r="AA58" s="12" t="b">
        <v>0</v>
      </c>
      <c r="AB58" s="12" t="s">
        <v>63</v>
      </c>
      <c r="AC58" s="12">
        <v>10</v>
      </c>
      <c r="AD58" s="12">
        <v>1</v>
      </c>
      <c r="AE58" s="12"/>
      <c r="AF58" s="12"/>
      <c r="AG58" s="12" t="str">
        <f t="shared" si="9"/>
        <v>Normal</v>
      </c>
      <c r="AH58" s="12">
        <v>0</v>
      </c>
      <c r="AI58" s="12" t="s">
        <v>62</v>
      </c>
      <c r="AJ58" s="12">
        <v>120</v>
      </c>
      <c r="AK58" s="12" t="s">
        <v>64</v>
      </c>
      <c r="AL58" s="12"/>
      <c r="AM58" s="12"/>
      <c r="AN58" s="12"/>
      <c r="AO58" s="12"/>
    </row>
    <row r="59" spans="1:41" x14ac:dyDescent="0.25">
      <c r="A59" s="12" t="str">
        <f t="shared" si="10"/>
        <v>Ex.Mode.10605</v>
      </c>
      <c r="B59" s="12">
        <f t="shared" si="2"/>
        <v>20118055</v>
      </c>
      <c r="C59" s="12" t="str">
        <f t="shared" si="1"/>
        <v>Ex.Mode.106</v>
      </c>
      <c r="D59" s="12">
        <v>5</v>
      </c>
      <c r="E59" s="12" t="str">
        <f t="shared" si="3"/>
        <v>Ex.Mode.10604</v>
      </c>
      <c r="F59" s="12"/>
      <c r="G59" s="12"/>
      <c r="H59" s="12"/>
      <c r="I59" s="12"/>
      <c r="J59" s="12"/>
      <c r="K59" s="12" t="s">
        <v>262</v>
      </c>
      <c r="L59" s="12"/>
      <c r="M59" s="13" t="s">
        <v>169</v>
      </c>
      <c r="N59" s="13"/>
      <c r="O59" s="13"/>
      <c r="P59" s="12"/>
      <c r="Q59" s="12">
        <v>0</v>
      </c>
      <c r="R59" s="12"/>
      <c r="S59" s="12">
        <v>10000605</v>
      </c>
      <c r="T59" s="12" t="b">
        <v>0</v>
      </c>
      <c r="U59" s="12"/>
      <c r="V59" s="12" t="b">
        <v>0</v>
      </c>
      <c r="W59" s="12"/>
      <c r="X59" s="12"/>
      <c r="Y59" s="12"/>
      <c r="Z59" s="12" t="b">
        <v>1</v>
      </c>
      <c r="AA59" s="12" t="b">
        <v>0</v>
      </c>
      <c r="AB59" s="12" t="s">
        <v>63</v>
      </c>
      <c r="AC59" s="12">
        <v>10</v>
      </c>
      <c r="AD59" s="12">
        <v>1</v>
      </c>
      <c r="AE59" s="12"/>
      <c r="AF59" s="12"/>
      <c r="AG59" s="12" t="str">
        <f t="shared" si="9"/>
        <v>Normal</v>
      </c>
      <c r="AH59" s="12">
        <v>0</v>
      </c>
      <c r="AI59" s="12" t="s">
        <v>62</v>
      </c>
      <c r="AJ59" s="12">
        <v>120</v>
      </c>
      <c r="AK59" s="12" t="s">
        <v>64</v>
      </c>
      <c r="AL59" s="12"/>
      <c r="AM59" s="12"/>
      <c r="AN59" s="12"/>
      <c r="AO59" s="12"/>
    </row>
    <row r="60" spans="1:41" x14ac:dyDescent="0.25">
      <c r="A60" s="12" t="str">
        <f t="shared" si="10"/>
        <v>Ex.Mode.10606</v>
      </c>
      <c r="B60" s="12">
        <f t="shared" si="2"/>
        <v>20118056</v>
      </c>
      <c r="C60" s="12" t="str">
        <f t="shared" si="1"/>
        <v>Ex.Mode.106</v>
      </c>
      <c r="D60" s="12">
        <v>6</v>
      </c>
      <c r="E60" s="12" t="str">
        <f t="shared" si="3"/>
        <v>Ex.Mode.10605</v>
      </c>
      <c r="F60" s="12"/>
      <c r="G60" s="12"/>
      <c r="H60" s="12"/>
      <c r="I60" s="12"/>
      <c r="J60" s="12"/>
      <c r="K60" s="12" t="s">
        <v>260</v>
      </c>
      <c r="L60" s="12"/>
      <c r="M60" s="13" t="s">
        <v>170</v>
      </c>
      <c r="N60" s="13"/>
      <c r="O60" s="13"/>
      <c r="P60" s="12"/>
      <c r="Q60" s="12">
        <v>0</v>
      </c>
      <c r="R60" s="12"/>
      <c r="S60" s="12">
        <v>10000606</v>
      </c>
      <c r="T60" s="12" t="b">
        <v>0</v>
      </c>
      <c r="U60" s="12"/>
      <c r="V60" s="12" t="b">
        <v>0</v>
      </c>
      <c r="W60" s="12"/>
      <c r="X60" s="12"/>
      <c r="Y60" s="12"/>
      <c r="Z60" s="12" t="b">
        <v>1</v>
      </c>
      <c r="AA60" s="12" t="b">
        <v>0</v>
      </c>
      <c r="AB60" s="12" t="s">
        <v>63</v>
      </c>
      <c r="AC60" s="12">
        <v>10</v>
      </c>
      <c r="AD60" s="12">
        <v>1</v>
      </c>
      <c r="AE60" s="12"/>
      <c r="AF60" s="12"/>
      <c r="AG60" s="12" t="str">
        <f t="shared" si="9"/>
        <v>Normal</v>
      </c>
      <c r="AH60" s="12">
        <v>0</v>
      </c>
      <c r="AI60" s="12" t="s">
        <v>62</v>
      </c>
      <c r="AJ60" s="12">
        <v>120</v>
      </c>
      <c r="AK60" s="12" t="s">
        <v>64</v>
      </c>
      <c r="AL60" s="12"/>
      <c r="AM60" s="12"/>
      <c r="AN60" s="12"/>
      <c r="AO60" s="12"/>
    </row>
    <row r="61" spans="1:41" x14ac:dyDescent="0.25">
      <c r="A61" s="12" t="str">
        <f t="shared" si="10"/>
        <v>Ex.Mode.10607</v>
      </c>
      <c r="B61" s="12">
        <f t="shared" si="2"/>
        <v>20118057</v>
      </c>
      <c r="C61" s="12" t="str">
        <f t="shared" si="1"/>
        <v>Ex.Mode.106</v>
      </c>
      <c r="D61" s="12">
        <v>7</v>
      </c>
      <c r="E61" s="12" t="str">
        <f t="shared" si="3"/>
        <v>Ex.Mode.10606</v>
      </c>
      <c r="F61" s="12"/>
      <c r="G61" s="12"/>
      <c r="H61" s="12"/>
      <c r="I61" s="12"/>
      <c r="J61" s="12"/>
      <c r="K61" s="12" t="s">
        <v>261</v>
      </c>
      <c r="L61" s="12"/>
      <c r="M61" s="13" t="s">
        <v>171</v>
      </c>
      <c r="N61" s="13"/>
      <c r="O61" s="13"/>
      <c r="P61" s="12"/>
      <c r="Q61" s="12">
        <v>0</v>
      </c>
      <c r="R61" s="12"/>
      <c r="S61" s="12">
        <v>10000607</v>
      </c>
      <c r="T61" s="12" t="b">
        <v>0</v>
      </c>
      <c r="U61" s="12"/>
      <c r="V61" s="12" t="b">
        <v>0</v>
      </c>
      <c r="W61" s="12"/>
      <c r="X61" s="12"/>
      <c r="Y61" s="12"/>
      <c r="Z61" s="12" t="b">
        <v>1</v>
      </c>
      <c r="AA61" s="12" t="b">
        <v>0</v>
      </c>
      <c r="AB61" s="12" t="s">
        <v>63</v>
      </c>
      <c r="AC61" s="12">
        <v>10</v>
      </c>
      <c r="AD61" s="12">
        <v>1</v>
      </c>
      <c r="AE61" s="12"/>
      <c r="AF61" s="12"/>
      <c r="AG61" s="12" t="str">
        <f t="shared" si="9"/>
        <v>Normal</v>
      </c>
      <c r="AH61" s="12">
        <v>0</v>
      </c>
      <c r="AI61" s="12" t="s">
        <v>62</v>
      </c>
      <c r="AJ61" s="12">
        <v>120</v>
      </c>
      <c r="AK61" s="12" t="s">
        <v>64</v>
      </c>
      <c r="AL61" s="12"/>
      <c r="AM61" s="12"/>
      <c r="AN61" s="12"/>
      <c r="AO61" s="12"/>
    </row>
    <row r="62" spans="1:41" x14ac:dyDescent="0.25">
      <c r="A62" s="12" t="str">
        <f t="shared" si="10"/>
        <v>Ex.Mode.10608</v>
      </c>
      <c r="B62" s="12">
        <f t="shared" si="2"/>
        <v>20118058</v>
      </c>
      <c r="C62" s="12" t="str">
        <f t="shared" si="1"/>
        <v>Ex.Mode.106</v>
      </c>
      <c r="D62" s="12">
        <v>8</v>
      </c>
      <c r="E62" s="12" t="str">
        <f t="shared" si="3"/>
        <v>Ex.Mode.10607</v>
      </c>
      <c r="F62" s="12"/>
      <c r="G62" s="12"/>
      <c r="H62" s="12"/>
      <c r="I62" s="12"/>
      <c r="J62" s="12"/>
      <c r="K62" s="12" t="s">
        <v>263</v>
      </c>
      <c r="L62" s="12"/>
      <c r="M62" s="13" t="s">
        <v>172</v>
      </c>
      <c r="N62" s="13"/>
      <c r="O62" s="13"/>
      <c r="P62" s="12"/>
      <c r="Q62" s="12">
        <v>0</v>
      </c>
      <c r="R62" s="12"/>
      <c r="S62" s="12">
        <v>10000608</v>
      </c>
      <c r="T62" s="12" t="b">
        <v>0</v>
      </c>
      <c r="U62" s="12"/>
      <c r="V62" s="12" t="b">
        <v>0</v>
      </c>
      <c r="W62" s="12"/>
      <c r="X62" s="12"/>
      <c r="Y62" s="12"/>
      <c r="Z62" s="12" t="b">
        <v>1</v>
      </c>
      <c r="AA62" s="12" t="b">
        <v>0</v>
      </c>
      <c r="AB62" s="12" t="s">
        <v>63</v>
      </c>
      <c r="AC62" s="12">
        <v>10</v>
      </c>
      <c r="AD62" s="12">
        <v>1</v>
      </c>
      <c r="AE62" s="12"/>
      <c r="AF62" s="12"/>
      <c r="AG62" s="12" t="str">
        <f t="shared" si="9"/>
        <v>Normal</v>
      </c>
      <c r="AH62" s="12">
        <v>0</v>
      </c>
      <c r="AI62" s="12" t="s">
        <v>62</v>
      </c>
      <c r="AJ62" s="12">
        <v>120</v>
      </c>
      <c r="AK62" s="12" t="s">
        <v>64</v>
      </c>
      <c r="AL62" s="12"/>
      <c r="AM62" s="12"/>
      <c r="AN62" s="12"/>
      <c r="AO62" s="12"/>
    </row>
    <row r="63" spans="1:41" x14ac:dyDescent="0.25">
      <c r="A63" s="12" t="str">
        <f t="shared" si="10"/>
        <v>Ex.Mode.10609</v>
      </c>
      <c r="B63" s="12">
        <f t="shared" si="2"/>
        <v>20118059</v>
      </c>
      <c r="C63" s="12" t="str">
        <f t="shared" si="1"/>
        <v>Ex.Mode.106</v>
      </c>
      <c r="D63" s="12">
        <v>9</v>
      </c>
      <c r="E63" s="12" t="str">
        <f t="shared" si="3"/>
        <v>Ex.Mode.10608</v>
      </c>
      <c r="F63" s="12"/>
      <c r="G63" s="12"/>
      <c r="H63" s="12"/>
      <c r="I63" s="12"/>
      <c r="J63" s="12"/>
      <c r="K63" s="12" t="s">
        <v>261</v>
      </c>
      <c r="L63" s="12"/>
      <c r="M63" s="13" t="s">
        <v>173</v>
      </c>
      <c r="N63" s="13"/>
      <c r="O63" s="13"/>
      <c r="P63" s="12"/>
      <c r="Q63" s="12">
        <v>0</v>
      </c>
      <c r="R63" s="12"/>
      <c r="S63" s="12">
        <v>10000609</v>
      </c>
      <c r="T63" s="12" t="b">
        <v>0</v>
      </c>
      <c r="U63" s="12"/>
      <c r="V63" s="12" t="b">
        <v>0</v>
      </c>
      <c r="W63" s="12"/>
      <c r="X63" s="12"/>
      <c r="Y63" s="12"/>
      <c r="Z63" s="12" t="b">
        <v>1</v>
      </c>
      <c r="AA63" s="12" t="b">
        <v>0</v>
      </c>
      <c r="AB63" s="12" t="s">
        <v>63</v>
      </c>
      <c r="AC63" s="12">
        <v>10</v>
      </c>
      <c r="AD63" s="12">
        <v>1</v>
      </c>
      <c r="AE63" s="12"/>
      <c r="AF63" s="12"/>
      <c r="AG63" s="12" t="str">
        <f t="shared" si="9"/>
        <v>Normal</v>
      </c>
      <c r="AH63" s="12">
        <v>0</v>
      </c>
      <c r="AI63" s="12" t="s">
        <v>62</v>
      </c>
      <c r="AJ63" s="12">
        <v>120</v>
      </c>
      <c r="AK63" s="12" t="s">
        <v>64</v>
      </c>
      <c r="AL63" s="12"/>
      <c r="AM63" s="12"/>
      <c r="AN63" s="12"/>
      <c r="AO63" s="12"/>
    </row>
    <row r="64" spans="1:41" x14ac:dyDescent="0.25">
      <c r="A64" s="12" t="str">
        <f t="shared" si="10"/>
        <v>Ex.Mode.10610</v>
      </c>
      <c r="B64" s="12">
        <f t="shared" si="2"/>
        <v>20118060</v>
      </c>
      <c r="C64" s="12" t="str">
        <f t="shared" si="1"/>
        <v>Ex.Mode.106</v>
      </c>
      <c r="D64" s="12">
        <v>10</v>
      </c>
      <c r="E64" s="12" t="str">
        <f t="shared" si="3"/>
        <v>Ex.Mode.10609</v>
      </c>
      <c r="F64" s="12"/>
      <c r="G64" s="12"/>
      <c r="H64" s="12"/>
      <c r="I64" s="12"/>
      <c r="J64" s="12"/>
      <c r="K64" s="12" t="s">
        <v>264</v>
      </c>
      <c r="L64" s="12"/>
      <c r="M64" s="13" t="s">
        <v>174</v>
      </c>
      <c r="N64" s="13"/>
      <c r="O64" s="13"/>
      <c r="P64" s="12"/>
      <c r="Q64" s="12">
        <v>0</v>
      </c>
      <c r="R64" s="12"/>
      <c r="S64" s="12">
        <v>10000610</v>
      </c>
      <c r="T64" s="12" t="b">
        <v>0</v>
      </c>
      <c r="U64" s="12"/>
      <c r="V64" s="12" t="b">
        <v>0</v>
      </c>
      <c r="W64" s="12"/>
      <c r="X64" s="12"/>
      <c r="Y64" s="12"/>
      <c r="Z64" s="12" t="b">
        <v>1</v>
      </c>
      <c r="AA64" s="12" t="b">
        <v>0</v>
      </c>
      <c r="AB64" s="12" t="s">
        <v>63</v>
      </c>
      <c r="AC64" s="12">
        <v>10</v>
      </c>
      <c r="AD64" s="12">
        <v>1</v>
      </c>
      <c r="AE64" s="12"/>
      <c r="AF64" s="12"/>
      <c r="AG64" s="12" t="str">
        <f t="shared" si="9"/>
        <v>Normal</v>
      </c>
      <c r="AH64" s="12">
        <v>0</v>
      </c>
      <c r="AI64" s="12" t="s">
        <v>62</v>
      </c>
      <c r="AJ64" s="12">
        <v>120</v>
      </c>
      <c r="AK64" s="12" t="s">
        <v>64</v>
      </c>
      <c r="AL64" s="12"/>
      <c r="AM64" s="12"/>
      <c r="AN64" s="12"/>
      <c r="AO64" s="12"/>
    </row>
    <row r="65" spans="1:41" x14ac:dyDescent="0.25">
      <c r="A65" s="10" t="str">
        <f t="shared" si="10"/>
        <v>Ex.Mode.10701</v>
      </c>
      <c r="B65" s="10">
        <f t="shared" si="2"/>
        <v>20118061</v>
      </c>
      <c r="C65" s="10" t="str">
        <f t="shared" si="1"/>
        <v>Ex.Mode.107</v>
      </c>
      <c r="D65" s="10">
        <v>1</v>
      </c>
      <c r="E65" s="10" t="str">
        <f t="shared" si="3"/>
        <v>Ex.Mode.10610</v>
      </c>
      <c r="F65" s="10"/>
      <c r="G65" s="10"/>
      <c r="H65" s="10"/>
      <c r="I65" s="10"/>
      <c r="J65" s="10"/>
      <c r="K65" s="10" t="s">
        <v>254</v>
      </c>
      <c r="L65" s="10"/>
      <c r="M65" s="11" t="s">
        <v>175</v>
      </c>
      <c r="N65" s="11"/>
      <c r="O65" s="11"/>
      <c r="P65" s="10"/>
      <c r="Q65" s="10">
        <v>0</v>
      </c>
      <c r="R65" s="10"/>
      <c r="S65" s="10">
        <v>10000701</v>
      </c>
      <c r="T65" s="10" t="b">
        <v>0</v>
      </c>
      <c r="U65" s="10"/>
      <c r="V65" s="10" t="b">
        <v>0</v>
      </c>
      <c r="W65" s="10"/>
      <c r="X65" s="10"/>
      <c r="Y65" s="10"/>
      <c r="Z65" s="10" t="b">
        <v>1</v>
      </c>
      <c r="AA65" s="10" t="b">
        <v>0</v>
      </c>
      <c r="AB65" s="10" t="s">
        <v>51</v>
      </c>
      <c r="AC65" s="10">
        <v>10</v>
      </c>
      <c r="AD65" s="10">
        <v>1</v>
      </c>
      <c r="AE65" s="10"/>
      <c r="AF65" s="10"/>
      <c r="AG65" s="10" t="str">
        <f t="shared" si="9"/>
        <v>Normal</v>
      </c>
      <c r="AH65" s="10">
        <v>0</v>
      </c>
      <c r="AI65" s="10" t="s">
        <v>61</v>
      </c>
      <c r="AJ65" s="10">
        <v>120</v>
      </c>
      <c r="AK65" s="10" t="s">
        <v>12</v>
      </c>
      <c r="AL65" s="10"/>
      <c r="AM65" s="10"/>
      <c r="AN65" s="10"/>
      <c r="AO65" s="10"/>
    </row>
    <row r="66" spans="1:41" x14ac:dyDescent="0.25">
      <c r="A66" s="10" t="str">
        <f t="shared" si="10"/>
        <v>Ex.Mode.10702</v>
      </c>
      <c r="B66" s="10">
        <f t="shared" si="2"/>
        <v>20118062</v>
      </c>
      <c r="C66" s="10" t="str">
        <f t="shared" si="1"/>
        <v>Ex.Mode.107</v>
      </c>
      <c r="D66" s="10">
        <v>2</v>
      </c>
      <c r="E66" s="10" t="str">
        <f t="shared" si="3"/>
        <v>Ex.Mode.10701</v>
      </c>
      <c r="F66" s="10"/>
      <c r="G66" s="10"/>
      <c r="H66" s="10"/>
      <c r="I66" s="10"/>
      <c r="J66" s="10"/>
      <c r="K66" s="10" t="s">
        <v>257</v>
      </c>
      <c r="L66" s="10"/>
      <c r="M66" s="11" t="s">
        <v>176</v>
      </c>
      <c r="N66" s="11"/>
      <c r="O66" s="11"/>
      <c r="P66" s="10"/>
      <c r="Q66" s="10">
        <v>0</v>
      </c>
      <c r="R66" s="10"/>
      <c r="S66" s="10">
        <v>10000702</v>
      </c>
      <c r="T66" s="10" t="b">
        <v>0</v>
      </c>
      <c r="U66" s="10"/>
      <c r="V66" s="10" t="b">
        <v>0</v>
      </c>
      <c r="W66" s="10"/>
      <c r="X66" s="10"/>
      <c r="Y66" s="10"/>
      <c r="Z66" s="10" t="b">
        <v>1</v>
      </c>
      <c r="AA66" s="10" t="b">
        <v>0</v>
      </c>
      <c r="AB66" s="10" t="s">
        <v>51</v>
      </c>
      <c r="AC66" s="10">
        <v>10</v>
      </c>
      <c r="AD66" s="10">
        <v>1</v>
      </c>
      <c r="AE66" s="10"/>
      <c r="AF66" s="10"/>
      <c r="AG66" s="10" t="str">
        <f t="shared" si="9"/>
        <v>Normal</v>
      </c>
      <c r="AH66" s="10">
        <v>0</v>
      </c>
      <c r="AI66" s="10" t="s">
        <v>62</v>
      </c>
      <c r="AJ66" s="10">
        <v>120</v>
      </c>
      <c r="AK66" s="10" t="s">
        <v>12</v>
      </c>
      <c r="AL66" s="10"/>
      <c r="AM66" s="10"/>
      <c r="AN66" s="10"/>
      <c r="AO66" s="10"/>
    </row>
    <row r="67" spans="1:41" x14ac:dyDescent="0.25">
      <c r="A67" s="10" t="str">
        <f t="shared" si="10"/>
        <v>Ex.Mode.10703</v>
      </c>
      <c r="B67" s="10">
        <f t="shared" si="2"/>
        <v>20118063</v>
      </c>
      <c r="C67" s="10" t="str">
        <f t="shared" si="1"/>
        <v>Ex.Mode.107</v>
      </c>
      <c r="D67" s="10">
        <v>3</v>
      </c>
      <c r="E67" s="10" t="str">
        <f t="shared" si="3"/>
        <v>Ex.Mode.10702</v>
      </c>
      <c r="F67" s="10"/>
      <c r="G67" s="10"/>
      <c r="H67" s="10"/>
      <c r="I67" s="10"/>
      <c r="J67" s="10"/>
      <c r="K67" s="10" t="s">
        <v>256</v>
      </c>
      <c r="L67" s="10"/>
      <c r="M67" s="11" t="s">
        <v>177</v>
      </c>
      <c r="N67" s="11"/>
      <c r="O67" s="11"/>
      <c r="P67" s="10"/>
      <c r="Q67" s="10">
        <v>0</v>
      </c>
      <c r="R67" s="10"/>
      <c r="S67" s="10">
        <v>10000703</v>
      </c>
      <c r="T67" s="10" t="b">
        <v>0</v>
      </c>
      <c r="U67" s="10"/>
      <c r="V67" s="10" t="b">
        <v>0</v>
      </c>
      <c r="W67" s="10"/>
      <c r="X67" s="10"/>
      <c r="Y67" s="10"/>
      <c r="Z67" s="10" t="b">
        <v>1</v>
      </c>
      <c r="AA67" s="10" t="b">
        <v>0</v>
      </c>
      <c r="AB67" s="10" t="s">
        <v>51</v>
      </c>
      <c r="AC67" s="10">
        <v>10</v>
      </c>
      <c r="AD67" s="10">
        <v>1</v>
      </c>
      <c r="AE67" s="10"/>
      <c r="AF67" s="10"/>
      <c r="AG67" s="10" t="str">
        <f t="shared" si="9"/>
        <v>Normal</v>
      </c>
      <c r="AH67" s="10">
        <v>0</v>
      </c>
      <c r="AI67" s="10" t="s">
        <v>62</v>
      </c>
      <c r="AJ67" s="10">
        <v>120</v>
      </c>
      <c r="AK67" s="10" t="s">
        <v>12</v>
      </c>
      <c r="AL67" s="10"/>
      <c r="AM67" s="10"/>
      <c r="AN67" s="10"/>
      <c r="AO67" s="10"/>
    </row>
    <row r="68" spans="1:41" x14ac:dyDescent="0.25">
      <c r="A68" s="10" t="str">
        <f t="shared" si="10"/>
        <v>Ex.Mode.10704</v>
      </c>
      <c r="B68" s="10">
        <f t="shared" si="2"/>
        <v>20118064</v>
      </c>
      <c r="C68" s="10" t="str">
        <f t="shared" si="1"/>
        <v>Ex.Mode.107</v>
      </c>
      <c r="D68" s="10">
        <v>4</v>
      </c>
      <c r="E68" s="10" t="str">
        <f t="shared" si="3"/>
        <v>Ex.Mode.10703</v>
      </c>
      <c r="F68" s="10"/>
      <c r="G68" s="10"/>
      <c r="H68" s="10"/>
      <c r="I68" s="10"/>
      <c r="J68" s="10"/>
      <c r="K68" s="10" t="s">
        <v>254</v>
      </c>
      <c r="L68" s="10"/>
      <c r="M68" s="11" t="s">
        <v>178</v>
      </c>
      <c r="N68" s="11"/>
      <c r="O68" s="11"/>
      <c r="P68" s="10"/>
      <c r="Q68" s="10">
        <v>0</v>
      </c>
      <c r="R68" s="10"/>
      <c r="S68" s="10">
        <v>10000704</v>
      </c>
      <c r="T68" s="10" t="b">
        <v>0</v>
      </c>
      <c r="U68" s="10"/>
      <c r="V68" s="10" t="b">
        <v>0</v>
      </c>
      <c r="W68" s="10"/>
      <c r="X68" s="10"/>
      <c r="Y68" s="10"/>
      <c r="Z68" s="10" t="b">
        <v>1</v>
      </c>
      <c r="AA68" s="10" t="b">
        <v>0</v>
      </c>
      <c r="AB68" s="10" t="s">
        <v>51</v>
      </c>
      <c r="AC68" s="10">
        <v>10</v>
      </c>
      <c r="AD68" s="10">
        <v>1</v>
      </c>
      <c r="AE68" s="10"/>
      <c r="AF68" s="10"/>
      <c r="AG68" s="10" t="str">
        <f t="shared" si="9"/>
        <v>Normal</v>
      </c>
      <c r="AH68" s="10">
        <v>0</v>
      </c>
      <c r="AI68" s="10" t="s">
        <v>62</v>
      </c>
      <c r="AJ68" s="10">
        <v>120</v>
      </c>
      <c r="AK68" s="10" t="s">
        <v>12</v>
      </c>
      <c r="AL68" s="10"/>
      <c r="AM68" s="10"/>
      <c r="AN68" s="10"/>
      <c r="AO68" s="10"/>
    </row>
    <row r="69" spans="1:41" x14ac:dyDescent="0.25">
      <c r="A69" s="10" t="str">
        <f t="shared" si="10"/>
        <v>Ex.Mode.10705</v>
      </c>
      <c r="B69" s="10">
        <f t="shared" si="2"/>
        <v>20118065</v>
      </c>
      <c r="C69" s="10" t="str">
        <f t="shared" si="1"/>
        <v>Ex.Mode.107</v>
      </c>
      <c r="D69" s="10">
        <v>5</v>
      </c>
      <c r="E69" s="10" t="str">
        <f t="shared" si="3"/>
        <v>Ex.Mode.10704</v>
      </c>
      <c r="F69" s="10"/>
      <c r="G69" s="10"/>
      <c r="H69" s="10"/>
      <c r="I69" s="10"/>
      <c r="J69" s="10"/>
      <c r="K69" s="10" t="s">
        <v>254</v>
      </c>
      <c r="L69" s="10"/>
      <c r="M69" s="11" t="s">
        <v>179</v>
      </c>
      <c r="N69" s="11"/>
      <c r="O69" s="11"/>
      <c r="P69" s="10"/>
      <c r="Q69" s="10">
        <v>0</v>
      </c>
      <c r="R69" s="10"/>
      <c r="S69" s="10">
        <v>10000705</v>
      </c>
      <c r="T69" s="10" t="b">
        <v>0</v>
      </c>
      <c r="U69" s="10"/>
      <c r="V69" s="10" t="b">
        <v>0</v>
      </c>
      <c r="W69" s="10"/>
      <c r="X69" s="10"/>
      <c r="Y69" s="10"/>
      <c r="Z69" s="10" t="b">
        <v>1</v>
      </c>
      <c r="AA69" s="10" t="b">
        <v>0</v>
      </c>
      <c r="AB69" s="10" t="s">
        <v>51</v>
      </c>
      <c r="AC69" s="10">
        <v>10</v>
      </c>
      <c r="AD69" s="10">
        <v>1</v>
      </c>
      <c r="AE69" s="10"/>
      <c r="AF69" s="10"/>
      <c r="AG69" s="10" t="str">
        <f t="shared" si="9"/>
        <v>Normal</v>
      </c>
      <c r="AH69" s="10">
        <v>0</v>
      </c>
      <c r="AI69" s="10" t="s">
        <v>62</v>
      </c>
      <c r="AJ69" s="10">
        <v>120</v>
      </c>
      <c r="AK69" s="10" t="s">
        <v>12</v>
      </c>
      <c r="AL69" s="10"/>
      <c r="AM69" s="10"/>
      <c r="AN69" s="10"/>
      <c r="AO69" s="10"/>
    </row>
    <row r="70" spans="1:41" x14ac:dyDescent="0.25">
      <c r="A70" s="10" t="str">
        <f t="shared" si="10"/>
        <v>Ex.Mode.10706</v>
      </c>
      <c r="B70" s="10">
        <f t="shared" si="2"/>
        <v>20118066</v>
      </c>
      <c r="C70" s="10" t="str">
        <f t="shared" ref="C70:C104" si="11">LEFT(A70,11)</f>
        <v>Ex.Mode.107</v>
      </c>
      <c r="D70" s="10">
        <v>6</v>
      </c>
      <c r="E70" s="10" t="str">
        <f t="shared" si="3"/>
        <v>Ex.Mode.10705</v>
      </c>
      <c r="F70" s="10"/>
      <c r="G70" s="10"/>
      <c r="H70" s="10"/>
      <c r="I70" s="10"/>
      <c r="J70" s="10"/>
      <c r="K70" s="10" t="s">
        <v>259</v>
      </c>
      <c r="L70" s="10"/>
      <c r="M70" s="11" t="s">
        <v>180</v>
      </c>
      <c r="N70" s="11"/>
      <c r="O70" s="11"/>
      <c r="P70" s="10"/>
      <c r="Q70" s="10">
        <v>0</v>
      </c>
      <c r="R70" s="10"/>
      <c r="S70" s="10">
        <v>10000706</v>
      </c>
      <c r="T70" s="10" t="b">
        <v>0</v>
      </c>
      <c r="U70" s="10"/>
      <c r="V70" s="10" t="b">
        <v>0</v>
      </c>
      <c r="W70" s="10"/>
      <c r="X70" s="10"/>
      <c r="Y70" s="10"/>
      <c r="Z70" s="10" t="b">
        <v>1</v>
      </c>
      <c r="AA70" s="10" t="b">
        <v>0</v>
      </c>
      <c r="AB70" s="10" t="s">
        <v>51</v>
      </c>
      <c r="AC70" s="10">
        <v>10</v>
      </c>
      <c r="AD70" s="10">
        <v>1</v>
      </c>
      <c r="AE70" s="10"/>
      <c r="AF70" s="10"/>
      <c r="AG70" s="10" t="str">
        <f t="shared" si="9"/>
        <v>Normal</v>
      </c>
      <c r="AH70" s="10">
        <v>0</v>
      </c>
      <c r="AI70" s="10" t="s">
        <v>62</v>
      </c>
      <c r="AJ70" s="10">
        <v>120</v>
      </c>
      <c r="AK70" s="10" t="s">
        <v>12</v>
      </c>
      <c r="AL70" s="10"/>
      <c r="AM70" s="10"/>
      <c r="AN70" s="10"/>
      <c r="AO70" s="10"/>
    </row>
    <row r="71" spans="1:41" x14ac:dyDescent="0.25">
      <c r="A71" s="10" t="str">
        <f t="shared" si="10"/>
        <v>Ex.Mode.10707</v>
      </c>
      <c r="B71" s="10">
        <f t="shared" ref="B71:B104" si="12">B70+1</f>
        <v>20118067</v>
      </c>
      <c r="C71" s="10" t="str">
        <f t="shared" si="11"/>
        <v>Ex.Mode.107</v>
      </c>
      <c r="D71" s="10">
        <v>7</v>
      </c>
      <c r="E71" s="10" t="str">
        <f t="shared" ref="E71:E88" si="13">A70</f>
        <v>Ex.Mode.10706</v>
      </c>
      <c r="F71" s="10"/>
      <c r="G71" s="10"/>
      <c r="H71" s="10"/>
      <c r="I71" s="10"/>
      <c r="J71" s="10"/>
      <c r="K71" s="10" t="s">
        <v>255</v>
      </c>
      <c r="L71" s="10"/>
      <c r="M71" s="11" t="s">
        <v>181</v>
      </c>
      <c r="N71" s="11"/>
      <c r="O71" s="11"/>
      <c r="P71" s="10"/>
      <c r="Q71" s="10">
        <v>0</v>
      </c>
      <c r="R71" s="10"/>
      <c r="S71" s="10">
        <v>10000707</v>
      </c>
      <c r="T71" s="10" t="b">
        <v>0</v>
      </c>
      <c r="U71" s="10"/>
      <c r="V71" s="10" t="b">
        <v>0</v>
      </c>
      <c r="W71" s="10"/>
      <c r="X71" s="10"/>
      <c r="Y71" s="10"/>
      <c r="Z71" s="10" t="b">
        <v>1</v>
      </c>
      <c r="AA71" s="10" t="b">
        <v>0</v>
      </c>
      <c r="AB71" s="10" t="s">
        <v>51</v>
      </c>
      <c r="AC71" s="10">
        <v>10</v>
      </c>
      <c r="AD71" s="10">
        <v>1</v>
      </c>
      <c r="AE71" s="10"/>
      <c r="AF71" s="10"/>
      <c r="AG71" s="10" t="str">
        <f t="shared" si="9"/>
        <v>Normal</v>
      </c>
      <c r="AH71" s="10">
        <v>0</v>
      </c>
      <c r="AI71" s="10" t="s">
        <v>62</v>
      </c>
      <c r="AJ71" s="10">
        <v>120</v>
      </c>
      <c r="AK71" s="10" t="s">
        <v>12</v>
      </c>
      <c r="AL71" s="10"/>
      <c r="AM71" s="10"/>
      <c r="AN71" s="10"/>
      <c r="AO71" s="10"/>
    </row>
    <row r="72" spans="1:41" x14ac:dyDescent="0.25">
      <c r="A72" s="10" t="str">
        <f t="shared" si="10"/>
        <v>Ex.Mode.10708</v>
      </c>
      <c r="B72" s="10">
        <f t="shared" si="12"/>
        <v>20118068</v>
      </c>
      <c r="C72" s="10" t="str">
        <f t="shared" si="11"/>
        <v>Ex.Mode.107</v>
      </c>
      <c r="D72" s="10">
        <v>8</v>
      </c>
      <c r="E72" s="10" t="str">
        <f t="shared" si="13"/>
        <v>Ex.Mode.10707</v>
      </c>
      <c r="F72" s="10"/>
      <c r="G72" s="10"/>
      <c r="H72" s="10"/>
      <c r="I72" s="10"/>
      <c r="J72" s="10"/>
      <c r="K72" s="10" t="s">
        <v>254</v>
      </c>
      <c r="L72" s="10"/>
      <c r="M72" s="11" t="s">
        <v>182</v>
      </c>
      <c r="N72" s="11"/>
      <c r="O72" s="11"/>
      <c r="P72" s="10"/>
      <c r="Q72" s="10">
        <v>0</v>
      </c>
      <c r="R72" s="10"/>
      <c r="S72" s="10">
        <v>10000708</v>
      </c>
      <c r="T72" s="10" t="b">
        <v>0</v>
      </c>
      <c r="U72" s="10"/>
      <c r="V72" s="10" t="b">
        <v>0</v>
      </c>
      <c r="W72" s="10"/>
      <c r="X72" s="10"/>
      <c r="Y72" s="10"/>
      <c r="Z72" s="10" t="b">
        <v>1</v>
      </c>
      <c r="AA72" s="10" t="b">
        <v>0</v>
      </c>
      <c r="AB72" s="10" t="s">
        <v>51</v>
      </c>
      <c r="AC72" s="10">
        <v>10</v>
      </c>
      <c r="AD72" s="10">
        <v>1</v>
      </c>
      <c r="AE72" s="10"/>
      <c r="AF72" s="10"/>
      <c r="AG72" s="10" t="str">
        <f t="shared" si="9"/>
        <v>Normal</v>
      </c>
      <c r="AH72" s="10">
        <v>0</v>
      </c>
      <c r="AI72" s="10" t="s">
        <v>62</v>
      </c>
      <c r="AJ72" s="10">
        <v>120</v>
      </c>
      <c r="AK72" s="10" t="s">
        <v>12</v>
      </c>
      <c r="AL72" s="10"/>
      <c r="AM72" s="10"/>
      <c r="AN72" s="10"/>
      <c r="AO72" s="10"/>
    </row>
    <row r="73" spans="1:41" x14ac:dyDescent="0.25">
      <c r="A73" s="10" t="str">
        <f t="shared" si="10"/>
        <v>Ex.Mode.10709</v>
      </c>
      <c r="B73" s="10">
        <f t="shared" si="12"/>
        <v>20118069</v>
      </c>
      <c r="C73" s="10" t="str">
        <f t="shared" si="11"/>
        <v>Ex.Mode.107</v>
      </c>
      <c r="D73" s="10">
        <v>9</v>
      </c>
      <c r="E73" s="10" t="str">
        <f t="shared" si="13"/>
        <v>Ex.Mode.10708</v>
      </c>
      <c r="F73" s="10"/>
      <c r="G73" s="10"/>
      <c r="H73" s="10"/>
      <c r="I73" s="10"/>
      <c r="J73" s="10"/>
      <c r="K73" s="10" t="s">
        <v>256</v>
      </c>
      <c r="L73" s="10"/>
      <c r="M73" s="11" t="s">
        <v>183</v>
      </c>
      <c r="N73" s="11"/>
      <c r="O73" s="11"/>
      <c r="P73" s="10"/>
      <c r="Q73" s="10">
        <v>0</v>
      </c>
      <c r="R73" s="10"/>
      <c r="S73" s="10">
        <v>10000709</v>
      </c>
      <c r="T73" s="10" t="b">
        <v>0</v>
      </c>
      <c r="U73" s="10"/>
      <c r="V73" s="10" t="b">
        <v>0</v>
      </c>
      <c r="W73" s="10"/>
      <c r="X73" s="10"/>
      <c r="Y73" s="10"/>
      <c r="Z73" s="10" t="b">
        <v>1</v>
      </c>
      <c r="AA73" s="10" t="b">
        <v>0</v>
      </c>
      <c r="AB73" s="10" t="s">
        <v>51</v>
      </c>
      <c r="AC73" s="10">
        <v>10</v>
      </c>
      <c r="AD73" s="10">
        <v>1</v>
      </c>
      <c r="AE73" s="10"/>
      <c r="AF73" s="10"/>
      <c r="AG73" s="10" t="str">
        <f t="shared" si="9"/>
        <v>Normal</v>
      </c>
      <c r="AH73" s="10">
        <v>0</v>
      </c>
      <c r="AI73" s="10" t="s">
        <v>62</v>
      </c>
      <c r="AJ73" s="10">
        <v>120</v>
      </c>
      <c r="AK73" s="10" t="s">
        <v>12</v>
      </c>
      <c r="AL73" s="10"/>
      <c r="AM73" s="10"/>
      <c r="AN73" s="10"/>
      <c r="AO73" s="10"/>
    </row>
    <row r="74" spans="1:41" x14ac:dyDescent="0.25">
      <c r="A74" s="10" t="str">
        <f t="shared" si="10"/>
        <v>Ex.Mode.10710</v>
      </c>
      <c r="B74" s="10">
        <f t="shared" si="12"/>
        <v>20118070</v>
      </c>
      <c r="C74" s="10" t="str">
        <f t="shared" si="11"/>
        <v>Ex.Mode.107</v>
      </c>
      <c r="D74" s="10">
        <v>10</v>
      </c>
      <c r="E74" s="10" t="str">
        <f t="shared" si="13"/>
        <v>Ex.Mode.10709</v>
      </c>
      <c r="F74" s="10"/>
      <c r="G74" s="10"/>
      <c r="H74" s="10"/>
      <c r="I74" s="10"/>
      <c r="J74" s="10"/>
      <c r="K74" s="10" t="s">
        <v>258</v>
      </c>
      <c r="L74" s="10"/>
      <c r="M74" s="11" t="s">
        <v>184</v>
      </c>
      <c r="N74" s="11"/>
      <c r="O74" s="11"/>
      <c r="P74" s="10"/>
      <c r="Q74" s="10">
        <v>0</v>
      </c>
      <c r="R74" s="10"/>
      <c r="S74" s="10">
        <v>10000710</v>
      </c>
      <c r="T74" s="10" t="b">
        <v>0</v>
      </c>
      <c r="U74" s="10"/>
      <c r="V74" s="10" t="b">
        <v>0</v>
      </c>
      <c r="W74" s="10"/>
      <c r="X74" s="10"/>
      <c r="Y74" s="10"/>
      <c r="Z74" s="10" t="b">
        <v>1</v>
      </c>
      <c r="AA74" s="10" t="b">
        <v>0</v>
      </c>
      <c r="AB74" s="10" t="s">
        <v>63</v>
      </c>
      <c r="AC74" s="10">
        <v>10</v>
      </c>
      <c r="AD74" s="10">
        <v>1</v>
      </c>
      <c r="AE74" s="10"/>
      <c r="AF74" s="10"/>
      <c r="AG74" s="10" t="str">
        <f t="shared" si="9"/>
        <v>Normal</v>
      </c>
      <c r="AH74" s="10">
        <v>0</v>
      </c>
      <c r="AI74" s="10" t="s">
        <v>62</v>
      </c>
      <c r="AJ74" s="10">
        <v>120</v>
      </c>
      <c r="AK74" s="10" t="s">
        <v>64</v>
      </c>
      <c r="AL74" s="10"/>
      <c r="AM74" s="10"/>
      <c r="AN74" s="10"/>
      <c r="AO74" s="10"/>
    </row>
    <row r="75" spans="1:41" x14ac:dyDescent="0.25">
      <c r="A75" s="14" t="str">
        <f t="shared" si="10"/>
        <v>Ex.Mode.10801</v>
      </c>
      <c r="B75" s="14">
        <f t="shared" si="12"/>
        <v>20118071</v>
      </c>
      <c r="C75" s="14" t="str">
        <f t="shared" si="11"/>
        <v>Ex.Mode.108</v>
      </c>
      <c r="D75" s="14">
        <v>1</v>
      </c>
      <c r="E75" s="14" t="str">
        <f t="shared" si="13"/>
        <v>Ex.Mode.10710</v>
      </c>
      <c r="F75" s="14"/>
      <c r="G75" s="14"/>
      <c r="H75" s="14"/>
      <c r="I75" s="14"/>
      <c r="J75" s="14"/>
      <c r="K75" s="14" t="s">
        <v>250</v>
      </c>
      <c r="L75" s="14"/>
      <c r="M75" s="15" t="s">
        <v>185</v>
      </c>
      <c r="N75" s="15"/>
      <c r="O75" s="15"/>
      <c r="P75" s="14"/>
      <c r="Q75" s="14">
        <v>0</v>
      </c>
      <c r="R75" s="14"/>
      <c r="S75" s="14">
        <v>10000801</v>
      </c>
      <c r="T75" s="14" t="b">
        <v>0</v>
      </c>
      <c r="U75" s="14"/>
      <c r="V75" s="14" t="b">
        <v>0</v>
      </c>
      <c r="W75" s="14"/>
      <c r="X75" s="14"/>
      <c r="Y75" s="14"/>
      <c r="Z75" s="14" t="b">
        <v>1</v>
      </c>
      <c r="AA75" s="14" t="b">
        <v>0</v>
      </c>
      <c r="AB75" s="14" t="s">
        <v>63</v>
      </c>
      <c r="AC75" s="14">
        <v>10</v>
      </c>
      <c r="AD75" s="14">
        <v>1</v>
      </c>
      <c r="AE75" s="14"/>
      <c r="AF75" s="14"/>
      <c r="AG75" s="14" t="str">
        <f t="shared" si="9"/>
        <v>Normal</v>
      </c>
      <c r="AH75" s="14">
        <v>0</v>
      </c>
      <c r="AI75" s="14" t="s">
        <v>62</v>
      </c>
      <c r="AJ75" s="14">
        <v>120</v>
      </c>
      <c r="AK75" s="14" t="s">
        <v>64</v>
      </c>
      <c r="AL75" s="14"/>
      <c r="AM75" s="14"/>
      <c r="AN75" s="14"/>
      <c r="AO75" s="14"/>
    </row>
    <row r="76" spans="1:41" x14ac:dyDescent="0.25">
      <c r="A76" s="14" t="str">
        <f t="shared" si="10"/>
        <v>Ex.Mode.10802</v>
      </c>
      <c r="B76" s="14">
        <f t="shared" si="12"/>
        <v>20118072</v>
      </c>
      <c r="C76" s="14" t="str">
        <f t="shared" si="11"/>
        <v>Ex.Mode.108</v>
      </c>
      <c r="D76" s="14">
        <v>2</v>
      </c>
      <c r="E76" s="14" t="str">
        <f t="shared" si="13"/>
        <v>Ex.Mode.10801</v>
      </c>
      <c r="F76" s="14"/>
      <c r="G76" s="14"/>
      <c r="H76" s="14"/>
      <c r="I76" s="14"/>
      <c r="J76" s="14"/>
      <c r="K76" s="14" t="s">
        <v>248</v>
      </c>
      <c r="L76" s="14"/>
      <c r="M76" s="15" t="s">
        <v>186</v>
      </c>
      <c r="N76" s="15"/>
      <c r="O76" s="15"/>
      <c r="P76" s="14"/>
      <c r="Q76" s="14">
        <v>0</v>
      </c>
      <c r="R76" s="14"/>
      <c r="S76" s="14">
        <v>10000802</v>
      </c>
      <c r="T76" s="14" t="b">
        <v>0</v>
      </c>
      <c r="U76" s="14"/>
      <c r="V76" s="14" t="b">
        <v>0</v>
      </c>
      <c r="W76" s="14"/>
      <c r="X76" s="14"/>
      <c r="Y76" s="14"/>
      <c r="Z76" s="14" t="b">
        <v>1</v>
      </c>
      <c r="AA76" s="14" t="b">
        <v>0</v>
      </c>
      <c r="AB76" s="14" t="s">
        <v>63</v>
      </c>
      <c r="AC76" s="14">
        <v>10</v>
      </c>
      <c r="AD76" s="14">
        <v>1</v>
      </c>
      <c r="AE76" s="14"/>
      <c r="AF76" s="14"/>
      <c r="AG76" s="14" t="str">
        <f t="shared" si="9"/>
        <v>Normal</v>
      </c>
      <c r="AH76" s="14">
        <v>0</v>
      </c>
      <c r="AI76" s="14" t="s">
        <v>62</v>
      </c>
      <c r="AJ76" s="14">
        <v>120</v>
      </c>
      <c r="AK76" s="14" t="s">
        <v>64</v>
      </c>
      <c r="AL76" s="14"/>
      <c r="AM76" s="14"/>
      <c r="AN76" s="14"/>
      <c r="AO76" s="14"/>
    </row>
    <row r="77" spans="1:41" x14ac:dyDescent="0.25">
      <c r="A77" s="14" t="str">
        <f t="shared" si="10"/>
        <v>Ex.Mode.10803</v>
      </c>
      <c r="B77" s="14">
        <f t="shared" si="12"/>
        <v>20118073</v>
      </c>
      <c r="C77" s="14" t="str">
        <f t="shared" si="11"/>
        <v>Ex.Mode.108</v>
      </c>
      <c r="D77" s="14">
        <v>3</v>
      </c>
      <c r="E77" s="14" t="str">
        <f t="shared" si="13"/>
        <v>Ex.Mode.10802</v>
      </c>
      <c r="F77" s="14"/>
      <c r="G77" s="14"/>
      <c r="H77" s="14"/>
      <c r="I77" s="14"/>
      <c r="J77" s="14"/>
      <c r="K77" s="14" t="s">
        <v>252</v>
      </c>
      <c r="L77" s="14"/>
      <c r="M77" s="15" t="s">
        <v>187</v>
      </c>
      <c r="N77" s="15"/>
      <c r="O77" s="15"/>
      <c r="P77" s="14"/>
      <c r="Q77" s="14">
        <v>0</v>
      </c>
      <c r="R77" s="14"/>
      <c r="S77" s="14">
        <v>10000803</v>
      </c>
      <c r="T77" s="14" t="b">
        <v>0</v>
      </c>
      <c r="U77" s="14"/>
      <c r="V77" s="14" t="b">
        <v>0</v>
      </c>
      <c r="W77" s="14"/>
      <c r="X77" s="14"/>
      <c r="Y77" s="14"/>
      <c r="Z77" s="14" t="b">
        <v>1</v>
      </c>
      <c r="AA77" s="14" t="b">
        <v>0</v>
      </c>
      <c r="AB77" s="14" t="s">
        <v>63</v>
      </c>
      <c r="AC77" s="14">
        <v>10</v>
      </c>
      <c r="AD77" s="14">
        <v>1</v>
      </c>
      <c r="AE77" s="14"/>
      <c r="AF77" s="14"/>
      <c r="AG77" s="14" t="str">
        <f t="shared" si="9"/>
        <v>Normal</v>
      </c>
      <c r="AH77" s="14">
        <v>0</v>
      </c>
      <c r="AI77" s="14" t="s">
        <v>62</v>
      </c>
      <c r="AJ77" s="14">
        <v>120</v>
      </c>
      <c r="AK77" s="14" t="s">
        <v>64</v>
      </c>
      <c r="AL77" s="14"/>
      <c r="AM77" s="14"/>
      <c r="AN77" s="14"/>
      <c r="AO77" s="14"/>
    </row>
    <row r="78" spans="1:41" x14ac:dyDescent="0.25">
      <c r="A78" s="14" t="str">
        <f t="shared" si="10"/>
        <v>Ex.Mode.10804</v>
      </c>
      <c r="B78" s="14">
        <f t="shared" si="12"/>
        <v>20118074</v>
      </c>
      <c r="C78" s="14" t="str">
        <f t="shared" si="11"/>
        <v>Ex.Mode.108</v>
      </c>
      <c r="D78" s="14">
        <v>4</v>
      </c>
      <c r="E78" s="14" t="str">
        <f t="shared" si="13"/>
        <v>Ex.Mode.10803</v>
      </c>
      <c r="F78" s="14"/>
      <c r="G78" s="14"/>
      <c r="H78" s="14"/>
      <c r="I78" s="14"/>
      <c r="J78" s="14"/>
      <c r="K78" s="14" t="s">
        <v>249</v>
      </c>
      <c r="L78" s="14"/>
      <c r="M78" s="15" t="s">
        <v>188</v>
      </c>
      <c r="N78" s="15"/>
      <c r="O78" s="15"/>
      <c r="P78" s="14"/>
      <c r="Q78" s="14">
        <v>0</v>
      </c>
      <c r="R78" s="14"/>
      <c r="S78" s="14">
        <v>10000804</v>
      </c>
      <c r="T78" s="14" t="b">
        <v>0</v>
      </c>
      <c r="U78" s="14"/>
      <c r="V78" s="14" t="b">
        <v>0</v>
      </c>
      <c r="W78" s="14"/>
      <c r="X78" s="14"/>
      <c r="Y78" s="14"/>
      <c r="Z78" s="14" t="b">
        <v>1</v>
      </c>
      <c r="AA78" s="14" t="b">
        <v>0</v>
      </c>
      <c r="AB78" s="14" t="s">
        <v>63</v>
      </c>
      <c r="AC78" s="14">
        <v>10</v>
      </c>
      <c r="AD78" s="14">
        <v>1</v>
      </c>
      <c r="AE78" s="14"/>
      <c r="AF78" s="14"/>
      <c r="AG78" s="14" t="str">
        <f t="shared" si="9"/>
        <v>Normal</v>
      </c>
      <c r="AH78" s="14">
        <v>0</v>
      </c>
      <c r="AI78" s="14" t="s">
        <v>62</v>
      </c>
      <c r="AJ78" s="14">
        <v>120</v>
      </c>
      <c r="AK78" s="14" t="s">
        <v>64</v>
      </c>
      <c r="AL78" s="14"/>
      <c r="AM78" s="14"/>
      <c r="AN78" s="14"/>
      <c r="AO78" s="14"/>
    </row>
    <row r="79" spans="1:41" x14ac:dyDescent="0.25">
      <c r="A79" s="14" t="str">
        <f t="shared" ref="A79:A104" si="14">"Ex.Mode."&amp;RIGHT(A69,5)+100</f>
        <v>Ex.Mode.10805</v>
      </c>
      <c r="B79" s="14">
        <f t="shared" si="12"/>
        <v>20118075</v>
      </c>
      <c r="C79" s="14" t="str">
        <f t="shared" si="11"/>
        <v>Ex.Mode.108</v>
      </c>
      <c r="D79" s="14">
        <v>5</v>
      </c>
      <c r="E79" s="14" t="str">
        <f t="shared" si="13"/>
        <v>Ex.Mode.10804</v>
      </c>
      <c r="F79" s="14"/>
      <c r="G79" s="14"/>
      <c r="H79" s="14"/>
      <c r="I79" s="14"/>
      <c r="J79" s="14"/>
      <c r="K79" s="14" t="s">
        <v>251</v>
      </c>
      <c r="L79" s="14"/>
      <c r="M79" s="15" t="s">
        <v>189</v>
      </c>
      <c r="N79" s="15"/>
      <c r="O79" s="15"/>
      <c r="P79" s="14"/>
      <c r="Q79" s="14">
        <v>0</v>
      </c>
      <c r="R79" s="14"/>
      <c r="S79" s="14">
        <v>10000805</v>
      </c>
      <c r="T79" s="14" t="b">
        <v>0</v>
      </c>
      <c r="U79" s="14"/>
      <c r="V79" s="14" t="b">
        <v>0</v>
      </c>
      <c r="W79" s="14"/>
      <c r="X79" s="14"/>
      <c r="Y79" s="14"/>
      <c r="Z79" s="14" t="b">
        <v>1</v>
      </c>
      <c r="AA79" s="14" t="b">
        <v>0</v>
      </c>
      <c r="AB79" s="14" t="s">
        <v>63</v>
      </c>
      <c r="AC79" s="14">
        <v>10</v>
      </c>
      <c r="AD79" s="14">
        <v>1</v>
      </c>
      <c r="AE79" s="14"/>
      <c r="AF79" s="14"/>
      <c r="AG79" s="14" t="str">
        <f t="shared" ref="AG79:AG88" si="15">IF(AH79=0,"Normal","Defense")</f>
        <v>Normal</v>
      </c>
      <c r="AH79" s="14">
        <v>0</v>
      </c>
      <c r="AI79" s="14" t="s">
        <v>62</v>
      </c>
      <c r="AJ79" s="14">
        <v>120</v>
      </c>
      <c r="AK79" s="14" t="s">
        <v>64</v>
      </c>
      <c r="AL79" s="14"/>
      <c r="AM79" s="14"/>
      <c r="AN79" s="14"/>
      <c r="AO79" s="14"/>
    </row>
    <row r="80" spans="1:41" x14ac:dyDescent="0.25">
      <c r="A80" s="14" t="str">
        <f t="shared" si="14"/>
        <v>Ex.Mode.10806</v>
      </c>
      <c r="B80" s="14">
        <f t="shared" si="12"/>
        <v>20118076</v>
      </c>
      <c r="C80" s="14" t="str">
        <f t="shared" si="11"/>
        <v>Ex.Mode.108</v>
      </c>
      <c r="D80" s="14">
        <v>6</v>
      </c>
      <c r="E80" s="14" t="str">
        <f t="shared" si="13"/>
        <v>Ex.Mode.10805</v>
      </c>
      <c r="F80" s="14"/>
      <c r="G80" s="14"/>
      <c r="H80" s="14"/>
      <c r="I80" s="14"/>
      <c r="J80" s="14"/>
      <c r="K80" s="14" t="s">
        <v>249</v>
      </c>
      <c r="L80" s="14"/>
      <c r="M80" s="15" t="s">
        <v>190</v>
      </c>
      <c r="N80" s="15"/>
      <c r="O80" s="15"/>
      <c r="P80" s="14"/>
      <c r="Q80" s="14">
        <v>0</v>
      </c>
      <c r="R80" s="14"/>
      <c r="S80" s="14">
        <v>10000806</v>
      </c>
      <c r="T80" s="14" t="b">
        <v>0</v>
      </c>
      <c r="U80" s="14"/>
      <c r="V80" s="14" t="b">
        <v>0</v>
      </c>
      <c r="W80" s="14"/>
      <c r="X80" s="14"/>
      <c r="Y80" s="14"/>
      <c r="Z80" s="14" t="b">
        <v>1</v>
      </c>
      <c r="AA80" s="14" t="b">
        <v>0</v>
      </c>
      <c r="AB80" s="14" t="s">
        <v>63</v>
      </c>
      <c r="AC80" s="14">
        <v>10</v>
      </c>
      <c r="AD80" s="14">
        <v>1</v>
      </c>
      <c r="AE80" s="14"/>
      <c r="AF80" s="14"/>
      <c r="AG80" s="14" t="str">
        <f t="shared" si="15"/>
        <v>Normal</v>
      </c>
      <c r="AH80" s="14">
        <v>0</v>
      </c>
      <c r="AI80" s="14" t="s">
        <v>62</v>
      </c>
      <c r="AJ80" s="14">
        <v>120</v>
      </c>
      <c r="AK80" s="14" t="s">
        <v>64</v>
      </c>
      <c r="AL80" s="14"/>
      <c r="AM80" s="14"/>
      <c r="AN80" s="14"/>
      <c r="AO80" s="14"/>
    </row>
    <row r="81" spans="1:41" x14ac:dyDescent="0.25">
      <c r="A81" s="14" t="str">
        <f t="shared" si="14"/>
        <v>Ex.Mode.10807</v>
      </c>
      <c r="B81" s="14">
        <f t="shared" si="12"/>
        <v>20118077</v>
      </c>
      <c r="C81" s="14" t="str">
        <f t="shared" si="11"/>
        <v>Ex.Mode.108</v>
      </c>
      <c r="D81" s="14">
        <v>7</v>
      </c>
      <c r="E81" s="14" t="str">
        <f t="shared" si="13"/>
        <v>Ex.Mode.10806</v>
      </c>
      <c r="F81" s="14"/>
      <c r="G81" s="14"/>
      <c r="H81" s="14"/>
      <c r="I81" s="14"/>
      <c r="J81" s="14"/>
      <c r="K81" s="14" t="s">
        <v>250</v>
      </c>
      <c r="L81" s="14"/>
      <c r="M81" s="15" t="s">
        <v>191</v>
      </c>
      <c r="N81" s="15"/>
      <c r="O81" s="15"/>
      <c r="P81" s="14"/>
      <c r="Q81" s="14">
        <v>0</v>
      </c>
      <c r="R81" s="14"/>
      <c r="S81" s="14">
        <v>10000807</v>
      </c>
      <c r="T81" s="14" t="b">
        <v>0</v>
      </c>
      <c r="U81" s="14"/>
      <c r="V81" s="14" t="b">
        <v>0</v>
      </c>
      <c r="W81" s="14"/>
      <c r="X81" s="14"/>
      <c r="Y81" s="14"/>
      <c r="Z81" s="14" t="b">
        <v>1</v>
      </c>
      <c r="AA81" s="14" t="b">
        <v>0</v>
      </c>
      <c r="AB81" s="14" t="s">
        <v>63</v>
      </c>
      <c r="AC81" s="14">
        <v>10</v>
      </c>
      <c r="AD81" s="14">
        <v>1</v>
      </c>
      <c r="AE81" s="14"/>
      <c r="AF81" s="14"/>
      <c r="AG81" s="14" t="str">
        <f t="shared" si="15"/>
        <v>Normal</v>
      </c>
      <c r="AH81" s="14">
        <v>0</v>
      </c>
      <c r="AI81" s="14" t="s">
        <v>62</v>
      </c>
      <c r="AJ81" s="14">
        <v>120</v>
      </c>
      <c r="AK81" s="14" t="s">
        <v>64</v>
      </c>
      <c r="AL81" s="14"/>
      <c r="AM81" s="14"/>
      <c r="AN81" s="14"/>
      <c r="AO81" s="14"/>
    </row>
    <row r="82" spans="1:41" x14ac:dyDescent="0.25">
      <c r="A82" s="14" t="str">
        <f t="shared" si="14"/>
        <v>Ex.Mode.10808</v>
      </c>
      <c r="B82" s="14">
        <f t="shared" si="12"/>
        <v>20118078</v>
      </c>
      <c r="C82" s="14" t="str">
        <f t="shared" si="11"/>
        <v>Ex.Mode.108</v>
      </c>
      <c r="D82" s="14">
        <v>8</v>
      </c>
      <c r="E82" s="14" t="str">
        <f t="shared" si="13"/>
        <v>Ex.Mode.10807</v>
      </c>
      <c r="F82" s="14"/>
      <c r="G82" s="14"/>
      <c r="H82" s="14"/>
      <c r="I82" s="14"/>
      <c r="J82" s="14"/>
      <c r="K82" s="14" t="s">
        <v>250</v>
      </c>
      <c r="L82" s="14"/>
      <c r="M82" s="15" t="s">
        <v>192</v>
      </c>
      <c r="N82" s="15"/>
      <c r="O82" s="15"/>
      <c r="P82" s="14"/>
      <c r="Q82" s="14">
        <v>0</v>
      </c>
      <c r="R82" s="14"/>
      <c r="S82" s="14">
        <v>10000808</v>
      </c>
      <c r="T82" s="14" t="b">
        <v>0</v>
      </c>
      <c r="U82" s="14"/>
      <c r="V82" s="14" t="b">
        <v>0</v>
      </c>
      <c r="W82" s="14"/>
      <c r="X82" s="14"/>
      <c r="Y82" s="14"/>
      <c r="Z82" s="14" t="b">
        <v>1</v>
      </c>
      <c r="AA82" s="14" t="b">
        <v>0</v>
      </c>
      <c r="AB82" s="14" t="s">
        <v>63</v>
      </c>
      <c r="AC82" s="14">
        <v>10</v>
      </c>
      <c r="AD82" s="14">
        <v>1</v>
      </c>
      <c r="AE82" s="14"/>
      <c r="AF82" s="14"/>
      <c r="AG82" s="14" t="str">
        <f t="shared" si="15"/>
        <v>Normal</v>
      </c>
      <c r="AH82" s="14">
        <v>0</v>
      </c>
      <c r="AI82" s="14" t="s">
        <v>62</v>
      </c>
      <c r="AJ82" s="14">
        <v>120</v>
      </c>
      <c r="AK82" s="14" t="s">
        <v>64</v>
      </c>
      <c r="AL82" s="14"/>
      <c r="AM82" s="14"/>
      <c r="AN82" s="14"/>
      <c r="AO82" s="14"/>
    </row>
    <row r="83" spans="1:41" x14ac:dyDescent="0.25">
      <c r="A83" s="14" t="str">
        <f t="shared" si="14"/>
        <v>Ex.Mode.10809</v>
      </c>
      <c r="B83" s="14">
        <f t="shared" si="12"/>
        <v>20118079</v>
      </c>
      <c r="C83" s="14" t="str">
        <f t="shared" si="11"/>
        <v>Ex.Mode.108</v>
      </c>
      <c r="D83" s="14">
        <v>9</v>
      </c>
      <c r="E83" s="14" t="str">
        <f t="shared" si="13"/>
        <v>Ex.Mode.10808</v>
      </c>
      <c r="F83" s="14"/>
      <c r="G83" s="14"/>
      <c r="H83" s="14"/>
      <c r="I83" s="14"/>
      <c r="J83" s="14"/>
      <c r="K83" s="14" t="s">
        <v>250</v>
      </c>
      <c r="L83" s="14"/>
      <c r="M83" s="15" t="s">
        <v>193</v>
      </c>
      <c r="N83" s="15"/>
      <c r="O83" s="15"/>
      <c r="P83" s="14"/>
      <c r="Q83" s="14">
        <v>0</v>
      </c>
      <c r="R83" s="14"/>
      <c r="S83" s="14">
        <v>10000809</v>
      </c>
      <c r="T83" s="14" t="b">
        <v>0</v>
      </c>
      <c r="U83" s="14"/>
      <c r="V83" s="14" t="b">
        <v>0</v>
      </c>
      <c r="W83" s="14"/>
      <c r="X83" s="14"/>
      <c r="Y83" s="14"/>
      <c r="Z83" s="14" t="b">
        <v>1</v>
      </c>
      <c r="AA83" s="14" t="b">
        <v>0</v>
      </c>
      <c r="AB83" s="14" t="s">
        <v>63</v>
      </c>
      <c r="AC83" s="14">
        <v>10</v>
      </c>
      <c r="AD83" s="14">
        <v>1</v>
      </c>
      <c r="AE83" s="14"/>
      <c r="AF83" s="14"/>
      <c r="AG83" s="14" t="str">
        <f t="shared" si="15"/>
        <v>Normal</v>
      </c>
      <c r="AH83" s="14">
        <v>0</v>
      </c>
      <c r="AI83" s="14" t="s">
        <v>62</v>
      </c>
      <c r="AJ83" s="14">
        <v>120</v>
      </c>
      <c r="AK83" s="14" t="s">
        <v>64</v>
      </c>
      <c r="AL83" s="14"/>
      <c r="AM83" s="14"/>
      <c r="AN83" s="14"/>
      <c r="AO83" s="14"/>
    </row>
    <row r="84" spans="1:41" x14ac:dyDescent="0.25">
      <c r="A84" s="14" t="str">
        <f t="shared" si="14"/>
        <v>Ex.Mode.10810</v>
      </c>
      <c r="B84" s="14">
        <f t="shared" si="12"/>
        <v>20118080</v>
      </c>
      <c r="C84" s="14" t="str">
        <f t="shared" si="11"/>
        <v>Ex.Mode.108</v>
      </c>
      <c r="D84" s="14">
        <v>10</v>
      </c>
      <c r="E84" s="14" t="str">
        <f t="shared" si="13"/>
        <v>Ex.Mode.10809</v>
      </c>
      <c r="F84" s="14"/>
      <c r="G84" s="14"/>
      <c r="H84" s="14"/>
      <c r="I84" s="14"/>
      <c r="J84" s="14"/>
      <c r="K84" s="14" t="s">
        <v>253</v>
      </c>
      <c r="L84" s="14"/>
      <c r="M84" s="15" t="s">
        <v>194</v>
      </c>
      <c r="N84" s="15"/>
      <c r="O84" s="15"/>
      <c r="P84" s="14"/>
      <c r="Q84" s="14">
        <v>0</v>
      </c>
      <c r="R84" s="14"/>
      <c r="S84" s="14">
        <v>10000810</v>
      </c>
      <c r="T84" s="14" t="b">
        <v>0</v>
      </c>
      <c r="U84" s="14"/>
      <c r="V84" s="14" t="b">
        <v>0</v>
      </c>
      <c r="W84" s="14"/>
      <c r="X84" s="14"/>
      <c r="Y84" s="14"/>
      <c r="Z84" s="14" t="b">
        <v>1</v>
      </c>
      <c r="AA84" s="14" t="b">
        <v>0</v>
      </c>
      <c r="AB84" s="14" t="s">
        <v>63</v>
      </c>
      <c r="AC84" s="14">
        <v>10</v>
      </c>
      <c r="AD84" s="14">
        <v>1</v>
      </c>
      <c r="AE84" s="14"/>
      <c r="AF84" s="14"/>
      <c r="AG84" s="14" t="str">
        <f t="shared" si="15"/>
        <v>Normal</v>
      </c>
      <c r="AH84" s="14">
        <v>0</v>
      </c>
      <c r="AI84" s="14" t="s">
        <v>62</v>
      </c>
      <c r="AJ84" s="14">
        <v>120</v>
      </c>
      <c r="AK84" s="14" t="s">
        <v>64</v>
      </c>
      <c r="AL84" s="14"/>
      <c r="AM84" s="14"/>
      <c r="AN84" s="14"/>
      <c r="AO84" s="14"/>
    </row>
    <row r="85" spans="1:41" x14ac:dyDescent="0.25">
      <c r="A85" s="12" t="str">
        <f t="shared" si="14"/>
        <v>Ex.Mode.10901</v>
      </c>
      <c r="B85" s="12">
        <f t="shared" si="12"/>
        <v>20118081</v>
      </c>
      <c r="C85" s="12" t="str">
        <f t="shared" si="11"/>
        <v>Ex.Mode.109</v>
      </c>
      <c r="D85" s="12">
        <v>1</v>
      </c>
      <c r="E85" s="12" t="str">
        <f t="shared" si="13"/>
        <v>Ex.Mode.10810</v>
      </c>
      <c r="F85" s="12"/>
      <c r="G85" s="12"/>
      <c r="H85" s="12"/>
      <c r="I85" s="12"/>
      <c r="J85" s="12"/>
      <c r="K85" s="12" t="s">
        <v>252</v>
      </c>
      <c r="L85" s="12"/>
      <c r="M85" s="13" t="s">
        <v>195</v>
      </c>
      <c r="N85" s="13"/>
      <c r="O85" s="13"/>
      <c r="P85" s="12"/>
      <c r="Q85" s="12">
        <v>0</v>
      </c>
      <c r="R85" s="12"/>
      <c r="S85" s="12">
        <v>10000901</v>
      </c>
      <c r="T85" s="12" t="b">
        <v>0</v>
      </c>
      <c r="U85" s="12"/>
      <c r="V85" s="12" t="b">
        <v>0</v>
      </c>
      <c r="W85" s="12"/>
      <c r="X85" s="12"/>
      <c r="Y85" s="12"/>
      <c r="Z85" s="12" t="b">
        <v>1</v>
      </c>
      <c r="AA85" s="12" t="b">
        <v>0</v>
      </c>
      <c r="AB85" s="12" t="s">
        <v>63</v>
      </c>
      <c r="AC85" s="12">
        <v>10</v>
      </c>
      <c r="AD85" s="12">
        <v>1</v>
      </c>
      <c r="AE85" s="12"/>
      <c r="AF85" s="12"/>
      <c r="AG85" s="12" t="str">
        <f t="shared" si="15"/>
        <v>Normal</v>
      </c>
      <c r="AH85" s="12">
        <v>0</v>
      </c>
      <c r="AI85" s="12" t="s">
        <v>62</v>
      </c>
      <c r="AJ85" s="12">
        <v>120</v>
      </c>
      <c r="AK85" s="12" t="s">
        <v>64</v>
      </c>
      <c r="AL85" s="12"/>
      <c r="AM85" s="12"/>
      <c r="AN85" s="12"/>
      <c r="AO85" s="12"/>
    </row>
    <row r="86" spans="1:41" x14ac:dyDescent="0.25">
      <c r="A86" s="12" t="str">
        <f t="shared" si="14"/>
        <v>Ex.Mode.10902</v>
      </c>
      <c r="B86" s="12">
        <f t="shared" si="12"/>
        <v>20118082</v>
      </c>
      <c r="C86" s="12" t="str">
        <f t="shared" si="11"/>
        <v>Ex.Mode.109</v>
      </c>
      <c r="D86" s="12">
        <v>2</v>
      </c>
      <c r="E86" s="12" t="str">
        <f t="shared" si="13"/>
        <v>Ex.Mode.10901</v>
      </c>
      <c r="F86" s="12"/>
      <c r="G86" s="12"/>
      <c r="H86" s="12"/>
      <c r="I86" s="12"/>
      <c r="J86" s="12"/>
      <c r="K86" s="12" t="s">
        <v>248</v>
      </c>
      <c r="L86" s="12"/>
      <c r="M86" s="13" t="s">
        <v>196</v>
      </c>
      <c r="N86" s="13"/>
      <c r="O86" s="13"/>
      <c r="P86" s="12"/>
      <c r="Q86" s="12">
        <v>0</v>
      </c>
      <c r="R86" s="12"/>
      <c r="S86" s="12">
        <v>10000902</v>
      </c>
      <c r="T86" s="12" t="b">
        <v>0</v>
      </c>
      <c r="U86" s="12"/>
      <c r="V86" s="12" t="b">
        <v>0</v>
      </c>
      <c r="W86" s="12"/>
      <c r="X86" s="12"/>
      <c r="Y86" s="12"/>
      <c r="Z86" s="12" t="b">
        <v>1</v>
      </c>
      <c r="AA86" s="12" t="b">
        <v>0</v>
      </c>
      <c r="AB86" s="12" t="s">
        <v>63</v>
      </c>
      <c r="AC86" s="12">
        <v>10</v>
      </c>
      <c r="AD86" s="12">
        <v>1</v>
      </c>
      <c r="AE86" s="12"/>
      <c r="AF86" s="12"/>
      <c r="AG86" s="12" t="str">
        <f t="shared" si="15"/>
        <v>Normal</v>
      </c>
      <c r="AH86" s="12">
        <v>0</v>
      </c>
      <c r="AI86" s="12" t="s">
        <v>62</v>
      </c>
      <c r="AJ86" s="12">
        <v>120</v>
      </c>
      <c r="AK86" s="12" t="s">
        <v>64</v>
      </c>
      <c r="AL86" s="12"/>
      <c r="AM86" s="12"/>
      <c r="AN86" s="12"/>
      <c r="AO86" s="12"/>
    </row>
    <row r="87" spans="1:41" x14ac:dyDescent="0.25">
      <c r="A87" s="12" t="str">
        <f t="shared" si="14"/>
        <v>Ex.Mode.10903</v>
      </c>
      <c r="B87" s="12">
        <f t="shared" si="12"/>
        <v>20118083</v>
      </c>
      <c r="C87" s="12" t="str">
        <f t="shared" si="11"/>
        <v>Ex.Mode.109</v>
      </c>
      <c r="D87" s="12">
        <v>3</v>
      </c>
      <c r="E87" s="12" t="str">
        <f t="shared" si="13"/>
        <v>Ex.Mode.10902</v>
      </c>
      <c r="F87" s="12"/>
      <c r="G87" s="12"/>
      <c r="H87" s="12"/>
      <c r="I87" s="12"/>
      <c r="J87" s="12"/>
      <c r="K87" s="12" t="s">
        <v>248</v>
      </c>
      <c r="L87" s="12"/>
      <c r="M87" s="13" t="s">
        <v>197</v>
      </c>
      <c r="N87" s="13"/>
      <c r="O87" s="13"/>
      <c r="P87" s="12"/>
      <c r="Q87" s="12">
        <v>0</v>
      </c>
      <c r="R87" s="12"/>
      <c r="S87" s="12">
        <v>10000903</v>
      </c>
      <c r="T87" s="12" t="b">
        <v>0</v>
      </c>
      <c r="U87" s="12"/>
      <c r="V87" s="12" t="b">
        <v>0</v>
      </c>
      <c r="W87" s="12"/>
      <c r="X87" s="12"/>
      <c r="Y87" s="12"/>
      <c r="Z87" s="12" t="b">
        <v>1</v>
      </c>
      <c r="AA87" s="12" t="b">
        <v>0</v>
      </c>
      <c r="AB87" s="12" t="s">
        <v>63</v>
      </c>
      <c r="AC87" s="12">
        <v>10</v>
      </c>
      <c r="AD87" s="12">
        <v>1</v>
      </c>
      <c r="AE87" s="12"/>
      <c r="AF87" s="12"/>
      <c r="AG87" s="12" t="str">
        <f t="shared" si="15"/>
        <v>Normal</v>
      </c>
      <c r="AH87" s="12">
        <v>0</v>
      </c>
      <c r="AI87" s="12" t="s">
        <v>62</v>
      </c>
      <c r="AJ87" s="12">
        <v>120</v>
      </c>
      <c r="AK87" s="12" t="s">
        <v>64</v>
      </c>
      <c r="AL87" s="12"/>
      <c r="AM87" s="12"/>
      <c r="AN87" s="12"/>
      <c r="AO87" s="12"/>
    </row>
    <row r="88" spans="1:41" x14ac:dyDescent="0.25">
      <c r="A88" s="12" t="str">
        <f t="shared" si="14"/>
        <v>Ex.Mode.10904</v>
      </c>
      <c r="B88" s="12">
        <f t="shared" si="12"/>
        <v>20118084</v>
      </c>
      <c r="C88" s="12" t="str">
        <f t="shared" si="11"/>
        <v>Ex.Mode.109</v>
      </c>
      <c r="D88" s="12">
        <v>4</v>
      </c>
      <c r="E88" s="12" t="str">
        <f t="shared" si="13"/>
        <v>Ex.Mode.10903</v>
      </c>
      <c r="F88" s="12"/>
      <c r="G88" s="12"/>
      <c r="H88" s="12"/>
      <c r="I88" s="12"/>
      <c r="J88" s="12"/>
      <c r="K88" s="12" t="s">
        <v>251</v>
      </c>
      <c r="L88" s="12"/>
      <c r="M88" s="13" t="s">
        <v>198</v>
      </c>
      <c r="N88" s="13"/>
      <c r="O88" s="13"/>
      <c r="P88" s="12"/>
      <c r="Q88" s="12">
        <v>0</v>
      </c>
      <c r="R88" s="12"/>
      <c r="S88" s="12">
        <v>10000904</v>
      </c>
      <c r="T88" s="12" t="b">
        <v>0</v>
      </c>
      <c r="U88" s="12"/>
      <c r="V88" s="12" t="b">
        <v>0</v>
      </c>
      <c r="W88" s="12"/>
      <c r="X88" s="12"/>
      <c r="Y88" s="12"/>
      <c r="Z88" s="12" t="b">
        <v>1</v>
      </c>
      <c r="AA88" s="12" t="b">
        <v>0</v>
      </c>
      <c r="AB88" s="12" t="s">
        <v>63</v>
      </c>
      <c r="AC88" s="12">
        <v>10</v>
      </c>
      <c r="AD88" s="12">
        <v>1</v>
      </c>
      <c r="AE88" s="12"/>
      <c r="AF88" s="12"/>
      <c r="AG88" s="12" t="str">
        <f t="shared" si="15"/>
        <v>Normal</v>
      </c>
      <c r="AH88" s="12">
        <v>0</v>
      </c>
      <c r="AI88" s="12" t="s">
        <v>62</v>
      </c>
      <c r="AJ88" s="12">
        <v>120</v>
      </c>
      <c r="AK88" s="12" t="s">
        <v>64</v>
      </c>
      <c r="AL88" s="12"/>
      <c r="AM88" s="12"/>
      <c r="AN88" s="12"/>
      <c r="AO88" s="12"/>
    </row>
    <row r="89" spans="1:41" x14ac:dyDescent="0.25">
      <c r="A89" s="12" t="str">
        <f t="shared" si="14"/>
        <v>Ex.Mode.10905</v>
      </c>
      <c r="B89" s="12">
        <f t="shared" si="12"/>
        <v>20118085</v>
      </c>
      <c r="C89" s="12" t="str">
        <f t="shared" si="11"/>
        <v>Ex.Mode.109</v>
      </c>
      <c r="D89" s="12">
        <v>5</v>
      </c>
      <c r="E89" s="12" t="str">
        <f t="shared" ref="E89:E104" si="16">A88</f>
        <v>Ex.Mode.10904</v>
      </c>
      <c r="F89" s="12"/>
      <c r="G89" s="12"/>
      <c r="H89" s="12"/>
      <c r="I89" s="12"/>
      <c r="J89" s="12"/>
      <c r="K89" s="12" t="s">
        <v>251</v>
      </c>
      <c r="L89" s="12"/>
      <c r="M89" s="13" t="s">
        <v>199</v>
      </c>
      <c r="N89" s="13"/>
      <c r="O89" s="13"/>
      <c r="P89" s="12"/>
      <c r="Q89" s="12">
        <v>0</v>
      </c>
      <c r="R89" s="12"/>
      <c r="S89" s="12">
        <v>10000905</v>
      </c>
      <c r="T89" s="12" t="b">
        <v>0</v>
      </c>
      <c r="U89" s="12"/>
      <c r="V89" s="12" t="b">
        <v>0</v>
      </c>
      <c r="W89" s="12"/>
      <c r="X89" s="12"/>
      <c r="Y89" s="12"/>
      <c r="Z89" s="12" t="b">
        <v>1</v>
      </c>
      <c r="AA89" s="12" t="b">
        <v>0</v>
      </c>
      <c r="AB89" s="12" t="s">
        <v>63</v>
      </c>
      <c r="AC89" s="12">
        <v>10</v>
      </c>
      <c r="AD89" s="12">
        <v>1</v>
      </c>
      <c r="AE89" s="12"/>
      <c r="AF89" s="12"/>
      <c r="AG89" s="12" t="str">
        <f t="shared" ref="AG89:AG104" si="17">IF(AH89=0,"Normal","Defense")</f>
        <v>Normal</v>
      </c>
      <c r="AH89" s="12">
        <v>0</v>
      </c>
      <c r="AI89" s="12" t="s">
        <v>62</v>
      </c>
      <c r="AJ89" s="12">
        <v>120</v>
      </c>
      <c r="AK89" s="12" t="s">
        <v>64</v>
      </c>
      <c r="AL89" s="12"/>
      <c r="AM89" s="12"/>
      <c r="AN89" s="12"/>
      <c r="AO89" s="12"/>
    </row>
    <row r="90" spans="1:41" x14ac:dyDescent="0.25">
      <c r="A90" s="12" t="str">
        <f t="shared" si="14"/>
        <v>Ex.Mode.10906</v>
      </c>
      <c r="B90" s="12">
        <f t="shared" si="12"/>
        <v>20118086</v>
      </c>
      <c r="C90" s="12" t="str">
        <f t="shared" si="11"/>
        <v>Ex.Mode.109</v>
      </c>
      <c r="D90" s="12">
        <v>6</v>
      </c>
      <c r="E90" s="12" t="str">
        <f t="shared" si="16"/>
        <v>Ex.Mode.10905</v>
      </c>
      <c r="F90" s="12"/>
      <c r="G90" s="12"/>
      <c r="H90" s="12"/>
      <c r="I90" s="12"/>
      <c r="J90" s="12"/>
      <c r="K90" s="12" t="s">
        <v>248</v>
      </c>
      <c r="L90" s="12"/>
      <c r="M90" s="13" t="s">
        <v>200</v>
      </c>
      <c r="N90" s="13"/>
      <c r="O90" s="13"/>
      <c r="P90" s="12"/>
      <c r="Q90" s="12">
        <v>0</v>
      </c>
      <c r="R90" s="12"/>
      <c r="S90" s="12">
        <v>10000906</v>
      </c>
      <c r="T90" s="12" t="b">
        <v>0</v>
      </c>
      <c r="U90" s="12"/>
      <c r="V90" s="12" t="b">
        <v>0</v>
      </c>
      <c r="W90" s="12"/>
      <c r="X90" s="12"/>
      <c r="Y90" s="12"/>
      <c r="Z90" s="12" t="b">
        <v>1</v>
      </c>
      <c r="AA90" s="12" t="b">
        <v>0</v>
      </c>
      <c r="AB90" s="12" t="s">
        <v>63</v>
      </c>
      <c r="AC90" s="12">
        <v>10</v>
      </c>
      <c r="AD90" s="12">
        <v>1</v>
      </c>
      <c r="AE90" s="12"/>
      <c r="AF90" s="12"/>
      <c r="AG90" s="12" t="str">
        <f t="shared" si="17"/>
        <v>Normal</v>
      </c>
      <c r="AH90" s="12">
        <v>0</v>
      </c>
      <c r="AI90" s="12" t="s">
        <v>62</v>
      </c>
      <c r="AJ90" s="12">
        <v>120</v>
      </c>
      <c r="AK90" s="12" t="s">
        <v>64</v>
      </c>
      <c r="AL90" s="12"/>
      <c r="AM90" s="12"/>
      <c r="AN90" s="12"/>
      <c r="AO90" s="12"/>
    </row>
    <row r="91" spans="1:41" x14ac:dyDescent="0.25">
      <c r="A91" s="12" t="str">
        <f t="shared" si="14"/>
        <v>Ex.Mode.10907</v>
      </c>
      <c r="B91" s="12">
        <f t="shared" si="12"/>
        <v>20118087</v>
      </c>
      <c r="C91" s="12" t="str">
        <f t="shared" si="11"/>
        <v>Ex.Mode.109</v>
      </c>
      <c r="D91" s="12">
        <v>7</v>
      </c>
      <c r="E91" s="12" t="str">
        <f t="shared" si="16"/>
        <v>Ex.Mode.10906</v>
      </c>
      <c r="F91" s="12"/>
      <c r="G91" s="12"/>
      <c r="H91" s="12"/>
      <c r="I91" s="12"/>
      <c r="J91" s="12"/>
      <c r="K91" s="12" t="s">
        <v>251</v>
      </c>
      <c r="L91" s="12"/>
      <c r="M91" s="13" t="s">
        <v>201</v>
      </c>
      <c r="N91" s="13"/>
      <c r="O91" s="13"/>
      <c r="P91" s="12"/>
      <c r="Q91" s="12">
        <v>0</v>
      </c>
      <c r="R91" s="12"/>
      <c r="S91" s="12">
        <v>10000907</v>
      </c>
      <c r="T91" s="12" t="b">
        <v>0</v>
      </c>
      <c r="U91" s="12"/>
      <c r="V91" s="12" t="b">
        <v>0</v>
      </c>
      <c r="W91" s="12"/>
      <c r="X91" s="12"/>
      <c r="Y91" s="12"/>
      <c r="Z91" s="12" t="b">
        <v>1</v>
      </c>
      <c r="AA91" s="12" t="b">
        <v>0</v>
      </c>
      <c r="AB91" s="12" t="s">
        <v>63</v>
      </c>
      <c r="AC91" s="12">
        <v>10</v>
      </c>
      <c r="AD91" s="12">
        <v>1</v>
      </c>
      <c r="AE91" s="12"/>
      <c r="AF91" s="12"/>
      <c r="AG91" s="12" t="str">
        <f t="shared" si="17"/>
        <v>Normal</v>
      </c>
      <c r="AH91" s="12">
        <v>0</v>
      </c>
      <c r="AI91" s="12" t="s">
        <v>62</v>
      </c>
      <c r="AJ91" s="12">
        <v>120</v>
      </c>
      <c r="AK91" s="12" t="s">
        <v>64</v>
      </c>
      <c r="AL91" s="12"/>
      <c r="AM91" s="12"/>
      <c r="AN91" s="12"/>
      <c r="AO91" s="12"/>
    </row>
    <row r="92" spans="1:41" x14ac:dyDescent="0.25">
      <c r="A92" s="12" t="str">
        <f t="shared" si="14"/>
        <v>Ex.Mode.10908</v>
      </c>
      <c r="B92" s="12">
        <f t="shared" si="12"/>
        <v>20118088</v>
      </c>
      <c r="C92" s="12" t="str">
        <f t="shared" si="11"/>
        <v>Ex.Mode.109</v>
      </c>
      <c r="D92" s="12">
        <v>8</v>
      </c>
      <c r="E92" s="12" t="str">
        <f t="shared" si="16"/>
        <v>Ex.Mode.10907</v>
      </c>
      <c r="F92" s="12"/>
      <c r="G92" s="12"/>
      <c r="H92" s="12"/>
      <c r="I92" s="12"/>
      <c r="J92" s="12"/>
      <c r="K92" s="12" t="s">
        <v>250</v>
      </c>
      <c r="L92" s="12"/>
      <c r="M92" s="13" t="s">
        <v>202</v>
      </c>
      <c r="N92" s="13"/>
      <c r="O92" s="13"/>
      <c r="P92" s="12"/>
      <c r="Q92" s="12">
        <v>0</v>
      </c>
      <c r="R92" s="12"/>
      <c r="S92" s="12">
        <v>10000908</v>
      </c>
      <c r="T92" s="12" t="b">
        <v>0</v>
      </c>
      <c r="U92" s="12"/>
      <c r="V92" s="12" t="b">
        <v>0</v>
      </c>
      <c r="W92" s="12"/>
      <c r="X92" s="12"/>
      <c r="Y92" s="12"/>
      <c r="Z92" s="12" t="b">
        <v>1</v>
      </c>
      <c r="AA92" s="12" t="b">
        <v>0</v>
      </c>
      <c r="AB92" s="12" t="s">
        <v>63</v>
      </c>
      <c r="AC92" s="12">
        <v>10</v>
      </c>
      <c r="AD92" s="12">
        <v>1</v>
      </c>
      <c r="AE92" s="12"/>
      <c r="AF92" s="12"/>
      <c r="AG92" s="12" t="str">
        <f t="shared" si="17"/>
        <v>Normal</v>
      </c>
      <c r="AH92" s="12">
        <v>0</v>
      </c>
      <c r="AI92" s="12" t="s">
        <v>62</v>
      </c>
      <c r="AJ92" s="12">
        <v>120</v>
      </c>
      <c r="AK92" s="12" t="s">
        <v>64</v>
      </c>
      <c r="AL92" s="12"/>
      <c r="AM92" s="12"/>
      <c r="AN92" s="12"/>
      <c r="AO92" s="12"/>
    </row>
    <row r="93" spans="1:41" x14ac:dyDescent="0.25">
      <c r="A93" s="12" t="str">
        <f t="shared" si="14"/>
        <v>Ex.Mode.10909</v>
      </c>
      <c r="B93" s="12">
        <f t="shared" si="12"/>
        <v>20118089</v>
      </c>
      <c r="C93" s="12" t="str">
        <f t="shared" si="11"/>
        <v>Ex.Mode.109</v>
      </c>
      <c r="D93" s="12">
        <v>9</v>
      </c>
      <c r="E93" s="12" t="str">
        <f t="shared" si="16"/>
        <v>Ex.Mode.10908</v>
      </c>
      <c r="F93" s="12"/>
      <c r="G93" s="12"/>
      <c r="H93" s="12"/>
      <c r="I93" s="12"/>
      <c r="J93" s="12"/>
      <c r="K93" s="12" t="s">
        <v>248</v>
      </c>
      <c r="L93" s="12"/>
      <c r="M93" s="13" t="s">
        <v>203</v>
      </c>
      <c r="N93" s="13"/>
      <c r="O93" s="13"/>
      <c r="P93" s="12"/>
      <c r="Q93" s="12">
        <v>0</v>
      </c>
      <c r="R93" s="12"/>
      <c r="S93" s="12">
        <v>10000909</v>
      </c>
      <c r="T93" s="12" t="b">
        <v>0</v>
      </c>
      <c r="U93" s="12"/>
      <c r="V93" s="12" t="b">
        <v>0</v>
      </c>
      <c r="W93" s="12"/>
      <c r="X93" s="12"/>
      <c r="Y93" s="12"/>
      <c r="Z93" s="12" t="b">
        <v>1</v>
      </c>
      <c r="AA93" s="12" t="b">
        <v>0</v>
      </c>
      <c r="AB93" s="12" t="s">
        <v>63</v>
      </c>
      <c r="AC93" s="12">
        <v>10</v>
      </c>
      <c r="AD93" s="12">
        <v>1</v>
      </c>
      <c r="AE93" s="12"/>
      <c r="AF93" s="12"/>
      <c r="AG93" s="12" t="str">
        <f t="shared" si="17"/>
        <v>Normal</v>
      </c>
      <c r="AH93" s="12">
        <v>0</v>
      </c>
      <c r="AI93" s="12" t="s">
        <v>62</v>
      </c>
      <c r="AJ93" s="12">
        <v>120</v>
      </c>
      <c r="AK93" s="12" t="s">
        <v>64</v>
      </c>
      <c r="AL93" s="12"/>
      <c r="AM93" s="12"/>
      <c r="AN93" s="12"/>
      <c r="AO93" s="12"/>
    </row>
    <row r="94" spans="1:41" x14ac:dyDescent="0.25">
      <c r="A94" s="12" t="str">
        <f t="shared" si="14"/>
        <v>Ex.Mode.10910</v>
      </c>
      <c r="B94" s="12">
        <f t="shared" si="12"/>
        <v>20118090</v>
      </c>
      <c r="C94" s="12" t="str">
        <f t="shared" si="11"/>
        <v>Ex.Mode.109</v>
      </c>
      <c r="D94" s="12">
        <v>10</v>
      </c>
      <c r="E94" s="12" t="str">
        <f t="shared" si="16"/>
        <v>Ex.Mode.10909</v>
      </c>
      <c r="F94" s="12"/>
      <c r="G94" s="12"/>
      <c r="H94" s="12"/>
      <c r="I94" s="12"/>
      <c r="J94" s="12"/>
      <c r="K94" s="12" t="s">
        <v>253</v>
      </c>
      <c r="L94" s="12"/>
      <c r="M94" s="13" t="s">
        <v>204</v>
      </c>
      <c r="N94" s="13"/>
      <c r="O94" s="13"/>
      <c r="P94" s="12"/>
      <c r="Q94" s="12">
        <v>0</v>
      </c>
      <c r="R94" s="12"/>
      <c r="S94" s="12">
        <v>10000910</v>
      </c>
      <c r="T94" s="12" t="b">
        <v>0</v>
      </c>
      <c r="U94" s="12"/>
      <c r="V94" s="12" t="b">
        <v>0</v>
      </c>
      <c r="W94" s="12"/>
      <c r="X94" s="12"/>
      <c r="Y94" s="12"/>
      <c r="Z94" s="12" t="b">
        <v>1</v>
      </c>
      <c r="AA94" s="12" t="b">
        <v>0</v>
      </c>
      <c r="AB94" s="12" t="s">
        <v>63</v>
      </c>
      <c r="AC94" s="12">
        <v>10</v>
      </c>
      <c r="AD94" s="12">
        <v>1</v>
      </c>
      <c r="AE94" s="12"/>
      <c r="AF94" s="12"/>
      <c r="AG94" s="12" t="str">
        <f t="shared" si="17"/>
        <v>Normal</v>
      </c>
      <c r="AH94" s="12">
        <v>0</v>
      </c>
      <c r="AI94" s="12" t="s">
        <v>62</v>
      </c>
      <c r="AJ94" s="12">
        <v>120</v>
      </c>
      <c r="AK94" s="12" t="s">
        <v>64</v>
      </c>
      <c r="AL94" s="12"/>
      <c r="AM94" s="12"/>
      <c r="AN94" s="12"/>
      <c r="AO94" s="12"/>
    </row>
    <row r="95" spans="1:41" x14ac:dyDescent="0.25">
      <c r="A95" s="10" t="str">
        <f t="shared" si="14"/>
        <v>Ex.Mode.11001</v>
      </c>
      <c r="B95" s="10">
        <f t="shared" si="12"/>
        <v>20118091</v>
      </c>
      <c r="C95" s="10" t="str">
        <f t="shared" si="11"/>
        <v>Ex.Mode.110</v>
      </c>
      <c r="D95" s="10">
        <v>1</v>
      </c>
      <c r="E95" s="10" t="str">
        <f t="shared" si="16"/>
        <v>Ex.Mode.10910</v>
      </c>
      <c r="F95" s="10"/>
      <c r="G95" s="10"/>
      <c r="H95" s="10"/>
      <c r="I95" s="10"/>
      <c r="J95" s="10"/>
      <c r="K95" s="10" t="s">
        <v>250</v>
      </c>
      <c r="L95" s="10"/>
      <c r="M95" s="11" t="s">
        <v>205</v>
      </c>
      <c r="N95" s="11"/>
      <c r="O95" s="11"/>
      <c r="P95" s="10"/>
      <c r="Q95" s="10">
        <v>0</v>
      </c>
      <c r="R95" s="10"/>
      <c r="S95" s="10">
        <v>10001001</v>
      </c>
      <c r="T95" s="10" t="b">
        <v>0</v>
      </c>
      <c r="U95" s="10"/>
      <c r="V95" s="10" t="b">
        <v>0</v>
      </c>
      <c r="W95" s="10"/>
      <c r="X95" s="10"/>
      <c r="Y95" s="10"/>
      <c r="Z95" s="10" t="b">
        <v>1</v>
      </c>
      <c r="AA95" s="10" t="b">
        <v>0</v>
      </c>
      <c r="AB95" s="10" t="s">
        <v>51</v>
      </c>
      <c r="AC95" s="10">
        <v>10</v>
      </c>
      <c r="AD95" s="10">
        <v>1</v>
      </c>
      <c r="AE95" s="10"/>
      <c r="AF95" s="10"/>
      <c r="AG95" s="10" t="str">
        <f t="shared" si="17"/>
        <v>Normal</v>
      </c>
      <c r="AH95" s="10">
        <v>0</v>
      </c>
      <c r="AI95" s="10" t="s">
        <v>61</v>
      </c>
      <c r="AJ95" s="10">
        <v>120</v>
      </c>
      <c r="AK95" s="10" t="s">
        <v>12</v>
      </c>
      <c r="AL95" s="10"/>
      <c r="AM95" s="10"/>
      <c r="AN95" s="10"/>
      <c r="AO95" s="10"/>
    </row>
    <row r="96" spans="1:41" x14ac:dyDescent="0.25">
      <c r="A96" s="10" t="str">
        <f t="shared" si="14"/>
        <v>Ex.Mode.11002</v>
      </c>
      <c r="B96" s="10">
        <f t="shared" si="12"/>
        <v>20118092</v>
      </c>
      <c r="C96" s="10" t="str">
        <f t="shared" si="11"/>
        <v>Ex.Mode.110</v>
      </c>
      <c r="D96" s="10">
        <v>2</v>
      </c>
      <c r="E96" s="10" t="str">
        <f t="shared" si="16"/>
        <v>Ex.Mode.11001</v>
      </c>
      <c r="F96" s="10"/>
      <c r="G96" s="10"/>
      <c r="H96" s="10"/>
      <c r="I96" s="10"/>
      <c r="J96" s="10"/>
      <c r="K96" s="10" t="s">
        <v>248</v>
      </c>
      <c r="L96" s="10"/>
      <c r="M96" s="11" t="s">
        <v>206</v>
      </c>
      <c r="N96" s="11"/>
      <c r="O96" s="11"/>
      <c r="P96" s="10"/>
      <c r="Q96" s="10">
        <v>0</v>
      </c>
      <c r="R96" s="10"/>
      <c r="S96" s="10">
        <v>10001002</v>
      </c>
      <c r="T96" s="10" t="b">
        <v>0</v>
      </c>
      <c r="U96" s="10"/>
      <c r="V96" s="10" t="b">
        <v>0</v>
      </c>
      <c r="W96" s="10"/>
      <c r="X96" s="10"/>
      <c r="Y96" s="10"/>
      <c r="Z96" s="10" t="b">
        <v>1</v>
      </c>
      <c r="AA96" s="10" t="b">
        <v>0</v>
      </c>
      <c r="AB96" s="10" t="s">
        <v>51</v>
      </c>
      <c r="AC96" s="10">
        <v>10</v>
      </c>
      <c r="AD96" s="10">
        <v>1</v>
      </c>
      <c r="AE96" s="10"/>
      <c r="AF96" s="10"/>
      <c r="AG96" s="10" t="str">
        <f t="shared" si="17"/>
        <v>Normal</v>
      </c>
      <c r="AH96" s="10">
        <v>0</v>
      </c>
      <c r="AI96" s="10" t="s">
        <v>62</v>
      </c>
      <c r="AJ96" s="10">
        <v>120</v>
      </c>
      <c r="AK96" s="10" t="s">
        <v>12</v>
      </c>
      <c r="AL96" s="10"/>
      <c r="AM96" s="10"/>
      <c r="AN96" s="10"/>
      <c r="AO96" s="10"/>
    </row>
    <row r="97" spans="1:41" x14ac:dyDescent="0.25">
      <c r="A97" s="10" t="str">
        <f t="shared" si="14"/>
        <v>Ex.Mode.11003</v>
      </c>
      <c r="B97" s="10">
        <f t="shared" si="12"/>
        <v>20118093</v>
      </c>
      <c r="C97" s="10" t="str">
        <f t="shared" si="11"/>
        <v>Ex.Mode.110</v>
      </c>
      <c r="D97" s="10">
        <v>3</v>
      </c>
      <c r="E97" s="10" t="str">
        <f t="shared" si="16"/>
        <v>Ex.Mode.11002</v>
      </c>
      <c r="F97" s="10"/>
      <c r="G97" s="10"/>
      <c r="H97" s="10"/>
      <c r="I97" s="10"/>
      <c r="J97" s="10"/>
      <c r="K97" s="10" t="s">
        <v>251</v>
      </c>
      <c r="L97" s="10"/>
      <c r="M97" s="11" t="s">
        <v>207</v>
      </c>
      <c r="N97" s="11"/>
      <c r="O97" s="11"/>
      <c r="P97" s="10"/>
      <c r="Q97" s="10">
        <v>0</v>
      </c>
      <c r="R97" s="10"/>
      <c r="S97" s="10">
        <v>10001003</v>
      </c>
      <c r="T97" s="10" t="b">
        <v>0</v>
      </c>
      <c r="U97" s="10"/>
      <c r="V97" s="10" t="b">
        <v>0</v>
      </c>
      <c r="W97" s="10"/>
      <c r="X97" s="10"/>
      <c r="Y97" s="10"/>
      <c r="Z97" s="10" t="b">
        <v>1</v>
      </c>
      <c r="AA97" s="10" t="b">
        <v>0</v>
      </c>
      <c r="AB97" s="10" t="s">
        <v>51</v>
      </c>
      <c r="AC97" s="10">
        <v>10</v>
      </c>
      <c r="AD97" s="10">
        <v>1</v>
      </c>
      <c r="AE97" s="10"/>
      <c r="AF97" s="10"/>
      <c r="AG97" s="10" t="str">
        <f t="shared" si="17"/>
        <v>Normal</v>
      </c>
      <c r="AH97" s="10">
        <v>0</v>
      </c>
      <c r="AI97" s="10" t="s">
        <v>62</v>
      </c>
      <c r="AJ97" s="10">
        <v>120</v>
      </c>
      <c r="AK97" s="10" t="s">
        <v>12</v>
      </c>
      <c r="AL97" s="10"/>
      <c r="AM97" s="10"/>
      <c r="AN97" s="10"/>
      <c r="AO97" s="10"/>
    </row>
    <row r="98" spans="1:41" x14ac:dyDescent="0.25">
      <c r="A98" s="10" t="str">
        <f t="shared" si="14"/>
        <v>Ex.Mode.11004</v>
      </c>
      <c r="B98" s="10">
        <f t="shared" si="12"/>
        <v>20118094</v>
      </c>
      <c r="C98" s="10" t="str">
        <f t="shared" si="11"/>
        <v>Ex.Mode.110</v>
      </c>
      <c r="D98" s="10">
        <v>4</v>
      </c>
      <c r="E98" s="10" t="str">
        <f t="shared" si="16"/>
        <v>Ex.Mode.11003</v>
      </c>
      <c r="F98" s="10"/>
      <c r="G98" s="10"/>
      <c r="H98" s="10"/>
      <c r="I98" s="10"/>
      <c r="J98" s="10"/>
      <c r="K98" s="10" t="s">
        <v>252</v>
      </c>
      <c r="L98" s="10"/>
      <c r="M98" s="11" t="s">
        <v>208</v>
      </c>
      <c r="N98" s="11"/>
      <c r="O98" s="11"/>
      <c r="P98" s="10"/>
      <c r="Q98" s="10">
        <v>0</v>
      </c>
      <c r="R98" s="10"/>
      <c r="S98" s="10">
        <v>10001004</v>
      </c>
      <c r="T98" s="10" t="b">
        <v>0</v>
      </c>
      <c r="U98" s="10"/>
      <c r="V98" s="10" t="b">
        <v>0</v>
      </c>
      <c r="W98" s="10"/>
      <c r="X98" s="10"/>
      <c r="Y98" s="10"/>
      <c r="Z98" s="10" t="b">
        <v>1</v>
      </c>
      <c r="AA98" s="10" t="b">
        <v>0</v>
      </c>
      <c r="AB98" s="10" t="s">
        <v>51</v>
      </c>
      <c r="AC98" s="10">
        <v>10</v>
      </c>
      <c r="AD98" s="10">
        <v>1</v>
      </c>
      <c r="AE98" s="10"/>
      <c r="AF98" s="10"/>
      <c r="AG98" s="10" t="str">
        <f t="shared" si="17"/>
        <v>Normal</v>
      </c>
      <c r="AH98" s="10">
        <v>0</v>
      </c>
      <c r="AI98" s="10" t="s">
        <v>62</v>
      </c>
      <c r="AJ98" s="10">
        <v>120</v>
      </c>
      <c r="AK98" s="10" t="s">
        <v>12</v>
      </c>
      <c r="AL98" s="10"/>
      <c r="AM98" s="10"/>
      <c r="AN98" s="10"/>
      <c r="AO98" s="10"/>
    </row>
    <row r="99" spans="1:41" x14ac:dyDescent="0.25">
      <c r="A99" s="10" t="str">
        <f t="shared" si="14"/>
        <v>Ex.Mode.11005</v>
      </c>
      <c r="B99" s="10">
        <f t="shared" si="12"/>
        <v>20118095</v>
      </c>
      <c r="C99" s="10" t="str">
        <f t="shared" si="11"/>
        <v>Ex.Mode.110</v>
      </c>
      <c r="D99" s="10">
        <v>5</v>
      </c>
      <c r="E99" s="10" t="str">
        <f t="shared" si="16"/>
        <v>Ex.Mode.11004</v>
      </c>
      <c r="F99" s="10"/>
      <c r="G99" s="10"/>
      <c r="H99" s="10"/>
      <c r="I99" s="10"/>
      <c r="J99" s="10"/>
      <c r="K99" s="10" t="s">
        <v>248</v>
      </c>
      <c r="L99" s="10"/>
      <c r="M99" s="11" t="s">
        <v>209</v>
      </c>
      <c r="N99" s="11"/>
      <c r="O99" s="11"/>
      <c r="P99" s="10"/>
      <c r="Q99" s="10">
        <v>0</v>
      </c>
      <c r="R99" s="10"/>
      <c r="S99" s="10">
        <v>10001005</v>
      </c>
      <c r="T99" s="10" t="b">
        <v>0</v>
      </c>
      <c r="U99" s="10"/>
      <c r="V99" s="10" t="b">
        <v>0</v>
      </c>
      <c r="W99" s="10"/>
      <c r="X99" s="10"/>
      <c r="Y99" s="10"/>
      <c r="Z99" s="10" t="b">
        <v>1</v>
      </c>
      <c r="AA99" s="10" t="b">
        <v>0</v>
      </c>
      <c r="AB99" s="10" t="s">
        <v>51</v>
      </c>
      <c r="AC99" s="10">
        <v>10</v>
      </c>
      <c r="AD99" s="10">
        <v>1</v>
      </c>
      <c r="AE99" s="10"/>
      <c r="AF99" s="10"/>
      <c r="AG99" s="10" t="str">
        <f t="shared" si="17"/>
        <v>Normal</v>
      </c>
      <c r="AH99" s="10">
        <v>0</v>
      </c>
      <c r="AI99" s="10" t="s">
        <v>62</v>
      </c>
      <c r="AJ99" s="10">
        <v>120</v>
      </c>
      <c r="AK99" s="10" t="s">
        <v>12</v>
      </c>
      <c r="AL99" s="10"/>
      <c r="AM99" s="10"/>
      <c r="AN99" s="10"/>
      <c r="AO99" s="10"/>
    </row>
    <row r="100" spans="1:41" x14ac:dyDescent="0.25">
      <c r="A100" s="10" t="str">
        <f t="shared" si="14"/>
        <v>Ex.Mode.11006</v>
      </c>
      <c r="B100" s="10">
        <f t="shared" si="12"/>
        <v>20118096</v>
      </c>
      <c r="C100" s="10" t="str">
        <f t="shared" si="11"/>
        <v>Ex.Mode.110</v>
      </c>
      <c r="D100" s="10">
        <v>6</v>
      </c>
      <c r="E100" s="10" t="str">
        <f t="shared" si="16"/>
        <v>Ex.Mode.11005</v>
      </c>
      <c r="F100" s="10"/>
      <c r="G100" s="10"/>
      <c r="H100" s="10"/>
      <c r="I100" s="10"/>
      <c r="J100" s="10"/>
      <c r="K100" s="10" t="s">
        <v>252</v>
      </c>
      <c r="L100" s="10"/>
      <c r="M100" s="11" t="s">
        <v>210</v>
      </c>
      <c r="N100" s="11"/>
      <c r="O100" s="11"/>
      <c r="P100" s="10"/>
      <c r="Q100" s="10">
        <v>0</v>
      </c>
      <c r="R100" s="10"/>
      <c r="S100" s="10">
        <v>10001006</v>
      </c>
      <c r="T100" s="10" t="b">
        <v>0</v>
      </c>
      <c r="U100" s="10"/>
      <c r="V100" s="10" t="b">
        <v>0</v>
      </c>
      <c r="W100" s="10"/>
      <c r="X100" s="10"/>
      <c r="Y100" s="10"/>
      <c r="Z100" s="10" t="b">
        <v>1</v>
      </c>
      <c r="AA100" s="10" t="b">
        <v>0</v>
      </c>
      <c r="AB100" s="10" t="s">
        <v>51</v>
      </c>
      <c r="AC100" s="10">
        <v>10</v>
      </c>
      <c r="AD100" s="10">
        <v>1</v>
      </c>
      <c r="AE100" s="10"/>
      <c r="AF100" s="10"/>
      <c r="AG100" s="10" t="str">
        <f t="shared" si="17"/>
        <v>Normal</v>
      </c>
      <c r="AH100" s="10">
        <v>0</v>
      </c>
      <c r="AI100" s="10" t="s">
        <v>62</v>
      </c>
      <c r="AJ100" s="10">
        <v>120</v>
      </c>
      <c r="AK100" s="10" t="s">
        <v>12</v>
      </c>
      <c r="AL100" s="10"/>
      <c r="AM100" s="10"/>
      <c r="AN100" s="10"/>
      <c r="AO100" s="10"/>
    </row>
    <row r="101" spans="1:41" x14ac:dyDescent="0.25">
      <c r="A101" s="10" t="str">
        <f t="shared" si="14"/>
        <v>Ex.Mode.11007</v>
      </c>
      <c r="B101" s="10">
        <f t="shared" si="12"/>
        <v>20118097</v>
      </c>
      <c r="C101" s="10" t="str">
        <f t="shared" si="11"/>
        <v>Ex.Mode.110</v>
      </c>
      <c r="D101" s="10">
        <v>7</v>
      </c>
      <c r="E101" s="10" t="str">
        <f t="shared" si="16"/>
        <v>Ex.Mode.11006</v>
      </c>
      <c r="F101" s="10"/>
      <c r="G101" s="10"/>
      <c r="H101" s="10"/>
      <c r="I101" s="10"/>
      <c r="J101" s="10"/>
      <c r="K101" s="10" t="s">
        <v>249</v>
      </c>
      <c r="L101" s="10"/>
      <c r="M101" s="11" t="s">
        <v>211</v>
      </c>
      <c r="N101" s="11"/>
      <c r="O101" s="11"/>
      <c r="P101" s="10"/>
      <c r="Q101" s="10">
        <v>0</v>
      </c>
      <c r="R101" s="10"/>
      <c r="S101" s="10">
        <v>10001007</v>
      </c>
      <c r="T101" s="10" t="b">
        <v>0</v>
      </c>
      <c r="U101" s="10"/>
      <c r="V101" s="10" t="b">
        <v>0</v>
      </c>
      <c r="W101" s="10"/>
      <c r="X101" s="10"/>
      <c r="Y101" s="10"/>
      <c r="Z101" s="10" t="b">
        <v>1</v>
      </c>
      <c r="AA101" s="10" t="b">
        <v>0</v>
      </c>
      <c r="AB101" s="10" t="s">
        <v>51</v>
      </c>
      <c r="AC101" s="10">
        <v>10</v>
      </c>
      <c r="AD101" s="10">
        <v>1</v>
      </c>
      <c r="AE101" s="10"/>
      <c r="AF101" s="10"/>
      <c r="AG101" s="10" t="str">
        <f t="shared" si="17"/>
        <v>Normal</v>
      </c>
      <c r="AH101" s="10">
        <v>0</v>
      </c>
      <c r="AI101" s="10" t="s">
        <v>62</v>
      </c>
      <c r="AJ101" s="10">
        <v>120</v>
      </c>
      <c r="AK101" s="10" t="s">
        <v>12</v>
      </c>
      <c r="AL101" s="10"/>
      <c r="AM101" s="10"/>
      <c r="AN101" s="10"/>
      <c r="AO101" s="10"/>
    </row>
    <row r="102" spans="1:41" x14ac:dyDescent="0.25">
      <c r="A102" s="10" t="str">
        <f t="shared" si="14"/>
        <v>Ex.Mode.11008</v>
      </c>
      <c r="B102" s="10">
        <f t="shared" si="12"/>
        <v>20118098</v>
      </c>
      <c r="C102" s="10" t="str">
        <f t="shared" si="11"/>
        <v>Ex.Mode.110</v>
      </c>
      <c r="D102" s="10">
        <v>8</v>
      </c>
      <c r="E102" s="10" t="str">
        <f t="shared" si="16"/>
        <v>Ex.Mode.11007</v>
      </c>
      <c r="F102" s="10"/>
      <c r="G102" s="10"/>
      <c r="H102" s="10"/>
      <c r="I102" s="10"/>
      <c r="J102" s="10"/>
      <c r="K102" s="10" t="s">
        <v>252</v>
      </c>
      <c r="L102" s="10"/>
      <c r="M102" s="11" t="s">
        <v>212</v>
      </c>
      <c r="N102" s="11"/>
      <c r="O102" s="11"/>
      <c r="P102" s="10"/>
      <c r="Q102" s="10">
        <v>0</v>
      </c>
      <c r="R102" s="10"/>
      <c r="S102" s="10">
        <v>10001008</v>
      </c>
      <c r="T102" s="10" t="b">
        <v>0</v>
      </c>
      <c r="U102" s="10"/>
      <c r="V102" s="10" t="b">
        <v>0</v>
      </c>
      <c r="W102" s="10"/>
      <c r="X102" s="10"/>
      <c r="Y102" s="10"/>
      <c r="Z102" s="10" t="b">
        <v>1</v>
      </c>
      <c r="AA102" s="10" t="b">
        <v>0</v>
      </c>
      <c r="AB102" s="10" t="s">
        <v>51</v>
      </c>
      <c r="AC102" s="10">
        <v>10</v>
      </c>
      <c r="AD102" s="10">
        <v>1</v>
      </c>
      <c r="AE102" s="10"/>
      <c r="AF102" s="10"/>
      <c r="AG102" s="10" t="str">
        <f t="shared" si="17"/>
        <v>Normal</v>
      </c>
      <c r="AH102" s="10">
        <v>0</v>
      </c>
      <c r="AI102" s="10" t="s">
        <v>62</v>
      </c>
      <c r="AJ102" s="10">
        <v>120</v>
      </c>
      <c r="AK102" s="10" t="s">
        <v>12</v>
      </c>
      <c r="AL102" s="10"/>
      <c r="AM102" s="10"/>
      <c r="AN102" s="10"/>
      <c r="AO102" s="10"/>
    </row>
    <row r="103" spans="1:41" x14ac:dyDescent="0.25">
      <c r="A103" s="10" t="str">
        <f t="shared" si="14"/>
        <v>Ex.Mode.11009</v>
      </c>
      <c r="B103" s="10">
        <f t="shared" si="12"/>
        <v>20118099</v>
      </c>
      <c r="C103" s="10" t="str">
        <f t="shared" si="11"/>
        <v>Ex.Mode.110</v>
      </c>
      <c r="D103" s="10">
        <v>9</v>
      </c>
      <c r="E103" s="10" t="str">
        <f t="shared" si="16"/>
        <v>Ex.Mode.11008</v>
      </c>
      <c r="F103" s="10"/>
      <c r="G103" s="10"/>
      <c r="H103" s="10"/>
      <c r="I103" s="10"/>
      <c r="J103" s="10"/>
      <c r="K103" s="10" t="s">
        <v>251</v>
      </c>
      <c r="L103" s="10"/>
      <c r="M103" s="11" t="s">
        <v>213</v>
      </c>
      <c r="N103" s="11"/>
      <c r="O103" s="11"/>
      <c r="P103" s="10"/>
      <c r="Q103" s="10">
        <v>0</v>
      </c>
      <c r="R103" s="10"/>
      <c r="S103" s="10">
        <v>10001009</v>
      </c>
      <c r="T103" s="10" t="b">
        <v>0</v>
      </c>
      <c r="U103" s="10"/>
      <c r="V103" s="10" t="b">
        <v>0</v>
      </c>
      <c r="W103" s="10"/>
      <c r="X103" s="10"/>
      <c r="Y103" s="10"/>
      <c r="Z103" s="10" t="b">
        <v>1</v>
      </c>
      <c r="AA103" s="10" t="b">
        <v>0</v>
      </c>
      <c r="AB103" s="10" t="s">
        <v>51</v>
      </c>
      <c r="AC103" s="10">
        <v>10</v>
      </c>
      <c r="AD103" s="10">
        <v>1</v>
      </c>
      <c r="AE103" s="10"/>
      <c r="AF103" s="10"/>
      <c r="AG103" s="10" t="str">
        <f t="shared" si="17"/>
        <v>Normal</v>
      </c>
      <c r="AH103" s="10">
        <v>0</v>
      </c>
      <c r="AI103" s="10" t="s">
        <v>62</v>
      </c>
      <c r="AJ103" s="10">
        <v>120</v>
      </c>
      <c r="AK103" s="10" t="s">
        <v>12</v>
      </c>
      <c r="AL103" s="10"/>
      <c r="AM103" s="10"/>
      <c r="AN103" s="10"/>
      <c r="AO103" s="10"/>
    </row>
    <row r="104" spans="1:41" x14ac:dyDescent="0.25">
      <c r="A104" s="10" t="str">
        <f t="shared" si="14"/>
        <v>Ex.Mode.11010</v>
      </c>
      <c r="B104" s="10">
        <f t="shared" si="12"/>
        <v>20118100</v>
      </c>
      <c r="C104" s="10" t="str">
        <f t="shared" si="11"/>
        <v>Ex.Mode.110</v>
      </c>
      <c r="D104" s="10">
        <v>10</v>
      </c>
      <c r="E104" s="10" t="str">
        <f t="shared" si="16"/>
        <v>Ex.Mode.11009</v>
      </c>
      <c r="F104" s="10"/>
      <c r="G104" s="10"/>
      <c r="H104" s="10"/>
      <c r="I104" s="10"/>
      <c r="J104" s="10"/>
      <c r="K104" s="10" t="s">
        <v>253</v>
      </c>
      <c r="L104" s="10"/>
      <c r="M104" s="11" t="s">
        <v>214</v>
      </c>
      <c r="N104" s="11"/>
      <c r="O104" s="11"/>
      <c r="P104" s="10"/>
      <c r="Q104" s="10">
        <v>0</v>
      </c>
      <c r="R104" s="10"/>
      <c r="S104" s="10">
        <v>10001010</v>
      </c>
      <c r="T104" s="10" t="b">
        <v>0</v>
      </c>
      <c r="U104" s="10"/>
      <c r="V104" s="10" t="b">
        <v>0</v>
      </c>
      <c r="W104" s="10"/>
      <c r="X104" s="10"/>
      <c r="Y104" s="10"/>
      <c r="Z104" s="10" t="b">
        <v>1</v>
      </c>
      <c r="AA104" s="10" t="b">
        <v>0</v>
      </c>
      <c r="AB104" s="10" t="s">
        <v>63</v>
      </c>
      <c r="AC104" s="10">
        <v>10</v>
      </c>
      <c r="AD104" s="10">
        <v>1</v>
      </c>
      <c r="AE104" s="10"/>
      <c r="AF104" s="10"/>
      <c r="AG104" s="10" t="str">
        <f t="shared" si="17"/>
        <v>Normal</v>
      </c>
      <c r="AH104" s="10">
        <v>0</v>
      </c>
      <c r="AI104" s="10" t="s">
        <v>62</v>
      </c>
      <c r="AJ104" s="10">
        <v>120</v>
      </c>
      <c r="AK104" s="10" t="s">
        <v>64</v>
      </c>
      <c r="AL104" s="10"/>
      <c r="AM104" s="10"/>
      <c r="AN104" s="10"/>
      <c r="AO104" s="10"/>
    </row>
    <row r="105" spans="1:4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6"/>
      <c r="N105" s="6"/>
      <c r="O105" s="6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6"/>
      <c r="N106" s="6"/>
      <c r="O106" s="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6"/>
      <c r="N107" s="6"/>
      <c r="O107" s="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6"/>
      <c r="N108" s="6"/>
      <c r="O108" s="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6"/>
      <c r="N109" s="6"/>
      <c r="O109" s="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6"/>
      <c r="N110" s="6"/>
      <c r="O110" s="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6"/>
      <c r="N111" s="6"/>
      <c r="O111" s="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6"/>
      <c r="N112" s="6"/>
      <c r="O112" s="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6"/>
      <c r="N113" s="6"/>
      <c r="O113" s="6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6"/>
      <c r="N114" s="6"/>
      <c r="O114" s="6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6"/>
      <c r="N115" s="6"/>
      <c r="O115" s="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6"/>
      <c r="N116" s="6"/>
      <c r="O116" s="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6"/>
      <c r="N117" s="6"/>
      <c r="O117" s="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</sheetData>
  <phoneticPr fontId="3" type="noConversion"/>
  <conditionalFormatting sqref="A1:AO117">
    <cfRule type="containsBlanks" dxfId="4" priority="3">
      <formula>LEN(TRIM(A1))=0</formula>
    </cfRule>
    <cfRule type="cellIs" dxfId="3" priority="4" operator="equal">
      <formula>0</formula>
    </cfRule>
  </conditionalFormatting>
  <conditionalFormatting sqref="AP1:AP4">
    <cfRule type="containsBlanks" dxfId="2" priority="1">
      <formula>LEN(TRIM(AP1))=0</formula>
    </cfRule>
    <cfRule type="cellIs" dxfId="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4" sqref="B4:B13"/>
    </sheetView>
  </sheetViews>
  <sheetFormatPr defaultRowHeight="16.5" x14ac:dyDescent="0.3"/>
  <cols>
    <col min="1" max="1" width="17.375" bestFit="1" customWidth="1"/>
    <col min="2" max="2" width="21.5" bestFit="1" customWidth="1"/>
  </cols>
  <sheetData>
    <row r="1" spans="1:2" x14ac:dyDescent="0.3">
      <c r="A1" s="4" t="s">
        <v>15</v>
      </c>
      <c r="B1" s="4" t="s">
        <v>55</v>
      </c>
    </row>
    <row r="2" spans="1:2" x14ac:dyDescent="0.3">
      <c r="A2" s="4" t="s">
        <v>53</v>
      </c>
      <c r="B2" s="4" t="s">
        <v>56</v>
      </c>
    </row>
    <row r="3" spans="1:2" x14ac:dyDescent="0.3">
      <c r="A3" s="4" t="s">
        <v>0</v>
      </c>
      <c r="B3" s="4" t="s">
        <v>0</v>
      </c>
    </row>
    <row r="4" spans="1:2" x14ac:dyDescent="0.3">
      <c r="A4" s="2" t="s">
        <v>97</v>
      </c>
      <c r="B4" s="16"/>
    </row>
    <row r="5" spans="1:2" x14ac:dyDescent="0.3">
      <c r="A5" s="2" t="s">
        <v>98</v>
      </c>
      <c r="B5" s="16" t="s">
        <v>60</v>
      </c>
    </row>
    <row r="6" spans="1:2" x14ac:dyDescent="0.3">
      <c r="A6" s="2" t="s">
        <v>99</v>
      </c>
      <c r="B6" s="16" t="s">
        <v>107</v>
      </c>
    </row>
    <row r="7" spans="1:2" x14ac:dyDescent="0.3">
      <c r="A7" s="2" t="s">
        <v>100</v>
      </c>
      <c r="B7" s="2" t="s">
        <v>108</v>
      </c>
    </row>
    <row r="8" spans="1:2" x14ac:dyDescent="0.3">
      <c r="A8" s="2" t="s">
        <v>101</v>
      </c>
      <c r="B8" s="2" t="s">
        <v>109</v>
      </c>
    </row>
    <row r="9" spans="1:2" x14ac:dyDescent="0.3">
      <c r="A9" s="2" t="s">
        <v>102</v>
      </c>
      <c r="B9" s="2" t="s">
        <v>110</v>
      </c>
    </row>
    <row r="10" spans="1:2" x14ac:dyDescent="0.3">
      <c r="A10" s="2" t="s">
        <v>103</v>
      </c>
      <c r="B10" s="2" t="s">
        <v>111</v>
      </c>
    </row>
    <row r="11" spans="1:2" x14ac:dyDescent="0.3">
      <c r="A11" s="2" t="s">
        <v>104</v>
      </c>
      <c r="B11" s="2" t="s">
        <v>112</v>
      </c>
    </row>
    <row r="12" spans="1:2" x14ac:dyDescent="0.3">
      <c r="A12" s="2" t="s">
        <v>105</v>
      </c>
      <c r="B12" s="2" t="s">
        <v>113</v>
      </c>
    </row>
    <row r="13" spans="1:2" x14ac:dyDescent="0.3">
      <c r="A13" s="2" t="s">
        <v>106</v>
      </c>
      <c r="B13" s="2" t="s">
        <v>114</v>
      </c>
    </row>
    <row r="14" spans="1:2" x14ac:dyDescent="0.3">
      <c r="A14" s="2"/>
      <c r="B14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workbookViewId="0">
      <selection activeCell="D8" sqref="D8"/>
    </sheetView>
  </sheetViews>
  <sheetFormatPr defaultRowHeight="16.5" x14ac:dyDescent="0.3"/>
  <cols>
    <col min="1" max="1" width="17.375" bestFit="1" customWidth="1"/>
    <col min="2" max="3" width="8" bestFit="1" customWidth="1"/>
    <col min="4" max="4" width="11.375" customWidth="1"/>
    <col min="5" max="5" width="13.5" bestFit="1" customWidth="1"/>
  </cols>
  <sheetData>
    <row r="1" spans="1:5" x14ac:dyDescent="0.3">
      <c r="A1" s="8" t="s">
        <v>52</v>
      </c>
      <c r="B1" s="4" t="s">
        <v>57</v>
      </c>
      <c r="C1" s="4" t="s">
        <v>6</v>
      </c>
      <c r="D1" s="4" t="s">
        <v>1</v>
      </c>
      <c r="E1" s="4" t="s">
        <v>54</v>
      </c>
    </row>
    <row r="2" spans="1:5" x14ac:dyDescent="0.3">
      <c r="A2" s="8" t="s">
        <v>53</v>
      </c>
      <c r="B2" s="4" t="s">
        <v>58</v>
      </c>
      <c r="C2" s="4" t="s">
        <v>4</v>
      </c>
      <c r="D2" s="4" t="s">
        <v>2</v>
      </c>
      <c r="E2" s="4" t="s">
        <v>2</v>
      </c>
    </row>
    <row r="3" spans="1:5" x14ac:dyDescent="0.3">
      <c r="A3" s="8" t="s">
        <v>0</v>
      </c>
      <c r="B3" s="4" t="s">
        <v>59</v>
      </c>
      <c r="C3" s="4" t="s">
        <v>3</v>
      </c>
      <c r="D3" s="4" t="s">
        <v>3</v>
      </c>
      <c r="E3" s="4" t="s">
        <v>3</v>
      </c>
    </row>
    <row r="4" spans="1:5" x14ac:dyDescent="0.3">
      <c r="A4" s="2" t="s">
        <v>97</v>
      </c>
      <c r="B4" s="9"/>
      <c r="C4" s="9"/>
      <c r="D4" s="7"/>
      <c r="E4" s="7"/>
    </row>
    <row r="5" spans="1:5" x14ac:dyDescent="0.3">
      <c r="A5" s="2"/>
      <c r="B5" s="9">
        <v>1</v>
      </c>
      <c r="C5" s="9">
        <v>10</v>
      </c>
      <c r="D5" s="7">
        <v>10010101</v>
      </c>
      <c r="E5" s="17">
        <v>10020101</v>
      </c>
    </row>
    <row r="6" spans="1:5" x14ac:dyDescent="0.3">
      <c r="A6" s="2"/>
      <c r="B6" s="9">
        <v>2</v>
      </c>
      <c r="C6" s="9">
        <v>13</v>
      </c>
      <c r="D6" s="7">
        <v>10010102</v>
      </c>
      <c r="E6" s="17">
        <v>10020102</v>
      </c>
    </row>
    <row r="7" spans="1:5" x14ac:dyDescent="0.3">
      <c r="A7" s="2"/>
      <c r="B7" s="9">
        <v>3</v>
      </c>
      <c r="C7" s="9">
        <v>16</v>
      </c>
      <c r="D7" s="9">
        <v>10010103</v>
      </c>
      <c r="E7" s="17">
        <v>10020103</v>
      </c>
    </row>
    <row r="8" spans="1:5" x14ac:dyDescent="0.3">
      <c r="A8" s="2"/>
      <c r="B8" s="9">
        <v>4</v>
      </c>
      <c r="C8" s="9">
        <v>20</v>
      </c>
      <c r="D8" s="9">
        <v>10010104</v>
      </c>
      <c r="E8" s="17">
        <v>10020104</v>
      </c>
    </row>
    <row r="9" spans="1:5" x14ac:dyDescent="0.3">
      <c r="A9" s="2"/>
      <c r="B9" s="9">
        <v>5</v>
      </c>
      <c r="C9" s="9">
        <v>25</v>
      </c>
      <c r="D9" s="9">
        <v>10010105</v>
      </c>
      <c r="E9" s="17">
        <v>10020105</v>
      </c>
    </row>
    <row r="10" spans="1:5" x14ac:dyDescent="0.3">
      <c r="A10" s="2"/>
      <c r="B10" s="9">
        <v>6</v>
      </c>
      <c r="C10" s="9">
        <v>30</v>
      </c>
      <c r="D10" s="9">
        <v>10010106</v>
      </c>
      <c r="E10" s="17">
        <v>10020106</v>
      </c>
    </row>
    <row r="11" spans="1:5" x14ac:dyDescent="0.3">
      <c r="A11" s="2" t="s">
        <v>98</v>
      </c>
      <c r="B11" s="9"/>
      <c r="C11" s="9"/>
      <c r="D11" s="9"/>
      <c r="E11" s="9"/>
    </row>
    <row r="12" spans="1:5" x14ac:dyDescent="0.3">
      <c r="A12" s="2"/>
      <c r="B12" s="9">
        <v>1</v>
      </c>
      <c r="C12" s="9">
        <v>10</v>
      </c>
      <c r="D12" s="9">
        <v>10010201</v>
      </c>
      <c r="E12" s="17">
        <v>10020201</v>
      </c>
    </row>
    <row r="13" spans="1:5" x14ac:dyDescent="0.3">
      <c r="A13" s="2"/>
      <c r="B13" s="9">
        <v>2</v>
      </c>
      <c r="C13" s="9">
        <v>13</v>
      </c>
      <c r="D13" s="9">
        <v>10010202</v>
      </c>
      <c r="E13" s="17">
        <v>10020202</v>
      </c>
    </row>
    <row r="14" spans="1:5" x14ac:dyDescent="0.3">
      <c r="A14" s="2"/>
      <c r="B14" s="9">
        <v>3</v>
      </c>
      <c r="C14" s="9">
        <v>16</v>
      </c>
      <c r="D14" s="9">
        <v>10010203</v>
      </c>
      <c r="E14" s="17">
        <v>10020203</v>
      </c>
    </row>
    <row r="15" spans="1:5" x14ac:dyDescent="0.3">
      <c r="A15" s="2"/>
      <c r="B15" s="9">
        <v>4</v>
      </c>
      <c r="C15" s="9">
        <v>20</v>
      </c>
      <c r="D15" s="9">
        <v>10010204</v>
      </c>
      <c r="E15" s="17">
        <v>10020204</v>
      </c>
    </row>
    <row r="16" spans="1:5" x14ac:dyDescent="0.3">
      <c r="A16" s="2"/>
      <c r="B16" s="9">
        <v>5</v>
      </c>
      <c r="C16" s="9">
        <v>25</v>
      </c>
      <c r="D16" s="9">
        <v>10010205</v>
      </c>
      <c r="E16" s="17">
        <v>10020205</v>
      </c>
    </row>
    <row r="17" spans="1:5" x14ac:dyDescent="0.3">
      <c r="A17" s="2"/>
      <c r="B17" s="9">
        <v>6</v>
      </c>
      <c r="C17" s="9">
        <v>30</v>
      </c>
      <c r="D17" s="9">
        <v>10010206</v>
      </c>
      <c r="E17" s="17">
        <v>10020206</v>
      </c>
    </row>
    <row r="18" spans="1:5" x14ac:dyDescent="0.3">
      <c r="A18" s="2" t="s">
        <v>99</v>
      </c>
      <c r="B18" s="9"/>
      <c r="C18" s="9"/>
      <c r="D18" s="9"/>
      <c r="E18" s="9"/>
    </row>
    <row r="19" spans="1:5" x14ac:dyDescent="0.3">
      <c r="A19" s="2"/>
      <c r="B19" s="9">
        <v>1</v>
      </c>
      <c r="C19" s="9">
        <v>10</v>
      </c>
      <c r="D19" s="9">
        <v>10010301</v>
      </c>
      <c r="E19" s="17">
        <v>10020301</v>
      </c>
    </row>
    <row r="20" spans="1:5" x14ac:dyDescent="0.3">
      <c r="A20" s="2"/>
      <c r="B20" s="9">
        <v>2</v>
      </c>
      <c r="C20" s="9">
        <v>13</v>
      </c>
      <c r="D20" s="9">
        <v>10010302</v>
      </c>
      <c r="E20" s="17">
        <v>10020302</v>
      </c>
    </row>
    <row r="21" spans="1:5" x14ac:dyDescent="0.3">
      <c r="A21" s="2"/>
      <c r="B21" s="9">
        <v>3</v>
      </c>
      <c r="C21" s="9">
        <v>16</v>
      </c>
      <c r="D21" s="9">
        <v>10010303</v>
      </c>
      <c r="E21" s="17">
        <v>10020303</v>
      </c>
    </row>
    <row r="22" spans="1:5" x14ac:dyDescent="0.3">
      <c r="A22" s="2"/>
      <c r="B22" s="9">
        <v>4</v>
      </c>
      <c r="C22" s="9">
        <v>20</v>
      </c>
      <c r="D22" s="9">
        <v>10010304</v>
      </c>
      <c r="E22" s="17">
        <v>10020304</v>
      </c>
    </row>
    <row r="23" spans="1:5" x14ac:dyDescent="0.3">
      <c r="A23" s="2"/>
      <c r="B23" s="9">
        <v>5</v>
      </c>
      <c r="C23" s="9">
        <v>25</v>
      </c>
      <c r="D23" s="9">
        <v>10010305</v>
      </c>
      <c r="E23" s="17">
        <v>10020305</v>
      </c>
    </row>
    <row r="24" spans="1:5" x14ac:dyDescent="0.3">
      <c r="A24" s="2"/>
      <c r="B24" s="9">
        <v>6</v>
      </c>
      <c r="C24" s="9">
        <v>30</v>
      </c>
      <c r="D24" s="9">
        <v>10010306</v>
      </c>
      <c r="E24" s="17">
        <v>10020306</v>
      </c>
    </row>
    <row r="25" spans="1:5" x14ac:dyDescent="0.3">
      <c r="A25" s="2" t="s">
        <v>100</v>
      </c>
      <c r="B25" s="9"/>
      <c r="C25" s="9"/>
      <c r="D25" s="9"/>
      <c r="E25" s="9"/>
    </row>
    <row r="26" spans="1:5" x14ac:dyDescent="0.3">
      <c r="A26" s="2"/>
      <c r="B26" s="9">
        <v>1</v>
      </c>
      <c r="C26" s="9">
        <v>10</v>
      </c>
      <c r="D26" s="9">
        <v>10010401</v>
      </c>
      <c r="E26" s="17">
        <v>10020401</v>
      </c>
    </row>
    <row r="27" spans="1:5" x14ac:dyDescent="0.3">
      <c r="A27" s="2"/>
      <c r="B27" s="9">
        <v>2</v>
      </c>
      <c r="C27" s="9">
        <v>13</v>
      </c>
      <c r="D27" s="9">
        <v>10010402</v>
      </c>
      <c r="E27" s="17">
        <v>10020402</v>
      </c>
    </row>
    <row r="28" spans="1:5" x14ac:dyDescent="0.3">
      <c r="A28" s="2"/>
      <c r="B28" s="9">
        <v>3</v>
      </c>
      <c r="C28" s="9">
        <v>16</v>
      </c>
      <c r="D28" s="9">
        <v>10010403</v>
      </c>
      <c r="E28" s="17">
        <v>10020403</v>
      </c>
    </row>
    <row r="29" spans="1:5" x14ac:dyDescent="0.3">
      <c r="A29" s="2"/>
      <c r="B29" s="9">
        <v>4</v>
      </c>
      <c r="C29" s="9">
        <v>20</v>
      </c>
      <c r="D29" s="9">
        <v>10010404</v>
      </c>
      <c r="E29" s="17">
        <v>10020404</v>
      </c>
    </row>
    <row r="30" spans="1:5" x14ac:dyDescent="0.3">
      <c r="A30" s="2"/>
      <c r="B30" s="9">
        <v>5</v>
      </c>
      <c r="C30" s="9">
        <v>25</v>
      </c>
      <c r="D30" s="9">
        <v>10010405</v>
      </c>
      <c r="E30" s="17">
        <v>10020405</v>
      </c>
    </row>
    <row r="31" spans="1:5" x14ac:dyDescent="0.3">
      <c r="A31" s="2"/>
      <c r="B31" s="9">
        <v>6</v>
      </c>
      <c r="C31" s="9">
        <v>30</v>
      </c>
      <c r="D31" s="9">
        <v>10010406</v>
      </c>
      <c r="E31" s="17">
        <v>10020406</v>
      </c>
    </row>
    <row r="32" spans="1:5" x14ac:dyDescent="0.3">
      <c r="A32" s="2" t="s">
        <v>101</v>
      </c>
      <c r="B32" s="9"/>
      <c r="C32" s="9"/>
      <c r="D32" s="9"/>
      <c r="E32" s="9"/>
    </row>
    <row r="33" spans="1:5" x14ac:dyDescent="0.3">
      <c r="A33" s="2"/>
      <c r="B33" s="9">
        <v>1</v>
      </c>
      <c r="C33" s="9">
        <v>10</v>
      </c>
      <c r="D33" s="9">
        <v>10010501</v>
      </c>
      <c r="E33" s="17">
        <v>10020501</v>
      </c>
    </row>
    <row r="34" spans="1:5" x14ac:dyDescent="0.3">
      <c r="A34" s="2"/>
      <c r="B34" s="9">
        <v>2</v>
      </c>
      <c r="C34" s="9">
        <v>13</v>
      </c>
      <c r="D34" s="9">
        <v>10010502</v>
      </c>
      <c r="E34" s="17">
        <v>10020502</v>
      </c>
    </row>
    <row r="35" spans="1:5" x14ac:dyDescent="0.3">
      <c r="A35" s="2"/>
      <c r="B35" s="9">
        <v>3</v>
      </c>
      <c r="C35" s="9">
        <v>16</v>
      </c>
      <c r="D35" s="9">
        <v>10010503</v>
      </c>
      <c r="E35" s="17">
        <v>10020503</v>
      </c>
    </row>
    <row r="36" spans="1:5" x14ac:dyDescent="0.3">
      <c r="A36" s="2"/>
      <c r="B36" s="9">
        <v>4</v>
      </c>
      <c r="C36" s="9">
        <v>20</v>
      </c>
      <c r="D36" s="9">
        <v>10010504</v>
      </c>
      <c r="E36" s="17">
        <v>10020504</v>
      </c>
    </row>
    <row r="37" spans="1:5" x14ac:dyDescent="0.3">
      <c r="A37" s="2"/>
      <c r="B37" s="9">
        <v>5</v>
      </c>
      <c r="C37" s="9">
        <v>25</v>
      </c>
      <c r="D37" s="9">
        <v>10010505</v>
      </c>
      <c r="E37" s="17">
        <v>10020505</v>
      </c>
    </row>
    <row r="38" spans="1:5" x14ac:dyDescent="0.3">
      <c r="A38" s="2"/>
      <c r="B38" s="9">
        <v>6</v>
      </c>
      <c r="C38" s="9">
        <v>30</v>
      </c>
      <c r="D38" s="9">
        <v>10010506</v>
      </c>
      <c r="E38" s="17">
        <v>10020506</v>
      </c>
    </row>
    <row r="39" spans="1:5" x14ac:dyDescent="0.3">
      <c r="A39" s="2" t="s">
        <v>102</v>
      </c>
      <c r="B39" s="9"/>
      <c r="C39" s="9"/>
      <c r="D39" s="9"/>
      <c r="E39" s="9"/>
    </row>
    <row r="40" spans="1:5" x14ac:dyDescent="0.3">
      <c r="A40" s="2"/>
      <c r="B40" s="9">
        <v>1</v>
      </c>
      <c r="C40" s="9">
        <v>10</v>
      </c>
      <c r="D40" s="9">
        <v>10010601</v>
      </c>
      <c r="E40" s="17">
        <v>10020601</v>
      </c>
    </row>
    <row r="41" spans="1:5" x14ac:dyDescent="0.3">
      <c r="A41" s="2"/>
      <c r="B41" s="9">
        <v>2</v>
      </c>
      <c r="C41" s="9">
        <v>13</v>
      </c>
      <c r="D41" s="9">
        <v>10010602</v>
      </c>
      <c r="E41" s="17">
        <v>10020602</v>
      </c>
    </row>
    <row r="42" spans="1:5" x14ac:dyDescent="0.3">
      <c r="A42" s="2"/>
      <c r="B42" s="9">
        <v>3</v>
      </c>
      <c r="C42" s="9">
        <v>16</v>
      </c>
      <c r="D42" s="9">
        <v>10010603</v>
      </c>
      <c r="E42" s="17">
        <v>10020603</v>
      </c>
    </row>
    <row r="43" spans="1:5" x14ac:dyDescent="0.3">
      <c r="A43" s="2"/>
      <c r="B43" s="9">
        <v>4</v>
      </c>
      <c r="C43" s="9">
        <v>20</v>
      </c>
      <c r="D43" s="9">
        <v>10010604</v>
      </c>
      <c r="E43" s="17">
        <v>10020604</v>
      </c>
    </row>
    <row r="44" spans="1:5" x14ac:dyDescent="0.3">
      <c r="A44" s="2"/>
      <c r="B44" s="9">
        <v>5</v>
      </c>
      <c r="C44" s="9">
        <v>25</v>
      </c>
      <c r="D44" s="9">
        <v>10010605</v>
      </c>
      <c r="E44" s="17">
        <v>10020605</v>
      </c>
    </row>
    <row r="45" spans="1:5" x14ac:dyDescent="0.3">
      <c r="A45" s="2"/>
      <c r="B45" s="9">
        <v>6</v>
      </c>
      <c r="C45" s="9">
        <v>30</v>
      </c>
      <c r="D45" s="9">
        <v>10010606</v>
      </c>
      <c r="E45" s="17">
        <v>10020606</v>
      </c>
    </row>
    <row r="46" spans="1:5" x14ac:dyDescent="0.3">
      <c r="A46" s="2" t="s">
        <v>103</v>
      </c>
      <c r="B46" s="9"/>
      <c r="C46" s="9"/>
      <c r="D46" s="9"/>
      <c r="E46" s="9"/>
    </row>
    <row r="47" spans="1:5" x14ac:dyDescent="0.3">
      <c r="A47" s="2"/>
      <c r="B47" s="9">
        <v>1</v>
      </c>
      <c r="C47" s="9">
        <v>10</v>
      </c>
      <c r="D47" s="9">
        <v>10010701</v>
      </c>
      <c r="E47" s="17">
        <v>10020701</v>
      </c>
    </row>
    <row r="48" spans="1:5" x14ac:dyDescent="0.3">
      <c r="A48" s="2"/>
      <c r="B48" s="9">
        <v>2</v>
      </c>
      <c r="C48" s="9">
        <v>13</v>
      </c>
      <c r="D48" s="9">
        <v>10010702</v>
      </c>
      <c r="E48" s="17">
        <v>10020702</v>
      </c>
    </row>
    <row r="49" spans="1:5" x14ac:dyDescent="0.3">
      <c r="A49" s="2"/>
      <c r="B49" s="9">
        <v>3</v>
      </c>
      <c r="C49" s="9">
        <v>16</v>
      </c>
      <c r="D49" s="9">
        <v>10010703</v>
      </c>
      <c r="E49" s="17">
        <v>10020703</v>
      </c>
    </row>
    <row r="50" spans="1:5" x14ac:dyDescent="0.3">
      <c r="A50" s="2"/>
      <c r="B50" s="9">
        <v>4</v>
      </c>
      <c r="C50" s="9">
        <v>20</v>
      </c>
      <c r="D50" s="9">
        <v>10010704</v>
      </c>
      <c r="E50" s="17">
        <v>10020704</v>
      </c>
    </row>
    <row r="51" spans="1:5" x14ac:dyDescent="0.3">
      <c r="A51" s="2"/>
      <c r="B51" s="9">
        <v>5</v>
      </c>
      <c r="C51" s="9">
        <v>25</v>
      </c>
      <c r="D51" s="9">
        <v>10010705</v>
      </c>
      <c r="E51" s="17">
        <v>10020705</v>
      </c>
    </row>
    <row r="52" spans="1:5" x14ac:dyDescent="0.3">
      <c r="A52" s="2"/>
      <c r="B52" s="9">
        <v>6</v>
      </c>
      <c r="C52" s="9">
        <v>30</v>
      </c>
      <c r="D52" s="9">
        <v>10010706</v>
      </c>
      <c r="E52" s="17">
        <v>10020706</v>
      </c>
    </row>
    <row r="53" spans="1:5" x14ac:dyDescent="0.3">
      <c r="A53" s="2" t="s">
        <v>104</v>
      </c>
      <c r="B53" s="9"/>
      <c r="C53" s="9"/>
      <c r="D53" s="9"/>
      <c r="E53" s="9"/>
    </row>
    <row r="54" spans="1:5" x14ac:dyDescent="0.3">
      <c r="A54" s="2"/>
      <c r="B54" s="9">
        <v>1</v>
      </c>
      <c r="C54" s="9">
        <v>10</v>
      </c>
      <c r="D54" s="9">
        <v>10010801</v>
      </c>
      <c r="E54" s="17">
        <v>10020801</v>
      </c>
    </row>
    <row r="55" spans="1:5" x14ac:dyDescent="0.3">
      <c r="A55" s="2"/>
      <c r="B55" s="9">
        <v>2</v>
      </c>
      <c r="C55" s="9">
        <v>13</v>
      </c>
      <c r="D55" s="9">
        <v>10010802</v>
      </c>
      <c r="E55" s="17">
        <v>10020802</v>
      </c>
    </row>
    <row r="56" spans="1:5" x14ac:dyDescent="0.3">
      <c r="A56" s="2"/>
      <c r="B56" s="9">
        <v>3</v>
      </c>
      <c r="C56" s="9">
        <v>16</v>
      </c>
      <c r="D56" s="9">
        <v>10010803</v>
      </c>
      <c r="E56" s="17">
        <v>10020803</v>
      </c>
    </row>
    <row r="57" spans="1:5" x14ac:dyDescent="0.3">
      <c r="A57" s="2"/>
      <c r="B57" s="9">
        <v>4</v>
      </c>
      <c r="C57" s="9">
        <v>20</v>
      </c>
      <c r="D57" s="9">
        <v>10010804</v>
      </c>
      <c r="E57" s="17">
        <v>10020804</v>
      </c>
    </row>
    <row r="58" spans="1:5" x14ac:dyDescent="0.3">
      <c r="A58" s="2"/>
      <c r="B58" s="9">
        <v>5</v>
      </c>
      <c r="C58" s="9">
        <v>25</v>
      </c>
      <c r="D58" s="9">
        <v>10010805</v>
      </c>
      <c r="E58" s="17">
        <v>10020805</v>
      </c>
    </row>
    <row r="59" spans="1:5" x14ac:dyDescent="0.3">
      <c r="A59" s="2"/>
      <c r="B59" s="9">
        <v>6</v>
      </c>
      <c r="C59" s="9">
        <v>30</v>
      </c>
      <c r="D59" s="9">
        <v>10010806</v>
      </c>
      <c r="E59" s="17">
        <v>10020806</v>
      </c>
    </row>
    <row r="60" spans="1:5" x14ac:dyDescent="0.3">
      <c r="A60" s="2" t="s">
        <v>105</v>
      </c>
      <c r="B60" s="9"/>
      <c r="C60" s="9"/>
      <c r="D60" s="9"/>
      <c r="E60" s="9"/>
    </row>
    <row r="61" spans="1:5" x14ac:dyDescent="0.3">
      <c r="A61" s="2"/>
      <c r="B61" s="9">
        <v>1</v>
      </c>
      <c r="C61" s="9">
        <v>10</v>
      </c>
      <c r="D61" s="9">
        <v>10010901</v>
      </c>
      <c r="E61" s="17">
        <v>10020901</v>
      </c>
    </row>
    <row r="62" spans="1:5" x14ac:dyDescent="0.3">
      <c r="A62" s="2"/>
      <c r="B62" s="9">
        <v>2</v>
      </c>
      <c r="C62" s="9">
        <v>13</v>
      </c>
      <c r="D62" s="9">
        <v>10010902</v>
      </c>
      <c r="E62" s="17">
        <v>10020902</v>
      </c>
    </row>
    <row r="63" spans="1:5" x14ac:dyDescent="0.3">
      <c r="A63" s="2"/>
      <c r="B63" s="9">
        <v>3</v>
      </c>
      <c r="C63" s="9">
        <v>16</v>
      </c>
      <c r="D63" s="9">
        <v>10010903</v>
      </c>
      <c r="E63" s="17">
        <v>10020903</v>
      </c>
    </row>
    <row r="64" spans="1:5" x14ac:dyDescent="0.3">
      <c r="A64" s="2"/>
      <c r="B64" s="9">
        <v>4</v>
      </c>
      <c r="C64" s="9">
        <v>20</v>
      </c>
      <c r="D64" s="9">
        <v>10010904</v>
      </c>
      <c r="E64" s="17">
        <v>10020904</v>
      </c>
    </row>
    <row r="65" spans="1:5" x14ac:dyDescent="0.3">
      <c r="A65" s="2"/>
      <c r="B65" s="9">
        <v>5</v>
      </c>
      <c r="C65" s="9">
        <v>25</v>
      </c>
      <c r="D65" s="9">
        <v>10010905</v>
      </c>
      <c r="E65" s="17">
        <v>10020905</v>
      </c>
    </row>
    <row r="66" spans="1:5" x14ac:dyDescent="0.3">
      <c r="A66" s="2"/>
      <c r="B66" s="9">
        <v>6</v>
      </c>
      <c r="C66" s="9">
        <v>30</v>
      </c>
      <c r="D66" s="9">
        <v>10010906</v>
      </c>
      <c r="E66" s="17">
        <v>10020906</v>
      </c>
    </row>
    <row r="67" spans="1:5" x14ac:dyDescent="0.3">
      <c r="A67" s="2" t="s">
        <v>106</v>
      </c>
      <c r="B67" s="9"/>
      <c r="C67" s="9"/>
      <c r="D67" s="9"/>
      <c r="E67" s="9"/>
    </row>
    <row r="68" spans="1:5" x14ac:dyDescent="0.3">
      <c r="A68" s="2"/>
      <c r="B68" s="9">
        <v>1</v>
      </c>
      <c r="C68" s="9">
        <v>10</v>
      </c>
      <c r="D68" s="9">
        <v>10011001</v>
      </c>
      <c r="E68" s="17">
        <v>10021001</v>
      </c>
    </row>
    <row r="69" spans="1:5" x14ac:dyDescent="0.3">
      <c r="A69" s="2"/>
      <c r="B69" s="9">
        <v>2</v>
      </c>
      <c r="C69" s="9">
        <v>13</v>
      </c>
      <c r="D69" s="9">
        <v>10011002</v>
      </c>
      <c r="E69" s="17">
        <v>10021002</v>
      </c>
    </row>
    <row r="70" spans="1:5" x14ac:dyDescent="0.3">
      <c r="A70" s="2"/>
      <c r="B70" s="9">
        <v>3</v>
      </c>
      <c r="C70" s="9">
        <v>16</v>
      </c>
      <c r="D70" s="9">
        <v>10011003</v>
      </c>
      <c r="E70" s="17">
        <v>10021003</v>
      </c>
    </row>
    <row r="71" spans="1:5" x14ac:dyDescent="0.3">
      <c r="A71" s="2"/>
      <c r="B71" s="9">
        <v>4</v>
      </c>
      <c r="C71" s="9">
        <v>20</v>
      </c>
      <c r="D71" s="9">
        <v>10011004</v>
      </c>
      <c r="E71" s="17">
        <v>10021004</v>
      </c>
    </row>
    <row r="72" spans="1:5" x14ac:dyDescent="0.3">
      <c r="A72" s="2"/>
      <c r="B72" s="9">
        <v>5</v>
      </c>
      <c r="C72" s="9">
        <v>25</v>
      </c>
      <c r="D72" s="9">
        <v>10011005</v>
      </c>
      <c r="E72" s="17">
        <v>10021005</v>
      </c>
    </row>
    <row r="73" spans="1:5" x14ac:dyDescent="0.3">
      <c r="A73" s="2"/>
      <c r="B73" s="9">
        <v>6</v>
      </c>
      <c r="C73" s="9">
        <v>30</v>
      </c>
      <c r="D73" s="9">
        <v>10011006</v>
      </c>
      <c r="E73" s="17">
        <v>10021006</v>
      </c>
    </row>
    <row r="74" spans="1:5" x14ac:dyDescent="0.3">
      <c r="A74" s="2"/>
      <c r="B74" s="9"/>
      <c r="C74" s="9"/>
      <c r="D74" s="9"/>
      <c r="E74" s="9"/>
    </row>
    <row r="75" spans="1:5" x14ac:dyDescent="0.3">
      <c r="A75" s="2"/>
      <c r="B75" s="9"/>
      <c r="C75" s="9"/>
      <c r="D75" s="9"/>
      <c r="E75" s="9"/>
    </row>
    <row r="76" spans="1:5" x14ac:dyDescent="0.3">
      <c r="A76" s="2"/>
      <c r="B76" s="9"/>
      <c r="C76" s="9"/>
      <c r="D76" s="9"/>
      <c r="E76" s="9"/>
    </row>
    <row r="77" spans="1:5" x14ac:dyDescent="0.3">
      <c r="A77" s="2"/>
      <c r="B77" s="9"/>
      <c r="C77" s="9"/>
      <c r="D77" s="9"/>
      <c r="E77" s="9"/>
    </row>
  </sheetData>
  <phoneticPr fontId="3" type="noConversion"/>
  <conditionalFormatting sqref="A4:E77">
    <cfRule type="containsBlanks" dxfId="0" priority="1">
      <formula>LEN(TRIM(A4))=0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Stage.ExtraMode</vt:lpstr>
      <vt:lpstr>ExtraModeChapterCondition</vt:lpstr>
      <vt:lpstr>ExtraModeRatingReward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2024-01-23T09:39:57Z</dcterms:modified>
</cp:coreProperties>
</file>