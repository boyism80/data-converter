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M2\design\"/>
    </mc:Choice>
  </mc:AlternateContent>
  <bookViews>
    <workbookView xWindow="2550" yWindow="-120" windowWidth="29040" windowHeight="17640" tabRatio="786"/>
  </bookViews>
  <sheets>
    <sheet name="MissionCategory" sheetId="13" r:id="rId1"/>
    <sheet name="Statistics" sheetId="14" r:id="rId2"/>
    <sheet name="MissionCategory.Newbie" sheetId="33" r:id="rId3"/>
    <sheet name="MissionCase.Newbie" sheetId="34" r:id="rId4"/>
    <sheet name="#Mission.Set" sheetId="25" r:id="rId5"/>
    <sheet name="MissionCase.Daily" sheetId="2" r:id="rId6"/>
    <sheet name="MissionCase.Weekly" sheetId="3" r:id="rId7"/>
    <sheet name="MissionCase.Main" sheetId="4" r:id="rId8"/>
    <sheet name="MissionCase.Unlock" sheetId="5" r:id="rId9"/>
    <sheet name="MissionCase.Special" sheetId="6" r:id="rId10"/>
    <sheet name="MissionCase.Guide" sheetId="30" r:id="rId11"/>
    <sheet name="#MissionCase.Guide" sheetId="7" r:id="rId12"/>
    <sheet name="MissionCase.7Days" sheetId="8" r:id="rId13"/>
    <sheet name="#MissionCase.7Days" sheetId="29" r:id="rId14"/>
    <sheet name="MissionCase.Recommend" sheetId="17" r:id="rId15"/>
    <sheet name="MissionCase.Record" sheetId="9" r:id="rId16"/>
    <sheet name="MissionCase.Purchase" sheetId="18" r:id="rId17"/>
    <sheet name="MissionCase.EventStory" sheetId="19" r:id="rId18"/>
    <sheet name="MissionCase.EventBingo" sheetId="20" r:id="rId19"/>
    <sheet name="MissionCase.EventRoulette" sheetId="24" r:id="rId20"/>
    <sheet name="MissionCase.EventCraft" sheetId="32" r:id="rId21"/>
    <sheet name="MissionCase.EventPuzzle" sheetId="35" r:id="rId22"/>
    <sheet name="MissionCase.EventSlotMachine" sheetId="26" r:id="rId23"/>
    <sheet name="MissionCase.Instarseed" sheetId="21" r:id="rId24"/>
    <sheet name="MissionCase.AsniaMissionHub" sheetId="22" r:id="rId25"/>
    <sheet name="MissionCase.PurchaseSequence" sheetId="27" r:id="rId26"/>
    <sheet name="MissionCase.Growth" sheetId="28" r:id="rId27"/>
    <sheet name="MissionCase.Promotion" sheetId="31" r:id="rId28"/>
    <sheet name="GuideQuest" sheetId="10" r:id="rId29"/>
    <sheet name="EventCase" sheetId="15" r:id="rId30"/>
  </sheets>
  <externalReferences>
    <externalReference r:id="rId31"/>
  </externalReferences>
  <definedNames>
    <definedName name="_xlnm._FilterDatabase" localSheetId="1" hidden="1">Statistics!$A$4:$F$4</definedName>
  </definedNames>
  <calcPr calcId="162913"/>
</workbook>
</file>

<file path=xl/calcChain.xml><?xml version="1.0" encoding="utf-8"?>
<calcChain xmlns="http://schemas.openxmlformats.org/spreadsheetml/2006/main">
  <c r="M47" i="17" l="1"/>
  <c r="R63" i="22" l="1"/>
  <c r="N63" i="22"/>
  <c r="R61" i="22"/>
  <c r="N61" i="22"/>
  <c r="R59" i="22"/>
  <c r="N59" i="22"/>
  <c r="R57" i="22"/>
  <c r="N57" i="22"/>
  <c r="R55" i="22"/>
  <c r="N55" i="22"/>
  <c r="R53" i="22"/>
  <c r="N53" i="22"/>
  <c r="R51" i="22"/>
  <c r="N51" i="22"/>
  <c r="R49" i="22"/>
  <c r="N49" i="22"/>
  <c r="R47" i="22"/>
  <c r="N47" i="22"/>
  <c r="R45" i="22"/>
  <c r="N45" i="22"/>
  <c r="R43" i="22"/>
  <c r="N43" i="22"/>
  <c r="R41" i="22"/>
  <c r="N41" i="22"/>
  <c r="R39" i="22"/>
  <c r="N39" i="22"/>
  <c r="R37" i="22"/>
  <c r="N37" i="22"/>
  <c r="R35" i="22"/>
  <c r="N35" i="22"/>
  <c r="R33" i="22"/>
  <c r="N33" i="22"/>
  <c r="R31" i="22"/>
  <c r="N31" i="22"/>
  <c r="R29" i="22"/>
  <c r="N29" i="22"/>
  <c r="R27" i="22"/>
  <c r="N27" i="22"/>
  <c r="R25" i="22"/>
  <c r="N25" i="22"/>
  <c r="R23" i="22"/>
  <c r="N23" i="22"/>
  <c r="M85" i="17" l="1"/>
  <c r="R85" i="17" s="1"/>
  <c r="N85" i="17" l="1"/>
  <c r="M99" i="17" l="1"/>
  <c r="N99" i="17" s="1"/>
  <c r="M95" i="17"/>
  <c r="N95" i="17" s="1"/>
  <c r="M93" i="17"/>
  <c r="N93" i="17" s="1"/>
  <c r="M89" i="17"/>
  <c r="N89" i="17" s="1"/>
  <c r="M91" i="17"/>
  <c r="M83" i="17"/>
  <c r="N83" i="17" s="1"/>
  <c r="M81" i="17"/>
  <c r="N81" i="17" s="1"/>
  <c r="M87" i="17"/>
  <c r="N87" i="17" s="1"/>
  <c r="M76" i="17"/>
  <c r="N76" i="17" s="1"/>
  <c r="M68" i="17" l="1"/>
  <c r="N68" i="17" s="1"/>
  <c r="M66" i="17"/>
  <c r="N66" i="17" s="1"/>
  <c r="M64" i="17"/>
  <c r="N64" i="17" s="1"/>
  <c r="M62" i="17"/>
  <c r="N62" i="17" s="1"/>
  <c r="M58" i="17"/>
  <c r="N58" i="17" s="1"/>
  <c r="M56" i="17"/>
  <c r="N56" i="17" s="1"/>
  <c r="M41" i="17"/>
  <c r="N41" i="17" s="1"/>
  <c r="M43" i="17"/>
  <c r="N43" i="17" s="1"/>
  <c r="M45" i="17"/>
  <c r="N45" i="17" s="1"/>
  <c r="N47" i="17"/>
  <c r="M49" i="17"/>
  <c r="N49" i="17" s="1"/>
  <c r="M51" i="17"/>
  <c r="N51" i="17" s="1"/>
  <c r="M53" i="17"/>
  <c r="N53" i="17" s="1"/>
  <c r="M39" i="17" l="1"/>
  <c r="N39" i="17" s="1"/>
  <c r="M37" i="17"/>
  <c r="N37" i="17" s="1"/>
  <c r="M35" i="17"/>
  <c r="N35" i="17" s="1"/>
  <c r="M33" i="17"/>
  <c r="N33" i="17" s="1"/>
  <c r="M22" i="17"/>
  <c r="N22" i="17" s="1"/>
  <c r="M14" i="17"/>
  <c r="N14" i="17" s="1"/>
  <c r="M10" i="17"/>
  <c r="M12" i="17"/>
  <c r="N12" i="17" s="1"/>
  <c r="M8" i="17"/>
  <c r="M67" i="22" l="1"/>
  <c r="N67" i="22" s="1"/>
  <c r="M65" i="22"/>
  <c r="N65" i="22" s="1"/>
  <c r="N19" i="22"/>
  <c r="R15" i="22"/>
  <c r="R11" i="22"/>
  <c r="R7" i="22"/>
  <c r="N7" i="22"/>
  <c r="R67" i="22" l="1"/>
  <c r="R65" i="22"/>
  <c r="R19" i="22"/>
  <c r="N15" i="22"/>
  <c r="N11" i="22"/>
  <c r="P35" i="30" l="1"/>
  <c r="P17" i="30"/>
  <c r="P43" i="30" l="1"/>
  <c r="P41" i="30"/>
  <c r="P39" i="30"/>
  <c r="P37" i="30"/>
  <c r="P33" i="30"/>
  <c r="P29" i="30"/>
  <c r="P21" i="30"/>
  <c r="P19" i="30"/>
  <c r="P15" i="30"/>
  <c r="P11" i="30"/>
  <c r="P9" i="30"/>
  <c r="P7" i="30"/>
  <c r="P5" i="30"/>
  <c r="N9" i="22" l="1"/>
  <c r="R9" i="22" l="1"/>
  <c r="A58" i="21" l="1"/>
  <c r="A60" i="21" s="1"/>
  <c r="A62" i="21" s="1"/>
  <c r="A64" i="21" s="1"/>
  <c r="A66" i="21" s="1"/>
  <c r="A68" i="21" s="1"/>
  <c r="A70" i="21" s="1"/>
  <c r="A72" i="21" s="1"/>
  <c r="A74" i="21" s="1"/>
  <c r="A76" i="21" s="1"/>
  <c r="A78" i="21" s="1"/>
  <c r="A80" i="21" s="1"/>
  <c r="A82" i="21" s="1"/>
  <c r="A84" i="21" s="1"/>
  <c r="A86" i="21" s="1"/>
  <c r="A88" i="21" s="1"/>
  <c r="A90" i="21" s="1"/>
  <c r="R13" i="27" l="1"/>
  <c r="R11" i="27"/>
  <c r="R9" i="27"/>
  <c r="R7" i="27"/>
  <c r="R5" i="27"/>
  <c r="R17" i="27" l="1"/>
  <c r="R15" i="27"/>
  <c r="P49" i="7"/>
  <c r="P21" i="7"/>
  <c r="P25" i="7"/>
  <c r="P23" i="7"/>
  <c r="P19" i="7"/>
  <c r="P17" i="7"/>
  <c r="P15" i="7"/>
  <c r="P13" i="7"/>
  <c r="P11" i="7"/>
  <c r="R63" i="26"/>
  <c r="S63" i="26" s="1"/>
  <c r="N63" i="26"/>
  <c r="O63" i="26" s="1"/>
  <c r="M63" i="26"/>
  <c r="R61" i="26"/>
  <c r="S61" i="26" s="1"/>
  <c r="N61" i="26"/>
  <c r="O61" i="26" s="1"/>
  <c r="M61" i="26"/>
  <c r="R59" i="26"/>
  <c r="S59" i="26" s="1"/>
  <c r="N59" i="26"/>
  <c r="O59" i="26" s="1"/>
  <c r="M59" i="26"/>
  <c r="R57" i="26"/>
  <c r="S57" i="26" s="1"/>
  <c r="N57" i="26"/>
  <c r="O57" i="26" s="1"/>
  <c r="M57" i="26"/>
  <c r="R55" i="26"/>
  <c r="S55" i="26" s="1"/>
  <c r="N55" i="26"/>
  <c r="O55" i="26" s="1"/>
  <c r="M55" i="26"/>
  <c r="R53" i="26"/>
  <c r="S53" i="26" s="1"/>
  <c r="N53" i="26"/>
  <c r="O53" i="26" s="1"/>
  <c r="M53" i="26"/>
  <c r="R51" i="26"/>
  <c r="S51" i="26" s="1"/>
  <c r="N51" i="26"/>
  <c r="O51" i="26" s="1"/>
  <c r="M51" i="26"/>
  <c r="R49" i="26"/>
  <c r="S49" i="26" s="1"/>
  <c r="N49" i="26"/>
  <c r="O49" i="26" s="1"/>
  <c r="M49" i="26"/>
  <c r="R47" i="26"/>
  <c r="S47" i="26" s="1"/>
  <c r="N47" i="26"/>
  <c r="O47" i="26" s="1"/>
  <c r="M47" i="26"/>
  <c r="R45" i="26"/>
  <c r="S45" i="26" s="1"/>
  <c r="N45" i="26"/>
  <c r="O45" i="26" s="1"/>
  <c r="M45" i="26"/>
  <c r="R43" i="26"/>
  <c r="S43" i="26" s="1"/>
  <c r="N43" i="26"/>
  <c r="O43" i="26" s="1"/>
  <c r="M43" i="26"/>
  <c r="R41" i="26"/>
  <c r="S41" i="26" s="1"/>
  <c r="N41" i="26"/>
  <c r="O41" i="26" s="1"/>
  <c r="M41" i="26"/>
  <c r="R39" i="26"/>
  <c r="S39" i="26" s="1"/>
  <c r="N39" i="26"/>
  <c r="O39" i="26" s="1"/>
  <c r="M39" i="26"/>
  <c r="R37" i="26"/>
  <c r="S37" i="26" s="1"/>
  <c r="N37" i="26"/>
  <c r="O37" i="26" s="1"/>
  <c r="M37" i="26"/>
  <c r="R35" i="26"/>
  <c r="S35" i="26" s="1"/>
  <c r="N35" i="26"/>
  <c r="O35" i="26" s="1"/>
  <c r="M35" i="26"/>
  <c r="R33" i="26" l="1"/>
  <c r="S33" i="26" s="1"/>
  <c r="N33" i="26"/>
  <c r="O33" i="26" s="1"/>
  <c r="M33" i="26"/>
  <c r="R31" i="26"/>
  <c r="S31" i="26" s="1"/>
  <c r="N31" i="26"/>
  <c r="O31" i="26" s="1"/>
  <c r="M31" i="26"/>
  <c r="R29" i="26"/>
  <c r="S29" i="26" s="1"/>
  <c r="N29" i="26"/>
  <c r="O29" i="26" s="1"/>
  <c r="M29" i="26"/>
  <c r="R27" i="26"/>
  <c r="S27" i="26" s="1"/>
  <c r="N27" i="26"/>
  <c r="O27" i="26" s="1"/>
  <c r="M27" i="26"/>
  <c r="R25" i="26"/>
  <c r="S25" i="26" s="1"/>
  <c r="N25" i="26"/>
  <c r="O25" i="26" s="1"/>
  <c r="M25" i="26"/>
  <c r="R23" i="26"/>
  <c r="S23" i="26" s="1"/>
  <c r="N23" i="26"/>
  <c r="O23" i="26" s="1"/>
  <c r="M23" i="26"/>
  <c r="R21" i="26"/>
  <c r="S21" i="26" s="1"/>
  <c r="N21" i="26"/>
  <c r="O21" i="26" s="1"/>
  <c r="M21" i="26"/>
  <c r="R19" i="26"/>
  <c r="S19" i="26" s="1"/>
  <c r="N19" i="26"/>
  <c r="O19" i="26" s="1"/>
  <c r="M19" i="26"/>
  <c r="R17" i="26"/>
  <c r="S17" i="26" s="1"/>
  <c r="N17" i="26"/>
  <c r="O17" i="26" s="1"/>
  <c r="M17" i="26"/>
  <c r="R15" i="26"/>
  <c r="S15" i="26" s="1"/>
  <c r="N15" i="26"/>
  <c r="O15" i="26" s="1"/>
  <c r="M15" i="26"/>
  <c r="R13" i="26"/>
  <c r="S13" i="26" s="1"/>
  <c r="N13" i="26"/>
  <c r="O13" i="26" s="1"/>
  <c r="M13" i="26"/>
  <c r="R11" i="26"/>
  <c r="S11" i="26" s="1"/>
  <c r="N11" i="26"/>
  <c r="O11" i="26" s="1"/>
  <c r="M11" i="26"/>
  <c r="R9" i="26"/>
  <c r="S9" i="26" s="1"/>
  <c r="N9" i="26"/>
  <c r="O9" i="26" s="1"/>
  <c r="M9" i="26"/>
  <c r="R7" i="26"/>
  <c r="S7" i="26" s="1"/>
  <c r="N7" i="26"/>
  <c r="O7" i="26" s="1"/>
  <c r="M7" i="26"/>
  <c r="R5" i="26"/>
  <c r="S5" i="26" s="1"/>
  <c r="N5" i="26"/>
  <c r="O5" i="26" s="1"/>
  <c r="M5" i="26"/>
  <c r="A54" i="24" l="1"/>
  <c r="A36" i="24"/>
  <c r="R225" i="20"/>
  <c r="S225" i="20" s="1"/>
  <c r="N225" i="20"/>
  <c r="O225" i="20" s="1"/>
  <c r="M225" i="20"/>
  <c r="R223" i="20"/>
  <c r="S223" i="20" s="1"/>
  <c r="N223" i="20"/>
  <c r="O223" i="20" s="1"/>
  <c r="M223" i="20"/>
  <c r="R221" i="20"/>
  <c r="S221" i="20" s="1"/>
  <c r="N221" i="20"/>
  <c r="O221" i="20" s="1"/>
  <c r="M221" i="20"/>
  <c r="R219" i="20"/>
  <c r="S219" i="20" s="1"/>
  <c r="N219" i="20"/>
  <c r="O219" i="20" s="1"/>
  <c r="M219" i="20"/>
  <c r="R217" i="20"/>
  <c r="S217" i="20" s="1"/>
  <c r="N217" i="20"/>
  <c r="O217" i="20" s="1"/>
  <c r="M217" i="20"/>
  <c r="R215" i="20"/>
  <c r="S215" i="20" s="1"/>
  <c r="N215" i="20"/>
  <c r="O215" i="20" s="1"/>
  <c r="M215" i="20"/>
  <c r="R213" i="20"/>
  <c r="S213" i="20" s="1"/>
  <c r="N213" i="20"/>
  <c r="O213" i="20" s="1"/>
  <c r="M213" i="20"/>
  <c r="R211" i="20"/>
  <c r="S211" i="20" s="1"/>
  <c r="N211" i="20"/>
  <c r="O211" i="20" s="1"/>
  <c r="M211" i="20"/>
  <c r="R209" i="20"/>
  <c r="S209" i="20" s="1"/>
  <c r="N209" i="20"/>
  <c r="O209" i="20" s="1"/>
  <c r="M209" i="20"/>
  <c r="R207" i="20"/>
  <c r="S207" i="20" s="1"/>
  <c r="N207" i="20"/>
  <c r="O207" i="20" s="1"/>
  <c r="M207" i="20"/>
  <c r="R205" i="20"/>
  <c r="S205" i="20" s="1"/>
  <c r="N205" i="20"/>
  <c r="O205" i="20" s="1"/>
  <c r="M205" i="20"/>
  <c r="R203" i="20"/>
  <c r="S203" i="20" s="1"/>
  <c r="N203" i="20"/>
  <c r="O203" i="20" s="1"/>
  <c r="M203" i="20"/>
  <c r="R201" i="20"/>
  <c r="S201" i="20" s="1"/>
  <c r="N201" i="20"/>
  <c r="O201" i="20" s="1"/>
  <c r="M201" i="20"/>
  <c r="R199" i="20"/>
  <c r="S199" i="20" s="1"/>
  <c r="N199" i="20"/>
  <c r="O199" i="20" s="1"/>
  <c r="M199" i="20"/>
  <c r="R197" i="20"/>
  <c r="S197" i="20" s="1"/>
  <c r="N197" i="20"/>
  <c r="O197" i="20" s="1"/>
  <c r="M197" i="20"/>
  <c r="R195" i="20"/>
  <c r="S195" i="20" s="1"/>
  <c r="N195" i="20"/>
  <c r="O195" i="20" s="1"/>
  <c r="M195" i="20"/>
  <c r="R193" i="20"/>
  <c r="S193" i="20" s="1"/>
  <c r="N193" i="20"/>
  <c r="O193" i="20" s="1"/>
  <c r="M193" i="20"/>
  <c r="R191" i="20"/>
  <c r="S191" i="20" s="1"/>
  <c r="N191" i="20"/>
  <c r="O191" i="20" s="1"/>
  <c r="M191" i="20"/>
  <c r="R189" i="20"/>
  <c r="S189" i="20" s="1"/>
  <c r="N189" i="20"/>
  <c r="O189" i="20" s="1"/>
  <c r="M189" i="20"/>
  <c r="R187" i="20"/>
  <c r="S187" i="20" s="1"/>
  <c r="N187" i="20"/>
  <c r="O187" i="20" s="1"/>
  <c r="M187" i="20"/>
  <c r="R185" i="20"/>
  <c r="S185" i="20" s="1"/>
  <c r="N185" i="20"/>
  <c r="O185" i="20" s="1"/>
  <c r="M185" i="20"/>
  <c r="R183" i="20"/>
  <c r="S183" i="20" s="1"/>
  <c r="N183" i="20"/>
  <c r="O183" i="20" s="1"/>
  <c r="M183" i="20"/>
  <c r="R181" i="20"/>
  <c r="S181" i="20" s="1"/>
  <c r="N181" i="20"/>
  <c r="O181" i="20" s="1"/>
  <c r="M181" i="20"/>
  <c r="R179" i="20"/>
  <c r="S179" i="20" s="1"/>
  <c r="N179" i="20"/>
  <c r="O179" i="20" s="1"/>
  <c r="M179" i="20"/>
  <c r="R177" i="20"/>
  <c r="S177" i="20" s="1"/>
  <c r="N177" i="20"/>
  <c r="O177" i="20" s="1"/>
  <c r="M177" i="20"/>
  <c r="R175" i="20"/>
  <c r="S175" i="20" s="1"/>
  <c r="N175" i="20"/>
  <c r="O175" i="20" s="1"/>
  <c r="M175" i="20"/>
  <c r="R173" i="20"/>
  <c r="S173" i="20" s="1"/>
  <c r="N173" i="20"/>
  <c r="O173" i="20" s="1"/>
  <c r="M173" i="20"/>
  <c r="R171" i="20"/>
  <c r="S171" i="20" s="1"/>
  <c r="N171" i="20"/>
  <c r="O171" i="20" s="1"/>
  <c r="M171" i="20"/>
  <c r="R169" i="20"/>
  <c r="S169" i="20" s="1"/>
  <c r="N169" i="20"/>
  <c r="O169" i="20" s="1"/>
  <c r="M169" i="20"/>
  <c r="R167" i="20"/>
  <c r="S167" i="20" s="1"/>
  <c r="N167" i="20"/>
  <c r="O167" i="20" s="1"/>
  <c r="M167" i="20"/>
  <c r="R165" i="20"/>
  <c r="S165" i="20" s="1"/>
  <c r="N165" i="20"/>
  <c r="O165" i="20" s="1"/>
  <c r="M165" i="20"/>
  <c r="R163" i="20"/>
  <c r="S163" i="20" s="1"/>
  <c r="N163" i="20"/>
  <c r="O163" i="20" s="1"/>
  <c r="M163" i="20"/>
  <c r="R161" i="20"/>
  <c r="S161" i="20" s="1"/>
  <c r="N161" i="20"/>
  <c r="O161" i="20" s="1"/>
  <c r="M161" i="20"/>
  <c r="R159" i="20"/>
  <c r="S159" i="20" s="1"/>
  <c r="N159" i="20"/>
  <c r="O159" i="20" s="1"/>
  <c r="M159" i="20"/>
  <c r="R157" i="20"/>
  <c r="S157" i="20" s="1"/>
  <c r="N157" i="20"/>
  <c r="O157" i="20" s="1"/>
  <c r="M157" i="20"/>
  <c r="R155" i="20"/>
  <c r="S155" i="20" s="1"/>
  <c r="N155" i="20"/>
  <c r="O155" i="20" s="1"/>
  <c r="M155" i="20"/>
  <c r="R153" i="20"/>
  <c r="S153" i="20" s="1"/>
  <c r="N153" i="20"/>
  <c r="O153" i="20" s="1"/>
  <c r="M153" i="20"/>
  <c r="R151" i="20"/>
  <c r="S151" i="20" s="1"/>
  <c r="N151" i="20"/>
  <c r="O151" i="20" s="1"/>
  <c r="M151" i="20"/>
  <c r="R149" i="20"/>
  <c r="S149" i="20" s="1"/>
  <c r="N149" i="20"/>
  <c r="O149" i="20" s="1"/>
  <c r="M149" i="20"/>
  <c r="R147" i="20"/>
  <c r="S147" i="20" s="1"/>
  <c r="N147" i="20"/>
  <c r="O147" i="20" s="1"/>
  <c r="M147" i="20"/>
  <c r="R145" i="20"/>
  <c r="S145" i="20" s="1"/>
  <c r="N145" i="20"/>
  <c r="O145" i="20" s="1"/>
  <c r="M145" i="20"/>
  <c r="R143" i="20"/>
  <c r="S143" i="20" s="1"/>
  <c r="N143" i="20"/>
  <c r="O143" i="20" s="1"/>
  <c r="M143" i="20"/>
  <c r="R141" i="20"/>
  <c r="S141" i="20" s="1"/>
  <c r="N141" i="20"/>
  <c r="O141" i="20" s="1"/>
  <c r="M141" i="20"/>
  <c r="R139" i="20"/>
  <c r="S139" i="20" s="1"/>
  <c r="N139" i="20"/>
  <c r="O139" i="20" s="1"/>
  <c r="M139" i="20"/>
  <c r="R137" i="20"/>
  <c r="S137" i="20" s="1"/>
  <c r="N137" i="20"/>
  <c r="O137" i="20" s="1"/>
  <c r="M137" i="20"/>
  <c r="R135" i="20"/>
  <c r="S135" i="20" s="1"/>
  <c r="N135" i="20"/>
  <c r="O135" i="20" s="1"/>
  <c r="M135" i="20"/>
  <c r="R133" i="20"/>
  <c r="S133" i="20" s="1"/>
  <c r="N133" i="20"/>
  <c r="O133" i="20" s="1"/>
  <c r="M133" i="20"/>
  <c r="R131" i="20"/>
  <c r="S131" i="20" s="1"/>
  <c r="N131" i="20"/>
  <c r="O131" i="20" s="1"/>
  <c r="M131" i="20"/>
  <c r="R129" i="20"/>
  <c r="S129" i="20" s="1"/>
  <c r="N129" i="20"/>
  <c r="O129" i="20" s="1"/>
  <c r="M129" i="20"/>
  <c r="R127" i="20"/>
  <c r="S127" i="20" s="1"/>
  <c r="N127" i="20"/>
  <c r="O127" i="20" s="1"/>
  <c r="M127" i="20"/>
  <c r="R125" i="20"/>
  <c r="S125" i="20" s="1"/>
  <c r="N125" i="20"/>
  <c r="O125" i="20" s="1"/>
  <c r="M125" i="20"/>
  <c r="R123" i="20"/>
  <c r="S123" i="20" s="1"/>
  <c r="N123" i="20"/>
  <c r="O123" i="20" s="1"/>
  <c r="M123" i="20"/>
  <c r="R121" i="20"/>
  <c r="S121" i="20" s="1"/>
  <c r="N121" i="20"/>
  <c r="O121" i="20" s="1"/>
  <c r="M121" i="20"/>
  <c r="R119" i="20"/>
  <c r="S119" i="20" s="1"/>
  <c r="N119" i="20"/>
  <c r="O119" i="20" s="1"/>
  <c r="M119" i="20"/>
  <c r="R117" i="20"/>
  <c r="S117" i="20" s="1"/>
  <c r="N117" i="20"/>
  <c r="O117" i="20" s="1"/>
  <c r="M117" i="20"/>
  <c r="R115" i="20"/>
  <c r="S115" i="20" s="1"/>
  <c r="N115" i="20"/>
  <c r="O115" i="20" s="1"/>
  <c r="M115" i="20"/>
  <c r="R113" i="20"/>
  <c r="S113" i="20" s="1"/>
  <c r="N113" i="20"/>
  <c r="O113" i="20" s="1"/>
  <c r="M113" i="20"/>
  <c r="R111" i="20"/>
  <c r="S111" i="20" s="1"/>
  <c r="N111" i="20"/>
  <c r="O111" i="20" s="1"/>
  <c r="M111" i="20"/>
  <c r="R109" i="20"/>
  <c r="S109" i="20" s="1"/>
  <c r="N109" i="20"/>
  <c r="O109" i="20" s="1"/>
  <c r="M109" i="20"/>
  <c r="R107" i="20"/>
  <c r="S107" i="20" s="1"/>
  <c r="N107" i="20"/>
  <c r="O107" i="20" s="1"/>
  <c r="M107" i="20"/>
  <c r="R105" i="20"/>
  <c r="S105" i="20" s="1"/>
  <c r="N105" i="20"/>
  <c r="O105" i="20" s="1"/>
  <c r="M105" i="20"/>
  <c r="R103" i="20"/>
  <c r="S103" i="20" s="1"/>
  <c r="N103" i="20"/>
  <c r="O103" i="20" s="1"/>
  <c r="M103" i="20"/>
  <c r="R101" i="20"/>
  <c r="S101" i="20" s="1"/>
  <c r="N101" i="20"/>
  <c r="O101" i="20" s="1"/>
  <c r="M101" i="20"/>
  <c r="R99" i="20"/>
  <c r="S99" i="20" s="1"/>
  <c r="N99" i="20"/>
  <c r="O99" i="20" s="1"/>
  <c r="M99" i="20"/>
  <c r="R97" i="20"/>
  <c r="S97" i="20" s="1"/>
  <c r="N97" i="20"/>
  <c r="O97" i="20" s="1"/>
  <c r="M97" i="20"/>
  <c r="R95" i="20"/>
  <c r="S95" i="20" s="1"/>
  <c r="N95" i="20"/>
  <c r="O95" i="20" s="1"/>
  <c r="M95" i="20"/>
  <c r="R93" i="20"/>
  <c r="S93" i="20" s="1"/>
  <c r="N93" i="20"/>
  <c r="O93" i="20" s="1"/>
  <c r="M93" i="20"/>
  <c r="R91" i="20"/>
  <c r="S91" i="20" s="1"/>
  <c r="N91" i="20"/>
  <c r="O91" i="20" s="1"/>
  <c r="M91" i="20"/>
  <c r="R89" i="20"/>
  <c r="S89" i="20" s="1"/>
  <c r="N89" i="20"/>
  <c r="O89" i="20" s="1"/>
  <c r="M89" i="20"/>
  <c r="R87" i="20"/>
  <c r="S87" i="20" s="1"/>
  <c r="N87" i="20"/>
  <c r="O87" i="20" s="1"/>
  <c r="M87" i="20"/>
  <c r="R85" i="20"/>
  <c r="S85" i="20" s="1"/>
  <c r="N85" i="20"/>
  <c r="O85" i="20" s="1"/>
  <c r="M85" i="20"/>
  <c r="R83" i="20"/>
  <c r="S83" i="20" s="1"/>
  <c r="N83" i="20"/>
  <c r="O83" i="20" s="1"/>
  <c r="M83" i="20"/>
  <c r="R81" i="20"/>
  <c r="S81" i="20" s="1"/>
  <c r="N81" i="20"/>
  <c r="O81" i="20" s="1"/>
  <c r="M81" i="20"/>
  <c r="R79" i="20"/>
  <c r="S79" i="20" s="1"/>
  <c r="N79" i="20"/>
  <c r="O79" i="20" s="1"/>
  <c r="M79" i="20"/>
  <c r="R77" i="20"/>
  <c r="S77" i="20" s="1"/>
  <c r="N77" i="20"/>
  <c r="O77" i="20" s="1"/>
  <c r="M77" i="20"/>
  <c r="R75" i="20"/>
  <c r="S75" i="20" s="1"/>
  <c r="N75" i="20"/>
  <c r="O75" i="20" s="1"/>
  <c r="M75" i="20"/>
  <c r="R73" i="20"/>
  <c r="S73" i="20" s="1"/>
  <c r="N73" i="20"/>
  <c r="O73" i="20" s="1"/>
  <c r="M73" i="20"/>
  <c r="R71" i="20"/>
  <c r="S71" i="20" s="1"/>
  <c r="N71" i="20"/>
  <c r="O71" i="20" s="1"/>
  <c r="M71" i="20"/>
  <c r="R69" i="20"/>
  <c r="S69" i="20" s="1"/>
  <c r="N69" i="20"/>
  <c r="O69" i="20" s="1"/>
  <c r="M69" i="20"/>
  <c r="R67" i="20"/>
  <c r="S67" i="20" s="1"/>
  <c r="N67" i="20"/>
  <c r="O67" i="20" s="1"/>
  <c r="M67" i="20"/>
  <c r="R65" i="20"/>
  <c r="S65" i="20" s="1"/>
  <c r="N65" i="20"/>
  <c r="O65" i="20" s="1"/>
  <c r="M65" i="20"/>
  <c r="R63" i="20"/>
  <c r="S63" i="20" s="1"/>
  <c r="N63" i="20"/>
  <c r="O63" i="20" s="1"/>
  <c r="M63" i="20"/>
  <c r="R61" i="20"/>
  <c r="S61" i="20" s="1"/>
  <c r="N61" i="20"/>
  <c r="O61" i="20" s="1"/>
  <c r="M61" i="20"/>
  <c r="R59" i="20"/>
  <c r="S59" i="20" s="1"/>
  <c r="N59" i="20"/>
  <c r="O59" i="20" s="1"/>
  <c r="M59" i="20"/>
  <c r="R57" i="20"/>
  <c r="S57" i="20" s="1"/>
  <c r="N57" i="20"/>
  <c r="O57" i="20" s="1"/>
  <c r="M57" i="20"/>
  <c r="R55" i="20"/>
  <c r="S55" i="20" s="1"/>
  <c r="N55" i="20"/>
  <c r="O55" i="20" s="1"/>
  <c r="M55" i="20"/>
  <c r="R53" i="20"/>
  <c r="S53" i="20" s="1"/>
  <c r="N53" i="20"/>
  <c r="O53" i="20" s="1"/>
  <c r="M53" i="20"/>
  <c r="R51" i="20"/>
  <c r="S51" i="20" s="1"/>
  <c r="N51" i="20"/>
  <c r="O51" i="20" s="1"/>
  <c r="M51" i="20"/>
  <c r="R49" i="20"/>
  <c r="S49" i="20" s="1"/>
  <c r="N49" i="20"/>
  <c r="O49" i="20" s="1"/>
  <c r="M49" i="20"/>
  <c r="R47" i="20"/>
  <c r="S47" i="20" s="1"/>
  <c r="N47" i="20"/>
  <c r="O47" i="20" s="1"/>
  <c r="M47" i="20"/>
  <c r="R45" i="20"/>
  <c r="S45" i="20" s="1"/>
  <c r="N45" i="20"/>
  <c r="O45" i="20" s="1"/>
  <c r="M45" i="20"/>
  <c r="R43" i="20"/>
  <c r="S43" i="20" s="1"/>
  <c r="N43" i="20"/>
  <c r="O43" i="20" s="1"/>
  <c r="M43" i="20"/>
  <c r="R41" i="20"/>
  <c r="S41" i="20" s="1"/>
  <c r="N41" i="20"/>
  <c r="O41" i="20" s="1"/>
  <c r="M41" i="20"/>
  <c r="R39" i="20"/>
  <c r="S39" i="20" s="1"/>
  <c r="N39" i="20"/>
  <c r="O39" i="20" s="1"/>
  <c r="M39" i="20"/>
  <c r="R37" i="20"/>
  <c r="S37" i="20" s="1"/>
  <c r="N37" i="20"/>
  <c r="O37" i="20" s="1"/>
  <c r="M37" i="20"/>
  <c r="R35" i="20"/>
  <c r="S35" i="20" s="1"/>
  <c r="N35" i="20"/>
  <c r="O35" i="20" s="1"/>
  <c r="M35" i="20"/>
  <c r="R33" i="20"/>
  <c r="S33" i="20" s="1"/>
  <c r="N33" i="20"/>
  <c r="O33" i="20" s="1"/>
  <c r="M33" i="20"/>
  <c r="R31" i="20"/>
  <c r="S31" i="20" s="1"/>
  <c r="N31" i="20"/>
  <c r="O31" i="20" s="1"/>
  <c r="M31" i="20"/>
  <c r="R29" i="20"/>
  <c r="S29" i="20" s="1"/>
  <c r="N29" i="20"/>
  <c r="O29" i="20" s="1"/>
  <c r="M29" i="20"/>
  <c r="R27" i="20"/>
  <c r="S27" i="20" s="1"/>
  <c r="N27" i="20"/>
  <c r="O27" i="20" s="1"/>
  <c r="M27" i="20"/>
  <c r="R25" i="20"/>
  <c r="S25" i="20" s="1"/>
  <c r="N25" i="20"/>
  <c r="O25" i="20" s="1"/>
  <c r="M25" i="20"/>
  <c r="R23" i="20"/>
  <c r="S23" i="20" s="1"/>
  <c r="N23" i="20"/>
  <c r="O23" i="20" s="1"/>
  <c r="M23" i="20"/>
  <c r="R21" i="20"/>
  <c r="S21" i="20" s="1"/>
  <c r="N21" i="20"/>
  <c r="O21" i="20" s="1"/>
  <c r="M21" i="20"/>
  <c r="R19" i="20"/>
  <c r="S19" i="20" s="1"/>
  <c r="N19" i="20"/>
  <c r="O19" i="20" s="1"/>
  <c r="M19" i="20"/>
  <c r="A48" i="13" l="1"/>
  <c r="A49" i="13" s="1"/>
  <c r="A50" i="13" s="1"/>
  <c r="P7" i="7" l="1"/>
  <c r="P9" i="7"/>
  <c r="P27" i="7"/>
  <c r="P29" i="7"/>
  <c r="P31" i="7"/>
  <c r="P33" i="7"/>
  <c r="P35" i="7"/>
  <c r="P37" i="7"/>
  <c r="P39" i="7"/>
  <c r="P41" i="7"/>
  <c r="P43" i="7"/>
  <c r="P45" i="7"/>
  <c r="P47" i="7"/>
  <c r="P51" i="7"/>
  <c r="P53" i="7"/>
  <c r="P55" i="7"/>
  <c r="P57" i="7"/>
  <c r="P59" i="7"/>
  <c r="P61" i="7"/>
  <c r="P63" i="7"/>
  <c r="P5" i="7"/>
  <c r="M69" i="22" l="1"/>
  <c r="M70" i="22"/>
  <c r="N13" i="22" l="1"/>
  <c r="R13" i="22"/>
  <c r="N21" i="22"/>
  <c r="R21" i="22"/>
  <c r="N5" i="22"/>
  <c r="R5" i="22"/>
  <c r="N17" i="22"/>
  <c r="R17" i="22"/>
  <c r="N70" i="22"/>
  <c r="R71" i="22"/>
  <c r="N69" i="22"/>
  <c r="R69" i="22"/>
  <c r="M97" i="17" l="1"/>
  <c r="N97" i="17" s="1"/>
  <c r="M79" i="17"/>
  <c r="N79" i="17" s="1"/>
  <c r="M60" i="17"/>
  <c r="N60" i="17" s="1"/>
  <c r="M70" i="17"/>
  <c r="N70" i="17" s="1"/>
  <c r="M72" i="17"/>
  <c r="N72" i="17" s="1"/>
  <c r="M74" i="17"/>
  <c r="N74" i="17" s="1"/>
  <c r="R83" i="17" l="1"/>
  <c r="R33" i="17"/>
  <c r="R37" i="17"/>
  <c r="R45" i="17"/>
  <c r="R47" i="17"/>
  <c r="R49" i="17"/>
  <c r="M31" i="17"/>
  <c r="R31" i="17" s="1"/>
  <c r="R104" i="17"/>
  <c r="R106" i="17"/>
  <c r="R108" i="17"/>
  <c r="R102" i="17"/>
  <c r="N104" i="17"/>
  <c r="N106" i="17"/>
  <c r="N108" i="17"/>
  <c r="N102" i="17"/>
  <c r="M28" i="17"/>
  <c r="R28" i="17" s="1"/>
  <c r="M26" i="17"/>
  <c r="R26" i="17" s="1"/>
  <c r="M24" i="17"/>
  <c r="R24" i="17" s="1"/>
  <c r="M20" i="17"/>
  <c r="N20" i="17" s="1"/>
  <c r="M18" i="17"/>
  <c r="R18" i="17" s="1"/>
  <c r="M16" i="17"/>
  <c r="N16" i="17" s="1"/>
  <c r="R12" i="17"/>
  <c r="R10" i="17"/>
  <c r="N8" i="17"/>
  <c r="R99" i="17"/>
  <c r="R97" i="17"/>
  <c r="R95" i="17"/>
  <c r="R93" i="17"/>
  <c r="R91" i="17"/>
  <c r="R89" i="17"/>
  <c r="R87" i="17"/>
  <c r="R81" i="17"/>
  <c r="R79" i="17"/>
  <c r="R76" i="17"/>
  <c r="R74" i="17"/>
  <c r="R72" i="17"/>
  <c r="R70" i="17"/>
  <c r="R68" i="17"/>
  <c r="R66" i="17"/>
  <c r="R64" i="17"/>
  <c r="R62" i="17"/>
  <c r="R60" i="17"/>
  <c r="R58" i="17"/>
  <c r="R56" i="17"/>
  <c r="R35" i="17"/>
  <c r="M6" i="17"/>
  <c r="N6" i="17" s="1"/>
  <c r="R39" i="17" l="1"/>
  <c r="R41" i="17"/>
  <c r="R51" i="17"/>
  <c r="R43" i="17"/>
  <c r="R53" i="17"/>
  <c r="N31" i="17"/>
  <c r="N28" i="17"/>
  <c r="N26" i="17"/>
  <c r="N24" i="17"/>
  <c r="R22" i="17"/>
  <c r="R20" i="17"/>
  <c r="N18" i="17"/>
  <c r="R16" i="17"/>
  <c r="R14" i="17"/>
  <c r="N10" i="17"/>
  <c r="R8" i="17"/>
  <c r="R6" i="17"/>
</calcChain>
</file>

<file path=xl/comments1.xml><?xml version="1.0" encoding="utf-8"?>
<comments xmlns="http://schemas.openxmlformats.org/spreadsheetml/2006/main">
  <authors>
    <author>정지웅</author>
    <author>오은석</author>
  </authors>
  <commentList>
    <comment ref="D1" authorId="0" shapeId="0">
      <text>
        <r>
          <rPr>
            <b/>
            <sz val="9"/>
            <color indexed="81"/>
            <rFont val="돋움"/>
            <family val="3"/>
            <charset val="129"/>
          </rPr>
          <t>정지웅</t>
        </r>
        <r>
          <rPr>
            <b/>
            <sz val="9"/>
            <color indexed="81"/>
            <rFont val="Tahoma"/>
            <family val="2"/>
          </rPr>
          <t>:</t>
        </r>
        <r>
          <rPr>
            <sz val="9"/>
            <color indexed="81"/>
            <rFont val="Tahoma"/>
            <family val="2"/>
          </rPr>
          <t xml:space="preserve">
</t>
        </r>
        <r>
          <rPr>
            <sz val="9"/>
            <color indexed="81"/>
            <rFont val="돋움"/>
            <family val="3"/>
            <charset val="129"/>
          </rPr>
          <t>리셋</t>
        </r>
        <r>
          <rPr>
            <sz val="9"/>
            <color indexed="81"/>
            <rFont val="Tahoma"/>
            <family val="2"/>
          </rPr>
          <t xml:space="preserve"> </t>
        </r>
        <r>
          <rPr>
            <sz val="9"/>
            <color indexed="81"/>
            <rFont val="돋움"/>
            <family val="3"/>
            <charset val="129"/>
          </rPr>
          <t>시점에만</t>
        </r>
        <r>
          <rPr>
            <sz val="9"/>
            <color indexed="81"/>
            <rFont val="Tahoma"/>
            <family val="2"/>
          </rPr>
          <t xml:space="preserve"> DB</t>
        </r>
        <r>
          <rPr>
            <sz val="9"/>
            <color indexed="81"/>
            <rFont val="돋움"/>
            <family val="3"/>
            <charset val="129"/>
          </rPr>
          <t>에</t>
        </r>
        <r>
          <rPr>
            <sz val="9"/>
            <color indexed="81"/>
            <rFont val="Tahoma"/>
            <family val="2"/>
          </rPr>
          <t xml:space="preserve"> </t>
        </r>
        <r>
          <rPr>
            <sz val="9"/>
            <color indexed="81"/>
            <rFont val="돋움"/>
            <family val="3"/>
            <charset val="129"/>
          </rPr>
          <t>데이터가</t>
        </r>
        <r>
          <rPr>
            <sz val="9"/>
            <color indexed="81"/>
            <rFont val="Tahoma"/>
            <family val="2"/>
          </rPr>
          <t xml:space="preserve"> </t>
        </r>
        <r>
          <rPr>
            <sz val="9"/>
            <color indexed="81"/>
            <rFont val="돋움"/>
            <family val="3"/>
            <charset val="129"/>
          </rPr>
          <t>세팅되는</t>
        </r>
        <r>
          <rPr>
            <sz val="9"/>
            <color indexed="81"/>
            <rFont val="Tahoma"/>
            <family val="2"/>
          </rPr>
          <t xml:space="preserve"> </t>
        </r>
        <r>
          <rPr>
            <sz val="9"/>
            <color indexed="81"/>
            <rFont val="돋움"/>
            <family val="3"/>
            <charset val="129"/>
          </rPr>
          <t>미션</t>
        </r>
        <r>
          <rPr>
            <sz val="9"/>
            <color indexed="81"/>
            <rFont val="Tahoma"/>
            <family val="2"/>
          </rPr>
          <t xml:space="preserve">. 
</t>
        </r>
        <r>
          <rPr>
            <sz val="9"/>
            <color indexed="81"/>
            <rFont val="돋움"/>
            <family val="3"/>
            <charset val="129"/>
          </rPr>
          <t>리셋</t>
        </r>
        <r>
          <rPr>
            <sz val="9"/>
            <color indexed="81"/>
            <rFont val="Tahoma"/>
            <family val="2"/>
          </rPr>
          <t xml:space="preserve"> </t>
        </r>
        <r>
          <rPr>
            <sz val="9"/>
            <color indexed="81"/>
            <rFont val="돋움"/>
            <family val="3"/>
            <charset val="129"/>
          </rPr>
          <t>시점에</t>
        </r>
        <r>
          <rPr>
            <sz val="9"/>
            <color indexed="81"/>
            <rFont val="Tahoma"/>
            <family val="2"/>
          </rPr>
          <t xml:space="preserve"> DB</t>
        </r>
        <r>
          <rPr>
            <sz val="9"/>
            <color indexed="81"/>
            <rFont val="돋움"/>
            <family val="3"/>
            <charset val="129"/>
          </rPr>
          <t>에</t>
        </r>
        <r>
          <rPr>
            <sz val="9"/>
            <color indexed="81"/>
            <rFont val="Tahoma"/>
            <family val="2"/>
          </rPr>
          <t xml:space="preserve"> </t>
        </r>
        <r>
          <rPr>
            <sz val="9"/>
            <color indexed="81"/>
            <rFont val="돋움"/>
            <family val="3"/>
            <charset val="129"/>
          </rPr>
          <t>세팅되지</t>
        </r>
        <r>
          <rPr>
            <sz val="9"/>
            <color indexed="81"/>
            <rFont val="Tahoma"/>
            <family val="2"/>
          </rPr>
          <t xml:space="preserve"> </t>
        </r>
        <r>
          <rPr>
            <sz val="9"/>
            <color indexed="81"/>
            <rFont val="돋움"/>
            <family val="3"/>
            <charset val="129"/>
          </rPr>
          <t>않은</t>
        </r>
        <r>
          <rPr>
            <sz val="9"/>
            <color indexed="81"/>
            <rFont val="Tahoma"/>
            <family val="2"/>
          </rPr>
          <t xml:space="preserve"> </t>
        </r>
        <r>
          <rPr>
            <sz val="9"/>
            <color indexed="81"/>
            <rFont val="돋움"/>
            <family val="3"/>
            <charset val="129"/>
          </rPr>
          <t>미션은</t>
        </r>
        <r>
          <rPr>
            <sz val="9"/>
            <color indexed="81"/>
            <rFont val="Tahoma"/>
            <family val="2"/>
          </rPr>
          <t xml:space="preserve"> </t>
        </r>
        <r>
          <rPr>
            <sz val="9"/>
            <color indexed="81"/>
            <rFont val="돋움"/>
            <family val="3"/>
            <charset val="129"/>
          </rPr>
          <t>업데이트</t>
        </r>
        <r>
          <rPr>
            <sz val="9"/>
            <color indexed="81"/>
            <rFont val="Tahoma"/>
            <family val="2"/>
          </rPr>
          <t xml:space="preserve"> </t>
        </r>
        <r>
          <rPr>
            <sz val="9"/>
            <color indexed="81"/>
            <rFont val="돋움"/>
            <family val="3"/>
            <charset val="129"/>
          </rPr>
          <t>되지</t>
        </r>
        <r>
          <rPr>
            <sz val="9"/>
            <color indexed="81"/>
            <rFont val="Tahoma"/>
            <family val="2"/>
          </rPr>
          <t xml:space="preserve"> </t>
        </r>
        <r>
          <rPr>
            <sz val="9"/>
            <color indexed="81"/>
            <rFont val="돋움"/>
            <family val="3"/>
            <charset val="129"/>
          </rPr>
          <t>않습니다</t>
        </r>
        <r>
          <rPr>
            <sz val="9"/>
            <color indexed="81"/>
            <rFont val="Tahoma"/>
            <family val="2"/>
          </rPr>
          <t>.</t>
        </r>
      </text>
    </comment>
    <comment ref="B2" authorId="1" shapeId="0">
      <text>
        <r>
          <rPr>
            <sz val="11"/>
            <color theme="1"/>
            <rFont val="맑은 고딕"/>
            <family val="2"/>
            <scheme val="minor"/>
          </rPr>
          <t>Main 메인미션
Daily 일일미션
DailyPoint 일일미션포인트
Weekly 주간미션
WeeklyPoint 주간미션포인트
Attendance 출석부
MainScenario 메인미션시나리오
Event 이벤트미션
Achievement 업적</t>
        </r>
      </text>
    </comment>
  </commentList>
</comments>
</file>

<file path=xl/comments2.xml><?xml version="1.0" encoding="utf-8"?>
<comments xmlns="http://schemas.openxmlformats.org/spreadsheetml/2006/main">
  <authors>
    <author>오은석</author>
  </authors>
  <commentList>
    <comment ref="B3"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 ref="C3" authorId="0" shapeId="0">
      <text>
        <r>
          <rPr>
            <sz val="11"/>
            <color theme="1"/>
            <rFont val="맑은 고딕"/>
            <family val="2"/>
            <scheme val="minor"/>
          </rPr>
          <t>Max 최대
DailyOnce 일일한번
Always 매번</t>
        </r>
      </text>
    </comment>
    <comment ref="D3" authorId="0" shapeId="0">
      <text>
        <r>
          <rPr>
            <sz val="11"/>
            <color theme="1"/>
            <rFont val="맑은 고딕"/>
            <family val="2"/>
            <scheme val="minor"/>
          </rPr>
          <t>Max 최대
DailyOnce 일일한번
Always 매번</t>
        </r>
      </text>
    </comment>
  </commentList>
</comments>
</file>

<file path=xl/comments3.xml><?xml version="1.0" encoding="utf-8"?>
<comments xmlns="http://schemas.openxmlformats.org/spreadsheetml/2006/main">
  <authors>
    <author>정지웅</author>
    <author>오은석</author>
  </authors>
  <commentList>
    <comment ref="D1" authorId="0" shapeId="0">
      <text>
        <r>
          <rPr>
            <b/>
            <sz val="9"/>
            <color indexed="81"/>
            <rFont val="돋움"/>
            <family val="3"/>
            <charset val="129"/>
          </rPr>
          <t>정지웅</t>
        </r>
        <r>
          <rPr>
            <b/>
            <sz val="9"/>
            <color indexed="81"/>
            <rFont val="Tahoma"/>
            <family val="2"/>
          </rPr>
          <t>:</t>
        </r>
        <r>
          <rPr>
            <sz val="9"/>
            <color indexed="81"/>
            <rFont val="Tahoma"/>
            <family val="2"/>
          </rPr>
          <t xml:space="preserve">
</t>
        </r>
        <r>
          <rPr>
            <sz val="9"/>
            <color indexed="81"/>
            <rFont val="돋움"/>
            <family val="3"/>
            <charset val="129"/>
          </rPr>
          <t>리셋</t>
        </r>
        <r>
          <rPr>
            <sz val="9"/>
            <color indexed="81"/>
            <rFont val="Tahoma"/>
            <family val="2"/>
          </rPr>
          <t xml:space="preserve"> </t>
        </r>
        <r>
          <rPr>
            <sz val="9"/>
            <color indexed="81"/>
            <rFont val="돋움"/>
            <family val="3"/>
            <charset val="129"/>
          </rPr>
          <t>시점에만</t>
        </r>
        <r>
          <rPr>
            <sz val="9"/>
            <color indexed="81"/>
            <rFont val="Tahoma"/>
            <family val="2"/>
          </rPr>
          <t xml:space="preserve"> DB</t>
        </r>
        <r>
          <rPr>
            <sz val="9"/>
            <color indexed="81"/>
            <rFont val="돋움"/>
            <family val="3"/>
            <charset val="129"/>
          </rPr>
          <t>에</t>
        </r>
        <r>
          <rPr>
            <sz val="9"/>
            <color indexed="81"/>
            <rFont val="Tahoma"/>
            <family val="2"/>
          </rPr>
          <t xml:space="preserve"> </t>
        </r>
        <r>
          <rPr>
            <sz val="9"/>
            <color indexed="81"/>
            <rFont val="돋움"/>
            <family val="3"/>
            <charset val="129"/>
          </rPr>
          <t>데이터가</t>
        </r>
        <r>
          <rPr>
            <sz val="9"/>
            <color indexed="81"/>
            <rFont val="Tahoma"/>
            <family val="2"/>
          </rPr>
          <t xml:space="preserve"> </t>
        </r>
        <r>
          <rPr>
            <sz val="9"/>
            <color indexed="81"/>
            <rFont val="돋움"/>
            <family val="3"/>
            <charset val="129"/>
          </rPr>
          <t>세팅되는</t>
        </r>
        <r>
          <rPr>
            <sz val="9"/>
            <color indexed="81"/>
            <rFont val="Tahoma"/>
            <family val="2"/>
          </rPr>
          <t xml:space="preserve"> </t>
        </r>
        <r>
          <rPr>
            <sz val="9"/>
            <color indexed="81"/>
            <rFont val="돋움"/>
            <family val="3"/>
            <charset val="129"/>
          </rPr>
          <t>미션</t>
        </r>
        <r>
          <rPr>
            <sz val="9"/>
            <color indexed="81"/>
            <rFont val="Tahoma"/>
            <family val="2"/>
          </rPr>
          <t xml:space="preserve">. 
</t>
        </r>
        <r>
          <rPr>
            <sz val="9"/>
            <color indexed="81"/>
            <rFont val="돋움"/>
            <family val="3"/>
            <charset val="129"/>
          </rPr>
          <t>리셋</t>
        </r>
        <r>
          <rPr>
            <sz val="9"/>
            <color indexed="81"/>
            <rFont val="Tahoma"/>
            <family val="2"/>
          </rPr>
          <t xml:space="preserve"> </t>
        </r>
        <r>
          <rPr>
            <sz val="9"/>
            <color indexed="81"/>
            <rFont val="돋움"/>
            <family val="3"/>
            <charset val="129"/>
          </rPr>
          <t>시점에</t>
        </r>
        <r>
          <rPr>
            <sz val="9"/>
            <color indexed="81"/>
            <rFont val="Tahoma"/>
            <family val="2"/>
          </rPr>
          <t xml:space="preserve"> DB</t>
        </r>
        <r>
          <rPr>
            <sz val="9"/>
            <color indexed="81"/>
            <rFont val="돋움"/>
            <family val="3"/>
            <charset val="129"/>
          </rPr>
          <t>에</t>
        </r>
        <r>
          <rPr>
            <sz val="9"/>
            <color indexed="81"/>
            <rFont val="Tahoma"/>
            <family val="2"/>
          </rPr>
          <t xml:space="preserve"> </t>
        </r>
        <r>
          <rPr>
            <sz val="9"/>
            <color indexed="81"/>
            <rFont val="돋움"/>
            <family val="3"/>
            <charset val="129"/>
          </rPr>
          <t>세팅되지</t>
        </r>
        <r>
          <rPr>
            <sz val="9"/>
            <color indexed="81"/>
            <rFont val="Tahoma"/>
            <family val="2"/>
          </rPr>
          <t xml:space="preserve"> </t>
        </r>
        <r>
          <rPr>
            <sz val="9"/>
            <color indexed="81"/>
            <rFont val="돋움"/>
            <family val="3"/>
            <charset val="129"/>
          </rPr>
          <t>않은</t>
        </r>
        <r>
          <rPr>
            <sz val="9"/>
            <color indexed="81"/>
            <rFont val="Tahoma"/>
            <family val="2"/>
          </rPr>
          <t xml:space="preserve"> </t>
        </r>
        <r>
          <rPr>
            <sz val="9"/>
            <color indexed="81"/>
            <rFont val="돋움"/>
            <family val="3"/>
            <charset val="129"/>
          </rPr>
          <t>미션은</t>
        </r>
        <r>
          <rPr>
            <sz val="9"/>
            <color indexed="81"/>
            <rFont val="Tahoma"/>
            <family val="2"/>
          </rPr>
          <t xml:space="preserve"> </t>
        </r>
        <r>
          <rPr>
            <sz val="9"/>
            <color indexed="81"/>
            <rFont val="돋움"/>
            <family val="3"/>
            <charset val="129"/>
          </rPr>
          <t>업데이트</t>
        </r>
        <r>
          <rPr>
            <sz val="9"/>
            <color indexed="81"/>
            <rFont val="Tahoma"/>
            <family val="2"/>
          </rPr>
          <t xml:space="preserve"> </t>
        </r>
        <r>
          <rPr>
            <sz val="9"/>
            <color indexed="81"/>
            <rFont val="돋움"/>
            <family val="3"/>
            <charset val="129"/>
          </rPr>
          <t>되지</t>
        </r>
        <r>
          <rPr>
            <sz val="9"/>
            <color indexed="81"/>
            <rFont val="Tahoma"/>
            <family val="2"/>
          </rPr>
          <t xml:space="preserve"> </t>
        </r>
        <r>
          <rPr>
            <sz val="9"/>
            <color indexed="81"/>
            <rFont val="돋움"/>
            <family val="3"/>
            <charset val="129"/>
          </rPr>
          <t>않습니다</t>
        </r>
        <r>
          <rPr>
            <sz val="9"/>
            <color indexed="81"/>
            <rFont val="Tahoma"/>
            <family val="2"/>
          </rPr>
          <t>.</t>
        </r>
      </text>
    </comment>
    <comment ref="B2" authorId="1" shapeId="0">
      <text>
        <r>
          <rPr>
            <sz val="11"/>
            <color theme="1"/>
            <rFont val="맑은 고딕"/>
            <family val="2"/>
            <scheme val="minor"/>
          </rPr>
          <t>Main 메인미션
Daily 일일미션
DailyPoint 일일미션포인트
Weekly 주간미션
WeeklyPoint 주간미션포인트
Attendance 출석부
MainScenario 메인미션시나리오
Event 이벤트미션
Achievement 업적</t>
        </r>
      </text>
    </comment>
  </commentList>
</comments>
</file>

<file path=xl/comments4.xml><?xml version="1.0" encoding="utf-8"?>
<comments xmlns="http://schemas.openxmlformats.org/spreadsheetml/2006/main">
  <authors>
    <author>오은석</author>
  </authors>
  <commentList>
    <comment ref="L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comments5.xml><?xml version="1.0" encoding="utf-8"?>
<comments xmlns="http://schemas.openxmlformats.org/spreadsheetml/2006/main">
  <authors>
    <author>오은석</author>
  </authors>
  <commentList>
    <comment ref="L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comments6.xml><?xml version="1.0" encoding="utf-8"?>
<comments xmlns="http://schemas.openxmlformats.org/spreadsheetml/2006/main">
  <authors>
    <author>오은석</author>
  </authors>
  <commentList>
    <comment ref="L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comments7.xml><?xml version="1.0" encoding="utf-8"?>
<comments xmlns="http://schemas.openxmlformats.org/spreadsheetml/2006/main">
  <authors>
    <author>오은석</author>
  </authors>
  <commentList>
    <comment ref="L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comments8.xml><?xml version="1.0" encoding="utf-8"?>
<comments xmlns="http://schemas.openxmlformats.org/spreadsheetml/2006/main">
  <authors>
    <author>오은석</author>
  </authors>
  <commentList>
    <comment ref="L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comments9.xml><?xml version="1.0" encoding="utf-8"?>
<comments xmlns="http://schemas.openxmlformats.org/spreadsheetml/2006/main">
  <authors>
    <author>오은석</author>
  </authors>
  <commentList>
    <comment ref="L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comments10.xml><?xml version="1.0" encoding="utf-8"?>
<comments xmlns="http://schemas.openxmlformats.org/spreadsheetml/2006/main">
  <authors>
    <author>오은석</author>
  </authors>
  <commentList>
    <comment ref="L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comments11.xml><?xml version="1.0" encoding="utf-8"?>
<comments xmlns="http://schemas.openxmlformats.org/spreadsheetml/2006/main">
  <authors>
    <author>오은석</author>
  </authors>
  <commentList>
    <comment ref="L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comments12.xml><?xml version="1.0" encoding="utf-8"?>
<comments xmlns="http://schemas.openxmlformats.org/spreadsheetml/2006/main">
  <authors>
    <author>오은석</author>
  </authors>
  <commentList>
    <comment ref="L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comments13.xml><?xml version="1.0" encoding="utf-8"?>
<comments xmlns="http://schemas.openxmlformats.org/spreadsheetml/2006/main">
  <authors>
    <author>오은석</author>
  </authors>
  <commentList>
    <comment ref="M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comments14.xml><?xml version="1.0" encoding="utf-8"?>
<comments xmlns="http://schemas.openxmlformats.org/spreadsheetml/2006/main">
  <authors>
    <author>오은석</author>
  </authors>
  <commentList>
    <comment ref="L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comments15.xml><?xml version="1.0" encoding="utf-8"?>
<comments xmlns="http://schemas.openxmlformats.org/spreadsheetml/2006/main">
  <authors>
    <author>오은석</author>
  </authors>
  <commentList>
    <comment ref="L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comments16.xml><?xml version="1.0" encoding="utf-8"?>
<comments xmlns="http://schemas.openxmlformats.org/spreadsheetml/2006/main">
  <authors>
    <author>오은석</author>
  </authors>
  <commentList>
    <comment ref="M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comments17.xml><?xml version="1.0" encoding="utf-8"?>
<comments xmlns="http://schemas.openxmlformats.org/spreadsheetml/2006/main">
  <authors>
    <author>오은석</author>
  </authors>
  <commentList>
    <comment ref="L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comments18.xml><?xml version="1.0" encoding="utf-8"?>
<comments xmlns="http://schemas.openxmlformats.org/spreadsheetml/2006/main">
  <authors>
    <author>오은석</author>
  </authors>
  <commentList>
    <comment ref="L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comments19.xml><?xml version="1.0" encoding="utf-8"?>
<comments xmlns="http://schemas.openxmlformats.org/spreadsheetml/2006/main">
  <authors>
    <author>오은석</author>
  </authors>
  <commentList>
    <comment ref="L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comments20.xml><?xml version="1.0" encoding="utf-8"?>
<comments xmlns="http://schemas.openxmlformats.org/spreadsheetml/2006/main">
  <authors>
    <author>오은석</author>
  </authors>
  <commentList>
    <comment ref="M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comments21.xml><?xml version="1.0" encoding="utf-8"?>
<comments xmlns="http://schemas.openxmlformats.org/spreadsheetml/2006/main">
  <authors>
    <author>오은석</author>
  </authors>
  <commentList>
    <comment ref="L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comments22.xml><?xml version="1.0" encoding="utf-8"?>
<comments xmlns="http://schemas.openxmlformats.org/spreadsheetml/2006/main">
  <authors>
    <author>오은석</author>
  </authors>
  <commentList>
    <comment ref="M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comments23.xml><?xml version="1.0" encoding="utf-8"?>
<comments xmlns="http://schemas.openxmlformats.org/spreadsheetml/2006/main">
  <authors>
    <author>오은석</author>
  </authors>
  <commentList>
    <comment ref="M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comments24.xml><?xml version="1.0" encoding="utf-8"?>
<comments xmlns="http://schemas.openxmlformats.org/spreadsheetml/2006/main">
  <authors>
    <author>오은석</author>
  </authors>
  <commentList>
    <comment ref="M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comments25.xml><?xml version="1.0" encoding="utf-8"?>
<comments xmlns="http://schemas.openxmlformats.org/spreadsheetml/2006/main">
  <authors>
    <author>오은석</author>
  </authors>
  <commentList>
    <comment ref="L2" authorId="0" shapeId="0">
      <text>
        <r>
          <rPr>
            <sz val="11"/>
            <color theme="1"/>
            <rFont val="맑은 고딕"/>
            <family val="2"/>
            <scheme val="minor"/>
          </rPr>
          <t>Login 누적로그인
ChapterClear 챕터클리어
StageClear 스테이지클리어
StagePlay 스테이지플레이
AccumulateStageClear 누적스테이지클리어
ItemEquip 장비장착
SkillLvUp 캐릭터스킬레벨업
Chatting 채팅하기
FriendAdd 친구추가
PetExplore 오퍼탐험
PetGet 오퍼포획
PetSell 오퍼방생
AcountLv 계정레벨
CharacterLv 캐릭터레벨
DailyMissionPoint 일일미션포인트
WeeklyMissionPoint 주간미션포인트
CharacterExpUp 전투원경험치강화
EnemyKill 적처치
ShopPurchase 상점구매
Supply 보급
HologramExpUp 홀로그램강화
CharacterPossess 전투원보유</t>
        </r>
      </text>
    </comment>
  </commentList>
</comments>
</file>

<file path=xl/sharedStrings.xml><?xml version="1.0" encoding="utf-8"?>
<sst xmlns="http://schemas.openxmlformats.org/spreadsheetml/2006/main" count="17338" uniqueCount="3907">
  <si>
    <t>Id</t>
  </si>
  <si>
    <t>*string</t>
  </si>
  <si>
    <t>string</t>
  </si>
  <si>
    <t>#</t>
  </si>
  <si>
    <t>client</t>
  </si>
  <si>
    <t>Weekly.Mission.Desc.10</t>
  </si>
  <si>
    <t>Weekly.Mission.Desc.20</t>
  </si>
  <si>
    <t>Weekly.Mission.Desc.30</t>
  </si>
  <si>
    <t>Weekly.Mission.Desc.40</t>
  </si>
  <si>
    <t>Weekly.Mission.Desc.50</t>
  </si>
  <si>
    <t>Weekly.Mission.Desc.60</t>
  </si>
  <si>
    <t>Weekly.Mission.Desc.70</t>
  </si>
  <si>
    <t>Weekly.Mission.Desc.110</t>
  </si>
  <si>
    <t>Main.Mission.Desc.10.2</t>
  </si>
  <si>
    <t>Main.Mission.Desc.10.3</t>
  </si>
  <si>
    <t>Main.Mission.Desc.10.4</t>
  </si>
  <si>
    <t>Main.Mission.Desc.10.5</t>
  </si>
  <si>
    <t>Main.Mission.Desc.10.6</t>
  </si>
  <si>
    <t>Main.Mission.Desc.10.7</t>
  </si>
  <si>
    <t>Main.Mission.Desc.10.8</t>
  </si>
  <si>
    <t>Main.Mission.Desc.10.9</t>
  </si>
  <si>
    <t>Main.Mission.Desc.10.10</t>
  </si>
  <si>
    <t>Main.Mission.Desc.10.11</t>
  </si>
  <si>
    <t>Main.Mission.Desc.10.12</t>
  </si>
  <si>
    <t>Main.Mission.Desc.10.13</t>
  </si>
  <si>
    <t>Main.Mission.Desc.10.14</t>
  </si>
  <si>
    <t>Main.Mission.Desc.10.15</t>
  </si>
  <si>
    <t>Main.Mission.Desc.10.16</t>
  </si>
  <si>
    <t>Main.Mission.Desc.10.17</t>
  </si>
  <si>
    <t>Main.Mission.Desc.10.18</t>
  </si>
  <si>
    <t>Main.Mission.Desc.10.19</t>
  </si>
  <si>
    <t>Main.Mission.Desc.10.20</t>
  </si>
  <si>
    <t>Main.Mission.Desc.20.6.3</t>
  </si>
  <si>
    <t>Main.Mission.Desc.20.6.4</t>
  </si>
  <si>
    <t>Main.Mission.Desc.20.6.5</t>
  </si>
  <si>
    <t>Main.Mission.Desc.20.6.6</t>
  </si>
  <si>
    <t>Main.Mission.Desc.20.6.7</t>
  </si>
  <si>
    <t>Main.Mission.Desc.20.6.8</t>
  </si>
  <si>
    <t>Main.Mission.Desc.20.6.9</t>
  </si>
  <si>
    <t>Main.Mission.Desc.20.6.10</t>
  </si>
  <si>
    <t>Main.Mission.Desc.20.6.11</t>
  </si>
  <si>
    <t>Main.Mission.Desc.20.6.12</t>
  </si>
  <si>
    <t>Main.Mission.Desc.20.6.13</t>
  </si>
  <si>
    <t>Main.Mission.Desc.20.6.14</t>
  </si>
  <si>
    <t>Main.Mission.Desc.20.6.15</t>
  </si>
  <si>
    <t>Main.Mission.Desc.20.6.16</t>
  </si>
  <si>
    <t>Main.Mission.Desc.20.6.17</t>
  </si>
  <si>
    <t>Main.Mission.Desc.20.6.18</t>
  </si>
  <si>
    <t>Main.Mission.Desc.20.6.19</t>
  </si>
  <si>
    <t>Main.Mission.Desc.20.6.20</t>
  </si>
  <si>
    <t>Main.Mission.Desc.80.2</t>
  </si>
  <si>
    <t>Main.Mission.Desc.80.3</t>
  </si>
  <si>
    <t>Main.Mission.Desc.80.4</t>
  </si>
  <si>
    <t>Main.Mission.Desc.80.5</t>
  </si>
  <si>
    <t>Main.Mission.Desc.80.6</t>
  </si>
  <si>
    <t>Main.Mission.Desc.80.7</t>
  </si>
  <si>
    <t>Main.Mission.Desc.80.8</t>
  </si>
  <si>
    <t>Main.Mission.Desc.80.9</t>
  </si>
  <si>
    <t>Main.Mission.Desc.80.10</t>
  </si>
  <si>
    <t>Main.Mission.Desc.80.11</t>
  </si>
  <si>
    <t>Main.Mission.Desc.80.12</t>
  </si>
  <si>
    <t>Main.Mission.Desc.80.13</t>
  </si>
  <si>
    <t>Main.Mission.Desc.80.14</t>
  </si>
  <si>
    <t>Main.Mission.Desc.80.15</t>
  </si>
  <si>
    <t>Main.Mission.Desc.80.16</t>
  </si>
  <si>
    <t>Main.Mission.Desc.80.17</t>
  </si>
  <si>
    <t>Main.Mission.Desc.80.18</t>
  </si>
  <si>
    <t>Main.Mission.Desc.80.19</t>
  </si>
  <si>
    <t>Main.Mission.Desc.80.20</t>
  </si>
  <si>
    <t>Main.Mission.Desc.90.1</t>
  </si>
  <si>
    <t>Main.Mission.Desc.90.2</t>
  </si>
  <si>
    <t>Main.Mission.Desc.90.3</t>
  </si>
  <si>
    <t>Main.Mission.Desc.90.4</t>
  </si>
  <si>
    <t>Main.Mission.Desc.90.5</t>
  </si>
  <si>
    <t>Main.Mission.Desc.90.6</t>
  </si>
  <si>
    <t>Main.Mission.Desc.90.7</t>
  </si>
  <si>
    <t>Main.Mission.Desc.90.8</t>
  </si>
  <si>
    <t>Main.Mission.Desc.90.9</t>
  </si>
  <si>
    <t>Main.Mission.Desc.90.10</t>
  </si>
  <si>
    <t>Main.Mission.Desc.90.11</t>
  </si>
  <si>
    <t>Main.Mission.Desc.90.12</t>
  </si>
  <si>
    <t>Main.Mission.Desc.90.13</t>
  </si>
  <si>
    <t>Main.Mission.Desc.90.14</t>
  </si>
  <si>
    <t>Main.Mission.Desc.90.15</t>
  </si>
  <si>
    <t>Main.Mission.Desc.90.16</t>
  </si>
  <si>
    <t>Main.Mission.Desc.90.17</t>
  </si>
  <si>
    <t>Main.Mission.Desc.90.18</t>
  </si>
  <si>
    <t>Main.Mission.Desc.90.19</t>
  </si>
  <si>
    <t>Main.Mission.Desc.90.20</t>
  </si>
  <si>
    <t>Main.Mission.Desc.100.1</t>
  </si>
  <si>
    <t>Main.Mission.Desc.100.2</t>
  </si>
  <si>
    <t>Main.Mission.Desc.100.3</t>
  </si>
  <si>
    <t>Main.Mission.Desc.100.4</t>
  </si>
  <si>
    <t>Main.Mission.Desc.100.5</t>
  </si>
  <si>
    <t>Main.Mission.Desc.100.6</t>
  </si>
  <si>
    <t>Main.Mission.Desc.100.7</t>
  </si>
  <si>
    <t>Main.Mission.Desc.100.8</t>
  </si>
  <si>
    <t>Main.Mission.Desc.100.9</t>
  </si>
  <si>
    <t>Main.Mission.Desc.100.10</t>
  </si>
  <si>
    <t>Main.Mission.Desc.100.11</t>
  </si>
  <si>
    <t>Main.Mission.Desc.100.12</t>
  </si>
  <si>
    <t>Main.Mission.Desc.100.13</t>
  </si>
  <si>
    <t>Main.Mission.Desc.100.14</t>
  </si>
  <si>
    <t>Main.Mission.Desc.100.15</t>
  </si>
  <si>
    <t>Main.Mission.Desc.100.16</t>
  </si>
  <si>
    <t>Main.Mission.Desc.100.17</t>
  </si>
  <si>
    <t>Main.Mission.Desc.100.18</t>
  </si>
  <si>
    <t>Main.Mission.Desc.100.19</t>
  </si>
  <si>
    <t>Main.Mission.Desc.100.20</t>
  </si>
  <si>
    <t>Main.Mission.Desc.110.1</t>
  </si>
  <si>
    <t>Main.Mission.Desc.110.2</t>
  </si>
  <si>
    <t>Main.Mission.Desc.110.3</t>
  </si>
  <si>
    <t>Main.Mission.Desc.110.4</t>
  </si>
  <si>
    <t>Main.Mission.Desc.110.5</t>
  </si>
  <si>
    <t>Main.Mission.Desc.110.6</t>
  </si>
  <si>
    <t>Main.Mission.Desc.110.7</t>
  </si>
  <si>
    <t>Main.Mission.Desc.110.8</t>
  </si>
  <si>
    <t>Main.Mission.Desc.110.9</t>
  </si>
  <si>
    <t>Main.Mission.Desc.110.10</t>
  </si>
  <si>
    <t>Main.Mission.Desc.110.11</t>
  </si>
  <si>
    <t>Main.Mission.Desc.110.12</t>
  </si>
  <si>
    <t>Main.Mission.Desc.110.13</t>
  </si>
  <si>
    <t>Main.Mission.Desc.110.14</t>
  </si>
  <si>
    <t>Main.Mission.Desc.110.15</t>
  </si>
  <si>
    <t>Main.Mission.Desc.110.16</t>
  </si>
  <si>
    <t>Main.Mission.Desc.110.17</t>
  </si>
  <si>
    <t>Main.Mission.Desc.110.18</t>
  </si>
  <si>
    <t>Main.Mission.Desc.110.19</t>
  </si>
  <si>
    <t>Main.Mission.Desc.110.20</t>
  </si>
  <si>
    <t>Main.Mission.Desc.120.1</t>
  </si>
  <si>
    <t>Main.Mission.Desc.120.2</t>
  </si>
  <si>
    <t>Main.Mission.Desc.120.3</t>
  </si>
  <si>
    <t>Main.Mission.Desc.120.4</t>
  </si>
  <si>
    <t>Main.Mission.Desc.120.5</t>
  </si>
  <si>
    <t>Main.Mission.Desc.120.6</t>
  </si>
  <si>
    <t>Main.Mission.Desc.120.7</t>
  </si>
  <si>
    <t>Main.Mission.Desc.120.8</t>
  </si>
  <si>
    <t>Main.Mission.Desc.120.9</t>
  </si>
  <si>
    <t>Main.Mission.Desc.120.10</t>
  </si>
  <si>
    <t>Main.Mission.Desc.120.11</t>
  </si>
  <si>
    <t>Main.Mission.Desc.120.12</t>
  </si>
  <si>
    <t>Main.Mission.Desc.120.13</t>
  </si>
  <si>
    <t>Main.Mission.Desc.120.14</t>
  </si>
  <si>
    <t>Main.Mission.Desc.120.15</t>
  </si>
  <si>
    <t>Main.Mission.Desc.120.16</t>
  </si>
  <si>
    <t>Main.Mission.Desc.120.17</t>
  </si>
  <si>
    <t>Main.Mission.Desc.120.18</t>
  </si>
  <si>
    <t>Main.Mission.Desc.120.19</t>
  </si>
  <si>
    <t>Main.Mission.Desc.120.20</t>
  </si>
  <si>
    <t>Main.Mission.Desc.130.1</t>
  </si>
  <si>
    <t>Main.Mission.Desc.130.2</t>
  </si>
  <si>
    <t>Main.Mission.Desc.130.3</t>
  </si>
  <si>
    <t>Main.Mission.Desc.130.4</t>
  </si>
  <si>
    <t>Main.Mission.Desc.130.5</t>
  </si>
  <si>
    <t>Main.Mission.Desc.130.6</t>
  </si>
  <si>
    <t>Main.Mission.Desc.130.7</t>
  </si>
  <si>
    <t>Main.Mission.Desc.130.8</t>
  </si>
  <si>
    <t>Main.Mission.Desc.130.9</t>
  </si>
  <si>
    <t>Main.Mission.Desc.130.10</t>
  </si>
  <si>
    <t>Main.Mission.Desc.130.11</t>
  </si>
  <si>
    <t>Main.Mission.Desc.130.12</t>
  </si>
  <si>
    <t>Main.Mission.Desc.130.13</t>
  </si>
  <si>
    <t>Main.Mission.Desc.130.14</t>
  </si>
  <si>
    <t>Main.Mission.Desc.130.15</t>
  </si>
  <si>
    <t>Main.Mission.Desc.130.16</t>
  </si>
  <si>
    <t>Main.Mission.Desc.130.17</t>
  </si>
  <si>
    <t>Main.Mission.Desc.130.18</t>
  </si>
  <si>
    <t>Main.Mission.Desc.130.19</t>
  </si>
  <si>
    <t>Main.Mission.Desc.130.20</t>
  </si>
  <si>
    <t>Main.Mission.Desc.140.1</t>
  </si>
  <si>
    <t>Main.Mission.Desc.140.2</t>
  </si>
  <si>
    <t>Main.Mission.Desc.140.3</t>
  </si>
  <si>
    <t>Main.Mission.Desc.140.4</t>
  </si>
  <si>
    <t>Main.Mission.Desc.140.5</t>
  </si>
  <si>
    <t>Main.Mission.Desc.140.6</t>
  </si>
  <si>
    <t>Main.Mission.Desc.140.7</t>
  </si>
  <si>
    <t>Main.Mission.Desc.140.8</t>
  </si>
  <si>
    <t>Main.Mission.Desc.140.9</t>
  </si>
  <si>
    <t>Main.Mission.Desc.140.10</t>
  </si>
  <si>
    <t>Main.Mission.Desc.140.11</t>
  </si>
  <si>
    <t>Main.Mission.Desc.140.12</t>
  </si>
  <si>
    <t>Main.Mission.Desc.140.13</t>
  </si>
  <si>
    <t>Main.Mission.Desc.140.14</t>
  </si>
  <si>
    <t>Main.Mission.Desc.140.15</t>
  </si>
  <si>
    <t>Main.Mission.Desc.140.16</t>
  </si>
  <si>
    <t>Main.Mission.Desc.140.17</t>
  </si>
  <si>
    <t>Main.Mission.Desc.140.18</t>
  </si>
  <si>
    <t>Main.Mission.Desc.140.19</t>
  </si>
  <si>
    <t>Main.Mission.Desc.140.20</t>
  </si>
  <si>
    <t>Main.Mission.Desc.150.1</t>
  </si>
  <si>
    <t>Main.Mission.Desc.150.2</t>
  </si>
  <si>
    <t>Main.Mission.Desc.150.3</t>
  </si>
  <si>
    <t>Main.Mission.Desc.150.4</t>
  </si>
  <si>
    <t>Main.Mission.Desc.150.5</t>
  </si>
  <si>
    <t>Main.Mission.Desc.150.6</t>
  </si>
  <si>
    <t>Main.Mission.Desc.150.7</t>
  </si>
  <si>
    <t>Main.Mission.Desc.150.8</t>
  </si>
  <si>
    <t>Main.Mission.Desc.150.9</t>
  </si>
  <si>
    <t>Main.Mission.Desc.150.10</t>
  </si>
  <si>
    <t>Main.Mission.Desc.150.11</t>
  </si>
  <si>
    <t>Main.Mission.Desc.150.12</t>
  </si>
  <si>
    <t>Main.Mission.Desc.150.13</t>
  </si>
  <si>
    <t>Main.Mission.Desc.150.14</t>
  </si>
  <si>
    <t>Main.Mission.Desc.150.15</t>
  </si>
  <si>
    <t>Main.Mission.Desc.150.16</t>
  </si>
  <si>
    <t>Main.Mission.Desc.150.17</t>
  </si>
  <si>
    <t>Main.Mission.Desc.150.18</t>
  </si>
  <si>
    <t>Main.Mission.Desc.150.19</t>
  </si>
  <si>
    <t>Main.Mission.Desc.150.20</t>
  </si>
  <si>
    <t>Main.Mission.Desc.160.1</t>
  </si>
  <si>
    <t>Main.Mission.Desc.160.2</t>
  </si>
  <si>
    <t>Main.Mission.Desc.160.3</t>
  </si>
  <si>
    <t>Main.Mission.Desc.160.4</t>
  </si>
  <si>
    <t>Main.Mission.Desc.160.5</t>
  </si>
  <si>
    <t>Main.Mission.Desc.160.6</t>
  </si>
  <si>
    <t>Main.Mission.Desc.160.7</t>
  </si>
  <si>
    <t>Main.Mission.Desc.160.8</t>
  </si>
  <si>
    <t>Main.Mission.Desc.160.9</t>
  </si>
  <si>
    <t>Main.Mission.Desc.160.10</t>
  </si>
  <si>
    <t>Main.Mission.Desc.160.11</t>
  </si>
  <si>
    <t>Main.Mission.Desc.160.12</t>
  </si>
  <si>
    <t>Main.Mission.Desc.160.13</t>
  </si>
  <si>
    <t>Main.Mission.Desc.160.14</t>
  </si>
  <si>
    <t>Main.Mission.Desc.160.15</t>
  </si>
  <si>
    <t>Main.Mission.Desc.160.16</t>
  </si>
  <si>
    <t>Main.Mission.Desc.160.17</t>
  </si>
  <si>
    <t>Main.Mission.Desc.160.18</t>
  </si>
  <si>
    <t>Main.Mission.Desc.160.19</t>
  </si>
  <si>
    <t>Main.Mission.Desc.160.20</t>
  </si>
  <si>
    <t>Main.Mission.Desc.170.1</t>
  </si>
  <si>
    <t>Main.Mission.Desc.170.2</t>
  </si>
  <si>
    <t>Main.Mission.Desc.170.3</t>
  </si>
  <si>
    <t>Main.Mission.Desc.170.4</t>
  </si>
  <si>
    <t>Main.Mission.Desc.170.5</t>
  </si>
  <si>
    <t>Main.Mission.Desc.170.6</t>
  </si>
  <si>
    <t>Main.Mission.Desc.170.7</t>
  </si>
  <si>
    <t>Main.Mission.Desc.170.8</t>
  </si>
  <si>
    <t>Main.Mission.Desc.170.9</t>
  </si>
  <si>
    <t>Main.Mission.Desc.170.10</t>
  </si>
  <si>
    <t>Main.Mission.Desc.170.11</t>
  </si>
  <si>
    <t>Main.Mission.Desc.170.12</t>
  </si>
  <si>
    <t>Main.Mission.Desc.170.13</t>
  </si>
  <si>
    <t>Main.Mission.Desc.170.14</t>
  </si>
  <si>
    <t>Main.Mission.Desc.170.15</t>
  </si>
  <si>
    <t>Main.Mission.Desc.170.16</t>
  </si>
  <si>
    <t>Main.Mission.Desc.170.17</t>
  </si>
  <si>
    <t>Main.Mission.Desc.170.18</t>
  </si>
  <si>
    <t>Main.Mission.Desc.170.19</t>
  </si>
  <si>
    <t>Main.Mission.Desc.170.20</t>
  </si>
  <si>
    <t>Main.Mission.Desc.180.1</t>
  </si>
  <si>
    <t>Main.Mission.Desc.180.2</t>
  </si>
  <si>
    <t>Main.Mission.Desc.180.3</t>
  </si>
  <si>
    <t>Main.Mission.Desc.180.4</t>
  </si>
  <si>
    <t>Main.Mission.Desc.180.5</t>
  </si>
  <si>
    <t>Main.Mission.Desc.180.6</t>
  </si>
  <si>
    <t>Main.Mission.Desc.180.7</t>
  </si>
  <si>
    <t>Main.Mission.Desc.180.8</t>
  </si>
  <si>
    <t>Main.Mission.Desc.180.9</t>
  </si>
  <si>
    <t>Main.Mission.Desc.180.10</t>
  </si>
  <si>
    <t>Main.Mission.Desc.180.11</t>
  </si>
  <si>
    <t>Main.Mission.Desc.180.12</t>
  </si>
  <si>
    <t>Main.Mission.Desc.180.13</t>
  </si>
  <si>
    <t>Main.Mission.Desc.180.14</t>
  </si>
  <si>
    <t>Main.Mission.Desc.180.15</t>
  </si>
  <si>
    <t>Main.Mission.Desc.180.16</t>
  </si>
  <si>
    <t>Main.Mission.Desc.180.17</t>
  </si>
  <si>
    <t>Main.Mission.Desc.180.18</t>
  </si>
  <si>
    <t>Main.Mission.Desc.180.19</t>
  </si>
  <si>
    <t>Main.Mission.Desc.180.20</t>
  </si>
  <si>
    <t>MSG.Mission.Desc.Get.Plugin</t>
  </si>
  <si>
    <t>7Days.Mission.Desc.1.1</t>
  </si>
  <si>
    <t>7Days.Mission.Desc.1.3</t>
  </si>
  <si>
    <t>7Days.Mission.Desc.2.1</t>
  </si>
  <si>
    <t>7Days.Mission.Desc.2.2</t>
  </si>
  <si>
    <t>7Days.Mission.Desc.2.5</t>
  </si>
  <si>
    <t>7Days.Mission.Desc.3.1</t>
  </si>
  <si>
    <t>7Days.Mission.Desc.3.3</t>
  </si>
  <si>
    <t>7Days.Mission.Desc.3.4</t>
  </si>
  <si>
    <t>7Days.Mission.Desc.4.3</t>
  </si>
  <si>
    <t>7Days.Mission.Desc.5.1</t>
  </si>
  <si>
    <t>7Days.Mission.Desc.5.5</t>
  </si>
  <si>
    <t>7Days.Mission.Desc.6.1</t>
  </si>
  <si>
    <t>7Days.Mission.Desc.6.3</t>
  </si>
  <si>
    <t>7Days.Mission.Desc.7.2</t>
  </si>
  <si>
    <t>7Days.Mission.Desc.7.3</t>
  </si>
  <si>
    <t>7Days.Mission.Desc.7.4</t>
  </si>
  <si>
    <t>Record.Mission.Newbie.Desc.10.1</t>
  </si>
  <si>
    <t>Record.Mission.Newbie.Desc.10.2</t>
  </si>
  <si>
    <t>Record.Mission.Newbie.Desc.10.3</t>
  </si>
  <si>
    <t>Record.Mission.Newbie.Desc.10.4</t>
  </si>
  <si>
    <t>Record.Mission.Newbie.Desc.50.1</t>
  </si>
  <si>
    <t>Record.Mission.Newbie.Desc.50.2</t>
  </si>
  <si>
    <t>Record.Mission.Newbie.Desc.70.1</t>
  </si>
  <si>
    <t>Record.Mission.Newbie.Desc.70.2</t>
  </si>
  <si>
    <t>Record.Mission.Newbie.Desc.70.3</t>
  </si>
  <si>
    <t>Record.Mission.Newbie.Desc.130.1</t>
  </si>
  <si>
    <t>Record.Mission.Newbie.Desc.130.2</t>
  </si>
  <si>
    <t>Record.Mission.Newbie.Desc.130.3</t>
  </si>
  <si>
    <t>Record.Mission.Newbie.Desc.130.4</t>
  </si>
  <si>
    <t>Mission.Group.Name.Achievement</t>
  </si>
  <si>
    <t>이벤트미션1</t>
  </si>
  <si>
    <t>이벤트미션2</t>
  </si>
  <si>
    <t>이벤트미션3</t>
  </si>
  <si>
    <t>Mission.Group.Name.Event.Popup.1</t>
  </si>
  <si>
    <t>Group</t>
  </si>
  <si>
    <t>#주석</t>
  </si>
  <si>
    <t>Category</t>
  </si>
  <si>
    <t>NoticeProgress</t>
  </si>
  <si>
    <t>NoticeComplete</t>
  </si>
  <si>
    <t>Step</t>
  </si>
  <si>
    <t>Name</t>
  </si>
  <si>
    <t>Desc</t>
  </si>
  <si>
    <t>Continuous</t>
  </si>
  <si>
    <t>MissionGoal</t>
  </si>
  <si>
    <t>GoalTarget</t>
  </si>
  <si>
    <t>GoalCount</t>
  </si>
  <si>
    <t>Reward</t>
  </si>
  <si>
    <t>QuickMove</t>
  </si>
  <si>
    <t>*long</t>
  </si>
  <si>
    <t>$MissionCategory</t>
  </si>
  <si>
    <t>[dsl]</t>
  </si>
  <si>
    <t>bool</t>
  </si>
  <si>
    <t>int</t>
  </si>
  <si>
    <t>$Text</t>
  </si>
  <si>
    <t>MissionChainingType</t>
  </si>
  <si>
    <t>StatisticsType</t>
  </si>
  <si>
    <t>{MissionGoalTargetType : string}</t>
  </si>
  <si>
    <t>$QuickMove?</t>
  </si>
  <si>
    <t>common</t>
  </si>
  <si>
    <t>server</t>
  </si>
  <si>
    <t>2200000000000</t>
  </si>
  <si>
    <t>Always()</t>
  </si>
  <si>
    <t>1</t>
  </si>
  <si>
    <t>Daily.Mission.10</t>
  </si>
  <si>
    <t>Equal</t>
  </si>
  <si>
    <t>StagePlay</t>
  </si>
  <si>
    <t>ContentsType : Scenario</t>
  </si>
  <si>
    <t>QuickMove.MainBattle</t>
  </si>
  <si>
    <t>2101000000001</t>
  </si>
  <si>
    <t>Daily.Mission.20</t>
  </si>
  <si>
    <t>ContentsType : DataTower</t>
  </si>
  <si>
    <t>QuickMove0380</t>
  </si>
  <si>
    <t>Daily.Mission.40</t>
  </si>
  <si>
    <t>IdleBattleReward</t>
  </si>
  <si>
    <t>Daily.Mission.50</t>
  </si>
  <si>
    <t>Daily.Mission.60</t>
  </si>
  <si>
    <t>ContentsType : Raid</t>
  </si>
  <si>
    <t>QuickMove0160</t>
  </si>
  <si>
    <t>Daily.Mission.70</t>
  </si>
  <si>
    <t>ArenaPlay</t>
  </si>
  <si>
    <t>ArenaType : Normal</t>
  </si>
  <si>
    <t>QuickMove0180</t>
  </si>
  <si>
    <t>ArenaType : Team</t>
  </si>
  <si>
    <t>Daily.Mission.90</t>
  </si>
  <si>
    <t>ContentsType : GuildOperation</t>
  </si>
  <si>
    <t>QuickMove0400</t>
  </si>
  <si>
    <t>Daily.Mission.100</t>
  </si>
  <si>
    <t>RewardCurrency</t>
  </si>
  <si>
    <t>ItemId:1040201001</t>
  </si>
  <si>
    <t>QuickMove0310</t>
  </si>
  <si>
    <t>Daily.Mission.120</t>
  </si>
  <si>
    <t>CharacterLvUp</t>
  </si>
  <si>
    <t>QuickMove0250</t>
  </si>
  <si>
    <t>Daily.Mission.130</t>
  </si>
  <si>
    <t>TryEquipmentEnhance</t>
  </si>
  <si>
    <t>QuickMove0170</t>
  </si>
  <si>
    <t>MissionPoint</t>
  </si>
  <si>
    <t>MissionPointType : Daily</t>
  </si>
  <si>
    <t>2200000000002</t>
  </si>
  <si>
    <t>Weekly.Mission.10</t>
  </si>
  <si>
    <t>TryGacha</t>
  </si>
  <si>
    <t>GachaGroup : Character</t>
  </si>
  <si>
    <t>QuickMove.Gacha.Character</t>
  </si>
  <si>
    <t>Weekly.Mission.20</t>
  </si>
  <si>
    <t>GachaGroup : Plugin</t>
  </si>
  <si>
    <t>QuickMove.Gacha</t>
  </si>
  <si>
    <t>Weekly.Mission.30</t>
  </si>
  <si>
    <t>CharacterGradeUp</t>
  </si>
  <si>
    <t>Weekly.Mission.40</t>
  </si>
  <si>
    <t>ShopPurchase</t>
  </si>
  <si>
    <t>QuickMove.Starbeat.Shop</t>
  </si>
  <si>
    <t>Weekly.Mission.50</t>
  </si>
  <si>
    <t>QuickMove.Guild.Shop</t>
  </si>
  <si>
    <t>Weekly.Mission.60</t>
  </si>
  <si>
    <t>ArenaVictory</t>
  </si>
  <si>
    <t>QuickMove.Arena</t>
  </si>
  <si>
    <t>Weekly.Mission.70</t>
  </si>
  <si>
    <t>GuildDonation</t>
  </si>
  <si>
    <t>QuickMove.GuildSupport</t>
  </si>
  <si>
    <t>QuickMove.TeamArena</t>
  </si>
  <si>
    <t>ContentsType : WorldRaid</t>
  </si>
  <si>
    <t>QuickMove.WorldRaid</t>
  </si>
  <si>
    <t>Dispatch</t>
  </si>
  <si>
    <t>QuickMove.Dispatch.Fuction</t>
  </si>
  <si>
    <t>GetPlugin</t>
  </si>
  <si>
    <t>MissionPointType : Weekly</t>
  </si>
  <si>
    <t>2102000000000</t>
  </si>
  <si>
    <t>2200000000005</t>
  </si>
  <si>
    <t>Main.Mission.10</t>
  </si>
  <si>
    <t>AcountLv</t>
  </si>
  <si>
    <t>Item(1040102001, 50)</t>
  </si>
  <si>
    <t>2</t>
  </si>
  <si>
    <t>3</t>
  </si>
  <si>
    <t>Item(1040102001, 100)</t>
  </si>
  <si>
    <t>4</t>
  </si>
  <si>
    <t>5</t>
  </si>
  <si>
    <t>Item(1040102001, 150)</t>
  </si>
  <si>
    <t>6</t>
  </si>
  <si>
    <t>7</t>
  </si>
  <si>
    <t>8</t>
  </si>
  <si>
    <t>9</t>
  </si>
  <si>
    <t>10</t>
  </si>
  <si>
    <t>11</t>
  </si>
  <si>
    <t>12</t>
  </si>
  <si>
    <t>13</t>
  </si>
  <si>
    <t>14</t>
  </si>
  <si>
    <t>15</t>
  </si>
  <si>
    <t>Item(1040102001, 200)</t>
  </si>
  <si>
    <t>16</t>
  </si>
  <si>
    <t>17</t>
  </si>
  <si>
    <t>18</t>
  </si>
  <si>
    <t>19</t>
  </si>
  <si>
    <t>20</t>
  </si>
  <si>
    <t>2102000000001</t>
  </si>
  <si>
    <t>Main.Mission.20.6</t>
  </si>
  <si>
    <t>StageClear</t>
  </si>
  <si>
    <t>2102000000002</t>
  </si>
  <si>
    <t>MaxStageClear</t>
  </si>
  <si>
    <t>QuickMove.DataTower</t>
  </si>
  <si>
    <t>Never()</t>
  </si>
  <si>
    <t>Main.Mission.80</t>
  </si>
  <si>
    <t>QuickMove.Raid</t>
  </si>
  <si>
    <t>Main.Mission.90</t>
  </si>
  <si>
    <t>Main.Mission.100</t>
  </si>
  <si>
    <t>Main.Mission.110</t>
  </si>
  <si>
    <t>Main.Mission.120</t>
  </si>
  <si>
    <t>Main.Mission.130</t>
  </si>
  <si>
    <t>QuickMove.GuildOperation</t>
  </si>
  <si>
    <t>Main.Mission.140</t>
  </si>
  <si>
    <t>ItemId:1040101001</t>
  </si>
  <si>
    <t>Main.Mission.150</t>
  </si>
  <si>
    <t>QuickMove.Friend</t>
  </si>
  <si>
    <t>Main.Mission.160</t>
  </si>
  <si>
    <t>QuickMove.Academy.Fuction</t>
  </si>
  <si>
    <t>Main.Mission.170</t>
  </si>
  <si>
    <t>Main.Mission.180</t>
  </si>
  <si>
    <t>2103000000000</t>
  </si>
  <si>
    <t>2200000000004</t>
  </si>
  <si>
    <t>MSG.Mission.Name.Get.Plugin</t>
  </si>
  <si>
    <t>QuickMove0110</t>
  </si>
  <si>
    <t>2103000000001</t>
  </si>
  <si>
    <t>2103000000002</t>
  </si>
  <si>
    <t>2103000000003</t>
  </si>
  <si>
    <t>2103000000004</t>
  </si>
  <si>
    <t>2103000000005</t>
  </si>
  <si>
    <t>2103000000006</t>
  </si>
  <si>
    <t>2103000000007</t>
  </si>
  <si>
    <t>2103000000008</t>
  </si>
  <si>
    <t>2103000000009</t>
  </si>
  <si>
    <t>2103000000010</t>
  </si>
  <si>
    <t>2103000000011</t>
  </si>
  <si>
    <t>2103000000012</t>
  </si>
  <si>
    <t>2103000000013</t>
  </si>
  <si>
    <t>2103000000014</t>
  </si>
  <si>
    <t>2103000000015</t>
  </si>
  <si>
    <t>2103000000016</t>
  </si>
  <si>
    <t>2103000000017</t>
  </si>
  <si>
    <t>2103000000018</t>
  </si>
  <si>
    <t>2103000000019</t>
  </si>
  <si>
    <t>2103000000020</t>
  </si>
  <si>
    <t>2103000000021</t>
  </si>
  <si>
    <t>2103000000022</t>
  </si>
  <si>
    <t>2103000000023</t>
  </si>
  <si>
    <t>2103000000024</t>
  </si>
  <si>
    <t>2103000000025</t>
  </si>
  <si>
    <t>2103000000026</t>
  </si>
  <si>
    <t>2103000000027</t>
  </si>
  <si>
    <t>2103000000028</t>
  </si>
  <si>
    <t>2103000000029</t>
  </si>
  <si>
    <t>2103000000030</t>
  </si>
  <si>
    <t>2103000000031</t>
  </si>
  <si>
    <t>2103000000032</t>
  </si>
  <si>
    <t>2103000000033</t>
  </si>
  <si>
    <t>2103000000034</t>
  </si>
  <si>
    <t>2103000000035</t>
  </si>
  <si>
    <t>2103000000036</t>
  </si>
  <si>
    <t>2103000000037</t>
  </si>
  <si>
    <t>2103000000038</t>
  </si>
  <si>
    <t>QuickMove0010</t>
  </si>
  <si>
    <t>2200000000009</t>
  </si>
  <si>
    <t>CharacterLevelReached</t>
  </si>
  <si>
    <t>Level : 3</t>
  </si>
  <si>
    <t>2105000000001</t>
  </si>
  <si>
    <t>Mission.Guide.Title.002</t>
  </si>
  <si>
    <t>Mission.Guide.Desc.002</t>
  </si>
  <si>
    <t>CharacterPossess</t>
  </si>
  <si>
    <t>Item(1040102001, 30)</t>
  </si>
  <si>
    <t>Mission.Guide.Title.003</t>
  </si>
  <si>
    <t>Mission.Guide.Desc.003</t>
  </si>
  <si>
    <t>TutorialClear</t>
  </si>
  <si>
    <t>Item(1040101001, 2000)</t>
  </si>
  <si>
    <t>QuickMove0350</t>
  </si>
  <si>
    <t>StageId : 스테이지7</t>
  </si>
  <si>
    <t>Item(1040302001, 2000)</t>
  </si>
  <si>
    <t>Mission.Guide.Desc.008</t>
  </si>
  <si>
    <t>Mission.Guide.Title.009</t>
  </si>
  <si>
    <t>Mission.Guide.Desc.009</t>
  </si>
  <si>
    <t>Level : 5</t>
  </si>
  <si>
    <t>SkillLvUp</t>
  </si>
  <si>
    <t>QuickMove0420</t>
  </si>
  <si>
    <t>StageId : 스테이지11</t>
  </si>
  <si>
    <t>Equipment(1020101002)</t>
  </si>
  <si>
    <t>Mission.Guide.Title.012</t>
  </si>
  <si>
    <t>Mission.Guide.Desc.012</t>
  </si>
  <si>
    <t>ItemEquip</t>
  </si>
  <si>
    <t>Mission.Guide.Desc.013</t>
  </si>
  <si>
    <t>Mission.Guide.Title.014</t>
  </si>
  <si>
    <t>Mission.Guide.Desc.014</t>
  </si>
  <si>
    <t>QuickMove0620</t>
  </si>
  <si>
    <t>Mission.Guide.Title.016</t>
  </si>
  <si>
    <t>Mission.Guide.Desc.016</t>
  </si>
  <si>
    <t>Mission.Guide.Desc.017</t>
  </si>
  <si>
    <t>StageId : 스테이지16</t>
  </si>
  <si>
    <t>Item(1040605201, 1)</t>
  </si>
  <si>
    <t>Mission.Guide.Title.018</t>
  </si>
  <si>
    <t>Mission.Guide.Desc.018</t>
  </si>
  <si>
    <t>Item(1040302001, 4000)</t>
  </si>
  <si>
    <t>Mission.Guide.Title.019</t>
  </si>
  <si>
    <t>Mission.Guide.Desc.019</t>
  </si>
  <si>
    <t>Mission.Guide.Title.026</t>
  </si>
  <si>
    <t>Mission.Guide.Desc.026</t>
  </si>
  <si>
    <t>CharacterSyncLevel</t>
  </si>
  <si>
    <t>QuickMove0570</t>
  </si>
  <si>
    <t>Mission.Guide.Title.027</t>
  </si>
  <si>
    <t>Mission.Guide.Desc.027</t>
  </si>
  <si>
    <t>EquipOverGrade</t>
  </si>
  <si>
    <t>Grade:N</t>
  </si>
  <si>
    <t>Mission.Guide.Title.028</t>
  </si>
  <si>
    <t>Mission.Guide.Desc.028</t>
  </si>
  <si>
    <t>Item(1040302001, 8000)</t>
  </si>
  <si>
    <t>Mission.Guide.Title.029</t>
  </si>
  <si>
    <t>Mission.Guide.Desc.029</t>
  </si>
  <si>
    <t>CharacterLink</t>
  </si>
  <si>
    <t>QuickMove0580</t>
  </si>
  <si>
    <t>Mission.Guide.Title.030</t>
  </si>
  <si>
    <t>Mission.Guide.Desc.030</t>
  </si>
  <si>
    <t>Item(1040605301, 1)</t>
  </si>
  <si>
    <t>#1일차</t>
  </si>
  <si>
    <t>2106000000000</t>
  </si>
  <si>
    <t>2200000000015</t>
  </si>
  <si>
    <t>Mission.Name.Login.Normal</t>
  </si>
  <si>
    <t>Login</t>
  </si>
  <si>
    <t>2106000000001</t>
  </si>
  <si>
    <t>Mission.7Days.1Day.2</t>
  </si>
  <si>
    <t>2106000000002</t>
  </si>
  <si>
    <t>Mission.7Days.1Day.3</t>
  </si>
  <si>
    <t>2106000000003</t>
  </si>
  <si>
    <t>2106000000004</t>
  </si>
  <si>
    <t>#2일차</t>
  </si>
  <si>
    <t>2200000000016</t>
  </si>
  <si>
    <t>MissionElapsed(2200000000015, 1, Const:Server:DefaultResetTime)</t>
  </si>
  <si>
    <t>Mission.Name.CharacterGradeUp.Normal</t>
  </si>
  <si>
    <t>GuildJoin</t>
  </si>
  <si>
    <t>Mission.7Days.2Day.5</t>
  </si>
  <si>
    <t>Level : 30</t>
  </si>
  <si>
    <t>#3일차</t>
  </si>
  <si>
    <t>2200000000017</t>
  </si>
  <si>
    <t>MissionElapsed(2200000000015, 2, Const:Server:DefaultResetTime)</t>
  </si>
  <si>
    <t>Mission.Name.ArenaVictory.Normal</t>
  </si>
  <si>
    <t>Mission.Name.GraduateAcademy.Basic</t>
  </si>
  <si>
    <t>GraduateAcademy</t>
  </si>
  <si>
    <t>#4일차</t>
  </si>
  <si>
    <t>2200000000018</t>
  </si>
  <si>
    <t>MissionElapsed(2200000000015, 3, Const:Server:DefaultResetTime)</t>
  </si>
  <si>
    <t>#5일차</t>
  </si>
  <si>
    <t>2200000000019</t>
  </si>
  <si>
    <t>MissionElapsed(2200000000015, 4, Const:Server:DefaultResetTime)</t>
  </si>
  <si>
    <t>#6일차</t>
  </si>
  <si>
    <t>2200000000020</t>
  </si>
  <si>
    <t>MissionElapsed(2200000000015, 5, Const:Server:DefaultResetTime)</t>
  </si>
  <si>
    <t>Level : 50</t>
  </si>
  <si>
    <t>#7일차</t>
  </si>
  <si>
    <t>2200000000021</t>
  </si>
  <si>
    <t>MissionElapsed(2200000000015, 6, Const:Server:DefaultResetTime)</t>
  </si>
  <si>
    <t>Mission.Name.GraduateAcademy.Advanced</t>
  </si>
  <si>
    <t>#매일달성보상</t>
  </si>
  <si>
    <t>2200000000022</t>
  </si>
  <si>
    <t>Mission.7Days.1Day.Complete</t>
  </si>
  <si>
    <t>MissionPointType : Event7Days1</t>
  </si>
  <si>
    <t>2200000000023</t>
  </si>
  <si>
    <t>Mission.7Days.2Day.Complete</t>
  </si>
  <si>
    <t>MissionPointType : Event7Days2</t>
  </si>
  <si>
    <t>2200000000024</t>
  </si>
  <si>
    <t>Mission.7Days.3Day.Complete</t>
  </si>
  <si>
    <t>MissionPointType : Event7Days3</t>
  </si>
  <si>
    <t>2200000000025</t>
  </si>
  <si>
    <t>Mission.7Days.4Day.Complete</t>
  </si>
  <si>
    <t>MissionPointType : Event7Days4</t>
  </si>
  <si>
    <t>2200000000026</t>
  </si>
  <si>
    <t>Mission.7Days.5Day.Complete</t>
  </si>
  <si>
    <t>MissionPointType : Event7Days5</t>
  </si>
  <si>
    <t>2200000000027</t>
  </si>
  <si>
    <t>Mission.7Days.6Day.Complete</t>
  </si>
  <si>
    <t>MissionPointType : Event7Days6</t>
  </si>
  <si>
    <t>2200000000028</t>
  </si>
  <si>
    <t>Mission.7Days.7Day.Complete</t>
  </si>
  <si>
    <t>MissionPointType : Event7Days7</t>
  </si>
  <si>
    <t>2107000000000</t>
  </si>
  <si>
    <t>2200000000013</t>
  </si>
  <si>
    <t>StarRecord(3040100001)</t>
  </si>
  <si>
    <t>Record.Mission.Newbie.10.1</t>
  </si>
  <si>
    <t>QuickMove.DailyMission</t>
  </si>
  <si>
    <t>2107000000001</t>
  </si>
  <si>
    <t>Record.Mission.Newbie.50.1</t>
  </si>
  <si>
    <t>QuickMove.WeeklyMission</t>
  </si>
  <si>
    <t>2107000000002</t>
  </si>
  <si>
    <t>Record.Mission.Newbie.70.1</t>
  </si>
  <si>
    <t>2107000000004</t>
  </si>
  <si>
    <t>Record.Mission.Newbie.130.1</t>
  </si>
  <si>
    <t>2107000000006</t>
  </si>
  <si>
    <t>2107000000008</t>
  </si>
  <si>
    <t>2200000000014</t>
  </si>
  <si>
    <t>StarRecord(3040200001)</t>
  </si>
  <si>
    <t>2107000000009</t>
  </si>
  <si>
    <t>2107000000010</t>
  </si>
  <si>
    <t>2107000000011</t>
  </si>
  <si>
    <t>2107000000012</t>
  </si>
  <si>
    <t>2107000000013</t>
  </si>
  <si>
    <t>Number</t>
  </si>
  <si>
    <t>Npc</t>
  </si>
  <si>
    <t>MissionCase</t>
  </si>
  <si>
    <t>GoalReward</t>
  </si>
  <si>
    <t>#comment</t>
  </si>
  <si>
    <t>$UICharacter</t>
  </si>
  <si>
    <t>$MissionCase</t>
  </si>
  <si>
    <t>Type</t>
  </si>
  <si>
    <t>Condition</t>
  </si>
  <si>
    <t>Reset</t>
  </si>
  <si>
    <t>TabType</t>
  </si>
  <si>
    <t>RewardCondition</t>
  </si>
  <si>
    <t>UnlockCondition</t>
  </si>
  <si>
    <t>VisibleCondition</t>
  </si>
  <si>
    <t>ExpItem</t>
  </si>
  <si>
    <t>Resource</t>
  </si>
  <si>
    <t>dsl</t>
  </si>
  <si>
    <t>$Reset?</t>
  </si>
  <si>
    <t>$ItemCase?</t>
  </si>
  <si>
    <t>string?</t>
  </si>
  <si>
    <t>Daily</t>
  </si>
  <si>
    <t>SYSTEM_DAILY_RESET</t>
  </si>
  <si>
    <t>Mission</t>
  </si>
  <si>
    <t>Mission.Group.Name.Daily</t>
  </si>
  <si>
    <t>1040701911</t>
  </si>
  <si>
    <t>DailyPoint</t>
  </si>
  <si>
    <t>Mission.Group.Name.DailyPoint</t>
  </si>
  <si>
    <t>Weekly</t>
  </si>
  <si>
    <t>SYSTEM_WEEKLY_RESET</t>
  </si>
  <si>
    <t>Mission.Group.Name.Weekly</t>
  </si>
  <si>
    <t>1040701912</t>
  </si>
  <si>
    <t>WeeklyPoint</t>
  </si>
  <si>
    <t>MainScenario</t>
  </si>
  <si>
    <t>Mission.Group.Name.Main</t>
  </si>
  <si>
    <t>Guide</t>
  </si>
  <si>
    <t>Mission.Group.Name.Guide</t>
  </si>
  <si>
    <t>StarRecord</t>
  </si>
  <si>
    <t>Event7Days</t>
  </si>
  <si>
    <t>Mission.Group.Name.7Days</t>
  </si>
  <si>
    <t>event_newuser</t>
  </si>
  <si>
    <t>RecordType</t>
  </si>
  <si>
    <t>UpdateType</t>
  </si>
  <si>
    <t>*StatisticsType</t>
  </si>
  <si>
    <t>StatisticsRecordType</t>
  </si>
  <si>
    <t>StatisticsUpdateType</t>
  </si>
  <si>
    <t>누적로그인</t>
  </si>
  <si>
    <t>DailyOnce</t>
  </si>
  <si>
    <t>Increasement</t>
  </si>
  <si>
    <t>챕터클리어</t>
  </si>
  <si>
    <t>Always</t>
  </si>
  <si>
    <t>스테이지클리어</t>
  </si>
  <si>
    <t>스테이지플레이</t>
  </si>
  <si>
    <t>채팅하기</t>
  </si>
  <si>
    <t>Chatting</t>
  </si>
  <si>
    <t>친구추가</t>
  </si>
  <si>
    <t>FriendAdd</t>
  </si>
  <si>
    <t>계정레벨</t>
  </si>
  <si>
    <t>Max</t>
  </si>
  <si>
    <t>CharacterLv</t>
  </si>
  <si>
    <t>적처치</t>
  </si>
  <si>
    <t>EnemyKill</t>
  </si>
  <si>
    <t>상점구매</t>
  </si>
  <si>
    <t>CharacterExpUp</t>
  </si>
  <si>
    <t>미션포인트</t>
  </si>
  <si>
    <t>가한피해량</t>
  </si>
  <si>
    <t>InflictedDamage</t>
  </si>
  <si>
    <t>입은피해량</t>
  </si>
  <si>
    <t>SufferedDamage</t>
  </si>
  <si>
    <t>재화획득</t>
  </si>
  <si>
    <t>재화사용</t>
  </si>
  <si>
    <t>연속로그인</t>
  </si>
  <si>
    <t>ContinuedLogin</t>
  </si>
  <si>
    <t>아레나플레이</t>
  </si>
  <si>
    <t>아레나승리</t>
  </si>
  <si>
    <t>장비획득</t>
  </si>
  <si>
    <t>GetEquipment</t>
  </si>
  <si>
    <t>장비강화</t>
  </si>
  <si>
    <t>EquipmentEnhance</t>
  </si>
  <si>
    <t>장비초월</t>
  </si>
  <si>
    <t>EquipmentTranscendence</t>
  </si>
  <si>
    <t>장비각인</t>
  </si>
  <si>
    <t>EquipmentEngrave</t>
  </si>
  <si>
    <t>플러그인획득</t>
  </si>
  <si>
    <t>최적화시도</t>
  </si>
  <si>
    <t>TryOptimization</t>
  </si>
  <si>
    <t>스킬레벨업</t>
  </si>
  <si>
    <t>파견</t>
  </si>
  <si>
    <t>길드출석체크</t>
  </si>
  <si>
    <t>GuildAttendance</t>
  </si>
  <si>
    <t>길드개인기여도</t>
  </si>
  <si>
    <t>GuildPlayerExp</t>
  </si>
  <si>
    <t>길드가입</t>
  </si>
  <si>
    <t>누적길드레벨업</t>
  </si>
  <si>
    <t>GuildLevelUpCount</t>
  </si>
  <si>
    <t>길드소식지</t>
  </si>
  <si>
    <t>동시길드소식지</t>
  </si>
  <si>
    <t>GuildNewsTriple</t>
  </si>
  <si>
    <t>플러그인개발</t>
  </si>
  <si>
    <t>장비강화시도</t>
  </si>
  <si>
    <t>대표캐릭터변경</t>
  </si>
  <si>
    <t>ProfileCharacterChange</t>
  </si>
  <si>
    <t>길드기부</t>
  </si>
  <si>
    <t>시드연구</t>
  </si>
  <si>
    <t>용병고용</t>
  </si>
  <si>
    <t>플러구인연구시작</t>
  </si>
  <si>
    <t>StartPluginDevelopment</t>
  </si>
  <si>
    <t>용병등록</t>
  </si>
  <si>
    <t>MercenaryRegistration</t>
  </si>
  <si>
    <t>교류 완료</t>
  </si>
  <si>
    <t>CommunicationComplete</t>
  </si>
  <si>
    <t>교류 대성공</t>
  </si>
  <si>
    <t>파견 대성공</t>
  </si>
  <si>
    <t>SuccessDispatch</t>
  </si>
  <si>
    <t>호감도 레벨 상승</t>
  </si>
  <si>
    <t>EquipmentLevelReached</t>
  </si>
  <si>
    <t>스타시드 시설 강화 완료</t>
  </si>
  <si>
    <t>스타시드 건물에 캐릭터 배치</t>
  </si>
  <si>
    <t>ArrangeStarseedChar</t>
  </si>
  <si>
    <t>프록시안 동기화 배치 변경</t>
  </si>
  <si>
    <t>CharacterSync</t>
  </si>
  <si>
    <t>프록시안 동기화 레벨업</t>
  </si>
  <si>
    <t>프록시안 링크 활성화</t>
  </si>
  <si>
    <t>장착장비최고등급달성치</t>
  </si>
  <si>
    <t>MaxEquipGrade</t>
  </si>
  <si>
    <t>최고스테이지플레이</t>
  </si>
  <si>
    <t>최고스테이지클리어</t>
  </si>
  <si>
    <t>아카데미 졸업</t>
  </si>
  <si>
    <t>Backgrournd</t>
  </si>
  <si>
    <t>EventPrefabType</t>
  </si>
  <si>
    <t>gachashop_banner_01.png</t>
  </si>
  <si>
    <t>gachashop_banner_02.png</t>
  </si>
  <si>
    <t>StarRecord</t>
    <phoneticPr fontId="4" type="noConversion"/>
  </si>
  <si>
    <t>Mission.Group.Name.WeeklyPoint</t>
    <phoneticPr fontId="4" type="noConversion"/>
  </si>
  <si>
    <t>Record.01</t>
    <phoneticPr fontId="4" type="noConversion"/>
  </si>
  <si>
    <t>Record.02</t>
    <phoneticPr fontId="4" type="noConversion"/>
  </si>
  <si>
    <t>ContentsType : GuildOperation</t>
    <phoneticPr fontId="4" type="noConversion"/>
  </si>
  <si>
    <t>ContentsType : Raid</t>
    <phoneticPr fontId="4" type="noConversion"/>
  </si>
  <si>
    <t>QuickMove.Raid</t>
    <phoneticPr fontId="4" type="noConversion"/>
  </si>
  <si>
    <t>Grade : MR1</t>
    <phoneticPr fontId="4" type="noConversion"/>
  </si>
  <si>
    <t>Record.Mission.Routine.90.2</t>
  </si>
  <si>
    <t>Record.Mission.Routine.90.3</t>
  </si>
  <si>
    <t>Record.Mission.Routine.10.1</t>
  </si>
  <si>
    <t>Record.Mission.Routine.20.1</t>
  </si>
  <si>
    <t>Record.Mission.Routine.30.1</t>
  </si>
  <si>
    <t>Record.Mission.Routine.40.1</t>
  </si>
  <si>
    <t>Record.Mission.Routine.50.1</t>
  </si>
  <si>
    <t>Record.Mission.Routine.60.1</t>
  </si>
  <si>
    <t>Record.Mission.Routine.70.1</t>
  </si>
  <si>
    <t>Record.Mission.Routine.80.1</t>
  </si>
  <si>
    <t>StageClear</t>
    <phoneticPr fontId="4" type="noConversion"/>
  </si>
  <si>
    <t>StagePlay</t>
    <phoneticPr fontId="4" type="noConversion"/>
  </si>
  <si>
    <t>QuickMove.GuildAssault</t>
  </si>
  <si>
    <t>플러그인레벨업</t>
    <phoneticPr fontId="4" type="noConversion"/>
  </si>
  <si>
    <t>플러그인승급</t>
    <phoneticPr fontId="4" type="noConversion"/>
  </si>
  <si>
    <t>PluginLvUp</t>
    <phoneticPr fontId="4" type="noConversion"/>
  </si>
  <si>
    <t>7Days.Mission.Desc.4.1</t>
    <phoneticPr fontId="4" type="noConversion"/>
  </si>
  <si>
    <t>PluginPromote</t>
  </si>
  <si>
    <t>PluginLvUp</t>
  </si>
  <si>
    <t>Weekly.Mission.150</t>
    <phoneticPr fontId="4" type="noConversion"/>
  </si>
  <si>
    <t>Weekly.Mission.Desc.150</t>
    <phoneticPr fontId="4" type="noConversion"/>
  </si>
  <si>
    <t>Daily.Mission.140</t>
    <phoneticPr fontId="4" type="noConversion"/>
  </si>
  <si>
    <t>플러그인 레벨업</t>
    <phoneticPr fontId="4" type="noConversion"/>
  </si>
  <si>
    <t>QuickMove.Plugin</t>
  </si>
  <si>
    <t>Never()</t>
    <phoneticPr fontId="4" type="noConversion"/>
  </si>
  <si>
    <t>7Days.Mission.Desc.6.5</t>
    <phoneticPr fontId="4" type="noConversion"/>
  </si>
  <si>
    <t>OverCharacterGradeUp</t>
  </si>
  <si>
    <t>OverCharacterGradeUp</t>
    <phoneticPr fontId="4" type="noConversion"/>
  </si>
  <si>
    <t>GiveGift</t>
    <phoneticPr fontId="4" type="noConversion"/>
  </si>
  <si>
    <t>StageId : 스테이지25</t>
    <phoneticPr fontId="4" type="noConversion"/>
  </si>
  <si>
    <t>StageId : 스테이지30</t>
    <phoneticPr fontId="4" type="noConversion"/>
  </si>
  <si>
    <t>1명 캐릭터 3 레벨 업</t>
  </si>
  <si>
    <t>일일 과제</t>
  </si>
  <si>
    <t>1-7전투 승리</t>
  </si>
  <si>
    <t>작전 보상 획득</t>
  </si>
  <si>
    <t>캐릭터 1명 5레벨 강화</t>
  </si>
  <si>
    <t>스킬 레벨업</t>
  </si>
  <si>
    <t>1-11 전투 승리</t>
  </si>
  <si>
    <t>장비 착용하기</t>
  </si>
  <si>
    <t>캐릭터 5명 5레벨 강화</t>
  </si>
  <si>
    <t>스킬 레벨업 3회</t>
  </si>
  <si>
    <t>1-16 전투 승리</t>
  </si>
  <si>
    <t>동기화 시키기</t>
  </si>
  <si>
    <t>전술교본 탐색전 승리</t>
  </si>
  <si>
    <t>링크 달성하기</t>
  </si>
  <si>
    <t>스킬 레벨업 5회</t>
  </si>
  <si>
    <t>1-25 전투 승리</t>
    <phoneticPr fontId="4" type="noConversion"/>
  </si>
  <si>
    <t>1-30 전투 승리</t>
    <phoneticPr fontId="4" type="noConversion"/>
  </si>
  <si>
    <t>7Days.Mission.Desc.1.5</t>
    <phoneticPr fontId="4" type="noConversion"/>
  </si>
  <si>
    <t>Mission.7Days.1Day.5</t>
    <phoneticPr fontId="4" type="noConversion"/>
  </si>
  <si>
    <t>1-17 전투 승리</t>
    <phoneticPr fontId="4" type="noConversion"/>
  </si>
  <si>
    <t>StageId : 스테이지17</t>
    <phoneticPr fontId="4" type="noConversion"/>
  </si>
  <si>
    <t>Mission.Guide.Title.015</t>
  </si>
  <si>
    <t>Mission.Guide.Title.021</t>
  </si>
  <si>
    <t>Mission.Guide.Title.024</t>
  </si>
  <si>
    <t>Mission.Guide.Desc.015</t>
  </si>
  <si>
    <t>Mission.Guide.Desc.021</t>
  </si>
  <si>
    <t>Mission.Guide.Desc.024</t>
  </si>
  <si>
    <t>QuickMove.Mission</t>
  </si>
  <si>
    <t>ShopCategory : 2600000000000</t>
    <phoneticPr fontId="4" type="noConversion"/>
  </si>
  <si>
    <t>ShopCategory : 2600000000004</t>
    <phoneticPr fontId="4" type="noConversion"/>
  </si>
  <si>
    <t>NPC.luyten</t>
  </si>
  <si>
    <t>NPC.Pollux</t>
  </si>
  <si>
    <t>ShopPurchase</t>
    <phoneticPr fontId="4" type="noConversion"/>
  </si>
  <si>
    <t>TryOptimization</t>
    <phoneticPr fontId="4" type="noConversion"/>
  </si>
  <si>
    <t>QuickMove0430</t>
  </si>
  <si>
    <t>Recommend</t>
    <phoneticPr fontId="4" type="noConversion"/>
  </si>
  <si>
    <t>#2섹터</t>
    <phoneticPr fontId="4" type="noConversion"/>
  </si>
  <si>
    <t>MissionPointType : Recommend2</t>
  </si>
  <si>
    <t>MissionPointType : Recommend3</t>
  </si>
  <si>
    <t>MissionPointType : Recommend4</t>
  </si>
  <si>
    <t>Mission</t>
    <phoneticPr fontId="4" type="noConversion"/>
  </si>
  <si>
    <t>Mission.Group.Name.7Days</t>
    <phoneticPr fontId="4" type="noConversion"/>
  </si>
  <si>
    <t>MissionPoint</t>
    <phoneticPr fontId="4" type="noConversion"/>
  </si>
  <si>
    <t>Recommend</t>
    <phoneticPr fontId="4" type="noConversion"/>
  </si>
  <si>
    <t>NPC.Marillight</t>
    <phoneticPr fontId="4" type="noConversion"/>
  </si>
  <si>
    <t>Mission.Group.Name.Recommend.S1</t>
    <phoneticPr fontId="4" type="noConversion"/>
  </si>
  <si>
    <t>Mission.Group.Name.Recommend.S2</t>
  </si>
  <si>
    <t>Mission.Group.Name.Recommend.S3</t>
  </si>
  <si>
    <t>Mission.Group.Name.Recommend.S4</t>
  </si>
  <si>
    <t>#5섹터</t>
    <phoneticPr fontId="4" type="noConversion"/>
  </si>
  <si>
    <t>#섹터달성보상</t>
    <phoneticPr fontId="4" type="noConversion"/>
  </si>
  <si>
    <t>Item(1040102001, 1000)</t>
    <phoneticPr fontId="4" type="noConversion"/>
  </si>
  <si>
    <t>ShowPointReward</t>
    <phoneticPr fontId="4" type="noConversion"/>
  </si>
  <si>
    <t>bool?</t>
    <phoneticPr fontId="4" type="noConversion"/>
  </si>
  <si>
    <t>Purchase</t>
    <phoneticPr fontId="4" type="noConversion"/>
  </si>
  <si>
    <t>Equal</t>
    <phoneticPr fontId="4" type="noConversion"/>
  </si>
  <si>
    <t>ConsumeCurrency</t>
    <phoneticPr fontId="4" type="noConversion"/>
  </si>
  <si>
    <t>ShopCategory : 2600000000000</t>
  </si>
  <si>
    <t>Recommend.Mission.Title.1.1</t>
    <phoneticPr fontId="4" type="noConversion"/>
  </si>
  <si>
    <t>Recommend.Mission.Title.1.2</t>
    <phoneticPr fontId="4" type="noConversion"/>
  </si>
  <si>
    <t>Recommend.Mission.Title.1.3</t>
  </si>
  <si>
    <t>Recommend.Mission.Title.1.5</t>
  </si>
  <si>
    <t>Recommend.Mission.Title.1.6</t>
  </si>
  <si>
    <t>Recommend.Mission.Title.1.7</t>
  </si>
  <si>
    <t>Recommend.Mission.Title.1.8</t>
  </si>
  <si>
    <t>Recommend.Mission.Title.1.9</t>
  </si>
  <si>
    <t>Recommend.Mission.Title.1.11</t>
  </si>
  <si>
    <t>Recommend.Mission.Title.2.2</t>
    <phoneticPr fontId="4" type="noConversion"/>
  </si>
  <si>
    <t>Recommend.Mission.Title.2.3</t>
  </si>
  <si>
    <t>Recommend.Mission.Title.2.4</t>
  </si>
  <si>
    <t>Recommend.Mission.Title.2.5</t>
  </si>
  <si>
    <t>Recommend.Mission.Title.2.6</t>
  </si>
  <si>
    <t>Recommend.Mission.Title.2.7</t>
  </si>
  <si>
    <t>Recommend.Mission.Title.2.8</t>
  </si>
  <si>
    <t>Recommend.Mission.Title.2.9</t>
  </si>
  <si>
    <t>Recommend.Mission.Title.2.10</t>
  </si>
  <si>
    <t>Recommend.Mission.Title.2.11</t>
  </si>
  <si>
    <t>Recommend.Mission.Title.2.12</t>
  </si>
  <si>
    <t>Recommend.Mission.Title.3.1</t>
    <phoneticPr fontId="4" type="noConversion"/>
  </si>
  <si>
    <t>Recommend.Mission.Title.3.2</t>
    <phoneticPr fontId="4" type="noConversion"/>
  </si>
  <si>
    <t>Recommend.Mission.Title.3.3</t>
  </si>
  <si>
    <t>Recommend.Mission.Title.3.4</t>
  </si>
  <si>
    <t>Recommend.Mission.Title.3.5</t>
  </si>
  <si>
    <t>Recommend.Mission.Title.3.6</t>
  </si>
  <si>
    <t>Recommend.Mission.Title.3.8</t>
  </si>
  <si>
    <t>Recommend.Mission.Title.3.9</t>
  </si>
  <si>
    <t>Recommend.Mission.Title.3.10</t>
  </si>
  <si>
    <t>Recommend.Mission.Title.3.11</t>
  </si>
  <si>
    <t>Recommend.Mission.Title.3.12</t>
  </si>
  <si>
    <t>Recommend.Mission.Title.4.1</t>
    <phoneticPr fontId="4" type="noConversion"/>
  </si>
  <si>
    <t>Recommend.Mission.Title.4.3</t>
  </si>
  <si>
    <t>Recommend.Mission.Title.4.5</t>
  </si>
  <si>
    <t>Recommend.Mission.Title.4.6</t>
  </si>
  <si>
    <t>Recommend.Mission.Title.4.7</t>
  </si>
  <si>
    <t>Recommend.Mission.Title.4.8</t>
  </si>
  <si>
    <t>Recommend.Mission.Title.4.9</t>
  </si>
  <si>
    <t>Recommend.Mission.Title.4.11</t>
  </si>
  <si>
    <t>InAppPurchase</t>
    <phoneticPr fontId="4" type="noConversion"/>
  </si>
  <si>
    <t>레더 점수 달성</t>
    <phoneticPr fontId="4" type="noConversion"/>
  </si>
  <si>
    <t>LadderScore</t>
    <phoneticPr fontId="4" type="noConversion"/>
  </si>
  <si>
    <t>액티베이션 센터 활성화</t>
    <phoneticPr fontId="4" type="noConversion"/>
  </si>
  <si>
    <t>ActiveActivationCenter</t>
    <phoneticPr fontId="4" type="noConversion"/>
  </si>
  <si>
    <t>도미니언 레벨 그룹 완료</t>
    <phoneticPr fontId="4" type="noConversion"/>
  </si>
  <si>
    <t>DominionLevelGroupClear</t>
    <phoneticPr fontId="4" type="noConversion"/>
  </si>
  <si>
    <t>DominionLevelGroupClear</t>
  </si>
  <si>
    <t>Mission.Name.DominionLevelGroupClearCount</t>
    <phoneticPr fontId="30" type="noConversion"/>
  </si>
  <si>
    <t>Mission.Desc.DominionLevelGroupClearCount</t>
    <phoneticPr fontId="30" type="noConversion"/>
  </si>
  <si>
    <t>ContentsType : GuildOperation</t>
    <phoneticPr fontId="4" type="noConversion"/>
  </si>
  <si>
    <t>QuickMove.Dominion</t>
  </si>
  <si>
    <t>Mission.Guide.Title.017</t>
    <phoneticPr fontId="4" type="noConversion"/>
  </si>
  <si>
    <t>세라펄사</t>
    <phoneticPr fontId="4" type="noConversion"/>
  </si>
  <si>
    <t>CharacterId:1010920002</t>
    <phoneticPr fontId="4" type="noConversion"/>
  </si>
  <si>
    <t>#ID</t>
    <phoneticPr fontId="4" type="noConversion"/>
  </si>
  <si>
    <t>#타입 이름</t>
    <phoneticPr fontId="4" type="noConversion"/>
  </si>
  <si>
    <t>#체크 타입</t>
    <phoneticPr fontId="4" type="noConversion"/>
  </si>
  <si>
    <t>#업데이트 타입</t>
    <phoneticPr fontId="4" type="noConversion"/>
  </si>
  <si>
    <t>StarRecord(3040400001)</t>
  </si>
  <si>
    <t>StarRecord(3040400001)</t>
    <phoneticPr fontId="4" type="noConversion"/>
  </si>
  <si>
    <t>Record.Event</t>
  </si>
  <si>
    <t>Mission.Name.NormalEventClass.SS</t>
    <phoneticPr fontId="30" type="noConversion"/>
  </si>
  <si>
    <t>Mission.Desc.NormalEventClass.SS</t>
    <phoneticPr fontId="30" type="noConversion"/>
  </si>
  <si>
    <t>Mission.Name.HardEventClass.SS</t>
    <phoneticPr fontId="30" type="noConversion"/>
  </si>
  <si>
    <t>Mission.Desc.HardEventClass.SS</t>
    <phoneticPr fontId="30" type="noConversion"/>
  </si>
  <si>
    <t>Mission.Name.StageClear.NormalEventBattle</t>
    <phoneticPr fontId="30" type="noConversion"/>
  </si>
  <si>
    <t>Mission.Desc.StageClear.NormalEventBattle</t>
    <phoneticPr fontId="30" type="noConversion"/>
  </si>
  <si>
    <t>Mission.Name.StageClear.LastNormalEventBattle</t>
    <phoneticPr fontId="30" type="noConversion"/>
  </si>
  <si>
    <t>Mission.Desc.StageClear.LastNormalEventBattle</t>
    <phoneticPr fontId="30" type="noConversion"/>
  </si>
  <si>
    <t>Mission.Name.StageClear.HardEventBattle</t>
    <phoneticPr fontId="30" type="noConversion"/>
  </si>
  <si>
    <t>Mission.Desc.StageClear.HardEventBattle</t>
    <phoneticPr fontId="30" type="noConversion"/>
  </si>
  <si>
    <t>Mission.Name.StageClear.LastHardEventBattle</t>
    <phoneticPr fontId="30" type="noConversion"/>
  </si>
  <si>
    <t>Mission.Desc.StageClear.LastHardEventBattle</t>
    <phoneticPr fontId="30" type="noConversion"/>
  </si>
  <si>
    <t>Mission.Name.UseCurrency.Event</t>
    <phoneticPr fontId="30" type="noConversion"/>
  </si>
  <si>
    <t>Mission.Desc.UseCurrency.Event</t>
    <phoneticPr fontId="30" type="noConversion"/>
  </si>
  <si>
    <t>GuildNewsCount</t>
    <phoneticPr fontId="4" type="noConversion"/>
  </si>
  <si>
    <t>Max</t>
    <phoneticPr fontId="4" type="noConversion"/>
  </si>
  <si>
    <t>Record.03</t>
    <phoneticPr fontId="4" type="noConversion"/>
  </si>
  <si>
    <t>StarRecord(3040200002)</t>
  </si>
  <si>
    <t>StarRecord(3040200003)</t>
  </si>
  <si>
    <t>QuickMove0100</t>
    <phoneticPr fontId="4" type="noConversion"/>
  </si>
  <si>
    <t>Mission.Group.Name.Recommend</t>
    <phoneticPr fontId="4" type="noConversion"/>
  </si>
  <si>
    <t>Never()</t>
    <phoneticPr fontId="4" type="noConversion"/>
  </si>
  <si>
    <t>DominionAreaOpen</t>
    <phoneticPr fontId="4" type="noConversion"/>
  </si>
  <si>
    <t>도미니언 에어리어 오픈</t>
    <phoneticPr fontId="4" type="noConversion"/>
  </si>
  <si>
    <t>Recommend.Mission.S01.Complete</t>
    <phoneticPr fontId="30" type="noConversion"/>
  </si>
  <si>
    <t>Recommend.Mission.S02.Complete</t>
  </si>
  <si>
    <t>Recommend.Mission.S03.Complete</t>
  </si>
  <si>
    <t>Recommend.Mission.S04.Complete</t>
  </si>
  <si>
    <t>Recommend.Mission.Title.2.1</t>
    <phoneticPr fontId="4" type="noConversion"/>
  </si>
  <si>
    <t>플러그인 레벨 달성 수</t>
  </si>
  <si>
    <t>PluginLevelReached</t>
    <phoneticPr fontId="4" type="noConversion"/>
  </si>
  <si>
    <t>StageId : 스테이지14</t>
    <phoneticPr fontId="4" type="noConversion"/>
  </si>
  <si>
    <t>1-14 전투 승리</t>
    <phoneticPr fontId="4" type="noConversion"/>
  </si>
  <si>
    <t>MaxCharacterGradeUp</t>
    <phoneticPr fontId="4" type="noConversion"/>
  </si>
  <si>
    <t>이벤트스토리 스코어 달성 수</t>
    <phoneticPr fontId="4" type="noConversion"/>
  </si>
  <si>
    <t>PluginId : 1030710003</t>
  </si>
  <si>
    <t>PluginId : 1030510001</t>
  </si>
  <si>
    <t>PluginId : 1030510002</t>
  </si>
  <si>
    <t>PluginId : 1030920002</t>
  </si>
  <si>
    <t>PluginId : 1030920003</t>
  </si>
  <si>
    <t>PluginId : 1030920004</t>
  </si>
  <si>
    <t>PluginId : 1030920005</t>
  </si>
  <si>
    <t>PluginId : 1030720001</t>
  </si>
  <si>
    <t>PluginId : 1030720002</t>
  </si>
  <si>
    <t>PluginId : 1030720003</t>
  </si>
  <si>
    <t>PluginId : 1030720004</t>
  </si>
  <si>
    <t>PluginId : 1030720005</t>
  </si>
  <si>
    <t>PluginId : 1030720006</t>
  </si>
  <si>
    <t>PluginId : 1030720007</t>
  </si>
  <si>
    <t>PluginId : 1030520001</t>
  </si>
  <si>
    <t>PluginId : 1030520003</t>
  </si>
  <si>
    <t>PluginId : 1030520004</t>
  </si>
  <si>
    <t>PluginId : 1030520005</t>
  </si>
  <si>
    <t>PluginId : 1030930001</t>
  </si>
  <si>
    <t>PluginId : 1030930002</t>
  </si>
  <si>
    <t>PluginId : 1030930003</t>
  </si>
  <si>
    <t>PluginId : 1030930004</t>
  </si>
  <si>
    <t>PluginId : 1030930005</t>
  </si>
  <si>
    <t>PluginId : 1030730002</t>
  </si>
  <si>
    <t>PluginId : 1030730003</t>
  </si>
  <si>
    <t>PluginId : 1030730004</t>
  </si>
  <si>
    <t>PluginId : 1030730005</t>
  </si>
  <si>
    <t>PluginId : 1030530001</t>
  </si>
  <si>
    <t>PluginId : 1030530002</t>
  </si>
  <si>
    <t>PluginId : 1030530003</t>
  </si>
  <si>
    <t>PluginId : 1030530004</t>
  </si>
  <si>
    <t>PluginId : 1030940001</t>
  </si>
  <si>
    <t>PluginId : 1030940002</t>
  </si>
  <si>
    <t>PluginId : 1030940003</t>
  </si>
  <si>
    <t>PluginId : 1030740001</t>
  </si>
  <si>
    <t>PluginId : 1030740002</t>
  </si>
  <si>
    <t>PluginId : 1030540001</t>
  </si>
  <si>
    <t>Event</t>
    <phoneticPr fontId="4" type="noConversion"/>
  </si>
  <si>
    <t>ConsumeCurrency</t>
  </si>
  <si>
    <t>상품 구매 포인트</t>
    <phoneticPr fontId="4" type="noConversion"/>
  </si>
  <si>
    <t>BuyPoint</t>
    <phoneticPr fontId="4" type="noConversion"/>
  </si>
  <si>
    <t>BuyPoint</t>
  </si>
  <si>
    <t>ContentsUnlock(EventStory)</t>
  </si>
  <si>
    <t>Mission.Name.BuyPoint</t>
    <phoneticPr fontId="30" type="noConversion"/>
  </si>
  <si>
    <t>Mission.Desc.BuyPoint</t>
    <phoneticPr fontId="30" type="noConversion"/>
  </si>
  <si>
    <t>Mission.Group.Purchase</t>
  </si>
  <si>
    <t>Mission.Group.FirstPurchase</t>
  </si>
  <si>
    <t>EventStoryScoreReached</t>
  </si>
  <si>
    <t>Grade : Altair</t>
  </si>
  <si>
    <t>GraduateAcademy</t>
    <phoneticPr fontId="4" type="noConversion"/>
  </si>
  <si>
    <t>Grade : Spica</t>
  </si>
  <si>
    <t>QuickMove0670</t>
    <phoneticPr fontId="4" type="noConversion"/>
  </si>
  <si>
    <t>QuickMove0660</t>
    <phoneticPr fontId="4" type="noConversion"/>
  </si>
  <si>
    <t>GraduateAcademy</t>
    <phoneticPr fontId="4" type="noConversion"/>
  </si>
  <si>
    <t>GraduateAcademy</t>
    <phoneticPr fontId="4" type="noConversion"/>
  </si>
  <si>
    <t>StarRecord(3040200001)</t>
    <phoneticPr fontId="4" type="noConversion"/>
  </si>
  <si>
    <t>StarRecord(3040200002)</t>
    <phoneticPr fontId="4" type="noConversion"/>
  </si>
  <si>
    <t>StarRecord(3040200003)</t>
    <phoneticPr fontId="4" type="noConversion"/>
  </si>
  <si>
    <t>QuickMove.EventStoryBattle.Id.01</t>
  </si>
  <si>
    <t>QuickMove.EventStoryShop.Id.01</t>
  </si>
  <si>
    <t>Record.Mission.Routine.90.4</t>
  </si>
  <si>
    <t>Main.Mission.Desc.10.1</t>
    <phoneticPr fontId="4" type="noConversion"/>
  </si>
  <si>
    <t>StarRecord(3040400002)</t>
    <phoneticPr fontId="4" type="noConversion"/>
  </si>
  <si>
    <t>이벤트 빙고 달성</t>
    <phoneticPr fontId="4" type="noConversion"/>
  </si>
  <si>
    <t>EventBingo</t>
    <phoneticPr fontId="4" type="noConversion"/>
  </si>
  <si>
    <t>MissionCategoryType</t>
    <phoneticPr fontId="4" type="noConversion"/>
  </si>
  <si>
    <t>Event</t>
    <phoneticPr fontId="4" type="noConversion"/>
  </si>
  <si>
    <t>SNS테스트(전투참여)</t>
    <phoneticPr fontId="4" type="noConversion"/>
  </si>
  <si>
    <t>CharacterId : 1010320001</t>
    <phoneticPr fontId="4" type="noConversion"/>
  </si>
  <si>
    <t>CharacterStagePlay</t>
    <phoneticPr fontId="4" type="noConversion"/>
  </si>
  <si>
    <t>Equal</t>
    <phoneticPr fontId="4" type="noConversion"/>
  </si>
  <si>
    <t>SNS테스트(특정전투참여)</t>
    <phoneticPr fontId="4" type="noConversion"/>
  </si>
  <si>
    <t>SNS테스트(아카데미참여)</t>
    <phoneticPr fontId="4" type="noConversion"/>
  </si>
  <si>
    <t>SNS테스트(아카데미달성)</t>
    <phoneticPr fontId="4" type="noConversion"/>
  </si>
  <si>
    <t>SNS테스트(선물아이템사용)</t>
    <phoneticPr fontId="4" type="noConversion"/>
  </si>
  <si>
    <t>ContentsType : DataTower
CharacterId : 1010320001</t>
    <phoneticPr fontId="4" type="noConversion"/>
  </si>
  <si>
    <t>CharacterId : 1010320001
Grade : SSR</t>
    <phoneticPr fontId="4" type="noConversion"/>
  </si>
  <si>
    <t>Mission.None.Text</t>
    <phoneticPr fontId="4" type="noConversion"/>
  </si>
  <si>
    <t>Instarseed</t>
    <phoneticPr fontId="4" type="noConversion"/>
  </si>
  <si>
    <t>QuickMove.EventStoryShop.Anne.01</t>
  </si>
  <si>
    <t>QuickMove.EventStoryBattle.Anne.01</t>
  </si>
  <si>
    <t>Mission.Name.UseCurrency.Event.Anne</t>
    <phoneticPr fontId="30" type="noConversion"/>
  </si>
  <si>
    <t>Item(1040503151, 1)
Item(1040102001, 10)</t>
  </si>
  <si>
    <t>CharacterLvUp</t>
    <phoneticPr fontId="4" type="noConversion"/>
  </si>
  <si>
    <t>FavorLevelUp</t>
    <phoneticPr fontId="4" type="noConversion"/>
  </si>
  <si>
    <t>QuickMove.Plugin</t>
    <phoneticPr fontId="4" type="noConversion"/>
  </si>
  <si>
    <t>QuickMove.Plugin</t>
    <phoneticPr fontId="4" type="noConversion"/>
  </si>
  <si>
    <t>GraduateAcademy</t>
    <phoneticPr fontId="4" type="noConversion"/>
  </si>
  <si>
    <t>UseMercenary</t>
    <phoneticPr fontId="4" type="noConversion"/>
  </si>
  <si>
    <t>QuickMove0010</t>
    <phoneticPr fontId="4" type="noConversion"/>
  </si>
  <si>
    <t>CharacterGrade</t>
    <phoneticPr fontId="4" type="noConversion"/>
  </si>
  <si>
    <t>CharacterGradeReached</t>
    <phoneticPr fontId="4" type="noConversion"/>
  </si>
  <si>
    <t>GachaGroup : Plugin</t>
    <phoneticPr fontId="4" type="noConversion"/>
  </si>
  <si>
    <t>Mission.Event.Bingo.0101</t>
    <phoneticPr fontId="30" type="noConversion"/>
  </si>
  <si>
    <t>Mission.Event.Bingo.0102</t>
    <phoneticPr fontId="30" type="noConversion"/>
  </si>
  <si>
    <t>Mission.Event.Bingo.0103</t>
  </si>
  <si>
    <t>Mission.Event.Bingo.0104</t>
  </si>
  <si>
    <t>Mission.Event.Bingo.0105</t>
  </si>
  <si>
    <t>Mission.Event.Bingo.0106</t>
  </si>
  <si>
    <t>Mission.Event.Bingo.0107</t>
  </si>
  <si>
    <t>Mission.Event.Bingo.0108</t>
  </si>
  <si>
    <t>Mission.Event.Bingo.0109</t>
  </si>
  <si>
    <t>Mission.Event.Bingo.0110</t>
  </si>
  <si>
    <t>Mission.Event.Bingo.0111</t>
  </si>
  <si>
    <t>Mission.Event.Bingo.0112</t>
  </si>
  <si>
    <t>Mission.Event.Bingo.0113</t>
  </si>
  <si>
    <t>Mission.Event.Bingo.0115</t>
  </si>
  <si>
    <t>Mission.Event.Bingo.0116</t>
  </si>
  <si>
    <t>Mission.Event.Bingo.0117</t>
  </si>
  <si>
    <t>Mission.Event.Bingo.0118</t>
  </si>
  <si>
    <t>Mission.Event.Bingo.0101</t>
    <phoneticPr fontId="30" type="noConversion"/>
  </si>
  <si>
    <t>#2200000000006</t>
    <phoneticPr fontId="4" type="noConversion"/>
  </si>
  <si>
    <t>#2200000000007</t>
    <phoneticPr fontId="4" type="noConversion"/>
  </si>
  <si>
    <t>#2200000000008</t>
    <phoneticPr fontId="4" type="noConversion"/>
  </si>
  <si>
    <t>LevelRange(1,200)</t>
    <phoneticPr fontId="4" type="noConversion"/>
  </si>
  <si>
    <t>Mission.Group.Name.Event.Bingo</t>
    <phoneticPr fontId="4" type="noConversion"/>
  </si>
  <si>
    <t>Mission.Group.Name.Event.Bingo</t>
    <phoneticPr fontId="4" type="noConversion"/>
  </si>
  <si>
    <t>Mission.Name.TryOptimization</t>
    <phoneticPr fontId="4" type="noConversion"/>
  </si>
  <si>
    <t>Recommend.Mission.S01.Complete</t>
  </si>
  <si>
    <t>Main.Mission.Desc.80.1</t>
    <phoneticPr fontId="4" type="noConversion"/>
  </si>
  <si>
    <t>Main.Mission.30.1</t>
  </si>
  <si>
    <t>Always()</t>
    <phoneticPr fontId="4" type="noConversion"/>
  </si>
  <si>
    <t>ChapterClear</t>
    <phoneticPr fontId="4" type="noConversion"/>
  </si>
  <si>
    <t>GuildNewsCount</t>
  </si>
  <si>
    <t>PluginPromote</t>
    <phoneticPr fontId="4" type="noConversion"/>
  </si>
  <si>
    <t>PluginDevelopment</t>
    <phoneticPr fontId="4" type="noConversion"/>
  </si>
  <si>
    <t>Mission.Name.Dispatch</t>
    <phoneticPr fontId="4" type="noConversion"/>
  </si>
  <si>
    <t>Mission.Name.PluginPromote</t>
    <phoneticPr fontId="4" type="noConversion"/>
  </si>
  <si>
    <t>StartPluginDevelopment</t>
    <phoneticPr fontId="4" type="noConversion"/>
  </si>
  <si>
    <t>Mission.Name.StagePlay.GuildOperation</t>
    <phoneticPr fontId="4" type="noConversion"/>
  </si>
  <si>
    <t>7Days.Mission.Desc.5.3</t>
    <phoneticPr fontId="4" type="noConversion"/>
  </si>
  <si>
    <t>Mission.Name.PluginDevelopment</t>
  </si>
  <si>
    <t>Recommend.Mission.Title.1.10</t>
    <phoneticPr fontId="4" type="noConversion"/>
  </si>
  <si>
    <t>Item(1040102001, 200)
Item(1040413038, 50)</t>
    <phoneticPr fontId="4" type="noConversion"/>
  </si>
  <si>
    <t>GiveGift</t>
    <phoneticPr fontId="4" type="noConversion"/>
  </si>
  <si>
    <t>Main.Mission.20.6</t>
    <phoneticPr fontId="4" type="noConversion"/>
  </si>
  <si>
    <t>캐릭터 3명 7레벨 강화</t>
    <phoneticPr fontId="4" type="noConversion"/>
  </si>
  <si>
    <t>Level : 7</t>
    <phoneticPr fontId="4" type="noConversion"/>
  </si>
  <si>
    <t>캐릭터 1명 9레벨 강화</t>
    <phoneticPr fontId="4" type="noConversion"/>
  </si>
  <si>
    <t>Mission.Guide.Desc.022</t>
    <phoneticPr fontId="4" type="noConversion"/>
  </si>
  <si>
    <t>Level : 9</t>
    <phoneticPr fontId="4" type="noConversion"/>
  </si>
  <si>
    <t>동기화 레벨 9 만들기</t>
    <phoneticPr fontId="4" type="noConversion"/>
  </si>
  <si>
    <t>동기화 레벨 11 만들기</t>
    <phoneticPr fontId="4" type="noConversion"/>
  </si>
  <si>
    <t>Mission.Guide.Title.022</t>
    <phoneticPr fontId="4" type="noConversion"/>
  </si>
  <si>
    <t>스토리열람</t>
  </si>
  <si>
    <t>튜토리얼클리어</t>
  </si>
  <si>
    <t>스킬개방</t>
  </si>
  <si>
    <t>친구요청</t>
  </si>
  <si>
    <t>자동전투보상획득</t>
  </si>
  <si>
    <t>빠른작전보상획득</t>
  </si>
  <si>
    <t>AccumulateStageClear</t>
  </si>
  <si>
    <t>PetExplore</t>
  </si>
  <si>
    <t>PetGet</t>
  </si>
  <si>
    <t>PetSell</t>
  </si>
  <si>
    <t>HologramExpUp</t>
  </si>
  <si>
    <t>GuildExp</t>
  </si>
  <si>
    <t>OpenSkill</t>
  </si>
  <si>
    <t>TrySelectiveGacha</t>
  </si>
  <si>
    <t>ConfirmSelectiveGacha</t>
  </si>
  <si>
    <t>RequestFriend</t>
  </si>
  <si>
    <t>?스테이지 클리어</t>
    <phoneticPr fontId="4" type="noConversion"/>
  </si>
  <si>
    <t>?아이템 장비</t>
    <phoneticPr fontId="4" type="noConversion"/>
  </si>
  <si>
    <t>?펫 탐색</t>
    <phoneticPr fontId="4" type="noConversion"/>
  </si>
  <si>
    <t>?펫 획득</t>
    <phoneticPr fontId="4" type="noConversion"/>
  </si>
  <si>
    <t>?펫 판매</t>
    <phoneticPr fontId="4" type="noConversion"/>
  </si>
  <si>
    <t>?홀로그램 경험치</t>
    <phoneticPr fontId="4" type="noConversion"/>
  </si>
  <si>
    <t>?길드 경험치</t>
    <phoneticPr fontId="4" type="noConversion"/>
  </si>
  <si>
    <t>프록시안 승급</t>
  </si>
  <si>
    <t>프록시안 승급</t>
    <phoneticPr fontId="4" type="noConversion"/>
  </si>
  <si>
    <t>#GoalTarget용법 주석</t>
    <phoneticPr fontId="4" type="noConversion"/>
  </si>
  <si>
    <t>#</t>
    <phoneticPr fontId="4" type="noConversion"/>
  </si>
  <si>
    <t>#</t>
    <phoneticPr fontId="4" type="noConversion"/>
  </si>
  <si>
    <t>StageId : 스테이지(숫자)</t>
    <phoneticPr fontId="4" type="noConversion"/>
  </si>
  <si>
    <t>ContentsType : GuildOperation</t>
    <phoneticPr fontId="4" type="noConversion"/>
  </si>
  <si>
    <t>ShopCategory : (상점 ID)
[2600000000000:기본]</t>
    <phoneticPr fontId="4" type="noConversion"/>
  </si>
  <si>
    <t>ItemId : (아이템 ID)</t>
    <phoneticPr fontId="4" type="noConversion"/>
  </si>
  <si>
    <t>PluginId : (플러그인 ID)
Grade : (등급 값)</t>
    <phoneticPr fontId="4" type="noConversion"/>
  </si>
  <si>
    <t>Level : (숫자)</t>
    <phoneticPr fontId="4" type="noConversion"/>
  </si>
  <si>
    <t>LadderId : (ID)
Proxyan</t>
    <phoneticPr fontId="4" type="noConversion"/>
  </si>
  <si>
    <t>Level : (숫자)</t>
    <phoneticPr fontId="4" type="noConversion"/>
  </si>
  <si>
    <t>#QuickMove 주석</t>
    <phoneticPr fontId="4" type="noConversion"/>
  </si>
  <si>
    <t>QuickMove.GuildOperation</t>
    <phoneticPr fontId="4" type="noConversion"/>
  </si>
  <si>
    <t>QuickMove0310</t>
    <phoneticPr fontId="4" type="noConversion"/>
  </si>
  <si>
    <t>QuickMove.Starbeat.Shop</t>
    <phoneticPr fontId="4" type="noConversion"/>
  </si>
  <si>
    <t>QuickMove.Plugin</t>
    <phoneticPr fontId="4" type="noConversion"/>
  </si>
  <si>
    <t>QuickMove.Dispatch.Fuction</t>
    <phoneticPr fontId="4" type="noConversion"/>
  </si>
  <si>
    <t>QuickMove0260</t>
  </si>
  <si>
    <t>QuickMove.GuildSupport</t>
    <phoneticPr fontId="4" type="noConversion"/>
  </si>
  <si>
    <t>QuickMove0480</t>
    <phoneticPr fontId="4" type="noConversion"/>
  </si>
  <si>
    <t>QuickMove0670</t>
  </si>
  <si>
    <t>QuickMove.Dispatch.Fuction</t>
    <phoneticPr fontId="4" type="noConversion"/>
  </si>
  <si>
    <t>QuickMove0250</t>
    <phoneticPr fontId="4" type="noConversion"/>
  </si>
  <si>
    <t>QuickMove.Academy.Fuction</t>
    <phoneticPr fontId="4" type="noConversion"/>
  </si>
  <si>
    <t>QuickMove0680</t>
    <phoneticPr fontId="4" type="noConversion"/>
  </si>
  <si>
    <t>QuickMove.Plugin</t>
    <phoneticPr fontId="4" type="noConversion"/>
  </si>
  <si>
    <t>가챠진행</t>
    <phoneticPr fontId="4" type="noConversion"/>
  </si>
  <si>
    <t>프록시안 등급 달성 수</t>
    <phoneticPr fontId="4" type="noConversion"/>
  </si>
  <si>
    <t>프록시안 레벨 달성 수</t>
    <phoneticPr fontId="4" type="noConversion"/>
  </si>
  <si>
    <t>프록시안 선물 전달</t>
    <phoneticPr fontId="4" type="noConversion"/>
  </si>
  <si>
    <t>검색 - 프록시안 시도</t>
    <phoneticPr fontId="4" type="noConversion"/>
  </si>
  <si>
    <t>검색 - 프록시안 확정</t>
    <phoneticPr fontId="4" type="noConversion"/>
  </si>
  <si>
    <t>프록시안 등급 달성</t>
    <phoneticPr fontId="4" type="noConversion"/>
  </si>
  <si>
    <t>프록시안 레벨 달성</t>
    <phoneticPr fontId="4" type="noConversion"/>
  </si>
  <si>
    <t>프록시안 레벨 업</t>
    <phoneticPr fontId="4" type="noConversion"/>
  </si>
  <si>
    <t>프록시안 최고 등급 달성치</t>
    <phoneticPr fontId="4" type="noConversion"/>
  </si>
  <si>
    <t>IdleBattleFastReward</t>
    <phoneticPr fontId="4" type="noConversion"/>
  </si>
  <si>
    <t>SkillLvUp</t>
    <phoneticPr fontId="4" type="noConversion"/>
  </si>
  <si>
    <t>QuickMove0420</t>
    <phoneticPr fontId="4" type="noConversion"/>
  </si>
  <si>
    <t>QuickMove0420</t>
    <phoneticPr fontId="4" type="noConversion"/>
  </si>
  <si>
    <t>CompleteFacilityUpgrade</t>
    <phoneticPr fontId="4" type="noConversion"/>
  </si>
  <si>
    <t>ReadStory</t>
    <phoneticPr fontId="4" type="noConversion"/>
  </si>
  <si>
    <t>ResearchSeed</t>
    <phoneticPr fontId="4" type="noConversion"/>
  </si>
  <si>
    <t>ArenaVictory</t>
    <phoneticPr fontId="4" type="noConversion"/>
  </si>
  <si>
    <t>QuickMove.Arena</t>
    <phoneticPr fontId="4" type="noConversion"/>
  </si>
  <si>
    <t>EventStoryScoreReached</t>
    <phoneticPr fontId="4" type="noConversion"/>
  </si>
  <si>
    <t>QuickMove.EventStoryBattle.Anne.01</t>
    <phoneticPr fontId="4" type="noConversion"/>
  </si>
  <si>
    <t>QuickMove.EventStoryBattle.(프록시안명숫자)</t>
    <phoneticPr fontId="4" type="noConversion"/>
  </si>
  <si>
    <t>인앱 구매</t>
    <phoneticPr fontId="4" type="noConversion"/>
  </si>
  <si>
    <t>InAppPurchase</t>
    <phoneticPr fontId="4" type="noConversion"/>
  </si>
  <si>
    <t>QuickMove.CashShop</t>
    <phoneticPr fontId="4" type="noConversion"/>
  </si>
  <si>
    <t>QuickMove.CashShop</t>
    <phoneticPr fontId="4" type="noConversion"/>
  </si>
  <si>
    <t>장비 레벨 달성 수</t>
    <phoneticPr fontId="4" type="noConversion"/>
  </si>
  <si>
    <t>프록시안 특정 등급 이상 승급</t>
    <phoneticPr fontId="4" type="noConversion"/>
  </si>
  <si>
    <t>아카데미 특정 등급 이상의 칭호 획득</t>
  </si>
  <si>
    <t>장비 특정등급이상 착용</t>
    <phoneticPr fontId="4" type="noConversion"/>
  </si>
  <si>
    <t>CharacterStagePlay</t>
    <phoneticPr fontId="4" type="noConversion"/>
  </si>
  <si>
    <t>프록시안 특정 스테이지 플레이</t>
    <phoneticPr fontId="4" type="noConversion"/>
  </si>
  <si>
    <t>CommunicationCritical</t>
    <phoneticPr fontId="4" type="noConversion"/>
  </si>
  <si>
    <t>MaxStagePlay</t>
    <phoneticPr fontId="4" type="noConversion"/>
  </si>
  <si>
    <t>프록시안 경험치강화</t>
    <phoneticPr fontId="4" type="noConversion"/>
  </si>
  <si>
    <t>프록시안 보유</t>
    <phoneticPr fontId="4" type="noConversion"/>
  </si>
  <si>
    <t>#</t>
    <phoneticPr fontId="4" type="noConversion"/>
  </si>
  <si>
    <t>#</t>
    <phoneticPr fontId="4" type="noConversion"/>
  </si>
  <si>
    <t>Grade : (등급 Type)</t>
    <phoneticPr fontId="4" type="noConversion"/>
  </si>
  <si>
    <t>QuickMove0100</t>
  </si>
  <si>
    <t>QuickMove0100</t>
    <phoneticPr fontId="4" type="noConversion"/>
  </si>
  <si>
    <t>QuickMove0100</t>
    <phoneticPr fontId="4" type="noConversion"/>
  </si>
  <si>
    <t>QuickMove.Favorability</t>
  </si>
  <si>
    <t>QuickMove0660</t>
  </si>
  <si>
    <t>MissionPointType : Recommend1</t>
    <phoneticPr fontId="4" type="noConversion"/>
  </si>
  <si>
    <t>MissionPointType : (미션 포인트 ID)</t>
    <phoneticPr fontId="4" type="noConversion"/>
  </si>
  <si>
    <t>ItemId : 1040103011</t>
    <phoneticPr fontId="4" type="noConversion"/>
  </si>
  <si>
    <t>레더 점수 달성</t>
  </si>
  <si>
    <t>QuickMove0680</t>
  </si>
  <si>
    <t>StageId : 스테이지150</t>
    <phoneticPr fontId="4" type="noConversion"/>
  </si>
  <si>
    <t>Grade : MR</t>
    <phoneticPr fontId="4" type="noConversion"/>
  </si>
  <si>
    <t>CharacterGradeUp</t>
    <phoneticPr fontId="4" type="noConversion"/>
  </si>
  <si>
    <t>ItemEquip</t>
    <phoneticPr fontId="4" type="noConversion"/>
  </si>
  <si>
    <t>QuickMove0170</t>
    <phoneticPr fontId="4" type="noConversion"/>
  </si>
  <si>
    <t>QuickMove0570</t>
    <phoneticPr fontId="4" type="noConversion"/>
  </si>
  <si>
    <t>QuickMove0570</t>
    <phoneticPr fontId="4" type="noConversion"/>
  </si>
  <si>
    <t>QuickMove0170</t>
    <phoneticPr fontId="4" type="noConversion"/>
  </si>
  <si>
    <t>Recommend.Mission.Title.1.4</t>
    <phoneticPr fontId="4" type="noConversion"/>
  </si>
  <si>
    <t>QuickMove0010</t>
    <phoneticPr fontId="4" type="noConversion"/>
  </si>
  <si>
    <t>QuickMove0660</t>
    <phoneticPr fontId="4" type="noConversion"/>
  </si>
  <si>
    <t>N등급 이상 장비 착용하기</t>
    <phoneticPr fontId="4" type="noConversion"/>
  </si>
  <si>
    <t>Mission.Guide.Title.025</t>
    <phoneticPr fontId="4" type="noConversion"/>
  </si>
  <si>
    <t>Mission.Guide.Desc.025</t>
    <phoneticPr fontId="4" type="noConversion"/>
  </si>
  <si>
    <t>Recommend.Mission.Title.1.12</t>
    <phoneticPr fontId="4" type="noConversion"/>
  </si>
  <si>
    <t>Weekly.Mission.110</t>
    <phoneticPr fontId="4" type="noConversion"/>
  </si>
  <si>
    <t>AsniaMissionHub</t>
    <phoneticPr fontId="4" type="noConversion"/>
  </si>
  <si>
    <t>[dsl]</t>
    <phoneticPr fontId="4" type="noConversion"/>
  </si>
  <si>
    <t>StarRecord(3040400003)</t>
  </si>
  <si>
    <t>Mission.Name.UseCurrency.Event.Yurizia</t>
    <phoneticPr fontId="30" type="noConversion"/>
  </si>
  <si>
    <t>QuickMove.EventStoryBattle.Yurizia.01</t>
  </si>
  <si>
    <t>QuickMove.EventStoryShop.Yurizia.01</t>
  </si>
  <si>
    <t>1-4 전투 승리</t>
    <phoneticPr fontId="30" type="noConversion"/>
  </si>
  <si>
    <t>StageId : 스테이지4</t>
    <phoneticPr fontId="30" type="noConversion"/>
  </si>
  <si>
    <t>1-5전투 승리</t>
    <phoneticPr fontId="30" type="noConversion"/>
  </si>
  <si>
    <t>StageId : 스테이지5</t>
    <phoneticPr fontId="30" type="noConversion"/>
  </si>
  <si>
    <t>앰브로시아 영입</t>
    <phoneticPr fontId="4" type="noConversion"/>
  </si>
  <si>
    <t>CharacterId:1010920004</t>
    <phoneticPr fontId="4" type="noConversion"/>
  </si>
  <si>
    <t>CharacterLevelReached</t>
    <phoneticPr fontId="4" type="noConversion"/>
  </si>
  <si>
    <t>Item(1040605101, 1)</t>
  </si>
  <si>
    <t>Mission.Guide.Title.001</t>
    <phoneticPr fontId="4" type="noConversion"/>
  </si>
  <si>
    <t>시민 의뢰(교환)</t>
    <phoneticPr fontId="4" type="noConversion"/>
  </si>
  <si>
    <t>시민 의뢰(선물)</t>
    <phoneticPr fontId="4" type="noConversion"/>
  </si>
  <si>
    <t>시민 의뢰</t>
    <phoneticPr fontId="4" type="noConversion"/>
  </si>
  <si>
    <t>AsniaRequestExchange</t>
    <phoneticPr fontId="4" type="noConversion"/>
  </si>
  <si>
    <t>AsniaRequestGift</t>
    <phoneticPr fontId="4" type="noConversion"/>
  </si>
  <si>
    <t>AsniaRequestComplete</t>
    <phoneticPr fontId="4" type="noConversion"/>
  </si>
  <si>
    <t>GoalTarget</t>
    <phoneticPr fontId="4" type="noConversion"/>
  </si>
  <si>
    <t>상점구매</t>
    <phoneticPr fontId="4" type="noConversion"/>
  </si>
  <si>
    <t>#</t>
    <phoneticPr fontId="4" type="noConversion"/>
  </si>
  <si>
    <t>#</t>
    <phoneticPr fontId="4" type="noConversion"/>
  </si>
  <si>
    <t>#</t>
    <phoneticPr fontId="4" type="noConversion"/>
  </si>
  <si>
    <t>시민 의뢰(교환)</t>
  </si>
  <si>
    <t>시민 의뢰(선물)</t>
  </si>
  <si>
    <t>MissionPointType : Daily</t>
    <phoneticPr fontId="4" type="noConversion"/>
  </si>
  <si>
    <t>MissionPointType : AMH</t>
    <phoneticPr fontId="4" type="noConversion"/>
  </si>
  <si>
    <t>Mission.AsniaMissionHub.07</t>
  </si>
  <si>
    <t>Mission.AsniaMissionHub.09</t>
  </si>
  <si>
    <t>Mission.AsniaMissionHub.10</t>
  </si>
  <si>
    <t>Mission.AsniaMissionHub.11</t>
  </si>
  <si>
    <t>Mission.AsniaMissionHub.13</t>
  </si>
  <si>
    <t>Mission.AsniaMissionHub.14</t>
  </si>
  <si>
    <t>파견 완료</t>
    <phoneticPr fontId="4" type="noConversion"/>
  </si>
  <si>
    <t>Grade : (등급 값)</t>
  </si>
  <si>
    <t>파견 완료</t>
  </si>
  <si>
    <t>TutorialId:3100000033</t>
    <phoneticPr fontId="4" type="noConversion"/>
  </si>
  <si>
    <t>CharacterPossess</t>
    <phoneticPr fontId="4" type="noConversion"/>
  </si>
  <si>
    <t>IdleBattleReward</t>
    <phoneticPr fontId="4" type="noConversion"/>
  </si>
  <si>
    <t>QuickMove0110</t>
    <phoneticPr fontId="4" type="noConversion"/>
  </si>
  <si>
    <t>QuickMove0110</t>
    <phoneticPr fontId="4" type="noConversion"/>
  </si>
  <si>
    <t>QuickMove0560</t>
    <phoneticPr fontId="4" type="noConversion"/>
  </si>
  <si>
    <t>QuickMove0620</t>
    <phoneticPr fontId="4" type="noConversion"/>
  </si>
  <si>
    <t>QuickMove0570</t>
    <phoneticPr fontId="4" type="noConversion"/>
  </si>
  <si>
    <t>QuickMove.IdleBattlePopup</t>
    <phoneticPr fontId="4" type="noConversion"/>
  </si>
  <si>
    <t>QuickMove.IdleBattlePopup</t>
    <phoneticPr fontId="4" type="noConversion"/>
  </si>
  <si>
    <t>QuickMove.IdleBattlePopup</t>
    <phoneticPr fontId="4" type="noConversion"/>
  </si>
  <si>
    <t>#</t>
    <phoneticPr fontId="4" type="noConversion"/>
  </si>
  <si>
    <t>#</t>
    <phoneticPr fontId="4" type="noConversion"/>
  </si>
  <si>
    <t>Item(1040503152, 1)
Item(1040102001, 10)</t>
  </si>
  <si>
    <t>Item(1040503152, 2)
Item(1040102001, 10)</t>
  </si>
  <si>
    <t>Item(1040503152, 3)
Item(1040102001, 10)</t>
  </si>
  <si>
    <t>Mission.Guide.Title.013</t>
  </si>
  <si>
    <t>Item(1040503153, 1)
Item(1040102001, 10)</t>
  </si>
  <si>
    <t>Item(1040503153, 2)
Item(1040102001, 10)</t>
  </si>
  <si>
    <t>Item(1040503153, 3)
Item(1040102001, 10)</t>
  </si>
  <si>
    <t>DispatchFinish</t>
    <phoneticPr fontId="4" type="noConversion"/>
  </si>
  <si>
    <t>MissionTabType?</t>
    <phoneticPr fontId="4" type="noConversion"/>
  </si>
  <si>
    <t>ContentsType : AsniaQuest</t>
  </si>
  <si>
    <t>QuickMove.Favorability</t>
    <phoneticPr fontId="4" type="noConversion"/>
  </si>
  <si>
    <t>QuickMove.Favorability</t>
    <phoneticPr fontId="4" type="noConversion"/>
  </si>
  <si>
    <t>LevelRange(1,200)</t>
    <phoneticPr fontId="4" type="noConversion"/>
  </si>
  <si>
    <t>Always()</t>
    <phoneticPr fontId="4" type="noConversion"/>
  </si>
  <si>
    <t>스테이지 클리어 별 달성 수</t>
    <phoneticPr fontId="4" type="noConversion"/>
  </si>
  <si>
    <t>StageClearRating</t>
  </si>
  <si>
    <t>StarRecord(3040400004)</t>
    <phoneticPr fontId="4" type="noConversion"/>
  </si>
  <si>
    <t>RewardCurrency</t>
    <phoneticPr fontId="4" type="noConversion"/>
  </si>
  <si>
    <t>ItemId : (아이템 ID)</t>
    <phoneticPr fontId="4" type="noConversion"/>
  </si>
  <si>
    <t>ItemId : 1040201001</t>
    <phoneticPr fontId="4" type="noConversion"/>
  </si>
  <si>
    <t>7Days.Mission.Desc.4.5</t>
    <phoneticPr fontId="4" type="noConversion"/>
  </si>
  <si>
    <t>Main.Mission.150</t>
    <phoneticPr fontId="4" type="noConversion"/>
  </si>
  <si>
    <t>Recommend.Mission.Title.4.10</t>
    <phoneticPr fontId="4" type="noConversion"/>
  </si>
  <si>
    <t>Recommend.Mission.Title.4.2</t>
    <phoneticPr fontId="4" type="noConversion"/>
  </si>
  <si>
    <t>Mission.Event.Roulette.0101</t>
  </si>
  <si>
    <t>Mission.Event.Roulette.0101</t>
    <phoneticPr fontId="30" type="noConversion"/>
  </si>
  <si>
    <t>Mission.Group.Name.Event.Roulette</t>
    <phoneticPr fontId="4" type="noConversion"/>
  </si>
  <si>
    <t>Item(1040503191, 3)</t>
    <phoneticPr fontId="4" type="noConversion"/>
  </si>
  <si>
    <t>Mission.Event.Roulette.0102</t>
  </si>
  <si>
    <t>Mission.Event.Roulette.0102</t>
    <phoneticPr fontId="30" type="noConversion"/>
  </si>
  <si>
    <t>QuickMove0350</t>
    <phoneticPr fontId="4" type="noConversion"/>
  </si>
  <si>
    <t>Item(1040503191, 2)</t>
    <phoneticPr fontId="4" type="noConversion"/>
  </si>
  <si>
    <t>Item(1040503191, 4)</t>
    <phoneticPr fontId="4" type="noConversion"/>
  </si>
  <si>
    <t>Item(1040503191, 5)</t>
    <phoneticPr fontId="4" type="noConversion"/>
  </si>
  <si>
    <t>가챠진행</t>
  </si>
  <si>
    <t>검색 - 프록시안</t>
  </si>
  <si>
    <t>검색 - 플러그인</t>
  </si>
  <si>
    <t>검색 - 프록시안 시도</t>
  </si>
  <si>
    <t>검색 - 프록시안 확정</t>
  </si>
  <si>
    <t>CommunicationCritical</t>
  </si>
  <si>
    <t>도미니언 레벨 그룹 완료</t>
  </si>
  <si>
    <t>도미니언 에어리어 오픈</t>
  </si>
  <si>
    <t>DominionAreaOpen</t>
  </si>
  <si>
    <t>LadderScore</t>
  </si>
  <si>
    <t>미션포인트 - 일일미션</t>
  </si>
  <si>
    <t>미션포인트 - 주간미션</t>
  </si>
  <si>
    <t>IdleBattleFastReward</t>
  </si>
  <si>
    <t>상품 구매 포인트</t>
  </si>
  <si>
    <t>CompleteFacilityUpgrade</t>
  </si>
  <si>
    <t>스테이지클리어 - 물자탐색</t>
  </si>
  <si>
    <t>스테이지클리어 - 길드 작전</t>
  </si>
  <si>
    <t>스테이지클리어 - 월드 레이드</t>
  </si>
  <si>
    <t>스테이지클리어 - 데이터타워</t>
  </si>
  <si>
    <t>ReadStory</t>
  </si>
  <si>
    <t>ResearchSeed</t>
  </si>
  <si>
    <t>시민 의뢰</t>
  </si>
  <si>
    <t>AsniaRequestComplete</t>
  </si>
  <si>
    <t>AsniaRequestExchange</t>
  </si>
  <si>
    <t>AsniaRequestGift</t>
  </si>
  <si>
    <t>아레나승리 - 기본</t>
  </si>
  <si>
    <t>아레나승리 - 팀아레나</t>
  </si>
  <si>
    <t>액티베이션 센터 활성화</t>
  </si>
  <si>
    <t>ActiveActivationCenter</t>
  </si>
  <si>
    <t>UseMercenary</t>
  </si>
  <si>
    <t>이벤트 빙고 달성</t>
  </si>
  <si>
    <t>EventBingo</t>
  </si>
  <si>
    <t>이벤트스토리 스코어 달성 수</t>
  </si>
  <si>
    <t>인앱 구매</t>
  </si>
  <si>
    <t>InAppPurchase</t>
  </si>
  <si>
    <t>장비 레벨 달성 수</t>
  </si>
  <si>
    <t>장비 특정등급이상 착용</t>
  </si>
  <si>
    <t>ChapterClear</t>
  </si>
  <si>
    <t>MaxStagePlay</t>
  </si>
  <si>
    <t>DispatchFinish</t>
  </si>
  <si>
    <t>프록시안 경험치강화</t>
  </si>
  <si>
    <t>프록시안 등급 달성</t>
  </si>
  <si>
    <t>프록시안 등급 달성 수</t>
  </si>
  <si>
    <t>CharacterGradeReached</t>
  </si>
  <si>
    <t>프록시안 레벨 달성</t>
  </si>
  <si>
    <t>프록시안 레벨 달성 수</t>
  </si>
  <si>
    <t>프록시안 레벨 업</t>
  </si>
  <si>
    <t>프록시안 보유</t>
  </si>
  <si>
    <t>프록시안 선물 전달</t>
  </si>
  <si>
    <t>GiveGift</t>
  </si>
  <si>
    <t>프록시안 최고 등급 달성치</t>
  </si>
  <si>
    <t>MaxCharacterGradeUp</t>
  </si>
  <si>
    <t>프록시안 특정 스테이지 플레이</t>
  </si>
  <si>
    <t>CharacterStagePlay</t>
  </si>
  <si>
    <t>PluginLevelReached</t>
  </si>
  <si>
    <t>PluginDevelopment</t>
  </si>
  <si>
    <t>플러그인레벨업</t>
  </si>
  <si>
    <t>플러그인승급</t>
  </si>
  <si>
    <t>FavorLevelUp</t>
  </si>
  <si>
    <t>?길드 경험치</t>
  </si>
  <si>
    <t>?스테이지 클리어</t>
  </si>
  <si>
    <t>?아이템 장비</t>
  </si>
  <si>
    <t>?펫 탐색</t>
  </si>
  <si>
    <t>?펫 판매</t>
  </si>
  <si>
    <t>?펫 획득</t>
  </si>
  <si>
    <t>?홀로그램 경험치</t>
  </si>
  <si>
    <t>스테이지 클리어 별 달성 수</t>
  </si>
  <si>
    <t>스테이지플레이 - 물자탐색</t>
  </si>
  <si>
    <t>스테이지플레이 - 월드 레이드</t>
  </si>
  <si>
    <t>스테이지플레이 - 통합작전</t>
  </si>
  <si>
    <t>스테이지플레이 - 데이터타워</t>
  </si>
  <si>
    <t>Mission.Group.Name.Event.SlotMachine</t>
    <phoneticPr fontId="4" type="noConversion"/>
  </si>
  <si>
    <t>Mission.Name.UseCurrency.Event.Eradica</t>
    <phoneticPr fontId="30" type="noConversion"/>
  </si>
  <si>
    <t>재화획득 - 우정포인트</t>
  </si>
  <si>
    <t>재화획득 - 우정포인트</t>
    <phoneticPr fontId="4" type="noConversion"/>
  </si>
  <si>
    <t>스테이지클리어 - 아스니아 전투 의뢰</t>
    <phoneticPr fontId="4" type="noConversion"/>
  </si>
  <si>
    <t>재화사용 - 길드 코인</t>
  </si>
  <si>
    <t>재화사용 - 길드 코인</t>
    <phoneticPr fontId="4" type="noConversion"/>
  </si>
  <si>
    <t>ItemId:1040103021</t>
    <phoneticPr fontId="4" type="noConversion"/>
  </si>
  <si>
    <t>QuickMove.Guild.Shop</t>
    <phoneticPr fontId="4" type="noConversion"/>
  </si>
  <si>
    <t>#</t>
    <phoneticPr fontId="4" type="noConversion"/>
  </si>
  <si>
    <t>#</t>
    <phoneticPr fontId="4" type="noConversion"/>
  </si>
  <si>
    <t>#</t>
    <phoneticPr fontId="4" type="noConversion"/>
  </si>
  <si>
    <t>ContentsType : Dominion</t>
  </si>
  <si>
    <t>스테이지클리어 - 도미니언</t>
  </si>
  <si>
    <t>스테이지클리어 - 도미니언</t>
    <phoneticPr fontId="4" type="noConversion"/>
  </si>
  <si>
    <t>ContentsType : GuildAssault</t>
  </si>
  <si>
    <t>스테이지플레이 - 길드 작전</t>
    <phoneticPr fontId="4" type="noConversion"/>
  </si>
  <si>
    <t>스테이지플레이 - 길드 총력전</t>
  </si>
  <si>
    <t>스테이지플레이 - 길드 총력전</t>
    <phoneticPr fontId="4" type="noConversion"/>
  </si>
  <si>
    <t>아레나플레이 - 기본</t>
  </si>
  <si>
    <t>아레나플레이 - 기본</t>
    <phoneticPr fontId="4" type="noConversion"/>
  </si>
  <si>
    <t>아레나플레이 - 팀아레나</t>
  </si>
  <si>
    <t>아레나플레이 - 팀아레나</t>
    <phoneticPr fontId="4" type="noConversion"/>
  </si>
  <si>
    <t>ContentsType : ArenaChallenge</t>
  </si>
  <si>
    <t>QuickMove0510</t>
  </si>
  <si>
    <t>스테이지클리어 - 아레나 챌린지</t>
  </si>
  <si>
    <t>스테이지클리어 - 아레나 챌린지</t>
    <phoneticPr fontId="4" type="noConversion"/>
  </si>
  <si>
    <t>QuickMove0480</t>
  </si>
  <si>
    <t>QuickMove.EventStoryBattle.(프록시안명숫자)</t>
  </si>
  <si>
    <t>QuickMove.CashShop</t>
  </si>
  <si>
    <t>QuickMove.IdleBattlePopup</t>
  </si>
  <si>
    <t>프록시안 특정 등급 이상 승급</t>
    <phoneticPr fontId="4" type="noConversion"/>
  </si>
  <si>
    <t>프록시안 UR 이상 승급</t>
    <phoneticPr fontId="4" type="noConversion"/>
  </si>
  <si>
    <t>Grade : UR</t>
    <phoneticPr fontId="4" type="noConversion"/>
  </si>
  <si>
    <t>프록시안 UR1 이상 승급</t>
    <phoneticPr fontId="4" type="noConversion"/>
  </si>
  <si>
    <t>Grade : UR1</t>
    <phoneticPr fontId="4" type="noConversion"/>
  </si>
  <si>
    <t>프록시안 MR 이상 승급</t>
  </si>
  <si>
    <t>프록시안 MR 이상 승급</t>
    <phoneticPr fontId="4" type="noConversion"/>
  </si>
  <si>
    <t>Grade : MR</t>
    <phoneticPr fontId="4" type="noConversion"/>
  </si>
  <si>
    <t>Item(1040503152, 5)
Item(1040102001, 10)</t>
  </si>
  <si>
    <t>Mission.Event.Bingo.0119</t>
  </si>
  <si>
    <t>Mission.Event.Bingo.0120</t>
  </si>
  <si>
    <t>Mission.Event.Bingo.0121</t>
  </si>
  <si>
    <t>Mission.Event.Bingo.0122</t>
  </si>
  <si>
    <t>Mission.Event.Bingo.0124</t>
  </si>
  <si>
    <t>Mission.Event.Bingo.0125</t>
  </si>
  <si>
    <t>Mission.Event.Bingo.0126</t>
  </si>
  <si>
    <t>Mission.Event.Bingo.0127</t>
  </si>
  <si>
    <t>Mission.Event.Bingo.0128</t>
  </si>
  <si>
    <t>Item(1040503155, 1)
Item(1040102001, 10)</t>
  </si>
  <si>
    <t>Item(1040503155, 2)
Item(1040102001, 10)</t>
  </si>
  <si>
    <t>Item(1040503155, 3)
Item(1040102001, 10)</t>
  </si>
  <si>
    <t>Item(1040503155, 5)
Item(1040102001, 10)</t>
  </si>
  <si>
    <t>Item(1040503154, 1)
Item(1040102001, 10)</t>
  </si>
  <si>
    <t>Item(1040503154, 2)
Item(1040102001, 10)</t>
  </si>
  <si>
    <t>Item(1040503154, 3)
Item(1040102001, 10)</t>
  </si>
  <si>
    <t>Item(1040503154, 5)
Item(1040102001, 10)</t>
  </si>
  <si>
    <t>Item(1040503153, 5)
Item(1040102001, 10)</t>
  </si>
  <si>
    <t>Event</t>
  </si>
  <si>
    <t>Mission.Group.Name.Event.Roulette</t>
  </si>
  <si>
    <t>Item(1040503192, 2)</t>
    <phoneticPr fontId="4" type="noConversion"/>
  </si>
  <si>
    <t>Item(1040503192, 3)</t>
    <phoneticPr fontId="4" type="noConversion"/>
  </si>
  <si>
    <t>Item(1040503192, 4)</t>
    <phoneticPr fontId="4" type="noConversion"/>
  </si>
  <si>
    <t>Item(1040503192, 5)</t>
    <phoneticPr fontId="4" type="noConversion"/>
  </si>
  <si>
    <t>Item(1040503193, 2)</t>
    <phoneticPr fontId="4" type="noConversion"/>
  </si>
  <si>
    <t>Item(1040503193, 3)</t>
    <phoneticPr fontId="4" type="noConversion"/>
  </si>
  <si>
    <t>Item(1040503193, 4)</t>
    <phoneticPr fontId="4" type="noConversion"/>
  </si>
  <si>
    <t>Item(1040503193, 5)</t>
    <phoneticPr fontId="4" type="noConversion"/>
  </si>
  <si>
    <t>스테이지클리어 - 통합작전</t>
    <phoneticPr fontId="4" type="noConversion"/>
  </si>
  <si>
    <t>Item(1040503201, 1)</t>
  </si>
  <si>
    <t>Item(1040503201, 2)</t>
  </si>
  <si>
    <t>Item(1040503201, 2)</t>
    <phoneticPr fontId="4" type="noConversion"/>
  </si>
  <si>
    <t>Mission.Event.SlotMachine</t>
    <phoneticPr fontId="30" type="noConversion"/>
  </si>
  <si>
    <t>Mission.Event.SlotMachine.002</t>
  </si>
  <si>
    <t>Mission.Event.SlotMachine.003</t>
  </si>
  <si>
    <t>Mission.Event.SlotMachine.004</t>
  </si>
  <si>
    <t>Mission.Event.SlotMachine.005</t>
  </si>
  <si>
    <t>Mission.Event.SlotMachine.006</t>
  </si>
  <si>
    <t>Mission.Event.SlotMachine.008</t>
  </si>
  <si>
    <t>Mission.Event.SlotMachine.009</t>
  </si>
  <si>
    <t>Mission.Event.SlotMachine.010</t>
  </si>
  <si>
    <t>Mission.Event.SlotMachine.011</t>
  </si>
  <si>
    <t>Mission.Event.SlotMachine.012</t>
  </si>
  <si>
    <t>Mission.Event.SlotMachine.014</t>
  </si>
  <si>
    <t>Mission.Event.SlotMachine.015</t>
  </si>
  <si>
    <t>Mission.Event.SlotMachine.016</t>
  </si>
  <si>
    <t>Mission.Event.SlotMachine.017</t>
  </si>
  <si>
    <t>Mission.Event.SlotMachine.018</t>
  </si>
  <si>
    <t>Item(1040605141, 1)
MissionPoint(AMH, 1)</t>
    <phoneticPr fontId="4" type="noConversion"/>
  </si>
  <si>
    <t>QuickMove0300</t>
  </si>
  <si>
    <t>Icon</t>
    <phoneticPr fontId="4" type="noConversion"/>
  </si>
  <si>
    <t>string</t>
    <phoneticPr fontId="4" type="noConversion"/>
  </si>
  <si>
    <t>client</t>
    <phoneticPr fontId="4" type="noConversion"/>
  </si>
  <si>
    <t>tab_mission_daily</t>
    <phoneticPr fontId="4" type="noConversion"/>
  </si>
  <si>
    <t>tab_mission_weekly</t>
    <phoneticPr fontId="4" type="noConversion"/>
  </si>
  <si>
    <t>tab_mission_main</t>
    <phoneticPr fontId="4" type="noConversion"/>
  </si>
  <si>
    <t>StaticDateRange(2023-10-09 00:00:00 ~ 2023-10-23 00:00:00)</t>
    <phoneticPr fontId="30" type="noConversion"/>
  </si>
  <si>
    <t>DateRangeCondition</t>
    <phoneticPr fontId="4" type="noConversion"/>
  </si>
  <si>
    <t>dsl?</t>
    <phoneticPr fontId="4" type="noConversion"/>
  </si>
  <si>
    <t>(5-&gt;4)</t>
    <phoneticPr fontId="4" type="noConversion"/>
  </si>
  <si>
    <t>(6-&gt;5)</t>
    <phoneticPr fontId="4" type="noConversion"/>
  </si>
  <si>
    <t>(7-&gt;6)</t>
    <phoneticPr fontId="4" type="noConversion"/>
  </si>
  <si>
    <t>캐릭터 5명 3레벨 강화</t>
    <phoneticPr fontId="4" type="noConversion"/>
  </si>
  <si>
    <t>(신규)</t>
    <phoneticPr fontId="4" type="noConversion"/>
  </si>
  <si>
    <t>Level : 3</t>
    <phoneticPr fontId="4" type="noConversion"/>
  </si>
  <si>
    <t>(10-&gt;8)</t>
    <phoneticPr fontId="4" type="noConversion"/>
  </si>
  <si>
    <t>(8-&gt;10)</t>
    <phoneticPr fontId="4" type="noConversion"/>
  </si>
  <si>
    <t>(9-&gt;11)</t>
    <phoneticPr fontId="4" type="noConversion"/>
  </si>
  <si>
    <t>(20-&gt;9)</t>
    <phoneticPr fontId="4" type="noConversion"/>
  </si>
  <si>
    <t>1-19 전투 승리</t>
    <phoneticPr fontId="4" type="noConversion"/>
  </si>
  <si>
    <t>StageId : 스테이지19</t>
    <phoneticPr fontId="4" type="noConversion"/>
  </si>
  <si>
    <t>(11-&gt;12)</t>
    <phoneticPr fontId="4" type="noConversion"/>
  </si>
  <si>
    <t>(12-&gt;13)</t>
    <phoneticPr fontId="4" type="noConversion"/>
  </si>
  <si>
    <t>(13-&gt;14)</t>
    <phoneticPr fontId="4" type="noConversion"/>
  </si>
  <si>
    <t>(14-&gt;15)</t>
    <phoneticPr fontId="4" type="noConversion"/>
  </si>
  <si>
    <t>(15-&gt;16)</t>
    <phoneticPr fontId="4" type="noConversion"/>
  </si>
  <si>
    <t>(16-&gt;17)</t>
    <phoneticPr fontId="4" type="noConversion"/>
  </si>
  <si>
    <t>(17-&gt;18)</t>
    <phoneticPr fontId="4" type="noConversion"/>
  </si>
  <si>
    <t>(19-&gt;20)</t>
    <phoneticPr fontId="4" type="noConversion"/>
  </si>
  <si>
    <t>(18-&gt;19)</t>
    <phoneticPr fontId="4" type="noConversion"/>
  </si>
  <si>
    <t>Mission.Guide.Title.004</t>
    <phoneticPr fontId="4" type="noConversion"/>
  </si>
  <si>
    <t>Mission.Guide.Title.005</t>
    <phoneticPr fontId="4" type="noConversion"/>
  </si>
  <si>
    <t>Mission.Guide.Title.006</t>
    <phoneticPr fontId="4" type="noConversion"/>
  </si>
  <si>
    <t>Mission.Guide.Title.007</t>
    <phoneticPr fontId="4" type="noConversion"/>
  </si>
  <si>
    <t>Mission.Guide.Title.008</t>
    <phoneticPr fontId="4" type="noConversion"/>
  </si>
  <si>
    <t>Mission.Guide.Desc.004</t>
    <phoneticPr fontId="4" type="noConversion"/>
  </si>
  <si>
    <t>Mission.Guide.Desc.005</t>
    <phoneticPr fontId="4" type="noConversion"/>
  </si>
  <si>
    <t>Mission.Guide.Desc.006</t>
    <phoneticPr fontId="4" type="noConversion"/>
  </si>
  <si>
    <t>Mission.Guide.Desc.007</t>
    <phoneticPr fontId="4" type="noConversion"/>
  </si>
  <si>
    <t>Mission.Guide.Title.010</t>
    <phoneticPr fontId="4" type="noConversion"/>
  </si>
  <si>
    <t>Mission.Guide.Desc.010</t>
    <phoneticPr fontId="4" type="noConversion"/>
  </si>
  <si>
    <t>Mission.Guide.Title.011</t>
    <phoneticPr fontId="4" type="noConversion"/>
  </si>
  <si>
    <t>Mission.Guide.Desc.011</t>
    <phoneticPr fontId="4" type="noConversion"/>
  </si>
  <si>
    <t>Mission.Guide.Title.020</t>
    <phoneticPr fontId="4" type="noConversion"/>
  </si>
  <si>
    <t>Mission.Guide.Desc.020</t>
    <phoneticPr fontId="4" type="noConversion"/>
  </si>
  <si>
    <t>Item(1040603006, 1)</t>
  </si>
  <si>
    <t>Mission.Guide.Desc.001</t>
    <phoneticPr fontId="4" type="noConversion"/>
  </si>
  <si>
    <t>Mission.Guide.Talk.001</t>
    <phoneticPr fontId="4" type="noConversion"/>
  </si>
  <si>
    <t>Mission.Guide.Title.023</t>
    <phoneticPr fontId="4" type="noConversion"/>
  </si>
  <si>
    <t>Mission.Guide.Desc.023</t>
    <phoneticPr fontId="4" type="noConversion"/>
  </si>
  <si>
    <t>Item(1040102001, 200)</t>
    <phoneticPr fontId="4" type="noConversion"/>
  </si>
  <si>
    <t>Grade : SR</t>
    <phoneticPr fontId="4" type="noConversion"/>
  </si>
  <si>
    <t>Mission.Event.Bingo.0101</t>
    <phoneticPr fontId="30" type="noConversion"/>
  </si>
  <si>
    <t>Mission.AsniaMissionHub.01</t>
    <phoneticPr fontId="30" type="noConversion"/>
  </si>
  <si>
    <t>Mission.Event.Bingo.0128</t>
    <phoneticPr fontId="4" type="noConversion"/>
  </si>
  <si>
    <t>프록시안 LR 이상 승급</t>
  </si>
  <si>
    <t>프록시안 LR 이상 승급</t>
    <phoneticPr fontId="4" type="noConversion"/>
  </si>
  <si>
    <t>Grade : LR</t>
    <phoneticPr fontId="4" type="noConversion"/>
  </si>
  <si>
    <t>프록시안 MR1 이상 승급</t>
  </si>
  <si>
    <t>프록시안 MR1 이상 승급</t>
    <phoneticPr fontId="4" type="noConversion"/>
  </si>
  <si>
    <t>ManagedDateRange(BingoSchedule.001)</t>
    <phoneticPr fontId="30" type="noConversion"/>
  </si>
  <si>
    <t>ManagedDateRange(RouletteSchedule.001)</t>
    <phoneticPr fontId="4" type="noConversion"/>
  </si>
  <si>
    <t>ManagedDateRange(RouletteSchedule.002)</t>
    <phoneticPr fontId="4" type="noConversion"/>
  </si>
  <si>
    <t>ManagedDateRange(SlotmachineSchedule.001)</t>
    <phoneticPr fontId="30" type="noConversion"/>
  </si>
  <si>
    <t>PluginId : 1030320001</t>
    <phoneticPr fontId="4" type="noConversion"/>
  </si>
  <si>
    <t>ManagedDateRange(EventSchedule.Eradica.Play)</t>
  </si>
  <si>
    <t>ManagedDateRange(EventSchedule.Kaitoaile.Play)</t>
  </si>
  <si>
    <t>Condition</t>
    <phoneticPr fontId="4" type="noConversion"/>
  </si>
  <si>
    <t>[dsl]</t>
    <phoneticPr fontId="4" type="noConversion"/>
  </si>
  <si>
    <t>common</t>
    <phoneticPr fontId="4" type="noConversion"/>
  </si>
  <si>
    <t>PurchaseSequence</t>
    <phoneticPr fontId="4" type="noConversion"/>
  </si>
  <si>
    <t>Special</t>
  </si>
  <si>
    <t>MissionComplete(2110000001001)
MissionProgressDelay(2110000001001, 1)</t>
    <phoneticPr fontId="4" type="noConversion"/>
  </si>
  <si>
    <t>MissionComplete(2110000001002)
MissionProgressDelay(2110000001002, 1)</t>
    <phoneticPr fontId="4" type="noConversion"/>
  </si>
  <si>
    <t>MissionComplete(2110000001004)
MissionProgressDelay(2110000001004, 1)</t>
  </si>
  <si>
    <t>MissionComplete(2110000001005)
MissionProgressDelay(2110000001005, 1)</t>
    <phoneticPr fontId="4" type="noConversion"/>
  </si>
  <si>
    <t>MissionComplete(2110000001006)
MissionProgressDelay(2110000001006, 1)</t>
    <phoneticPr fontId="4" type="noConversion"/>
  </si>
  <si>
    <t>MissionComplete(2110000001003)
MissionProgressDelay(2110000001003, 1)</t>
    <phoneticPr fontId="4" type="noConversion"/>
  </si>
  <si>
    <t>Condition</t>
    <phoneticPr fontId="4" type="noConversion"/>
  </si>
  <si>
    <t>Always</t>
    <phoneticPr fontId="4" type="noConversion"/>
  </si>
  <si>
    <t>Mission.7Days.6Day.4</t>
    <phoneticPr fontId="4" type="noConversion"/>
  </si>
  <si>
    <t>Mission.7Days.6Day.5</t>
    <phoneticPr fontId="4" type="noConversion"/>
  </si>
  <si>
    <t>7Days.Mission.Desc.6.4</t>
    <phoneticPr fontId="4" type="noConversion"/>
  </si>
  <si>
    <t>2102000000015</t>
    <phoneticPr fontId="4" type="noConversion"/>
  </si>
  <si>
    <t>2102000000014</t>
    <phoneticPr fontId="4" type="noConversion"/>
  </si>
  <si>
    <t>2102000000013</t>
    <phoneticPr fontId="4" type="noConversion"/>
  </si>
  <si>
    <t>2102000000012</t>
    <phoneticPr fontId="4" type="noConversion"/>
  </si>
  <si>
    <t>2102000000011</t>
    <phoneticPr fontId="4" type="noConversion"/>
  </si>
  <si>
    <t>2102000000010</t>
    <phoneticPr fontId="4" type="noConversion"/>
  </si>
  <si>
    <t>2102000000009</t>
    <phoneticPr fontId="4" type="noConversion"/>
  </si>
  <si>
    <t>2102000000008</t>
    <phoneticPr fontId="4" type="noConversion"/>
  </si>
  <si>
    <t>2102000000007</t>
    <phoneticPr fontId="4" type="noConversion"/>
  </si>
  <si>
    <t>2102000000006</t>
    <phoneticPr fontId="4" type="noConversion"/>
  </si>
  <si>
    <t>2102000000005</t>
    <phoneticPr fontId="4" type="noConversion"/>
  </si>
  <si>
    <t>2102000000004</t>
    <phoneticPr fontId="4" type="noConversion"/>
  </si>
  <si>
    <t>2101000000002</t>
    <phoneticPr fontId="4" type="noConversion"/>
  </si>
  <si>
    <t>2101000000004</t>
    <phoneticPr fontId="4" type="noConversion"/>
  </si>
  <si>
    <t>2101000000005</t>
    <phoneticPr fontId="4" type="noConversion"/>
  </si>
  <si>
    <t>2101000000007</t>
    <phoneticPr fontId="4" type="noConversion"/>
  </si>
  <si>
    <t>2101000000009</t>
    <phoneticPr fontId="4" type="noConversion"/>
  </si>
  <si>
    <t>2101000000010</t>
    <phoneticPr fontId="4" type="noConversion"/>
  </si>
  <si>
    <t>2101000000011</t>
    <phoneticPr fontId="4" type="noConversion"/>
  </si>
  <si>
    <t>SwapAcademyTitle</t>
    <phoneticPr fontId="4" type="noConversion"/>
  </si>
  <si>
    <t/>
  </si>
  <si>
    <t>릴리안 호감도 3 달성 패키지</t>
  </si>
  <si>
    <t>릴리안 호감도 6 달성 패키지</t>
  </si>
  <si>
    <t>릴리안 호감도 MAX 달성 패키지</t>
  </si>
  <si>
    <t>다리아 호감도 3 달성 패키지</t>
  </si>
  <si>
    <t>다리아 호감도 6 달성 패키지</t>
  </si>
  <si>
    <t>다리아 호감도 MAX 달성 패키지</t>
  </si>
  <si>
    <t>스노프릴 호감도 3 달성 패키지</t>
  </si>
  <si>
    <t>스노프릴 호감도 6 달성 패키지</t>
  </si>
  <si>
    <t>스노프릴 호감도 MAX 달성 패키지</t>
  </si>
  <si>
    <t>타이나 호감도 3 달성 패키지</t>
  </si>
  <si>
    <t>타이나 호감도 6 달성 패키지</t>
  </si>
  <si>
    <t>타이나 호감도 MAX 달성 패키지</t>
  </si>
  <si>
    <t>세라펄사 호감도 3 달성 패키지</t>
  </si>
  <si>
    <t>세라펄사 호감도 6 달성 패키지</t>
  </si>
  <si>
    <t>세라펄사 호감도 MAX 달성 패키지</t>
  </si>
  <si>
    <t>아이라스 호감도 3 달성 패키지</t>
  </si>
  <si>
    <t>아이라스 호감도 6 달성 패키지</t>
  </si>
  <si>
    <t>아이라스 호감도 MAX 달성 패키지</t>
  </si>
  <si>
    <t>앰브로시아 호감도 3 달성 패키지</t>
  </si>
  <si>
    <t>앰브로시아 호감도 6 달성 패키지</t>
  </si>
  <si>
    <t>앰브로시아 호감도 MAX 달성 패키지</t>
  </si>
  <si>
    <t>시아 호감도 3 달성 패키지</t>
  </si>
  <si>
    <t>시아 호감도 6 달성 패키지</t>
  </si>
  <si>
    <t>시아 호감도 MAX 달성 패키지</t>
  </si>
  <si>
    <t>메아 호감도 3 달성 패키지</t>
  </si>
  <si>
    <t>메아 호감도 6 달성 패키지</t>
  </si>
  <si>
    <t>메아 호감도 MAX 달성 패키지</t>
  </si>
  <si>
    <t>이사벨라 호감도 3 달성 패키지</t>
  </si>
  <si>
    <t>이사벨라 호감도 6 달성 패키지</t>
  </si>
  <si>
    <t>이사벨라 호감도 MAX 달성 패키지</t>
  </si>
  <si>
    <t>발렌시아 호감도 3 달성 패키지</t>
  </si>
  <si>
    <t>발렌시아 호감도 6 달성 패키지</t>
  </si>
  <si>
    <t>발렌시아 호감도 MAX 달성 패키지</t>
  </si>
  <si>
    <t>벨리타 호감도 3 달성 패키지</t>
  </si>
  <si>
    <t>벨리타 호감도 6 달성 패키지</t>
  </si>
  <si>
    <t>벨리타 호감도 MAX 달성 패키지</t>
  </si>
  <si>
    <t>베르베타 호감도 3 달성 패키지</t>
  </si>
  <si>
    <t>베르베타 호감도 6 달성 패키지</t>
  </si>
  <si>
    <t>베르베타 호감도 MAX 달성 패키지</t>
  </si>
  <si>
    <t>아셀스 호감도 3 달성 패키지</t>
  </si>
  <si>
    <t>아셀스 호감도 6 달성 패키지</t>
  </si>
  <si>
    <t>아셀스 호감도 MAX 달성 패키지</t>
  </si>
  <si>
    <t>안젤리카 호감도 3 달성 패키지</t>
  </si>
  <si>
    <t>안젤리카 호감도 6 달성 패키지</t>
  </si>
  <si>
    <t>안젤리카 호감도 MAX 달성 패키지</t>
  </si>
  <si>
    <t>유나 호감도 3 달성 패키지</t>
  </si>
  <si>
    <t>유나 호감도 6 달성 패키지</t>
  </si>
  <si>
    <t>유나 호감도 MAX 달성 패키지</t>
  </si>
  <si>
    <t>그레이 호감도 3 달성 패키지</t>
  </si>
  <si>
    <t>그레이 호감도 6 달성 패키지</t>
  </si>
  <si>
    <t>그레이 호감도 MAX 달성 패키지</t>
  </si>
  <si>
    <t>페이 호감도 3 달성 패키지</t>
  </si>
  <si>
    <t>페이 호감도 6 달성 패키지</t>
  </si>
  <si>
    <t>페이 호감도 MAX 달성 패키지</t>
  </si>
  <si>
    <t>아이렌 호감도 3 달성 패키지</t>
  </si>
  <si>
    <t>아이렌 호감도 6 달성 패키지</t>
  </si>
  <si>
    <t>아이렌 호감도 MAX 달성 패키지</t>
  </si>
  <si>
    <t>아크페이즈 호감도 3 달성 패키지</t>
  </si>
  <si>
    <t>아크페이즈 호감도 6 달성 패키지</t>
  </si>
  <si>
    <t>아크페이즈 호감도 MAX 달성 패키지</t>
  </si>
  <si>
    <t>패트리샤 호감도 3 달성 패키지</t>
  </si>
  <si>
    <t>패트리샤 호감도 6 달성 패키지</t>
  </si>
  <si>
    <t>패트리샤 호감도 MAX 달성 패키지</t>
  </si>
  <si>
    <t>레나스 호감도 3 달성 패키지</t>
  </si>
  <si>
    <t>레나스 호감도 6 달성 패키지</t>
  </si>
  <si>
    <t>레나스 호감도 MAX 달성 패키지</t>
  </si>
  <si>
    <t>라일라 호감도 3 달성 패키지</t>
  </si>
  <si>
    <t>라일라 호감도 6 달성 패키지</t>
  </si>
  <si>
    <t>라일라 호감도 MAX 달성 패키지</t>
  </si>
  <si>
    <t>에리카 호감도 3 달성 패키지</t>
  </si>
  <si>
    <t>에리카 호감도 6 달성 패키지</t>
  </si>
  <si>
    <t>에리카 호감도 MAX 달성 패키지</t>
  </si>
  <si>
    <t>에이코 호감도 3 달성 패키지</t>
  </si>
  <si>
    <t>에이코 호감도 6 달성 패키지</t>
  </si>
  <si>
    <t>에이코 호감도 MAX 달성 패키지</t>
  </si>
  <si>
    <t>크림슨 호감도 3 달성 패키지</t>
  </si>
  <si>
    <t>크림슨 호감도 6 달성 패키지</t>
  </si>
  <si>
    <t>크림슨 호감도 MAX 달성 패키지</t>
  </si>
  <si>
    <t>페렐 호감도 3 달성 패키지</t>
  </si>
  <si>
    <t>페렐 호감도 6 달성 패키지</t>
  </si>
  <si>
    <t>페렐 호감도 MAX 달성 패키지</t>
  </si>
  <si>
    <t>이노 호감도 3 달성 패키지</t>
  </si>
  <si>
    <t>이노 호감도 6 달성 패키지</t>
  </si>
  <si>
    <t>이노 호감도 MAX 달성 패키지</t>
  </si>
  <si>
    <t>유리지아 호감도 3 달성 패키지</t>
  </si>
  <si>
    <t>유리지아 호감도 6 달성 패키지</t>
  </si>
  <si>
    <t>유리지아 호감도 MAX 달성 패키지</t>
  </si>
  <si>
    <t>샤레 호감도 3 달성 패키지</t>
  </si>
  <si>
    <t>샤레 호감도 6 달성 패키지</t>
  </si>
  <si>
    <t>샤레 호감도 MAX 달성 패키지</t>
  </si>
  <si>
    <t>레이호우 호감도 3 달성 패키지</t>
  </si>
  <si>
    <t>레이호우 호감도 6 달성 패키지</t>
  </si>
  <si>
    <t>레이호우 호감도 MAX 달성 패키지</t>
  </si>
  <si>
    <t>헬렌 호감도 3 달성 패키지</t>
  </si>
  <si>
    <t>헬렌 호감도 6 달성 패키지</t>
  </si>
  <si>
    <t>헬렌 호감도 MAX 달성 패키지</t>
  </si>
  <si>
    <t>엘리나 호감도 3 달성 패키지</t>
  </si>
  <si>
    <t>엘리나 호감도 6 달성 패키지</t>
  </si>
  <si>
    <t>엘리나 호감도 MAX 달성 패키지</t>
  </si>
  <si>
    <t>ShopSlot(2771000000082)</t>
  </si>
  <si>
    <t>ShopSlot(2771000000083)</t>
  </si>
  <si>
    <t>ShopSlot(2771000000084)</t>
  </si>
  <si>
    <t>ShopSlot(2771000000085)</t>
  </si>
  <si>
    <t>ShopSlot(2771000000086)</t>
  </si>
  <si>
    <t>ShopSlot(2771000000087)</t>
  </si>
  <si>
    <t>ShopSlot(2771000000088)</t>
  </si>
  <si>
    <t>ShopSlot(2771000000089)</t>
  </si>
  <si>
    <t>ShopSlot(2771000000090)</t>
  </si>
  <si>
    <t>ShopSlot(2771000000094)</t>
  </si>
  <si>
    <t>ShopSlot(2771000000095)</t>
  </si>
  <si>
    <t>ShopSlot(2771000000096)</t>
  </si>
  <si>
    <t>ShopSlot(2771000000097)</t>
  </si>
  <si>
    <t>ShopSlot(2771000000098)</t>
  </si>
  <si>
    <t>ShopSlot(2771000000099)</t>
  </si>
  <si>
    <t>ShopSlot(2771000000100)</t>
  </si>
  <si>
    <t>ShopSlot(2771000000101)</t>
  </si>
  <si>
    <t>ShopSlot(2771000000102)</t>
  </si>
  <si>
    <t>ShopSlot(2771000000103)</t>
  </si>
  <si>
    <t>ShopSlot(2771000000104)</t>
  </si>
  <si>
    <t>ShopSlot(2771000000105)</t>
  </si>
  <si>
    <t>ShopSlot(2771000000106)</t>
  </si>
  <si>
    <t>ShopSlot(2771000000107)</t>
  </si>
  <si>
    <t>ShopSlot(2771000000108)</t>
  </si>
  <si>
    <t>ShopSlot(2771000000109)</t>
  </si>
  <si>
    <t>ShopSlot(2771000000110)</t>
  </si>
  <si>
    <t>ShopSlot(2771000000111)</t>
  </si>
  <si>
    <t>ShopSlot(2771000000115)</t>
  </si>
  <si>
    <t>ShopSlot(2771000000116)</t>
  </si>
  <si>
    <t>ShopSlot(2771000000117)</t>
  </si>
  <si>
    <t>ShopSlot(2771000000118)</t>
  </si>
  <si>
    <t>ShopSlot(2771000000119)</t>
  </si>
  <si>
    <t>ShopSlot(2771000000120)</t>
  </si>
  <si>
    <t>ShopSlot(2771000000121)</t>
  </si>
  <si>
    <t>ShopSlot(2771000000122)</t>
  </si>
  <si>
    <t>ShopSlot(2771000000123)</t>
  </si>
  <si>
    <t>ShopSlot(2771000000124)</t>
  </si>
  <si>
    <t>ShopSlot(2771000000125)</t>
  </si>
  <si>
    <t>ShopSlot(2771000000126)</t>
  </si>
  <si>
    <t>ShopSlot(2771000000127)</t>
  </si>
  <si>
    <t>ShopSlot(2771000000128)</t>
  </si>
  <si>
    <t>ShopSlot(2771000000129)</t>
  </si>
  <si>
    <t>ShopSlot(2771000000130)</t>
  </si>
  <si>
    <t>ShopSlot(2771000000131)</t>
  </si>
  <si>
    <t>ShopSlot(2771000000132)</t>
  </si>
  <si>
    <t>ShopSlot(2771000000133)</t>
  </si>
  <si>
    <t>ShopSlot(2771000000134)</t>
  </si>
  <si>
    <t>ShopSlot(2771000000135)</t>
  </si>
  <si>
    <t>ShopSlot(2771000000136)</t>
  </si>
  <si>
    <t>ShopSlot(2771000000137)</t>
  </si>
  <si>
    <t>ShopSlot(2771000000138)</t>
  </si>
  <si>
    <t>ShopSlot(2771000000139)</t>
  </si>
  <si>
    <t>ShopSlot(2771000000140)</t>
  </si>
  <si>
    <t>ShopSlot(2771000000141)</t>
  </si>
  <si>
    <t>ShopSlot(2771000000142)</t>
  </si>
  <si>
    <t>ShopSlot(2771000000143)</t>
  </si>
  <si>
    <t>ShopSlot(2771000000144)</t>
  </si>
  <si>
    <t>ShopSlot(2771000000157)</t>
  </si>
  <si>
    <t>ShopSlot(2771000000158)</t>
  </si>
  <si>
    <t>ShopSlot(2771000000159)</t>
  </si>
  <si>
    <t>ShopSlot(2771000000160)</t>
  </si>
  <si>
    <t>ShopSlot(2771000000161)</t>
  </si>
  <si>
    <t>ShopSlot(2771000000162)</t>
  </si>
  <si>
    <t>ShopSlot(2771000000163)</t>
  </si>
  <si>
    <t>ShopSlot(2771000000164)</t>
  </si>
  <si>
    <t>ShopSlot(2771000000165)</t>
  </si>
  <si>
    <t>ShopSlot(2771000000166)</t>
  </si>
  <si>
    <t>ShopSlot(2771000000167)</t>
  </si>
  <si>
    <t>ShopSlot(2771000000168)</t>
  </si>
  <si>
    <t>ShopSlot(2771000000169)</t>
  </si>
  <si>
    <t>ShopSlot(2771000000170)</t>
  </si>
  <si>
    <t>ShopSlot(2771000000171)</t>
  </si>
  <si>
    <t>ShopSlot(2771000000172)</t>
  </si>
  <si>
    <t>ShopSlot(2771000000173)</t>
  </si>
  <si>
    <t>ShopSlot(2771000000174)</t>
  </si>
  <si>
    <t>ShopSlot(2771000000175)</t>
  </si>
  <si>
    <t>ShopSlot(2771000000176)</t>
  </si>
  <si>
    <t>ShopSlot(2771000000177)</t>
  </si>
  <si>
    <t>ShopSlot(2771000000178)</t>
  </si>
  <si>
    <t>ShopSlot(2771000000179)</t>
  </si>
  <si>
    <t>ShopSlot(2771000000180)</t>
  </si>
  <si>
    <t>ShopSlot(2771000000181)</t>
  </si>
  <si>
    <t>ShopSlot(2771000000182)</t>
  </si>
  <si>
    <t>ShopSlot(2771000000183)</t>
  </si>
  <si>
    <t>ShopSlot(2771000000184)</t>
  </si>
  <si>
    <t>ShopSlot(2771000000185)</t>
  </si>
  <si>
    <t>ShopSlot(2771000000186)</t>
  </si>
  <si>
    <t>ShopSlot(2771000000187)</t>
  </si>
  <si>
    <t>ShopSlot(2771000000188)</t>
  </si>
  <si>
    <t>ShopSlot(2771000000189)</t>
  </si>
  <si>
    <t>ShopSlot(2771000000190)</t>
  </si>
  <si>
    <t>ShopSlot(2771000000191)</t>
  </si>
  <si>
    <t>ShopSlot(2771000000192)</t>
  </si>
  <si>
    <t>ShopSlot(2771000000193)</t>
  </si>
  <si>
    <t>ShopSlot(2771000000194)</t>
  </si>
  <si>
    <t>ShopSlot(2771000000195)</t>
  </si>
  <si>
    <t>ShopSlot(2771000000199)</t>
  </si>
  <si>
    <t>ShopSlot(2771000000200)</t>
  </si>
  <si>
    <t>ShopSlot(2771000000201)</t>
  </si>
  <si>
    <t>ChapterId : ChaStory_yurizia</t>
  </si>
  <si>
    <t>라일라 스토리 정복 패키지</t>
  </si>
  <si>
    <t>ReadAllStory</t>
  </si>
  <si>
    <t>ShopSlot(2771000000202)</t>
  </si>
  <si>
    <t>메리샤 스토리 정복 패키지</t>
  </si>
  <si>
    <t>ShopSlot(2771000000203)</t>
  </si>
  <si>
    <t>샤레 스토리 정복 패키지</t>
  </si>
  <si>
    <t>ShopSlot(2771000000204)</t>
  </si>
  <si>
    <t>안젤리카 스토리 정복 패키지</t>
  </si>
  <si>
    <t>ShopSlot(2771000000205)</t>
  </si>
  <si>
    <t>유리지아 스토리 정복 패키지</t>
  </si>
  <si>
    <t>ShopSlot(2771000000206)</t>
  </si>
  <si>
    <t>베르베타 스토리 정복 패키지</t>
  </si>
  <si>
    <t>ShopSlot(2771000000207)</t>
  </si>
  <si>
    <t>이드 스토리 정복 패키지</t>
  </si>
  <si>
    <t>ShopSlot(2771000000208)</t>
  </si>
  <si>
    <t>아이라스 스토리 정복 패키지</t>
  </si>
  <si>
    <t>ShopSlot(2771000000209)</t>
  </si>
  <si>
    <t>벨리타 스토리 정복 패키지</t>
  </si>
  <si>
    <t>ShopSlot(2771000000210)</t>
  </si>
  <si>
    <t>아이렌 스토리 정복 패키지</t>
  </si>
  <si>
    <t>ShopSlot(2771000000211)</t>
  </si>
  <si>
    <t>헬렌 스토리 정복 패키지</t>
  </si>
  <si>
    <t>ShopSlot(2771000000212)</t>
  </si>
  <si>
    <t>앰브로시아 스토리 정복 패키지</t>
  </si>
  <si>
    <t>ShopSlot(2771000000213)</t>
  </si>
  <si>
    <t>에이코 스토리 정복 패키지</t>
  </si>
  <si>
    <t>ShopSlot(2771000000214)</t>
  </si>
  <si>
    <t>유나 스토리 정복 패키지</t>
  </si>
  <si>
    <t>ShopSlot(2771000000215)</t>
  </si>
  <si>
    <t>타이나 스토리 정복 패키지</t>
  </si>
  <si>
    <t>ShopSlot(2771000000217)</t>
  </si>
  <si>
    <t>패트리샤 스토리 정복 패키지</t>
  </si>
  <si>
    <t>ShopSlot(2771000000218)</t>
  </si>
  <si>
    <t>페이 스토리 정복 패키지</t>
  </si>
  <si>
    <t>ShopSlot(2771000000219)</t>
  </si>
  <si>
    <t>클레아스 스토리 정복 패키지</t>
  </si>
  <si>
    <t>ShopSlot(2771000000220)</t>
  </si>
  <si>
    <t>이노 스토리 정복 패키지</t>
  </si>
  <si>
    <t>ShopSlot(2771000000221)</t>
  </si>
  <si>
    <t>시즈 스토리 정복 패키지</t>
  </si>
  <si>
    <t>ShopSlot(2771000000222)</t>
  </si>
  <si>
    <t>엘리나 스토리 정복 패키지</t>
  </si>
  <si>
    <t>ShopSlot(2771000000224)</t>
  </si>
  <si>
    <t>다리아 스토리 정복 패키지</t>
  </si>
  <si>
    <t>ShopSlot(2771000000225)</t>
  </si>
  <si>
    <t>세라펄사 스토리 정복 패키지</t>
  </si>
  <si>
    <t>ShopSlot(2771000000226)</t>
  </si>
  <si>
    <t>페렐 스토리 정복 패키지</t>
  </si>
  <si>
    <t>ShopSlot(2771000000227)</t>
  </si>
  <si>
    <t>레나스 스토리 정복 패키지</t>
  </si>
  <si>
    <t>ShopSlot(2771000000228)</t>
  </si>
  <si>
    <t>마나 스토리 정복 패키지</t>
  </si>
  <si>
    <t>ShopSlot(2771000000229)</t>
  </si>
  <si>
    <t>아셀스 스토리 정복 패키지</t>
  </si>
  <si>
    <t>ShopSlot(2771000000230)</t>
  </si>
  <si>
    <t>오로라 스토리 정복 패키지</t>
  </si>
  <si>
    <t>ShopSlot(2771000000231)</t>
  </si>
  <si>
    <t>아크페이즈 스토리 정복 패키지</t>
  </si>
  <si>
    <t>ShopSlot(2771000000232)</t>
  </si>
  <si>
    <t>다이아나 스토리 정복 패키지</t>
  </si>
  <si>
    <t>ShopSlot(2771000000234)</t>
  </si>
  <si>
    <t>레이호우 스토리 정복 패키지</t>
  </si>
  <si>
    <t>ShopSlot(2771000000235)</t>
  </si>
  <si>
    <t>에리카 스토리 정복 패키지</t>
  </si>
  <si>
    <t>ShopSlot(2771000000236)</t>
  </si>
  <si>
    <t>이사벨라 스토리 정복 패키지</t>
  </si>
  <si>
    <t>ShopSlot(2771000000239)</t>
  </si>
  <si>
    <t>ChapterId : ChaStory_leila</t>
  </si>
  <si>
    <t>ChapterId : ChaStory_melissa</t>
  </si>
  <si>
    <t>ChapterId : ChaStory_shale</t>
  </si>
  <si>
    <t>ChapterId : ChaStory_angelica</t>
  </si>
  <si>
    <t>ChapterId : ChaStory_belebeta</t>
  </si>
  <si>
    <t>ChapterId : ChaStory_iras</t>
  </si>
  <si>
    <t>ChapterId : ChaStory_belita</t>
  </si>
  <si>
    <t>ChapterId : ChaStory_airen</t>
  </si>
  <si>
    <t>ChapterId : ChaStory_hellen</t>
  </si>
  <si>
    <t>ChapterId : ChaStory_ambrosia</t>
  </si>
  <si>
    <t>ChapterId : ChaStory_eiko</t>
  </si>
  <si>
    <t>ChapterId : ChaStory_yuna</t>
  </si>
  <si>
    <t>ChapterId : ChaStory_taina</t>
  </si>
  <si>
    <t>ChapterId : ChaStory_patricia</t>
  </si>
  <si>
    <t>ChapterId : ChaStory_fei</t>
  </si>
  <si>
    <t>ChapterId : ChaStory_klairs</t>
  </si>
  <si>
    <t>ChapterId : ChaStory_ino</t>
  </si>
  <si>
    <t>ChapterId : ChaStory_siege</t>
  </si>
  <si>
    <t>ChapterId : ChaStory_elina</t>
  </si>
  <si>
    <t>ChapterId : ChaStory_daria</t>
  </si>
  <si>
    <t>ChapterId : ChaStory_ferrel</t>
  </si>
  <si>
    <t>ChapterId : ChaStory_renas</t>
  </si>
  <si>
    <t>ChapterId : ChaStory_arcels</t>
  </si>
  <si>
    <t>ChapterId : ChaStory_aurora</t>
  </si>
  <si>
    <t>ChapterId : ChaStory_archphase</t>
  </si>
  <si>
    <t>ChapterId : ChaStory_diana</t>
  </si>
  <si>
    <t>ChapterId : ChaStory_rayhou</t>
  </si>
  <si>
    <t>ChapterId : ChaStory_erica</t>
  </si>
  <si>
    <t>ChapterId : ChaStory_isabella</t>
  </si>
  <si>
    <t>GetPlugin</t>
    <phoneticPr fontId="4" type="noConversion"/>
  </si>
  <si>
    <t>프록시안 링크 달성 패키지1</t>
  </si>
  <si>
    <t>ShopSlot(2771000000240)</t>
  </si>
  <si>
    <t>프록시안 링크 달성 패키지2</t>
  </si>
  <si>
    <t>ShopSlot(2771000000241)</t>
  </si>
  <si>
    <t>프록시안 링크 달성 패키지3</t>
  </si>
  <si>
    <t>ShopSlot(2771000000242)</t>
  </si>
  <si>
    <t>프록시안 링크 달성 패키지4</t>
  </si>
  <si>
    <t>ShopSlot(2771000000243)</t>
  </si>
  <si>
    <t>프록시안 링크 달성 패키지5</t>
  </si>
  <si>
    <t>ShopSlot(2771000000244)</t>
  </si>
  <si>
    <t>프록시안 링크 달성 패키지6</t>
  </si>
  <si>
    <t>ShopSlot(2771000000245)</t>
  </si>
  <si>
    <t>프록시안 링크 달성 패키지7</t>
  </si>
  <si>
    <t>ShopSlot(2771000000246)</t>
  </si>
  <si>
    <t>프록시안 링크 달성 패키지8</t>
  </si>
  <si>
    <t>ShopSlot(2771000000247)</t>
  </si>
  <si>
    <t>프록시안 링크 달성 패키지9</t>
  </si>
  <si>
    <t>ShopSlot(2771000000248)</t>
  </si>
  <si>
    <t>프록시안 링크 달성 패키지10</t>
  </si>
  <si>
    <t>ShopSlot(2771000000249)</t>
  </si>
  <si>
    <t>프록시안 링크 달성 패키지11</t>
  </si>
  <si>
    <t>ShopSlot(2771000000250)</t>
  </si>
  <si>
    <t>프록시안 링크 달성 패키지12</t>
  </si>
  <si>
    <t>ShopSlot(2771000000251)</t>
  </si>
  <si>
    <t>프록시안 링크 달성 패키지13</t>
  </si>
  <si>
    <t>ShopSlot(2771000000252)</t>
  </si>
  <si>
    <t>프록시안 링크 달성 패키지14</t>
  </si>
  <si>
    <t>ShopSlot(2771000000253)</t>
  </si>
  <si>
    <t>프록시안 링크 달성 패키지15</t>
  </si>
  <si>
    <t>ShopSlot(2771000000254)</t>
  </si>
  <si>
    <t>프록시안 링크 달성 패키지16</t>
  </si>
  <si>
    <t>ShopSlot(2771000000255)</t>
  </si>
  <si>
    <t>메인스토리 1장 완료 패키지</t>
  </si>
  <si>
    <t>ShopSlot(2771000000257)</t>
  </si>
  <si>
    <t>메인스토리 2장 완료 패키지</t>
  </si>
  <si>
    <t>ShopSlot(2771000000258)</t>
  </si>
  <si>
    <t>메인스토리 3장 완료 패키지</t>
  </si>
  <si>
    <t>ShopSlot(2771000000259)</t>
  </si>
  <si>
    <t>메인스토리 4장 완료 패키지</t>
  </si>
  <si>
    <t>ShopSlot(2771000000260)</t>
  </si>
  <si>
    <t>팩션 스토리 완료 패키지 1</t>
  </si>
  <si>
    <t>ShopSlot(2771000000261)</t>
  </si>
  <si>
    <t>팩션 스토리 완료 패키지 2</t>
  </si>
  <si>
    <t>ShopSlot(2771000000262)</t>
  </si>
  <si>
    <t>팩션 스토리 완료 패키지 3</t>
  </si>
  <si>
    <t>ShopSlot(2771000000263)</t>
  </si>
  <si>
    <t>팩션 스토리 완료 패키지 4</t>
  </si>
  <si>
    <t>ShopSlot(2771000000264)</t>
  </si>
  <si>
    <t>아카데미 스피카 패키지</t>
  </si>
  <si>
    <t>ShopSlot(2771000000265)</t>
  </si>
  <si>
    <t>아카데미 알타이르 패키지</t>
  </si>
  <si>
    <t>ShopSlot(2771000000266)</t>
  </si>
  <si>
    <t>ShopSlot(2771000000272)</t>
  </si>
  <si>
    <t>프록시안 MR 승급 패키지</t>
  </si>
  <si>
    <t>ShopSlot(2771000000273)</t>
  </si>
  <si>
    <t>ShopSlot(2771000000274)</t>
  </si>
  <si>
    <t>플러그인 MR 승급 패키지</t>
  </si>
  <si>
    <t>ChapterId : Chapter2</t>
  </si>
  <si>
    <t>ChapterId : Chapter3</t>
  </si>
  <si>
    <t>ChapterId : Chapter4</t>
  </si>
  <si>
    <t>Level : 30</t>
    <phoneticPr fontId="4" type="noConversion"/>
  </si>
  <si>
    <t>Level : 50</t>
    <phoneticPr fontId="4" type="noConversion"/>
  </si>
  <si>
    <t>Daily.Mission.50</t>
    <phoneticPr fontId="4" type="noConversion"/>
  </si>
  <si>
    <t>tab_mission_bingo</t>
  </si>
  <si>
    <t>Growth</t>
    <phoneticPr fontId="4" type="noConversion"/>
  </si>
  <si>
    <t>Item(1040102001, 50)</t>
    <phoneticPr fontId="4" type="noConversion"/>
  </si>
  <si>
    <t>AcademyClassType : Altair
Grade : SSR
CharacterId : 1010320001</t>
    <phoneticPr fontId="4" type="noConversion"/>
  </si>
  <si>
    <t>#정규데이터 (아카데미 LR 등급 달성)</t>
    <phoneticPr fontId="4" type="noConversion"/>
  </si>
  <si>
    <t>세라펄사 (스피카)</t>
    <phoneticPr fontId="4" type="noConversion"/>
  </si>
  <si>
    <t>레나스 (스피카)</t>
    <phoneticPr fontId="4" type="noConversion"/>
  </si>
  <si>
    <t>그레이 (스피카)</t>
    <phoneticPr fontId="4" type="noConversion"/>
  </si>
  <si>
    <t>페이 (스피카)</t>
    <phoneticPr fontId="4" type="noConversion"/>
  </si>
  <si>
    <t>에리카 (스피카)</t>
    <phoneticPr fontId="4" type="noConversion"/>
  </si>
  <si>
    <t>발렌시아 (스피카)</t>
    <phoneticPr fontId="4" type="noConversion"/>
  </si>
  <si>
    <t>릴리안 (스피카)</t>
    <phoneticPr fontId="4" type="noConversion"/>
  </si>
  <si>
    <t>베르베타 (알타이르)</t>
    <phoneticPr fontId="4" type="noConversion"/>
  </si>
  <si>
    <t>라일라 (알타이르)</t>
    <phoneticPr fontId="4" type="noConversion"/>
  </si>
  <si>
    <t>안젤리카 (알타이르)</t>
    <phoneticPr fontId="4" type="noConversion"/>
  </si>
  <si>
    <t>쉐리 (알타이르)</t>
    <phoneticPr fontId="4" type="noConversion"/>
  </si>
  <si>
    <t>에이코 (알타이르)</t>
    <phoneticPr fontId="4" type="noConversion"/>
  </si>
  <si>
    <t>벨리타 (알타이르)</t>
    <phoneticPr fontId="4" type="noConversion"/>
  </si>
  <si>
    <t>아셀스 (알타이르)</t>
    <phoneticPr fontId="4" type="noConversion"/>
  </si>
  <si>
    <t>레이호우 (시리우스)</t>
    <phoneticPr fontId="4" type="noConversion"/>
  </si>
  <si>
    <t>스노프릴 (시리우스)</t>
    <phoneticPr fontId="4" type="noConversion"/>
  </si>
  <si>
    <t>메아 (시리우스)</t>
    <phoneticPr fontId="4" type="noConversion"/>
  </si>
  <si>
    <t>유나 (시리우스)</t>
    <phoneticPr fontId="4" type="noConversion"/>
  </si>
  <si>
    <t>패트리샤 (시리우스)</t>
    <phoneticPr fontId="4" type="noConversion"/>
  </si>
  <si>
    <t>아이라스 (시리우스)</t>
    <phoneticPr fontId="4" type="noConversion"/>
  </si>
  <si>
    <t>AcademyClassType : Spica
Grade : LR
CharacterId : 1010920002</t>
    <phoneticPr fontId="4" type="noConversion"/>
  </si>
  <si>
    <t>AcademyClassType : Spica
Grade : LR
CharacterId : 1010730003</t>
    <phoneticPr fontId="4" type="noConversion"/>
  </si>
  <si>
    <t>AcademyClassType : Spica
Grade : LR
CharacterId : 1010520004</t>
    <phoneticPr fontId="4" type="noConversion"/>
  </si>
  <si>
    <t>AcademyClassType : Spica
Grade : LR
CharacterId : 1010520005</t>
    <phoneticPr fontId="4" type="noConversion"/>
  </si>
  <si>
    <t>AcademyClassType : Spica
Grade : LR
CharacterId : 1010730005</t>
    <phoneticPr fontId="4" type="noConversion"/>
  </si>
  <si>
    <t>AcademyClassType : Spica
Grade : LR
CharacterId : 1010720004</t>
    <phoneticPr fontId="4" type="noConversion"/>
  </si>
  <si>
    <t>AcademyClassType : Spica
Grade : LR
CharacterId : 1010710001</t>
    <phoneticPr fontId="4" type="noConversion"/>
  </si>
  <si>
    <t>AcademyClassType : Altair
Grade : LR
CharacterId : 1010720006</t>
    <phoneticPr fontId="4" type="noConversion"/>
  </si>
  <si>
    <t>AcademyClassType : Altair
Grade : LR
CharacterId : 1010730004</t>
    <phoneticPr fontId="4" type="noConversion"/>
  </si>
  <si>
    <t>AcademyClassType : Altair
Grade : LR
CharacterId : 1010520001</t>
    <phoneticPr fontId="4" type="noConversion"/>
  </si>
  <si>
    <t>AcademyClassType : Altair
Grade : LR
CharacterId : 1010730001</t>
    <phoneticPr fontId="4" type="noConversion"/>
  </si>
  <si>
    <t>AcademyClassType : Altair
Grade : LR
CharacterId : 1010530001</t>
    <phoneticPr fontId="4" type="noConversion"/>
  </si>
  <si>
    <t>AcademyClassType : Altair
Grade : LR
CharacterId : 1010720005</t>
    <phoneticPr fontId="4" type="noConversion"/>
  </si>
  <si>
    <t>AcademyClassType : Altair
Grade : LR
CharacterId : 1010720007</t>
    <phoneticPr fontId="4" type="noConversion"/>
  </si>
  <si>
    <t>AcademyClassType : Sirius
Grade : LR
CharacterId : 1010940003</t>
    <phoneticPr fontId="4" type="noConversion"/>
  </si>
  <si>
    <t>AcademyClassType : Sirius
Grade : LR
CharacterId : 1010710003</t>
    <phoneticPr fontId="4" type="noConversion"/>
  </si>
  <si>
    <t>AcademyClassType : Sirius
Grade : LR
CharacterId : 1010720001</t>
    <phoneticPr fontId="4" type="noConversion"/>
  </si>
  <si>
    <t>AcademyClassType : Sirius
Grade : LR
CharacterId : 1010520003</t>
    <phoneticPr fontId="4" type="noConversion"/>
  </si>
  <si>
    <t>AcademyClassType : Sirius
Grade : LR
CharacterId : 1010730002</t>
    <phoneticPr fontId="4" type="noConversion"/>
  </si>
  <si>
    <t>AcademyClassType : Sirius
Grade : LR
CharacterId : 1010920003</t>
    <phoneticPr fontId="4" type="noConversion"/>
  </si>
  <si>
    <t>#정규데이터 (전투 참여)</t>
    <phoneticPr fontId="4" type="noConversion"/>
  </si>
  <si>
    <t>스노프릴 (데이터타워)</t>
    <phoneticPr fontId="4" type="noConversion"/>
  </si>
  <si>
    <t>샤레 (데이터타워)</t>
    <phoneticPr fontId="4" type="noConversion"/>
  </si>
  <si>
    <t>메아 (월드레이드)</t>
  </si>
  <si>
    <t>유나 (월드레이드)</t>
  </si>
  <si>
    <t>세라펄사 (월드레이드)</t>
  </si>
  <si>
    <t>아크페이즈 (월드레이드)</t>
  </si>
  <si>
    <t>패트리샤 (월드레이드)</t>
  </si>
  <si>
    <t>베르베타 (길드 총력전)</t>
  </si>
  <si>
    <t>안젤리카 (길드 총력전)</t>
  </si>
  <si>
    <t>발렌시아 (길드 총력전)</t>
  </si>
  <si>
    <t>아이라스 (길드 총력전)</t>
  </si>
  <si>
    <t>ContentsType : DataTower
CharacterId : 1010710003</t>
    <phoneticPr fontId="4" type="noConversion"/>
  </si>
  <si>
    <t>ContentsType : DataTower
CharacterId : 1010940002</t>
    <phoneticPr fontId="4" type="noConversion"/>
  </si>
  <si>
    <t>ContentsType : WorldRaid
CharacterId : 1010720001</t>
    <phoneticPr fontId="4" type="noConversion"/>
  </si>
  <si>
    <t>ContentsType : WorldRaid
CharacterId : 1010520003</t>
    <phoneticPr fontId="4" type="noConversion"/>
  </si>
  <si>
    <t>ContentsType : WorldRaid
CharacterId : 1010920002</t>
    <phoneticPr fontId="4" type="noConversion"/>
  </si>
  <si>
    <t>ContentsType : WorldRaid
CharacterId : 1010930005</t>
    <phoneticPr fontId="4" type="noConversion"/>
  </si>
  <si>
    <t>ContentsType : WorldRaid
CharacterId : 1010730002</t>
    <phoneticPr fontId="4" type="noConversion"/>
  </si>
  <si>
    <t>ContentsType : GuildAssault
CharacterId : 1010720006</t>
    <phoneticPr fontId="4" type="noConversion"/>
  </si>
  <si>
    <t>ContentsType : GuildAssault
CharacterId : 1010520001</t>
    <phoneticPr fontId="4" type="noConversion"/>
  </si>
  <si>
    <t>ContentsType : GuildAssault
CharacterId : 1010720004</t>
    <phoneticPr fontId="4" type="noConversion"/>
  </si>
  <si>
    <t>ContentsType : GuildAssault
CharacterId : 1010920003</t>
    <phoneticPr fontId="4" type="noConversion"/>
  </si>
  <si>
    <t>Mission.AsniaMissionHub.01</t>
  </si>
  <si>
    <t>Mission.Event.Bingo.0101</t>
  </si>
  <si>
    <t>메리샤 스탭패키지</t>
  </si>
  <si>
    <t>ShopSlot(2720600000006)
ShopSlot(2720600000007)
ShopSlot(2720600000008)
ShopSlot(2720600000009)
ShopSlot(2720600000010)</t>
  </si>
  <si>
    <t>릴리안 스탭패키지</t>
  </si>
  <si>
    <t>CharacterId : 1010710001</t>
  </si>
  <si>
    <t>ShopSlot(2720600000011)
ShopSlot(2720600000012)
ShopSlot(2720600000013)
ShopSlot(2720600000014)
ShopSlot(2720600000015)</t>
  </si>
  <si>
    <t>다리아 스탭패키지</t>
  </si>
  <si>
    <t>CharacterId : 1010710002</t>
  </si>
  <si>
    <t>ShopSlot(2720600000016)
ShopSlot(2720600000017)
ShopSlot(2720600000018)
ShopSlot(2720600000019)
ShopSlot(2720600000020)</t>
  </si>
  <si>
    <t>스노프릴 스탭패키지</t>
  </si>
  <si>
    <t>CharacterId : 1010710003</t>
  </si>
  <si>
    <t>ShopSlot(2720600000021)
ShopSlot(2720600000022)
ShopSlot(2720600000023)
ShopSlot(2720600000024)
ShopSlot(2720600000025)</t>
  </si>
  <si>
    <t>타이나 스탭패키지</t>
  </si>
  <si>
    <t>CharacterId : 1010510002</t>
  </si>
  <si>
    <t>ShopSlot(2720600000031)
ShopSlot(2720600000032)
ShopSlot(2720600000033)
ShopSlot(2720600000034)
ShopSlot(2720600000035)</t>
  </si>
  <si>
    <t>세라펄사 스탭패키지</t>
  </si>
  <si>
    <t>CharacterId : 1010920002</t>
  </si>
  <si>
    <t>ShopSlot(2720600000041)
ShopSlot(2720600000042)
ShopSlot(2720600000043)
ShopSlot(2720600000044)
ShopSlot(2720600000045)</t>
  </si>
  <si>
    <t>아이라스 스탭패키지</t>
  </si>
  <si>
    <t>CharacterId : 1010920003</t>
  </si>
  <si>
    <t>ShopSlot(2720600000046)
ShopSlot(2720600000047)
ShopSlot(2720600000048)
ShopSlot(2720600000049)
ShopSlot(2720600000050)</t>
  </si>
  <si>
    <t>앰브로시아 스탭패키지</t>
  </si>
  <si>
    <t>CharacterId : 1010920004</t>
  </si>
  <si>
    <t>ShopSlot(2720600000051)
ShopSlot(2720600000052)
ShopSlot(2720600000053)
ShopSlot(2720600000054)
ShopSlot(2720600000055)</t>
  </si>
  <si>
    <t>이사벨라 스탭패키지</t>
  </si>
  <si>
    <t>CharacterId : 1010720003</t>
  </si>
  <si>
    <t>ShopSlot(2720600000061)
ShopSlot(2720600000062)
ShopSlot(2720600000063)
ShopSlot(2720600000064)
ShopSlot(2720600000065)</t>
  </si>
  <si>
    <t>발렌시아 스탭패키지</t>
  </si>
  <si>
    <t>CharacterId : 1010720004</t>
  </si>
  <si>
    <t>ShopSlot(2720600000066)
ShopSlot(2720600000067)
ShopSlot(2720600000068)
ShopSlot(2720600000069)
ShopSlot(2720600000070)</t>
  </si>
  <si>
    <t>벨리타 스탭패키지</t>
  </si>
  <si>
    <t>CharacterId : 1010720005</t>
  </si>
  <si>
    <t>ShopSlot(2720600000071)
ShopSlot(2720600000072)
ShopSlot(2720600000073)
ShopSlot(2720600000074)
ShopSlot(2720600000075)</t>
  </si>
  <si>
    <t>베르베타 스탭패키지</t>
  </si>
  <si>
    <t>CharacterId : 1010720006</t>
  </si>
  <si>
    <t>ShopSlot(2720600000076)
ShopSlot(2720600000077)
ShopSlot(2720600000078)
ShopSlot(2720600000079)
ShopSlot(2720600000080)</t>
  </si>
  <si>
    <t>아셀스 스탭패키지</t>
  </si>
  <si>
    <t>CharacterId : 1010720007</t>
  </si>
  <si>
    <t>ShopSlot(2720600000081)
ShopSlot(2720600000082)
ShopSlot(2720600000083)
ShopSlot(2720600000084)
ShopSlot(2720600000085)</t>
  </si>
  <si>
    <t>안젤리카 스탭패키지</t>
  </si>
  <si>
    <t>CharacterId : 1010520001</t>
  </si>
  <si>
    <t>ShopSlot(2720600000086)
ShopSlot(2720600000087)
ShopSlot(2720600000088)
ShopSlot(2720600000089)
ShopSlot(2720600000090)</t>
  </si>
  <si>
    <t>유나 스탭패키지</t>
  </si>
  <si>
    <t>CharacterId : 1010520003</t>
  </si>
  <si>
    <t>ShopSlot(2720600000091)
ShopSlot(2720600000092)
ShopSlot(2720600000093)
ShopSlot(2720600000094)
ShopSlot(2720600000095)</t>
  </si>
  <si>
    <t>그레이 스탭패키지</t>
  </si>
  <si>
    <t>CharacterId : 1010520004</t>
  </si>
  <si>
    <t>ShopSlot(2720600000096)
ShopSlot(2720600000097)
ShopSlot(2720600000098)
ShopSlot(2720600000099)
ShopSlot(2720600000100)</t>
  </si>
  <si>
    <t>페이 스탭패키지</t>
  </si>
  <si>
    <t>CharacterId : 1010520005</t>
  </si>
  <si>
    <t>ShopSlot(2720600000101)
ShopSlot(2720600000102)
ShopSlot(2720600000103)
ShopSlot(2720600000104)
ShopSlot(2720600000105)</t>
  </si>
  <si>
    <t>아이렌 스탭패키지</t>
  </si>
  <si>
    <t>CharacterId : 1010320001</t>
  </si>
  <si>
    <t>ShopSlot(2720600000106)
ShopSlot(2720600000107)
ShopSlot(2720600000108)
ShopSlot(2720600000109)
ShopSlot(2720600000110)</t>
  </si>
  <si>
    <t>클레아스 스탭패키지</t>
  </si>
  <si>
    <t>ShopSlot(2720600000111)
ShopSlot(2720600000112)
ShopSlot(2720600000113)
ShopSlot(2720600000114)
ShopSlot(2720600000115)</t>
  </si>
  <si>
    <t>아크페이즈 스탭패키지</t>
  </si>
  <si>
    <t>CharacterId : 1010930005</t>
  </si>
  <si>
    <t>ShopSlot(2720600000131)
ShopSlot(2720600000132)
ShopSlot(2720600000133)
ShopSlot(2720600000134)
ShopSlot(2720600000135)</t>
  </si>
  <si>
    <t>패트리샤 스탭패키지</t>
  </si>
  <si>
    <t>CharacterId : 1010730002</t>
  </si>
  <si>
    <t>ShopSlot(2720600000136)
ShopSlot(2720600000137)
ShopSlot(2720600000138)
ShopSlot(2720600000139)
ShopSlot(2720600000140)</t>
  </si>
  <si>
    <t>레나스 스탭패키지</t>
  </si>
  <si>
    <t>CharacterId : 1010730003</t>
  </si>
  <si>
    <t>ShopSlot(2720600000141)
ShopSlot(2720600000142)
ShopSlot(2720600000143)
ShopSlot(2720600000144)
ShopSlot(2720600000145)</t>
  </si>
  <si>
    <t>라일라 스탭패키지</t>
  </si>
  <si>
    <t>CharacterId : 1010730004</t>
  </si>
  <si>
    <t>ShopSlot(2720600000146)
ShopSlot(2720600000147)
ShopSlot(2720600000148)
ShopSlot(2720600000149)
ShopSlot(2720600000150)</t>
  </si>
  <si>
    <t>에리카 스탭패키지</t>
  </si>
  <si>
    <t>CharacterId : 1010730005</t>
  </si>
  <si>
    <t>ShopSlot(2720600000151)
ShopSlot(2720600000152)
ShopSlot(2720600000153)
ShopSlot(2720600000154)
ShopSlot(2720600000155)</t>
  </si>
  <si>
    <t>에이코 스탭패키지</t>
  </si>
  <si>
    <t>CharacterId : 1010530001</t>
  </si>
  <si>
    <t>ShopSlot(2720600000156)
ShopSlot(2720600000157)
ShopSlot(2720600000158)
ShopSlot(2720600000159)
ShopSlot(2720600000160)</t>
  </si>
  <si>
    <t>크림슨 스탭패키지</t>
  </si>
  <si>
    <t>CharacterId : 1010530002</t>
  </si>
  <si>
    <t>ShopSlot(2720600000161)
ShopSlot(2720600000162)
ShopSlot(2720600000163)
ShopSlot(2720600000164)
ShopSlot(2720600000165)</t>
  </si>
  <si>
    <t>페렐 스탭패키지</t>
  </si>
  <si>
    <t>CharacterId : 1010530003</t>
  </si>
  <si>
    <t>ShopSlot(2720600000166)
ShopSlot(2720600000167)
ShopSlot(2720600000168)
ShopSlot(2720600000169)
ShopSlot(2720600000170)</t>
  </si>
  <si>
    <t>이노 스탭패키지</t>
  </si>
  <si>
    <t>CharacterId : 1010530004</t>
  </si>
  <si>
    <t>ShopSlot(2720600000171)
ShopSlot(2720600000172)
ShopSlot(2720600000173)
ShopSlot(2720600000174)
ShopSlot(2720600000175)</t>
  </si>
  <si>
    <t>CharacterId : 1010940001</t>
  </si>
  <si>
    <t>샤레 스탭패키지</t>
  </si>
  <si>
    <t>CharacterId : 1010940002</t>
  </si>
  <si>
    <t>ShopSlot(2720600000181)
ShopSlot(2720600000182)
ShopSlot(2720600000183)
ShopSlot(2720600000184)
ShopSlot(2720600000185)</t>
  </si>
  <si>
    <t>헬렌 스탭패키지</t>
  </si>
  <si>
    <t>CharacterId : 1010740001</t>
  </si>
  <si>
    <t>ShopSlot(2720600000186)
ShopSlot(2720600000187)
ShopSlot(2720600000188)
ShopSlot(2720600000189)
ShopSlot(2720600000190)</t>
  </si>
  <si>
    <t>엘리나 스탭패키지</t>
  </si>
  <si>
    <t>CharacterId : 1010540001</t>
  </si>
  <si>
    <t>ShopSlot(2720600000196)
ShopSlot(2720600000197)
ShopSlot(2720600000198)
ShopSlot(2720600000199)
ShopSlot(2720600000200)</t>
  </si>
  <si>
    <t>GetPlugin</t>
    <phoneticPr fontId="4" type="noConversion"/>
  </si>
  <si>
    <t>CharacterGetFirst</t>
  </si>
  <si>
    <t>프록시안 최초 획득</t>
    <phoneticPr fontId="4" type="noConversion"/>
  </si>
  <si>
    <t>StaticDateRange(2021-12-01 ~ 2077-12-31)</t>
    <phoneticPr fontId="4" type="noConversion"/>
  </si>
  <si>
    <t>PluginId : 1030710002</t>
    <phoneticPr fontId="4" type="noConversion"/>
  </si>
  <si>
    <t>PluginId : 1030710001</t>
    <phoneticPr fontId="4" type="noConversion"/>
  </si>
  <si>
    <t>PluginId : 1030910002</t>
    <phoneticPr fontId="4" type="noConversion"/>
  </si>
  <si>
    <t>PluginId : 1030320002</t>
    <phoneticPr fontId="4" type="noConversion"/>
  </si>
  <si>
    <t>ContentsType : DataTower / Raid
StageId : Raid01</t>
    <phoneticPr fontId="4" type="noConversion"/>
  </si>
  <si>
    <t>QuickMove.DataTower
QuickMove.Raid</t>
    <phoneticPr fontId="4" type="noConversion"/>
  </si>
  <si>
    <t>QuickMove.Raid</t>
    <phoneticPr fontId="4" type="noConversion"/>
  </si>
  <si>
    <t>메리샤 호감도 3</t>
    <phoneticPr fontId="4" type="noConversion"/>
  </si>
  <si>
    <t>메리샤 호감도 6</t>
    <phoneticPr fontId="4" type="noConversion"/>
  </si>
  <si>
    <t>클레아스 호감도 3</t>
    <phoneticPr fontId="4" type="noConversion"/>
  </si>
  <si>
    <t>Daily.Mission.60</t>
    <phoneticPr fontId="4" type="noConversion"/>
  </si>
  <si>
    <t>StageId : 스테이지16</t>
    <phoneticPr fontId="4" type="noConversion"/>
  </si>
  <si>
    <t>CharacterId : 1010920005</t>
  </si>
  <si>
    <t>CharacterId : 1010720001</t>
  </si>
  <si>
    <t>CharacterId : 1010940003</t>
  </si>
  <si>
    <t>StageId : Raid01</t>
    <phoneticPr fontId="4" type="noConversion"/>
  </si>
  <si>
    <t>StageClear(스테이지16)</t>
    <phoneticPr fontId="4" type="noConversion"/>
  </si>
  <si>
    <t>StageClear(스테이지16)</t>
    <phoneticPr fontId="4" type="noConversion"/>
  </si>
  <si>
    <t>StageClear(스테이지36)</t>
    <phoneticPr fontId="4" type="noConversion"/>
  </si>
  <si>
    <t>StageClear(스테이지61)</t>
    <phoneticPr fontId="4" type="noConversion"/>
  </si>
  <si>
    <t>StageClear(스테이지91)</t>
    <phoneticPr fontId="4" type="noConversion"/>
  </si>
  <si>
    <t>Item(1040501001, 1)</t>
  </si>
  <si>
    <t>Item(1040501001, 1)</t>
    <phoneticPr fontId="4" type="noConversion"/>
  </si>
  <si>
    <t>Item(1040605001, 1)</t>
    <phoneticPr fontId="4" type="noConversion"/>
  </si>
  <si>
    <t>Item(1040501001, 2)</t>
    <phoneticPr fontId="4" type="noConversion"/>
  </si>
  <si>
    <t>Item(1040102001, 100)</t>
    <phoneticPr fontId="4" type="noConversion"/>
  </si>
  <si>
    <t>Item(1040102001, 30)</t>
    <phoneticPr fontId="4" type="noConversion"/>
  </si>
  <si>
    <t>Item(1040102001, 50)</t>
    <phoneticPr fontId="4" type="noConversion"/>
  </si>
  <si>
    <t>Item(1040413005, 50)</t>
    <phoneticPr fontId="4" type="noConversion"/>
  </si>
  <si>
    <t>특정 등급 이상의 아카데미 칭호 획득</t>
  </si>
  <si>
    <t>특정 등급 이상의 아카데미 칭호 교체</t>
  </si>
  <si>
    <t>GetAcademyTitle</t>
  </si>
  <si>
    <t>Item(1040501101, 10)</t>
    <phoneticPr fontId="4" type="noConversion"/>
  </si>
  <si>
    <t>Item(1040501001, 10)</t>
    <phoneticPr fontId="4" type="noConversion"/>
  </si>
  <si>
    <t>Item(1040501002, 10)</t>
    <phoneticPr fontId="4" type="noConversion"/>
  </si>
  <si>
    <t>Item(1040102001,50) &amp; MissionPoint(Event7Days1, 1)</t>
    <phoneticPr fontId="4" type="noConversion"/>
  </si>
  <si>
    <t>Item(1040102001,100) &amp; MissionPoint(Event7Days1, 1)</t>
    <phoneticPr fontId="4" type="noConversion"/>
  </si>
  <si>
    <t>Item(1040605301,1) &amp; MissionPoint(Event7Days1, 1)</t>
    <phoneticPr fontId="4" type="noConversion"/>
  </si>
  <si>
    <t>Item(1040603006,1) &amp; MissionPoint(Event7Days1, 1)</t>
    <phoneticPr fontId="4" type="noConversion"/>
  </si>
  <si>
    <t>Item(1040413005,50) &amp; MissionPoint(Event7Days1, 1)</t>
    <phoneticPr fontId="4" type="noConversion"/>
  </si>
  <si>
    <t>Item(1040102001,50) &amp; MissionPoint(Event7Days2, 1)</t>
    <phoneticPr fontId="4" type="noConversion"/>
  </si>
  <si>
    <t>Item(1040102001,100) &amp; MissionPoint(Event7Days2, 1)</t>
    <phoneticPr fontId="4" type="noConversion"/>
  </si>
  <si>
    <t>Item(1040605301,1) &amp; MissionPoint(Event7Days2, 1)</t>
    <phoneticPr fontId="4" type="noConversion"/>
  </si>
  <si>
    <t>Item(1040604002,10) &amp; MissionPoint(Event7Days2, 1)</t>
    <phoneticPr fontId="4" type="noConversion"/>
  </si>
  <si>
    <t>Item(1040603007,1) &amp; MissionPoint(Event7Days2, 1)</t>
    <phoneticPr fontId="4" type="noConversion"/>
  </si>
  <si>
    <t>Item(1040102001,50) &amp; MissionPoint(Event7Days3, 1)</t>
    <phoneticPr fontId="4" type="noConversion"/>
  </si>
  <si>
    <t>Item(1040102001,100) &amp; MissionPoint(Event7Days3, 1)</t>
    <phoneticPr fontId="4" type="noConversion"/>
  </si>
  <si>
    <t>Item(1040604002,10) &amp; MissionPoint(Event7Days3, 1)</t>
    <phoneticPr fontId="4" type="noConversion"/>
  </si>
  <si>
    <t>Item(1040605301,1) &amp; MissionPoint(Event7Days3, 1)</t>
    <phoneticPr fontId="4" type="noConversion"/>
  </si>
  <si>
    <t>Item(1040605311,1) &amp; MissionPoint(Event7Days3, 1)</t>
    <phoneticPr fontId="4" type="noConversion"/>
  </si>
  <si>
    <t>Item(1040603008,1) &amp; MissionPoint(Event7Days3, 1)</t>
    <phoneticPr fontId="4" type="noConversion"/>
  </si>
  <si>
    <t>Item(1040102001,50) &amp; MissionPoint(Event7Days4, 1)</t>
    <phoneticPr fontId="4" type="noConversion"/>
  </si>
  <si>
    <t>Item(1040102001,100) &amp; MissionPoint(Event7Days4, 1)</t>
    <phoneticPr fontId="4" type="noConversion"/>
  </si>
  <si>
    <t>Item(1040605311,3) &amp; MissionPoint(Event7Days4, 1)</t>
    <phoneticPr fontId="4" type="noConversion"/>
  </si>
  <si>
    <t>Item(1040604002,10) &amp; MissionPoint(Event7Days4, 1)</t>
    <phoneticPr fontId="4" type="noConversion"/>
  </si>
  <si>
    <t>Item(1040603009,1) &amp; MissionPoint(Event7Days4, 1)</t>
    <phoneticPr fontId="4" type="noConversion"/>
  </si>
  <si>
    <t>Item(1040603021,2) &amp; MissionPoint(Event7Days4, 1)</t>
    <phoneticPr fontId="4" type="noConversion"/>
  </si>
  <si>
    <t>Item(1040102001,50) &amp; MissionPoint(Event7Days5, 1)</t>
    <phoneticPr fontId="4" type="noConversion"/>
  </si>
  <si>
    <t>Item(1040102001,100) &amp; MissionPoint(Event7Days5, 1)</t>
    <phoneticPr fontId="4" type="noConversion"/>
  </si>
  <si>
    <t>Item(1040603021,1) &amp; MissionPoint(Event7Days5, 1)</t>
    <phoneticPr fontId="4" type="noConversion"/>
  </si>
  <si>
    <t>Item(1040605311,3) &amp; MissionPoint(Event7Days5, 1)</t>
    <phoneticPr fontId="4" type="noConversion"/>
  </si>
  <si>
    <t>Item(1040604002,10) &amp; MissionPoint(Event7Days5, 1)</t>
    <phoneticPr fontId="4" type="noConversion"/>
  </si>
  <si>
    <t>Item(1040603009,1) &amp; MissionPoint(Event7Days5, 1)</t>
    <phoneticPr fontId="4" type="noConversion"/>
  </si>
  <si>
    <t>Item(1040102001,50) &amp; MissionPoint(Event7Days6, 1)</t>
    <phoneticPr fontId="4" type="noConversion"/>
  </si>
  <si>
    <t>Item(1040102001,100) &amp; MissionPoint(Event7Days6, 1)</t>
    <phoneticPr fontId="4" type="noConversion"/>
  </si>
  <si>
    <t>Item(1040504011,3) &amp; MissionPoint(Event7Days6, 1)</t>
    <phoneticPr fontId="4" type="noConversion"/>
  </si>
  <si>
    <t>Item(1040605321,2) &amp; MissionPoint(Event7Days6, 1)</t>
    <phoneticPr fontId="4" type="noConversion"/>
  </si>
  <si>
    <t>Item(1040604002,10) &amp; MissionPoint(Event7Days6, 1)</t>
    <phoneticPr fontId="4" type="noConversion"/>
  </si>
  <si>
    <t>Item(1040602087,1) &amp; MissionPoint(Event7Days6, 1)</t>
    <phoneticPr fontId="4" type="noConversion"/>
  </si>
  <si>
    <t>Item(1040102001,50) &amp; MissionPoint(Event7Days7, 1)</t>
    <phoneticPr fontId="4" type="noConversion"/>
  </si>
  <si>
    <t>Item(1040102001,100) &amp; MissionPoint(Event7Days7, 1)</t>
    <phoneticPr fontId="4" type="noConversion"/>
  </si>
  <si>
    <t>Item(1040504011,5) &amp; MissionPoint(Event7Days7, 1)</t>
    <phoneticPr fontId="4" type="noConversion"/>
  </si>
  <si>
    <t>Item(1040603029,2) &amp; MissionPoint(Event7Days7, 1)</t>
    <phoneticPr fontId="4" type="noConversion"/>
  </si>
  <si>
    <t>Item(1040605301,3) &amp; MissionPoint(Event7Days7, 1)</t>
    <phoneticPr fontId="4" type="noConversion"/>
  </si>
  <si>
    <t>Item(1040603022,1) &amp; MissionPoint(Event7Days7, 1)</t>
    <phoneticPr fontId="4" type="noConversion"/>
  </si>
  <si>
    <t>Level : 20</t>
    <phoneticPr fontId="4" type="noConversion"/>
  </si>
  <si>
    <t>StageId : 스테이지36</t>
    <phoneticPr fontId="4" type="noConversion"/>
  </si>
  <si>
    <t>ManagedDateRange(EventSchedule.Anne.Play)</t>
    <phoneticPr fontId="30" type="noConversion"/>
  </si>
  <si>
    <t>StarRecord</t>
    <phoneticPr fontId="4" type="noConversion"/>
  </si>
  <si>
    <t>StarRecord</t>
    <phoneticPr fontId="4" type="noConversion"/>
  </si>
  <si>
    <t>Item(1040501101, 5)</t>
    <phoneticPr fontId="4" type="noConversion"/>
  </si>
  <si>
    <t>Mission.AsniaMissionHub.08</t>
    <phoneticPr fontId="4" type="noConversion"/>
  </si>
  <si>
    <t>StartPluginDevelopment</t>
    <phoneticPr fontId="4" type="noConversion"/>
  </si>
  <si>
    <t>QuickMove.Arena</t>
    <phoneticPr fontId="4" type="noConversion"/>
  </si>
  <si>
    <t>EquipmentEnhance</t>
    <phoneticPr fontId="4" type="noConversion"/>
  </si>
  <si>
    <t>7Days.Mission.Deec.Dummy</t>
  </si>
  <si>
    <t>Mission.Name.Login.Normal</t>
    <phoneticPr fontId="4" type="noConversion"/>
  </si>
  <si>
    <t>Main.Mission.80</t>
    <phoneticPr fontId="4" type="noConversion"/>
  </si>
  <si>
    <t>Mission.Name.StageClear.Raid</t>
  </si>
  <si>
    <t>Mission.Name.CharacterLevelReached.30</t>
  </si>
  <si>
    <t>Mission.Name.StageClear.GuildOperation</t>
  </si>
  <si>
    <t>Mission.Name.GraduateAcademy.Basic</t>
    <phoneticPr fontId="4" type="noConversion"/>
  </si>
  <si>
    <t>Recommend.Mission.Title.1.1</t>
  </si>
  <si>
    <t>Recommend.Mission.Title.1.2</t>
  </si>
  <si>
    <t>Recommend.Mission.Title.1.4</t>
  </si>
  <si>
    <t>Recommend.Mission.Title.1.10</t>
  </si>
  <si>
    <t>Recommend.Mission.Title.1.12</t>
  </si>
  <si>
    <t>Recommend.Mission.Title.2.1</t>
  </si>
  <si>
    <t>Recommend.Mission.Title.2.2</t>
  </si>
  <si>
    <t>Recommend.Mission.Title.3.1</t>
  </si>
  <si>
    <t>Recommend.Mission.Title.3.2</t>
  </si>
  <si>
    <t>Recommend.Mission.Title.4.1</t>
  </si>
  <si>
    <t>Recommend.Mission.Title.4.2</t>
  </si>
  <si>
    <t>Recommend.Mission.Title.4.10</t>
  </si>
  <si>
    <t>일일 미션 완료</t>
    <phoneticPr fontId="4" type="noConversion"/>
  </si>
  <si>
    <t>스킬 레벨업 1회</t>
    <phoneticPr fontId="4" type="noConversion"/>
  </si>
  <si>
    <t>스킬 레벨업 3회</t>
    <phoneticPr fontId="4" type="noConversion"/>
  </si>
  <si>
    <t>1-16 전투 승리</t>
    <phoneticPr fontId="4" type="noConversion"/>
  </si>
  <si>
    <t>RequestFriend</t>
    <phoneticPr fontId="4" type="noConversion"/>
  </si>
  <si>
    <t>캐릭터 해산 하기</t>
    <phoneticPr fontId="4" type="noConversion"/>
  </si>
  <si>
    <t>ItemId:1040103101</t>
    <phoneticPr fontId="4" type="noConversion"/>
  </si>
  <si>
    <t>아스니아 도착(1-4승리)</t>
    <phoneticPr fontId="30" type="noConversion"/>
  </si>
  <si>
    <t>CharacterLvUp</t>
    <phoneticPr fontId="4" type="noConversion"/>
  </si>
  <si>
    <t>캐릭터 레벨업</t>
    <phoneticPr fontId="4" type="noConversion"/>
  </si>
  <si>
    <t>프록시안 1명 5레벨 달성</t>
    <phoneticPr fontId="4" type="noConversion"/>
  </si>
  <si>
    <t>캐릭터 3명 5레벨 강화</t>
    <phoneticPr fontId="4" type="noConversion"/>
  </si>
  <si>
    <t>QuickMove.Character.CharacerSell</t>
  </si>
  <si>
    <t>Item(1040501001, 10)</t>
    <phoneticPr fontId="4" type="noConversion"/>
  </si>
  <si>
    <t>Mission.Guide.001</t>
    <phoneticPr fontId="4" type="noConversion"/>
  </si>
  <si>
    <t>Mission.Guide.002</t>
    <phoneticPr fontId="4" type="noConversion"/>
  </si>
  <si>
    <t>Mission.Guide.003</t>
  </si>
  <si>
    <t>Mission.Guide.004</t>
  </si>
  <si>
    <t>Mission.Guide.006</t>
  </si>
  <si>
    <t>Mission.Guide.008</t>
  </si>
  <si>
    <t>Mission.Guide.009</t>
  </si>
  <si>
    <t>Mission.Guide.010</t>
  </si>
  <si>
    <t>Mission.Guide.011</t>
  </si>
  <si>
    <t>Mission.Guide.012</t>
  </si>
  <si>
    <t>Mission.Guide.013</t>
  </si>
  <si>
    <t>Mission.Guide.014</t>
  </si>
  <si>
    <t>Mission.Guide.015</t>
  </si>
  <si>
    <t>Mission.Guide.017</t>
  </si>
  <si>
    <t>Mission.Guide.018</t>
  </si>
  <si>
    <t>Mission.Guide.019</t>
  </si>
  <si>
    <t>Mission.Guide.020</t>
  </si>
  <si>
    <t>Equipment(1020201001)</t>
    <phoneticPr fontId="4" type="noConversion"/>
  </si>
  <si>
    <t>Item(1040101001, 1000)</t>
    <phoneticPr fontId="4" type="noConversion"/>
  </si>
  <si>
    <t>Item(1040302001, 500)</t>
    <phoneticPr fontId="4" type="noConversion"/>
  </si>
  <si>
    <t>시즈 획득</t>
    <phoneticPr fontId="30" type="noConversion"/>
  </si>
  <si>
    <t>CharacterId:1010340001</t>
    <phoneticPr fontId="4" type="noConversion"/>
  </si>
  <si>
    <t>1-7 승리</t>
    <phoneticPr fontId="30" type="noConversion"/>
  </si>
  <si>
    <t>StageId : 스테이지13</t>
    <phoneticPr fontId="30" type="noConversion"/>
  </si>
  <si>
    <t>1-13 승리</t>
    <phoneticPr fontId="30" type="noConversion"/>
  </si>
  <si>
    <t>Mission.Guide.007</t>
  </si>
  <si>
    <t>Mission.Guide.016</t>
  </si>
  <si>
    <t>2101000000006</t>
    <phoneticPr fontId="4" type="noConversion"/>
  </si>
  <si>
    <t>2101000000008</t>
    <phoneticPr fontId="4" type="noConversion"/>
  </si>
  <si>
    <t>Item(1040504011, 10)
MissionPoint(AMH, 1)</t>
    <phoneticPr fontId="4" type="noConversion"/>
  </si>
  <si>
    <t>Item(1040504011, 20)
MissionPoint(AMH, 1)</t>
    <phoneticPr fontId="4" type="noConversion"/>
  </si>
  <si>
    <t>Item(1040102001, 50)
MissionPoint(AMH, 1)</t>
    <phoneticPr fontId="4" type="noConversion"/>
  </si>
  <si>
    <t>Item(1040102001, 100)
MissionPoint(AMH, 1)</t>
    <phoneticPr fontId="4" type="noConversion"/>
  </si>
  <si>
    <t>Item(1040605151, 1)
MissionPoint(AMH, 1)</t>
    <phoneticPr fontId="4" type="noConversion"/>
  </si>
  <si>
    <t>Level : 15</t>
    <phoneticPr fontId="4" type="noConversion"/>
  </si>
  <si>
    <t>Item(1040604002,10) &amp; MissionPoint(Event7Days1, 1)</t>
    <phoneticPr fontId="4" type="noConversion"/>
  </si>
  <si>
    <t>Grade : Spica</t>
    <phoneticPr fontId="4" type="noConversion"/>
  </si>
  <si>
    <t>Mission.Name.CharacterLevelReached.15</t>
  </si>
  <si>
    <t>Mission.Name.BossKill.Casandra</t>
  </si>
  <si>
    <t>Mission.Name.RewardCurrency.Friendship</t>
  </si>
  <si>
    <t>Mission.Name.PluginPromote</t>
  </si>
  <si>
    <t>Mission.Name.CharacterLevelReached.50</t>
  </si>
  <si>
    <t>QuickMove0350</t>
    <phoneticPr fontId="4" type="noConversion"/>
  </si>
  <si>
    <t>QuickMove0580</t>
    <phoneticPr fontId="4" type="noConversion"/>
  </si>
  <si>
    <t>QuickMove0630</t>
  </si>
  <si>
    <t>Item(1040102001, 200) &amp; MissionPoint(Recommend1, 1)</t>
  </si>
  <si>
    <t>ContentsType : DataTower</t>
    <phoneticPr fontId="4" type="noConversion"/>
  </si>
  <si>
    <t>ContentsType : Raid
StageId : Raid01</t>
    <phoneticPr fontId="4" type="noConversion"/>
  </si>
  <si>
    <t>ContentsType : Raid
StageId : Raid02</t>
    <phoneticPr fontId="4" type="noConversion"/>
  </si>
  <si>
    <t>StageId : 스테이지31</t>
    <phoneticPr fontId="4" type="noConversion"/>
  </si>
  <si>
    <t>StageId : 스테이지36</t>
    <phoneticPr fontId="4" type="noConversion"/>
  </si>
  <si>
    <t>Item(1040501001, 1) &amp; MissionPoint(Recommend1, 1)</t>
  </si>
  <si>
    <t>Item(1040605011, 1) &amp; MissionPoint(Recommend1, 1)</t>
  </si>
  <si>
    <t>Item(1040605111, 1) &amp; MissionPoint(Recommend1, 1)</t>
  </si>
  <si>
    <t>QuickMove0010</t>
    <phoneticPr fontId="4" type="noConversion"/>
  </si>
  <si>
    <t>QuickMove0010</t>
    <phoneticPr fontId="4" type="noConversion"/>
  </si>
  <si>
    <t>Grade : SSR</t>
    <phoneticPr fontId="4" type="noConversion"/>
  </si>
  <si>
    <t>ContentsType : Raid
StageId : Raid02</t>
    <phoneticPr fontId="4" type="noConversion"/>
  </si>
  <si>
    <t>QuickMove.DataTower</t>
    <phoneticPr fontId="4" type="noConversion"/>
  </si>
  <si>
    <t>QuickMove.Raid</t>
    <phoneticPr fontId="4" type="noConversion"/>
  </si>
  <si>
    <t>QuickMove.DataTower</t>
    <phoneticPr fontId="4" type="noConversion"/>
  </si>
  <si>
    <t>QuickMove.Raid</t>
    <phoneticPr fontId="4" type="noConversion"/>
  </si>
  <si>
    <t>QuickMove.Arena</t>
    <phoneticPr fontId="4" type="noConversion"/>
  </si>
  <si>
    <t>Level : 3</t>
    <phoneticPr fontId="4" type="noConversion"/>
  </si>
  <si>
    <t>ContentsType : AttributeBattle</t>
    <phoneticPr fontId="4" type="noConversion"/>
  </si>
  <si>
    <t>LadderId : Proxyan</t>
    <phoneticPr fontId="4" type="noConversion"/>
  </si>
  <si>
    <t>ContentsType : DataTower</t>
    <phoneticPr fontId="4" type="noConversion"/>
  </si>
  <si>
    <t>ContentsType : BossChallenge</t>
    <phoneticPr fontId="4" type="noConversion"/>
  </si>
  <si>
    <t>Item(1040501001, 5)</t>
    <phoneticPr fontId="4" type="noConversion"/>
  </si>
  <si>
    <t>스킬 코어 5단계 클리어 팩</t>
  </si>
  <si>
    <t>ContentsType : Raid
StageId : Raid01</t>
  </si>
  <si>
    <t>ShopSlot(2771000000284)</t>
  </si>
  <si>
    <t>스킬 코어 10단계 클리어 팩</t>
  </si>
  <si>
    <t>ShopSlot(2771000000285)</t>
  </si>
  <si>
    <t>스킬 코어 15단계 클리어 팩</t>
  </si>
  <si>
    <t>ShopSlot(2771000000286)</t>
  </si>
  <si>
    <t>스킬 코어 20단계 클리어 팩</t>
  </si>
  <si>
    <t>ShopSlot(2771000000287)</t>
  </si>
  <si>
    <t>스킬 코어 25단계 클리어 팩</t>
  </si>
  <si>
    <t>ShopSlot(2771000000288)</t>
  </si>
  <si>
    <t>스킬 코어 30단계 클리어 팩</t>
  </si>
  <si>
    <t>ShopSlot(2771000000289)</t>
  </si>
  <si>
    <t>최적화 코드 5단계 클리어 팩</t>
  </si>
  <si>
    <t>ContentsType : Raid
StageId : Raid02</t>
  </si>
  <si>
    <t>ShopSlot(2771000000290)</t>
  </si>
  <si>
    <t>최적화 코드 10단계 클리어 팩</t>
  </si>
  <si>
    <t>ShopSlot(2771000000291)</t>
  </si>
  <si>
    <t>최적화 코드 15단계 클리어 팩</t>
  </si>
  <si>
    <t>ShopSlot(2771000000292)</t>
  </si>
  <si>
    <t>최적화 코드 20단계 클리어 팩</t>
  </si>
  <si>
    <t>ShopSlot(2771000000293)</t>
  </si>
  <si>
    <t>최적화 코드 25단계 클리어 팩</t>
  </si>
  <si>
    <t>ShopSlot(2771000000294)</t>
  </si>
  <si>
    <t>최적화 코드 30단계 클리어 팩</t>
  </si>
  <si>
    <t>ShopSlot(2771000000295)</t>
  </si>
  <si>
    <t>장비 에너지 5단계 클리어 팩</t>
  </si>
  <si>
    <t>ContentsType : Raid
StageId : Raid03</t>
  </si>
  <si>
    <t>ShopSlot(2771000000296)</t>
  </si>
  <si>
    <t>장비 에너지 10단계 클리어 팩</t>
  </si>
  <si>
    <t>ShopSlot(2771000000297)</t>
  </si>
  <si>
    <t>장비 에너지 15단계 클리어 팩</t>
  </si>
  <si>
    <t>ShopSlot(2771000000298)</t>
  </si>
  <si>
    <t>장비 에너지 20단계 클리어 팩</t>
  </si>
  <si>
    <t>ShopSlot(2771000000299)</t>
  </si>
  <si>
    <t>장비 에너지 25단계 클리어 팩</t>
  </si>
  <si>
    <t>ShopSlot(2771000000300)</t>
  </si>
  <si>
    <t>장비 에너지 30단계 클리어 팩</t>
  </si>
  <si>
    <t>ShopSlot(2771000000301)</t>
  </si>
  <si>
    <t>플러그인 강화칩 5단계 클리어 팩</t>
  </si>
  <si>
    <t>ContentsType : Raid
StageId : Raid04</t>
  </si>
  <si>
    <t>ShopSlot(2771000000302)</t>
  </si>
  <si>
    <t>플러그인 강화칩 10단계 클리어 팩</t>
  </si>
  <si>
    <t>ShopSlot(2771000000303)</t>
  </si>
  <si>
    <t>플러그인 강화칩 15단계 클리어 팩</t>
  </si>
  <si>
    <t>ShopSlot(2771000000304)</t>
  </si>
  <si>
    <t>플러그인 강화칩 20단계 클리어 팩</t>
  </si>
  <si>
    <t>ShopSlot(2771000000305)</t>
  </si>
  <si>
    <t>플러그인 강화칩 25단계 클리어 팩</t>
  </si>
  <si>
    <t>ShopSlot(2771000000306)</t>
  </si>
  <si>
    <t>플러그인 강화칩 30단계 클리어 팩</t>
  </si>
  <si>
    <t>ShopSlot(2771000000307)</t>
  </si>
  <si>
    <t xml:space="preserve">StarRecordExp(3040100001, 1)_x000D_
</t>
  </si>
  <si>
    <t xml:space="preserve">StarRecordExp(3040100001, 2)_x000D_
</t>
  </si>
  <si>
    <t xml:space="preserve">StarRecordGroupExp(Regular, 1)_x000D_
</t>
  </si>
  <si>
    <t xml:space="preserve">StarRecordGroupExp(Regular, 2)_x000D_
</t>
  </si>
  <si>
    <t xml:space="preserve">StarRecordGroupExp(Regular, 3)_x000D_
</t>
  </si>
  <si>
    <t xml:space="preserve">StarRecordGroupExp(Regular, 6)_x000D_
</t>
  </si>
  <si>
    <t xml:space="preserve">StarRecordGroupExp(Regular, 9)_x000D_
</t>
  </si>
  <si>
    <t xml:space="preserve">StarRecordGroupExp(Regular, 12)_x000D_
</t>
  </si>
  <si>
    <t xml:space="preserve">StarRecordGroupExp(Regular, 15)_x000D_
</t>
  </si>
  <si>
    <t>Mission.Desc.StageClear.NormalEventBattle</t>
    <phoneticPr fontId="30" type="noConversion"/>
  </si>
  <si>
    <t>Record.Mission.Asnia.10.1</t>
  </si>
  <si>
    <t>아이투스UR 승급 축하 팩</t>
  </si>
  <si>
    <t>Grade : UR
CharacterId : 1010910001</t>
  </si>
  <si>
    <t>ShopSlot(2771000000314)</t>
  </si>
  <si>
    <t>메리샤UR 승급 축하 팩</t>
  </si>
  <si>
    <t>Grade : UR
CharacterId : 1010910002</t>
  </si>
  <si>
    <t>ShopSlot(2771000000315)</t>
  </si>
  <si>
    <t>릴리안UR 승급 축하 팩</t>
  </si>
  <si>
    <t>Grade : UR
CharacterId : 1010710001</t>
  </si>
  <si>
    <t>ShopSlot(2771000000316)</t>
  </si>
  <si>
    <t>다리아UR 승급 축하 팩</t>
  </si>
  <si>
    <t>Grade : UR
CharacterId : 1010710002</t>
  </si>
  <si>
    <t>ShopSlot(2771000000317)</t>
  </si>
  <si>
    <t>스노프릴UR 승급 축하 팩</t>
  </si>
  <si>
    <t>Grade : UR
CharacterId : 1010710003</t>
  </si>
  <si>
    <t>ShopSlot(2771000000318)</t>
  </si>
  <si>
    <t>타이나UR 승급 축하 팩</t>
  </si>
  <si>
    <t>Grade : UR
CharacterId : 1010510002</t>
  </si>
  <si>
    <t>ShopSlot(2771000000320)</t>
  </si>
  <si>
    <t>세라펄사UR 승급 축하 팩</t>
  </si>
  <si>
    <t>Grade : UR
CharacterId : 1010920002</t>
  </si>
  <si>
    <t>ShopSlot(2771000000322)</t>
  </si>
  <si>
    <t>아이라스UR 승급 축하 팩</t>
  </si>
  <si>
    <t>Grade : UR
CharacterId : 1010920003</t>
  </si>
  <si>
    <t>ShopSlot(2771000000323)</t>
  </si>
  <si>
    <t>앰브로시아UR 승급 축하 팩</t>
  </si>
  <si>
    <t>Grade : UR
CharacterId : 1010920004</t>
  </si>
  <si>
    <t>ShopSlot(2771000000324)</t>
  </si>
  <si>
    <t>이사벨라UR 승급 축하 팩</t>
  </si>
  <si>
    <t>Grade : UR
CharacterId : 1010720003</t>
  </si>
  <si>
    <t>ShopSlot(2771000000326)</t>
  </si>
  <si>
    <t>발렌시아UR 승급 축하 팩</t>
  </si>
  <si>
    <t>Grade : UR
CharacterId : 1010720004</t>
  </si>
  <si>
    <t>ShopSlot(2771000000327)</t>
  </si>
  <si>
    <t>벨리타UR 승급 축하 팩</t>
  </si>
  <si>
    <t>Grade : UR
CharacterId : 1010720005</t>
  </si>
  <si>
    <t>ShopSlot(2771000000328)</t>
  </si>
  <si>
    <t>베르베타UR 승급 축하 팩</t>
  </si>
  <si>
    <t>Grade : UR
CharacterId : 1010720006</t>
  </si>
  <si>
    <t>ShopSlot(2771000000329)</t>
  </si>
  <si>
    <t>아셀스UR 승급 축하 팩</t>
  </si>
  <si>
    <t>Grade : UR
CharacterId : 1010720007</t>
  </si>
  <si>
    <t>ShopSlot(2771000000330)</t>
  </si>
  <si>
    <t>안젤리카UR 승급 축하 팩</t>
  </si>
  <si>
    <t>Grade : UR
CharacterId : 1010520001</t>
  </si>
  <si>
    <t>ShopSlot(2771000000331)</t>
  </si>
  <si>
    <t>유나UR 승급 축하 팩</t>
  </si>
  <si>
    <t>Grade : UR
CharacterId : 1010520003</t>
  </si>
  <si>
    <t>ShopSlot(2771000000332)</t>
  </si>
  <si>
    <t>그레이UR 승급 축하 팩</t>
  </si>
  <si>
    <t>Grade : UR
CharacterId : 1010520004</t>
  </si>
  <si>
    <t>ShopSlot(2771000000333)</t>
  </si>
  <si>
    <t>페이UR 승급 축하 팩</t>
  </si>
  <si>
    <t>Grade : UR
CharacterId : 1010520005</t>
  </si>
  <si>
    <t>ShopSlot(2771000000334)</t>
  </si>
  <si>
    <t>아이렌UR 승급 축하 팩</t>
  </si>
  <si>
    <t>Grade : UR
CharacterId : 1010320001</t>
  </si>
  <si>
    <t>ShopSlot(2771000000335)</t>
  </si>
  <si>
    <t>클레아스UR 승급 축하 팩</t>
  </si>
  <si>
    <t>Grade : UR
CharacterId : 1010320002</t>
  </si>
  <si>
    <t>ShopSlot(2771000000336)</t>
  </si>
  <si>
    <t>아크페이즈UR 승급 축하 팩</t>
  </si>
  <si>
    <t>Grade : UR
CharacterId : 1010930005</t>
  </si>
  <si>
    <t>ShopSlot(2771000000340)</t>
  </si>
  <si>
    <t>패트리샤UR 승급 축하 팩</t>
  </si>
  <si>
    <t>Grade : UR
CharacterId : 1010730002</t>
  </si>
  <si>
    <t>ShopSlot(2771000000341)</t>
  </si>
  <si>
    <t>레나스UR 승급 축하 팩</t>
  </si>
  <si>
    <t>Grade : UR
CharacterId : 1010730003</t>
  </si>
  <si>
    <t>ShopSlot(2771000000342)</t>
  </si>
  <si>
    <t>라일라UR 승급 축하 팩</t>
  </si>
  <si>
    <t>Grade : UR
CharacterId : 1010730004</t>
  </si>
  <si>
    <t>ShopSlot(2771000000343)</t>
  </si>
  <si>
    <t>에리카UR 승급 축하 팩</t>
  </si>
  <si>
    <t>Grade : UR
CharacterId : 1010730005</t>
  </si>
  <si>
    <t>ShopSlot(2771000000344)</t>
  </si>
  <si>
    <t>에이코UR 승급 축하 팩</t>
  </si>
  <si>
    <t>Grade : UR
CharacterId : 1010530001</t>
  </si>
  <si>
    <t>ShopSlot(2771000000345)</t>
  </si>
  <si>
    <t>크림슨UR 승급 축하 팩</t>
  </si>
  <si>
    <t>Grade : UR
CharacterId : 1010530002</t>
  </si>
  <si>
    <t>ShopSlot(2771000000346)</t>
  </si>
  <si>
    <t>페렐UR 승급 축하 팩</t>
  </si>
  <si>
    <t>Grade : UR
CharacterId : 1010530003</t>
  </si>
  <si>
    <t>ShopSlot(2771000000347)</t>
  </si>
  <si>
    <t>이노UR 승급 축하 팩</t>
  </si>
  <si>
    <t>Grade : UR
CharacterId : 1010530004</t>
  </si>
  <si>
    <t>ShopSlot(2771000000348)</t>
  </si>
  <si>
    <t>유리지아UR 승급 축하 팩</t>
  </si>
  <si>
    <t>Grade : UR
CharacterId : 1010940001</t>
  </si>
  <si>
    <t>ShopSlot(2771000000349)</t>
  </si>
  <si>
    <t>샤레UR 승급 축하 팩</t>
  </si>
  <si>
    <t>Grade : UR
CharacterId : 1010940002</t>
  </si>
  <si>
    <t>ShopSlot(2771000000350)</t>
  </si>
  <si>
    <t>헬렌UR 승급 축하 팩</t>
  </si>
  <si>
    <t>Grade : UR
CharacterId : 1010740001</t>
  </si>
  <si>
    <t>ShopSlot(2771000000351)</t>
  </si>
  <si>
    <t>엘리나UR 승급 축하 팩</t>
  </si>
  <si>
    <t>Grade : UR
CharacterId : 1010540001</t>
  </si>
  <si>
    <t>ShopSlot(2771000000353)</t>
  </si>
  <si>
    <t>CharacterId:1010920002</t>
    <phoneticPr fontId="4" type="noConversion"/>
  </si>
  <si>
    <t>tab_event_rollrult</t>
  </si>
  <si>
    <t>Item(1040605111, 1) &amp; MissionPoint(Recommend2, 1)</t>
  </si>
  <si>
    <t>Item(1040605111, 1) &amp; MissionPoint(Recommend2, 1)</t>
    <phoneticPr fontId="4" type="noConversion"/>
  </si>
  <si>
    <t>Item(1040102001, 200) &amp; MissionPoint(Recommend2, 1)</t>
  </si>
  <si>
    <t>Item(1040501001, 1) &amp; MissionPoint(Recommend2, 1)</t>
  </si>
  <si>
    <t>Item(1040605011, 1) &amp; MissionPoint(Recommend2, 1)</t>
  </si>
  <si>
    <t>Item(1040605011, 1) &amp; MissionPoint(Recommend3, 1)</t>
  </si>
  <si>
    <t>Item(1040501001, 1) &amp; MissionPoint(Recommend3, 1)</t>
  </si>
  <si>
    <t>Item(1040102001, 200) &amp; MissionPoint(Recommend3, 1)</t>
  </si>
  <si>
    <t>Item(1040605111, 1) &amp; MissionPoint(Recommend3, 1)</t>
  </si>
  <si>
    <t>Item(1040501001, 1) &amp; MissionPoint(Recommend4, 1)</t>
  </si>
  <si>
    <t>Item(1040605111, 1) &amp; MissionPoint(Recommend4, 1)</t>
  </si>
  <si>
    <t>Item(1040102001, 200) &amp; MissionPoint(Recommend4, 1)</t>
  </si>
  <si>
    <t>Item(1040605011, 1) &amp; MissionPoint(Recommend4, 1)</t>
  </si>
  <si>
    <t>ShopCategory : 2600000000001</t>
    <phoneticPr fontId="4" type="noConversion"/>
  </si>
  <si>
    <t>QuickMove.ArenaCoinShop</t>
    <phoneticPr fontId="4" type="noConversion"/>
  </si>
  <si>
    <t>QuickMove.Raid.Shop</t>
    <phoneticPr fontId="4" type="noConversion"/>
  </si>
  <si>
    <t>Item(1040501001, 1) &amp; MissionPoint(Recommend4, 1)</t>
    <phoneticPr fontId="4" type="noConversion"/>
  </si>
  <si>
    <t>QuickMove.AttributeBattle</t>
    <phoneticPr fontId="4" type="noConversion"/>
  </si>
  <si>
    <t>QuickMove.BossChallenge</t>
    <phoneticPr fontId="4" type="noConversion"/>
  </si>
  <si>
    <t>릴리안 플러그인 UR 달성 기념</t>
  </si>
  <si>
    <t>PluginId : 1030710001
Grade : UR</t>
  </si>
  <si>
    <t>ShopSlot(2771000000354)</t>
  </si>
  <si>
    <t>다리아 플러그인 UR 달성 기념</t>
  </si>
  <si>
    <t>PluginId : 1030710002
Grade : UR</t>
  </si>
  <si>
    <t>ShopSlot(2771000000355)</t>
  </si>
  <si>
    <t>스노프릴 플러그인 UR 달성 기념</t>
  </si>
  <si>
    <t>PluginId : 1030710003
Grade : UR</t>
  </si>
  <si>
    <t>ShopSlot(2771000000356)</t>
  </si>
  <si>
    <t>타이나 플러그인 UR 달성 기념</t>
  </si>
  <si>
    <t>PluginId : 1030510002
Grade : UR</t>
  </si>
  <si>
    <t>ShopSlot(2771000000358)</t>
  </si>
  <si>
    <t>세라펄사 플러그인 UR 달성 기념</t>
  </si>
  <si>
    <t>PluginId : 1030920002
Grade : UR</t>
  </si>
  <si>
    <t>ShopSlot(2771000000359)</t>
  </si>
  <si>
    <t>아이라스 플러그인 UR 달성 기념</t>
  </si>
  <si>
    <t>PluginId : 1030920003
Grade : UR</t>
  </si>
  <si>
    <t>ShopSlot(2771000000360)</t>
  </si>
  <si>
    <t>앰브로시아 플러그인 UR 달성 기념</t>
  </si>
  <si>
    <t>PluginId : 1030920004
Grade : UR</t>
  </si>
  <si>
    <t>ShopSlot(2771000000361)</t>
  </si>
  <si>
    <t>시아 플러그인 UR 달성 기념</t>
  </si>
  <si>
    <t>PluginId : 1030920005
Grade : UR</t>
  </si>
  <si>
    <t>ShopSlot(2771000000362)</t>
  </si>
  <si>
    <t>메아 플러그인 UR 달성 기념</t>
  </si>
  <si>
    <t>PluginId : 1030720001
Grade : UR</t>
  </si>
  <si>
    <t>ShopSlot(2771000000363)</t>
  </si>
  <si>
    <t>이사벨라 플러그인 UR 달성 기념</t>
  </si>
  <si>
    <t>PluginId : 1030720003
Grade : UR</t>
  </si>
  <si>
    <t>ShopSlot(2771000000365)</t>
  </si>
  <si>
    <t>발렌시아 플러그인 UR 달성 기념</t>
  </si>
  <si>
    <t>PluginId : 1030720004
Grade : UR</t>
  </si>
  <si>
    <t>ShopSlot(2771000000366)</t>
  </si>
  <si>
    <t>벨리타 플러그인 UR 달성 기념</t>
  </si>
  <si>
    <t>PluginId : 1030720005
Grade : UR</t>
  </si>
  <si>
    <t>ShopSlot(2771000000367)</t>
  </si>
  <si>
    <t>베르베타 플러그인 UR 달성 기념</t>
  </si>
  <si>
    <t>PluginId : 1030720006
Grade : UR</t>
  </si>
  <si>
    <t>ShopSlot(2771000000368)</t>
  </si>
  <si>
    <t>아셀스 플러그인 UR 달성 기념</t>
  </si>
  <si>
    <t>PluginId : 1030720007
Grade : UR</t>
  </si>
  <si>
    <t>ShopSlot(2771000000369)</t>
  </si>
  <si>
    <t>안젤리카 플러그인 UR 달성 기념</t>
  </si>
  <si>
    <t>PluginId : 1030520001
Grade : UR</t>
  </si>
  <si>
    <t>ShopSlot(2771000000370)</t>
  </si>
  <si>
    <t>유나 플러그인 UR 달성 기념</t>
  </si>
  <si>
    <t>PluginId : 1030520003
Grade : UR</t>
  </si>
  <si>
    <t>ShopSlot(2771000000371)</t>
  </si>
  <si>
    <t>그레이 플러그인 UR 달성 기념</t>
  </si>
  <si>
    <t>PluginId : 1030520004
Grade : UR</t>
  </si>
  <si>
    <t>ShopSlot(2771000000372)</t>
  </si>
  <si>
    <t>페이 플러그인 UR 달성 기념</t>
  </si>
  <si>
    <t>PluginId : 1030520005
Grade : UR</t>
  </si>
  <si>
    <t>ShopSlot(2771000000373)</t>
  </si>
  <si>
    <t>아크페이즈 플러그인 UR 달성 기념</t>
  </si>
  <si>
    <t>PluginId : 1030930005
Grade : UR</t>
  </si>
  <si>
    <t>ShopSlot(2771000000378)</t>
  </si>
  <si>
    <t>패트리샤 플러그인 UR 달성 기념</t>
  </si>
  <si>
    <t>PluginId : 1030730002
Grade : UR</t>
  </si>
  <si>
    <t>ShopSlot(2771000000379)</t>
  </si>
  <si>
    <t>레나스 플러그인 UR 달성 기념</t>
  </si>
  <si>
    <t>PluginId : 1030730003
Grade : UR</t>
  </si>
  <si>
    <t>ShopSlot(2771000000380)</t>
  </si>
  <si>
    <t>라일라 플러그인 UR 달성 기념</t>
  </si>
  <si>
    <t>PluginId : 1030730004
Grade : UR</t>
  </si>
  <si>
    <t>ShopSlot(2771000000381)</t>
  </si>
  <si>
    <t>에리카 플러그인 UR 달성 기념</t>
  </si>
  <si>
    <t>PluginId : 1030730005
Grade : UR</t>
  </si>
  <si>
    <t>ShopSlot(2771000000382)</t>
  </si>
  <si>
    <t>에이코 플러그인 UR 달성 기념</t>
  </si>
  <si>
    <t>PluginId : 1030530001
Grade : UR</t>
  </si>
  <si>
    <t>ShopSlot(2771000000383)</t>
  </si>
  <si>
    <t>크림슨 플러그인 UR 달성 기념</t>
  </si>
  <si>
    <t>PluginId : 1030530002
Grade : UR</t>
  </si>
  <si>
    <t>ShopSlot(2771000000384)</t>
  </si>
  <si>
    <t>페렐 플러그인 UR 달성 기념</t>
  </si>
  <si>
    <t>PluginId : 1030530003
Grade : UR</t>
  </si>
  <si>
    <t>ShopSlot(2771000000385)</t>
  </si>
  <si>
    <t>이노 플러그인 UR 달성 기념</t>
  </si>
  <si>
    <t>PluginId : 1030530004
Grade : UR</t>
  </si>
  <si>
    <t>ShopSlot(2771000000386)</t>
  </si>
  <si>
    <t>유리지아 플러그인 UR 달성 기념</t>
  </si>
  <si>
    <t>PluginId : 1030940001
Grade : UR</t>
  </si>
  <si>
    <t>ShopSlot(2771000000387)</t>
  </si>
  <si>
    <t>샤레 플러그인 UR 달성 기념</t>
  </si>
  <si>
    <t>PluginId : 1030940002
Grade : UR</t>
  </si>
  <si>
    <t>ShopSlot(2771000000388)</t>
  </si>
  <si>
    <t>레이호우 플러그인 UR 달성 기념</t>
  </si>
  <si>
    <t>PluginId : 1030940003
Grade : UR</t>
  </si>
  <si>
    <t>ShopSlot(2771000000389)</t>
  </si>
  <si>
    <t>헬렌 플러그인 UR 달성 기념</t>
  </si>
  <si>
    <t>PluginId : 1030740001
Grade : UR</t>
  </si>
  <si>
    <t>ShopSlot(2771000000390)</t>
  </si>
  <si>
    <t>할로나 플러그인 UR 달성 기념</t>
  </si>
  <si>
    <t>PluginId : 1030740002
Grade : UR</t>
  </si>
  <si>
    <t>ShopSlot(2771000000391)</t>
  </si>
  <si>
    <t>아이렌 플러그인 UR 달성 기념</t>
  </si>
  <si>
    <t>PluginId : 1030320001
Grade : UR</t>
  </si>
  <si>
    <t>ShopSlot(2771000000393)</t>
  </si>
  <si>
    <t>메리샤 플러그인 UR 달성 기념</t>
  </si>
  <si>
    <t>PluginId : 1030910002
Grade : UR</t>
  </si>
  <si>
    <t>ShopSlot(2771000000394)</t>
  </si>
  <si>
    <t>클레아스 플러그인 UR 달성 기념</t>
  </si>
  <si>
    <t>PluginId : 1030320002
Grade : UR</t>
  </si>
  <si>
    <t>Item(1040501001, 10)</t>
    <phoneticPr fontId="4" type="noConversion"/>
  </si>
  <si>
    <t>QuickMove0060</t>
  </si>
  <si>
    <t>Record.Mission.Asnia.10.2</t>
  </si>
  <si>
    <t>Record.Mission.Asnia.10.3</t>
  </si>
  <si>
    <t>Record.Mission.Asnia.10.4</t>
  </si>
  <si>
    <t>Record.Mission.Asnia.10.5</t>
  </si>
  <si>
    <t>Record.Mission.Asnia.10.6</t>
  </si>
  <si>
    <t>Record.Mission.Asnia.10.7</t>
  </si>
  <si>
    <t>Record.Mission.Asnia.10.8</t>
  </si>
  <si>
    <t>Record.Mission.Asnia.10.9</t>
  </si>
  <si>
    <t>Record.Mission.Asnia.10.10</t>
  </si>
  <si>
    <t>Record.Mission.Asnia.10.11</t>
  </si>
  <si>
    <t>Record.Mission.Asnia.10.12</t>
  </si>
  <si>
    <t>Record.Mission.Asnia.10.13</t>
  </si>
  <si>
    <t>Record.Mission.Asnia.10.14</t>
  </si>
  <si>
    <t>Record.Mission.Asnia.10.15</t>
  </si>
  <si>
    <t>Record.Mission.Asnia.10.16</t>
  </si>
  <si>
    <t>Record.Mission.Asnia.10.17</t>
  </si>
  <si>
    <t>Record.Mission.Asnia.10.18</t>
  </si>
  <si>
    <t>Record.Mission.Asnia.10.19</t>
  </si>
  <si>
    <t>Record.Mission.Asnia.10.20</t>
  </si>
  <si>
    <t>Record.Mission.Asnia.20.2</t>
  </si>
  <si>
    <t>Record.Mission.Asnia.20.3</t>
  </si>
  <si>
    <t>Record.Mission.Asnia.20.4</t>
  </si>
  <si>
    <t>Record.Mission.Asnia.20.5</t>
  </si>
  <si>
    <t>Record.Mission.Asnia.20.6</t>
  </si>
  <si>
    <t>Record.Mission.Asnia.20.7</t>
  </si>
  <si>
    <t>Record.Mission.Asnia.20.8</t>
  </si>
  <si>
    <t>Record.Mission.Asnia.20.9</t>
  </si>
  <si>
    <t>Record.Mission.Asnia.20.10</t>
  </si>
  <si>
    <t>Record.Mission.Asnia.20.11</t>
  </si>
  <si>
    <t>Record.Mission.Asnia.20.12</t>
  </si>
  <si>
    <t>Record.Mission.Asnia.20.13</t>
  </si>
  <si>
    <t>Record.Mission.Asnia.20.14</t>
  </si>
  <si>
    <t>Record.Mission.Asnia.20.15</t>
  </si>
  <si>
    <t>Record.Mission.Asnia.20.16</t>
  </si>
  <si>
    <t>Record.Mission.Asnia.20.17</t>
  </si>
  <si>
    <t>Record.Mission.Asnia.20.18</t>
  </si>
  <si>
    <t>Record.Mission.Asnia.20.19</t>
  </si>
  <si>
    <t>Record.Mission.Asnia.20.20</t>
  </si>
  <si>
    <t>Record.Mission.Asnia.30.2</t>
  </si>
  <si>
    <t>Record.Mission.Asnia.30.3</t>
  </si>
  <si>
    <t>Record.Mission.Asnia.30.4</t>
  </si>
  <si>
    <t>Record.Mission.Asnia.30.5</t>
  </si>
  <si>
    <t>Record.Mission.Asnia.30.6</t>
  </si>
  <si>
    <t>Record.Mission.Asnia.30.7</t>
  </si>
  <si>
    <t>Record.Mission.Asnia.30.8</t>
  </si>
  <si>
    <t>Record.Mission.Asnia.30.9</t>
  </si>
  <si>
    <t>Record.Mission.Asnia.30.10</t>
  </si>
  <si>
    <t>Record.Mission.Asnia.30.11</t>
  </si>
  <si>
    <t>Record.Mission.Asnia.30.12</t>
  </si>
  <si>
    <t>Record.Mission.Asnia.30.13</t>
  </si>
  <si>
    <t>Record.Mission.Asnia.30.14</t>
  </si>
  <si>
    <t>Record.Mission.Asnia.30.15</t>
  </si>
  <si>
    <t>Record.Mission.Asnia.30.16</t>
  </si>
  <si>
    <t>Record.Mission.Asnia.30.17</t>
  </si>
  <si>
    <t>Record.Mission.Asnia.30.18</t>
  </si>
  <si>
    <t>Record.Mission.Asnia.30.19</t>
  </si>
  <si>
    <t>Record.Mission.Asnia.30.20</t>
  </si>
  <si>
    <t>Record.Mission.Asnia.40.2</t>
  </si>
  <si>
    <t>Record.Mission.Asnia.40.3</t>
  </si>
  <si>
    <t>Record.Mission.Asnia.40.4</t>
  </si>
  <si>
    <t>Record.Mission.Asnia.40.5</t>
  </si>
  <si>
    <t>Record.Mission.Asnia.40.6</t>
  </si>
  <si>
    <t>Record.Mission.Asnia.40.7</t>
  </si>
  <si>
    <t>Record.Mission.Asnia.40.8</t>
  </si>
  <si>
    <t>Record.Mission.Asnia.40.9</t>
  </si>
  <si>
    <t>Record.Mission.Asnia.40.10</t>
  </si>
  <si>
    <t>Record.Mission.Asnia.40.11</t>
  </si>
  <si>
    <t>Record.Mission.Asnia.40.12</t>
  </si>
  <si>
    <t>Record.Mission.Asnia.40.13</t>
  </si>
  <si>
    <t>Record.Mission.Asnia.40.14</t>
  </si>
  <si>
    <t>Record.Mission.Asnia.40.15</t>
  </si>
  <si>
    <t>Record.Mission.Asnia.40.16</t>
  </si>
  <si>
    <t>Record.Mission.Asnia.40.17</t>
  </si>
  <si>
    <t>Record.Mission.Asnia.40.18</t>
  </si>
  <si>
    <t>Record.Mission.Asnia.40.19</t>
  </si>
  <si>
    <t>Record.Mission.Asnia.40.20</t>
  </si>
  <si>
    <t>SYSTEM_MONTHLY_RESET</t>
    <phoneticPr fontId="4" type="noConversion"/>
  </si>
  <si>
    <t>플러그인 UR 승급 패키지  # 달성 불가 처리</t>
    <phoneticPr fontId="4" type="noConversion"/>
  </si>
  <si>
    <t>StageClear</t>
    <phoneticPr fontId="4" type="noConversion"/>
  </si>
  <si>
    <t>StageId : 1829</t>
    <phoneticPr fontId="4" type="noConversion"/>
  </si>
  <si>
    <t>Mission.Guide.Talk.002</t>
  </si>
  <si>
    <t>Mission.Guide.Talk.003</t>
  </si>
  <si>
    <t>Mission.Guide.Talk.004</t>
  </si>
  <si>
    <t>Mission.Guide.Talk.005</t>
  </si>
  <si>
    <t>Mission.Guide.Talk.006</t>
  </si>
  <si>
    <t>Mission.Guide.Talk.007</t>
  </si>
  <si>
    <t>Mission.Guide.Talk.008</t>
  </si>
  <si>
    <t>Mission.Guide.Talk.009</t>
  </si>
  <si>
    <t>Mission.Guide.Talk.010</t>
  </si>
  <si>
    <t>Mission.Guide.Talk.011</t>
  </si>
  <si>
    <t>Mission.Guide.Talk.012</t>
  </si>
  <si>
    <t>Mission.Guide.Talk.013</t>
  </si>
  <si>
    <t>Mission.Guide.Talk.014</t>
  </si>
  <si>
    <t>Mission.Guide.Talk.015</t>
  </si>
  <si>
    <t>Mission.Guide.Talk.016</t>
  </si>
  <si>
    <t>Mission.Guide.Talk.017</t>
  </si>
  <si>
    <t>Mission.Guide.Talk.018</t>
  </si>
  <si>
    <t>Mission.Guide.Talk.019</t>
  </si>
  <si>
    <t>Mission.Guide.Talk.020</t>
  </si>
  <si>
    <t>Item(1040102001,  25)</t>
  </si>
  <si>
    <t>Item(1040302001,  500)</t>
  </si>
  <si>
    <t>Item(1040101001,  1000)</t>
  </si>
  <si>
    <t>Item(1040102001,  50)</t>
  </si>
  <si>
    <t>Item(1040302001,  1000)</t>
  </si>
  <si>
    <t>Item(1040408041, 10)</t>
  </si>
  <si>
    <t>Item(1040102001,  100)</t>
  </si>
  <si>
    <t>Item(1040302001,  2000)</t>
  </si>
  <si>
    <t>Item(1040603005,  1)</t>
  </si>
  <si>
    <t>Item(1040102001,  150)</t>
  </si>
  <si>
    <t>Item(1040302001,  8000)</t>
  </si>
  <si>
    <t>Item(1040408041, 20)</t>
  </si>
  <si>
    <t>Item(1040605301,  1)</t>
  </si>
  <si>
    <t>Item(1040603006,  1)</t>
  </si>
  <si>
    <t>Item(1040501001,  20)</t>
  </si>
  <si>
    <t>2100000000101</t>
    <phoneticPr fontId="4" type="noConversion"/>
  </si>
  <si>
    <t>MissionPoint(Daily, 20)</t>
    <phoneticPr fontId="4" type="noConversion"/>
  </si>
  <si>
    <t>MissionPoint(Daily, 10)</t>
    <phoneticPr fontId="4" type="noConversion"/>
  </si>
  <si>
    <t>MissionPoint(Weekly, 10)</t>
    <phoneticPr fontId="4" type="noConversion"/>
  </si>
  <si>
    <t>MissionPoint(Weekly, 20)</t>
    <phoneticPr fontId="4" type="noConversion"/>
  </si>
  <si>
    <t>MissionPoint(Weekly, 20)</t>
    <phoneticPr fontId="4" type="noConversion"/>
  </si>
  <si>
    <t>MissionPoint(Weekly, 20)</t>
    <phoneticPr fontId="4" type="noConversion"/>
  </si>
  <si>
    <t>StarRecord(3040400005)</t>
  </si>
  <si>
    <t>StarRecord(3040400006)</t>
    <phoneticPr fontId="4" type="noConversion"/>
  </si>
  <si>
    <t>Mission.Name.UseCurrency.Event.Itus</t>
    <phoneticPr fontId="30" type="noConversion"/>
  </si>
  <si>
    <t>QuickMove.EventStoryBattle.Itus.01</t>
  </si>
  <si>
    <t>QuickMove.EventStoryShop.Itus.01</t>
  </si>
  <si>
    <t>MissionPoint(Daily, 10)</t>
    <phoneticPr fontId="4" type="noConversion"/>
  </si>
  <si>
    <t>Item(1040605201, 1)
Item(1040503171, 3)</t>
    <phoneticPr fontId="4" type="noConversion"/>
  </si>
  <si>
    <t>Item(1040604001, 5)
Item(1040504011, 2)</t>
    <phoneticPr fontId="4" type="noConversion"/>
  </si>
  <si>
    <t>Item(1040102001, 40)
Item(1040501001, 2)</t>
    <phoneticPr fontId="4" type="noConversion"/>
  </si>
  <si>
    <t>Item(1040605211, 1)
Item(1040503171, 9)</t>
    <phoneticPr fontId="4" type="noConversion"/>
  </si>
  <si>
    <t>Item(1040501101, 4)
Item(1040504011, 15)</t>
    <phoneticPr fontId="4" type="noConversion"/>
  </si>
  <si>
    <t>Item(1040102001, 300)
Item(1040501001, 4)</t>
    <phoneticPr fontId="4" type="noConversion"/>
  </si>
  <si>
    <t>Item(1040605011, 1)</t>
    <phoneticPr fontId="4" type="noConversion"/>
  </si>
  <si>
    <t>Item(1040605111, 1)</t>
    <phoneticPr fontId="4" type="noConversion"/>
  </si>
  <si>
    <t>Item(1040605131, 1)
Item(1040604001, 50)</t>
    <phoneticPr fontId="4" type="noConversion"/>
  </si>
  <si>
    <t>Item(1040605031, 1)
Item(1040604002, 5)</t>
    <phoneticPr fontId="4" type="noConversion"/>
  </si>
  <si>
    <t>특정 등급 이상의 아카데미 칭호 획득</t>
    <phoneticPr fontId="4" type="noConversion"/>
  </si>
  <si>
    <t>Mission.DailyMissionPoint.Point</t>
    <phoneticPr fontId="4" type="noConversion"/>
  </si>
  <si>
    <t>Mission.WeeklyMissionPoint.Point</t>
    <phoneticPr fontId="4" type="noConversion"/>
  </si>
  <si>
    <t>스테이지 클리어 실패</t>
    <phoneticPr fontId="4" type="noConversion"/>
  </si>
  <si>
    <t>StageClearFailed</t>
    <phoneticPr fontId="4" type="noConversion"/>
  </si>
  <si>
    <t>페이 (길드작전-톡식)</t>
    <phoneticPr fontId="4" type="noConversion"/>
  </si>
  <si>
    <t>라일라 (길드작전-톡식)</t>
    <phoneticPr fontId="4" type="noConversion"/>
  </si>
  <si>
    <t>이노 (길드작전-골리앗)</t>
    <phoneticPr fontId="4" type="noConversion"/>
  </si>
  <si>
    <t>에리카 (길드작전-골리앗)</t>
    <phoneticPr fontId="4" type="noConversion"/>
  </si>
  <si>
    <t>ContentsType : GuildOperation
StageId : GuildOperation_N01
CharacterId : 1010520005</t>
    <phoneticPr fontId="4" type="noConversion"/>
  </si>
  <si>
    <t>ContentsType : GuildOperation
StageId : GuildOperation_N01
CharacterId : 1010730004</t>
    <phoneticPr fontId="4" type="noConversion"/>
  </si>
  <si>
    <t>ContentsType : GuildOperation
StageId : GuildOperation_H01
CharacterId : 1010530004</t>
    <phoneticPr fontId="4" type="noConversion"/>
  </si>
  <si>
    <t>ContentsType : GuildOperation
StageId : GuildOperation_H01
CharacterId : 1010730005</t>
    <phoneticPr fontId="4" type="noConversion"/>
  </si>
  <si>
    <t>Mission.Name.MissionPoint.Daily</t>
    <phoneticPr fontId="4" type="noConversion"/>
  </si>
  <si>
    <t>MissionPoint(Daily, 20)</t>
    <phoneticPr fontId="4" type="noConversion"/>
  </si>
  <si>
    <t>MissionPoint(Daily, 10)</t>
    <phoneticPr fontId="4" type="noConversion"/>
  </si>
  <si>
    <t>ShopPurchase</t>
    <phoneticPr fontId="4" type="noConversion"/>
  </si>
  <si>
    <t>2101000000012</t>
    <phoneticPr fontId="4" type="noConversion"/>
  </si>
  <si>
    <t>Daily.Mission.150</t>
    <phoneticPr fontId="4" type="noConversion"/>
  </si>
  <si>
    <t>Daily.Mission.160</t>
    <phoneticPr fontId="4" type="noConversion"/>
  </si>
  <si>
    <t>보스챌린지 1 클리어</t>
    <phoneticPr fontId="4" type="noConversion"/>
  </si>
  <si>
    <t>보스챌린지 2 클리어</t>
  </si>
  <si>
    <t>보스챌린지 3 클리어</t>
  </si>
  <si>
    <t>보스챌린지 4 클리어</t>
  </si>
  <si>
    <t>보스챌린지 5 클리어</t>
  </si>
  <si>
    <t>보스챌린지 6 클리어</t>
  </si>
  <si>
    <t>보스챌린지 7 클리어</t>
  </si>
  <si>
    <t>보스챌린지 8 클리어</t>
  </si>
  <si>
    <t>스테이지클리어</t>
    <phoneticPr fontId="4" type="noConversion"/>
  </si>
  <si>
    <t>common</t>
    <phoneticPr fontId="4" type="noConversion"/>
  </si>
  <si>
    <t>OnlyOnReset</t>
    <phoneticPr fontId="4" type="noConversion"/>
  </si>
  <si>
    <t>bool?</t>
    <phoneticPr fontId="4" type="noConversion"/>
  </si>
  <si>
    <t>DispatchFinishGrade</t>
  </si>
  <si>
    <t>특정 등급 이하의 파견 완료</t>
  </si>
  <si>
    <t>DispatchFinishGrade</t>
    <phoneticPr fontId="4" type="noConversion"/>
  </si>
  <si>
    <t>Weekly.Mission.Desc.160</t>
    <phoneticPr fontId="4" type="noConversion"/>
  </si>
  <si>
    <t>MissionPoint</t>
    <phoneticPr fontId="4" type="noConversion"/>
  </si>
  <si>
    <t>MissionPointType : AMH</t>
  </si>
  <si>
    <t>QuickMove0660</t>
    <phoneticPr fontId="4" type="noConversion"/>
  </si>
  <si>
    <t>Weekly.Mission.160</t>
    <phoneticPr fontId="4" type="noConversion"/>
  </si>
  <si>
    <t>2100000000000</t>
    <phoneticPr fontId="4" type="noConversion"/>
  </si>
  <si>
    <t>2100000000001</t>
    <phoneticPr fontId="4" type="noConversion"/>
  </si>
  <si>
    <t>2100000000002</t>
    <phoneticPr fontId="4" type="noConversion"/>
  </si>
  <si>
    <t>2100000000003</t>
    <phoneticPr fontId="4" type="noConversion"/>
  </si>
  <si>
    <t>2100000000004</t>
    <phoneticPr fontId="4" type="noConversion"/>
  </si>
  <si>
    <t>2100000000005</t>
    <phoneticPr fontId="4" type="noConversion"/>
  </si>
  <si>
    <t>2100000000006</t>
    <phoneticPr fontId="4" type="noConversion"/>
  </si>
  <si>
    <t>2100000000007</t>
    <phoneticPr fontId="4" type="noConversion"/>
  </si>
  <si>
    <t>2100000000008</t>
    <phoneticPr fontId="4" type="noConversion"/>
  </si>
  <si>
    <t>2100000000009</t>
    <phoneticPr fontId="4" type="noConversion"/>
  </si>
  <si>
    <t>StarRecord(3040400007)</t>
    <phoneticPr fontId="4" type="noConversion"/>
  </si>
  <si>
    <t>Mission.Name.UseCurrency.Event.Sia</t>
    <phoneticPr fontId="30" type="noConversion"/>
  </si>
  <si>
    <t>PluginId : 1030910001</t>
    <phoneticPr fontId="4" type="noConversion"/>
  </si>
  <si>
    <t>최대 호감도 레벨 달성</t>
    <phoneticPr fontId="4" type="noConversion"/>
  </si>
  <si>
    <t>MaxFavorLevel</t>
    <phoneticPr fontId="4" type="noConversion"/>
  </si>
  <si>
    <t>NotReceivedMail</t>
    <phoneticPr fontId="4" type="noConversion"/>
  </si>
  <si>
    <t>string</t>
    <phoneticPr fontId="4" type="noConversion"/>
  </si>
  <si>
    <t>common</t>
    <phoneticPr fontId="4" type="noConversion"/>
  </si>
  <si>
    <t>Mail.0073</t>
    <phoneticPr fontId="4" type="noConversion"/>
  </si>
  <si>
    <t>Grade : UR</t>
    <phoneticPr fontId="4" type="noConversion"/>
  </si>
  <si>
    <t>Grade : UR</t>
    <phoneticPr fontId="4" type="noConversion"/>
  </si>
  <si>
    <t>안젤리카 (데이터타워)</t>
    <phoneticPr fontId="4" type="noConversion"/>
  </si>
  <si>
    <t>발렌시아 (데이터타워)</t>
    <phoneticPr fontId="4" type="noConversion"/>
  </si>
  <si>
    <t>베르베타 (데이터타워)</t>
    <phoneticPr fontId="4" type="noConversion"/>
  </si>
  <si>
    <t>ContentsType : DataTower
CharacterId : 1010520001</t>
    <phoneticPr fontId="4" type="noConversion"/>
  </si>
  <si>
    <t>ContentsType : DataTower
CharacterId : 1010720004</t>
    <phoneticPr fontId="4" type="noConversion"/>
  </si>
  <si>
    <t>ContentsType : DataTower
CharacterId : 1010720006</t>
    <phoneticPr fontId="4" type="noConversion"/>
  </si>
  <si>
    <t>StageClear(스테이지92)</t>
    <phoneticPr fontId="4" type="noConversion"/>
  </si>
  <si>
    <t>StageClear(스테이지92)</t>
    <phoneticPr fontId="4" type="noConversion"/>
  </si>
  <si>
    <t>StageClear(스테이지212)</t>
    <phoneticPr fontId="4" type="noConversion"/>
  </si>
  <si>
    <t>StageClear(스테이지212)</t>
    <phoneticPr fontId="4" type="noConversion"/>
  </si>
  <si>
    <t>StageClear(스테이지317)</t>
    <phoneticPr fontId="4" type="noConversion"/>
  </si>
  <si>
    <t>StageClear(스테이지317)</t>
    <phoneticPr fontId="4" type="noConversion"/>
  </si>
  <si>
    <t>#8섹터</t>
    <phoneticPr fontId="4" type="noConversion"/>
  </si>
  <si>
    <t>#10섹터</t>
    <phoneticPr fontId="4" type="noConversion"/>
  </si>
  <si>
    <t>Character(1010330002, UR1)</t>
    <phoneticPr fontId="4" type="noConversion"/>
  </si>
  <si>
    <t>ShopSlot(2720600000201)
ShopSlot(2720600000202)
ShopSlot(2720600000203)</t>
    <phoneticPr fontId="4" type="noConversion"/>
  </si>
  <si>
    <t>레이호우 고속 성장 패키지</t>
    <phoneticPr fontId="4" type="noConversion"/>
  </si>
  <si>
    <t>ShopSlot(2720600000204)
ShopSlot(2720600000205)
ShopSlot(2720600000206)</t>
    <phoneticPr fontId="4" type="noConversion"/>
  </si>
  <si>
    <t>메아 고속 성장 패키지</t>
    <phoneticPr fontId="4" type="noConversion"/>
  </si>
  <si>
    <t>GetEquipment</t>
    <phoneticPr fontId="4" type="noConversion"/>
  </si>
  <si>
    <t>Grade : SSR1</t>
    <phoneticPr fontId="4" type="noConversion"/>
  </si>
  <si>
    <t>CharacterGrade</t>
    <phoneticPr fontId="4" type="noConversion"/>
  </si>
  <si>
    <t>Level : 5</t>
    <phoneticPr fontId="4" type="noConversion"/>
  </si>
  <si>
    <t>StageId : 스테이지94</t>
    <phoneticPr fontId="4" type="noConversion"/>
  </si>
  <si>
    <t>StageId : 스테이지104</t>
    <phoneticPr fontId="4" type="noConversion"/>
  </si>
  <si>
    <t>StageId : 스테이지222</t>
    <phoneticPr fontId="4" type="noConversion"/>
  </si>
  <si>
    <t>StageId : 스테이지240</t>
    <phoneticPr fontId="4" type="noConversion"/>
  </si>
  <si>
    <t>StageId : 스테이지327</t>
    <phoneticPr fontId="4" type="noConversion"/>
  </si>
  <si>
    <t>StageId : 스테이지337</t>
    <phoneticPr fontId="4" type="noConversion"/>
  </si>
  <si>
    <t>Mission.Name.PluginLvUp</t>
    <phoneticPr fontId="4" type="noConversion"/>
  </si>
  <si>
    <t>MSG.Mission.Name.Get.Ur1.Character</t>
  </si>
  <si>
    <t>MSG.Mission.Name.Get.SSR1.Equipment</t>
  </si>
  <si>
    <t>Grade : N</t>
    <phoneticPr fontId="4" type="noConversion"/>
  </si>
  <si>
    <t>Grade : R</t>
    <phoneticPr fontId="4" type="noConversion"/>
  </si>
  <si>
    <t>Grade : SSR</t>
    <phoneticPr fontId="4" type="noConversion"/>
  </si>
  <si>
    <t>Grade : R</t>
    <phoneticPr fontId="4" type="noConversion"/>
  </si>
  <si>
    <t>Grade : SR</t>
    <phoneticPr fontId="4" type="noConversion"/>
  </si>
  <si>
    <t>Grade : SR</t>
    <phoneticPr fontId="4" type="noConversion"/>
  </si>
  <si>
    <t>Grade : SSR</t>
    <phoneticPr fontId="4" type="noConversion"/>
  </si>
  <si>
    <t>Grade : UR</t>
    <phoneticPr fontId="4" type="noConversion"/>
  </si>
  <si>
    <t>Item(1040102001, 60)
MissionPoint(AMH, 1)</t>
    <phoneticPr fontId="4" type="noConversion"/>
  </si>
  <si>
    <t>Item(1040605141, 1)
MissionPoint(AMH, 1)</t>
    <phoneticPr fontId="4" type="noConversion"/>
  </si>
  <si>
    <t>Item(1040102001, 50)
MissionPoint(AMH, 1)</t>
    <phoneticPr fontId="4" type="noConversion"/>
  </si>
  <si>
    <t>Item(1040102001, 70)
MissionPoint(AMH, 1)</t>
    <phoneticPr fontId="4" type="noConversion"/>
  </si>
  <si>
    <t>Item(1040102001, 80)
MissionPoint(AMH, 1)</t>
    <phoneticPr fontId="4" type="noConversion"/>
  </si>
  <si>
    <t>Item(1040102001, 50)
MissionPoint(AMH, 1)</t>
    <phoneticPr fontId="4" type="noConversion"/>
  </si>
  <si>
    <t>Mission.AsniaMissionHub.15</t>
    <phoneticPr fontId="4" type="noConversion"/>
  </si>
  <si>
    <t>Mission.AsniaMissionHub.08</t>
    <phoneticPr fontId="4" type="noConversion"/>
  </si>
  <si>
    <t>Mission.AsniaMissionHub.09</t>
    <phoneticPr fontId="4" type="noConversion"/>
  </si>
  <si>
    <t>Mission.AsniaMissionHub.09</t>
    <phoneticPr fontId="4" type="noConversion"/>
  </si>
  <si>
    <t>Mission.AsniaMissionHub.16</t>
    <phoneticPr fontId="4" type="noConversion"/>
  </si>
  <si>
    <t>Mission.AsniaMissionHub.08</t>
    <phoneticPr fontId="4" type="noConversion"/>
  </si>
  <si>
    <t>Mission.AsniaMissionHub.16</t>
    <phoneticPr fontId="4" type="noConversion"/>
  </si>
  <si>
    <t>Mission.AsniaMissionHub.10</t>
    <phoneticPr fontId="4" type="noConversion"/>
  </si>
  <si>
    <t>Grade : SR</t>
    <phoneticPr fontId="4" type="noConversion"/>
  </si>
  <si>
    <t>Grade : SSR</t>
    <phoneticPr fontId="4" type="noConversion"/>
  </si>
  <si>
    <t>Grade : UR</t>
    <phoneticPr fontId="4" type="noConversion"/>
  </si>
  <si>
    <t>Grade : UR</t>
    <phoneticPr fontId="4" type="noConversion"/>
  </si>
  <si>
    <t>Grade : MR</t>
    <phoneticPr fontId="4" type="noConversion"/>
  </si>
  <si>
    <t>Grade : SSR</t>
    <phoneticPr fontId="4" type="noConversion"/>
  </si>
  <si>
    <t>Grade : SSR</t>
    <phoneticPr fontId="4" type="noConversion"/>
  </si>
  <si>
    <t>Grade : UR</t>
    <phoneticPr fontId="4" type="noConversion"/>
  </si>
  <si>
    <t>Grade : MR</t>
    <phoneticPr fontId="4" type="noConversion"/>
  </si>
  <si>
    <t>ItemId : 1040420001</t>
  </si>
  <si>
    <t>ItemId : 1040420002</t>
  </si>
  <si>
    <t>ItemId : 1040420003</t>
  </si>
  <si>
    <t>ItemId : 1040420004</t>
  </si>
  <si>
    <t>ItemId : 1040420005</t>
  </si>
  <si>
    <t>ItemId : 1040420006</t>
  </si>
  <si>
    <t>ItemId : 1040420007</t>
  </si>
  <si>
    <t>StarRecordExp(3040400001 , 2)</t>
  </si>
  <si>
    <t>StarRecordExp(3040400001 , 6)</t>
  </si>
  <si>
    <t>StarRecordExp(3040400001 , 4)</t>
  </si>
  <si>
    <t>StarRecordExp(3040400001 , 8)</t>
  </si>
  <si>
    <t>StarRecordExp(3040400001 , 10)</t>
  </si>
  <si>
    <t>StarRecordExp(3040400001 , 12)</t>
  </si>
  <si>
    <t>StarRecordExp(3040400002 , 2)</t>
  </si>
  <si>
    <t>StarRecordExp(3040400002 , 6)</t>
  </si>
  <si>
    <t>StarRecordExp(3040400002 , 4)</t>
  </si>
  <si>
    <t>StarRecordExp(3040400002 , 8)</t>
  </si>
  <si>
    <t>StarRecordExp(3040400002 , 10)</t>
  </si>
  <si>
    <t>StarRecordExp(3040400002 , 12)</t>
  </si>
  <si>
    <t>StarRecordExp(3040400003 , 2)</t>
  </si>
  <si>
    <t>StarRecordExp(3040400003 , 6)</t>
  </si>
  <si>
    <t>StarRecordExp(3040400003 , 4)</t>
  </si>
  <si>
    <t>StarRecordExp(3040400003 , 8)</t>
  </si>
  <si>
    <t>StarRecordExp(3040400003 , 10)</t>
  </si>
  <si>
    <t>StarRecordExp(3040400003 , 12)</t>
  </si>
  <si>
    <t>StarRecordExp(3040400004 , 2)</t>
  </si>
  <si>
    <t>StarRecordExp(3040400004 , 6)</t>
  </si>
  <si>
    <t>StarRecordExp(3040400004 , 4)</t>
  </si>
  <si>
    <t>StarRecordExp(3040400004 , 8)</t>
  </si>
  <si>
    <t>StarRecordExp(3040400004 , 10)</t>
  </si>
  <si>
    <t>StarRecordExp(3040400004 , 12)</t>
  </si>
  <si>
    <t>StarRecordExp(3040400005 , 2)</t>
  </si>
  <si>
    <t>StarRecordExp(3040400005 , 6)</t>
  </si>
  <si>
    <t>StarRecordExp(3040400005 , 4)</t>
  </si>
  <si>
    <t>StarRecordExp(3040400005 , 8)</t>
  </si>
  <si>
    <t>StarRecordExp(3040400005 , 10)</t>
  </si>
  <si>
    <t>StarRecordExp(3040400005 , 12)</t>
  </si>
  <si>
    <t>StarRecordExp(3040400006 , 2)</t>
  </si>
  <si>
    <t>StarRecordExp(3040400006 , 6)</t>
  </si>
  <si>
    <t>StarRecordExp(3040400006 , 4)</t>
  </si>
  <si>
    <t>StarRecordExp(3040400006 , 8)</t>
  </si>
  <si>
    <t>StarRecordExp(3040400006 , 10)</t>
  </si>
  <si>
    <t>StarRecordExp(3040400006 , 12)</t>
  </si>
  <si>
    <t>StarRecordExp(3040400007 , 2)</t>
  </si>
  <si>
    <t>StarRecordExp(3040400007 , 6)</t>
  </si>
  <si>
    <t>StarRecordExp(3040400007 , 4)</t>
  </si>
  <si>
    <t>StarRecordExp(3040400007 , 8)</t>
  </si>
  <si>
    <t>StarRecordExp(3040400007 , 10)</t>
  </si>
  <si>
    <t>StarRecordExp(3040400007 , 12)</t>
  </si>
  <si>
    <t>3섹터 클리어 축하 팩</t>
    <phoneticPr fontId="4" type="noConversion"/>
  </si>
  <si>
    <t>5섹터 클리어 축하 팩</t>
  </si>
  <si>
    <t>6섹터 클리어 축하 팩</t>
  </si>
  <si>
    <t>7섹터 클리어 축하 팩</t>
  </si>
  <si>
    <t>8섹터 클리어 축하 팩</t>
  </si>
  <si>
    <t>9섹터 클리어 축하 팩</t>
  </si>
  <si>
    <t>10섹터 클리어 축하 팩</t>
  </si>
  <si>
    <t>11섹터 클리어 축하 팩</t>
  </si>
  <si>
    <t>12섹터 클리어 축하 팩</t>
  </si>
  <si>
    <t>13섹터 클리어 축하 팩</t>
  </si>
  <si>
    <t>14섹터 클리어 축하 팩</t>
  </si>
  <si>
    <t>15섹터 클리어 축하 팩</t>
  </si>
  <si>
    <t>16섹터 클리어 축하 팩</t>
  </si>
  <si>
    <t>17섹터 클리어 축하 팩</t>
  </si>
  <si>
    <t>18섹터 클리어 축하 팩</t>
  </si>
  <si>
    <t>ShopSlot(2771000000399)</t>
  </si>
  <si>
    <t>ShopSlot(2771000000400)</t>
  </si>
  <si>
    <t>ShopSlot(2771000000401)</t>
  </si>
  <si>
    <t>ShopSlot(2771000000402)</t>
  </si>
  <si>
    <t>ShopSlot(2771000000403)</t>
  </si>
  <si>
    <t>ShopSlot(2771000000404)</t>
  </si>
  <si>
    <t>ShopSlot(2771000000405)</t>
  </si>
  <si>
    <t>ShopSlot(2771000000406)</t>
  </si>
  <si>
    <t>ShopSlot(2771000000407)</t>
  </si>
  <si>
    <t>ShopSlot(2771000000408)</t>
  </si>
  <si>
    <t>ShopSlot(2771000000409)</t>
  </si>
  <si>
    <t>ShopSlot(2771000000410)</t>
  </si>
  <si>
    <t>ShopSlot(2771000000411)</t>
  </si>
  <si>
    <t>ShopSlot(2771000000412)</t>
  </si>
  <si>
    <t>ShopSlot(2771000000413)</t>
  </si>
  <si>
    <t>ShopSlot(2771000000414)</t>
  </si>
  <si>
    <t>ShopSlot(2771000000415)</t>
  </si>
  <si>
    <t>ShopSlot(2771000000416)</t>
  </si>
  <si>
    <t>ShopSlot(2771000000417)</t>
  </si>
  <si>
    <t>ShopSlot(2771000000418)</t>
  </si>
  <si>
    <t>ShopSlot(2771000000419)</t>
  </si>
  <si>
    <t>메아 모집 기념 패키지</t>
    <phoneticPr fontId="4" type="noConversion"/>
  </si>
  <si>
    <t>레이호우 모집 기념 패키지</t>
    <phoneticPr fontId="4" type="noConversion"/>
  </si>
  <si>
    <t>Mission.Name.Dispatch</t>
  </si>
  <si>
    <t>StageId : 스테이지91</t>
  </si>
  <si>
    <t>Mission.Name.Chapter4.Clear</t>
    <phoneticPr fontId="4" type="noConversion"/>
  </si>
  <si>
    <t>Mission.Name.Chapter5.Clear</t>
    <phoneticPr fontId="4" type="noConversion"/>
  </si>
  <si>
    <t>Item(1040603007,1) &amp; MissionPoint(Event7Days6, 1)</t>
    <phoneticPr fontId="4" type="noConversion"/>
  </si>
  <si>
    <t>Item(1040603007,1) &amp; MissionPoint(Event7Days6, 1)</t>
    <phoneticPr fontId="4" type="noConversion"/>
  </si>
  <si>
    <t>StageId : 스테이지126</t>
    <phoneticPr fontId="4" type="noConversion"/>
  </si>
  <si>
    <t>Mission.Name.Chapter6.Clear</t>
    <phoneticPr fontId="4" type="noConversion"/>
  </si>
  <si>
    <t>StageId : 스테이지166</t>
    <phoneticPr fontId="4" type="noConversion"/>
  </si>
  <si>
    <t>Record.Mission.Newbie.Desc.70.4</t>
  </si>
  <si>
    <t>Record.Mission.Newbie.Desc.70.5</t>
  </si>
  <si>
    <t>Record.Mission.Newbie.Desc.70.6</t>
  </si>
  <si>
    <t>GiveGift</t>
    <phoneticPr fontId="4" type="noConversion"/>
  </si>
  <si>
    <t>Record.Mission.Newbie.Desc.300.2</t>
  </si>
  <si>
    <t>Record.Mission.Newbie.Desc.300.3</t>
  </si>
  <si>
    <t>Record.Mission.Newbie.Desc.310.2</t>
  </si>
  <si>
    <t>21</t>
  </si>
  <si>
    <t>22</t>
  </si>
  <si>
    <t>23</t>
  </si>
  <si>
    <t>24</t>
  </si>
  <si>
    <t>25</t>
  </si>
  <si>
    <t>26</t>
  </si>
  <si>
    <t>27</t>
  </si>
  <si>
    <t>28</t>
  </si>
  <si>
    <t>Login</t>
    <phoneticPr fontId="4" type="noConversion"/>
  </si>
  <si>
    <t xml:space="preserve">StarRecordExp(3040300001, 3)_x000D_
</t>
    <phoneticPr fontId="4" type="noConversion"/>
  </si>
  <si>
    <t>ChapterId : Chapter1.5</t>
    <phoneticPr fontId="4" type="noConversion"/>
  </si>
  <si>
    <t>ChapterId : Chapter2</t>
    <phoneticPr fontId="4" type="noConversion"/>
  </si>
  <si>
    <t>StarRecordExp(3040100001, 3)_x000D_</t>
    <phoneticPr fontId="4" type="noConversion"/>
  </si>
  <si>
    <t>QuickMove0340</t>
  </si>
  <si>
    <t>Mission.Name.BuyPoint01</t>
    <phoneticPr fontId="30" type="noConversion"/>
  </si>
  <si>
    <t>Mission.Name.BuyPoint02</t>
    <phoneticPr fontId="30" type="noConversion"/>
  </si>
  <si>
    <t>Mission.Name.BuyPoint03</t>
    <phoneticPr fontId="30" type="noConversion"/>
  </si>
  <si>
    <t>Mission.Name.BuyPoint04</t>
    <phoneticPr fontId="30" type="noConversion"/>
  </si>
  <si>
    <t>Mission.Name.BuyPoint05</t>
    <phoneticPr fontId="30" type="noConversion"/>
  </si>
  <si>
    <t>ChapterId : 고민상담부</t>
    <phoneticPr fontId="4" type="noConversion"/>
  </si>
  <si>
    <t>ManagedDateRange(EventSchedule.Id.Reward)</t>
    <phoneticPr fontId="30" type="noConversion"/>
  </si>
  <si>
    <t>Item(1040501001, 2)</t>
    <phoneticPr fontId="4" type="noConversion"/>
  </si>
  <si>
    <t>Item(1040501001, 3)</t>
    <phoneticPr fontId="4" type="noConversion"/>
  </si>
  <si>
    <t>Item(1040501001, 4)</t>
    <phoneticPr fontId="4" type="noConversion"/>
  </si>
  <si>
    <t>Item(1040501001, 10)</t>
    <phoneticPr fontId="4" type="noConversion"/>
  </si>
  <si>
    <t>Item(1040102001, 150)</t>
    <phoneticPr fontId="4" type="noConversion"/>
  </si>
  <si>
    <t>Item(1040102001, 450)</t>
    <phoneticPr fontId="4" type="noConversion"/>
  </si>
  <si>
    <t>Item(1040102001, 1500)</t>
    <phoneticPr fontId="4" type="noConversion"/>
  </si>
  <si>
    <t>Item(1040102001, 5200)</t>
    <phoneticPr fontId="4" type="noConversion"/>
  </si>
  <si>
    <t>Item(1040102001, 12000)</t>
    <phoneticPr fontId="4" type="noConversion"/>
  </si>
  <si>
    <t>ShopCategory : 2600000000004</t>
    <phoneticPr fontId="4" type="noConversion"/>
  </si>
  <si>
    <t>ShopCategory : 2600000000002</t>
    <phoneticPr fontId="4" type="noConversion"/>
  </si>
  <si>
    <t>Item(1040503191, 1) &amp; Item(1040102001, 10)</t>
    <phoneticPr fontId="4" type="noConversion"/>
  </si>
  <si>
    <t>QuickMove.DailyMission</t>
    <phoneticPr fontId="4" type="noConversion"/>
  </si>
  <si>
    <t>Mission.Event.Roulette.0102</t>
    <phoneticPr fontId="4" type="noConversion"/>
  </si>
  <si>
    <t>Mission.Event.Roulette.0103</t>
    <phoneticPr fontId="30" type="noConversion"/>
  </si>
  <si>
    <t>Mission.Event.Roulette.0103</t>
  </si>
  <si>
    <t>Mission.Event.Roulette.0104</t>
    <phoneticPr fontId="30" type="noConversion"/>
  </si>
  <si>
    <t>Mission.Event.Roulette.0104</t>
  </si>
  <si>
    <t>Mission.Event.Roulette.0105</t>
    <phoneticPr fontId="30" type="noConversion"/>
  </si>
  <si>
    <t>Mission.Event.Roulette.0105</t>
  </si>
  <si>
    <t>TryGacha</t>
    <phoneticPr fontId="4" type="noConversion"/>
  </si>
  <si>
    <t>QuickMove.Gacha</t>
    <phoneticPr fontId="4" type="noConversion"/>
  </si>
  <si>
    <t>Mission.Event.Roulette.0106</t>
    <phoneticPr fontId="30" type="noConversion"/>
  </si>
  <si>
    <t>Mission.Event.Roulette.0106</t>
  </si>
  <si>
    <t>Mission.Event.Roulette.0107</t>
    <phoneticPr fontId="30" type="noConversion"/>
  </si>
  <si>
    <t>Mission.Event.Roulette.0107</t>
  </si>
  <si>
    <t>ArenaType : Team</t>
    <phoneticPr fontId="4" type="noConversion"/>
  </si>
  <si>
    <t>QuickMove.TeamArena</t>
    <phoneticPr fontId="4" type="noConversion"/>
  </si>
  <si>
    <t>ManagedDateRange(BingoSchedule.002)</t>
    <phoneticPr fontId="4" type="noConversion"/>
  </si>
  <si>
    <t>ManagedDateRange(BingoSchedule.003)</t>
    <phoneticPr fontId="4" type="noConversion"/>
  </si>
  <si>
    <t>ManagedDateRange(BingoSchedule.004)</t>
    <phoneticPr fontId="4" type="noConversion"/>
  </si>
  <si>
    <t>ManagedDateRange(BingoSchedule.005)</t>
    <phoneticPr fontId="4" type="noConversion"/>
  </si>
  <si>
    <t>Mission.Event.Bingo.0102</t>
  </si>
  <si>
    <t>ManagedDateRange(EventSchedule.Yurizia.Play)</t>
    <phoneticPr fontId="4" type="noConversion"/>
  </si>
  <si>
    <t>Level : 4</t>
    <phoneticPr fontId="4" type="noConversion"/>
  </si>
  <si>
    <t>QuickMove.EventStoryBattle.Sia.01</t>
  </si>
  <si>
    <t>QuickMove.EventStoryShop.Sia.01</t>
  </si>
  <si>
    <t>Recommend.Mission.Title.3.13</t>
  </si>
  <si>
    <t>아이투스 스토리 정복 패키지</t>
  </si>
  <si>
    <t>ChapterId : ChaStory_itus</t>
  </si>
  <si>
    <t>ShopSlot(2771000000426)</t>
  </si>
  <si>
    <t>릴리안 스토리 정복 패키지</t>
  </si>
  <si>
    <t>ChapterId : ChaStory_lilian</t>
  </si>
  <si>
    <t>ShopSlot(2771000000427)</t>
  </si>
  <si>
    <t>스노프릴 스토리 정복 패키지</t>
  </si>
  <si>
    <t>ChapterId : ChaStory_snopril</t>
  </si>
  <si>
    <t>ShopSlot(2771000000428)</t>
  </si>
  <si>
    <t>크림슨 스토리 정복 패키지</t>
  </si>
  <si>
    <t>ChapterId : ChaStory_crimson</t>
  </si>
  <si>
    <t>ShopSlot(2771000000429)</t>
  </si>
  <si>
    <t>시아 스토리 정복 패키지</t>
  </si>
  <si>
    <t>ChapterId : ChaStory_sia</t>
  </si>
  <si>
    <t>ShopSlot(2771000000430)</t>
  </si>
  <si>
    <t>브륀힐데 스토리 정복 패키지</t>
  </si>
  <si>
    <t>ChapterId : ChaStory_brynhild</t>
  </si>
  <si>
    <t>ShopSlot(2771000000431)</t>
  </si>
  <si>
    <t>그레이 스토리 정복 패키지</t>
  </si>
  <si>
    <t>ChapterId : ChaStory_gray</t>
  </si>
  <si>
    <t>ShopSlot(2771000000432)</t>
  </si>
  <si>
    <t>발렌시아 스토리 정복 패키지</t>
  </si>
  <si>
    <t>ChapterId : ChaStory_balencia</t>
  </si>
  <si>
    <t>ShopSlot(2771000000433)</t>
  </si>
  <si>
    <t>메아 스토리 정복 패키지</t>
  </si>
  <si>
    <t>ChapterId : ChaStory_mea</t>
  </si>
  <si>
    <t>ShopSlot(2771000000434)</t>
  </si>
  <si>
    <t>쉐리 스토리 정복 패키지</t>
  </si>
  <si>
    <t>ChapterId : ChaStory_shery</t>
  </si>
  <si>
    <t>ShopSlot(2771000000435)</t>
  </si>
  <si>
    <t>Item(1040501001, 5)</t>
    <phoneticPr fontId="4" type="noConversion"/>
  </si>
  <si>
    <t>Item(1040501001, 6)</t>
    <phoneticPr fontId="4" type="noConversion"/>
  </si>
  <si>
    <t>CharacterId : 1010910001</t>
    <phoneticPr fontId="4" type="noConversion"/>
  </si>
  <si>
    <t>아이투스 플러그인 UR 달성 기념</t>
    <phoneticPr fontId="4" type="noConversion"/>
  </si>
  <si>
    <t>Main.Mission.Desc.30.1</t>
  </si>
  <si>
    <t>Main.Mission.Desc.30.2</t>
  </si>
  <si>
    <t>Main.Mission.Desc.30.3</t>
  </si>
  <si>
    <t>Main.Mission.Desc.30.4</t>
  </si>
  <si>
    <t>Main.Mission.Desc.30.5</t>
  </si>
  <si>
    <t>Main.Mission.Desc.30.6</t>
  </si>
  <si>
    <t>Main.Mission.Desc.30.7</t>
  </si>
  <si>
    <t>Main.Mission.Desc.30.8</t>
  </si>
  <si>
    <t>Main.Mission.Desc.30.9</t>
  </si>
  <si>
    <t>Main.Mission.Desc.30.10</t>
  </si>
  <si>
    <t>Main.Mission.Desc.30.11</t>
  </si>
  <si>
    <t>Main.Mission.Desc.30.12</t>
  </si>
  <si>
    <t>Main.Mission.Desc.30.13</t>
  </si>
  <si>
    <t>Main.Mission.Desc.30.14</t>
  </si>
  <si>
    <t>Main.Mission.Desc.30.15</t>
  </si>
  <si>
    <t>Main.Mission.Desc.30.16</t>
  </si>
  <si>
    <t>Main.Mission.Desc.30.17</t>
  </si>
  <si>
    <t>Main.Mission.Desc.30.18</t>
  </si>
  <si>
    <t>Main.Mission.Desc.30.19</t>
  </si>
  <si>
    <t>Main.Mission.Desc.30.20</t>
  </si>
  <si>
    <t>Main.Mission.Desc.20.6.1</t>
  </si>
  <si>
    <t>Main.Mission.Desc.20.6.2</t>
  </si>
  <si>
    <t>Main.Mission.Desc.190.1</t>
  </si>
  <si>
    <t>Main.Mission.Desc.190.2</t>
  </si>
  <si>
    <t>Main.Mission.Desc.190.3</t>
  </si>
  <si>
    <t>Main.Mission.Desc.190.4</t>
  </si>
  <si>
    <t>Main.Mission.Desc.190.5</t>
  </si>
  <si>
    <t>Main.Mission.Desc.190.6</t>
  </si>
  <si>
    <t>Main.Mission.Desc.190.7</t>
  </si>
  <si>
    <t>Main.Mission.Desc.190.8</t>
  </si>
  <si>
    <t>Main.Mission.Desc.190.9</t>
  </si>
  <si>
    <t>Main.Mission.Desc.190.10</t>
  </si>
  <si>
    <t>Main.Mission.Desc.190.11</t>
  </si>
  <si>
    <t>Main.Mission.Desc.190.12</t>
  </si>
  <si>
    <t>Main.Mission.Desc.190.13</t>
  </si>
  <si>
    <t>Main.Mission.Desc.190.14</t>
  </si>
  <si>
    <t>Main.Mission.Desc.190.15</t>
  </si>
  <si>
    <t>Main.Mission.Desc.190.16</t>
  </si>
  <si>
    <t>Main.Mission.Desc.190.17</t>
  </si>
  <si>
    <t>Main.Mission.Desc.190.18</t>
  </si>
  <si>
    <t>Main.Mission.Desc.190.19</t>
  </si>
  <si>
    <t>Mission.Name.RequestFriend</t>
    <phoneticPr fontId="4" type="noConversion"/>
  </si>
  <si>
    <t>Item(1040603006,1) &amp; MissionPoint(Event7Days3, 1)</t>
    <phoneticPr fontId="4" type="noConversion"/>
  </si>
  <si>
    <t>Item(1040604002,10) &amp; MissionPoint(Event7Days5, 1)</t>
    <phoneticPr fontId="4" type="noConversion"/>
  </si>
  <si>
    <t>Item(1040604002,10) &amp; MissionPoint(Event7Days4, 1)</t>
    <phoneticPr fontId="4" type="noConversion"/>
  </si>
  <si>
    <t>Item(1040603007,1) &amp; MissionPoint(Event7Days5, 1)</t>
    <phoneticPr fontId="4" type="noConversion"/>
  </si>
  <si>
    <t>Item(1040603007,1) &amp; MissionPoint(Event7Days4, 1)</t>
    <phoneticPr fontId="4" type="noConversion"/>
  </si>
  <si>
    <t>Grade : SSR</t>
    <phoneticPr fontId="4" type="noConversion"/>
  </si>
  <si>
    <t>GetAcademyTitle</t>
    <phoneticPr fontId="4" type="noConversion"/>
  </si>
  <si>
    <t>Mission.Name.GetAcademyTitle</t>
    <phoneticPr fontId="4" type="noConversion"/>
  </si>
  <si>
    <t>ChapterId : 섹터1</t>
    <phoneticPr fontId="4" type="noConversion"/>
  </si>
  <si>
    <t>Record.Mission.Newbie.310.1</t>
    <phoneticPr fontId="4" type="noConversion"/>
  </si>
  <si>
    <t>Record.Mission.Newbie.310.2</t>
    <phoneticPr fontId="4" type="noConversion"/>
  </si>
  <si>
    <t>2101999999999</t>
    <phoneticPr fontId="4" type="noConversion"/>
  </si>
  <si>
    <t>Main.Mission.Desc.09.1</t>
    <phoneticPr fontId="4" type="noConversion"/>
  </si>
  <si>
    <t>Main.Mission.Desc.09.2</t>
  </si>
  <si>
    <t>Main.Mission.Desc.09.3</t>
  </si>
  <si>
    <t>Main.Mission.Desc.09.4</t>
  </si>
  <si>
    <t>Main.Mission.Desc.09.5</t>
  </si>
  <si>
    <t>Main.Mission.Desc.09.6</t>
  </si>
  <si>
    <t>Main.Mission.Desc.09.7</t>
  </si>
  <si>
    <t>Main.Mission.Desc.09.8</t>
  </si>
  <si>
    <t>Main.Mission.Desc.09.9</t>
  </si>
  <si>
    <t>Main.Mission.Desc.09.10</t>
  </si>
  <si>
    <t>Main.Mission.Desc.09.11</t>
  </si>
  <si>
    <t>Main.Mission.Desc.09.12</t>
  </si>
  <si>
    <t>Main.Mission.Desc.09.13</t>
  </si>
  <si>
    <t>Main.Mission.Desc.09.14</t>
  </si>
  <si>
    <t>Main.Mission.Desc.09.15</t>
  </si>
  <si>
    <t>Main.Mission.Desc.09.16</t>
  </si>
  <si>
    <t>Main.Mission.Desc.09.17</t>
  </si>
  <si>
    <t>Main.Mission.Desc.09.18</t>
  </si>
  <si>
    <t>Main.Mission.Desc.09.19</t>
  </si>
  <si>
    <t>Main.Mission.Desc.09.20</t>
  </si>
  <si>
    <t>Always</t>
    <phoneticPr fontId="4" type="noConversion"/>
  </si>
  <si>
    <t>TryGacha</t>
    <phoneticPr fontId="4" type="noConversion"/>
  </si>
  <si>
    <t>Item(1040501002, 5)</t>
    <phoneticPr fontId="4" type="noConversion"/>
  </si>
  <si>
    <t>Main.Mission.09.01</t>
    <phoneticPr fontId="4" type="noConversion"/>
  </si>
  <si>
    <t>Main.Mission.09.02</t>
  </si>
  <si>
    <t>Main.Mission.09.03</t>
  </si>
  <si>
    <t>Main.Mission.09.04</t>
  </si>
  <si>
    <t>Main.Mission.09.05</t>
  </si>
  <si>
    <t>Main.Mission.09.06</t>
  </si>
  <si>
    <t>Main.Mission.09.07</t>
  </si>
  <si>
    <t>Main.Mission.09.08</t>
  </si>
  <si>
    <t>Main.Mission.09.09</t>
  </si>
  <si>
    <t>Main.Mission.09.10</t>
  </si>
  <si>
    <t>Main.Mission.09.11</t>
  </si>
  <si>
    <t>Main.Mission.09.12</t>
  </si>
  <si>
    <t>Main.Mission.09.13</t>
  </si>
  <si>
    <t>Main.Mission.09.14</t>
  </si>
  <si>
    <t>Main.Mission.09.15</t>
  </si>
  <si>
    <t>Main.Mission.09.16</t>
  </si>
  <si>
    <t>Main.Mission.09.17</t>
  </si>
  <si>
    <t>Main.Mission.09.18</t>
  </si>
  <si>
    <t>Main.Mission.09.19</t>
  </si>
  <si>
    <t>Main.Mission.09.20</t>
  </si>
  <si>
    <t>Item(1040602047,1) &amp; MissionPoint(Event7Days1, 1)</t>
    <phoneticPr fontId="4" type="noConversion"/>
  </si>
  <si>
    <t>Item(1040602047,1) &amp; MissionPoint(Event7Days1, 1)</t>
    <phoneticPr fontId="4" type="noConversion"/>
  </si>
  <si>
    <t>Item(1040602047,1) &amp; MissionPoint(Event7Days2, 1)</t>
    <phoneticPr fontId="4" type="noConversion"/>
  </si>
  <si>
    <t>Never()</t>
    <phoneticPr fontId="4" type="noConversion"/>
  </si>
  <si>
    <t>Always</t>
    <phoneticPr fontId="4" type="noConversion"/>
  </si>
  <si>
    <t>QuickMove.Gacha.Plugin</t>
  </si>
  <si>
    <t>StageClear(스테이지211)</t>
    <phoneticPr fontId="4" type="noConversion"/>
  </si>
  <si>
    <t>StageClear(스테이지316)</t>
    <phoneticPr fontId="4" type="noConversion"/>
  </si>
  <si>
    <t>MissionAllClear</t>
  </si>
  <si>
    <t>2101000000101</t>
    <phoneticPr fontId="4" type="noConversion"/>
  </si>
  <si>
    <t>MissionCategory : 2200000000001</t>
    <phoneticPr fontId="4" type="noConversion"/>
  </si>
  <si>
    <t>Record.Mission.Routine.11.1</t>
    <phoneticPr fontId="4" type="noConversion"/>
  </si>
  <si>
    <t>#2110000000000</t>
    <phoneticPr fontId="4" type="noConversion"/>
  </si>
  <si>
    <t>#2110000000001</t>
    <phoneticPr fontId="4" type="noConversion"/>
  </si>
  <si>
    <t>#2110000000002</t>
    <phoneticPr fontId="4" type="noConversion"/>
  </si>
  <si>
    <t>#2110000000003</t>
    <phoneticPr fontId="4" type="noConversion"/>
  </si>
  <si>
    <t>#2110000000005</t>
    <phoneticPr fontId="4" type="noConversion"/>
  </si>
  <si>
    <t>Event</t>
    <phoneticPr fontId="4" type="noConversion"/>
  </si>
  <si>
    <t>MSG.Mission.Name.Promotion.UR</t>
    <phoneticPr fontId="4" type="noConversion"/>
  </si>
  <si>
    <t>MSG.Mission.Desc.Promotion.UR</t>
    <phoneticPr fontId="4" type="noConversion"/>
  </si>
  <si>
    <t>프록시안 UR 등급 달성</t>
    <phoneticPr fontId="4" type="noConversion"/>
  </si>
  <si>
    <t>프록시안 UR1 등급 달성</t>
    <phoneticPr fontId="4" type="noConversion"/>
  </si>
  <si>
    <t>프록시안 MR 등급 달성</t>
    <phoneticPr fontId="4" type="noConversion"/>
  </si>
  <si>
    <t>프록시안 MR1 등급 달성</t>
    <phoneticPr fontId="4" type="noConversion"/>
  </si>
  <si>
    <t>프록시안 LR 등급 달성</t>
    <phoneticPr fontId="4" type="noConversion"/>
  </si>
  <si>
    <t>Grade : MR1</t>
    <phoneticPr fontId="4" type="noConversion"/>
  </si>
  <si>
    <t>Grade : LR</t>
    <phoneticPr fontId="4" type="noConversion"/>
  </si>
  <si>
    <t>MSG.Mission.Name.Promotion.UR1</t>
    <phoneticPr fontId="4" type="noConversion"/>
  </si>
  <si>
    <t>MSG.Mission.Name.Promotion.MR</t>
    <phoneticPr fontId="4" type="noConversion"/>
  </si>
  <si>
    <t>MSG.Mission.Name.Promotion.MR1</t>
    <phoneticPr fontId="4" type="noConversion"/>
  </si>
  <si>
    <t>MSG.Mission.Name.Promotion.LR</t>
    <phoneticPr fontId="4" type="noConversion"/>
  </si>
  <si>
    <t>MSG.Mission.Desc.Promotion.UR1</t>
    <phoneticPr fontId="4" type="noConversion"/>
  </si>
  <si>
    <t>MSG.Mission.Desc.Promotion.MR</t>
    <phoneticPr fontId="4" type="noConversion"/>
  </si>
  <si>
    <t>MSG.Mission.Desc.Promotion.MR1</t>
    <phoneticPr fontId="4" type="noConversion"/>
  </si>
  <si>
    <t>MSG.Mission.Desc.Promotion.LR</t>
    <phoneticPr fontId="4" type="noConversion"/>
  </si>
  <si>
    <t>Item(1040501001, 20)</t>
    <phoneticPr fontId="4" type="noConversion"/>
  </si>
  <si>
    <t>Item(1040501002, 20)</t>
    <phoneticPr fontId="4" type="noConversion"/>
  </si>
  <si>
    <t>Item(1040102001, 5000)</t>
    <phoneticPr fontId="4" type="noConversion"/>
  </si>
  <si>
    <t>프록시안 SSR1 등급 달성</t>
    <phoneticPr fontId="4" type="noConversion"/>
  </si>
  <si>
    <t>MSG.Mission.Desc.Promotion.SSR1</t>
    <phoneticPr fontId="4" type="noConversion"/>
  </si>
  <si>
    <t>MSG.Mission.Name.Promotion.SSR1</t>
    <phoneticPr fontId="4" type="noConversion"/>
  </si>
  <si>
    <t>StaticDateRange(2023-03-28 00:00:00 ~ 2023-04-04 02:00:00)</t>
    <phoneticPr fontId="30" type="noConversion"/>
  </si>
  <si>
    <t>StageClear(null,스테이지290)</t>
    <phoneticPr fontId="4" type="noConversion"/>
  </si>
  <si>
    <t>StageClear(스테이지291,스테이지339)</t>
    <phoneticPr fontId="4" type="noConversion"/>
  </si>
  <si>
    <t>StageClear(스테이지340,스테이지357)</t>
    <phoneticPr fontId="4" type="noConversion"/>
  </si>
  <si>
    <t>StageClear(스테이지358,null)</t>
    <phoneticPr fontId="4" type="noConversion"/>
  </si>
  <si>
    <t>2102000000016</t>
    <phoneticPr fontId="4" type="noConversion"/>
  </si>
  <si>
    <t>Main.Mission.Desc.190.20</t>
    <phoneticPr fontId="4" type="noConversion"/>
  </si>
  <si>
    <t>Item(1040305001, 30)</t>
    <phoneticPr fontId="4" type="noConversion"/>
  </si>
  <si>
    <t>Main.Mission.10.01</t>
  </si>
  <si>
    <t>Mission.AsniaMissionHub.12</t>
  </si>
  <si>
    <t>QuickMove.Gacha.Plugin</t>
    <phoneticPr fontId="4" type="noConversion"/>
  </si>
  <si>
    <t>QuickMove.Gacha.Plugin</t>
    <phoneticPr fontId="4" type="noConversion"/>
  </si>
  <si>
    <t>ManagedDateRange(EventSchedule.Sia.Reward)</t>
    <phoneticPr fontId="4" type="noConversion"/>
  </si>
  <si>
    <t>ManagedDateRange(EventSchedule.Itus.Reward)</t>
    <phoneticPr fontId="4" type="noConversion"/>
  </si>
  <si>
    <t>Grade : UR1
CharacterId : 1010910001</t>
    <phoneticPr fontId="4" type="noConversion"/>
  </si>
  <si>
    <t>Grade : LR3
CharacterId : 1010910001</t>
    <phoneticPr fontId="4" type="noConversion"/>
  </si>
  <si>
    <t>Grade : LR4
CharacterId : 1010910001</t>
    <phoneticPr fontId="4" type="noConversion"/>
  </si>
  <si>
    <t>MSG.Mission.Name.Promotion.Itus2</t>
  </si>
  <si>
    <t>MSG.Mission.Name.Promotion.Itus3</t>
  </si>
  <si>
    <t>MSG.Mission.Name.Promotion.Itus4</t>
  </si>
  <si>
    <t>MSG.Mission.Name.Promotion.Itus5</t>
  </si>
  <si>
    <t>MSG.Mission.Name.Promotion.Itus6</t>
  </si>
  <si>
    <t>MSG.Mission.Name.Promotion.Itus7</t>
  </si>
  <si>
    <t>MSG.Mission.Name.Promotion.Itus8</t>
  </si>
  <si>
    <t>MSG.Mission.Name.Promotion.Itus9</t>
  </si>
  <si>
    <t>MSG.Mission.Name.Promotion.Itus10</t>
  </si>
  <si>
    <t>MSG.Mission.Name.Promotion.Itus11</t>
  </si>
  <si>
    <t>2101000000000</t>
    <phoneticPr fontId="4" type="noConversion"/>
  </si>
  <si>
    <t>아이투스 LR5 달성</t>
    <phoneticPr fontId="4" type="noConversion"/>
  </si>
  <si>
    <t>QuickMove.Gacha.Itus</t>
  </si>
  <si>
    <t>ContentsUnlock(Event)</t>
    <phoneticPr fontId="4" type="noConversion"/>
  </si>
  <si>
    <t>GachaPickUp: True</t>
    <phoneticPr fontId="4" type="noConversion"/>
  </si>
  <si>
    <t>Mission.Group.Name.Event.Craft</t>
    <phoneticPr fontId="4" type="noConversion"/>
  </si>
  <si>
    <t>Mission.Event.Craft.0101</t>
    <phoneticPr fontId="30" type="noConversion"/>
  </si>
  <si>
    <t>Mission.Event.Craft.0107</t>
    <phoneticPr fontId="30" type="noConversion"/>
  </si>
  <si>
    <t>Mission.Event.Craft.0106</t>
    <phoneticPr fontId="30" type="noConversion"/>
  </si>
  <si>
    <t>Mission.Event.Craft.0102</t>
    <phoneticPr fontId="30" type="noConversion"/>
  </si>
  <si>
    <t>Mission.Event.Craft.0103</t>
    <phoneticPr fontId="30" type="noConversion"/>
  </si>
  <si>
    <t>Mission.Event.Craft.0104</t>
    <phoneticPr fontId="30" type="noConversion"/>
  </si>
  <si>
    <t>Mission.Event.Craft.0105</t>
    <phoneticPr fontId="30" type="noConversion"/>
  </si>
  <si>
    <t>tab_event_craft</t>
    <phoneticPr fontId="4" type="noConversion"/>
  </si>
  <si>
    <t>1-6 승리</t>
    <phoneticPr fontId="4" type="noConversion"/>
  </si>
  <si>
    <t>StageId : 스테이지6</t>
    <phoneticPr fontId="4" type="noConversion"/>
  </si>
  <si>
    <t>1-8 승리</t>
    <phoneticPr fontId="4" type="noConversion"/>
  </si>
  <si>
    <t>StageId : 스테이지8</t>
  </si>
  <si>
    <t>선물 1회 주기</t>
    <phoneticPr fontId="4" type="noConversion"/>
  </si>
  <si>
    <t>Mission.Guide.005</t>
    <phoneticPr fontId="4" type="noConversion"/>
  </si>
  <si>
    <t>FirstLoginAfter(2024-04-19)</t>
    <phoneticPr fontId="4" type="noConversion"/>
  </si>
  <si>
    <t>Mission.Group.Name.Event.Newbie</t>
    <phoneticPr fontId="4" type="noConversion"/>
  </si>
  <si>
    <t>2901000000001</t>
  </si>
  <si>
    <t>Event</t>
    <phoneticPr fontId="4" type="noConversion"/>
  </si>
  <si>
    <t>LevelRange(1,200)</t>
    <phoneticPr fontId="4" type="noConversion"/>
  </si>
  <si>
    <t>StaticDateRange(2024-03-28 00:00:00 ~ 2024-04-04 02:00:00)</t>
    <phoneticPr fontId="30" type="noConversion"/>
  </si>
  <si>
    <t>Mission</t>
    <phoneticPr fontId="4" type="noConversion"/>
  </si>
  <si>
    <t>Mission.Group.Name.Event.Promotion</t>
    <phoneticPr fontId="4" type="noConversion"/>
  </si>
  <si>
    <t>tab_event_grow</t>
    <phoneticPr fontId="4" type="noConversion"/>
  </si>
  <si>
    <t>StaticDateRange(2024-04-03 21:00:00 ~ 2024-04-11 02:00:00)</t>
    <phoneticPr fontId="30" type="noConversion"/>
  </si>
  <si>
    <t>Mission.Group.Name.Event.Promotion2</t>
    <phoneticPr fontId="4" type="noConversion"/>
  </si>
  <si>
    <t>StaticDateRange(2024-04-11 02:00:00 ~ 2024-04-24 23:59:00)</t>
    <phoneticPr fontId="30" type="noConversion"/>
  </si>
  <si>
    <t>Mission.Group.Name.Event.Promotion3</t>
    <phoneticPr fontId="4" type="noConversion"/>
  </si>
  <si>
    <t>Mission.Group.Name.Event.Promotion4</t>
    <phoneticPr fontId="4" type="noConversion"/>
  </si>
  <si>
    <t>MissionComplete(2231100000016)</t>
    <phoneticPr fontId="4" type="noConversion"/>
  </si>
  <si>
    <t>StaticDateRange(2024-04-25 00:00:00 ~ 2024-05-08 23:59:00)</t>
    <phoneticPr fontId="30" type="noConversion"/>
  </si>
  <si>
    <t>Mission.Group.Name.Event.Promotion5</t>
    <phoneticPr fontId="4" type="noConversion"/>
  </si>
  <si>
    <t>Mission.Group.Name.Event.Promotion6</t>
    <phoneticPr fontId="4" type="noConversion"/>
  </si>
  <si>
    <t>MissionComplete(2231100000027)</t>
    <phoneticPr fontId="4" type="noConversion"/>
  </si>
  <si>
    <t xml:space="preserve">StarRecordExp(3040100001, 1)_x000D_
</t>
    <phoneticPr fontId="4" type="noConversion"/>
  </si>
  <si>
    <t>Record.Mission.Newbie.Desc.10.5</t>
    <phoneticPr fontId="4" type="noConversion"/>
  </si>
  <si>
    <t xml:space="preserve">StarRecordExp(3040100001, 2)_x000D_
</t>
    <phoneticPr fontId="4" type="noConversion"/>
  </si>
  <si>
    <t xml:space="preserve">StarRecordExp(3040100001, 1)_x000D_
</t>
    <phoneticPr fontId="4" type="noConversion"/>
  </si>
  <si>
    <t>QuickMove0660</t>
    <phoneticPr fontId="4" type="noConversion"/>
  </si>
  <si>
    <t>Record.Mission.Newbie.300.1</t>
    <phoneticPr fontId="4" type="noConversion"/>
  </si>
  <si>
    <t>Record.Mission.Newbie.Desc.300.1</t>
    <phoneticPr fontId="4" type="noConversion"/>
  </si>
  <si>
    <t>GiveGift</t>
    <phoneticPr fontId="4" type="noConversion"/>
  </si>
  <si>
    <t>Record.Mission.Newbie.300.1</t>
    <phoneticPr fontId="4" type="noConversion"/>
  </si>
  <si>
    <t>Record.Mission.Newbie.Desc.310.1</t>
    <phoneticPr fontId="4" type="noConversion"/>
  </si>
  <si>
    <t>Record.Mission.Routine.11.1</t>
    <phoneticPr fontId="4" type="noConversion"/>
  </si>
  <si>
    <t>Record.Mission.Routine.21.1</t>
    <phoneticPr fontId="4" type="noConversion"/>
  </si>
  <si>
    <t>Record.Mission.Routine.21.1</t>
    <phoneticPr fontId="4" type="noConversion"/>
  </si>
  <si>
    <t>Record.Mission.Routine.21.1</t>
    <phoneticPr fontId="4" type="noConversion"/>
  </si>
  <si>
    <t>Record.Mission.Routine.30.1</t>
    <phoneticPr fontId="4" type="noConversion"/>
  </si>
  <si>
    <t>Record.Mission.Routine.40.1</t>
    <phoneticPr fontId="4" type="noConversion"/>
  </si>
  <si>
    <t>ContentsType : GuildOperation</t>
    <phoneticPr fontId="4" type="noConversion"/>
  </si>
  <si>
    <t>ContentsType : GuildOperation</t>
    <phoneticPr fontId="4" type="noConversion"/>
  </si>
  <si>
    <t>QuickMove.GuildOperation</t>
    <phoneticPr fontId="4" type="noConversion"/>
  </si>
  <si>
    <t>Record.Mission.Routine.40.1</t>
    <phoneticPr fontId="4" type="noConversion"/>
  </si>
  <si>
    <t>Record.Mission.Routine.50.1</t>
    <phoneticPr fontId="4" type="noConversion"/>
  </si>
  <si>
    <t>Record.Mission.Routine.50.1</t>
    <phoneticPr fontId="4" type="noConversion"/>
  </si>
  <si>
    <t>Record.Mission.Routine.50.1</t>
    <phoneticPr fontId="4" type="noConversion"/>
  </si>
  <si>
    <t>Record.Mission.Routine.60.1</t>
    <phoneticPr fontId="4" type="noConversion"/>
  </si>
  <si>
    <t>Record.Mission.Routine.60.1</t>
    <phoneticPr fontId="4" type="noConversion"/>
  </si>
  <si>
    <t>ContentsType : Raid</t>
    <phoneticPr fontId="4" type="noConversion"/>
  </si>
  <si>
    <t>ContentsType : Raid</t>
    <phoneticPr fontId="4" type="noConversion"/>
  </si>
  <si>
    <t>QuickMove.Raid</t>
    <phoneticPr fontId="4" type="noConversion"/>
  </si>
  <si>
    <t>QuickMove.Raid</t>
    <phoneticPr fontId="4" type="noConversion"/>
  </si>
  <si>
    <t>Record.Mission.Routine.70.1</t>
    <phoneticPr fontId="4" type="noConversion"/>
  </si>
  <si>
    <t>Record.Mission.Routine.70.1</t>
    <phoneticPr fontId="4" type="noConversion"/>
  </si>
  <si>
    <t>Record.Mission.Routine.80.1</t>
    <phoneticPr fontId="4" type="noConversion"/>
  </si>
  <si>
    <t>Record.Mission.Routine.80.1</t>
    <phoneticPr fontId="4" type="noConversion"/>
  </si>
  <si>
    <t>Record.Mission.Routine.90.1</t>
    <phoneticPr fontId="4" type="noConversion"/>
  </si>
  <si>
    <t>Record.Mission.Routine.90.1</t>
    <phoneticPr fontId="4" type="noConversion"/>
  </si>
  <si>
    <t>Grade : MR</t>
    <phoneticPr fontId="4" type="noConversion"/>
  </si>
  <si>
    <t>Grade : MR1</t>
    <phoneticPr fontId="4" type="noConversion"/>
  </si>
  <si>
    <t>Grade : LR</t>
    <phoneticPr fontId="4" type="noConversion"/>
  </si>
  <si>
    <t>Record.Mission.Routine.90.3</t>
    <phoneticPr fontId="4" type="noConversion"/>
  </si>
  <si>
    <t>Grade : LR1</t>
    <phoneticPr fontId="4" type="noConversion"/>
  </si>
  <si>
    <t>Grade : LR1</t>
    <phoneticPr fontId="4" type="noConversion"/>
  </si>
  <si>
    <t>StarRecord(3040300001)</t>
    <phoneticPr fontId="4" type="noConversion"/>
  </si>
  <si>
    <t>Record.Mission.Routine.12.1</t>
    <phoneticPr fontId="4" type="noConversion"/>
  </si>
  <si>
    <t>Record.Mission.Routine.12.1</t>
    <phoneticPr fontId="4" type="noConversion"/>
  </si>
  <si>
    <t xml:space="preserve">StarRecordExp(3040300001, 1)_x000D_
</t>
    <phoneticPr fontId="4" type="noConversion"/>
  </si>
  <si>
    <t xml:space="preserve">StarRecordExp(3040300001, 1)_x000D_
</t>
    <phoneticPr fontId="4" type="noConversion"/>
  </si>
  <si>
    <t>Record.Mission.Routine.12.1</t>
    <phoneticPr fontId="4" type="noConversion"/>
  </si>
  <si>
    <t>MissionCategory : 2200000000001</t>
    <phoneticPr fontId="4" type="noConversion"/>
  </si>
  <si>
    <t xml:space="preserve">StarRecordExp(3040300001, 1)_x000D_
</t>
    <phoneticPr fontId="4" type="noConversion"/>
  </si>
  <si>
    <t>Record.Mission.Routine.11.1</t>
    <phoneticPr fontId="4" type="noConversion"/>
  </si>
  <si>
    <t>Equal</t>
    <phoneticPr fontId="4" type="noConversion"/>
  </si>
  <si>
    <t>MissionCategory : 2200000000003</t>
    <phoneticPr fontId="4" type="noConversion"/>
  </si>
  <si>
    <t xml:space="preserve">StarRecordExp(3040300001, 3)_x000D_
</t>
    <phoneticPr fontId="4" type="noConversion"/>
  </si>
  <si>
    <t>MissionCategory : 2200000000003</t>
    <phoneticPr fontId="4" type="noConversion"/>
  </si>
  <si>
    <t>Record.Mission.Routine.30.1</t>
    <phoneticPr fontId="4" type="noConversion"/>
  </si>
  <si>
    <t>ContentsType : WorldRaid</t>
    <phoneticPr fontId="4" type="noConversion"/>
  </si>
  <si>
    <t xml:space="preserve">StarRecordExp(3040300001, 5)_x000D_
</t>
    <phoneticPr fontId="4" type="noConversion"/>
  </si>
  <si>
    <t>ContentsType : Dominion</t>
    <phoneticPr fontId="4" type="noConversion"/>
  </si>
  <si>
    <t>QuickMove.Dominion</t>
    <phoneticPr fontId="4" type="noConversion"/>
  </si>
  <si>
    <t xml:space="preserve">StarRecordExp(3040300001, 3)_x000D_
</t>
    <phoneticPr fontId="4" type="noConversion"/>
  </si>
  <si>
    <t>Record.Mission.Routine.10.1</t>
    <phoneticPr fontId="4" type="noConversion"/>
  </si>
  <si>
    <t>Record.Mission.Routine.10.1</t>
    <phoneticPr fontId="4" type="noConversion"/>
  </si>
  <si>
    <t>Record.Mission.Routine.20.1</t>
    <phoneticPr fontId="4" type="noConversion"/>
  </si>
  <si>
    <t>Record.Mission.Routine.30.1</t>
    <phoneticPr fontId="4" type="noConversion"/>
  </si>
  <si>
    <t>Record.Mission.Routine.40.1</t>
    <phoneticPr fontId="4" type="noConversion"/>
  </si>
  <si>
    <t>QuickMove.GuildOperation</t>
    <phoneticPr fontId="4" type="noConversion"/>
  </si>
  <si>
    <t>Record.Mission.Routine.50.1</t>
    <phoneticPr fontId="4" type="noConversion"/>
  </si>
  <si>
    <t>ContentsType : Raid</t>
    <phoneticPr fontId="4" type="noConversion"/>
  </si>
  <si>
    <t>QuickMove.Raid</t>
    <phoneticPr fontId="4" type="noConversion"/>
  </si>
  <si>
    <t>Record.Mission.Routine.60.1</t>
    <phoneticPr fontId="4" type="noConversion"/>
  </si>
  <si>
    <t>Record.Mission.Routine.70.1</t>
    <phoneticPr fontId="4" type="noConversion"/>
  </si>
  <si>
    <t>Record.Mission.Routine.80.1</t>
    <phoneticPr fontId="4" type="noConversion"/>
  </si>
  <si>
    <t>Record.Mission.Routine.90.1</t>
    <phoneticPr fontId="4" type="noConversion"/>
  </si>
  <si>
    <t>Grade : MR</t>
    <phoneticPr fontId="4" type="noConversion"/>
  </si>
  <si>
    <t>Record.Mission.Routine.90.3</t>
    <phoneticPr fontId="4" type="noConversion"/>
  </si>
  <si>
    <t>Record.Mission.Routine.10.1</t>
    <phoneticPr fontId="4" type="noConversion"/>
  </si>
  <si>
    <t>StarRecord(3040200003)</t>
    <phoneticPr fontId="4" type="noConversion"/>
  </si>
  <si>
    <t>StarRecord(3040200003)</t>
    <phoneticPr fontId="4" type="noConversion"/>
  </si>
  <si>
    <t xml:space="preserve">StarRecordGroupExp(Regular, 6)_x000D_
</t>
    <phoneticPr fontId="4" type="noConversion"/>
  </si>
  <si>
    <t>Grade : LR1</t>
    <phoneticPr fontId="4" type="noConversion"/>
  </si>
  <si>
    <t>StarRecord(3040508001)</t>
    <phoneticPr fontId="4" type="noConversion"/>
  </si>
  <si>
    <t>AsniaRequestComplete</t>
    <phoneticPr fontId="4" type="noConversion"/>
  </si>
  <si>
    <t>StarRecordExp(3040508001, 1)_x000D_</t>
    <phoneticPr fontId="4" type="noConversion"/>
  </si>
  <si>
    <t>StarRecordExp(3040508001, 1)_x000D_</t>
    <phoneticPr fontId="4" type="noConversion"/>
  </si>
  <si>
    <t>AsniaRequestComplete</t>
    <phoneticPr fontId="4" type="noConversion"/>
  </si>
  <si>
    <t>StarRecord(3040508001)</t>
    <phoneticPr fontId="4" type="noConversion"/>
  </si>
  <si>
    <t>Record.Mission.Asnia.20.1</t>
    <phoneticPr fontId="4" type="noConversion"/>
  </si>
  <si>
    <t>GraduateAcademy</t>
    <phoneticPr fontId="4" type="noConversion"/>
  </si>
  <si>
    <t>GraduateAcademy</t>
    <phoneticPr fontId="4" type="noConversion"/>
  </si>
  <si>
    <t>QuickMove0070</t>
    <phoneticPr fontId="4" type="noConversion"/>
  </si>
  <si>
    <t>QuickMove0070</t>
    <phoneticPr fontId="4" type="noConversion"/>
  </si>
  <si>
    <t>GraduateAcademy</t>
    <phoneticPr fontId="4" type="noConversion"/>
  </si>
  <si>
    <t>Record.Mission.Asnia.30.1</t>
    <phoneticPr fontId="4" type="noConversion"/>
  </si>
  <si>
    <t>PluginDevelopment</t>
    <phoneticPr fontId="4" type="noConversion"/>
  </si>
  <si>
    <t>PluginDevelopment</t>
    <phoneticPr fontId="4" type="noConversion"/>
  </si>
  <si>
    <t>StarRecordExp(3040508001, 1)_x000D_</t>
    <phoneticPr fontId="4" type="noConversion"/>
  </si>
  <si>
    <t>Record.Mission.Asnia.40.1</t>
    <phoneticPr fontId="4" type="noConversion"/>
  </si>
  <si>
    <t>프록시안 SSR1 등급 달성</t>
    <phoneticPr fontId="4" type="noConversion"/>
  </si>
  <si>
    <t>MSG.Mission.Name.Promotion.SSR1</t>
    <phoneticPr fontId="4" type="noConversion"/>
  </si>
  <si>
    <t>MSG.Mission.Desc.Promotion.SSR1</t>
    <phoneticPr fontId="4" type="noConversion"/>
  </si>
  <si>
    <t>Always</t>
    <phoneticPr fontId="4" type="noConversion"/>
  </si>
  <si>
    <t>CharacterGradeReached</t>
    <phoneticPr fontId="4" type="noConversion"/>
  </si>
  <si>
    <t>Grade : SSR1</t>
    <phoneticPr fontId="4" type="noConversion"/>
  </si>
  <si>
    <t>Item(1040501001, 10)</t>
    <phoneticPr fontId="4" type="noConversion"/>
  </si>
  <si>
    <t>프록시안 UR 등급 달성</t>
    <phoneticPr fontId="4" type="noConversion"/>
  </si>
  <si>
    <t>MSG.Mission.Name.Promotion.UR</t>
    <phoneticPr fontId="4" type="noConversion"/>
  </si>
  <si>
    <t>MSG.Mission.Desc.Promotion.UR</t>
    <phoneticPr fontId="4" type="noConversion"/>
  </si>
  <si>
    <t>Grade : UR</t>
    <phoneticPr fontId="4" type="noConversion"/>
  </si>
  <si>
    <t>Item(1040501001, 20)</t>
    <phoneticPr fontId="4" type="noConversion"/>
  </si>
  <si>
    <t>프록시안 UR1 등급 달성</t>
    <phoneticPr fontId="4" type="noConversion"/>
  </si>
  <si>
    <t>MSG.Mission.Name.Promotion.UR1</t>
    <phoneticPr fontId="4" type="noConversion"/>
  </si>
  <si>
    <t>MSG.Mission.Desc.Promotion.UR1</t>
    <phoneticPr fontId="4" type="noConversion"/>
  </si>
  <si>
    <t>Grade : UR1</t>
    <phoneticPr fontId="4" type="noConversion"/>
  </si>
  <si>
    <t>Item(1040102001, 2000)</t>
    <phoneticPr fontId="4" type="noConversion"/>
  </si>
  <si>
    <t>프록시안 MR 등급 달성</t>
    <phoneticPr fontId="4" type="noConversion"/>
  </si>
  <si>
    <t>MSG.Mission.Name.Promotion.MR</t>
    <phoneticPr fontId="4" type="noConversion"/>
  </si>
  <si>
    <t>MSG.Mission.Desc.Promotion.MR</t>
    <phoneticPr fontId="4" type="noConversion"/>
  </si>
  <si>
    <t>Item(1040501002, 20)</t>
    <phoneticPr fontId="4" type="noConversion"/>
  </si>
  <si>
    <t>프록시안 MR1 등급 달성</t>
    <phoneticPr fontId="4" type="noConversion"/>
  </si>
  <si>
    <t>MSG.Mission.Name.Promotion.MR1</t>
    <phoneticPr fontId="4" type="noConversion"/>
  </si>
  <si>
    <t>MSG.Mission.Desc.Promotion.MR1</t>
    <phoneticPr fontId="4" type="noConversion"/>
  </si>
  <si>
    <t>Item(1040102001, 3000)</t>
    <phoneticPr fontId="4" type="noConversion"/>
  </si>
  <si>
    <t>프록시안 LR 등급 달성</t>
    <phoneticPr fontId="4" type="noConversion"/>
  </si>
  <si>
    <t>MSG.Mission.Name.Promotion.LR</t>
    <phoneticPr fontId="4" type="noConversion"/>
  </si>
  <si>
    <t>MSG.Mission.Desc.Promotion.LR</t>
    <phoneticPr fontId="4" type="noConversion"/>
  </si>
  <si>
    <t>Item(1040102001, 5000)</t>
    <phoneticPr fontId="4" type="noConversion"/>
  </si>
  <si>
    <t>플러그인 SSR1 2회 달성</t>
    <phoneticPr fontId="4" type="noConversion"/>
  </si>
  <si>
    <t>MSG.Mission.Name.Promotion.Plugin</t>
    <phoneticPr fontId="4" type="noConversion"/>
  </si>
  <si>
    <t>PluginPromote</t>
    <phoneticPr fontId="30" type="noConversion"/>
  </si>
  <si>
    <t>Item(1040501101, 5)</t>
    <phoneticPr fontId="4" type="noConversion"/>
  </si>
  <si>
    <t>QuickMove.Gacha.Plugin</t>
    <phoneticPr fontId="4" type="noConversion"/>
  </si>
  <si>
    <t>플러그인 SSR1 3회 달성</t>
    <phoneticPr fontId="4" type="noConversion"/>
  </si>
  <si>
    <t>Item(1040501101, 10)</t>
    <phoneticPr fontId="4" type="noConversion"/>
  </si>
  <si>
    <t>플러그인 SSR1 4회 달성</t>
    <phoneticPr fontId="4" type="noConversion"/>
  </si>
  <si>
    <t>Item(1040501101, 20)</t>
    <phoneticPr fontId="4" type="noConversion"/>
  </si>
  <si>
    <t>플러그인 SSR1 5회 달성</t>
    <phoneticPr fontId="4" type="noConversion"/>
  </si>
  <si>
    <t>Item(1040501101, 30)</t>
    <phoneticPr fontId="4" type="noConversion"/>
  </si>
  <si>
    <t>플러그인 UR 등급 달성</t>
    <phoneticPr fontId="4" type="noConversion"/>
  </si>
  <si>
    <t>MSG.Mission.Name.Promotion.Plugin2</t>
    <phoneticPr fontId="4" type="noConversion"/>
  </si>
  <si>
    <t>Item(1040501001, 50)</t>
    <phoneticPr fontId="4" type="noConversion"/>
  </si>
  <si>
    <t>아이투스 SSR1 달성</t>
    <phoneticPr fontId="4" type="noConversion"/>
  </si>
  <si>
    <t>MSG.Mission.Name.Promotion.Itus1</t>
    <phoneticPr fontId="4" type="noConversion"/>
  </si>
  <si>
    <t>Grade : SSR1
CharacterId : 1010910001</t>
    <phoneticPr fontId="4" type="noConversion"/>
  </si>
  <si>
    <t>Item(1040501002, 2)</t>
    <phoneticPr fontId="4" type="noConversion"/>
  </si>
  <si>
    <t>아이투스 UR 달성</t>
    <phoneticPr fontId="4" type="noConversion"/>
  </si>
  <si>
    <t>Grade : UR
CharacterId : 1010910001</t>
    <phoneticPr fontId="4" type="noConversion"/>
  </si>
  <si>
    <t>Item(1040501002, 3)</t>
    <phoneticPr fontId="4" type="noConversion"/>
  </si>
  <si>
    <t>아이투스 UR1 달성</t>
    <phoneticPr fontId="4" type="noConversion"/>
  </si>
  <si>
    <t>아이투스 MR 달성</t>
    <phoneticPr fontId="4" type="noConversion"/>
  </si>
  <si>
    <t>Grade : MR
CharacterId : 1010910001</t>
    <phoneticPr fontId="4" type="noConversion"/>
  </si>
  <si>
    <t>Plugin(1030910001, SSR)</t>
    <phoneticPr fontId="4" type="noConversion"/>
  </si>
  <si>
    <t>아이투스 MR1 달성</t>
    <phoneticPr fontId="4" type="noConversion"/>
  </si>
  <si>
    <t>Grade : MR1
CharacterId : 1010910001</t>
    <phoneticPr fontId="4" type="noConversion"/>
  </si>
  <si>
    <t>Item(1040501002, 10)</t>
    <phoneticPr fontId="4" type="noConversion"/>
  </si>
  <si>
    <t>아이투스 LR 달성</t>
    <phoneticPr fontId="4" type="noConversion"/>
  </si>
  <si>
    <t>Grade : LR
CharacterId : 1010910001</t>
    <phoneticPr fontId="4" type="noConversion"/>
  </si>
  <si>
    <t>Item(1040501002, 20)</t>
    <phoneticPr fontId="4" type="noConversion"/>
  </si>
  <si>
    <t>아이투스 LR1 달성</t>
    <phoneticPr fontId="4" type="noConversion"/>
  </si>
  <si>
    <t>Always</t>
    <phoneticPr fontId="4" type="noConversion"/>
  </si>
  <si>
    <t>Grade : LR1
CharacterId : 1010910001</t>
    <phoneticPr fontId="4" type="noConversion"/>
  </si>
  <si>
    <t>Item(1040102001, 1500)</t>
    <phoneticPr fontId="4" type="noConversion"/>
  </si>
  <si>
    <t>아이투스 LR2 달성</t>
    <phoneticPr fontId="4" type="noConversion"/>
  </si>
  <si>
    <t>Grade : LR2
CharacterId : 1010910001</t>
    <phoneticPr fontId="4" type="noConversion"/>
  </si>
  <si>
    <t>Item(1040102001, 1500)</t>
    <phoneticPr fontId="4" type="noConversion"/>
  </si>
  <si>
    <t>아이투스 LR3 달성</t>
    <phoneticPr fontId="4" type="noConversion"/>
  </si>
  <si>
    <t>아이투스 LR4 달성</t>
    <phoneticPr fontId="4" type="noConversion"/>
  </si>
  <si>
    <t>Grade : LR5
CharacterId : 1010910001</t>
    <phoneticPr fontId="4" type="noConversion"/>
  </si>
  <si>
    <t>시아 SSR1 달성</t>
  </si>
  <si>
    <t>MSG.Mission.Name.Promotion.Sia1</t>
    <phoneticPr fontId="4" type="noConversion"/>
  </si>
  <si>
    <t>Grade : SSR1
CharacterId : 1010920005</t>
    <phoneticPr fontId="4" type="noConversion"/>
  </si>
  <si>
    <t>QuickMove.Gacha.Sia</t>
    <phoneticPr fontId="4" type="noConversion"/>
  </si>
  <si>
    <t>QuickMove.Gacha.Sia</t>
    <phoneticPr fontId="4" type="noConversion"/>
  </si>
  <si>
    <t>시아 UR 달성</t>
  </si>
  <si>
    <t>MSG.Mission.Name.Promotion.Sia2</t>
  </si>
  <si>
    <t>Grade : UR
CharacterId : 1010920005</t>
    <phoneticPr fontId="4" type="noConversion"/>
  </si>
  <si>
    <t>QuickMove.Gacha.Sia</t>
    <phoneticPr fontId="4" type="noConversion"/>
  </si>
  <si>
    <t>시아 UR1 달성</t>
    <phoneticPr fontId="4" type="noConversion"/>
  </si>
  <si>
    <t>MSG.Mission.Name.Promotion.Sia3</t>
  </si>
  <si>
    <t>Grade : UR1
CharacterId : 1010920005</t>
  </si>
  <si>
    <t>시아 MR 달성</t>
  </si>
  <si>
    <t>MSG.Mission.Name.Promotion.Sia4</t>
  </si>
  <si>
    <t>Grade : MR
CharacterId : 1010920005</t>
  </si>
  <si>
    <t>Plugin(1030920005, SSR)</t>
    <phoneticPr fontId="4" type="noConversion"/>
  </si>
  <si>
    <t>시아 MR1 달성</t>
  </si>
  <si>
    <t>MSG.Mission.Name.Promotion.Sia5</t>
  </si>
  <si>
    <t>Always</t>
    <phoneticPr fontId="4" type="noConversion"/>
  </si>
  <si>
    <t>Grade : MR1
CharacterId : 1010920005</t>
  </si>
  <si>
    <t>시아 LR 달성</t>
    <phoneticPr fontId="4" type="noConversion"/>
  </si>
  <si>
    <t>MSG.Mission.Name.Promotion.Sia6</t>
  </si>
  <si>
    <t>Grade : LR
CharacterId : 1010920005</t>
  </si>
  <si>
    <t>시아 LR1 달성</t>
  </si>
  <si>
    <t>MSG.Mission.Name.Promotion.Sia7</t>
  </si>
  <si>
    <t>Grade : LR1
CharacterId : 1010920005</t>
  </si>
  <si>
    <t>시아 LR2 달성</t>
  </si>
  <si>
    <t>MSG.Mission.Name.Promotion.Sia8</t>
  </si>
  <si>
    <t>Grade : LR2
CharacterId : 1010920005</t>
  </si>
  <si>
    <t>시아 LR3 달성</t>
  </si>
  <si>
    <t>MSG.Mission.Name.Promotion.Sia9</t>
  </si>
  <si>
    <t>Grade : LR3
CharacterId : 1010920005</t>
  </si>
  <si>
    <t>시아 LR4 달성</t>
  </si>
  <si>
    <t>MSG.Mission.Name.Promotion.Sia10</t>
  </si>
  <si>
    <t>Grade : LR4
CharacterId : 1010920005</t>
  </si>
  <si>
    <t>시아 LR5 달성</t>
  </si>
  <si>
    <t>MSG.Mission.Name.Promotion.Sia11</t>
  </si>
  <si>
    <t>Grade : LR5
CharacterId : 1010920005</t>
  </si>
  <si>
    <t>ReadAllStory</t>
    <phoneticPr fontId="4" type="noConversion"/>
  </si>
  <si>
    <t>AcademyClassType : Spica
Grade : MR</t>
    <phoneticPr fontId="4" type="noConversion"/>
  </si>
  <si>
    <t>AcademyClassType : Altair
Grade : MR</t>
    <phoneticPr fontId="4" type="noConversion"/>
  </si>
  <si>
    <t>ShopSlot(2771000000275)</t>
    <phoneticPr fontId="4" type="noConversion"/>
  </si>
  <si>
    <t>CharacterId : 1010910002</t>
    <phoneticPr fontId="4" type="noConversion"/>
  </si>
  <si>
    <t>ShopSlot(2771000000277)</t>
    <phoneticPr fontId="4" type="noConversion"/>
  </si>
  <si>
    <t>ShopSlot(2771000000278)</t>
    <phoneticPr fontId="4" type="noConversion"/>
  </si>
  <si>
    <t>StageId : 스테이지61</t>
    <phoneticPr fontId="4" type="noConversion"/>
  </si>
  <si>
    <t>StageId : 스테이지91</t>
    <phoneticPr fontId="4" type="noConversion"/>
  </si>
  <si>
    <t>StageId : 스테이지261</t>
    <phoneticPr fontId="4" type="noConversion"/>
  </si>
  <si>
    <t>StageId : 스테이지316</t>
    <phoneticPr fontId="4" type="noConversion"/>
  </si>
  <si>
    <t>StageId : 스테이지376</t>
    <phoneticPr fontId="4" type="noConversion"/>
  </si>
  <si>
    <t>StageId : 스테이지856</t>
    <phoneticPr fontId="4" type="noConversion"/>
  </si>
  <si>
    <t>PluginId : 1030540001
Grade : UR</t>
    <phoneticPr fontId="4" type="noConversion"/>
  </si>
  <si>
    <t>스테이지 돌파 패키지</t>
    <phoneticPr fontId="4" type="noConversion"/>
  </si>
  <si>
    <t>ContentsType : Scenario</t>
    <phoneticPr fontId="4" type="noConversion"/>
  </si>
  <si>
    <t>ShopSlot(2771000000441)</t>
    <phoneticPr fontId="4" type="noConversion"/>
  </si>
  <si>
    <t>시아 픽업 기념 핫딜 패키지 Ⅰ</t>
    <phoneticPr fontId="4" type="noConversion"/>
  </si>
  <si>
    <t>시아 픽업 기념 핫딜 패키지 Ⅱ</t>
    <phoneticPr fontId="4" type="noConversion"/>
  </si>
  <si>
    <t>Grade : UR
CharacterId : 1010920005</t>
    <phoneticPr fontId="4" type="noConversion"/>
  </si>
  <si>
    <t>선별뽑기 완료 패키지</t>
    <phoneticPr fontId="4" type="noConversion"/>
  </si>
  <si>
    <t>Always</t>
    <phoneticPr fontId="4" type="noConversion"/>
  </si>
  <si>
    <t>ConfirmSelectiveGacha</t>
    <phoneticPr fontId="4" type="noConversion"/>
  </si>
  <si>
    <t>ShopSlot(2701000000065)</t>
    <phoneticPr fontId="4" type="noConversion"/>
  </si>
  <si>
    <t>ChapterId : ChaStory_serapulsar</t>
    <phoneticPr fontId="4" type="noConversion"/>
  </si>
  <si>
    <t>ChapterId : ChaStory_mana</t>
    <phoneticPr fontId="4" type="noConversion"/>
  </si>
  <si>
    <t>ChapterClear</t>
    <phoneticPr fontId="4" type="noConversion"/>
  </si>
  <si>
    <t>ShopSlot(2771000000256)</t>
    <phoneticPr fontId="4" type="noConversion"/>
  </si>
  <si>
    <t>ReadAllStory</t>
    <phoneticPr fontId="4" type="noConversion"/>
  </si>
  <si>
    <t>메인스토리 5장 완료 패키지</t>
    <phoneticPr fontId="4" type="noConversion"/>
  </si>
  <si>
    <t>ChapterId : Chapter5</t>
    <phoneticPr fontId="4" type="noConversion"/>
  </si>
  <si>
    <t>ChapterId : 아스니아</t>
    <phoneticPr fontId="4" type="noConversion"/>
  </si>
  <si>
    <t>ChapterId : 응용예술과</t>
    <phoneticPr fontId="4" type="noConversion"/>
  </si>
  <si>
    <t>ChapterId : 레이리얼_알터</t>
    <phoneticPr fontId="4" type="noConversion"/>
  </si>
  <si>
    <t>프록시안 UR 승급 패키지 # 달성 불가 처리</t>
    <phoneticPr fontId="4" type="noConversion"/>
  </si>
  <si>
    <t>StageClear</t>
    <phoneticPr fontId="4" type="noConversion"/>
  </si>
  <si>
    <t>StageId : 1829</t>
    <phoneticPr fontId="4" type="noConversion"/>
  </si>
  <si>
    <t>CharacterGradeReached</t>
    <phoneticPr fontId="4" type="noConversion"/>
  </si>
  <si>
    <t>Grade : MR</t>
    <phoneticPr fontId="4" type="noConversion"/>
  </si>
  <si>
    <t>Always</t>
    <phoneticPr fontId="4" type="noConversion"/>
  </si>
  <si>
    <t>PluginPromote</t>
    <phoneticPr fontId="30" type="noConversion"/>
  </si>
  <si>
    <t>CharacterId : 1010910002</t>
    <phoneticPr fontId="4" type="noConversion"/>
  </si>
  <si>
    <t>ShopSlot(2771000000276)</t>
    <phoneticPr fontId="4" type="noConversion"/>
  </si>
  <si>
    <t>메리샤 호감도 Max</t>
    <phoneticPr fontId="4" type="noConversion"/>
  </si>
  <si>
    <t>CharacterId : 1010320002</t>
    <phoneticPr fontId="4" type="noConversion"/>
  </si>
  <si>
    <t>ShopSlot(2771000000279)</t>
    <phoneticPr fontId="4" type="noConversion"/>
  </si>
  <si>
    <t>클레아스 호감도 6</t>
    <phoneticPr fontId="4" type="noConversion"/>
  </si>
  <si>
    <t>ShopSlot(2771000000280)</t>
    <phoneticPr fontId="4" type="noConversion"/>
  </si>
  <si>
    <t>클레아스 호감도 Max</t>
    <phoneticPr fontId="4" type="noConversion"/>
  </si>
  <si>
    <t>ShopSlot(2771000000281)</t>
    <phoneticPr fontId="4" type="noConversion"/>
  </si>
  <si>
    <t>ShopSlot(2771000000395)</t>
    <phoneticPr fontId="4" type="noConversion"/>
  </si>
  <si>
    <t>ShopSlot(2771000000397)</t>
    <phoneticPr fontId="4" type="noConversion"/>
  </si>
  <si>
    <t>ShopSlot(2771000000398)</t>
    <phoneticPr fontId="4" type="noConversion"/>
  </si>
  <si>
    <t>StageClear</t>
    <phoneticPr fontId="4" type="noConversion"/>
  </si>
  <si>
    <t>StageId : 1829</t>
    <phoneticPr fontId="4" type="noConversion"/>
  </si>
  <si>
    <t>4섹터 클리어 축하 팩</t>
    <phoneticPr fontId="4" type="noConversion"/>
  </si>
  <si>
    <t>StageId : 스테이지166</t>
    <phoneticPr fontId="4" type="noConversion"/>
  </si>
  <si>
    <t>StageId : 스테이지211</t>
    <phoneticPr fontId="4" type="noConversion"/>
  </si>
  <si>
    <t>StageId : 스테이지436</t>
    <phoneticPr fontId="4" type="noConversion"/>
  </si>
  <si>
    <t>StageId : 스테이지496</t>
    <phoneticPr fontId="4" type="noConversion"/>
  </si>
  <si>
    <t>StageId : 스테이지556</t>
    <phoneticPr fontId="4" type="noConversion"/>
  </si>
  <si>
    <t>StageId : 스테이지616</t>
    <phoneticPr fontId="4" type="noConversion"/>
  </si>
  <si>
    <t>StageId : 스테이지676</t>
    <phoneticPr fontId="4" type="noConversion"/>
  </si>
  <si>
    <t>StageId : 스테이지736</t>
    <phoneticPr fontId="4" type="noConversion"/>
  </si>
  <si>
    <t>StageId : 스테이지796</t>
    <phoneticPr fontId="4" type="noConversion"/>
  </si>
  <si>
    <t>ShopSlot(2771000000420)</t>
    <phoneticPr fontId="4" type="noConversion"/>
  </si>
  <si>
    <t>시아 UR 승급 축하 팩</t>
    <phoneticPr fontId="4" type="noConversion"/>
  </si>
  <si>
    <t>ShopSlot(2771000000421)</t>
    <phoneticPr fontId="4" type="noConversion"/>
  </si>
  <si>
    <t>CharacterId : 1010720001</t>
    <phoneticPr fontId="4" type="noConversion"/>
  </si>
  <si>
    <t>ShopSlot(2771000000422)</t>
    <phoneticPr fontId="4" type="noConversion"/>
  </si>
  <si>
    <t>에라디카 UR 승급 축하 팩</t>
    <phoneticPr fontId="4" type="noConversion"/>
  </si>
  <si>
    <t>ShopSlot(2771000000423)</t>
    <phoneticPr fontId="4" type="noConversion"/>
  </si>
  <si>
    <t>CharacterId : 1010940003</t>
    <phoneticPr fontId="4" type="noConversion"/>
  </si>
  <si>
    <t>ShopSlot(2771000000424)</t>
    <phoneticPr fontId="4" type="noConversion"/>
  </si>
  <si>
    <t>ChapterId : 레이리얼_아스날</t>
    <phoneticPr fontId="4" type="noConversion"/>
  </si>
  <si>
    <t>ShopSlot(2771000000425)</t>
    <phoneticPr fontId="4" type="noConversion"/>
  </si>
  <si>
    <t>아이투스 호감도 3 달성 패키지</t>
    <phoneticPr fontId="4" type="noConversion"/>
  </si>
  <si>
    <t>CharacterId : 1010910001</t>
    <phoneticPr fontId="4" type="noConversion"/>
  </si>
  <si>
    <t>ShopSlot(2771000000436)</t>
    <phoneticPr fontId="4" type="noConversion"/>
  </si>
  <si>
    <t>아이투스 호감도 6 달성 패키지</t>
    <phoneticPr fontId="4" type="noConversion"/>
  </si>
  <si>
    <t>ShopSlot(2771000000437)</t>
    <phoneticPr fontId="4" type="noConversion"/>
  </si>
  <si>
    <t>아이투스 호감도 MAX 달성 패키지</t>
    <phoneticPr fontId="4" type="noConversion"/>
  </si>
  <si>
    <t>ShopSlot(2771000000438)</t>
    <phoneticPr fontId="4" type="noConversion"/>
  </si>
  <si>
    <t>ShopSlot(2771000000439)</t>
    <phoneticPr fontId="4" type="noConversion"/>
  </si>
  <si>
    <t>엘리나 플러그인 UR 달성 기념</t>
    <phoneticPr fontId="4" type="noConversion"/>
  </si>
  <si>
    <t>ShopSlot(2771000000440)</t>
    <phoneticPr fontId="4" type="noConversion"/>
  </si>
  <si>
    <t>CharacterGetFirst</t>
    <phoneticPr fontId="4" type="noConversion"/>
  </si>
  <si>
    <t>CharacterId : 1010920005</t>
    <phoneticPr fontId="4" type="noConversion"/>
  </si>
  <si>
    <t>ShopSlot(2771000000442)</t>
    <phoneticPr fontId="4" type="noConversion"/>
  </si>
  <si>
    <t>Grade : UR
CharacterId : 1010920005</t>
    <phoneticPr fontId="4" type="noConversion"/>
  </si>
  <si>
    <t>ShopSlot(2771000000443)</t>
    <phoneticPr fontId="4" type="noConversion"/>
  </si>
  <si>
    <t>시아 픽업 기념 핫딜 패키지 Ⅲ</t>
    <phoneticPr fontId="4" type="noConversion"/>
  </si>
  <si>
    <t>Grade : MR
CharacterId : 1010920005</t>
    <phoneticPr fontId="4" type="noConversion"/>
  </si>
  <si>
    <t>ShopSlot(2771000000444)</t>
    <phoneticPr fontId="4" type="noConversion"/>
  </si>
  <si>
    <t>Mission.Group.Name.Event.Roulette_2</t>
    <phoneticPr fontId="4" type="noConversion"/>
  </si>
  <si>
    <t>Mission.Event.Roulette_2.0101</t>
    <phoneticPr fontId="30" type="noConversion"/>
  </si>
  <si>
    <t>Mission.Event.Roulette_2.0101</t>
    <phoneticPr fontId="4" type="noConversion"/>
  </si>
  <si>
    <t>ItemId:1040503291</t>
    <phoneticPr fontId="4" type="noConversion"/>
  </si>
  <si>
    <t>Item(1040102001, 500)</t>
    <phoneticPr fontId="4" type="noConversion"/>
  </si>
  <si>
    <t>Item(1040603021, 5)</t>
    <phoneticPr fontId="4" type="noConversion"/>
  </si>
  <si>
    <t>Item(1040604002, 50)</t>
    <phoneticPr fontId="4" type="noConversion"/>
  </si>
  <si>
    <t>StageClear(스테이지498)</t>
    <phoneticPr fontId="4" type="noConversion"/>
  </si>
  <si>
    <t>2섹터 클리어</t>
    <phoneticPr fontId="4" type="noConversion"/>
  </si>
  <si>
    <t>MSG.Mission.Name.Newbie.Sector2</t>
    <phoneticPr fontId="4" type="noConversion"/>
  </si>
  <si>
    <t>MSG.Mission.Desc.Newbie.Sector2</t>
    <phoneticPr fontId="4" type="noConversion"/>
  </si>
  <si>
    <t>QuickMove.MainBattle</t>
    <phoneticPr fontId="4" type="noConversion"/>
  </si>
  <si>
    <t>Item(1040501001, 30)</t>
    <phoneticPr fontId="4" type="noConversion"/>
  </si>
  <si>
    <t>Item(1040603019, 1)</t>
    <phoneticPr fontId="4" type="noConversion"/>
  </si>
  <si>
    <t>tab_event_newbie</t>
    <phoneticPr fontId="4" type="noConversion"/>
  </si>
  <si>
    <t>QuickMove.EventStoryShop.Eradica.01</t>
    <phoneticPr fontId="4" type="noConversion"/>
  </si>
  <si>
    <t>QuickMove.EventStoryShop.Eradica.01</t>
    <phoneticPr fontId="4" type="noConversion"/>
  </si>
  <si>
    <t>QuickMove.EventStoryShop.Eradica.01</t>
    <phoneticPr fontId="4" type="noConversion"/>
  </si>
  <si>
    <t>QuickMove.EventStoryBattle.Eradica.01</t>
    <phoneticPr fontId="4" type="noConversion"/>
  </si>
  <si>
    <t>ChapterId: EventStory.Eradica.01
Mode : Normal_x000D_
Rank : SS</t>
    <phoneticPr fontId="4" type="noConversion"/>
  </si>
  <si>
    <t>ChapterId: EventStory.Eradica.01
Mode : Hard_x000D_
Rank : SS</t>
    <phoneticPr fontId="4" type="noConversion"/>
  </si>
  <si>
    <t>ChapterId: EventStory.Eradica.01
ContentsType:EventStory_x000D_
Mode : Normal</t>
    <phoneticPr fontId="4" type="noConversion"/>
  </si>
  <si>
    <t>ChapterId: EventStory.Eradica.01
ContentsType:EventStory_x000D_
Mode : Normal</t>
    <phoneticPr fontId="4" type="noConversion"/>
  </si>
  <si>
    <t>ChapterId: EventStory.Eradica.01
ContentsType:EventStory_x000D_
Mode : Normal</t>
    <phoneticPr fontId="4" type="noConversion"/>
  </si>
  <si>
    <t>ChapterId: EventStory.Eradica.01
ContentsType:EventStory_x000D_
Level : 15</t>
    <phoneticPr fontId="4" type="noConversion"/>
  </si>
  <si>
    <t>ChapterId: EventStory.Eradica.01
ContentsType:EventStory_x000D_
Mode : Hard</t>
    <phoneticPr fontId="4" type="noConversion"/>
  </si>
  <si>
    <t>ChapterId: EventStory.Eradica.01
ContentsType:EventStory_x000D_
Mode : Hard</t>
    <phoneticPr fontId="4" type="noConversion"/>
  </si>
  <si>
    <t>ChapterId: EventStory.Eradica.01
ContentsType:EventStory_x000D_
Level : 30</t>
    <phoneticPr fontId="4" type="noConversion"/>
  </si>
  <si>
    <t>ChapterId: EventStory.Sia.01
Mode : Normal_x000D_
Rank : SS</t>
    <phoneticPr fontId="4" type="noConversion"/>
  </si>
  <si>
    <t>ChapterId: EventStory.Sia.01
Mode : Normal_x000D_
Rank : SS</t>
    <phoneticPr fontId="4" type="noConversion"/>
  </si>
  <si>
    <t>ChapterId: EventStory.Sia.01
Mode : Normal_x000D_
Rank : SS</t>
    <phoneticPr fontId="4" type="noConversion"/>
  </si>
  <si>
    <t>ChapterId: EventStory.Sia.01
Mode : Hard_x000D_
Rank : SS</t>
    <phoneticPr fontId="4" type="noConversion"/>
  </si>
  <si>
    <t>ChapterId: EventStory.Sia.01
ContentsType:EventStory_x000D_
Mode : Normal</t>
    <phoneticPr fontId="4" type="noConversion"/>
  </si>
  <si>
    <t>ChapterId: EventStory.Sia.01
ContentsType:EventStory_x000D_
Mode : Normal</t>
    <phoneticPr fontId="4" type="noConversion"/>
  </si>
  <si>
    <t>ChapterId: EventStory.Sia.01
ContentsType:EventStory_x000D_
Level : 15</t>
    <phoneticPr fontId="4" type="noConversion"/>
  </si>
  <si>
    <t>ChapterId: EventStory.Sia.01
ContentsType:EventStory_x000D_
Mode : Hard</t>
    <phoneticPr fontId="4" type="noConversion"/>
  </si>
  <si>
    <t>ChapterId: EventStory.Sia.01
ContentsType:EventStory_x000D_
Level : 30</t>
    <phoneticPr fontId="4" type="noConversion"/>
  </si>
  <si>
    <t>ChapterId: EventStory.Itus.01
Mode : Normal_x000D_
Rank : SS</t>
    <phoneticPr fontId="4" type="noConversion"/>
  </si>
  <si>
    <t>ChapterId: EventStory.Itus.01
Mode : Hard_x000D_
Rank : SS</t>
    <phoneticPr fontId="4" type="noConversion"/>
  </si>
  <si>
    <t>ChapterId: EventStory.Itus.01
ContentsType:EventStory_x000D_
Mode : Normal</t>
    <phoneticPr fontId="4" type="noConversion"/>
  </si>
  <si>
    <t>ChapterId: EventStory.Itus.01
ContentsType:EventStory_x000D_
Level : 15</t>
    <phoneticPr fontId="4" type="noConversion"/>
  </si>
  <si>
    <t>ChapterId: EventStory.Itus.01
ContentsType:EventStory_x000D_
Mode : Hard</t>
    <phoneticPr fontId="4" type="noConversion"/>
  </si>
  <si>
    <t>ChapterId: EventStory.Itus.01
ContentsType:EventStory_x000D_
Level : 30</t>
    <phoneticPr fontId="4" type="noConversion"/>
  </si>
  <si>
    <t>StarRecord(3040400005)</t>
    <phoneticPr fontId="4" type="noConversion"/>
  </si>
  <si>
    <t>ChapterId: EventStory.Kaitoaile.01
Mode : Normal_x000D_
Rank : SS</t>
    <phoneticPr fontId="4" type="noConversion"/>
  </si>
  <si>
    <t>ChapterId: EventStory.Kaitoaile.01
Mode : Hard_x000D_
Rank : SS</t>
    <phoneticPr fontId="4" type="noConversion"/>
  </si>
  <si>
    <t>ChapterId: EventStory.Kaitoaile.01
ContentsType:EventStory_x000D_
Mode : Normal</t>
    <phoneticPr fontId="4" type="noConversion"/>
  </si>
  <si>
    <t>ChapterId: EventStory.Kaitoaile.01
ContentsType:EventStory_x000D_
Level : 15</t>
    <phoneticPr fontId="4" type="noConversion"/>
  </si>
  <si>
    <t>ChapterId: EventStory.Kaitoaile.01
ContentsType:EventStory_x000D_
Mode : Hard</t>
    <phoneticPr fontId="4" type="noConversion"/>
  </si>
  <si>
    <t>ChapterId: EventStory.Kaitoaile.01
ContentsType:EventStory_x000D_
Level : 30</t>
    <phoneticPr fontId="4" type="noConversion"/>
  </si>
  <si>
    <t>QuickMove.EventStoryBattle.Kaitoaile.01</t>
  </si>
  <si>
    <t>QuickMove.EventStoryShop.Kaitoaile.01</t>
  </si>
  <si>
    <t>ItemId : 1040420005</t>
    <phoneticPr fontId="4" type="noConversion"/>
  </si>
  <si>
    <t>QuickMove.EventStoryShop.Kaitoaile.01</t>
    <phoneticPr fontId="4" type="noConversion"/>
  </si>
  <si>
    <t>Mission.Name.UseCurrency.Event.Kaitoaile</t>
    <phoneticPr fontId="30" type="noConversion"/>
  </si>
  <si>
    <t>Mission.Name.UseCurrency.Event.Kaitoaile</t>
    <phoneticPr fontId="30" type="noConversion"/>
  </si>
  <si>
    <t>ChapterId: EventStory.iD.01
Mode : Normal_x000D_
Rank : SS</t>
    <phoneticPr fontId="4" type="noConversion"/>
  </si>
  <si>
    <t>ChapterId: EventStory.iD.01
Mode : Hard_x000D_
Rank : SS</t>
    <phoneticPr fontId="4" type="noConversion"/>
  </si>
  <si>
    <t>ChapterId: EventStory.iD.01
ContentsType:EventStory_x000D_
Mode : Normal</t>
    <phoneticPr fontId="4" type="noConversion"/>
  </si>
  <si>
    <t>ChapterId: EventStory.iD.01
ContentsType:EventStory_x000D_
Level : 15</t>
    <phoneticPr fontId="4" type="noConversion"/>
  </si>
  <si>
    <t>ChapterId: EventStory.iD.01
ContentsType:EventStory_x000D_
Mode : Hard</t>
    <phoneticPr fontId="4" type="noConversion"/>
  </si>
  <si>
    <t>ChapterId: EventStory.iD.01
ContentsType:EventStory_x000D_
Level : 30</t>
    <phoneticPr fontId="4" type="noConversion"/>
  </si>
  <si>
    <t>ChapterId: EventStory.Anne.01
Mode : Normal_x000D_
Rank : SS</t>
    <phoneticPr fontId="4" type="noConversion"/>
  </si>
  <si>
    <t>ChapterId: EventStory.Anne.01
Mode : Hard_x000D_
Rank : SS</t>
    <phoneticPr fontId="4" type="noConversion"/>
  </si>
  <si>
    <t>ChapterId: EventStory.Anne.01
ContentsType:EventStory_x000D_
Mode : Normal</t>
    <phoneticPr fontId="4" type="noConversion"/>
  </si>
  <si>
    <t>ChapterId: EventStory.Anne.01
ContentsType:EventStory_x000D_
Level : 15</t>
    <phoneticPr fontId="4" type="noConversion"/>
  </si>
  <si>
    <t>ChapterId: EventStory.Anne.01
ContentsType:EventStory_x000D_
Mode : Hard</t>
    <phoneticPr fontId="4" type="noConversion"/>
  </si>
  <si>
    <t>ChapterId: EventStory.Anne.01
ContentsType:EventStory_x000D_
Level : 30</t>
    <phoneticPr fontId="4" type="noConversion"/>
  </si>
  <si>
    <t>StarRecord(3040400003)</t>
    <phoneticPr fontId="4" type="noConversion"/>
  </si>
  <si>
    <t>ChapterId: EventStory.Yurizia.01
Mode : Normal_x000D_
Rank : SS</t>
    <phoneticPr fontId="4" type="noConversion"/>
  </si>
  <si>
    <t>ChapterId: EventStory.Yurizia.01
Mode : Hard_x000D_
Rank : SS</t>
    <phoneticPr fontId="4" type="noConversion"/>
  </si>
  <si>
    <t>ChapterId: EventStory.Yurizia.01
ContentsType:EventStory_x000D_
Mode : Normal</t>
    <phoneticPr fontId="4" type="noConversion"/>
  </si>
  <si>
    <t>ChapterId: EventStory.Yurizia.01
ContentsType:EventStory_x000D_
Level : 15</t>
    <phoneticPr fontId="4" type="noConversion"/>
  </si>
  <si>
    <t>ChapterId: EventStory.Yurizia.01
ContentsType:EventStory_x000D_
Mode : Hard</t>
    <phoneticPr fontId="4" type="noConversion"/>
  </si>
  <si>
    <t>ChapterId: EventStory.Yurizia.01
ContentsType:EventStory_x000D_
Level : 30</t>
    <phoneticPr fontId="4" type="noConversion"/>
  </si>
  <si>
    <t>DynamicDateRange(14 00:00:00)</t>
    <phoneticPr fontId="4" type="noConversion"/>
  </si>
  <si>
    <t>신입 지원 핫딜 최강 콤비팩</t>
    <phoneticPr fontId="4" type="noConversion"/>
  </si>
  <si>
    <t>StageClear</t>
    <phoneticPr fontId="4" type="noConversion"/>
  </si>
  <si>
    <t>StageId : 스테이지17</t>
    <phoneticPr fontId="4" type="noConversion"/>
  </si>
  <si>
    <t>ShopSlot(2771000000445)</t>
    <phoneticPr fontId="4" type="noConversion"/>
  </si>
  <si>
    <t>LevelRange(1,200)</t>
    <phoneticPr fontId="4" type="noConversion"/>
  </si>
  <si>
    <t>tab_mission_daily</t>
    <phoneticPr fontId="4" type="noConversion"/>
  </si>
  <si>
    <t>Item(1040603084, 1)</t>
    <phoneticPr fontId="4" type="noConversion"/>
  </si>
  <si>
    <t>Mission.Group.Name.Event.Update1</t>
    <phoneticPr fontId="4" type="noConversion"/>
  </si>
  <si>
    <t>#업데이트 기념 미션</t>
    <phoneticPr fontId="4" type="noConversion"/>
  </si>
  <si>
    <t>MSG.Mission.Name.Promotion.Update3.2</t>
  </si>
  <si>
    <t>MSG.Mission.Name.Promotion.Update3.3</t>
  </si>
  <si>
    <t>MSG.Mission.Name.Promotion.Update3.4</t>
  </si>
  <si>
    <t>MSG.Mission.Name.Promotion.Update3.5</t>
  </si>
  <si>
    <t>MSG.Mission.Name.Promotion.Update4.2</t>
  </si>
  <si>
    <t>MSG.Mission.Name.Promotion.Update4.3</t>
  </si>
  <si>
    <t>MSG.Mission.Name.Promotion.Update4.4</t>
  </si>
  <si>
    <t>MSG.Mission.Name.Promotion.Update4.5</t>
  </si>
  <si>
    <t>MSG.Mission.Name.Promotion.Update5.2</t>
  </si>
  <si>
    <t>MSG.Mission.Name.Promotion.Update5.3</t>
  </si>
  <si>
    <t>MSG.Mission.Name.Promotion.Update5.4</t>
  </si>
  <si>
    <t>MSG.Mission.Name.Promotion.Update5.5</t>
  </si>
  <si>
    <t>MSG.Mission.Name.Promotion.Update5.6</t>
  </si>
  <si>
    <t>MSG.Mission.Name.Promotion.Update6.2</t>
  </si>
  <si>
    <t>MSG.Mission.Name.Promotion.Update6.3</t>
  </si>
  <si>
    <t>MSG.Mission.Name.Promotion.Update6.4</t>
  </si>
  <si>
    <t>MSG.Mission.Name.Promotion.Update6.5</t>
  </si>
  <si>
    <t>MSG.Mission.Name.Promotion.Update6.6</t>
  </si>
  <si>
    <t>MSG.Mission.Name.Promotion.Update6.7</t>
  </si>
  <si>
    <t>StarRecord(3040400008)</t>
    <phoneticPr fontId="4" type="noConversion"/>
  </si>
  <si>
    <t>Mission.Desc.NormalEventClass.SS</t>
    <phoneticPr fontId="30" type="noConversion"/>
  </si>
  <si>
    <t>ChapterId: EventStory.Freyja.01
Mode : Normal_x000D_
Rank : SS</t>
  </si>
  <si>
    <t>StarRecordExp(3040400008 , 2)</t>
  </si>
  <si>
    <t>QuickMove.EventStoryBattle.Freyja.01</t>
  </si>
  <si>
    <t>Mission.Desc.NormalEventClass.SS</t>
    <phoneticPr fontId="30" type="noConversion"/>
  </si>
  <si>
    <t>Mission.Name.NormalEventClass.SS</t>
    <phoneticPr fontId="30" type="noConversion"/>
  </si>
  <si>
    <t>Mission.Name.NormalEventClass.SS</t>
    <phoneticPr fontId="30" type="noConversion"/>
  </si>
  <si>
    <t>StarRecordExp(3040400008 , 6)</t>
  </si>
  <si>
    <t>StarRecord(3040400008)</t>
    <phoneticPr fontId="4" type="noConversion"/>
  </si>
  <si>
    <t>StarRecord(3040400008)</t>
    <phoneticPr fontId="4" type="noConversion"/>
  </si>
  <si>
    <t>Mission.Name.HardEventClass.SS</t>
    <phoneticPr fontId="30" type="noConversion"/>
  </si>
  <si>
    <t>Mission.Desc.HardEventClass.SS</t>
    <phoneticPr fontId="30" type="noConversion"/>
  </si>
  <si>
    <t>ChapterId: EventStory.Freyja.01
Mode : Hard_x000D_
Rank : SS</t>
  </si>
  <si>
    <t>StarRecordExp(3040400008 , 4)</t>
  </si>
  <si>
    <t>Mission.Desc.HardEventClass.SS</t>
    <phoneticPr fontId="30" type="noConversion"/>
  </si>
  <si>
    <t>StarRecordExp(3040400008 , 8)</t>
  </si>
  <si>
    <t>Mission.Name.StageClear.NormalEventBattle</t>
    <phoneticPr fontId="30" type="noConversion"/>
  </si>
  <si>
    <t>StageClear</t>
    <phoneticPr fontId="4" type="noConversion"/>
  </si>
  <si>
    <t>ChapterId: EventStory.Freyja.01
ContentsType:EventStory_x000D_
Mode : Normal</t>
  </si>
  <si>
    <t>Mission.Name.StageClear.NormalEventBattle</t>
    <phoneticPr fontId="30" type="noConversion"/>
  </si>
  <si>
    <t>Mission.Desc.StageClear.NormalEventBattle</t>
    <phoneticPr fontId="30" type="noConversion"/>
  </si>
  <si>
    <t>Mission.Desc.StageClear.NormalEventBattle</t>
    <phoneticPr fontId="30" type="noConversion"/>
  </si>
  <si>
    <t>StageClear</t>
    <phoneticPr fontId="4" type="noConversion"/>
  </si>
  <si>
    <t>StageClear</t>
    <phoneticPr fontId="4" type="noConversion"/>
  </si>
  <si>
    <t>StarRecord(3040400008)</t>
    <phoneticPr fontId="4" type="noConversion"/>
  </si>
  <si>
    <t>Mission.Name.StageClear.LastNormalEventBattle</t>
    <phoneticPr fontId="30" type="noConversion"/>
  </si>
  <si>
    <t>Mission.Desc.StageClear.LastNormalEventBattle</t>
    <phoneticPr fontId="30" type="noConversion"/>
  </si>
  <si>
    <t>ChapterId: EventStory.Freyja.01
ContentsType:EventStory_x000D_
Level : 15</t>
  </si>
  <si>
    <t>StarRecordExp(3040400008 , 10)</t>
  </si>
  <si>
    <t>Mission.Name.StageClear.HardEventBattle</t>
    <phoneticPr fontId="30" type="noConversion"/>
  </si>
  <si>
    <t>Mission.Desc.StageClear.HardEventBattle</t>
    <phoneticPr fontId="30" type="noConversion"/>
  </si>
  <si>
    <t>ChapterId: EventStory.Freyja.01
ContentsType:EventStory_x000D_
Mode : Hard</t>
  </si>
  <si>
    <t>Mission.Desc.StageClear.HardEventBattle</t>
    <phoneticPr fontId="30" type="noConversion"/>
  </si>
  <si>
    <t>StageClear</t>
    <phoneticPr fontId="4" type="noConversion"/>
  </si>
  <si>
    <t>Mission.Name.StageClear.HardEventBattle</t>
    <phoneticPr fontId="30" type="noConversion"/>
  </si>
  <si>
    <t>Mission.Desc.StageClear.HardEventBattle</t>
    <phoneticPr fontId="30" type="noConversion"/>
  </si>
  <si>
    <t>Mission.Desc.StageClear.HardEventBattle</t>
    <phoneticPr fontId="30" type="noConversion"/>
  </si>
  <si>
    <t>ChapterId: EventStory.Freyja.01
ContentsType:EventStory_x000D_
Level : 30</t>
  </si>
  <si>
    <t>StarRecordExp(3040400008 , 12)</t>
  </si>
  <si>
    <t>Mission.Name.UseCurrency.Event.Freyja</t>
    <phoneticPr fontId="30" type="noConversion"/>
  </si>
  <si>
    <t>Mission.Desc.UseCurrency.Event</t>
    <phoneticPr fontId="30" type="noConversion"/>
  </si>
  <si>
    <t>ConsumeCurrency</t>
    <phoneticPr fontId="4" type="noConversion"/>
  </si>
  <si>
    <t>ItemId : 1040420008</t>
    <phoneticPr fontId="4" type="noConversion"/>
  </si>
  <si>
    <t>StarRecordExp(3040400008 , 4)</t>
    <phoneticPr fontId="4" type="noConversion"/>
  </si>
  <si>
    <t>QuickMove.EventStoryShop.Freyja.01</t>
  </si>
  <si>
    <t>StarRecordExp(3040400008 , 8)</t>
    <phoneticPr fontId="4" type="noConversion"/>
  </si>
  <si>
    <t>StarRecordExp(3040400008 , 12)</t>
    <phoneticPr fontId="4" type="noConversion"/>
  </si>
  <si>
    <t>ManagedDateRange(EventSchedule.Freyja.Play)</t>
    <phoneticPr fontId="4" type="noConversion"/>
  </si>
  <si>
    <t>StarRecord</t>
    <phoneticPr fontId="4" type="noConversion"/>
  </si>
  <si>
    <t>tab_mission_daily</t>
    <phoneticPr fontId="4" type="noConversion"/>
  </si>
  <si>
    <t>QuickMove0070</t>
  </si>
  <si>
    <t>StaticDateRange(2024-05-09 00:00:00 ~ 2024-05-29 23:59:59)</t>
    <phoneticPr fontId="30" type="noConversion"/>
  </si>
  <si>
    <t>Item(1040505101, 2)</t>
    <phoneticPr fontId="4" type="noConversion"/>
  </si>
  <si>
    <t>Item(1040505101, 3)</t>
    <phoneticPr fontId="4" type="noConversion"/>
  </si>
  <si>
    <t>Item(1040505102, 2)</t>
    <phoneticPr fontId="4" type="noConversion"/>
  </si>
  <si>
    <t>Item(1040505102, 3)</t>
    <phoneticPr fontId="4" type="noConversion"/>
  </si>
  <si>
    <t>Mission.Event.Craft.0109</t>
    <phoneticPr fontId="30" type="noConversion"/>
  </si>
  <si>
    <t>Item(1040505104, 2)</t>
    <phoneticPr fontId="4" type="noConversion"/>
  </si>
  <si>
    <t>QuickMove0300</t>
    <phoneticPr fontId="4" type="noConversion"/>
  </si>
  <si>
    <t>Mission.Event.Craft.0110</t>
    <phoneticPr fontId="30" type="noConversion"/>
  </si>
  <si>
    <t>ArenaPlay</t>
    <phoneticPr fontId="4" type="noConversion"/>
  </si>
  <si>
    <t>일일 로그인</t>
  </si>
  <si>
    <t>MSG.Mission.Name.Promotion.Update1</t>
  </si>
  <si>
    <t>MSG.Mission.Name.Promotion.Update1.1</t>
  </si>
  <si>
    <t>Item(1040501001, 2)</t>
  </si>
  <si>
    <t>MSG.Mission.Name.Promotion.Update1.2</t>
  </si>
  <si>
    <t>MSG.Mission.Name.Promotion.Update1.3</t>
  </si>
  <si>
    <t>MSG.Mission.Name.Promotion.Update1.4</t>
  </si>
  <si>
    <t>MSG.Mission.Name.Promotion.Update1.5</t>
  </si>
  <si>
    <t>MSG.Mission.Name.Promotion.Update1.6</t>
  </si>
  <si>
    <t>MSG.Mission.Name.Promotion.Update1.7</t>
  </si>
  <si>
    <t>아스니아 선물 받기</t>
  </si>
  <si>
    <t>MSG.Mission.Name.Promotion.Update2</t>
  </si>
  <si>
    <t>MSG.Mission.Name.Promotion.Update2.1</t>
  </si>
  <si>
    <t>MSG.Mission.Name.Promotion.Update2.2</t>
  </si>
  <si>
    <t>MSG.Mission.Name.Promotion.Update2.3</t>
  </si>
  <si>
    <t>MSG.Mission.Name.Promotion.Update2.4</t>
  </si>
  <si>
    <t>Item(1040501001, 4)</t>
  </si>
  <si>
    <t>MSG.Mission.Name.Promotion.Update2.5</t>
  </si>
  <si>
    <t>Item(1040501001, 5)</t>
  </si>
  <si>
    <t>아레나 참가하기</t>
  </si>
  <si>
    <t>MSG.Mission.Name.Promotion.Update3</t>
  </si>
  <si>
    <t>MSG.Mission.Name.Promotion.Update3.1</t>
  </si>
  <si>
    <t>Item(1040501001, 3)</t>
  </si>
  <si>
    <t>MSG.Mission.Name.Promotion.Update3.6</t>
  </si>
  <si>
    <t>길드 작전 진행하기</t>
  </si>
  <si>
    <t>MSG.Mission.Name.Promotion.Update4</t>
  </si>
  <si>
    <t>MSG.Mission.Name.Promotion.Update4.1</t>
  </si>
  <si>
    <t>아스니아 수업 진행하기</t>
  </si>
  <si>
    <t>MSG.Mission.Name.Promotion.Update5</t>
  </si>
  <si>
    <t>MSG.Mission.Name.Promotion.Update5.1</t>
  </si>
  <si>
    <t>물자탐색 진행하기</t>
  </si>
  <si>
    <t>MSG.Mission.Name.Promotion.Update6</t>
  </si>
  <si>
    <t>MSG.Mission.Name.Promotion.Update6.1</t>
  </si>
  <si>
    <t>StaticDateRange(2024-05-09 00:00:00 ~ 2024-06-12 23:59:59)</t>
    <phoneticPr fontId="30" type="noConversion"/>
  </si>
  <si>
    <t>FirstLoginAfter(2024-05-09)</t>
    <phoneticPr fontId="4" type="noConversion"/>
  </si>
  <si>
    <t>CharacterId : 1010930002</t>
    <phoneticPr fontId="4" type="noConversion"/>
  </si>
  <si>
    <t>CharacterId : 1010930002</t>
    <phoneticPr fontId="4" type="noConversion"/>
  </si>
  <si>
    <t>에라디카 플러그인 UR 승급 축하 팩</t>
    <phoneticPr fontId="4" type="noConversion"/>
  </si>
  <si>
    <t>에라디카 스토리 정복 팩</t>
    <phoneticPr fontId="4" type="noConversion"/>
  </si>
  <si>
    <t>PluginId : 1030910001
Grade : UR</t>
    <phoneticPr fontId="4" type="noConversion"/>
  </si>
  <si>
    <t xml:space="preserve">PluginId : 1030930002
Grade : UR </t>
    <phoneticPr fontId="4" type="noConversion"/>
  </si>
  <si>
    <t>PluginPromote</t>
    <phoneticPr fontId="4" type="noConversion"/>
  </si>
  <si>
    <t>PluginPromote</t>
    <phoneticPr fontId="4" type="noConversion"/>
  </si>
  <si>
    <t>ShopSlot(2771000000446)</t>
    <phoneticPr fontId="4" type="noConversion"/>
  </si>
  <si>
    <t>ShopSlot(2771000000447)</t>
    <phoneticPr fontId="4" type="noConversion"/>
  </si>
  <si>
    <t>ShopSlot(2771000000448)</t>
    <phoneticPr fontId="4" type="noConversion"/>
  </si>
  <si>
    <t>ShopSlot(2771000000449)</t>
    <phoneticPr fontId="4" type="noConversion"/>
  </si>
  <si>
    <t>ShopSlot(2771000000450)</t>
    <phoneticPr fontId="4" type="noConversion"/>
  </si>
  <si>
    <t>ChapterId : ChaStory_eradica</t>
    <phoneticPr fontId="4" type="noConversion"/>
  </si>
  <si>
    <t>Item(1040505103, 5)</t>
    <phoneticPr fontId="4" type="noConversion"/>
  </si>
  <si>
    <t>Ignore</t>
  </si>
  <si>
    <t>프레이야 호감도 3 달성 패키지</t>
    <phoneticPr fontId="4" type="noConversion"/>
  </si>
  <si>
    <t>프레이야 호감도 6 달성 패키지</t>
    <phoneticPr fontId="4" type="noConversion"/>
  </si>
  <si>
    <t>프레이야 호감도 8 달성 패키지</t>
    <phoneticPr fontId="4" type="noConversion"/>
  </si>
  <si>
    <t>프레이야 플러그인 UR 달성 기념</t>
    <phoneticPr fontId="4" type="noConversion"/>
  </si>
  <si>
    <t>프레이야 UR 승급 축하 팩</t>
    <phoneticPr fontId="4" type="noConversion"/>
  </si>
  <si>
    <t>Grade : UR
CharacterId : 1010930001</t>
    <phoneticPr fontId="4" type="noConversion"/>
  </si>
  <si>
    <t>CharacterId : 1010930001</t>
    <phoneticPr fontId="4" type="noConversion"/>
  </si>
  <si>
    <t>ShopSlot(2771000000451)</t>
    <phoneticPr fontId="4" type="noConversion"/>
  </si>
  <si>
    <t>ShopSlot(2771000000452)</t>
    <phoneticPr fontId="4" type="noConversion"/>
  </si>
  <si>
    <t>ShopSlot(2771000000453)</t>
    <phoneticPr fontId="4" type="noConversion"/>
  </si>
  <si>
    <t>ShopSlot(2771000000454)</t>
    <phoneticPr fontId="4" type="noConversion"/>
  </si>
  <si>
    <t>ShopSlot(2771000000455)</t>
    <phoneticPr fontId="4" type="noConversion"/>
  </si>
  <si>
    <t>PluginId : 1030930001
Grade : UR</t>
    <phoneticPr fontId="4" type="noConversion"/>
  </si>
  <si>
    <t>프레이야 픽업 기념 핫딜 패키지 1</t>
    <phoneticPr fontId="4" type="noConversion"/>
  </si>
  <si>
    <t>ShopSlot(2771000000456)</t>
    <phoneticPr fontId="4" type="noConversion"/>
  </si>
  <si>
    <t>프레이야 픽업 기념 핫딜 패키지 2</t>
    <phoneticPr fontId="4" type="noConversion"/>
  </si>
  <si>
    <t>ShopSlot(2771000000457)</t>
    <phoneticPr fontId="4" type="noConversion"/>
  </si>
  <si>
    <t>프레이야 픽업 기념 핫딜 패키지 3</t>
    <phoneticPr fontId="4" type="noConversion"/>
  </si>
  <si>
    <t>Grade : MR
CharacterId : 1010930001</t>
    <phoneticPr fontId="4" type="noConversion"/>
  </si>
  <si>
    <t>ShopSlot(2771000000458)</t>
    <phoneticPr fontId="4" type="noConversion"/>
  </si>
  <si>
    <t>StaticDateRange(2024-05-23 00:00:00 ~ 2024-06-04 23:59:00)</t>
    <phoneticPr fontId="30" type="noConversion"/>
  </si>
  <si>
    <t>Mission.Group.Name.Event.Promotion7</t>
    <phoneticPr fontId="4" type="noConversion"/>
  </si>
  <si>
    <t>Mission.Group.Name.Event.Promotion8</t>
    <phoneticPr fontId="4" type="noConversion"/>
  </si>
  <si>
    <t>MissionComplete(2231100000044)</t>
    <phoneticPr fontId="4" type="noConversion"/>
  </si>
  <si>
    <t>프레이야 SSR1 달성</t>
  </si>
  <si>
    <t>MSG.Mission.Name.Promotion.Freyja1</t>
  </si>
  <si>
    <t>Grade : SSR1
CharacterId : 1010930001</t>
    <phoneticPr fontId="4" type="noConversion"/>
  </si>
  <si>
    <t>QuickMove.Gacha.Freyja</t>
    <phoneticPr fontId="4" type="noConversion"/>
  </si>
  <si>
    <t>프레이야 UR 달성</t>
  </si>
  <si>
    <t>MSG.Mission.Name.Promotion.Freyja2</t>
  </si>
  <si>
    <t>프레이야 UR1 달성</t>
  </si>
  <si>
    <t>MSG.Mission.Name.Promotion.Freyja3</t>
  </si>
  <si>
    <t>Grade : UR1
CharacterId : 1010930001</t>
    <phoneticPr fontId="4" type="noConversion"/>
  </si>
  <si>
    <t>프레이야 MR 달성</t>
  </si>
  <si>
    <t>MSG.Mission.Name.Promotion.Freyja4</t>
  </si>
  <si>
    <t>Plugin(1030930001, SSR)</t>
    <phoneticPr fontId="4" type="noConversion"/>
  </si>
  <si>
    <t>프레이야 MR1 달성</t>
  </si>
  <si>
    <t>MSG.Mission.Name.Promotion.Freyja5</t>
  </si>
  <si>
    <t>Grade : MR1
CharacterId : 1010930001</t>
    <phoneticPr fontId="4" type="noConversion"/>
  </si>
  <si>
    <t>프레이야 LR 달성</t>
  </si>
  <si>
    <t>MSG.Mission.Name.Promotion.Freyja6</t>
  </si>
  <si>
    <t>Grade : LR
CharacterId : 1010930001</t>
    <phoneticPr fontId="4" type="noConversion"/>
  </si>
  <si>
    <t>프레이야 LR1 달성</t>
  </si>
  <si>
    <t>MSG.Mission.Name.Promotion.Freyja7</t>
  </si>
  <si>
    <t>Grade : LR1
CharacterId : 1010930001</t>
    <phoneticPr fontId="4" type="noConversion"/>
  </si>
  <si>
    <t>프레이야 LR2 달성</t>
  </si>
  <si>
    <t>MSG.Mission.Name.Promotion.Freyja8</t>
  </si>
  <si>
    <t>Grade : LR2
CharacterId : 1010930001</t>
    <phoneticPr fontId="4" type="noConversion"/>
  </si>
  <si>
    <t>프레이야 LR3 달성</t>
  </si>
  <si>
    <t>MSG.Mission.Name.Promotion.Freyja9</t>
  </si>
  <si>
    <t>Grade : LR3
CharacterId : 1010930001</t>
    <phoneticPr fontId="4" type="noConversion"/>
  </si>
  <si>
    <t>프레이야 LR4 달성</t>
  </si>
  <si>
    <t>MSG.Mission.Name.Promotion.Freyja10</t>
  </si>
  <si>
    <t>Grade : LR4
CharacterId : 1010930001</t>
    <phoneticPr fontId="4" type="noConversion"/>
  </si>
  <si>
    <t>프레이야 LR5 달성</t>
  </si>
  <si>
    <t>MSG.Mission.Name.Promotion.Freyja11</t>
  </si>
  <si>
    <t>Grade : LR5
CharacterId : 1010930001</t>
    <phoneticPr fontId="4" type="noConversion"/>
  </si>
  <si>
    <t>에라디카 모집 기념 패키지</t>
    <phoneticPr fontId="4" type="noConversion"/>
  </si>
  <si>
    <t>ShopSlot(2771000000459)</t>
    <phoneticPr fontId="4" type="noConversion"/>
  </si>
  <si>
    <t>프레이야 스토리 정복 패키지</t>
    <phoneticPr fontId="4" type="noConversion"/>
  </si>
  <si>
    <t>ChapterId : ChaStory_freyja</t>
    <phoneticPr fontId="4" type="noConversion"/>
  </si>
  <si>
    <t>ShopSlot(2771000000460)</t>
    <phoneticPr fontId="4" type="noConversion"/>
  </si>
  <si>
    <t>프레이야 플러그인 조각 패키지 조건</t>
    <phoneticPr fontId="4" type="noConversion"/>
  </si>
  <si>
    <t>PluginId : 1030930001</t>
    <phoneticPr fontId="4" type="noConversion"/>
  </si>
  <si>
    <t>Achievement</t>
    <phoneticPr fontId="4" type="noConversion"/>
  </si>
  <si>
    <t>Achievement</t>
    <phoneticPr fontId="4" type="noConversion"/>
  </si>
  <si>
    <t>CharacterPossess</t>
    <phoneticPr fontId="4" type="noConversion"/>
  </si>
  <si>
    <t>CharacterId : (프록시안 ID)
* 지속적으로 캐릭터 획득하는 경우 처리</t>
    <phoneticPr fontId="4" type="noConversion"/>
  </si>
  <si>
    <t>CharacterId : (프록시안 ID)
* 명함 획득한 경우 처리</t>
    <phoneticPr fontId="4" type="noConversion"/>
  </si>
  <si>
    <t>Item(1040503152, 1)
Item(1040102001, 10)</t>
    <phoneticPr fontId="4" type="noConversion"/>
  </si>
  <si>
    <t>Achievement</t>
  </si>
  <si>
    <t>StaticDateRange(2024-05-30 00:00:00 ~ 2024-06-04 23:59:00)</t>
    <phoneticPr fontId="30" type="noConversion"/>
  </si>
  <si>
    <t>이사벨라 플러그인 조각 패키지 조건</t>
    <phoneticPr fontId="4" type="noConversion"/>
  </si>
  <si>
    <t>PluginId : 1030720003</t>
    <phoneticPr fontId="4" type="noConversion"/>
  </si>
  <si>
    <t>ManagedDateRange(RouletteSchedule.003)</t>
    <phoneticPr fontId="4" type="noConversion"/>
  </si>
  <si>
    <t>ManagedDateRange(EventPuzzleSchedule.001)</t>
    <phoneticPr fontId="30" type="noConversion"/>
  </si>
  <si>
    <t>Mission.Group.Name.Event.Puzzle</t>
    <phoneticPr fontId="4" type="noConversion"/>
  </si>
  <si>
    <t>Mission.Event.Puzzle.0101</t>
  </si>
  <si>
    <t>Mission.Event.Puzzle.0102</t>
  </si>
  <si>
    <t>Mission.Event.Puzzle.0103</t>
  </si>
  <si>
    <t>Mission.Event.Puzzle.0104</t>
  </si>
  <si>
    <t>Mission.Event.Puzzle.0105</t>
  </si>
  <si>
    <t>Mission.Event.Puzzle.0106</t>
  </si>
  <si>
    <t>Mission.Event.Puzzle.0107</t>
  </si>
  <si>
    <t>MissionPoint</t>
    <phoneticPr fontId="4" type="noConversion"/>
  </si>
  <si>
    <t>MissionPoint</t>
    <phoneticPr fontId="4" type="noConversion"/>
  </si>
  <si>
    <t>MissionPoint</t>
    <phoneticPr fontId="4" type="noConversion"/>
  </si>
  <si>
    <t>MissionPoint</t>
    <phoneticPr fontId="4" type="noConversion"/>
  </si>
  <si>
    <t>GuildDonation</t>
    <phoneticPr fontId="4" type="noConversion"/>
  </si>
  <si>
    <t>RewardCurrency</t>
    <phoneticPr fontId="4" type="noConversion"/>
  </si>
  <si>
    <t>ItemId:1040201001</t>
    <phoneticPr fontId="4" type="noConversion"/>
  </si>
  <si>
    <t>Item(1040601091, 3)</t>
    <phoneticPr fontId="4" type="noConversion"/>
  </si>
  <si>
    <t>Item(1040601091, 1)</t>
    <phoneticPr fontId="4" type="noConversion"/>
  </si>
  <si>
    <t>Item(1040601091, 1)</t>
    <phoneticPr fontId="4" type="noConversion"/>
  </si>
  <si>
    <t>Item(1040601091, 1)</t>
    <phoneticPr fontId="4" type="noConversion"/>
  </si>
  <si>
    <t>Item(1040601091, 2)</t>
    <phoneticPr fontId="4" type="noConversion"/>
  </si>
  <si>
    <t>이드 SSR1 달성</t>
  </si>
  <si>
    <t>MSG.Mission.Name.Promotion.Id1</t>
    <phoneticPr fontId="4" type="noConversion"/>
  </si>
  <si>
    <t>Grade : SSR1
CharacterId : 1010930004</t>
    <phoneticPr fontId="4" type="noConversion"/>
  </si>
  <si>
    <t>QuickMove.Gacha.Id</t>
    <phoneticPr fontId="4" type="noConversion"/>
  </si>
  <si>
    <t>이드 UR 달성</t>
  </si>
  <si>
    <t>MSG.Mission.Name.Promotion.Id2</t>
  </si>
  <si>
    <t>Grade : UR
CharacterId : 1010930004</t>
    <phoneticPr fontId="4" type="noConversion"/>
  </si>
  <si>
    <t>이드 UR1 달성</t>
  </si>
  <si>
    <t>MSG.Mission.Name.Promotion.Id3</t>
  </si>
  <si>
    <t>Grade : UR1
CharacterId : 1010930004</t>
    <phoneticPr fontId="4" type="noConversion"/>
  </si>
  <si>
    <t>이드 MR 달성</t>
  </si>
  <si>
    <t>MSG.Mission.Name.Promotion.Id4</t>
  </si>
  <si>
    <t>Grade : MR
CharacterId : 1010930004</t>
    <phoneticPr fontId="4" type="noConversion"/>
  </si>
  <si>
    <t>Plugin(1030930004, SSR)</t>
    <phoneticPr fontId="4" type="noConversion"/>
  </si>
  <si>
    <t>이드 MR1 달성</t>
  </si>
  <si>
    <t>MSG.Mission.Name.Promotion.Id5</t>
  </si>
  <si>
    <t>Grade : MR1
CharacterId : 1010930004</t>
    <phoneticPr fontId="4" type="noConversion"/>
  </si>
  <si>
    <t>이드 LR 달성</t>
  </si>
  <si>
    <t>MSG.Mission.Name.Promotion.Id6</t>
  </si>
  <si>
    <t>Grade : LR
CharacterId : 1010930004</t>
    <phoneticPr fontId="4" type="noConversion"/>
  </si>
  <si>
    <t>이드 LR1 달성</t>
  </si>
  <si>
    <t>MSG.Mission.Name.Promotion.Id7</t>
  </si>
  <si>
    <t>Grade : LR1
CharacterId : 1010930004</t>
    <phoneticPr fontId="4" type="noConversion"/>
  </si>
  <si>
    <t>이드 LR2 달성</t>
  </si>
  <si>
    <t>MSG.Mission.Name.Promotion.Id8</t>
  </si>
  <si>
    <t>Grade : LR2
CharacterId : 1010930004</t>
    <phoneticPr fontId="4" type="noConversion"/>
  </si>
  <si>
    <t>이드 LR3 달성</t>
  </si>
  <si>
    <t>MSG.Mission.Name.Promotion.Id9</t>
  </si>
  <si>
    <t>Grade : LR3
CharacterId : 1010930004</t>
    <phoneticPr fontId="4" type="noConversion"/>
  </si>
  <si>
    <t>이드 LR4 달성</t>
  </si>
  <si>
    <t>MSG.Mission.Name.Promotion.Id10</t>
  </si>
  <si>
    <t>Grade : LR4
CharacterId : 1010930004</t>
    <phoneticPr fontId="4" type="noConversion"/>
  </si>
  <si>
    <t>이드 LR5 달성</t>
  </si>
  <si>
    <t>MSG.Mission.Name.Promotion.Id11</t>
  </si>
  <si>
    <t>Grade : LR5
CharacterId : 1010930004</t>
    <phoneticPr fontId="4" type="noConversion"/>
  </si>
  <si>
    <t>ChapterId : ChaStory_id</t>
    <phoneticPr fontId="4" type="noConversion"/>
  </si>
  <si>
    <t>이드 호감도 3 달성 패키지</t>
  </si>
  <si>
    <t>CharacterId : 1010930004</t>
    <phoneticPr fontId="4" type="noConversion"/>
  </si>
  <si>
    <t>ShopSlot(2771000000461)</t>
    <phoneticPr fontId="4" type="noConversion"/>
  </si>
  <si>
    <t>이드 호감도 6 달성 패키지</t>
  </si>
  <si>
    <t>ShopSlot(2771000000462)</t>
    <phoneticPr fontId="4" type="noConversion"/>
  </si>
  <si>
    <t>이드 호감도 8 달성 패키지</t>
  </si>
  <si>
    <t>ShopSlot(2771000000463)</t>
    <phoneticPr fontId="4" type="noConversion"/>
  </si>
  <si>
    <t>이드 플러그인 UR 달성 기념</t>
  </si>
  <si>
    <t>PluginId : 1030930004
Grade : UR</t>
    <phoneticPr fontId="4" type="noConversion"/>
  </si>
  <si>
    <t>ShopSlot(2771000000464)</t>
    <phoneticPr fontId="4" type="noConversion"/>
  </si>
  <si>
    <t>이드 UR 승급 축하 팩</t>
  </si>
  <si>
    <t>ShopSlot(2771000000465)</t>
    <phoneticPr fontId="4" type="noConversion"/>
  </si>
  <si>
    <t>이드 픽업 기념 핫딜 패키지 1</t>
  </si>
  <si>
    <t>ShopSlot(2771000000466)</t>
    <phoneticPr fontId="4" type="noConversion"/>
  </si>
  <si>
    <t>이드 픽업 기념 핫딜 패키지 2</t>
  </si>
  <si>
    <t>ShopSlot(2771000000467)</t>
    <phoneticPr fontId="4" type="noConversion"/>
  </si>
  <si>
    <t>이드 픽업 기념 핫딜 패키지 3</t>
  </si>
  <si>
    <t>ShopSlot(2771000000468)</t>
    <phoneticPr fontId="4" type="noConversion"/>
  </si>
  <si>
    <t>이드 플러그인 조각 패키지 조건</t>
  </si>
  <si>
    <t>PluginId : 1030930004</t>
    <phoneticPr fontId="4" type="noConversion"/>
  </si>
  <si>
    <t>StaticDateRange(2024-06-05 00:00:00 ~ 2024-06-19 23:59:00)</t>
    <phoneticPr fontId="30" type="noConversion"/>
  </si>
  <si>
    <t>Mission.Group.Name.Event.Promotion9</t>
    <phoneticPr fontId="4" type="noConversion"/>
  </si>
  <si>
    <t>Mission.Group.Name.Event.Promotion10</t>
    <phoneticPr fontId="4" type="noConversion"/>
  </si>
  <si>
    <t>MissionComplete(2231100000055)</t>
    <phoneticPr fontId="4" type="noConversion"/>
  </si>
  <si>
    <t>StaticDateRange(2024-06-05 00:00:00 ~ 2024-06-19 23:59:00)</t>
  </si>
  <si>
    <t>BannerImage</t>
    <phoneticPr fontId="4" type="noConversion"/>
  </si>
  <si>
    <t>BannerTitle</t>
    <phoneticPr fontId="4" type="noConversion"/>
  </si>
  <si>
    <t>BannerSubtitle</t>
    <phoneticPr fontId="4" type="noConversion"/>
  </si>
  <si>
    <t>Mission.Growth.Topbanner.Subtitle</t>
    <phoneticPr fontId="4" type="noConversion"/>
  </si>
  <si>
    <t>Mission.Growth.Topbanner.Title</t>
    <phoneticPr fontId="4" type="noConversion"/>
  </si>
  <si>
    <t>bg_shop_stepgrowth_proxian.png</t>
    <phoneticPr fontId="4" type="noConversion"/>
  </si>
  <si>
    <t>Mission.Group.Name.Event.Popup.1</t>
    <phoneticPr fontId="4" type="noConversion"/>
  </si>
  <si>
    <t>ico_unlock_plugin_lab</t>
    <phoneticPr fontId="4" type="noConversion"/>
  </si>
  <si>
    <t>tab_event_puzzle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</si>
</sst>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0_);[Red]\(0\)"/>
    <numFmt numFmtId="177" formatCode="0_);\(0\)"/>
    <numFmt numFmtId="178" formatCode="0_ "/>
  </numFmts>
  <fonts count="48">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theme="0"/>
      <name val="맑은 고딕"/>
      <family val="3"/>
      <charset val="129"/>
      <scheme val="minor"/>
    </font>
    <font>
      <sz val="11"/>
      <color rgb="FF000000"/>
      <name val="Arial"/>
      <family val="2"/>
    </font>
    <font>
      <b/>
      <sz val="11"/>
      <color theme="0"/>
      <name val="맑은 고딕"/>
      <family val="3"/>
      <charset val="129"/>
      <scheme val="minor"/>
    </font>
    <font>
      <sz val="10"/>
      <color theme="0"/>
      <name val="맑은 고딕"/>
      <family val="3"/>
      <charset val="129"/>
      <scheme val="minor"/>
    </font>
    <font>
      <sz val="10"/>
      <color theme="0"/>
      <name val="맑은 고딕"/>
      <family val="3"/>
      <charset val="129"/>
      <scheme val="major"/>
    </font>
    <font>
      <sz val="10"/>
      <color theme="1"/>
      <name val="맑은 고딕"/>
      <family val="2"/>
      <scheme val="minor"/>
    </font>
    <font>
      <sz val="10"/>
      <color rgb="FF000000"/>
      <name val="Arial"/>
      <family val="2"/>
    </font>
    <font>
      <b/>
      <sz val="10"/>
      <color theme="0"/>
      <name val="맑은 고딕"/>
      <family val="3"/>
      <charset val="129"/>
      <scheme val="minor"/>
    </font>
    <font>
      <sz val="10"/>
      <color theme="1"/>
      <name val="맑은 고딕"/>
      <family val="3"/>
      <charset val="129"/>
      <scheme val="minor"/>
    </font>
    <font>
      <sz val="11"/>
      <color theme="1"/>
      <name val="맑은 고딕"/>
      <family val="3"/>
      <charset val="129"/>
      <scheme val="minor"/>
    </font>
    <font>
      <sz val="10"/>
      <color rgb="FF000000"/>
      <name val="맑은 고딕"/>
      <family val="3"/>
      <charset val="129"/>
      <scheme val="major"/>
    </font>
    <font>
      <sz val="11"/>
      <color theme="1"/>
      <name val="맑은 고딕"/>
      <family val="3"/>
      <charset val="129"/>
      <scheme val="major"/>
    </font>
    <font>
      <sz val="10"/>
      <color theme="1"/>
      <name val="맑은 고딕"/>
      <family val="3"/>
      <charset val="129"/>
      <scheme val="major"/>
    </font>
    <font>
      <sz val="10"/>
      <color theme="1"/>
      <name val="나눔고딕"/>
      <family val="3"/>
      <charset val="129"/>
    </font>
    <font>
      <sz val="10"/>
      <name val="맑은 고딕"/>
      <family val="2"/>
      <scheme val="minor"/>
    </font>
    <font>
      <sz val="10"/>
      <name val="나눔고딕"/>
      <family val="3"/>
      <charset val="129"/>
    </font>
    <font>
      <sz val="9"/>
      <color theme="1"/>
      <name val="맑은 고딕"/>
      <family val="2"/>
      <scheme val="minor"/>
    </font>
    <font>
      <b/>
      <sz val="10"/>
      <color theme="0"/>
      <name val="나눔고딕"/>
      <family val="3"/>
      <charset val="129"/>
    </font>
    <font>
      <b/>
      <sz val="10"/>
      <color theme="0"/>
      <name val="맑은 고딕"/>
      <family val="2"/>
      <scheme val="minor"/>
    </font>
    <font>
      <sz val="11"/>
      <color rgb="FF000000"/>
      <name val="맑은 고딕"/>
      <family val="3"/>
      <charset val="129"/>
      <scheme val="minor"/>
    </font>
    <font>
      <sz val="10"/>
      <color rgb="FF242424"/>
      <name val="맑은 고딕"/>
      <family val="3"/>
      <charset val="129"/>
      <scheme val="major"/>
    </font>
    <font>
      <sz val="10"/>
      <color theme="1"/>
      <name val="맑은 고딕"/>
      <family val="2"/>
      <scheme val="major"/>
    </font>
    <font>
      <b/>
      <sz val="10"/>
      <color theme="1"/>
      <name val="맑은 고딕"/>
      <family val="3"/>
      <charset val="129"/>
      <scheme val="major"/>
    </font>
    <font>
      <sz val="10"/>
      <color theme="1"/>
      <name val="맑은 고딕"/>
      <family val="2"/>
      <charset val="129"/>
      <scheme val="minor"/>
    </font>
    <font>
      <sz val="11"/>
      <color theme="1"/>
      <name val="맑은 고딕"/>
      <family val="2"/>
      <scheme val="major"/>
    </font>
    <font>
      <sz val="8"/>
      <name val="맑은 고딕"/>
      <family val="2"/>
      <charset val="129"/>
      <scheme val="minor"/>
    </font>
    <font>
      <sz val="10"/>
      <color theme="0"/>
      <name val="맑은 고딕"/>
      <family val="2"/>
      <scheme val="minor"/>
    </font>
    <font>
      <b/>
      <sz val="10"/>
      <color theme="1"/>
      <name val="맑은 고딕"/>
      <family val="3"/>
      <charset val="129"/>
      <scheme val="minor"/>
    </font>
    <font>
      <sz val="11"/>
      <color rgb="FFFF0000"/>
      <name val="맑은 고딕"/>
      <family val="2"/>
      <scheme val="minor"/>
    </font>
    <font>
      <sz val="9"/>
      <color theme="1"/>
      <name val="맑은 고딕"/>
      <family val="3"/>
      <charset val="129"/>
      <scheme val="minor"/>
    </font>
    <font>
      <sz val="9"/>
      <color theme="1"/>
      <name val="나눔바른고딕"/>
      <family val="3"/>
      <charset val="129"/>
    </font>
    <font>
      <sz val="9"/>
      <color rgb="FF000000"/>
      <name val="나눔바른고딕"/>
      <family val="3"/>
      <charset val="129"/>
    </font>
    <font>
      <sz val="11"/>
      <color theme="1"/>
      <name val="맑은 고딕"/>
      <family val="2"/>
      <charset val="129"/>
    </font>
    <font>
      <sz val="10"/>
      <color rgb="FF000000"/>
      <name val="맑은 고딕"/>
      <family val="3"/>
      <charset val="129"/>
    </font>
    <font>
      <sz val="11"/>
      <color theme="1"/>
      <name val="맑은 고딕"/>
      <family val="2"/>
      <scheme val="minor"/>
    </font>
    <font>
      <sz val="10"/>
      <color rgb="FF000000"/>
      <name val="맑은 고딕"/>
      <family val="3"/>
      <charset val="129"/>
      <scheme val="minor"/>
    </font>
    <font>
      <sz val="10"/>
      <color theme="1"/>
      <name val="맑은 고딕"/>
      <family val="3"/>
      <charset val="129"/>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sz val="10"/>
      <color rgb="FFFF0000"/>
      <name val="맑은 고딕"/>
      <family val="3"/>
      <charset val="129"/>
      <scheme val="minor"/>
    </font>
    <font>
      <sz val="10"/>
      <color rgb="FF000000"/>
      <name val="Open Sans"/>
      <family val="2"/>
    </font>
  </fonts>
  <fills count="21">
    <fill>
      <patternFill patternType="none"/>
    </fill>
    <fill>
      <patternFill patternType="gray125"/>
    </fill>
    <fill>
      <patternFill patternType="solid">
        <fgColor theme="1" tint="0.249977111117893"/>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EBF1DE"/>
        <bgColor indexed="64"/>
      </patternFill>
    </fill>
    <fill>
      <patternFill patternType="solid">
        <fgColor rgb="FFDAEEF3"/>
        <bgColor indexed="64"/>
      </patternFill>
    </fill>
    <fill>
      <patternFill patternType="solid">
        <fgColor rgb="FF404040"/>
        <bgColor indexed="64"/>
      </patternFill>
    </fill>
    <fill>
      <patternFill patternType="solid">
        <fgColor rgb="FFE4DFEC"/>
        <bgColor indexed="64"/>
      </patternFill>
    </fill>
    <fill>
      <patternFill patternType="solid">
        <fgColor theme="7" tint="0.79998168889431442"/>
        <bgColor indexed="64"/>
      </patternFill>
    </fill>
    <fill>
      <patternFill patternType="solid">
        <fgColor rgb="FFFFFF00"/>
        <bgColor indexed="64"/>
      </patternFill>
    </fill>
    <fill>
      <patternFill patternType="solid">
        <fgColor theme="8" tint="0.59999389629810485"/>
        <bgColor indexed="64"/>
      </patternFill>
    </fill>
    <fill>
      <patternFill patternType="solid">
        <fgColor theme="1"/>
        <bgColor indexed="64"/>
      </patternFill>
    </fill>
    <fill>
      <patternFill patternType="solid">
        <fgColor theme="1" tint="0.499984740745262"/>
        <bgColor indexed="64"/>
      </patternFill>
    </fill>
    <fill>
      <patternFill patternType="solid">
        <fgColor theme="1" tint="4.9989318521683403E-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4.9989318521683403E-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rgb="FFCCCCCC"/>
      </top>
      <bottom style="medium">
        <color rgb="FF000000"/>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rgb="FF000000"/>
      </left>
      <right style="medium">
        <color rgb="FF000000"/>
      </right>
      <top/>
      <bottom style="medium">
        <color rgb="FF000000"/>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hair">
        <color indexed="64"/>
      </left>
      <right style="hair">
        <color indexed="64"/>
      </right>
      <top style="hair">
        <color indexed="64"/>
      </top>
      <bottom style="hair">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s>
  <cellStyleXfs count="8">
    <xf numFmtId="0" fontId="0" fillId="0" borderId="0"/>
    <xf numFmtId="0" fontId="3" fillId="0" borderId="0">
      <alignment vertical="center"/>
    </xf>
    <xf numFmtId="0" fontId="2" fillId="0" borderId="0">
      <alignment vertical="center"/>
    </xf>
    <xf numFmtId="0" fontId="1" fillId="0" borderId="0">
      <alignment vertical="center"/>
    </xf>
    <xf numFmtId="0" fontId="39" fillId="0" borderId="0"/>
    <xf numFmtId="0" fontId="1" fillId="0" borderId="0">
      <alignment vertical="center"/>
    </xf>
    <xf numFmtId="0" fontId="1" fillId="0" borderId="0">
      <alignment vertical="center"/>
    </xf>
    <xf numFmtId="0" fontId="37" fillId="0" borderId="0">
      <alignment vertical="center"/>
    </xf>
  </cellStyleXfs>
  <cellXfs count="337">
    <xf numFmtId="0" fontId="0" fillId="0" borderId="0" xfId="0"/>
    <xf numFmtId="0" fontId="5" fillId="2" borderId="1" xfId="0" applyFont="1" applyFill="1" applyBorder="1" applyAlignment="1">
      <alignment horizont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5" fillId="7" borderId="1" xfId="0" applyFont="1" applyFill="1" applyBorder="1" applyAlignment="1">
      <alignment horizontal="center"/>
    </xf>
    <xf numFmtId="0" fontId="7" fillId="7" borderId="1" xfId="0" applyFont="1" applyFill="1" applyBorder="1" applyAlignment="1">
      <alignment horizontal="center"/>
    </xf>
    <xf numFmtId="0" fontId="7" fillId="7" borderId="4" xfId="0" applyFont="1" applyFill="1" applyBorder="1" applyAlignment="1">
      <alignment horizontal="center"/>
    </xf>
    <xf numFmtId="0" fontId="8" fillId="0" borderId="0" xfId="0" applyFont="1" applyAlignment="1">
      <alignment horizontal="center"/>
    </xf>
    <xf numFmtId="0" fontId="8" fillId="0" borderId="1" xfId="0" applyFont="1" applyBorder="1" applyAlignment="1">
      <alignment horizontal="center"/>
    </xf>
    <xf numFmtId="0" fontId="9" fillId="2" borderId="1" xfId="0" applyFont="1" applyFill="1" applyBorder="1" applyAlignment="1">
      <alignment horizontal="center" vertical="center"/>
    </xf>
    <xf numFmtId="0" fontId="10" fillId="0" borderId="0" xfId="0" applyFont="1" applyAlignment="1">
      <alignment horizontal="center"/>
    </xf>
    <xf numFmtId="0" fontId="11" fillId="6" borderId="3" xfId="0" applyFont="1" applyFill="1" applyBorder="1" applyAlignment="1">
      <alignment horizontal="center" wrapText="1"/>
    </xf>
    <xf numFmtId="0" fontId="10" fillId="4" borderId="1" xfId="0" applyFont="1" applyFill="1" applyBorder="1" applyAlignment="1">
      <alignment horizontal="center"/>
    </xf>
    <xf numFmtId="0" fontId="10" fillId="4" borderId="1" xfId="0" applyFont="1" applyFill="1" applyBorder="1" applyAlignment="1">
      <alignment horizontal="center" vertical="center"/>
    </xf>
    <xf numFmtId="0" fontId="10" fillId="4" borderId="1" xfId="0" applyFont="1" applyFill="1" applyBorder="1" applyAlignment="1">
      <alignment horizontal="center" wrapText="1"/>
    </xf>
    <xf numFmtId="0" fontId="10" fillId="4" borderId="1" xfId="0" applyFont="1" applyFill="1" applyBorder="1" applyAlignment="1">
      <alignment horizontal="center" vertical="center" wrapText="1"/>
    </xf>
    <xf numFmtId="0" fontId="0" fillId="9" borderId="1" xfId="0" applyFill="1" applyBorder="1" applyAlignment="1">
      <alignment horizontal="center"/>
    </xf>
    <xf numFmtId="0" fontId="0" fillId="9" borderId="1" xfId="0" applyFill="1" applyBorder="1" applyAlignment="1">
      <alignment horizontal="center" wrapText="1"/>
    </xf>
    <xf numFmtId="0" fontId="0" fillId="0" borderId="0" xfId="1" applyFont="1">
      <alignment vertical="center"/>
    </xf>
    <xf numFmtId="0" fontId="10" fillId="0" borderId="0" xfId="0" applyFont="1"/>
    <xf numFmtId="0" fontId="12" fillId="7" borderId="1" xfId="0" applyFont="1" applyFill="1" applyBorder="1" applyAlignment="1">
      <alignment horizontal="center"/>
    </xf>
    <xf numFmtId="0" fontId="12" fillId="7" borderId="4" xfId="0" applyFont="1" applyFill="1" applyBorder="1" applyAlignment="1">
      <alignment horizontal="center"/>
    </xf>
    <xf numFmtId="0" fontId="8" fillId="7" borderId="1" xfId="0" applyFont="1" applyFill="1" applyBorder="1" applyAlignment="1">
      <alignment horizontal="center"/>
    </xf>
    <xf numFmtId="0" fontId="8" fillId="7" borderId="0" xfId="0" applyFont="1" applyFill="1" applyAlignment="1">
      <alignment horizontal="center"/>
    </xf>
    <xf numFmtId="0" fontId="13" fillId="0" borderId="0" xfId="0" applyFont="1"/>
    <xf numFmtId="0" fontId="0" fillId="0" borderId="0" xfId="0" applyAlignment="1">
      <alignment horizontal="center" vertical="center"/>
    </xf>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8" fillId="2" borderId="1" xfId="0" applyFont="1" applyFill="1" applyBorder="1" applyAlignment="1">
      <alignment horizontal="center"/>
    </xf>
    <xf numFmtId="49" fontId="13" fillId="0" borderId="0" xfId="0" applyNumberFormat="1" applyFont="1"/>
    <xf numFmtId="0" fontId="6" fillId="5" borderId="0" xfId="0" applyFont="1" applyFill="1" applyAlignment="1">
      <alignment horizontal="center" wrapText="1"/>
    </xf>
    <xf numFmtId="0" fontId="0" fillId="10" borderId="1" xfId="0" applyFill="1" applyBorder="1" applyAlignment="1">
      <alignment horizontal="center" vertical="center"/>
    </xf>
    <xf numFmtId="0" fontId="6" fillId="0" borderId="0" xfId="0" applyFont="1" applyAlignment="1">
      <alignment horizontal="center" vertical="center" wrapText="1"/>
    </xf>
    <xf numFmtId="0" fontId="5" fillId="2" borderId="2" xfId="0" applyFont="1" applyFill="1" applyBorder="1" applyAlignment="1">
      <alignment horizontal="center"/>
    </xf>
    <xf numFmtId="0" fontId="0" fillId="0" borderId="1" xfId="0" applyBorder="1" applyAlignment="1">
      <alignment horizontal="left"/>
    </xf>
    <xf numFmtId="0" fontId="16" fillId="0" borderId="0" xfId="0" applyFont="1" applyAlignment="1">
      <alignment horizontal="center"/>
    </xf>
    <xf numFmtId="0" fontId="16" fillId="3" borderId="1" xfId="0" applyFont="1" applyFill="1" applyBorder="1" applyAlignment="1">
      <alignment horizontal="center" vertical="center"/>
    </xf>
    <xf numFmtId="0" fontId="15" fillId="11" borderId="1" xfId="0" applyFont="1" applyFill="1" applyBorder="1" applyAlignment="1">
      <alignment horizontal="center"/>
    </xf>
    <xf numFmtId="0" fontId="15" fillId="0" borderId="1" xfId="0" applyFont="1" applyBorder="1" applyAlignment="1">
      <alignment horizontal="center"/>
    </xf>
    <xf numFmtId="0" fontId="17" fillId="0" borderId="1" xfId="0" applyFont="1" applyBorder="1" applyAlignment="1">
      <alignment horizontal="center" vertical="center" wrapText="1"/>
    </xf>
    <xf numFmtId="0" fontId="0" fillId="12" borderId="0" xfId="0" applyFill="1" applyAlignment="1">
      <alignment horizontal="center"/>
    </xf>
    <xf numFmtId="0" fontId="0" fillId="12" borderId="0" xfId="0" applyFill="1"/>
    <xf numFmtId="0" fontId="6" fillId="0" borderId="1" xfId="0" applyFont="1" applyBorder="1" applyAlignment="1">
      <alignment horizontal="center" vertical="center" wrapText="1"/>
    </xf>
    <xf numFmtId="0" fontId="6" fillId="0" borderId="1" xfId="0" applyFont="1" applyBorder="1" applyAlignment="1">
      <alignment horizontal="center" wrapText="1"/>
    </xf>
    <xf numFmtId="0" fontId="0" fillId="0" borderId="1" xfId="0" applyBorder="1"/>
    <xf numFmtId="0" fontId="6" fillId="0" borderId="0" xfId="0" applyFont="1" applyAlignment="1">
      <alignment horizontal="center" wrapText="1"/>
    </xf>
    <xf numFmtId="0" fontId="0" fillId="0" borderId="2" xfId="0" applyBorder="1" applyAlignment="1">
      <alignment horizontal="center" vertical="center"/>
    </xf>
    <xf numFmtId="0" fontId="0" fillId="0" borderId="6" xfId="0" applyBorder="1" applyAlignment="1">
      <alignment horizontal="left"/>
    </xf>
    <xf numFmtId="0" fontId="8" fillId="2" borderId="0" xfId="0" applyFont="1" applyFill="1" applyAlignment="1">
      <alignment horizontal="center"/>
    </xf>
    <xf numFmtId="0" fontId="7" fillId="0" borderId="0" xfId="0" applyFont="1" applyAlignment="1">
      <alignment horizontal="center"/>
    </xf>
    <xf numFmtId="0" fontId="5" fillId="0" borderId="0" xfId="0" applyFont="1" applyAlignment="1">
      <alignment horizontal="center"/>
    </xf>
    <xf numFmtId="0" fontId="5" fillId="0" borderId="1" xfId="0" applyFont="1" applyBorder="1" applyAlignment="1">
      <alignment horizontal="center"/>
    </xf>
    <xf numFmtId="0" fontId="21" fillId="0" borderId="0" xfId="0" applyFont="1"/>
    <xf numFmtId="0" fontId="11" fillId="12" borderId="0" xfId="0" applyFont="1" applyFill="1" applyAlignment="1">
      <alignment horizontal="center" wrapText="1"/>
    </xf>
    <xf numFmtId="0" fontId="10" fillId="12" borderId="0" xfId="0" applyFont="1" applyFill="1" applyAlignment="1">
      <alignment horizontal="center"/>
    </xf>
    <xf numFmtId="0" fontId="10" fillId="12" borderId="0" xfId="0" applyFont="1" applyFill="1" applyAlignment="1">
      <alignment horizontal="center" vertical="center"/>
    </xf>
    <xf numFmtId="0" fontId="21" fillId="12" borderId="0" xfId="0" applyFont="1" applyFill="1"/>
    <xf numFmtId="0" fontId="10" fillId="12" borderId="0" xfId="0" applyFont="1" applyFill="1" applyAlignment="1">
      <alignment horizontal="center" vertical="center" wrapText="1"/>
    </xf>
    <xf numFmtId="0" fontId="8" fillId="13" borderId="1" xfId="0" applyFont="1" applyFill="1" applyBorder="1" applyAlignment="1">
      <alignment horizontal="center"/>
    </xf>
    <xf numFmtId="0" fontId="11" fillId="6" borderId="7" xfId="0" applyFont="1" applyFill="1" applyBorder="1" applyAlignment="1">
      <alignment horizontal="center" wrapText="1"/>
    </xf>
    <xf numFmtId="0" fontId="10" fillId="4" borderId="5" xfId="0" applyFont="1" applyFill="1" applyBorder="1" applyAlignment="1">
      <alignment horizontal="center" vertical="center"/>
    </xf>
    <xf numFmtId="0" fontId="10" fillId="4" borderId="5" xfId="0" applyFont="1" applyFill="1" applyBorder="1" applyAlignment="1">
      <alignment horizontal="center"/>
    </xf>
    <xf numFmtId="0" fontId="10" fillId="4" borderId="5" xfId="0" applyFont="1" applyFill="1" applyBorder="1" applyAlignment="1">
      <alignment horizontal="center" vertical="center" wrapText="1"/>
    </xf>
    <xf numFmtId="0" fontId="23" fillId="13" borderId="1" xfId="0" applyFont="1" applyFill="1" applyBorder="1" applyAlignment="1">
      <alignment horizontal="center"/>
    </xf>
    <xf numFmtId="0" fontId="10" fillId="13" borderId="1" xfId="0" applyFont="1" applyFill="1" applyBorder="1" applyAlignment="1">
      <alignment horizontal="center"/>
    </xf>
    <xf numFmtId="0" fontId="10" fillId="13" borderId="1" xfId="0" applyFont="1" applyFill="1" applyBorder="1"/>
    <xf numFmtId="0" fontId="0" fillId="9" borderId="0" xfId="0" applyFill="1" applyAlignment="1">
      <alignment horizontal="center" wrapText="1"/>
    </xf>
    <xf numFmtId="0" fontId="0" fillId="0" borderId="0" xfId="0" applyAlignment="1">
      <alignment horizontal="left"/>
    </xf>
    <xf numFmtId="0" fontId="11" fillId="6" borderId="0" xfId="0" applyFont="1" applyFill="1" applyAlignment="1">
      <alignment horizontal="center" wrapText="1"/>
    </xf>
    <xf numFmtId="0" fontId="10" fillId="4" borderId="0" xfId="0" applyFont="1" applyFill="1" applyAlignment="1">
      <alignment horizontal="center"/>
    </xf>
    <xf numFmtId="0" fontId="10" fillId="4" borderId="0" xfId="0" applyFont="1" applyFill="1" applyAlignment="1">
      <alignment horizontal="center" vertical="center"/>
    </xf>
    <xf numFmtId="0" fontId="10" fillId="12" borderId="0" xfId="0" applyFont="1" applyFill="1"/>
    <xf numFmtId="0" fontId="24" fillId="0" borderId="1" xfId="0" applyFont="1" applyBorder="1" applyAlignment="1">
      <alignment vertical="center" wrapText="1"/>
    </xf>
    <xf numFmtId="0" fontId="10" fillId="0" borderId="0" xfId="0" applyFont="1" applyAlignment="1">
      <alignment horizontal="left"/>
    </xf>
    <xf numFmtId="0" fontId="17" fillId="11" borderId="1" xfId="0" applyFont="1" applyFill="1" applyBorder="1" applyAlignment="1">
      <alignment horizontal="center"/>
    </xf>
    <xf numFmtId="0" fontId="15" fillId="11" borderId="1" xfId="0" applyFont="1" applyFill="1" applyBorder="1" applyAlignment="1">
      <alignment horizontal="center" vertical="center" wrapText="1"/>
    </xf>
    <xf numFmtId="0" fontId="17" fillId="11" borderId="1" xfId="1" applyFont="1" applyFill="1" applyBorder="1" applyAlignment="1">
      <alignment horizontal="center" vertical="center"/>
    </xf>
    <xf numFmtId="0" fontId="17" fillId="11" borderId="1" xfId="0" applyFont="1" applyFill="1" applyBorder="1" applyAlignment="1">
      <alignment horizontal="center" vertical="center"/>
    </xf>
    <xf numFmtId="0" fontId="17" fillId="11" borderId="1" xfId="0" applyFont="1" applyFill="1" applyBorder="1" applyAlignment="1">
      <alignment horizontal="center" vertical="center" wrapText="1"/>
    </xf>
    <xf numFmtId="0" fontId="13" fillId="0" borderId="0" xfId="0" applyFont="1" applyAlignment="1">
      <alignment horizontal="center"/>
    </xf>
    <xf numFmtId="0" fontId="17" fillId="0" borderId="1" xfId="0" applyFont="1" applyBorder="1" applyAlignment="1">
      <alignment horizontal="center"/>
    </xf>
    <xf numFmtId="0" fontId="15" fillId="5" borderId="1" xfId="0" applyFont="1" applyFill="1" applyBorder="1" applyAlignment="1">
      <alignment horizontal="center" vertical="center" wrapText="1"/>
    </xf>
    <xf numFmtId="0" fontId="17" fillId="3" borderId="1" xfId="0" applyFont="1" applyFill="1" applyBorder="1" applyAlignment="1">
      <alignment horizontal="center" vertical="center"/>
    </xf>
    <xf numFmtId="0" fontId="17" fillId="3" borderId="1" xfId="0" applyFont="1" applyFill="1" applyBorder="1" applyAlignment="1">
      <alignment horizontal="center" vertical="center" wrapText="1"/>
    </xf>
    <xf numFmtId="0" fontId="9" fillId="0" borderId="1" xfId="0" applyFont="1" applyBorder="1" applyAlignment="1">
      <alignment horizontal="center" vertical="center"/>
    </xf>
    <xf numFmtId="0" fontId="25" fillId="0" borderId="1" xfId="0" applyFont="1" applyBorder="1" applyAlignment="1">
      <alignment horizontal="center" vertical="center"/>
    </xf>
    <xf numFmtId="0" fontId="17" fillId="0" borderId="1" xfId="0" applyFont="1" applyBorder="1" applyAlignment="1">
      <alignment horizontal="center" vertical="center"/>
    </xf>
    <xf numFmtId="0" fontId="15" fillId="8" borderId="1" xfId="0" applyFont="1" applyFill="1" applyBorder="1" applyAlignment="1">
      <alignment horizontal="center" wrapText="1"/>
    </xf>
    <xf numFmtId="0" fontId="17" fillId="9" borderId="1" xfId="0" applyFont="1" applyFill="1" applyBorder="1" applyAlignment="1">
      <alignment horizontal="center" vertical="center"/>
    </xf>
    <xf numFmtId="0" fontId="9" fillId="0" borderId="1" xfId="0" applyFont="1" applyBorder="1" applyAlignment="1">
      <alignment horizontal="center"/>
    </xf>
    <xf numFmtId="0" fontId="15" fillId="5" borderId="1" xfId="0" applyFont="1" applyFill="1" applyBorder="1" applyAlignment="1">
      <alignment horizontal="center" wrapText="1"/>
    </xf>
    <xf numFmtId="0" fontId="16" fillId="0" borderId="1" xfId="0" applyFont="1" applyBorder="1" applyAlignment="1">
      <alignment horizontal="left"/>
    </xf>
    <xf numFmtId="0" fontId="9" fillId="0" borderId="0" xfId="0" applyFont="1" applyAlignment="1">
      <alignment horizontal="left" vertical="center"/>
    </xf>
    <xf numFmtId="0" fontId="17" fillId="0" borderId="1" xfId="0" applyFont="1" applyBorder="1" applyAlignment="1">
      <alignment horizontal="left" vertical="center" wrapText="1"/>
    </xf>
    <xf numFmtId="0" fontId="18" fillId="0" borderId="0" xfId="0" applyFont="1" applyAlignment="1">
      <alignment horizontal="left" vertical="center" wrapText="1"/>
    </xf>
    <xf numFmtId="0" fontId="16" fillId="0" borderId="0" xfId="0" applyFont="1" applyAlignment="1">
      <alignment horizontal="left"/>
    </xf>
    <xf numFmtId="0" fontId="14" fillId="0" borderId="0" xfId="0" applyFont="1" applyAlignment="1">
      <alignment horizontal="center"/>
    </xf>
    <xf numFmtId="0" fontId="14" fillId="0" borderId="1" xfId="0" applyFont="1" applyBorder="1" applyAlignment="1">
      <alignment horizontal="center"/>
    </xf>
    <xf numFmtId="0" fontId="14" fillId="0" borderId="1" xfId="0" applyFont="1" applyBorder="1" applyAlignment="1">
      <alignment horizontal="center" vertical="center" wrapText="1"/>
    </xf>
    <xf numFmtId="0" fontId="10" fillId="0" borderId="8" xfId="0" applyFont="1" applyBorder="1" applyAlignment="1">
      <alignment horizontal="center"/>
    </xf>
    <xf numFmtId="0" fontId="17" fillId="0" borderId="8" xfId="0" applyFont="1" applyBorder="1" applyAlignment="1">
      <alignment horizontal="center"/>
    </xf>
    <xf numFmtId="0" fontId="8" fillId="0" borderId="8" xfId="0" applyFont="1" applyBorder="1" applyAlignment="1">
      <alignment horizontal="center"/>
    </xf>
    <xf numFmtId="0" fontId="0" fillId="0" borderId="8" xfId="0" applyBorder="1"/>
    <xf numFmtId="0" fontId="11" fillId="0" borderId="8" xfId="0" applyFont="1" applyBorder="1" applyAlignment="1">
      <alignment horizontal="center" wrapText="1"/>
    </xf>
    <xf numFmtId="0" fontId="10" fillId="0" borderId="8" xfId="0" applyFont="1" applyBorder="1" applyAlignment="1">
      <alignment horizontal="center" wrapText="1"/>
    </xf>
    <xf numFmtId="0" fontId="13" fillId="0" borderId="0" xfId="0" applyFont="1" applyAlignment="1">
      <alignment vertical="center"/>
    </xf>
    <xf numFmtId="0" fontId="12" fillId="12" borderId="0" xfId="0" applyFont="1" applyFill="1" applyAlignment="1">
      <alignment horizontal="center"/>
    </xf>
    <xf numFmtId="0" fontId="8" fillId="12" borderId="0" xfId="0" applyFont="1" applyFill="1" applyAlignment="1">
      <alignment horizontal="center"/>
    </xf>
    <xf numFmtId="0" fontId="9" fillId="12" borderId="0" xfId="0" applyFont="1" applyFill="1" applyAlignment="1">
      <alignment horizontal="center" vertical="center"/>
    </xf>
    <xf numFmtId="0" fontId="13" fillId="0" borderId="0" xfId="0" applyFont="1" applyAlignment="1">
      <alignment wrapText="1"/>
    </xf>
    <xf numFmtId="0" fontId="26" fillId="0" borderId="0" xfId="0" applyFont="1" applyAlignment="1">
      <alignment vertical="center"/>
    </xf>
    <xf numFmtId="0" fontId="15" fillId="0" borderId="8" xfId="0" applyFont="1" applyBorder="1" applyAlignment="1">
      <alignment wrapText="1"/>
    </xf>
    <xf numFmtId="0" fontId="9" fillId="0" borderId="8" xfId="0" applyFont="1" applyBorder="1"/>
    <xf numFmtId="0" fontId="17" fillId="0" borderId="0" xfId="0" applyFont="1" applyAlignment="1">
      <alignment vertical="center"/>
    </xf>
    <xf numFmtId="0" fontId="17" fillId="0" borderId="0" xfId="0" applyFont="1" applyAlignment="1">
      <alignment horizontal="center"/>
    </xf>
    <xf numFmtId="0" fontId="10" fillId="0" borderId="0" xfId="0" applyFont="1" applyAlignment="1">
      <alignment vertical="center"/>
    </xf>
    <xf numFmtId="0" fontId="10" fillId="0" borderId="0" xfId="1" applyFont="1">
      <alignment vertical="center"/>
    </xf>
    <xf numFmtId="0" fontId="10" fillId="3" borderId="1" xfId="0" applyFont="1" applyFill="1" applyBorder="1" applyAlignment="1">
      <alignment horizontal="center" vertical="center" wrapText="1"/>
    </xf>
    <xf numFmtId="0" fontId="12" fillId="0" borderId="0" xfId="0" applyFont="1" applyAlignment="1">
      <alignment horizontal="center"/>
    </xf>
    <xf numFmtId="0" fontId="10" fillId="3" borderId="0" xfId="0" applyFont="1" applyFill="1" applyAlignment="1">
      <alignment horizontal="center" vertical="center" wrapText="1"/>
    </xf>
    <xf numFmtId="0" fontId="10" fillId="9" borderId="1" xfId="0" applyFont="1" applyFill="1" applyBorder="1" applyAlignment="1">
      <alignment horizontal="center"/>
    </xf>
    <xf numFmtId="0" fontId="10" fillId="9" borderId="1" xfId="0" applyFont="1" applyFill="1" applyBorder="1" applyAlignment="1">
      <alignment horizontal="center" wrapText="1"/>
    </xf>
    <xf numFmtId="0" fontId="10" fillId="12" borderId="0" xfId="1" applyFont="1" applyFill="1">
      <alignment vertical="center"/>
    </xf>
    <xf numFmtId="0" fontId="10" fillId="12" borderId="0" xfId="0" applyFont="1" applyFill="1" applyAlignment="1">
      <alignment horizontal="center" wrapText="1"/>
    </xf>
    <xf numFmtId="0" fontId="17" fillId="3" borderId="0" xfId="0" applyFont="1" applyFill="1" applyAlignment="1">
      <alignment horizontal="center" vertical="center"/>
    </xf>
    <xf numFmtId="49" fontId="12" fillId="7" borderId="1" xfId="0" applyNumberFormat="1" applyFont="1" applyFill="1" applyBorder="1" applyAlignment="1">
      <alignment horizontal="center"/>
    </xf>
    <xf numFmtId="49" fontId="15" fillId="11" borderId="1" xfId="0" applyNumberFormat="1" applyFont="1" applyFill="1" applyBorder="1" applyAlignment="1">
      <alignment horizontal="center"/>
    </xf>
    <xf numFmtId="49" fontId="17" fillId="0" borderId="1" xfId="0" applyNumberFormat="1" applyFont="1" applyBorder="1" applyAlignment="1">
      <alignment horizontal="center"/>
    </xf>
    <xf numFmtId="49" fontId="15" fillId="0" borderId="1" xfId="0" applyNumberFormat="1" applyFont="1" applyBorder="1" applyAlignment="1">
      <alignment horizontal="center"/>
    </xf>
    <xf numFmtId="49" fontId="13" fillId="0" borderId="0" xfId="0" applyNumberFormat="1" applyFont="1" applyAlignment="1">
      <alignment horizontal="center"/>
    </xf>
    <xf numFmtId="49" fontId="7" fillId="7" borderId="1" xfId="0" applyNumberFormat="1" applyFont="1" applyFill="1" applyBorder="1" applyAlignment="1">
      <alignment horizontal="center"/>
    </xf>
    <xf numFmtId="49" fontId="20" fillId="0" borderId="0" xfId="0" applyNumberFormat="1" applyFont="1" applyAlignment="1">
      <alignment horizontal="center" vertical="center"/>
    </xf>
    <xf numFmtId="49" fontId="19" fillId="0" borderId="0" xfId="0" applyNumberFormat="1" applyFont="1" applyAlignment="1">
      <alignment horizontal="center"/>
    </xf>
    <xf numFmtId="49" fontId="10" fillId="0" borderId="0" xfId="0" applyNumberFormat="1" applyFont="1" applyAlignment="1">
      <alignment horizontal="center"/>
    </xf>
    <xf numFmtId="49" fontId="0" fillId="0" borderId="0" xfId="0" applyNumberFormat="1"/>
    <xf numFmtId="176" fontId="10" fillId="0" borderId="0" xfId="0" applyNumberFormat="1" applyFont="1" applyAlignment="1">
      <alignment horizontal="center"/>
    </xf>
    <xf numFmtId="176" fontId="0" fillId="0" borderId="0" xfId="0" applyNumberFormat="1" applyAlignment="1">
      <alignment horizontal="center"/>
    </xf>
    <xf numFmtId="176" fontId="0" fillId="0" borderId="0" xfId="0" applyNumberFormat="1"/>
    <xf numFmtId="0" fontId="21" fillId="0" borderId="0" xfId="0" applyFont="1" applyAlignment="1">
      <alignment wrapText="1"/>
    </xf>
    <xf numFmtId="0" fontId="0" fillId="14" borderId="0" xfId="0" applyFill="1" applyAlignment="1">
      <alignment horizontal="center"/>
    </xf>
    <xf numFmtId="0" fontId="0" fillId="14" borderId="0" xfId="0" applyFill="1"/>
    <xf numFmtId="49" fontId="15" fillId="10" borderId="1" xfId="0" applyNumberFormat="1" applyFont="1" applyFill="1" applyBorder="1" applyAlignment="1">
      <alignment horizontal="center"/>
    </xf>
    <xf numFmtId="0" fontId="15" fillId="10" borderId="1" xfId="0" applyFont="1" applyFill="1" applyBorder="1" applyAlignment="1">
      <alignment horizontal="center"/>
    </xf>
    <xf numFmtId="0" fontId="17" fillId="10" borderId="1" xfId="0" applyFont="1" applyFill="1" applyBorder="1" applyAlignment="1">
      <alignment horizontal="center"/>
    </xf>
    <xf numFmtId="0" fontId="9" fillId="10" borderId="1" xfId="0" applyFont="1" applyFill="1" applyBorder="1" applyAlignment="1">
      <alignment horizontal="center" vertical="center"/>
    </xf>
    <xf numFmtId="0" fontId="13" fillId="10" borderId="0" xfId="0" applyFont="1" applyFill="1" applyAlignment="1">
      <alignment horizontal="center"/>
    </xf>
    <xf numFmtId="49" fontId="17" fillId="10" borderId="1" xfId="0" applyNumberFormat="1" applyFont="1" applyFill="1" applyBorder="1" applyAlignment="1">
      <alignment horizontal="center"/>
    </xf>
    <xf numFmtId="0" fontId="15" fillId="10" borderId="1" xfId="0" applyFont="1" applyFill="1" applyBorder="1" applyAlignment="1">
      <alignment horizontal="center" vertical="center" wrapText="1"/>
    </xf>
    <xf numFmtId="0" fontId="15" fillId="10"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0" xfId="0" applyFill="1"/>
    <xf numFmtId="176" fontId="10" fillId="10" borderId="0" xfId="0" applyNumberFormat="1" applyFont="1" applyFill="1" applyAlignment="1">
      <alignment horizontal="center"/>
    </xf>
    <xf numFmtId="0" fontId="0" fillId="10" borderId="0" xfId="0" applyFill="1" applyAlignment="1">
      <alignment horizontal="center"/>
    </xf>
    <xf numFmtId="0" fontId="13" fillId="10" borderId="0" xfId="0" applyFont="1" applyFill="1"/>
    <xf numFmtId="0" fontId="0" fillId="0" borderId="1" xfId="0" applyBorder="1" applyAlignment="1">
      <alignment horizontal="center" vertical="center" wrapText="1"/>
    </xf>
    <xf numFmtId="0" fontId="0" fillId="0" borderId="5" xfId="0" applyBorder="1" applyAlignment="1">
      <alignment horizontal="left"/>
    </xf>
    <xf numFmtId="176" fontId="29" fillId="0" borderId="0" xfId="0" applyNumberFormat="1" applyFont="1" applyAlignment="1">
      <alignment horizontal="center" vertical="center"/>
    </xf>
    <xf numFmtId="176" fontId="0" fillId="0" borderId="0" xfId="0" applyNumberFormat="1" applyAlignment="1">
      <alignment horizontal="center" vertical="center"/>
    </xf>
    <xf numFmtId="0" fontId="11" fillId="0" borderId="0" xfId="0" applyFont="1" applyAlignment="1">
      <alignment horizontal="center" wrapText="1"/>
    </xf>
    <xf numFmtId="0" fontId="10" fillId="0" borderId="0" xfId="0" applyFont="1" applyAlignment="1">
      <alignment horizontal="center" vertical="center"/>
    </xf>
    <xf numFmtId="0" fontId="10" fillId="0" borderId="0" xfId="0" applyFont="1" applyAlignment="1">
      <alignment horizontal="center" vertical="center" wrapText="1"/>
    </xf>
    <xf numFmtId="177" fontId="13" fillId="0" borderId="0" xfId="0" applyNumberFormat="1" applyFont="1" applyAlignment="1">
      <alignment horizontal="center" vertical="center"/>
    </xf>
    <xf numFmtId="49" fontId="12" fillId="2" borderId="1" xfId="0" applyNumberFormat="1" applyFont="1" applyFill="1" applyBorder="1" applyAlignment="1">
      <alignment horizontal="center" vertical="center"/>
    </xf>
    <xf numFmtId="0" fontId="12" fillId="2" borderId="4" xfId="0" applyFont="1" applyFill="1" applyBorder="1" applyAlignment="1">
      <alignment horizontal="center" vertical="center"/>
    </xf>
    <xf numFmtId="0" fontId="12" fillId="2" borderId="1" xfId="0" applyFont="1" applyFill="1" applyBorder="1" applyAlignment="1">
      <alignment horizontal="center" vertical="center"/>
    </xf>
    <xf numFmtId="0" fontId="7" fillId="2" borderId="4" xfId="0" applyFont="1" applyFill="1" applyBorder="1" applyAlignment="1">
      <alignment horizontal="center" vertical="center"/>
    </xf>
    <xf numFmtId="0" fontId="8"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0" fillId="0" borderId="0" xfId="0" applyAlignment="1">
      <alignment wrapText="1"/>
    </xf>
    <xf numFmtId="176" fontId="12" fillId="7" borderId="1" xfId="0" applyNumberFormat="1" applyFont="1" applyFill="1" applyBorder="1" applyAlignment="1">
      <alignment horizontal="center"/>
    </xf>
    <xf numFmtId="176" fontId="12" fillId="12" borderId="0" xfId="0" applyNumberFormat="1" applyFont="1" applyFill="1" applyAlignment="1">
      <alignment horizontal="center"/>
    </xf>
    <xf numFmtId="176" fontId="13" fillId="0" borderId="0" xfId="0" applyNumberFormat="1" applyFont="1"/>
    <xf numFmtId="0" fontId="28" fillId="0" borderId="0" xfId="2" applyFont="1">
      <alignment vertical="center"/>
    </xf>
    <xf numFmtId="0" fontId="13" fillId="0" borderId="0" xfId="2" applyFont="1">
      <alignment vertical="center"/>
    </xf>
    <xf numFmtId="176" fontId="10" fillId="0" borderId="8" xfId="0" applyNumberFormat="1" applyFont="1" applyBorder="1" applyAlignment="1">
      <alignment horizontal="center"/>
    </xf>
    <xf numFmtId="0" fontId="11" fillId="0" borderId="3" xfId="0" applyFont="1" applyBorder="1" applyAlignment="1">
      <alignment horizontal="center" wrapText="1"/>
    </xf>
    <xf numFmtId="0" fontId="10" fillId="0" borderId="1" xfId="0" applyFont="1" applyBorder="1" applyAlignment="1">
      <alignment horizontal="center" vertical="center"/>
    </xf>
    <xf numFmtId="0" fontId="10" fillId="0" borderId="1" xfId="0" applyFont="1" applyBorder="1" applyAlignment="1">
      <alignment horizontal="center"/>
    </xf>
    <xf numFmtId="0" fontId="8" fillId="0" borderId="5" xfId="0" applyFont="1" applyBorder="1" applyAlignment="1">
      <alignment horizontal="center"/>
    </xf>
    <xf numFmtId="49" fontId="12" fillId="2" borderId="0" xfId="0" applyNumberFormat="1" applyFont="1" applyFill="1" applyAlignment="1">
      <alignment horizontal="center" vertical="center"/>
    </xf>
    <xf numFmtId="0" fontId="31" fillId="2" borderId="1" xfId="0" applyFont="1" applyFill="1" applyBorder="1" applyAlignment="1">
      <alignment horizontal="center"/>
    </xf>
    <xf numFmtId="176" fontId="10" fillId="0" borderId="0" xfId="0" applyNumberFormat="1" applyFont="1"/>
    <xf numFmtId="176" fontId="19" fillId="0" borderId="0" xfId="0" applyNumberFormat="1" applyFont="1" applyAlignment="1">
      <alignment horizontal="center"/>
    </xf>
    <xf numFmtId="0" fontId="10" fillId="0" borderId="0" xfId="0" applyFont="1" applyAlignment="1">
      <alignment wrapText="1"/>
    </xf>
    <xf numFmtId="176" fontId="12" fillId="2" borderId="1" xfId="0" applyNumberFormat="1" applyFont="1" applyFill="1" applyBorder="1" applyAlignment="1">
      <alignment horizontal="center" vertical="center"/>
    </xf>
    <xf numFmtId="176" fontId="12" fillId="2" borderId="4" xfId="0" applyNumberFormat="1" applyFont="1" applyFill="1" applyBorder="1" applyAlignment="1">
      <alignment horizontal="center" vertical="center"/>
    </xf>
    <xf numFmtId="176" fontId="13" fillId="0" borderId="0" xfId="0" applyNumberFormat="1" applyFont="1" applyAlignment="1">
      <alignment horizontal="center"/>
    </xf>
    <xf numFmtId="176" fontId="10" fillId="0" borderId="1" xfId="0" applyNumberFormat="1" applyFont="1" applyBorder="1"/>
    <xf numFmtId="176" fontId="10" fillId="0" borderId="1" xfId="0" applyNumberFormat="1" applyFont="1" applyBorder="1" applyAlignment="1">
      <alignment horizontal="center"/>
    </xf>
    <xf numFmtId="0" fontId="13" fillId="0" borderId="1" xfId="0" applyFont="1" applyBorder="1"/>
    <xf numFmtId="0" fontId="13" fillId="4" borderId="1" xfId="0" applyFont="1" applyFill="1" applyBorder="1"/>
    <xf numFmtId="0" fontId="13" fillId="4" borderId="1" xfId="0" applyFont="1" applyFill="1" applyBorder="1" applyAlignment="1">
      <alignment wrapText="1"/>
    </xf>
    <xf numFmtId="0" fontId="13" fillId="0" borderId="1" xfId="0" applyFont="1" applyBorder="1" applyAlignment="1">
      <alignment horizontal="center"/>
    </xf>
    <xf numFmtId="0" fontId="13" fillId="4" borderId="1" xfId="0" applyFont="1" applyFill="1" applyBorder="1" applyAlignment="1">
      <alignment horizontal="center"/>
    </xf>
    <xf numFmtId="0" fontId="13" fillId="3" borderId="1" xfId="0" applyFont="1" applyFill="1" applyBorder="1" applyAlignment="1">
      <alignment horizontal="center" vertical="center" wrapText="1"/>
    </xf>
    <xf numFmtId="0" fontId="8" fillId="0" borderId="9" xfId="0" applyFont="1" applyBorder="1" applyAlignment="1">
      <alignment horizontal="center"/>
    </xf>
    <xf numFmtId="0" fontId="10" fillId="0" borderId="9" xfId="0" applyFont="1" applyBorder="1" applyAlignment="1">
      <alignment horizontal="center" wrapText="1"/>
    </xf>
    <xf numFmtId="0" fontId="13" fillId="0" borderId="0" xfId="0" applyFont="1" applyAlignment="1">
      <alignment horizontal="left"/>
    </xf>
    <xf numFmtId="0" fontId="13" fillId="0" borderId="0" xfId="1" applyFont="1" applyAlignment="1">
      <alignment horizontal="left" vertical="center"/>
    </xf>
    <xf numFmtId="0" fontId="17" fillId="0" borderId="0" xfId="0" applyFont="1" applyAlignment="1">
      <alignment horizontal="left" vertical="center" wrapText="1"/>
    </xf>
    <xf numFmtId="0" fontId="9" fillId="12" borderId="0" xfId="0" applyFont="1" applyFill="1" applyAlignment="1">
      <alignment horizontal="left" vertical="center"/>
    </xf>
    <xf numFmtId="0" fontId="17" fillId="0" borderId="0" xfId="0" applyFont="1" applyAlignment="1">
      <alignment horizontal="left"/>
    </xf>
    <xf numFmtId="0" fontId="14" fillId="0" borderId="0" xfId="0" applyFont="1" applyAlignment="1">
      <alignment horizontal="left"/>
    </xf>
    <xf numFmtId="0" fontId="10" fillId="0" borderId="0" xfId="0" applyFont="1" applyAlignment="1">
      <alignment horizontal="center" wrapText="1"/>
    </xf>
    <xf numFmtId="0" fontId="0" fillId="0" borderId="0" xfId="0" applyAlignment="1">
      <alignment vertical="center"/>
    </xf>
    <xf numFmtId="0" fontId="28" fillId="0" borderId="0" xfId="1" applyFont="1" applyAlignment="1">
      <alignment horizontal="center" vertical="center"/>
    </xf>
    <xf numFmtId="0" fontId="13" fillId="0" borderId="0" xfId="1" applyFont="1" applyAlignment="1">
      <alignment horizontal="center" vertical="center"/>
    </xf>
    <xf numFmtId="0" fontId="0" fillId="0" borderId="0" xfId="0" applyAlignment="1">
      <alignment vertical="center" wrapText="1"/>
    </xf>
    <xf numFmtId="176" fontId="32" fillId="0" borderId="0" xfId="0" applyNumberFormat="1" applyFont="1"/>
    <xf numFmtId="0" fontId="32" fillId="0" borderId="0" xfId="0" applyFont="1"/>
    <xf numFmtId="0" fontId="32" fillId="0" borderId="0" xfId="0" applyFont="1" applyAlignment="1">
      <alignment horizontal="center"/>
    </xf>
    <xf numFmtId="0" fontId="27" fillId="0" borderId="0" xfId="0" applyFont="1" applyAlignment="1">
      <alignment horizontal="center" vertical="center"/>
    </xf>
    <xf numFmtId="176" fontId="13" fillId="0" borderId="1" xfId="0" applyNumberFormat="1" applyFont="1" applyBorder="1"/>
    <xf numFmtId="0" fontId="13" fillId="0" borderId="1" xfId="0" applyFont="1" applyBorder="1" applyAlignment="1">
      <alignment wrapText="1"/>
    </xf>
    <xf numFmtId="0" fontId="28" fillId="0" borderId="1" xfId="0" applyFont="1" applyBorder="1" applyAlignment="1">
      <alignment horizontal="center" vertical="center"/>
    </xf>
    <xf numFmtId="176" fontId="0" fillId="15" borderId="0" xfId="0" applyNumberFormat="1" applyFill="1" applyAlignment="1">
      <alignment horizontal="center" vertical="center"/>
    </xf>
    <xf numFmtId="0" fontId="0" fillId="15" borderId="0" xfId="0" applyFill="1" applyAlignment="1">
      <alignment horizontal="center" vertical="center"/>
    </xf>
    <xf numFmtId="0" fontId="0" fillId="15" borderId="0" xfId="0" applyFill="1"/>
    <xf numFmtId="0" fontId="6" fillId="15" borderId="1" xfId="0" applyFont="1" applyFill="1" applyBorder="1" applyAlignment="1">
      <alignment horizontal="center" wrapText="1"/>
    </xf>
    <xf numFmtId="0" fontId="0" fillId="15" borderId="1" xfId="0" applyFill="1" applyBorder="1" applyAlignment="1">
      <alignment horizontal="center" vertical="center"/>
    </xf>
    <xf numFmtId="0" fontId="0" fillId="15" borderId="1" xfId="0" applyFill="1" applyBorder="1" applyAlignment="1">
      <alignment horizontal="center"/>
    </xf>
    <xf numFmtId="0" fontId="13" fillId="15" borderId="0" xfId="0" applyFont="1" applyFill="1"/>
    <xf numFmtId="176" fontId="29" fillId="15" borderId="0" xfId="0" applyNumberFormat="1" applyFont="1" applyFill="1" applyAlignment="1">
      <alignment horizontal="center" vertical="center"/>
    </xf>
    <xf numFmtId="0" fontId="0" fillId="15" borderId="0" xfId="0" applyFill="1" applyAlignment="1">
      <alignment horizontal="center"/>
    </xf>
    <xf numFmtId="0" fontId="6" fillId="15" borderId="0" xfId="0" applyFont="1" applyFill="1" applyAlignment="1">
      <alignment horizontal="center" vertical="center" wrapText="1"/>
    </xf>
    <xf numFmtId="0" fontId="6" fillId="15" borderId="1" xfId="0" applyFont="1" applyFill="1" applyBorder="1" applyAlignment="1">
      <alignment horizontal="center" vertical="center" wrapText="1"/>
    </xf>
    <xf numFmtId="0" fontId="6" fillId="15" borderId="0" xfId="0" applyFont="1" applyFill="1" applyAlignment="1">
      <alignment horizontal="center" wrapText="1"/>
    </xf>
    <xf numFmtId="176" fontId="0" fillId="16" borderId="0" xfId="0" applyNumberFormat="1" applyFill="1" applyAlignment="1">
      <alignment horizontal="center" vertical="center"/>
    </xf>
    <xf numFmtId="0" fontId="0" fillId="16" borderId="0" xfId="0" applyFill="1" applyAlignment="1">
      <alignment horizontal="center" vertical="center"/>
    </xf>
    <xf numFmtId="0" fontId="0" fillId="16" borderId="0" xfId="0" applyFill="1"/>
    <xf numFmtId="0" fontId="0" fillId="16" borderId="0" xfId="0" applyFill="1" applyAlignment="1">
      <alignment vertical="center"/>
    </xf>
    <xf numFmtId="0" fontId="13" fillId="16" borderId="0" xfId="0" applyFont="1" applyFill="1"/>
    <xf numFmtId="0" fontId="14" fillId="16" borderId="0" xfId="0" applyFont="1" applyFill="1" applyAlignment="1">
      <alignment horizontal="center"/>
    </xf>
    <xf numFmtId="0" fontId="6" fillId="16" borderId="1" xfId="0" applyFont="1" applyFill="1" applyBorder="1" applyAlignment="1">
      <alignment horizontal="center" vertical="center" wrapText="1"/>
    </xf>
    <xf numFmtId="0" fontId="0" fillId="16" borderId="1" xfId="0" applyFill="1" applyBorder="1" applyAlignment="1">
      <alignment horizontal="center" vertical="center"/>
    </xf>
    <xf numFmtId="0" fontId="0" fillId="16" borderId="1" xfId="0" applyFill="1" applyBorder="1" applyAlignment="1">
      <alignment horizontal="center"/>
    </xf>
    <xf numFmtId="176" fontId="0" fillId="9" borderId="0" xfId="0" applyNumberFormat="1" applyFill="1" applyAlignment="1">
      <alignment horizontal="center" vertical="center"/>
    </xf>
    <xf numFmtId="0" fontId="0" fillId="9" borderId="0" xfId="0" applyFill="1" applyAlignment="1">
      <alignment horizontal="center" vertical="center"/>
    </xf>
    <xf numFmtId="0" fontId="0" fillId="9" borderId="0" xfId="0" applyFill="1" applyAlignment="1">
      <alignment horizontal="center"/>
    </xf>
    <xf numFmtId="0" fontId="0" fillId="9" borderId="0" xfId="0" applyFill="1"/>
    <xf numFmtId="0" fontId="13" fillId="9" borderId="0" xfId="0" applyFont="1" applyFill="1"/>
    <xf numFmtId="0" fontId="14" fillId="9" borderId="0" xfId="0" applyFont="1" applyFill="1" applyAlignment="1">
      <alignment horizontal="center"/>
    </xf>
    <xf numFmtId="0" fontId="6" fillId="9" borderId="1" xfId="0" applyFont="1" applyFill="1" applyBorder="1" applyAlignment="1">
      <alignment horizontal="center" wrapText="1"/>
    </xf>
    <xf numFmtId="0" fontId="0" fillId="9" borderId="1" xfId="0" applyFill="1" applyBorder="1" applyAlignment="1">
      <alignment horizontal="center" vertical="center"/>
    </xf>
    <xf numFmtId="0" fontId="6" fillId="9" borderId="1" xfId="0" applyFont="1" applyFill="1" applyBorder="1" applyAlignment="1">
      <alignment horizontal="center" vertical="center" wrapText="1"/>
    </xf>
    <xf numFmtId="176" fontId="29" fillId="9" borderId="0" xfId="0" applyNumberFormat="1" applyFont="1" applyFill="1" applyAlignment="1">
      <alignment horizontal="center" vertical="center"/>
    </xf>
    <xf numFmtId="0" fontId="0" fillId="9" borderId="1" xfId="0" applyFill="1" applyBorder="1"/>
    <xf numFmtId="0" fontId="14" fillId="9" borderId="1" xfId="0" applyFont="1" applyFill="1" applyBorder="1" applyAlignment="1">
      <alignment horizontal="center"/>
    </xf>
    <xf numFmtId="0" fontId="0" fillId="9" borderId="0" xfId="0" applyFill="1" applyAlignment="1">
      <alignment vertical="center"/>
    </xf>
    <xf numFmtId="0" fontId="6" fillId="9" borderId="0" xfId="0" applyFont="1" applyFill="1" applyAlignment="1">
      <alignment horizontal="center" vertical="center" wrapText="1"/>
    </xf>
    <xf numFmtId="0" fontId="14" fillId="9" borderId="1" xfId="0" applyFont="1" applyFill="1" applyBorder="1" applyAlignment="1">
      <alignment horizontal="center" vertical="center" wrapText="1"/>
    </xf>
    <xf numFmtId="0" fontId="0" fillId="0" borderId="0" xfId="0" applyAlignment="1">
      <alignment horizontal="left" vertical="center"/>
    </xf>
    <xf numFmtId="176" fontId="0" fillId="3" borderId="0" xfId="0" applyNumberFormat="1" applyFill="1" applyAlignment="1">
      <alignment horizontal="center" vertical="center"/>
    </xf>
    <xf numFmtId="0" fontId="0" fillId="3" borderId="0" xfId="0" applyFill="1" applyAlignment="1">
      <alignment horizontal="center"/>
    </xf>
    <xf numFmtId="0" fontId="0" fillId="3" borderId="0" xfId="0" applyFill="1" applyAlignment="1">
      <alignment horizontal="center" vertical="center"/>
    </xf>
    <xf numFmtId="0" fontId="0" fillId="3" borderId="0" xfId="0" applyFill="1"/>
    <xf numFmtId="0" fontId="6" fillId="3" borderId="1" xfId="0" applyFont="1" applyFill="1" applyBorder="1" applyAlignment="1">
      <alignment horizontal="center" vertical="center" wrapText="1"/>
    </xf>
    <xf numFmtId="0" fontId="0" fillId="3" borderId="0" xfId="0" applyFill="1" applyAlignment="1">
      <alignment vertical="center"/>
    </xf>
    <xf numFmtId="0" fontId="13" fillId="3" borderId="0" xfId="0" applyFont="1" applyFill="1"/>
    <xf numFmtId="0" fontId="28" fillId="0" borderId="1" xfId="0" applyFont="1" applyBorder="1" applyAlignment="1">
      <alignment horizontal="left" vertical="center"/>
    </xf>
    <xf numFmtId="176" fontId="13" fillId="0" borderId="0" xfId="0" applyNumberFormat="1" applyFont="1" applyAlignment="1">
      <alignment horizontal="left"/>
    </xf>
    <xf numFmtId="176" fontId="17" fillId="11" borderId="1" xfId="0" applyNumberFormat="1" applyFont="1" applyFill="1" applyBorder="1" applyAlignment="1">
      <alignment horizontal="center"/>
    </xf>
    <xf numFmtId="0" fontId="33" fillId="10" borderId="0" xfId="0" applyFont="1" applyFill="1"/>
    <xf numFmtId="176" fontId="13" fillId="10" borderId="0" xfId="0" applyNumberFormat="1" applyFont="1" applyFill="1"/>
    <xf numFmtId="0" fontId="13" fillId="9" borderId="1" xfId="0" applyFont="1" applyFill="1" applyBorder="1" applyAlignment="1">
      <alignment horizontal="center"/>
    </xf>
    <xf numFmtId="0" fontId="13" fillId="10" borderId="0" xfId="0" applyFont="1" applyFill="1" applyAlignment="1">
      <alignment horizontal="left"/>
    </xf>
    <xf numFmtId="0" fontId="13" fillId="10" borderId="0" xfId="1" applyFont="1" applyFill="1" applyAlignment="1">
      <alignment horizontal="left" vertical="center"/>
    </xf>
    <xf numFmtId="49" fontId="22" fillId="13" borderId="1" xfId="0" applyNumberFormat="1" applyFont="1" applyFill="1" applyBorder="1" applyAlignment="1">
      <alignment horizontal="center" vertical="center"/>
    </xf>
    <xf numFmtId="49" fontId="0" fillId="12" borderId="0" xfId="0" applyNumberFormat="1" applyFill="1"/>
    <xf numFmtId="49" fontId="0" fillId="10" borderId="0" xfId="0" applyNumberFormat="1" applyFill="1"/>
    <xf numFmtId="49" fontId="0" fillId="14" borderId="0" xfId="0" applyNumberFormat="1" applyFill="1"/>
    <xf numFmtId="176" fontId="12" fillId="7" borderId="4" xfId="0" applyNumberFormat="1" applyFont="1" applyFill="1" applyBorder="1" applyAlignment="1">
      <alignment horizontal="center"/>
    </xf>
    <xf numFmtId="178" fontId="13" fillId="0" borderId="0" xfId="0" applyNumberFormat="1" applyFont="1"/>
    <xf numFmtId="0" fontId="34" fillId="17" borderId="0" xfId="0" applyFont="1" applyFill="1" applyAlignment="1">
      <alignment vertical="center"/>
    </xf>
    <xf numFmtId="0" fontId="35" fillId="0" borderId="1" xfId="0" applyFont="1" applyBorder="1" applyAlignment="1">
      <alignment vertical="center" wrapText="1"/>
    </xf>
    <xf numFmtId="0" fontId="36" fillId="0" borderId="1" xfId="0" applyFont="1" applyBorder="1" applyAlignment="1">
      <alignment horizontal="left" vertical="center" wrapText="1"/>
    </xf>
    <xf numFmtId="176" fontId="38" fillId="0" borderId="0" xfId="0" applyNumberFormat="1" applyFont="1" applyAlignment="1">
      <alignment horizontal="center"/>
    </xf>
    <xf numFmtId="0" fontId="37" fillId="0" borderId="0" xfId="0" applyFont="1"/>
    <xf numFmtId="0" fontId="38" fillId="0" borderId="0" xfId="0" applyFont="1" applyAlignment="1">
      <alignment horizontal="center"/>
    </xf>
    <xf numFmtId="0" fontId="38" fillId="0" borderId="0" xfId="0" applyFont="1"/>
    <xf numFmtId="176" fontId="37" fillId="0" borderId="0" xfId="1" applyNumberFormat="1" applyFont="1" applyAlignment="1">
      <alignment horizontal="center" vertical="center" wrapText="1"/>
    </xf>
    <xf numFmtId="0" fontId="8" fillId="2" borderId="1" xfId="0" applyFont="1" applyFill="1" applyBorder="1" applyAlignment="1">
      <alignment horizontal="center" vertical="center" wrapText="1"/>
    </xf>
    <xf numFmtId="176" fontId="37" fillId="0" borderId="0" xfId="0" applyNumberFormat="1" applyFont="1" applyAlignment="1">
      <alignment wrapText="1"/>
    </xf>
    <xf numFmtId="0" fontId="0" fillId="18" borderId="0" xfId="0" applyFill="1"/>
    <xf numFmtId="0" fontId="17" fillId="0" borderId="0" xfId="0" applyFont="1" applyAlignment="1">
      <alignment horizontal="center" vertical="center"/>
    </xf>
    <xf numFmtId="0" fontId="13" fillId="0" borderId="0" xfId="0" applyFont="1" applyAlignment="1">
      <alignment horizontal="left" wrapText="1"/>
    </xf>
    <xf numFmtId="0" fontId="17" fillId="0" borderId="0" xfId="0" applyFont="1" applyAlignment="1">
      <alignment horizontal="left" vertical="center"/>
    </xf>
    <xf numFmtId="0" fontId="13" fillId="0" borderId="0" xfId="0" applyFont="1" applyAlignment="1">
      <alignment horizontal="center" vertical="center"/>
    </xf>
    <xf numFmtId="0" fontId="13" fillId="0" borderId="0" xfId="0" applyFont="1" applyAlignment="1">
      <alignment horizontal="left" vertical="center"/>
    </xf>
    <xf numFmtId="0" fontId="13" fillId="0" borderId="8" xfId="0" applyFont="1" applyBorder="1" applyAlignment="1">
      <alignment horizontal="center"/>
    </xf>
    <xf numFmtId="0" fontId="40" fillId="0" borderId="8" xfId="0" applyFont="1" applyBorder="1" applyAlignment="1">
      <alignment horizontal="center" wrapText="1"/>
    </xf>
    <xf numFmtId="0" fontId="40" fillId="0" borderId="8" xfId="0" applyFont="1" applyBorder="1" applyAlignment="1">
      <alignment wrapText="1"/>
    </xf>
    <xf numFmtId="0" fontId="8" fillId="0" borderId="8" xfId="0" applyFont="1" applyBorder="1"/>
    <xf numFmtId="0" fontId="40" fillId="0" borderId="0" xfId="0" applyFont="1" applyAlignment="1">
      <alignment horizontal="center" vertical="center" wrapText="1"/>
    </xf>
    <xf numFmtId="0" fontId="10" fillId="0" borderId="9" xfId="0" applyFont="1" applyBorder="1" applyAlignment="1">
      <alignment horizontal="left" wrapText="1"/>
    </xf>
    <xf numFmtId="0" fontId="8" fillId="0" borderId="9" xfId="0" applyFont="1" applyBorder="1" applyAlignment="1">
      <alignment horizontal="left"/>
    </xf>
    <xf numFmtId="0" fontId="8" fillId="12" borderId="0" xfId="0" applyFont="1" applyFill="1" applyAlignment="1">
      <alignment horizontal="left"/>
    </xf>
    <xf numFmtId="0" fontId="17" fillId="10" borderId="0" xfId="0" applyFont="1" applyFill="1" applyAlignment="1">
      <alignment horizontal="left" vertical="center" wrapText="1"/>
    </xf>
    <xf numFmtId="0" fontId="13" fillId="10" borderId="0" xfId="0" applyFont="1" applyFill="1" applyAlignment="1">
      <alignment vertical="center"/>
    </xf>
    <xf numFmtId="0" fontId="13" fillId="10" borderId="0" xfId="0" applyFont="1" applyFill="1" applyAlignment="1">
      <alignment horizontal="left" vertical="center"/>
    </xf>
    <xf numFmtId="0" fontId="17" fillId="0" borderId="10" xfId="0" applyFont="1" applyBorder="1" applyAlignment="1">
      <alignment vertical="center" wrapText="1"/>
    </xf>
    <xf numFmtId="0" fontId="41" fillId="0" borderId="1" xfId="7" applyFont="1" applyBorder="1" applyAlignment="1">
      <alignment horizontal="center" vertical="center"/>
    </xf>
    <xf numFmtId="0" fontId="14" fillId="10" borderId="0" xfId="0" applyFont="1" applyFill="1"/>
    <xf numFmtId="0" fontId="10" fillId="19" borderId="0" xfId="0" applyFont="1" applyFill="1" applyAlignment="1">
      <alignment horizontal="center"/>
    </xf>
    <xf numFmtId="0" fontId="46" fillId="3" borderId="1" xfId="0" applyFont="1" applyFill="1" applyBorder="1" applyAlignment="1">
      <alignment horizontal="center"/>
    </xf>
    <xf numFmtId="0" fontId="13" fillId="4" borderId="6" xfId="0" applyFont="1" applyFill="1" applyBorder="1" applyAlignment="1">
      <alignment horizontal="center"/>
    </xf>
    <xf numFmtId="0" fontId="10" fillId="4" borderId="6" xfId="0" applyFont="1" applyFill="1" applyBorder="1" applyAlignment="1">
      <alignment horizontal="center" vertical="center"/>
    </xf>
    <xf numFmtId="176" fontId="13" fillId="0" borderId="11" xfId="0" applyNumberFormat="1" applyFont="1" applyBorder="1"/>
    <xf numFmtId="0" fontId="13" fillId="0" borderId="12" xfId="0" applyFont="1" applyBorder="1"/>
    <xf numFmtId="176" fontId="13" fillId="0" borderId="12" xfId="0" applyNumberFormat="1" applyFont="1" applyBorder="1"/>
    <xf numFmtId="0" fontId="13" fillId="0" borderId="12" xfId="0" applyFont="1" applyBorder="1" applyAlignment="1">
      <alignment horizontal="center"/>
    </xf>
    <xf numFmtId="0" fontId="0" fillId="0" borderId="12" xfId="0" applyBorder="1" applyAlignment="1">
      <alignment vertical="center"/>
    </xf>
    <xf numFmtId="0" fontId="0" fillId="0" borderId="12" xfId="0" applyBorder="1"/>
    <xf numFmtId="176" fontId="13" fillId="0" borderId="13" xfId="0" applyNumberFormat="1" applyFont="1" applyBorder="1"/>
    <xf numFmtId="176" fontId="13" fillId="0" borderId="14" xfId="0" applyNumberFormat="1" applyFont="1" applyBorder="1"/>
    <xf numFmtId="0" fontId="13" fillId="0" borderId="15" xfId="0" applyFont="1" applyBorder="1"/>
    <xf numFmtId="176" fontId="13" fillId="0" borderId="15" xfId="0" applyNumberFormat="1" applyFont="1" applyBorder="1"/>
    <xf numFmtId="0" fontId="13" fillId="0" borderId="15" xfId="0" applyFont="1" applyBorder="1" applyAlignment="1">
      <alignment horizontal="center"/>
    </xf>
    <xf numFmtId="0" fontId="0" fillId="0" borderId="15" xfId="0" applyBorder="1"/>
    <xf numFmtId="0" fontId="46" fillId="3" borderId="16" xfId="0" applyFont="1" applyFill="1" applyBorder="1" applyAlignment="1">
      <alignment horizontal="center"/>
    </xf>
    <xf numFmtId="0" fontId="10" fillId="4" borderId="16" xfId="0" applyFont="1" applyFill="1" applyBorder="1" applyAlignment="1">
      <alignment horizontal="center" vertical="center"/>
    </xf>
    <xf numFmtId="0" fontId="0" fillId="0" borderId="15" xfId="0" applyBorder="1" applyAlignment="1">
      <alignment vertical="center" wrapText="1"/>
    </xf>
    <xf numFmtId="0" fontId="47" fillId="0" borderId="0" xfId="0" applyFont="1"/>
    <xf numFmtId="0" fontId="13" fillId="0" borderId="1" xfId="0" applyFont="1" applyBorder="1" applyAlignment="1">
      <alignment horizontal="center" vertical="center" wrapText="1"/>
    </xf>
    <xf numFmtId="0" fontId="13" fillId="0" borderId="10" xfId="0" applyFont="1" applyBorder="1" applyAlignment="1">
      <alignment vertical="center"/>
    </xf>
    <xf numFmtId="0" fontId="13" fillId="0" borderId="10" xfId="0" applyFont="1" applyBorder="1" applyAlignment="1">
      <alignment vertical="center" wrapText="1"/>
    </xf>
    <xf numFmtId="0" fontId="13" fillId="12" borderId="0" xfId="0" applyFont="1" applyFill="1"/>
    <xf numFmtId="176" fontId="13" fillId="12" borderId="0" xfId="0" applyNumberFormat="1" applyFont="1" applyFill="1"/>
    <xf numFmtId="176" fontId="12" fillId="12" borderId="0" xfId="0" applyNumberFormat="1" applyFont="1" applyFill="1"/>
    <xf numFmtId="0" fontId="13" fillId="10" borderId="0" xfId="0" applyFont="1" applyFill="1" applyAlignment="1">
      <alignment wrapText="1"/>
    </xf>
    <xf numFmtId="0" fontId="17" fillId="11" borderId="0" xfId="0" applyFont="1" applyFill="1" applyAlignment="1">
      <alignment horizontal="center"/>
    </xf>
    <xf numFmtId="176" fontId="13" fillId="20" borderId="0" xfId="0" applyNumberFormat="1" applyFont="1" applyFill="1" applyAlignment="1">
      <alignment horizontal="center"/>
    </xf>
    <xf numFmtId="0" fontId="13" fillId="20" borderId="0" xfId="0" applyFont="1" applyFill="1"/>
    <xf numFmtId="0" fontId="28" fillId="20" borderId="1" xfId="0" applyFont="1" applyFill="1" applyBorder="1" applyAlignment="1">
      <alignment horizontal="center" vertical="center"/>
    </xf>
    <xf numFmtId="176" fontId="13" fillId="10" borderId="0" xfId="0" applyNumberFormat="1" applyFont="1" applyFill="1" applyAlignment="1">
      <alignment horizontal="center"/>
    </xf>
    <xf numFmtId="0" fontId="28" fillId="10" borderId="1" xfId="0" applyFont="1" applyFill="1" applyBorder="1" applyAlignment="1">
      <alignment horizontal="center" vertical="center"/>
    </xf>
  </cellXfs>
  <cellStyles count="8">
    <cellStyle name="표준" xfId="0" builtinId="0"/>
    <cellStyle name="표준 2" xfId="1"/>
    <cellStyle name="표준 2 2" xfId="2"/>
    <cellStyle name="표준 2 2 2" xfId="6"/>
    <cellStyle name="표준 2 3" xfId="5"/>
    <cellStyle name="표준 3" xfId="4"/>
    <cellStyle name="표준 4" xfId="3"/>
    <cellStyle name="표준 5" xfId="7"/>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seudorange\Desktop\Mi&#12609;ss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ssionCategory"/>
      <sheetName val="Statistics"/>
      <sheetName val="MissionCategory.Newbie"/>
      <sheetName val="MissionCase.Newbie"/>
      <sheetName val="#Mission.Set"/>
      <sheetName val="MissionCase.Daily"/>
      <sheetName val="MissionCase.Weekly"/>
      <sheetName val="MissionCase.Main"/>
      <sheetName val="MissionCase.Unlock"/>
      <sheetName val="MissionCase.Special"/>
      <sheetName val="MissionCase.Guide"/>
      <sheetName val="#MissionCase.Guide"/>
      <sheetName val="MissionCase.7Days"/>
      <sheetName val="#MissionCase.7Days"/>
      <sheetName val="MissionCase.Recommend"/>
      <sheetName val="MissionCase.Record"/>
      <sheetName val="MissionCase.Purchase"/>
      <sheetName val="MissionCase.EventStory"/>
      <sheetName val="MissionCase.EventBingo"/>
      <sheetName val="MissionCase.EventRoulette"/>
      <sheetName val="MissionCase.EventCraft"/>
      <sheetName val="MissionCase.EventSlotMachine"/>
      <sheetName val="MissionCase.Instarseed"/>
      <sheetName val="MissionCase.AsniaMissionHub"/>
      <sheetName val="MissionCase.PurchaseSequence"/>
      <sheetName val="MissionCase.Growth"/>
      <sheetName val="MissionCase.Promotion"/>
      <sheetName val="GuideQuest"/>
      <sheetName val="EventC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S87"/>
  <sheetViews>
    <sheetView tabSelected="1" topLeftCell="D57" workbookViewId="0">
      <selection activeCell="J97" sqref="J97"/>
    </sheetView>
  </sheetViews>
  <sheetFormatPr defaultColWidth="9" defaultRowHeight="13.5"/>
  <cols>
    <col min="1" max="1" width="15.75" style="24" customWidth="1"/>
    <col min="2" max="2" width="18.125" style="24" bestFit="1" customWidth="1"/>
    <col min="3" max="3" width="28.875" style="24" bestFit="1" customWidth="1"/>
    <col min="4" max="4" width="28.875" style="24" customWidth="1"/>
    <col min="5" max="5" width="22.25" style="24" bestFit="1" customWidth="1"/>
    <col min="6" max="6" width="50.625" style="30" bestFit="1" customWidth="1"/>
    <col min="7" max="7" width="13.875" style="24" bestFit="1" customWidth="1"/>
    <col min="8" max="8" width="14.25" style="24" bestFit="1" customWidth="1"/>
    <col min="9" max="9" width="33.25" style="24" bestFit="1" customWidth="1"/>
    <col min="10" max="10" width="33.25" style="24" customWidth="1"/>
    <col min="11" max="11" width="50.625" style="24" bestFit="1" customWidth="1"/>
    <col min="12" max="12" width="20.25" style="24" customWidth="1"/>
    <col min="13" max="13" width="13.875" style="24" bestFit="1" customWidth="1"/>
    <col min="14" max="14" width="17.5" style="24" bestFit="1" customWidth="1"/>
    <col min="15" max="15" width="12.875" style="24" bestFit="1" customWidth="1"/>
    <col min="16" max="16" width="15.5" style="24" bestFit="1" customWidth="1"/>
    <col min="17" max="18" width="9" style="24" customWidth="1"/>
    <col min="19" max="16384" width="9" style="24"/>
  </cols>
  <sheetData>
    <row r="1" spans="1:19">
      <c r="A1" s="29" t="s">
        <v>0</v>
      </c>
      <c r="B1" s="29" t="s">
        <v>635</v>
      </c>
      <c r="C1" s="29" t="s">
        <v>636</v>
      </c>
      <c r="D1" s="29" t="s">
        <v>2731</v>
      </c>
      <c r="E1" s="29" t="s">
        <v>637</v>
      </c>
      <c r="F1" s="29" t="s">
        <v>1466</v>
      </c>
      <c r="G1" s="29" t="s">
        <v>638</v>
      </c>
      <c r="H1" s="29" t="s">
        <v>2756</v>
      </c>
      <c r="I1" s="29" t="s">
        <v>310</v>
      </c>
      <c r="J1" s="29" t="s">
        <v>1459</v>
      </c>
      <c r="K1" s="29" t="s">
        <v>639</v>
      </c>
      <c r="L1" s="29" t="s">
        <v>640</v>
      </c>
      <c r="M1" s="29" t="s">
        <v>641</v>
      </c>
      <c r="N1" s="49" t="s">
        <v>642</v>
      </c>
      <c r="O1" s="49" t="s">
        <v>643</v>
      </c>
      <c r="P1" s="49" t="s">
        <v>850</v>
      </c>
      <c r="Q1" s="49" t="s">
        <v>3898</v>
      </c>
      <c r="R1" s="49" t="s">
        <v>3899</v>
      </c>
      <c r="S1" s="49" t="s">
        <v>3900</v>
      </c>
    </row>
    <row r="2" spans="1:19">
      <c r="A2" s="29" t="s">
        <v>318</v>
      </c>
      <c r="B2" s="29" t="s">
        <v>1017</v>
      </c>
      <c r="C2" s="29" t="s">
        <v>644</v>
      </c>
      <c r="D2" s="29" t="s">
        <v>2732</v>
      </c>
      <c r="E2" s="29" t="s">
        <v>645</v>
      </c>
      <c r="F2" s="29" t="s">
        <v>1467</v>
      </c>
      <c r="G2" s="29" t="s">
        <v>1272</v>
      </c>
      <c r="H2" s="29" t="s">
        <v>2757</v>
      </c>
      <c r="I2" s="29" t="s">
        <v>323</v>
      </c>
      <c r="J2" s="29" t="s">
        <v>1460</v>
      </c>
      <c r="K2" s="29" t="s">
        <v>320</v>
      </c>
      <c r="L2" s="29" t="s">
        <v>320</v>
      </c>
      <c r="M2" s="29" t="s">
        <v>320</v>
      </c>
      <c r="N2" s="49" t="s">
        <v>646</v>
      </c>
      <c r="O2" s="49" t="s">
        <v>647</v>
      </c>
      <c r="P2" s="49" t="s">
        <v>851</v>
      </c>
      <c r="Q2" s="49" t="s">
        <v>647</v>
      </c>
      <c r="R2" s="49" t="s">
        <v>647</v>
      </c>
      <c r="S2" s="49" t="s">
        <v>647</v>
      </c>
    </row>
    <row r="3" spans="1:19">
      <c r="A3" s="29" t="s">
        <v>328</v>
      </c>
      <c r="B3" s="29" t="s">
        <v>328</v>
      </c>
      <c r="C3" s="29" t="s">
        <v>328</v>
      </c>
      <c r="D3" s="29" t="s">
        <v>2730</v>
      </c>
      <c r="E3" s="29" t="s">
        <v>328</v>
      </c>
      <c r="F3" s="29" t="s">
        <v>328</v>
      </c>
      <c r="G3" s="29" t="s">
        <v>4</v>
      </c>
      <c r="H3" s="29" t="s">
        <v>2758</v>
      </c>
      <c r="I3" s="29" t="s">
        <v>4</v>
      </c>
      <c r="J3" s="29" t="s">
        <v>1461</v>
      </c>
      <c r="K3" s="29" t="s">
        <v>328</v>
      </c>
      <c r="L3" s="29" t="s">
        <v>328</v>
      </c>
      <c r="M3" s="29" t="s">
        <v>328</v>
      </c>
      <c r="N3" s="49" t="s">
        <v>4</v>
      </c>
      <c r="O3" s="49" t="s">
        <v>4</v>
      </c>
      <c r="P3" s="49" t="s">
        <v>4</v>
      </c>
      <c r="Q3" s="49" t="s">
        <v>4</v>
      </c>
      <c r="R3" s="49" t="s">
        <v>4</v>
      </c>
      <c r="S3" s="49" t="s">
        <v>4</v>
      </c>
    </row>
    <row r="4" spans="1:19">
      <c r="A4" s="162">
        <v>2200000000000</v>
      </c>
      <c r="B4" s="24" t="s">
        <v>648</v>
      </c>
      <c r="C4" s="24" t="s">
        <v>1066</v>
      </c>
      <c r="E4" s="24" t="s">
        <v>649</v>
      </c>
      <c r="G4" s="24" t="s">
        <v>838</v>
      </c>
      <c r="I4" s="24" t="s">
        <v>651</v>
      </c>
      <c r="J4" s="24" t="s">
        <v>1462</v>
      </c>
      <c r="N4" s="24" t="s">
        <v>652</v>
      </c>
      <c r="P4" s="24" t="b">
        <v>1</v>
      </c>
    </row>
    <row r="5" spans="1:19">
      <c r="A5" s="162">
        <v>2200000000001</v>
      </c>
      <c r="B5" s="24" t="s">
        <v>653</v>
      </c>
      <c r="C5" s="24" t="s">
        <v>1066</v>
      </c>
      <c r="E5" s="24" t="s">
        <v>649</v>
      </c>
      <c r="G5" s="24" t="s">
        <v>366</v>
      </c>
      <c r="I5" s="24" t="s">
        <v>654</v>
      </c>
      <c r="J5" s="24" t="s">
        <v>1462</v>
      </c>
    </row>
    <row r="6" spans="1:19">
      <c r="A6" s="162">
        <v>2200000000002</v>
      </c>
      <c r="B6" s="24" t="s">
        <v>655</v>
      </c>
      <c r="C6" s="24" t="s">
        <v>1066</v>
      </c>
      <c r="E6" s="24" t="s">
        <v>656</v>
      </c>
      <c r="G6" s="24" t="s">
        <v>650</v>
      </c>
      <c r="I6" s="24" t="s">
        <v>657</v>
      </c>
      <c r="J6" s="24" t="s">
        <v>1463</v>
      </c>
      <c r="N6" s="24" t="s">
        <v>658</v>
      </c>
      <c r="P6" s="24" t="b">
        <v>1</v>
      </c>
    </row>
    <row r="7" spans="1:19">
      <c r="A7" s="162">
        <v>2200000000003</v>
      </c>
      <c r="B7" s="24" t="s">
        <v>659</v>
      </c>
      <c r="C7" s="24" t="s">
        <v>1066</v>
      </c>
      <c r="E7" s="24" t="s">
        <v>656</v>
      </c>
      <c r="G7" s="24" t="s">
        <v>366</v>
      </c>
      <c r="I7" s="24" t="s">
        <v>760</v>
      </c>
      <c r="J7" s="24" t="s">
        <v>1462</v>
      </c>
    </row>
    <row r="8" spans="1:19">
      <c r="A8" s="162">
        <v>2200000000004</v>
      </c>
      <c r="B8" s="24" t="s">
        <v>3805</v>
      </c>
      <c r="C8" s="24" t="s">
        <v>1066</v>
      </c>
      <c r="I8" s="24" t="s">
        <v>299</v>
      </c>
      <c r="J8" s="24" t="s">
        <v>1462</v>
      </c>
    </row>
    <row r="9" spans="1:19">
      <c r="A9" s="162">
        <v>2200000000005</v>
      </c>
      <c r="B9" s="24" t="s">
        <v>660</v>
      </c>
      <c r="C9" s="24" t="s">
        <v>1066</v>
      </c>
      <c r="G9" s="24" t="s">
        <v>650</v>
      </c>
      <c r="I9" s="24" t="s">
        <v>661</v>
      </c>
      <c r="J9" s="24" t="s">
        <v>1464</v>
      </c>
    </row>
    <row r="10" spans="1:19">
      <c r="A10" s="162">
        <v>2200000000009</v>
      </c>
      <c r="B10" s="24" t="s">
        <v>662</v>
      </c>
      <c r="C10" s="24" t="s">
        <v>1066</v>
      </c>
      <c r="G10" s="24" t="s">
        <v>662</v>
      </c>
      <c r="I10" s="24" t="s">
        <v>663</v>
      </c>
      <c r="J10" s="24" t="s">
        <v>1462</v>
      </c>
    </row>
    <row r="11" spans="1:19">
      <c r="A11" s="162">
        <v>2200000000010</v>
      </c>
      <c r="B11" s="24" t="s">
        <v>1530</v>
      </c>
      <c r="C11" s="24" t="s">
        <v>1066</v>
      </c>
      <c r="G11" s="24" t="s">
        <v>1530</v>
      </c>
      <c r="I11" s="24" t="s">
        <v>303</v>
      </c>
      <c r="J11" s="24" t="s">
        <v>1462</v>
      </c>
    </row>
    <row r="12" spans="1:19">
      <c r="A12" s="162">
        <v>2200000000013</v>
      </c>
      <c r="B12" s="24" t="s">
        <v>664</v>
      </c>
      <c r="C12" s="24" t="s">
        <v>1066</v>
      </c>
      <c r="G12" s="24" t="s">
        <v>759</v>
      </c>
      <c r="I12" s="24" t="s">
        <v>761</v>
      </c>
      <c r="J12" s="24" t="s">
        <v>1462</v>
      </c>
      <c r="P12" s="24" t="b">
        <v>1</v>
      </c>
    </row>
    <row r="13" spans="1:19">
      <c r="A13" s="162">
        <v>2200000000014</v>
      </c>
      <c r="B13" s="24" t="s">
        <v>664</v>
      </c>
      <c r="C13" s="24" t="s">
        <v>1007</v>
      </c>
      <c r="G13" s="24" t="s">
        <v>664</v>
      </c>
      <c r="I13" s="24" t="s">
        <v>933</v>
      </c>
      <c r="J13" s="24" t="s">
        <v>1462</v>
      </c>
      <c r="P13" s="24" t="b">
        <v>1</v>
      </c>
    </row>
    <row r="14" spans="1:19">
      <c r="A14" s="162">
        <v>2200000000015</v>
      </c>
      <c r="B14" s="24" t="s">
        <v>665</v>
      </c>
      <c r="C14" s="24" t="s">
        <v>1066</v>
      </c>
      <c r="F14" s="30" t="s">
        <v>2087</v>
      </c>
      <c r="G14" s="24" t="s">
        <v>665</v>
      </c>
      <c r="I14" s="24" t="s">
        <v>666</v>
      </c>
      <c r="J14" s="24" t="s">
        <v>1462</v>
      </c>
      <c r="O14" s="24" t="s">
        <v>667</v>
      </c>
    </row>
    <row r="15" spans="1:19">
      <c r="A15" s="162">
        <v>2200000000016</v>
      </c>
      <c r="B15" s="24" t="s">
        <v>665</v>
      </c>
      <c r="C15" s="24" t="s">
        <v>1066</v>
      </c>
      <c r="F15" s="30" t="s">
        <v>2087</v>
      </c>
      <c r="G15" s="24" t="s">
        <v>665</v>
      </c>
      <c r="I15" s="24" t="s">
        <v>666</v>
      </c>
      <c r="J15" s="24" t="s">
        <v>1462</v>
      </c>
      <c r="K15" s="24" t="s">
        <v>560</v>
      </c>
    </row>
    <row r="16" spans="1:19">
      <c r="A16" s="162">
        <v>2200000000017</v>
      </c>
      <c r="B16" s="24" t="s">
        <v>665</v>
      </c>
      <c r="C16" s="24" t="s">
        <v>1066</v>
      </c>
      <c r="F16" s="30" t="s">
        <v>2087</v>
      </c>
      <c r="G16" s="24" t="s">
        <v>665</v>
      </c>
      <c r="I16" s="24" t="s">
        <v>666</v>
      </c>
      <c r="J16" s="24" t="s">
        <v>1462</v>
      </c>
      <c r="K16" s="24" t="s">
        <v>567</v>
      </c>
    </row>
    <row r="17" spans="1:16">
      <c r="A17" s="162">
        <v>2200000000018</v>
      </c>
      <c r="B17" s="24" t="s">
        <v>665</v>
      </c>
      <c r="C17" s="24" t="s">
        <v>1066</v>
      </c>
      <c r="F17" s="30" t="s">
        <v>2087</v>
      </c>
      <c r="G17" s="24" t="s">
        <v>665</v>
      </c>
      <c r="I17" s="24" t="s">
        <v>666</v>
      </c>
      <c r="J17" s="24" t="s">
        <v>1462</v>
      </c>
      <c r="K17" s="24" t="s">
        <v>573</v>
      </c>
    </row>
    <row r="18" spans="1:16">
      <c r="A18" s="162">
        <v>2200000000019</v>
      </c>
      <c r="B18" s="24" t="s">
        <v>665</v>
      </c>
      <c r="C18" s="24" t="s">
        <v>1066</v>
      </c>
      <c r="F18" s="30" t="s">
        <v>2087</v>
      </c>
      <c r="G18" s="24" t="s">
        <v>665</v>
      </c>
      <c r="I18" s="24" t="s">
        <v>666</v>
      </c>
      <c r="J18" s="24" t="s">
        <v>1462</v>
      </c>
      <c r="K18" s="24" t="s">
        <v>576</v>
      </c>
    </row>
    <row r="19" spans="1:16">
      <c r="A19" s="162">
        <v>2200000000020</v>
      </c>
      <c r="B19" s="24" t="s">
        <v>665</v>
      </c>
      <c r="C19" s="24" t="s">
        <v>1066</v>
      </c>
      <c r="F19" s="30" t="s">
        <v>2087</v>
      </c>
      <c r="G19" s="24" t="s">
        <v>665</v>
      </c>
      <c r="I19" s="24" t="s">
        <v>666</v>
      </c>
      <c r="J19" s="24" t="s">
        <v>1462</v>
      </c>
      <c r="K19" s="24" t="s">
        <v>579</v>
      </c>
    </row>
    <row r="20" spans="1:16">
      <c r="A20" s="162">
        <v>2200000000021</v>
      </c>
      <c r="B20" s="24" t="s">
        <v>665</v>
      </c>
      <c r="C20" s="24" t="s">
        <v>1066</v>
      </c>
      <c r="F20" s="30" t="s">
        <v>2087</v>
      </c>
      <c r="G20" s="24" t="s">
        <v>665</v>
      </c>
      <c r="I20" s="24" t="s">
        <v>666</v>
      </c>
      <c r="J20" s="24" t="s">
        <v>1462</v>
      </c>
      <c r="K20" s="24" t="s">
        <v>583</v>
      </c>
    </row>
    <row r="21" spans="1:16">
      <c r="A21" s="162">
        <v>2200000000022</v>
      </c>
      <c r="B21" s="24" t="s">
        <v>665</v>
      </c>
      <c r="C21" s="24" t="s">
        <v>1066</v>
      </c>
      <c r="F21" s="30" t="s">
        <v>2087</v>
      </c>
      <c r="G21" s="24" t="s">
        <v>840</v>
      </c>
      <c r="I21" s="24" t="s">
        <v>666</v>
      </c>
      <c r="J21" s="24" t="s">
        <v>1462</v>
      </c>
    </row>
    <row r="22" spans="1:16">
      <c r="A22" s="162">
        <v>2200000000023</v>
      </c>
      <c r="B22" s="24" t="s">
        <v>665</v>
      </c>
      <c r="C22" s="24" t="s">
        <v>1066</v>
      </c>
      <c r="F22" s="30" t="s">
        <v>2087</v>
      </c>
      <c r="G22" s="24" t="s">
        <v>366</v>
      </c>
      <c r="I22" s="24" t="s">
        <v>666</v>
      </c>
      <c r="J22" s="24" t="s">
        <v>1462</v>
      </c>
      <c r="K22" s="24" t="s">
        <v>560</v>
      </c>
    </row>
    <row r="23" spans="1:16">
      <c r="A23" s="162">
        <v>2200000000024</v>
      </c>
      <c r="B23" s="24" t="s">
        <v>665</v>
      </c>
      <c r="C23" s="24" t="s">
        <v>1066</v>
      </c>
      <c r="F23" s="30" t="s">
        <v>2087</v>
      </c>
      <c r="G23" s="24" t="s">
        <v>366</v>
      </c>
      <c r="I23" s="24" t="s">
        <v>666</v>
      </c>
      <c r="J23" s="24" t="s">
        <v>1462</v>
      </c>
      <c r="K23" s="24" t="s">
        <v>567</v>
      </c>
    </row>
    <row r="24" spans="1:16">
      <c r="A24" s="162">
        <v>2200000000025</v>
      </c>
      <c r="B24" s="24" t="s">
        <v>665</v>
      </c>
      <c r="C24" s="24" t="s">
        <v>1066</v>
      </c>
      <c r="F24" s="30" t="s">
        <v>2087</v>
      </c>
      <c r="G24" s="24" t="s">
        <v>366</v>
      </c>
      <c r="I24" s="24" t="s">
        <v>666</v>
      </c>
      <c r="J24" s="24" t="s">
        <v>1462</v>
      </c>
      <c r="K24" s="24" t="s">
        <v>573</v>
      </c>
    </row>
    <row r="25" spans="1:16">
      <c r="A25" s="162">
        <v>2200000000026</v>
      </c>
      <c r="B25" s="24" t="s">
        <v>665</v>
      </c>
      <c r="C25" s="24" t="s">
        <v>1066</v>
      </c>
      <c r="F25" s="30" t="s">
        <v>2087</v>
      </c>
      <c r="G25" s="24" t="s">
        <v>366</v>
      </c>
      <c r="I25" s="24" t="s">
        <v>666</v>
      </c>
      <c r="J25" s="24" t="s">
        <v>1462</v>
      </c>
      <c r="K25" s="24" t="s">
        <v>576</v>
      </c>
    </row>
    <row r="26" spans="1:16">
      <c r="A26" s="162">
        <v>2200000000027</v>
      </c>
      <c r="B26" s="24" t="s">
        <v>665</v>
      </c>
      <c r="C26" s="24" t="s">
        <v>1066</v>
      </c>
      <c r="F26" s="30" t="s">
        <v>2087</v>
      </c>
      <c r="G26" s="24" t="s">
        <v>366</v>
      </c>
      <c r="I26" s="24" t="s">
        <v>666</v>
      </c>
      <c r="J26" s="24" t="s">
        <v>1462</v>
      </c>
      <c r="K26" s="24" t="s">
        <v>579</v>
      </c>
    </row>
    <row r="27" spans="1:16">
      <c r="A27" s="162">
        <v>2200000000028</v>
      </c>
      <c r="B27" s="24" t="s">
        <v>665</v>
      </c>
      <c r="C27" s="24" t="s">
        <v>1066</v>
      </c>
      <c r="F27" s="30" t="s">
        <v>2087</v>
      </c>
      <c r="G27" s="24" t="s">
        <v>366</v>
      </c>
      <c r="I27" s="24" t="s">
        <v>839</v>
      </c>
      <c r="J27" s="24" t="s">
        <v>1462</v>
      </c>
      <c r="K27" s="24" t="s">
        <v>583</v>
      </c>
    </row>
    <row r="28" spans="1:16">
      <c r="A28" s="162">
        <v>2200000000029</v>
      </c>
      <c r="B28" s="24" t="s">
        <v>664</v>
      </c>
      <c r="C28" s="24" t="s">
        <v>1066</v>
      </c>
      <c r="E28" s="24" t="s">
        <v>2640</v>
      </c>
      <c r="G28" s="24" t="s">
        <v>664</v>
      </c>
      <c r="I28" s="24" t="s">
        <v>762</v>
      </c>
      <c r="J28" s="24" t="s">
        <v>1462</v>
      </c>
      <c r="P28" s="24" t="b">
        <v>1</v>
      </c>
    </row>
    <row r="29" spans="1:16" ht="16.5">
      <c r="A29" s="162">
        <v>2200000000037</v>
      </c>
      <c r="B29" s="24" t="s">
        <v>833</v>
      </c>
      <c r="C29" s="24" t="s">
        <v>1066</v>
      </c>
      <c r="G29" s="24" t="s">
        <v>841</v>
      </c>
      <c r="I29" s="24" t="s">
        <v>937</v>
      </c>
      <c r="J29" s="24" t="s">
        <v>1462</v>
      </c>
      <c r="K29" s="24" t="s">
        <v>2105</v>
      </c>
      <c r="L29" s="24" t="s">
        <v>2105</v>
      </c>
      <c r="O29" t="s">
        <v>842</v>
      </c>
    </row>
    <row r="30" spans="1:16" ht="16.5">
      <c r="A30" s="162">
        <v>2200000000038</v>
      </c>
      <c r="B30" s="24" t="s">
        <v>833</v>
      </c>
      <c r="C30" s="24" t="s">
        <v>1066</v>
      </c>
      <c r="G30" s="24" t="s">
        <v>841</v>
      </c>
      <c r="I30" s="24" t="s">
        <v>937</v>
      </c>
      <c r="J30" s="24" t="s">
        <v>1462</v>
      </c>
      <c r="K30" s="24" t="s">
        <v>2768</v>
      </c>
      <c r="L30" s="24" t="s">
        <v>2769</v>
      </c>
      <c r="O30" t="s">
        <v>842</v>
      </c>
      <c r="P30"/>
    </row>
    <row r="31" spans="1:16" ht="16.5">
      <c r="A31" s="162">
        <v>2200000000039</v>
      </c>
      <c r="B31" s="24" t="s">
        <v>833</v>
      </c>
      <c r="C31" s="24" t="s">
        <v>1066</v>
      </c>
      <c r="G31" s="24" t="s">
        <v>841</v>
      </c>
      <c r="I31" s="24" t="s">
        <v>937</v>
      </c>
      <c r="J31" s="24" t="s">
        <v>1462</v>
      </c>
      <c r="K31" s="24" t="s">
        <v>2770</v>
      </c>
      <c r="L31" s="24" t="s">
        <v>2771</v>
      </c>
      <c r="O31" t="s">
        <v>842</v>
      </c>
      <c r="P31"/>
    </row>
    <row r="32" spans="1:16" ht="16.5">
      <c r="A32" s="162">
        <v>2200000000040</v>
      </c>
      <c r="B32" s="24" t="s">
        <v>833</v>
      </c>
      <c r="C32" s="24" t="s">
        <v>1066</v>
      </c>
      <c r="G32" s="24" t="s">
        <v>841</v>
      </c>
      <c r="I32" s="24" t="s">
        <v>937</v>
      </c>
      <c r="J32" s="24" t="s">
        <v>1462</v>
      </c>
      <c r="K32" s="24" t="s">
        <v>2772</v>
      </c>
      <c r="L32" s="24" t="s">
        <v>2773</v>
      </c>
      <c r="O32" t="s">
        <v>842</v>
      </c>
      <c r="P32"/>
    </row>
    <row r="33" spans="1:16" ht="16.5">
      <c r="A33" s="162">
        <v>2200000000041</v>
      </c>
      <c r="B33" s="24" t="s">
        <v>833</v>
      </c>
      <c r="C33" s="24" t="s">
        <v>1066</v>
      </c>
      <c r="G33" s="24" t="s">
        <v>366</v>
      </c>
      <c r="I33" s="24" t="s">
        <v>843</v>
      </c>
      <c r="J33" s="24" t="s">
        <v>1462</v>
      </c>
      <c r="K33" s="24" t="s">
        <v>2105</v>
      </c>
      <c r="L33" s="24" t="s">
        <v>2105</v>
      </c>
      <c r="O33" t="s">
        <v>842</v>
      </c>
    </row>
    <row r="34" spans="1:16" ht="16.5">
      <c r="A34" s="162">
        <v>2200000000042</v>
      </c>
      <c r="B34" s="24" t="s">
        <v>833</v>
      </c>
      <c r="C34" s="24" t="s">
        <v>1066</v>
      </c>
      <c r="G34" s="24" t="s">
        <v>366</v>
      </c>
      <c r="I34" s="24" t="s">
        <v>844</v>
      </c>
      <c r="J34" s="24" t="s">
        <v>1462</v>
      </c>
      <c r="K34" s="24" t="s">
        <v>2106</v>
      </c>
      <c r="L34" s="24" t="s">
        <v>2106</v>
      </c>
      <c r="O34" t="s">
        <v>842</v>
      </c>
    </row>
    <row r="35" spans="1:16" ht="16.5">
      <c r="A35" s="162">
        <v>2200000000043</v>
      </c>
      <c r="B35" s="24" t="s">
        <v>833</v>
      </c>
      <c r="C35" s="24" t="s">
        <v>1066</v>
      </c>
      <c r="G35" s="24" t="s">
        <v>366</v>
      </c>
      <c r="I35" s="24" t="s">
        <v>845</v>
      </c>
      <c r="J35" s="24" t="s">
        <v>1462</v>
      </c>
      <c r="K35" s="24" t="s">
        <v>2107</v>
      </c>
      <c r="L35" s="24" t="s">
        <v>2107</v>
      </c>
      <c r="O35" t="s">
        <v>842</v>
      </c>
    </row>
    <row r="36" spans="1:16" ht="16.5">
      <c r="A36" s="162">
        <v>2200000000044</v>
      </c>
      <c r="B36" s="24" t="s">
        <v>833</v>
      </c>
      <c r="C36" s="24" t="s">
        <v>1066</v>
      </c>
      <c r="G36" s="24" t="s">
        <v>366</v>
      </c>
      <c r="I36" s="24" t="s">
        <v>846</v>
      </c>
      <c r="J36" s="24" t="s">
        <v>1462</v>
      </c>
      <c r="K36" s="24" t="s">
        <v>2108</v>
      </c>
      <c r="L36" s="24" t="s">
        <v>2108</v>
      </c>
      <c r="O36" t="s">
        <v>842</v>
      </c>
    </row>
    <row r="37" spans="1:16">
      <c r="A37" s="162">
        <v>2200000000045</v>
      </c>
      <c r="B37" s="24" t="s">
        <v>852</v>
      </c>
      <c r="C37" s="24" t="s">
        <v>1066</v>
      </c>
      <c r="E37" s="24" t="s">
        <v>649</v>
      </c>
      <c r="G37" s="24" t="s">
        <v>989</v>
      </c>
      <c r="I37" s="24" t="s">
        <v>997</v>
      </c>
      <c r="J37" s="24" t="s">
        <v>1462</v>
      </c>
    </row>
    <row r="38" spans="1:16">
      <c r="A38" s="187">
        <v>2200000000046</v>
      </c>
      <c r="B38" s="24" t="s">
        <v>664</v>
      </c>
      <c r="C38" s="24" t="s">
        <v>994</v>
      </c>
      <c r="F38" s="116" t="s">
        <v>2948</v>
      </c>
      <c r="G38" s="24" t="s">
        <v>759</v>
      </c>
      <c r="I38" s="24" t="s">
        <v>916</v>
      </c>
      <c r="J38" s="24" t="s">
        <v>1462</v>
      </c>
      <c r="P38" s="24" t="b">
        <v>1</v>
      </c>
    </row>
    <row r="39" spans="1:16">
      <c r="A39" s="187">
        <v>2200000000047</v>
      </c>
      <c r="B39" s="24" t="s">
        <v>664</v>
      </c>
      <c r="C39" s="24" t="s">
        <v>1008</v>
      </c>
      <c r="G39" s="24" t="s">
        <v>759</v>
      </c>
      <c r="I39" s="24" t="s">
        <v>933</v>
      </c>
      <c r="J39" s="24" t="s">
        <v>1462</v>
      </c>
      <c r="P39" s="24" t="b">
        <v>1</v>
      </c>
    </row>
    <row r="40" spans="1:16">
      <c r="A40" s="187">
        <v>2200000000048</v>
      </c>
      <c r="B40" s="24" t="s">
        <v>664</v>
      </c>
      <c r="C40" s="24" t="s">
        <v>1009</v>
      </c>
      <c r="G40" s="24" t="s">
        <v>759</v>
      </c>
      <c r="I40" s="24" t="s">
        <v>933</v>
      </c>
      <c r="J40" s="24" t="s">
        <v>1462</v>
      </c>
      <c r="P40" s="24" t="b">
        <v>1</v>
      </c>
    </row>
    <row r="41" spans="1:16">
      <c r="A41" s="162">
        <v>2200000000049</v>
      </c>
      <c r="B41" s="24" t="s">
        <v>852</v>
      </c>
      <c r="C41" s="24" t="s">
        <v>1066</v>
      </c>
      <c r="G41" s="24" t="s">
        <v>989</v>
      </c>
      <c r="I41" s="24" t="s">
        <v>998</v>
      </c>
      <c r="J41" s="24" t="s">
        <v>1462</v>
      </c>
    </row>
    <row r="42" spans="1:16">
      <c r="A42" s="187">
        <v>2200000000050</v>
      </c>
      <c r="B42" s="24" t="s">
        <v>664</v>
      </c>
      <c r="C42" s="24" t="s">
        <v>994</v>
      </c>
      <c r="F42" s="116" t="s">
        <v>2165</v>
      </c>
      <c r="G42" s="24" t="s">
        <v>759</v>
      </c>
      <c r="I42" s="24" t="s">
        <v>916</v>
      </c>
      <c r="J42" s="24" t="s">
        <v>1462</v>
      </c>
      <c r="P42" s="24" t="b">
        <v>1</v>
      </c>
    </row>
    <row r="43" spans="1:16">
      <c r="A43" s="187">
        <v>2200000000051</v>
      </c>
      <c r="B43" s="24" t="s">
        <v>1018</v>
      </c>
      <c r="C43" s="24" t="s">
        <v>1066</v>
      </c>
      <c r="G43" s="24" t="s">
        <v>1018</v>
      </c>
      <c r="I43" s="24" t="s">
        <v>1068</v>
      </c>
      <c r="J43" s="24" t="s">
        <v>1462</v>
      </c>
    </row>
    <row r="44" spans="1:16">
      <c r="A44" s="187">
        <v>2200000000052</v>
      </c>
      <c r="B44" s="24" t="s">
        <v>1030</v>
      </c>
      <c r="C44" s="24" t="s">
        <v>1066</v>
      </c>
      <c r="G44" s="24" t="s">
        <v>1030</v>
      </c>
      <c r="I44" s="24" t="s">
        <v>1029</v>
      </c>
      <c r="J44" s="24" t="s">
        <v>1462</v>
      </c>
    </row>
    <row r="45" spans="1:16" ht="16.5">
      <c r="A45" s="187">
        <v>2211000000001</v>
      </c>
      <c r="B45" s="24" t="s">
        <v>989</v>
      </c>
      <c r="C45" s="24" t="s">
        <v>1066</v>
      </c>
      <c r="E45" s="24" t="s">
        <v>649</v>
      </c>
      <c r="F45" s="116" t="s">
        <v>1519</v>
      </c>
      <c r="G45" s="24" t="s">
        <v>838</v>
      </c>
      <c r="I45" s="24" t="s">
        <v>1067</v>
      </c>
      <c r="J45" t="s">
        <v>1922</v>
      </c>
    </row>
    <row r="46" spans="1:16">
      <c r="A46" s="187">
        <v>2211000000002</v>
      </c>
      <c r="B46" s="24" t="s">
        <v>989</v>
      </c>
      <c r="C46" s="24" t="s">
        <v>1066</v>
      </c>
      <c r="E46" s="24" t="s">
        <v>649</v>
      </c>
      <c r="F46" s="30" t="s">
        <v>2977</v>
      </c>
      <c r="G46" s="24" t="s">
        <v>838</v>
      </c>
      <c r="I46" s="24" t="s">
        <v>1067</v>
      </c>
      <c r="J46" s="24" t="s">
        <v>1462</v>
      </c>
    </row>
    <row r="47" spans="1:16">
      <c r="A47" s="187">
        <v>2211000000003</v>
      </c>
      <c r="B47" s="24" t="s">
        <v>989</v>
      </c>
      <c r="C47" s="24" t="s">
        <v>1066</v>
      </c>
      <c r="E47" s="24" t="s">
        <v>649</v>
      </c>
      <c r="F47" s="30" t="s">
        <v>2978</v>
      </c>
      <c r="G47" s="24" t="s">
        <v>838</v>
      </c>
      <c r="I47" s="24" t="s">
        <v>1067</v>
      </c>
      <c r="J47" s="24" t="s">
        <v>1462</v>
      </c>
    </row>
    <row r="48" spans="1:16">
      <c r="A48" s="187">
        <f>A47+1</f>
        <v>2211000000004</v>
      </c>
      <c r="B48" s="24" t="s">
        <v>989</v>
      </c>
      <c r="C48" s="24" t="s">
        <v>1066</v>
      </c>
      <c r="E48" s="24" t="s">
        <v>649</v>
      </c>
      <c r="F48" s="30" t="s">
        <v>2979</v>
      </c>
      <c r="G48" s="24" t="s">
        <v>838</v>
      </c>
      <c r="I48" s="24" t="s">
        <v>1067</v>
      </c>
      <c r="J48" s="24" t="s">
        <v>1462</v>
      </c>
    </row>
    <row r="49" spans="1:16">
      <c r="A49" s="187">
        <f>A48+1</f>
        <v>2211000000005</v>
      </c>
      <c r="B49" s="24" t="s">
        <v>989</v>
      </c>
      <c r="C49" s="24" t="s">
        <v>1066</v>
      </c>
      <c r="E49" s="24" t="s">
        <v>649</v>
      </c>
      <c r="F49" s="30" t="s">
        <v>2980</v>
      </c>
      <c r="G49" s="24" t="s">
        <v>838</v>
      </c>
      <c r="I49" s="24" t="s">
        <v>1067</v>
      </c>
      <c r="J49" s="24" t="s">
        <v>1462</v>
      </c>
    </row>
    <row r="50" spans="1:16">
      <c r="A50" s="187">
        <f>A49+1</f>
        <v>2211000000006</v>
      </c>
      <c r="B50" s="24" t="s">
        <v>989</v>
      </c>
      <c r="C50" s="24" t="s">
        <v>1066</v>
      </c>
      <c r="E50" s="24" t="s">
        <v>649</v>
      </c>
      <c r="F50" s="30" t="s">
        <v>2977</v>
      </c>
      <c r="G50" s="24" t="s">
        <v>838</v>
      </c>
      <c r="I50" s="24" t="s">
        <v>1067</v>
      </c>
      <c r="J50" s="24" t="s">
        <v>1462</v>
      </c>
    </row>
    <row r="51" spans="1:16">
      <c r="A51" s="187">
        <v>2212000000001</v>
      </c>
      <c r="B51" s="24" t="s">
        <v>1212</v>
      </c>
      <c r="C51" s="24" t="s">
        <v>1276</v>
      </c>
      <c r="D51" s="24" t="b">
        <v>1</v>
      </c>
      <c r="E51" s="24" t="s">
        <v>656</v>
      </c>
      <c r="G51" s="24" t="s">
        <v>989</v>
      </c>
      <c r="I51" s="24" t="s">
        <v>657</v>
      </c>
      <c r="J51" s="24" t="s">
        <v>1462</v>
      </c>
    </row>
    <row r="52" spans="1:16">
      <c r="A52" s="187">
        <v>2200000000053</v>
      </c>
      <c r="B52" s="24" t="s">
        <v>664</v>
      </c>
      <c r="C52" s="24" t="s">
        <v>994</v>
      </c>
      <c r="F52" s="30" t="s">
        <v>2982</v>
      </c>
      <c r="G52" s="24" t="s">
        <v>759</v>
      </c>
      <c r="I52" s="24" t="s">
        <v>916</v>
      </c>
      <c r="J52" s="24" t="s">
        <v>1462</v>
      </c>
      <c r="P52" s="24" t="b">
        <v>1</v>
      </c>
    </row>
    <row r="53" spans="1:16">
      <c r="A53" s="187">
        <v>2200000000054</v>
      </c>
      <c r="B53" s="24" t="s">
        <v>664</v>
      </c>
      <c r="C53" s="24" t="s">
        <v>994</v>
      </c>
      <c r="F53" s="30" t="s">
        <v>1524</v>
      </c>
      <c r="G53" s="24" t="s">
        <v>759</v>
      </c>
      <c r="I53" s="24" t="s">
        <v>916</v>
      </c>
      <c r="J53" s="24" t="s">
        <v>1462</v>
      </c>
      <c r="P53" s="24" t="b">
        <v>1</v>
      </c>
    </row>
    <row r="54" spans="1:16">
      <c r="A54" s="187">
        <v>2200000000055</v>
      </c>
      <c r="B54" s="24" t="s">
        <v>664</v>
      </c>
      <c r="C54" s="24" t="s">
        <v>994</v>
      </c>
      <c r="F54" s="30" t="s">
        <v>1525</v>
      </c>
      <c r="G54" s="24" t="s">
        <v>759</v>
      </c>
      <c r="I54" s="24" t="s">
        <v>916</v>
      </c>
      <c r="J54" s="24" t="s">
        <v>1462</v>
      </c>
      <c r="P54" s="24" t="b">
        <v>1</v>
      </c>
    </row>
    <row r="55" spans="1:16">
      <c r="A55" s="187">
        <v>2200000000056</v>
      </c>
      <c r="B55" s="24" t="s">
        <v>2166</v>
      </c>
      <c r="C55" s="24" t="s">
        <v>1276</v>
      </c>
      <c r="E55" s="24" t="s">
        <v>2640</v>
      </c>
      <c r="G55" s="24" t="s">
        <v>2167</v>
      </c>
      <c r="I55" s="24" t="s">
        <v>916</v>
      </c>
      <c r="J55" s="24" t="s">
        <v>1462</v>
      </c>
      <c r="P55" s="24" t="b">
        <v>1</v>
      </c>
    </row>
    <row r="56" spans="1:16">
      <c r="A56" s="187">
        <v>2200000000057</v>
      </c>
      <c r="B56" s="24" t="s">
        <v>664</v>
      </c>
      <c r="C56" s="24" t="s">
        <v>994</v>
      </c>
      <c r="F56" s="30" t="s">
        <v>3172</v>
      </c>
      <c r="G56" s="24" t="s">
        <v>759</v>
      </c>
      <c r="I56" s="24" t="s">
        <v>916</v>
      </c>
      <c r="J56" s="24" t="s">
        <v>1462</v>
      </c>
      <c r="P56" s="24" t="b">
        <v>1</v>
      </c>
    </row>
    <row r="57" spans="1:16">
      <c r="A57" s="187">
        <v>2200000000058</v>
      </c>
      <c r="B57" s="24" t="s">
        <v>664</v>
      </c>
      <c r="C57" s="24" t="s">
        <v>994</v>
      </c>
      <c r="F57" s="30" t="s">
        <v>3171</v>
      </c>
      <c r="G57" s="24" t="s">
        <v>759</v>
      </c>
      <c r="I57" s="24" t="s">
        <v>916</v>
      </c>
      <c r="J57" s="24" t="s">
        <v>1462</v>
      </c>
      <c r="P57" s="24" t="b">
        <v>1</v>
      </c>
    </row>
    <row r="58" spans="1:16">
      <c r="A58" s="187">
        <v>2221000000001</v>
      </c>
      <c r="B58" s="24" t="s">
        <v>989</v>
      </c>
      <c r="C58" s="24" t="s">
        <v>1066</v>
      </c>
      <c r="E58" s="24" t="s">
        <v>649</v>
      </c>
      <c r="F58" s="30" t="s">
        <v>1520</v>
      </c>
      <c r="G58" s="154" t="s">
        <v>838</v>
      </c>
      <c r="H58" s="154"/>
      <c r="I58" s="24" t="s">
        <v>1290</v>
      </c>
      <c r="J58" s="24" t="s">
        <v>2438</v>
      </c>
      <c r="M58" s="24" t="s">
        <v>3189</v>
      </c>
    </row>
    <row r="59" spans="1:16">
      <c r="A59" s="187">
        <v>2221000000004</v>
      </c>
      <c r="B59" s="24" t="s">
        <v>989</v>
      </c>
      <c r="C59" s="24" t="s">
        <v>1066</v>
      </c>
      <c r="F59" s="30" t="s">
        <v>1520</v>
      </c>
      <c r="G59" s="154" t="s">
        <v>838</v>
      </c>
      <c r="H59" s="154"/>
      <c r="I59" s="24" t="s">
        <v>3524</v>
      </c>
      <c r="J59" s="24" t="s">
        <v>2438</v>
      </c>
      <c r="M59" s="24" t="s">
        <v>3189</v>
      </c>
    </row>
    <row r="60" spans="1:16">
      <c r="A60" s="187">
        <v>2221000000002</v>
      </c>
      <c r="B60" s="24" t="s">
        <v>1427</v>
      </c>
      <c r="C60" s="24" t="s">
        <v>1066</v>
      </c>
      <c r="E60" s="24" t="s">
        <v>649</v>
      </c>
      <c r="F60" s="30" t="s">
        <v>1521</v>
      </c>
      <c r="G60" s="154" t="s">
        <v>838</v>
      </c>
      <c r="H60" s="154"/>
      <c r="I60" s="24" t="s">
        <v>1428</v>
      </c>
      <c r="J60" s="24" t="s">
        <v>2438</v>
      </c>
      <c r="M60" s="24" t="s">
        <v>3189</v>
      </c>
    </row>
    <row r="61" spans="1:16">
      <c r="A61" s="187">
        <v>2221000000003</v>
      </c>
      <c r="B61" s="24" t="s">
        <v>1427</v>
      </c>
      <c r="C61" s="24" t="s">
        <v>1066</v>
      </c>
      <c r="E61" s="24" t="s">
        <v>649</v>
      </c>
      <c r="F61" s="30" t="s">
        <v>3815</v>
      </c>
      <c r="G61" s="154" t="s">
        <v>838</v>
      </c>
      <c r="H61" s="154"/>
      <c r="I61" s="24" t="s">
        <v>1428</v>
      </c>
      <c r="J61" s="24" t="s">
        <v>2438</v>
      </c>
      <c r="M61" s="24" t="s">
        <v>3189</v>
      </c>
    </row>
    <row r="62" spans="1:16">
      <c r="A62" s="187">
        <v>2231000000001</v>
      </c>
      <c r="B62" s="24" t="s">
        <v>989</v>
      </c>
      <c r="C62" s="24" t="s">
        <v>1066</v>
      </c>
      <c r="F62" s="260" t="s">
        <v>1522</v>
      </c>
      <c r="G62" s="154" t="s">
        <v>838</v>
      </c>
      <c r="H62" s="154"/>
      <c r="I62" s="24" t="s">
        <v>1369</v>
      </c>
      <c r="J62" s="24" t="s">
        <v>1462</v>
      </c>
    </row>
    <row r="63" spans="1:16">
      <c r="A63" s="187">
        <v>2231000000002</v>
      </c>
      <c r="B63" s="24" t="s">
        <v>989</v>
      </c>
      <c r="C63" s="24" t="s">
        <v>1066</v>
      </c>
      <c r="F63" s="215" t="s">
        <v>1465</v>
      </c>
      <c r="G63" s="154" t="s">
        <v>838</v>
      </c>
      <c r="H63" s="154"/>
      <c r="I63" s="24" t="s">
        <v>1369</v>
      </c>
      <c r="J63" s="24" t="s">
        <v>1462</v>
      </c>
    </row>
    <row r="64" spans="1:16">
      <c r="A64" s="187">
        <v>2231000000003</v>
      </c>
      <c r="B64" s="24" t="s">
        <v>1529</v>
      </c>
      <c r="C64" s="24" t="s">
        <v>1066</v>
      </c>
      <c r="F64" s="215" t="s">
        <v>3159</v>
      </c>
      <c r="G64" s="24" t="s">
        <v>989</v>
      </c>
      <c r="H64" s="24" t="s">
        <v>2759</v>
      </c>
      <c r="I64" s="24" t="s">
        <v>1369</v>
      </c>
      <c r="J64" s="24" t="s">
        <v>1462</v>
      </c>
    </row>
    <row r="65" spans="1:13">
      <c r="A65" s="187">
        <v>2200000000011</v>
      </c>
      <c r="B65" s="24" t="s">
        <v>1923</v>
      </c>
      <c r="C65" s="24" t="s">
        <v>1066</v>
      </c>
      <c r="I65" s="24" t="s">
        <v>1369</v>
      </c>
      <c r="J65" s="24" t="s">
        <v>1462</v>
      </c>
    </row>
    <row r="66" spans="1:13">
      <c r="A66" s="162">
        <v>2200000000012</v>
      </c>
      <c r="B66" s="24" t="s">
        <v>1530</v>
      </c>
      <c r="C66" s="24" t="s">
        <v>3531</v>
      </c>
      <c r="G66" s="24" t="s">
        <v>1530</v>
      </c>
      <c r="I66" s="24" t="s">
        <v>303</v>
      </c>
      <c r="J66" s="24" t="s">
        <v>1462</v>
      </c>
    </row>
    <row r="67" spans="1:13">
      <c r="A67" s="187">
        <v>2241000000001</v>
      </c>
      <c r="B67" s="24" t="s">
        <v>989</v>
      </c>
      <c r="C67" s="24" t="s">
        <v>1066</v>
      </c>
      <c r="E67" s="24" t="s">
        <v>649</v>
      </c>
      <c r="F67" s="215" t="s">
        <v>3680</v>
      </c>
      <c r="G67" s="24" t="s">
        <v>838</v>
      </c>
      <c r="I67" s="24" t="s">
        <v>3191</v>
      </c>
      <c r="J67" s="24" t="s">
        <v>3199</v>
      </c>
      <c r="M67" s="24" t="s">
        <v>3189</v>
      </c>
    </row>
    <row r="68" spans="1:13">
      <c r="A68" s="187">
        <v>2231000000004</v>
      </c>
      <c r="B68" s="24" t="s">
        <v>3209</v>
      </c>
      <c r="C68" s="24" t="s">
        <v>3210</v>
      </c>
      <c r="F68" s="215" t="s">
        <v>3211</v>
      </c>
      <c r="G68" s="24" t="s">
        <v>3212</v>
      </c>
      <c r="I68" s="24" t="s">
        <v>3213</v>
      </c>
      <c r="J68" s="24" t="s">
        <v>3214</v>
      </c>
    </row>
    <row r="69" spans="1:13">
      <c r="A69" s="187">
        <v>2231000000005</v>
      </c>
      <c r="B69" s="24" t="s">
        <v>3209</v>
      </c>
      <c r="C69" s="24" t="s">
        <v>3210</v>
      </c>
      <c r="F69" s="215" t="s">
        <v>3215</v>
      </c>
      <c r="G69" s="24" t="s">
        <v>3212</v>
      </c>
      <c r="I69" s="24" t="s">
        <v>3216</v>
      </c>
      <c r="J69" s="24" t="s">
        <v>3905</v>
      </c>
    </row>
    <row r="70" spans="1:13">
      <c r="A70" s="187">
        <v>2231000000006</v>
      </c>
      <c r="B70" s="24" t="s">
        <v>3209</v>
      </c>
      <c r="C70" s="24" t="s">
        <v>3210</v>
      </c>
      <c r="F70" s="215" t="s">
        <v>3217</v>
      </c>
      <c r="G70" s="24" t="s">
        <v>3212</v>
      </c>
      <c r="I70" s="24" t="s">
        <v>3218</v>
      </c>
      <c r="J70" s="24" t="s">
        <v>3214</v>
      </c>
    </row>
    <row r="71" spans="1:13">
      <c r="A71" s="187">
        <v>2231000000007</v>
      </c>
      <c r="B71" s="24" t="s">
        <v>3209</v>
      </c>
      <c r="C71" s="24" t="s">
        <v>3210</v>
      </c>
      <c r="F71" s="215" t="s">
        <v>3217</v>
      </c>
      <c r="G71" s="24" t="s">
        <v>3212</v>
      </c>
      <c r="I71" s="24" t="s">
        <v>3219</v>
      </c>
      <c r="J71" s="24" t="s">
        <v>3214</v>
      </c>
      <c r="M71" s="24" t="s">
        <v>3220</v>
      </c>
    </row>
    <row r="72" spans="1:13">
      <c r="A72" s="187">
        <v>2231000000008</v>
      </c>
      <c r="B72" s="24" t="s">
        <v>3135</v>
      </c>
      <c r="C72" s="24" t="s">
        <v>3210</v>
      </c>
      <c r="F72" s="215" t="s">
        <v>3221</v>
      </c>
      <c r="G72" s="24" t="s">
        <v>3212</v>
      </c>
      <c r="I72" s="24" t="s">
        <v>3222</v>
      </c>
      <c r="J72" s="24" t="s">
        <v>3214</v>
      </c>
    </row>
    <row r="73" spans="1:13">
      <c r="A73" s="187">
        <v>2231000000009</v>
      </c>
      <c r="B73" s="24" t="s">
        <v>3135</v>
      </c>
      <c r="C73" s="24" t="s">
        <v>3210</v>
      </c>
      <c r="F73" s="215" t="s">
        <v>3221</v>
      </c>
      <c r="G73" s="24" t="s">
        <v>3212</v>
      </c>
      <c r="I73" s="24" t="s">
        <v>3223</v>
      </c>
      <c r="J73" s="24" t="s">
        <v>3214</v>
      </c>
      <c r="M73" s="24" t="s">
        <v>3224</v>
      </c>
    </row>
    <row r="74" spans="1:13" s="333" customFormat="1">
      <c r="A74" s="332">
        <v>2231000000010</v>
      </c>
      <c r="B74" s="333" t="s">
        <v>989</v>
      </c>
      <c r="C74" s="333" t="s">
        <v>1066</v>
      </c>
      <c r="F74" s="334" t="s">
        <v>3761</v>
      </c>
      <c r="G74" s="333" t="s">
        <v>838</v>
      </c>
      <c r="I74" s="333" t="s">
        <v>3762</v>
      </c>
      <c r="J74" s="333" t="s">
        <v>3214</v>
      </c>
    </row>
    <row r="75" spans="1:13" s="333" customFormat="1">
      <c r="A75" s="332">
        <v>2231000000011</v>
      </c>
      <c r="B75" s="333" t="s">
        <v>989</v>
      </c>
      <c r="C75" s="333" t="s">
        <v>1066</v>
      </c>
      <c r="F75" s="334" t="s">
        <v>3761</v>
      </c>
      <c r="G75" s="333" t="s">
        <v>838</v>
      </c>
      <c r="I75" s="333" t="s">
        <v>3763</v>
      </c>
      <c r="J75" s="333" t="s">
        <v>3214</v>
      </c>
      <c r="M75" s="333" t="s">
        <v>3764</v>
      </c>
    </row>
    <row r="76" spans="1:13" s="333" customFormat="1">
      <c r="A76" s="332">
        <v>2231000000012</v>
      </c>
      <c r="B76" s="333" t="s">
        <v>3806</v>
      </c>
      <c r="C76" s="333" t="s">
        <v>1066</v>
      </c>
      <c r="F76" s="334" t="s">
        <v>3761</v>
      </c>
      <c r="I76" s="333" t="s">
        <v>3763</v>
      </c>
      <c r="J76" s="333" t="s">
        <v>3214</v>
      </c>
    </row>
    <row r="77" spans="1:13" s="333" customFormat="1">
      <c r="A77" s="332">
        <v>2231000000013</v>
      </c>
      <c r="B77" s="333" t="s">
        <v>3811</v>
      </c>
      <c r="C77" s="333" t="s">
        <v>1066</v>
      </c>
      <c r="F77" s="334" t="s">
        <v>3812</v>
      </c>
      <c r="I77" s="333" t="s">
        <v>3763</v>
      </c>
      <c r="J77" s="333" t="s">
        <v>3214</v>
      </c>
    </row>
    <row r="78" spans="1:13" s="333" customFormat="1">
      <c r="A78" s="332">
        <v>2231000000014</v>
      </c>
      <c r="B78" s="333" t="s">
        <v>989</v>
      </c>
      <c r="C78" s="333" t="s">
        <v>1066</v>
      </c>
      <c r="F78" s="334" t="s">
        <v>3893</v>
      </c>
      <c r="G78" s="333" t="s">
        <v>838</v>
      </c>
      <c r="I78" s="333" t="s">
        <v>3894</v>
      </c>
      <c r="J78" s="333" t="s">
        <v>3214</v>
      </c>
    </row>
    <row r="79" spans="1:13" s="333" customFormat="1">
      <c r="A79" s="332">
        <v>2231000000015</v>
      </c>
      <c r="B79" s="333" t="s">
        <v>989</v>
      </c>
      <c r="C79" s="333" t="s">
        <v>1066</v>
      </c>
      <c r="F79" s="334" t="s">
        <v>3893</v>
      </c>
      <c r="G79" s="333" t="s">
        <v>838</v>
      </c>
      <c r="I79" s="333" t="s">
        <v>3895</v>
      </c>
      <c r="J79" s="333" t="s">
        <v>3214</v>
      </c>
      <c r="M79" s="333" t="s">
        <v>3896</v>
      </c>
    </row>
    <row r="80" spans="1:13" s="333" customFormat="1">
      <c r="A80" s="332">
        <v>2231000000016</v>
      </c>
      <c r="B80" s="333" t="s">
        <v>3811</v>
      </c>
      <c r="C80" s="333" t="s">
        <v>1066</v>
      </c>
      <c r="F80" s="334" t="s">
        <v>3893</v>
      </c>
      <c r="I80" s="333" t="s">
        <v>3763</v>
      </c>
      <c r="J80" s="333" t="s">
        <v>3214</v>
      </c>
    </row>
    <row r="81" spans="1:16">
      <c r="A81" s="162">
        <v>2200000000030</v>
      </c>
      <c r="B81" s="24" t="s">
        <v>1530</v>
      </c>
      <c r="C81" s="24" t="s">
        <v>3210</v>
      </c>
      <c r="F81" s="215" t="s">
        <v>3221</v>
      </c>
      <c r="G81" s="24" t="s">
        <v>1530</v>
      </c>
      <c r="I81" s="24" t="s">
        <v>303</v>
      </c>
      <c r="J81" s="24" t="s">
        <v>1462</v>
      </c>
    </row>
    <row r="82" spans="1:16">
      <c r="A82" s="162">
        <v>2200000000031</v>
      </c>
      <c r="B82" s="24" t="s">
        <v>1530</v>
      </c>
      <c r="C82" s="24" t="s">
        <v>3604</v>
      </c>
      <c r="F82" s="215"/>
      <c r="G82" s="24" t="s">
        <v>1530</v>
      </c>
      <c r="I82" s="24" t="s">
        <v>3904</v>
      </c>
      <c r="J82" s="24" t="s">
        <v>3605</v>
      </c>
    </row>
    <row r="83" spans="1:16">
      <c r="A83" s="162">
        <v>2200000000032</v>
      </c>
      <c r="B83" s="24" t="s">
        <v>989</v>
      </c>
      <c r="C83" s="24" t="s">
        <v>1276</v>
      </c>
      <c r="F83" s="215" t="s">
        <v>3723</v>
      </c>
      <c r="G83" s="24" t="s">
        <v>838</v>
      </c>
      <c r="I83" s="24" t="s">
        <v>3607</v>
      </c>
      <c r="J83" s="24" t="s">
        <v>3214</v>
      </c>
    </row>
    <row r="84" spans="1:16">
      <c r="A84" s="162">
        <v>2200000000033</v>
      </c>
      <c r="B84" s="24" t="s">
        <v>1530</v>
      </c>
      <c r="C84" s="24" t="s">
        <v>1066</v>
      </c>
      <c r="F84" s="215" t="s">
        <v>3761</v>
      </c>
      <c r="G84" s="24" t="s">
        <v>1530</v>
      </c>
      <c r="I84" s="24" t="s">
        <v>303</v>
      </c>
      <c r="J84" s="24" t="s">
        <v>1462</v>
      </c>
    </row>
    <row r="85" spans="1:16">
      <c r="A85" s="162">
        <v>2200000000034</v>
      </c>
      <c r="B85" s="24" t="s">
        <v>1530</v>
      </c>
      <c r="C85" s="24" t="s">
        <v>1066</v>
      </c>
      <c r="F85" s="215" t="s">
        <v>3897</v>
      </c>
      <c r="G85" s="24" t="s">
        <v>1530</v>
      </c>
      <c r="I85" s="24" t="s">
        <v>303</v>
      </c>
      <c r="J85" s="24" t="s">
        <v>1462</v>
      </c>
    </row>
    <row r="86" spans="1:16">
      <c r="A86" s="187">
        <v>2200000000059</v>
      </c>
      <c r="B86" s="24" t="s">
        <v>664</v>
      </c>
      <c r="C86" s="24" t="s">
        <v>994</v>
      </c>
      <c r="F86" s="30" t="s">
        <v>3676</v>
      </c>
      <c r="G86" s="24" t="s">
        <v>3677</v>
      </c>
      <c r="I86" s="24" t="s">
        <v>916</v>
      </c>
      <c r="J86" s="24" t="s">
        <v>3678</v>
      </c>
      <c r="P86" s="24" t="b">
        <v>1</v>
      </c>
    </row>
    <row r="87" spans="1:16" s="154" customFormat="1">
      <c r="A87" s="335">
        <v>2251000000001</v>
      </c>
      <c r="B87" s="154" t="s">
        <v>989</v>
      </c>
      <c r="C87" s="154" t="s">
        <v>1066</v>
      </c>
      <c r="E87" s="154" t="s">
        <v>649</v>
      </c>
      <c r="F87" s="336" t="s">
        <v>3816</v>
      </c>
      <c r="G87" s="154" t="s">
        <v>838</v>
      </c>
      <c r="I87" s="154" t="s">
        <v>3817</v>
      </c>
      <c r="J87" s="154" t="s">
        <v>3906</v>
      </c>
      <c r="M87" s="154" t="s">
        <v>3189</v>
      </c>
    </row>
  </sheetData>
  <phoneticPr fontId="4" type="noConversion"/>
  <conditionalFormatting sqref="A59">
    <cfRule type="duplicateValues" dxfId="13" priority="1"/>
  </conditionalFormatting>
  <pageMargins left="0.75" right="0.75" top="1" bottom="1" header="0.5" footer="0.5"/>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106"/>
  <sheetViews>
    <sheetView topLeftCell="A84" workbookViewId="0">
      <selection activeCell="E104" sqref="E104"/>
    </sheetView>
  </sheetViews>
  <sheetFormatPr defaultRowHeight="13.5"/>
  <cols>
    <col min="1" max="1" width="31.125" style="10" bestFit="1" customWidth="1"/>
    <col min="2" max="2" width="22.625" style="10" bestFit="1" customWidth="1"/>
    <col min="3" max="3" width="19.375" style="10" bestFit="1" customWidth="1"/>
    <col min="4" max="4" width="20" style="10" bestFit="1" customWidth="1"/>
    <col min="5" max="5" width="32.125" style="10" bestFit="1" customWidth="1"/>
    <col min="6" max="6" width="37.625" style="10" bestFit="1" customWidth="1"/>
    <col min="7" max="16384" width="9" style="10"/>
  </cols>
  <sheetData>
    <row r="1" spans="1:6">
      <c r="A1" s="181" t="s">
        <v>910</v>
      </c>
      <c r="B1" s="181" t="s">
        <v>911</v>
      </c>
      <c r="C1" s="181" t="s">
        <v>912</v>
      </c>
      <c r="D1" s="181" t="s">
        <v>913</v>
      </c>
      <c r="E1" s="181" t="s">
        <v>1121</v>
      </c>
      <c r="F1" s="181" t="s">
        <v>1132</v>
      </c>
    </row>
    <row r="2" spans="1:6">
      <c r="A2" s="29" t="s">
        <v>0</v>
      </c>
      <c r="B2" s="29" t="s">
        <v>635</v>
      </c>
      <c r="C2" s="29" t="s">
        <v>668</v>
      </c>
      <c r="D2" s="29" t="s">
        <v>669</v>
      </c>
      <c r="E2" s="181" t="s">
        <v>1123</v>
      </c>
      <c r="F2" s="181" t="s">
        <v>1122</v>
      </c>
    </row>
    <row r="3" spans="1:6">
      <c r="A3" s="29" t="s">
        <v>2</v>
      </c>
      <c r="B3" s="29" t="s">
        <v>670</v>
      </c>
      <c r="C3" s="29" t="s">
        <v>671</v>
      </c>
      <c r="D3" s="29" t="s">
        <v>672</v>
      </c>
      <c r="E3" s="181" t="s">
        <v>1122</v>
      </c>
      <c r="F3" s="181" t="s">
        <v>1123</v>
      </c>
    </row>
    <row r="4" spans="1:6">
      <c r="A4" s="29" t="s">
        <v>328</v>
      </c>
      <c r="B4" s="29" t="s">
        <v>328</v>
      </c>
      <c r="C4" s="29" t="s">
        <v>328</v>
      </c>
      <c r="D4" s="29" t="s">
        <v>328</v>
      </c>
      <c r="E4" s="181" t="s">
        <v>1123</v>
      </c>
      <c r="F4" s="181" t="s">
        <v>1122</v>
      </c>
    </row>
    <row r="5" spans="1:6">
      <c r="A5" s="10" t="s">
        <v>1147</v>
      </c>
      <c r="B5" s="10" t="s">
        <v>370</v>
      </c>
      <c r="C5" s="10" t="s">
        <v>677</v>
      </c>
      <c r="D5" s="10" t="s">
        <v>675</v>
      </c>
    </row>
    <row r="6" spans="1:6">
      <c r="A6" s="10" t="s">
        <v>692</v>
      </c>
      <c r="B6" s="10" t="s">
        <v>693</v>
      </c>
      <c r="C6" s="10" t="s">
        <v>677</v>
      </c>
      <c r="D6" s="10" t="s">
        <v>675</v>
      </c>
    </row>
    <row r="7" spans="1:6">
      <c r="A7" s="10" t="s">
        <v>1151</v>
      </c>
      <c r="B7" s="10" t="s">
        <v>1109</v>
      </c>
      <c r="C7" s="10" t="s">
        <v>677</v>
      </c>
      <c r="D7" s="10" t="s">
        <v>675</v>
      </c>
    </row>
    <row r="8" spans="1:6">
      <c r="A8" s="10" t="s">
        <v>1152</v>
      </c>
      <c r="B8" s="10" t="s">
        <v>1110</v>
      </c>
      <c r="C8" s="10" t="s">
        <v>677</v>
      </c>
      <c r="D8" s="10" t="s">
        <v>675</v>
      </c>
    </row>
    <row r="9" spans="1:6">
      <c r="A9" s="10" t="s">
        <v>684</v>
      </c>
      <c r="B9" s="10" t="s">
        <v>399</v>
      </c>
      <c r="C9" s="10" t="s">
        <v>677</v>
      </c>
      <c r="D9" s="10" t="s">
        <v>685</v>
      </c>
    </row>
    <row r="10" spans="1:6">
      <c r="A10" s="10" t="s">
        <v>738</v>
      </c>
      <c r="B10" s="10" t="s">
        <v>1179</v>
      </c>
      <c r="C10" s="10" t="s">
        <v>677</v>
      </c>
      <c r="D10" s="10" t="s">
        <v>675</v>
      </c>
    </row>
    <row r="11" spans="1:6">
      <c r="A11" s="10" t="s">
        <v>736</v>
      </c>
      <c r="B11" s="10" t="s">
        <v>737</v>
      </c>
      <c r="C11" s="10" t="s">
        <v>677</v>
      </c>
      <c r="D11" s="10" t="s">
        <v>675</v>
      </c>
    </row>
    <row r="12" spans="1:6">
      <c r="A12" s="10" t="s">
        <v>719</v>
      </c>
      <c r="B12" s="10" t="s">
        <v>562</v>
      </c>
      <c r="C12" s="10" t="s">
        <v>677</v>
      </c>
      <c r="D12" s="10" t="s">
        <v>675</v>
      </c>
      <c r="F12" s="10" t="s">
        <v>1138</v>
      </c>
    </row>
    <row r="13" spans="1:6">
      <c r="A13" s="10" t="s">
        <v>717</v>
      </c>
      <c r="B13" s="10" t="s">
        <v>718</v>
      </c>
      <c r="C13" s="10" t="s">
        <v>677</v>
      </c>
      <c r="D13" s="10" t="s">
        <v>675</v>
      </c>
      <c r="F13" s="10" t="s">
        <v>1138</v>
      </c>
    </row>
    <row r="14" spans="1:6">
      <c r="A14" s="10" t="s">
        <v>729</v>
      </c>
      <c r="B14" s="10" t="s">
        <v>387</v>
      </c>
      <c r="C14" s="10" t="s">
        <v>677</v>
      </c>
      <c r="D14" s="10" t="s">
        <v>675</v>
      </c>
      <c r="F14" s="10" t="s">
        <v>1139</v>
      </c>
    </row>
    <row r="15" spans="1:6">
      <c r="A15" s="10" t="s">
        <v>722</v>
      </c>
      <c r="B15" s="10" t="s">
        <v>931</v>
      </c>
      <c r="C15" s="10" t="s">
        <v>677</v>
      </c>
      <c r="D15" s="10" t="s">
        <v>675</v>
      </c>
      <c r="F15" s="10" t="s">
        <v>1138</v>
      </c>
    </row>
    <row r="16" spans="1:6">
      <c r="A16" s="10" t="s">
        <v>715</v>
      </c>
      <c r="B16" s="10" t="s">
        <v>716</v>
      </c>
      <c r="C16" s="10" t="s">
        <v>677</v>
      </c>
      <c r="D16" s="10" t="s">
        <v>675</v>
      </c>
      <c r="F16" s="10" t="s">
        <v>1138</v>
      </c>
    </row>
    <row r="17" spans="1:6">
      <c r="A17" s="10" t="s">
        <v>720</v>
      </c>
      <c r="B17" s="10" t="s">
        <v>721</v>
      </c>
      <c r="C17" s="10" t="s">
        <v>677</v>
      </c>
      <c r="D17" s="10" t="s">
        <v>675</v>
      </c>
      <c r="F17" s="10" t="s">
        <v>1138</v>
      </c>
    </row>
    <row r="18" spans="1:6">
      <c r="A18" s="10" t="s">
        <v>673</v>
      </c>
      <c r="B18" s="10" t="s">
        <v>551</v>
      </c>
      <c r="C18" s="10" t="s">
        <v>674</v>
      </c>
      <c r="D18" s="10" t="s">
        <v>675</v>
      </c>
    </row>
    <row r="19" spans="1:6">
      <c r="A19" s="10" t="s">
        <v>727</v>
      </c>
      <c r="B19" s="10" t="s">
        <v>728</v>
      </c>
      <c r="C19" s="10" t="s">
        <v>677</v>
      </c>
      <c r="D19" s="10" t="s">
        <v>675</v>
      </c>
    </row>
    <row r="20" spans="1:6">
      <c r="A20" s="10" t="s">
        <v>900</v>
      </c>
      <c r="B20" s="10" t="s">
        <v>901</v>
      </c>
      <c r="C20" s="10" t="s">
        <v>677</v>
      </c>
      <c r="D20" s="10" t="s">
        <v>675</v>
      </c>
      <c r="F20" s="10" t="s">
        <v>906</v>
      </c>
    </row>
    <row r="21" spans="1:6">
      <c r="A21" s="10" t="s">
        <v>940</v>
      </c>
      <c r="B21" s="10" t="s">
        <v>939</v>
      </c>
      <c r="C21" s="10" t="s">
        <v>677</v>
      </c>
      <c r="D21" s="10" t="s">
        <v>932</v>
      </c>
      <c r="F21" s="10" t="s">
        <v>906</v>
      </c>
    </row>
    <row r="22" spans="1:6">
      <c r="A22" s="10" t="s">
        <v>723</v>
      </c>
      <c r="B22" s="10" t="s">
        <v>724</v>
      </c>
      <c r="C22" s="10" t="s">
        <v>677</v>
      </c>
      <c r="D22" s="10" t="s">
        <v>675</v>
      </c>
      <c r="F22" s="10" t="s">
        <v>1138</v>
      </c>
    </row>
    <row r="23" spans="1:6" ht="27">
      <c r="A23" s="10" t="s">
        <v>896</v>
      </c>
      <c r="B23" s="10" t="s">
        <v>897</v>
      </c>
      <c r="C23" s="10" t="s">
        <v>677</v>
      </c>
      <c r="D23" s="10" t="s">
        <v>932</v>
      </c>
      <c r="E23" s="204" t="s">
        <v>1130</v>
      </c>
      <c r="F23" s="10" t="s">
        <v>1145</v>
      </c>
    </row>
    <row r="24" spans="1:6">
      <c r="A24" s="10" t="s">
        <v>691</v>
      </c>
      <c r="B24" s="10" t="s">
        <v>366</v>
      </c>
      <c r="C24" s="10" t="s">
        <v>677</v>
      </c>
      <c r="D24" s="10" t="s">
        <v>675</v>
      </c>
      <c r="E24" s="10" t="s">
        <v>1192</v>
      </c>
    </row>
    <row r="25" spans="1:6">
      <c r="A25" s="10" t="s">
        <v>1101</v>
      </c>
      <c r="B25" s="10" t="s">
        <v>1157</v>
      </c>
      <c r="C25" s="10" t="s">
        <v>677</v>
      </c>
      <c r="D25" s="10" t="s">
        <v>675</v>
      </c>
    </row>
    <row r="26" spans="1:6" ht="27">
      <c r="A26" s="10" t="s">
        <v>689</v>
      </c>
      <c r="B26" s="10" t="s">
        <v>830</v>
      </c>
      <c r="C26" s="10" t="s">
        <v>677</v>
      </c>
      <c r="D26" s="10" t="s">
        <v>675</v>
      </c>
      <c r="E26" s="204" t="s">
        <v>1126</v>
      </c>
      <c r="F26" s="10" t="s">
        <v>1135</v>
      </c>
    </row>
    <row r="27" spans="1:6">
      <c r="A27" s="10" t="s">
        <v>991</v>
      </c>
      <c r="B27" s="10" t="s">
        <v>992</v>
      </c>
      <c r="C27" s="10" t="s">
        <v>677</v>
      </c>
      <c r="D27" s="10" t="s">
        <v>675</v>
      </c>
    </row>
    <row r="28" spans="1:6">
      <c r="A28" s="10" t="s">
        <v>1098</v>
      </c>
      <c r="B28" s="10" t="s">
        <v>1108</v>
      </c>
      <c r="C28" s="10" t="s">
        <v>677</v>
      </c>
      <c r="D28" s="10" t="s">
        <v>675</v>
      </c>
    </row>
    <row r="29" spans="1:6">
      <c r="A29" s="10" t="s">
        <v>713</v>
      </c>
      <c r="B29" s="10" t="s">
        <v>1158</v>
      </c>
      <c r="C29" s="10" t="s">
        <v>677</v>
      </c>
      <c r="D29" s="10" t="s">
        <v>675</v>
      </c>
      <c r="F29" s="10" t="s">
        <v>1160</v>
      </c>
    </row>
    <row r="30" spans="1:6">
      <c r="A30" s="10" t="s">
        <v>744</v>
      </c>
      <c r="B30" s="10" t="s">
        <v>745</v>
      </c>
      <c r="C30" s="10" t="s">
        <v>677</v>
      </c>
      <c r="D30" s="10" t="s">
        <v>675</v>
      </c>
    </row>
    <row r="31" spans="1:6">
      <c r="A31" s="10" t="s">
        <v>743</v>
      </c>
      <c r="B31" s="10" t="s">
        <v>1161</v>
      </c>
      <c r="C31" s="10" t="s">
        <v>677</v>
      </c>
      <c r="D31" s="10" t="s">
        <v>675</v>
      </c>
    </row>
    <row r="32" spans="1:6">
      <c r="A32" s="10" t="s">
        <v>678</v>
      </c>
      <c r="B32" s="10" t="s">
        <v>777</v>
      </c>
      <c r="C32" s="10" t="s">
        <v>677</v>
      </c>
      <c r="D32" s="10" t="s">
        <v>675</v>
      </c>
      <c r="E32" s="10" t="s">
        <v>1124</v>
      </c>
      <c r="F32" s="204" t="s">
        <v>2261</v>
      </c>
    </row>
    <row r="33" spans="1:6">
      <c r="A33" s="10" t="s">
        <v>679</v>
      </c>
      <c r="B33" s="10" t="s">
        <v>335</v>
      </c>
      <c r="C33" s="10" t="s">
        <v>677</v>
      </c>
      <c r="D33" s="10" t="s">
        <v>675</v>
      </c>
      <c r="E33" s="10" t="s">
        <v>1125</v>
      </c>
      <c r="F33" s="10" t="s">
        <v>1133</v>
      </c>
    </row>
    <row r="34" spans="1:6">
      <c r="A34" s="10" t="s">
        <v>1096</v>
      </c>
      <c r="B34" s="10" t="s">
        <v>1162</v>
      </c>
      <c r="C34" s="10" t="s">
        <v>677</v>
      </c>
      <c r="D34" s="10" t="s">
        <v>675</v>
      </c>
    </row>
    <row r="35" spans="1:6">
      <c r="A35" s="10" t="s">
        <v>730</v>
      </c>
      <c r="B35" s="10" t="s">
        <v>1163</v>
      </c>
      <c r="C35" s="10" t="s">
        <v>677</v>
      </c>
      <c r="D35" s="10" t="s">
        <v>675</v>
      </c>
      <c r="F35" s="10" t="s">
        <v>1140</v>
      </c>
    </row>
    <row r="36" spans="1:6">
      <c r="A36" s="207" t="s">
        <v>1229</v>
      </c>
      <c r="B36" s="207" t="s">
        <v>1232</v>
      </c>
      <c r="C36" s="10" t="s">
        <v>677</v>
      </c>
      <c r="D36" s="10" t="s">
        <v>675</v>
      </c>
    </row>
    <row r="37" spans="1:6">
      <c r="A37" s="207" t="s">
        <v>1227</v>
      </c>
      <c r="B37" s="207" t="s">
        <v>1230</v>
      </c>
      <c r="C37" s="10" t="s">
        <v>677</v>
      </c>
      <c r="D37" s="10" t="s">
        <v>675</v>
      </c>
    </row>
    <row r="38" spans="1:6">
      <c r="A38" s="207" t="s">
        <v>1228</v>
      </c>
      <c r="B38" s="207" t="s">
        <v>1231</v>
      </c>
      <c r="C38" s="10" t="s">
        <v>677</v>
      </c>
      <c r="D38" s="10" t="s">
        <v>675</v>
      </c>
    </row>
    <row r="39" spans="1:6">
      <c r="A39" s="10" t="s">
        <v>701</v>
      </c>
      <c r="B39" s="10" t="s">
        <v>1164</v>
      </c>
      <c r="C39" s="10" t="s">
        <v>677</v>
      </c>
      <c r="D39" s="10" t="s">
        <v>675</v>
      </c>
      <c r="F39" s="10" t="s">
        <v>385</v>
      </c>
    </row>
    <row r="40" spans="1:6">
      <c r="A40" s="10" t="s">
        <v>700</v>
      </c>
      <c r="B40" s="10" t="s">
        <v>349</v>
      </c>
      <c r="C40" s="10" t="s">
        <v>677</v>
      </c>
      <c r="D40" s="10" t="s">
        <v>675</v>
      </c>
      <c r="F40" s="10" t="s">
        <v>385</v>
      </c>
    </row>
    <row r="41" spans="1:6">
      <c r="A41" s="10" t="s">
        <v>754</v>
      </c>
      <c r="B41" s="10" t="s">
        <v>1039</v>
      </c>
      <c r="C41" s="10" t="s">
        <v>677</v>
      </c>
      <c r="D41" s="10" t="s">
        <v>675</v>
      </c>
      <c r="F41" s="10" t="s">
        <v>1144</v>
      </c>
    </row>
    <row r="42" spans="1:6">
      <c r="A42" s="10" t="s">
        <v>2118</v>
      </c>
      <c r="B42" s="10" t="s">
        <v>1561</v>
      </c>
      <c r="C42" s="10" t="s">
        <v>677</v>
      </c>
      <c r="D42" s="10" t="s">
        <v>675</v>
      </c>
      <c r="E42" s="10" t="s">
        <v>1185</v>
      </c>
      <c r="F42" s="10" t="s">
        <v>1144</v>
      </c>
    </row>
    <row r="43" spans="1:6">
      <c r="A43" s="10" t="s">
        <v>898</v>
      </c>
      <c r="B43" s="10" t="s">
        <v>899</v>
      </c>
      <c r="C43" s="10" t="s">
        <v>677</v>
      </c>
      <c r="D43" s="10" t="s">
        <v>675</v>
      </c>
    </row>
    <row r="44" spans="1:6">
      <c r="A44" s="10" t="s">
        <v>698</v>
      </c>
      <c r="B44" s="10" t="s">
        <v>699</v>
      </c>
      <c r="C44" s="10" t="s">
        <v>674</v>
      </c>
      <c r="D44" s="10" t="s">
        <v>675</v>
      </c>
    </row>
    <row r="45" spans="1:6">
      <c r="A45" s="10" t="s">
        <v>731</v>
      </c>
      <c r="B45" s="10" t="s">
        <v>1040</v>
      </c>
      <c r="C45" s="10" t="s">
        <v>677</v>
      </c>
      <c r="D45" s="10" t="s">
        <v>675</v>
      </c>
      <c r="F45" s="10" t="s">
        <v>1205</v>
      </c>
    </row>
    <row r="46" spans="1:6">
      <c r="A46" s="10" t="s">
        <v>734</v>
      </c>
      <c r="B46" s="10" t="s">
        <v>735</v>
      </c>
      <c r="C46" s="10" t="s">
        <v>677</v>
      </c>
      <c r="D46" s="10" t="s">
        <v>675</v>
      </c>
      <c r="F46" s="10" t="s">
        <v>1003</v>
      </c>
    </row>
    <row r="47" spans="1:6">
      <c r="A47" s="10" t="s">
        <v>1015</v>
      </c>
      <c r="B47" s="10" t="s">
        <v>1016</v>
      </c>
      <c r="C47" s="10" t="s">
        <v>677</v>
      </c>
      <c r="D47" s="10" t="s">
        <v>932</v>
      </c>
    </row>
    <row r="48" spans="1:6">
      <c r="A48" s="10" t="s">
        <v>951</v>
      </c>
      <c r="B48" s="10" t="s">
        <v>1166</v>
      </c>
      <c r="C48" s="10" t="s">
        <v>677</v>
      </c>
      <c r="D48" s="10" t="s">
        <v>675</v>
      </c>
      <c r="F48" s="10" t="s">
        <v>1168</v>
      </c>
    </row>
    <row r="49" spans="1:6">
      <c r="A49" s="10" t="s">
        <v>1169</v>
      </c>
      <c r="B49" s="10" t="s">
        <v>1170</v>
      </c>
      <c r="C49" s="10" t="s">
        <v>677</v>
      </c>
      <c r="D49" s="10" t="s">
        <v>675</v>
      </c>
      <c r="F49" s="10" t="s">
        <v>1172</v>
      </c>
    </row>
    <row r="50" spans="1:6">
      <c r="A50" s="10" t="s">
        <v>694</v>
      </c>
      <c r="B50" s="10" t="s">
        <v>695</v>
      </c>
      <c r="C50" s="10" t="s">
        <v>677</v>
      </c>
      <c r="D50" s="10" t="s">
        <v>675</v>
      </c>
    </row>
    <row r="51" spans="1:6">
      <c r="A51" s="10" t="s">
        <v>1100</v>
      </c>
      <c r="B51" s="10" t="s">
        <v>343</v>
      </c>
      <c r="C51" s="10" t="s">
        <v>677</v>
      </c>
      <c r="D51" s="10" t="s">
        <v>675</v>
      </c>
      <c r="F51" s="10" t="s">
        <v>1260</v>
      </c>
    </row>
    <row r="52" spans="1:6">
      <c r="A52" s="10" t="s">
        <v>1173</v>
      </c>
      <c r="B52" s="10" t="s">
        <v>742</v>
      </c>
      <c r="C52" s="10" t="s">
        <v>677</v>
      </c>
      <c r="D52" s="10" t="s">
        <v>675</v>
      </c>
    </row>
    <row r="53" spans="1:6">
      <c r="A53" s="10" t="s">
        <v>1176</v>
      </c>
      <c r="B53" s="10" t="s">
        <v>535</v>
      </c>
      <c r="C53" s="10" t="s">
        <v>677</v>
      </c>
      <c r="D53" s="10" t="s">
        <v>675</v>
      </c>
    </row>
    <row r="54" spans="1:6">
      <c r="A54" s="10" t="s">
        <v>708</v>
      </c>
      <c r="B54" s="10" t="s">
        <v>709</v>
      </c>
      <c r="C54" s="10" t="s">
        <v>677</v>
      </c>
      <c r="D54" s="10" t="s">
        <v>675</v>
      </c>
    </row>
    <row r="55" spans="1:6">
      <c r="A55" s="10" t="s">
        <v>704</v>
      </c>
      <c r="B55" s="10" t="s">
        <v>2172</v>
      </c>
      <c r="C55" s="10" t="s">
        <v>677</v>
      </c>
      <c r="D55" s="10" t="s">
        <v>675</v>
      </c>
    </row>
    <row r="56" spans="1:6">
      <c r="A56" s="10" t="s">
        <v>726</v>
      </c>
      <c r="B56" s="10" t="s">
        <v>364</v>
      </c>
      <c r="C56" s="10" t="s">
        <v>677</v>
      </c>
      <c r="D56" s="10" t="s">
        <v>675</v>
      </c>
    </row>
    <row r="57" spans="1:6">
      <c r="A57" s="10" t="s">
        <v>706</v>
      </c>
      <c r="B57" s="10" t="s">
        <v>707</v>
      </c>
      <c r="C57" s="10" t="s">
        <v>677</v>
      </c>
      <c r="D57" s="10" t="s">
        <v>675</v>
      </c>
    </row>
    <row r="58" spans="1:6">
      <c r="A58" s="10" t="s">
        <v>702</v>
      </c>
      <c r="B58" s="10" t="s">
        <v>703</v>
      </c>
      <c r="C58" s="10" t="s">
        <v>677</v>
      </c>
      <c r="D58" s="10" t="s">
        <v>675</v>
      </c>
    </row>
    <row r="59" spans="1:6">
      <c r="A59" s="10" t="s">
        <v>750</v>
      </c>
      <c r="B59" s="10" t="s">
        <v>751</v>
      </c>
      <c r="C59" s="10" t="s">
        <v>677</v>
      </c>
      <c r="D59" s="10" t="s">
        <v>685</v>
      </c>
    </row>
    <row r="60" spans="1:6">
      <c r="A60" s="10" t="s">
        <v>697</v>
      </c>
      <c r="B60" s="10" t="s">
        <v>854</v>
      </c>
      <c r="C60" s="10" t="s">
        <v>677</v>
      </c>
      <c r="D60" s="10" t="s">
        <v>675</v>
      </c>
      <c r="E60" s="10" t="s">
        <v>1127</v>
      </c>
    </row>
    <row r="61" spans="1:6">
      <c r="A61" s="10" t="s">
        <v>696</v>
      </c>
      <c r="B61" s="10" t="s">
        <v>1281</v>
      </c>
      <c r="C61" s="10" t="s">
        <v>677</v>
      </c>
      <c r="D61" s="10" t="s">
        <v>675</v>
      </c>
      <c r="E61" s="10" t="s">
        <v>1282</v>
      </c>
    </row>
    <row r="62" spans="1:6">
      <c r="A62" s="10" t="s">
        <v>687</v>
      </c>
      <c r="B62" s="10" t="s">
        <v>688</v>
      </c>
      <c r="C62" s="10" t="s">
        <v>677</v>
      </c>
      <c r="D62" s="10" t="s">
        <v>675</v>
      </c>
    </row>
    <row r="63" spans="1:6">
      <c r="A63" s="10" t="s">
        <v>680</v>
      </c>
      <c r="B63" s="10" t="s">
        <v>681</v>
      </c>
      <c r="C63" s="10" t="s">
        <v>674</v>
      </c>
      <c r="D63" s="10" t="s">
        <v>675</v>
      </c>
    </row>
    <row r="64" spans="1:6">
      <c r="A64" s="10" t="s">
        <v>676</v>
      </c>
      <c r="B64" s="10" t="s">
        <v>1074</v>
      </c>
      <c r="C64" s="10" t="s">
        <v>677</v>
      </c>
      <c r="D64" s="10" t="s">
        <v>675</v>
      </c>
    </row>
    <row r="65" spans="1:6" ht="27">
      <c r="A65" s="10" t="s">
        <v>753</v>
      </c>
      <c r="B65" s="10" t="s">
        <v>427</v>
      </c>
      <c r="C65" s="10" t="s">
        <v>677</v>
      </c>
      <c r="D65" s="10" t="s">
        <v>685</v>
      </c>
      <c r="E65" s="204" t="s">
        <v>2092</v>
      </c>
      <c r="F65" s="204" t="s">
        <v>2093</v>
      </c>
    </row>
    <row r="66" spans="1:6">
      <c r="A66" s="10" t="s">
        <v>752</v>
      </c>
      <c r="B66" s="10" t="s">
        <v>1180</v>
      </c>
      <c r="C66" s="10" t="s">
        <v>677</v>
      </c>
      <c r="D66" s="10" t="s">
        <v>685</v>
      </c>
    </row>
    <row r="67" spans="1:6" ht="14.25" customHeight="1">
      <c r="A67" s="10" t="s">
        <v>711</v>
      </c>
      <c r="B67" s="10" t="s">
        <v>831</v>
      </c>
      <c r="C67" s="10" t="s">
        <v>677</v>
      </c>
      <c r="D67" s="10" t="s">
        <v>675</v>
      </c>
    </row>
    <row r="68" spans="1:6">
      <c r="A68" s="10" t="s">
        <v>1099</v>
      </c>
      <c r="B68" s="10" t="s">
        <v>2196</v>
      </c>
      <c r="C68" s="10" t="s">
        <v>677</v>
      </c>
      <c r="D68" s="10" t="s">
        <v>675</v>
      </c>
      <c r="F68" s="10" t="s">
        <v>1134</v>
      </c>
    </row>
    <row r="69" spans="1:6">
      <c r="A69" s="10" t="s">
        <v>714</v>
      </c>
      <c r="B69" s="10" t="s">
        <v>392</v>
      </c>
      <c r="C69" s="10" t="s">
        <v>677</v>
      </c>
      <c r="D69" s="10" t="s">
        <v>675</v>
      </c>
      <c r="F69" s="10" t="s">
        <v>1137</v>
      </c>
    </row>
    <row r="70" spans="1:6">
      <c r="A70" s="10" t="s">
        <v>739</v>
      </c>
      <c r="B70" s="10" t="s">
        <v>740</v>
      </c>
      <c r="C70" s="10" t="s">
        <v>677</v>
      </c>
      <c r="D70" s="10" t="s">
        <v>675</v>
      </c>
      <c r="F70" s="10" t="s">
        <v>1142</v>
      </c>
    </row>
    <row r="71" spans="1:6">
      <c r="A71" s="10" t="s">
        <v>1248</v>
      </c>
      <c r="B71" s="10" t="s">
        <v>1271</v>
      </c>
      <c r="C71" s="10" t="s">
        <v>677</v>
      </c>
      <c r="D71" s="10" t="s">
        <v>675</v>
      </c>
      <c r="E71" s="10" t="s">
        <v>1249</v>
      </c>
      <c r="F71" s="10" t="s">
        <v>1142</v>
      </c>
    </row>
    <row r="72" spans="1:6">
      <c r="A72" s="10" t="s">
        <v>2734</v>
      </c>
      <c r="B72" s="10" t="s">
        <v>2735</v>
      </c>
      <c r="C72" s="10" t="s">
        <v>677</v>
      </c>
      <c r="D72" s="10" t="s">
        <v>675</v>
      </c>
      <c r="E72" s="10" t="s">
        <v>1249</v>
      </c>
      <c r="F72" s="10" t="s">
        <v>1137</v>
      </c>
    </row>
    <row r="73" spans="1:6">
      <c r="A73" s="10" t="s">
        <v>1181</v>
      </c>
      <c r="B73" s="10" t="s">
        <v>690</v>
      </c>
      <c r="C73" s="10" t="s">
        <v>677</v>
      </c>
      <c r="D73" s="10" t="s">
        <v>675</v>
      </c>
    </row>
    <row r="74" spans="1:6">
      <c r="A74" s="10" t="s">
        <v>748</v>
      </c>
      <c r="B74" s="10" t="s">
        <v>531</v>
      </c>
      <c r="C74" s="10" t="s">
        <v>677</v>
      </c>
      <c r="D74" s="10" t="s">
        <v>685</v>
      </c>
    </row>
    <row r="75" spans="1:6">
      <c r="A75" s="10" t="s">
        <v>746</v>
      </c>
      <c r="B75" s="10" t="s">
        <v>747</v>
      </c>
      <c r="C75" s="10" t="s">
        <v>677</v>
      </c>
      <c r="D75" s="10" t="s">
        <v>675</v>
      </c>
      <c r="F75" s="10" t="s">
        <v>1202</v>
      </c>
    </row>
    <row r="76" spans="1:6">
      <c r="A76" s="10" t="s">
        <v>1153</v>
      </c>
      <c r="B76" s="10" t="s">
        <v>1042</v>
      </c>
      <c r="C76" s="10" t="s">
        <v>677</v>
      </c>
      <c r="D76" s="10" t="s">
        <v>685</v>
      </c>
    </row>
    <row r="77" spans="1:6">
      <c r="A77" s="10" t="s">
        <v>1148</v>
      </c>
      <c r="B77" s="10" t="s">
        <v>1043</v>
      </c>
      <c r="C77" s="10" t="s">
        <v>677</v>
      </c>
      <c r="D77" s="10" t="s">
        <v>675</v>
      </c>
    </row>
    <row r="78" spans="1:6">
      <c r="A78" s="10" t="s">
        <v>1154</v>
      </c>
      <c r="B78" s="10" t="s">
        <v>686</v>
      </c>
      <c r="C78" s="10" t="s">
        <v>677</v>
      </c>
      <c r="D78" s="10" t="s">
        <v>685</v>
      </c>
      <c r="F78" s="10" t="s">
        <v>1143</v>
      </c>
    </row>
    <row r="79" spans="1:6">
      <c r="A79" s="10" t="s">
        <v>1149</v>
      </c>
      <c r="B79" s="10" t="s">
        <v>490</v>
      </c>
      <c r="C79" s="10" t="s">
        <v>677</v>
      </c>
      <c r="D79" s="10" t="s">
        <v>675</v>
      </c>
      <c r="E79" s="10" t="s">
        <v>1129</v>
      </c>
      <c r="F79" s="10" t="s">
        <v>1143</v>
      </c>
    </row>
    <row r="80" spans="1:6">
      <c r="A80" s="10" t="s">
        <v>1155</v>
      </c>
      <c r="B80" s="10" t="s">
        <v>1035</v>
      </c>
      <c r="C80" s="10" t="s">
        <v>677</v>
      </c>
      <c r="D80" s="10" t="s">
        <v>675</v>
      </c>
      <c r="F80" s="10" t="s">
        <v>1143</v>
      </c>
    </row>
    <row r="81" spans="1:6">
      <c r="A81" s="10" t="s">
        <v>749</v>
      </c>
      <c r="B81" s="10" t="s">
        <v>542</v>
      </c>
      <c r="C81" s="10" t="s">
        <v>677</v>
      </c>
      <c r="D81" s="10" t="s">
        <v>675</v>
      </c>
    </row>
    <row r="82" spans="1:6" ht="27">
      <c r="A82" s="10" t="s">
        <v>1182</v>
      </c>
      <c r="B82" s="10" t="s">
        <v>3807</v>
      </c>
      <c r="C82" s="10" t="s">
        <v>677</v>
      </c>
      <c r="D82" s="10" t="s">
        <v>675</v>
      </c>
      <c r="E82" s="204" t="s">
        <v>3808</v>
      </c>
      <c r="F82" s="10" t="s">
        <v>1255</v>
      </c>
    </row>
    <row r="83" spans="1:6">
      <c r="A83" s="10" t="s">
        <v>1150</v>
      </c>
      <c r="B83" s="10" t="s">
        <v>2924</v>
      </c>
      <c r="C83" s="10" t="s">
        <v>677</v>
      </c>
      <c r="D83" s="10" t="s">
        <v>675</v>
      </c>
    </row>
    <row r="84" spans="1:6">
      <c r="A84" s="10" t="s">
        <v>1120</v>
      </c>
      <c r="B84" s="10" t="s">
        <v>377</v>
      </c>
      <c r="C84" s="10" t="s">
        <v>677</v>
      </c>
      <c r="D84" s="10" t="s">
        <v>675</v>
      </c>
      <c r="F84" s="10" t="s">
        <v>1206</v>
      </c>
    </row>
    <row r="85" spans="1:6">
      <c r="A85" s="10" t="s">
        <v>1156</v>
      </c>
      <c r="B85" s="10" t="s">
        <v>950</v>
      </c>
      <c r="C85" s="10" t="s">
        <v>677</v>
      </c>
      <c r="D85" s="10" t="s">
        <v>685</v>
      </c>
    </row>
    <row r="86" spans="1:6">
      <c r="A86" s="10" t="s">
        <v>1174</v>
      </c>
      <c r="B86" s="10" t="s">
        <v>794</v>
      </c>
      <c r="C86" s="10" t="s">
        <v>677</v>
      </c>
      <c r="D86" s="10" t="s">
        <v>675</v>
      </c>
    </row>
    <row r="87" spans="1:6">
      <c r="A87" s="10" t="s">
        <v>1178</v>
      </c>
      <c r="B87" s="10" t="s">
        <v>1177</v>
      </c>
      <c r="C87" s="10" t="s">
        <v>677</v>
      </c>
      <c r="D87" s="10" t="s">
        <v>675</v>
      </c>
    </row>
    <row r="88" spans="1:6">
      <c r="A88" s="10" t="s">
        <v>732</v>
      </c>
      <c r="B88" s="10" t="s">
        <v>2170</v>
      </c>
      <c r="C88" s="10" t="s">
        <v>677</v>
      </c>
      <c r="D88" s="10" t="s">
        <v>675</v>
      </c>
      <c r="F88" s="10" t="s">
        <v>1187</v>
      </c>
    </row>
    <row r="89" spans="1:6">
      <c r="A89" s="10" t="s">
        <v>946</v>
      </c>
      <c r="B89" s="10" t="s">
        <v>947</v>
      </c>
      <c r="C89" s="10" t="s">
        <v>677</v>
      </c>
      <c r="D89" s="10" t="s">
        <v>675</v>
      </c>
      <c r="E89" s="10" t="s">
        <v>1131</v>
      </c>
      <c r="F89" s="10" t="s">
        <v>1146</v>
      </c>
    </row>
    <row r="90" spans="1:6">
      <c r="A90" s="10" t="s">
        <v>725</v>
      </c>
      <c r="B90" s="10" t="s">
        <v>1077</v>
      </c>
      <c r="C90" s="10" t="s">
        <v>677</v>
      </c>
      <c r="D90" s="10" t="s">
        <v>675</v>
      </c>
      <c r="F90" s="10" t="s">
        <v>1188</v>
      </c>
    </row>
    <row r="91" spans="1:6">
      <c r="A91" s="10" t="s">
        <v>780</v>
      </c>
      <c r="B91" s="10" t="s">
        <v>782</v>
      </c>
      <c r="C91" s="10" t="s">
        <v>677</v>
      </c>
      <c r="D91" s="10" t="s">
        <v>675</v>
      </c>
      <c r="F91" s="10" t="s">
        <v>1136</v>
      </c>
    </row>
    <row r="92" spans="1:6">
      <c r="A92" s="10" t="s">
        <v>781</v>
      </c>
      <c r="B92" s="10" t="s">
        <v>1076</v>
      </c>
      <c r="C92" s="10" t="s">
        <v>677</v>
      </c>
      <c r="D92" s="10" t="s">
        <v>675</v>
      </c>
      <c r="F92" s="10" t="s">
        <v>1038</v>
      </c>
    </row>
    <row r="93" spans="1:6" ht="27">
      <c r="A93" s="10" t="s">
        <v>710</v>
      </c>
      <c r="B93" s="10" t="s">
        <v>1858</v>
      </c>
      <c r="C93" s="10" t="s">
        <v>677</v>
      </c>
      <c r="D93" s="10" t="s">
        <v>675</v>
      </c>
      <c r="E93" s="204" t="s">
        <v>1128</v>
      </c>
    </row>
    <row r="94" spans="1:6">
      <c r="A94" s="10" t="s">
        <v>741</v>
      </c>
      <c r="B94" s="10" t="s">
        <v>1036</v>
      </c>
      <c r="C94" s="10" t="s">
        <v>677</v>
      </c>
      <c r="D94" s="10" t="s">
        <v>675</v>
      </c>
      <c r="F94" s="10" t="s">
        <v>1274</v>
      </c>
    </row>
    <row r="95" spans="1:6">
      <c r="A95" s="10" t="s">
        <v>1118</v>
      </c>
      <c r="B95" s="10" t="s">
        <v>1107</v>
      </c>
      <c r="C95" s="10" t="s">
        <v>677</v>
      </c>
      <c r="D95" s="10" t="s">
        <v>675</v>
      </c>
    </row>
    <row r="96" spans="1:6">
      <c r="A96" s="10" t="s">
        <v>1112</v>
      </c>
      <c r="B96" s="10" t="s">
        <v>1102</v>
      </c>
      <c r="C96" s="10" t="s">
        <v>677</v>
      </c>
      <c r="D96" s="10" t="s">
        <v>675</v>
      </c>
    </row>
    <row r="97" spans="1:6">
      <c r="A97" s="10" t="s">
        <v>1113</v>
      </c>
      <c r="B97" s="10" t="s">
        <v>514</v>
      </c>
      <c r="C97" s="10" t="s">
        <v>677</v>
      </c>
      <c r="D97" s="10" t="s">
        <v>675</v>
      </c>
      <c r="F97" s="10" t="s">
        <v>1200</v>
      </c>
    </row>
    <row r="98" spans="1:6">
      <c r="A98" s="10" t="s">
        <v>1114</v>
      </c>
      <c r="B98" s="10" t="s">
        <v>1103</v>
      </c>
      <c r="C98" s="10" t="s">
        <v>677</v>
      </c>
      <c r="D98" s="10" t="s">
        <v>675</v>
      </c>
    </row>
    <row r="99" spans="1:6">
      <c r="A99" s="10" t="s">
        <v>1116</v>
      </c>
      <c r="B99" s="10" t="s">
        <v>1105</v>
      </c>
      <c r="C99" s="10" t="s">
        <v>677</v>
      </c>
      <c r="D99" s="10" t="s">
        <v>675</v>
      </c>
    </row>
    <row r="100" spans="1:6">
      <c r="A100" s="10" t="s">
        <v>1115</v>
      </c>
      <c r="B100" s="10" t="s">
        <v>1104</v>
      </c>
      <c r="C100" s="10" t="s">
        <v>677</v>
      </c>
      <c r="D100" s="10" t="s">
        <v>675</v>
      </c>
    </row>
    <row r="101" spans="1:6">
      <c r="A101" s="206" t="s">
        <v>1117</v>
      </c>
      <c r="B101" s="207" t="s">
        <v>1106</v>
      </c>
      <c r="C101" s="10" t="s">
        <v>677</v>
      </c>
      <c r="D101" s="10" t="s">
        <v>675</v>
      </c>
    </row>
    <row r="102" spans="1:6">
      <c r="A102" s="10" t="s">
        <v>1278</v>
      </c>
      <c r="B102" s="10" t="s">
        <v>1279</v>
      </c>
      <c r="C102" s="10" t="s">
        <v>677</v>
      </c>
      <c r="D102" s="10" t="s">
        <v>675</v>
      </c>
    </row>
    <row r="103" spans="1:6" ht="27">
      <c r="A103" s="10" t="s">
        <v>2086</v>
      </c>
      <c r="B103" s="10" t="s">
        <v>2085</v>
      </c>
      <c r="C103" s="10" t="s">
        <v>677</v>
      </c>
      <c r="D103" s="10" t="s">
        <v>675</v>
      </c>
      <c r="E103" s="204" t="s">
        <v>3809</v>
      </c>
    </row>
    <row r="104" spans="1:6">
      <c r="A104" s="10" t="s">
        <v>2117</v>
      </c>
      <c r="B104" s="10" t="s">
        <v>2119</v>
      </c>
      <c r="C104" s="10" t="s">
        <v>677</v>
      </c>
      <c r="D104" s="10" t="s">
        <v>675</v>
      </c>
      <c r="E104" s="10" t="s">
        <v>1185</v>
      </c>
      <c r="F104" s="10" t="s">
        <v>1144</v>
      </c>
    </row>
    <row r="105" spans="1:6">
      <c r="A105" s="304" t="s">
        <v>2704</v>
      </c>
      <c r="B105" s="10" t="s">
        <v>2705</v>
      </c>
      <c r="C105" s="10" t="s">
        <v>677</v>
      </c>
      <c r="D105" s="10" t="s">
        <v>675</v>
      </c>
    </row>
    <row r="106" spans="1:6">
      <c r="A106" s="304" t="s">
        <v>2754</v>
      </c>
      <c r="B106" s="304" t="s">
        <v>2755</v>
      </c>
      <c r="C106" s="10" t="s">
        <v>677</v>
      </c>
      <c r="D106" s="10" t="s">
        <v>685</v>
      </c>
    </row>
  </sheetData>
  <phoneticPr fontId="4" type="noConversion"/>
  <pageMargins left="0.75" right="0.75" top="1" bottom="1" header="0.5" footer="0.5"/>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4"/>
  <sheetViews>
    <sheetView topLeftCell="F1" workbookViewId="0">
      <selection activeCell="S4" sqref="S4"/>
    </sheetView>
  </sheetViews>
  <sheetFormatPr defaultRowHeight="16.5"/>
  <cols>
    <col min="1" max="1" width="17.375" customWidth="1"/>
    <col min="2" max="2" width="18.125" bestFit="1" customWidth="1"/>
    <col min="3" max="3" width="26.125" bestFit="1" customWidth="1"/>
    <col min="4" max="4" width="11.25" bestFit="1" customWidth="1"/>
    <col min="5" max="5" width="18.625" bestFit="1" customWidth="1"/>
    <col min="6" max="6" width="37.75" bestFit="1" customWidth="1"/>
    <col min="7" max="7" width="14.75" bestFit="1" customWidth="1"/>
    <col min="8" max="8" width="14.25" bestFit="1" customWidth="1"/>
    <col min="9" max="9" width="27" bestFit="1" customWidth="1"/>
    <col min="10" max="10" width="12.875" bestFit="1" customWidth="1"/>
    <col min="11" max="11" width="14.875" bestFit="1" customWidth="1"/>
    <col min="12" max="12" width="14.25" bestFit="1" customWidth="1"/>
    <col min="13" max="13" width="26.125" bestFit="1" customWidth="1"/>
    <col min="14" max="14" width="9.875" bestFit="1" customWidth="1"/>
    <col min="15" max="15" width="8.375" bestFit="1" customWidth="1"/>
    <col min="16" max="16" width="15.5" bestFit="1" customWidth="1"/>
  </cols>
  <sheetData>
    <row r="1" spans="1:19" s="24" customFormat="1" ht="13.5">
      <c r="A1" s="29" t="s">
        <v>0</v>
      </c>
      <c r="B1" s="29" t="s">
        <v>635</v>
      </c>
      <c r="C1" s="29" t="s">
        <v>636</v>
      </c>
      <c r="D1" s="29" t="s">
        <v>2731</v>
      </c>
      <c r="E1" s="29" t="s">
        <v>637</v>
      </c>
      <c r="F1" s="29" t="s">
        <v>1466</v>
      </c>
      <c r="G1" s="29" t="s">
        <v>638</v>
      </c>
      <c r="H1" s="29" t="s">
        <v>2756</v>
      </c>
      <c r="I1" s="29" t="s">
        <v>310</v>
      </c>
      <c r="J1" s="29" t="s">
        <v>1459</v>
      </c>
      <c r="K1" s="29" t="s">
        <v>639</v>
      </c>
      <c r="L1" s="29" t="s">
        <v>640</v>
      </c>
      <c r="M1" s="29" t="s">
        <v>641</v>
      </c>
      <c r="N1" s="49" t="s">
        <v>642</v>
      </c>
      <c r="O1" s="49" t="s">
        <v>643</v>
      </c>
      <c r="P1" s="49" t="s">
        <v>850</v>
      </c>
      <c r="Q1" s="49" t="s">
        <v>3898</v>
      </c>
      <c r="R1" s="49" t="s">
        <v>3899</v>
      </c>
      <c r="S1" s="49" t="s">
        <v>3900</v>
      </c>
    </row>
    <row r="2" spans="1:19" s="24" customFormat="1" ht="13.5">
      <c r="A2" s="29" t="s">
        <v>318</v>
      </c>
      <c r="B2" s="29" t="s">
        <v>1017</v>
      </c>
      <c r="C2" s="29" t="s">
        <v>644</v>
      </c>
      <c r="D2" s="29" t="s">
        <v>851</v>
      </c>
      <c r="E2" s="29" t="s">
        <v>645</v>
      </c>
      <c r="F2" s="29" t="s">
        <v>1467</v>
      </c>
      <c r="G2" s="29" t="s">
        <v>1272</v>
      </c>
      <c r="H2" s="29" t="s">
        <v>1460</v>
      </c>
      <c r="I2" s="29" t="s">
        <v>323</v>
      </c>
      <c r="J2" s="29" t="s">
        <v>1460</v>
      </c>
      <c r="K2" s="29" t="s">
        <v>320</v>
      </c>
      <c r="L2" s="29" t="s">
        <v>320</v>
      </c>
      <c r="M2" s="29" t="s">
        <v>320</v>
      </c>
      <c r="N2" s="49" t="s">
        <v>646</v>
      </c>
      <c r="O2" s="49" t="s">
        <v>647</v>
      </c>
      <c r="P2" s="49" t="s">
        <v>851</v>
      </c>
      <c r="Q2" s="49" t="s">
        <v>647</v>
      </c>
      <c r="R2" s="49" t="s">
        <v>647</v>
      </c>
      <c r="S2" s="49" t="s">
        <v>647</v>
      </c>
    </row>
    <row r="3" spans="1:19" s="24" customFormat="1" ht="13.5">
      <c r="A3" s="29" t="s">
        <v>328</v>
      </c>
      <c r="B3" s="29" t="s">
        <v>328</v>
      </c>
      <c r="C3" s="29" t="s">
        <v>328</v>
      </c>
      <c r="D3" s="29" t="s">
        <v>1528</v>
      </c>
      <c r="E3" s="29" t="s">
        <v>328</v>
      </c>
      <c r="F3" s="29" t="s">
        <v>328</v>
      </c>
      <c r="G3" s="29" t="s">
        <v>4</v>
      </c>
      <c r="H3" s="29" t="s">
        <v>1528</v>
      </c>
      <c r="I3" s="29" t="s">
        <v>4</v>
      </c>
      <c r="J3" s="29" t="s">
        <v>1461</v>
      </c>
      <c r="K3" s="29" t="s">
        <v>328</v>
      </c>
      <c r="L3" s="29" t="s">
        <v>328</v>
      </c>
      <c r="M3" s="29" t="s">
        <v>328</v>
      </c>
      <c r="N3" s="49" t="s">
        <v>4</v>
      </c>
      <c r="O3" s="49" t="s">
        <v>4</v>
      </c>
      <c r="P3" s="49" t="s">
        <v>4</v>
      </c>
      <c r="Q3" s="49" t="s">
        <v>4</v>
      </c>
      <c r="R3" s="49" t="s">
        <v>4</v>
      </c>
      <c r="S3" s="49" t="s">
        <v>4</v>
      </c>
    </row>
    <row r="4" spans="1:19" s="24" customFormat="1">
      <c r="A4" s="187">
        <v>2291000000001</v>
      </c>
      <c r="B4" s="24" t="s">
        <v>989</v>
      </c>
      <c r="C4" t="s">
        <v>3724</v>
      </c>
      <c r="F4" t="s">
        <v>3599</v>
      </c>
      <c r="G4" s="24" t="s">
        <v>838</v>
      </c>
      <c r="I4" s="24" t="s">
        <v>3207</v>
      </c>
      <c r="J4" s="24" t="s">
        <v>3538</v>
      </c>
      <c r="M4" t="s">
        <v>3206</v>
      </c>
      <c r="Q4" s="24" t="s">
        <v>3903</v>
      </c>
      <c r="R4" s="24" t="s">
        <v>3902</v>
      </c>
      <c r="S4" s="24" t="s">
        <v>3901</v>
      </c>
    </row>
  </sheetData>
  <phoneticPr fontId="4"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17"/>
  <sheetViews>
    <sheetView workbookViewId="0">
      <selection activeCell="C4" sqref="C4"/>
    </sheetView>
  </sheetViews>
  <sheetFormatPr defaultRowHeight="13.5"/>
  <cols>
    <col min="1" max="1" width="17" style="80" bestFit="1" customWidth="1"/>
    <col min="2" max="2" width="21.125" style="24" bestFit="1" customWidth="1"/>
    <col min="3" max="3" width="16.125" style="24" bestFit="1" customWidth="1"/>
    <col min="4" max="4" width="13.5" style="24" bestFit="1" customWidth="1"/>
    <col min="5" max="5" width="16.625" style="24" bestFit="1" customWidth="1"/>
    <col min="6" max="6" width="9.125" style="24" bestFit="1" customWidth="1"/>
    <col min="7" max="7" width="9.125" style="24" customWidth="1"/>
    <col min="8" max="8" width="8" style="24" bestFit="1" customWidth="1"/>
    <col min="9" max="9" width="30" style="24" bestFit="1" customWidth="1"/>
    <col min="10" max="10" width="23.125" style="24" bestFit="1" customWidth="1"/>
    <col min="11" max="11" width="18.125" style="24" bestFit="1" customWidth="1"/>
    <col min="12" max="12" width="11.375" style="24" bestFit="1" customWidth="1"/>
    <col min="13" max="13" width="27.5" style="24" bestFit="1" customWidth="1"/>
    <col min="14" max="14" width="9.375" style="24" bestFit="1" customWidth="1"/>
    <col min="15" max="15" width="17.125" style="24" bestFit="1" customWidth="1"/>
    <col min="16" max="16" width="15.375" style="24" bestFit="1" customWidth="1"/>
    <col min="17" max="16384" width="9" style="24"/>
  </cols>
  <sheetData>
    <row r="1" spans="1:16" s="23" customFormat="1" ht="16.5" customHeight="1">
      <c r="A1" s="126" t="s">
        <v>304</v>
      </c>
      <c r="B1" s="21" t="s">
        <v>305</v>
      </c>
      <c r="C1" s="21" t="s">
        <v>306</v>
      </c>
      <c r="D1" s="20" t="s">
        <v>307</v>
      </c>
      <c r="E1" s="21" t="s">
        <v>308</v>
      </c>
      <c r="F1" s="20" t="s">
        <v>1526</v>
      </c>
      <c r="G1" s="165" t="s">
        <v>3740</v>
      </c>
      <c r="H1" s="22" t="s">
        <v>309</v>
      </c>
      <c r="I1" s="22" t="s">
        <v>310</v>
      </c>
      <c r="J1" s="22" t="s">
        <v>311</v>
      </c>
      <c r="K1" s="22" t="s">
        <v>312</v>
      </c>
      <c r="L1" s="22" t="s">
        <v>313</v>
      </c>
      <c r="M1" s="22" t="s">
        <v>314</v>
      </c>
      <c r="N1" s="22" t="s">
        <v>315</v>
      </c>
      <c r="O1" s="22" t="s">
        <v>316</v>
      </c>
      <c r="P1" s="167" t="s">
        <v>317</v>
      </c>
    </row>
    <row r="2" spans="1:16" s="23" customFormat="1" ht="16.5" customHeight="1">
      <c r="A2" s="126" t="s">
        <v>318</v>
      </c>
      <c r="B2" s="20" t="s">
        <v>3</v>
      </c>
      <c r="C2" s="20" t="s">
        <v>319</v>
      </c>
      <c r="D2" s="20" t="s">
        <v>320</v>
      </c>
      <c r="E2" s="20" t="s">
        <v>321</v>
      </c>
      <c r="F2" s="20" t="s">
        <v>1213</v>
      </c>
      <c r="G2" s="165" t="s">
        <v>851</v>
      </c>
      <c r="H2" s="22" t="s">
        <v>322</v>
      </c>
      <c r="I2" s="22" t="s">
        <v>323</v>
      </c>
      <c r="J2" s="22" t="s">
        <v>323</v>
      </c>
      <c r="K2" s="22" t="s">
        <v>324</v>
      </c>
      <c r="L2" s="22" t="s">
        <v>325</v>
      </c>
      <c r="M2" s="22" t="s">
        <v>326</v>
      </c>
      <c r="N2" s="22" t="s">
        <v>322</v>
      </c>
      <c r="O2" s="22" t="s">
        <v>320</v>
      </c>
      <c r="P2" s="167" t="s">
        <v>327</v>
      </c>
    </row>
    <row r="3" spans="1:16" s="23" customFormat="1" ht="16.5" customHeight="1">
      <c r="A3" s="126" t="s">
        <v>328</v>
      </c>
      <c r="B3" s="20" t="s">
        <v>3</v>
      </c>
      <c r="C3" s="20" t="s">
        <v>328</v>
      </c>
      <c r="D3" s="20" t="s">
        <v>329</v>
      </c>
      <c r="E3" s="20" t="s">
        <v>4</v>
      </c>
      <c r="F3" s="20" t="s">
        <v>1528</v>
      </c>
      <c r="G3" s="165" t="s">
        <v>328</v>
      </c>
      <c r="H3" s="22" t="s">
        <v>328</v>
      </c>
      <c r="I3" s="22" t="s">
        <v>4</v>
      </c>
      <c r="J3" s="22" t="s">
        <v>4</v>
      </c>
      <c r="K3" s="22" t="s">
        <v>328</v>
      </c>
      <c r="L3" s="22" t="s">
        <v>328</v>
      </c>
      <c r="M3" s="22" t="s">
        <v>328</v>
      </c>
      <c r="N3" s="22" t="s">
        <v>328</v>
      </c>
      <c r="O3" s="22" t="s">
        <v>328</v>
      </c>
      <c r="P3" s="167" t="s">
        <v>4</v>
      </c>
    </row>
    <row r="4" spans="1:16">
      <c r="A4" s="187" t="s">
        <v>3208</v>
      </c>
      <c r="B4" s="24" t="s">
        <v>3532</v>
      </c>
      <c r="C4" s="172">
        <v>2291000000001</v>
      </c>
      <c r="D4" s="24" t="s">
        <v>331</v>
      </c>
      <c r="E4" s="24" t="b">
        <v>1</v>
      </c>
    </row>
    <row r="5" spans="1:16">
      <c r="A5" s="187"/>
      <c r="C5" s="172"/>
      <c r="H5" s="24">
        <v>1</v>
      </c>
      <c r="I5" s="24" t="s">
        <v>3533</v>
      </c>
      <c r="J5" s="24" t="s">
        <v>3534</v>
      </c>
      <c r="K5" s="24" t="s">
        <v>1538</v>
      </c>
      <c r="L5" s="265" t="s">
        <v>425</v>
      </c>
      <c r="M5" s="24" t="s">
        <v>336</v>
      </c>
      <c r="N5" s="24">
        <v>36</v>
      </c>
      <c r="O5" s="24" t="s">
        <v>3606</v>
      </c>
      <c r="P5" s="24" t="s">
        <v>3535</v>
      </c>
    </row>
    <row r="6" spans="1:16">
      <c r="A6" s="187">
        <v>2901000000002</v>
      </c>
      <c r="B6" s="24" t="s">
        <v>3156</v>
      </c>
      <c r="C6" s="172">
        <v>2291000000001</v>
      </c>
      <c r="D6" s="24" t="s">
        <v>331</v>
      </c>
      <c r="E6" s="24" t="b">
        <v>1</v>
      </c>
    </row>
    <row r="7" spans="1:16">
      <c r="A7" s="187"/>
      <c r="C7" s="172"/>
      <c r="H7" s="24">
        <v>1</v>
      </c>
      <c r="I7" s="24" t="s">
        <v>3158</v>
      </c>
      <c r="J7" s="24" t="s">
        <v>3157</v>
      </c>
      <c r="K7" s="24" t="s">
        <v>1538</v>
      </c>
      <c r="L7" s="265" t="s">
        <v>1043</v>
      </c>
      <c r="M7" s="24" t="s">
        <v>2782</v>
      </c>
      <c r="N7" s="24">
        <v>1</v>
      </c>
      <c r="O7" s="24" t="s">
        <v>2274</v>
      </c>
      <c r="P7" s="24" t="s">
        <v>375</v>
      </c>
    </row>
    <row r="8" spans="1:16">
      <c r="A8" s="187">
        <v>2901000000003</v>
      </c>
      <c r="B8" s="24" t="s">
        <v>3138</v>
      </c>
      <c r="C8" s="172">
        <v>2291000000001</v>
      </c>
      <c r="D8" s="24" t="s">
        <v>331</v>
      </c>
      <c r="E8" s="24" t="b">
        <v>1</v>
      </c>
    </row>
    <row r="9" spans="1:16">
      <c r="A9" s="187"/>
      <c r="C9" s="172"/>
      <c r="H9" s="24">
        <v>1</v>
      </c>
      <c r="I9" s="24" t="s">
        <v>3136</v>
      </c>
      <c r="J9" s="24" t="s">
        <v>3137</v>
      </c>
      <c r="K9" s="24" t="s">
        <v>1538</v>
      </c>
      <c r="L9" s="265" t="s">
        <v>1043</v>
      </c>
      <c r="M9" s="24" t="s">
        <v>1402</v>
      </c>
      <c r="N9" s="24">
        <v>1</v>
      </c>
      <c r="O9" s="24" t="s">
        <v>2121</v>
      </c>
      <c r="P9" s="24" t="s">
        <v>375</v>
      </c>
    </row>
    <row r="10" spans="1:16">
      <c r="A10" s="187">
        <v>2901000000004</v>
      </c>
      <c r="B10" s="24" t="s">
        <v>3139</v>
      </c>
      <c r="C10" s="172">
        <v>2291000000001</v>
      </c>
      <c r="D10" s="24" t="s">
        <v>331</v>
      </c>
      <c r="E10" s="24" t="b">
        <v>1</v>
      </c>
    </row>
    <row r="11" spans="1:16">
      <c r="A11" s="187"/>
      <c r="C11" s="172"/>
      <c r="H11" s="24">
        <v>1</v>
      </c>
      <c r="I11" s="24" t="s">
        <v>3145</v>
      </c>
      <c r="J11" s="24" t="s">
        <v>3149</v>
      </c>
      <c r="K11" s="24" t="s">
        <v>1538</v>
      </c>
      <c r="L11" s="265" t="s">
        <v>1043</v>
      </c>
      <c r="M11" s="24" t="s">
        <v>1404</v>
      </c>
      <c r="N11" s="24">
        <v>1</v>
      </c>
      <c r="O11" s="24" t="s">
        <v>3537</v>
      </c>
      <c r="P11" s="24" t="s">
        <v>375</v>
      </c>
    </row>
    <row r="12" spans="1:16">
      <c r="A12" s="187">
        <v>2901000000005</v>
      </c>
      <c r="B12" s="24" t="s">
        <v>3140</v>
      </c>
      <c r="C12" s="172">
        <v>2291000000001</v>
      </c>
      <c r="D12" s="24" t="s">
        <v>331</v>
      </c>
      <c r="E12" s="24" t="b">
        <v>1</v>
      </c>
    </row>
    <row r="13" spans="1:16">
      <c r="A13" s="187"/>
      <c r="C13" s="172"/>
      <c r="H13" s="24">
        <v>1</v>
      </c>
      <c r="I13" s="24" t="s">
        <v>3146</v>
      </c>
      <c r="J13" s="24" t="s">
        <v>3150</v>
      </c>
      <c r="K13" s="24" t="s">
        <v>1538</v>
      </c>
      <c r="L13" s="265" t="s">
        <v>1043</v>
      </c>
      <c r="M13" s="24" t="s">
        <v>1197</v>
      </c>
      <c r="N13" s="24">
        <v>1</v>
      </c>
      <c r="O13" s="24" t="s">
        <v>3153</v>
      </c>
      <c r="P13" s="24" t="s">
        <v>375</v>
      </c>
    </row>
    <row r="14" spans="1:16">
      <c r="A14" s="187">
        <v>2901000000006</v>
      </c>
      <c r="B14" s="24" t="s">
        <v>3141</v>
      </c>
      <c r="C14" s="172">
        <v>2291000000001</v>
      </c>
      <c r="D14" s="24" t="s">
        <v>331</v>
      </c>
      <c r="E14" s="24" t="b">
        <v>1</v>
      </c>
    </row>
    <row r="15" spans="1:16">
      <c r="A15" s="187"/>
      <c r="C15" s="172"/>
      <c r="H15" s="24">
        <v>1</v>
      </c>
      <c r="I15" s="24" t="s">
        <v>3147</v>
      </c>
      <c r="J15" s="24" t="s">
        <v>3151</v>
      </c>
      <c r="K15" s="24" t="s">
        <v>1538</v>
      </c>
      <c r="L15" s="265" t="s">
        <v>1043</v>
      </c>
      <c r="M15" s="24" t="s">
        <v>766</v>
      </c>
      <c r="N15" s="24">
        <v>1</v>
      </c>
      <c r="O15" s="24" t="s">
        <v>3536</v>
      </c>
      <c r="P15" s="24" t="s">
        <v>375</v>
      </c>
    </row>
    <row r="16" spans="1:16">
      <c r="A16" s="187">
        <v>2901000000007</v>
      </c>
      <c r="B16" s="24" t="s">
        <v>3142</v>
      </c>
      <c r="C16" s="172">
        <v>2291000000001</v>
      </c>
      <c r="D16" s="24" t="s">
        <v>331</v>
      </c>
      <c r="E16" s="24" t="b">
        <v>1</v>
      </c>
    </row>
    <row r="17" spans="1:16">
      <c r="A17" s="187"/>
      <c r="C17" s="172"/>
      <c r="H17" s="24">
        <v>1</v>
      </c>
      <c r="I17" s="24" t="s">
        <v>3148</v>
      </c>
      <c r="J17" s="24" t="s">
        <v>3152</v>
      </c>
      <c r="K17" s="24" t="s">
        <v>1538</v>
      </c>
      <c r="L17" s="265" t="s">
        <v>1043</v>
      </c>
      <c r="M17" s="24" t="s">
        <v>1516</v>
      </c>
      <c r="N17" s="24">
        <v>1</v>
      </c>
      <c r="O17" s="24" t="s">
        <v>3155</v>
      </c>
      <c r="P17" s="24" t="s">
        <v>375</v>
      </c>
    </row>
  </sheetData>
  <phoneticPr fontId="4"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8"/>
  <sheetViews>
    <sheetView workbookViewId="0">
      <selection activeCell="B14" sqref="B14"/>
    </sheetView>
  </sheetViews>
  <sheetFormatPr defaultRowHeight="16.5"/>
  <cols>
    <col min="1" max="1" width="35.25" bestFit="1" customWidth="1"/>
    <col min="2" max="2" width="26.125" bestFit="1" customWidth="1"/>
    <col min="3" max="3" width="30" bestFit="1" customWidth="1"/>
    <col min="4" max="4" width="43.375" bestFit="1" customWidth="1"/>
  </cols>
  <sheetData>
    <row r="1" spans="1:4">
      <c r="A1" t="s">
        <v>1298</v>
      </c>
      <c r="B1" t="s">
        <v>370</v>
      </c>
    </row>
    <row r="2" spans="1:4">
      <c r="A2" t="s">
        <v>1299</v>
      </c>
      <c r="B2" t="s">
        <v>370</v>
      </c>
      <c r="C2" t="s">
        <v>371</v>
      </c>
      <c r="D2" t="s">
        <v>372</v>
      </c>
    </row>
    <row r="3" spans="1:4">
      <c r="A3" t="s">
        <v>1300</v>
      </c>
      <c r="B3" t="s">
        <v>370</v>
      </c>
      <c r="C3" t="s">
        <v>374</v>
      </c>
      <c r="D3" t="s">
        <v>375</v>
      </c>
    </row>
    <row r="4" spans="1:4">
      <c r="A4" t="s">
        <v>692</v>
      </c>
      <c r="B4" t="s">
        <v>693</v>
      </c>
    </row>
    <row r="5" spans="1:4">
      <c r="A5" t="s">
        <v>1301</v>
      </c>
      <c r="B5" t="s">
        <v>1109</v>
      </c>
    </row>
    <row r="6" spans="1:4">
      <c r="A6" t="s">
        <v>1302</v>
      </c>
      <c r="B6" t="s">
        <v>1110</v>
      </c>
    </row>
    <row r="7" spans="1:4">
      <c r="A7" t="s">
        <v>684</v>
      </c>
      <c r="B7" t="s">
        <v>399</v>
      </c>
    </row>
    <row r="8" spans="1:4">
      <c r="A8" t="s">
        <v>738</v>
      </c>
      <c r="B8" t="s">
        <v>1303</v>
      </c>
    </row>
    <row r="9" spans="1:4">
      <c r="A9" t="s">
        <v>736</v>
      </c>
      <c r="B9" t="s">
        <v>737</v>
      </c>
    </row>
    <row r="10" spans="1:4">
      <c r="A10" t="s">
        <v>719</v>
      </c>
      <c r="B10" t="s">
        <v>562</v>
      </c>
      <c r="D10" s="10" t="s">
        <v>1138</v>
      </c>
    </row>
    <row r="11" spans="1:4">
      <c r="A11" t="s">
        <v>717</v>
      </c>
      <c r="B11" t="s">
        <v>718</v>
      </c>
      <c r="D11" s="10" t="s">
        <v>1138</v>
      </c>
    </row>
    <row r="12" spans="1:4">
      <c r="A12" t="s">
        <v>729</v>
      </c>
      <c r="B12" t="s">
        <v>387</v>
      </c>
      <c r="D12" s="10" t="s">
        <v>1139</v>
      </c>
    </row>
    <row r="13" spans="1:4">
      <c r="A13" t="s">
        <v>722</v>
      </c>
      <c r="B13" t="s">
        <v>1075</v>
      </c>
      <c r="D13" s="10" t="s">
        <v>1138</v>
      </c>
    </row>
    <row r="14" spans="1:4">
      <c r="A14" t="s">
        <v>715</v>
      </c>
      <c r="B14" t="s">
        <v>716</v>
      </c>
      <c r="D14" s="10" t="s">
        <v>1138</v>
      </c>
    </row>
    <row r="15" spans="1:4">
      <c r="A15" t="s">
        <v>720</v>
      </c>
      <c r="B15" t="s">
        <v>721</v>
      </c>
      <c r="D15" s="10" t="s">
        <v>1138</v>
      </c>
    </row>
    <row r="16" spans="1:4">
      <c r="A16" t="s">
        <v>673</v>
      </c>
      <c r="B16" t="s">
        <v>2936</v>
      </c>
    </row>
    <row r="17" spans="1:4">
      <c r="A17" t="s">
        <v>727</v>
      </c>
      <c r="B17" t="s">
        <v>728</v>
      </c>
    </row>
    <row r="18" spans="1:4">
      <c r="A18" t="s">
        <v>1304</v>
      </c>
      <c r="B18" t="s">
        <v>902</v>
      </c>
      <c r="D18" t="s">
        <v>906</v>
      </c>
    </row>
    <row r="19" spans="1:4">
      <c r="A19" t="s">
        <v>1305</v>
      </c>
      <c r="B19" t="s">
        <v>1306</v>
      </c>
      <c r="D19" t="s">
        <v>906</v>
      </c>
    </row>
    <row r="20" spans="1:4">
      <c r="A20" t="s">
        <v>723</v>
      </c>
      <c r="B20" t="s">
        <v>724</v>
      </c>
      <c r="D20" t="s">
        <v>1138</v>
      </c>
    </row>
    <row r="21" spans="1:4">
      <c r="A21" t="s">
        <v>1194</v>
      </c>
      <c r="B21" t="s">
        <v>1307</v>
      </c>
      <c r="D21" t="s">
        <v>1195</v>
      </c>
    </row>
    <row r="22" spans="1:4">
      <c r="A22" t="s">
        <v>691</v>
      </c>
      <c r="B22" t="s">
        <v>366</v>
      </c>
    </row>
    <row r="23" spans="1:4">
      <c r="A23" t="s">
        <v>1308</v>
      </c>
      <c r="B23" t="s">
        <v>366</v>
      </c>
      <c r="C23" t="s">
        <v>367</v>
      </c>
      <c r="D23" t="s">
        <v>611</v>
      </c>
    </row>
    <row r="24" spans="1:4">
      <c r="A24" t="s">
        <v>1309</v>
      </c>
      <c r="B24" t="s">
        <v>366</v>
      </c>
      <c r="C24" t="s">
        <v>395</v>
      </c>
      <c r="D24" t="s">
        <v>614</v>
      </c>
    </row>
    <row r="25" spans="1:4">
      <c r="A25" t="s">
        <v>1101</v>
      </c>
      <c r="B25" t="s">
        <v>1310</v>
      </c>
    </row>
    <row r="26" spans="1:4">
      <c r="A26" t="s">
        <v>689</v>
      </c>
      <c r="B26" t="s">
        <v>379</v>
      </c>
    </row>
    <row r="27" spans="1:4">
      <c r="A27" t="s">
        <v>1311</v>
      </c>
      <c r="B27" t="s">
        <v>993</v>
      </c>
    </row>
    <row r="28" spans="1:4">
      <c r="A28" t="s">
        <v>1098</v>
      </c>
      <c r="B28" t="s">
        <v>1108</v>
      </c>
    </row>
    <row r="29" spans="1:4">
      <c r="A29" t="s">
        <v>713</v>
      </c>
      <c r="B29" t="s">
        <v>508</v>
      </c>
      <c r="D29" t="s">
        <v>509</v>
      </c>
    </row>
    <row r="30" spans="1:4">
      <c r="A30" t="s">
        <v>744</v>
      </c>
      <c r="B30" t="s">
        <v>745</v>
      </c>
    </row>
    <row r="31" spans="1:4">
      <c r="A31" t="s">
        <v>743</v>
      </c>
      <c r="B31" t="s">
        <v>1312</v>
      </c>
    </row>
    <row r="32" spans="1:4">
      <c r="A32" t="s">
        <v>678</v>
      </c>
      <c r="B32" t="s">
        <v>425</v>
      </c>
    </row>
    <row r="33" spans="1:4">
      <c r="A33" t="s">
        <v>1313</v>
      </c>
      <c r="B33" t="s">
        <v>425</v>
      </c>
      <c r="C33" t="s">
        <v>346</v>
      </c>
      <c r="D33" t="s">
        <v>431</v>
      </c>
    </row>
    <row r="34" spans="1:4">
      <c r="A34" t="s">
        <v>1314</v>
      </c>
      <c r="B34" t="s">
        <v>425</v>
      </c>
      <c r="C34" t="s">
        <v>354</v>
      </c>
      <c r="D34" t="s">
        <v>437</v>
      </c>
    </row>
    <row r="35" spans="1:4">
      <c r="A35" t="s">
        <v>1383</v>
      </c>
      <c r="B35" t="s">
        <v>425</v>
      </c>
      <c r="C35" t="s">
        <v>1381</v>
      </c>
      <c r="D35" t="s">
        <v>906</v>
      </c>
    </row>
    <row r="36" spans="1:4">
      <c r="A36" t="s">
        <v>1315</v>
      </c>
      <c r="B36" t="s">
        <v>425</v>
      </c>
      <c r="C36" t="s">
        <v>390</v>
      </c>
      <c r="D36" t="s">
        <v>391</v>
      </c>
    </row>
    <row r="37" spans="1:4">
      <c r="A37" t="s">
        <v>1437</v>
      </c>
      <c r="B37" t="s">
        <v>425</v>
      </c>
      <c r="C37" t="s">
        <v>346</v>
      </c>
      <c r="D37" t="s">
        <v>431</v>
      </c>
    </row>
    <row r="38" spans="1:4">
      <c r="A38" t="s">
        <v>1316</v>
      </c>
      <c r="B38" t="s">
        <v>425</v>
      </c>
      <c r="C38" t="s">
        <v>340</v>
      </c>
      <c r="D38" t="s">
        <v>428</v>
      </c>
    </row>
    <row r="39" spans="1:4">
      <c r="A39" t="s">
        <v>1395</v>
      </c>
      <c r="B39" t="s">
        <v>425</v>
      </c>
      <c r="C39" t="s">
        <v>1392</v>
      </c>
      <c r="D39" t="s">
        <v>1393</v>
      </c>
    </row>
    <row r="40" spans="1:4">
      <c r="A40" t="s">
        <v>1373</v>
      </c>
      <c r="B40" t="s">
        <v>425</v>
      </c>
      <c r="C40" t="s">
        <v>1273</v>
      </c>
    </row>
    <row r="41" spans="1:4">
      <c r="A41" t="s">
        <v>1364</v>
      </c>
      <c r="B41" t="s">
        <v>1279</v>
      </c>
    </row>
    <row r="42" spans="1:4">
      <c r="A42" t="s">
        <v>679</v>
      </c>
      <c r="B42" t="s">
        <v>335</v>
      </c>
    </row>
    <row r="43" spans="1:4">
      <c r="A43" t="s">
        <v>1365</v>
      </c>
      <c r="B43" t="s">
        <v>335</v>
      </c>
      <c r="C43" t="s">
        <v>346</v>
      </c>
      <c r="D43" t="s">
        <v>431</v>
      </c>
    </row>
    <row r="44" spans="1:4">
      <c r="A44" t="s">
        <v>1385</v>
      </c>
      <c r="B44" t="s">
        <v>335</v>
      </c>
      <c r="C44" t="s">
        <v>354</v>
      </c>
      <c r="D44" t="s">
        <v>437</v>
      </c>
    </row>
    <row r="45" spans="1:4">
      <c r="A45" t="s">
        <v>1387</v>
      </c>
      <c r="B45" t="s">
        <v>335</v>
      </c>
      <c r="C45" t="s">
        <v>1384</v>
      </c>
      <c r="D45" t="s">
        <v>779</v>
      </c>
    </row>
    <row r="46" spans="1:4">
      <c r="A46" t="s">
        <v>1366</v>
      </c>
      <c r="B46" t="s">
        <v>335</v>
      </c>
      <c r="C46" t="s">
        <v>390</v>
      </c>
      <c r="D46" t="s">
        <v>391</v>
      </c>
    </row>
    <row r="47" spans="1:4">
      <c r="A47" t="s">
        <v>1367</v>
      </c>
      <c r="B47" t="s">
        <v>335</v>
      </c>
      <c r="C47" t="s">
        <v>346</v>
      </c>
      <c r="D47" t="s">
        <v>431</v>
      </c>
    </row>
    <row r="48" spans="1:4">
      <c r="A48" t="s">
        <v>1368</v>
      </c>
      <c r="B48" t="s">
        <v>335</v>
      </c>
      <c r="C48" t="s">
        <v>340</v>
      </c>
      <c r="D48" t="s">
        <v>428</v>
      </c>
    </row>
    <row r="49" spans="1:4">
      <c r="A49" t="s">
        <v>1096</v>
      </c>
      <c r="B49" t="s">
        <v>1317</v>
      </c>
    </row>
    <row r="50" spans="1:4">
      <c r="A50" t="s">
        <v>730</v>
      </c>
      <c r="B50" t="s">
        <v>1318</v>
      </c>
      <c r="D50" t="s">
        <v>1396</v>
      </c>
    </row>
    <row r="51" spans="1:4">
      <c r="A51" t="s">
        <v>1319</v>
      </c>
      <c r="B51" t="s">
        <v>1320</v>
      </c>
      <c r="D51" t="s">
        <v>1458</v>
      </c>
    </row>
    <row r="52" spans="1:4">
      <c r="A52" t="s">
        <v>1238</v>
      </c>
      <c r="B52" t="s">
        <v>1321</v>
      </c>
      <c r="D52" t="s">
        <v>1458</v>
      </c>
    </row>
    <row r="53" spans="1:4">
      <c r="A53" t="s">
        <v>1239</v>
      </c>
      <c r="B53" t="s">
        <v>1322</v>
      </c>
      <c r="D53" t="s">
        <v>1458</v>
      </c>
    </row>
    <row r="54" spans="1:4">
      <c r="A54" t="s">
        <v>701</v>
      </c>
      <c r="B54" t="s">
        <v>384</v>
      </c>
      <c r="D54" t="s">
        <v>385</v>
      </c>
    </row>
    <row r="55" spans="1:4">
      <c r="A55" t="s">
        <v>1323</v>
      </c>
      <c r="B55" t="s">
        <v>384</v>
      </c>
      <c r="C55" t="s">
        <v>350</v>
      </c>
      <c r="D55" t="s">
        <v>385</v>
      </c>
    </row>
    <row r="56" spans="1:4">
      <c r="A56" t="s">
        <v>1324</v>
      </c>
      <c r="B56" t="s">
        <v>384</v>
      </c>
      <c r="C56" t="s">
        <v>352</v>
      </c>
      <c r="D56" t="s">
        <v>389</v>
      </c>
    </row>
    <row r="57" spans="1:4">
      <c r="A57" t="s">
        <v>700</v>
      </c>
      <c r="B57" t="s">
        <v>349</v>
      </c>
      <c r="D57" t="s">
        <v>2171</v>
      </c>
    </row>
    <row r="58" spans="1:4">
      <c r="A58" t="s">
        <v>1389</v>
      </c>
      <c r="B58" t="s">
        <v>349</v>
      </c>
      <c r="C58" t="s">
        <v>350</v>
      </c>
      <c r="D58" t="s">
        <v>385</v>
      </c>
    </row>
    <row r="59" spans="1:4">
      <c r="A59" t="s">
        <v>1391</v>
      </c>
      <c r="B59" t="s">
        <v>349</v>
      </c>
      <c r="C59" t="s">
        <v>352</v>
      </c>
      <c r="D59" t="s">
        <v>389</v>
      </c>
    </row>
    <row r="60" spans="1:4">
      <c r="A60" t="s">
        <v>754</v>
      </c>
      <c r="B60" t="s">
        <v>570</v>
      </c>
      <c r="D60" t="s">
        <v>443</v>
      </c>
    </row>
    <row r="61" spans="1:4">
      <c r="A61" t="s">
        <v>1175</v>
      </c>
      <c r="B61" t="s">
        <v>1561</v>
      </c>
      <c r="D61" t="s">
        <v>443</v>
      </c>
    </row>
    <row r="62" spans="1:4">
      <c r="A62" t="s">
        <v>1325</v>
      </c>
      <c r="B62" t="s">
        <v>1326</v>
      </c>
    </row>
    <row r="63" spans="1:4">
      <c r="A63" t="s">
        <v>698</v>
      </c>
      <c r="B63" t="s">
        <v>699</v>
      </c>
    </row>
    <row r="64" spans="1:4">
      <c r="A64" t="s">
        <v>731</v>
      </c>
      <c r="B64" t="s">
        <v>1327</v>
      </c>
      <c r="D64" s="10" t="s">
        <v>1041</v>
      </c>
    </row>
    <row r="65" spans="1:4">
      <c r="A65" t="s">
        <v>734</v>
      </c>
      <c r="B65" t="s">
        <v>735</v>
      </c>
      <c r="D65" s="10" t="s">
        <v>1003</v>
      </c>
    </row>
    <row r="66" spans="1:4">
      <c r="A66" t="s">
        <v>1328</v>
      </c>
      <c r="B66" t="s">
        <v>1329</v>
      </c>
    </row>
    <row r="67" spans="1:4">
      <c r="A67" t="s">
        <v>1330</v>
      </c>
      <c r="B67" t="s">
        <v>999</v>
      </c>
      <c r="D67" t="s">
        <v>1397</v>
      </c>
    </row>
    <row r="68" spans="1:4">
      <c r="A68" t="s">
        <v>1331</v>
      </c>
      <c r="B68" t="s">
        <v>1332</v>
      </c>
      <c r="D68" t="s">
        <v>1398</v>
      </c>
    </row>
    <row r="69" spans="1:4">
      <c r="A69" t="s">
        <v>694</v>
      </c>
      <c r="B69" t="s">
        <v>695</v>
      </c>
    </row>
    <row r="70" spans="1:4">
      <c r="A70" t="s">
        <v>1100</v>
      </c>
      <c r="B70" t="s">
        <v>343</v>
      </c>
      <c r="D70" t="s">
        <v>1399</v>
      </c>
    </row>
    <row r="71" spans="1:4">
      <c r="A71" t="s">
        <v>1333</v>
      </c>
      <c r="B71" t="s">
        <v>742</v>
      </c>
    </row>
    <row r="72" spans="1:4">
      <c r="A72" t="s">
        <v>1334</v>
      </c>
      <c r="B72" t="s">
        <v>535</v>
      </c>
    </row>
    <row r="73" spans="1:4">
      <c r="A73" t="s">
        <v>708</v>
      </c>
      <c r="B73" t="s">
        <v>709</v>
      </c>
    </row>
    <row r="74" spans="1:4">
      <c r="A74" t="s">
        <v>704</v>
      </c>
      <c r="B74" t="s">
        <v>705</v>
      </c>
    </row>
    <row r="75" spans="1:4">
      <c r="A75" t="s">
        <v>726</v>
      </c>
      <c r="B75" t="s">
        <v>364</v>
      </c>
    </row>
    <row r="76" spans="1:4">
      <c r="A76" t="s">
        <v>706</v>
      </c>
      <c r="B76" t="s">
        <v>707</v>
      </c>
    </row>
    <row r="77" spans="1:4">
      <c r="A77" t="s">
        <v>702</v>
      </c>
      <c r="B77" t="s">
        <v>2781</v>
      </c>
    </row>
    <row r="78" spans="1:4">
      <c r="A78" t="s">
        <v>750</v>
      </c>
      <c r="B78" t="s">
        <v>751</v>
      </c>
    </row>
    <row r="79" spans="1:4">
      <c r="A79" t="s">
        <v>697</v>
      </c>
      <c r="B79" t="s">
        <v>990</v>
      </c>
    </row>
    <row r="80" spans="1:4">
      <c r="A80" t="s">
        <v>1375</v>
      </c>
      <c r="B80" t="s">
        <v>990</v>
      </c>
      <c r="C80" t="s">
        <v>1376</v>
      </c>
      <c r="D80" t="s">
        <v>1377</v>
      </c>
    </row>
    <row r="81" spans="1:4">
      <c r="A81" t="s">
        <v>696</v>
      </c>
      <c r="B81" t="s">
        <v>357</v>
      </c>
    </row>
    <row r="82" spans="1:4">
      <c r="A82" t="s">
        <v>1372</v>
      </c>
      <c r="B82" t="s">
        <v>357</v>
      </c>
      <c r="C82" t="s">
        <v>358</v>
      </c>
      <c r="D82" t="s">
        <v>359</v>
      </c>
    </row>
    <row r="83" spans="1:4">
      <c r="A83" t="s">
        <v>687</v>
      </c>
      <c r="B83" t="s">
        <v>688</v>
      </c>
    </row>
    <row r="84" spans="1:4">
      <c r="A84" t="s">
        <v>680</v>
      </c>
      <c r="B84" t="s">
        <v>681</v>
      </c>
    </row>
    <row r="85" spans="1:4">
      <c r="A85" t="s">
        <v>676</v>
      </c>
      <c r="B85" t="s">
        <v>1335</v>
      </c>
    </row>
    <row r="86" spans="1:4">
      <c r="A86" t="s">
        <v>753</v>
      </c>
      <c r="B86" t="s">
        <v>427</v>
      </c>
    </row>
    <row r="87" spans="1:4">
      <c r="A87" t="s">
        <v>752</v>
      </c>
      <c r="B87" t="s">
        <v>1336</v>
      </c>
    </row>
    <row r="88" spans="1:4">
      <c r="A88" t="s">
        <v>711</v>
      </c>
      <c r="B88" t="s">
        <v>712</v>
      </c>
    </row>
    <row r="89" spans="1:4">
      <c r="A89" t="s">
        <v>1099</v>
      </c>
      <c r="B89" t="s">
        <v>1111</v>
      </c>
      <c r="D89" t="s">
        <v>359</v>
      </c>
    </row>
    <row r="90" spans="1:4">
      <c r="A90" t="s">
        <v>682</v>
      </c>
      <c r="B90" t="s">
        <v>683</v>
      </c>
      <c r="D90" t="s">
        <v>359</v>
      </c>
    </row>
    <row r="91" spans="1:4">
      <c r="A91" t="s">
        <v>1097</v>
      </c>
      <c r="B91" t="s">
        <v>499</v>
      </c>
    </row>
    <row r="92" spans="1:4">
      <c r="A92" t="s">
        <v>714</v>
      </c>
      <c r="B92" t="s">
        <v>392</v>
      </c>
      <c r="D92" t="s">
        <v>393</v>
      </c>
    </row>
    <row r="93" spans="1:4">
      <c r="A93" t="s">
        <v>739</v>
      </c>
      <c r="B93" t="s">
        <v>740</v>
      </c>
      <c r="D93" t="s">
        <v>393</v>
      </c>
    </row>
    <row r="94" spans="1:4">
      <c r="A94" t="s">
        <v>1250</v>
      </c>
      <c r="B94" t="s">
        <v>1337</v>
      </c>
      <c r="D94" t="s">
        <v>393</v>
      </c>
    </row>
    <row r="95" spans="1:4">
      <c r="A95" t="s">
        <v>1338</v>
      </c>
      <c r="B95" t="s">
        <v>690</v>
      </c>
    </row>
    <row r="96" spans="1:4">
      <c r="A96" t="s">
        <v>748</v>
      </c>
      <c r="B96" t="s">
        <v>531</v>
      </c>
    </row>
    <row r="97" spans="1:4">
      <c r="A97" t="s">
        <v>746</v>
      </c>
      <c r="B97" t="s">
        <v>747</v>
      </c>
      <c r="D97" t="s">
        <v>532</v>
      </c>
    </row>
    <row r="98" spans="1:4">
      <c r="A98" t="s">
        <v>1339</v>
      </c>
      <c r="B98" t="s">
        <v>2783</v>
      </c>
    </row>
    <row r="99" spans="1:4">
      <c r="A99" t="s">
        <v>1340</v>
      </c>
      <c r="B99" t="s">
        <v>1341</v>
      </c>
    </row>
    <row r="100" spans="1:4">
      <c r="A100" t="s">
        <v>1342</v>
      </c>
      <c r="B100" t="s">
        <v>686</v>
      </c>
      <c r="D100" t="s">
        <v>362</v>
      </c>
    </row>
    <row r="101" spans="1:4">
      <c r="A101" t="s">
        <v>1343</v>
      </c>
      <c r="B101" t="s">
        <v>490</v>
      </c>
      <c r="D101" t="s">
        <v>362</v>
      </c>
    </row>
    <row r="102" spans="1:4">
      <c r="A102" t="s">
        <v>1344</v>
      </c>
      <c r="B102" t="s">
        <v>2200</v>
      </c>
      <c r="D102" t="s">
        <v>362</v>
      </c>
    </row>
    <row r="103" spans="1:4">
      <c r="A103" t="s">
        <v>749</v>
      </c>
      <c r="B103" t="s">
        <v>542</v>
      </c>
    </row>
    <row r="104" spans="1:4">
      <c r="A104" t="s">
        <v>1345</v>
      </c>
      <c r="B104" t="s">
        <v>495</v>
      </c>
      <c r="D104" t="s">
        <v>449</v>
      </c>
    </row>
    <row r="105" spans="1:4">
      <c r="A105" t="s">
        <v>1346</v>
      </c>
      <c r="B105" t="s">
        <v>1347</v>
      </c>
    </row>
    <row r="106" spans="1:4">
      <c r="A106" t="s">
        <v>1119</v>
      </c>
      <c r="B106" t="s">
        <v>377</v>
      </c>
      <c r="D106" t="s">
        <v>1190</v>
      </c>
    </row>
    <row r="107" spans="1:4">
      <c r="A107" t="s">
        <v>1348</v>
      </c>
      <c r="B107" t="s">
        <v>1349</v>
      </c>
    </row>
    <row r="108" spans="1:4">
      <c r="A108" t="s">
        <v>1400</v>
      </c>
      <c r="B108" t="s">
        <v>793</v>
      </c>
    </row>
    <row r="109" spans="1:4">
      <c r="A109" t="s">
        <v>1401</v>
      </c>
      <c r="B109" t="s">
        <v>793</v>
      </c>
      <c r="C109" t="s">
        <v>1402</v>
      </c>
      <c r="D109" t="s">
        <v>1190</v>
      </c>
    </row>
    <row r="110" spans="1:4">
      <c r="A110" t="s">
        <v>1403</v>
      </c>
      <c r="B110" t="s">
        <v>793</v>
      </c>
      <c r="C110" t="s">
        <v>1404</v>
      </c>
      <c r="D110" t="s">
        <v>1190</v>
      </c>
    </row>
    <row r="111" spans="1:4">
      <c r="A111" t="s">
        <v>1406</v>
      </c>
      <c r="B111" t="s">
        <v>793</v>
      </c>
      <c r="C111" t="s">
        <v>1407</v>
      </c>
      <c r="D111" t="s">
        <v>1190</v>
      </c>
    </row>
    <row r="112" spans="1:4">
      <c r="A112" t="s">
        <v>1518</v>
      </c>
      <c r="B112" t="s">
        <v>793</v>
      </c>
      <c r="C112" t="s">
        <v>766</v>
      </c>
      <c r="D112" t="s">
        <v>1190</v>
      </c>
    </row>
    <row r="113" spans="1:4">
      <c r="A113" t="s">
        <v>1515</v>
      </c>
      <c r="B113" t="s">
        <v>793</v>
      </c>
      <c r="C113" t="s">
        <v>1516</v>
      </c>
      <c r="D113" t="s">
        <v>1190</v>
      </c>
    </row>
    <row r="114" spans="1:4">
      <c r="A114" t="s">
        <v>1350</v>
      </c>
      <c r="B114" t="s">
        <v>1351</v>
      </c>
    </row>
    <row r="115" spans="1:4">
      <c r="A115" t="s">
        <v>732</v>
      </c>
      <c r="B115" t="s">
        <v>733</v>
      </c>
      <c r="D115" t="s">
        <v>1186</v>
      </c>
    </row>
    <row r="116" spans="1:4">
      <c r="A116" t="s">
        <v>946</v>
      </c>
      <c r="B116" t="s">
        <v>1352</v>
      </c>
      <c r="D116" t="s">
        <v>790</v>
      </c>
    </row>
    <row r="117" spans="1:4">
      <c r="A117" t="s">
        <v>725</v>
      </c>
      <c r="B117" t="s">
        <v>1353</v>
      </c>
      <c r="D117" t="s">
        <v>1186</v>
      </c>
    </row>
    <row r="118" spans="1:4">
      <c r="A118" t="s">
        <v>1354</v>
      </c>
      <c r="B118" t="s">
        <v>785</v>
      </c>
      <c r="D118" t="s">
        <v>790</v>
      </c>
    </row>
    <row r="119" spans="1:4">
      <c r="A119" t="s">
        <v>1355</v>
      </c>
      <c r="B119" t="s">
        <v>784</v>
      </c>
      <c r="D119" t="s">
        <v>790</v>
      </c>
    </row>
    <row r="120" spans="1:4">
      <c r="A120" t="s">
        <v>710</v>
      </c>
      <c r="B120" t="s">
        <v>2084</v>
      </c>
    </row>
    <row r="121" spans="1:4">
      <c r="A121" t="s">
        <v>741</v>
      </c>
      <c r="B121" t="s">
        <v>1356</v>
      </c>
      <c r="D121" t="s">
        <v>1189</v>
      </c>
    </row>
    <row r="122" spans="1:4">
      <c r="A122" t="s">
        <v>1357</v>
      </c>
      <c r="B122" t="s">
        <v>1107</v>
      </c>
    </row>
    <row r="123" spans="1:4">
      <c r="A123" t="s">
        <v>1358</v>
      </c>
      <c r="B123" t="s">
        <v>1102</v>
      </c>
    </row>
    <row r="124" spans="1:4">
      <c r="A124" t="s">
        <v>1359</v>
      </c>
      <c r="B124" t="s">
        <v>514</v>
      </c>
      <c r="D124" t="s">
        <v>365</v>
      </c>
    </row>
    <row r="125" spans="1:4">
      <c r="A125" t="s">
        <v>1360</v>
      </c>
      <c r="B125" t="s">
        <v>1103</v>
      </c>
    </row>
    <row r="126" spans="1:4">
      <c r="A126" t="s">
        <v>1361</v>
      </c>
      <c r="B126" t="s">
        <v>1105</v>
      </c>
    </row>
    <row r="127" spans="1:4">
      <c r="A127" t="s">
        <v>1362</v>
      </c>
      <c r="B127" t="s">
        <v>1104</v>
      </c>
    </row>
    <row r="128" spans="1:4">
      <c r="A128" t="s">
        <v>1363</v>
      </c>
      <c r="B128" t="s">
        <v>1106</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37"/>
  <sheetViews>
    <sheetView zoomScaleNormal="100" workbookViewId="0">
      <pane xSplit="5" ySplit="3" topLeftCell="F28" activePane="bottomRight" state="frozen"/>
      <selection pane="topRight" activeCell="D1" sqref="D1"/>
      <selection pane="bottomLeft" activeCell="A4" sqref="A4"/>
      <selection pane="bottomRight" activeCell="G8" sqref="G8"/>
    </sheetView>
  </sheetViews>
  <sheetFormatPr defaultColWidth="9" defaultRowHeight="13.5"/>
  <cols>
    <col min="1" max="1" width="20.125" style="130" bestFit="1" customWidth="1"/>
    <col min="2" max="2" width="20.125" style="80" customWidth="1"/>
    <col min="3" max="3" width="22.75" style="80" customWidth="1"/>
    <col min="4" max="4" width="13.625" style="80" bestFit="1" customWidth="1"/>
    <col min="5" max="5" width="13.625" style="80" customWidth="1"/>
    <col min="6" max="6" width="9.375" style="80" bestFit="1" customWidth="1"/>
    <col min="7" max="7" width="9.375" style="80" customWidth="1"/>
    <col min="8" max="8" width="9" style="80" bestFit="1" customWidth="1"/>
    <col min="9" max="9" width="34.25" style="80" bestFit="1" customWidth="1"/>
    <col min="10" max="10" width="35.875" style="80" bestFit="1" customWidth="1"/>
    <col min="11" max="11" width="20.75" style="80" bestFit="1" customWidth="1"/>
    <col min="12" max="12" width="24.875" style="80" bestFit="1" customWidth="1"/>
    <col min="13" max="13" width="36.375" style="80" bestFit="1" customWidth="1"/>
    <col min="14" max="14" width="10.875" style="80" bestFit="1" customWidth="1"/>
    <col min="15" max="15" width="34" style="80" bestFit="1" customWidth="1"/>
    <col min="16" max="16" width="19.375" style="80" bestFit="1" customWidth="1"/>
    <col min="17" max="21" width="9" style="80" customWidth="1"/>
    <col min="22" max="16384" width="9" style="80"/>
  </cols>
  <sheetData>
    <row r="1" spans="1:16" s="23" customFormat="1" ht="16.5" customHeight="1">
      <c r="A1" s="126" t="s">
        <v>304</v>
      </c>
      <c r="B1" s="21" t="s">
        <v>305</v>
      </c>
      <c r="C1" s="21" t="s">
        <v>306</v>
      </c>
      <c r="D1" s="20" t="s">
        <v>307</v>
      </c>
      <c r="E1" s="6" t="s">
        <v>308</v>
      </c>
      <c r="F1" s="20" t="s">
        <v>1526</v>
      </c>
      <c r="G1" s="165" t="s">
        <v>3740</v>
      </c>
      <c r="H1" s="22" t="s">
        <v>309</v>
      </c>
      <c r="I1" s="22" t="s">
        <v>310</v>
      </c>
      <c r="J1" s="22" t="s">
        <v>311</v>
      </c>
      <c r="K1" s="22" t="s">
        <v>312</v>
      </c>
      <c r="L1" s="22" t="s">
        <v>313</v>
      </c>
      <c r="M1" s="22" t="s">
        <v>314</v>
      </c>
      <c r="N1" s="22" t="s">
        <v>315</v>
      </c>
      <c r="O1" s="22" t="s">
        <v>316</v>
      </c>
      <c r="P1" s="9" t="s">
        <v>317</v>
      </c>
    </row>
    <row r="2" spans="1:16" s="23" customFormat="1" ht="16.5" customHeight="1">
      <c r="A2" s="126" t="s">
        <v>318</v>
      </c>
      <c r="B2" s="20" t="s">
        <v>3</v>
      </c>
      <c r="C2" s="20" t="s">
        <v>319</v>
      </c>
      <c r="D2" s="20" t="s">
        <v>320</v>
      </c>
      <c r="E2" s="5" t="s">
        <v>321</v>
      </c>
      <c r="F2" s="20" t="s">
        <v>1527</v>
      </c>
      <c r="G2" s="165" t="s">
        <v>851</v>
      </c>
      <c r="H2" s="22" t="s">
        <v>322</v>
      </c>
      <c r="I2" s="22" t="s">
        <v>323</v>
      </c>
      <c r="J2" s="22" t="s">
        <v>323</v>
      </c>
      <c r="K2" s="22" t="s">
        <v>324</v>
      </c>
      <c r="L2" s="22" t="s">
        <v>325</v>
      </c>
      <c r="M2" s="22" t="s">
        <v>326</v>
      </c>
      <c r="N2" s="22" t="s">
        <v>322</v>
      </c>
      <c r="O2" s="22" t="s">
        <v>320</v>
      </c>
      <c r="P2" s="9" t="s">
        <v>327</v>
      </c>
    </row>
    <row r="3" spans="1:16" s="23" customFormat="1" ht="16.5" customHeight="1">
      <c r="A3" s="126" t="s">
        <v>328</v>
      </c>
      <c r="B3" s="20" t="s">
        <v>3</v>
      </c>
      <c r="C3" s="20" t="s">
        <v>328</v>
      </c>
      <c r="D3" s="20" t="s">
        <v>329</v>
      </c>
      <c r="E3" s="5" t="s">
        <v>4</v>
      </c>
      <c r="F3" s="20" t="s">
        <v>1528</v>
      </c>
      <c r="G3" s="165" t="s">
        <v>328</v>
      </c>
      <c r="H3" s="22" t="s">
        <v>328</v>
      </c>
      <c r="I3" s="22" t="s">
        <v>4</v>
      </c>
      <c r="J3" s="22" t="s">
        <v>4</v>
      </c>
      <c r="K3" s="22" t="s">
        <v>328</v>
      </c>
      <c r="L3" s="22" t="s">
        <v>328</v>
      </c>
      <c r="M3" s="22" t="s">
        <v>328</v>
      </c>
      <c r="N3" s="22" t="s">
        <v>328</v>
      </c>
      <c r="O3" s="22" t="s">
        <v>328</v>
      </c>
      <c r="P3" s="9" t="s">
        <v>4</v>
      </c>
    </row>
    <row r="4" spans="1:16">
      <c r="A4" s="127" t="s">
        <v>3186</v>
      </c>
      <c r="B4" s="38"/>
      <c r="C4" s="262">
        <v>2200000000000</v>
      </c>
      <c r="D4" s="75" t="s">
        <v>331</v>
      </c>
      <c r="E4" s="75" t="b">
        <v>1</v>
      </c>
      <c r="F4" s="75"/>
      <c r="G4" s="75"/>
      <c r="H4" s="76"/>
      <c r="I4" s="77"/>
      <c r="J4" s="78"/>
      <c r="K4" s="78"/>
      <c r="L4" s="78"/>
      <c r="M4" s="78"/>
      <c r="N4" s="78"/>
      <c r="O4" s="79"/>
      <c r="P4" s="75"/>
    </row>
    <row r="5" spans="1:16" ht="33" customHeight="1">
      <c r="A5" s="128"/>
      <c r="B5" s="81"/>
      <c r="C5" s="81"/>
      <c r="D5" s="81"/>
      <c r="E5" s="81"/>
      <c r="F5" s="81"/>
      <c r="G5" s="81"/>
      <c r="H5" s="82" t="s">
        <v>332</v>
      </c>
      <c r="I5" s="83" t="s">
        <v>333</v>
      </c>
      <c r="J5" s="83" t="s">
        <v>333</v>
      </c>
      <c r="K5" s="83" t="s">
        <v>1022</v>
      </c>
      <c r="L5" s="83" t="s">
        <v>335</v>
      </c>
      <c r="M5" s="83" t="s">
        <v>336</v>
      </c>
      <c r="N5" s="83">
        <v>1</v>
      </c>
      <c r="O5" s="84" t="s">
        <v>2679</v>
      </c>
      <c r="P5" s="81" t="s">
        <v>337</v>
      </c>
    </row>
    <row r="6" spans="1:16" ht="17.25" customHeight="1">
      <c r="A6" s="127" t="s">
        <v>338</v>
      </c>
      <c r="B6" s="39"/>
      <c r="C6" s="81" t="s">
        <v>330</v>
      </c>
      <c r="D6" s="81" t="s">
        <v>331</v>
      </c>
      <c r="E6" s="81" t="b">
        <v>1</v>
      </c>
      <c r="F6" s="81"/>
      <c r="G6" s="81"/>
      <c r="H6" s="85"/>
      <c r="I6" s="85"/>
      <c r="J6" s="85"/>
      <c r="K6" s="85"/>
      <c r="L6" s="85"/>
      <c r="M6" s="85"/>
      <c r="N6" s="85"/>
      <c r="O6" s="85"/>
      <c r="P6" s="81"/>
    </row>
    <row r="7" spans="1:16" ht="33.75" customHeight="1">
      <c r="A7" s="128"/>
      <c r="B7" s="81"/>
      <c r="C7" s="81"/>
      <c r="D7" s="81"/>
      <c r="E7" s="81"/>
      <c r="F7" s="81"/>
      <c r="G7" s="81"/>
      <c r="H7" s="82" t="s">
        <v>332</v>
      </c>
      <c r="I7" s="83" t="s">
        <v>339</v>
      </c>
      <c r="J7" s="83" t="s">
        <v>339</v>
      </c>
      <c r="K7" s="83" t="s">
        <v>334</v>
      </c>
      <c r="L7" s="83" t="s">
        <v>335</v>
      </c>
      <c r="M7" s="83" t="s">
        <v>340</v>
      </c>
      <c r="N7" s="83" t="s">
        <v>332</v>
      </c>
      <c r="O7" s="84" t="s">
        <v>2716</v>
      </c>
      <c r="P7" s="81" t="s">
        <v>341</v>
      </c>
    </row>
    <row r="8" spans="1:16">
      <c r="A8" s="127" t="s">
        <v>1554</v>
      </c>
      <c r="B8" s="38"/>
      <c r="C8" s="75" t="s">
        <v>330</v>
      </c>
      <c r="D8" s="75" t="s">
        <v>331</v>
      </c>
      <c r="E8" s="75" t="b">
        <v>1</v>
      </c>
      <c r="F8" s="75"/>
      <c r="G8" s="75"/>
      <c r="H8" s="76"/>
      <c r="I8" s="78"/>
      <c r="J8" s="78"/>
      <c r="K8" s="78"/>
      <c r="L8" s="78"/>
      <c r="M8" s="78"/>
      <c r="N8" s="78"/>
      <c r="O8" s="79"/>
      <c r="P8" s="75"/>
    </row>
    <row r="9" spans="1:16" ht="33" customHeight="1">
      <c r="A9" s="128"/>
      <c r="B9" s="81"/>
      <c r="C9" s="81"/>
      <c r="D9" s="81"/>
      <c r="E9" s="81"/>
      <c r="F9" s="81"/>
      <c r="G9" s="81"/>
      <c r="H9" s="82">
        <v>1</v>
      </c>
      <c r="I9" s="83" t="s">
        <v>342</v>
      </c>
      <c r="J9" s="83" t="s">
        <v>342</v>
      </c>
      <c r="K9" s="83" t="s">
        <v>334</v>
      </c>
      <c r="L9" s="86" t="s">
        <v>343</v>
      </c>
      <c r="M9" s="83"/>
      <c r="N9" s="83">
        <v>2</v>
      </c>
      <c r="O9" s="84" t="s">
        <v>2679</v>
      </c>
      <c r="P9" s="81" t="s">
        <v>1261</v>
      </c>
    </row>
    <row r="10" spans="1:16">
      <c r="A10" s="129" t="s">
        <v>1555</v>
      </c>
      <c r="B10" s="39"/>
      <c r="C10" s="81">
        <v>2200000000000</v>
      </c>
      <c r="D10" s="81" t="s">
        <v>331</v>
      </c>
      <c r="E10" s="81" t="b">
        <v>1</v>
      </c>
      <c r="F10" s="81"/>
      <c r="G10" s="81"/>
      <c r="H10" s="85"/>
      <c r="I10" s="85"/>
      <c r="J10" s="85"/>
      <c r="K10" s="85"/>
      <c r="L10" s="85"/>
      <c r="M10" s="85"/>
      <c r="N10" s="85"/>
      <c r="O10" s="85"/>
      <c r="P10" s="81"/>
    </row>
    <row r="11" spans="1:16" ht="33.75" customHeight="1">
      <c r="A11" s="128"/>
      <c r="B11" s="81"/>
      <c r="C11" s="81"/>
      <c r="D11" s="81"/>
      <c r="E11" s="81"/>
      <c r="F11" s="81"/>
      <c r="G11" s="81"/>
      <c r="H11" s="82" t="s">
        <v>332</v>
      </c>
      <c r="I11" s="83" t="s">
        <v>2098</v>
      </c>
      <c r="J11" s="83" t="s">
        <v>345</v>
      </c>
      <c r="K11" s="83" t="s">
        <v>334</v>
      </c>
      <c r="L11" s="83" t="s">
        <v>335</v>
      </c>
      <c r="M11" s="83" t="s">
        <v>346</v>
      </c>
      <c r="N11" s="83" t="s">
        <v>332</v>
      </c>
      <c r="O11" s="84" t="s">
        <v>2680</v>
      </c>
      <c r="P11" s="40" t="s">
        <v>347</v>
      </c>
    </row>
    <row r="12" spans="1:16" ht="17.25" customHeight="1">
      <c r="A12" s="129" t="s">
        <v>1556</v>
      </c>
      <c r="B12" s="39"/>
      <c r="C12" s="81">
        <v>2200000000000</v>
      </c>
      <c r="D12" s="81" t="s">
        <v>331</v>
      </c>
      <c r="E12" s="81" t="b">
        <v>1</v>
      </c>
      <c r="F12" s="81"/>
      <c r="G12" s="81"/>
      <c r="H12" s="85"/>
      <c r="I12" s="85"/>
      <c r="J12" s="85"/>
      <c r="K12" s="85"/>
      <c r="L12" s="85"/>
      <c r="M12" s="85"/>
      <c r="N12" s="85"/>
      <c r="O12" s="85"/>
      <c r="P12" s="81"/>
    </row>
    <row r="13" spans="1:16" ht="33.75" customHeight="1">
      <c r="A13" s="128"/>
      <c r="B13" s="81"/>
      <c r="C13" s="81"/>
      <c r="D13" s="81"/>
      <c r="E13" s="81"/>
      <c r="F13" s="81"/>
      <c r="G13" s="81"/>
      <c r="H13" s="82" t="s">
        <v>332</v>
      </c>
      <c r="I13" s="83" t="s">
        <v>348</v>
      </c>
      <c r="J13" s="83" t="s">
        <v>348</v>
      </c>
      <c r="K13" s="83" t="s">
        <v>334</v>
      </c>
      <c r="L13" s="83" t="s">
        <v>349</v>
      </c>
      <c r="M13" s="83" t="s">
        <v>350</v>
      </c>
      <c r="N13" s="83" t="s">
        <v>332</v>
      </c>
      <c r="O13" s="84" t="s">
        <v>2680</v>
      </c>
      <c r="P13" s="81" t="s">
        <v>351</v>
      </c>
    </row>
    <row r="14" spans="1:16" s="146" customFormat="1" ht="17.25" customHeight="1">
      <c r="A14" s="142" t="s">
        <v>2233</v>
      </c>
      <c r="B14" s="143"/>
      <c r="C14" s="81" t="s">
        <v>330</v>
      </c>
      <c r="D14" s="81" t="s">
        <v>331</v>
      </c>
      <c r="E14" s="81" t="b">
        <v>1</v>
      </c>
      <c r="F14" s="144"/>
      <c r="G14" s="144"/>
      <c r="H14" s="145"/>
      <c r="I14" s="145"/>
      <c r="J14" s="145"/>
      <c r="K14" s="145"/>
      <c r="L14" s="145"/>
      <c r="M14" s="145"/>
      <c r="N14" s="145"/>
      <c r="O14" s="145"/>
      <c r="P14" s="144"/>
    </row>
    <row r="15" spans="1:16" s="146" customFormat="1" ht="33.75" customHeight="1">
      <c r="A15" s="147"/>
      <c r="B15" s="144"/>
      <c r="C15" s="144"/>
      <c r="D15" s="144"/>
      <c r="E15" s="144"/>
      <c r="F15" s="144"/>
      <c r="G15" s="144"/>
      <c r="H15" s="148">
        <v>1</v>
      </c>
      <c r="I15" s="149" t="s">
        <v>353</v>
      </c>
      <c r="J15" s="149" t="s">
        <v>353</v>
      </c>
      <c r="K15" s="150" t="s">
        <v>334</v>
      </c>
      <c r="L15" s="150" t="s">
        <v>335</v>
      </c>
      <c r="M15" s="150" t="s">
        <v>354</v>
      </c>
      <c r="N15" s="150">
        <v>1</v>
      </c>
      <c r="O15" s="84" t="s">
        <v>2680</v>
      </c>
      <c r="P15" s="150" t="s">
        <v>355</v>
      </c>
    </row>
    <row r="16" spans="1:16">
      <c r="A16" s="129" t="s">
        <v>1557</v>
      </c>
      <c r="B16" s="39"/>
      <c r="C16" s="81" t="s">
        <v>330</v>
      </c>
      <c r="D16" s="81" t="s">
        <v>331</v>
      </c>
      <c r="E16" s="81" t="b">
        <v>1</v>
      </c>
      <c r="F16" s="81"/>
      <c r="G16" s="81"/>
      <c r="H16" s="82"/>
      <c r="I16" s="83"/>
      <c r="J16" s="83"/>
      <c r="K16" s="83"/>
      <c r="L16" s="83"/>
      <c r="M16" s="83"/>
      <c r="N16" s="83"/>
      <c r="O16" s="84"/>
      <c r="P16" s="81"/>
    </row>
    <row r="17" spans="1:16" ht="33.75" customHeight="1">
      <c r="A17" s="80"/>
      <c r="B17" s="81"/>
      <c r="C17" s="81"/>
      <c r="D17" s="81"/>
      <c r="E17" s="81"/>
      <c r="F17" s="81"/>
      <c r="G17" s="81"/>
      <c r="H17" s="82">
        <v>1</v>
      </c>
      <c r="I17" s="83" t="s">
        <v>356</v>
      </c>
      <c r="J17" s="83" t="s">
        <v>356</v>
      </c>
      <c r="K17" s="83" t="s">
        <v>334</v>
      </c>
      <c r="L17" s="83" t="s">
        <v>357</v>
      </c>
      <c r="M17" s="83" t="s">
        <v>358</v>
      </c>
      <c r="N17" s="83">
        <v>10</v>
      </c>
      <c r="O17" s="84" t="s">
        <v>2680</v>
      </c>
      <c r="P17" s="81" t="s">
        <v>359</v>
      </c>
    </row>
    <row r="18" spans="1:16" ht="17.25" customHeight="1">
      <c r="A18" s="129" t="s">
        <v>2234</v>
      </c>
      <c r="B18" s="39"/>
      <c r="C18" s="81" t="s">
        <v>330</v>
      </c>
      <c r="D18" s="81" t="s">
        <v>331</v>
      </c>
      <c r="E18" s="81" t="b">
        <v>1</v>
      </c>
      <c r="F18" s="81"/>
      <c r="G18" s="81"/>
      <c r="H18" s="81"/>
      <c r="I18" s="87"/>
      <c r="J18" s="87"/>
      <c r="K18" s="87"/>
      <c r="L18" s="87"/>
      <c r="M18" s="87"/>
      <c r="N18" s="87"/>
      <c r="O18" s="87"/>
      <c r="P18" s="81"/>
    </row>
    <row r="19" spans="1:16" ht="33.75" customHeight="1">
      <c r="A19" s="128"/>
      <c r="B19" s="81"/>
      <c r="C19" s="81"/>
      <c r="D19" s="81"/>
      <c r="E19" s="81"/>
      <c r="F19" s="81"/>
      <c r="G19" s="81"/>
      <c r="H19" s="88" t="s">
        <v>332</v>
      </c>
      <c r="I19" s="89" t="s">
        <v>360</v>
      </c>
      <c r="J19" s="89" t="s">
        <v>360</v>
      </c>
      <c r="K19" s="89" t="s">
        <v>334</v>
      </c>
      <c r="L19" s="89" t="s">
        <v>361</v>
      </c>
      <c r="M19" s="87"/>
      <c r="N19" s="89">
        <v>1</v>
      </c>
      <c r="O19" s="84" t="s">
        <v>2680</v>
      </c>
      <c r="P19" s="81" t="s">
        <v>362</v>
      </c>
    </row>
    <row r="20" spans="1:16" ht="17.25" customHeight="1">
      <c r="A20" s="129" t="s">
        <v>1558</v>
      </c>
      <c r="B20" s="39"/>
      <c r="C20" s="81" t="s">
        <v>330</v>
      </c>
      <c r="D20" s="81" t="s">
        <v>331</v>
      </c>
      <c r="E20" s="81" t="b">
        <v>1</v>
      </c>
      <c r="F20" s="81"/>
      <c r="G20" s="81"/>
      <c r="H20" s="87"/>
      <c r="I20" s="87"/>
      <c r="J20" s="87"/>
      <c r="K20" s="87"/>
      <c r="L20" s="87"/>
      <c r="M20" s="87"/>
      <c r="N20" s="87"/>
      <c r="O20" s="87"/>
      <c r="P20" s="81"/>
    </row>
    <row r="21" spans="1:16" ht="33.75" customHeight="1">
      <c r="A21" s="128"/>
      <c r="B21" s="81"/>
      <c r="C21" s="81"/>
      <c r="D21" s="81"/>
      <c r="E21" s="81"/>
      <c r="F21" s="81"/>
      <c r="G21" s="81"/>
      <c r="H21" s="82" t="s">
        <v>332</v>
      </c>
      <c r="I21" s="83" t="s">
        <v>363</v>
      </c>
      <c r="J21" s="83" t="s">
        <v>363</v>
      </c>
      <c r="K21" s="83" t="s">
        <v>334</v>
      </c>
      <c r="L21" s="83" t="s">
        <v>364</v>
      </c>
      <c r="M21" s="83"/>
      <c r="N21" s="83" t="s">
        <v>332</v>
      </c>
      <c r="O21" s="84" t="s">
        <v>2680</v>
      </c>
      <c r="P21" s="81" t="s">
        <v>365</v>
      </c>
    </row>
    <row r="22" spans="1:16" ht="17.25" customHeight="1">
      <c r="A22" s="129" t="s">
        <v>1559</v>
      </c>
      <c r="B22" s="81"/>
      <c r="C22" s="81">
        <v>2200000000000</v>
      </c>
      <c r="D22" s="81" t="s">
        <v>331</v>
      </c>
      <c r="E22" s="81" t="b">
        <v>1</v>
      </c>
      <c r="F22" s="81"/>
      <c r="G22" s="81"/>
      <c r="H22" s="87"/>
      <c r="I22" s="87"/>
      <c r="J22" s="87"/>
      <c r="K22" s="87"/>
      <c r="L22" s="87"/>
      <c r="M22" s="87"/>
      <c r="N22" s="87"/>
      <c r="O22" s="87"/>
      <c r="P22" s="81"/>
    </row>
    <row r="23" spans="1:16" ht="17.25" customHeight="1">
      <c r="A23" s="128"/>
      <c r="B23" s="81"/>
      <c r="C23" s="81"/>
      <c r="D23" s="81"/>
      <c r="E23" s="81"/>
      <c r="F23" s="81"/>
      <c r="G23" s="81"/>
      <c r="H23" s="82" t="s">
        <v>332</v>
      </c>
      <c r="I23" s="83" t="s">
        <v>788</v>
      </c>
      <c r="J23" s="83" t="s">
        <v>788</v>
      </c>
      <c r="K23" s="83" t="s">
        <v>334</v>
      </c>
      <c r="L23" s="83" t="s">
        <v>785</v>
      </c>
      <c r="M23" s="83"/>
      <c r="N23" s="83" t="s">
        <v>332</v>
      </c>
      <c r="O23" s="84" t="s">
        <v>2690</v>
      </c>
      <c r="P23" s="81" t="s">
        <v>1037</v>
      </c>
    </row>
    <row r="24" spans="1:16">
      <c r="A24" s="128" t="s">
        <v>1560</v>
      </c>
      <c r="C24" s="81" t="s">
        <v>330</v>
      </c>
      <c r="D24" s="81" t="s">
        <v>331</v>
      </c>
      <c r="E24" s="81" t="b">
        <v>1</v>
      </c>
      <c r="F24" s="81"/>
      <c r="G24" s="81"/>
      <c r="H24" s="87"/>
      <c r="I24" s="87"/>
      <c r="J24" s="87"/>
      <c r="K24" s="87"/>
      <c r="L24" s="87"/>
      <c r="M24" s="87"/>
      <c r="N24" s="87"/>
      <c r="O24" s="87"/>
      <c r="P24" s="81"/>
    </row>
    <row r="25" spans="1:16">
      <c r="A25" s="128"/>
      <c r="C25" s="81"/>
      <c r="D25" s="81"/>
      <c r="E25" s="81"/>
      <c r="F25" s="81"/>
      <c r="G25" s="81"/>
      <c r="H25" s="82" t="s">
        <v>332</v>
      </c>
      <c r="I25" s="83" t="s">
        <v>2719</v>
      </c>
      <c r="J25" s="83" t="s">
        <v>2719</v>
      </c>
      <c r="K25" s="83" t="s">
        <v>334</v>
      </c>
      <c r="L25" s="10" t="s">
        <v>370</v>
      </c>
      <c r="M25" s="83"/>
      <c r="N25" s="83" t="s">
        <v>332</v>
      </c>
      <c r="O25" s="84" t="s">
        <v>2715</v>
      </c>
      <c r="P25" s="301" t="s">
        <v>375</v>
      </c>
    </row>
    <row r="26" spans="1:16">
      <c r="A26" s="128" t="s">
        <v>2718</v>
      </c>
      <c r="C26" s="81" t="s">
        <v>330</v>
      </c>
      <c r="D26" s="81" t="s">
        <v>331</v>
      </c>
      <c r="E26" s="81" t="b">
        <v>1</v>
      </c>
      <c r="F26" s="81"/>
      <c r="G26" s="81"/>
      <c r="H26" s="87"/>
      <c r="I26" s="87"/>
      <c r="J26" s="87"/>
      <c r="K26" s="87"/>
      <c r="L26" s="87"/>
      <c r="M26" s="87"/>
      <c r="N26" s="87"/>
      <c r="O26" s="87"/>
      <c r="P26" s="81"/>
    </row>
    <row r="27" spans="1:16" ht="27">
      <c r="A27" s="128"/>
      <c r="C27" s="81"/>
      <c r="D27" s="81"/>
      <c r="E27" s="81"/>
      <c r="F27" s="81"/>
      <c r="G27" s="81"/>
      <c r="H27" s="82" t="s">
        <v>332</v>
      </c>
      <c r="I27" s="83" t="s">
        <v>2720</v>
      </c>
      <c r="J27" s="83" t="s">
        <v>2720</v>
      </c>
      <c r="K27" s="83" t="s">
        <v>334</v>
      </c>
      <c r="L27" s="10" t="s">
        <v>2717</v>
      </c>
      <c r="M27" s="24" t="s">
        <v>855</v>
      </c>
      <c r="N27" s="83" t="s">
        <v>332</v>
      </c>
      <c r="O27" s="84" t="s">
        <v>2680</v>
      </c>
      <c r="P27" s="301" t="s">
        <v>380</v>
      </c>
    </row>
    <row r="28" spans="1:16">
      <c r="A28" s="129" t="s">
        <v>3127</v>
      </c>
      <c r="B28" s="81"/>
      <c r="C28" s="81">
        <v>2200000000001</v>
      </c>
      <c r="D28" s="81" t="s">
        <v>331</v>
      </c>
      <c r="E28" s="81" t="b">
        <v>0</v>
      </c>
      <c r="F28" s="81"/>
      <c r="G28" s="81"/>
      <c r="H28" s="90"/>
      <c r="I28" s="90"/>
      <c r="J28" s="90"/>
      <c r="K28" s="90"/>
      <c r="L28" s="90"/>
      <c r="M28" s="90"/>
      <c r="N28" s="90"/>
      <c r="O28" s="90"/>
      <c r="P28" s="81"/>
    </row>
    <row r="29" spans="1:16">
      <c r="A29" s="128"/>
      <c r="B29" s="81"/>
      <c r="C29" s="81"/>
      <c r="D29" s="81"/>
      <c r="E29" s="81"/>
      <c r="F29" s="81"/>
      <c r="G29" s="81"/>
      <c r="H29" s="91">
        <v>1</v>
      </c>
      <c r="I29" s="91" t="s">
        <v>2702</v>
      </c>
      <c r="J29" s="91" t="s">
        <v>2702</v>
      </c>
      <c r="K29" s="83" t="s">
        <v>334</v>
      </c>
      <c r="L29" s="83" t="s">
        <v>366</v>
      </c>
      <c r="M29" s="83" t="s">
        <v>1240</v>
      </c>
      <c r="N29" s="83">
        <v>20</v>
      </c>
      <c r="O29" s="84" t="s">
        <v>2697</v>
      </c>
      <c r="P29" s="81"/>
    </row>
    <row r="30" spans="1:16">
      <c r="A30" s="129"/>
      <c r="B30" s="81"/>
      <c r="C30" s="81"/>
      <c r="D30" s="81"/>
      <c r="E30" s="81"/>
      <c r="F30" s="81"/>
      <c r="G30" s="81"/>
      <c r="H30" s="91">
        <v>2</v>
      </c>
      <c r="I30" s="91" t="s">
        <v>2702</v>
      </c>
      <c r="J30" s="91" t="s">
        <v>2702</v>
      </c>
      <c r="K30" s="83" t="s">
        <v>334</v>
      </c>
      <c r="L30" s="83" t="s">
        <v>366</v>
      </c>
      <c r="M30" s="83" t="s">
        <v>1240</v>
      </c>
      <c r="N30" s="83">
        <v>40</v>
      </c>
      <c r="O30" s="84" t="s">
        <v>2698</v>
      </c>
      <c r="P30" s="81"/>
    </row>
    <row r="31" spans="1:16" ht="27">
      <c r="A31" s="128"/>
      <c r="B31" s="81"/>
      <c r="C31" s="81"/>
      <c r="D31" s="81"/>
      <c r="E31" s="81"/>
      <c r="F31" s="81"/>
      <c r="G31" s="81"/>
      <c r="H31" s="91">
        <v>3</v>
      </c>
      <c r="I31" s="91" t="s">
        <v>2702</v>
      </c>
      <c r="J31" s="91" t="s">
        <v>2702</v>
      </c>
      <c r="K31" s="83" t="s">
        <v>334</v>
      </c>
      <c r="L31" s="83" t="s">
        <v>366</v>
      </c>
      <c r="M31" s="83" t="s">
        <v>1240</v>
      </c>
      <c r="N31" s="83">
        <v>60</v>
      </c>
      <c r="O31" s="84" t="s">
        <v>2691</v>
      </c>
      <c r="P31" s="81"/>
    </row>
    <row r="32" spans="1:16" ht="27">
      <c r="A32" s="129"/>
      <c r="B32" s="81"/>
      <c r="C32" s="81"/>
      <c r="D32" s="81"/>
      <c r="E32" s="81"/>
      <c r="F32" s="81"/>
      <c r="G32" s="81"/>
      <c r="H32" s="91">
        <v>4</v>
      </c>
      <c r="I32" s="91" t="s">
        <v>2702</v>
      </c>
      <c r="J32" s="91" t="s">
        <v>2702</v>
      </c>
      <c r="K32" s="83" t="s">
        <v>334</v>
      </c>
      <c r="L32" s="83" t="s">
        <v>366</v>
      </c>
      <c r="M32" s="83" t="s">
        <v>1240</v>
      </c>
      <c r="N32" s="83">
        <v>80</v>
      </c>
      <c r="O32" s="84" t="s">
        <v>2692</v>
      </c>
      <c r="P32" s="81"/>
    </row>
    <row r="33" spans="1:16" ht="27">
      <c r="A33" s="128"/>
      <c r="B33" s="81"/>
      <c r="C33" s="81"/>
      <c r="D33" s="81"/>
      <c r="E33" s="81"/>
      <c r="F33" s="81"/>
      <c r="G33" s="81"/>
      <c r="H33" s="91">
        <v>5</v>
      </c>
      <c r="I33" s="91" t="s">
        <v>2702</v>
      </c>
      <c r="J33" s="91" t="s">
        <v>2702</v>
      </c>
      <c r="K33" s="83" t="s">
        <v>334</v>
      </c>
      <c r="L33" s="83" t="s">
        <v>366</v>
      </c>
      <c r="M33" s="83" t="s">
        <v>1240</v>
      </c>
      <c r="N33" s="83">
        <v>100</v>
      </c>
      <c r="O33" s="14" t="s">
        <v>2693</v>
      </c>
      <c r="P33" s="81"/>
    </row>
    <row r="34" spans="1:16">
      <c r="A34" s="129"/>
      <c r="B34" s="81"/>
      <c r="C34" s="81"/>
      <c r="D34" s="81"/>
      <c r="E34" s="81"/>
      <c r="F34" s="81"/>
      <c r="G34" s="115"/>
    </row>
    <row r="35" spans="1:16">
      <c r="A35" s="128"/>
      <c r="B35" s="81"/>
      <c r="C35" s="81"/>
      <c r="D35" s="81"/>
      <c r="E35" s="81"/>
      <c r="F35" s="81"/>
      <c r="G35" s="115"/>
    </row>
    <row r="36" spans="1:16">
      <c r="A36" s="129"/>
      <c r="B36" s="81"/>
      <c r="C36" s="81"/>
      <c r="D36" s="81"/>
      <c r="E36" s="81"/>
      <c r="F36" s="81"/>
      <c r="G36" s="81"/>
      <c r="H36" s="90"/>
      <c r="I36" s="90"/>
      <c r="J36" s="90"/>
      <c r="K36" s="90"/>
      <c r="L36" s="90"/>
      <c r="M36" s="90"/>
      <c r="N36" s="90"/>
      <c r="O36" s="90"/>
      <c r="P36" s="81"/>
    </row>
    <row r="37" spans="1:16">
      <c r="A37" s="128"/>
      <c r="B37" s="81"/>
      <c r="C37" s="81"/>
      <c r="D37" s="81"/>
      <c r="E37" s="81"/>
      <c r="F37" s="81"/>
      <c r="G37" s="115"/>
    </row>
  </sheetData>
  <phoneticPr fontId="4" type="noConversion"/>
  <conditionalFormatting sqref="G4:G7">
    <cfRule type="colorScale" priority="1">
      <colorScale>
        <cfvo type="min"/>
        <cfvo type="percentile" val="50"/>
        <cfvo type="max"/>
        <color rgb="FFF8696B"/>
        <color rgb="FFFCFCFF"/>
        <color rgb="FF63BE7B"/>
      </colorScale>
    </cfRule>
  </conditionalFormatting>
  <pageMargins left="0.75" right="0.75" top="1" bottom="1" header="0.5" footer="0.5"/>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29"/>
  <sheetViews>
    <sheetView zoomScale="85" zoomScaleNormal="85" workbookViewId="0">
      <selection activeCell="D27" sqref="D27"/>
    </sheetView>
  </sheetViews>
  <sheetFormatPr defaultRowHeight="16.5"/>
  <cols>
    <col min="1" max="1" width="15.75" style="135" bestFit="1" customWidth="1"/>
    <col min="2" max="2" width="18.375" customWidth="1"/>
    <col min="3" max="3" width="18.375" bestFit="1" customWidth="1"/>
    <col min="4" max="4" width="15.625" bestFit="1" customWidth="1"/>
    <col min="5" max="5" width="15.625" customWidth="1"/>
    <col min="6" max="6" width="9.375" style="80" bestFit="1" customWidth="1"/>
    <col min="7" max="7" width="9.375" style="80" customWidth="1"/>
    <col min="9" max="9" width="46.125" bestFit="1" customWidth="1"/>
    <col min="10" max="10" width="51" bestFit="1" customWidth="1"/>
    <col min="11" max="11" width="20.75" bestFit="1" customWidth="1"/>
    <col min="12" max="12" width="23.625" bestFit="1" customWidth="1"/>
    <col min="13" max="13" width="31.125" bestFit="1" customWidth="1"/>
    <col min="14" max="14" width="10.875" bestFit="1" customWidth="1"/>
    <col min="15" max="15" width="33.125" customWidth="1"/>
    <col min="16" max="16" width="30.375" bestFit="1" customWidth="1"/>
  </cols>
  <sheetData>
    <row r="1" spans="1:16">
      <c r="A1" s="131" t="s">
        <v>304</v>
      </c>
      <c r="B1" s="6" t="s">
        <v>305</v>
      </c>
      <c r="C1" s="6" t="s">
        <v>306</v>
      </c>
      <c r="D1" s="5" t="s">
        <v>307</v>
      </c>
      <c r="E1" s="6" t="s">
        <v>308</v>
      </c>
      <c r="F1" s="20" t="s">
        <v>1526</v>
      </c>
      <c r="G1" s="165" t="s">
        <v>3740</v>
      </c>
      <c r="H1" s="4" t="s">
        <v>309</v>
      </c>
      <c r="I1" s="4" t="s">
        <v>310</v>
      </c>
      <c r="J1" s="4" t="s">
        <v>311</v>
      </c>
      <c r="K1" s="4" t="s">
        <v>312</v>
      </c>
      <c r="L1" s="4" t="s">
        <v>313</v>
      </c>
      <c r="M1" s="4" t="s">
        <v>314</v>
      </c>
      <c r="N1" s="4" t="s">
        <v>315</v>
      </c>
      <c r="O1" s="4" t="s">
        <v>316</v>
      </c>
      <c r="P1" s="9" t="s">
        <v>317</v>
      </c>
    </row>
    <row r="2" spans="1:16">
      <c r="A2" s="131" t="s">
        <v>318</v>
      </c>
      <c r="B2" s="5" t="s">
        <v>3</v>
      </c>
      <c r="C2" s="5" t="s">
        <v>319</v>
      </c>
      <c r="D2" s="5" t="s">
        <v>320</v>
      </c>
      <c r="E2" s="5" t="s">
        <v>321</v>
      </c>
      <c r="F2" s="20" t="s">
        <v>1527</v>
      </c>
      <c r="G2" s="165" t="s">
        <v>851</v>
      </c>
      <c r="H2" s="4" t="s">
        <v>322</v>
      </c>
      <c r="I2" s="4" t="s">
        <v>323</v>
      </c>
      <c r="J2" s="4" t="s">
        <v>323</v>
      </c>
      <c r="K2" s="4" t="s">
        <v>324</v>
      </c>
      <c r="L2" s="4" t="s">
        <v>325</v>
      </c>
      <c r="M2" s="4" t="s">
        <v>326</v>
      </c>
      <c r="N2" s="4" t="s">
        <v>322</v>
      </c>
      <c r="O2" s="4" t="s">
        <v>320</v>
      </c>
      <c r="P2" s="9" t="s">
        <v>327</v>
      </c>
    </row>
    <row r="3" spans="1:16">
      <c r="A3" s="131" t="s">
        <v>328</v>
      </c>
      <c r="B3" s="5" t="s">
        <v>3</v>
      </c>
      <c r="C3" s="5" t="s">
        <v>328</v>
      </c>
      <c r="D3" s="5" t="s">
        <v>329</v>
      </c>
      <c r="E3" s="5" t="s">
        <v>4</v>
      </c>
      <c r="F3" s="20" t="s">
        <v>1528</v>
      </c>
      <c r="G3" s="165" t="s">
        <v>328</v>
      </c>
      <c r="H3" s="4" t="s">
        <v>328</v>
      </c>
      <c r="I3" s="4" t="s">
        <v>4</v>
      </c>
      <c r="J3" s="4" t="s">
        <v>4</v>
      </c>
      <c r="K3" s="4" t="s">
        <v>328</v>
      </c>
      <c r="L3" s="4" t="s">
        <v>328</v>
      </c>
      <c r="M3" s="4" t="s">
        <v>328</v>
      </c>
      <c r="N3" s="4" t="s">
        <v>328</v>
      </c>
      <c r="O3" s="4" t="s">
        <v>328</v>
      </c>
      <c r="P3" s="9" t="s">
        <v>4</v>
      </c>
    </row>
    <row r="4" spans="1:16" ht="17.25" customHeight="1" thickBot="1">
      <c r="A4" s="132" t="s">
        <v>2741</v>
      </c>
      <c r="B4" s="10"/>
      <c r="C4" s="10" t="s">
        <v>368</v>
      </c>
      <c r="D4" s="81" t="s">
        <v>331</v>
      </c>
      <c r="E4" s="115" t="b">
        <v>1</v>
      </c>
      <c r="F4" s="75"/>
      <c r="G4" s="331"/>
      <c r="H4" s="7"/>
      <c r="I4" s="8"/>
      <c r="J4" s="8"/>
      <c r="K4" s="8"/>
      <c r="L4" s="8"/>
      <c r="M4" s="8"/>
      <c r="N4" s="8"/>
      <c r="O4" s="8"/>
      <c r="P4" s="19"/>
    </row>
    <row r="5" spans="1:16" ht="27.75" customHeight="1" thickBot="1">
      <c r="A5" s="133"/>
      <c r="B5" s="10"/>
      <c r="C5" s="10"/>
      <c r="D5" s="10"/>
      <c r="E5" s="10"/>
      <c r="F5" s="81"/>
      <c r="G5" s="115"/>
      <c r="H5" s="11" t="s">
        <v>332</v>
      </c>
      <c r="I5" s="13" t="s">
        <v>369</v>
      </c>
      <c r="J5" s="13" t="s">
        <v>5</v>
      </c>
      <c r="K5" s="12" t="s">
        <v>334</v>
      </c>
      <c r="L5" s="13" t="s">
        <v>370</v>
      </c>
      <c r="M5" s="13" t="s">
        <v>371</v>
      </c>
      <c r="N5" s="12">
        <v>5</v>
      </c>
      <c r="O5" s="15" t="s">
        <v>2682</v>
      </c>
      <c r="P5" s="74" t="s">
        <v>372</v>
      </c>
    </row>
    <row r="6" spans="1:16" ht="17.25" customHeight="1" thickBot="1">
      <c r="A6" s="132" t="s">
        <v>2742</v>
      </c>
      <c r="B6" s="10"/>
      <c r="C6" s="10" t="s">
        <v>368</v>
      </c>
      <c r="D6" s="81" t="s">
        <v>331</v>
      </c>
      <c r="E6" s="115" t="b">
        <v>1</v>
      </c>
      <c r="F6" s="81"/>
      <c r="G6" s="115"/>
      <c r="H6" s="7"/>
      <c r="I6" s="8"/>
      <c r="J6" s="8"/>
      <c r="K6" s="8"/>
      <c r="L6" s="8"/>
      <c r="M6" s="8"/>
      <c r="N6" s="8"/>
      <c r="O6" s="8"/>
      <c r="P6" s="74"/>
    </row>
    <row r="7" spans="1:16" ht="27.75" customHeight="1" thickBot="1">
      <c r="A7" s="133"/>
      <c r="B7" s="10"/>
      <c r="C7" s="10"/>
      <c r="D7" s="10"/>
      <c r="E7" s="10"/>
      <c r="F7" s="81"/>
      <c r="G7" s="115"/>
      <c r="H7" s="11" t="s">
        <v>332</v>
      </c>
      <c r="I7" s="13" t="s">
        <v>373</v>
      </c>
      <c r="J7" s="13" t="s">
        <v>6</v>
      </c>
      <c r="K7" s="12" t="s">
        <v>334</v>
      </c>
      <c r="L7" s="13" t="s">
        <v>370</v>
      </c>
      <c r="M7" s="13" t="s">
        <v>1044</v>
      </c>
      <c r="N7" s="12">
        <v>5</v>
      </c>
      <c r="O7" s="15" t="s">
        <v>2683</v>
      </c>
      <c r="P7" s="74" t="s">
        <v>375</v>
      </c>
    </row>
    <row r="8" spans="1:16" ht="17.25" customHeight="1" thickBot="1">
      <c r="A8" s="132" t="s">
        <v>2743</v>
      </c>
      <c r="B8" s="50"/>
      <c r="C8" s="10" t="s">
        <v>368</v>
      </c>
      <c r="D8" s="81" t="s">
        <v>331</v>
      </c>
      <c r="E8" s="115" t="b">
        <v>1</v>
      </c>
      <c r="F8" s="81"/>
      <c r="G8" s="115"/>
      <c r="H8" s="51"/>
      <c r="I8" s="51"/>
      <c r="J8" s="52"/>
      <c r="K8" s="52"/>
      <c r="L8" s="52"/>
      <c r="M8" s="52"/>
      <c r="N8" s="52"/>
      <c r="O8" s="52"/>
      <c r="P8" s="93"/>
    </row>
    <row r="9" spans="1:16" ht="27.75" customHeight="1" thickBot="1">
      <c r="A9" s="133"/>
      <c r="B9" s="50"/>
      <c r="C9" s="50"/>
      <c r="D9" s="10"/>
      <c r="E9" s="10"/>
      <c r="F9" s="81"/>
      <c r="G9" s="115"/>
      <c r="H9" s="11" t="s">
        <v>332</v>
      </c>
      <c r="I9" s="13" t="s">
        <v>376</v>
      </c>
      <c r="J9" s="13" t="s">
        <v>7</v>
      </c>
      <c r="K9" s="12" t="s">
        <v>334</v>
      </c>
      <c r="L9" s="13" t="s">
        <v>377</v>
      </c>
      <c r="M9" s="13"/>
      <c r="N9" s="12">
        <v>1</v>
      </c>
      <c r="O9" s="15" t="s">
        <v>2684</v>
      </c>
      <c r="P9" s="74" t="s">
        <v>2739</v>
      </c>
    </row>
    <row r="10" spans="1:16">
      <c r="A10" s="132" t="s">
        <v>2744</v>
      </c>
      <c r="C10" s="136">
        <v>2200000000002</v>
      </c>
      <c r="D10" s="81" t="s">
        <v>331</v>
      </c>
      <c r="E10" s="115" t="b">
        <v>1</v>
      </c>
      <c r="F10" s="81"/>
      <c r="G10" s="115"/>
    </row>
    <row r="11" spans="1:16">
      <c r="A11" s="133"/>
      <c r="F11" s="81"/>
      <c r="G11" s="115"/>
      <c r="H11" s="31">
        <v>1</v>
      </c>
      <c r="I11" s="2" t="s">
        <v>2740</v>
      </c>
      <c r="J11" s="2" t="s">
        <v>2736</v>
      </c>
      <c r="K11" s="2" t="s">
        <v>334</v>
      </c>
      <c r="L11" s="2" t="s">
        <v>2737</v>
      </c>
      <c r="M11" s="12" t="s">
        <v>2738</v>
      </c>
      <c r="N11" s="2">
        <v>5</v>
      </c>
      <c r="O11" s="15" t="s">
        <v>2683</v>
      </c>
      <c r="P11" s="36" t="s">
        <v>1458</v>
      </c>
    </row>
    <row r="12" spans="1:16" ht="16.5" customHeight="1" thickBot="1">
      <c r="A12" s="132" t="s">
        <v>2745</v>
      </c>
      <c r="B12" s="50"/>
      <c r="C12" s="10" t="s">
        <v>368</v>
      </c>
      <c r="D12" s="81" t="s">
        <v>331</v>
      </c>
      <c r="E12" s="115" t="b">
        <v>1</v>
      </c>
      <c r="F12" s="75"/>
      <c r="G12" s="331"/>
      <c r="H12" s="51"/>
      <c r="I12" s="51"/>
      <c r="J12" s="52"/>
      <c r="K12" s="52"/>
      <c r="L12" s="52"/>
      <c r="M12" s="52"/>
      <c r="N12" s="52"/>
      <c r="O12" s="52"/>
      <c r="P12" s="93"/>
    </row>
    <row r="13" spans="1:16" ht="27.75" customHeight="1" thickBot="1">
      <c r="A13" s="133"/>
      <c r="B13" s="50"/>
      <c r="C13" s="50"/>
      <c r="D13" s="10"/>
      <c r="E13" s="10"/>
      <c r="F13" s="81"/>
      <c r="G13" s="115"/>
      <c r="H13" s="11" t="s">
        <v>332</v>
      </c>
      <c r="I13" s="13" t="s">
        <v>378</v>
      </c>
      <c r="J13" s="13" t="s">
        <v>8</v>
      </c>
      <c r="K13" s="12" t="s">
        <v>334</v>
      </c>
      <c r="L13" s="13" t="s">
        <v>379</v>
      </c>
      <c r="M13" s="13" t="s">
        <v>826</v>
      </c>
      <c r="N13" s="12">
        <v>3</v>
      </c>
      <c r="O13" s="15" t="s">
        <v>2681</v>
      </c>
      <c r="P13" s="74" t="s">
        <v>380</v>
      </c>
    </row>
    <row r="14" spans="1:16" ht="17.25" customHeight="1" thickBot="1">
      <c r="A14" s="132" t="s">
        <v>2746</v>
      </c>
      <c r="B14" s="50"/>
      <c r="C14" s="10" t="s">
        <v>368</v>
      </c>
      <c r="D14" s="81" t="s">
        <v>331</v>
      </c>
      <c r="E14" s="115" t="b">
        <v>1</v>
      </c>
      <c r="F14" s="81"/>
      <c r="G14" s="115"/>
      <c r="H14" s="51"/>
      <c r="I14" s="51"/>
      <c r="J14" s="52"/>
      <c r="K14" s="52"/>
      <c r="L14" s="52"/>
      <c r="M14" s="52"/>
      <c r="N14" s="52"/>
      <c r="O14" s="52"/>
      <c r="P14" s="93"/>
    </row>
    <row r="15" spans="1:16" ht="27.75" customHeight="1" thickBot="1">
      <c r="A15" s="133"/>
      <c r="B15" s="50"/>
      <c r="C15" s="50"/>
      <c r="D15" s="10"/>
      <c r="E15" s="10"/>
      <c r="F15" s="81"/>
      <c r="G15" s="115"/>
      <c r="H15" s="176" t="s">
        <v>332</v>
      </c>
      <c r="I15" s="177" t="s">
        <v>381</v>
      </c>
      <c r="J15" s="177" t="s">
        <v>9</v>
      </c>
      <c r="K15" s="178" t="s">
        <v>334</v>
      </c>
      <c r="L15" s="177" t="s">
        <v>379</v>
      </c>
      <c r="M15" s="177" t="s">
        <v>827</v>
      </c>
      <c r="N15" s="178">
        <v>3</v>
      </c>
      <c r="O15" s="15" t="s">
        <v>2681</v>
      </c>
      <c r="P15" s="94" t="s">
        <v>382</v>
      </c>
    </row>
    <row r="16" spans="1:16" ht="17.25" customHeight="1" thickBot="1">
      <c r="A16" s="132" t="s">
        <v>2747</v>
      </c>
      <c r="B16" s="50"/>
      <c r="C16" s="10" t="s">
        <v>368</v>
      </c>
      <c r="D16" s="81" t="s">
        <v>331</v>
      </c>
      <c r="E16" s="115" t="b">
        <v>1</v>
      </c>
      <c r="F16" s="81"/>
      <c r="G16" s="115"/>
      <c r="H16" s="51"/>
      <c r="I16" s="51"/>
      <c r="J16" s="52"/>
      <c r="K16" s="52"/>
      <c r="L16" s="52"/>
      <c r="M16" s="52"/>
      <c r="N16" s="52"/>
      <c r="O16" s="52"/>
      <c r="P16" s="93"/>
    </row>
    <row r="17" spans="1:16" ht="27.75" customHeight="1" thickBot="1">
      <c r="A17" s="133"/>
      <c r="B17" s="50"/>
      <c r="C17" s="50"/>
      <c r="D17" s="10"/>
      <c r="E17" s="10"/>
      <c r="F17" s="81"/>
      <c r="G17" s="115"/>
      <c r="H17" s="11" t="s">
        <v>332</v>
      </c>
      <c r="I17" s="13" t="s">
        <v>383</v>
      </c>
      <c r="J17" s="13" t="s">
        <v>10</v>
      </c>
      <c r="K17" s="12" t="s">
        <v>334</v>
      </c>
      <c r="L17" s="13" t="s">
        <v>384</v>
      </c>
      <c r="M17" s="13" t="s">
        <v>350</v>
      </c>
      <c r="N17" s="12">
        <v>8</v>
      </c>
      <c r="O17" s="15" t="s">
        <v>2681</v>
      </c>
      <c r="P17" s="94" t="s">
        <v>385</v>
      </c>
    </row>
    <row r="18" spans="1:16" ht="17.25" customHeight="1">
      <c r="A18" s="132" t="s">
        <v>2748</v>
      </c>
      <c r="B18" s="25"/>
      <c r="C18" s="10" t="s">
        <v>368</v>
      </c>
      <c r="D18" s="81" t="s">
        <v>331</v>
      </c>
      <c r="E18" s="115" t="b">
        <v>1</v>
      </c>
      <c r="F18" s="81"/>
      <c r="G18" s="115"/>
      <c r="H18" s="46"/>
      <c r="I18" s="18"/>
      <c r="J18" s="28"/>
      <c r="K18" s="28"/>
      <c r="L18" s="28"/>
      <c r="M18" s="28"/>
      <c r="N18" s="28"/>
      <c r="O18" s="155"/>
      <c r="P18" s="95"/>
    </row>
    <row r="19" spans="1:16" ht="27.75" customHeight="1">
      <c r="A19" s="133"/>
      <c r="B19" s="25"/>
      <c r="C19" s="25"/>
      <c r="D19" s="10"/>
      <c r="E19" s="10"/>
      <c r="F19" s="81"/>
      <c r="G19" s="115"/>
      <c r="H19" s="46">
        <v>1</v>
      </c>
      <c r="I19" s="28" t="s">
        <v>386</v>
      </c>
      <c r="J19" s="28" t="s">
        <v>11</v>
      </c>
      <c r="K19" s="28" t="s">
        <v>334</v>
      </c>
      <c r="L19" s="28" t="s">
        <v>387</v>
      </c>
      <c r="M19" s="28"/>
      <c r="N19" s="28">
        <v>20</v>
      </c>
      <c r="O19" s="15" t="s">
        <v>2681</v>
      </c>
      <c r="P19" s="95" t="s">
        <v>388</v>
      </c>
    </row>
    <row r="20" spans="1:16" ht="33.75" customHeight="1">
      <c r="A20" s="132" t="s">
        <v>2749</v>
      </c>
      <c r="B20" s="25"/>
      <c r="C20" s="25" t="s">
        <v>368</v>
      </c>
      <c r="D20" s="81" t="s">
        <v>331</v>
      </c>
      <c r="E20" s="115" t="b">
        <v>1</v>
      </c>
      <c r="F20" s="81"/>
      <c r="G20" s="115"/>
      <c r="H20" s="46"/>
      <c r="I20" s="18"/>
      <c r="J20" s="28"/>
      <c r="K20" s="28"/>
      <c r="L20" s="28"/>
      <c r="M20" s="28"/>
      <c r="N20" s="28"/>
      <c r="O20" s="155"/>
      <c r="P20" s="96"/>
    </row>
    <row r="21" spans="1:16" ht="33.75" customHeight="1">
      <c r="A21" s="133"/>
      <c r="D21" s="10"/>
      <c r="E21" s="10"/>
      <c r="F21" s="81"/>
      <c r="G21" s="115"/>
      <c r="H21" s="46">
        <v>1</v>
      </c>
      <c r="I21" s="28" t="s">
        <v>1211</v>
      </c>
      <c r="J21" s="28" t="s">
        <v>12</v>
      </c>
      <c r="K21" s="28" t="s">
        <v>334</v>
      </c>
      <c r="L21" s="28" t="s">
        <v>1086</v>
      </c>
      <c r="M21" s="28"/>
      <c r="N21" s="28">
        <v>5</v>
      </c>
      <c r="O21" s="15" t="s">
        <v>2681</v>
      </c>
      <c r="P21" s="96" t="s">
        <v>1275</v>
      </c>
    </row>
    <row r="22" spans="1:16" ht="33.75" customHeight="1">
      <c r="A22" s="132" t="s">
        <v>2750</v>
      </c>
      <c r="C22" s="136">
        <v>2200000000002</v>
      </c>
      <c r="D22" s="81" t="s">
        <v>331</v>
      </c>
      <c r="E22" s="115" t="b">
        <v>1</v>
      </c>
      <c r="F22" s="81"/>
      <c r="G22" s="115"/>
    </row>
    <row r="23" spans="1:16" ht="33.75" customHeight="1">
      <c r="F23" s="81"/>
      <c r="G23" s="115"/>
      <c r="H23" s="31">
        <v>1</v>
      </c>
      <c r="I23" s="2" t="s">
        <v>786</v>
      </c>
      <c r="J23" s="2" t="s">
        <v>787</v>
      </c>
      <c r="K23" s="2" t="s">
        <v>334</v>
      </c>
      <c r="L23" s="2" t="s">
        <v>784</v>
      </c>
      <c r="M23" s="2"/>
      <c r="N23" s="2">
        <v>1</v>
      </c>
      <c r="O23" s="15" t="s">
        <v>2681</v>
      </c>
      <c r="P23" s="36" t="s">
        <v>790</v>
      </c>
    </row>
    <row r="24" spans="1:16" ht="17.25" thickBot="1">
      <c r="A24" s="134" t="s">
        <v>2678</v>
      </c>
      <c r="B24" s="10"/>
      <c r="C24" s="10">
        <v>2200000000003</v>
      </c>
      <c r="D24" s="81" t="s">
        <v>331</v>
      </c>
      <c r="E24" s="115" t="b">
        <v>1</v>
      </c>
      <c r="H24" s="7"/>
      <c r="I24" s="7"/>
      <c r="J24" s="179"/>
      <c r="K24" s="8"/>
      <c r="L24" s="8"/>
      <c r="M24" s="8"/>
      <c r="N24" s="8"/>
      <c r="O24" s="8"/>
    </row>
    <row r="25" spans="1:16" ht="28.5" thickBot="1">
      <c r="A25" s="134"/>
      <c r="B25" s="10"/>
      <c r="C25" s="10"/>
      <c r="D25" s="10"/>
      <c r="E25" s="10"/>
      <c r="H25" s="11">
        <v>1</v>
      </c>
      <c r="I25" s="11" t="s">
        <v>2703</v>
      </c>
      <c r="J25" s="11" t="s">
        <v>2703</v>
      </c>
      <c r="K25" s="12" t="s">
        <v>334</v>
      </c>
      <c r="L25" s="12" t="s">
        <v>366</v>
      </c>
      <c r="M25" s="12" t="s">
        <v>395</v>
      </c>
      <c r="N25" s="12">
        <v>20</v>
      </c>
      <c r="O25" s="14" t="s">
        <v>2700</v>
      </c>
    </row>
    <row r="26" spans="1:16" ht="28.5" thickBot="1">
      <c r="A26" s="134"/>
      <c r="B26" s="10"/>
      <c r="C26" s="10"/>
      <c r="D26" s="10"/>
      <c r="E26" s="10"/>
      <c r="H26" s="11">
        <v>2</v>
      </c>
      <c r="I26" s="11" t="s">
        <v>2703</v>
      </c>
      <c r="J26" s="11" t="s">
        <v>2703</v>
      </c>
      <c r="K26" s="12" t="s">
        <v>334</v>
      </c>
      <c r="L26" s="12" t="s">
        <v>366</v>
      </c>
      <c r="M26" s="12" t="s">
        <v>395</v>
      </c>
      <c r="N26" s="12">
        <v>40</v>
      </c>
      <c r="O26" s="14" t="s">
        <v>2699</v>
      </c>
    </row>
    <row r="27" spans="1:16" ht="28.5" thickBot="1">
      <c r="A27" s="134"/>
      <c r="B27" s="10"/>
      <c r="C27" s="10"/>
      <c r="D27" s="10"/>
      <c r="E27" s="10"/>
      <c r="H27" s="11">
        <v>3</v>
      </c>
      <c r="I27" s="11" t="s">
        <v>2703</v>
      </c>
      <c r="J27" s="11" t="s">
        <v>2703</v>
      </c>
      <c r="K27" s="12" t="s">
        <v>334</v>
      </c>
      <c r="L27" s="12" t="s">
        <v>366</v>
      </c>
      <c r="M27" s="12" t="s">
        <v>395</v>
      </c>
      <c r="N27" s="12">
        <v>60</v>
      </c>
      <c r="O27" s="14" t="s">
        <v>2694</v>
      </c>
    </row>
    <row r="28" spans="1:16" ht="28.5" thickBot="1">
      <c r="A28" s="134"/>
      <c r="B28" s="10"/>
      <c r="C28" s="10"/>
      <c r="D28" s="10"/>
      <c r="E28" s="10"/>
      <c r="H28" s="11">
        <v>4</v>
      </c>
      <c r="I28" s="11" t="s">
        <v>2703</v>
      </c>
      <c r="J28" s="11" t="s">
        <v>2703</v>
      </c>
      <c r="K28" s="12" t="s">
        <v>334</v>
      </c>
      <c r="L28" s="12" t="s">
        <v>366</v>
      </c>
      <c r="M28" s="12" t="s">
        <v>395</v>
      </c>
      <c r="N28" s="12">
        <v>80</v>
      </c>
      <c r="O28" s="14" t="s">
        <v>2695</v>
      </c>
    </row>
    <row r="29" spans="1:16" ht="28.5" thickBot="1">
      <c r="A29" s="134"/>
      <c r="B29" s="10"/>
      <c r="C29" s="10"/>
      <c r="D29" s="10"/>
      <c r="E29" s="10"/>
      <c r="H29" s="11">
        <v>5</v>
      </c>
      <c r="I29" s="11" t="s">
        <v>2703</v>
      </c>
      <c r="J29" s="11" t="s">
        <v>2703</v>
      </c>
      <c r="K29" s="12" t="s">
        <v>334</v>
      </c>
      <c r="L29" s="12" t="s">
        <v>366</v>
      </c>
      <c r="M29" s="12" t="s">
        <v>395</v>
      </c>
      <c r="N29" s="12">
        <v>100</v>
      </c>
      <c r="O29" s="14" t="s">
        <v>2696</v>
      </c>
    </row>
  </sheetData>
  <phoneticPr fontId="4" type="noConversion"/>
  <pageMargins left="0.7" right="0.7" top="0.75" bottom="0.75" header="0.3" footer="0.3"/>
  <pageSetup paperSize="9"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7"/>
  <sheetViews>
    <sheetView topLeftCell="A202" zoomScale="85" zoomScaleNormal="85" workbookViewId="0">
      <selection activeCell="M225" sqref="M225"/>
    </sheetView>
  </sheetViews>
  <sheetFormatPr defaultRowHeight="16.5"/>
  <cols>
    <col min="1" max="1" width="17" bestFit="1" customWidth="1"/>
    <col min="2" max="2" width="15.875" bestFit="1" customWidth="1"/>
    <col min="3" max="3" width="18.375" bestFit="1" customWidth="1"/>
    <col min="4" max="5" width="18.375" style="26" customWidth="1"/>
    <col min="9" max="10" width="38.25" bestFit="1" customWidth="1"/>
    <col min="11" max="11" width="20.75" bestFit="1" customWidth="1"/>
    <col min="12" max="12" width="15.875" bestFit="1" customWidth="1"/>
    <col min="13" max="13" width="31.125" bestFit="1" customWidth="1"/>
    <col min="14" max="14" width="10.875" bestFit="1" customWidth="1"/>
    <col min="15" max="15" width="20.125" bestFit="1" customWidth="1"/>
    <col min="16" max="16" width="22" bestFit="1" customWidth="1"/>
  </cols>
  <sheetData>
    <row r="1" spans="1:17">
      <c r="A1" s="5" t="s">
        <v>304</v>
      </c>
      <c r="B1" s="6" t="s">
        <v>305</v>
      </c>
      <c r="C1" s="6" t="s">
        <v>306</v>
      </c>
      <c r="D1" s="6" t="s">
        <v>307</v>
      </c>
      <c r="E1" s="6" t="s">
        <v>308</v>
      </c>
      <c r="F1" s="5" t="s">
        <v>636</v>
      </c>
      <c r="G1" s="165" t="s">
        <v>3740</v>
      </c>
      <c r="H1" s="4" t="s">
        <v>309</v>
      </c>
      <c r="I1" s="4" t="s">
        <v>310</v>
      </c>
      <c r="J1" s="4" t="s">
        <v>311</v>
      </c>
      <c r="K1" s="4" t="s">
        <v>312</v>
      </c>
      <c r="L1" s="4" t="s">
        <v>313</v>
      </c>
      <c r="M1" s="4" t="s">
        <v>1233</v>
      </c>
      <c r="N1" s="4" t="s">
        <v>315</v>
      </c>
      <c r="O1" s="4" t="s">
        <v>316</v>
      </c>
      <c r="P1" s="9" t="s">
        <v>317</v>
      </c>
    </row>
    <row r="2" spans="1:17">
      <c r="A2" s="5" t="s">
        <v>318</v>
      </c>
      <c r="B2" s="5" t="s">
        <v>3</v>
      </c>
      <c r="C2" s="5" t="s">
        <v>319</v>
      </c>
      <c r="D2" s="5" t="s">
        <v>320</v>
      </c>
      <c r="E2" s="5" t="s">
        <v>321</v>
      </c>
      <c r="F2" s="5" t="s">
        <v>320</v>
      </c>
      <c r="G2" s="165" t="s">
        <v>851</v>
      </c>
      <c r="H2" s="4" t="s">
        <v>322</v>
      </c>
      <c r="I2" s="4" t="s">
        <v>323</v>
      </c>
      <c r="J2" s="4" t="s">
        <v>323</v>
      </c>
      <c r="K2" s="4" t="s">
        <v>324</v>
      </c>
      <c r="L2" s="4" t="s">
        <v>325</v>
      </c>
      <c r="M2" s="4" t="s">
        <v>326</v>
      </c>
      <c r="N2" s="4" t="s">
        <v>322</v>
      </c>
      <c r="O2" s="4" t="s">
        <v>320</v>
      </c>
      <c r="P2" s="9" t="s">
        <v>327</v>
      </c>
    </row>
    <row r="3" spans="1:17">
      <c r="A3" s="5" t="s">
        <v>328</v>
      </c>
      <c r="B3" s="5" t="s">
        <v>3</v>
      </c>
      <c r="C3" s="5" t="s">
        <v>328</v>
      </c>
      <c r="D3" s="5" t="s">
        <v>329</v>
      </c>
      <c r="E3" s="5" t="s">
        <v>4</v>
      </c>
      <c r="F3" s="5" t="s">
        <v>328</v>
      </c>
      <c r="G3" s="165" t="s">
        <v>328</v>
      </c>
      <c r="H3" s="4" t="s">
        <v>328</v>
      </c>
      <c r="I3" s="4" t="s">
        <v>4</v>
      </c>
      <c r="J3" s="4" t="s">
        <v>4</v>
      </c>
      <c r="K3" s="4" t="s">
        <v>328</v>
      </c>
      <c r="L3" s="4" t="s">
        <v>328</v>
      </c>
      <c r="M3" s="4" t="s">
        <v>328</v>
      </c>
      <c r="N3" s="4" t="s">
        <v>328</v>
      </c>
      <c r="O3" s="4" t="s">
        <v>328</v>
      </c>
      <c r="P3" s="9" t="s">
        <v>4</v>
      </c>
    </row>
    <row r="4" spans="1:17" s="141" customFormat="1">
      <c r="D4" s="140"/>
      <c r="E4" s="140"/>
    </row>
    <row r="5" spans="1:17" ht="17.25" customHeight="1">
      <c r="A5" s="268" t="s">
        <v>3074</v>
      </c>
      <c r="B5" s="64"/>
      <c r="C5" s="64" t="s">
        <v>397</v>
      </c>
      <c r="D5" s="64" t="s">
        <v>331</v>
      </c>
      <c r="E5" s="64" t="b">
        <v>1</v>
      </c>
      <c r="F5" s="65"/>
      <c r="G5" s="65"/>
      <c r="H5" s="59"/>
      <c r="I5" s="59"/>
      <c r="J5" s="59"/>
      <c r="K5" s="59"/>
      <c r="L5" s="59"/>
      <c r="M5" s="59"/>
      <c r="N5" s="59"/>
      <c r="O5" s="59"/>
      <c r="P5" s="66"/>
    </row>
    <row r="6" spans="1:17" ht="17.25" customHeight="1" thickBot="1">
      <c r="A6" s="133"/>
      <c r="B6" s="10"/>
      <c r="C6" s="10"/>
      <c r="D6" s="10"/>
      <c r="E6" s="10"/>
      <c r="F6" s="10"/>
      <c r="G6" s="10"/>
      <c r="H6" s="60" t="s">
        <v>332</v>
      </c>
      <c r="I6" t="s">
        <v>3098</v>
      </c>
      <c r="J6" s="68" t="s">
        <v>3075</v>
      </c>
      <c r="K6" s="62" t="s">
        <v>3095</v>
      </c>
      <c r="L6" s="61" t="s">
        <v>3096</v>
      </c>
      <c r="M6" s="61" t="s">
        <v>3190</v>
      </c>
      <c r="N6" s="53">
        <v>10</v>
      </c>
      <c r="O6" s="63" t="s">
        <v>3097</v>
      </c>
      <c r="P6" s="301" t="s">
        <v>375</v>
      </c>
      <c r="Q6" s="53"/>
    </row>
    <row r="7" spans="1:17" ht="17.25" customHeight="1" thickBot="1">
      <c r="A7" s="135"/>
      <c r="H7" s="11" t="s">
        <v>401</v>
      </c>
      <c r="I7" t="s">
        <v>3099</v>
      </c>
      <c r="J7" s="68" t="s">
        <v>3076</v>
      </c>
      <c r="K7" s="62" t="s">
        <v>3095</v>
      </c>
      <c r="L7" s="61" t="s">
        <v>3096</v>
      </c>
      <c r="M7" s="61" t="s">
        <v>3190</v>
      </c>
      <c r="N7" s="53">
        <v>20</v>
      </c>
      <c r="O7" s="63" t="s">
        <v>3097</v>
      </c>
      <c r="P7" s="301" t="s">
        <v>375</v>
      </c>
      <c r="Q7" s="53"/>
    </row>
    <row r="8" spans="1:17" ht="17.25" customHeight="1" thickBot="1">
      <c r="A8" s="135"/>
      <c r="H8" s="11" t="s">
        <v>402</v>
      </c>
      <c r="I8" t="s">
        <v>3100</v>
      </c>
      <c r="J8" s="68" t="s">
        <v>3077</v>
      </c>
      <c r="K8" s="62" t="s">
        <v>3095</v>
      </c>
      <c r="L8" s="61" t="s">
        <v>3096</v>
      </c>
      <c r="M8" s="61" t="s">
        <v>3190</v>
      </c>
      <c r="N8" s="53">
        <v>30</v>
      </c>
      <c r="O8" s="63" t="s">
        <v>3097</v>
      </c>
      <c r="P8" s="301" t="s">
        <v>375</v>
      </c>
      <c r="Q8" s="53"/>
    </row>
    <row r="9" spans="1:17" ht="17.25" customHeight="1" thickBot="1">
      <c r="A9" s="135"/>
      <c r="H9" s="11" t="s">
        <v>404</v>
      </c>
      <c r="I9" t="s">
        <v>3101</v>
      </c>
      <c r="J9" s="68" t="s">
        <v>3078</v>
      </c>
      <c r="K9" s="62" t="s">
        <v>3095</v>
      </c>
      <c r="L9" s="61" t="s">
        <v>3096</v>
      </c>
      <c r="M9" s="61" t="s">
        <v>3190</v>
      </c>
      <c r="N9" s="53">
        <v>40</v>
      </c>
      <c r="O9" s="63" t="s">
        <v>3097</v>
      </c>
      <c r="P9" s="301" t="s">
        <v>375</v>
      </c>
      <c r="Q9" s="53"/>
    </row>
    <row r="10" spans="1:17" ht="17.25" customHeight="1" thickBot="1">
      <c r="A10" s="135"/>
      <c r="H10" s="11" t="s">
        <v>405</v>
      </c>
      <c r="I10" t="s">
        <v>3102</v>
      </c>
      <c r="J10" s="68" t="s">
        <v>3079</v>
      </c>
      <c r="K10" s="62" t="s">
        <v>3095</v>
      </c>
      <c r="L10" s="61" t="s">
        <v>3096</v>
      </c>
      <c r="M10" s="61" t="s">
        <v>3190</v>
      </c>
      <c r="N10" s="53">
        <v>50</v>
      </c>
      <c r="O10" s="63" t="s">
        <v>3097</v>
      </c>
      <c r="P10" s="301" t="s">
        <v>375</v>
      </c>
      <c r="Q10" s="53"/>
    </row>
    <row r="11" spans="1:17" ht="17.25" customHeight="1" thickBot="1">
      <c r="A11" s="135"/>
      <c r="H11" s="11" t="s">
        <v>407</v>
      </c>
      <c r="I11" t="s">
        <v>3103</v>
      </c>
      <c r="J11" s="68" t="s">
        <v>3080</v>
      </c>
      <c r="K11" s="62" t="s">
        <v>3095</v>
      </c>
      <c r="L11" s="61" t="s">
        <v>3096</v>
      </c>
      <c r="M11" s="61" t="s">
        <v>3190</v>
      </c>
      <c r="N11" s="53">
        <v>60</v>
      </c>
      <c r="O11" s="63" t="s">
        <v>3097</v>
      </c>
      <c r="P11" s="301" t="s">
        <v>375</v>
      </c>
      <c r="Q11" s="53"/>
    </row>
    <row r="12" spans="1:17" ht="17.25" customHeight="1" thickBot="1">
      <c r="A12" s="135"/>
      <c r="H12" s="11" t="s">
        <v>408</v>
      </c>
      <c r="I12" t="s">
        <v>3104</v>
      </c>
      <c r="J12" s="68" t="s">
        <v>3081</v>
      </c>
      <c r="K12" s="62" t="s">
        <v>3095</v>
      </c>
      <c r="L12" s="61" t="s">
        <v>3096</v>
      </c>
      <c r="M12" s="61" t="s">
        <v>3190</v>
      </c>
      <c r="N12" s="53">
        <v>70</v>
      </c>
      <c r="O12" s="63" t="s">
        <v>3097</v>
      </c>
      <c r="P12" s="301" t="s">
        <v>375</v>
      </c>
      <c r="Q12" s="53"/>
    </row>
    <row r="13" spans="1:17" ht="17.25" customHeight="1" thickBot="1">
      <c r="A13" s="135"/>
      <c r="H13" s="11" t="s">
        <v>409</v>
      </c>
      <c r="I13" t="s">
        <v>3105</v>
      </c>
      <c r="J13" s="68" t="s">
        <v>3082</v>
      </c>
      <c r="K13" s="62" t="s">
        <v>3095</v>
      </c>
      <c r="L13" s="61" t="s">
        <v>3096</v>
      </c>
      <c r="M13" s="61" t="s">
        <v>3190</v>
      </c>
      <c r="N13" s="53">
        <v>80</v>
      </c>
      <c r="O13" s="63" t="s">
        <v>3097</v>
      </c>
      <c r="P13" s="301" t="s">
        <v>375</v>
      </c>
      <c r="Q13" s="53"/>
    </row>
    <row r="14" spans="1:17" ht="17.25" customHeight="1" thickBot="1">
      <c r="A14" s="135"/>
      <c r="H14" s="11" t="s">
        <v>410</v>
      </c>
      <c r="I14" t="s">
        <v>3106</v>
      </c>
      <c r="J14" s="68" t="s">
        <v>3083</v>
      </c>
      <c r="K14" s="62" t="s">
        <v>3095</v>
      </c>
      <c r="L14" s="61" t="s">
        <v>3096</v>
      </c>
      <c r="M14" s="61" t="s">
        <v>3190</v>
      </c>
      <c r="N14" s="53">
        <v>90</v>
      </c>
      <c r="O14" s="63" t="s">
        <v>3097</v>
      </c>
      <c r="P14" s="301" t="s">
        <v>375</v>
      </c>
      <c r="Q14" s="53"/>
    </row>
    <row r="15" spans="1:17" ht="17.25" customHeight="1" thickBot="1">
      <c r="A15" s="135"/>
      <c r="H15" s="11" t="s">
        <v>411</v>
      </c>
      <c r="I15" t="s">
        <v>3107</v>
      </c>
      <c r="J15" s="68" t="s">
        <v>3084</v>
      </c>
      <c r="K15" s="62" t="s">
        <v>3095</v>
      </c>
      <c r="L15" s="61" t="s">
        <v>3096</v>
      </c>
      <c r="M15" s="61" t="s">
        <v>3190</v>
      </c>
      <c r="N15" s="53">
        <v>100</v>
      </c>
      <c r="O15" s="63" t="s">
        <v>3097</v>
      </c>
      <c r="P15" s="301" t="s">
        <v>375</v>
      </c>
      <c r="Q15" s="53"/>
    </row>
    <row r="16" spans="1:17" ht="17.25" customHeight="1" thickBot="1">
      <c r="A16" s="135"/>
      <c r="H16" s="11" t="s">
        <v>412</v>
      </c>
      <c r="I16" t="s">
        <v>3108</v>
      </c>
      <c r="J16" s="68" t="s">
        <v>3085</v>
      </c>
      <c r="K16" s="62" t="s">
        <v>3095</v>
      </c>
      <c r="L16" s="61" t="s">
        <v>3096</v>
      </c>
      <c r="M16" s="61" t="s">
        <v>3190</v>
      </c>
      <c r="N16" s="53">
        <v>110</v>
      </c>
      <c r="O16" s="63" t="s">
        <v>3097</v>
      </c>
      <c r="P16" s="301" t="s">
        <v>375</v>
      </c>
      <c r="Q16" s="53"/>
    </row>
    <row r="17" spans="1:17" ht="17.25" customHeight="1" thickBot="1">
      <c r="A17" s="135"/>
      <c r="H17" s="11" t="s">
        <v>413</v>
      </c>
      <c r="I17" t="s">
        <v>3109</v>
      </c>
      <c r="J17" s="68" t="s">
        <v>3086</v>
      </c>
      <c r="K17" s="62" t="s">
        <v>3095</v>
      </c>
      <c r="L17" s="61" t="s">
        <v>3096</v>
      </c>
      <c r="M17" s="61" t="s">
        <v>3190</v>
      </c>
      <c r="N17" s="53">
        <v>120</v>
      </c>
      <c r="O17" s="63" t="s">
        <v>3097</v>
      </c>
      <c r="P17" s="301" t="s">
        <v>375</v>
      </c>
      <c r="Q17" s="53"/>
    </row>
    <row r="18" spans="1:17" ht="17.25" customHeight="1" thickBot="1">
      <c r="A18" s="135"/>
      <c r="H18" s="11" t="s">
        <v>414</v>
      </c>
      <c r="I18" t="s">
        <v>3110</v>
      </c>
      <c r="J18" s="68" t="s">
        <v>3087</v>
      </c>
      <c r="K18" s="62" t="s">
        <v>3095</v>
      </c>
      <c r="L18" s="61" t="s">
        <v>3096</v>
      </c>
      <c r="M18" s="61" t="s">
        <v>3190</v>
      </c>
      <c r="N18" s="53">
        <v>130</v>
      </c>
      <c r="O18" s="63" t="s">
        <v>3097</v>
      </c>
      <c r="P18" s="301" t="s">
        <v>375</v>
      </c>
      <c r="Q18" s="53"/>
    </row>
    <row r="19" spans="1:17" ht="17.25" customHeight="1" thickBot="1">
      <c r="A19" s="135"/>
      <c r="H19" s="11" t="s">
        <v>415</v>
      </c>
      <c r="I19" t="s">
        <v>3111</v>
      </c>
      <c r="J19" s="68" t="s">
        <v>3088</v>
      </c>
      <c r="K19" s="62" t="s">
        <v>3095</v>
      </c>
      <c r="L19" s="61" t="s">
        <v>3096</v>
      </c>
      <c r="M19" s="61" t="s">
        <v>3190</v>
      </c>
      <c r="N19" s="53">
        <v>140</v>
      </c>
      <c r="O19" s="63" t="s">
        <v>3097</v>
      </c>
      <c r="P19" s="301" t="s">
        <v>375</v>
      </c>
      <c r="Q19" s="53"/>
    </row>
    <row r="20" spans="1:17" ht="17.25" customHeight="1" thickBot="1">
      <c r="A20" s="135"/>
      <c r="H20" s="11" t="s">
        <v>416</v>
      </c>
      <c r="I20" t="s">
        <v>3112</v>
      </c>
      <c r="J20" s="68" t="s">
        <v>3089</v>
      </c>
      <c r="K20" s="62" t="s">
        <v>3095</v>
      </c>
      <c r="L20" s="61" t="s">
        <v>3096</v>
      </c>
      <c r="M20" s="61" t="s">
        <v>3190</v>
      </c>
      <c r="N20" s="53">
        <v>150</v>
      </c>
      <c r="O20" s="63" t="s">
        <v>3097</v>
      </c>
      <c r="P20" s="301" t="s">
        <v>375</v>
      </c>
      <c r="Q20" s="53"/>
    </row>
    <row r="21" spans="1:17" ht="17.25" customHeight="1" thickBot="1">
      <c r="A21" s="135"/>
      <c r="H21" s="11" t="s">
        <v>418</v>
      </c>
      <c r="I21" t="s">
        <v>3113</v>
      </c>
      <c r="J21" s="68" t="s">
        <v>3090</v>
      </c>
      <c r="K21" s="62" t="s">
        <v>3095</v>
      </c>
      <c r="L21" s="61" t="s">
        <v>3096</v>
      </c>
      <c r="M21" s="61" t="s">
        <v>3190</v>
      </c>
      <c r="N21" s="53">
        <v>160</v>
      </c>
      <c r="O21" s="63" t="s">
        <v>3097</v>
      </c>
      <c r="P21" s="301" t="s">
        <v>375</v>
      </c>
      <c r="Q21" s="53"/>
    </row>
    <row r="22" spans="1:17" ht="17.25" customHeight="1" thickBot="1">
      <c r="A22" s="135"/>
      <c r="H22" s="11" t="s">
        <v>419</v>
      </c>
      <c r="I22" t="s">
        <v>3114</v>
      </c>
      <c r="J22" s="68" t="s">
        <v>3091</v>
      </c>
      <c r="K22" s="62" t="s">
        <v>3095</v>
      </c>
      <c r="L22" s="61" t="s">
        <v>3096</v>
      </c>
      <c r="M22" s="61" t="s">
        <v>3190</v>
      </c>
      <c r="N22" s="53">
        <v>170</v>
      </c>
      <c r="O22" s="63" t="s">
        <v>3097</v>
      </c>
      <c r="P22" s="301" t="s">
        <v>375</v>
      </c>
      <c r="Q22" s="53"/>
    </row>
    <row r="23" spans="1:17" ht="17.25" customHeight="1" thickBot="1">
      <c r="A23" s="135"/>
      <c r="H23" s="11" t="s">
        <v>420</v>
      </c>
      <c r="I23" t="s">
        <v>3115</v>
      </c>
      <c r="J23" s="68" t="s">
        <v>3092</v>
      </c>
      <c r="K23" s="62" t="s">
        <v>3095</v>
      </c>
      <c r="L23" s="61" t="s">
        <v>3096</v>
      </c>
      <c r="M23" s="61" t="s">
        <v>3190</v>
      </c>
      <c r="N23" s="53">
        <v>180</v>
      </c>
      <c r="O23" s="63" t="s">
        <v>3097</v>
      </c>
      <c r="P23" s="301" t="s">
        <v>375</v>
      </c>
      <c r="Q23" s="53"/>
    </row>
    <row r="24" spans="1:17" ht="17.25" customHeight="1" thickBot="1">
      <c r="A24" s="135"/>
      <c r="H24" s="11" t="s">
        <v>421</v>
      </c>
      <c r="I24" t="s">
        <v>3116</v>
      </c>
      <c r="J24" s="68" t="s">
        <v>3093</v>
      </c>
      <c r="K24" s="62" t="s">
        <v>3095</v>
      </c>
      <c r="L24" s="61" t="s">
        <v>3096</v>
      </c>
      <c r="M24" s="61" t="s">
        <v>3190</v>
      </c>
      <c r="N24" s="53">
        <v>190</v>
      </c>
      <c r="O24" s="63" t="s">
        <v>3097</v>
      </c>
      <c r="P24" s="301" t="s">
        <v>375</v>
      </c>
      <c r="Q24" s="53"/>
    </row>
    <row r="25" spans="1:17" ht="17.25" customHeight="1" thickBot="1">
      <c r="A25" s="135"/>
      <c r="H25" s="11" t="s">
        <v>422</v>
      </c>
      <c r="I25" t="s">
        <v>3117</v>
      </c>
      <c r="J25" s="68" t="s">
        <v>3094</v>
      </c>
      <c r="K25" s="62" t="s">
        <v>3095</v>
      </c>
      <c r="L25" s="61" t="s">
        <v>3096</v>
      </c>
      <c r="M25" s="61" t="s">
        <v>3190</v>
      </c>
      <c r="N25" s="53">
        <v>200</v>
      </c>
      <c r="O25" s="63" t="s">
        <v>3097</v>
      </c>
      <c r="P25" s="301" t="s">
        <v>375</v>
      </c>
      <c r="Q25" s="53"/>
    </row>
    <row r="26" spans="1:17" ht="17.25" customHeight="1">
      <c r="A26" s="268" t="s">
        <v>396</v>
      </c>
      <c r="B26" s="64"/>
      <c r="C26" s="64" t="s">
        <v>397</v>
      </c>
      <c r="D26" s="64" t="s">
        <v>331</v>
      </c>
      <c r="E26" s="64" t="b">
        <v>1</v>
      </c>
      <c r="F26" s="65"/>
      <c r="G26" s="65"/>
      <c r="H26" s="59"/>
      <c r="I26" s="59"/>
      <c r="J26" s="59"/>
      <c r="K26" s="59"/>
      <c r="L26" s="59"/>
      <c r="M26" s="59"/>
      <c r="N26" s="59"/>
      <c r="O26" s="59"/>
      <c r="P26" s="66"/>
    </row>
    <row r="27" spans="1:17" ht="17.25" customHeight="1" thickBot="1">
      <c r="A27" s="133"/>
      <c r="B27" s="10"/>
      <c r="C27" s="10"/>
      <c r="D27" s="10"/>
      <c r="E27" s="10"/>
      <c r="F27" s="10"/>
      <c r="G27" s="10"/>
      <c r="H27" s="60" t="s">
        <v>332</v>
      </c>
      <c r="I27" t="s">
        <v>398</v>
      </c>
      <c r="J27" s="68" t="s">
        <v>1013</v>
      </c>
      <c r="K27" s="62" t="s">
        <v>334</v>
      </c>
      <c r="L27" s="61" t="s">
        <v>399</v>
      </c>
      <c r="M27" s="61"/>
      <c r="N27" s="53">
        <v>2</v>
      </c>
      <c r="O27" s="63" t="s">
        <v>400</v>
      </c>
      <c r="P27" s="19"/>
      <c r="Q27" s="53"/>
    </row>
    <row r="28" spans="1:17" ht="17.25" customHeight="1" thickBot="1">
      <c r="A28" s="135"/>
      <c r="H28" s="11" t="s">
        <v>401</v>
      </c>
      <c r="I28" t="s">
        <v>398</v>
      </c>
      <c r="J28" s="68" t="s">
        <v>13</v>
      </c>
      <c r="K28" s="12" t="s">
        <v>334</v>
      </c>
      <c r="L28" s="61" t="s">
        <v>399</v>
      </c>
      <c r="N28" s="53">
        <v>5</v>
      </c>
      <c r="O28" s="63" t="s">
        <v>400</v>
      </c>
      <c r="Q28" s="53"/>
    </row>
    <row r="29" spans="1:17" ht="17.25" customHeight="1" thickBot="1">
      <c r="A29" s="135"/>
      <c r="H29" s="11" t="s">
        <v>402</v>
      </c>
      <c r="I29" t="s">
        <v>398</v>
      </c>
      <c r="J29" s="68" t="s">
        <v>14</v>
      </c>
      <c r="K29" s="12" t="s">
        <v>334</v>
      </c>
      <c r="L29" s="61" t="s">
        <v>399</v>
      </c>
      <c r="N29" s="53">
        <v>9</v>
      </c>
      <c r="O29" s="63" t="s">
        <v>403</v>
      </c>
      <c r="Q29" s="53"/>
    </row>
    <row r="30" spans="1:17" ht="17.25" customHeight="1" thickBot="1">
      <c r="A30" s="135"/>
      <c r="H30" s="11" t="s">
        <v>404</v>
      </c>
      <c r="I30" t="s">
        <v>398</v>
      </c>
      <c r="J30" s="68" t="s">
        <v>15</v>
      </c>
      <c r="K30" s="12" t="s">
        <v>334</v>
      </c>
      <c r="L30" s="61" t="s">
        <v>399</v>
      </c>
      <c r="N30" s="53">
        <v>15</v>
      </c>
      <c r="O30" s="63" t="s">
        <v>403</v>
      </c>
      <c r="Q30" s="53"/>
    </row>
    <row r="31" spans="1:17" ht="17.25" customHeight="1" thickBot="1">
      <c r="A31" s="135"/>
      <c r="H31" s="11" t="s">
        <v>405</v>
      </c>
      <c r="I31" t="s">
        <v>398</v>
      </c>
      <c r="J31" s="68" t="s">
        <v>16</v>
      </c>
      <c r="K31" s="12" t="s">
        <v>334</v>
      </c>
      <c r="L31" s="61" t="s">
        <v>399</v>
      </c>
      <c r="N31" s="53">
        <v>22</v>
      </c>
      <c r="O31" s="63" t="s">
        <v>406</v>
      </c>
      <c r="Q31" s="53"/>
    </row>
    <row r="32" spans="1:17" ht="17.25" customHeight="1" thickBot="1">
      <c r="A32" s="135"/>
      <c r="H32" s="11" t="s">
        <v>407</v>
      </c>
      <c r="I32" t="s">
        <v>398</v>
      </c>
      <c r="J32" s="68" t="s">
        <v>17</v>
      </c>
      <c r="K32" s="12" t="s">
        <v>334</v>
      </c>
      <c r="L32" s="61" t="s">
        <v>399</v>
      </c>
      <c r="N32" s="53">
        <v>29</v>
      </c>
      <c r="O32" s="63" t="s">
        <v>406</v>
      </c>
      <c r="Q32" s="53"/>
    </row>
    <row r="33" spans="1:17" ht="17.25" customHeight="1" thickBot="1">
      <c r="A33" s="135"/>
      <c r="H33" s="11" t="s">
        <v>408</v>
      </c>
      <c r="I33" t="s">
        <v>398</v>
      </c>
      <c r="J33" s="68" t="s">
        <v>18</v>
      </c>
      <c r="K33" s="12" t="s">
        <v>334</v>
      </c>
      <c r="L33" s="61" t="s">
        <v>399</v>
      </c>
      <c r="N33" s="53">
        <v>38</v>
      </c>
      <c r="O33" s="63" t="s">
        <v>406</v>
      </c>
      <c r="Q33" s="53"/>
    </row>
    <row r="34" spans="1:17" ht="17.25" customHeight="1" thickBot="1">
      <c r="A34" s="135"/>
      <c r="H34" s="11" t="s">
        <v>409</v>
      </c>
      <c r="I34" t="s">
        <v>398</v>
      </c>
      <c r="J34" s="68" t="s">
        <v>19</v>
      </c>
      <c r="K34" s="12" t="s">
        <v>334</v>
      </c>
      <c r="L34" s="61" t="s">
        <v>399</v>
      </c>
      <c r="N34" s="53">
        <v>47</v>
      </c>
      <c r="O34" s="63" t="s">
        <v>406</v>
      </c>
      <c r="Q34" s="53"/>
    </row>
    <row r="35" spans="1:17" ht="17.25" customHeight="1" thickBot="1">
      <c r="A35" s="135"/>
      <c r="H35" s="11" t="s">
        <v>410</v>
      </c>
      <c r="I35" t="s">
        <v>398</v>
      </c>
      <c r="J35" s="68" t="s">
        <v>20</v>
      </c>
      <c r="K35" s="12" t="s">
        <v>334</v>
      </c>
      <c r="L35" s="61" t="s">
        <v>399</v>
      </c>
      <c r="N35" s="53">
        <v>57</v>
      </c>
      <c r="O35" s="63" t="s">
        <v>406</v>
      </c>
      <c r="Q35" s="53"/>
    </row>
    <row r="36" spans="1:17" ht="17.25" customHeight="1" thickBot="1">
      <c r="A36" s="135"/>
      <c r="H36" s="11" t="s">
        <v>411</v>
      </c>
      <c r="I36" t="s">
        <v>398</v>
      </c>
      <c r="J36" s="68" t="s">
        <v>21</v>
      </c>
      <c r="K36" s="12" t="s">
        <v>334</v>
      </c>
      <c r="L36" s="61" t="s">
        <v>399</v>
      </c>
      <c r="N36" s="53">
        <v>67</v>
      </c>
      <c r="O36" s="63" t="s">
        <v>406</v>
      </c>
      <c r="Q36" s="53"/>
    </row>
    <row r="37" spans="1:17" ht="17.25" customHeight="1" thickBot="1">
      <c r="A37" s="135"/>
      <c r="H37" s="11" t="s">
        <v>412</v>
      </c>
      <c r="I37" t="s">
        <v>398</v>
      </c>
      <c r="J37" s="68" t="s">
        <v>22</v>
      </c>
      <c r="K37" s="12" t="s">
        <v>334</v>
      </c>
      <c r="L37" s="61" t="s">
        <v>399</v>
      </c>
      <c r="N37" s="53">
        <v>78</v>
      </c>
      <c r="O37" s="63" t="s">
        <v>406</v>
      </c>
      <c r="Q37" s="53"/>
    </row>
    <row r="38" spans="1:17" ht="17.25" customHeight="1" thickBot="1">
      <c r="A38" s="135"/>
      <c r="H38" s="11" t="s">
        <v>413</v>
      </c>
      <c r="I38" t="s">
        <v>398</v>
      </c>
      <c r="J38" s="68" t="s">
        <v>23</v>
      </c>
      <c r="K38" s="12" t="s">
        <v>334</v>
      </c>
      <c r="L38" s="61" t="s">
        <v>399</v>
      </c>
      <c r="N38" s="53">
        <v>90</v>
      </c>
      <c r="O38" s="63" t="s">
        <v>406</v>
      </c>
      <c r="Q38" s="53"/>
    </row>
    <row r="39" spans="1:17" ht="17.25" customHeight="1" thickBot="1">
      <c r="A39" s="135"/>
      <c r="H39" s="11" t="s">
        <v>414</v>
      </c>
      <c r="I39" t="s">
        <v>398</v>
      </c>
      <c r="J39" s="68" t="s">
        <v>24</v>
      </c>
      <c r="K39" s="12" t="s">
        <v>334</v>
      </c>
      <c r="L39" s="61" t="s">
        <v>399</v>
      </c>
      <c r="N39" s="53">
        <v>102</v>
      </c>
      <c r="O39" s="63" t="s">
        <v>406</v>
      </c>
      <c r="Q39" s="53"/>
    </row>
    <row r="40" spans="1:17" ht="17.25" customHeight="1" thickBot="1">
      <c r="A40" s="135"/>
      <c r="H40" s="11" t="s">
        <v>415</v>
      </c>
      <c r="I40" t="s">
        <v>398</v>
      </c>
      <c r="J40" s="68" t="s">
        <v>25</v>
      </c>
      <c r="K40" s="12" t="s">
        <v>334</v>
      </c>
      <c r="L40" s="61" t="s">
        <v>399</v>
      </c>
      <c r="N40" s="53">
        <v>115</v>
      </c>
      <c r="O40" s="63" t="s">
        <v>406</v>
      </c>
      <c r="Q40" s="53"/>
    </row>
    <row r="41" spans="1:17" ht="17.25" customHeight="1" thickBot="1">
      <c r="A41" s="135"/>
      <c r="H41" s="11" t="s">
        <v>416</v>
      </c>
      <c r="I41" t="s">
        <v>398</v>
      </c>
      <c r="J41" s="68" t="s">
        <v>26</v>
      </c>
      <c r="K41" s="12" t="s">
        <v>334</v>
      </c>
      <c r="L41" s="61" t="s">
        <v>399</v>
      </c>
      <c r="N41" s="53">
        <v>128</v>
      </c>
      <c r="O41" s="63" t="s">
        <v>417</v>
      </c>
      <c r="Q41" s="53"/>
    </row>
    <row r="42" spans="1:17" ht="17.25" customHeight="1" thickBot="1">
      <c r="A42" s="135"/>
      <c r="H42" s="11" t="s">
        <v>418</v>
      </c>
      <c r="I42" t="s">
        <v>398</v>
      </c>
      <c r="J42" s="68" t="s">
        <v>27</v>
      </c>
      <c r="K42" s="12" t="s">
        <v>334</v>
      </c>
      <c r="L42" s="61" t="s">
        <v>399</v>
      </c>
      <c r="N42" s="53">
        <v>141</v>
      </c>
      <c r="O42" s="63" t="s">
        <v>417</v>
      </c>
      <c r="Q42" s="53"/>
    </row>
    <row r="43" spans="1:17" ht="17.25" customHeight="1" thickBot="1">
      <c r="A43" s="135"/>
      <c r="H43" s="11" t="s">
        <v>419</v>
      </c>
      <c r="I43" t="s">
        <v>398</v>
      </c>
      <c r="J43" s="68" t="s">
        <v>28</v>
      </c>
      <c r="K43" s="12" t="s">
        <v>334</v>
      </c>
      <c r="L43" s="61" t="s">
        <v>399</v>
      </c>
      <c r="N43" s="53">
        <v>156</v>
      </c>
      <c r="O43" s="63" t="s">
        <v>417</v>
      </c>
      <c r="Q43" s="53"/>
    </row>
    <row r="44" spans="1:17" ht="17.25" customHeight="1" thickBot="1">
      <c r="A44" s="135"/>
      <c r="H44" s="11" t="s">
        <v>420</v>
      </c>
      <c r="I44" t="s">
        <v>398</v>
      </c>
      <c r="J44" s="68" t="s">
        <v>29</v>
      </c>
      <c r="K44" s="12" t="s">
        <v>334</v>
      </c>
      <c r="L44" s="61" t="s">
        <v>399</v>
      </c>
      <c r="N44" s="53">
        <v>170</v>
      </c>
      <c r="O44" s="63" t="s">
        <v>417</v>
      </c>
      <c r="Q44" s="53"/>
    </row>
    <row r="45" spans="1:17" ht="17.25" customHeight="1" thickBot="1">
      <c r="A45" s="135"/>
      <c r="H45" s="11" t="s">
        <v>421</v>
      </c>
      <c r="I45" t="s">
        <v>398</v>
      </c>
      <c r="J45" s="68" t="s">
        <v>30</v>
      </c>
      <c r="K45" s="12" t="s">
        <v>334</v>
      </c>
      <c r="L45" s="61" t="s">
        <v>399</v>
      </c>
      <c r="N45" s="53">
        <v>185</v>
      </c>
      <c r="O45" s="63" t="s">
        <v>417</v>
      </c>
      <c r="Q45" s="53"/>
    </row>
    <row r="46" spans="1:17" ht="17.25" customHeight="1" thickBot="1">
      <c r="A46" s="135"/>
      <c r="H46" s="11" t="s">
        <v>422</v>
      </c>
      <c r="I46" t="s">
        <v>398</v>
      </c>
      <c r="J46" s="68" t="s">
        <v>31</v>
      </c>
      <c r="K46" s="12" t="s">
        <v>334</v>
      </c>
      <c r="L46" s="61" t="s">
        <v>399</v>
      </c>
      <c r="N46" s="53">
        <v>200</v>
      </c>
      <c r="O46" s="63" t="s">
        <v>417</v>
      </c>
      <c r="Q46" s="53"/>
    </row>
    <row r="47" spans="1:17">
      <c r="A47" s="269"/>
      <c r="B47" s="42"/>
      <c r="C47" s="42"/>
      <c r="D47" s="41"/>
      <c r="E47" s="41"/>
      <c r="F47" s="42"/>
      <c r="G47" s="42"/>
      <c r="H47" s="54"/>
      <c r="I47" s="42"/>
      <c r="J47" s="42"/>
      <c r="K47" s="55"/>
      <c r="L47" s="56"/>
      <c r="M47" s="42"/>
      <c r="N47" s="57"/>
      <c r="O47" s="58"/>
      <c r="P47" s="42"/>
    </row>
    <row r="48" spans="1:17">
      <c r="A48" s="135" t="s">
        <v>423</v>
      </c>
      <c r="C48" t="s">
        <v>397</v>
      </c>
      <c r="D48" s="26" t="s">
        <v>331</v>
      </c>
      <c r="E48" s="26" t="b">
        <v>1</v>
      </c>
    </row>
    <row r="49" spans="1:16">
      <c r="A49" s="135"/>
      <c r="H49" s="26">
        <v>1</v>
      </c>
      <c r="I49" t="s">
        <v>1087</v>
      </c>
      <c r="J49" t="s">
        <v>3041</v>
      </c>
      <c r="K49" s="12" t="s">
        <v>334</v>
      </c>
      <c r="L49" s="70" t="s">
        <v>425</v>
      </c>
      <c r="M49" s="70" t="s">
        <v>336</v>
      </c>
      <c r="N49" s="116">
        <v>25</v>
      </c>
      <c r="O49" s="15" t="s">
        <v>400</v>
      </c>
      <c r="P49" t="s">
        <v>337</v>
      </c>
    </row>
    <row r="50" spans="1:16">
      <c r="A50" s="135"/>
      <c r="H50" s="26">
        <v>2</v>
      </c>
      <c r="I50" t="s">
        <v>424</v>
      </c>
      <c r="J50" t="s">
        <v>3042</v>
      </c>
      <c r="K50" s="12" t="s">
        <v>334</v>
      </c>
      <c r="L50" s="70" t="s">
        <v>425</v>
      </c>
      <c r="M50" s="70" t="s">
        <v>336</v>
      </c>
      <c r="N50" s="116">
        <v>50</v>
      </c>
      <c r="O50" s="15" t="s">
        <v>400</v>
      </c>
      <c r="P50" t="s">
        <v>337</v>
      </c>
    </row>
    <row r="51" spans="1:16">
      <c r="A51" s="135"/>
      <c r="H51" s="26">
        <v>3</v>
      </c>
      <c r="I51" t="s">
        <v>424</v>
      </c>
      <c r="J51" t="s">
        <v>32</v>
      </c>
      <c r="K51" s="12" t="s">
        <v>334</v>
      </c>
      <c r="L51" s="70" t="s">
        <v>425</v>
      </c>
      <c r="M51" s="70" t="s">
        <v>336</v>
      </c>
      <c r="N51" s="116">
        <v>80</v>
      </c>
      <c r="O51" s="15" t="s">
        <v>403</v>
      </c>
      <c r="P51" t="s">
        <v>337</v>
      </c>
    </row>
    <row r="52" spans="1:16">
      <c r="A52" s="135"/>
      <c r="H52" s="26">
        <v>4</v>
      </c>
      <c r="I52" t="s">
        <v>424</v>
      </c>
      <c r="J52" t="s">
        <v>33</v>
      </c>
      <c r="K52" s="12" t="s">
        <v>334</v>
      </c>
      <c r="L52" s="70" t="s">
        <v>425</v>
      </c>
      <c r="M52" s="70" t="s">
        <v>336</v>
      </c>
      <c r="N52" s="116">
        <v>100</v>
      </c>
      <c r="O52" s="15" t="s">
        <v>403</v>
      </c>
      <c r="P52" t="s">
        <v>337</v>
      </c>
    </row>
    <row r="53" spans="1:16">
      <c r="A53" s="135"/>
      <c r="H53" s="26">
        <v>5</v>
      </c>
      <c r="I53" t="s">
        <v>424</v>
      </c>
      <c r="J53" t="s">
        <v>34</v>
      </c>
      <c r="K53" s="12" t="s">
        <v>334</v>
      </c>
      <c r="L53" s="70" t="s">
        <v>425</v>
      </c>
      <c r="M53" s="70" t="s">
        <v>336</v>
      </c>
      <c r="N53" s="116">
        <v>140</v>
      </c>
      <c r="O53" s="15" t="s">
        <v>406</v>
      </c>
      <c r="P53" t="s">
        <v>337</v>
      </c>
    </row>
    <row r="54" spans="1:16">
      <c r="A54" s="135"/>
      <c r="H54" s="26">
        <v>6</v>
      </c>
      <c r="I54" t="s">
        <v>424</v>
      </c>
      <c r="J54" t="s">
        <v>35</v>
      </c>
      <c r="K54" s="12" t="s">
        <v>334</v>
      </c>
      <c r="L54" s="70" t="s">
        <v>425</v>
      </c>
      <c r="M54" s="70" t="s">
        <v>336</v>
      </c>
      <c r="N54" s="116">
        <v>180</v>
      </c>
      <c r="O54" s="15" t="s">
        <v>406</v>
      </c>
      <c r="P54" t="s">
        <v>337</v>
      </c>
    </row>
    <row r="55" spans="1:16">
      <c r="A55" s="135"/>
      <c r="H55" s="26">
        <v>7</v>
      </c>
      <c r="I55" t="s">
        <v>424</v>
      </c>
      <c r="J55" t="s">
        <v>36</v>
      </c>
      <c r="K55" s="12" t="s">
        <v>334</v>
      </c>
      <c r="L55" s="70" t="s">
        <v>425</v>
      </c>
      <c r="M55" s="70" t="s">
        <v>336</v>
      </c>
      <c r="N55" s="116">
        <v>220</v>
      </c>
      <c r="O55" s="15" t="s">
        <v>406</v>
      </c>
      <c r="P55" t="s">
        <v>337</v>
      </c>
    </row>
    <row r="56" spans="1:16">
      <c r="A56" s="135"/>
      <c r="H56" s="26">
        <v>8</v>
      </c>
      <c r="I56" t="s">
        <v>424</v>
      </c>
      <c r="J56" t="s">
        <v>37</v>
      </c>
      <c r="K56" s="12" t="s">
        <v>334</v>
      </c>
      <c r="L56" s="70" t="s">
        <v>425</v>
      </c>
      <c r="M56" s="70" t="s">
        <v>336</v>
      </c>
      <c r="N56" s="116">
        <v>270</v>
      </c>
      <c r="O56" s="15" t="s">
        <v>406</v>
      </c>
      <c r="P56" t="s">
        <v>337</v>
      </c>
    </row>
    <row r="57" spans="1:16">
      <c r="A57" s="135"/>
      <c r="H57" s="26">
        <v>9</v>
      </c>
      <c r="I57" t="s">
        <v>424</v>
      </c>
      <c r="J57" t="s">
        <v>38</v>
      </c>
      <c r="K57" s="12" t="s">
        <v>334</v>
      </c>
      <c r="L57" s="70" t="s">
        <v>425</v>
      </c>
      <c r="M57" s="70" t="s">
        <v>336</v>
      </c>
      <c r="N57" s="116">
        <v>320</v>
      </c>
      <c r="O57" s="15" t="s">
        <v>406</v>
      </c>
      <c r="P57" t="s">
        <v>337</v>
      </c>
    </row>
    <row r="58" spans="1:16">
      <c r="A58" s="135"/>
      <c r="H58" s="26">
        <v>10</v>
      </c>
      <c r="I58" t="s">
        <v>424</v>
      </c>
      <c r="J58" t="s">
        <v>39</v>
      </c>
      <c r="K58" s="12" t="s">
        <v>334</v>
      </c>
      <c r="L58" s="70" t="s">
        <v>425</v>
      </c>
      <c r="M58" s="70" t="s">
        <v>336</v>
      </c>
      <c r="N58" s="116">
        <v>370</v>
      </c>
      <c r="O58" s="15" t="s">
        <v>406</v>
      </c>
      <c r="P58" t="s">
        <v>337</v>
      </c>
    </row>
    <row r="59" spans="1:16">
      <c r="A59" s="135"/>
      <c r="H59" s="26">
        <v>11</v>
      </c>
      <c r="I59" t="s">
        <v>424</v>
      </c>
      <c r="J59" t="s">
        <v>40</v>
      </c>
      <c r="K59" s="12" t="s">
        <v>334</v>
      </c>
      <c r="L59" s="70" t="s">
        <v>425</v>
      </c>
      <c r="M59" s="70" t="s">
        <v>336</v>
      </c>
      <c r="N59" s="116">
        <v>430</v>
      </c>
      <c r="O59" s="15" t="s">
        <v>406</v>
      </c>
      <c r="P59" t="s">
        <v>337</v>
      </c>
    </row>
    <row r="60" spans="1:16">
      <c r="A60" s="135"/>
      <c r="H60" s="26">
        <v>12</v>
      </c>
      <c r="I60" t="s">
        <v>424</v>
      </c>
      <c r="J60" t="s">
        <v>41</v>
      </c>
      <c r="K60" s="12" t="s">
        <v>334</v>
      </c>
      <c r="L60" s="70" t="s">
        <v>425</v>
      </c>
      <c r="M60" s="70" t="s">
        <v>336</v>
      </c>
      <c r="N60" s="116">
        <v>490</v>
      </c>
      <c r="O60" s="15" t="s">
        <v>406</v>
      </c>
      <c r="P60" t="s">
        <v>337</v>
      </c>
    </row>
    <row r="61" spans="1:16">
      <c r="A61" s="135"/>
      <c r="H61" s="26">
        <v>13</v>
      </c>
      <c r="I61" t="s">
        <v>424</v>
      </c>
      <c r="J61" t="s">
        <v>42</v>
      </c>
      <c r="K61" s="12" t="s">
        <v>334</v>
      </c>
      <c r="L61" s="70" t="s">
        <v>425</v>
      </c>
      <c r="M61" s="70" t="s">
        <v>336</v>
      </c>
      <c r="N61" s="116">
        <v>550</v>
      </c>
      <c r="O61" s="15" t="s">
        <v>406</v>
      </c>
      <c r="P61" t="s">
        <v>337</v>
      </c>
    </row>
    <row r="62" spans="1:16">
      <c r="A62" s="135"/>
      <c r="H62" s="26">
        <v>14</v>
      </c>
      <c r="I62" t="s">
        <v>424</v>
      </c>
      <c r="J62" t="s">
        <v>43</v>
      </c>
      <c r="K62" s="12" t="s">
        <v>334</v>
      </c>
      <c r="L62" s="70" t="s">
        <v>425</v>
      </c>
      <c r="M62" s="70" t="s">
        <v>336</v>
      </c>
      <c r="N62" s="116">
        <v>610</v>
      </c>
      <c r="O62" s="15" t="s">
        <v>406</v>
      </c>
      <c r="P62" t="s">
        <v>337</v>
      </c>
    </row>
    <row r="63" spans="1:16">
      <c r="A63" s="135"/>
      <c r="H63" s="26">
        <v>15</v>
      </c>
      <c r="I63" t="s">
        <v>424</v>
      </c>
      <c r="J63" t="s">
        <v>44</v>
      </c>
      <c r="K63" s="12" t="s">
        <v>334</v>
      </c>
      <c r="L63" s="70" t="s">
        <v>425</v>
      </c>
      <c r="M63" s="70" t="s">
        <v>336</v>
      </c>
      <c r="N63" s="116">
        <v>670</v>
      </c>
      <c r="O63" s="15" t="s">
        <v>417</v>
      </c>
      <c r="P63" t="s">
        <v>337</v>
      </c>
    </row>
    <row r="64" spans="1:16">
      <c r="A64" s="135"/>
      <c r="H64" s="26">
        <v>16</v>
      </c>
      <c r="I64" t="s">
        <v>424</v>
      </c>
      <c r="J64" t="s">
        <v>45</v>
      </c>
      <c r="K64" s="12" t="s">
        <v>334</v>
      </c>
      <c r="L64" s="70" t="s">
        <v>425</v>
      </c>
      <c r="M64" s="70" t="s">
        <v>336</v>
      </c>
      <c r="N64" s="116">
        <v>730</v>
      </c>
      <c r="O64" s="15" t="s">
        <v>417</v>
      </c>
      <c r="P64" t="s">
        <v>337</v>
      </c>
    </row>
    <row r="65" spans="1:16">
      <c r="A65" s="135"/>
      <c r="H65" s="26">
        <v>17</v>
      </c>
      <c r="I65" t="s">
        <v>424</v>
      </c>
      <c r="J65" t="s">
        <v>46</v>
      </c>
      <c r="K65" s="12" t="s">
        <v>334</v>
      </c>
      <c r="L65" s="70" t="s">
        <v>425</v>
      </c>
      <c r="M65" s="70" t="s">
        <v>336</v>
      </c>
      <c r="N65" s="116">
        <v>800</v>
      </c>
      <c r="O65" s="15" t="s">
        <v>417</v>
      </c>
      <c r="P65" t="s">
        <v>337</v>
      </c>
    </row>
    <row r="66" spans="1:16">
      <c r="A66" s="135"/>
      <c r="H66" s="26">
        <v>18</v>
      </c>
      <c r="I66" t="s">
        <v>424</v>
      </c>
      <c r="J66" t="s">
        <v>47</v>
      </c>
      <c r="K66" s="12" t="s">
        <v>334</v>
      </c>
      <c r="L66" s="70" t="s">
        <v>425</v>
      </c>
      <c r="M66" s="70" t="s">
        <v>336</v>
      </c>
      <c r="N66" s="116">
        <v>860</v>
      </c>
      <c r="O66" s="15" t="s">
        <v>417</v>
      </c>
      <c r="P66" t="s">
        <v>337</v>
      </c>
    </row>
    <row r="67" spans="1:16">
      <c r="A67" s="135"/>
      <c r="H67" s="26">
        <v>19</v>
      </c>
      <c r="I67" t="s">
        <v>424</v>
      </c>
      <c r="J67" t="s">
        <v>48</v>
      </c>
      <c r="K67" s="12" t="s">
        <v>334</v>
      </c>
      <c r="L67" s="70" t="s">
        <v>425</v>
      </c>
      <c r="M67" s="70" t="s">
        <v>336</v>
      </c>
      <c r="N67" s="116">
        <v>920</v>
      </c>
      <c r="O67" s="15" t="s">
        <v>417</v>
      </c>
      <c r="P67" t="s">
        <v>337</v>
      </c>
    </row>
    <row r="68" spans="1:16">
      <c r="A68" s="135"/>
      <c r="H68" s="26">
        <v>20</v>
      </c>
      <c r="I68" t="s">
        <v>424</v>
      </c>
      <c r="J68" t="s">
        <v>49</v>
      </c>
      <c r="K68" s="12" t="s">
        <v>334</v>
      </c>
      <c r="L68" s="70" t="s">
        <v>425</v>
      </c>
      <c r="M68" s="70" t="s">
        <v>336</v>
      </c>
      <c r="N68" s="116">
        <v>1000</v>
      </c>
      <c r="O68" s="15" t="s">
        <v>417</v>
      </c>
      <c r="P68" t="s">
        <v>337</v>
      </c>
    </row>
    <row r="69" spans="1:16">
      <c r="A69" s="269"/>
      <c r="B69" s="42"/>
      <c r="C69" s="42"/>
      <c r="D69" s="41"/>
      <c r="E69" s="41"/>
      <c r="F69" s="42"/>
      <c r="G69" s="42"/>
      <c r="H69" s="54"/>
      <c r="I69" s="42"/>
      <c r="J69" s="42"/>
      <c r="K69" s="55"/>
      <c r="L69" s="56"/>
      <c r="M69" s="42"/>
      <c r="N69" s="57"/>
      <c r="O69" s="58"/>
      <c r="P69" s="42"/>
    </row>
    <row r="70" spans="1:16">
      <c r="A70" s="135" t="s">
        <v>426</v>
      </c>
      <c r="C70" t="s">
        <v>397</v>
      </c>
      <c r="D70" s="26" t="s">
        <v>331</v>
      </c>
      <c r="E70" s="26" t="b">
        <v>1</v>
      </c>
    </row>
    <row r="71" spans="1:16">
      <c r="A71" s="135"/>
      <c r="H71" s="26">
        <v>1</v>
      </c>
      <c r="I71" s="68" t="s">
        <v>1072</v>
      </c>
      <c r="J71" s="68" t="s">
        <v>3021</v>
      </c>
      <c r="K71" s="12" t="s">
        <v>334</v>
      </c>
      <c r="L71" s="16" t="s">
        <v>427</v>
      </c>
      <c r="M71" s="17" t="s">
        <v>340</v>
      </c>
      <c r="N71" s="53">
        <v>10</v>
      </c>
      <c r="O71" s="15" t="s">
        <v>400</v>
      </c>
      <c r="P71" t="s">
        <v>428</v>
      </c>
    </row>
    <row r="72" spans="1:16">
      <c r="A72" s="135"/>
      <c r="H72" s="26">
        <v>2</v>
      </c>
      <c r="I72" s="68" t="s">
        <v>1072</v>
      </c>
      <c r="J72" s="68" t="s">
        <v>3022</v>
      </c>
      <c r="K72" s="12" t="s">
        <v>334</v>
      </c>
      <c r="L72" s="16" t="s">
        <v>427</v>
      </c>
      <c r="M72" s="17" t="s">
        <v>340</v>
      </c>
      <c r="N72" s="53">
        <v>20</v>
      </c>
      <c r="O72" s="15" t="s">
        <v>400</v>
      </c>
      <c r="P72" t="s">
        <v>428</v>
      </c>
    </row>
    <row r="73" spans="1:16">
      <c r="A73" s="135"/>
      <c r="H73" s="26">
        <v>3</v>
      </c>
      <c r="I73" s="68" t="s">
        <v>1072</v>
      </c>
      <c r="J73" s="68" t="s">
        <v>3023</v>
      </c>
      <c r="K73" s="12" t="s">
        <v>334</v>
      </c>
      <c r="L73" s="16" t="s">
        <v>427</v>
      </c>
      <c r="M73" s="17" t="s">
        <v>340</v>
      </c>
      <c r="N73" s="53">
        <v>30</v>
      </c>
      <c r="O73" s="15" t="s">
        <v>403</v>
      </c>
      <c r="P73" t="s">
        <v>428</v>
      </c>
    </row>
    <row r="74" spans="1:16">
      <c r="A74" s="135"/>
      <c r="H74" s="26">
        <v>4</v>
      </c>
      <c r="I74" s="68" t="s">
        <v>1072</v>
      </c>
      <c r="J74" s="68" t="s">
        <v>3024</v>
      </c>
      <c r="K74" s="12" t="s">
        <v>334</v>
      </c>
      <c r="L74" s="16" t="s">
        <v>427</v>
      </c>
      <c r="M74" s="17" t="s">
        <v>340</v>
      </c>
      <c r="N74" s="53">
        <v>40</v>
      </c>
      <c r="O74" s="15" t="s">
        <v>403</v>
      </c>
      <c r="P74" t="s">
        <v>428</v>
      </c>
    </row>
    <row r="75" spans="1:16">
      <c r="A75" s="135"/>
      <c r="H75" s="26">
        <v>5</v>
      </c>
      <c r="I75" s="68" t="s">
        <v>1072</v>
      </c>
      <c r="J75" s="68" t="s">
        <v>3025</v>
      </c>
      <c r="K75" s="12" t="s">
        <v>334</v>
      </c>
      <c r="L75" s="16" t="s">
        <v>427</v>
      </c>
      <c r="M75" s="17" t="s">
        <v>340</v>
      </c>
      <c r="N75" s="53">
        <v>50</v>
      </c>
      <c r="O75" s="15" t="s">
        <v>406</v>
      </c>
      <c r="P75" t="s">
        <v>428</v>
      </c>
    </row>
    <row r="76" spans="1:16">
      <c r="A76" s="135"/>
      <c r="H76" s="26">
        <v>6</v>
      </c>
      <c r="I76" s="68" t="s">
        <v>1072</v>
      </c>
      <c r="J76" s="68" t="s">
        <v>3026</v>
      </c>
      <c r="K76" s="12" t="s">
        <v>334</v>
      </c>
      <c r="L76" s="16" t="s">
        <v>427</v>
      </c>
      <c r="M76" s="17" t="s">
        <v>340</v>
      </c>
      <c r="N76" s="53">
        <v>60</v>
      </c>
      <c r="O76" s="15" t="s">
        <v>406</v>
      </c>
      <c r="P76" t="s">
        <v>428</v>
      </c>
    </row>
    <row r="77" spans="1:16">
      <c r="A77" s="135"/>
      <c r="H77" s="26">
        <v>7</v>
      </c>
      <c r="I77" s="68" t="s">
        <v>1072</v>
      </c>
      <c r="J77" s="68" t="s">
        <v>3027</v>
      </c>
      <c r="K77" s="12" t="s">
        <v>334</v>
      </c>
      <c r="L77" s="16" t="s">
        <v>427</v>
      </c>
      <c r="M77" s="17" t="s">
        <v>340</v>
      </c>
      <c r="N77" s="53">
        <v>70</v>
      </c>
      <c r="O77" s="15" t="s">
        <v>406</v>
      </c>
      <c r="P77" t="s">
        <v>428</v>
      </c>
    </row>
    <row r="78" spans="1:16">
      <c r="A78" s="135"/>
      <c r="H78" s="26">
        <v>8</v>
      </c>
      <c r="I78" s="68" t="s">
        <v>1072</v>
      </c>
      <c r="J78" s="68" t="s">
        <v>3028</v>
      </c>
      <c r="K78" s="12" t="s">
        <v>334</v>
      </c>
      <c r="L78" s="16" t="s">
        <v>427</v>
      </c>
      <c r="M78" s="17" t="s">
        <v>340</v>
      </c>
      <c r="N78" s="53">
        <v>80</v>
      </c>
      <c r="O78" s="15" t="s">
        <v>406</v>
      </c>
      <c r="P78" t="s">
        <v>428</v>
      </c>
    </row>
    <row r="79" spans="1:16">
      <c r="A79" s="135"/>
      <c r="H79" s="26">
        <v>9</v>
      </c>
      <c r="I79" s="68" t="s">
        <v>1072</v>
      </c>
      <c r="J79" s="68" t="s">
        <v>3029</v>
      </c>
      <c r="K79" s="12" t="s">
        <v>334</v>
      </c>
      <c r="L79" s="16" t="s">
        <v>427</v>
      </c>
      <c r="M79" s="17" t="s">
        <v>340</v>
      </c>
      <c r="N79" s="53">
        <v>90</v>
      </c>
      <c r="O79" s="15" t="s">
        <v>406</v>
      </c>
      <c r="P79" t="s">
        <v>428</v>
      </c>
    </row>
    <row r="80" spans="1:16">
      <c r="A80" s="135"/>
      <c r="H80" s="26">
        <v>10</v>
      </c>
      <c r="I80" s="68" t="s">
        <v>1072</v>
      </c>
      <c r="J80" s="68" t="s">
        <v>3030</v>
      </c>
      <c r="K80" s="12" t="s">
        <v>334</v>
      </c>
      <c r="L80" s="16" t="s">
        <v>427</v>
      </c>
      <c r="M80" s="17" t="s">
        <v>340</v>
      </c>
      <c r="N80" s="53">
        <v>100</v>
      </c>
      <c r="O80" s="15" t="s">
        <v>406</v>
      </c>
      <c r="P80" t="s">
        <v>428</v>
      </c>
    </row>
    <row r="81" spans="1:16">
      <c r="A81" s="135"/>
      <c r="H81" s="26">
        <v>11</v>
      </c>
      <c r="I81" s="68" t="s">
        <v>1072</v>
      </c>
      <c r="J81" s="68" t="s">
        <v>3031</v>
      </c>
      <c r="K81" s="12" t="s">
        <v>334</v>
      </c>
      <c r="L81" s="16" t="s">
        <v>427</v>
      </c>
      <c r="M81" s="17" t="s">
        <v>340</v>
      </c>
      <c r="N81" s="53">
        <v>110</v>
      </c>
      <c r="O81" s="15" t="s">
        <v>406</v>
      </c>
      <c r="P81" t="s">
        <v>428</v>
      </c>
    </row>
    <row r="82" spans="1:16">
      <c r="A82" s="135"/>
      <c r="H82" s="26">
        <v>12</v>
      </c>
      <c r="I82" s="68" t="s">
        <v>1072</v>
      </c>
      <c r="J82" s="68" t="s">
        <v>3032</v>
      </c>
      <c r="K82" s="12" t="s">
        <v>334</v>
      </c>
      <c r="L82" s="16" t="s">
        <v>427</v>
      </c>
      <c r="M82" s="17" t="s">
        <v>340</v>
      </c>
      <c r="N82" s="53">
        <v>120</v>
      </c>
      <c r="O82" s="15" t="s">
        <v>406</v>
      </c>
      <c r="P82" t="s">
        <v>428</v>
      </c>
    </row>
    <row r="83" spans="1:16">
      <c r="A83" s="135"/>
      <c r="H83" s="26">
        <v>13</v>
      </c>
      <c r="I83" s="68" t="s">
        <v>1072</v>
      </c>
      <c r="J83" s="68" t="s">
        <v>3033</v>
      </c>
      <c r="K83" s="12" t="s">
        <v>334</v>
      </c>
      <c r="L83" s="16" t="s">
        <v>427</v>
      </c>
      <c r="M83" s="17" t="s">
        <v>340</v>
      </c>
      <c r="N83" s="53">
        <v>130</v>
      </c>
      <c r="O83" s="15" t="s">
        <v>406</v>
      </c>
      <c r="P83" t="s">
        <v>428</v>
      </c>
    </row>
    <row r="84" spans="1:16">
      <c r="A84" s="135"/>
      <c r="H84" s="26">
        <v>14</v>
      </c>
      <c r="I84" s="68" t="s">
        <v>1072</v>
      </c>
      <c r="J84" s="68" t="s">
        <v>3034</v>
      </c>
      <c r="K84" s="12" t="s">
        <v>334</v>
      </c>
      <c r="L84" s="16" t="s">
        <v>427</v>
      </c>
      <c r="M84" s="17" t="s">
        <v>340</v>
      </c>
      <c r="N84" s="53">
        <v>140</v>
      </c>
      <c r="O84" s="15" t="s">
        <v>406</v>
      </c>
      <c r="P84" t="s">
        <v>428</v>
      </c>
    </row>
    <row r="85" spans="1:16">
      <c r="A85" s="135"/>
      <c r="H85" s="26">
        <v>15</v>
      </c>
      <c r="I85" s="68" t="s">
        <v>1072</v>
      </c>
      <c r="J85" s="68" t="s">
        <v>3035</v>
      </c>
      <c r="K85" s="12" t="s">
        <v>334</v>
      </c>
      <c r="L85" s="16" t="s">
        <v>427</v>
      </c>
      <c r="M85" s="17" t="s">
        <v>340</v>
      </c>
      <c r="N85" s="53">
        <v>150</v>
      </c>
      <c r="O85" s="15" t="s">
        <v>417</v>
      </c>
      <c r="P85" t="s">
        <v>428</v>
      </c>
    </row>
    <row r="86" spans="1:16">
      <c r="A86" s="135"/>
      <c r="H86" s="26">
        <v>16</v>
      </c>
      <c r="I86" s="68" t="s">
        <v>1072</v>
      </c>
      <c r="J86" s="68" t="s">
        <v>3036</v>
      </c>
      <c r="K86" s="12" t="s">
        <v>334</v>
      </c>
      <c r="L86" s="16" t="s">
        <v>427</v>
      </c>
      <c r="M86" s="17" t="s">
        <v>340</v>
      </c>
      <c r="N86" s="53">
        <v>160</v>
      </c>
      <c r="O86" s="15" t="s">
        <v>417</v>
      </c>
      <c r="P86" t="s">
        <v>428</v>
      </c>
    </row>
    <row r="87" spans="1:16">
      <c r="A87" s="135"/>
      <c r="H87" s="26">
        <v>17</v>
      </c>
      <c r="I87" s="68" t="s">
        <v>1072</v>
      </c>
      <c r="J87" s="68" t="s">
        <v>3037</v>
      </c>
      <c r="K87" s="12" t="s">
        <v>334</v>
      </c>
      <c r="L87" s="16" t="s">
        <v>427</v>
      </c>
      <c r="M87" s="17" t="s">
        <v>340</v>
      </c>
      <c r="N87" s="53">
        <v>170</v>
      </c>
      <c r="O87" s="15" t="s">
        <v>417</v>
      </c>
      <c r="P87" t="s">
        <v>428</v>
      </c>
    </row>
    <row r="88" spans="1:16">
      <c r="A88" s="135"/>
      <c r="H88" s="26">
        <v>18</v>
      </c>
      <c r="I88" s="68" t="s">
        <v>1072</v>
      </c>
      <c r="J88" s="68" t="s">
        <v>3038</v>
      </c>
      <c r="K88" s="12" t="s">
        <v>334</v>
      </c>
      <c r="L88" s="16" t="s">
        <v>427</v>
      </c>
      <c r="M88" s="17" t="s">
        <v>340</v>
      </c>
      <c r="N88" s="53">
        <v>180</v>
      </c>
      <c r="O88" s="15" t="s">
        <v>417</v>
      </c>
      <c r="P88" t="s">
        <v>428</v>
      </c>
    </row>
    <row r="89" spans="1:16">
      <c r="A89" s="135"/>
      <c r="H89" s="26">
        <v>19</v>
      </c>
      <c r="I89" s="68" t="s">
        <v>1072</v>
      </c>
      <c r="J89" s="68" t="s">
        <v>3039</v>
      </c>
      <c r="K89" s="12" t="s">
        <v>334</v>
      </c>
      <c r="L89" s="16" t="s">
        <v>427</v>
      </c>
      <c r="M89" s="17" t="s">
        <v>340</v>
      </c>
      <c r="N89" s="53">
        <v>190</v>
      </c>
      <c r="O89" s="15" t="s">
        <v>417</v>
      </c>
      <c r="P89" t="s">
        <v>428</v>
      </c>
    </row>
    <row r="90" spans="1:16">
      <c r="A90" s="135"/>
      <c r="H90" s="26">
        <v>20</v>
      </c>
      <c r="I90" s="68" t="s">
        <v>1072</v>
      </c>
      <c r="J90" s="68" t="s">
        <v>3040</v>
      </c>
      <c r="K90" s="12" t="s">
        <v>334</v>
      </c>
      <c r="L90" s="16" t="s">
        <v>427</v>
      </c>
      <c r="M90" s="17" t="s">
        <v>340</v>
      </c>
      <c r="N90" s="53">
        <v>200</v>
      </c>
      <c r="O90" s="15" t="s">
        <v>417</v>
      </c>
      <c r="P90" t="s">
        <v>428</v>
      </c>
    </row>
    <row r="91" spans="1:16">
      <c r="A91" s="269"/>
      <c r="B91" s="42"/>
      <c r="C91" s="42"/>
      <c r="D91" s="41"/>
      <c r="E91" s="41"/>
      <c r="F91" s="42"/>
      <c r="G91" s="42"/>
      <c r="H91" s="54"/>
      <c r="I91" s="42"/>
      <c r="J91" s="42"/>
      <c r="K91" s="55"/>
      <c r="L91" s="56"/>
      <c r="M91" s="42"/>
      <c r="N91" s="57"/>
      <c r="O91" s="58"/>
      <c r="P91" s="42"/>
    </row>
    <row r="92" spans="1:16">
      <c r="A92" s="135" t="s">
        <v>1553</v>
      </c>
      <c r="C92" t="s">
        <v>397</v>
      </c>
      <c r="D92" s="26" t="s">
        <v>331</v>
      </c>
      <c r="E92" s="26" t="b">
        <v>1</v>
      </c>
    </row>
    <row r="93" spans="1:16">
      <c r="A93" s="135"/>
      <c r="H93" s="26">
        <v>1</v>
      </c>
      <c r="I93" t="s">
        <v>2175</v>
      </c>
      <c r="J93" s="68" t="s">
        <v>1071</v>
      </c>
      <c r="K93" s="16" t="s">
        <v>334</v>
      </c>
      <c r="L93" s="16" t="s">
        <v>425</v>
      </c>
      <c r="M93" s="67" t="s">
        <v>346</v>
      </c>
      <c r="N93" s="53">
        <v>4</v>
      </c>
      <c r="O93" s="15" t="s">
        <v>400</v>
      </c>
      <c r="P93" t="s">
        <v>431</v>
      </c>
    </row>
    <row r="94" spans="1:16">
      <c r="A94" s="135"/>
      <c r="H94" s="26">
        <v>2</v>
      </c>
      <c r="I94" t="s">
        <v>430</v>
      </c>
      <c r="J94" s="68" t="s">
        <v>50</v>
      </c>
      <c r="K94" s="16" t="s">
        <v>334</v>
      </c>
      <c r="L94" s="16" t="s">
        <v>425</v>
      </c>
      <c r="M94" s="67" t="s">
        <v>346</v>
      </c>
      <c r="N94" s="53">
        <v>9</v>
      </c>
      <c r="O94" s="15" t="s">
        <v>400</v>
      </c>
      <c r="P94" t="s">
        <v>431</v>
      </c>
    </row>
    <row r="95" spans="1:16">
      <c r="A95" s="135"/>
      <c r="H95" s="26">
        <v>3</v>
      </c>
      <c r="I95" t="s">
        <v>430</v>
      </c>
      <c r="J95" s="68" t="s">
        <v>51</v>
      </c>
      <c r="K95" s="16" t="s">
        <v>334</v>
      </c>
      <c r="L95" s="16" t="s">
        <v>425</v>
      </c>
      <c r="M95" s="67" t="s">
        <v>346</v>
      </c>
      <c r="N95" s="53">
        <v>22</v>
      </c>
      <c r="O95" s="15" t="s">
        <v>400</v>
      </c>
      <c r="P95" t="s">
        <v>431</v>
      </c>
    </row>
    <row r="96" spans="1:16">
      <c r="A96" s="135"/>
      <c r="H96" s="26">
        <v>4</v>
      </c>
      <c r="I96" t="s">
        <v>430</v>
      </c>
      <c r="J96" s="68" t="s">
        <v>52</v>
      </c>
      <c r="K96" s="16" t="s">
        <v>334</v>
      </c>
      <c r="L96" s="16" t="s">
        <v>425</v>
      </c>
      <c r="M96" s="67" t="s">
        <v>346</v>
      </c>
      <c r="N96" s="53">
        <v>44</v>
      </c>
      <c r="O96" s="15" t="s">
        <v>400</v>
      </c>
      <c r="P96" t="s">
        <v>431</v>
      </c>
    </row>
    <row r="97" spans="1:16">
      <c r="A97" s="135"/>
      <c r="H97" s="26">
        <v>5</v>
      </c>
      <c r="I97" t="s">
        <v>430</v>
      </c>
      <c r="J97" s="68" t="s">
        <v>53</v>
      </c>
      <c r="K97" s="16" t="s">
        <v>334</v>
      </c>
      <c r="L97" s="16" t="s">
        <v>425</v>
      </c>
      <c r="M97" s="67" t="s">
        <v>346</v>
      </c>
      <c r="N97" s="53">
        <v>74</v>
      </c>
      <c r="O97" s="15" t="s">
        <v>403</v>
      </c>
      <c r="P97" t="s">
        <v>431</v>
      </c>
    </row>
    <row r="98" spans="1:16">
      <c r="A98" s="135"/>
      <c r="H98" s="26">
        <v>6</v>
      </c>
      <c r="I98" t="s">
        <v>430</v>
      </c>
      <c r="J98" s="68" t="s">
        <v>54</v>
      </c>
      <c r="K98" s="16" t="s">
        <v>334</v>
      </c>
      <c r="L98" s="16" t="s">
        <v>425</v>
      </c>
      <c r="M98" s="67" t="s">
        <v>346</v>
      </c>
      <c r="N98" s="53">
        <v>110</v>
      </c>
      <c r="O98" s="15" t="s">
        <v>403</v>
      </c>
      <c r="P98" t="s">
        <v>431</v>
      </c>
    </row>
    <row r="99" spans="1:16">
      <c r="A99" s="135"/>
      <c r="H99" s="26">
        <v>7</v>
      </c>
      <c r="I99" t="s">
        <v>430</v>
      </c>
      <c r="J99" s="68" t="s">
        <v>55</v>
      </c>
      <c r="K99" s="16" t="s">
        <v>334</v>
      </c>
      <c r="L99" s="16" t="s">
        <v>425</v>
      </c>
      <c r="M99" s="67" t="s">
        <v>346</v>
      </c>
      <c r="N99" s="53">
        <v>160</v>
      </c>
      <c r="O99" s="15" t="s">
        <v>403</v>
      </c>
      <c r="P99" t="s">
        <v>431</v>
      </c>
    </row>
    <row r="100" spans="1:16">
      <c r="A100" s="135"/>
      <c r="H100" s="26">
        <v>8</v>
      </c>
      <c r="I100" t="s">
        <v>430</v>
      </c>
      <c r="J100" s="68" t="s">
        <v>56</v>
      </c>
      <c r="K100" s="16" t="s">
        <v>334</v>
      </c>
      <c r="L100" s="16" t="s">
        <v>425</v>
      </c>
      <c r="M100" s="67" t="s">
        <v>346</v>
      </c>
      <c r="N100" s="53">
        <v>220</v>
      </c>
      <c r="O100" s="15" t="s">
        <v>403</v>
      </c>
      <c r="P100" t="s">
        <v>431</v>
      </c>
    </row>
    <row r="101" spans="1:16">
      <c r="A101" s="135"/>
      <c r="H101" s="26">
        <v>9</v>
      </c>
      <c r="I101" t="s">
        <v>430</v>
      </c>
      <c r="J101" s="68" t="s">
        <v>57</v>
      </c>
      <c r="K101" s="16" t="s">
        <v>334</v>
      </c>
      <c r="L101" s="16" t="s">
        <v>425</v>
      </c>
      <c r="M101" s="67" t="s">
        <v>346</v>
      </c>
      <c r="N101" s="53">
        <v>280</v>
      </c>
      <c r="O101" s="15" t="s">
        <v>403</v>
      </c>
      <c r="P101" t="s">
        <v>431</v>
      </c>
    </row>
    <row r="102" spans="1:16">
      <c r="A102" s="135"/>
      <c r="H102" s="26">
        <v>10</v>
      </c>
      <c r="I102" t="s">
        <v>430</v>
      </c>
      <c r="J102" s="68" t="s">
        <v>58</v>
      </c>
      <c r="K102" s="16" t="s">
        <v>334</v>
      </c>
      <c r="L102" s="16" t="s">
        <v>425</v>
      </c>
      <c r="M102" s="67" t="s">
        <v>346</v>
      </c>
      <c r="N102" s="53">
        <v>360</v>
      </c>
      <c r="O102" s="15" t="s">
        <v>403</v>
      </c>
      <c r="P102" t="s">
        <v>431</v>
      </c>
    </row>
    <row r="103" spans="1:16">
      <c r="A103" s="135"/>
      <c r="H103" s="26">
        <v>11</v>
      </c>
      <c r="I103" t="s">
        <v>430</v>
      </c>
      <c r="J103" s="68" t="s">
        <v>59</v>
      </c>
      <c r="K103" s="16" t="s">
        <v>334</v>
      </c>
      <c r="L103" s="16" t="s">
        <v>425</v>
      </c>
      <c r="M103" s="67" t="s">
        <v>346</v>
      </c>
      <c r="N103" s="53">
        <v>440</v>
      </c>
      <c r="O103" s="15" t="s">
        <v>403</v>
      </c>
      <c r="P103" t="s">
        <v>431</v>
      </c>
    </row>
    <row r="104" spans="1:16">
      <c r="A104" s="135"/>
      <c r="H104" s="26">
        <v>12</v>
      </c>
      <c r="I104" t="s">
        <v>430</v>
      </c>
      <c r="J104" s="68" t="s">
        <v>60</v>
      </c>
      <c r="K104" s="16" t="s">
        <v>334</v>
      </c>
      <c r="L104" s="16" t="s">
        <v>425</v>
      </c>
      <c r="M104" s="67" t="s">
        <v>346</v>
      </c>
      <c r="N104" s="53">
        <v>530</v>
      </c>
      <c r="O104" s="15" t="s">
        <v>403</v>
      </c>
      <c r="P104" t="s">
        <v>431</v>
      </c>
    </row>
    <row r="105" spans="1:16">
      <c r="A105" s="135"/>
      <c r="H105" s="26">
        <v>13</v>
      </c>
      <c r="I105" t="s">
        <v>430</v>
      </c>
      <c r="J105" s="68" t="s">
        <v>61</v>
      </c>
      <c r="K105" s="16" t="s">
        <v>334</v>
      </c>
      <c r="L105" s="16" t="s">
        <v>425</v>
      </c>
      <c r="M105" s="67" t="s">
        <v>346</v>
      </c>
      <c r="N105" s="53">
        <v>640</v>
      </c>
      <c r="O105" s="15" t="s">
        <v>403</v>
      </c>
      <c r="P105" t="s">
        <v>431</v>
      </c>
    </row>
    <row r="106" spans="1:16">
      <c r="A106" s="135"/>
      <c r="H106" s="26">
        <v>14</v>
      </c>
      <c r="I106" t="s">
        <v>430</v>
      </c>
      <c r="J106" s="68" t="s">
        <v>62</v>
      </c>
      <c r="K106" s="16" t="s">
        <v>334</v>
      </c>
      <c r="L106" s="16" t="s">
        <v>425</v>
      </c>
      <c r="M106" s="67" t="s">
        <v>346</v>
      </c>
      <c r="N106" s="53">
        <v>750</v>
      </c>
      <c r="O106" s="15" t="s">
        <v>403</v>
      </c>
      <c r="P106" t="s">
        <v>431</v>
      </c>
    </row>
    <row r="107" spans="1:16">
      <c r="A107" s="135"/>
      <c r="H107" s="26">
        <v>15</v>
      </c>
      <c r="I107" t="s">
        <v>430</v>
      </c>
      <c r="J107" s="68" t="s">
        <v>63</v>
      </c>
      <c r="K107" s="16" t="s">
        <v>334</v>
      </c>
      <c r="L107" s="16" t="s">
        <v>425</v>
      </c>
      <c r="M107" s="67" t="s">
        <v>346</v>
      </c>
      <c r="N107" s="53">
        <v>870</v>
      </c>
      <c r="O107" s="15" t="s">
        <v>403</v>
      </c>
      <c r="P107" t="s">
        <v>431</v>
      </c>
    </row>
    <row r="108" spans="1:16">
      <c r="A108" s="135"/>
      <c r="H108" s="26">
        <v>16</v>
      </c>
      <c r="I108" t="s">
        <v>430</v>
      </c>
      <c r="J108" s="68" t="s">
        <v>64</v>
      </c>
      <c r="K108" s="16" t="s">
        <v>334</v>
      </c>
      <c r="L108" s="16" t="s">
        <v>425</v>
      </c>
      <c r="M108" s="67" t="s">
        <v>346</v>
      </c>
      <c r="N108" s="53">
        <v>990</v>
      </c>
      <c r="O108" s="15" t="s">
        <v>403</v>
      </c>
      <c r="P108" t="s">
        <v>431</v>
      </c>
    </row>
    <row r="109" spans="1:16">
      <c r="A109" s="135"/>
      <c r="H109" s="26">
        <v>17</v>
      </c>
      <c r="I109" t="s">
        <v>430</v>
      </c>
      <c r="J109" s="68" t="s">
        <v>65</v>
      </c>
      <c r="K109" s="16" t="s">
        <v>334</v>
      </c>
      <c r="L109" s="16" t="s">
        <v>425</v>
      </c>
      <c r="M109" s="67" t="s">
        <v>346</v>
      </c>
      <c r="N109" s="53">
        <v>1100</v>
      </c>
      <c r="O109" s="15" t="s">
        <v>406</v>
      </c>
      <c r="P109" t="s">
        <v>431</v>
      </c>
    </row>
    <row r="110" spans="1:16">
      <c r="A110" s="135"/>
      <c r="H110" s="26">
        <v>18</v>
      </c>
      <c r="I110" t="s">
        <v>430</v>
      </c>
      <c r="J110" s="68" t="s">
        <v>66</v>
      </c>
      <c r="K110" s="16" t="s">
        <v>334</v>
      </c>
      <c r="L110" s="16" t="s">
        <v>425</v>
      </c>
      <c r="M110" s="67" t="s">
        <v>346</v>
      </c>
      <c r="N110" s="53">
        <v>1200</v>
      </c>
      <c r="O110" s="15" t="s">
        <v>406</v>
      </c>
      <c r="P110" t="s">
        <v>431</v>
      </c>
    </row>
    <row r="111" spans="1:16">
      <c r="A111" s="135"/>
      <c r="H111" s="26">
        <v>19</v>
      </c>
      <c r="I111" t="s">
        <v>430</v>
      </c>
      <c r="J111" s="68" t="s">
        <v>67</v>
      </c>
      <c r="K111" s="16" t="s">
        <v>334</v>
      </c>
      <c r="L111" s="16" t="s">
        <v>425</v>
      </c>
      <c r="M111" s="67" t="s">
        <v>346</v>
      </c>
      <c r="N111" s="53">
        <v>1400</v>
      </c>
      <c r="O111" s="15" t="s">
        <v>406</v>
      </c>
      <c r="P111" t="s">
        <v>431</v>
      </c>
    </row>
    <row r="112" spans="1:16">
      <c r="A112" s="135"/>
      <c r="H112" s="26">
        <v>20</v>
      </c>
      <c r="I112" t="s">
        <v>430</v>
      </c>
      <c r="J112" s="68" t="s">
        <v>68</v>
      </c>
      <c r="K112" s="16" t="s">
        <v>334</v>
      </c>
      <c r="L112" s="16" t="s">
        <v>425</v>
      </c>
      <c r="M112" s="67" t="s">
        <v>346</v>
      </c>
      <c r="N112" s="53">
        <v>1600</v>
      </c>
      <c r="O112" s="15" t="s">
        <v>406</v>
      </c>
      <c r="P112" t="s">
        <v>431</v>
      </c>
    </row>
    <row r="113" spans="1:16">
      <c r="A113" s="269"/>
      <c r="B113" s="42"/>
      <c r="C113" s="42"/>
      <c r="D113" s="41"/>
      <c r="E113" s="41"/>
      <c r="F113" s="42"/>
      <c r="G113" s="42"/>
      <c r="H113" s="54"/>
      <c r="I113" s="42"/>
      <c r="J113" s="42"/>
      <c r="K113" s="55"/>
      <c r="L113" s="56"/>
      <c r="M113" s="42"/>
      <c r="N113" s="57"/>
      <c r="O113" s="58"/>
      <c r="P113" s="42"/>
    </row>
    <row r="114" spans="1:16">
      <c r="A114" s="135" t="s">
        <v>1552</v>
      </c>
      <c r="C114" t="s">
        <v>397</v>
      </c>
      <c r="D114" s="26" t="s">
        <v>429</v>
      </c>
      <c r="E114" s="26" t="b">
        <v>1</v>
      </c>
    </row>
    <row r="115" spans="1:16">
      <c r="A115" s="135"/>
      <c r="H115" s="26">
        <v>1</v>
      </c>
      <c r="I115" t="s">
        <v>432</v>
      </c>
      <c r="J115" t="s">
        <v>69</v>
      </c>
      <c r="K115" s="37" t="s">
        <v>334</v>
      </c>
      <c r="L115" s="37" t="s">
        <v>349</v>
      </c>
      <c r="M115" s="37" t="s">
        <v>350</v>
      </c>
      <c r="N115" s="53">
        <v>5</v>
      </c>
      <c r="O115" s="15" t="s">
        <v>400</v>
      </c>
      <c r="P115" s="92" t="s">
        <v>385</v>
      </c>
    </row>
    <row r="116" spans="1:16">
      <c r="A116" s="135"/>
      <c r="H116" s="26">
        <v>2</v>
      </c>
      <c r="I116" t="s">
        <v>432</v>
      </c>
      <c r="J116" t="s">
        <v>70</v>
      </c>
      <c r="K116" s="16" t="s">
        <v>334</v>
      </c>
      <c r="L116" s="37" t="s">
        <v>349</v>
      </c>
      <c r="M116" s="37" t="s">
        <v>350</v>
      </c>
      <c r="N116" s="53">
        <v>10</v>
      </c>
      <c r="O116" s="15" t="s">
        <v>400</v>
      </c>
      <c r="P116" s="92" t="s">
        <v>385</v>
      </c>
    </row>
    <row r="117" spans="1:16">
      <c r="A117" s="135"/>
      <c r="H117" s="26">
        <v>3</v>
      </c>
      <c r="I117" t="s">
        <v>432</v>
      </c>
      <c r="J117" t="s">
        <v>71</v>
      </c>
      <c r="K117" s="16" t="s">
        <v>334</v>
      </c>
      <c r="L117" s="37" t="s">
        <v>349</v>
      </c>
      <c r="M117" s="37" t="s">
        <v>350</v>
      </c>
      <c r="N117" s="53">
        <v>28</v>
      </c>
      <c r="O117" s="15" t="s">
        <v>400</v>
      </c>
      <c r="P117" s="92" t="s">
        <v>385</v>
      </c>
    </row>
    <row r="118" spans="1:16">
      <c r="A118" s="135"/>
      <c r="H118" s="26">
        <v>4</v>
      </c>
      <c r="I118" t="s">
        <v>432</v>
      </c>
      <c r="J118" t="s">
        <v>72</v>
      </c>
      <c r="K118" s="16" t="s">
        <v>334</v>
      </c>
      <c r="L118" s="37" t="s">
        <v>349</v>
      </c>
      <c r="M118" s="37" t="s">
        <v>350</v>
      </c>
      <c r="N118" s="53">
        <v>54</v>
      </c>
      <c r="O118" s="15" t="s">
        <v>400</v>
      </c>
      <c r="P118" s="92" t="s">
        <v>385</v>
      </c>
    </row>
    <row r="119" spans="1:16">
      <c r="A119" s="135"/>
      <c r="H119" s="26">
        <v>5</v>
      </c>
      <c r="I119" t="s">
        <v>432</v>
      </c>
      <c r="J119" t="s">
        <v>73</v>
      </c>
      <c r="K119" s="16" t="s">
        <v>334</v>
      </c>
      <c r="L119" s="37" t="s">
        <v>349</v>
      </c>
      <c r="M119" s="37" t="s">
        <v>350</v>
      </c>
      <c r="N119" s="53">
        <v>94</v>
      </c>
      <c r="O119" s="15" t="s">
        <v>403</v>
      </c>
      <c r="P119" s="92" t="s">
        <v>385</v>
      </c>
    </row>
    <row r="120" spans="1:16">
      <c r="A120" s="135"/>
      <c r="H120" s="26">
        <v>6</v>
      </c>
      <c r="I120" t="s">
        <v>432</v>
      </c>
      <c r="J120" t="s">
        <v>74</v>
      </c>
      <c r="K120" s="16" t="s">
        <v>334</v>
      </c>
      <c r="L120" s="37" t="s">
        <v>349</v>
      </c>
      <c r="M120" s="37" t="s">
        <v>350</v>
      </c>
      <c r="N120" s="53">
        <v>140</v>
      </c>
      <c r="O120" s="15" t="s">
        <v>403</v>
      </c>
      <c r="P120" s="92" t="s">
        <v>385</v>
      </c>
    </row>
    <row r="121" spans="1:16">
      <c r="A121" s="135"/>
      <c r="H121" s="26">
        <v>7</v>
      </c>
      <c r="I121" t="s">
        <v>432</v>
      </c>
      <c r="J121" t="s">
        <v>75</v>
      </c>
      <c r="K121" s="16" t="s">
        <v>334</v>
      </c>
      <c r="L121" s="37" t="s">
        <v>349</v>
      </c>
      <c r="M121" s="37" t="s">
        <v>350</v>
      </c>
      <c r="N121" s="53">
        <v>200</v>
      </c>
      <c r="O121" s="15" t="s">
        <v>403</v>
      </c>
      <c r="P121" s="92" t="s">
        <v>385</v>
      </c>
    </row>
    <row r="122" spans="1:16">
      <c r="A122" s="135"/>
      <c r="H122" s="26">
        <v>8</v>
      </c>
      <c r="I122" t="s">
        <v>432</v>
      </c>
      <c r="J122" t="s">
        <v>76</v>
      </c>
      <c r="K122" s="16" t="s">
        <v>334</v>
      </c>
      <c r="L122" s="37" t="s">
        <v>349</v>
      </c>
      <c r="M122" s="37" t="s">
        <v>350</v>
      </c>
      <c r="N122" s="53">
        <v>270</v>
      </c>
      <c r="O122" s="15" t="s">
        <v>403</v>
      </c>
      <c r="P122" s="92" t="s">
        <v>385</v>
      </c>
    </row>
    <row r="123" spans="1:16">
      <c r="A123" s="135"/>
      <c r="H123" s="26">
        <v>9</v>
      </c>
      <c r="I123" t="s">
        <v>432</v>
      </c>
      <c r="J123" t="s">
        <v>77</v>
      </c>
      <c r="K123" s="16" t="s">
        <v>334</v>
      </c>
      <c r="L123" s="37" t="s">
        <v>349</v>
      </c>
      <c r="M123" s="37" t="s">
        <v>350</v>
      </c>
      <c r="N123" s="53">
        <v>350</v>
      </c>
      <c r="O123" s="15" t="s">
        <v>403</v>
      </c>
      <c r="P123" s="92" t="s">
        <v>385</v>
      </c>
    </row>
    <row r="124" spans="1:16">
      <c r="A124" s="135"/>
      <c r="H124" s="26">
        <v>10</v>
      </c>
      <c r="I124" t="s">
        <v>432</v>
      </c>
      <c r="J124" t="s">
        <v>78</v>
      </c>
      <c r="K124" s="16" t="s">
        <v>334</v>
      </c>
      <c r="L124" s="37" t="s">
        <v>349</v>
      </c>
      <c r="M124" s="37" t="s">
        <v>350</v>
      </c>
      <c r="N124" s="53">
        <v>450</v>
      </c>
      <c r="O124" s="15" t="s">
        <v>403</v>
      </c>
      <c r="P124" s="92" t="s">
        <v>385</v>
      </c>
    </row>
    <row r="125" spans="1:16">
      <c r="A125" s="135"/>
      <c r="H125" s="26">
        <v>11</v>
      </c>
      <c r="I125" t="s">
        <v>432</v>
      </c>
      <c r="J125" t="s">
        <v>79</v>
      </c>
      <c r="K125" s="16" t="s">
        <v>334</v>
      </c>
      <c r="L125" s="37" t="s">
        <v>349</v>
      </c>
      <c r="M125" s="37" t="s">
        <v>350</v>
      </c>
      <c r="N125" s="53">
        <v>550</v>
      </c>
      <c r="O125" s="15" t="s">
        <v>403</v>
      </c>
      <c r="P125" s="92" t="s">
        <v>385</v>
      </c>
    </row>
    <row r="126" spans="1:16">
      <c r="A126" s="135"/>
      <c r="H126" s="26">
        <v>12</v>
      </c>
      <c r="I126" t="s">
        <v>432</v>
      </c>
      <c r="J126" t="s">
        <v>80</v>
      </c>
      <c r="K126" s="16" t="s">
        <v>334</v>
      </c>
      <c r="L126" s="37" t="s">
        <v>349</v>
      </c>
      <c r="M126" s="37" t="s">
        <v>350</v>
      </c>
      <c r="N126" s="53">
        <v>670</v>
      </c>
      <c r="O126" s="15" t="s">
        <v>403</v>
      </c>
      <c r="P126" s="92" t="s">
        <v>385</v>
      </c>
    </row>
    <row r="127" spans="1:16">
      <c r="A127" s="135"/>
      <c r="H127" s="26">
        <v>13</v>
      </c>
      <c r="I127" t="s">
        <v>432</v>
      </c>
      <c r="J127" t="s">
        <v>81</v>
      </c>
      <c r="K127" s="16" t="s">
        <v>334</v>
      </c>
      <c r="L127" s="37" t="s">
        <v>349</v>
      </c>
      <c r="M127" s="37" t="s">
        <v>350</v>
      </c>
      <c r="N127" s="53">
        <v>800</v>
      </c>
      <c r="O127" s="15" t="s">
        <v>403</v>
      </c>
      <c r="P127" s="92" t="s">
        <v>385</v>
      </c>
    </row>
    <row r="128" spans="1:16">
      <c r="A128" s="135"/>
      <c r="H128" s="26">
        <v>14</v>
      </c>
      <c r="I128" t="s">
        <v>432</v>
      </c>
      <c r="J128" t="s">
        <v>82</v>
      </c>
      <c r="K128" s="16" t="s">
        <v>334</v>
      </c>
      <c r="L128" s="37" t="s">
        <v>349</v>
      </c>
      <c r="M128" s="37" t="s">
        <v>350</v>
      </c>
      <c r="N128" s="53">
        <v>930</v>
      </c>
      <c r="O128" s="15" t="s">
        <v>403</v>
      </c>
      <c r="P128" s="92" t="s">
        <v>385</v>
      </c>
    </row>
    <row r="129" spans="1:16">
      <c r="A129" s="135"/>
      <c r="H129" s="26">
        <v>15</v>
      </c>
      <c r="I129" t="s">
        <v>432</v>
      </c>
      <c r="J129" t="s">
        <v>83</v>
      </c>
      <c r="K129" s="16" t="s">
        <v>334</v>
      </c>
      <c r="L129" s="37" t="s">
        <v>349</v>
      </c>
      <c r="M129" s="37" t="s">
        <v>350</v>
      </c>
      <c r="N129" s="53">
        <v>1000</v>
      </c>
      <c r="O129" s="15" t="s">
        <v>403</v>
      </c>
      <c r="P129" s="92" t="s">
        <v>385</v>
      </c>
    </row>
    <row r="130" spans="1:16">
      <c r="A130" s="135"/>
      <c r="H130" s="26">
        <v>16</v>
      </c>
      <c r="I130" t="s">
        <v>432</v>
      </c>
      <c r="J130" t="s">
        <v>84</v>
      </c>
      <c r="K130" s="16" t="s">
        <v>334</v>
      </c>
      <c r="L130" s="37" t="s">
        <v>349</v>
      </c>
      <c r="M130" s="37" t="s">
        <v>350</v>
      </c>
      <c r="N130" s="53">
        <v>1200</v>
      </c>
      <c r="O130" s="15" t="s">
        <v>403</v>
      </c>
      <c r="P130" s="92" t="s">
        <v>385</v>
      </c>
    </row>
    <row r="131" spans="1:16">
      <c r="A131" s="135"/>
      <c r="H131" s="26">
        <v>17</v>
      </c>
      <c r="I131" t="s">
        <v>432</v>
      </c>
      <c r="J131" t="s">
        <v>85</v>
      </c>
      <c r="K131" s="16" t="s">
        <v>334</v>
      </c>
      <c r="L131" s="37" t="s">
        <v>349</v>
      </c>
      <c r="M131" s="37" t="s">
        <v>350</v>
      </c>
      <c r="N131" s="53">
        <v>1400</v>
      </c>
      <c r="O131" s="15" t="s">
        <v>406</v>
      </c>
      <c r="P131" s="92" t="s">
        <v>385</v>
      </c>
    </row>
    <row r="132" spans="1:16">
      <c r="A132" s="135"/>
      <c r="H132" s="26">
        <v>18</v>
      </c>
      <c r="I132" t="s">
        <v>432</v>
      </c>
      <c r="J132" t="s">
        <v>86</v>
      </c>
      <c r="K132" s="16" t="s">
        <v>334</v>
      </c>
      <c r="L132" s="37" t="s">
        <v>349</v>
      </c>
      <c r="M132" s="37" t="s">
        <v>350</v>
      </c>
      <c r="N132" s="53">
        <v>1600</v>
      </c>
      <c r="O132" s="15" t="s">
        <v>406</v>
      </c>
      <c r="P132" s="92" t="s">
        <v>385</v>
      </c>
    </row>
    <row r="133" spans="1:16">
      <c r="A133" s="135"/>
      <c r="H133" s="26">
        <v>19</v>
      </c>
      <c r="I133" t="s">
        <v>432</v>
      </c>
      <c r="J133" t="s">
        <v>87</v>
      </c>
      <c r="K133" s="16" t="s">
        <v>334</v>
      </c>
      <c r="L133" s="37" t="s">
        <v>349</v>
      </c>
      <c r="M133" s="37" t="s">
        <v>350</v>
      </c>
      <c r="N133" s="53">
        <v>1700</v>
      </c>
      <c r="O133" s="15" t="s">
        <v>406</v>
      </c>
      <c r="P133" s="92" t="s">
        <v>385</v>
      </c>
    </row>
    <row r="134" spans="1:16">
      <c r="A134" s="135"/>
      <c r="H134" s="26">
        <v>20</v>
      </c>
      <c r="I134" t="s">
        <v>432</v>
      </c>
      <c r="J134" t="s">
        <v>88</v>
      </c>
      <c r="K134" s="16" t="s">
        <v>334</v>
      </c>
      <c r="L134" s="37" t="s">
        <v>349</v>
      </c>
      <c r="M134" s="37" t="s">
        <v>350</v>
      </c>
      <c r="N134" s="53">
        <v>2000</v>
      </c>
      <c r="O134" s="15" t="s">
        <v>406</v>
      </c>
      <c r="P134" s="92" t="s">
        <v>385</v>
      </c>
    </row>
    <row r="135" spans="1:16" ht="15.75" customHeight="1">
      <c r="A135" s="269"/>
      <c r="B135" s="42"/>
      <c r="C135" s="42"/>
      <c r="D135" s="41"/>
      <c r="E135" s="41"/>
      <c r="F135" s="42"/>
      <c r="G135" s="42"/>
      <c r="H135" s="54"/>
      <c r="I135" s="42"/>
      <c r="J135" s="42"/>
      <c r="K135" s="55"/>
      <c r="L135" s="56"/>
      <c r="M135" s="42"/>
      <c r="N135" s="57"/>
      <c r="O135" s="58"/>
      <c r="P135" s="42"/>
    </row>
    <row r="136" spans="1:16">
      <c r="A136" s="135" t="s">
        <v>1551</v>
      </c>
      <c r="C136" t="s">
        <v>397</v>
      </c>
      <c r="D136" s="26" t="s">
        <v>429</v>
      </c>
      <c r="E136" s="26" t="b">
        <v>1</v>
      </c>
    </row>
    <row r="137" spans="1:16">
      <c r="A137" s="135"/>
      <c r="H137" s="26">
        <v>1</v>
      </c>
      <c r="I137" t="s">
        <v>433</v>
      </c>
      <c r="J137" t="s">
        <v>89</v>
      </c>
      <c r="K137" s="37" t="s">
        <v>334</v>
      </c>
      <c r="L137" s="37" t="s">
        <v>349</v>
      </c>
      <c r="M137" s="37" t="s">
        <v>352</v>
      </c>
      <c r="N137" s="53">
        <v>5</v>
      </c>
      <c r="O137" s="15" t="s">
        <v>400</v>
      </c>
      <c r="P137" t="s">
        <v>389</v>
      </c>
    </row>
    <row r="138" spans="1:16">
      <c r="A138" s="135"/>
      <c r="H138" s="26">
        <v>2</v>
      </c>
      <c r="I138" t="s">
        <v>433</v>
      </c>
      <c r="J138" t="s">
        <v>90</v>
      </c>
      <c r="K138" s="16" t="s">
        <v>334</v>
      </c>
      <c r="L138" s="37" t="s">
        <v>349</v>
      </c>
      <c r="M138" s="37" t="s">
        <v>352</v>
      </c>
      <c r="N138" s="53">
        <v>10</v>
      </c>
      <c r="O138" s="15" t="s">
        <v>400</v>
      </c>
      <c r="P138" t="s">
        <v>389</v>
      </c>
    </row>
    <row r="139" spans="1:16">
      <c r="A139" s="135"/>
      <c r="H139" s="26">
        <v>3</v>
      </c>
      <c r="I139" t="s">
        <v>433</v>
      </c>
      <c r="J139" t="s">
        <v>91</v>
      </c>
      <c r="K139" s="16" t="s">
        <v>334</v>
      </c>
      <c r="L139" s="37" t="s">
        <v>349</v>
      </c>
      <c r="M139" s="37" t="s">
        <v>352</v>
      </c>
      <c r="N139" s="53">
        <v>28</v>
      </c>
      <c r="O139" s="15" t="s">
        <v>400</v>
      </c>
      <c r="P139" t="s">
        <v>389</v>
      </c>
    </row>
    <row r="140" spans="1:16">
      <c r="A140" s="135"/>
      <c r="H140" s="26">
        <v>4</v>
      </c>
      <c r="I140" t="s">
        <v>433</v>
      </c>
      <c r="J140" t="s">
        <v>92</v>
      </c>
      <c r="K140" s="16" t="s">
        <v>334</v>
      </c>
      <c r="L140" s="37" t="s">
        <v>349</v>
      </c>
      <c r="M140" s="37" t="s">
        <v>352</v>
      </c>
      <c r="N140" s="53">
        <v>54</v>
      </c>
      <c r="O140" s="15" t="s">
        <v>400</v>
      </c>
      <c r="P140" t="s">
        <v>389</v>
      </c>
    </row>
    <row r="141" spans="1:16">
      <c r="A141" s="135"/>
      <c r="H141" s="26">
        <v>5</v>
      </c>
      <c r="I141" t="s">
        <v>433</v>
      </c>
      <c r="J141" t="s">
        <v>93</v>
      </c>
      <c r="K141" s="16" t="s">
        <v>334</v>
      </c>
      <c r="L141" s="37" t="s">
        <v>349</v>
      </c>
      <c r="M141" s="37" t="s">
        <v>352</v>
      </c>
      <c r="N141" s="53">
        <v>94</v>
      </c>
      <c r="O141" s="15" t="s">
        <v>403</v>
      </c>
      <c r="P141" t="s">
        <v>389</v>
      </c>
    </row>
    <row r="142" spans="1:16">
      <c r="A142" s="135"/>
      <c r="H142" s="26">
        <v>6</v>
      </c>
      <c r="I142" t="s">
        <v>433</v>
      </c>
      <c r="J142" t="s">
        <v>94</v>
      </c>
      <c r="K142" s="16" t="s">
        <v>334</v>
      </c>
      <c r="L142" s="37" t="s">
        <v>349</v>
      </c>
      <c r="M142" s="37" t="s">
        <v>352</v>
      </c>
      <c r="N142" s="53">
        <v>140</v>
      </c>
      <c r="O142" s="15" t="s">
        <v>403</v>
      </c>
      <c r="P142" t="s">
        <v>389</v>
      </c>
    </row>
    <row r="143" spans="1:16">
      <c r="A143" s="135"/>
      <c r="H143" s="26">
        <v>7</v>
      </c>
      <c r="I143" t="s">
        <v>433</v>
      </c>
      <c r="J143" t="s">
        <v>95</v>
      </c>
      <c r="K143" s="16" t="s">
        <v>334</v>
      </c>
      <c r="L143" s="37" t="s">
        <v>349</v>
      </c>
      <c r="M143" s="37" t="s">
        <v>352</v>
      </c>
      <c r="N143" s="53">
        <v>200</v>
      </c>
      <c r="O143" s="15" t="s">
        <v>403</v>
      </c>
      <c r="P143" t="s">
        <v>389</v>
      </c>
    </row>
    <row r="144" spans="1:16">
      <c r="A144" s="135"/>
      <c r="H144" s="26">
        <v>8</v>
      </c>
      <c r="I144" t="s">
        <v>433</v>
      </c>
      <c r="J144" t="s">
        <v>96</v>
      </c>
      <c r="K144" s="16" t="s">
        <v>334</v>
      </c>
      <c r="L144" s="37" t="s">
        <v>349</v>
      </c>
      <c r="M144" s="37" t="s">
        <v>352</v>
      </c>
      <c r="N144" s="53">
        <v>270</v>
      </c>
      <c r="O144" s="15" t="s">
        <v>403</v>
      </c>
      <c r="P144" t="s">
        <v>389</v>
      </c>
    </row>
    <row r="145" spans="1:16">
      <c r="A145" s="135"/>
      <c r="H145" s="26">
        <v>9</v>
      </c>
      <c r="I145" t="s">
        <v>433</v>
      </c>
      <c r="J145" t="s">
        <v>97</v>
      </c>
      <c r="K145" s="16" t="s">
        <v>334</v>
      </c>
      <c r="L145" s="37" t="s">
        <v>349</v>
      </c>
      <c r="M145" s="37" t="s">
        <v>352</v>
      </c>
      <c r="N145" s="53">
        <v>350</v>
      </c>
      <c r="O145" s="15" t="s">
        <v>403</v>
      </c>
      <c r="P145" t="s">
        <v>389</v>
      </c>
    </row>
    <row r="146" spans="1:16">
      <c r="A146" s="135"/>
      <c r="H146" s="26">
        <v>10</v>
      </c>
      <c r="I146" t="s">
        <v>433</v>
      </c>
      <c r="J146" t="s">
        <v>98</v>
      </c>
      <c r="K146" s="16" t="s">
        <v>334</v>
      </c>
      <c r="L146" s="37" t="s">
        <v>349</v>
      </c>
      <c r="M146" s="37" t="s">
        <v>352</v>
      </c>
      <c r="N146" s="53">
        <v>450</v>
      </c>
      <c r="O146" s="15" t="s">
        <v>403</v>
      </c>
      <c r="P146" t="s">
        <v>389</v>
      </c>
    </row>
    <row r="147" spans="1:16">
      <c r="A147" s="135"/>
      <c r="H147" s="26">
        <v>11</v>
      </c>
      <c r="I147" t="s">
        <v>433</v>
      </c>
      <c r="J147" t="s">
        <v>99</v>
      </c>
      <c r="K147" s="16" t="s">
        <v>334</v>
      </c>
      <c r="L147" s="37" t="s">
        <v>349</v>
      </c>
      <c r="M147" s="37" t="s">
        <v>352</v>
      </c>
      <c r="N147" s="53">
        <v>550</v>
      </c>
      <c r="O147" s="15" t="s">
        <v>403</v>
      </c>
      <c r="P147" t="s">
        <v>389</v>
      </c>
    </row>
    <row r="148" spans="1:16">
      <c r="A148" s="135"/>
      <c r="H148" s="26">
        <v>12</v>
      </c>
      <c r="I148" t="s">
        <v>433</v>
      </c>
      <c r="J148" t="s">
        <v>100</v>
      </c>
      <c r="K148" s="16" t="s">
        <v>334</v>
      </c>
      <c r="L148" s="37" t="s">
        <v>349</v>
      </c>
      <c r="M148" s="37" t="s">
        <v>352</v>
      </c>
      <c r="N148" s="53">
        <v>670</v>
      </c>
      <c r="O148" s="15" t="s">
        <v>403</v>
      </c>
      <c r="P148" t="s">
        <v>389</v>
      </c>
    </row>
    <row r="149" spans="1:16">
      <c r="A149" s="135"/>
      <c r="H149" s="26">
        <v>13</v>
      </c>
      <c r="I149" t="s">
        <v>433</v>
      </c>
      <c r="J149" t="s">
        <v>101</v>
      </c>
      <c r="K149" s="16" t="s">
        <v>334</v>
      </c>
      <c r="L149" s="37" t="s">
        <v>349</v>
      </c>
      <c r="M149" s="37" t="s">
        <v>352</v>
      </c>
      <c r="N149" s="53">
        <v>800</v>
      </c>
      <c r="O149" s="15" t="s">
        <v>403</v>
      </c>
      <c r="P149" t="s">
        <v>389</v>
      </c>
    </row>
    <row r="150" spans="1:16">
      <c r="A150" s="135"/>
      <c r="H150" s="26">
        <v>14</v>
      </c>
      <c r="I150" t="s">
        <v>433</v>
      </c>
      <c r="J150" t="s">
        <v>102</v>
      </c>
      <c r="K150" s="16" t="s">
        <v>334</v>
      </c>
      <c r="L150" s="37" t="s">
        <v>349</v>
      </c>
      <c r="M150" s="37" t="s">
        <v>352</v>
      </c>
      <c r="N150" s="53">
        <v>930</v>
      </c>
      <c r="O150" s="15" t="s">
        <v>403</v>
      </c>
      <c r="P150" t="s">
        <v>389</v>
      </c>
    </row>
    <row r="151" spans="1:16">
      <c r="A151" s="135"/>
      <c r="H151" s="26">
        <v>15</v>
      </c>
      <c r="I151" t="s">
        <v>433</v>
      </c>
      <c r="J151" t="s">
        <v>103</v>
      </c>
      <c r="K151" s="16" t="s">
        <v>334</v>
      </c>
      <c r="L151" s="37" t="s">
        <v>349</v>
      </c>
      <c r="M151" s="37" t="s">
        <v>352</v>
      </c>
      <c r="N151" s="53">
        <v>1000</v>
      </c>
      <c r="O151" s="15" t="s">
        <v>403</v>
      </c>
      <c r="P151" t="s">
        <v>389</v>
      </c>
    </row>
    <row r="152" spans="1:16">
      <c r="A152" s="135"/>
      <c r="H152" s="26">
        <v>16</v>
      </c>
      <c r="I152" t="s">
        <v>433</v>
      </c>
      <c r="J152" t="s">
        <v>104</v>
      </c>
      <c r="K152" s="16" t="s">
        <v>334</v>
      </c>
      <c r="L152" s="37" t="s">
        <v>349</v>
      </c>
      <c r="M152" s="37" t="s">
        <v>352</v>
      </c>
      <c r="N152" s="53">
        <v>1200</v>
      </c>
      <c r="O152" s="15" t="s">
        <v>403</v>
      </c>
      <c r="P152" t="s">
        <v>389</v>
      </c>
    </row>
    <row r="153" spans="1:16">
      <c r="A153" s="135"/>
      <c r="H153" s="26">
        <v>17</v>
      </c>
      <c r="I153" t="s">
        <v>433</v>
      </c>
      <c r="J153" t="s">
        <v>105</v>
      </c>
      <c r="K153" s="16" t="s">
        <v>334</v>
      </c>
      <c r="L153" s="37" t="s">
        <v>349</v>
      </c>
      <c r="M153" s="37" t="s">
        <v>352</v>
      </c>
      <c r="N153" s="53">
        <v>1400</v>
      </c>
      <c r="O153" s="15" t="s">
        <v>406</v>
      </c>
      <c r="P153" t="s">
        <v>389</v>
      </c>
    </row>
    <row r="154" spans="1:16">
      <c r="A154" s="135"/>
      <c r="H154" s="26">
        <v>18</v>
      </c>
      <c r="I154" t="s">
        <v>433</v>
      </c>
      <c r="J154" t="s">
        <v>106</v>
      </c>
      <c r="K154" s="16" t="s">
        <v>334</v>
      </c>
      <c r="L154" s="37" t="s">
        <v>349</v>
      </c>
      <c r="M154" s="37" t="s">
        <v>352</v>
      </c>
      <c r="N154" s="53">
        <v>1600</v>
      </c>
      <c r="O154" s="15" t="s">
        <v>406</v>
      </c>
      <c r="P154" t="s">
        <v>389</v>
      </c>
    </row>
    <row r="155" spans="1:16">
      <c r="A155" s="135"/>
      <c r="H155" s="26">
        <v>19</v>
      </c>
      <c r="I155" t="s">
        <v>433</v>
      </c>
      <c r="J155" t="s">
        <v>107</v>
      </c>
      <c r="K155" s="16" t="s">
        <v>334</v>
      </c>
      <c r="L155" s="37" t="s">
        <v>349</v>
      </c>
      <c r="M155" s="37" t="s">
        <v>352</v>
      </c>
      <c r="N155" s="53">
        <v>1700</v>
      </c>
      <c r="O155" s="15" t="s">
        <v>406</v>
      </c>
      <c r="P155" t="s">
        <v>389</v>
      </c>
    </row>
    <row r="156" spans="1:16">
      <c r="A156" s="135"/>
      <c r="H156" s="26">
        <v>20</v>
      </c>
      <c r="I156" t="s">
        <v>433</v>
      </c>
      <c r="J156" t="s">
        <v>108</v>
      </c>
      <c r="K156" s="16" t="s">
        <v>334</v>
      </c>
      <c r="L156" s="37" t="s">
        <v>349</v>
      </c>
      <c r="M156" s="37" t="s">
        <v>352</v>
      </c>
      <c r="N156" s="53">
        <v>2000</v>
      </c>
      <c r="O156" s="15" t="s">
        <v>406</v>
      </c>
      <c r="P156" t="s">
        <v>389</v>
      </c>
    </row>
    <row r="157" spans="1:16" ht="15.75" customHeight="1">
      <c r="A157" s="269"/>
      <c r="B157" s="42"/>
      <c r="C157" s="42"/>
      <c r="D157" s="41"/>
      <c r="E157" s="41"/>
      <c r="F157" s="42"/>
      <c r="G157" s="42"/>
      <c r="H157" s="54"/>
      <c r="I157" s="42"/>
      <c r="J157" s="42"/>
      <c r="K157" s="55"/>
      <c r="L157" s="56"/>
      <c r="M157" s="42"/>
      <c r="N157" s="57"/>
      <c r="O157" s="58"/>
      <c r="P157" s="42"/>
    </row>
    <row r="158" spans="1:16">
      <c r="A158" s="135" t="s">
        <v>1550</v>
      </c>
      <c r="C158" t="s">
        <v>397</v>
      </c>
      <c r="D158" s="26" t="s">
        <v>429</v>
      </c>
      <c r="E158" s="26" t="b">
        <v>1</v>
      </c>
    </row>
    <row r="159" spans="1:16">
      <c r="A159" s="135"/>
      <c r="H159" s="26">
        <v>1</v>
      </c>
      <c r="I159" t="s">
        <v>434</v>
      </c>
      <c r="J159" t="s">
        <v>109</v>
      </c>
      <c r="K159" s="37" t="s">
        <v>334</v>
      </c>
      <c r="L159" s="37" t="s">
        <v>384</v>
      </c>
      <c r="M159" s="37" t="s">
        <v>350</v>
      </c>
      <c r="N159" s="53">
        <v>3</v>
      </c>
      <c r="O159" s="15" t="s">
        <v>400</v>
      </c>
      <c r="P159" s="92" t="s">
        <v>1165</v>
      </c>
    </row>
    <row r="160" spans="1:16">
      <c r="A160" s="135"/>
      <c r="H160" s="26">
        <v>2</v>
      </c>
      <c r="I160" t="s">
        <v>434</v>
      </c>
      <c r="J160" t="s">
        <v>110</v>
      </c>
      <c r="K160" s="16" t="s">
        <v>334</v>
      </c>
      <c r="L160" s="37" t="s">
        <v>384</v>
      </c>
      <c r="M160" s="37" t="s">
        <v>350</v>
      </c>
      <c r="N160" s="53">
        <v>7</v>
      </c>
      <c r="O160" s="15" t="s">
        <v>400</v>
      </c>
      <c r="P160" s="92" t="s">
        <v>385</v>
      </c>
    </row>
    <row r="161" spans="1:16">
      <c r="A161" s="135"/>
      <c r="H161" s="26">
        <v>3</v>
      </c>
      <c r="I161" t="s">
        <v>434</v>
      </c>
      <c r="J161" t="s">
        <v>111</v>
      </c>
      <c r="K161" s="16" t="s">
        <v>334</v>
      </c>
      <c r="L161" s="37" t="s">
        <v>384</v>
      </c>
      <c r="M161" s="37" t="s">
        <v>350</v>
      </c>
      <c r="N161" s="53">
        <v>16</v>
      </c>
      <c r="O161" s="15" t="s">
        <v>403</v>
      </c>
      <c r="P161" s="92" t="s">
        <v>385</v>
      </c>
    </row>
    <row r="162" spans="1:16">
      <c r="A162" s="135"/>
      <c r="H162" s="26">
        <v>4</v>
      </c>
      <c r="I162" t="s">
        <v>434</v>
      </c>
      <c r="J162" t="s">
        <v>112</v>
      </c>
      <c r="K162" s="16" t="s">
        <v>334</v>
      </c>
      <c r="L162" s="37" t="s">
        <v>384</v>
      </c>
      <c r="M162" s="37" t="s">
        <v>350</v>
      </c>
      <c r="N162" s="53">
        <v>32</v>
      </c>
      <c r="O162" s="15" t="s">
        <v>403</v>
      </c>
      <c r="P162" s="92" t="s">
        <v>385</v>
      </c>
    </row>
    <row r="163" spans="1:16">
      <c r="A163" s="135"/>
      <c r="H163" s="26">
        <v>5</v>
      </c>
      <c r="I163" t="s">
        <v>434</v>
      </c>
      <c r="J163" t="s">
        <v>113</v>
      </c>
      <c r="K163" s="16" t="s">
        <v>334</v>
      </c>
      <c r="L163" s="37" t="s">
        <v>384</v>
      </c>
      <c r="M163" s="37" t="s">
        <v>350</v>
      </c>
      <c r="N163" s="53">
        <v>56</v>
      </c>
      <c r="O163" s="15" t="s">
        <v>406</v>
      </c>
      <c r="P163" s="92" t="s">
        <v>385</v>
      </c>
    </row>
    <row r="164" spans="1:16">
      <c r="A164" s="135"/>
      <c r="H164" s="26">
        <v>6</v>
      </c>
      <c r="I164" t="s">
        <v>434</v>
      </c>
      <c r="J164" t="s">
        <v>114</v>
      </c>
      <c r="K164" s="16" t="s">
        <v>334</v>
      </c>
      <c r="L164" s="37" t="s">
        <v>384</v>
      </c>
      <c r="M164" s="37" t="s">
        <v>350</v>
      </c>
      <c r="N164" s="53">
        <v>86</v>
      </c>
      <c r="O164" s="15" t="s">
        <v>406</v>
      </c>
      <c r="P164" s="92" t="s">
        <v>385</v>
      </c>
    </row>
    <row r="165" spans="1:16">
      <c r="A165" s="135"/>
      <c r="H165" s="26">
        <v>7</v>
      </c>
      <c r="I165" t="s">
        <v>434</v>
      </c>
      <c r="J165" t="s">
        <v>115</v>
      </c>
      <c r="K165" s="16" t="s">
        <v>334</v>
      </c>
      <c r="L165" s="37" t="s">
        <v>384</v>
      </c>
      <c r="M165" s="37" t="s">
        <v>350</v>
      </c>
      <c r="N165" s="53">
        <v>120</v>
      </c>
      <c r="O165" s="15" t="s">
        <v>406</v>
      </c>
      <c r="P165" s="92" t="s">
        <v>385</v>
      </c>
    </row>
    <row r="166" spans="1:16">
      <c r="A166" s="135"/>
      <c r="H166" s="26">
        <v>8</v>
      </c>
      <c r="I166" t="s">
        <v>434</v>
      </c>
      <c r="J166" t="s">
        <v>116</v>
      </c>
      <c r="K166" s="16" t="s">
        <v>334</v>
      </c>
      <c r="L166" s="37" t="s">
        <v>384</v>
      </c>
      <c r="M166" s="37" t="s">
        <v>350</v>
      </c>
      <c r="N166" s="53">
        <v>160</v>
      </c>
      <c r="O166" s="15" t="s">
        <v>406</v>
      </c>
      <c r="P166" s="92" t="s">
        <v>385</v>
      </c>
    </row>
    <row r="167" spans="1:16">
      <c r="A167" s="135"/>
      <c r="H167" s="26">
        <v>9</v>
      </c>
      <c r="I167" t="s">
        <v>434</v>
      </c>
      <c r="J167" t="s">
        <v>117</v>
      </c>
      <c r="K167" s="16" t="s">
        <v>334</v>
      </c>
      <c r="L167" s="37" t="s">
        <v>384</v>
      </c>
      <c r="M167" s="37" t="s">
        <v>350</v>
      </c>
      <c r="N167" s="53">
        <v>210</v>
      </c>
      <c r="O167" s="15" t="s">
        <v>406</v>
      </c>
      <c r="P167" s="92" t="s">
        <v>385</v>
      </c>
    </row>
    <row r="168" spans="1:16">
      <c r="A168" s="135"/>
      <c r="H168" s="26">
        <v>10</v>
      </c>
      <c r="I168" t="s">
        <v>434</v>
      </c>
      <c r="J168" t="s">
        <v>118</v>
      </c>
      <c r="K168" s="16" t="s">
        <v>334</v>
      </c>
      <c r="L168" s="37" t="s">
        <v>384</v>
      </c>
      <c r="M168" s="37" t="s">
        <v>350</v>
      </c>
      <c r="N168" s="53">
        <v>270</v>
      </c>
      <c r="O168" s="15" t="s">
        <v>406</v>
      </c>
      <c r="P168" s="92" t="s">
        <v>385</v>
      </c>
    </row>
    <row r="169" spans="1:16">
      <c r="A169" s="135"/>
      <c r="H169" s="26">
        <v>11</v>
      </c>
      <c r="I169" t="s">
        <v>434</v>
      </c>
      <c r="J169" t="s">
        <v>119</v>
      </c>
      <c r="K169" s="16" t="s">
        <v>334</v>
      </c>
      <c r="L169" s="37" t="s">
        <v>384</v>
      </c>
      <c r="M169" s="37" t="s">
        <v>350</v>
      </c>
      <c r="N169" s="53">
        <v>330</v>
      </c>
      <c r="O169" s="15" t="s">
        <v>406</v>
      </c>
      <c r="P169" s="92" t="s">
        <v>385</v>
      </c>
    </row>
    <row r="170" spans="1:16">
      <c r="A170" s="135"/>
      <c r="H170" s="26">
        <v>12</v>
      </c>
      <c r="I170" t="s">
        <v>434</v>
      </c>
      <c r="J170" t="s">
        <v>120</v>
      </c>
      <c r="K170" s="16" t="s">
        <v>334</v>
      </c>
      <c r="L170" s="37" t="s">
        <v>384</v>
      </c>
      <c r="M170" s="37" t="s">
        <v>350</v>
      </c>
      <c r="N170" s="53">
        <v>400</v>
      </c>
      <c r="O170" s="15" t="s">
        <v>406</v>
      </c>
      <c r="P170" s="92" t="s">
        <v>385</v>
      </c>
    </row>
    <row r="171" spans="1:16">
      <c r="A171" s="135"/>
      <c r="H171" s="26">
        <v>13</v>
      </c>
      <c r="I171" t="s">
        <v>434</v>
      </c>
      <c r="J171" t="s">
        <v>121</v>
      </c>
      <c r="K171" s="16" t="s">
        <v>334</v>
      </c>
      <c r="L171" s="37" t="s">
        <v>384</v>
      </c>
      <c r="M171" s="37" t="s">
        <v>350</v>
      </c>
      <c r="N171" s="53">
        <v>480</v>
      </c>
      <c r="O171" s="15" t="s">
        <v>406</v>
      </c>
      <c r="P171" s="92" t="s">
        <v>385</v>
      </c>
    </row>
    <row r="172" spans="1:16">
      <c r="A172" s="135"/>
      <c r="H172" s="26">
        <v>14</v>
      </c>
      <c r="I172" t="s">
        <v>434</v>
      </c>
      <c r="J172" t="s">
        <v>122</v>
      </c>
      <c r="K172" s="16" t="s">
        <v>334</v>
      </c>
      <c r="L172" s="37" t="s">
        <v>384</v>
      </c>
      <c r="M172" s="37" t="s">
        <v>350</v>
      </c>
      <c r="N172" s="53">
        <v>560</v>
      </c>
      <c r="O172" s="15" t="s">
        <v>406</v>
      </c>
      <c r="P172" s="92" t="s">
        <v>385</v>
      </c>
    </row>
    <row r="173" spans="1:16">
      <c r="A173" s="135"/>
      <c r="H173" s="26">
        <v>15</v>
      </c>
      <c r="I173" t="s">
        <v>434</v>
      </c>
      <c r="J173" t="s">
        <v>123</v>
      </c>
      <c r="K173" s="16" t="s">
        <v>334</v>
      </c>
      <c r="L173" s="37" t="s">
        <v>384</v>
      </c>
      <c r="M173" s="37" t="s">
        <v>350</v>
      </c>
      <c r="N173" s="53">
        <v>650</v>
      </c>
      <c r="O173" s="15" t="s">
        <v>417</v>
      </c>
      <c r="P173" s="92" t="s">
        <v>385</v>
      </c>
    </row>
    <row r="174" spans="1:16">
      <c r="A174" s="135"/>
      <c r="H174" s="26">
        <v>16</v>
      </c>
      <c r="I174" t="s">
        <v>434</v>
      </c>
      <c r="J174" t="s">
        <v>124</v>
      </c>
      <c r="K174" s="16" t="s">
        <v>334</v>
      </c>
      <c r="L174" s="37" t="s">
        <v>384</v>
      </c>
      <c r="M174" s="37" t="s">
        <v>350</v>
      </c>
      <c r="N174" s="53">
        <v>750</v>
      </c>
      <c r="O174" s="15" t="s">
        <v>417</v>
      </c>
      <c r="P174" s="92" t="s">
        <v>385</v>
      </c>
    </row>
    <row r="175" spans="1:16">
      <c r="A175" s="135"/>
      <c r="H175" s="26">
        <v>17</v>
      </c>
      <c r="I175" t="s">
        <v>434</v>
      </c>
      <c r="J175" t="s">
        <v>125</v>
      </c>
      <c r="K175" s="16" t="s">
        <v>334</v>
      </c>
      <c r="L175" s="37" t="s">
        <v>384</v>
      </c>
      <c r="M175" s="37" t="s">
        <v>350</v>
      </c>
      <c r="N175" s="53">
        <v>850</v>
      </c>
      <c r="O175" s="15" t="s">
        <v>417</v>
      </c>
      <c r="P175" s="92" t="s">
        <v>385</v>
      </c>
    </row>
    <row r="176" spans="1:16">
      <c r="A176" s="135"/>
      <c r="H176" s="26">
        <v>18</v>
      </c>
      <c r="I176" t="s">
        <v>434</v>
      </c>
      <c r="J176" t="s">
        <v>126</v>
      </c>
      <c r="K176" s="16" t="s">
        <v>334</v>
      </c>
      <c r="L176" s="37" t="s">
        <v>384</v>
      </c>
      <c r="M176" s="37" t="s">
        <v>350</v>
      </c>
      <c r="N176" s="53">
        <v>960</v>
      </c>
      <c r="O176" s="15" t="s">
        <v>417</v>
      </c>
      <c r="P176" s="92" t="s">
        <v>385</v>
      </c>
    </row>
    <row r="177" spans="1:17">
      <c r="A177" s="135"/>
      <c r="H177" s="26">
        <v>19</v>
      </c>
      <c r="I177" t="s">
        <v>434</v>
      </c>
      <c r="J177" t="s">
        <v>127</v>
      </c>
      <c r="K177" s="16" t="s">
        <v>334</v>
      </c>
      <c r="L177" s="37" t="s">
        <v>384</v>
      </c>
      <c r="M177" s="37" t="s">
        <v>350</v>
      </c>
      <c r="N177" s="53">
        <v>1000</v>
      </c>
      <c r="O177" s="15" t="s">
        <v>417</v>
      </c>
      <c r="P177" s="92" t="s">
        <v>385</v>
      </c>
    </row>
    <row r="178" spans="1:17">
      <c r="A178" s="135"/>
      <c r="H178" s="26">
        <v>20</v>
      </c>
      <c r="I178" t="s">
        <v>434</v>
      </c>
      <c r="J178" t="s">
        <v>128</v>
      </c>
      <c r="K178" s="16" t="s">
        <v>334</v>
      </c>
      <c r="L178" s="37" t="s">
        <v>384</v>
      </c>
      <c r="M178" s="37" t="s">
        <v>350</v>
      </c>
      <c r="N178" s="53">
        <v>1200</v>
      </c>
      <c r="O178" s="15" t="s">
        <v>417</v>
      </c>
      <c r="P178" s="92" t="s">
        <v>385</v>
      </c>
    </row>
    <row r="179" spans="1:17" ht="15.75" customHeight="1">
      <c r="A179" s="269"/>
      <c r="B179" s="42"/>
      <c r="C179" s="42"/>
      <c r="D179" s="41"/>
      <c r="E179" s="41"/>
      <c r="F179" s="42"/>
      <c r="G179" s="42"/>
      <c r="H179" s="54"/>
      <c r="I179" s="42"/>
      <c r="J179" s="42"/>
      <c r="K179" s="55"/>
      <c r="L179" s="56"/>
      <c r="M179" s="42"/>
      <c r="N179" s="57"/>
      <c r="O179" s="58"/>
      <c r="P179" s="42"/>
    </row>
    <row r="180" spans="1:17">
      <c r="A180" s="135" t="s">
        <v>1549</v>
      </c>
      <c r="C180" t="s">
        <v>397</v>
      </c>
      <c r="D180" s="26" t="s">
        <v>429</v>
      </c>
      <c r="E180" s="26" t="b">
        <v>1</v>
      </c>
    </row>
    <row r="181" spans="1:17">
      <c r="A181" s="135"/>
      <c r="H181" s="26">
        <v>1</v>
      </c>
      <c r="I181" t="s">
        <v>435</v>
      </c>
      <c r="J181" t="s">
        <v>129</v>
      </c>
      <c r="K181" s="37" t="s">
        <v>334</v>
      </c>
      <c r="L181" s="37" t="s">
        <v>384</v>
      </c>
      <c r="M181" s="37" t="s">
        <v>352</v>
      </c>
      <c r="N181" s="53">
        <v>3</v>
      </c>
      <c r="O181" s="15" t="s">
        <v>400</v>
      </c>
      <c r="P181" t="s">
        <v>389</v>
      </c>
      <c r="Q181" s="53"/>
    </row>
    <row r="182" spans="1:17">
      <c r="A182" s="135"/>
      <c r="H182" s="26">
        <v>2</v>
      </c>
      <c r="I182" t="s">
        <v>435</v>
      </c>
      <c r="J182" t="s">
        <v>130</v>
      </c>
      <c r="K182" s="16" t="s">
        <v>334</v>
      </c>
      <c r="L182" s="37" t="s">
        <v>384</v>
      </c>
      <c r="M182" s="37" t="s">
        <v>352</v>
      </c>
      <c r="N182" s="53">
        <v>7</v>
      </c>
      <c r="O182" s="15" t="s">
        <v>400</v>
      </c>
      <c r="P182" t="s">
        <v>389</v>
      </c>
      <c r="Q182" s="53"/>
    </row>
    <row r="183" spans="1:17">
      <c r="A183" s="135"/>
      <c r="H183" s="26">
        <v>3</v>
      </c>
      <c r="I183" t="s">
        <v>435</v>
      </c>
      <c r="J183" t="s">
        <v>131</v>
      </c>
      <c r="K183" s="16" t="s">
        <v>334</v>
      </c>
      <c r="L183" s="37" t="s">
        <v>384</v>
      </c>
      <c r="M183" s="37" t="s">
        <v>352</v>
      </c>
      <c r="N183" s="53">
        <v>16</v>
      </c>
      <c r="O183" s="15" t="s">
        <v>403</v>
      </c>
      <c r="P183" t="s">
        <v>389</v>
      </c>
      <c r="Q183" s="53"/>
    </row>
    <row r="184" spans="1:17">
      <c r="A184" s="135"/>
      <c r="H184" s="26">
        <v>4</v>
      </c>
      <c r="I184" t="s">
        <v>435</v>
      </c>
      <c r="J184" t="s">
        <v>132</v>
      </c>
      <c r="K184" s="16" t="s">
        <v>334</v>
      </c>
      <c r="L184" s="37" t="s">
        <v>384</v>
      </c>
      <c r="M184" s="37" t="s">
        <v>352</v>
      </c>
      <c r="N184" s="53">
        <v>32</v>
      </c>
      <c r="O184" s="15" t="s">
        <v>403</v>
      </c>
      <c r="P184" t="s">
        <v>389</v>
      </c>
      <c r="Q184" s="53"/>
    </row>
    <row r="185" spans="1:17">
      <c r="A185" s="135"/>
      <c r="H185" s="26">
        <v>5</v>
      </c>
      <c r="I185" t="s">
        <v>435</v>
      </c>
      <c r="J185" t="s">
        <v>133</v>
      </c>
      <c r="K185" s="16" t="s">
        <v>334</v>
      </c>
      <c r="L185" s="37" t="s">
        <v>384</v>
      </c>
      <c r="M185" s="37" t="s">
        <v>352</v>
      </c>
      <c r="N185" s="53">
        <v>56</v>
      </c>
      <c r="O185" s="15" t="s">
        <v>406</v>
      </c>
      <c r="P185" t="s">
        <v>389</v>
      </c>
      <c r="Q185" s="53"/>
    </row>
    <row r="186" spans="1:17">
      <c r="A186" s="135"/>
      <c r="H186" s="26">
        <v>6</v>
      </c>
      <c r="I186" t="s">
        <v>435</v>
      </c>
      <c r="J186" t="s">
        <v>134</v>
      </c>
      <c r="K186" s="16" t="s">
        <v>334</v>
      </c>
      <c r="L186" s="37" t="s">
        <v>384</v>
      </c>
      <c r="M186" s="37" t="s">
        <v>352</v>
      </c>
      <c r="N186" s="53">
        <v>86</v>
      </c>
      <c r="O186" s="15" t="s">
        <v>406</v>
      </c>
      <c r="P186" t="s">
        <v>389</v>
      </c>
      <c r="Q186" s="53"/>
    </row>
    <row r="187" spans="1:17">
      <c r="A187" s="135"/>
      <c r="H187" s="26">
        <v>7</v>
      </c>
      <c r="I187" t="s">
        <v>435</v>
      </c>
      <c r="J187" t="s">
        <v>135</v>
      </c>
      <c r="K187" s="16" t="s">
        <v>334</v>
      </c>
      <c r="L187" s="37" t="s">
        <v>384</v>
      </c>
      <c r="M187" s="37" t="s">
        <v>352</v>
      </c>
      <c r="N187" s="53">
        <v>120</v>
      </c>
      <c r="O187" s="15" t="s">
        <v>406</v>
      </c>
      <c r="P187" t="s">
        <v>389</v>
      </c>
      <c r="Q187" s="53"/>
    </row>
    <row r="188" spans="1:17">
      <c r="A188" s="135"/>
      <c r="H188" s="26">
        <v>8</v>
      </c>
      <c r="I188" t="s">
        <v>435</v>
      </c>
      <c r="J188" t="s">
        <v>136</v>
      </c>
      <c r="K188" s="16" t="s">
        <v>334</v>
      </c>
      <c r="L188" s="37" t="s">
        <v>384</v>
      </c>
      <c r="M188" s="37" t="s">
        <v>352</v>
      </c>
      <c r="N188" s="53">
        <v>160</v>
      </c>
      <c r="O188" s="15" t="s">
        <v>406</v>
      </c>
      <c r="P188" t="s">
        <v>389</v>
      </c>
      <c r="Q188" s="53"/>
    </row>
    <row r="189" spans="1:17">
      <c r="A189" s="135"/>
      <c r="H189" s="26">
        <v>9</v>
      </c>
      <c r="I189" t="s">
        <v>435</v>
      </c>
      <c r="J189" t="s">
        <v>137</v>
      </c>
      <c r="K189" s="16" t="s">
        <v>334</v>
      </c>
      <c r="L189" s="37" t="s">
        <v>384</v>
      </c>
      <c r="M189" s="37" t="s">
        <v>352</v>
      </c>
      <c r="N189" s="53">
        <v>210</v>
      </c>
      <c r="O189" s="15" t="s">
        <v>406</v>
      </c>
      <c r="P189" t="s">
        <v>389</v>
      </c>
      <c r="Q189" s="53"/>
    </row>
    <row r="190" spans="1:17">
      <c r="A190" s="135"/>
      <c r="H190" s="26">
        <v>10</v>
      </c>
      <c r="I190" t="s">
        <v>435</v>
      </c>
      <c r="J190" t="s">
        <v>138</v>
      </c>
      <c r="K190" s="16" t="s">
        <v>334</v>
      </c>
      <c r="L190" s="37" t="s">
        <v>384</v>
      </c>
      <c r="M190" s="37" t="s">
        <v>352</v>
      </c>
      <c r="N190" s="53">
        <v>270</v>
      </c>
      <c r="O190" s="15" t="s">
        <v>406</v>
      </c>
      <c r="P190" t="s">
        <v>389</v>
      </c>
      <c r="Q190" s="53"/>
    </row>
    <row r="191" spans="1:17">
      <c r="A191" s="135"/>
      <c r="H191" s="26">
        <v>11</v>
      </c>
      <c r="I191" t="s">
        <v>435</v>
      </c>
      <c r="J191" t="s">
        <v>139</v>
      </c>
      <c r="K191" s="16" t="s">
        <v>334</v>
      </c>
      <c r="L191" s="37" t="s">
        <v>384</v>
      </c>
      <c r="M191" s="37" t="s">
        <v>352</v>
      </c>
      <c r="N191" s="53">
        <v>330</v>
      </c>
      <c r="O191" s="15" t="s">
        <v>406</v>
      </c>
      <c r="P191" t="s">
        <v>389</v>
      </c>
      <c r="Q191" s="53"/>
    </row>
    <row r="192" spans="1:17">
      <c r="A192" s="135"/>
      <c r="H192" s="26">
        <v>12</v>
      </c>
      <c r="I192" t="s">
        <v>435</v>
      </c>
      <c r="J192" t="s">
        <v>140</v>
      </c>
      <c r="K192" s="16" t="s">
        <v>334</v>
      </c>
      <c r="L192" s="37" t="s">
        <v>384</v>
      </c>
      <c r="M192" s="37" t="s">
        <v>352</v>
      </c>
      <c r="N192" s="53">
        <v>400</v>
      </c>
      <c r="O192" s="15" t="s">
        <v>406</v>
      </c>
      <c r="P192" t="s">
        <v>389</v>
      </c>
      <c r="Q192" s="53"/>
    </row>
    <row r="193" spans="1:17">
      <c r="A193" s="135"/>
      <c r="H193" s="26">
        <v>13</v>
      </c>
      <c r="I193" t="s">
        <v>435</v>
      </c>
      <c r="J193" t="s">
        <v>141</v>
      </c>
      <c r="K193" s="16" t="s">
        <v>334</v>
      </c>
      <c r="L193" s="37" t="s">
        <v>384</v>
      </c>
      <c r="M193" s="37" t="s">
        <v>352</v>
      </c>
      <c r="N193" s="53">
        <v>480</v>
      </c>
      <c r="O193" s="15" t="s">
        <v>406</v>
      </c>
      <c r="P193" t="s">
        <v>389</v>
      </c>
      <c r="Q193" s="53"/>
    </row>
    <row r="194" spans="1:17">
      <c r="A194" s="135"/>
      <c r="H194" s="26">
        <v>14</v>
      </c>
      <c r="I194" t="s">
        <v>435</v>
      </c>
      <c r="J194" t="s">
        <v>142</v>
      </c>
      <c r="K194" s="16" t="s">
        <v>334</v>
      </c>
      <c r="L194" s="37" t="s">
        <v>384</v>
      </c>
      <c r="M194" s="37" t="s">
        <v>352</v>
      </c>
      <c r="N194" s="53">
        <v>560</v>
      </c>
      <c r="O194" s="15" t="s">
        <v>406</v>
      </c>
      <c r="P194" t="s">
        <v>389</v>
      </c>
      <c r="Q194" s="53"/>
    </row>
    <row r="195" spans="1:17">
      <c r="A195" s="135"/>
      <c r="H195" s="26">
        <v>15</v>
      </c>
      <c r="I195" t="s">
        <v>435</v>
      </c>
      <c r="J195" t="s">
        <v>143</v>
      </c>
      <c r="K195" s="16" t="s">
        <v>334</v>
      </c>
      <c r="L195" s="37" t="s">
        <v>384</v>
      </c>
      <c r="M195" s="37" t="s">
        <v>352</v>
      </c>
      <c r="N195" s="53">
        <v>650</v>
      </c>
      <c r="O195" s="15" t="s">
        <v>417</v>
      </c>
      <c r="P195" t="s">
        <v>389</v>
      </c>
      <c r="Q195" s="53"/>
    </row>
    <row r="196" spans="1:17">
      <c r="A196" s="135"/>
      <c r="H196" s="26">
        <v>16</v>
      </c>
      <c r="I196" t="s">
        <v>435</v>
      </c>
      <c r="J196" t="s">
        <v>144</v>
      </c>
      <c r="K196" s="16" t="s">
        <v>334</v>
      </c>
      <c r="L196" s="37" t="s">
        <v>384</v>
      </c>
      <c r="M196" s="37" t="s">
        <v>352</v>
      </c>
      <c r="N196" s="53">
        <v>750</v>
      </c>
      <c r="O196" s="15" t="s">
        <v>417</v>
      </c>
      <c r="P196" t="s">
        <v>389</v>
      </c>
      <c r="Q196" s="53"/>
    </row>
    <row r="197" spans="1:17">
      <c r="A197" s="135"/>
      <c r="H197" s="26">
        <v>17</v>
      </c>
      <c r="I197" t="s">
        <v>435</v>
      </c>
      <c r="J197" t="s">
        <v>145</v>
      </c>
      <c r="K197" s="16" t="s">
        <v>334</v>
      </c>
      <c r="L197" s="37" t="s">
        <v>384</v>
      </c>
      <c r="M197" s="37" t="s">
        <v>352</v>
      </c>
      <c r="N197" s="53">
        <v>850</v>
      </c>
      <c r="O197" s="15" t="s">
        <v>417</v>
      </c>
      <c r="P197" t="s">
        <v>389</v>
      </c>
      <c r="Q197" s="53"/>
    </row>
    <row r="198" spans="1:17">
      <c r="A198" s="135"/>
      <c r="H198" s="26">
        <v>18</v>
      </c>
      <c r="I198" t="s">
        <v>435</v>
      </c>
      <c r="J198" t="s">
        <v>146</v>
      </c>
      <c r="K198" s="16" t="s">
        <v>334</v>
      </c>
      <c r="L198" s="37" t="s">
        <v>384</v>
      </c>
      <c r="M198" s="37" t="s">
        <v>352</v>
      </c>
      <c r="N198" s="53">
        <v>960</v>
      </c>
      <c r="O198" s="15" t="s">
        <v>417</v>
      </c>
      <c r="P198" t="s">
        <v>389</v>
      </c>
      <c r="Q198" s="53"/>
    </row>
    <row r="199" spans="1:17">
      <c r="A199" s="135"/>
      <c r="H199" s="26">
        <v>19</v>
      </c>
      <c r="I199" t="s">
        <v>435</v>
      </c>
      <c r="J199" t="s">
        <v>147</v>
      </c>
      <c r="K199" s="16" t="s">
        <v>334</v>
      </c>
      <c r="L199" s="37" t="s">
        <v>384</v>
      </c>
      <c r="M199" s="37" t="s">
        <v>352</v>
      </c>
      <c r="N199" s="53">
        <v>1000</v>
      </c>
      <c r="O199" s="15" t="s">
        <v>417</v>
      </c>
      <c r="P199" t="s">
        <v>389</v>
      </c>
      <c r="Q199" s="53"/>
    </row>
    <row r="200" spans="1:17">
      <c r="A200" s="135"/>
      <c r="H200" s="26">
        <v>20</v>
      </c>
      <c r="I200" t="s">
        <v>435</v>
      </c>
      <c r="J200" t="s">
        <v>148</v>
      </c>
      <c r="K200" s="16" t="s">
        <v>334</v>
      </c>
      <c r="L200" s="37" t="s">
        <v>384</v>
      </c>
      <c r="M200" s="37" t="s">
        <v>352</v>
      </c>
      <c r="N200" s="53">
        <v>1200</v>
      </c>
      <c r="O200" s="15" t="s">
        <v>417</v>
      </c>
      <c r="P200" t="s">
        <v>389</v>
      </c>
      <c r="Q200" s="53"/>
    </row>
    <row r="201" spans="1:17" ht="15.75" customHeight="1">
      <c r="A201" s="269"/>
      <c r="B201" s="42"/>
      <c r="C201" s="42"/>
      <c r="D201" s="41"/>
      <c r="E201" s="41"/>
      <c r="F201" s="42"/>
      <c r="G201" s="42"/>
      <c r="H201" s="54"/>
      <c r="I201" s="42"/>
      <c r="J201" s="42"/>
      <c r="K201" s="55"/>
      <c r="L201" s="56"/>
      <c r="M201" s="42"/>
      <c r="N201" s="57"/>
      <c r="O201" s="58"/>
      <c r="P201" s="42"/>
    </row>
    <row r="202" spans="1:17" s="151" customFormat="1">
      <c r="A202" s="270" t="s">
        <v>1548</v>
      </c>
      <c r="C202" t="s">
        <v>397</v>
      </c>
      <c r="D202" s="153" t="s">
        <v>429</v>
      </c>
      <c r="E202" s="153" t="b">
        <v>1</v>
      </c>
    </row>
    <row r="203" spans="1:17">
      <c r="A203" s="135"/>
      <c r="H203" s="26">
        <v>1</v>
      </c>
      <c r="I203" t="s">
        <v>436</v>
      </c>
      <c r="J203" t="s">
        <v>149</v>
      </c>
      <c r="K203" s="16" t="s">
        <v>334</v>
      </c>
      <c r="L203" s="16" t="s">
        <v>425</v>
      </c>
      <c r="M203" s="67" t="s">
        <v>354</v>
      </c>
      <c r="N203" s="53">
        <v>5</v>
      </c>
      <c r="O203" s="15" t="s">
        <v>400</v>
      </c>
      <c r="P203" t="s">
        <v>437</v>
      </c>
      <c r="Q203" s="53"/>
    </row>
    <row r="204" spans="1:17">
      <c r="A204" s="135"/>
      <c r="H204" s="26">
        <v>2</v>
      </c>
      <c r="I204" t="s">
        <v>436</v>
      </c>
      <c r="J204" t="s">
        <v>150</v>
      </c>
      <c r="K204" s="16" t="s">
        <v>334</v>
      </c>
      <c r="L204" s="16" t="s">
        <v>425</v>
      </c>
      <c r="M204" s="67" t="s">
        <v>905</v>
      </c>
      <c r="N204" s="53">
        <v>10</v>
      </c>
      <c r="O204" s="15" t="s">
        <v>400</v>
      </c>
      <c r="P204" t="s">
        <v>437</v>
      </c>
      <c r="Q204" s="53"/>
    </row>
    <row r="205" spans="1:17">
      <c r="A205" s="135"/>
      <c r="H205" s="26">
        <v>3</v>
      </c>
      <c r="I205" t="s">
        <v>436</v>
      </c>
      <c r="J205" t="s">
        <v>151</v>
      </c>
      <c r="K205" s="16" t="s">
        <v>334</v>
      </c>
      <c r="L205" s="16" t="s">
        <v>425</v>
      </c>
      <c r="M205" s="67" t="s">
        <v>354</v>
      </c>
      <c r="N205" s="53">
        <v>28</v>
      </c>
      <c r="O205" s="15" t="s">
        <v>400</v>
      </c>
      <c r="P205" t="s">
        <v>437</v>
      </c>
      <c r="Q205" s="53"/>
    </row>
    <row r="206" spans="1:17">
      <c r="A206" s="135"/>
      <c r="H206" s="26">
        <v>4</v>
      </c>
      <c r="I206" t="s">
        <v>436</v>
      </c>
      <c r="J206" t="s">
        <v>152</v>
      </c>
      <c r="K206" s="16" t="s">
        <v>334</v>
      </c>
      <c r="L206" s="16" t="s">
        <v>425</v>
      </c>
      <c r="M206" s="67" t="s">
        <v>354</v>
      </c>
      <c r="N206" s="53">
        <v>54</v>
      </c>
      <c r="O206" s="15" t="s">
        <v>400</v>
      </c>
      <c r="P206" t="s">
        <v>437</v>
      </c>
      <c r="Q206" s="53"/>
    </row>
    <row r="207" spans="1:17">
      <c r="A207" s="135"/>
      <c r="H207" s="26">
        <v>5</v>
      </c>
      <c r="I207" t="s">
        <v>436</v>
      </c>
      <c r="J207" t="s">
        <v>153</v>
      </c>
      <c r="K207" s="16" t="s">
        <v>334</v>
      </c>
      <c r="L207" s="16" t="s">
        <v>425</v>
      </c>
      <c r="M207" s="67" t="s">
        <v>354</v>
      </c>
      <c r="N207" s="53">
        <v>94</v>
      </c>
      <c r="O207" s="15" t="s">
        <v>403</v>
      </c>
      <c r="P207" t="s">
        <v>437</v>
      </c>
      <c r="Q207" s="53"/>
    </row>
    <row r="208" spans="1:17">
      <c r="A208" s="135"/>
      <c r="H208" s="26">
        <v>6</v>
      </c>
      <c r="I208" t="s">
        <v>436</v>
      </c>
      <c r="J208" t="s">
        <v>154</v>
      </c>
      <c r="K208" s="16" t="s">
        <v>334</v>
      </c>
      <c r="L208" s="16" t="s">
        <v>425</v>
      </c>
      <c r="M208" s="67" t="s">
        <v>354</v>
      </c>
      <c r="N208" s="53">
        <v>140</v>
      </c>
      <c r="O208" s="15" t="s">
        <v>403</v>
      </c>
      <c r="P208" t="s">
        <v>437</v>
      </c>
      <c r="Q208" s="53"/>
    </row>
    <row r="209" spans="1:17">
      <c r="A209" s="135"/>
      <c r="H209" s="26">
        <v>7</v>
      </c>
      <c r="I209" t="s">
        <v>436</v>
      </c>
      <c r="J209" t="s">
        <v>155</v>
      </c>
      <c r="K209" s="16" t="s">
        <v>334</v>
      </c>
      <c r="L209" s="16" t="s">
        <v>425</v>
      </c>
      <c r="M209" s="67" t="s">
        <v>354</v>
      </c>
      <c r="N209" s="53">
        <v>200</v>
      </c>
      <c r="O209" s="15" t="s">
        <v>403</v>
      </c>
      <c r="P209" t="s">
        <v>437</v>
      </c>
      <c r="Q209" s="53"/>
    </row>
    <row r="210" spans="1:17">
      <c r="A210" s="135"/>
      <c r="H210" s="26">
        <v>8</v>
      </c>
      <c r="I210" t="s">
        <v>436</v>
      </c>
      <c r="J210" t="s">
        <v>156</v>
      </c>
      <c r="K210" s="16" t="s">
        <v>334</v>
      </c>
      <c r="L210" s="16" t="s">
        <v>425</v>
      </c>
      <c r="M210" s="67" t="s">
        <v>354</v>
      </c>
      <c r="N210" s="53">
        <v>270</v>
      </c>
      <c r="O210" s="15" t="s">
        <v>403</v>
      </c>
      <c r="P210" t="s">
        <v>437</v>
      </c>
      <c r="Q210" s="53"/>
    </row>
    <row r="211" spans="1:17">
      <c r="A211" s="135"/>
      <c r="H211" s="26">
        <v>9</v>
      </c>
      <c r="I211" t="s">
        <v>436</v>
      </c>
      <c r="J211" t="s">
        <v>157</v>
      </c>
      <c r="K211" s="16" t="s">
        <v>334</v>
      </c>
      <c r="L211" s="16" t="s">
        <v>425</v>
      </c>
      <c r="M211" s="67" t="s">
        <v>354</v>
      </c>
      <c r="N211" s="53">
        <v>350</v>
      </c>
      <c r="O211" s="15" t="s">
        <v>403</v>
      </c>
      <c r="P211" t="s">
        <v>437</v>
      </c>
      <c r="Q211" s="53"/>
    </row>
    <row r="212" spans="1:17">
      <c r="A212" s="135"/>
      <c r="H212" s="26">
        <v>10</v>
      </c>
      <c r="I212" t="s">
        <v>436</v>
      </c>
      <c r="J212" t="s">
        <v>158</v>
      </c>
      <c r="K212" s="16" t="s">
        <v>334</v>
      </c>
      <c r="L212" s="16" t="s">
        <v>425</v>
      </c>
      <c r="M212" s="67" t="s">
        <v>354</v>
      </c>
      <c r="N212" s="53">
        <v>450</v>
      </c>
      <c r="O212" s="15" t="s">
        <v>403</v>
      </c>
      <c r="P212" t="s">
        <v>437</v>
      </c>
      <c r="Q212" s="53"/>
    </row>
    <row r="213" spans="1:17">
      <c r="A213" s="135"/>
      <c r="H213" s="26">
        <v>11</v>
      </c>
      <c r="I213" t="s">
        <v>436</v>
      </c>
      <c r="J213" t="s">
        <v>159</v>
      </c>
      <c r="K213" s="16" t="s">
        <v>334</v>
      </c>
      <c r="L213" s="16" t="s">
        <v>425</v>
      </c>
      <c r="M213" s="67" t="s">
        <v>354</v>
      </c>
      <c r="N213" s="53">
        <v>550</v>
      </c>
      <c r="O213" s="15" t="s">
        <v>403</v>
      </c>
      <c r="P213" t="s">
        <v>437</v>
      </c>
      <c r="Q213" s="53"/>
    </row>
    <row r="214" spans="1:17">
      <c r="A214" s="135"/>
      <c r="H214" s="26">
        <v>12</v>
      </c>
      <c r="I214" t="s">
        <v>436</v>
      </c>
      <c r="J214" t="s">
        <v>160</v>
      </c>
      <c r="K214" s="16" t="s">
        <v>334</v>
      </c>
      <c r="L214" s="16" t="s">
        <v>425</v>
      </c>
      <c r="M214" s="67" t="s">
        <v>354</v>
      </c>
      <c r="N214" s="53">
        <v>670</v>
      </c>
      <c r="O214" s="15" t="s">
        <v>403</v>
      </c>
      <c r="P214" t="s">
        <v>437</v>
      </c>
      <c r="Q214" s="53"/>
    </row>
    <row r="215" spans="1:17">
      <c r="A215" s="135"/>
      <c r="H215" s="26">
        <v>13</v>
      </c>
      <c r="I215" t="s">
        <v>436</v>
      </c>
      <c r="J215" t="s">
        <v>161</v>
      </c>
      <c r="K215" s="16" t="s">
        <v>334</v>
      </c>
      <c r="L215" s="16" t="s">
        <v>425</v>
      </c>
      <c r="M215" s="67" t="s">
        <v>354</v>
      </c>
      <c r="N215" s="53">
        <v>800</v>
      </c>
      <c r="O215" s="15" t="s">
        <v>403</v>
      </c>
      <c r="P215" t="s">
        <v>437</v>
      </c>
      <c r="Q215" s="53"/>
    </row>
    <row r="216" spans="1:17">
      <c r="A216" s="135"/>
      <c r="H216" s="26">
        <v>14</v>
      </c>
      <c r="I216" t="s">
        <v>436</v>
      </c>
      <c r="J216" t="s">
        <v>162</v>
      </c>
      <c r="K216" s="16" t="s">
        <v>334</v>
      </c>
      <c r="L216" s="16" t="s">
        <v>425</v>
      </c>
      <c r="M216" s="67" t="s">
        <v>354</v>
      </c>
      <c r="N216" s="53">
        <v>930</v>
      </c>
      <c r="O216" s="15" t="s">
        <v>403</v>
      </c>
      <c r="P216" t="s">
        <v>437</v>
      </c>
      <c r="Q216" s="53"/>
    </row>
    <row r="217" spans="1:17">
      <c r="A217" s="135"/>
      <c r="H217" s="26">
        <v>15</v>
      </c>
      <c r="I217" t="s">
        <v>436</v>
      </c>
      <c r="J217" t="s">
        <v>163</v>
      </c>
      <c r="K217" s="16" t="s">
        <v>334</v>
      </c>
      <c r="L217" s="16" t="s">
        <v>425</v>
      </c>
      <c r="M217" s="67" t="s">
        <v>354</v>
      </c>
      <c r="N217" s="53">
        <v>1000</v>
      </c>
      <c r="O217" s="15" t="s">
        <v>403</v>
      </c>
      <c r="P217" t="s">
        <v>437</v>
      </c>
      <c r="Q217" s="53"/>
    </row>
    <row r="218" spans="1:17">
      <c r="A218" s="135"/>
      <c r="H218" s="26">
        <v>16</v>
      </c>
      <c r="I218" t="s">
        <v>436</v>
      </c>
      <c r="J218" t="s">
        <v>164</v>
      </c>
      <c r="K218" s="16" t="s">
        <v>334</v>
      </c>
      <c r="L218" s="16" t="s">
        <v>425</v>
      </c>
      <c r="M218" s="67" t="s">
        <v>354</v>
      </c>
      <c r="N218" s="53">
        <v>1200</v>
      </c>
      <c r="O218" s="15" t="s">
        <v>403</v>
      </c>
      <c r="P218" t="s">
        <v>437</v>
      </c>
      <c r="Q218" s="53"/>
    </row>
    <row r="219" spans="1:17">
      <c r="A219" s="135"/>
      <c r="H219" s="26">
        <v>17</v>
      </c>
      <c r="I219" t="s">
        <v>436</v>
      </c>
      <c r="J219" t="s">
        <v>165</v>
      </c>
      <c r="K219" s="16" t="s">
        <v>334</v>
      </c>
      <c r="L219" s="16" t="s">
        <v>425</v>
      </c>
      <c r="M219" s="67" t="s">
        <v>354</v>
      </c>
      <c r="N219" s="53">
        <v>1400</v>
      </c>
      <c r="O219" s="15" t="s">
        <v>406</v>
      </c>
      <c r="P219" t="s">
        <v>437</v>
      </c>
      <c r="Q219" s="53"/>
    </row>
    <row r="220" spans="1:17">
      <c r="A220" s="135"/>
      <c r="H220" s="26">
        <v>18</v>
      </c>
      <c r="I220" t="s">
        <v>436</v>
      </c>
      <c r="J220" t="s">
        <v>166</v>
      </c>
      <c r="K220" s="16" t="s">
        <v>334</v>
      </c>
      <c r="L220" s="16" t="s">
        <v>425</v>
      </c>
      <c r="M220" s="67" t="s">
        <v>354</v>
      </c>
      <c r="N220" s="53">
        <v>1600</v>
      </c>
      <c r="O220" s="15" t="s">
        <v>406</v>
      </c>
      <c r="P220" t="s">
        <v>437</v>
      </c>
      <c r="Q220" s="53"/>
    </row>
    <row r="221" spans="1:17">
      <c r="A221" s="135"/>
      <c r="H221" s="26">
        <v>19</v>
      </c>
      <c r="I221" t="s">
        <v>436</v>
      </c>
      <c r="J221" t="s">
        <v>167</v>
      </c>
      <c r="K221" s="16" t="s">
        <v>334</v>
      </c>
      <c r="L221" s="16" t="s">
        <v>425</v>
      </c>
      <c r="M221" s="67" t="s">
        <v>354</v>
      </c>
      <c r="N221" s="53">
        <v>1700</v>
      </c>
      <c r="O221" s="15" t="s">
        <v>406</v>
      </c>
      <c r="P221" t="s">
        <v>437</v>
      </c>
      <c r="Q221" s="53"/>
    </row>
    <row r="222" spans="1:17">
      <c r="A222" s="135"/>
      <c r="H222" s="26">
        <v>20</v>
      </c>
      <c r="I222" t="s">
        <v>436</v>
      </c>
      <c r="J222" t="s">
        <v>168</v>
      </c>
      <c r="K222" s="16" t="s">
        <v>334</v>
      </c>
      <c r="L222" s="16" t="s">
        <v>425</v>
      </c>
      <c r="M222" s="67" t="s">
        <v>354</v>
      </c>
      <c r="N222" s="53">
        <v>2000</v>
      </c>
      <c r="O222" s="15" t="s">
        <v>406</v>
      </c>
      <c r="P222" t="s">
        <v>437</v>
      </c>
      <c r="Q222" s="53"/>
    </row>
    <row r="223" spans="1:17" ht="15.75" customHeight="1">
      <c r="A223" s="269"/>
      <c r="B223" s="42"/>
      <c r="C223" s="42"/>
      <c r="D223" s="41"/>
      <c r="E223" s="41"/>
      <c r="F223" s="42"/>
      <c r="G223" s="42"/>
      <c r="H223" s="54"/>
      <c r="I223" s="42"/>
      <c r="J223" s="42"/>
      <c r="K223" s="55"/>
      <c r="L223" s="56"/>
      <c r="M223" s="42"/>
      <c r="N223" s="57"/>
      <c r="O223" s="58"/>
      <c r="P223" s="42"/>
    </row>
    <row r="224" spans="1:17">
      <c r="A224" s="135" t="s">
        <v>1547</v>
      </c>
      <c r="C224" t="s">
        <v>397</v>
      </c>
      <c r="D224" s="26" t="s">
        <v>429</v>
      </c>
      <c r="E224" s="26" t="b">
        <v>1</v>
      </c>
    </row>
    <row r="225" spans="1:17">
      <c r="A225" s="135"/>
      <c r="H225" s="26">
        <v>1</v>
      </c>
      <c r="I225" t="s">
        <v>438</v>
      </c>
      <c r="J225" t="s">
        <v>169</v>
      </c>
      <c r="K225" s="16" t="s">
        <v>334</v>
      </c>
      <c r="L225" t="s">
        <v>357</v>
      </c>
      <c r="M225" s="67" t="s">
        <v>439</v>
      </c>
      <c r="N225" s="111">
        <v>100000</v>
      </c>
      <c r="O225" s="15" t="s">
        <v>400</v>
      </c>
      <c r="Q225" s="53"/>
    </row>
    <row r="226" spans="1:17">
      <c r="A226" s="135"/>
      <c r="H226" s="26">
        <v>2</v>
      </c>
      <c r="I226" t="s">
        <v>438</v>
      </c>
      <c r="J226" t="s">
        <v>170</v>
      </c>
      <c r="K226" s="16" t="s">
        <v>334</v>
      </c>
      <c r="L226" t="s">
        <v>357</v>
      </c>
      <c r="M226" s="67" t="s">
        <v>439</v>
      </c>
      <c r="N226" s="111">
        <v>300000</v>
      </c>
      <c r="O226" s="15" t="s">
        <v>400</v>
      </c>
      <c r="Q226" s="53"/>
    </row>
    <row r="227" spans="1:17">
      <c r="A227" s="135"/>
      <c r="H227" s="26">
        <v>3</v>
      </c>
      <c r="I227" t="s">
        <v>438</v>
      </c>
      <c r="J227" t="s">
        <v>171</v>
      </c>
      <c r="K227" s="16" t="s">
        <v>334</v>
      </c>
      <c r="L227" t="s">
        <v>357</v>
      </c>
      <c r="M227" s="67" t="s">
        <v>439</v>
      </c>
      <c r="N227" s="111">
        <v>900000</v>
      </c>
      <c r="O227" s="15" t="s">
        <v>400</v>
      </c>
      <c r="Q227" s="53"/>
    </row>
    <row r="228" spans="1:17">
      <c r="A228" s="135"/>
      <c r="H228" s="26">
        <v>4</v>
      </c>
      <c r="I228" t="s">
        <v>438</v>
      </c>
      <c r="J228" t="s">
        <v>172</v>
      </c>
      <c r="K228" s="16" t="s">
        <v>334</v>
      </c>
      <c r="L228" t="s">
        <v>357</v>
      </c>
      <c r="M228" s="67" t="s">
        <v>439</v>
      </c>
      <c r="N228" s="111">
        <v>1600000</v>
      </c>
      <c r="O228" s="15" t="s">
        <v>400</v>
      </c>
      <c r="Q228" s="53"/>
    </row>
    <row r="229" spans="1:17">
      <c r="A229" s="135"/>
      <c r="H229" s="26">
        <v>5</v>
      </c>
      <c r="I229" t="s">
        <v>438</v>
      </c>
      <c r="J229" t="s">
        <v>173</v>
      </c>
      <c r="K229" s="16" t="s">
        <v>334</v>
      </c>
      <c r="L229" t="s">
        <v>357</v>
      </c>
      <c r="M229" s="67" t="s">
        <v>439</v>
      </c>
      <c r="N229" s="111">
        <v>3300000</v>
      </c>
      <c r="O229" s="15" t="s">
        <v>403</v>
      </c>
      <c r="Q229" s="53"/>
    </row>
    <row r="230" spans="1:17">
      <c r="A230" s="135"/>
      <c r="H230" s="26">
        <v>6</v>
      </c>
      <c r="I230" t="s">
        <v>438</v>
      </c>
      <c r="J230" t="s">
        <v>174</v>
      </c>
      <c r="K230" s="16" t="s">
        <v>334</v>
      </c>
      <c r="L230" t="s">
        <v>357</v>
      </c>
      <c r="M230" s="67" t="s">
        <v>439</v>
      </c>
      <c r="N230" s="111">
        <v>6300000</v>
      </c>
      <c r="O230" s="15" t="s">
        <v>403</v>
      </c>
      <c r="Q230" s="53"/>
    </row>
    <row r="231" spans="1:17">
      <c r="A231" s="135"/>
      <c r="H231" s="26">
        <v>7</v>
      </c>
      <c r="I231" t="s">
        <v>438</v>
      </c>
      <c r="J231" t="s">
        <v>175</v>
      </c>
      <c r="K231" s="16" t="s">
        <v>334</v>
      </c>
      <c r="L231" t="s">
        <v>357</v>
      </c>
      <c r="M231" s="67" t="s">
        <v>439</v>
      </c>
      <c r="N231" s="111">
        <v>10100000</v>
      </c>
      <c r="O231" s="15" t="s">
        <v>403</v>
      </c>
      <c r="Q231" s="53"/>
    </row>
    <row r="232" spans="1:17">
      <c r="A232" s="135"/>
      <c r="H232" s="26">
        <v>8</v>
      </c>
      <c r="I232" t="s">
        <v>438</v>
      </c>
      <c r="J232" t="s">
        <v>176</v>
      </c>
      <c r="K232" s="16" t="s">
        <v>334</v>
      </c>
      <c r="L232" t="s">
        <v>357</v>
      </c>
      <c r="M232" s="67" t="s">
        <v>439</v>
      </c>
      <c r="N232" s="111">
        <v>15900000</v>
      </c>
      <c r="O232" s="15" t="s">
        <v>403</v>
      </c>
      <c r="Q232" s="53"/>
    </row>
    <row r="233" spans="1:17">
      <c r="A233" s="135"/>
      <c r="H233" s="26">
        <v>9</v>
      </c>
      <c r="I233" t="s">
        <v>438</v>
      </c>
      <c r="J233" t="s">
        <v>177</v>
      </c>
      <c r="K233" s="16" t="s">
        <v>334</v>
      </c>
      <c r="L233" t="s">
        <v>357</v>
      </c>
      <c r="M233" s="67" t="s">
        <v>439</v>
      </c>
      <c r="N233" s="111">
        <v>22900000</v>
      </c>
      <c r="O233" s="15" t="s">
        <v>403</v>
      </c>
      <c r="Q233" s="53"/>
    </row>
    <row r="234" spans="1:17">
      <c r="A234" s="135"/>
      <c r="H234" s="26">
        <v>10</v>
      </c>
      <c r="I234" t="s">
        <v>438</v>
      </c>
      <c r="J234" t="s">
        <v>178</v>
      </c>
      <c r="K234" s="16" t="s">
        <v>334</v>
      </c>
      <c r="L234" t="s">
        <v>357</v>
      </c>
      <c r="M234" s="67" t="s">
        <v>439</v>
      </c>
      <c r="N234" s="111">
        <v>32100000</v>
      </c>
      <c r="O234" s="15" t="s">
        <v>403</v>
      </c>
      <c r="Q234" s="53"/>
    </row>
    <row r="235" spans="1:17">
      <c r="A235" s="135"/>
      <c r="H235" s="26">
        <v>11</v>
      </c>
      <c r="I235" t="s">
        <v>438</v>
      </c>
      <c r="J235" t="s">
        <v>179</v>
      </c>
      <c r="K235" s="16" t="s">
        <v>334</v>
      </c>
      <c r="L235" t="s">
        <v>357</v>
      </c>
      <c r="M235" s="67" t="s">
        <v>439</v>
      </c>
      <c r="N235" s="111">
        <v>44400000</v>
      </c>
      <c r="O235" s="15" t="s">
        <v>403</v>
      </c>
      <c r="Q235" s="53"/>
    </row>
    <row r="236" spans="1:17">
      <c r="A236" s="135"/>
      <c r="H236" s="26">
        <v>12</v>
      </c>
      <c r="I236" t="s">
        <v>438</v>
      </c>
      <c r="J236" t="s">
        <v>180</v>
      </c>
      <c r="K236" s="16" t="s">
        <v>334</v>
      </c>
      <c r="L236" t="s">
        <v>357</v>
      </c>
      <c r="M236" s="67" t="s">
        <v>439</v>
      </c>
      <c r="N236" s="111">
        <v>58300000</v>
      </c>
      <c r="O236" s="15" t="s">
        <v>403</v>
      </c>
      <c r="Q236" s="53"/>
    </row>
    <row r="237" spans="1:17">
      <c r="A237" s="135"/>
      <c r="H237" s="26">
        <v>13</v>
      </c>
      <c r="I237" t="s">
        <v>438</v>
      </c>
      <c r="J237" t="s">
        <v>181</v>
      </c>
      <c r="K237" s="16" t="s">
        <v>334</v>
      </c>
      <c r="L237" t="s">
        <v>357</v>
      </c>
      <c r="M237" s="67" t="s">
        <v>439</v>
      </c>
      <c r="N237" s="111">
        <v>76700000</v>
      </c>
      <c r="O237" s="15" t="s">
        <v>403</v>
      </c>
      <c r="Q237" s="53"/>
    </row>
    <row r="238" spans="1:17">
      <c r="A238" s="135"/>
      <c r="H238" s="26">
        <v>14</v>
      </c>
      <c r="I238" t="s">
        <v>438</v>
      </c>
      <c r="J238" t="s">
        <v>182</v>
      </c>
      <c r="K238" s="16" t="s">
        <v>334</v>
      </c>
      <c r="L238" t="s">
        <v>357</v>
      </c>
      <c r="M238" s="67" t="s">
        <v>439</v>
      </c>
      <c r="N238" s="111">
        <v>98600000</v>
      </c>
      <c r="O238" s="15" t="s">
        <v>403</v>
      </c>
      <c r="Q238" s="53"/>
    </row>
    <row r="239" spans="1:17">
      <c r="A239" s="135"/>
      <c r="H239" s="26">
        <v>15</v>
      </c>
      <c r="I239" t="s">
        <v>438</v>
      </c>
      <c r="J239" t="s">
        <v>183</v>
      </c>
      <c r="K239" s="16" t="s">
        <v>334</v>
      </c>
      <c r="L239" t="s">
        <v>357</v>
      </c>
      <c r="M239" s="67" t="s">
        <v>439</v>
      </c>
      <c r="N239" s="111">
        <v>123800000</v>
      </c>
      <c r="O239" s="15" t="s">
        <v>403</v>
      </c>
      <c r="Q239" s="53"/>
    </row>
    <row r="240" spans="1:17">
      <c r="A240" s="135"/>
      <c r="H240" s="26">
        <v>16</v>
      </c>
      <c r="I240" t="s">
        <v>438</v>
      </c>
      <c r="J240" t="s">
        <v>184</v>
      </c>
      <c r="K240" s="16" t="s">
        <v>334</v>
      </c>
      <c r="L240" t="s">
        <v>357</v>
      </c>
      <c r="M240" s="67" t="s">
        <v>439</v>
      </c>
      <c r="N240" s="111">
        <v>153300000</v>
      </c>
      <c r="O240" s="15" t="s">
        <v>403</v>
      </c>
      <c r="Q240" s="53"/>
    </row>
    <row r="241" spans="1:17">
      <c r="A241" s="135"/>
      <c r="H241" s="26">
        <v>17</v>
      </c>
      <c r="I241" t="s">
        <v>438</v>
      </c>
      <c r="J241" t="s">
        <v>185</v>
      </c>
      <c r="K241" s="16" t="s">
        <v>334</v>
      </c>
      <c r="L241" t="s">
        <v>357</v>
      </c>
      <c r="M241" s="67" t="s">
        <v>439</v>
      </c>
      <c r="N241" s="111">
        <v>188200000</v>
      </c>
      <c r="O241" s="15" t="s">
        <v>406</v>
      </c>
      <c r="Q241" s="53"/>
    </row>
    <row r="242" spans="1:17">
      <c r="A242" s="135"/>
      <c r="H242" s="26">
        <v>18</v>
      </c>
      <c r="I242" t="s">
        <v>438</v>
      </c>
      <c r="J242" t="s">
        <v>186</v>
      </c>
      <c r="K242" s="16" t="s">
        <v>334</v>
      </c>
      <c r="L242" t="s">
        <v>357</v>
      </c>
      <c r="M242" s="67" t="s">
        <v>439</v>
      </c>
      <c r="N242" s="111">
        <v>229200000</v>
      </c>
      <c r="O242" s="15" t="s">
        <v>406</v>
      </c>
      <c r="Q242" s="53"/>
    </row>
    <row r="243" spans="1:17">
      <c r="A243" s="135"/>
      <c r="H243" s="26">
        <v>19</v>
      </c>
      <c r="I243" t="s">
        <v>438</v>
      </c>
      <c r="J243" t="s">
        <v>187</v>
      </c>
      <c r="K243" s="16" t="s">
        <v>334</v>
      </c>
      <c r="L243" t="s">
        <v>357</v>
      </c>
      <c r="M243" s="67" t="s">
        <v>439</v>
      </c>
      <c r="N243" s="111">
        <v>276300000</v>
      </c>
      <c r="O243" s="15" t="s">
        <v>406</v>
      </c>
      <c r="Q243" s="53"/>
    </row>
    <row r="244" spans="1:17">
      <c r="A244" s="135"/>
      <c r="H244" s="26">
        <v>20</v>
      </c>
      <c r="I244" t="s">
        <v>438</v>
      </c>
      <c r="J244" t="s">
        <v>188</v>
      </c>
      <c r="K244" s="16" t="s">
        <v>334</v>
      </c>
      <c r="L244" t="s">
        <v>357</v>
      </c>
      <c r="M244" s="67" t="s">
        <v>439</v>
      </c>
      <c r="N244" s="111">
        <v>326800000</v>
      </c>
      <c r="O244" s="15" t="s">
        <v>406</v>
      </c>
      <c r="Q244" s="53"/>
    </row>
    <row r="245" spans="1:17" ht="15.75" customHeight="1">
      <c r="A245" s="269"/>
      <c r="B245" s="42"/>
      <c r="C245" s="42"/>
      <c r="D245" s="41"/>
      <c r="E245" s="41"/>
      <c r="F245" s="42"/>
      <c r="G245" s="42"/>
      <c r="H245" s="54"/>
      <c r="I245" s="42"/>
      <c r="J245" s="42"/>
      <c r="K245" s="55"/>
      <c r="L245" s="56"/>
      <c r="M245" s="42"/>
      <c r="N245" s="57"/>
      <c r="O245" s="58"/>
      <c r="P245" s="42"/>
    </row>
    <row r="246" spans="1:17">
      <c r="A246" s="135" t="s">
        <v>1546</v>
      </c>
      <c r="C246" t="s">
        <v>397</v>
      </c>
      <c r="D246" s="26" t="s">
        <v>429</v>
      </c>
      <c r="E246" s="26" t="b">
        <v>1</v>
      </c>
    </row>
    <row r="247" spans="1:17">
      <c r="A247" s="135"/>
      <c r="H247" s="26">
        <v>1</v>
      </c>
      <c r="I247" t="s">
        <v>440</v>
      </c>
      <c r="J247" t="s">
        <v>189</v>
      </c>
      <c r="K247" s="16" t="s">
        <v>334</v>
      </c>
      <c r="L247" t="s">
        <v>357</v>
      </c>
      <c r="M247" s="67" t="s">
        <v>358</v>
      </c>
      <c r="N247" s="53">
        <v>100</v>
      </c>
      <c r="O247" s="15" t="s">
        <v>400</v>
      </c>
      <c r="P247" t="s">
        <v>441</v>
      </c>
      <c r="Q247" s="53"/>
    </row>
    <row r="248" spans="1:17">
      <c r="A248" s="135"/>
      <c r="H248" s="26">
        <v>2</v>
      </c>
      <c r="I248" t="s">
        <v>440</v>
      </c>
      <c r="J248" t="s">
        <v>190</v>
      </c>
      <c r="K248" s="16" t="s">
        <v>334</v>
      </c>
      <c r="L248" t="s">
        <v>357</v>
      </c>
      <c r="M248" s="67" t="s">
        <v>358</v>
      </c>
      <c r="N248" s="53">
        <v>210</v>
      </c>
      <c r="O248" s="15" t="s">
        <v>400</v>
      </c>
      <c r="P248" t="s">
        <v>441</v>
      </c>
      <c r="Q248" s="53"/>
    </row>
    <row r="249" spans="1:17">
      <c r="A249" s="135"/>
      <c r="H249" s="26">
        <v>3</v>
      </c>
      <c r="I249" t="s">
        <v>440</v>
      </c>
      <c r="J249" t="s">
        <v>191</v>
      </c>
      <c r="K249" s="16" t="s">
        <v>334</v>
      </c>
      <c r="L249" t="s">
        <v>357</v>
      </c>
      <c r="M249" s="67" t="s">
        <v>358</v>
      </c>
      <c r="N249" s="53">
        <v>540</v>
      </c>
      <c r="O249" s="15" t="s">
        <v>400</v>
      </c>
      <c r="P249" t="s">
        <v>441</v>
      </c>
      <c r="Q249" s="53"/>
    </row>
    <row r="250" spans="1:17">
      <c r="A250" s="135"/>
      <c r="H250" s="26">
        <v>4</v>
      </c>
      <c r="I250" t="s">
        <v>440</v>
      </c>
      <c r="J250" t="s">
        <v>192</v>
      </c>
      <c r="K250" s="16" t="s">
        <v>334</v>
      </c>
      <c r="L250" t="s">
        <v>357</v>
      </c>
      <c r="M250" s="67" t="s">
        <v>358</v>
      </c>
      <c r="N250" s="53">
        <v>1000</v>
      </c>
      <c r="O250" s="15" t="s">
        <v>400</v>
      </c>
      <c r="P250" t="s">
        <v>441</v>
      </c>
      <c r="Q250" s="53"/>
    </row>
    <row r="251" spans="1:17">
      <c r="A251" s="135"/>
      <c r="H251" s="26">
        <v>5</v>
      </c>
      <c r="I251" t="s">
        <v>440</v>
      </c>
      <c r="J251" t="s">
        <v>193</v>
      </c>
      <c r="K251" s="16" t="s">
        <v>334</v>
      </c>
      <c r="L251" t="s">
        <v>357</v>
      </c>
      <c r="M251" s="67" t="s">
        <v>358</v>
      </c>
      <c r="N251" s="53">
        <v>1800</v>
      </c>
      <c r="O251" s="15" t="s">
        <v>403</v>
      </c>
      <c r="P251" t="s">
        <v>441</v>
      </c>
      <c r="Q251" s="53"/>
    </row>
    <row r="252" spans="1:17">
      <c r="A252" s="135"/>
      <c r="H252" s="26">
        <v>6</v>
      </c>
      <c r="I252" t="s">
        <v>440</v>
      </c>
      <c r="J252" t="s">
        <v>194</v>
      </c>
      <c r="K252" s="16" t="s">
        <v>334</v>
      </c>
      <c r="L252" t="s">
        <v>357</v>
      </c>
      <c r="M252" s="67" t="s">
        <v>358</v>
      </c>
      <c r="N252" s="53">
        <v>2800</v>
      </c>
      <c r="O252" s="15" t="s">
        <v>403</v>
      </c>
      <c r="P252" t="s">
        <v>441</v>
      </c>
      <c r="Q252" s="53"/>
    </row>
    <row r="253" spans="1:17">
      <c r="A253" s="135"/>
      <c r="H253" s="26">
        <v>7</v>
      </c>
      <c r="I253" t="s">
        <v>440</v>
      </c>
      <c r="J253" t="s">
        <v>195</v>
      </c>
      <c r="K253" s="16" t="s">
        <v>334</v>
      </c>
      <c r="L253" t="s">
        <v>357</v>
      </c>
      <c r="M253" s="67" t="s">
        <v>358</v>
      </c>
      <c r="N253" s="53">
        <v>4000</v>
      </c>
      <c r="O253" s="15" t="s">
        <v>403</v>
      </c>
      <c r="P253" t="s">
        <v>441</v>
      </c>
      <c r="Q253" s="53"/>
    </row>
    <row r="254" spans="1:17">
      <c r="A254" s="135"/>
      <c r="H254" s="26">
        <v>8</v>
      </c>
      <c r="I254" t="s">
        <v>440</v>
      </c>
      <c r="J254" t="s">
        <v>196</v>
      </c>
      <c r="K254" s="16" t="s">
        <v>334</v>
      </c>
      <c r="L254" t="s">
        <v>357</v>
      </c>
      <c r="M254" s="67" t="s">
        <v>358</v>
      </c>
      <c r="N254" s="53">
        <v>5500</v>
      </c>
      <c r="O254" s="15" t="s">
        <v>403</v>
      </c>
      <c r="P254" t="s">
        <v>441</v>
      </c>
      <c r="Q254" s="53"/>
    </row>
    <row r="255" spans="1:17">
      <c r="A255" s="135"/>
      <c r="H255" s="26">
        <v>9</v>
      </c>
      <c r="I255" t="s">
        <v>440</v>
      </c>
      <c r="J255" t="s">
        <v>197</v>
      </c>
      <c r="K255" s="16" t="s">
        <v>334</v>
      </c>
      <c r="L255" t="s">
        <v>357</v>
      </c>
      <c r="M255" s="67" t="s">
        <v>358</v>
      </c>
      <c r="N255" s="53">
        <v>7100</v>
      </c>
      <c r="O255" s="15" t="s">
        <v>403</v>
      </c>
      <c r="P255" t="s">
        <v>441</v>
      </c>
      <c r="Q255" s="53"/>
    </row>
    <row r="256" spans="1:17">
      <c r="A256" s="135"/>
      <c r="H256" s="26">
        <v>10</v>
      </c>
      <c r="I256" t="s">
        <v>440</v>
      </c>
      <c r="J256" t="s">
        <v>198</v>
      </c>
      <c r="K256" s="16" t="s">
        <v>334</v>
      </c>
      <c r="L256" t="s">
        <v>357</v>
      </c>
      <c r="M256" s="67" t="s">
        <v>358</v>
      </c>
      <c r="N256" s="53">
        <v>9000</v>
      </c>
      <c r="O256" s="15" t="s">
        <v>403</v>
      </c>
      <c r="P256" t="s">
        <v>441</v>
      </c>
      <c r="Q256" s="53"/>
    </row>
    <row r="257" spans="1:17">
      <c r="A257" s="135"/>
      <c r="H257" s="26">
        <v>11</v>
      </c>
      <c r="I257" t="s">
        <v>440</v>
      </c>
      <c r="J257" t="s">
        <v>199</v>
      </c>
      <c r="K257" s="16" t="s">
        <v>334</v>
      </c>
      <c r="L257" t="s">
        <v>357</v>
      </c>
      <c r="M257" s="67" t="s">
        <v>358</v>
      </c>
      <c r="N257" s="53">
        <v>11100</v>
      </c>
      <c r="O257" s="15" t="s">
        <v>403</v>
      </c>
      <c r="P257" t="s">
        <v>441</v>
      </c>
      <c r="Q257" s="53"/>
    </row>
    <row r="258" spans="1:17">
      <c r="A258" s="135"/>
      <c r="H258" s="26">
        <v>12</v>
      </c>
      <c r="I258" t="s">
        <v>440</v>
      </c>
      <c r="J258" t="s">
        <v>200</v>
      </c>
      <c r="K258" s="16" t="s">
        <v>334</v>
      </c>
      <c r="L258" t="s">
        <v>357</v>
      </c>
      <c r="M258" s="67" t="s">
        <v>358</v>
      </c>
      <c r="N258" s="53">
        <v>13400</v>
      </c>
      <c r="O258" s="15" t="s">
        <v>403</v>
      </c>
      <c r="P258" t="s">
        <v>441</v>
      </c>
      <c r="Q258" s="53"/>
    </row>
    <row r="259" spans="1:17">
      <c r="A259" s="135"/>
      <c r="H259" s="26">
        <v>13</v>
      </c>
      <c r="I259" t="s">
        <v>440</v>
      </c>
      <c r="J259" t="s">
        <v>201</v>
      </c>
      <c r="K259" s="16" t="s">
        <v>334</v>
      </c>
      <c r="L259" t="s">
        <v>357</v>
      </c>
      <c r="M259" s="67" t="s">
        <v>358</v>
      </c>
      <c r="N259" s="53">
        <v>16000</v>
      </c>
      <c r="O259" s="15" t="s">
        <v>403</v>
      </c>
      <c r="P259" t="s">
        <v>441</v>
      </c>
      <c r="Q259" s="53"/>
    </row>
    <row r="260" spans="1:17">
      <c r="A260" s="135"/>
      <c r="H260" s="26">
        <v>14</v>
      </c>
      <c r="I260" t="s">
        <v>440</v>
      </c>
      <c r="J260" t="s">
        <v>202</v>
      </c>
      <c r="K260" s="16" t="s">
        <v>334</v>
      </c>
      <c r="L260" t="s">
        <v>357</v>
      </c>
      <c r="M260" s="67" t="s">
        <v>358</v>
      </c>
      <c r="N260" s="53">
        <v>18700</v>
      </c>
      <c r="O260" s="15" t="s">
        <v>403</v>
      </c>
      <c r="P260" t="s">
        <v>441</v>
      </c>
      <c r="Q260" s="53"/>
    </row>
    <row r="261" spans="1:17">
      <c r="A261" s="135"/>
      <c r="H261" s="26">
        <v>15</v>
      </c>
      <c r="I261" t="s">
        <v>440</v>
      </c>
      <c r="J261" t="s">
        <v>203</v>
      </c>
      <c r="K261" s="16" t="s">
        <v>334</v>
      </c>
      <c r="L261" t="s">
        <v>357</v>
      </c>
      <c r="M261" s="67" t="s">
        <v>358</v>
      </c>
      <c r="N261" s="53">
        <v>21700</v>
      </c>
      <c r="O261" s="15" t="s">
        <v>403</v>
      </c>
      <c r="P261" t="s">
        <v>441</v>
      </c>
      <c r="Q261" s="53"/>
    </row>
    <row r="262" spans="1:17">
      <c r="A262" s="135"/>
      <c r="H262" s="26">
        <v>16</v>
      </c>
      <c r="I262" t="s">
        <v>440</v>
      </c>
      <c r="J262" t="s">
        <v>204</v>
      </c>
      <c r="K262" s="16" t="s">
        <v>334</v>
      </c>
      <c r="L262" t="s">
        <v>357</v>
      </c>
      <c r="M262" s="67" t="s">
        <v>358</v>
      </c>
      <c r="N262" s="53">
        <v>24900</v>
      </c>
      <c r="O262" s="15" t="s">
        <v>403</v>
      </c>
      <c r="P262" t="s">
        <v>441</v>
      </c>
      <c r="Q262" s="53"/>
    </row>
    <row r="263" spans="1:17">
      <c r="A263" s="135"/>
      <c r="H263" s="26">
        <v>17</v>
      </c>
      <c r="I263" t="s">
        <v>440</v>
      </c>
      <c r="J263" t="s">
        <v>205</v>
      </c>
      <c r="K263" s="16" t="s">
        <v>334</v>
      </c>
      <c r="L263" t="s">
        <v>357</v>
      </c>
      <c r="M263" s="67" t="s">
        <v>358</v>
      </c>
      <c r="N263" s="53">
        <v>28300</v>
      </c>
      <c r="O263" s="15" t="s">
        <v>406</v>
      </c>
      <c r="P263" t="s">
        <v>441</v>
      </c>
      <c r="Q263" s="53"/>
    </row>
    <row r="264" spans="1:17">
      <c r="A264" s="135"/>
      <c r="H264" s="26">
        <v>18</v>
      </c>
      <c r="I264" t="s">
        <v>440</v>
      </c>
      <c r="J264" t="s">
        <v>206</v>
      </c>
      <c r="K264" s="16" t="s">
        <v>334</v>
      </c>
      <c r="L264" t="s">
        <v>357</v>
      </c>
      <c r="M264" s="67" t="s">
        <v>358</v>
      </c>
      <c r="N264" s="53">
        <v>32000</v>
      </c>
      <c r="O264" s="15" t="s">
        <v>406</v>
      </c>
      <c r="P264" t="s">
        <v>441</v>
      </c>
      <c r="Q264" s="53"/>
    </row>
    <row r="265" spans="1:17">
      <c r="A265" s="135"/>
      <c r="H265" s="26">
        <v>19</v>
      </c>
      <c r="I265" t="s">
        <v>440</v>
      </c>
      <c r="J265" t="s">
        <v>207</v>
      </c>
      <c r="K265" s="16" t="s">
        <v>334</v>
      </c>
      <c r="L265" t="s">
        <v>357</v>
      </c>
      <c r="M265" s="67" t="s">
        <v>358</v>
      </c>
      <c r="N265" s="53">
        <v>35900</v>
      </c>
      <c r="O265" s="15" t="s">
        <v>406</v>
      </c>
      <c r="P265" t="s">
        <v>441</v>
      </c>
      <c r="Q265" s="53"/>
    </row>
    <row r="266" spans="1:17">
      <c r="A266" s="135"/>
      <c r="H266" s="26">
        <v>20</v>
      </c>
      <c r="I266" t="s">
        <v>440</v>
      </c>
      <c r="J266" t="s">
        <v>208</v>
      </c>
      <c r="K266" s="16" t="s">
        <v>334</v>
      </c>
      <c r="L266" t="s">
        <v>357</v>
      </c>
      <c r="M266" s="67" t="s">
        <v>358</v>
      </c>
      <c r="N266" s="53">
        <v>40000</v>
      </c>
      <c r="O266" s="15" t="s">
        <v>406</v>
      </c>
      <c r="P266" t="s">
        <v>441</v>
      </c>
      <c r="Q266" s="53"/>
    </row>
    <row r="267" spans="1:17" ht="15.75" customHeight="1">
      <c r="A267" s="269"/>
      <c r="B267" s="42"/>
      <c r="C267" s="42"/>
      <c r="D267" s="41"/>
      <c r="E267" s="41"/>
      <c r="F267" s="42"/>
      <c r="G267" s="42"/>
      <c r="H267" s="54"/>
      <c r="I267" s="42"/>
      <c r="J267" s="42"/>
      <c r="K267" s="55"/>
      <c r="L267" s="56"/>
      <c r="M267" s="42"/>
      <c r="N267" s="57"/>
      <c r="O267" s="58"/>
      <c r="P267" s="42"/>
    </row>
    <row r="268" spans="1:17">
      <c r="A268" s="135" t="s">
        <v>1545</v>
      </c>
      <c r="C268" t="s">
        <v>397</v>
      </c>
      <c r="D268" s="26" t="s">
        <v>331</v>
      </c>
      <c r="E268" s="26" t="b">
        <v>1</v>
      </c>
    </row>
    <row r="269" spans="1:17">
      <c r="A269" s="135"/>
      <c r="H269" s="26">
        <v>1</v>
      </c>
      <c r="I269" t="s">
        <v>442</v>
      </c>
      <c r="J269" t="s">
        <v>209</v>
      </c>
      <c r="K269" s="37" t="s">
        <v>334</v>
      </c>
      <c r="L269" s="37" t="s">
        <v>1006</v>
      </c>
      <c r="M269" s="37"/>
      <c r="N269" s="53">
        <v>3</v>
      </c>
      <c r="O269" s="15" t="s">
        <v>400</v>
      </c>
      <c r="P269" t="s">
        <v>443</v>
      </c>
      <c r="Q269" s="53"/>
    </row>
    <row r="270" spans="1:17">
      <c r="A270" s="135"/>
      <c r="H270" s="26">
        <v>2</v>
      </c>
      <c r="I270" t="s">
        <v>442</v>
      </c>
      <c r="J270" t="s">
        <v>210</v>
      </c>
      <c r="K270" s="37" t="s">
        <v>334</v>
      </c>
      <c r="L270" s="37" t="s">
        <v>1005</v>
      </c>
      <c r="N270" s="53">
        <v>7</v>
      </c>
      <c r="O270" s="15" t="s">
        <v>400</v>
      </c>
      <c r="P270" t="s">
        <v>443</v>
      </c>
      <c r="Q270" s="53"/>
    </row>
    <row r="271" spans="1:17">
      <c r="A271" s="135"/>
      <c r="H271" s="26">
        <v>3</v>
      </c>
      <c r="I271" t="s">
        <v>442</v>
      </c>
      <c r="J271" t="s">
        <v>211</v>
      </c>
      <c r="K271" s="37" t="s">
        <v>334</v>
      </c>
      <c r="L271" s="37" t="s">
        <v>1005</v>
      </c>
      <c r="N271" s="53">
        <v>16</v>
      </c>
      <c r="O271" s="15" t="s">
        <v>400</v>
      </c>
      <c r="P271" t="s">
        <v>443</v>
      </c>
      <c r="Q271" s="53"/>
    </row>
    <row r="272" spans="1:17">
      <c r="A272" s="135"/>
      <c r="H272" s="26">
        <v>4</v>
      </c>
      <c r="I272" t="s">
        <v>442</v>
      </c>
      <c r="J272" t="s">
        <v>212</v>
      </c>
      <c r="K272" s="37" t="s">
        <v>334</v>
      </c>
      <c r="L272" s="37" t="s">
        <v>1005</v>
      </c>
      <c r="N272" s="53">
        <v>32</v>
      </c>
      <c r="O272" s="15" t="s">
        <v>400</v>
      </c>
      <c r="P272" t="s">
        <v>443</v>
      </c>
      <c r="Q272" s="53"/>
    </row>
    <row r="273" spans="1:17">
      <c r="A273" s="135"/>
      <c r="H273" s="26">
        <v>5</v>
      </c>
      <c r="I273" t="s">
        <v>442</v>
      </c>
      <c r="J273" t="s">
        <v>213</v>
      </c>
      <c r="K273" s="37" t="s">
        <v>334</v>
      </c>
      <c r="L273" s="37" t="s">
        <v>1005</v>
      </c>
      <c r="N273" s="53">
        <v>56</v>
      </c>
      <c r="O273" s="15" t="s">
        <v>403</v>
      </c>
      <c r="P273" t="s">
        <v>443</v>
      </c>
      <c r="Q273" s="53"/>
    </row>
    <row r="274" spans="1:17">
      <c r="A274" s="135"/>
      <c r="H274" s="26">
        <v>6</v>
      </c>
      <c r="I274" t="s">
        <v>442</v>
      </c>
      <c r="J274" t="s">
        <v>214</v>
      </c>
      <c r="K274" s="37" t="s">
        <v>334</v>
      </c>
      <c r="L274" s="37" t="s">
        <v>1005</v>
      </c>
      <c r="N274" s="53">
        <v>86</v>
      </c>
      <c r="O274" s="15" t="s">
        <v>403</v>
      </c>
      <c r="P274" t="s">
        <v>443</v>
      </c>
      <c r="Q274" s="53"/>
    </row>
    <row r="275" spans="1:17">
      <c r="A275" s="135"/>
      <c r="H275" s="26">
        <v>7</v>
      </c>
      <c r="I275" t="s">
        <v>442</v>
      </c>
      <c r="J275" t="s">
        <v>215</v>
      </c>
      <c r="K275" s="37" t="s">
        <v>334</v>
      </c>
      <c r="L275" s="37" t="s">
        <v>1005</v>
      </c>
      <c r="N275" s="53">
        <v>120</v>
      </c>
      <c r="O275" s="15" t="s">
        <v>403</v>
      </c>
      <c r="P275" t="s">
        <v>443</v>
      </c>
      <c r="Q275" s="53"/>
    </row>
    <row r="276" spans="1:17">
      <c r="A276" s="135"/>
      <c r="H276" s="26">
        <v>8</v>
      </c>
      <c r="I276" t="s">
        <v>442</v>
      </c>
      <c r="J276" t="s">
        <v>216</v>
      </c>
      <c r="K276" s="37" t="s">
        <v>334</v>
      </c>
      <c r="L276" s="37" t="s">
        <v>1005</v>
      </c>
      <c r="N276" s="53">
        <v>160</v>
      </c>
      <c r="O276" s="15" t="s">
        <v>403</v>
      </c>
      <c r="P276" t="s">
        <v>443</v>
      </c>
      <c r="Q276" s="53"/>
    </row>
    <row r="277" spans="1:17">
      <c r="A277" s="135"/>
      <c r="H277" s="26">
        <v>9</v>
      </c>
      <c r="I277" t="s">
        <v>442</v>
      </c>
      <c r="J277" t="s">
        <v>217</v>
      </c>
      <c r="K277" s="37" t="s">
        <v>334</v>
      </c>
      <c r="L277" s="37" t="s">
        <v>1005</v>
      </c>
      <c r="N277" s="53">
        <v>210</v>
      </c>
      <c r="O277" s="15" t="s">
        <v>403</v>
      </c>
      <c r="P277" t="s">
        <v>443</v>
      </c>
      <c r="Q277" s="53"/>
    </row>
    <row r="278" spans="1:17">
      <c r="A278" s="135"/>
      <c r="H278" s="26">
        <v>10</v>
      </c>
      <c r="I278" t="s">
        <v>442</v>
      </c>
      <c r="J278" t="s">
        <v>218</v>
      </c>
      <c r="K278" s="37" t="s">
        <v>334</v>
      </c>
      <c r="L278" s="37" t="s">
        <v>1005</v>
      </c>
      <c r="N278" s="53">
        <v>270</v>
      </c>
      <c r="O278" s="15" t="s">
        <v>403</v>
      </c>
      <c r="P278" t="s">
        <v>443</v>
      </c>
      <c r="Q278" s="53"/>
    </row>
    <row r="279" spans="1:17">
      <c r="A279" s="135"/>
      <c r="H279" s="26">
        <v>11</v>
      </c>
      <c r="I279" t="s">
        <v>442</v>
      </c>
      <c r="J279" t="s">
        <v>219</v>
      </c>
      <c r="K279" s="37" t="s">
        <v>334</v>
      </c>
      <c r="L279" s="37" t="s">
        <v>1005</v>
      </c>
      <c r="N279" s="53">
        <v>330</v>
      </c>
      <c r="O279" s="15" t="s">
        <v>403</v>
      </c>
      <c r="P279" t="s">
        <v>443</v>
      </c>
      <c r="Q279" s="53"/>
    </row>
    <row r="280" spans="1:17">
      <c r="A280" s="135"/>
      <c r="H280" s="26">
        <v>12</v>
      </c>
      <c r="I280" t="s">
        <v>442</v>
      </c>
      <c r="J280" t="s">
        <v>220</v>
      </c>
      <c r="K280" s="37" t="s">
        <v>334</v>
      </c>
      <c r="L280" s="37" t="s">
        <v>1005</v>
      </c>
      <c r="N280" s="53">
        <v>400</v>
      </c>
      <c r="O280" s="15" t="s">
        <v>403</v>
      </c>
      <c r="P280" t="s">
        <v>443</v>
      </c>
      <c r="Q280" s="53"/>
    </row>
    <row r="281" spans="1:17">
      <c r="A281" s="135"/>
      <c r="H281" s="26">
        <v>13</v>
      </c>
      <c r="I281" t="s">
        <v>442</v>
      </c>
      <c r="J281" t="s">
        <v>221</v>
      </c>
      <c r="K281" s="37" t="s">
        <v>334</v>
      </c>
      <c r="L281" s="37" t="s">
        <v>1005</v>
      </c>
      <c r="N281" s="53">
        <v>480</v>
      </c>
      <c r="O281" s="15" t="s">
        <v>403</v>
      </c>
      <c r="P281" t="s">
        <v>443</v>
      </c>
      <c r="Q281" s="53"/>
    </row>
    <row r="282" spans="1:17">
      <c r="A282" s="135"/>
      <c r="H282" s="26">
        <v>14</v>
      </c>
      <c r="I282" t="s">
        <v>442</v>
      </c>
      <c r="J282" t="s">
        <v>222</v>
      </c>
      <c r="K282" s="37" t="s">
        <v>334</v>
      </c>
      <c r="L282" s="37" t="s">
        <v>1005</v>
      </c>
      <c r="N282" s="53">
        <v>560</v>
      </c>
      <c r="O282" s="15" t="s">
        <v>403</v>
      </c>
      <c r="P282" t="s">
        <v>443</v>
      </c>
      <c r="Q282" s="53"/>
    </row>
    <row r="283" spans="1:17">
      <c r="A283" s="135"/>
      <c r="H283" s="26">
        <v>15</v>
      </c>
      <c r="I283" t="s">
        <v>442</v>
      </c>
      <c r="J283" t="s">
        <v>223</v>
      </c>
      <c r="K283" s="37" t="s">
        <v>334</v>
      </c>
      <c r="L283" s="37" t="s">
        <v>1005</v>
      </c>
      <c r="N283" s="53">
        <v>650</v>
      </c>
      <c r="O283" s="15" t="s">
        <v>403</v>
      </c>
      <c r="P283" t="s">
        <v>443</v>
      </c>
      <c r="Q283" s="53"/>
    </row>
    <row r="284" spans="1:17">
      <c r="A284" s="135"/>
      <c r="H284" s="26">
        <v>16</v>
      </c>
      <c r="I284" t="s">
        <v>442</v>
      </c>
      <c r="J284" t="s">
        <v>224</v>
      </c>
      <c r="K284" s="37" t="s">
        <v>334</v>
      </c>
      <c r="L284" s="37" t="s">
        <v>1005</v>
      </c>
      <c r="N284" s="53">
        <v>750</v>
      </c>
      <c r="O284" s="15" t="s">
        <v>403</v>
      </c>
      <c r="P284" t="s">
        <v>443</v>
      </c>
      <c r="Q284" s="53"/>
    </row>
    <row r="285" spans="1:17">
      <c r="A285" s="135"/>
      <c r="H285" s="26">
        <v>17</v>
      </c>
      <c r="I285" t="s">
        <v>442</v>
      </c>
      <c r="J285" t="s">
        <v>225</v>
      </c>
      <c r="K285" s="37" t="s">
        <v>334</v>
      </c>
      <c r="L285" s="37" t="s">
        <v>1005</v>
      </c>
      <c r="N285" s="53">
        <v>850</v>
      </c>
      <c r="O285" s="15" t="s">
        <v>406</v>
      </c>
      <c r="P285" t="s">
        <v>443</v>
      </c>
      <c r="Q285" s="53"/>
    </row>
    <row r="286" spans="1:17">
      <c r="A286" s="135"/>
      <c r="H286" s="26">
        <v>18</v>
      </c>
      <c r="I286" t="s">
        <v>442</v>
      </c>
      <c r="J286" t="s">
        <v>226</v>
      </c>
      <c r="K286" s="37" t="s">
        <v>334</v>
      </c>
      <c r="L286" s="37" t="s">
        <v>1005</v>
      </c>
      <c r="N286" s="53">
        <v>960</v>
      </c>
      <c r="O286" s="15" t="s">
        <v>406</v>
      </c>
      <c r="P286" t="s">
        <v>443</v>
      </c>
      <c r="Q286" s="53"/>
    </row>
    <row r="287" spans="1:17">
      <c r="A287" s="135"/>
      <c r="H287" s="26">
        <v>19</v>
      </c>
      <c r="I287" t="s">
        <v>442</v>
      </c>
      <c r="J287" t="s">
        <v>227</v>
      </c>
      <c r="K287" s="37" t="s">
        <v>334</v>
      </c>
      <c r="L287" s="37" t="s">
        <v>1005</v>
      </c>
      <c r="N287" s="53">
        <v>1000</v>
      </c>
      <c r="O287" s="15" t="s">
        <v>406</v>
      </c>
      <c r="P287" t="s">
        <v>443</v>
      </c>
      <c r="Q287" s="53"/>
    </row>
    <row r="288" spans="1:17">
      <c r="A288" s="135"/>
      <c r="H288" s="26">
        <v>20</v>
      </c>
      <c r="I288" t="s">
        <v>442</v>
      </c>
      <c r="J288" t="s">
        <v>228</v>
      </c>
      <c r="K288" s="37" t="s">
        <v>334</v>
      </c>
      <c r="L288" s="37" t="s">
        <v>1005</v>
      </c>
      <c r="N288" s="53">
        <v>1200</v>
      </c>
      <c r="O288" s="15" t="s">
        <v>406</v>
      </c>
      <c r="P288" t="s">
        <v>443</v>
      </c>
      <c r="Q288" s="53"/>
    </row>
    <row r="289" spans="1:17" ht="15.75" customHeight="1">
      <c r="A289" s="269"/>
      <c r="B289" s="42"/>
      <c r="C289" s="42"/>
      <c r="D289" s="41"/>
      <c r="E289" s="41"/>
      <c r="F289" s="42"/>
      <c r="G289" s="42"/>
      <c r="H289" s="54"/>
      <c r="I289" s="42"/>
      <c r="J289" s="42"/>
      <c r="K289" s="55"/>
      <c r="L289" s="56"/>
      <c r="M289" s="42"/>
      <c r="N289" s="57"/>
      <c r="O289" s="58"/>
      <c r="P289" s="42"/>
    </row>
    <row r="290" spans="1:17">
      <c r="A290" s="270" t="s">
        <v>1544</v>
      </c>
      <c r="B290" s="151"/>
      <c r="C290" s="152">
        <v>2200000000004</v>
      </c>
      <c r="D290" s="153" t="s">
        <v>791</v>
      </c>
      <c r="E290" s="153" t="b">
        <v>0</v>
      </c>
      <c r="F290" s="151"/>
      <c r="G290" s="151"/>
      <c r="H290" s="151"/>
      <c r="I290" s="151"/>
      <c r="J290" s="151"/>
      <c r="K290" s="151"/>
      <c r="L290" s="151"/>
      <c r="M290" s="151"/>
      <c r="N290" s="151"/>
      <c r="O290" s="151"/>
      <c r="P290" s="151"/>
    </row>
    <row r="291" spans="1:17">
      <c r="A291" s="135"/>
      <c r="H291" s="26">
        <v>1</v>
      </c>
      <c r="I291" t="s">
        <v>444</v>
      </c>
      <c r="J291" t="s">
        <v>229</v>
      </c>
      <c r="K291" s="37" t="s">
        <v>334</v>
      </c>
      <c r="L291" s="13" t="s">
        <v>377</v>
      </c>
      <c r="M291" s="13"/>
      <c r="N291" s="53">
        <v>1</v>
      </c>
      <c r="O291" s="15" t="s">
        <v>400</v>
      </c>
      <c r="P291" t="s">
        <v>1190</v>
      </c>
      <c r="Q291" s="53"/>
    </row>
    <row r="292" spans="1:17">
      <c r="A292" s="135"/>
      <c r="H292" s="26">
        <v>2</v>
      </c>
      <c r="I292" t="s">
        <v>444</v>
      </c>
      <c r="J292" t="s">
        <v>230</v>
      </c>
      <c r="K292" s="37" t="s">
        <v>334</v>
      </c>
      <c r="L292" s="13" t="s">
        <v>377</v>
      </c>
      <c r="N292" s="53">
        <v>3</v>
      </c>
      <c r="O292" s="15" t="s">
        <v>400</v>
      </c>
      <c r="P292" t="s">
        <v>1190</v>
      </c>
      <c r="Q292" s="53"/>
    </row>
    <row r="293" spans="1:17">
      <c r="A293" s="135"/>
      <c r="H293" s="26">
        <v>3</v>
      </c>
      <c r="I293" t="s">
        <v>444</v>
      </c>
      <c r="J293" t="s">
        <v>231</v>
      </c>
      <c r="K293" s="37" t="s">
        <v>334</v>
      </c>
      <c r="L293" s="13" t="s">
        <v>377</v>
      </c>
      <c r="N293" s="53">
        <v>6</v>
      </c>
      <c r="O293" s="15" t="s">
        <v>400</v>
      </c>
      <c r="P293" t="s">
        <v>1190</v>
      </c>
      <c r="Q293" s="53"/>
    </row>
    <row r="294" spans="1:17">
      <c r="A294" s="135"/>
      <c r="H294" s="26">
        <v>4</v>
      </c>
      <c r="I294" t="s">
        <v>444</v>
      </c>
      <c r="J294" t="s">
        <v>232</v>
      </c>
      <c r="K294" s="37" t="s">
        <v>334</v>
      </c>
      <c r="L294" s="13" t="s">
        <v>377</v>
      </c>
      <c r="N294" s="53">
        <v>10</v>
      </c>
      <c r="O294" s="15" t="s">
        <v>400</v>
      </c>
      <c r="P294" t="s">
        <v>1190</v>
      </c>
      <c r="Q294" s="53"/>
    </row>
    <row r="295" spans="1:17">
      <c r="A295" s="135"/>
      <c r="H295" s="26">
        <v>5</v>
      </c>
      <c r="I295" t="s">
        <v>444</v>
      </c>
      <c r="J295" t="s">
        <v>233</v>
      </c>
      <c r="K295" s="37" t="s">
        <v>334</v>
      </c>
      <c r="L295" s="13" t="s">
        <v>377</v>
      </c>
      <c r="N295" s="53">
        <v>18</v>
      </c>
      <c r="O295" s="15" t="s">
        <v>403</v>
      </c>
      <c r="P295" t="s">
        <v>1190</v>
      </c>
      <c r="Q295" s="53"/>
    </row>
    <row r="296" spans="1:17">
      <c r="A296" s="135"/>
      <c r="H296" s="26">
        <v>6</v>
      </c>
      <c r="I296" t="s">
        <v>444</v>
      </c>
      <c r="J296" t="s">
        <v>234</v>
      </c>
      <c r="K296" s="37" t="s">
        <v>334</v>
      </c>
      <c r="L296" s="13" t="s">
        <v>377</v>
      </c>
      <c r="N296" s="53">
        <v>28</v>
      </c>
      <c r="O296" s="15" t="s">
        <v>403</v>
      </c>
      <c r="P296" t="s">
        <v>1190</v>
      </c>
      <c r="Q296" s="53"/>
    </row>
    <row r="297" spans="1:17">
      <c r="A297" s="135"/>
      <c r="H297" s="26">
        <v>7</v>
      </c>
      <c r="I297" t="s">
        <v>444</v>
      </c>
      <c r="J297" t="s">
        <v>235</v>
      </c>
      <c r="K297" s="37" t="s">
        <v>334</v>
      </c>
      <c r="L297" s="13" t="s">
        <v>377</v>
      </c>
      <c r="N297" s="53">
        <v>40</v>
      </c>
      <c r="O297" s="15" t="s">
        <v>403</v>
      </c>
      <c r="P297" t="s">
        <v>1190</v>
      </c>
      <c r="Q297" s="53"/>
    </row>
    <row r="298" spans="1:17">
      <c r="A298" s="135"/>
      <c r="H298" s="26">
        <v>8</v>
      </c>
      <c r="I298" t="s">
        <v>444</v>
      </c>
      <c r="J298" t="s">
        <v>236</v>
      </c>
      <c r="K298" s="37" t="s">
        <v>334</v>
      </c>
      <c r="L298" s="13" t="s">
        <v>377</v>
      </c>
      <c r="N298" s="53">
        <v>56</v>
      </c>
      <c r="O298" s="15" t="s">
        <v>403</v>
      </c>
      <c r="P298" t="s">
        <v>1190</v>
      </c>
      <c r="Q298" s="53"/>
    </row>
    <row r="299" spans="1:17">
      <c r="A299" s="135"/>
      <c r="H299" s="26">
        <v>9</v>
      </c>
      <c r="I299" t="s">
        <v>444</v>
      </c>
      <c r="J299" t="s">
        <v>237</v>
      </c>
      <c r="K299" s="37" t="s">
        <v>334</v>
      </c>
      <c r="L299" s="13" t="s">
        <v>377</v>
      </c>
      <c r="N299" s="53">
        <v>72</v>
      </c>
      <c r="O299" s="15" t="s">
        <v>403</v>
      </c>
      <c r="P299" t="s">
        <v>1190</v>
      </c>
      <c r="Q299" s="53"/>
    </row>
    <row r="300" spans="1:17">
      <c r="A300" s="135"/>
      <c r="H300" s="26">
        <v>10</v>
      </c>
      <c r="I300" t="s">
        <v>444</v>
      </c>
      <c r="J300" t="s">
        <v>238</v>
      </c>
      <c r="K300" s="37" t="s">
        <v>334</v>
      </c>
      <c r="L300" s="13" t="s">
        <v>377</v>
      </c>
      <c r="N300" s="53">
        <v>90</v>
      </c>
      <c r="O300" s="15" t="s">
        <v>403</v>
      </c>
      <c r="P300" t="s">
        <v>1190</v>
      </c>
      <c r="Q300" s="53"/>
    </row>
    <row r="301" spans="1:17">
      <c r="A301" s="135"/>
      <c r="H301" s="26">
        <v>11</v>
      </c>
      <c r="I301" t="s">
        <v>444</v>
      </c>
      <c r="J301" t="s">
        <v>239</v>
      </c>
      <c r="K301" s="37" t="s">
        <v>334</v>
      </c>
      <c r="L301" s="13" t="s">
        <v>377</v>
      </c>
      <c r="N301" s="53">
        <v>110</v>
      </c>
      <c r="O301" s="15" t="s">
        <v>403</v>
      </c>
      <c r="P301" t="s">
        <v>1190</v>
      </c>
      <c r="Q301" s="53"/>
    </row>
    <row r="302" spans="1:17">
      <c r="A302" s="135"/>
      <c r="H302" s="26">
        <v>12</v>
      </c>
      <c r="I302" t="s">
        <v>444</v>
      </c>
      <c r="J302" t="s">
        <v>240</v>
      </c>
      <c r="K302" s="37" t="s">
        <v>334</v>
      </c>
      <c r="L302" s="13" t="s">
        <v>377</v>
      </c>
      <c r="N302" s="53">
        <v>130</v>
      </c>
      <c r="O302" s="15" t="s">
        <v>403</v>
      </c>
      <c r="P302" t="s">
        <v>1190</v>
      </c>
      <c r="Q302" s="53"/>
    </row>
    <row r="303" spans="1:17">
      <c r="A303" s="135"/>
      <c r="H303" s="26">
        <v>13</v>
      </c>
      <c r="I303" t="s">
        <v>444</v>
      </c>
      <c r="J303" t="s">
        <v>241</v>
      </c>
      <c r="K303" s="37" t="s">
        <v>334</v>
      </c>
      <c r="L303" s="13" t="s">
        <v>377</v>
      </c>
      <c r="N303" s="53">
        <v>160</v>
      </c>
      <c r="O303" s="15" t="s">
        <v>403</v>
      </c>
      <c r="P303" t="s">
        <v>1190</v>
      </c>
      <c r="Q303" s="53"/>
    </row>
    <row r="304" spans="1:17">
      <c r="A304" s="135"/>
      <c r="H304" s="26">
        <v>14</v>
      </c>
      <c r="I304" t="s">
        <v>444</v>
      </c>
      <c r="J304" t="s">
        <v>242</v>
      </c>
      <c r="K304" s="37" t="s">
        <v>334</v>
      </c>
      <c r="L304" s="13" t="s">
        <v>377</v>
      </c>
      <c r="N304" s="53">
        <v>180</v>
      </c>
      <c r="O304" s="15" t="s">
        <v>403</v>
      </c>
      <c r="P304" t="s">
        <v>1190</v>
      </c>
      <c r="Q304" s="53"/>
    </row>
    <row r="305" spans="1:17">
      <c r="A305" s="135"/>
      <c r="H305" s="26">
        <v>15</v>
      </c>
      <c r="I305" t="s">
        <v>444</v>
      </c>
      <c r="J305" t="s">
        <v>243</v>
      </c>
      <c r="K305" s="37" t="s">
        <v>334</v>
      </c>
      <c r="L305" s="13" t="s">
        <v>377</v>
      </c>
      <c r="N305" s="53">
        <v>210</v>
      </c>
      <c r="O305" s="15" t="s">
        <v>403</v>
      </c>
      <c r="P305" t="s">
        <v>1190</v>
      </c>
      <c r="Q305" s="53"/>
    </row>
    <row r="306" spans="1:17">
      <c r="A306" s="135"/>
      <c r="H306" s="26">
        <v>16</v>
      </c>
      <c r="I306" t="s">
        <v>444</v>
      </c>
      <c r="J306" t="s">
        <v>244</v>
      </c>
      <c r="K306" s="37" t="s">
        <v>334</v>
      </c>
      <c r="L306" s="13" t="s">
        <v>377</v>
      </c>
      <c r="N306" s="53">
        <v>250</v>
      </c>
      <c r="O306" s="15" t="s">
        <v>403</v>
      </c>
      <c r="P306" t="s">
        <v>1190</v>
      </c>
      <c r="Q306" s="53"/>
    </row>
    <row r="307" spans="1:17">
      <c r="A307" s="135"/>
      <c r="H307" s="26">
        <v>17</v>
      </c>
      <c r="I307" t="s">
        <v>444</v>
      </c>
      <c r="J307" t="s">
        <v>245</v>
      </c>
      <c r="K307" s="37" t="s">
        <v>334</v>
      </c>
      <c r="L307" s="13" t="s">
        <v>377</v>
      </c>
      <c r="N307" s="53">
        <v>280</v>
      </c>
      <c r="O307" s="15" t="s">
        <v>406</v>
      </c>
      <c r="P307" t="s">
        <v>1190</v>
      </c>
      <c r="Q307" s="53"/>
    </row>
    <row r="308" spans="1:17">
      <c r="A308" s="135"/>
      <c r="H308" s="26">
        <v>18</v>
      </c>
      <c r="I308" t="s">
        <v>444</v>
      </c>
      <c r="J308" t="s">
        <v>246</v>
      </c>
      <c r="K308" s="37" t="s">
        <v>334</v>
      </c>
      <c r="L308" s="13" t="s">
        <v>377</v>
      </c>
      <c r="N308" s="53">
        <v>320</v>
      </c>
      <c r="O308" s="15" t="s">
        <v>406</v>
      </c>
      <c r="P308" t="s">
        <v>1190</v>
      </c>
      <c r="Q308" s="53"/>
    </row>
    <row r="309" spans="1:17">
      <c r="A309" s="135"/>
      <c r="H309" s="26">
        <v>19</v>
      </c>
      <c r="I309" t="s">
        <v>444</v>
      </c>
      <c r="J309" t="s">
        <v>247</v>
      </c>
      <c r="K309" s="37" t="s">
        <v>334</v>
      </c>
      <c r="L309" s="13" t="s">
        <v>377</v>
      </c>
      <c r="N309" s="53">
        <v>360</v>
      </c>
      <c r="O309" s="15" t="s">
        <v>406</v>
      </c>
      <c r="P309" t="s">
        <v>1190</v>
      </c>
      <c r="Q309" s="53"/>
    </row>
    <row r="310" spans="1:17">
      <c r="A310" s="135"/>
      <c r="H310" s="26">
        <v>20</v>
      </c>
      <c r="I310" t="s">
        <v>444</v>
      </c>
      <c r="J310" t="s">
        <v>248</v>
      </c>
      <c r="K310" s="37" t="s">
        <v>334</v>
      </c>
      <c r="L310" s="13" t="s">
        <v>377</v>
      </c>
      <c r="N310" s="53">
        <v>400</v>
      </c>
      <c r="O310" s="15" t="s">
        <v>406</v>
      </c>
      <c r="P310" t="s">
        <v>1190</v>
      </c>
      <c r="Q310" s="53"/>
    </row>
    <row r="311" spans="1:17" ht="15.75" customHeight="1">
      <c r="A311" s="269"/>
      <c r="B311" s="42"/>
      <c r="C311" s="42"/>
      <c r="D311" s="41"/>
      <c r="E311" s="41"/>
      <c r="F311" s="42"/>
      <c r="G311" s="42"/>
      <c r="H311" s="54"/>
      <c r="I311" s="42"/>
      <c r="J311" s="42"/>
      <c r="K311" s="55"/>
      <c r="L311" s="56"/>
      <c r="M311" s="42"/>
      <c r="N311" s="57"/>
      <c r="O311" s="58"/>
      <c r="P311" s="42"/>
    </row>
    <row r="312" spans="1:17">
      <c r="A312" s="135" t="s">
        <v>1543</v>
      </c>
      <c r="C312" s="136">
        <v>2200000000005</v>
      </c>
      <c r="D312" s="26" t="s">
        <v>429</v>
      </c>
      <c r="E312" s="26" t="b">
        <v>1</v>
      </c>
    </row>
    <row r="313" spans="1:17">
      <c r="A313" s="135"/>
      <c r="H313" s="26">
        <v>1</v>
      </c>
      <c r="I313" t="s">
        <v>445</v>
      </c>
      <c r="J313" t="s">
        <v>249</v>
      </c>
      <c r="K313" s="2" t="s">
        <v>334</v>
      </c>
      <c r="L313" s="2" t="s">
        <v>394</v>
      </c>
      <c r="M313" s="2"/>
      <c r="N313" s="53">
        <v>3</v>
      </c>
      <c r="O313" s="15" t="s">
        <v>1924</v>
      </c>
      <c r="Q313" s="53"/>
    </row>
    <row r="314" spans="1:17">
      <c r="A314" s="135"/>
      <c r="H314" s="26">
        <v>2</v>
      </c>
      <c r="I314" t="s">
        <v>445</v>
      </c>
      <c r="J314" t="s">
        <v>250</v>
      </c>
      <c r="K314" s="2" t="s">
        <v>334</v>
      </c>
      <c r="L314" s="2" t="s">
        <v>394</v>
      </c>
      <c r="N314" s="53">
        <v>7</v>
      </c>
      <c r="O314" s="15" t="s">
        <v>400</v>
      </c>
      <c r="Q314" s="53"/>
    </row>
    <row r="315" spans="1:17">
      <c r="A315" s="135"/>
      <c r="H315" s="26">
        <v>3</v>
      </c>
      <c r="I315" t="s">
        <v>445</v>
      </c>
      <c r="J315" t="s">
        <v>251</v>
      </c>
      <c r="K315" s="2" t="s">
        <v>334</v>
      </c>
      <c r="L315" s="2" t="s">
        <v>394</v>
      </c>
      <c r="N315" s="53">
        <v>16</v>
      </c>
      <c r="O315" s="15" t="s">
        <v>400</v>
      </c>
      <c r="Q315" s="53"/>
    </row>
    <row r="316" spans="1:17">
      <c r="A316" s="135"/>
      <c r="H316" s="26">
        <v>4</v>
      </c>
      <c r="I316" t="s">
        <v>445</v>
      </c>
      <c r="J316" t="s">
        <v>252</v>
      </c>
      <c r="K316" s="2" t="s">
        <v>334</v>
      </c>
      <c r="L316" s="2" t="s">
        <v>394</v>
      </c>
      <c r="N316" s="53">
        <v>32</v>
      </c>
      <c r="O316" s="15" t="s">
        <v>400</v>
      </c>
      <c r="Q316" s="53"/>
    </row>
    <row r="317" spans="1:17">
      <c r="A317" s="135"/>
      <c r="H317" s="26">
        <v>5</v>
      </c>
      <c r="I317" t="s">
        <v>445</v>
      </c>
      <c r="J317" t="s">
        <v>253</v>
      </c>
      <c r="K317" s="2" t="s">
        <v>334</v>
      </c>
      <c r="L317" s="2" t="s">
        <v>394</v>
      </c>
      <c r="N317" s="53">
        <v>56</v>
      </c>
      <c r="O317" s="15" t="s">
        <v>403</v>
      </c>
      <c r="Q317" s="53"/>
    </row>
    <row r="318" spans="1:17">
      <c r="A318" s="135"/>
      <c r="H318" s="26">
        <v>6</v>
      </c>
      <c r="I318" t="s">
        <v>445</v>
      </c>
      <c r="J318" t="s">
        <v>254</v>
      </c>
      <c r="K318" s="2" t="s">
        <v>334</v>
      </c>
      <c r="L318" s="2" t="s">
        <v>394</v>
      </c>
      <c r="N318" s="53">
        <v>86</v>
      </c>
      <c r="O318" s="15" t="s">
        <v>403</v>
      </c>
      <c r="Q318" s="53"/>
    </row>
    <row r="319" spans="1:17">
      <c r="A319" s="135"/>
      <c r="H319" s="26">
        <v>7</v>
      </c>
      <c r="I319" t="s">
        <v>445</v>
      </c>
      <c r="J319" t="s">
        <v>255</v>
      </c>
      <c r="K319" s="2" t="s">
        <v>334</v>
      </c>
      <c r="L319" s="2" t="s">
        <v>394</v>
      </c>
      <c r="N319" s="53">
        <v>120</v>
      </c>
      <c r="O319" s="15" t="s">
        <v>403</v>
      </c>
      <c r="Q319" s="53"/>
    </row>
    <row r="320" spans="1:17">
      <c r="A320" s="135"/>
      <c r="H320" s="26">
        <v>8</v>
      </c>
      <c r="I320" t="s">
        <v>445</v>
      </c>
      <c r="J320" t="s">
        <v>256</v>
      </c>
      <c r="K320" s="2" t="s">
        <v>334</v>
      </c>
      <c r="L320" s="2" t="s">
        <v>394</v>
      </c>
      <c r="N320" s="53">
        <v>160</v>
      </c>
      <c r="O320" s="15" t="s">
        <v>403</v>
      </c>
      <c r="Q320" s="53"/>
    </row>
    <row r="321" spans="1:17">
      <c r="A321" s="135"/>
      <c r="H321" s="26">
        <v>9</v>
      </c>
      <c r="I321" t="s">
        <v>445</v>
      </c>
      <c r="J321" t="s">
        <v>257</v>
      </c>
      <c r="K321" s="2" t="s">
        <v>334</v>
      </c>
      <c r="L321" s="2" t="s">
        <v>394</v>
      </c>
      <c r="N321" s="53">
        <v>210</v>
      </c>
      <c r="O321" s="15" t="s">
        <v>403</v>
      </c>
      <c r="Q321" s="53"/>
    </row>
    <row r="322" spans="1:17">
      <c r="A322" s="135"/>
      <c r="H322" s="26">
        <v>10</v>
      </c>
      <c r="I322" t="s">
        <v>445</v>
      </c>
      <c r="J322" t="s">
        <v>258</v>
      </c>
      <c r="K322" s="2" t="s">
        <v>334</v>
      </c>
      <c r="L322" s="2" t="s">
        <v>394</v>
      </c>
      <c r="N322" s="53">
        <v>270</v>
      </c>
      <c r="O322" s="15" t="s">
        <v>403</v>
      </c>
      <c r="Q322" s="53"/>
    </row>
    <row r="323" spans="1:17">
      <c r="A323" s="135"/>
      <c r="H323" s="26">
        <v>11</v>
      </c>
      <c r="I323" t="s">
        <v>445</v>
      </c>
      <c r="J323" t="s">
        <v>259</v>
      </c>
      <c r="K323" s="2" t="s">
        <v>334</v>
      </c>
      <c r="L323" s="2" t="s">
        <v>394</v>
      </c>
      <c r="N323" s="53">
        <v>330</v>
      </c>
      <c r="O323" s="15" t="s">
        <v>403</v>
      </c>
      <c r="Q323" s="53"/>
    </row>
    <row r="324" spans="1:17">
      <c r="A324" s="135"/>
      <c r="H324" s="26">
        <v>12</v>
      </c>
      <c r="I324" t="s">
        <v>445</v>
      </c>
      <c r="J324" t="s">
        <v>260</v>
      </c>
      <c r="K324" s="2" t="s">
        <v>334</v>
      </c>
      <c r="L324" s="2" t="s">
        <v>394</v>
      </c>
      <c r="N324" s="53">
        <v>400</v>
      </c>
      <c r="O324" s="15" t="s">
        <v>403</v>
      </c>
      <c r="Q324" s="53"/>
    </row>
    <row r="325" spans="1:17">
      <c r="A325" s="135"/>
      <c r="H325" s="26">
        <v>13</v>
      </c>
      <c r="I325" t="s">
        <v>445</v>
      </c>
      <c r="J325" t="s">
        <v>261</v>
      </c>
      <c r="K325" s="2" t="s">
        <v>334</v>
      </c>
      <c r="L325" s="2" t="s">
        <v>394</v>
      </c>
      <c r="N325" s="53">
        <v>480</v>
      </c>
      <c r="O325" s="15" t="s">
        <v>403</v>
      </c>
      <c r="Q325" s="53"/>
    </row>
    <row r="326" spans="1:17">
      <c r="A326" s="135"/>
      <c r="H326" s="26">
        <v>14</v>
      </c>
      <c r="I326" t="s">
        <v>445</v>
      </c>
      <c r="J326" t="s">
        <v>262</v>
      </c>
      <c r="K326" s="2" t="s">
        <v>334</v>
      </c>
      <c r="L326" s="2" t="s">
        <v>394</v>
      </c>
      <c r="N326" s="53">
        <v>560</v>
      </c>
      <c r="O326" s="15" t="s">
        <v>403</v>
      </c>
      <c r="Q326" s="53"/>
    </row>
    <row r="327" spans="1:17">
      <c r="A327" s="135"/>
      <c r="H327" s="26">
        <v>15</v>
      </c>
      <c r="I327" t="s">
        <v>445</v>
      </c>
      <c r="J327" t="s">
        <v>263</v>
      </c>
      <c r="K327" s="2" t="s">
        <v>334</v>
      </c>
      <c r="L327" s="2" t="s">
        <v>394</v>
      </c>
      <c r="N327" s="53">
        <v>650</v>
      </c>
      <c r="O327" s="15" t="s">
        <v>403</v>
      </c>
      <c r="Q327" s="53"/>
    </row>
    <row r="328" spans="1:17">
      <c r="A328" s="135"/>
      <c r="H328" s="26">
        <v>16</v>
      </c>
      <c r="I328" t="s">
        <v>445</v>
      </c>
      <c r="J328" t="s">
        <v>264</v>
      </c>
      <c r="K328" s="2" t="s">
        <v>334</v>
      </c>
      <c r="L328" s="2" t="s">
        <v>394</v>
      </c>
      <c r="N328" s="53">
        <v>750</v>
      </c>
      <c r="O328" s="15" t="s">
        <v>403</v>
      </c>
      <c r="Q328" s="53"/>
    </row>
    <row r="329" spans="1:17">
      <c r="A329" s="135"/>
      <c r="H329" s="26">
        <v>17</v>
      </c>
      <c r="I329" t="s">
        <v>445</v>
      </c>
      <c r="J329" t="s">
        <v>265</v>
      </c>
      <c r="K329" s="2" t="s">
        <v>334</v>
      </c>
      <c r="L329" s="2" t="s">
        <v>394</v>
      </c>
      <c r="N329" s="53">
        <v>850</v>
      </c>
      <c r="O329" s="15" t="s">
        <v>406</v>
      </c>
      <c r="Q329" s="53"/>
    </row>
    <row r="330" spans="1:17">
      <c r="A330" s="135"/>
      <c r="H330" s="26">
        <v>18</v>
      </c>
      <c r="I330" t="s">
        <v>445</v>
      </c>
      <c r="J330" t="s">
        <v>266</v>
      </c>
      <c r="K330" s="2" t="s">
        <v>334</v>
      </c>
      <c r="L330" s="2" t="s">
        <v>394</v>
      </c>
      <c r="N330" s="53">
        <v>960</v>
      </c>
      <c r="O330" s="15" t="s">
        <v>406</v>
      </c>
      <c r="Q330" s="53"/>
    </row>
    <row r="331" spans="1:17">
      <c r="A331" s="135"/>
      <c r="H331" s="26">
        <v>19</v>
      </c>
      <c r="I331" t="s">
        <v>445</v>
      </c>
      <c r="J331" t="s">
        <v>267</v>
      </c>
      <c r="K331" s="2" t="s">
        <v>334</v>
      </c>
      <c r="L331" s="2" t="s">
        <v>394</v>
      </c>
      <c r="N331" s="53">
        <v>1000</v>
      </c>
      <c r="O331" s="15" t="s">
        <v>406</v>
      </c>
      <c r="Q331" s="53"/>
    </row>
    <row r="332" spans="1:17">
      <c r="A332" s="135"/>
      <c r="H332" s="26">
        <v>20</v>
      </c>
      <c r="I332" t="s">
        <v>445</v>
      </c>
      <c r="J332" t="s">
        <v>268</v>
      </c>
      <c r="K332" s="2" t="s">
        <v>334</v>
      </c>
      <c r="L332" s="2" t="s">
        <v>394</v>
      </c>
      <c r="N332" s="53">
        <v>1200</v>
      </c>
      <c r="O332" s="15" t="s">
        <v>406</v>
      </c>
      <c r="Q332" s="53"/>
    </row>
    <row r="333" spans="1:17" s="141" customFormat="1">
      <c r="A333" s="271"/>
      <c r="D333" s="140"/>
      <c r="E333" s="140"/>
    </row>
    <row r="334" spans="1:17">
      <c r="A334" s="134" t="s">
        <v>1542</v>
      </c>
      <c r="B334" t="s">
        <v>789</v>
      </c>
      <c r="C334" s="136">
        <v>2200000000005</v>
      </c>
      <c r="D334" s="81" t="s">
        <v>331</v>
      </c>
      <c r="E334" s="115" t="b">
        <v>1</v>
      </c>
      <c r="H334" s="87"/>
      <c r="I334" s="87"/>
      <c r="J334" s="87"/>
      <c r="K334" s="87"/>
      <c r="L334" s="87"/>
      <c r="M334" s="87"/>
      <c r="N334" s="87"/>
      <c r="O334" s="87"/>
      <c r="P334" s="81"/>
    </row>
    <row r="335" spans="1:17">
      <c r="A335" s="135"/>
      <c r="D335"/>
      <c r="E335"/>
      <c r="H335" s="82" t="s">
        <v>332</v>
      </c>
      <c r="I335" s="83" t="s">
        <v>788</v>
      </c>
      <c r="J335" s="83" t="s">
        <v>3043</v>
      </c>
      <c r="K335" s="83" t="s">
        <v>334</v>
      </c>
      <c r="L335" s="83" t="s">
        <v>785</v>
      </c>
      <c r="M335" s="83"/>
      <c r="N335" s="53">
        <v>1</v>
      </c>
      <c r="O335" s="84" t="s">
        <v>400</v>
      </c>
      <c r="P335" s="81" t="s">
        <v>790</v>
      </c>
    </row>
    <row r="336" spans="1:17">
      <c r="A336" s="135"/>
      <c r="H336" s="82" t="s">
        <v>401</v>
      </c>
      <c r="I336" s="83" t="s">
        <v>788</v>
      </c>
      <c r="J336" s="83" t="s">
        <v>3044</v>
      </c>
      <c r="K336" s="83" t="s">
        <v>334</v>
      </c>
      <c r="L336" s="83" t="s">
        <v>785</v>
      </c>
      <c r="N336" s="53">
        <v>3</v>
      </c>
      <c r="O336" t="s">
        <v>400</v>
      </c>
      <c r="P336" s="81" t="s">
        <v>790</v>
      </c>
    </row>
    <row r="337" spans="1:16">
      <c r="A337" s="135"/>
      <c r="H337" s="82" t="s">
        <v>402</v>
      </c>
      <c r="I337" s="83" t="s">
        <v>788</v>
      </c>
      <c r="J337" s="83" t="s">
        <v>3045</v>
      </c>
      <c r="K337" s="83" t="s">
        <v>334</v>
      </c>
      <c r="L337" s="83" t="s">
        <v>785</v>
      </c>
      <c r="N337" s="53">
        <v>6</v>
      </c>
      <c r="O337" t="s">
        <v>400</v>
      </c>
      <c r="P337" s="81" t="s">
        <v>790</v>
      </c>
    </row>
    <row r="338" spans="1:16">
      <c r="A338" s="135"/>
      <c r="H338" s="82" t="s">
        <v>404</v>
      </c>
      <c r="I338" s="83" t="s">
        <v>788</v>
      </c>
      <c r="J338" s="83" t="s">
        <v>3046</v>
      </c>
      <c r="K338" s="83" t="s">
        <v>334</v>
      </c>
      <c r="L338" s="83" t="s">
        <v>785</v>
      </c>
      <c r="N338" s="53">
        <v>10</v>
      </c>
      <c r="O338" t="s">
        <v>400</v>
      </c>
      <c r="P338" s="81" t="s">
        <v>790</v>
      </c>
    </row>
    <row r="339" spans="1:16">
      <c r="A339" s="135"/>
      <c r="H339" s="82" t="s">
        <v>405</v>
      </c>
      <c r="I339" s="83" t="s">
        <v>788</v>
      </c>
      <c r="J339" s="83" t="s">
        <v>3047</v>
      </c>
      <c r="K339" s="83" t="s">
        <v>334</v>
      </c>
      <c r="L339" s="83" t="s">
        <v>785</v>
      </c>
      <c r="N339" s="53">
        <v>18</v>
      </c>
      <c r="O339" t="s">
        <v>403</v>
      </c>
      <c r="P339" s="81" t="s">
        <v>790</v>
      </c>
    </row>
    <row r="340" spans="1:16">
      <c r="A340" s="135"/>
      <c r="H340" s="82" t="s">
        <v>407</v>
      </c>
      <c r="I340" s="83" t="s">
        <v>788</v>
      </c>
      <c r="J340" s="83" t="s">
        <v>3048</v>
      </c>
      <c r="K340" s="83" t="s">
        <v>334</v>
      </c>
      <c r="L340" s="83" t="s">
        <v>785</v>
      </c>
      <c r="N340" s="53">
        <v>28</v>
      </c>
      <c r="O340" t="s">
        <v>403</v>
      </c>
      <c r="P340" s="81" t="s">
        <v>790</v>
      </c>
    </row>
    <row r="341" spans="1:16">
      <c r="A341" s="135"/>
      <c r="H341" s="82" t="s">
        <v>408</v>
      </c>
      <c r="I341" s="83" t="s">
        <v>788</v>
      </c>
      <c r="J341" s="83" t="s">
        <v>3049</v>
      </c>
      <c r="K341" s="83" t="s">
        <v>334</v>
      </c>
      <c r="L341" s="83" t="s">
        <v>785</v>
      </c>
      <c r="N341" s="53">
        <v>40</v>
      </c>
      <c r="O341" t="s">
        <v>403</v>
      </c>
      <c r="P341" s="81" t="s">
        <v>790</v>
      </c>
    </row>
    <row r="342" spans="1:16">
      <c r="A342" s="135"/>
      <c r="H342" s="82" t="s">
        <v>409</v>
      </c>
      <c r="I342" s="83" t="s">
        <v>788</v>
      </c>
      <c r="J342" s="83" t="s">
        <v>3050</v>
      </c>
      <c r="K342" s="83" t="s">
        <v>334</v>
      </c>
      <c r="L342" s="83" t="s">
        <v>785</v>
      </c>
      <c r="N342" s="53">
        <v>56</v>
      </c>
      <c r="O342" t="s">
        <v>403</v>
      </c>
      <c r="P342" s="81" t="s">
        <v>790</v>
      </c>
    </row>
    <row r="343" spans="1:16">
      <c r="A343" s="135"/>
      <c r="H343" s="82" t="s">
        <v>410</v>
      </c>
      <c r="I343" s="83" t="s">
        <v>788</v>
      </c>
      <c r="J343" s="83" t="s">
        <v>3051</v>
      </c>
      <c r="K343" s="83" t="s">
        <v>334</v>
      </c>
      <c r="L343" s="83" t="s">
        <v>785</v>
      </c>
      <c r="N343" s="53">
        <v>72</v>
      </c>
      <c r="O343" t="s">
        <v>403</v>
      </c>
      <c r="P343" s="81" t="s">
        <v>790</v>
      </c>
    </row>
    <row r="344" spans="1:16">
      <c r="A344" s="135"/>
      <c r="H344" s="82" t="s">
        <v>411</v>
      </c>
      <c r="I344" s="83" t="s">
        <v>788</v>
      </c>
      <c r="J344" s="83" t="s">
        <v>3052</v>
      </c>
      <c r="K344" s="83" t="s">
        <v>334</v>
      </c>
      <c r="L344" s="83" t="s">
        <v>785</v>
      </c>
      <c r="N344" s="53">
        <v>90</v>
      </c>
      <c r="O344" t="s">
        <v>403</v>
      </c>
      <c r="P344" s="81" t="s">
        <v>790</v>
      </c>
    </row>
    <row r="345" spans="1:16">
      <c r="A345" s="135"/>
      <c r="H345" s="82" t="s">
        <v>412</v>
      </c>
      <c r="I345" s="83" t="s">
        <v>788</v>
      </c>
      <c r="J345" s="83" t="s">
        <v>3053</v>
      </c>
      <c r="K345" s="83" t="s">
        <v>334</v>
      </c>
      <c r="L345" s="83" t="s">
        <v>785</v>
      </c>
      <c r="N345" s="53">
        <v>110</v>
      </c>
      <c r="O345" t="s">
        <v>403</v>
      </c>
      <c r="P345" s="81" t="s">
        <v>790</v>
      </c>
    </row>
    <row r="346" spans="1:16">
      <c r="A346" s="135"/>
      <c r="H346" s="82" t="s">
        <v>413</v>
      </c>
      <c r="I346" s="83" t="s">
        <v>788</v>
      </c>
      <c r="J346" s="83" t="s">
        <v>3054</v>
      </c>
      <c r="K346" s="83" t="s">
        <v>334</v>
      </c>
      <c r="L346" s="83" t="s">
        <v>785</v>
      </c>
      <c r="N346" s="53">
        <v>130</v>
      </c>
      <c r="O346" t="s">
        <v>403</v>
      </c>
      <c r="P346" s="81" t="s">
        <v>790</v>
      </c>
    </row>
    <row r="347" spans="1:16">
      <c r="A347" s="135"/>
      <c r="H347" s="82" t="s">
        <v>414</v>
      </c>
      <c r="I347" s="83" t="s">
        <v>788</v>
      </c>
      <c r="J347" s="83" t="s">
        <v>3055</v>
      </c>
      <c r="K347" s="83" t="s">
        <v>334</v>
      </c>
      <c r="L347" s="83" t="s">
        <v>785</v>
      </c>
      <c r="N347" s="53">
        <v>160</v>
      </c>
      <c r="O347" t="s">
        <v>403</v>
      </c>
      <c r="P347" s="81" t="s">
        <v>790</v>
      </c>
    </row>
    <row r="348" spans="1:16">
      <c r="A348" s="135"/>
      <c r="H348" s="82" t="s">
        <v>415</v>
      </c>
      <c r="I348" s="83" t="s">
        <v>788</v>
      </c>
      <c r="J348" s="83" t="s">
        <v>3056</v>
      </c>
      <c r="K348" s="83" t="s">
        <v>334</v>
      </c>
      <c r="L348" s="83" t="s">
        <v>785</v>
      </c>
      <c r="N348" s="53">
        <v>180</v>
      </c>
      <c r="O348" t="s">
        <v>403</v>
      </c>
      <c r="P348" s="81" t="s">
        <v>790</v>
      </c>
    </row>
    <row r="349" spans="1:16">
      <c r="A349" s="135"/>
      <c r="H349" s="82" t="s">
        <v>416</v>
      </c>
      <c r="I349" s="83" t="s">
        <v>788</v>
      </c>
      <c r="J349" s="83" t="s">
        <v>3057</v>
      </c>
      <c r="K349" s="83" t="s">
        <v>334</v>
      </c>
      <c r="L349" s="83" t="s">
        <v>785</v>
      </c>
      <c r="N349" s="53">
        <v>210</v>
      </c>
      <c r="O349" t="s">
        <v>403</v>
      </c>
      <c r="P349" s="81" t="s">
        <v>790</v>
      </c>
    </row>
    <row r="350" spans="1:16">
      <c r="A350" s="135"/>
      <c r="H350" s="82" t="s">
        <v>418</v>
      </c>
      <c r="I350" s="83" t="s">
        <v>788</v>
      </c>
      <c r="J350" s="83" t="s">
        <v>3058</v>
      </c>
      <c r="K350" s="83" t="s">
        <v>334</v>
      </c>
      <c r="L350" s="83" t="s">
        <v>785</v>
      </c>
      <c r="N350" s="53">
        <v>250</v>
      </c>
      <c r="O350" t="s">
        <v>403</v>
      </c>
      <c r="P350" s="81" t="s">
        <v>790</v>
      </c>
    </row>
    <row r="351" spans="1:16">
      <c r="A351" s="135"/>
      <c r="H351" s="82" t="s">
        <v>419</v>
      </c>
      <c r="I351" s="83" t="s">
        <v>788</v>
      </c>
      <c r="J351" s="83" t="s">
        <v>3059</v>
      </c>
      <c r="K351" s="83" t="s">
        <v>334</v>
      </c>
      <c r="L351" s="83" t="s">
        <v>785</v>
      </c>
      <c r="N351" s="53">
        <v>280</v>
      </c>
      <c r="O351" t="s">
        <v>406</v>
      </c>
      <c r="P351" s="81" t="s">
        <v>790</v>
      </c>
    </row>
    <row r="352" spans="1:16">
      <c r="A352" s="135"/>
      <c r="H352" s="82" t="s">
        <v>420</v>
      </c>
      <c r="I352" s="83" t="s">
        <v>788</v>
      </c>
      <c r="J352" s="83" t="s">
        <v>3060</v>
      </c>
      <c r="K352" s="83" t="s">
        <v>334</v>
      </c>
      <c r="L352" s="83" t="s">
        <v>785</v>
      </c>
      <c r="N352" s="53">
        <v>320</v>
      </c>
      <c r="O352" t="s">
        <v>406</v>
      </c>
      <c r="P352" s="81" t="s">
        <v>790</v>
      </c>
    </row>
    <row r="353" spans="1:16">
      <c r="A353" s="135"/>
      <c r="H353" s="82" t="s">
        <v>421</v>
      </c>
      <c r="I353" s="83" t="s">
        <v>788</v>
      </c>
      <c r="J353" s="83" t="s">
        <v>3061</v>
      </c>
      <c r="K353" s="83" t="s">
        <v>334</v>
      </c>
      <c r="L353" s="83" t="s">
        <v>785</v>
      </c>
      <c r="N353" s="53">
        <v>360</v>
      </c>
      <c r="O353" t="s">
        <v>406</v>
      </c>
      <c r="P353" s="81" t="s">
        <v>790</v>
      </c>
    </row>
    <row r="354" spans="1:16">
      <c r="A354" s="135"/>
      <c r="H354" s="82" t="s">
        <v>422</v>
      </c>
      <c r="I354" s="83" t="s">
        <v>788</v>
      </c>
      <c r="J354" s="83" t="s">
        <v>3165</v>
      </c>
      <c r="K354" s="83" t="s">
        <v>334</v>
      </c>
      <c r="L354" s="83" t="s">
        <v>785</v>
      </c>
      <c r="N354" s="53">
        <v>400</v>
      </c>
      <c r="O354" t="s">
        <v>406</v>
      </c>
      <c r="P354" s="81" t="s">
        <v>790</v>
      </c>
    </row>
    <row r="355" spans="1:16" s="141" customFormat="1">
      <c r="A355" s="271"/>
      <c r="D355" s="140"/>
      <c r="E355" s="140"/>
    </row>
    <row r="356" spans="1:16">
      <c r="A356" s="134" t="s">
        <v>3164</v>
      </c>
      <c r="B356" t="s">
        <v>789</v>
      </c>
      <c r="C356" s="136">
        <v>2200000000005</v>
      </c>
      <c r="D356" s="81" t="s">
        <v>331</v>
      </c>
      <c r="E356" s="115" t="b">
        <v>1</v>
      </c>
      <c r="H356" s="87"/>
      <c r="I356" s="87"/>
      <c r="J356" s="87"/>
      <c r="K356" s="87"/>
      <c r="L356" s="87"/>
      <c r="M356" s="87"/>
      <c r="N356" s="87"/>
      <c r="O356" s="87"/>
      <c r="P356" s="81"/>
    </row>
    <row r="357" spans="1:16">
      <c r="A357" s="135"/>
      <c r="D357"/>
      <c r="E357"/>
      <c r="H357" s="82" t="s">
        <v>332</v>
      </c>
      <c r="I357" s="83" t="s">
        <v>3167</v>
      </c>
      <c r="J357" s="83" t="s">
        <v>3167</v>
      </c>
      <c r="K357" s="83" t="s">
        <v>334</v>
      </c>
      <c r="L357" s="83" t="s">
        <v>425</v>
      </c>
      <c r="M357" s="83" t="s">
        <v>336</v>
      </c>
      <c r="N357" s="53">
        <v>4</v>
      </c>
      <c r="O357" s="84" t="s">
        <v>3166</v>
      </c>
      <c r="P357" s="81" t="s">
        <v>337</v>
      </c>
    </row>
  </sheetData>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93"/>
  <sheetViews>
    <sheetView workbookViewId="0">
      <selection activeCell="G1" sqref="G1"/>
    </sheetView>
  </sheetViews>
  <sheetFormatPr defaultRowHeight="13.5"/>
  <cols>
    <col min="1" max="1" width="20.625" style="24" bestFit="1" customWidth="1"/>
    <col min="2" max="2" width="16.125" style="24" customWidth="1"/>
    <col min="3" max="3" width="17" style="24" bestFit="1" customWidth="1"/>
    <col min="4" max="5" width="17" style="24" customWidth="1"/>
    <col min="6" max="7" width="8.75" style="24" customWidth="1"/>
    <col min="8" max="8" width="8.75" style="24" bestFit="1" customWidth="1"/>
    <col min="9" max="9" width="25.25" style="24" bestFit="1" customWidth="1"/>
    <col min="10" max="10" width="30.125" style="24" bestFit="1" customWidth="1"/>
    <col min="11" max="11" width="20.125" style="24" bestFit="1" customWidth="1"/>
    <col min="12" max="12" width="19.75" style="24" bestFit="1" customWidth="1"/>
    <col min="13" max="13" width="30.25" style="24" bestFit="1" customWidth="1"/>
    <col min="14" max="14" width="10.25" style="24" bestFit="1" customWidth="1"/>
    <col min="15" max="15" width="15" style="24" bestFit="1" customWidth="1"/>
    <col min="16" max="16" width="11.125" style="24" bestFit="1" customWidth="1"/>
    <col min="17" max="18" width="9" style="24" customWidth="1"/>
    <col min="19" max="16384" width="9" style="24"/>
  </cols>
  <sheetData>
    <row r="1" spans="1:16" s="23" customFormat="1" ht="16.5" customHeight="1">
      <c r="A1" s="20" t="s">
        <v>304</v>
      </c>
      <c r="B1" s="21" t="s">
        <v>305</v>
      </c>
      <c r="C1" s="21" t="s">
        <v>306</v>
      </c>
      <c r="D1" s="21" t="s">
        <v>307</v>
      </c>
      <c r="E1" s="6" t="s">
        <v>308</v>
      </c>
      <c r="F1" s="20" t="s">
        <v>636</v>
      </c>
      <c r="G1" s="165" t="s">
        <v>3740</v>
      </c>
      <c r="H1" s="22" t="s">
        <v>309</v>
      </c>
      <c r="I1" s="22" t="s">
        <v>310</v>
      </c>
      <c r="J1" s="22" t="s">
        <v>311</v>
      </c>
      <c r="K1" s="22" t="s">
        <v>312</v>
      </c>
      <c r="L1" s="22" t="s">
        <v>313</v>
      </c>
      <c r="M1" s="22" t="s">
        <v>314</v>
      </c>
      <c r="N1" s="22" t="s">
        <v>315</v>
      </c>
      <c r="O1" s="22" t="s">
        <v>316</v>
      </c>
      <c r="P1" s="9" t="s">
        <v>317</v>
      </c>
    </row>
    <row r="2" spans="1:16" s="23" customFormat="1" ht="16.5" customHeight="1">
      <c r="A2" s="20" t="s">
        <v>318</v>
      </c>
      <c r="B2" s="20" t="s">
        <v>3</v>
      </c>
      <c r="C2" s="20" t="s">
        <v>319</v>
      </c>
      <c r="D2" s="20" t="s">
        <v>320</v>
      </c>
      <c r="E2" s="5" t="s">
        <v>321</v>
      </c>
      <c r="F2" s="20" t="s">
        <v>320</v>
      </c>
      <c r="G2" s="165" t="s">
        <v>851</v>
      </c>
      <c r="H2" s="22" t="s">
        <v>322</v>
      </c>
      <c r="I2" s="22" t="s">
        <v>323</v>
      </c>
      <c r="J2" s="22" t="s">
        <v>323</v>
      </c>
      <c r="K2" s="22" t="s">
        <v>324</v>
      </c>
      <c r="L2" s="22" t="s">
        <v>325</v>
      </c>
      <c r="M2" s="22" t="s">
        <v>326</v>
      </c>
      <c r="N2" s="22" t="s">
        <v>322</v>
      </c>
      <c r="O2" s="22" t="s">
        <v>320</v>
      </c>
      <c r="P2" s="9" t="s">
        <v>327</v>
      </c>
    </row>
    <row r="3" spans="1:16" s="23" customFormat="1" ht="16.5" customHeight="1">
      <c r="A3" s="20" t="s">
        <v>328</v>
      </c>
      <c r="B3" s="20" t="s">
        <v>3</v>
      </c>
      <c r="C3" s="20" t="s">
        <v>328</v>
      </c>
      <c r="D3" s="20" t="s">
        <v>329</v>
      </c>
      <c r="E3" s="5" t="s">
        <v>4</v>
      </c>
      <c r="F3" s="20" t="s">
        <v>328</v>
      </c>
      <c r="G3" s="165" t="s">
        <v>328</v>
      </c>
      <c r="H3" s="22" t="s">
        <v>328</v>
      </c>
      <c r="I3" s="22" t="s">
        <v>4</v>
      </c>
      <c r="J3" s="22" t="s">
        <v>4</v>
      </c>
      <c r="K3" s="22" t="s">
        <v>328</v>
      </c>
      <c r="L3" s="22" t="s">
        <v>328</v>
      </c>
      <c r="M3" s="22" t="s">
        <v>328</v>
      </c>
      <c r="N3" s="22" t="s">
        <v>328</v>
      </c>
      <c r="O3" s="22" t="s">
        <v>328</v>
      </c>
      <c r="P3" s="9" t="s">
        <v>4</v>
      </c>
    </row>
    <row r="4" spans="1:16">
      <c r="A4" s="24" t="s">
        <v>446</v>
      </c>
      <c r="C4" s="24" t="s">
        <v>447</v>
      </c>
      <c r="D4" s="80" t="s">
        <v>429</v>
      </c>
      <c r="E4" s="80" t="b">
        <v>0</v>
      </c>
    </row>
    <row r="5" spans="1:16">
      <c r="D5" s="80"/>
      <c r="E5" s="80"/>
      <c r="H5" s="24" t="s">
        <v>332</v>
      </c>
      <c r="I5" s="24" t="s">
        <v>448</v>
      </c>
      <c r="J5" s="24" t="s">
        <v>269</v>
      </c>
      <c r="K5" s="24" t="s">
        <v>334</v>
      </c>
      <c r="L5" s="24" t="s">
        <v>394</v>
      </c>
      <c r="M5" s="24" t="s">
        <v>2089</v>
      </c>
      <c r="N5" s="24">
        <v>1</v>
      </c>
      <c r="P5" s="24" t="s">
        <v>449</v>
      </c>
    </row>
    <row r="6" spans="1:16">
      <c r="A6" s="24" t="s">
        <v>450</v>
      </c>
      <c r="C6" s="24" t="s">
        <v>447</v>
      </c>
      <c r="D6" s="80" t="s">
        <v>429</v>
      </c>
      <c r="E6" s="80" t="b">
        <v>0</v>
      </c>
    </row>
    <row r="7" spans="1:16">
      <c r="D7" s="80"/>
      <c r="E7" s="80"/>
      <c r="H7" s="24" t="s">
        <v>332</v>
      </c>
      <c r="I7" s="24" t="s">
        <v>448</v>
      </c>
      <c r="J7" s="24" t="s">
        <v>269</v>
      </c>
      <c r="K7" s="24" t="s">
        <v>334</v>
      </c>
      <c r="L7" s="24" t="s">
        <v>394</v>
      </c>
      <c r="M7" s="24" t="s">
        <v>2088</v>
      </c>
      <c r="N7" s="24">
        <v>1</v>
      </c>
      <c r="P7" s="24" t="s">
        <v>449</v>
      </c>
    </row>
    <row r="8" spans="1:16">
      <c r="A8" s="24" t="s">
        <v>451</v>
      </c>
      <c r="C8" s="24" t="s">
        <v>447</v>
      </c>
      <c r="D8" s="80" t="s">
        <v>429</v>
      </c>
      <c r="E8" s="80" t="b">
        <v>0</v>
      </c>
    </row>
    <row r="9" spans="1:16">
      <c r="D9" s="80"/>
      <c r="E9" s="80"/>
      <c r="H9" s="24" t="s">
        <v>332</v>
      </c>
      <c r="I9" s="24" t="s">
        <v>448</v>
      </c>
      <c r="J9" s="24" t="s">
        <v>269</v>
      </c>
      <c r="K9" s="24" t="s">
        <v>334</v>
      </c>
      <c r="L9" s="24" t="s">
        <v>394</v>
      </c>
      <c r="M9" s="24" t="s">
        <v>952</v>
      </c>
      <c r="N9" s="24">
        <v>1</v>
      </c>
      <c r="P9" s="24" t="s">
        <v>449</v>
      </c>
    </row>
    <row r="10" spans="1:16">
      <c r="A10" s="24" t="s">
        <v>452</v>
      </c>
      <c r="C10" s="24" t="s">
        <v>447</v>
      </c>
      <c r="D10" s="80" t="s">
        <v>429</v>
      </c>
      <c r="E10" s="80" t="b">
        <v>0</v>
      </c>
    </row>
    <row r="11" spans="1:16">
      <c r="D11" s="80"/>
      <c r="E11" s="80"/>
      <c r="H11" s="24" t="s">
        <v>332</v>
      </c>
      <c r="I11" s="24" t="s">
        <v>448</v>
      </c>
      <c r="J11" s="24" t="s">
        <v>269</v>
      </c>
      <c r="K11" s="24" t="s">
        <v>334</v>
      </c>
      <c r="L11" s="24" t="s">
        <v>394</v>
      </c>
      <c r="M11" s="24" t="s">
        <v>953</v>
      </c>
      <c r="N11" s="24">
        <v>1</v>
      </c>
      <c r="P11" s="24" t="s">
        <v>449</v>
      </c>
    </row>
    <row r="12" spans="1:16">
      <c r="A12" s="24" t="s">
        <v>453</v>
      </c>
      <c r="C12" s="24" t="s">
        <v>447</v>
      </c>
      <c r="D12" s="80" t="s">
        <v>429</v>
      </c>
      <c r="E12" s="80" t="b">
        <v>0</v>
      </c>
    </row>
    <row r="13" spans="1:16">
      <c r="D13" s="80"/>
      <c r="E13" s="80"/>
      <c r="H13" s="24" t="s">
        <v>332</v>
      </c>
      <c r="I13" s="24" t="s">
        <v>448</v>
      </c>
      <c r="J13" s="24" t="s">
        <v>269</v>
      </c>
      <c r="K13" s="24" t="s">
        <v>334</v>
      </c>
      <c r="L13" s="24" t="s">
        <v>394</v>
      </c>
      <c r="M13" s="24" t="s">
        <v>954</v>
      </c>
      <c r="N13" s="24">
        <v>1</v>
      </c>
      <c r="P13" s="24" t="s">
        <v>449</v>
      </c>
    </row>
    <row r="14" spans="1:16">
      <c r="A14" s="24" t="s">
        <v>454</v>
      </c>
      <c r="C14" s="24" t="s">
        <v>447</v>
      </c>
      <c r="D14" s="80" t="s">
        <v>429</v>
      </c>
      <c r="E14" s="80" t="b">
        <v>0</v>
      </c>
    </row>
    <row r="15" spans="1:16">
      <c r="D15" s="80"/>
      <c r="E15" s="80"/>
      <c r="H15" s="24" t="s">
        <v>332</v>
      </c>
      <c r="I15" s="24" t="s">
        <v>448</v>
      </c>
      <c r="J15" s="24" t="s">
        <v>269</v>
      </c>
      <c r="K15" s="24" t="s">
        <v>334</v>
      </c>
      <c r="L15" s="24" t="s">
        <v>394</v>
      </c>
      <c r="M15" s="24" t="s">
        <v>955</v>
      </c>
      <c r="N15" s="24">
        <v>1</v>
      </c>
      <c r="P15" s="24" t="s">
        <v>449</v>
      </c>
    </row>
    <row r="16" spans="1:16">
      <c r="A16" s="24" t="s">
        <v>455</v>
      </c>
      <c r="C16" s="24" t="s">
        <v>447</v>
      </c>
      <c r="D16" s="80" t="s">
        <v>429</v>
      </c>
      <c r="E16" s="80" t="b">
        <v>0</v>
      </c>
    </row>
    <row r="17" spans="1:16">
      <c r="D17" s="80"/>
      <c r="E17" s="80"/>
      <c r="H17" s="24" t="s">
        <v>332</v>
      </c>
      <c r="I17" s="24" t="s">
        <v>448</v>
      </c>
      <c r="J17" s="24" t="s">
        <v>269</v>
      </c>
      <c r="K17" s="24" t="s">
        <v>334</v>
      </c>
      <c r="L17" s="24" t="s">
        <v>394</v>
      </c>
      <c r="M17" s="24" t="s">
        <v>956</v>
      </c>
      <c r="N17" s="24">
        <v>1</v>
      </c>
      <c r="P17" s="24" t="s">
        <v>449</v>
      </c>
    </row>
    <row r="18" spans="1:16">
      <c r="A18" s="24" t="s">
        <v>456</v>
      </c>
      <c r="C18" s="24" t="s">
        <v>447</v>
      </c>
      <c r="D18" s="80" t="s">
        <v>429</v>
      </c>
      <c r="E18" s="80" t="b">
        <v>0</v>
      </c>
    </row>
    <row r="19" spans="1:16">
      <c r="D19" s="80"/>
      <c r="E19" s="80"/>
      <c r="H19" s="24" t="s">
        <v>332</v>
      </c>
      <c r="I19" s="24" t="s">
        <v>448</v>
      </c>
      <c r="J19" s="24" t="s">
        <v>269</v>
      </c>
      <c r="K19" s="24" t="s">
        <v>334</v>
      </c>
      <c r="L19" s="24" t="s">
        <v>394</v>
      </c>
      <c r="M19" s="24" t="s">
        <v>957</v>
      </c>
      <c r="N19" s="24">
        <v>1</v>
      </c>
      <c r="P19" s="24" t="s">
        <v>449</v>
      </c>
    </row>
    <row r="20" spans="1:16">
      <c r="A20" s="24" t="s">
        <v>457</v>
      </c>
      <c r="C20" s="24" t="s">
        <v>447</v>
      </c>
      <c r="D20" s="80" t="s">
        <v>429</v>
      </c>
      <c r="E20" s="80" t="b">
        <v>0</v>
      </c>
    </row>
    <row r="21" spans="1:16">
      <c r="D21" s="80"/>
      <c r="E21" s="80"/>
      <c r="H21" s="24" t="s">
        <v>332</v>
      </c>
      <c r="I21" s="24" t="s">
        <v>448</v>
      </c>
      <c r="J21" s="24" t="s">
        <v>269</v>
      </c>
      <c r="K21" s="24" t="s">
        <v>334</v>
      </c>
      <c r="L21" s="24" t="s">
        <v>394</v>
      </c>
      <c r="M21" s="24" t="s">
        <v>958</v>
      </c>
      <c r="N21" s="24">
        <v>1</v>
      </c>
      <c r="P21" s="24" t="s">
        <v>449</v>
      </c>
    </row>
    <row r="22" spans="1:16">
      <c r="A22" s="24" t="s">
        <v>458</v>
      </c>
      <c r="C22" s="24" t="s">
        <v>447</v>
      </c>
      <c r="D22" s="80" t="s">
        <v>429</v>
      </c>
      <c r="E22" s="80" t="b">
        <v>0</v>
      </c>
    </row>
    <row r="23" spans="1:16">
      <c r="D23" s="80"/>
      <c r="E23" s="80"/>
      <c r="H23" s="24" t="s">
        <v>332</v>
      </c>
      <c r="I23" s="24" t="s">
        <v>448</v>
      </c>
      <c r="J23" s="24" t="s">
        <v>269</v>
      </c>
      <c r="K23" s="24" t="s">
        <v>334</v>
      </c>
      <c r="L23" s="24" t="s">
        <v>394</v>
      </c>
      <c r="M23" s="24" t="s">
        <v>959</v>
      </c>
      <c r="N23" s="24">
        <v>1</v>
      </c>
      <c r="P23" s="24" t="s">
        <v>449</v>
      </c>
    </row>
    <row r="24" spans="1:16">
      <c r="A24" s="24" t="s">
        <v>459</v>
      </c>
      <c r="C24" s="24" t="s">
        <v>447</v>
      </c>
      <c r="D24" s="80" t="s">
        <v>429</v>
      </c>
      <c r="E24" s="80" t="b">
        <v>0</v>
      </c>
    </row>
    <row r="25" spans="1:16">
      <c r="D25" s="80"/>
      <c r="E25" s="80"/>
      <c r="H25" s="24" t="s">
        <v>332</v>
      </c>
      <c r="I25" s="24" t="s">
        <v>448</v>
      </c>
      <c r="J25" s="24" t="s">
        <v>269</v>
      </c>
      <c r="K25" s="24" t="s">
        <v>334</v>
      </c>
      <c r="L25" s="24" t="s">
        <v>394</v>
      </c>
      <c r="M25" s="24" t="s">
        <v>960</v>
      </c>
      <c r="N25" s="24">
        <v>1</v>
      </c>
      <c r="P25" s="24" t="s">
        <v>449</v>
      </c>
    </row>
    <row r="26" spans="1:16">
      <c r="A26" s="24" t="s">
        <v>460</v>
      </c>
      <c r="C26" s="24" t="s">
        <v>447</v>
      </c>
      <c r="D26" s="80" t="s">
        <v>429</v>
      </c>
      <c r="E26" s="80" t="b">
        <v>0</v>
      </c>
    </row>
    <row r="27" spans="1:16">
      <c r="D27" s="80"/>
      <c r="E27" s="80"/>
      <c r="H27" s="24" t="s">
        <v>332</v>
      </c>
      <c r="I27" s="24" t="s">
        <v>448</v>
      </c>
      <c r="J27" s="24" t="s">
        <v>269</v>
      </c>
      <c r="K27" s="24" t="s">
        <v>334</v>
      </c>
      <c r="L27" s="24" t="s">
        <v>394</v>
      </c>
      <c r="M27" s="24" t="s">
        <v>961</v>
      </c>
      <c r="N27" s="24">
        <v>1</v>
      </c>
      <c r="P27" s="24" t="s">
        <v>449</v>
      </c>
    </row>
    <row r="28" spans="1:16">
      <c r="A28" s="24" t="s">
        <v>461</v>
      </c>
      <c r="C28" s="24" t="s">
        <v>447</v>
      </c>
      <c r="D28" s="80" t="s">
        <v>429</v>
      </c>
      <c r="E28" s="80" t="b">
        <v>0</v>
      </c>
    </row>
    <row r="29" spans="1:16">
      <c r="D29" s="80"/>
      <c r="E29" s="80"/>
      <c r="H29" s="24" t="s">
        <v>332</v>
      </c>
      <c r="I29" s="24" t="s">
        <v>448</v>
      </c>
      <c r="J29" s="24" t="s">
        <v>269</v>
      </c>
      <c r="K29" s="24" t="s">
        <v>334</v>
      </c>
      <c r="L29" s="24" t="s">
        <v>394</v>
      </c>
      <c r="M29" s="24" t="s">
        <v>962</v>
      </c>
      <c r="N29" s="24">
        <v>1</v>
      </c>
      <c r="P29" s="24" t="s">
        <v>449</v>
      </c>
    </row>
    <row r="30" spans="1:16">
      <c r="A30" s="24" t="s">
        <v>462</v>
      </c>
      <c r="C30" s="24" t="s">
        <v>447</v>
      </c>
      <c r="D30" s="80" t="s">
        <v>429</v>
      </c>
      <c r="E30" s="80" t="b">
        <v>0</v>
      </c>
    </row>
    <row r="31" spans="1:16">
      <c r="D31" s="80"/>
      <c r="E31" s="80"/>
      <c r="H31" s="24" t="s">
        <v>332</v>
      </c>
      <c r="I31" s="24" t="s">
        <v>448</v>
      </c>
      <c r="J31" s="24" t="s">
        <v>269</v>
      </c>
      <c r="K31" s="24" t="s">
        <v>334</v>
      </c>
      <c r="L31" s="24" t="s">
        <v>394</v>
      </c>
      <c r="M31" s="24" t="s">
        <v>963</v>
      </c>
      <c r="N31" s="24">
        <v>1</v>
      </c>
      <c r="P31" s="24" t="s">
        <v>449</v>
      </c>
    </row>
    <row r="32" spans="1:16">
      <c r="A32" s="24" t="s">
        <v>463</v>
      </c>
      <c r="C32" s="24" t="s">
        <v>447</v>
      </c>
      <c r="D32" s="80" t="s">
        <v>429</v>
      </c>
      <c r="E32" s="80" t="b">
        <v>0</v>
      </c>
    </row>
    <row r="33" spans="1:16">
      <c r="D33" s="80"/>
      <c r="E33" s="80"/>
      <c r="H33" s="24" t="s">
        <v>332</v>
      </c>
      <c r="I33" s="24" t="s">
        <v>448</v>
      </c>
      <c r="J33" s="24" t="s">
        <v>269</v>
      </c>
      <c r="K33" s="24" t="s">
        <v>334</v>
      </c>
      <c r="L33" s="24" t="s">
        <v>394</v>
      </c>
      <c r="M33" s="24" t="s">
        <v>964</v>
      </c>
      <c r="N33" s="24">
        <v>1</v>
      </c>
      <c r="P33" s="24" t="s">
        <v>449</v>
      </c>
    </row>
    <row r="34" spans="1:16">
      <c r="A34" s="24" t="s">
        <v>464</v>
      </c>
      <c r="C34" s="24" t="s">
        <v>447</v>
      </c>
      <c r="D34" s="80" t="s">
        <v>429</v>
      </c>
      <c r="E34" s="80" t="b">
        <v>0</v>
      </c>
    </row>
    <row r="35" spans="1:16">
      <c r="D35" s="80"/>
      <c r="E35" s="80"/>
      <c r="H35" s="24" t="s">
        <v>332</v>
      </c>
      <c r="I35" s="24" t="s">
        <v>448</v>
      </c>
      <c r="J35" s="24" t="s">
        <v>269</v>
      </c>
      <c r="K35" s="24" t="s">
        <v>334</v>
      </c>
      <c r="L35" s="24" t="s">
        <v>394</v>
      </c>
      <c r="M35" s="24" t="s">
        <v>965</v>
      </c>
      <c r="N35" s="24">
        <v>1</v>
      </c>
      <c r="P35" s="24" t="s">
        <v>449</v>
      </c>
    </row>
    <row r="36" spans="1:16">
      <c r="A36" s="24" t="s">
        <v>465</v>
      </c>
      <c r="C36" s="24" t="s">
        <v>447</v>
      </c>
      <c r="D36" s="80" t="s">
        <v>429</v>
      </c>
      <c r="E36" s="80" t="b">
        <v>0</v>
      </c>
    </row>
    <row r="37" spans="1:16">
      <c r="D37" s="80"/>
      <c r="E37" s="80"/>
      <c r="H37" s="24" t="s">
        <v>332</v>
      </c>
      <c r="I37" s="24" t="s">
        <v>448</v>
      </c>
      <c r="J37" s="24" t="s">
        <v>269</v>
      </c>
      <c r="K37" s="24" t="s">
        <v>334</v>
      </c>
      <c r="L37" s="24" t="s">
        <v>394</v>
      </c>
      <c r="M37" s="24" t="s">
        <v>966</v>
      </c>
      <c r="N37" s="24">
        <v>1</v>
      </c>
      <c r="P37" s="24" t="s">
        <v>449</v>
      </c>
    </row>
    <row r="38" spans="1:16">
      <c r="A38" s="24" t="s">
        <v>466</v>
      </c>
      <c r="C38" s="24" t="s">
        <v>447</v>
      </c>
      <c r="D38" s="80" t="s">
        <v>429</v>
      </c>
      <c r="E38" s="80" t="b">
        <v>0</v>
      </c>
    </row>
    <row r="39" spans="1:16">
      <c r="D39" s="80"/>
      <c r="E39" s="80"/>
      <c r="H39" s="24" t="s">
        <v>332</v>
      </c>
      <c r="I39" s="24" t="s">
        <v>448</v>
      </c>
      <c r="J39" s="24" t="s">
        <v>269</v>
      </c>
      <c r="K39" s="24" t="s">
        <v>334</v>
      </c>
      <c r="L39" s="24" t="s">
        <v>394</v>
      </c>
      <c r="M39" s="24" t="s">
        <v>967</v>
      </c>
      <c r="N39" s="24">
        <v>1</v>
      </c>
      <c r="P39" s="24" t="s">
        <v>449</v>
      </c>
    </row>
    <row r="40" spans="1:16">
      <c r="A40" s="24" t="s">
        <v>467</v>
      </c>
      <c r="C40" s="24" t="s">
        <v>447</v>
      </c>
      <c r="D40" s="80" t="s">
        <v>429</v>
      </c>
      <c r="E40" s="80" t="b">
        <v>0</v>
      </c>
    </row>
    <row r="41" spans="1:16">
      <c r="D41" s="80"/>
      <c r="E41" s="80"/>
      <c r="H41" s="24" t="s">
        <v>332</v>
      </c>
      <c r="I41" s="24" t="s">
        <v>448</v>
      </c>
      <c r="J41" s="24" t="s">
        <v>269</v>
      </c>
      <c r="K41" s="24" t="s">
        <v>334</v>
      </c>
      <c r="L41" s="24" t="s">
        <v>394</v>
      </c>
      <c r="M41" s="24" t="s">
        <v>968</v>
      </c>
      <c r="N41" s="24">
        <v>1</v>
      </c>
      <c r="P41" s="24" t="s">
        <v>449</v>
      </c>
    </row>
    <row r="42" spans="1:16">
      <c r="A42" s="24" t="s">
        <v>468</v>
      </c>
      <c r="C42" s="24" t="s">
        <v>447</v>
      </c>
      <c r="D42" s="80" t="s">
        <v>429</v>
      </c>
      <c r="E42" s="80" t="b">
        <v>0</v>
      </c>
    </row>
    <row r="43" spans="1:16">
      <c r="D43" s="80"/>
      <c r="E43" s="80"/>
      <c r="H43" s="24" t="s">
        <v>332</v>
      </c>
      <c r="I43" s="24" t="s">
        <v>448</v>
      </c>
      <c r="J43" s="24" t="s">
        <v>269</v>
      </c>
      <c r="K43" s="24" t="s">
        <v>334</v>
      </c>
      <c r="L43" s="24" t="s">
        <v>394</v>
      </c>
      <c r="M43" s="24" t="s">
        <v>969</v>
      </c>
      <c r="N43" s="24">
        <v>1</v>
      </c>
      <c r="P43" s="24" t="s">
        <v>449</v>
      </c>
    </row>
    <row r="44" spans="1:16">
      <c r="A44" s="24" t="s">
        <v>469</v>
      </c>
      <c r="C44" s="24" t="s">
        <v>447</v>
      </c>
      <c r="D44" s="80" t="s">
        <v>429</v>
      </c>
      <c r="E44" s="80" t="b">
        <v>0</v>
      </c>
    </row>
    <row r="45" spans="1:16">
      <c r="D45" s="80"/>
      <c r="E45" s="80"/>
      <c r="H45" s="24" t="s">
        <v>332</v>
      </c>
      <c r="I45" s="24" t="s">
        <v>448</v>
      </c>
      <c r="J45" s="24" t="s">
        <v>269</v>
      </c>
      <c r="K45" s="24" t="s">
        <v>334</v>
      </c>
      <c r="L45" s="24" t="s">
        <v>394</v>
      </c>
      <c r="M45" s="24" t="s">
        <v>970</v>
      </c>
      <c r="N45" s="24">
        <v>1</v>
      </c>
      <c r="P45" s="24" t="s">
        <v>449</v>
      </c>
    </row>
    <row r="46" spans="1:16">
      <c r="A46" s="24" t="s">
        <v>470</v>
      </c>
      <c r="C46" s="24" t="s">
        <v>447</v>
      </c>
      <c r="D46" s="80" t="s">
        <v>429</v>
      </c>
      <c r="E46" s="80" t="b">
        <v>0</v>
      </c>
    </row>
    <row r="47" spans="1:16">
      <c r="D47" s="80"/>
      <c r="E47" s="80"/>
      <c r="H47" s="24" t="s">
        <v>332</v>
      </c>
      <c r="I47" s="24" t="s">
        <v>448</v>
      </c>
      <c r="J47" s="24" t="s">
        <v>269</v>
      </c>
      <c r="K47" s="24" t="s">
        <v>334</v>
      </c>
      <c r="L47" s="24" t="s">
        <v>394</v>
      </c>
      <c r="M47" s="24" t="s">
        <v>971</v>
      </c>
      <c r="N47" s="24">
        <v>1</v>
      </c>
      <c r="P47" s="24" t="s">
        <v>449</v>
      </c>
    </row>
    <row r="48" spans="1:16">
      <c r="A48" s="24" t="s">
        <v>471</v>
      </c>
      <c r="C48" s="24" t="s">
        <v>447</v>
      </c>
      <c r="D48" s="80" t="s">
        <v>429</v>
      </c>
      <c r="E48" s="80" t="b">
        <v>0</v>
      </c>
    </row>
    <row r="49" spans="1:16">
      <c r="D49" s="80"/>
      <c r="E49" s="80"/>
      <c r="H49" s="24" t="s">
        <v>332</v>
      </c>
      <c r="I49" s="24" t="s">
        <v>448</v>
      </c>
      <c r="J49" s="24" t="s">
        <v>269</v>
      </c>
      <c r="K49" s="24" t="s">
        <v>334</v>
      </c>
      <c r="L49" s="24" t="s">
        <v>394</v>
      </c>
      <c r="M49" s="24" t="s">
        <v>972</v>
      </c>
      <c r="N49" s="24">
        <v>1</v>
      </c>
      <c r="P49" s="24" t="s">
        <v>449</v>
      </c>
    </row>
    <row r="50" spans="1:16">
      <c r="A50" s="24" t="s">
        <v>472</v>
      </c>
      <c r="C50" s="24" t="s">
        <v>447</v>
      </c>
      <c r="D50" s="80" t="s">
        <v>429</v>
      </c>
      <c r="E50" s="80" t="b">
        <v>0</v>
      </c>
    </row>
    <row r="51" spans="1:16">
      <c r="D51" s="80"/>
      <c r="E51" s="80"/>
      <c r="H51" s="24" t="s">
        <v>332</v>
      </c>
      <c r="I51" s="24" t="s">
        <v>448</v>
      </c>
      <c r="J51" s="24" t="s">
        <v>269</v>
      </c>
      <c r="K51" s="24" t="s">
        <v>334</v>
      </c>
      <c r="L51" s="24" t="s">
        <v>394</v>
      </c>
      <c r="M51" s="24" t="s">
        <v>973</v>
      </c>
      <c r="N51" s="24">
        <v>1</v>
      </c>
      <c r="P51" s="24" t="s">
        <v>449</v>
      </c>
    </row>
    <row r="52" spans="1:16">
      <c r="A52" s="24" t="s">
        <v>473</v>
      </c>
      <c r="C52" s="24" t="s">
        <v>447</v>
      </c>
      <c r="D52" s="80" t="s">
        <v>429</v>
      </c>
      <c r="E52" s="80" t="b">
        <v>0</v>
      </c>
    </row>
    <row r="53" spans="1:16">
      <c r="D53" s="80"/>
      <c r="E53" s="80"/>
      <c r="H53" s="24" t="s">
        <v>332</v>
      </c>
      <c r="I53" s="24" t="s">
        <v>448</v>
      </c>
      <c r="J53" s="24" t="s">
        <v>269</v>
      </c>
      <c r="K53" s="24" t="s">
        <v>334</v>
      </c>
      <c r="L53" s="24" t="s">
        <v>394</v>
      </c>
      <c r="M53" s="24" t="s">
        <v>974</v>
      </c>
      <c r="N53" s="24">
        <v>1</v>
      </c>
      <c r="P53" s="24" t="s">
        <v>449</v>
      </c>
    </row>
    <row r="54" spans="1:16">
      <c r="A54" s="24" t="s">
        <v>474</v>
      </c>
      <c r="C54" s="24" t="s">
        <v>447</v>
      </c>
      <c r="D54" s="80" t="s">
        <v>429</v>
      </c>
      <c r="E54" s="80" t="b">
        <v>0</v>
      </c>
    </row>
    <row r="55" spans="1:16">
      <c r="D55" s="80"/>
      <c r="E55" s="80"/>
      <c r="H55" s="24" t="s">
        <v>332</v>
      </c>
      <c r="I55" s="24" t="s">
        <v>448</v>
      </c>
      <c r="J55" s="24" t="s">
        <v>269</v>
      </c>
      <c r="K55" s="24" t="s">
        <v>334</v>
      </c>
      <c r="L55" s="24" t="s">
        <v>394</v>
      </c>
      <c r="M55" s="24" t="s">
        <v>975</v>
      </c>
      <c r="N55" s="24">
        <v>1</v>
      </c>
      <c r="P55" s="24" t="s">
        <v>449</v>
      </c>
    </row>
    <row r="56" spans="1:16">
      <c r="A56" s="24" t="s">
        <v>475</v>
      </c>
      <c r="C56" s="24" t="s">
        <v>447</v>
      </c>
      <c r="D56" s="80" t="s">
        <v>429</v>
      </c>
      <c r="E56" s="80" t="b">
        <v>0</v>
      </c>
    </row>
    <row r="57" spans="1:16">
      <c r="D57" s="80"/>
      <c r="E57" s="80"/>
      <c r="H57" s="24" t="s">
        <v>332</v>
      </c>
      <c r="I57" s="24" t="s">
        <v>448</v>
      </c>
      <c r="J57" s="24" t="s">
        <v>269</v>
      </c>
      <c r="K57" s="24" t="s">
        <v>334</v>
      </c>
      <c r="L57" s="24" t="s">
        <v>394</v>
      </c>
      <c r="M57" s="24" t="s">
        <v>976</v>
      </c>
      <c r="N57" s="24">
        <v>1</v>
      </c>
      <c r="P57" s="24" t="s">
        <v>449</v>
      </c>
    </row>
    <row r="58" spans="1:16">
      <c r="A58" s="24" t="s">
        <v>476</v>
      </c>
      <c r="C58" s="24" t="s">
        <v>447</v>
      </c>
      <c r="D58" s="80" t="s">
        <v>429</v>
      </c>
      <c r="E58" s="80" t="b">
        <v>0</v>
      </c>
    </row>
    <row r="59" spans="1:16">
      <c r="D59" s="80"/>
      <c r="E59" s="80"/>
      <c r="H59" s="24" t="s">
        <v>332</v>
      </c>
      <c r="I59" s="24" t="s">
        <v>448</v>
      </c>
      <c r="J59" s="24" t="s">
        <v>269</v>
      </c>
      <c r="K59" s="24" t="s">
        <v>334</v>
      </c>
      <c r="L59" s="24" t="s">
        <v>394</v>
      </c>
      <c r="M59" s="24" t="s">
        <v>977</v>
      </c>
      <c r="N59" s="24">
        <v>1</v>
      </c>
      <c r="P59" s="24" t="s">
        <v>449</v>
      </c>
    </row>
    <row r="60" spans="1:16">
      <c r="A60" s="24" t="s">
        <v>477</v>
      </c>
      <c r="C60" s="24" t="s">
        <v>447</v>
      </c>
      <c r="D60" s="80" t="s">
        <v>429</v>
      </c>
      <c r="E60" s="80" t="b">
        <v>0</v>
      </c>
    </row>
    <row r="61" spans="1:16">
      <c r="D61" s="80"/>
      <c r="E61" s="80"/>
      <c r="H61" s="24" t="s">
        <v>332</v>
      </c>
      <c r="I61" s="24" t="s">
        <v>448</v>
      </c>
      <c r="J61" s="24" t="s">
        <v>269</v>
      </c>
      <c r="K61" s="24" t="s">
        <v>334</v>
      </c>
      <c r="L61" s="24" t="s">
        <v>394</v>
      </c>
      <c r="M61" s="24" t="s">
        <v>978</v>
      </c>
      <c r="N61" s="24">
        <v>1</v>
      </c>
      <c r="P61" s="24" t="s">
        <v>449</v>
      </c>
    </row>
    <row r="62" spans="1:16">
      <c r="A62" s="24" t="s">
        <v>478</v>
      </c>
      <c r="C62" s="24" t="s">
        <v>447</v>
      </c>
      <c r="D62" s="80" t="s">
        <v>429</v>
      </c>
      <c r="E62" s="80" t="b">
        <v>0</v>
      </c>
    </row>
    <row r="63" spans="1:16">
      <c r="D63" s="80"/>
      <c r="E63" s="80"/>
      <c r="H63" s="24" t="s">
        <v>332</v>
      </c>
      <c r="I63" s="24" t="s">
        <v>448</v>
      </c>
      <c r="J63" s="24" t="s">
        <v>269</v>
      </c>
      <c r="K63" s="24" t="s">
        <v>334</v>
      </c>
      <c r="L63" s="24" t="s">
        <v>394</v>
      </c>
      <c r="M63" s="24" t="s">
        <v>979</v>
      </c>
      <c r="N63" s="24">
        <v>1</v>
      </c>
      <c r="P63" s="24" t="s">
        <v>449</v>
      </c>
    </row>
    <row r="64" spans="1:16">
      <c r="A64" s="24" t="s">
        <v>479</v>
      </c>
      <c r="C64" s="24" t="s">
        <v>447</v>
      </c>
      <c r="D64" s="80" t="s">
        <v>429</v>
      </c>
      <c r="E64" s="80" t="b">
        <v>0</v>
      </c>
    </row>
    <row r="65" spans="1:16">
      <c r="D65" s="80"/>
      <c r="E65" s="80"/>
      <c r="H65" s="24" t="s">
        <v>332</v>
      </c>
      <c r="I65" s="24" t="s">
        <v>448</v>
      </c>
      <c r="J65" s="24" t="s">
        <v>269</v>
      </c>
      <c r="K65" s="24" t="s">
        <v>334</v>
      </c>
      <c r="L65" s="24" t="s">
        <v>394</v>
      </c>
      <c r="M65" s="24" t="s">
        <v>980</v>
      </c>
      <c r="N65" s="24">
        <v>1</v>
      </c>
      <c r="P65" s="24" t="s">
        <v>449</v>
      </c>
    </row>
    <row r="66" spans="1:16">
      <c r="A66" s="24" t="s">
        <v>480</v>
      </c>
      <c r="C66" s="24" t="s">
        <v>447</v>
      </c>
      <c r="D66" s="80" t="s">
        <v>429</v>
      </c>
      <c r="E66" s="80" t="b">
        <v>0</v>
      </c>
    </row>
    <row r="67" spans="1:16">
      <c r="D67" s="80"/>
      <c r="E67" s="80"/>
      <c r="H67" s="24" t="s">
        <v>332</v>
      </c>
      <c r="I67" s="24" t="s">
        <v>448</v>
      </c>
      <c r="J67" s="24" t="s">
        <v>269</v>
      </c>
      <c r="K67" s="24" t="s">
        <v>334</v>
      </c>
      <c r="L67" s="24" t="s">
        <v>394</v>
      </c>
      <c r="M67" s="24" t="s">
        <v>981</v>
      </c>
      <c r="N67" s="24">
        <v>1</v>
      </c>
      <c r="P67" s="24" t="s">
        <v>449</v>
      </c>
    </row>
    <row r="68" spans="1:16">
      <c r="A68" s="24" t="s">
        <v>481</v>
      </c>
      <c r="C68" s="24" t="s">
        <v>447</v>
      </c>
      <c r="D68" s="80" t="s">
        <v>429</v>
      </c>
      <c r="E68" s="80" t="b">
        <v>0</v>
      </c>
    </row>
    <row r="69" spans="1:16">
      <c r="D69" s="80"/>
      <c r="E69" s="80"/>
      <c r="H69" s="24" t="s">
        <v>332</v>
      </c>
      <c r="I69" s="24" t="s">
        <v>448</v>
      </c>
      <c r="J69" s="24" t="s">
        <v>269</v>
      </c>
      <c r="K69" s="24" t="s">
        <v>334</v>
      </c>
      <c r="L69" s="24" t="s">
        <v>394</v>
      </c>
      <c r="M69" s="24" t="s">
        <v>982</v>
      </c>
      <c r="N69" s="24">
        <v>1</v>
      </c>
      <c r="P69" s="24" t="s">
        <v>449</v>
      </c>
    </row>
    <row r="70" spans="1:16">
      <c r="A70" s="24" t="s">
        <v>482</v>
      </c>
      <c r="C70" s="24" t="s">
        <v>447</v>
      </c>
      <c r="D70" s="80" t="s">
        <v>429</v>
      </c>
      <c r="E70" s="80" t="b">
        <v>0</v>
      </c>
    </row>
    <row r="71" spans="1:16">
      <c r="D71" s="80"/>
      <c r="E71" s="80"/>
      <c r="H71" s="24" t="s">
        <v>332</v>
      </c>
      <c r="I71" s="24" t="s">
        <v>448</v>
      </c>
      <c r="J71" s="24" t="s">
        <v>269</v>
      </c>
      <c r="K71" s="24" t="s">
        <v>334</v>
      </c>
      <c r="L71" s="24" t="s">
        <v>394</v>
      </c>
      <c r="M71" s="24" t="s">
        <v>983</v>
      </c>
      <c r="N71" s="24">
        <v>1</v>
      </c>
      <c r="P71" s="24" t="s">
        <v>449</v>
      </c>
    </row>
    <row r="72" spans="1:16">
      <c r="A72" s="24" t="s">
        <v>483</v>
      </c>
      <c r="C72" s="24" t="s">
        <v>447</v>
      </c>
      <c r="D72" s="80" t="s">
        <v>429</v>
      </c>
      <c r="E72" s="80" t="b">
        <v>0</v>
      </c>
    </row>
    <row r="73" spans="1:16">
      <c r="D73" s="80"/>
      <c r="E73" s="80"/>
      <c r="H73" s="24" t="s">
        <v>332</v>
      </c>
      <c r="I73" s="24" t="s">
        <v>448</v>
      </c>
      <c r="J73" s="24" t="s">
        <v>269</v>
      </c>
      <c r="K73" s="24" t="s">
        <v>334</v>
      </c>
      <c r="L73" s="24" t="s">
        <v>394</v>
      </c>
      <c r="M73" s="24" t="s">
        <v>984</v>
      </c>
      <c r="N73" s="24">
        <v>1</v>
      </c>
      <c r="P73" s="24" t="s">
        <v>449</v>
      </c>
    </row>
    <row r="74" spans="1:16">
      <c r="A74" s="24" t="s">
        <v>484</v>
      </c>
      <c r="C74" s="24" t="s">
        <v>447</v>
      </c>
      <c r="D74" s="80" t="s">
        <v>429</v>
      </c>
      <c r="E74" s="80" t="b">
        <v>0</v>
      </c>
    </row>
    <row r="75" spans="1:16">
      <c r="D75" s="80"/>
      <c r="E75" s="80"/>
      <c r="H75" s="24" t="s">
        <v>332</v>
      </c>
      <c r="I75" s="24" t="s">
        <v>448</v>
      </c>
      <c r="J75" s="24" t="s">
        <v>269</v>
      </c>
      <c r="K75" s="24" t="s">
        <v>334</v>
      </c>
      <c r="L75" s="24" t="s">
        <v>394</v>
      </c>
      <c r="M75" s="24" t="s">
        <v>985</v>
      </c>
      <c r="N75" s="24">
        <v>1</v>
      </c>
      <c r="P75" s="24" t="s">
        <v>449</v>
      </c>
    </row>
    <row r="76" spans="1:16">
      <c r="A76" s="24" t="s">
        <v>485</v>
      </c>
      <c r="C76" s="24" t="s">
        <v>447</v>
      </c>
      <c r="D76" s="80" t="s">
        <v>429</v>
      </c>
      <c r="E76" s="80" t="b">
        <v>0</v>
      </c>
    </row>
    <row r="77" spans="1:16">
      <c r="D77" s="80"/>
      <c r="E77" s="80"/>
      <c r="H77" s="24" t="s">
        <v>332</v>
      </c>
      <c r="I77" s="24" t="s">
        <v>448</v>
      </c>
      <c r="J77" s="24" t="s">
        <v>269</v>
      </c>
      <c r="K77" s="24" t="s">
        <v>334</v>
      </c>
      <c r="L77" s="24" t="s">
        <v>394</v>
      </c>
      <c r="M77" s="24" t="s">
        <v>986</v>
      </c>
      <c r="N77" s="24">
        <v>1</v>
      </c>
      <c r="P77" s="24" t="s">
        <v>449</v>
      </c>
    </row>
    <row r="78" spans="1:16">
      <c r="A78" s="24" t="s">
        <v>486</v>
      </c>
      <c r="C78" s="24" t="s">
        <v>447</v>
      </c>
      <c r="D78" s="80" t="s">
        <v>429</v>
      </c>
      <c r="E78" s="80" t="b">
        <v>0</v>
      </c>
    </row>
    <row r="79" spans="1:16">
      <c r="D79" s="80"/>
      <c r="E79" s="80"/>
      <c r="H79" s="24" t="s">
        <v>332</v>
      </c>
      <c r="I79" s="24" t="s">
        <v>448</v>
      </c>
      <c r="J79" s="24" t="s">
        <v>269</v>
      </c>
      <c r="K79" s="24" t="s">
        <v>334</v>
      </c>
      <c r="L79" s="24" t="s">
        <v>394</v>
      </c>
      <c r="M79" s="24" t="s">
        <v>987</v>
      </c>
      <c r="N79" s="24">
        <v>1</v>
      </c>
      <c r="P79" s="24" t="s">
        <v>449</v>
      </c>
    </row>
    <row r="80" spans="1:16">
      <c r="A80" s="24" t="s">
        <v>487</v>
      </c>
      <c r="C80" s="24" t="s">
        <v>447</v>
      </c>
      <c r="D80" s="80" t="s">
        <v>429</v>
      </c>
      <c r="E80" s="80" t="b">
        <v>0</v>
      </c>
    </row>
    <row r="81" spans="1:16">
      <c r="D81" s="80"/>
      <c r="E81" s="80"/>
      <c r="H81" s="24" t="s">
        <v>332</v>
      </c>
      <c r="I81" s="24" t="s">
        <v>448</v>
      </c>
      <c r="J81" s="24" t="s">
        <v>269</v>
      </c>
      <c r="K81" s="24" t="s">
        <v>334</v>
      </c>
      <c r="L81" s="24" t="s">
        <v>394</v>
      </c>
      <c r="M81" s="24" t="s">
        <v>988</v>
      </c>
      <c r="N81" s="24">
        <v>1</v>
      </c>
      <c r="P81" s="24" t="s">
        <v>449</v>
      </c>
    </row>
    <row r="82" spans="1:16">
      <c r="A82" s="261">
        <v>2103000000039</v>
      </c>
      <c r="C82" s="24" t="s">
        <v>447</v>
      </c>
      <c r="D82" s="80" t="s">
        <v>429</v>
      </c>
      <c r="E82" s="80" t="b">
        <v>0</v>
      </c>
    </row>
    <row r="83" spans="1:16">
      <c r="D83" s="80"/>
      <c r="E83" s="80"/>
      <c r="H83" s="24" t="s">
        <v>332</v>
      </c>
      <c r="I83" s="24" t="s">
        <v>448</v>
      </c>
      <c r="J83" s="24" t="s">
        <v>269</v>
      </c>
      <c r="K83" s="24" t="s">
        <v>334</v>
      </c>
      <c r="L83" s="24" t="s">
        <v>394</v>
      </c>
      <c r="M83" s="24" t="s">
        <v>1523</v>
      </c>
      <c r="N83" s="24">
        <v>1</v>
      </c>
      <c r="P83" s="24" t="s">
        <v>449</v>
      </c>
    </row>
    <row r="84" spans="1:16">
      <c r="A84" s="261">
        <v>2103000000040</v>
      </c>
      <c r="C84" s="24" t="s">
        <v>447</v>
      </c>
      <c r="D84" s="80" t="s">
        <v>429</v>
      </c>
      <c r="E84" s="80" t="b">
        <v>0</v>
      </c>
    </row>
    <row r="85" spans="1:16">
      <c r="D85" s="80"/>
      <c r="E85" s="80"/>
      <c r="H85" s="24" t="s">
        <v>332</v>
      </c>
      <c r="I85" s="24" t="s">
        <v>448</v>
      </c>
      <c r="J85" s="24" t="s">
        <v>269</v>
      </c>
      <c r="K85" s="24" t="s">
        <v>334</v>
      </c>
      <c r="L85" s="24" t="s">
        <v>394</v>
      </c>
      <c r="M85" s="24" t="s">
        <v>2090</v>
      </c>
      <c r="N85" s="24">
        <v>1</v>
      </c>
      <c r="P85" s="24" t="s">
        <v>449</v>
      </c>
    </row>
    <row r="86" spans="1:16">
      <c r="A86" s="261">
        <v>2103000000041</v>
      </c>
      <c r="C86" s="24" t="s">
        <v>447</v>
      </c>
      <c r="D86" s="80" t="s">
        <v>429</v>
      </c>
      <c r="E86" s="80" t="b">
        <v>0</v>
      </c>
    </row>
    <row r="87" spans="1:16">
      <c r="D87" s="80"/>
      <c r="E87" s="80"/>
      <c r="H87" s="24" t="s">
        <v>332</v>
      </c>
      <c r="I87" s="24" t="s">
        <v>448</v>
      </c>
      <c r="J87" s="24" t="s">
        <v>269</v>
      </c>
      <c r="K87" s="24" t="s">
        <v>334</v>
      </c>
      <c r="L87" s="24" t="s">
        <v>394</v>
      </c>
      <c r="M87" s="24" t="s">
        <v>2091</v>
      </c>
      <c r="N87" s="24">
        <v>1</v>
      </c>
      <c r="P87" s="24" t="s">
        <v>449</v>
      </c>
    </row>
    <row r="88" spans="1:16">
      <c r="A88" s="261">
        <v>2103000000042</v>
      </c>
      <c r="C88" s="24" t="s">
        <v>447</v>
      </c>
      <c r="D88" s="80" t="s">
        <v>429</v>
      </c>
      <c r="E88" s="80" t="b">
        <v>0</v>
      </c>
    </row>
    <row r="89" spans="1:16">
      <c r="D89" s="80"/>
      <c r="E89" s="80"/>
      <c r="H89" s="24" t="s">
        <v>332</v>
      </c>
      <c r="I89" s="24" t="s">
        <v>448</v>
      </c>
      <c r="J89" s="24" t="s">
        <v>269</v>
      </c>
      <c r="K89" s="24" t="s">
        <v>334</v>
      </c>
      <c r="L89" s="24" t="s">
        <v>394</v>
      </c>
      <c r="M89" s="24" t="s">
        <v>2753</v>
      </c>
      <c r="N89" s="24">
        <v>1</v>
      </c>
      <c r="P89" s="24" t="s">
        <v>449</v>
      </c>
    </row>
    <row r="90" spans="1:16">
      <c r="A90" s="261">
        <v>2103100000001</v>
      </c>
      <c r="C90" s="24" t="s">
        <v>447</v>
      </c>
      <c r="D90" s="80" t="s">
        <v>429</v>
      </c>
      <c r="E90" s="80" t="b">
        <v>0</v>
      </c>
    </row>
    <row r="91" spans="1:16">
      <c r="D91" s="80"/>
      <c r="E91" s="80"/>
      <c r="H91" s="24" t="s">
        <v>332</v>
      </c>
      <c r="I91" s="24" t="s">
        <v>2792</v>
      </c>
      <c r="J91" s="24" t="s">
        <v>2792</v>
      </c>
      <c r="K91" s="24" t="s">
        <v>334</v>
      </c>
      <c r="L91" s="19" t="s">
        <v>793</v>
      </c>
      <c r="M91" s="24" t="s">
        <v>1404</v>
      </c>
      <c r="N91" s="24">
        <v>1</v>
      </c>
      <c r="P91" s="24" t="s">
        <v>449</v>
      </c>
    </row>
    <row r="92" spans="1:16">
      <c r="A92" s="261">
        <v>2103100000002</v>
      </c>
      <c r="C92" s="24" t="s">
        <v>447</v>
      </c>
      <c r="D92" s="80" t="s">
        <v>429</v>
      </c>
      <c r="E92" s="80" t="b">
        <v>0</v>
      </c>
    </row>
    <row r="93" spans="1:16">
      <c r="D93" s="80"/>
      <c r="E93" s="80"/>
      <c r="H93" s="24" t="s">
        <v>332</v>
      </c>
      <c r="I93" s="24" t="s">
        <v>2793</v>
      </c>
      <c r="J93" s="24" t="s">
        <v>2793</v>
      </c>
      <c r="K93" s="24" t="s">
        <v>334</v>
      </c>
      <c r="L93" s="24" t="s">
        <v>703</v>
      </c>
      <c r="M93" s="24" t="s">
        <v>2782</v>
      </c>
      <c r="N93" s="24">
        <v>1</v>
      </c>
      <c r="P93" s="24" t="s">
        <v>449</v>
      </c>
    </row>
  </sheetData>
  <phoneticPr fontId="4" type="noConversion"/>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677"/>
  <sheetViews>
    <sheetView topLeftCell="A621" zoomScale="85" zoomScaleNormal="85" workbookViewId="0">
      <selection activeCell="C675" sqref="C675"/>
    </sheetView>
  </sheetViews>
  <sheetFormatPr defaultColWidth="9" defaultRowHeight="13.5"/>
  <cols>
    <col min="1" max="1" width="15.375" style="172" bestFit="1" customWidth="1"/>
    <col min="2" max="2" width="47.25" style="24" bestFit="1" customWidth="1"/>
    <col min="3" max="3" width="16.875" style="172" bestFit="1" customWidth="1"/>
    <col min="4" max="5" width="16.125" style="24" customWidth="1"/>
    <col min="6" max="7" width="8.25" style="24" customWidth="1"/>
    <col min="8" max="8" width="8" style="24" bestFit="1" customWidth="1"/>
    <col min="9" max="9" width="26.375" style="24" bestFit="1" customWidth="1"/>
    <col min="10" max="10" width="27.375" style="24" bestFit="1" customWidth="1"/>
    <col min="11" max="11" width="18.125" style="24" bestFit="1" customWidth="1"/>
    <col min="12" max="12" width="22.875" style="24" bestFit="1" customWidth="1"/>
    <col min="13" max="13" width="30.375" style="24" bestFit="1" customWidth="1"/>
    <col min="14" max="14" width="9.375" style="24" bestFit="1" customWidth="1"/>
    <col min="15" max="15" width="31.625" style="24" bestFit="1" customWidth="1"/>
    <col min="16" max="16" width="13.75" style="24" bestFit="1" customWidth="1"/>
    <col min="17" max="20" width="9" style="24" customWidth="1"/>
    <col min="21" max="16384" width="9" style="24"/>
  </cols>
  <sheetData>
    <row r="1" spans="1:16" s="23" customFormat="1" ht="16.5" customHeight="1">
      <c r="A1" s="170" t="s">
        <v>304</v>
      </c>
      <c r="B1" s="6" t="s">
        <v>305</v>
      </c>
      <c r="C1" s="272" t="s">
        <v>306</v>
      </c>
      <c r="D1" s="21" t="s">
        <v>307</v>
      </c>
      <c r="E1" s="6" t="s">
        <v>308</v>
      </c>
      <c r="F1" s="20" t="s">
        <v>636</v>
      </c>
      <c r="G1" s="165" t="s">
        <v>3740</v>
      </c>
      <c r="H1" s="22" t="s">
        <v>309</v>
      </c>
      <c r="I1" s="22" t="s">
        <v>310</v>
      </c>
      <c r="J1" s="22" t="s">
        <v>311</v>
      </c>
      <c r="K1" s="22" t="s">
        <v>312</v>
      </c>
      <c r="L1" s="22" t="s">
        <v>313</v>
      </c>
      <c r="M1" s="22" t="s">
        <v>314</v>
      </c>
      <c r="N1" s="22" t="s">
        <v>315</v>
      </c>
      <c r="O1" s="22" t="s">
        <v>316</v>
      </c>
      <c r="P1" s="9" t="s">
        <v>317</v>
      </c>
    </row>
    <row r="2" spans="1:16" s="23" customFormat="1" ht="16.5" customHeight="1">
      <c r="A2" s="170" t="s">
        <v>318</v>
      </c>
      <c r="B2" s="5" t="s">
        <v>3</v>
      </c>
      <c r="C2" s="170" t="s">
        <v>319</v>
      </c>
      <c r="D2" s="20" t="s">
        <v>320</v>
      </c>
      <c r="E2" s="5" t="s">
        <v>321</v>
      </c>
      <c r="F2" s="20" t="s">
        <v>320</v>
      </c>
      <c r="G2" s="165" t="s">
        <v>851</v>
      </c>
      <c r="H2" s="22" t="s">
        <v>322</v>
      </c>
      <c r="I2" s="22" t="s">
        <v>323</v>
      </c>
      <c r="J2" s="22" t="s">
        <v>323</v>
      </c>
      <c r="K2" s="22" t="s">
        <v>324</v>
      </c>
      <c r="L2" s="22" t="s">
        <v>325</v>
      </c>
      <c r="M2" s="22" t="s">
        <v>326</v>
      </c>
      <c r="N2" s="22" t="s">
        <v>322</v>
      </c>
      <c r="O2" s="22" t="s">
        <v>320</v>
      </c>
      <c r="P2" s="9" t="s">
        <v>327</v>
      </c>
    </row>
    <row r="3" spans="1:16" s="23" customFormat="1" ht="16.5">
      <c r="A3" s="170" t="s">
        <v>328</v>
      </c>
      <c r="B3" s="5" t="s">
        <v>3</v>
      </c>
      <c r="C3" s="170" t="s">
        <v>328</v>
      </c>
      <c r="D3" s="20" t="s">
        <v>329</v>
      </c>
      <c r="E3" s="5" t="s">
        <v>4</v>
      </c>
      <c r="F3" s="20" t="s">
        <v>328</v>
      </c>
      <c r="G3" s="165" t="s">
        <v>328</v>
      </c>
      <c r="H3" s="22" t="s">
        <v>328</v>
      </c>
      <c r="I3" s="22" t="s">
        <v>4</v>
      </c>
      <c r="J3" s="22" t="s">
        <v>4</v>
      </c>
      <c r="K3" s="22" t="s">
        <v>328</v>
      </c>
      <c r="L3" s="22" t="s">
        <v>328</v>
      </c>
      <c r="M3" s="22" t="s">
        <v>328</v>
      </c>
      <c r="N3" s="22" t="s">
        <v>328</v>
      </c>
      <c r="O3" s="22" t="s">
        <v>328</v>
      </c>
      <c r="P3" s="9" t="s">
        <v>4</v>
      </c>
    </row>
    <row r="4" spans="1:16" s="154" customFormat="1" ht="16.5">
      <c r="A4" s="264">
        <v>2104000000017</v>
      </c>
      <c r="B4" s="303" t="s">
        <v>3450</v>
      </c>
      <c r="C4" s="264">
        <v>2200000000010</v>
      </c>
      <c r="D4" s="146" t="s">
        <v>1073</v>
      </c>
      <c r="E4" s="146" t="b">
        <v>0</v>
      </c>
      <c r="I4" s="24"/>
      <c r="J4" s="24"/>
    </row>
    <row r="5" spans="1:16">
      <c r="B5" s="172"/>
      <c r="D5" s="80"/>
      <c r="E5" s="80"/>
      <c r="H5" s="24">
        <v>1</v>
      </c>
      <c r="I5" s="24" t="s">
        <v>448</v>
      </c>
      <c r="J5" s="24" t="s">
        <v>269</v>
      </c>
      <c r="K5" s="24" t="s">
        <v>3451</v>
      </c>
      <c r="L5" s="265" t="s">
        <v>3452</v>
      </c>
      <c r="N5" s="24">
        <v>1</v>
      </c>
      <c r="O5" s="24" t="s">
        <v>3453</v>
      </c>
      <c r="P5" s="24" t="s">
        <v>488</v>
      </c>
    </row>
    <row r="6" spans="1:16">
      <c r="A6" s="172">
        <v>2104000000034</v>
      </c>
      <c r="B6" s="24" t="s">
        <v>1563</v>
      </c>
      <c r="C6" s="172">
        <v>2200000000010</v>
      </c>
      <c r="D6" s="24" t="s">
        <v>331</v>
      </c>
      <c r="E6" s="24" t="b">
        <v>0</v>
      </c>
    </row>
    <row r="7" spans="1:16">
      <c r="B7" s="24" t="s">
        <v>1562</v>
      </c>
      <c r="H7" s="24">
        <v>1</v>
      </c>
      <c r="I7" s="24" t="s">
        <v>448</v>
      </c>
      <c r="J7" s="24" t="s">
        <v>269</v>
      </c>
      <c r="K7" s="24" t="s">
        <v>677</v>
      </c>
      <c r="L7" s="24" t="s">
        <v>1356</v>
      </c>
      <c r="M7" s="110" t="s">
        <v>1995</v>
      </c>
      <c r="N7" s="24">
        <v>2</v>
      </c>
      <c r="O7" s="24" t="s">
        <v>1662</v>
      </c>
      <c r="P7" s="24" t="s">
        <v>488</v>
      </c>
    </row>
    <row r="8" spans="1:16">
      <c r="A8" s="172">
        <v>2104000000035</v>
      </c>
      <c r="B8" s="24" t="s">
        <v>1564</v>
      </c>
      <c r="C8" s="172">
        <v>2200000000010</v>
      </c>
      <c r="D8" s="24" t="s">
        <v>331</v>
      </c>
      <c r="E8" s="24" t="b">
        <v>0</v>
      </c>
      <c r="M8" s="110"/>
    </row>
    <row r="9" spans="1:16">
      <c r="B9" s="24" t="s">
        <v>1562</v>
      </c>
      <c r="H9" s="24">
        <v>1</v>
      </c>
      <c r="I9" s="24" t="s">
        <v>448</v>
      </c>
      <c r="J9" s="24" t="s">
        <v>269</v>
      </c>
      <c r="K9" s="24" t="s">
        <v>677</v>
      </c>
      <c r="L9" s="24" t="s">
        <v>1356</v>
      </c>
      <c r="M9" s="110" t="s">
        <v>1995</v>
      </c>
      <c r="N9" s="24">
        <v>5</v>
      </c>
      <c r="O9" s="24" t="s">
        <v>1663</v>
      </c>
      <c r="P9" s="24" t="s">
        <v>488</v>
      </c>
    </row>
    <row r="10" spans="1:16">
      <c r="A10" s="172">
        <v>2104000000036</v>
      </c>
      <c r="B10" s="24" t="s">
        <v>1565</v>
      </c>
      <c r="C10" s="172">
        <v>2200000000010</v>
      </c>
      <c r="D10" s="24" t="s">
        <v>331</v>
      </c>
      <c r="E10" s="24" t="b">
        <v>0</v>
      </c>
      <c r="M10" s="110"/>
    </row>
    <row r="11" spans="1:16">
      <c r="H11" s="24">
        <v>1</v>
      </c>
      <c r="I11" s="24" t="s">
        <v>448</v>
      </c>
      <c r="J11" s="24" t="s">
        <v>269</v>
      </c>
      <c r="K11" s="24" t="s">
        <v>677</v>
      </c>
      <c r="L11" s="24" t="s">
        <v>1356</v>
      </c>
      <c r="M11" s="110" t="s">
        <v>1995</v>
      </c>
      <c r="N11" s="24">
        <v>7</v>
      </c>
      <c r="O11" s="24" t="s">
        <v>1664</v>
      </c>
      <c r="P11" s="24" t="s">
        <v>488</v>
      </c>
    </row>
    <row r="12" spans="1:16">
      <c r="A12" s="172">
        <v>2104000000037</v>
      </c>
      <c r="B12" s="24" t="s">
        <v>1566</v>
      </c>
      <c r="C12" s="172">
        <v>2200000000010</v>
      </c>
      <c r="D12" s="24" t="s">
        <v>331</v>
      </c>
      <c r="E12" s="24" t="b">
        <v>0</v>
      </c>
      <c r="M12" s="110"/>
    </row>
    <row r="13" spans="1:16">
      <c r="B13" s="24" t="s">
        <v>1562</v>
      </c>
      <c r="H13" s="24">
        <v>1</v>
      </c>
      <c r="I13" s="24" t="s">
        <v>448</v>
      </c>
      <c r="J13" s="24" t="s">
        <v>269</v>
      </c>
      <c r="K13" s="24" t="s">
        <v>677</v>
      </c>
      <c r="L13" s="24" t="s">
        <v>1356</v>
      </c>
      <c r="M13" s="110" t="s">
        <v>1998</v>
      </c>
      <c r="N13" s="24">
        <v>2</v>
      </c>
      <c r="O13" s="24" t="s">
        <v>1665</v>
      </c>
      <c r="P13" s="24" t="s">
        <v>488</v>
      </c>
    </row>
    <row r="14" spans="1:16">
      <c r="A14" s="172">
        <v>2104000000038</v>
      </c>
      <c r="B14" s="24" t="s">
        <v>1567</v>
      </c>
      <c r="C14" s="172">
        <v>2200000000010</v>
      </c>
      <c r="D14" s="24" t="s">
        <v>331</v>
      </c>
      <c r="E14" s="24" t="b">
        <v>0</v>
      </c>
      <c r="M14" s="110"/>
    </row>
    <row r="15" spans="1:16">
      <c r="B15" s="24" t="s">
        <v>1562</v>
      </c>
      <c r="H15" s="24">
        <v>1</v>
      </c>
      <c r="I15" s="24" t="s">
        <v>448</v>
      </c>
      <c r="J15" s="24" t="s">
        <v>269</v>
      </c>
      <c r="K15" s="24" t="s">
        <v>677</v>
      </c>
      <c r="L15" s="24" t="s">
        <v>1356</v>
      </c>
      <c r="M15" s="110" t="s">
        <v>1998</v>
      </c>
      <c r="N15" s="24">
        <v>5</v>
      </c>
      <c r="O15" s="24" t="s">
        <v>1666</v>
      </c>
      <c r="P15" s="24" t="s">
        <v>488</v>
      </c>
    </row>
    <row r="16" spans="1:16">
      <c r="A16" s="172">
        <v>2104000000039</v>
      </c>
      <c r="B16" s="24" t="s">
        <v>1568</v>
      </c>
      <c r="C16" s="172">
        <v>2200000000010</v>
      </c>
      <c r="D16" s="24" t="s">
        <v>331</v>
      </c>
      <c r="E16" s="24" t="b">
        <v>0</v>
      </c>
      <c r="M16" s="110"/>
    </row>
    <row r="17" spans="1:16">
      <c r="H17" s="24">
        <v>1</v>
      </c>
      <c r="I17" s="24" t="s">
        <v>448</v>
      </c>
      <c r="J17" s="24" t="s">
        <v>269</v>
      </c>
      <c r="K17" s="24" t="s">
        <v>677</v>
      </c>
      <c r="L17" s="24" t="s">
        <v>1356</v>
      </c>
      <c r="M17" s="110" t="s">
        <v>1998</v>
      </c>
      <c r="N17" s="24">
        <v>7</v>
      </c>
      <c r="O17" s="24" t="s">
        <v>1667</v>
      </c>
      <c r="P17" s="24" t="s">
        <v>488</v>
      </c>
    </row>
    <row r="18" spans="1:16">
      <c r="A18" s="172">
        <v>2104000000040</v>
      </c>
      <c r="B18" s="24" t="s">
        <v>1569</v>
      </c>
      <c r="C18" s="172">
        <v>2200000000010</v>
      </c>
      <c r="D18" s="24" t="s">
        <v>331</v>
      </c>
      <c r="E18" s="24" t="b">
        <v>0</v>
      </c>
      <c r="M18" s="110"/>
    </row>
    <row r="19" spans="1:16">
      <c r="B19" s="24" t="s">
        <v>1562</v>
      </c>
      <c r="H19" s="24">
        <v>1</v>
      </c>
      <c r="I19" s="24" t="s">
        <v>448</v>
      </c>
      <c r="J19" s="24" t="s">
        <v>269</v>
      </c>
      <c r="K19" s="24" t="s">
        <v>677</v>
      </c>
      <c r="L19" s="24" t="s">
        <v>1356</v>
      </c>
      <c r="M19" s="110" t="s">
        <v>2001</v>
      </c>
      <c r="N19" s="24">
        <v>2</v>
      </c>
      <c r="O19" s="24" t="s">
        <v>1668</v>
      </c>
      <c r="P19" s="24" t="s">
        <v>488</v>
      </c>
    </row>
    <row r="20" spans="1:16">
      <c r="A20" s="172">
        <v>2104000000041</v>
      </c>
      <c r="B20" s="24" t="s">
        <v>1570</v>
      </c>
      <c r="C20" s="172">
        <v>2200000000010</v>
      </c>
      <c r="D20" s="24" t="s">
        <v>331</v>
      </c>
      <c r="E20" s="24" t="b">
        <v>0</v>
      </c>
      <c r="M20" s="110"/>
    </row>
    <row r="21" spans="1:16">
      <c r="B21" s="24" t="s">
        <v>1562</v>
      </c>
      <c r="H21" s="24">
        <v>1</v>
      </c>
      <c r="I21" s="24" t="s">
        <v>448</v>
      </c>
      <c r="J21" s="24" t="s">
        <v>269</v>
      </c>
      <c r="K21" s="24" t="s">
        <v>677</v>
      </c>
      <c r="L21" s="24" t="s">
        <v>1356</v>
      </c>
      <c r="M21" s="110" t="s">
        <v>2001</v>
      </c>
      <c r="N21" s="24">
        <v>5</v>
      </c>
      <c r="O21" s="24" t="s">
        <v>1669</v>
      </c>
      <c r="P21" s="24" t="s">
        <v>488</v>
      </c>
    </row>
    <row r="22" spans="1:16">
      <c r="A22" s="172">
        <v>2104000000042</v>
      </c>
      <c r="B22" s="24" t="s">
        <v>1571</v>
      </c>
      <c r="C22" s="172">
        <v>2200000000010</v>
      </c>
      <c r="D22" s="24" t="s">
        <v>331</v>
      </c>
      <c r="E22" s="24" t="b">
        <v>0</v>
      </c>
      <c r="M22" s="110"/>
    </row>
    <row r="23" spans="1:16">
      <c r="H23" s="24">
        <v>1</v>
      </c>
      <c r="I23" s="24" t="s">
        <v>448</v>
      </c>
      <c r="J23" s="24" t="s">
        <v>269</v>
      </c>
      <c r="K23" s="24" t="s">
        <v>677</v>
      </c>
      <c r="L23" s="24" t="s">
        <v>1356</v>
      </c>
      <c r="M23" s="110" t="s">
        <v>2001</v>
      </c>
      <c r="N23" s="24">
        <v>7</v>
      </c>
      <c r="O23" s="24" t="s">
        <v>1670</v>
      </c>
      <c r="P23" s="24" t="s">
        <v>488</v>
      </c>
    </row>
    <row r="24" spans="1:16">
      <c r="A24" s="172">
        <v>2104000000046</v>
      </c>
      <c r="B24" s="24" t="s">
        <v>1572</v>
      </c>
      <c r="C24" s="172">
        <v>2200000000010</v>
      </c>
      <c r="D24" s="24" t="s">
        <v>331</v>
      </c>
      <c r="E24" s="24" t="b">
        <v>0</v>
      </c>
      <c r="M24" s="110"/>
    </row>
    <row r="25" spans="1:16">
      <c r="B25" s="24" t="s">
        <v>1562</v>
      </c>
      <c r="H25" s="24">
        <v>1</v>
      </c>
      <c r="I25" s="24" t="s">
        <v>448</v>
      </c>
      <c r="J25" s="24" t="s">
        <v>269</v>
      </c>
      <c r="K25" s="24" t="s">
        <v>677</v>
      </c>
      <c r="L25" s="24" t="s">
        <v>1356</v>
      </c>
      <c r="M25" s="110" t="s">
        <v>2004</v>
      </c>
      <c r="N25" s="24">
        <v>2</v>
      </c>
      <c r="O25" s="24" t="s">
        <v>1671</v>
      </c>
      <c r="P25" s="24" t="s">
        <v>488</v>
      </c>
    </row>
    <row r="26" spans="1:16">
      <c r="A26" s="172">
        <v>2104000000047</v>
      </c>
      <c r="B26" s="24" t="s">
        <v>1573</v>
      </c>
      <c r="C26" s="172">
        <v>2200000000010</v>
      </c>
      <c r="D26" s="24" t="s">
        <v>331</v>
      </c>
      <c r="E26" s="24" t="b">
        <v>0</v>
      </c>
      <c r="M26" s="110"/>
    </row>
    <row r="27" spans="1:16">
      <c r="B27" s="24" t="s">
        <v>1562</v>
      </c>
      <c r="H27" s="24">
        <v>1</v>
      </c>
      <c r="I27" s="24" t="s">
        <v>448</v>
      </c>
      <c r="J27" s="24" t="s">
        <v>269</v>
      </c>
      <c r="K27" s="24" t="s">
        <v>677</v>
      </c>
      <c r="L27" s="24" t="s">
        <v>1356</v>
      </c>
      <c r="M27" s="110" t="s">
        <v>2004</v>
      </c>
      <c r="N27" s="24">
        <v>5</v>
      </c>
      <c r="O27" s="24" t="s">
        <v>1672</v>
      </c>
      <c r="P27" s="24" t="s">
        <v>488</v>
      </c>
    </row>
    <row r="28" spans="1:16">
      <c r="A28" s="172">
        <v>2104000000048</v>
      </c>
      <c r="B28" s="24" t="s">
        <v>1574</v>
      </c>
      <c r="C28" s="172">
        <v>2200000000010</v>
      </c>
      <c r="D28" s="24" t="s">
        <v>331</v>
      </c>
      <c r="E28" s="24" t="b">
        <v>0</v>
      </c>
      <c r="M28" s="110"/>
    </row>
    <row r="29" spans="1:16">
      <c r="H29" s="24">
        <v>1</v>
      </c>
      <c r="I29" s="24" t="s">
        <v>448</v>
      </c>
      <c r="J29" s="24" t="s">
        <v>269</v>
      </c>
      <c r="K29" s="24" t="s">
        <v>677</v>
      </c>
      <c r="L29" s="24" t="s">
        <v>1356</v>
      </c>
      <c r="M29" s="110" t="s">
        <v>2004</v>
      </c>
      <c r="N29" s="24">
        <v>7</v>
      </c>
      <c r="O29" s="24" t="s">
        <v>1673</v>
      </c>
      <c r="P29" s="24" t="s">
        <v>488</v>
      </c>
    </row>
    <row r="30" spans="1:16">
      <c r="A30" s="172">
        <v>2104000000049</v>
      </c>
      <c r="B30" s="24" t="s">
        <v>1575</v>
      </c>
      <c r="C30" s="172">
        <v>2200000000010</v>
      </c>
      <c r="D30" s="24" t="s">
        <v>331</v>
      </c>
      <c r="E30" s="24" t="b">
        <v>0</v>
      </c>
      <c r="M30" s="110"/>
    </row>
    <row r="31" spans="1:16">
      <c r="B31" s="24" t="s">
        <v>1562</v>
      </c>
      <c r="H31" s="24">
        <v>1</v>
      </c>
      <c r="I31" s="24" t="s">
        <v>448</v>
      </c>
      <c r="J31" s="24" t="s">
        <v>269</v>
      </c>
      <c r="K31" s="24" t="s">
        <v>677</v>
      </c>
      <c r="L31" s="24" t="s">
        <v>1356</v>
      </c>
      <c r="M31" s="110" t="s">
        <v>2007</v>
      </c>
      <c r="N31" s="24">
        <v>2</v>
      </c>
      <c r="O31" s="24" t="s">
        <v>1674</v>
      </c>
      <c r="P31" s="24" t="s">
        <v>488</v>
      </c>
    </row>
    <row r="32" spans="1:16">
      <c r="A32" s="172">
        <v>2104000000050</v>
      </c>
      <c r="B32" s="24" t="s">
        <v>1576</v>
      </c>
      <c r="C32" s="172">
        <v>2200000000010</v>
      </c>
      <c r="D32" s="24" t="s">
        <v>331</v>
      </c>
      <c r="E32" s="24" t="b">
        <v>0</v>
      </c>
      <c r="M32" s="110"/>
    </row>
    <row r="33" spans="1:16">
      <c r="B33" s="24" t="s">
        <v>1562</v>
      </c>
      <c r="H33" s="24">
        <v>1</v>
      </c>
      <c r="I33" s="24" t="s">
        <v>448</v>
      </c>
      <c r="J33" s="24" t="s">
        <v>269</v>
      </c>
      <c r="K33" s="24" t="s">
        <v>677</v>
      </c>
      <c r="L33" s="24" t="s">
        <v>1356</v>
      </c>
      <c r="M33" s="110" t="s">
        <v>2007</v>
      </c>
      <c r="N33" s="24">
        <v>5</v>
      </c>
      <c r="O33" s="24" t="s">
        <v>1675</v>
      </c>
      <c r="P33" s="24" t="s">
        <v>488</v>
      </c>
    </row>
    <row r="34" spans="1:16">
      <c r="A34" s="172">
        <v>2104000000051</v>
      </c>
      <c r="B34" s="24" t="s">
        <v>1577</v>
      </c>
      <c r="C34" s="172">
        <v>2200000000010</v>
      </c>
      <c r="D34" s="24" t="s">
        <v>331</v>
      </c>
      <c r="E34" s="24" t="b">
        <v>0</v>
      </c>
      <c r="M34" s="110"/>
    </row>
    <row r="35" spans="1:16">
      <c r="H35" s="24">
        <v>1</v>
      </c>
      <c r="I35" s="24" t="s">
        <v>448</v>
      </c>
      <c r="J35" s="24" t="s">
        <v>269</v>
      </c>
      <c r="K35" s="24" t="s">
        <v>677</v>
      </c>
      <c r="L35" s="24" t="s">
        <v>1356</v>
      </c>
      <c r="M35" s="110" t="s">
        <v>2007</v>
      </c>
      <c r="N35" s="24">
        <v>7</v>
      </c>
      <c r="O35" s="24" t="s">
        <v>1676</v>
      </c>
      <c r="P35" s="24" t="s">
        <v>488</v>
      </c>
    </row>
    <row r="36" spans="1:16">
      <c r="A36" s="172">
        <v>2104000000052</v>
      </c>
      <c r="B36" s="24" t="s">
        <v>1578</v>
      </c>
      <c r="C36" s="172">
        <v>2200000000010</v>
      </c>
      <c r="D36" s="24" t="s">
        <v>331</v>
      </c>
      <c r="E36" s="24" t="b">
        <v>0</v>
      </c>
      <c r="M36" s="110"/>
    </row>
    <row r="37" spans="1:16">
      <c r="B37" s="24" t="s">
        <v>1562</v>
      </c>
      <c r="H37" s="24">
        <v>1</v>
      </c>
      <c r="I37" s="24" t="s">
        <v>448</v>
      </c>
      <c r="J37" s="24" t="s">
        <v>269</v>
      </c>
      <c r="K37" s="24" t="s">
        <v>677</v>
      </c>
      <c r="L37" s="24" t="s">
        <v>1356</v>
      </c>
      <c r="M37" s="110" t="s">
        <v>2010</v>
      </c>
      <c r="N37" s="24">
        <v>2</v>
      </c>
      <c r="O37" s="24" t="s">
        <v>1677</v>
      </c>
      <c r="P37" s="24" t="s">
        <v>488</v>
      </c>
    </row>
    <row r="38" spans="1:16">
      <c r="A38" s="172">
        <v>2104000000053</v>
      </c>
      <c r="B38" s="24" t="s">
        <v>1579</v>
      </c>
      <c r="C38" s="172">
        <v>2200000000010</v>
      </c>
      <c r="D38" s="24" t="s">
        <v>331</v>
      </c>
      <c r="E38" s="24" t="b">
        <v>0</v>
      </c>
      <c r="M38" s="110"/>
    </row>
    <row r="39" spans="1:16">
      <c r="B39" s="24" t="s">
        <v>1562</v>
      </c>
      <c r="H39" s="24">
        <v>1</v>
      </c>
      <c r="I39" s="24" t="s">
        <v>448</v>
      </c>
      <c r="J39" s="24" t="s">
        <v>269</v>
      </c>
      <c r="K39" s="24" t="s">
        <v>677</v>
      </c>
      <c r="L39" s="24" t="s">
        <v>1356</v>
      </c>
      <c r="M39" s="110" t="s">
        <v>2010</v>
      </c>
      <c r="N39" s="24">
        <v>5</v>
      </c>
      <c r="O39" s="24" t="s">
        <v>1678</v>
      </c>
      <c r="P39" s="24" t="s">
        <v>488</v>
      </c>
    </row>
    <row r="40" spans="1:16">
      <c r="A40" s="172">
        <v>2104000000054</v>
      </c>
      <c r="B40" s="24" t="s">
        <v>1580</v>
      </c>
      <c r="C40" s="172">
        <v>2200000000010</v>
      </c>
      <c r="D40" s="24" t="s">
        <v>331</v>
      </c>
      <c r="E40" s="24" t="b">
        <v>0</v>
      </c>
      <c r="M40" s="110"/>
    </row>
    <row r="41" spans="1:16">
      <c r="H41" s="24">
        <v>1</v>
      </c>
      <c r="I41" s="24" t="s">
        <v>448</v>
      </c>
      <c r="J41" s="24" t="s">
        <v>269</v>
      </c>
      <c r="K41" s="24" t="s">
        <v>677</v>
      </c>
      <c r="L41" s="24" t="s">
        <v>1356</v>
      </c>
      <c r="M41" s="110" t="s">
        <v>2010</v>
      </c>
      <c r="N41" s="24">
        <v>7</v>
      </c>
      <c r="O41" s="24" t="s">
        <v>1679</v>
      </c>
      <c r="P41" s="24" t="s">
        <v>488</v>
      </c>
    </row>
    <row r="42" spans="1:16">
      <c r="A42" s="172">
        <v>2104000000055</v>
      </c>
      <c r="B42" s="24" t="s">
        <v>1581</v>
      </c>
      <c r="C42" s="172">
        <v>2200000000010</v>
      </c>
      <c r="D42" s="24" t="s">
        <v>331</v>
      </c>
      <c r="E42" s="24" t="b">
        <v>0</v>
      </c>
      <c r="M42" s="110"/>
    </row>
    <row r="43" spans="1:16">
      <c r="B43" s="24" t="s">
        <v>1562</v>
      </c>
      <c r="H43" s="24">
        <v>1</v>
      </c>
      <c r="I43" s="24" t="s">
        <v>448</v>
      </c>
      <c r="J43" s="24" t="s">
        <v>269</v>
      </c>
      <c r="K43" s="24" t="s">
        <v>677</v>
      </c>
      <c r="L43" s="24" t="s">
        <v>1356</v>
      </c>
      <c r="M43" s="110" t="s">
        <v>2013</v>
      </c>
      <c r="N43" s="24">
        <v>2</v>
      </c>
      <c r="O43" s="24" t="s">
        <v>1680</v>
      </c>
      <c r="P43" s="24" t="s">
        <v>488</v>
      </c>
    </row>
    <row r="44" spans="1:16">
      <c r="A44" s="172">
        <v>2104000000056</v>
      </c>
      <c r="B44" s="24" t="s">
        <v>1582</v>
      </c>
      <c r="C44" s="172">
        <v>2200000000010</v>
      </c>
      <c r="D44" s="24" t="s">
        <v>331</v>
      </c>
      <c r="E44" s="24" t="b">
        <v>0</v>
      </c>
      <c r="M44" s="110"/>
    </row>
    <row r="45" spans="1:16">
      <c r="B45" s="24" t="s">
        <v>1562</v>
      </c>
      <c r="H45" s="24">
        <v>1</v>
      </c>
      <c r="I45" s="24" t="s">
        <v>448</v>
      </c>
      <c r="J45" s="24" t="s">
        <v>269</v>
      </c>
      <c r="K45" s="24" t="s">
        <v>677</v>
      </c>
      <c r="L45" s="24" t="s">
        <v>1356</v>
      </c>
      <c r="M45" s="110" t="s">
        <v>2013</v>
      </c>
      <c r="N45" s="24">
        <v>5</v>
      </c>
      <c r="O45" s="24" t="s">
        <v>1681</v>
      </c>
      <c r="P45" s="24" t="s">
        <v>488</v>
      </c>
    </row>
    <row r="46" spans="1:16">
      <c r="A46" s="172">
        <v>2104000000057</v>
      </c>
      <c r="B46" s="24" t="s">
        <v>1583</v>
      </c>
      <c r="C46" s="172">
        <v>2200000000010</v>
      </c>
      <c r="D46" s="24" t="s">
        <v>331</v>
      </c>
      <c r="E46" s="24" t="b">
        <v>0</v>
      </c>
      <c r="M46" s="110"/>
    </row>
    <row r="47" spans="1:16">
      <c r="H47" s="24">
        <v>1</v>
      </c>
      <c r="I47" s="24" t="s">
        <v>448</v>
      </c>
      <c r="J47" s="24" t="s">
        <v>269</v>
      </c>
      <c r="K47" s="24" t="s">
        <v>677</v>
      </c>
      <c r="L47" s="24" t="s">
        <v>1356</v>
      </c>
      <c r="M47" s="110" t="s">
        <v>2013</v>
      </c>
      <c r="N47" s="24">
        <v>7</v>
      </c>
      <c r="O47" s="24" t="s">
        <v>1682</v>
      </c>
      <c r="P47" s="24" t="s">
        <v>488</v>
      </c>
    </row>
    <row r="48" spans="1:16">
      <c r="A48" s="172">
        <v>2104000000058</v>
      </c>
      <c r="B48" s="24" t="s">
        <v>1584</v>
      </c>
      <c r="C48" s="172">
        <v>2200000000010</v>
      </c>
      <c r="D48" s="24" t="s">
        <v>331</v>
      </c>
      <c r="E48" s="24" t="b">
        <v>0</v>
      </c>
      <c r="M48" s="110"/>
    </row>
    <row r="49" spans="1:16">
      <c r="B49" s="24" t="s">
        <v>1562</v>
      </c>
      <c r="H49" s="24">
        <v>1</v>
      </c>
      <c r="I49" s="24" t="s">
        <v>448</v>
      </c>
      <c r="J49" s="24" t="s">
        <v>269</v>
      </c>
      <c r="K49" s="24" t="s">
        <v>677</v>
      </c>
      <c r="L49" s="24" t="s">
        <v>1356</v>
      </c>
      <c r="M49" s="110" t="s">
        <v>2100</v>
      </c>
      <c r="N49" s="24">
        <v>2</v>
      </c>
      <c r="O49" s="24" t="s">
        <v>1683</v>
      </c>
      <c r="P49" s="24" t="s">
        <v>488</v>
      </c>
    </row>
    <row r="50" spans="1:16">
      <c r="A50" s="172">
        <v>2104000000059</v>
      </c>
      <c r="B50" s="24" t="s">
        <v>1585</v>
      </c>
      <c r="C50" s="172">
        <v>2200000000010</v>
      </c>
      <c r="D50" s="24" t="s">
        <v>331</v>
      </c>
      <c r="E50" s="24" t="b">
        <v>0</v>
      </c>
      <c r="M50" s="110"/>
    </row>
    <row r="51" spans="1:16">
      <c r="B51" s="24" t="s">
        <v>1562</v>
      </c>
      <c r="H51" s="24">
        <v>1</v>
      </c>
      <c r="I51" s="24" t="s">
        <v>448</v>
      </c>
      <c r="J51" s="24" t="s">
        <v>269</v>
      </c>
      <c r="K51" s="24" t="s">
        <v>677</v>
      </c>
      <c r="L51" s="24" t="s">
        <v>1356</v>
      </c>
      <c r="M51" s="110" t="s">
        <v>2100</v>
      </c>
      <c r="N51" s="24">
        <v>5</v>
      </c>
      <c r="O51" s="24" t="s">
        <v>1684</v>
      </c>
      <c r="P51" s="24" t="s">
        <v>488</v>
      </c>
    </row>
    <row r="52" spans="1:16">
      <c r="A52" s="172">
        <v>2104000000060</v>
      </c>
      <c r="B52" s="24" t="s">
        <v>1586</v>
      </c>
      <c r="C52" s="172">
        <v>2200000000010</v>
      </c>
      <c r="D52" s="24" t="s">
        <v>331</v>
      </c>
      <c r="E52" s="24" t="b">
        <v>0</v>
      </c>
      <c r="M52" s="110"/>
    </row>
    <row r="53" spans="1:16">
      <c r="H53" s="24">
        <v>1</v>
      </c>
      <c r="I53" s="24" t="s">
        <v>448</v>
      </c>
      <c r="J53" s="24" t="s">
        <v>269</v>
      </c>
      <c r="K53" s="24" t="s">
        <v>677</v>
      </c>
      <c r="L53" s="24" t="s">
        <v>1356</v>
      </c>
      <c r="M53" s="110" t="s">
        <v>2100</v>
      </c>
      <c r="N53" s="24">
        <v>7</v>
      </c>
      <c r="O53" s="24" t="s">
        <v>1685</v>
      </c>
      <c r="P53" s="24" t="s">
        <v>488</v>
      </c>
    </row>
    <row r="54" spans="1:16">
      <c r="A54" s="172">
        <v>2104000000061</v>
      </c>
      <c r="B54" s="24" t="s">
        <v>1587</v>
      </c>
      <c r="C54" s="172">
        <v>2200000000010</v>
      </c>
      <c r="D54" s="24" t="s">
        <v>331</v>
      </c>
      <c r="E54" s="24" t="b">
        <v>0</v>
      </c>
      <c r="M54" s="110"/>
    </row>
    <row r="55" spans="1:16">
      <c r="B55" s="24" t="s">
        <v>1562</v>
      </c>
      <c r="H55" s="24">
        <v>1</v>
      </c>
      <c r="I55" s="24" t="s">
        <v>448</v>
      </c>
      <c r="J55" s="24" t="s">
        <v>269</v>
      </c>
      <c r="K55" s="24" t="s">
        <v>677</v>
      </c>
      <c r="L55" s="24" t="s">
        <v>1356</v>
      </c>
      <c r="M55" s="110" t="s">
        <v>2101</v>
      </c>
      <c r="N55" s="24">
        <v>2</v>
      </c>
      <c r="O55" s="24" t="s">
        <v>1686</v>
      </c>
      <c r="P55" s="24" t="s">
        <v>488</v>
      </c>
    </row>
    <row r="56" spans="1:16">
      <c r="A56" s="172">
        <v>2104000000062</v>
      </c>
      <c r="B56" s="24" t="s">
        <v>1588</v>
      </c>
      <c r="C56" s="172">
        <v>2200000000010</v>
      </c>
      <c r="D56" s="24" t="s">
        <v>331</v>
      </c>
      <c r="E56" s="24" t="b">
        <v>0</v>
      </c>
      <c r="M56" s="110"/>
    </row>
    <row r="57" spans="1:16">
      <c r="B57" s="24" t="s">
        <v>1562</v>
      </c>
      <c r="H57" s="24">
        <v>1</v>
      </c>
      <c r="I57" s="24" t="s">
        <v>448</v>
      </c>
      <c r="J57" s="24" t="s">
        <v>269</v>
      </c>
      <c r="K57" s="24" t="s">
        <v>677</v>
      </c>
      <c r="L57" s="24" t="s">
        <v>1356</v>
      </c>
      <c r="M57" s="110" t="s">
        <v>2101</v>
      </c>
      <c r="N57" s="24">
        <v>5</v>
      </c>
      <c r="O57" s="24" t="s">
        <v>1687</v>
      </c>
      <c r="P57" s="24" t="s">
        <v>488</v>
      </c>
    </row>
    <row r="58" spans="1:16">
      <c r="A58" s="172">
        <v>2104000000063</v>
      </c>
      <c r="B58" s="24" t="s">
        <v>1589</v>
      </c>
      <c r="C58" s="172">
        <v>2200000000010</v>
      </c>
      <c r="D58" s="24" t="s">
        <v>331</v>
      </c>
      <c r="E58" s="24" t="b">
        <v>0</v>
      </c>
      <c r="M58" s="110"/>
    </row>
    <row r="59" spans="1:16">
      <c r="H59" s="24">
        <v>1</v>
      </c>
      <c r="I59" s="24" t="s">
        <v>448</v>
      </c>
      <c r="J59" s="24" t="s">
        <v>269</v>
      </c>
      <c r="K59" s="24" t="s">
        <v>677</v>
      </c>
      <c r="L59" s="24" t="s">
        <v>1356</v>
      </c>
      <c r="M59" s="110" t="s">
        <v>2101</v>
      </c>
      <c r="N59" s="24">
        <v>7</v>
      </c>
      <c r="O59" s="24" t="s">
        <v>1688</v>
      </c>
      <c r="P59" s="24" t="s">
        <v>488</v>
      </c>
    </row>
    <row r="60" spans="1:16">
      <c r="A60" s="172">
        <v>2104000000067</v>
      </c>
      <c r="B60" s="24" t="s">
        <v>1590</v>
      </c>
      <c r="C60" s="172">
        <v>2200000000010</v>
      </c>
      <c r="D60" s="24" t="s">
        <v>331</v>
      </c>
      <c r="E60" s="24" t="b">
        <v>0</v>
      </c>
      <c r="M60" s="110"/>
    </row>
    <row r="61" spans="1:16">
      <c r="B61" s="24" t="s">
        <v>1562</v>
      </c>
      <c r="H61" s="24">
        <v>1</v>
      </c>
      <c r="I61" s="24" t="s">
        <v>448</v>
      </c>
      <c r="J61" s="24" t="s">
        <v>269</v>
      </c>
      <c r="K61" s="24" t="s">
        <v>677</v>
      </c>
      <c r="L61" s="24" t="s">
        <v>1356</v>
      </c>
      <c r="M61" s="110" t="s">
        <v>2016</v>
      </c>
      <c r="N61" s="24">
        <v>2</v>
      </c>
      <c r="O61" s="24" t="s">
        <v>1689</v>
      </c>
      <c r="P61" s="24" t="s">
        <v>488</v>
      </c>
    </row>
    <row r="62" spans="1:16">
      <c r="A62" s="172">
        <v>2104000000068</v>
      </c>
      <c r="B62" s="24" t="s">
        <v>1591</v>
      </c>
      <c r="C62" s="172">
        <v>2200000000010</v>
      </c>
      <c r="D62" s="24" t="s">
        <v>331</v>
      </c>
      <c r="E62" s="24" t="b">
        <v>0</v>
      </c>
      <c r="M62" s="110"/>
    </row>
    <row r="63" spans="1:16">
      <c r="B63" s="24" t="s">
        <v>1562</v>
      </c>
      <c r="H63" s="24">
        <v>1</v>
      </c>
      <c r="I63" s="24" t="s">
        <v>448</v>
      </c>
      <c r="J63" s="24" t="s">
        <v>269</v>
      </c>
      <c r="K63" s="24" t="s">
        <v>677</v>
      </c>
      <c r="L63" s="24" t="s">
        <v>1356</v>
      </c>
      <c r="M63" s="110" t="s">
        <v>2016</v>
      </c>
      <c r="N63" s="24">
        <v>5</v>
      </c>
      <c r="O63" s="24" t="s">
        <v>1690</v>
      </c>
      <c r="P63" s="24" t="s">
        <v>488</v>
      </c>
    </row>
    <row r="64" spans="1:16">
      <c r="A64" s="172">
        <v>2104000000069</v>
      </c>
      <c r="B64" s="24" t="s">
        <v>1592</v>
      </c>
      <c r="C64" s="172">
        <v>2200000000010</v>
      </c>
      <c r="D64" s="24" t="s">
        <v>331</v>
      </c>
      <c r="E64" s="24" t="b">
        <v>0</v>
      </c>
      <c r="M64" s="110"/>
    </row>
    <row r="65" spans="1:16">
      <c r="H65" s="24">
        <v>1</v>
      </c>
      <c r="I65" s="24" t="s">
        <v>448</v>
      </c>
      <c r="J65" s="24" t="s">
        <v>269</v>
      </c>
      <c r="K65" s="24" t="s">
        <v>677</v>
      </c>
      <c r="L65" s="24" t="s">
        <v>1356</v>
      </c>
      <c r="M65" s="110" t="s">
        <v>2016</v>
      </c>
      <c r="N65" s="24">
        <v>7</v>
      </c>
      <c r="O65" s="24" t="s">
        <v>1691</v>
      </c>
      <c r="P65" s="24" t="s">
        <v>488</v>
      </c>
    </row>
    <row r="66" spans="1:16">
      <c r="A66" s="172">
        <v>2104000000070</v>
      </c>
      <c r="B66" s="24" t="s">
        <v>1593</v>
      </c>
      <c r="C66" s="172">
        <v>2200000000010</v>
      </c>
      <c r="D66" s="24" t="s">
        <v>331</v>
      </c>
      <c r="E66" s="24" t="b">
        <v>0</v>
      </c>
      <c r="M66" s="110"/>
    </row>
    <row r="67" spans="1:16">
      <c r="B67" s="24" t="s">
        <v>1562</v>
      </c>
      <c r="H67" s="24">
        <v>1</v>
      </c>
      <c r="I67" s="24" t="s">
        <v>448</v>
      </c>
      <c r="J67" s="24" t="s">
        <v>269</v>
      </c>
      <c r="K67" s="24" t="s">
        <v>677</v>
      </c>
      <c r="L67" s="24" t="s">
        <v>1356</v>
      </c>
      <c r="M67" s="110" t="s">
        <v>2019</v>
      </c>
      <c r="N67" s="24">
        <v>2</v>
      </c>
      <c r="O67" s="24" t="s">
        <v>1692</v>
      </c>
      <c r="P67" s="24" t="s">
        <v>488</v>
      </c>
    </row>
    <row r="68" spans="1:16">
      <c r="A68" s="172">
        <v>2104000000071</v>
      </c>
      <c r="B68" s="24" t="s">
        <v>1594</v>
      </c>
      <c r="C68" s="172">
        <v>2200000000010</v>
      </c>
      <c r="D68" s="24" t="s">
        <v>331</v>
      </c>
      <c r="E68" s="24" t="b">
        <v>0</v>
      </c>
      <c r="M68" s="110"/>
    </row>
    <row r="69" spans="1:16">
      <c r="B69" s="24" t="s">
        <v>1562</v>
      </c>
      <c r="H69" s="24">
        <v>1</v>
      </c>
      <c r="I69" s="24" t="s">
        <v>448</v>
      </c>
      <c r="J69" s="24" t="s">
        <v>269</v>
      </c>
      <c r="K69" s="24" t="s">
        <v>677</v>
      </c>
      <c r="L69" s="24" t="s">
        <v>1356</v>
      </c>
      <c r="M69" s="110" t="s">
        <v>2019</v>
      </c>
      <c r="N69" s="24">
        <v>5</v>
      </c>
      <c r="O69" s="24" t="s">
        <v>1693</v>
      </c>
      <c r="P69" s="24" t="s">
        <v>488</v>
      </c>
    </row>
    <row r="70" spans="1:16">
      <c r="A70" s="172">
        <v>2104000000072</v>
      </c>
      <c r="B70" s="24" t="s">
        <v>1595</v>
      </c>
      <c r="C70" s="172">
        <v>2200000000010</v>
      </c>
      <c r="D70" s="24" t="s">
        <v>331</v>
      </c>
      <c r="E70" s="24" t="b">
        <v>0</v>
      </c>
      <c r="M70" s="110"/>
    </row>
    <row r="71" spans="1:16">
      <c r="H71" s="24">
        <v>1</v>
      </c>
      <c r="I71" s="24" t="s">
        <v>448</v>
      </c>
      <c r="J71" s="24" t="s">
        <v>269</v>
      </c>
      <c r="K71" s="24" t="s">
        <v>677</v>
      </c>
      <c r="L71" s="24" t="s">
        <v>1356</v>
      </c>
      <c r="M71" s="110" t="s">
        <v>2019</v>
      </c>
      <c r="N71" s="24">
        <v>7</v>
      </c>
      <c r="O71" s="24" t="s">
        <v>1694</v>
      </c>
      <c r="P71" s="24" t="s">
        <v>488</v>
      </c>
    </row>
    <row r="72" spans="1:16">
      <c r="A72" s="172">
        <v>2104000000073</v>
      </c>
      <c r="B72" s="24" t="s">
        <v>1596</v>
      </c>
      <c r="C72" s="172">
        <v>2200000000010</v>
      </c>
      <c r="D72" s="24" t="s">
        <v>331</v>
      </c>
      <c r="E72" s="24" t="b">
        <v>0</v>
      </c>
      <c r="M72" s="110"/>
    </row>
    <row r="73" spans="1:16">
      <c r="B73" s="24" t="s">
        <v>1562</v>
      </c>
      <c r="H73" s="24">
        <v>1</v>
      </c>
      <c r="I73" s="24" t="s">
        <v>448</v>
      </c>
      <c r="J73" s="24" t="s">
        <v>269</v>
      </c>
      <c r="K73" s="24" t="s">
        <v>677</v>
      </c>
      <c r="L73" s="24" t="s">
        <v>1356</v>
      </c>
      <c r="M73" s="110" t="s">
        <v>2022</v>
      </c>
      <c r="N73" s="24">
        <v>2</v>
      </c>
      <c r="O73" s="24" t="s">
        <v>1695</v>
      </c>
      <c r="P73" s="24" t="s">
        <v>488</v>
      </c>
    </row>
    <row r="74" spans="1:16">
      <c r="A74" s="172">
        <v>2104000000074</v>
      </c>
      <c r="B74" s="24" t="s">
        <v>1597</v>
      </c>
      <c r="C74" s="172">
        <v>2200000000010</v>
      </c>
      <c r="D74" s="24" t="s">
        <v>331</v>
      </c>
      <c r="E74" s="24" t="b">
        <v>0</v>
      </c>
      <c r="M74" s="110"/>
    </row>
    <row r="75" spans="1:16">
      <c r="B75" s="24" t="s">
        <v>1562</v>
      </c>
      <c r="H75" s="24">
        <v>1</v>
      </c>
      <c r="I75" s="24" t="s">
        <v>448</v>
      </c>
      <c r="J75" s="24" t="s">
        <v>269</v>
      </c>
      <c r="K75" s="24" t="s">
        <v>677</v>
      </c>
      <c r="L75" s="24" t="s">
        <v>1356</v>
      </c>
      <c r="M75" s="110" t="s">
        <v>2022</v>
      </c>
      <c r="N75" s="24">
        <v>5</v>
      </c>
      <c r="O75" s="24" t="s">
        <v>1696</v>
      </c>
      <c r="P75" s="24" t="s">
        <v>488</v>
      </c>
    </row>
    <row r="76" spans="1:16">
      <c r="A76" s="172">
        <v>2104000000075</v>
      </c>
      <c r="B76" s="24" t="s">
        <v>1598</v>
      </c>
      <c r="C76" s="172">
        <v>2200000000010</v>
      </c>
      <c r="D76" s="24" t="s">
        <v>331</v>
      </c>
      <c r="E76" s="24" t="b">
        <v>0</v>
      </c>
      <c r="M76" s="110"/>
    </row>
    <row r="77" spans="1:16">
      <c r="H77" s="24">
        <v>1</v>
      </c>
      <c r="I77" s="24" t="s">
        <v>448</v>
      </c>
      <c r="J77" s="24" t="s">
        <v>269</v>
      </c>
      <c r="K77" s="24" t="s">
        <v>677</v>
      </c>
      <c r="L77" s="24" t="s">
        <v>1356</v>
      </c>
      <c r="M77" s="110" t="s">
        <v>2022</v>
      </c>
      <c r="N77" s="24">
        <v>7</v>
      </c>
      <c r="O77" s="24" t="s">
        <v>1697</v>
      </c>
      <c r="P77" s="24" t="s">
        <v>488</v>
      </c>
    </row>
    <row r="78" spans="1:16">
      <c r="A78" s="172">
        <v>2104000000076</v>
      </c>
      <c r="B78" s="24" t="s">
        <v>1599</v>
      </c>
      <c r="C78" s="172">
        <v>2200000000010</v>
      </c>
      <c r="D78" s="24" t="s">
        <v>331</v>
      </c>
      <c r="E78" s="24" t="b">
        <v>0</v>
      </c>
      <c r="M78" s="110"/>
    </row>
    <row r="79" spans="1:16">
      <c r="B79" s="24" t="s">
        <v>1562</v>
      </c>
      <c r="H79" s="24">
        <v>1</v>
      </c>
      <c r="I79" s="24" t="s">
        <v>448</v>
      </c>
      <c r="J79" s="24" t="s">
        <v>269</v>
      </c>
      <c r="K79" s="24" t="s">
        <v>677</v>
      </c>
      <c r="L79" s="24" t="s">
        <v>1356</v>
      </c>
      <c r="M79" s="110" t="s">
        <v>2025</v>
      </c>
      <c r="N79" s="24">
        <v>2</v>
      </c>
      <c r="O79" s="24" t="s">
        <v>1698</v>
      </c>
      <c r="P79" s="24" t="s">
        <v>488</v>
      </c>
    </row>
    <row r="80" spans="1:16">
      <c r="A80" s="172">
        <v>2104000000077</v>
      </c>
      <c r="B80" s="24" t="s">
        <v>1600</v>
      </c>
      <c r="C80" s="172">
        <v>2200000000010</v>
      </c>
      <c r="D80" s="24" t="s">
        <v>331</v>
      </c>
      <c r="E80" s="24" t="b">
        <v>0</v>
      </c>
      <c r="M80" s="110"/>
    </row>
    <row r="81" spans="1:16">
      <c r="B81" s="24" t="s">
        <v>1562</v>
      </c>
      <c r="H81" s="24">
        <v>1</v>
      </c>
      <c r="I81" s="24" t="s">
        <v>448</v>
      </c>
      <c r="J81" s="24" t="s">
        <v>269</v>
      </c>
      <c r="K81" s="24" t="s">
        <v>677</v>
      </c>
      <c r="L81" s="24" t="s">
        <v>1356</v>
      </c>
      <c r="M81" s="110" t="s">
        <v>2025</v>
      </c>
      <c r="N81" s="24">
        <v>5</v>
      </c>
      <c r="O81" s="24" t="s">
        <v>1699</v>
      </c>
      <c r="P81" s="24" t="s">
        <v>488</v>
      </c>
    </row>
    <row r="82" spans="1:16">
      <c r="A82" s="172">
        <v>2104000000078</v>
      </c>
      <c r="B82" s="24" t="s">
        <v>1601</v>
      </c>
      <c r="C82" s="172">
        <v>2200000000010</v>
      </c>
      <c r="D82" s="24" t="s">
        <v>331</v>
      </c>
      <c r="E82" s="24" t="b">
        <v>0</v>
      </c>
      <c r="M82" s="110"/>
    </row>
    <row r="83" spans="1:16">
      <c r="H83" s="24">
        <v>1</v>
      </c>
      <c r="I83" s="24" t="s">
        <v>448</v>
      </c>
      <c r="J83" s="24" t="s">
        <v>269</v>
      </c>
      <c r="K83" s="24" t="s">
        <v>677</v>
      </c>
      <c r="L83" s="24" t="s">
        <v>1356</v>
      </c>
      <c r="M83" s="110" t="s">
        <v>2025</v>
      </c>
      <c r="N83" s="24">
        <v>7</v>
      </c>
      <c r="O83" s="24" t="s">
        <v>1700</v>
      </c>
      <c r="P83" s="24" t="s">
        <v>488</v>
      </c>
    </row>
    <row r="84" spans="1:16">
      <c r="A84" s="172">
        <v>2104000000079</v>
      </c>
      <c r="B84" s="24" t="s">
        <v>1602</v>
      </c>
      <c r="C84" s="172">
        <v>2200000000010</v>
      </c>
      <c r="D84" s="24" t="s">
        <v>331</v>
      </c>
      <c r="E84" s="24" t="b">
        <v>0</v>
      </c>
      <c r="M84" s="110"/>
    </row>
    <row r="85" spans="1:16">
      <c r="B85" s="24" t="s">
        <v>1562</v>
      </c>
      <c r="H85" s="24">
        <v>1</v>
      </c>
      <c r="I85" s="24" t="s">
        <v>448</v>
      </c>
      <c r="J85" s="24" t="s">
        <v>269</v>
      </c>
      <c r="K85" s="24" t="s">
        <v>677</v>
      </c>
      <c r="L85" s="24" t="s">
        <v>1356</v>
      </c>
      <c r="M85" s="110" t="s">
        <v>2028</v>
      </c>
      <c r="N85" s="24">
        <v>2</v>
      </c>
      <c r="O85" s="24" t="s">
        <v>1701</v>
      </c>
      <c r="P85" s="24" t="s">
        <v>488</v>
      </c>
    </row>
    <row r="86" spans="1:16">
      <c r="A86" s="172">
        <v>2104000000080</v>
      </c>
      <c r="B86" s="24" t="s">
        <v>1603</v>
      </c>
      <c r="C86" s="172">
        <v>2200000000010</v>
      </c>
      <c r="D86" s="24" t="s">
        <v>331</v>
      </c>
      <c r="E86" s="24" t="b">
        <v>0</v>
      </c>
      <c r="M86" s="110"/>
    </row>
    <row r="87" spans="1:16">
      <c r="B87" s="24" t="s">
        <v>1562</v>
      </c>
      <c r="H87" s="24">
        <v>1</v>
      </c>
      <c r="I87" s="24" t="s">
        <v>448</v>
      </c>
      <c r="J87" s="24" t="s">
        <v>269</v>
      </c>
      <c r="K87" s="24" t="s">
        <v>677</v>
      </c>
      <c r="L87" s="24" t="s">
        <v>1356</v>
      </c>
      <c r="M87" s="110" t="s">
        <v>2028</v>
      </c>
      <c r="N87" s="24">
        <v>5</v>
      </c>
      <c r="O87" s="24" t="s">
        <v>1702</v>
      </c>
      <c r="P87" s="24" t="s">
        <v>488</v>
      </c>
    </row>
    <row r="88" spans="1:16">
      <c r="A88" s="172">
        <v>2104000000081</v>
      </c>
      <c r="B88" s="24" t="s">
        <v>1604</v>
      </c>
      <c r="C88" s="172">
        <v>2200000000010</v>
      </c>
      <c r="D88" s="24" t="s">
        <v>331</v>
      </c>
      <c r="E88" s="24" t="b">
        <v>0</v>
      </c>
      <c r="M88" s="110"/>
    </row>
    <row r="89" spans="1:16">
      <c r="H89" s="24">
        <v>1</v>
      </c>
      <c r="I89" s="24" t="s">
        <v>448</v>
      </c>
      <c r="J89" s="24" t="s">
        <v>269</v>
      </c>
      <c r="K89" s="24" t="s">
        <v>677</v>
      </c>
      <c r="L89" s="24" t="s">
        <v>1356</v>
      </c>
      <c r="M89" s="110" t="s">
        <v>2028</v>
      </c>
      <c r="N89" s="24">
        <v>7</v>
      </c>
      <c r="O89" s="24" t="s">
        <v>1703</v>
      </c>
      <c r="P89" s="24" t="s">
        <v>488</v>
      </c>
    </row>
    <row r="90" spans="1:16">
      <c r="A90" s="172">
        <v>2104000000082</v>
      </c>
      <c r="B90" s="24" t="s">
        <v>1605</v>
      </c>
      <c r="C90" s="172">
        <v>2200000000010</v>
      </c>
      <c r="D90" s="24" t="s">
        <v>331</v>
      </c>
      <c r="E90" s="24" t="b">
        <v>0</v>
      </c>
      <c r="M90" s="110"/>
    </row>
    <row r="91" spans="1:16">
      <c r="B91" s="24" t="s">
        <v>1562</v>
      </c>
      <c r="H91" s="24">
        <v>1</v>
      </c>
      <c r="I91" s="24" t="s">
        <v>448</v>
      </c>
      <c r="J91" s="24" t="s">
        <v>269</v>
      </c>
      <c r="K91" s="24" t="s">
        <v>677</v>
      </c>
      <c r="L91" s="24" t="s">
        <v>1356</v>
      </c>
      <c r="M91" s="110" t="s">
        <v>2031</v>
      </c>
      <c r="N91" s="24">
        <v>2</v>
      </c>
      <c r="O91" s="24" t="s">
        <v>1704</v>
      </c>
      <c r="P91" s="24" t="s">
        <v>488</v>
      </c>
    </row>
    <row r="92" spans="1:16">
      <c r="A92" s="172">
        <v>2104000000083</v>
      </c>
      <c r="B92" s="24" t="s">
        <v>1606</v>
      </c>
      <c r="C92" s="172">
        <v>2200000000010</v>
      </c>
      <c r="D92" s="24" t="s">
        <v>331</v>
      </c>
      <c r="E92" s="24" t="b">
        <v>0</v>
      </c>
      <c r="M92" s="110"/>
    </row>
    <row r="93" spans="1:16">
      <c r="B93" s="24" t="s">
        <v>1562</v>
      </c>
      <c r="H93" s="24">
        <v>1</v>
      </c>
      <c r="I93" s="24" t="s">
        <v>448</v>
      </c>
      <c r="J93" s="24" t="s">
        <v>269</v>
      </c>
      <c r="K93" s="24" t="s">
        <v>677</v>
      </c>
      <c r="L93" s="24" t="s">
        <v>1356</v>
      </c>
      <c r="M93" s="110" t="s">
        <v>2031</v>
      </c>
      <c r="N93" s="24">
        <v>5</v>
      </c>
      <c r="O93" s="24" t="s">
        <v>1705</v>
      </c>
      <c r="P93" s="24" t="s">
        <v>488</v>
      </c>
    </row>
    <row r="94" spans="1:16">
      <c r="A94" s="172">
        <v>2104000000084</v>
      </c>
      <c r="B94" s="24" t="s">
        <v>1607</v>
      </c>
      <c r="C94" s="172">
        <v>2200000000010</v>
      </c>
      <c r="D94" s="24" t="s">
        <v>331</v>
      </c>
      <c r="E94" s="24" t="b">
        <v>0</v>
      </c>
      <c r="M94" s="110"/>
    </row>
    <row r="95" spans="1:16">
      <c r="H95" s="24">
        <v>1</v>
      </c>
      <c r="I95" s="24" t="s">
        <v>448</v>
      </c>
      <c r="J95" s="24" t="s">
        <v>269</v>
      </c>
      <c r="K95" s="24" t="s">
        <v>677</v>
      </c>
      <c r="L95" s="24" t="s">
        <v>1356</v>
      </c>
      <c r="M95" s="110" t="s">
        <v>2031</v>
      </c>
      <c r="N95" s="24">
        <v>7</v>
      </c>
      <c r="O95" s="24" t="s">
        <v>1706</v>
      </c>
      <c r="P95" s="24" t="s">
        <v>488</v>
      </c>
    </row>
    <row r="96" spans="1:16">
      <c r="A96" s="172">
        <v>2104000000085</v>
      </c>
      <c r="B96" s="24" t="s">
        <v>1608</v>
      </c>
      <c r="C96" s="172">
        <v>2200000000010</v>
      </c>
      <c r="D96" s="24" t="s">
        <v>331</v>
      </c>
      <c r="E96" s="24" t="b">
        <v>0</v>
      </c>
      <c r="M96" s="110"/>
    </row>
    <row r="97" spans="1:16">
      <c r="B97" s="24" t="s">
        <v>1562</v>
      </c>
      <c r="H97" s="24">
        <v>1</v>
      </c>
      <c r="I97" s="24" t="s">
        <v>448</v>
      </c>
      <c r="J97" s="24" t="s">
        <v>269</v>
      </c>
      <c r="K97" s="24" t="s">
        <v>677</v>
      </c>
      <c r="L97" s="24" t="s">
        <v>1356</v>
      </c>
      <c r="M97" s="110" t="s">
        <v>2034</v>
      </c>
      <c r="N97" s="24">
        <v>2</v>
      </c>
      <c r="O97" s="24" t="s">
        <v>1707</v>
      </c>
      <c r="P97" s="24" t="s">
        <v>488</v>
      </c>
    </row>
    <row r="98" spans="1:16">
      <c r="A98" s="172">
        <v>2104000000086</v>
      </c>
      <c r="B98" s="24" t="s">
        <v>1609</v>
      </c>
      <c r="C98" s="172">
        <v>2200000000010</v>
      </c>
      <c r="D98" s="24" t="s">
        <v>331</v>
      </c>
      <c r="E98" s="24" t="b">
        <v>0</v>
      </c>
      <c r="M98" s="110"/>
    </row>
    <row r="99" spans="1:16">
      <c r="B99" s="24" t="s">
        <v>1562</v>
      </c>
      <c r="H99" s="24">
        <v>1</v>
      </c>
      <c r="I99" s="24" t="s">
        <v>448</v>
      </c>
      <c r="J99" s="24" t="s">
        <v>269</v>
      </c>
      <c r="K99" s="24" t="s">
        <v>677</v>
      </c>
      <c r="L99" s="24" t="s">
        <v>1356</v>
      </c>
      <c r="M99" s="110" t="s">
        <v>2034</v>
      </c>
      <c r="N99" s="24">
        <v>5</v>
      </c>
      <c r="O99" s="24" t="s">
        <v>1708</v>
      </c>
      <c r="P99" s="24" t="s">
        <v>488</v>
      </c>
    </row>
    <row r="100" spans="1:16">
      <c r="A100" s="172">
        <v>2104000000087</v>
      </c>
      <c r="B100" s="24" t="s">
        <v>1610</v>
      </c>
      <c r="C100" s="172">
        <v>2200000000010</v>
      </c>
      <c r="D100" s="24" t="s">
        <v>331</v>
      </c>
      <c r="E100" s="24" t="b">
        <v>0</v>
      </c>
      <c r="M100" s="110"/>
    </row>
    <row r="101" spans="1:16">
      <c r="H101" s="24">
        <v>1</v>
      </c>
      <c r="I101" s="24" t="s">
        <v>448</v>
      </c>
      <c r="J101" s="24" t="s">
        <v>269</v>
      </c>
      <c r="K101" s="24" t="s">
        <v>677</v>
      </c>
      <c r="L101" s="24" t="s">
        <v>1356</v>
      </c>
      <c r="M101" s="110" t="s">
        <v>2034</v>
      </c>
      <c r="N101" s="24">
        <v>7</v>
      </c>
      <c r="O101" s="24" t="s">
        <v>1709</v>
      </c>
      <c r="P101" s="24" t="s">
        <v>488</v>
      </c>
    </row>
    <row r="102" spans="1:16">
      <c r="A102" s="172">
        <v>2104000000088</v>
      </c>
      <c r="B102" s="24" t="s">
        <v>1611</v>
      </c>
      <c r="C102" s="172">
        <v>2200000000010</v>
      </c>
      <c r="D102" s="24" t="s">
        <v>331</v>
      </c>
      <c r="E102" s="24" t="b">
        <v>0</v>
      </c>
      <c r="M102" s="110"/>
    </row>
    <row r="103" spans="1:16">
      <c r="B103" s="24" t="s">
        <v>1562</v>
      </c>
      <c r="H103" s="24">
        <v>1</v>
      </c>
      <c r="I103" s="24" t="s">
        <v>448</v>
      </c>
      <c r="J103" s="24" t="s">
        <v>269</v>
      </c>
      <c r="K103" s="24" t="s">
        <v>677</v>
      </c>
      <c r="L103" s="24" t="s">
        <v>1356</v>
      </c>
      <c r="M103" s="110" t="s">
        <v>2037</v>
      </c>
      <c r="N103" s="24">
        <v>2</v>
      </c>
      <c r="O103" s="24" t="s">
        <v>1710</v>
      </c>
      <c r="P103" s="24" t="s">
        <v>488</v>
      </c>
    </row>
    <row r="104" spans="1:16">
      <c r="A104" s="172">
        <v>2104000000089</v>
      </c>
      <c r="B104" s="24" t="s">
        <v>1612</v>
      </c>
      <c r="C104" s="172">
        <v>2200000000010</v>
      </c>
      <c r="D104" s="24" t="s">
        <v>331</v>
      </c>
      <c r="E104" s="24" t="b">
        <v>0</v>
      </c>
      <c r="M104" s="110"/>
    </row>
    <row r="105" spans="1:16">
      <c r="B105" s="24" t="s">
        <v>1562</v>
      </c>
      <c r="H105" s="24">
        <v>1</v>
      </c>
      <c r="I105" s="24" t="s">
        <v>448</v>
      </c>
      <c r="J105" s="24" t="s">
        <v>269</v>
      </c>
      <c r="K105" s="24" t="s">
        <v>677</v>
      </c>
      <c r="L105" s="24" t="s">
        <v>1356</v>
      </c>
      <c r="M105" s="110" t="s">
        <v>2037</v>
      </c>
      <c r="N105" s="24">
        <v>5</v>
      </c>
      <c r="O105" s="24" t="s">
        <v>1711</v>
      </c>
      <c r="P105" s="24" t="s">
        <v>488</v>
      </c>
    </row>
    <row r="106" spans="1:16">
      <c r="A106" s="172">
        <v>2104000000090</v>
      </c>
      <c r="B106" s="24" t="s">
        <v>1613</v>
      </c>
      <c r="C106" s="172">
        <v>2200000000010</v>
      </c>
      <c r="D106" s="24" t="s">
        <v>331</v>
      </c>
      <c r="E106" s="24" t="b">
        <v>0</v>
      </c>
      <c r="M106" s="110"/>
    </row>
    <row r="107" spans="1:16">
      <c r="H107" s="24">
        <v>1</v>
      </c>
      <c r="I107" s="24" t="s">
        <v>448</v>
      </c>
      <c r="J107" s="24" t="s">
        <v>269</v>
      </c>
      <c r="K107" s="24" t="s">
        <v>677</v>
      </c>
      <c r="L107" s="24" t="s">
        <v>1356</v>
      </c>
      <c r="M107" s="110" t="s">
        <v>2037</v>
      </c>
      <c r="N107" s="24">
        <v>7</v>
      </c>
      <c r="O107" s="24" t="s">
        <v>1712</v>
      </c>
      <c r="P107" s="24" t="s">
        <v>488</v>
      </c>
    </row>
    <row r="108" spans="1:16">
      <c r="A108" s="172">
        <v>2104000000091</v>
      </c>
      <c r="B108" s="24" t="s">
        <v>1614</v>
      </c>
      <c r="C108" s="172">
        <v>2200000000010</v>
      </c>
      <c r="D108" s="24" t="s">
        <v>331</v>
      </c>
      <c r="E108" s="24" t="b">
        <v>0</v>
      </c>
      <c r="M108" s="110"/>
    </row>
    <row r="109" spans="1:16">
      <c r="B109" s="24" t="s">
        <v>1562</v>
      </c>
      <c r="H109" s="24">
        <v>1</v>
      </c>
      <c r="I109" s="24" t="s">
        <v>448</v>
      </c>
      <c r="J109" s="24" t="s">
        <v>269</v>
      </c>
      <c r="K109" s="24" t="s">
        <v>677</v>
      </c>
      <c r="L109" s="24" t="s">
        <v>1356</v>
      </c>
      <c r="M109" s="110" t="s">
        <v>2040</v>
      </c>
      <c r="N109" s="24">
        <v>2</v>
      </c>
      <c r="O109" s="24" t="s">
        <v>1713</v>
      </c>
      <c r="P109" s="24" t="s">
        <v>488</v>
      </c>
    </row>
    <row r="110" spans="1:16">
      <c r="A110" s="172">
        <v>2104000000092</v>
      </c>
      <c r="B110" s="24" t="s">
        <v>1615</v>
      </c>
      <c r="C110" s="172">
        <v>2200000000010</v>
      </c>
      <c r="D110" s="24" t="s">
        <v>331</v>
      </c>
      <c r="E110" s="24" t="b">
        <v>0</v>
      </c>
      <c r="M110" s="110"/>
    </row>
    <row r="111" spans="1:16">
      <c r="B111" s="24" t="s">
        <v>1562</v>
      </c>
      <c r="H111" s="24">
        <v>1</v>
      </c>
      <c r="I111" s="24" t="s">
        <v>448</v>
      </c>
      <c r="J111" s="24" t="s">
        <v>269</v>
      </c>
      <c r="K111" s="24" t="s">
        <v>677</v>
      </c>
      <c r="L111" s="24" t="s">
        <v>1356</v>
      </c>
      <c r="M111" s="110" t="s">
        <v>2040</v>
      </c>
      <c r="N111" s="24">
        <v>5</v>
      </c>
      <c r="O111" s="24" t="s">
        <v>1714</v>
      </c>
      <c r="P111" s="24" t="s">
        <v>488</v>
      </c>
    </row>
    <row r="112" spans="1:16">
      <c r="A112" s="172">
        <v>2104000000093</v>
      </c>
      <c r="B112" s="24" t="s">
        <v>1616</v>
      </c>
      <c r="C112" s="172">
        <v>2200000000010</v>
      </c>
      <c r="D112" s="24" t="s">
        <v>331</v>
      </c>
      <c r="E112" s="24" t="b">
        <v>0</v>
      </c>
      <c r="M112" s="110"/>
    </row>
    <row r="113" spans="1:16">
      <c r="H113" s="24">
        <v>1</v>
      </c>
      <c r="I113" s="24" t="s">
        <v>448</v>
      </c>
      <c r="J113" s="24" t="s">
        <v>269</v>
      </c>
      <c r="K113" s="24" t="s">
        <v>677</v>
      </c>
      <c r="L113" s="24" t="s">
        <v>1356</v>
      </c>
      <c r="M113" s="110" t="s">
        <v>2040</v>
      </c>
      <c r="N113" s="24">
        <v>7</v>
      </c>
      <c r="O113" s="24" t="s">
        <v>1715</v>
      </c>
      <c r="P113" s="24" t="s">
        <v>488</v>
      </c>
    </row>
    <row r="114" spans="1:16">
      <c r="A114" s="172">
        <v>2104000000094</v>
      </c>
      <c r="B114" s="24" t="s">
        <v>1617</v>
      </c>
      <c r="C114" s="172">
        <v>2200000000010</v>
      </c>
      <c r="D114" s="24" t="s">
        <v>331</v>
      </c>
      <c r="E114" s="24" t="b">
        <v>0</v>
      </c>
      <c r="M114" s="110"/>
    </row>
    <row r="115" spans="1:16">
      <c r="B115" s="24" t="s">
        <v>1562</v>
      </c>
      <c r="H115" s="24">
        <v>1</v>
      </c>
      <c r="I115" s="24" t="s">
        <v>448</v>
      </c>
      <c r="J115" s="24" t="s">
        <v>269</v>
      </c>
      <c r="K115" s="24" t="s">
        <v>677</v>
      </c>
      <c r="L115" s="24" t="s">
        <v>1356</v>
      </c>
      <c r="M115" s="110" t="s">
        <v>2043</v>
      </c>
      <c r="N115" s="24">
        <v>2</v>
      </c>
      <c r="O115" s="24" t="s">
        <v>1716</v>
      </c>
      <c r="P115" s="24" t="s">
        <v>488</v>
      </c>
    </row>
    <row r="116" spans="1:16">
      <c r="A116" s="172">
        <v>2104000000095</v>
      </c>
      <c r="B116" s="24" t="s">
        <v>1618</v>
      </c>
      <c r="C116" s="172">
        <v>2200000000010</v>
      </c>
      <c r="D116" s="24" t="s">
        <v>331</v>
      </c>
      <c r="E116" s="24" t="b">
        <v>0</v>
      </c>
      <c r="M116" s="110"/>
    </row>
    <row r="117" spans="1:16">
      <c r="B117" s="24" t="s">
        <v>1562</v>
      </c>
      <c r="H117" s="24">
        <v>1</v>
      </c>
      <c r="I117" s="24" t="s">
        <v>448</v>
      </c>
      <c r="J117" s="24" t="s">
        <v>269</v>
      </c>
      <c r="K117" s="24" t="s">
        <v>677</v>
      </c>
      <c r="L117" s="24" t="s">
        <v>1356</v>
      </c>
      <c r="M117" s="110" t="s">
        <v>2043</v>
      </c>
      <c r="N117" s="24">
        <v>5</v>
      </c>
      <c r="O117" s="24" t="s">
        <v>1717</v>
      </c>
      <c r="P117" s="24" t="s">
        <v>488</v>
      </c>
    </row>
    <row r="118" spans="1:16">
      <c r="A118" s="172">
        <v>2104000000096</v>
      </c>
      <c r="B118" s="24" t="s">
        <v>1619</v>
      </c>
      <c r="C118" s="172">
        <v>2200000000010</v>
      </c>
      <c r="D118" s="24" t="s">
        <v>331</v>
      </c>
      <c r="E118" s="24" t="b">
        <v>0</v>
      </c>
      <c r="M118" s="110"/>
    </row>
    <row r="119" spans="1:16">
      <c r="H119" s="24">
        <v>1</v>
      </c>
      <c r="I119" s="24" t="s">
        <v>448</v>
      </c>
      <c r="J119" s="24" t="s">
        <v>269</v>
      </c>
      <c r="K119" s="24" t="s">
        <v>677</v>
      </c>
      <c r="L119" s="24" t="s">
        <v>1356</v>
      </c>
      <c r="M119" s="110" t="s">
        <v>2043</v>
      </c>
      <c r="N119" s="24">
        <v>7</v>
      </c>
      <c r="O119" s="24" t="s">
        <v>1718</v>
      </c>
      <c r="P119" s="24" t="s">
        <v>488</v>
      </c>
    </row>
    <row r="120" spans="1:16">
      <c r="A120" s="172">
        <v>2104000000109</v>
      </c>
      <c r="B120" s="24" t="s">
        <v>1620</v>
      </c>
      <c r="C120" s="172">
        <v>2200000000010</v>
      </c>
      <c r="D120" s="24" t="s">
        <v>331</v>
      </c>
      <c r="E120" s="24" t="b">
        <v>0</v>
      </c>
      <c r="M120" s="110"/>
    </row>
    <row r="121" spans="1:16">
      <c r="B121" s="24" t="s">
        <v>1562</v>
      </c>
      <c r="H121" s="24">
        <v>1</v>
      </c>
      <c r="I121" s="24" t="s">
        <v>448</v>
      </c>
      <c r="J121" s="24" t="s">
        <v>269</v>
      </c>
      <c r="K121" s="24" t="s">
        <v>677</v>
      </c>
      <c r="L121" s="24" t="s">
        <v>1356</v>
      </c>
      <c r="M121" s="110" t="s">
        <v>2048</v>
      </c>
      <c r="N121" s="24">
        <v>2</v>
      </c>
      <c r="O121" s="24" t="s">
        <v>1719</v>
      </c>
      <c r="P121" s="24" t="s">
        <v>488</v>
      </c>
    </row>
    <row r="122" spans="1:16">
      <c r="A122" s="172">
        <v>2104000000110</v>
      </c>
      <c r="B122" s="24" t="s">
        <v>1621</v>
      </c>
      <c r="C122" s="172">
        <v>2200000000010</v>
      </c>
      <c r="D122" s="24" t="s">
        <v>331</v>
      </c>
      <c r="E122" s="24" t="b">
        <v>0</v>
      </c>
      <c r="M122" s="110"/>
    </row>
    <row r="123" spans="1:16">
      <c r="B123" s="24" t="s">
        <v>1562</v>
      </c>
      <c r="H123" s="24">
        <v>1</v>
      </c>
      <c r="I123" s="24" t="s">
        <v>448</v>
      </c>
      <c r="J123" s="24" t="s">
        <v>269</v>
      </c>
      <c r="K123" s="24" t="s">
        <v>677</v>
      </c>
      <c r="L123" s="24" t="s">
        <v>1356</v>
      </c>
      <c r="M123" s="110" t="s">
        <v>2048</v>
      </c>
      <c r="N123" s="24">
        <v>5</v>
      </c>
      <c r="O123" s="24" t="s">
        <v>1720</v>
      </c>
      <c r="P123" s="24" t="s">
        <v>488</v>
      </c>
    </row>
    <row r="124" spans="1:16">
      <c r="A124" s="172">
        <v>2104000000111</v>
      </c>
      <c r="B124" s="24" t="s">
        <v>1622</v>
      </c>
      <c r="C124" s="172">
        <v>2200000000010</v>
      </c>
      <c r="D124" s="24" t="s">
        <v>331</v>
      </c>
      <c r="E124" s="24" t="b">
        <v>0</v>
      </c>
      <c r="M124" s="110"/>
    </row>
    <row r="125" spans="1:16">
      <c r="H125" s="24">
        <v>1</v>
      </c>
      <c r="I125" s="24" t="s">
        <v>448</v>
      </c>
      <c r="J125" s="24" t="s">
        <v>269</v>
      </c>
      <c r="K125" s="24" t="s">
        <v>677</v>
      </c>
      <c r="L125" s="24" t="s">
        <v>1356</v>
      </c>
      <c r="M125" s="110" t="s">
        <v>2048</v>
      </c>
      <c r="N125" s="24">
        <v>7</v>
      </c>
      <c r="O125" s="24" t="s">
        <v>1721</v>
      </c>
      <c r="P125" s="24" t="s">
        <v>488</v>
      </c>
    </row>
    <row r="126" spans="1:16">
      <c r="A126" s="172">
        <v>2104000000112</v>
      </c>
      <c r="B126" s="24" t="s">
        <v>1623</v>
      </c>
      <c r="C126" s="172">
        <v>2200000000010</v>
      </c>
      <c r="D126" s="24" t="s">
        <v>331</v>
      </c>
      <c r="E126" s="24" t="b">
        <v>0</v>
      </c>
      <c r="M126" s="110"/>
    </row>
    <row r="127" spans="1:16">
      <c r="B127" s="24" t="s">
        <v>1562</v>
      </c>
      <c r="H127" s="24">
        <v>1</v>
      </c>
      <c r="I127" s="24" t="s">
        <v>448</v>
      </c>
      <c r="J127" s="24" t="s">
        <v>269</v>
      </c>
      <c r="K127" s="24" t="s">
        <v>677</v>
      </c>
      <c r="L127" s="24" t="s">
        <v>1356</v>
      </c>
      <c r="M127" s="110" t="s">
        <v>2051</v>
      </c>
      <c r="N127" s="24">
        <v>2</v>
      </c>
      <c r="O127" s="24" t="s">
        <v>1722</v>
      </c>
      <c r="P127" s="24" t="s">
        <v>488</v>
      </c>
    </row>
    <row r="128" spans="1:16">
      <c r="A128" s="172">
        <v>2104000000113</v>
      </c>
      <c r="B128" s="24" t="s">
        <v>1624</v>
      </c>
      <c r="C128" s="172">
        <v>2200000000010</v>
      </c>
      <c r="D128" s="24" t="s">
        <v>331</v>
      </c>
      <c r="E128" s="24" t="b">
        <v>0</v>
      </c>
      <c r="M128" s="110"/>
    </row>
    <row r="129" spans="1:16">
      <c r="B129" s="24" t="s">
        <v>1562</v>
      </c>
      <c r="H129" s="24">
        <v>1</v>
      </c>
      <c r="I129" s="24" t="s">
        <v>448</v>
      </c>
      <c r="J129" s="24" t="s">
        <v>269</v>
      </c>
      <c r="K129" s="24" t="s">
        <v>677</v>
      </c>
      <c r="L129" s="24" t="s">
        <v>1356</v>
      </c>
      <c r="M129" s="110" t="s">
        <v>2051</v>
      </c>
      <c r="N129" s="24">
        <v>5</v>
      </c>
      <c r="O129" s="24" t="s">
        <v>1723</v>
      </c>
      <c r="P129" s="24" t="s">
        <v>488</v>
      </c>
    </row>
    <row r="130" spans="1:16">
      <c r="A130" s="172">
        <v>2104000000114</v>
      </c>
      <c r="B130" s="24" t="s">
        <v>1625</v>
      </c>
      <c r="C130" s="172">
        <v>2200000000010</v>
      </c>
      <c r="D130" s="24" t="s">
        <v>331</v>
      </c>
      <c r="E130" s="24" t="b">
        <v>0</v>
      </c>
      <c r="M130" s="110"/>
    </row>
    <row r="131" spans="1:16">
      <c r="H131" s="24">
        <v>1</v>
      </c>
      <c r="I131" s="24" t="s">
        <v>448</v>
      </c>
      <c r="J131" s="24" t="s">
        <v>269</v>
      </c>
      <c r="K131" s="24" t="s">
        <v>677</v>
      </c>
      <c r="L131" s="24" t="s">
        <v>1356</v>
      </c>
      <c r="M131" s="110" t="s">
        <v>2051</v>
      </c>
      <c r="N131" s="24">
        <v>7</v>
      </c>
      <c r="O131" s="24" t="s">
        <v>1724</v>
      </c>
      <c r="P131" s="24" t="s">
        <v>488</v>
      </c>
    </row>
    <row r="132" spans="1:16">
      <c r="A132" s="172">
        <v>2104000000115</v>
      </c>
      <c r="B132" s="24" t="s">
        <v>1626</v>
      </c>
      <c r="C132" s="172">
        <v>2200000000010</v>
      </c>
      <c r="D132" s="24" t="s">
        <v>331</v>
      </c>
      <c r="E132" s="24" t="b">
        <v>0</v>
      </c>
      <c r="M132" s="110"/>
    </row>
    <row r="133" spans="1:16">
      <c r="B133" s="24" t="s">
        <v>1562</v>
      </c>
      <c r="H133" s="24">
        <v>1</v>
      </c>
      <c r="I133" s="24" t="s">
        <v>448</v>
      </c>
      <c r="J133" s="24" t="s">
        <v>269</v>
      </c>
      <c r="K133" s="24" t="s">
        <v>677</v>
      </c>
      <c r="L133" s="24" t="s">
        <v>1356</v>
      </c>
      <c r="M133" s="110" t="s">
        <v>2054</v>
      </c>
      <c r="N133" s="24">
        <v>2</v>
      </c>
      <c r="O133" s="24" t="s">
        <v>1725</v>
      </c>
      <c r="P133" s="24" t="s">
        <v>488</v>
      </c>
    </row>
    <row r="134" spans="1:16">
      <c r="A134" s="172">
        <v>2104000000116</v>
      </c>
      <c r="B134" s="24" t="s">
        <v>1627</v>
      </c>
      <c r="C134" s="172">
        <v>2200000000010</v>
      </c>
      <c r="D134" s="24" t="s">
        <v>331</v>
      </c>
      <c r="E134" s="24" t="b">
        <v>0</v>
      </c>
      <c r="M134" s="110"/>
    </row>
    <row r="135" spans="1:16">
      <c r="B135" s="24" t="s">
        <v>1562</v>
      </c>
      <c r="H135" s="24">
        <v>1</v>
      </c>
      <c r="I135" s="24" t="s">
        <v>448</v>
      </c>
      <c r="J135" s="24" t="s">
        <v>269</v>
      </c>
      <c r="K135" s="24" t="s">
        <v>677</v>
      </c>
      <c r="L135" s="24" t="s">
        <v>1356</v>
      </c>
      <c r="M135" s="110" t="s">
        <v>2054</v>
      </c>
      <c r="N135" s="24">
        <v>5</v>
      </c>
      <c r="O135" s="24" t="s">
        <v>1726</v>
      </c>
      <c r="P135" s="24" t="s">
        <v>488</v>
      </c>
    </row>
    <row r="136" spans="1:16">
      <c r="A136" s="172">
        <v>2104000000117</v>
      </c>
      <c r="B136" s="24" t="s">
        <v>1628</v>
      </c>
      <c r="C136" s="172">
        <v>2200000000010</v>
      </c>
      <c r="D136" s="24" t="s">
        <v>331</v>
      </c>
      <c r="E136" s="24" t="b">
        <v>0</v>
      </c>
      <c r="M136" s="110"/>
    </row>
    <row r="137" spans="1:16">
      <c r="H137" s="24">
        <v>1</v>
      </c>
      <c r="I137" s="24" t="s">
        <v>448</v>
      </c>
      <c r="J137" s="24" t="s">
        <v>269</v>
      </c>
      <c r="K137" s="24" t="s">
        <v>677</v>
      </c>
      <c r="L137" s="24" t="s">
        <v>1356</v>
      </c>
      <c r="M137" s="110" t="s">
        <v>2054</v>
      </c>
      <c r="N137" s="24">
        <v>7</v>
      </c>
      <c r="O137" s="24" t="s">
        <v>1727</v>
      </c>
      <c r="P137" s="24" t="s">
        <v>488</v>
      </c>
    </row>
    <row r="138" spans="1:16">
      <c r="A138" s="172">
        <v>2104000000118</v>
      </c>
      <c r="B138" s="24" t="s">
        <v>1629</v>
      </c>
      <c r="C138" s="172">
        <v>2200000000010</v>
      </c>
      <c r="D138" s="24" t="s">
        <v>331</v>
      </c>
      <c r="E138" s="24" t="b">
        <v>0</v>
      </c>
      <c r="M138" s="110"/>
    </row>
    <row r="139" spans="1:16">
      <c r="B139" s="24" t="s">
        <v>1562</v>
      </c>
      <c r="H139" s="24">
        <v>1</v>
      </c>
      <c r="I139" s="24" t="s">
        <v>448</v>
      </c>
      <c r="J139" s="24" t="s">
        <v>269</v>
      </c>
      <c r="K139" s="24" t="s">
        <v>677</v>
      </c>
      <c r="L139" s="24" t="s">
        <v>1356</v>
      </c>
      <c r="M139" s="110" t="s">
        <v>2057</v>
      </c>
      <c r="N139" s="24">
        <v>2</v>
      </c>
      <c r="O139" s="24" t="s">
        <v>1728</v>
      </c>
      <c r="P139" s="24" t="s">
        <v>488</v>
      </c>
    </row>
    <row r="140" spans="1:16">
      <c r="A140" s="172">
        <v>2104000000119</v>
      </c>
      <c r="B140" s="24" t="s">
        <v>1630</v>
      </c>
      <c r="C140" s="172">
        <v>2200000000010</v>
      </c>
      <c r="D140" s="24" t="s">
        <v>331</v>
      </c>
      <c r="E140" s="24" t="b">
        <v>0</v>
      </c>
      <c r="M140" s="110"/>
    </row>
    <row r="141" spans="1:16">
      <c r="B141" s="24" t="s">
        <v>1562</v>
      </c>
      <c r="H141" s="24">
        <v>1</v>
      </c>
      <c r="I141" s="24" t="s">
        <v>448</v>
      </c>
      <c r="J141" s="24" t="s">
        <v>269</v>
      </c>
      <c r="K141" s="24" t="s">
        <v>677</v>
      </c>
      <c r="L141" s="24" t="s">
        <v>1356</v>
      </c>
      <c r="M141" s="110" t="s">
        <v>2057</v>
      </c>
      <c r="N141" s="24">
        <v>5</v>
      </c>
      <c r="O141" s="24" t="s">
        <v>1729</v>
      </c>
      <c r="P141" s="24" t="s">
        <v>488</v>
      </c>
    </row>
    <row r="142" spans="1:16">
      <c r="A142" s="172">
        <v>2104000000120</v>
      </c>
      <c r="B142" s="24" t="s">
        <v>1631</v>
      </c>
      <c r="C142" s="172">
        <v>2200000000010</v>
      </c>
      <c r="D142" s="24" t="s">
        <v>331</v>
      </c>
      <c r="E142" s="24" t="b">
        <v>0</v>
      </c>
      <c r="M142" s="110"/>
    </row>
    <row r="143" spans="1:16">
      <c r="H143" s="24">
        <v>1</v>
      </c>
      <c r="I143" s="24" t="s">
        <v>448</v>
      </c>
      <c r="J143" s="24" t="s">
        <v>269</v>
      </c>
      <c r="K143" s="24" t="s">
        <v>677</v>
      </c>
      <c r="L143" s="24" t="s">
        <v>1356</v>
      </c>
      <c r="M143" s="110" t="s">
        <v>2057</v>
      </c>
      <c r="N143" s="24">
        <v>7</v>
      </c>
      <c r="O143" s="24" t="s">
        <v>1730</v>
      </c>
      <c r="P143" s="24" t="s">
        <v>488</v>
      </c>
    </row>
    <row r="144" spans="1:16">
      <c r="A144" s="172">
        <v>2104000000121</v>
      </c>
      <c r="B144" s="24" t="s">
        <v>1632</v>
      </c>
      <c r="C144" s="172">
        <v>2200000000010</v>
      </c>
      <c r="D144" s="24" t="s">
        <v>331</v>
      </c>
      <c r="E144" s="24" t="b">
        <v>0</v>
      </c>
      <c r="M144" s="110"/>
    </row>
    <row r="145" spans="1:16">
      <c r="B145" s="24" t="s">
        <v>1562</v>
      </c>
      <c r="H145" s="24">
        <v>1</v>
      </c>
      <c r="I145" s="24" t="s">
        <v>448</v>
      </c>
      <c r="J145" s="24" t="s">
        <v>269</v>
      </c>
      <c r="K145" s="24" t="s">
        <v>677</v>
      </c>
      <c r="L145" s="24" t="s">
        <v>1356</v>
      </c>
      <c r="M145" s="110" t="s">
        <v>2060</v>
      </c>
      <c r="N145" s="24">
        <v>2</v>
      </c>
      <c r="O145" s="24" t="s">
        <v>1731</v>
      </c>
      <c r="P145" s="24" t="s">
        <v>488</v>
      </c>
    </row>
    <row r="146" spans="1:16">
      <c r="A146" s="172">
        <v>2104000000122</v>
      </c>
      <c r="B146" s="24" t="s">
        <v>1633</v>
      </c>
      <c r="C146" s="172">
        <v>2200000000010</v>
      </c>
      <c r="D146" s="24" t="s">
        <v>331</v>
      </c>
      <c r="E146" s="24" t="b">
        <v>0</v>
      </c>
      <c r="M146" s="110"/>
    </row>
    <row r="147" spans="1:16">
      <c r="B147" s="24" t="s">
        <v>1562</v>
      </c>
      <c r="H147" s="24">
        <v>1</v>
      </c>
      <c r="I147" s="24" t="s">
        <v>448</v>
      </c>
      <c r="J147" s="24" t="s">
        <v>269</v>
      </c>
      <c r="K147" s="24" t="s">
        <v>677</v>
      </c>
      <c r="L147" s="24" t="s">
        <v>1356</v>
      </c>
      <c r="M147" s="110" t="s">
        <v>2060</v>
      </c>
      <c r="N147" s="24">
        <v>5</v>
      </c>
      <c r="O147" s="24" t="s">
        <v>1732</v>
      </c>
      <c r="P147" s="24" t="s">
        <v>488</v>
      </c>
    </row>
    <row r="148" spans="1:16">
      <c r="A148" s="172">
        <v>2104000000123</v>
      </c>
      <c r="B148" s="24" t="s">
        <v>1634</v>
      </c>
      <c r="C148" s="172">
        <v>2200000000010</v>
      </c>
      <c r="D148" s="24" t="s">
        <v>331</v>
      </c>
      <c r="E148" s="24" t="b">
        <v>0</v>
      </c>
      <c r="M148" s="110"/>
    </row>
    <row r="149" spans="1:16">
      <c r="H149" s="24">
        <v>1</v>
      </c>
      <c r="I149" s="24" t="s">
        <v>448</v>
      </c>
      <c r="J149" s="24" t="s">
        <v>269</v>
      </c>
      <c r="K149" s="24" t="s">
        <v>677</v>
      </c>
      <c r="L149" s="24" t="s">
        <v>1356</v>
      </c>
      <c r="M149" s="110" t="s">
        <v>2060</v>
      </c>
      <c r="N149" s="24">
        <v>7</v>
      </c>
      <c r="O149" s="24" t="s">
        <v>1733</v>
      </c>
      <c r="P149" s="24" t="s">
        <v>488</v>
      </c>
    </row>
    <row r="150" spans="1:16">
      <c r="A150" s="172">
        <v>2104000000124</v>
      </c>
      <c r="B150" s="24" t="s">
        <v>1635</v>
      </c>
      <c r="C150" s="172">
        <v>2200000000010</v>
      </c>
      <c r="D150" s="24" t="s">
        <v>331</v>
      </c>
      <c r="E150" s="24" t="b">
        <v>0</v>
      </c>
      <c r="M150" s="110"/>
    </row>
    <row r="151" spans="1:16">
      <c r="B151" s="24" t="s">
        <v>1562</v>
      </c>
      <c r="H151" s="24">
        <v>1</v>
      </c>
      <c r="I151" s="24" t="s">
        <v>448</v>
      </c>
      <c r="J151" s="24" t="s">
        <v>269</v>
      </c>
      <c r="K151" s="24" t="s">
        <v>677</v>
      </c>
      <c r="L151" s="24" t="s">
        <v>1356</v>
      </c>
      <c r="M151" s="110" t="s">
        <v>2063</v>
      </c>
      <c r="N151" s="24">
        <v>2</v>
      </c>
      <c r="O151" s="24" t="s">
        <v>1734</v>
      </c>
      <c r="P151" s="24" t="s">
        <v>488</v>
      </c>
    </row>
    <row r="152" spans="1:16">
      <c r="A152" s="172">
        <v>2104000000125</v>
      </c>
      <c r="B152" s="24" t="s">
        <v>1636</v>
      </c>
      <c r="C152" s="172">
        <v>2200000000010</v>
      </c>
      <c r="D152" s="24" t="s">
        <v>331</v>
      </c>
      <c r="E152" s="24" t="b">
        <v>0</v>
      </c>
      <c r="M152" s="110"/>
    </row>
    <row r="153" spans="1:16">
      <c r="B153" s="24" t="s">
        <v>1562</v>
      </c>
      <c r="H153" s="24">
        <v>1</v>
      </c>
      <c r="I153" s="24" t="s">
        <v>448</v>
      </c>
      <c r="J153" s="24" t="s">
        <v>269</v>
      </c>
      <c r="K153" s="24" t="s">
        <v>677</v>
      </c>
      <c r="L153" s="24" t="s">
        <v>1356</v>
      </c>
      <c r="M153" s="110" t="s">
        <v>2063</v>
      </c>
      <c r="N153" s="24">
        <v>5</v>
      </c>
      <c r="O153" s="24" t="s">
        <v>1735</v>
      </c>
      <c r="P153" s="24" t="s">
        <v>488</v>
      </c>
    </row>
    <row r="154" spans="1:16">
      <c r="A154" s="172">
        <v>2104000000126</v>
      </c>
      <c r="B154" s="24" t="s">
        <v>1637</v>
      </c>
      <c r="C154" s="172">
        <v>2200000000010</v>
      </c>
      <c r="D154" s="24" t="s">
        <v>331</v>
      </c>
      <c r="E154" s="24" t="b">
        <v>0</v>
      </c>
      <c r="M154" s="110"/>
    </row>
    <row r="155" spans="1:16">
      <c r="H155" s="24">
        <v>1</v>
      </c>
      <c r="I155" s="24" t="s">
        <v>448</v>
      </c>
      <c r="J155" s="24" t="s">
        <v>269</v>
      </c>
      <c r="K155" s="24" t="s">
        <v>677</v>
      </c>
      <c r="L155" s="24" t="s">
        <v>1356</v>
      </c>
      <c r="M155" s="110" t="s">
        <v>2063</v>
      </c>
      <c r="N155" s="24">
        <v>7</v>
      </c>
      <c r="O155" s="24" t="s">
        <v>1736</v>
      </c>
      <c r="P155" s="24" t="s">
        <v>488</v>
      </c>
    </row>
    <row r="156" spans="1:16">
      <c r="A156" s="172">
        <v>2104000000127</v>
      </c>
      <c r="B156" s="24" t="s">
        <v>1638</v>
      </c>
      <c r="C156" s="172">
        <v>2200000000010</v>
      </c>
      <c r="D156" s="24" t="s">
        <v>331</v>
      </c>
      <c r="E156" s="24" t="b">
        <v>0</v>
      </c>
      <c r="M156" s="110"/>
    </row>
    <row r="157" spans="1:16">
      <c r="B157" s="24" t="s">
        <v>1562</v>
      </c>
      <c r="H157" s="24">
        <v>1</v>
      </c>
      <c r="I157" s="24" t="s">
        <v>448</v>
      </c>
      <c r="J157" s="24" t="s">
        <v>269</v>
      </c>
      <c r="K157" s="24" t="s">
        <v>677</v>
      </c>
      <c r="L157" s="24" t="s">
        <v>1356</v>
      </c>
      <c r="M157" s="110" t="s">
        <v>2066</v>
      </c>
      <c r="N157" s="24">
        <v>2</v>
      </c>
      <c r="O157" s="24" t="s">
        <v>1737</v>
      </c>
      <c r="P157" s="24" t="s">
        <v>488</v>
      </c>
    </row>
    <row r="158" spans="1:16">
      <c r="A158" s="172">
        <v>2104000000128</v>
      </c>
      <c r="B158" s="24" t="s">
        <v>1639</v>
      </c>
      <c r="C158" s="172">
        <v>2200000000010</v>
      </c>
      <c r="D158" s="24" t="s">
        <v>331</v>
      </c>
      <c r="E158" s="24" t="b">
        <v>0</v>
      </c>
      <c r="M158" s="110"/>
    </row>
    <row r="159" spans="1:16">
      <c r="B159" s="24" t="s">
        <v>1562</v>
      </c>
      <c r="H159" s="24">
        <v>1</v>
      </c>
      <c r="I159" s="24" t="s">
        <v>448</v>
      </c>
      <c r="J159" s="24" t="s">
        <v>269</v>
      </c>
      <c r="K159" s="24" t="s">
        <v>677</v>
      </c>
      <c r="L159" s="24" t="s">
        <v>1356</v>
      </c>
      <c r="M159" s="110" t="s">
        <v>2066</v>
      </c>
      <c r="N159" s="24">
        <v>5</v>
      </c>
      <c r="O159" s="24" t="s">
        <v>1738</v>
      </c>
      <c r="P159" s="24" t="s">
        <v>488</v>
      </c>
    </row>
    <row r="160" spans="1:16">
      <c r="A160" s="172">
        <v>2104000000129</v>
      </c>
      <c r="B160" s="24" t="s">
        <v>1640</v>
      </c>
      <c r="C160" s="172">
        <v>2200000000010</v>
      </c>
      <c r="D160" s="24" t="s">
        <v>331</v>
      </c>
      <c r="E160" s="24" t="b">
        <v>0</v>
      </c>
      <c r="M160" s="110"/>
    </row>
    <row r="161" spans="1:16">
      <c r="H161" s="24">
        <v>1</v>
      </c>
      <c r="I161" s="24" t="s">
        <v>448</v>
      </c>
      <c r="J161" s="24" t="s">
        <v>269</v>
      </c>
      <c r="K161" s="24" t="s">
        <v>677</v>
      </c>
      <c r="L161" s="24" t="s">
        <v>1356</v>
      </c>
      <c r="M161" s="110" t="s">
        <v>2066</v>
      </c>
      <c r="N161" s="24">
        <v>7</v>
      </c>
      <c r="O161" s="24" t="s">
        <v>1739</v>
      </c>
      <c r="P161" s="24" t="s">
        <v>488</v>
      </c>
    </row>
    <row r="162" spans="1:16">
      <c r="A162" s="172">
        <v>2104000000130</v>
      </c>
      <c r="B162" s="24" t="s">
        <v>1641</v>
      </c>
      <c r="C162" s="172">
        <v>2200000000010</v>
      </c>
      <c r="D162" s="24" t="s">
        <v>331</v>
      </c>
      <c r="E162" s="24" t="b">
        <v>0</v>
      </c>
      <c r="M162" s="110"/>
    </row>
    <row r="163" spans="1:16">
      <c r="B163" s="24" t="s">
        <v>1562</v>
      </c>
      <c r="H163" s="24">
        <v>1</v>
      </c>
      <c r="I163" s="24" t="s">
        <v>448</v>
      </c>
      <c r="J163" s="24" t="s">
        <v>269</v>
      </c>
      <c r="K163" s="24" t="s">
        <v>677</v>
      </c>
      <c r="L163" s="24" t="s">
        <v>1356</v>
      </c>
      <c r="M163" s="110" t="s">
        <v>2069</v>
      </c>
      <c r="N163" s="24">
        <v>2</v>
      </c>
      <c r="O163" s="24" t="s">
        <v>1740</v>
      </c>
      <c r="P163" s="24" t="s">
        <v>488</v>
      </c>
    </row>
    <row r="164" spans="1:16">
      <c r="A164" s="172">
        <v>2104000000131</v>
      </c>
      <c r="B164" s="24" t="s">
        <v>1642</v>
      </c>
      <c r="C164" s="172">
        <v>2200000000010</v>
      </c>
      <c r="D164" s="24" t="s">
        <v>331</v>
      </c>
      <c r="E164" s="24" t="b">
        <v>0</v>
      </c>
      <c r="M164" s="110"/>
    </row>
    <row r="165" spans="1:16">
      <c r="B165" s="24" t="s">
        <v>1562</v>
      </c>
      <c r="H165" s="24">
        <v>1</v>
      </c>
      <c r="I165" s="24" t="s">
        <v>448</v>
      </c>
      <c r="J165" s="24" t="s">
        <v>269</v>
      </c>
      <c r="K165" s="24" t="s">
        <v>677</v>
      </c>
      <c r="L165" s="24" t="s">
        <v>1356</v>
      </c>
      <c r="M165" s="110" t="s">
        <v>2069</v>
      </c>
      <c r="N165" s="24">
        <v>5</v>
      </c>
      <c r="O165" s="24" t="s">
        <v>1741</v>
      </c>
      <c r="P165" s="24" t="s">
        <v>488</v>
      </c>
    </row>
    <row r="166" spans="1:16">
      <c r="A166" s="172">
        <v>2104000000132</v>
      </c>
      <c r="B166" s="24" t="s">
        <v>1643</v>
      </c>
      <c r="C166" s="172">
        <v>2200000000010</v>
      </c>
      <c r="D166" s="24" t="s">
        <v>331</v>
      </c>
      <c r="E166" s="24" t="b">
        <v>0</v>
      </c>
      <c r="M166" s="110"/>
    </row>
    <row r="167" spans="1:16">
      <c r="H167" s="24">
        <v>1</v>
      </c>
      <c r="I167" s="24" t="s">
        <v>448</v>
      </c>
      <c r="J167" s="24" t="s">
        <v>269</v>
      </c>
      <c r="K167" s="24" t="s">
        <v>677</v>
      </c>
      <c r="L167" s="24" t="s">
        <v>1356</v>
      </c>
      <c r="M167" s="110" t="s">
        <v>2069</v>
      </c>
      <c r="N167" s="24">
        <v>7</v>
      </c>
      <c r="O167" s="24" t="s">
        <v>1742</v>
      </c>
      <c r="P167" s="24" t="s">
        <v>488</v>
      </c>
    </row>
    <row r="168" spans="1:16">
      <c r="A168" s="172">
        <v>2104000000133</v>
      </c>
      <c r="B168" s="24" t="s">
        <v>1644</v>
      </c>
      <c r="C168" s="172">
        <v>2200000000010</v>
      </c>
      <c r="D168" s="24" t="s">
        <v>331</v>
      </c>
      <c r="E168" s="24" t="b">
        <v>0</v>
      </c>
      <c r="M168" s="110"/>
    </row>
    <row r="169" spans="1:16">
      <c r="B169" s="24" t="s">
        <v>1562</v>
      </c>
      <c r="H169" s="24">
        <v>1</v>
      </c>
      <c r="I169" s="24" t="s">
        <v>448</v>
      </c>
      <c r="J169" s="24" t="s">
        <v>269</v>
      </c>
      <c r="K169" s="24" t="s">
        <v>677</v>
      </c>
      <c r="L169" s="24" t="s">
        <v>1356</v>
      </c>
      <c r="M169" s="110" t="s">
        <v>2072</v>
      </c>
      <c r="N169" s="24">
        <v>2</v>
      </c>
      <c r="O169" s="24" t="s">
        <v>1743</v>
      </c>
      <c r="P169" s="24" t="s">
        <v>488</v>
      </c>
    </row>
    <row r="170" spans="1:16">
      <c r="A170" s="172">
        <v>2104000000134</v>
      </c>
      <c r="B170" s="24" t="s">
        <v>1645</v>
      </c>
      <c r="C170" s="172">
        <v>2200000000010</v>
      </c>
      <c r="D170" s="24" t="s">
        <v>331</v>
      </c>
      <c r="E170" s="24" t="b">
        <v>0</v>
      </c>
      <c r="M170" s="110"/>
    </row>
    <row r="171" spans="1:16">
      <c r="B171" s="24" t="s">
        <v>1562</v>
      </c>
      <c r="H171" s="24">
        <v>1</v>
      </c>
      <c r="I171" s="24" t="s">
        <v>448</v>
      </c>
      <c r="J171" s="24" t="s">
        <v>269</v>
      </c>
      <c r="K171" s="24" t="s">
        <v>677</v>
      </c>
      <c r="L171" s="24" t="s">
        <v>1356</v>
      </c>
      <c r="M171" s="110" t="s">
        <v>2072</v>
      </c>
      <c r="N171" s="24">
        <v>5</v>
      </c>
      <c r="O171" s="24" t="s">
        <v>1744</v>
      </c>
      <c r="P171" s="24" t="s">
        <v>488</v>
      </c>
    </row>
    <row r="172" spans="1:16">
      <c r="A172" s="172">
        <v>2104000000135</v>
      </c>
      <c r="B172" s="24" t="s">
        <v>1646</v>
      </c>
      <c r="C172" s="172">
        <v>2200000000010</v>
      </c>
      <c r="D172" s="24" t="s">
        <v>331</v>
      </c>
      <c r="E172" s="24" t="b">
        <v>0</v>
      </c>
      <c r="M172" s="110"/>
    </row>
    <row r="173" spans="1:16">
      <c r="H173" s="24">
        <v>1</v>
      </c>
      <c r="I173" s="24" t="s">
        <v>448</v>
      </c>
      <c r="J173" s="24" t="s">
        <v>269</v>
      </c>
      <c r="K173" s="24" t="s">
        <v>677</v>
      </c>
      <c r="L173" s="24" t="s">
        <v>1356</v>
      </c>
      <c r="M173" s="110" t="s">
        <v>2072</v>
      </c>
      <c r="N173" s="24">
        <v>7</v>
      </c>
      <c r="O173" s="24" t="s">
        <v>1745</v>
      </c>
      <c r="P173" s="24" t="s">
        <v>488</v>
      </c>
    </row>
    <row r="174" spans="1:16">
      <c r="A174" s="172">
        <v>2104000000136</v>
      </c>
      <c r="B174" s="24" t="s">
        <v>1647</v>
      </c>
      <c r="C174" s="172">
        <v>2200000000010</v>
      </c>
      <c r="D174" s="24" t="s">
        <v>331</v>
      </c>
      <c r="E174" s="24" t="b">
        <v>0</v>
      </c>
      <c r="M174" s="110"/>
    </row>
    <row r="175" spans="1:16">
      <c r="B175" s="24" t="s">
        <v>1562</v>
      </c>
      <c r="H175" s="24">
        <v>1</v>
      </c>
      <c r="I175" s="24" t="s">
        <v>448</v>
      </c>
      <c r="J175" s="24" t="s">
        <v>269</v>
      </c>
      <c r="K175" s="24" t="s">
        <v>677</v>
      </c>
      <c r="L175" s="24" t="s">
        <v>1356</v>
      </c>
      <c r="M175" s="110" t="s">
        <v>2074</v>
      </c>
      <c r="N175" s="24">
        <v>2</v>
      </c>
      <c r="O175" s="24" t="s">
        <v>1746</v>
      </c>
      <c r="P175" s="24" t="s">
        <v>488</v>
      </c>
    </row>
    <row r="176" spans="1:16">
      <c r="A176" s="172">
        <v>2104000000137</v>
      </c>
      <c r="B176" s="24" t="s">
        <v>1648</v>
      </c>
      <c r="C176" s="172">
        <v>2200000000010</v>
      </c>
      <c r="D176" s="24" t="s">
        <v>331</v>
      </c>
      <c r="E176" s="24" t="b">
        <v>0</v>
      </c>
      <c r="M176" s="110"/>
    </row>
    <row r="177" spans="1:16">
      <c r="B177" s="24" t="s">
        <v>1562</v>
      </c>
      <c r="H177" s="24">
        <v>1</v>
      </c>
      <c r="I177" s="24" t="s">
        <v>448</v>
      </c>
      <c r="J177" s="24" t="s">
        <v>269</v>
      </c>
      <c r="K177" s="24" t="s">
        <v>677</v>
      </c>
      <c r="L177" s="24" t="s">
        <v>1356</v>
      </c>
      <c r="M177" s="110" t="s">
        <v>2074</v>
      </c>
      <c r="N177" s="24">
        <v>5</v>
      </c>
      <c r="O177" s="24" t="s">
        <v>1747</v>
      </c>
      <c r="P177" s="24" t="s">
        <v>488</v>
      </c>
    </row>
    <row r="178" spans="1:16">
      <c r="A178" s="172">
        <v>2104000000138</v>
      </c>
      <c r="B178" s="24" t="s">
        <v>1649</v>
      </c>
      <c r="C178" s="172">
        <v>2200000000010</v>
      </c>
      <c r="D178" s="24" t="s">
        <v>331</v>
      </c>
      <c r="E178" s="24" t="b">
        <v>0</v>
      </c>
      <c r="M178" s="110"/>
    </row>
    <row r="179" spans="1:16">
      <c r="H179" s="24">
        <v>1</v>
      </c>
      <c r="I179" s="24" t="s">
        <v>448</v>
      </c>
      <c r="J179" s="24" t="s">
        <v>269</v>
      </c>
      <c r="K179" s="24" t="s">
        <v>677</v>
      </c>
      <c r="L179" s="24" t="s">
        <v>1356</v>
      </c>
      <c r="M179" s="110" t="s">
        <v>2074</v>
      </c>
      <c r="N179" s="24">
        <v>7</v>
      </c>
      <c r="O179" s="24" t="s">
        <v>1748</v>
      </c>
      <c r="P179" s="24" t="s">
        <v>488</v>
      </c>
    </row>
    <row r="180" spans="1:16">
      <c r="A180" s="172">
        <v>2104000000139</v>
      </c>
      <c r="B180" s="24" t="s">
        <v>1650</v>
      </c>
      <c r="C180" s="172">
        <v>2200000000010</v>
      </c>
      <c r="D180" s="24" t="s">
        <v>331</v>
      </c>
      <c r="E180" s="24" t="b">
        <v>0</v>
      </c>
      <c r="M180" s="110"/>
    </row>
    <row r="181" spans="1:16">
      <c r="B181" s="24" t="s">
        <v>1562</v>
      </c>
      <c r="H181" s="24">
        <v>1</v>
      </c>
      <c r="I181" s="24" t="s">
        <v>448</v>
      </c>
      <c r="J181" s="24" t="s">
        <v>269</v>
      </c>
      <c r="K181" s="24" t="s">
        <v>677</v>
      </c>
      <c r="L181" s="24" t="s">
        <v>1356</v>
      </c>
      <c r="M181" s="110" t="s">
        <v>2076</v>
      </c>
      <c r="N181" s="24">
        <v>2</v>
      </c>
      <c r="O181" s="24" t="s">
        <v>1749</v>
      </c>
      <c r="P181" s="24" t="s">
        <v>488</v>
      </c>
    </row>
    <row r="182" spans="1:16">
      <c r="A182" s="172">
        <v>2104000000140</v>
      </c>
      <c r="B182" s="24" t="s">
        <v>1651</v>
      </c>
      <c r="C182" s="172">
        <v>2200000000010</v>
      </c>
      <c r="D182" s="24" t="s">
        <v>331</v>
      </c>
      <c r="E182" s="24" t="b">
        <v>0</v>
      </c>
      <c r="M182" s="110"/>
    </row>
    <row r="183" spans="1:16">
      <c r="B183" s="24" t="s">
        <v>1562</v>
      </c>
      <c r="H183" s="24">
        <v>1</v>
      </c>
      <c r="I183" s="24" t="s">
        <v>448</v>
      </c>
      <c r="J183" s="24" t="s">
        <v>269</v>
      </c>
      <c r="K183" s="24" t="s">
        <v>677</v>
      </c>
      <c r="L183" s="24" t="s">
        <v>1356</v>
      </c>
      <c r="M183" s="110" t="s">
        <v>2076</v>
      </c>
      <c r="N183" s="24">
        <v>5</v>
      </c>
      <c r="O183" s="24" t="s">
        <v>1750</v>
      </c>
      <c r="P183" s="24" t="s">
        <v>488</v>
      </c>
    </row>
    <row r="184" spans="1:16">
      <c r="A184" s="172">
        <v>2104000000141</v>
      </c>
      <c r="B184" s="24" t="s">
        <v>1652</v>
      </c>
      <c r="C184" s="172">
        <v>2200000000010</v>
      </c>
      <c r="D184" s="24" t="s">
        <v>331</v>
      </c>
      <c r="E184" s="24" t="b">
        <v>0</v>
      </c>
      <c r="M184" s="110"/>
    </row>
    <row r="185" spans="1:16">
      <c r="H185" s="24">
        <v>1</v>
      </c>
      <c r="I185" s="24" t="s">
        <v>448</v>
      </c>
      <c r="J185" s="24" t="s">
        <v>269</v>
      </c>
      <c r="K185" s="24" t="s">
        <v>677</v>
      </c>
      <c r="L185" s="24" t="s">
        <v>1356</v>
      </c>
      <c r="M185" s="110" t="s">
        <v>2076</v>
      </c>
      <c r="N185" s="24">
        <v>7</v>
      </c>
      <c r="O185" s="24" t="s">
        <v>1751</v>
      </c>
      <c r="P185" s="24" t="s">
        <v>488</v>
      </c>
    </row>
    <row r="186" spans="1:16">
      <c r="A186" s="172">
        <v>2104000000142</v>
      </c>
      <c r="B186" s="24" t="s">
        <v>1653</v>
      </c>
      <c r="C186" s="172">
        <v>2200000000010</v>
      </c>
      <c r="D186" s="24" t="s">
        <v>331</v>
      </c>
      <c r="E186" s="24" t="b">
        <v>0</v>
      </c>
      <c r="M186" s="110"/>
    </row>
    <row r="187" spans="1:16">
      <c r="B187" s="24" t="s">
        <v>1562</v>
      </c>
      <c r="H187" s="24">
        <v>1</v>
      </c>
      <c r="I187" s="24" t="s">
        <v>448</v>
      </c>
      <c r="J187" s="24" t="s">
        <v>269</v>
      </c>
      <c r="K187" s="24" t="s">
        <v>677</v>
      </c>
      <c r="L187" s="24" t="s">
        <v>1356</v>
      </c>
      <c r="M187" s="110" t="s">
        <v>2102</v>
      </c>
      <c r="N187" s="24">
        <v>2</v>
      </c>
      <c r="O187" s="24" t="s">
        <v>1752</v>
      </c>
      <c r="P187" s="24" t="s">
        <v>488</v>
      </c>
    </row>
    <row r="188" spans="1:16">
      <c r="A188" s="172">
        <v>2104000000143</v>
      </c>
      <c r="B188" s="24" t="s">
        <v>1654</v>
      </c>
      <c r="C188" s="172">
        <v>2200000000010</v>
      </c>
      <c r="D188" s="24" t="s">
        <v>331</v>
      </c>
      <c r="E188" s="24" t="b">
        <v>0</v>
      </c>
      <c r="M188" s="110"/>
    </row>
    <row r="189" spans="1:16">
      <c r="B189" s="24" t="s">
        <v>1562</v>
      </c>
      <c r="H189" s="24">
        <v>1</v>
      </c>
      <c r="I189" s="24" t="s">
        <v>448</v>
      </c>
      <c r="J189" s="24" t="s">
        <v>269</v>
      </c>
      <c r="K189" s="24" t="s">
        <v>677</v>
      </c>
      <c r="L189" s="24" t="s">
        <v>1356</v>
      </c>
      <c r="M189" s="110" t="s">
        <v>2102</v>
      </c>
      <c r="N189" s="24">
        <v>5</v>
      </c>
      <c r="O189" s="24" t="s">
        <v>1753</v>
      </c>
      <c r="P189" s="24" t="s">
        <v>488</v>
      </c>
    </row>
    <row r="190" spans="1:16">
      <c r="A190" s="172">
        <v>2104000000144</v>
      </c>
      <c r="B190" s="24" t="s">
        <v>1655</v>
      </c>
      <c r="C190" s="172">
        <v>2200000000010</v>
      </c>
      <c r="D190" s="24" t="s">
        <v>331</v>
      </c>
      <c r="E190" s="24" t="b">
        <v>0</v>
      </c>
      <c r="M190" s="110"/>
    </row>
    <row r="191" spans="1:16">
      <c r="H191" s="24">
        <v>1</v>
      </c>
      <c r="I191" s="24" t="s">
        <v>448</v>
      </c>
      <c r="J191" s="24" t="s">
        <v>269</v>
      </c>
      <c r="K191" s="24" t="s">
        <v>677</v>
      </c>
      <c r="L191" s="24" t="s">
        <v>1356</v>
      </c>
      <c r="M191" s="110" t="s">
        <v>2102</v>
      </c>
      <c r="N191" s="24">
        <v>7</v>
      </c>
      <c r="O191" s="24" t="s">
        <v>1754</v>
      </c>
      <c r="P191" s="24" t="s">
        <v>488</v>
      </c>
    </row>
    <row r="192" spans="1:16">
      <c r="A192" s="172">
        <v>2104000000145</v>
      </c>
      <c r="B192" s="24" t="s">
        <v>1656</v>
      </c>
      <c r="C192" s="172">
        <v>2200000000010</v>
      </c>
      <c r="D192" s="24" t="s">
        <v>331</v>
      </c>
      <c r="E192" s="24" t="b">
        <v>0</v>
      </c>
      <c r="M192" s="110"/>
    </row>
    <row r="193" spans="1:16">
      <c r="B193" s="24" t="s">
        <v>1562</v>
      </c>
      <c r="H193" s="24">
        <v>1</v>
      </c>
      <c r="I193" s="24" t="s">
        <v>448</v>
      </c>
      <c r="J193" s="24" t="s">
        <v>269</v>
      </c>
      <c r="K193" s="24" t="s">
        <v>677</v>
      </c>
      <c r="L193" s="24" t="s">
        <v>1356</v>
      </c>
      <c r="M193" s="110" t="s">
        <v>2079</v>
      </c>
      <c r="N193" s="24">
        <v>2</v>
      </c>
      <c r="O193" s="24" t="s">
        <v>1755</v>
      </c>
      <c r="P193" s="24" t="s">
        <v>488</v>
      </c>
    </row>
    <row r="194" spans="1:16">
      <c r="A194" s="172">
        <v>2104000000146</v>
      </c>
      <c r="B194" s="24" t="s">
        <v>1657</v>
      </c>
      <c r="C194" s="172">
        <v>2200000000010</v>
      </c>
      <c r="D194" s="24" t="s">
        <v>331</v>
      </c>
      <c r="E194" s="24" t="b">
        <v>0</v>
      </c>
      <c r="M194" s="110"/>
    </row>
    <row r="195" spans="1:16">
      <c r="B195" s="24" t="s">
        <v>1562</v>
      </c>
      <c r="H195" s="24">
        <v>1</v>
      </c>
      <c r="I195" s="24" t="s">
        <v>448</v>
      </c>
      <c r="J195" s="24" t="s">
        <v>269</v>
      </c>
      <c r="K195" s="24" t="s">
        <v>677</v>
      </c>
      <c r="L195" s="24" t="s">
        <v>1356</v>
      </c>
      <c r="M195" s="110" t="s">
        <v>2079</v>
      </c>
      <c r="N195" s="24">
        <v>5</v>
      </c>
      <c r="O195" s="24" t="s">
        <v>1756</v>
      </c>
      <c r="P195" s="24" t="s">
        <v>488</v>
      </c>
    </row>
    <row r="196" spans="1:16">
      <c r="A196" s="172">
        <v>2104000000147</v>
      </c>
      <c r="B196" s="24" t="s">
        <v>1658</v>
      </c>
      <c r="C196" s="172">
        <v>2200000000010</v>
      </c>
      <c r="D196" s="24" t="s">
        <v>331</v>
      </c>
      <c r="E196" s="24" t="b">
        <v>0</v>
      </c>
      <c r="M196" s="110"/>
    </row>
    <row r="197" spans="1:16">
      <c r="H197" s="24">
        <v>1</v>
      </c>
      <c r="I197" s="24" t="s">
        <v>448</v>
      </c>
      <c r="J197" s="24" t="s">
        <v>269</v>
      </c>
      <c r="K197" s="24" t="s">
        <v>677</v>
      </c>
      <c r="L197" s="24" t="s">
        <v>1356</v>
      </c>
      <c r="M197" s="110" t="s">
        <v>2079</v>
      </c>
      <c r="N197" s="24">
        <v>7</v>
      </c>
      <c r="O197" s="24" t="s">
        <v>1757</v>
      </c>
      <c r="P197" s="24" t="s">
        <v>488</v>
      </c>
    </row>
    <row r="198" spans="1:16">
      <c r="A198" s="172">
        <v>2104000000151</v>
      </c>
      <c r="B198" s="24" t="s">
        <v>1659</v>
      </c>
      <c r="C198" s="172">
        <v>2200000000010</v>
      </c>
      <c r="D198" s="24" t="s">
        <v>331</v>
      </c>
      <c r="E198" s="24" t="b">
        <v>0</v>
      </c>
      <c r="M198" s="110"/>
    </row>
    <row r="199" spans="1:16">
      <c r="B199" s="24" t="s">
        <v>1562</v>
      </c>
      <c r="H199" s="24">
        <v>1</v>
      </c>
      <c r="I199" s="24" t="s">
        <v>448</v>
      </c>
      <c r="J199" s="24" t="s">
        <v>269</v>
      </c>
      <c r="K199" s="24" t="s">
        <v>677</v>
      </c>
      <c r="L199" s="24" t="s">
        <v>1356</v>
      </c>
      <c r="M199" s="110" t="s">
        <v>2082</v>
      </c>
      <c r="N199" s="24">
        <v>2</v>
      </c>
      <c r="O199" s="24" t="s">
        <v>1758</v>
      </c>
      <c r="P199" s="24" t="s">
        <v>488</v>
      </c>
    </row>
    <row r="200" spans="1:16">
      <c r="A200" s="172">
        <v>2104000000152</v>
      </c>
      <c r="B200" s="24" t="s">
        <v>1660</v>
      </c>
      <c r="C200" s="172">
        <v>2200000000010</v>
      </c>
      <c r="D200" s="24" t="s">
        <v>331</v>
      </c>
      <c r="E200" s="24" t="b">
        <v>0</v>
      </c>
      <c r="M200" s="110"/>
    </row>
    <row r="201" spans="1:16">
      <c r="B201" s="24" t="s">
        <v>1562</v>
      </c>
      <c r="H201" s="24">
        <v>1</v>
      </c>
      <c r="I201" s="24" t="s">
        <v>448</v>
      </c>
      <c r="J201" s="24" t="s">
        <v>269</v>
      </c>
      <c r="K201" s="24" t="s">
        <v>677</v>
      </c>
      <c r="L201" s="24" t="s">
        <v>1356</v>
      </c>
      <c r="M201" s="110" t="s">
        <v>2082</v>
      </c>
      <c r="N201" s="24">
        <v>5</v>
      </c>
      <c r="O201" s="24" t="s">
        <v>1759</v>
      </c>
      <c r="P201" s="24" t="s">
        <v>488</v>
      </c>
    </row>
    <row r="202" spans="1:16">
      <c r="A202" s="172">
        <v>2104000000153</v>
      </c>
      <c r="B202" s="24" t="s">
        <v>1661</v>
      </c>
      <c r="C202" s="172">
        <v>2200000000010</v>
      </c>
      <c r="D202" s="24" t="s">
        <v>331</v>
      </c>
      <c r="E202" s="24" t="b">
        <v>0</v>
      </c>
      <c r="M202" s="110"/>
    </row>
    <row r="203" spans="1:16">
      <c r="H203" s="24">
        <v>1</v>
      </c>
      <c r="I203" s="24" t="s">
        <v>448</v>
      </c>
      <c r="J203" s="24" t="s">
        <v>269</v>
      </c>
      <c r="K203" s="24" t="s">
        <v>677</v>
      </c>
      <c r="L203" s="24" t="s">
        <v>1356</v>
      </c>
      <c r="M203" s="110" t="s">
        <v>2082</v>
      </c>
      <c r="N203" s="24">
        <v>7</v>
      </c>
      <c r="O203" s="24" t="s">
        <v>1760</v>
      </c>
      <c r="P203" s="24" t="s">
        <v>488</v>
      </c>
    </row>
    <row r="204" spans="1:16">
      <c r="A204" s="172">
        <v>2104000000154</v>
      </c>
      <c r="B204" s="24" t="s">
        <v>1762</v>
      </c>
      <c r="C204" s="172">
        <v>2200000000010</v>
      </c>
      <c r="D204" s="24" t="s">
        <v>331</v>
      </c>
      <c r="E204" s="24" t="b">
        <v>0</v>
      </c>
    </row>
    <row r="205" spans="1:16">
      <c r="H205" s="24">
        <v>1</v>
      </c>
      <c r="I205" s="24" t="s">
        <v>448</v>
      </c>
      <c r="J205" s="24" t="s">
        <v>269</v>
      </c>
      <c r="K205" s="24" t="s">
        <v>677</v>
      </c>
      <c r="L205" s="24" t="s">
        <v>1763</v>
      </c>
      <c r="M205" s="24" t="s">
        <v>1829</v>
      </c>
      <c r="N205" s="24">
        <v>1</v>
      </c>
      <c r="O205" s="24" t="s">
        <v>1764</v>
      </c>
      <c r="P205" s="24" t="s">
        <v>488</v>
      </c>
    </row>
    <row r="206" spans="1:16">
      <c r="A206" s="172">
        <v>2104000000155</v>
      </c>
      <c r="B206" s="24" t="s">
        <v>1765</v>
      </c>
      <c r="C206" s="172">
        <v>2200000000010</v>
      </c>
      <c r="D206" s="24" t="s">
        <v>331</v>
      </c>
      <c r="E206" s="24" t="b">
        <v>0</v>
      </c>
    </row>
    <row r="207" spans="1:16">
      <c r="H207" s="24">
        <v>1</v>
      </c>
      <c r="I207" s="24" t="s">
        <v>448</v>
      </c>
      <c r="J207" s="24" t="s">
        <v>269</v>
      </c>
      <c r="K207" s="24" t="s">
        <v>677</v>
      </c>
      <c r="L207" s="24" t="s">
        <v>1763</v>
      </c>
      <c r="M207" s="24" t="s">
        <v>1830</v>
      </c>
      <c r="N207" s="24">
        <v>1</v>
      </c>
      <c r="O207" s="24" t="s">
        <v>1766</v>
      </c>
      <c r="P207" s="24" t="s">
        <v>488</v>
      </c>
    </row>
    <row r="208" spans="1:16">
      <c r="A208" s="172">
        <v>2104000000156</v>
      </c>
      <c r="B208" s="24" t="s">
        <v>1767</v>
      </c>
      <c r="C208" s="172">
        <v>2200000000010</v>
      </c>
      <c r="D208" s="24" t="s">
        <v>331</v>
      </c>
      <c r="E208" s="24" t="b">
        <v>0</v>
      </c>
    </row>
    <row r="209" spans="1:16">
      <c r="H209" s="24">
        <v>1</v>
      </c>
      <c r="I209" s="24" t="s">
        <v>448</v>
      </c>
      <c r="J209" s="24" t="s">
        <v>269</v>
      </c>
      <c r="K209" s="24" t="s">
        <v>677</v>
      </c>
      <c r="L209" s="24" t="s">
        <v>1763</v>
      </c>
      <c r="M209" s="24" t="s">
        <v>1831</v>
      </c>
      <c r="N209" s="24">
        <v>1</v>
      </c>
      <c r="O209" s="24" t="s">
        <v>1768</v>
      </c>
      <c r="P209" s="24" t="s">
        <v>488</v>
      </c>
    </row>
    <row r="210" spans="1:16">
      <c r="A210" s="172">
        <v>2104000000157</v>
      </c>
      <c r="B210" s="24" t="s">
        <v>1769</v>
      </c>
      <c r="C210" s="172">
        <v>2200000000010</v>
      </c>
      <c r="D210" s="24" t="s">
        <v>331</v>
      </c>
      <c r="E210" s="24" t="b">
        <v>0</v>
      </c>
    </row>
    <row r="211" spans="1:16">
      <c r="H211" s="24">
        <v>1</v>
      </c>
      <c r="I211" s="24" t="s">
        <v>448</v>
      </c>
      <c r="J211" s="24" t="s">
        <v>269</v>
      </c>
      <c r="K211" s="24" t="s">
        <v>677</v>
      </c>
      <c r="L211" s="24" t="s">
        <v>1763</v>
      </c>
      <c r="M211" s="24" t="s">
        <v>1832</v>
      </c>
      <c r="N211" s="24">
        <v>1</v>
      </c>
      <c r="O211" s="24" t="s">
        <v>1770</v>
      </c>
      <c r="P211" s="24" t="s">
        <v>488</v>
      </c>
    </row>
    <row r="212" spans="1:16">
      <c r="A212" s="172">
        <v>2104000000158</v>
      </c>
      <c r="B212" s="24" t="s">
        <v>1771</v>
      </c>
      <c r="C212" s="172">
        <v>2200000000010</v>
      </c>
      <c r="D212" s="24" t="s">
        <v>331</v>
      </c>
      <c r="E212" s="24" t="b">
        <v>0</v>
      </c>
    </row>
    <row r="213" spans="1:16">
      <c r="H213" s="24">
        <v>1</v>
      </c>
      <c r="I213" s="24" t="s">
        <v>448</v>
      </c>
      <c r="J213" s="24" t="s">
        <v>269</v>
      </c>
      <c r="K213" s="24" t="s">
        <v>677</v>
      </c>
      <c r="L213" s="24" t="s">
        <v>1763</v>
      </c>
      <c r="M213" s="24" t="s">
        <v>1761</v>
      </c>
      <c r="N213" s="24">
        <v>1</v>
      </c>
      <c r="O213" s="24" t="s">
        <v>1772</v>
      </c>
      <c r="P213" s="24" t="s">
        <v>488</v>
      </c>
    </row>
    <row r="214" spans="1:16">
      <c r="A214" s="172">
        <v>2104000000159</v>
      </c>
      <c r="B214" s="24" t="s">
        <v>1773</v>
      </c>
      <c r="C214" s="172">
        <v>2200000000010</v>
      </c>
      <c r="D214" s="24" t="s">
        <v>331</v>
      </c>
      <c r="E214" s="24" t="b">
        <v>0</v>
      </c>
    </row>
    <row r="215" spans="1:16">
      <c r="H215" s="24">
        <v>1</v>
      </c>
      <c r="I215" s="24" t="s">
        <v>448</v>
      </c>
      <c r="J215" s="24" t="s">
        <v>269</v>
      </c>
      <c r="K215" s="24" t="s">
        <v>677</v>
      </c>
      <c r="L215" s="24" t="s">
        <v>1763</v>
      </c>
      <c r="M215" s="24" t="s">
        <v>1833</v>
      </c>
      <c r="N215" s="24">
        <v>1</v>
      </c>
      <c r="O215" s="24" t="s">
        <v>1774</v>
      </c>
      <c r="P215" s="24" t="s">
        <v>488</v>
      </c>
    </row>
    <row r="216" spans="1:16">
      <c r="A216" s="172">
        <v>2104000000160</v>
      </c>
      <c r="B216" s="24" t="s">
        <v>1775</v>
      </c>
      <c r="C216" s="172">
        <v>2200000000010</v>
      </c>
      <c r="D216" s="24" t="s">
        <v>331</v>
      </c>
      <c r="E216" s="24" t="b">
        <v>0</v>
      </c>
    </row>
    <row r="217" spans="1:16">
      <c r="H217" s="24">
        <v>1</v>
      </c>
      <c r="I217" s="24" t="s">
        <v>448</v>
      </c>
      <c r="J217" s="24" t="s">
        <v>269</v>
      </c>
      <c r="K217" s="24" t="s">
        <v>677</v>
      </c>
      <c r="L217" s="24" t="s">
        <v>1763</v>
      </c>
      <c r="M217" s="24" t="s">
        <v>3872</v>
      </c>
      <c r="N217" s="24">
        <v>1</v>
      </c>
      <c r="O217" s="24" t="s">
        <v>1776</v>
      </c>
      <c r="P217" s="24" t="s">
        <v>488</v>
      </c>
    </row>
    <row r="218" spans="1:16">
      <c r="A218" s="172">
        <v>2104000000161</v>
      </c>
      <c r="B218" s="24" t="s">
        <v>1777</v>
      </c>
      <c r="C218" s="172">
        <v>2200000000010</v>
      </c>
      <c r="D218" s="24" t="s">
        <v>331</v>
      </c>
      <c r="E218" s="24" t="b">
        <v>0</v>
      </c>
    </row>
    <row r="219" spans="1:16">
      <c r="H219" s="24">
        <v>1</v>
      </c>
      <c r="I219" s="24" t="s">
        <v>448</v>
      </c>
      <c r="J219" s="24" t="s">
        <v>269</v>
      </c>
      <c r="K219" s="24" t="s">
        <v>677</v>
      </c>
      <c r="L219" s="24" t="s">
        <v>1763</v>
      </c>
      <c r="M219" s="24" t="s">
        <v>1834</v>
      </c>
      <c r="N219" s="24">
        <v>1</v>
      </c>
      <c r="O219" s="24" t="s">
        <v>1778</v>
      </c>
      <c r="P219" s="24" t="s">
        <v>488</v>
      </c>
    </row>
    <row r="220" spans="1:16">
      <c r="A220" s="172">
        <v>2104000000162</v>
      </c>
      <c r="B220" s="24" t="s">
        <v>1779</v>
      </c>
      <c r="C220" s="172">
        <v>2200000000010</v>
      </c>
      <c r="D220" s="24" t="s">
        <v>331</v>
      </c>
      <c r="E220" s="24" t="b">
        <v>0</v>
      </c>
    </row>
    <row r="221" spans="1:16">
      <c r="H221" s="24">
        <v>1</v>
      </c>
      <c r="I221" s="24" t="s">
        <v>448</v>
      </c>
      <c r="J221" s="24" t="s">
        <v>269</v>
      </c>
      <c r="K221" s="24" t="s">
        <v>677</v>
      </c>
      <c r="L221" s="24" t="s">
        <v>1763</v>
      </c>
      <c r="M221" s="24" t="s">
        <v>1835</v>
      </c>
      <c r="N221" s="24">
        <v>1</v>
      </c>
      <c r="O221" s="24" t="s">
        <v>1780</v>
      </c>
      <c r="P221" s="24" t="s">
        <v>488</v>
      </c>
    </row>
    <row r="222" spans="1:16">
      <c r="A222" s="172">
        <v>2104000000163</v>
      </c>
      <c r="B222" s="24" t="s">
        <v>1781</v>
      </c>
      <c r="C222" s="172">
        <v>2200000000010</v>
      </c>
      <c r="D222" s="24" t="s">
        <v>331</v>
      </c>
      <c r="E222" s="24" t="b">
        <v>0</v>
      </c>
    </row>
    <row r="223" spans="1:16">
      <c r="H223" s="24">
        <v>1</v>
      </c>
      <c r="I223" s="24" t="s">
        <v>448</v>
      </c>
      <c r="J223" s="24" t="s">
        <v>269</v>
      </c>
      <c r="K223" s="24" t="s">
        <v>677</v>
      </c>
      <c r="L223" s="24" t="s">
        <v>1763</v>
      </c>
      <c r="M223" s="24" t="s">
        <v>1836</v>
      </c>
      <c r="N223" s="24">
        <v>1</v>
      </c>
      <c r="O223" s="24" t="s">
        <v>1782</v>
      </c>
      <c r="P223" s="24" t="s">
        <v>488</v>
      </c>
    </row>
    <row r="224" spans="1:16">
      <c r="A224" s="172">
        <v>2104000000164</v>
      </c>
      <c r="B224" s="24" t="s">
        <v>1783</v>
      </c>
      <c r="C224" s="172">
        <v>2200000000010</v>
      </c>
      <c r="D224" s="24" t="s">
        <v>331</v>
      </c>
      <c r="E224" s="24" t="b">
        <v>0</v>
      </c>
    </row>
    <row r="225" spans="1:16">
      <c r="H225" s="24">
        <v>1</v>
      </c>
      <c r="I225" s="24" t="s">
        <v>448</v>
      </c>
      <c r="J225" s="24" t="s">
        <v>269</v>
      </c>
      <c r="K225" s="24" t="s">
        <v>677</v>
      </c>
      <c r="L225" s="24" t="s">
        <v>1763</v>
      </c>
      <c r="M225" s="24" t="s">
        <v>1837</v>
      </c>
      <c r="N225" s="24">
        <v>1</v>
      </c>
      <c r="O225" s="24" t="s">
        <v>1784</v>
      </c>
      <c r="P225" s="24" t="s">
        <v>488</v>
      </c>
    </row>
    <row r="226" spans="1:16">
      <c r="A226" s="172">
        <v>2104000000165</v>
      </c>
      <c r="B226" s="24" t="s">
        <v>1785</v>
      </c>
      <c r="C226" s="172">
        <v>2200000000010</v>
      </c>
      <c r="D226" s="24" t="s">
        <v>331</v>
      </c>
      <c r="E226" s="24" t="b">
        <v>0</v>
      </c>
    </row>
    <row r="227" spans="1:16">
      <c r="H227" s="24">
        <v>1</v>
      </c>
      <c r="I227" s="24" t="s">
        <v>448</v>
      </c>
      <c r="J227" s="24" t="s">
        <v>269</v>
      </c>
      <c r="K227" s="24" t="s">
        <v>677</v>
      </c>
      <c r="L227" s="24" t="s">
        <v>1763</v>
      </c>
      <c r="M227" s="24" t="s">
        <v>1838</v>
      </c>
      <c r="N227" s="24">
        <v>1</v>
      </c>
      <c r="O227" s="24" t="s">
        <v>1786</v>
      </c>
      <c r="P227" s="24" t="s">
        <v>488</v>
      </c>
    </row>
    <row r="228" spans="1:16">
      <c r="A228" s="172">
        <v>2104000000166</v>
      </c>
      <c r="B228" s="24" t="s">
        <v>1787</v>
      </c>
      <c r="C228" s="172">
        <v>2200000000010</v>
      </c>
      <c r="D228" s="24" t="s">
        <v>331</v>
      </c>
      <c r="E228" s="24" t="b">
        <v>0</v>
      </c>
    </row>
    <row r="229" spans="1:16">
      <c r="H229" s="24">
        <v>1</v>
      </c>
      <c r="I229" s="24" t="s">
        <v>448</v>
      </c>
      <c r="J229" s="24" t="s">
        <v>269</v>
      </c>
      <c r="K229" s="24" t="s">
        <v>677</v>
      </c>
      <c r="L229" s="24" t="s">
        <v>1763</v>
      </c>
      <c r="M229" s="24" t="s">
        <v>1839</v>
      </c>
      <c r="N229" s="24">
        <v>1</v>
      </c>
      <c r="O229" s="24" t="s">
        <v>1788</v>
      </c>
      <c r="P229" s="24" t="s">
        <v>488</v>
      </c>
    </row>
    <row r="230" spans="1:16">
      <c r="A230" s="172">
        <v>2104000000167</v>
      </c>
      <c r="B230" s="24" t="s">
        <v>1789</v>
      </c>
      <c r="C230" s="172">
        <v>2200000000010</v>
      </c>
      <c r="D230" s="24" t="s">
        <v>331</v>
      </c>
      <c r="E230" s="24" t="b">
        <v>0</v>
      </c>
    </row>
    <row r="231" spans="1:16">
      <c r="H231" s="24">
        <v>1</v>
      </c>
      <c r="I231" s="24" t="s">
        <v>448</v>
      </c>
      <c r="J231" s="24" t="s">
        <v>269</v>
      </c>
      <c r="K231" s="24" t="s">
        <v>677</v>
      </c>
      <c r="L231" s="24" t="s">
        <v>1763</v>
      </c>
      <c r="M231" s="24" t="s">
        <v>1840</v>
      </c>
      <c r="N231" s="24">
        <v>1</v>
      </c>
      <c r="O231" s="24" t="s">
        <v>1790</v>
      </c>
      <c r="P231" s="24" t="s">
        <v>488</v>
      </c>
    </row>
    <row r="232" spans="1:16">
      <c r="A232" s="172">
        <v>2104000000169</v>
      </c>
      <c r="B232" s="24" t="s">
        <v>1791</v>
      </c>
      <c r="C232" s="172">
        <v>2200000000010</v>
      </c>
      <c r="D232" s="24" t="s">
        <v>331</v>
      </c>
      <c r="E232" s="24" t="b">
        <v>0</v>
      </c>
    </row>
    <row r="233" spans="1:16">
      <c r="H233" s="24">
        <v>1</v>
      </c>
      <c r="I233" s="24" t="s">
        <v>448</v>
      </c>
      <c r="J233" s="24" t="s">
        <v>269</v>
      </c>
      <c r="K233" s="24" t="s">
        <v>677</v>
      </c>
      <c r="L233" s="24" t="s">
        <v>1763</v>
      </c>
      <c r="M233" s="24" t="s">
        <v>1841</v>
      </c>
      <c r="N233" s="24">
        <v>1</v>
      </c>
      <c r="O233" s="24" t="s">
        <v>1792</v>
      </c>
      <c r="P233" s="24" t="s">
        <v>488</v>
      </c>
    </row>
    <row r="234" spans="1:16">
      <c r="A234" s="172">
        <v>2104000000170</v>
      </c>
      <c r="B234" s="24" t="s">
        <v>1793</v>
      </c>
      <c r="C234" s="172">
        <v>2200000000010</v>
      </c>
      <c r="D234" s="24" t="s">
        <v>331</v>
      </c>
      <c r="E234" s="24" t="b">
        <v>0</v>
      </c>
    </row>
    <row r="235" spans="1:16">
      <c r="H235" s="24">
        <v>1</v>
      </c>
      <c r="I235" s="24" t="s">
        <v>448</v>
      </c>
      <c r="J235" s="24" t="s">
        <v>269</v>
      </c>
      <c r="K235" s="24" t="s">
        <v>677</v>
      </c>
      <c r="L235" s="24" t="s">
        <v>1763</v>
      </c>
      <c r="M235" s="24" t="s">
        <v>1842</v>
      </c>
      <c r="N235" s="24">
        <v>1</v>
      </c>
      <c r="O235" s="24" t="s">
        <v>1794</v>
      </c>
      <c r="P235" s="24" t="s">
        <v>488</v>
      </c>
    </row>
    <row r="236" spans="1:16">
      <c r="A236" s="172">
        <v>2104000000171</v>
      </c>
      <c r="B236" s="24" t="s">
        <v>1795</v>
      </c>
      <c r="C236" s="172">
        <v>2200000000010</v>
      </c>
      <c r="D236" s="24" t="s">
        <v>331</v>
      </c>
      <c r="E236" s="24" t="b">
        <v>0</v>
      </c>
    </row>
    <row r="237" spans="1:16">
      <c r="H237" s="24">
        <v>1</v>
      </c>
      <c r="I237" s="24" t="s">
        <v>448</v>
      </c>
      <c r="J237" s="24" t="s">
        <v>269</v>
      </c>
      <c r="K237" s="24" t="s">
        <v>677</v>
      </c>
      <c r="L237" s="24" t="s">
        <v>1763</v>
      </c>
      <c r="M237" s="24" t="s">
        <v>1843</v>
      </c>
      <c r="N237" s="24">
        <v>1</v>
      </c>
      <c r="O237" s="24" t="s">
        <v>1796</v>
      </c>
      <c r="P237" s="24" t="s">
        <v>488</v>
      </c>
    </row>
    <row r="238" spans="1:16">
      <c r="A238" s="172">
        <v>2104000000172</v>
      </c>
      <c r="B238" s="24" t="s">
        <v>1797</v>
      </c>
      <c r="C238" s="172">
        <v>2200000000010</v>
      </c>
      <c r="D238" s="24" t="s">
        <v>331</v>
      </c>
      <c r="E238" s="24" t="b">
        <v>0</v>
      </c>
    </row>
    <row r="239" spans="1:16">
      <c r="H239" s="24">
        <v>1</v>
      </c>
      <c r="I239" s="24" t="s">
        <v>448</v>
      </c>
      <c r="J239" s="24" t="s">
        <v>269</v>
      </c>
      <c r="K239" s="24" t="s">
        <v>677</v>
      </c>
      <c r="L239" s="24" t="s">
        <v>1763</v>
      </c>
      <c r="M239" s="24" t="s">
        <v>1844</v>
      </c>
      <c r="N239" s="24">
        <v>1</v>
      </c>
      <c r="O239" s="24" t="s">
        <v>1798</v>
      </c>
      <c r="P239" s="24" t="s">
        <v>488</v>
      </c>
    </row>
    <row r="240" spans="1:16">
      <c r="A240" s="172">
        <v>2104000000173</v>
      </c>
      <c r="B240" s="24" t="s">
        <v>1799</v>
      </c>
      <c r="C240" s="172">
        <v>2200000000010</v>
      </c>
      <c r="D240" s="24" t="s">
        <v>331</v>
      </c>
      <c r="E240" s="24" t="b">
        <v>0</v>
      </c>
    </row>
    <row r="241" spans="1:16">
      <c r="H241" s="24">
        <v>1</v>
      </c>
      <c r="I241" s="24" t="s">
        <v>448</v>
      </c>
      <c r="J241" s="24" t="s">
        <v>269</v>
      </c>
      <c r="K241" s="24" t="s">
        <v>677</v>
      </c>
      <c r="L241" s="24" t="s">
        <v>1763</v>
      </c>
      <c r="M241" s="24" t="s">
        <v>1845</v>
      </c>
      <c r="N241" s="24">
        <v>1</v>
      </c>
      <c r="O241" s="24" t="s">
        <v>1800</v>
      </c>
      <c r="P241" s="24" t="s">
        <v>488</v>
      </c>
    </row>
    <row r="242" spans="1:16">
      <c r="A242" s="172">
        <v>2104000000174</v>
      </c>
      <c r="B242" s="24" t="s">
        <v>1801</v>
      </c>
      <c r="C242" s="172">
        <v>2200000000010</v>
      </c>
      <c r="D242" s="24" t="s">
        <v>331</v>
      </c>
      <c r="E242" s="24" t="b">
        <v>0</v>
      </c>
    </row>
    <row r="243" spans="1:16">
      <c r="H243" s="24">
        <v>1</v>
      </c>
      <c r="I243" s="24" t="s">
        <v>448</v>
      </c>
      <c r="J243" s="24" t="s">
        <v>269</v>
      </c>
      <c r="K243" s="24" t="s">
        <v>677</v>
      </c>
      <c r="L243" s="24" t="s">
        <v>1763</v>
      </c>
      <c r="M243" s="24" t="s">
        <v>1846</v>
      </c>
      <c r="N243" s="24">
        <v>1</v>
      </c>
      <c r="O243" s="24" t="s">
        <v>1802</v>
      </c>
      <c r="P243" s="24" t="s">
        <v>488</v>
      </c>
    </row>
    <row r="244" spans="1:16">
      <c r="A244" s="172">
        <v>2104000000176</v>
      </c>
      <c r="B244" s="24" t="s">
        <v>1803</v>
      </c>
      <c r="C244" s="172">
        <v>2200000000010</v>
      </c>
      <c r="D244" s="24" t="s">
        <v>331</v>
      </c>
      <c r="E244" s="24" t="b">
        <v>0</v>
      </c>
    </row>
    <row r="245" spans="1:16">
      <c r="H245" s="24">
        <v>1</v>
      </c>
      <c r="I245" s="24" t="s">
        <v>448</v>
      </c>
      <c r="J245" s="24" t="s">
        <v>269</v>
      </c>
      <c r="K245" s="24" t="s">
        <v>677</v>
      </c>
      <c r="L245" s="24" t="s">
        <v>1763</v>
      </c>
      <c r="M245" s="24" t="s">
        <v>1847</v>
      </c>
      <c r="N245" s="24">
        <v>1</v>
      </c>
      <c r="O245" s="24" t="s">
        <v>1804</v>
      </c>
      <c r="P245" s="24" t="s">
        <v>488</v>
      </c>
    </row>
    <row r="246" spans="1:16">
      <c r="A246" s="172">
        <v>2104000000177</v>
      </c>
      <c r="B246" s="24" t="s">
        <v>1805</v>
      </c>
      <c r="C246" s="172">
        <v>2200000000010</v>
      </c>
      <c r="D246" s="24" t="s">
        <v>331</v>
      </c>
      <c r="E246" s="24" t="b">
        <v>0</v>
      </c>
    </row>
    <row r="247" spans="1:16">
      <c r="H247" s="24">
        <v>1</v>
      </c>
      <c r="I247" s="24" t="s">
        <v>448</v>
      </c>
      <c r="J247" s="24" t="s">
        <v>269</v>
      </c>
      <c r="K247" s="24" t="s">
        <v>677</v>
      </c>
      <c r="L247" s="24" t="s">
        <v>1763</v>
      </c>
      <c r="M247" s="24" t="s">
        <v>1848</v>
      </c>
      <c r="N247" s="24">
        <v>1</v>
      </c>
      <c r="O247" s="24" t="s">
        <v>1806</v>
      </c>
      <c r="P247" s="24" t="s">
        <v>488</v>
      </c>
    </row>
    <row r="248" spans="1:16">
      <c r="A248" s="172">
        <v>2104000000178</v>
      </c>
      <c r="B248" s="24" t="s">
        <v>1807</v>
      </c>
      <c r="C248" s="172">
        <v>2200000000010</v>
      </c>
      <c r="D248" s="24" t="s">
        <v>331</v>
      </c>
      <c r="E248" s="24" t="b">
        <v>0</v>
      </c>
    </row>
    <row r="249" spans="1:16">
      <c r="H249" s="24">
        <v>1</v>
      </c>
      <c r="I249" s="24" t="s">
        <v>448</v>
      </c>
      <c r="J249" s="24" t="s">
        <v>269</v>
      </c>
      <c r="K249" s="24" t="s">
        <v>677</v>
      </c>
      <c r="L249" s="24" t="s">
        <v>1763</v>
      </c>
      <c r="M249" s="24" t="s">
        <v>3454</v>
      </c>
      <c r="N249" s="24">
        <v>1</v>
      </c>
      <c r="O249" s="24" t="s">
        <v>1808</v>
      </c>
      <c r="P249" s="24" t="s">
        <v>488</v>
      </c>
    </row>
    <row r="250" spans="1:16">
      <c r="A250" s="172">
        <v>2104000000179</v>
      </c>
      <c r="B250" s="24" t="s">
        <v>1809</v>
      </c>
      <c r="C250" s="172">
        <v>2200000000010</v>
      </c>
      <c r="D250" s="24" t="s">
        <v>331</v>
      </c>
      <c r="E250" s="24" t="b">
        <v>0</v>
      </c>
    </row>
    <row r="251" spans="1:16">
      <c r="H251" s="24">
        <v>1</v>
      </c>
      <c r="I251" s="24" t="s">
        <v>448</v>
      </c>
      <c r="J251" s="24" t="s">
        <v>269</v>
      </c>
      <c r="K251" s="24" t="s">
        <v>677</v>
      </c>
      <c r="L251" s="24" t="s">
        <v>1763</v>
      </c>
      <c r="M251" s="24" t="s">
        <v>1849</v>
      </c>
      <c r="N251" s="24">
        <v>1</v>
      </c>
      <c r="O251" s="24" t="s">
        <v>1810</v>
      </c>
      <c r="P251" s="24" t="s">
        <v>488</v>
      </c>
    </row>
    <row r="252" spans="1:16">
      <c r="A252" s="172">
        <v>2104000000180</v>
      </c>
      <c r="B252" s="24" t="s">
        <v>1811</v>
      </c>
      <c r="C252" s="172">
        <v>2200000000010</v>
      </c>
      <c r="D252" s="24" t="s">
        <v>331</v>
      </c>
      <c r="E252" s="24" t="b">
        <v>0</v>
      </c>
    </row>
    <row r="253" spans="1:16">
      <c r="H253" s="24">
        <v>1</v>
      </c>
      <c r="I253" s="24" t="s">
        <v>448</v>
      </c>
      <c r="J253" s="24" t="s">
        <v>269</v>
      </c>
      <c r="K253" s="24" t="s">
        <v>677</v>
      </c>
      <c r="L253" s="24" t="s">
        <v>1763</v>
      </c>
      <c r="M253" s="24" t="s">
        <v>1850</v>
      </c>
      <c r="N253" s="24">
        <v>1</v>
      </c>
      <c r="O253" s="24" t="s">
        <v>1812</v>
      </c>
      <c r="P253" s="24" t="s">
        <v>488</v>
      </c>
    </row>
    <row r="254" spans="1:16">
      <c r="A254" s="172">
        <v>2104000000181</v>
      </c>
      <c r="B254" s="24" t="s">
        <v>1813</v>
      </c>
      <c r="C254" s="172">
        <v>2200000000010</v>
      </c>
      <c r="D254" s="24" t="s">
        <v>331</v>
      </c>
      <c r="E254" s="24" t="b">
        <v>0</v>
      </c>
    </row>
    <row r="255" spans="1:16">
      <c r="H255" s="24">
        <v>1</v>
      </c>
      <c r="I255" s="24" t="s">
        <v>448</v>
      </c>
      <c r="J255" s="24" t="s">
        <v>269</v>
      </c>
      <c r="K255" s="24" t="s">
        <v>677</v>
      </c>
      <c r="L255" s="24" t="s">
        <v>1763</v>
      </c>
      <c r="M255" s="24" t="s">
        <v>3455</v>
      </c>
      <c r="N255" s="24">
        <v>1</v>
      </c>
      <c r="O255" s="24" t="s">
        <v>1814</v>
      </c>
      <c r="P255" s="24" t="s">
        <v>488</v>
      </c>
    </row>
    <row r="256" spans="1:16">
      <c r="A256" s="172">
        <v>2104000000182</v>
      </c>
      <c r="B256" s="24" t="s">
        <v>1815</v>
      </c>
      <c r="C256" s="172">
        <v>2200000000010</v>
      </c>
      <c r="D256" s="24" t="s">
        <v>331</v>
      </c>
      <c r="E256" s="24" t="b">
        <v>0</v>
      </c>
    </row>
    <row r="257" spans="1:16">
      <c r="H257" s="24">
        <v>1</v>
      </c>
      <c r="I257" s="24" t="s">
        <v>448</v>
      </c>
      <c r="J257" s="24" t="s">
        <v>269</v>
      </c>
      <c r="K257" s="24" t="s">
        <v>677</v>
      </c>
      <c r="L257" s="24" t="s">
        <v>1763</v>
      </c>
      <c r="M257" s="24" t="s">
        <v>1851</v>
      </c>
      <c r="N257" s="24">
        <v>1</v>
      </c>
      <c r="O257" s="24" t="s">
        <v>1816</v>
      </c>
      <c r="P257" s="24" t="s">
        <v>488</v>
      </c>
    </row>
    <row r="258" spans="1:16">
      <c r="A258" s="172">
        <v>2104000000183</v>
      </c>
      <c r="B258" s="24" t="s">
        <v>1817</v>
      </c>
      <c r="C258" s="172">
        <v>2200000000010</v>
      </c>
      <c r="D258" s="24" t="s">
        <v>331</v>
      </c>
      <c r="E258" s="24" t="b">
        <v>0</v>
      </c>
    </row>
    <row r="259" spans="1:16">
      <c r="H259" s="24">
        <v>1</v>
      </c>
      <c r="I259" s="24" t="s">
        <v>448</v>
      </c>
      <c r="J259" s="24" t="s">
        <v>269</v>
      </c>
      <c r="K259" s="24" t="s">
        <v>677</v>
      </c>
      <c r="L259" s="24" t="s">
        <v>1763</v>
      </c>
      <c r="M259" s="24" t="s">
        <v>1852</v>
      </c>
      <c r="N259" s="24">
        <v>1</v>
      </c>
      <c r="O259" s="24" t="s">
        <v>1818</v>
      </c>
      <c r="P259" s="24" t="s">
        <v>488</v>
      </c>
    </row>
    <row r="260" spans="1:16">
      <c r="A260" s="172">
        <v>2104000000184</v>
      </c>
      <c r="B260" s="24" t="s">
        <v>1819</v>
      </c>
      <c r="C260" s="172">
        <v>2200000000010</v>
      </c>
      <c r="D260" s="24" t="s">
        <v>331</v>
      </c>
      <c r="E260" s="24" t="b">
        <v>0</v>
      </c>
    </row>
    <row r="261" spans="1:16">
      <c r="H261" s="24">
        <v>1</v>
      </c>
      <c r="I261" s="24" t="s">
        <v>448</v>
      </c>
      <c r="J261" s="24" t="s">
        <v>269</v>
      </c>
      <c r="K261" s="24" t="s">
        <v>677</v>
      </c>
      <c r="L261" s="24" t="s">
        <v>1763</v>
      </c>
      <c r="M261" s="24" t="s">
        <v>1853</v>
      </c>
      <c r="N261" s="24">
        <v>1</v>
      </c>
      <c r="O261" s="24" t="s">
        <v>1820</v>
      </c>
      <c r="P261" s="24" t="s">
        <v>488</v>
      </c>
    </row>
    <row r="262" spans="1:16">
      <c r="A262" s="172">
        <v>2104000000186</v>
      </c>
      <c r="B262" s="24" t="s">
        <v>1821</v>
      </c>
      <c r="C262" s="172">
        <v>2200000000010</v>
      </c>
      <c r="D262" s="24" t="s">
        <v>331</v>
      </c>
      <c r="E262" s="24" t="b">
        <v>0</v>
      </c>
    </row>
    <row r="263" spans="1:16">
      <c r="H263" s="24">
        <v>1</v>
      </c>
      <c r="I263" s="24" t="s">
        <v>448</v>
      </c>
      <c r="J263" s="24" t="s">
        <v>269</v>
      </c>
      <c r="K263" s="24" t="s">
        <v>677</v>
      </c>
      <c r="L263" s="24" t="s">
        <v>1763</v>
      </c>
      <c r="M263" s="24" t="s">
        <v>1854</v>
      </c>
      <c r="N263" s="24">
        <v>1</v>
      </c>
      <c r="O263" s="24" t="s">
        <v>1822</v>
      </c>
      <c r="P263" s="24" t="s">
        <v>488</v>
      </c>
    </row>
    <row r="264" spans="1:16">
      <c r="A264" s="172">
        <v>2104000000187</v>
      </c>
      <c r="B264" s="24" t="s">
        <v>1823</v>
      </c>
      <c r="C264" s="172">
        <v>2200000000010</v>
      </c>
      <c r="D264" s="24" t="s">
        <v>331</v>
      </c>
      <c r="E264" s="24" t="b">
        <v>0</v>
      </c>
    </row>
    <row r="265" spans="1:16">
      <c r="H265" s="24">
        <v>1</v>
      </c>
      <c r="I265" s="24" t="s">
        <v>448</v>
      </c>
      <c r="J265" s="24" t="s">
        <v>269</v>
      </c>
      <c r="K265" s="24" t="s">
        <v>677</v>
      </c>
      <c r="L265" s="24" t="s">
        <v>1763</v>
      </c>
      <c r="M265" s="24" t="s">
        <v>1855</v>
      </c>
      <c r="N265" s="24">
        <v>1</v>
      </c>
      <c r="O265" s="24" t="s">
        <v>1824</v>
      </c>
      <c r="P265" s="24" t="s">
        <v>488</v>
      </c>
    </row>
    <row r="266" spans="1:16">
      <c r="A266" s="172">
        <v>2104000000188</v>
      </c>
      <c r="B266" s="24" t="s">
        <v>1825</v>
      </c>
      <c r="C266" s="172">
        <v>2200000000010</v>
      </c>
      <c r="D266" s="24" t="s">
        <v>331</v>
      </c>
      <c r="E266" s="24" t="b">
        <v>0</v>
      </c>
    </row>
    <row r="267" spans="1:16">
      <c r="H267" s="24">
        <v>1</v>
      </c>
      <c r="I267" s="24" t="s">
        <v>448</v>
      </c>
      <c r="J267" s="24" t="s">
        <v>269</v>
      </c>
      <c r="K267" s="24" t="s">
        <v>677</v>
      </c>
      <c r="L267" s="24" t="s">
        <v>1763</v>
      </c>
      <c r="M267" s="24" t="s">
        <v>1856</v>
      </c>
      <c r="N267" s="24">
        <v>1</v>
      </c>
      <c r="O267" s="24" t="s">
        <v>1826</v>
      </c>
      <c r="P267" s="24" t="s">
        <v>488</v>
      </c>
    </row>
    <row r="268" spans="1:16">
      <c r="A268" s="172">
        <v>2104000000191</v>
      </c>
      <c r="B268" s="24" t="s">
        <v>1827</v>
      </c>
      <c r="C268" s="172">
        <v>2200000000010</v>
      </c>
      <c r="D268" s="24" t="s">
        <v>331</v>
      </c>
      <c r="E268" s="24" t="b">
        <v>0</v>
      </c>
    </row>
    <row r="269" spans="1:16">
      <c r="H269" s="24">
        <v>1</v>
      </c>
      <c r="I269" s="24" t="s">
        <v>448</v>
      </c>
      <c r="J269" s="24" t="s">
        <v>269</v>
      </c>
      <c r="K269" s="24" t="s">
        <v>677</v>
      </c>
      <c r="L269" s="24" t="s">
        <v>1763</v>
      </c>
      <c r="M269" s="24" t="s">
        <v>1857</v>
      </c>
      <c r="N269" s="24">
        <v>1</v>
      </c>
      <c r="O269" s="24" t="s">
        <v>1828</v>
      </c>
      <c r="P269" s="24" t="s">
        <v>488</v>
      </c>
    </row>
    <row r="270" spans="1:16">
      <c r="A270" s="172">
        <v>2104000000192</v>
      </c>
      <c r="B270" s="24" t="s">
        <v>1859</v>
      </c>
      <c r="C270" s="172">
        <v>2200000000010</v>
      </c>
      <c r="D270" s="24" t="s">
        <v>331</v>
      </c>
      <c r="E270" s="24" t="b">
        <v>0</v>
      </c>
    </row>
    <row r="271" spans="1:16">
      <c r="H271" s="24">
        <v>1</v>
      </c>
      <c r="I271" s="24" t="s">
        <v>448</v>
      </c>
      <c r="J271" s="24" t="s">
        <v>269</v>
      </c>
      <c r="K271" s="24" t="s">
        <v>677</v>
      </c>
      <c r="L271" s="265" t="s">
        <v>542</v>
      </c>
      <c r="N271" s="24">
        <v>5</v>
      </c>
      <c r="O271" s="24" t="s">
        <v>1860</v>
      </c>
      <c r="P271" s="24" t="s">
        <v>488</v>
      </c>
    </row>
    <row r="272" spans="1:16">
      <c r="A272" s="172">
        <v>2104000000193</v>
      </c>
      <c r="B272" s="24" t="s">
        <v>1861</v>
      </c>
      <c r="C272" s="172">
        <v>2200000000010</v>
      </c>
      <c r="D272" s="24" t="s">
        <v>331</v>
      </c>
      <c r="E272" s="24" t="b">
        <v>0</v>
      </c>
    </row>
    <row r="273" spans="1:16">
      <c r="H273" s="24">
        <v>1</v>
      </c>
      <c r="I273" s="24" t="s">
        <v>448</v>
      </c>
      <c r="J273" s="24" t="s">
        <v>269</v>
      </c>
      <c r="K273" s="24" t="s">
        <v>677</v>
      </c>
      <c r="L273" s="265" t="s">
        <v>542</v>
      </c>
      <c r="N273" s="24">
        <v>10</v>
      </c>
      <c r="O273" s="24" t="s">
        <v>1862</v>
      </c>
      <c r="P273" s="24" t="s">
        <v>488</v>
      </c>
    </row>
    <row r="274" spans="1:16">
      <c r="A274" s="172">
        <v>2104000000194</v>
      </c>
      <c r="B274" s="24" t="s">
        <v>1863</v>
      </c>
      <c r="C274" s="172">
        <v>2200000000010</v>
      </c>
      <c r="D274" s="24" t="s">
        <v>331</v>
      </c>
      <c r="E274" s="24" t="b">
        <v>0</v>
      </c>
    </row>
    <row r="275" spans="1:16">
      <c r="H275" s="24">
        <v>1</v>
      </c>
      <c r="I275" s="24" t="s">
        <v>448</v>
      </c>
      <c r="J275" s="24" t="s">
        <v>269</v>
      </c>
      <c r="K275" s="24" t="s">
        <v>677</v>
      </c>
      <c r="L275" s="265" t="s">
        <v>542</v>
      </c>
      <c r="N275" s="24">
        <v>15</v>
      </c>
      <c r="O275" s="24" t="s">
        <v>1864</v>
      </c>
      <c r="P275" s="24" t="s">
        <v>488</v>
      </c>
    </row>
    <row r="276" spans="1:16">
      <c r="A276" s="172">
        <v>2104000000195</v>
      </c>
      <c r="B276" s="24" t="s">
        <v>1865</v>
      </c>
      <c r="C276" s="172">
        <v>2200000000010</v>
      </c>
      <c r="D276" s="24" t="s">
        <v>331</v>
      </c>
      <c r="E276" s="24" t="b">
        <v>0</v>
      </c>
    </row>
    <row r="277" spans="1:16">
      <c r="H277" s="24">
        <v>1</v>
      </c>
      <c r="I277" s="24" t="s">
        <v>448</v>
      </c>
      <c r="J277" s="24" t="s">
        <v>269</v>
      </c>
      <c r="K277" s="24" t="s">
        <v>677</v>
      </c>
      <c r="L277" s="265" t="s">
        <v>542</v>
      </c>
      <c r="N277" s="24">
        <v>20</v>
      </c>
      <c r="O277" s="24" t="s">
        <v>1866</v>
      </c>
      <c r="P277" s="24" t="s">
        <v>488</v>
      </c>
    </row>
    <row r="278" spans="1:16">
      <c r="A278" s="172">
        <v>2104000000196</v>
      </c>
      <c r="B278" s="24" t="s">
        <v>1867</v>
      </c>
      <c r="C278" s="172">
        <v>2200000000010</v>
      </c>
      <c r="D278" s="24" t="s">
        <v>331</v>
      </c>
      <c r="E278" s="24" t="b">
        <v>0</v>
      </c>
    </row>
    <row r="279" spans="1:16">
      <c r="H279" s="24">
        <v>1</v>
      </c>
      <c r="I279" s="24" t="s">
        <v>448</v>
      </c>
      <c r="J279" s="24" t="s">
        <v>269</v>
      </c>
      <c r="K279" s="24" t="s">
        <v>677</v>
      </c>
      <c r="L279" s="265" t="s">
        <v>542</v>
      </c>
      <c r="N279" s="24">
        <v>25</v>
      </c>
      <c r="O279" s="24" t="s">
        <v>1868</v>
      </c>
      <c r="P279" s="24" t="s">
        <v>488</v>
      </c>
    </row>
    <row r="280" spans="1:16">
      <c r="A280" s="172">
        <v>2104000000197</v>
      </c>
      <c r="B280" s="24" t="s">
        <v>1869</v>
      </c>
      <c r="C280" s="172">
        <v>2200000000010</v>
      </c>
      <c r="D280" s="24" t="s">
        <v>331</v>
      </c>
      <c r="E280" s="24" t="b">
        <v>0</v>
      </c>
    </row>
    <row r="281" spans="1:16">
      <c r="H281" s="24">
        <v>1</v>
      </c>
      <c r="I281" s="24" t="s">
        <v>448</v>
      </c>
      <c r="J281" s="24" t="s">
        <v>269</v>
      </c>
      <c r="K281" s="24" t="s">
        <v>677</v>
      </c>
      <c r="L281" s="265" t="s">
        <v>542</v>
      </c>
      <c r="N281" s="24">
        <v>30</v>
      </c>
      <c r="O281" s="24" t="s">
        <v>1870</v>
      </c>
      <c r="P281" s="24" t="s">
        <v>488</v>
      </c>
    </row>
    <row r="282" spans="1:16">
      <c r="A282" s="172">
        <v>2104000000198</v>
      </c>
      <c r="B282" s="24" t="s">
        <v>1871</v>
      </c>
      <c r="C282" s="172">
        <v>2200000000010</v>
      </c>
      <c r="D282" s="24" t="s">
        <v>331</v>
      </c>
      <c r="E282" s="24" t="b">
        <v>0</v>
      </c>
    </row>
    <row r="283" spans="1:16">
      <c r="H283" s="24">
        <v>1</v>
      </c>
      <c r="I283" s="24" t="s">
        <v>448</v>
      </c>
      <c r="J283" s="24" t="s">
        <v>269</v>
      </c>
      <c r="K283" s="24" t="s">
        <v>677</v>
      </c>
      <c r="L283" s="265" t="s">
        <v>542</v>
      </c>
      <c r="N283" s="24">
        <v>35</v>
      </c>
      <c r="O283" s="24" t="s">
        <v>1872</v>
      </c>
      <c r="P283" s="24" t="s">
        <v>488</v>
      </c>
    </row>
    <row r="284" spans="1:16">
      <c r="A284" s="172">
        <v>2104000000199</v>
      </c>
      <c r="B284" s="24" t="s">
        <v>1873</v>
      </c>
      <c r="C284" s="172">
        <v>2200000000010</v>
      </c>
      <c r="D284" s="24" t="s">
        <v>331</v>
      </c>
      <c r="E284" s="24" t="b">
        <v>0</v>
      </c>
    </row>
    <row r="285" spans="1:16">
      <c r="H285" s="24">
        <v>1</v>
      </c>
      <c r="I285" s="24" t="s">
        <v>448</v>
      </c>
      <c r="J285" s="24" t="s">
        <v>269</v>
      </c>
      <c r="K285" s="24" t="s">
        <v>677</v>
      </c>
      <c r="L285" s="265" t="s">
        <v>542</v>
      </c>
      <c r="N285" s="24">
        <v>40</v>
      </c>
      <c r="O285" s="24" t="s">
        <v>1874</v>
      </c>
      <c r="P285" s="24" t="s">
        <v>488</v>
      </c>
    </row>
    <row r="286" spans="1:16">
      <c r="A286" s="172">
        <v>2104000000200</v>
      </c>
      <c r="B286" s="24" t="s">
        <v>1875</v>
      </c>
      <c r="C286" s="172">
        <v>2200000000010</v>
      </c>
      <c r="D286" s="24" t="s">
        <v>331</v>
      </c>
      <c r="E286" s="24" t="b">
        <v>0</v>
      </c>
    </row>
    <row r="287" spans="1:16">
      <c r="H287" s="24">
        <v>1</v>
      </c>
      <c r="I287" s="24" t="s">
        <v>448</v>
      </c>
      <c r="J287" s="24" t="s">
        <v>269</v>
      </c>
      <c r="K287" s="24" t="s">
        <v>677</v>
      </c>
      <c r="L287" s="265" t="s">
        <v>542</v>
      </c>
      <c r="N287" s="24">
        <v>45</v>
      </c>
      <c r="O287" s="24" t="s">
        <v>1876</v>
      </c>
      <c r="P287" s="24" t="s">
        <v>488</v>
      </c>
    </row>
    <row r="288" spans="1:16">
      <c r="A288" s="172">
        <v>2104000000201</v>
      </c>
      <c r="B288" s="24" t="s">
        <v>1877</v>
      </c>
      <c r="C288" s="172">
        <v>2200000000010</v>
      </c>
      <c r="D288" s="24" t="s">
        <v>331</v>
      </c>
      <c r="E288" s="24" t="b">
        <v>0</v>
      </c>
    </row>
    <row r="289" spans="1:16">
      <c r="H289" s="24">
        <v>1</v>
      </c>
      <c r="I289" s="24" t="s">
        <v>448</v>
      </c>
      <c r="J289" s="24" t="s">
        <v>269</v>
      </c>
      <c r="K289" s="24" t="s">
        <v>677</v>
      </c>
      <c r="L289" s="265" t="s">
        <v>542</v>
      </c>
      <c r="N289" s="24">
        <v>50</v>
      </c>
      <c r="O289" s="24" t="s">
        <v>1878</v>
      </c>
      <c r="P289" s="24" t="s">
        <v>488</v>
      </c>
    </row>
    <row r="290" spans="1:16">
      <c r="A290" s="172">
        <v>2104000000202</v>
      </c>
      <c r="B290" s="24" t="s">
        <v>1879</v>
      </c>
      <c r="C290" s="172">
        <v>2200000000010</v>
      </c>
      <c r="D290" s="24" t="s">
        <v>331</v>
      </c>
      <c r="E290" s="24" t="b">
        <v>0</v>
      </c>
    </row>
    <row r="291" spans="1:16">
      <c r="H291" s="24">
        <v>1</v>
      </c>
      <c r="I291" s="24" t="s">
        <v>448</v>
      </c>
      <c r="J291" s="24" t="s">
        <v>269</v>
      </c>
      <c r="K291" s="24" t="s">
        <v>677</v>
      </c>
      <c r="L291" s="265" t="s">
        <v>542</v>
      </c>
      <c r="N291" s="24">
        <v>55</v>
      </c>
      <c r="O291" s="24" t="s">
        <v>1880</v>
      </c>
      <c r="P291" s="24" t="s">
        <v>488</v>
      </c>
    </row>
    <row r="292" spans="1:16">
      <c r="A292" s="172">
        <v>2104000000203</v>
      </c>
      <c r="B292" s="24" t="s">
        <v>1881</v>
      </c>
      <c r="C292" s="172">
        <v>2200000000010</v>
      </c>
      <c r="D292" s="24" t="s">
        <v>331</v>
      </c>
      <c r="E292" s="24" t="b">
        <v>0</v>
      </c>
    </row>
    <row r="293" spans="1:16">
      <c r="H293" s="24">
        <v>1</v>
      </c>
      <c r="I293" s="24" t="s">
        <v>448</v>
      </c>
      <c r="J293" s="24" t="s">
        <v>269</v>
      </c>
      <c r="K293" s="24" t="s">
        <v>677</v>
      </c>
      <c r="L293" s="265" t="s">
        <v>542</v>
      </c>
      <c r="N293" s="24">
        <v>60</v>
      </c>
      <c r="O293" s="24" t="s">
        <v>1882</v>
      </c>
      <c r="P293" s="24" t="s">
        <v>488</v>
      </c>
    </row>
    <row r="294" spans="1:16">
      <c r="A294" s="172">
        <v>2104000000204</v>
      </c>
      <c r="B294" s="24" t="s">
        <v>1883</v>
      </c>
      <c r="C294" s="172">
        <v>2200000000010</v>
      </c>
      <c r="D294" s="24" t="s">
        <v>331</v>
      </c>
      <c r="E294" s="24" t="b">
        <v>0</v>
      </c>
    </row>
    <row r="295" spans="1:16">
      <c r="H295" s="24">
        <v>1</v>
      </c>
      <c r="I295" s="24" t="s">
        <v>448</v>
      </c>
      <c r="J295" s="24" t="s">
        <v>269</v>
      </c>
      <c r="K295" s="24" t="s">
        <v>677</v>
      </c>
      <c r="L295" s="265" t="s">
        <v>542</v>
      </c>
      <c r="N295" s="24">
        <v>65</v>
      </c>
      <c r="O295" s="24" t="s">
        <v>1884</v>
      </c>
      <c r="P295" s="24" t="s">
        <v>488</v>
      </c>
    </row>
    <row r="296" spans="1:16">
      <c r="A296" s="172">
        <v>2104000000205</v>
      </c>
      <c r="B296" s="24" t="s">
        <v>1885</v>
      </c>
      <c r="C296" s="172">
        <v>2200000000010</v>
      </c>
      <c r="D296" s="24" t="s">
        <v>331</v>
      </c>
      <c r="E296" s="24" t="b">
        <v>0</v>
      </c>
    </row>
    <row r="297" spans="1:16">
      <c r="H297" s="24">
        <v>1</v>
      </c>
      <c r="I297" s="24" t="s">
        <v>448</v>
      </c>
      <c r="J297" s="24" t="s">
        <v>269</v>
      </c>
      <c r="K297" s="24" t="s">
        <v>677</v>
      </c>
      <c r="L297" s="265" t="s">
        <v>542</v>
      </c>
      <c r="N297" s="24">
        <v>70</v>
      </c>
      <c r="O297" s="24" t="s">
        <v>1886</v>
      </c>
      <c r="P297" s="24" t="s">
        <v>488</v>
      </c>
    </row>
    <row r="298" spans="1:16">
      <c r="A298" s="172">
        <v>2104000000206</v>
      </c>
      <c r="B298" s="24" t="s">
        <v>1887</v>
      </c>
      <c r="C298" s="172">
        <v>2200000000010</v>
      </c>
      <c r="D298" s="24" t="s">
        <v>331</v>
      </c>
      <c r="E298" s="24" t="b">
        <v>0</v>
      </c>
    </row>
    <row r="299" spans="1:16">
      <c r="H299" s="24">
        <v>1</v>
      </c>
      <c r="I299" s="24" t="s">
        <v>448</v>
      </c>
      <c r="J299" s="24" t="s">
        <v>269</v>
      </c>
      <c r="K299" s="24" t="s">
        <v>677</v>
      </c>
      <c r="L299" s="265" t="s">
        <v>542</v>
      </c>
      <c r="N299" s="24">
        <v>75</v>
      </c>
      <c r="O299" s="24" t="s">
        <v>1888</v>
      </c>
      <c r="P299" s="24" t="s">
        <v>488</v>
      </c>
    </row>
    <row r="300" spans="1:16">
      <c r="A300" s="172">
        <v>2104000000207</v>
      </c>
      <c r="B300" s="24" t="s">
        <v>1889</v>
      </c>
      <c r="C300" s="172">
        <v>2200000000010</v>
      </c>
      <c r="D300" s="24" t="s">
        <v>331</v>
      </c>
      <c r="E300" s="24" t="b">
        <v>0</v>
      </c>
    </row>
    <row r="301" spans="1:16">
      <c r="H301" s="24">
        <v>1</v>
      </c>
      <c r="I301" s="24" t="s">
        <v>448</v>
      </c>
      <c r="J301" s="24" t="s">
        <v>269</v>
      </c>
      <c r="K301" s="24" t="s">
        <v>677</v>
      </c>
      <c r="L301" s="265" t="s">
        <v>542</v>
      </c>
      <c r="N301" s="24">
        <v>80</v>
      </c>
      <c r="O301" s="24" t="s">
        <v>1890</v>
      </c>
      <c r="P301" s="24" t="s">
        <v>488</v>
      </c>
    </row>
    <row r="302" spans="1:16">
      <c r="A302" s="172">
        <v>2104000000208</v>
      </c>
      <c r="B302" s="24" t="s">
        <v>1891</v>
      </c>
      <c r="C302" s="172">
        <v>2200000000010</v>
      </c>
      <c r="D302" s="24" t="s">
        <v>331</v>
      </c>
      <c r="E302" s="24" t="b">
        <v>0</v>
      </c>
    </row>
    <row r="303" spans="1:16">
      <c r="H303" s="24">
        <v>1</v>
      </c>
      <c r="I303" s="24" t="s">
        <v>448</v>
      </c>
      <c r="J303" s="24" t="s">
        <v>269</v>
      </c>
      <c r="K303" s="24" t="s">
        <v>677</v>
      </c>
      <c r="L303" s="265" t="s">
        <v>3456</v>
      </c>
      <c r="M303" s="24" t="s">
        <v>3071</v>
      </c>
      <c r="N303" s="24">
        <v>1</v>
      </c>
      <c r="O303" s="24" t="s">
        <v>3457</v>
      </c>
      <c r="P303" s="24" t="s">
        <v>488</v>
      </c>
    </row>
    <row r="304" spans="1:16">
      <c r="A304" s="172">
        <v>2104000000209</v>
      </c>
      <c r="B304" s="24" t="s">
        <v>1893</v>
      </c>
      <c r="C304" s="172">
        <v>2200000000010</v>
      </c>
      <c r="D304" s="24" t="s">
        <v>331</v>
      </c>
      <c r="E304" s="24" t="b">
        <v>0</v>
      </c>
    </row>
    <row r="305" spans="1:16">
      <c r="H305" s="24">
        <v>1</v>
      </c>
      <c r="I305" s="24" t="s">
        <v>448</v>
      </c>
      <c r="J305" s="24" t="s">
        <v>269</v>
      </c>
      <c r="K305" s="24" t="s">
        <v>334</v>
      </c>
      <c r="L305" s="265" t="s">
        <v>3458</v>
      </c>
      <c r="M305" s="24" t="s">
        <v>1916</v>
      </c>
      <c r="N305" s="24">
        <v>1</v>
      </c>
      <c r="O305" s="24" t="s">
        <v>1892</v>
      </c>
      <c r="P305" s="24" t="s">
        <v>488</v>
      </c>
    </row>
    <row r="306" spans="1:16">
      <c r="A306" s="172">
        <v>2104000000210</v>
      </c>
      <c r="B306" s="24" t="s">
        <v>1895</v>
      </c>
      <c r="C306" s="172">
        <v>2200000000010</v>
      </c>
      <c r="D306" s="24" t="s">
        <v>331</v>
      </c>
      <c r="E306" s="24" t="b">
        <v>0</v>
      </c>
    </row>
    <row r="307" spans="1:16">
      <c r="H307" s="24">
        <v>1</v>
      </c>
      <c r="I307" s="24" t="s">
        <v>448</v>
      </c>
      <c r="J307" s="24" t="s">
        <v>269</v>
      </c>
      <c r="K307" s="24" t="s">
        <v>334</v>
      </c>
      <c r="L307" s="265" t="s">
        <v>3430</v>
      </c>
      <c r="M307" s="24" t="s">
        <v>1917</v>
      </c>
      <c r="N307" s="24">
        <v>1</v>
      </c>
      <c r="O307" s="24" t="s">
        <v>1894</v>
      </c>
      <c r="P307" s="24" t="s">
        <v>488</v>
      </c>
    </row>
    <row r="308" spans="1:16">
      <c r="A308" s="172">
        <v>2104000000211</v>
      </c>
      <c r="B308" s="24" t="s">
        <v>1897</v>
      </c>
      <c r="C308" s="172">
        <v>2200000000010</v>
      </c>
      <c r="D308" s="24" t="s">
        <v>331</v>
      </c>
      <c r="E308" s="24" t="b">
        <v>0</v>
      </c>
    </row>
    <row r="309" spans="1:16">
      <c r="H309" s="24">
        <v>1</v>
      </c>
      <c r="I309" s="24" t="s">
        <v>448</v>
      </c>
      <c r="J309" s="24" t="s">
        <v>269</v>
      </c>
      <c r="K309" s="24" t="s">
        <v>334</v>
      </c>
      <c r="L309" s="265" t="s">
        <v>3430</v>
      </c>
      <c r="M309" s="24" t="s">
        <v>1918</v>
      </c>
      <c r="N309" s="24">
        <v>1</v>
      </c>
      <c r="O309" s="24" t="s">
        <v>1896</v>
      </c>
      <c r="P309" s="24" t="s">
        <v>488</v>
      </c>
    </row>
    <row r="310" spans="1:16">
      <c r="A310" s="172">
        <v>2104000000212</v>
      </c>
      <c r="B310" s="24" t="s">
        <v>3459</v>
      </c>
      <c r="C310" s="172">
        <v>2200000000010</v>
      </c>
      <c r="D310" s="24" t="s">
        <v>331</v>
      </c>
      <c r="E310" s="24" t="b">
        <v>0</v>
      </c>
    </row>
    <row r="311" spans="1:16">
      <c r="H311" s="24">
        <v>1</v>
      </c>
      <c r="I311" s="24" t="s">
        <v>448</v>
      </c>
      <c r="J311" s="24" t="s">
        <v>269</v>
      </c>
      <c r="K311" s="24" t="s">
        <v>334</v>
      </c>
      <c r="L311" s="265" t="s">
        <v>3430</v>
      </c>
      <c r="M311" s="24" t="s">
        <v>3460</v>
      </c>
      <c r="N311" s="24">
        <v>1</v>
      </c>
      <c r="O311" s="24" t="s">
        <v>1898</v>
      </c>
      <c r="P311" s="24" t="s">
        <v>488</v>
      </c>
    </row>
    <row r="312" spans="1:16">
      <c r="A312" s="172">
        <v>2104000000213</v>
      </c>
      <c r="B312" s="24" t="s">
        <v>1899</v>
      </c>
      <c r="C312" s="172">
        <v>2200000000010</v>
      </c>
      <c r="D312" s="24" t="s">
        <v>331</v>
      </c>
      <c r="E312" s="24" t="b">
        <v>0</v>
      </c>
    </row>
    <row r="313" spans="1:16">
      <c r="H313" s="24">
        <v>1</v>
      </c>
      <c r="I313" s="24" t="s">
        <v>448</v>
      </c>
      <c r="J313" s="24" t="s">
        <v>269</v>
      </c>
      <c r="K313" s="24" t="s">
        <v>334</v>
      </c>
      <c r="L313" s="265" t="s">
        <v>3430</v>
      </c>
      <c r="M313" s="24" t="s">
        <v>3461</v>
      </c>
      <c r="N313" s="24">
        <v>1</v>
      </c>
      <c r="O313" s="24" t="s">
        <v>1900</v>
      </c>
      <c r="P313" s="24" t="s">
        <v>488</v>
      </c>
    </row>
    <row r="314" spans="1:16">
      <c r="A314" s="172">
        <v>2104000000214</v>
      </c>
      <c r="B314" s="24" t="s">
        <v>1901</v>
      </c>
      <c r="C314" s="172">
        <v>2200000000010</v>
      </c>
      <c r="D314" s="24" t="s">
        <v>331</v>
      </c>
      <c r="E314" s="24" t="b">
        <v>0</v>
      </c>
    </row>
    <row r="315" spans="1:16">
      <c r="H315" s="24">
        <v>1</v>
      </c>
      <c r="I315" s="24" t="s">
        <v>448</v>
      </c>
      <c r="J315" s="24" t="s">
        <v>269</v>
      </c>
      <c r="K315" s="24" t="s">
        <v>334</v>
      </c>
      <c r="L315" s="265" t="s">
        <v>3430</v>
      </c>
      <c r="M315" s="24" t="s">
        <v>3462</v>
      </c>
      <c r="N315" s="24">
        <v>1</v>
      </c>
      <c r="O315" s="24" t="s">
        <v>1902</v>
      </c>
      <c r="P315" s="24" t="s">
        <v>488</v>
      </c>
    </row>
    <row r="316" spans="1:16">
      <c r="A316" s="172">
        <v>2104000000215</v>
      </c>
      <c r="B316" s="24" t="s">
        <v>1903</v>
      </c>
      <c r="C316" s="172">
        <v>2200000000010</v>
      </c>
      <c r="D316" s="24" t="s">
        <v>331</v>
      </c>
      <c r="E316" s="24" t="b">
        <v>0</v>
      </c>
    </row>
    <row r="317" spans="1:16">
      <c r="H317" s="24">
        <v>1</v>
      </c>
      <c r="I317" s="24" t="s">
        <v>448</v>
      </c>
      <c r="J317" s="24" t="s">
        <v>269</v>
      </c>
      <c r="K317" s="24" t="s">
        <v>334</v>
      </c>
      <c r="L317" s="265" t="s">
        <v>3430</v>
      </c>
      <c r="M317" s="24" t="s">
        <v>2947</v>
      </c>
      <c r="N317" s="24">
        <v>1</v>
      </c>
      <c r="O317" s="24" t="s">
        <v>1904</v>
      </c>
      <c r="P317" s="24" t="s">
        <v>488</v>
      </c>
    </row>
    <row r="318" spans="1:16">
      <c r="A318" s="172">
        <v>2104000000216</v>
      </c>
      <c r="B318" s="24" t="s">
        <v>1905</v>
      </c>
      <c r="C318" s="172">
        <v>2200000000010</v>
      </c>
      <c r="D318" s="24" t="s">
        <v>331</v>
      </c>
      <c r="E318" s="24" t="b">
        <v>0</v>
      </c>
    </row>
    <row r="319" spans="1:16">
      <c r="H319" s="24">
        <v>1</v>
      </c>
      <c r="I319" s="24" t="s">
        <v>448</v>
      </c>
      <c r="J319" s="24" t="s">
        <v>269</v>
      </c>
      <c r="K319" s="24" t="s">
        <v>334</v>
      </c>
      <c r="L319" s="265" t="s">
        <v>3430</v>
      </c>
      <c r="M319" s="24" t="s">
        <v>3463</v>
      </c>
      <c r="N319" s="24">
        <v>1</v>
      </c>
      <c r="O319" s="24" t="s">
        <v>1906</v>
      </c>
      <c r="P319" s="24" t="s">
        <v>488</v>
      </c>
    </row>
    <row r="320" spans="1:16">
      <c r="A320" s="172">
        <v>2104000000217</v>
      </c>
      <c r="B320" s="24" t="s">
        <v>1907</v>
      </c>
      <c r="C320" s="172">
        <v>2200000000010</v>
      </c>
      <c r="D320" s="24" t="s">
        <v>331</v>
      </c>
      <c r="E320" s="24" t="b">
        <v>0</v>
      </c>
    </row>
    <row r="321" spans="1:16" ht="27">
      <c r="H321" s="24">
        <v>1</v>
      </c>
      <c r="I321" s="24" t="s">
        <v>448</v>
      </c>
      <c r="J321" s="24" t="s">
        <v>269</v>
      </c>
      <c r="K321" s="24" t="s">
        <v>1538</v>
      </c>
      <c r="L321" s="10" t="s">
        <v>2119</v>
      </c>
      <c r="M321" s="110" t="s">
        <v>3431</v>
      </c>
      <c r="N321" s="24">
        <v>1</v>
      </c>
      <c r="O321" s="24" t="s">
        <v>1908</v>
      </c>
      <c r="P321" s="24" t="s">
        <v>488</v>
      </c>
    </row>
    <row r="322" spans="1:16">
      <c r="A322" s="172">
        <v>2104000000218</v>
      </c>
      <c r="B322" s="24" t="s">
        <v>1909</v>
      </c>
      <c r="C322" s="172">
        <v>2200000000010</v>
      </c>
      <c r="D322" s="24" t="s">
        <v>331</v>
      </c>
      <c r="E322" s="24" t="b">
        <v>0</v>
      </c>
    </row>
    <row r="323" spans="1:16" ht="27">
      <c r="H323" s="24">
        <v>1</v>
      </c>
      <c r="I323" s="24" t="s">
        <v>448</v>
      </c>
      <c r="J323" s="24" t="s">
        <v>269</v>
      </c>
      <c r="K323" s="24" t="s">
        <v>1538</v>
      </c>
      <c r="L323" s="10" t="s">
        <v>2119</v>
      </c>
      <c r="M323" s="110" t="s">
        <v>3432</v>
      </c>
      <c r="N323" s="24">
        <v>1</v>
      </c>
      <c r="O323" s="24" t="s">
        <v>1910</v>
      </c>
      <c r="P323" s="24" t="s">
        <v>488</v>
      </c>
    </row>
    <row r="324" spans="1:16">
      <c r="A324" s="172">
        <v>2104000000224</v>
      </c>
      <c r="B324" s="24" t="s">
        <v>3464</v>
      </c>
      <c r="C324" s="172">
        <v>2200000000010</v>
      </c>
      <c r="D324" s="24" t="s">
        <v>331</v>
      </c>
      <c r="E324" s="24" t="b">
        <v>0</v>
      </c>
    </row>
    <row r="325" spans="1:16">
      <c r="H325" s="24">
        <v>1</v>
      </c>
      <c r="I325" s="24" t="s">
        <v>448</v>
      </c>
      <c r="J325" s="24" t="s">
        <v>269</v>
      </c>
      <c r="K325" s="24" t="s">
        <v>3451</v>
      </c>
      <c r="L325" s="265" t="s">
        <v>3465</v>
      </c>
      <c r="M325" s="24" t="s">
        <v>3466</v>
      </c>
      <c r="N325" s="24">
        <v>4</v>
      </c>
      <c r="O325" s="24" t="s">
        <v>1911</v>
      </c>
      <c r="P325" s="24" t="s">
        <v>488</v>
      </c>
    </row>
    <row r="326" spans="1:16">
      <c r="A326" s="172">
        <v>2104000000225</v>
      </c>
      <c r="B326" s="24" t="s">
        <v>1912</v>
      </c>
      <c r="C326" s="172">
        <v>2200000000010</v>
      </c>
      <c r="D326" s="24" t="s">
        <v>331</v>
      </c>
      <c r="E326" s="24" t="b">
        <v>0</v>
      </c>
    </row>
    <row r="327" spans="1:16">
      <c r="H327" s="24">
        <v>1</v>
      </c>
      <c r="I327" s="24" t="s">
        <v>448</v>
      </c>
      <c r="J327" s="24" t="s">
        <v>269</v>
      </c>
      <c r="K327" s="24" t="s">
        <v>3451</v>
      </c>
      <c r="L327" s="265" t="s">
        <v>3467</v>
      </c>
      <c r="M327" s="24" t="s">
        <v>3468</v>
      </c>
      <c r="N327" s="24">
        <v>1</v>
      </c>
      <c r="O327" s="24" t="s">
        <v>1913</v>
      </c>
      <c r="P327" s="24" t="s">
        <v>488</v>
      </c>
    </row>
    <row r="328" spans="1:16">
      <c r="A328" s="172">
        <v>2104000000226</v>
      </c>
      <c r="B328" s="24" t="s">
        <v>2641</v>
      </c>
      <c r="C328" s="172">
        <v>2200000000010</v>
      </c>
      <c r="D328" s="24" t="s">
        <v>331</v>
      </c>
      <c r="E328" s="24" t="b">
        <v>0</v>
      </c>
    </row>
    <row r="329" spans="1:16">
      <c r="H329" s="24">
        <v>1</v>
      </c>
      <c r="I329" s="24" t="s">
        <v>448</v>
      </c>
      <c r="J329" s="24" t="s">
        <v>269</v>
      </c>
      <c r="K329" s="24" t="s">
        <v>3469</v>
      </c>
      <c r="L329" s="265" t="s">
        <v>3465</v>
      </c>
      <c r="M329" s="24" t="s">
        <v>3466</v>
      </c>
      <c r="N329" s="24">
        <v>4</v>
      </c>
      <c r="O329" s="24" t="s">
        <v>1914</v>
      </c>
      <c r="P329" s="24" t="s">
        <v>488</v>
      </c>
    </row>
    <row r="330" spans="1:16">
      <c r="A330" s="172">
        <v>2104000000227</v>
      </c>
      <c r="B330" s="24" t="s">
        <v>1915</v>
      </c>
      <c r="C330" s="172">
        <v>2200000000010</v>
      </c>
      <c r="D330" s="24" t="s">
        <v>331</v>
      </c>
      <c r="E330" s="24" t="b">
        <v>0</v>
      </c>
    </row>
    <row r="331" spans="1:16">
      <c r="H331" s="24">
        <v>1</v>
      </c>
      <c r="I331" s="24" t="s">
        <v>448</v>
      </c>
      <c r="J331" s="24" t="s">
        <v>269</v>
      </c>
      <c r="K331" s="24" t="s">
        <v>3451</v>
      </c>
      <c r="L331" s="265" t="s">
        <v>3470</v>
      </c>
      <c r="M331" s="24" t="s">
        <v>1197</v>
      </c>
      <c r="N331" s="24">
        <v>1</v>
      </c>
      <c r="O331" s="24" t="s">
        <v>3433</v>
      </c>
      <c r="P331" s="24" t="s">
        <v>488</v>
      </c>
    </row>
    <row r="332" spans="1:16">
      <c r="A332" s="172">
        <v>2104000000228</v>
      </c>
      <c r="B332" s="24" t="s">
        <v>2095</v>
      </c>
      <c r="C332" s="172">
        <v>2200000000010</v>
      </c>
      <c r="D332" s="24" t="s">
        <v>331</v>
      </c>
      <c r="E332" s="24" t="b">
        <v>0</v>
      </c>
    </row>
    <row r="333" spans="1:16">
      <c r="H333" s="24">
        <v>1</v>
      </c>
      <c r="I333" s="24" t="s">
        <v>448</v>
      </c>
      <c r="J333" s="24" t="s">
        <v>269</v>
      </c>
      <c r="K333" s="24" t="s">
        <v>1538</v>
      </c>
      <c r="L333" s="24" t="s">
        <v>1356</v>
      </c>
      <c r="M333" s="110" t="s">
        <v>3471</v>
      </c>
      <c r="N333" s="24">
        <v>2</v>
      </c>
      <c r="O333" s="24" t="s">
        <v>3472</v>
      </c>
      <c r="P333" s="24" t="s">
        <v>488</v>
      </c>
    </row>
    <row r="334" spans="1:16">
      <c r="A334" s="172">
        <v>2104000000229</v>
      </c>
      <c r="B334" s="24" t="s">
        <v>2096</v>
      </c>
      <c r="C334" s="172">
        <v>2200000000010</v>
      </c>
      <c r="D334" s="24" t="s">
        <v>331</v>
      </c>
      <c r="E334" s="24" t="b">
        <v>0</v>
      </c>
    </row>
    <row r="335" spans="1:16">
      <c r="H335" s="24">
        <v>1</v>
      </c>
      <c r="I335" s="24" t="s">
        <v>448</v>
      </c>
      <c r="J335" s="24" t="s">
        <v>269</v>
      </c>
      <c r="K335" s="24" t="s">
        <v>3451</v>
      </c>
      <c r="L335" s="24" t="s">
        <v>1356</v>
      </c>
      <c r="M335" s="110" t="s">
        <v>3434</v>
      </c>
      <c r="N335" s="24">
        <v>5</v>
      </c>
      <c r="O335" s="24" t="s">
        <v>3435</v>
      </c>
      <c r="P335" s="24" t="s">
        <v>488</v>
      </c>
    </row>
    <row r="336" spans="1:16">
      <c r="A336" s="172">
        <v>2104000000230</v>
      </c>
      <c r="B336" s="24" t="s">
        <v>3473</v>
      </c>
      <c r="C336" s="172">
        <v>2200000000010</v>
      </c>
      <c r="D336" s="24" t="s">
        <v>331</v>
      </c>
      <c r="E336" s="24" t="b">
        <v>0</v>
      </c>
    </row>
    <row r="337" spans="1:16">
      <c r="H337" s="24">
        <v>1</v>
      </c>
      <c r="I337" s="24" t="s">
        <v>448</v>
      </c>
      <c r="J337" s="24" t="s">
        <v>269</v>
      </c>
      <c r="K337" s="24" t="s">
        <v>1538</v>
      </c>
      <c r="L337" s="24" t="s">
        <v>1356</v>
      </c>
      <c r="M337" s="110" t="s">
        <v>3434</v>
      </c>
      <c r="N337" s="24">
        <v>7</v>
      </c>
      <c r="O337" s="24" t="s">
        <v>3436</v>
      </c>
      <c r="P337" s="24" t="s">
        <v>488</v>
      </c>
    </row>
    <row r="338" spans="1:16">
      <c r="A338" s="172">
        <v>2104000000231</v>
      </c>
      <c r="B338" s="24" t="s">
        <v>2097</v>
      </c>
      <c r="C338" s="172">
        <v>2200000000010</v>
      </c>
      <c r="D338" s="24" t="s">
        <v>331</v>
      </c>
      <c r="E338" s="24" t="b">
        <v>0</v>
      </c>
    </row>
    <row r="339" spans="1:16">
      <c r="H339" s="24">
        <v>1</v>
      </c>
      <c r="I339" s="24" t="s">
        <v>448</v>
      </c>
      <c r="J339" s="24" t="s">
        <v>269</v>
      </c>
      <c r="K339" s="24" t="s">
        <v>3451</v>
      </c>
      <c r="L339" s="24" t="s">
        <v>1356</v>
      </c>
      <c r="M339" s="110" t="s">
        <v>3474</v>
      </c>
      <c r="N339" s="24">
        <v>2</v>
      </c>
      <c r="O339" s="24" t="s">
        <v>3475</v>
      </c>
      <c r="P339" s="24" t="s">
        <v>488</v>
      </c>
    </row>
    <row r="340" spans="1:16">
      <c r="A340" s="172">
        <v>2104000000232</v>
      </c>
      <c r="B340" s="24" t="s">
        <v>3476</v>
      </c>
      <c r="C340" s="172">
        <v>2200000000010</v>
      </c>
      <c r="D340" s="24" t="s">
        <v>331</v>
      </c>
      <c r="E340" s="24" t="b">
        <v>0</v>
      </c>
    </row>
    <row r="341" spans="1:16">
      <c r="H341" s="24">
        <v>1</v>
      </c>
      <c r="I341" s="24" t="s">
        <v>448</v>
      </c>
      <c r="J341" s="24" t="s">
        <v>269</v>
      </c>
      <c r="K341" s="24" t="s">
        <v>3451</v>
      </c>
      <c r="L341" s="24" t="s">
        <v>1356</v>
      </c>
      <c r="M341" s="110" t="s">
        <v>3474</v>
      </c>
      <c r="N341" s="24">
        <v>5</v>
      </c>
      <c r="O341" s="24" t="s">
        <v>3477</v>
      </c>
      <c r="P341" s="24" t="s">
        <v>488</v>
      </c>
    </row>
    <row r="342" spans="1:16">
      <c r="A342" s="172">
        <v>2104000000233</v>
      </c>
      <c r="B342" s="24" t="s">
        <v>3478</v>
      </c>
      <c r="C342" s="172">
        <v>2200000000010</v>
      </c>
      <c r="D342" s="24" t="s">
        <v>331</v>
      </c>
      <c r="E342" s="24" t="b">
        <v>0</v>
      </c>
    </row>
    <row r="343" spans="1:16">
      <c r="H343" s="24">
        <v>1</v>
      </c>
      <c r="I343" s="24" t="s">
        <v>448</v>
      </c>
      <c r="J343" s="24" t="s">
        <v>269</v>
      </c>
      <c r="K343" s="24" t="s">
        <v>3469</v>
      </c>
      <c r="L343" s="24" t="s">
        <v>1356</v>
      </c>
      <c r="M343" s="110" t="s">
        <v>3474</v>
      </c>
      <c r="N343" s="24">
        <v>7</v>
      </c>
      <c r="O343" s="24" t="s">
        <v>3479</v>
      </c>
      <c r="P343" s="24" t="s">
        <v>488</v>
      </c>
    </row>
    <row r="344" spans="1:16">
      <c r="A344" s="172">
        <v>2104000000236</v>
      </c>
      <c r="B344" s="24" t="s">
        <v>2275</v>
      </c>
      <c r="C344" s="172">
        <v>2200000000010</v>
      </c>
      <c r="D344" s="24" t="s">
        <v>331</v>
      </c>
      <c r="E344" s="24" t="b">
        <v>0</v>
      </c>
    </row>
    <row r="345" spans="1:16">
      <c r="H345" s="24">
        <v>1</v>
      </c>
      <c r="I345" s="24" t="s">
        <v>448</v>
      </c>
      <c r="J345" s="24" t="s">
        <v>269</v>
      </c>
      <c r="K345" s="24" t="s">
        <v>334</v>
      </c>
      <c r="L345" s="24" t="s">
        <v>427</v>
      </c>
      <c r="M345" s="24" t="s">
        <v>2276</v>
      </c>
      <c r="N345" s="24">
        <v>5</v>
      </c>
      <c r="O345" s="24" t="s">
        <v>2277</v>
      </c>
      <c r="P345" s="24" t="s">
        <v>488</v>
      </c>
    </row>
    <row r="346" spans="1:16">
      <c r="A346" s="172">
        <v>2104000000237</v>
      </c>
      <c r="B346" s="24" t="s">
        <v>2278</v>
      </c>
      <c r="C346" s="172">
        <v>2200000000010</v>
      </c>
      <c r="D346" s="24" t="s">
        <v>331</v>
      </c>
      <c r="E346" s="24" t="b">
        <v>0</v>
      </c>
    </row>
    <row r="347" spans="1:16">
      <c r="H347" s="24">
        <v>1</v>
      </c>
      <c r="I347" s="24" t="s">
        <v>448</v>
      </c>
      <c r="J347" s="24" t="s">
        <v>269</v>
      </c>
      <c r="K347" s="24" t="s">
        <v>334</v>
      </c>
      <c r="L347" s="24" t="s">
        <v>427</v>
      </c>
      <c r="M347" s="24" t="s">
        <v>2276</v>
      </c>
      <c r="N347" s="24">
        <v>10</v>
      </c>
      <c r="O347" s="24" t="s">
        <v>2279</v>
      </c>
      <c r="P347" s="24" t="s">
        <v>488</v>
      </c>
    </row>
    <row r="348" spans="1:16">
      <c r="A348" s="172">
        <v>2104000000238</v>
      </c>
      <c r="B348" s="24" t="s">
        <v>2280</v>
      </c>
      <c r="C348" s="172">
        <v>2200000000010</v>
      </c>
      <c r="D348" s="24" t="s">
        <v>331</v>
      </c>
      <c r="E348" s="24" t="b">
        <v>0</v>
      </c>
    </row>
    <row r="349" spans="1:16">
      <c r="H349" s="24">
        <v>1</v>
      </c>
      <c r="I349" s="24" t="s">
        <v>448</v>
      </c>
      <c r="J349" s="24" t="s">
        <v>269</v>
      </c>
      <c r="K349" s="24" t="s">
        <v>334</v>
      </c>
      <c r="L349" s="24" t="s">
        <v>427</v>
      </c>
      <c r="M349" s="24" t="s">
        <v>2276</v>
      </c>
      <c r="N349" s="24">
        <v>15</v>
      </c>
      <c r="O349" s="24" t="s">
        <v>2281</v>
      </c>
      <c r="P349" s="24" t="s">
        <v>488</v>
      </c>
    </row>
    <row r="350" spans="1:16">
      <c r="A350" s="172">
        <v>2104000000239</v>
      </c>
      <c r="B350" s="24" t="s">
        <v>2282</v>
      </c>
      <c r="C350" s="172">
        <v>2200000000010</v>
      </c>
      <c r="D350" s="24" t="s">
        <v>331</v>
      </c>
      <c r="E350" s="24" t="b">
        <v>0</v>
      </c>
    </row>
    <row r="351" spans="1:16">
      <c r="H351" s="24">
        <v>1</v>
      </c>
      <c r="I351" s="24" t="s">
        <v>448</v>
      </c>
      <c r="J351" s="24" t="s">
        <v>269</v>
      </c>
      <c r="K351" s="24" t="s">
        <v>334</v>
      </c>
      <c r="L351" s="24" t="s">
        <v>427</v>
      </c>
      <c r="M351" s="24" t="s">
        <v>2276</v>
      </c>
      <c r="N351" s="24">
        <v>20</v>
      </c>
      <c r="O351" s="24" t="s">
        <v>2283</v>
      </c>
      <c r="P351" s="24" t="s">
        <v>488</v>
      </c>
    </row>
    <row r="352" spans="1:16">
      <c r="A352" s="172">
        <v>2104000000240</v>
      </c>
      <c r="B352" s="24" t="s">
        <v>2284</v>
      </c>
      <c r="C352" s="172">
        <v>2200000000010</v>
      </c>
      <c r="D352" s="24" t="s">
        <v>331</v>
      </c>
      <c r="E352" s="24" t="b">
        <v>0</v>
      </c>
    </row>
    <row r="353" spans="1:16">
      <c r="H353" s="24">
        <v>1</v>
      </c>
      <c r="I353" s="24" t="s">
        <v>448</v>
      </c>
      <c r="J353" s="24" t="s">
        <v>269</v>
      </c>
      <c r="K353" s="24" t="s">
        <v>334</v>
      </c>
      <c r="L353" s="24" t="s">
        <v>427</v>
      </c>
      <c r="M353" s="24" t="s">
        <v>2276</v>
      </c>
      <c r="N353" s="24">
        <v>25</v>
      </c>
      <c r="O353" s="24" t="s">
        <v>2285</v>
      </c>
      <c r="P353" s="24" t="s">
        <v>488</v>
      </c>
    </row>
    <row r="354" spans="1:16">
      <c r="A354" s="172">
        <v>2104000000241</v>
      </c>
      <c r="B354" s="24" t="s">
        <v>2286</v>
      </c>
      <c r="C354" s="172">
        <v>2200000000010</v>
      </c>
      <c r="D354" s="24" t="s">
        <v>331</v>
      </c>
      <c r="E354" s="24" t="b">
        <v>0</v>
      </c>
    </row>
    <row r="355" spans="1:16">
      <c r="H355" s="24">
        <v>1</v>
      </c>
      <c r="I355" s="24" t="s">
        <v>448</v>
      </c>
      <c r="J355" s="24" t="s">
        <v>269</v>
      </c>
      <c r="K355" s="24" t="s">
        <v>334</v>
      </c>
      <c r="L355" s="24" t="s">
        <v>427</v>
      </c>
      <c r="M355" s="24" t="s">
        <v>2276</v>
      </c>
      <c r="N355" s="24">
        <v>30</v>
      </c>
      <c r="O355" s="24" t="s">
        <v>2287</v>
      </c>
      <c r="P355" s="24" t="s">
        <v>488</v>
      </c>
    </row>
    <row r="356" spans="1:16">
      <c r="A356" s="172">
        <v>2104000000242</v>
      </c>
      <c r="B356" s="24" t="s">
        <v>2288</v>
      </c>
      <c r="C356" s="172">
        <v>2200000000010</v>
      </c>
      <c r="D356" s="24" t="s">
        <v>331</v>
      </c>
      <c r="E356" s="24" t="b">
        <v>0</v>
      </c>
    </row>
    <row r="357" spans="1:16">
      <c r="H357" s="24">
        <v>1</v>
      </c>
      <c r="I357" s="24" t="s">
        <v>448</v>
      </c>
      <c r="J357" s="24" t="s">
        <v>269</v>
      </c>
      <c r="K357" s="24" t="s">
        <v>334</v>
      </c>
      <c r="L357" s="24" t="s">
        <v>427</v>
      </c>
      <c r="M357" s="24" t="s">
        <v>2302</v>
      </c>
      <c r="N357" s="24">
        <v>5</v>
      </c>
      <c r="O357" s="24" t="s">
        <v>2290</v>
      </c>
      <c r="P357" s="24" t="s">
        <v>488</v>
      </c>
    </row>
    <row r="358" spans="1:16">
      <c r="A358" s="172">
        <v>2104000000243</v>
      </c>
      <c r="B358" s="24" t="s">
        <v>2291</v>
      </c>
      <c r="C358" s="172">
        <v>2200000000010</v>
      </c>
      <c r="D358" s="24" t="s">
        <v>331</v>
      </c>
      <c r="E358" s="24" t="b">
        <v>0</v>
      </c>
    </row>
    <row r="359" spans="1:16">
      <c r="H359" s="24">
        <v>1</v>
      </c>
      <c r="I359" s="24" t="s">
        <v>448</v>
      </c>
      <c r="J359" s="24" t="s">
        <v>269</v>
      </c>
      <c r="K359" s="24" t="s">
        <v>334</v>
      </c>
      <c r="L359" s="24" t="s">
        <v>427</v>
      </c>
      <c r="M359" s="24" t="s">
        <v>2302</v>
      </c>
      <c r="N359" s="24">
        <v>10</v>
      </c>
      <c r="O359" s="24" t="s">
        <v>2292</v>
      </c>
      <c r="P359" s="24" t="s">
        <v>488</v>
      </c>
    </row>
    <row r="360" spans="1:16">
      <c r="A360" s="172">
        <v>2104000000244</v>
      </c>
      <c r="B360" s="24" t="s">
        <v>2293</v>
      </c>
      <c r="C360" s="172">
        <v>2200000000010</v>
      </c>
      <c r="D360" s="24" t="s">
        <v>331</v>
      </c>
      <c r="E360" s="24" t="b">
        <v>0</v>
      </c>
    </row>
    <row r="361" spans="1:16">
      <c r="H361" s="24">
        <v>1</v>
      </c>
      <c r="I361" s="24" t="s">
        <v>448</v>
      </c>
      <c r="J361" s="24" t="s">
        <v>269</v>
      </c>
      <c r="K361" s="24" t="s">
        <v>334</v>
      </c>
      <c r="L361" s="24" t="s">
        <v>427</v>
      </c>
      <c r="M361" s="24" t="s">
        <v>2302</v>
      </c>
      <c r="N361" s="24">
        <v>15</v>
      </c>
      <c r="O361" s="24" t="s">
        <v>2294</v>
      </c>
      <c r="P361" s="24" t="s">
        <v>488</v>
      </c>
    </row>
    <row r="362" spans="1:16">
      <c r="A362" s="172">
        <v>2104000000245</v>
      </c>
      <c r="B362" s="24" t="s">
        <v>2295</v>
      </c>
      <c r="C362" s="172">
        <v>2200000000010</v>
      </c>
      <c r="D362" s="24" t="s">
        <v>331</v>
      </c>
      <c r="E362" s="24" t="b">
        <v>0</v>
      </c>
    </row>
    <row r="363" spans="1:16">
      <c r="H363" s="24">
        <v>1</v>
      </c>
      <c r="I363" s="24" t="s">
        <v>448</v>
      </c>
      <c r="J363" s="24" t="s">
        <v>269</v>
      </c>
      <c r="K363" s="24" t="s">
        <v>334</v>
      </c>
      <c r="L363" s="24" t="s">
        <v>427</v>
      </c>
      <c r="M363" s="24" t="s">
        <v>2302</v>
      </c>
      <c r="N363" s="24">
        <v>20</v>
      </c>
      <c r="O363" s="24" t="s">
        <v>2296</v>
      </c>
      <c r="P363" s="24" t="s">
        <v>488</v>
      </c>
    </row>
    <row r="364" spans="1:16">
      <c r="A364" s="172">
        <v>2104000000246</v>
      </c>
      <c r="B364" s="24" t="s">
        <v>2297</v>
      </c>
      <c r="C364" s="172">
        <v>2200000000010</v>
      </c>
      <c r="D364" s="24" t="s">
        <v>331</v>
      </c>
      <c r="E364" s="24" t="b">
        <v>0</v>
      </c>
    </row>
    <row r="365" spans="1:16">
      <c r="H365" s="24">
        <v>1</v>
      </c>
      <c r="I365" s="24" t="s">
        <v>448</v>
      </c>
      <c r="J365" s="24" t="s">
        <v>269</v>
      </c>
      <c r="K365" s="24" t="s">
        <v>334</v>
      </c>
      <c r="L365" s="24" t="s">
        <v>427</v>
      </c>
      <c r="M365" s="24" t="s">
        <v>2302</v>
      </c>
      <c r="N365" s="24">
        <v>25</v>
      </c>
      <c r="O365" s="24" t="s">
        <v>2298</v>
      </c>
      <c r="P365" s="24" t="s">
        <v>488</v>
      </c>
    </row>
    <row r="366" spans="1:16">
      <c r="A366" s="172">
        <v>2104000000247</v>
      </c>
      <c r="B366" s="24" t="s">
        <v>2299</v>
      </c>
      <c r="C366" s="172">
        <v>2200000000010</v>
      </c>
      <c r="D366" s="24" t="s">
        <v>331</v>
      </c>
      <c r="E366" s="24" t="b">
        <v>0</v>
      </c>
    </row>
    <row r="367" spans="1:16">
      <c r="H367" s="24">
        <v>1</v>
      </c>
      <c r="I367" s="24" t="s">
        <v>448</v>
      </c>
      <c r="J367" s="24" t="s">
        <v>269</v>
      </c>
      <c r="K367" s="24" t="s">
        <v>334</v>
      </c>
      <c r="L367" s="24" t="s">
        <v>427</v>
      </c>
      <c r="M367" s="24" t="s">
        <v>2302</v>
      </c>
      <c r="N367" s="24">
        <v>30</v>
      </c>
      <c r="O367" s="24" t="s">
        <v>2300</v>
      </c>
      <c r="P367" s="24" t="s">
        <v>488</v>
      </c>
    </row>
    <row r="368" spans="1:16">
      <c r="A368" s="172">
        <v>2104000000248</v>
      </c>
      <c r="B368" s="24" t="s">
        <v>2301</v>
      </c>
      <c r="C368" s="172">
        <v>2200000000010</v>
      </c>
      <c r="D368" s="24" t="s">
        <v>331</v>
      </c>
      <c r="E368" s="24" t="b">
        <v>0</v>
      </c>
    </row>
    <row r="369" spans="1:16">
      <c r="H369" s="24">
        <v>1</v>
      </c>
      <c r="I369" s="24" t="s">
        <v>448</v>
      </c>
      <c r="J369" s="24" t="s">
        <v>269</v>
      </c>
      <c r="K369" s="24" t="s">
        <v>334</v>
      </c>
      <c r="L369" s="24" t="s">
        <v>427</v>
      </c>
      <c r="M369" s="24" t="s">
        <v>2315</v>
      </c>
      <c r="N369" s="24">
        <v>5</v>
      </c>
      <c r="O369" s="24" t="s">
        <v>2303</v>
      </c>
      <c r="P369" s="24" t="s">
        <v>488</v>
      </c>
    </row>
    <row r="370" spans="1:16">
      <c r="A370" s="172">
        <v>2104000000249</v>
      </c>
      <c r="B370" s="24" t="s">
        <v>2304</v>
      </c>
      <c r="C370" s="172">
        <v>2200000000010</v>
      </c>
      <c r="D370" s="24" t="s">
        <v>331</v>
      </c>
      <c r="E370" s="24" t="b">
        <v>0</v>
      </c>
    </row>
    <row r="371" spans="1:16">
      <c r="H371" s="24">
        <v>1</v>
      </c>
      <c r="I371" s="24" t="s">
        <v>448</v>
      </c>
      <c r="J371" s="24" t="s">
        <v>269</v>
      </c>
      <c r="K371" s="24" t="s">
        <v>334</v>
      </c>
      <c r="L371" s="24" t="s">
        <v>427</v>
      </c>
      <c r="M371" s="24" t="s">
        <v>2315</v>
      </c>
      <c r="N371" s="24">
        <v>10</v>
      </c>
      <c r="O371" s="24" t="s">
        <v>2305</v>
      </c>
      <c r="P371" s="24" t="s">
        <v>488</v>
      </c>
    </row>
    <row r="372" spans="1:16">
      <c r="A372" s="172">
        <v>2104000000250</v>
      </c>
      <c r="B372" s="24" t="s">
        <v>2306</v>
      </c>
      <c r="C372" s="172">
        <v>2200000000010</v>
      </c>
      <c r="D372" s="24" t="s">
        <v>331</v>
      </c>
      <c r="E372" s="24" t="b">
        <v>0</v>
      </c>
    </row>
    <row r="373" spans="1:16">
      <c r="H373" s="24">
        <v>1</v>
      </c>
      <c r="I373" s="24" t="s">
        <v>448</v>
      </c>
      <c r="J373" s="24" t="s">
        <v>269</v>
      </c>
      <c r="K373" s="24" t="s">
        <v>334</v>
      </c>
      <c r="L373" s="24" t="s">
        <v>427</v>
      </c>
      <c r="M373" s="24" t="s">
        <v>2315</v>
      </c>
      <c r="N373" s="24">
        <v>15</v>
      </c>
      <c r="O373" s="24" t="s">
        <v>2307</v>
      </c>
      <c r="P373" s="24" t="s">
        <v>488</v>
      </c>
    </row>
    <row r="374" spans="1:16">
      <c r="A374" s="172">
        <v>2104000000251</v>
      </c>
      <c r="B374" s="24" t="s">
        <v>2308</v>
      </c>
      <c r="C374" s="172">
        <v>2200000000010</v>
      </c>
      <c r="D374" s="24" t="s">
        <v>331</v>
      </c>
      <c r="E374" s="24" t="b">
        <v>0</v>
      </c>
    </row>
    <row r="375" spans="1:16">
      <c r="H375" s="24">
        <v>1</v>
      </c>
      <c r="I375" s="24" t="s">
        <v>448</v>
      </c>
      <c r="J375" s="24" t="s">
        <v>269</v>
      </c>
      <c r="K375" s="24" t="s">
        <v>334</v>
      </c>
      <c r="L375" s="24" t="s">
        <v>427</v>
      </c>
      <c r="M375" s="24" t="s">
        <v>2315</v>
      </c>
      <c r="N375" s="24">
        <v>20</v>
      </c>
      <c r="O375" s="24" t="s">
        <v>2309</v>
      </c>
      <c r="P375" s="24" t="s">
        <v>488</v>
      </c>
    </row>
    <row r="376" spans="1:16">
      <c r="A376" s="172">
        <v>2104000000252</v>
      </c>
      <c r="B376" s="24" t="s">
        <v>2310</v>
      </c>
      <c r="C376" s="172">
        <v>2200000000010</v>
      </c>
      <c r="D376" s="24" t="s">
        <v>331</v>
      </c>
      <c r="E376" s="24" t="b">
        <v>0</v>
      </c>
    </row>
    <row r="377" spans="1:16">
      <c r="H377" s="24">
        <v>1</v>
      </c>
      <c r="I377" s="24" t="s">
        <v>448</v>
      </c>
      <c r="J377" s="24" t="s">
        <v>269</v>
      </c>
      <c r="K377" s="24" t="s">
        <v>334</v>
      </c>
      <c r="L377" s="24" t="s">
        <v>427</v>
      </c>
      <c r="M377" s="24" t="s">
        <v>2315</v>
      </c>
      <c r="N377" s="24">
        <v>25</v>
      </c>
      <c r="O377" s="24" t="s">
        <v>2311</v>
      </c>
      <c r="P377" s="24" t="s">
        <v>488</v>
      </c>
    </row>
    <row r="378" spans="1:16">
      <c r="A378" s="172">
        <v>2104000000253</v>
      </c>
      <c r="B378" s="24" t="s">
        <v>2312</v>
      </c>
      <c r="C378" s="172">
        <v>2200000000010</v>
      </c>
      <c r="D378" s="24" t="s">
        <v>331</v>
      </c>
      <c r="E378" s="24" t="b">
        <v>0</v>
      </c>
    </row>
    <row r="379" spans="1:16">
      <c r="H379" s="24">
        <v>1</v>
      </c>
      <c r="I379" s="24" t="s">
        <v>448</v>
      </c>
      <c r="J379" s="24" t="s">
        <v>269</v>
      </c>
      <c r="K379" s="24" t="s">
        <v>334</v>
      </c>
      <c r="L379" s="24" t="s">
        <v>427</v>
      </c>
      <c r="M379" s="24" t="s">
        <v>2315</v>
      </c>
      <c r="N379" s="24">
        <v>30</v>
      </c>
      <c r="O379" s="24" t="s">
        <v>2313</v>
      </c>
      <c r="P379" s="24" t="s">
        <v>488</v>
      </c>
    </row>
    <row r="380" spans="1:16">
      <c r="A380" s="172">
        <v>2104000000254</v>
      </c>
      <c r="B380" s="24" t="s">
        <v>2314</v>
      </c>
      <c r="C380" s="172">
        <v>2200000000010</v>
      </c>
      <c r="D380" s="24" t="s">
        <v>331</v>
      </c>
      <c r="E380" s="24" t="b">
        <v>0</v>
      </c>
    </row>
    <row r="381" spans="1:16">
      <c r="H381" s="24">
        <v>1</v>
      </c>
      <c r="I381" s="24" t="s">
        <v>448</v>
      </c>
      <c r="J381" s="24" t="s">
        <v>269</v>
      </c>
      <c r="K381" s="24" t="s">
        <v>334</v>
      </c>
      <c r="L381" s="24" t="s">
        <v>427</v>
      </c>
      <c r="M381" s="24" t="s">
        <v>2289</v>
      </c>
      <c r="N381" s="24">
        <v>5</v>
      </c>
      <c r="O381" s="24" t="s">
        <v>2316</v>
      </c>
      <c r="P381" s="24" t="s">
        <v>488</v>
      </c>
    </row>
    <row r="382" spans="1:16">
      <c r="A382" s="172">
        <v>2104000000255</v>
      </c>
      <c r="B382" s="24" t="s">
        <v>2317</v>
      </c>
      <c r="C382" s="172">
        <v>2200000000010</v>
      </c>
      <c r="D382" s="24" t="s">
        <v>331</v>
      </c>
      <c r="E382" s="24" t="b">
        <v>0</v>
      </c>
    </row>
    <row r="383" spans="1:16">
      <c r="H383" s="24">
        <v>1</v>
      </c>
      <c r="I383" s="24" t="s">
        <v>448</v>
      </c>
      <c r="J383" s="24" t="s">
        <v>269</v>
      </c>
      <c r="K383" s="24" t="s">
        <v>334</v>
      </c>
      <c r="L383" s="24" t="s">
        <v>427</v>
      </c>
      <c r="M383" s="24" t="s">
        <v>2289</v>
      </c>
      <c r="N383" s="24">
        <v>10</v>
      </c>
      <c r="O383" s="24" t="s">
        <v>2318</v>
      </c>
      <c r="P383" s="24" t="s">
        <v>488</v>
      </c>
    </row>
    <row r="384" spans="1:16">
      <c r="A384" s="172">
        <v>2104000000256</v>
      </c>
      <c r="B384" s="24" t="s">
        <v>2319</v>
      </c>
      <c r="C384" s="172">
        <v>2200000000010</v>
      </c>
      <c r="D384" s="24" t="s">
        <v>331</v>
      </c>
      <c r="E384" s="24" t="b">
        <v>0</v>
      </c>
    </row>
    <row r="385" spans="1:16">
      <c r="H385" s="24">
        <v>1</v>
      </c>
      <c r="I385" s="24" t="s">
        <v>448</v>
      </c>
      <c r="J385" s="24" t="s">
        <v>269</v>
      </c>
      <c r="K385" s="24" t="s">
        <v>334</v>
      </c>
      <c r="L385" s="24" t="s">
        <v>427</v>
      </c>
      <c r="M385" s="24" t="s">
        <v>2289</v>
      </c>
      <c r="N385" s="24">
        <v>15</v>
      </c>
      <c r="O385" s="24" t="s">
        <v>2320</v>
      </c>
      <c r="P385" s="24" t="s">
        <v>488</v>
      </c>
    </row>
    <row r="386" spans="1:16">
      <c r="A386" s="172">
        <v>2104000000257</v>
      </c>
      <c r="B386" s="24" t="s">
        <v>2321</v>
      </c>
      <c r="C386" s="172">
        <v>2200000000010</v>
      </c>
      <c r="D386" s="24" t="s">
        <v>331</v>
      </c>
      <c r="E386" s="24" t="b">
        <v>0</v>
      </c>
    </row>
    <row r="387" spans="1:16">
      <c r="H387" s="24">
        <v>1</v>
      </c>
      <c r="I387" s="24" t="s">
        <v>448</v>
      </c>
      <c r="J387" s="24" t="s">
        <v>269</v>
      </c>
      <c r="K387" s="24" t="s">
        <v>334</v>
      </c>
      <c r="L387" s="24" t="s">
        <v>427</v>
      </c>
      <c r="M387" s="24" t="s">
        <v>2289</v>
      </c>
      <c r="N387" s="24">
        <v>20</v>
      </c>
      <c r="O387" s="24" t="s">
        <v>2322</v>
      </c>
      <c r="P387" s="24" t="s">
        <v>488</v>
      </c>
    </row>
    <row r="388" spans="1:16">
      <c r="A388" s="172">
        <v>2104000000258</v>
      </c>
      <c r="B388" s="24" t="s">
        <v>2323</v>
      </c>
      <c r="C388" s="172">
        <v>2200000000010</v>
      </c>
      <c r="D388" s="24" t="s">
        <v>331</v>
      </c>
      <c r="E388" s="24" t="b">
        <v>0</v>
      </c>
    </row>
    <row r="389" spans="1:16">
      <c r="H389" s="24">
        <v>1</v>
      </c>
      <c r="I389" s="24" t="s">
        <v>448</v>
      </c>
      <c r="J389" s="24" t="s">
        <v>269</v>
      </c>
      <c r="K389" s="24" t="s">
        <v>334</v>
      </c>
      <c r="L389" s="24" t="s">
        <v>427</v>
      </c>
      <c r="M389" s="24" t="s">
        <v>2289</v>
      </c>
      <c r="N389" s="24">
        <v>25</v>
      </c>
      <c r="O389" s="24" t="s">
        <v>2324</v>
      </c>
      <c r="P389" s="24" t="s">
        <v>488</v>
      </c>
    </row>
    <row r="390" spans="1:16">
      <c r="A390" s="172">
        <v>2104000000259</v>
      </c>
      <c r="B390" s="24" t="s">
        <v>2325</v>
      </c>
      <c r="C390" s="172">
        <v>2200000000010</v>
      </c>
      <c r="D390" s="24" t="s">
        <v>331</v>
      </c>
      <c r="E390" s="24" t="b">
        <v>0</v>
      </c>
    </row>
    <row r="391" spans="1:16">
      <c r="H391" s="24">
        <v>1</v>
      </c>
      <c r="I391" s="24" t="s">
        <v>448</v>
      </c>
      <c r="J391" s="24" t="s">
        <v>269</v>
      </c>
      <c r="K391" s="24" t="s">
        <v>334</v>
      </c>
      <c r="L391" s="24" t="s">
        <v>427</v>
      </c>
      <c r="M391" s="24" t="s">
        <v>2289</v>
      </c>
      <c r="N391" s="24">
        <v>30</v>
      </c>
      <c r="O391" s="24" t="s">
        <v>2326</v>
      </c>
      <c r="P391" s="24" t="s">
        <v>488</v>
      </c>
    </row>
    <row r="392" spans="1:16">
      <c r="A392" s="172">
        <v>2104000000266</v>
      </c>
      <c r="B392" s="24" t="s">
        <v>2338</v>
      </c>
      <c r="C392" s="172">
        <v>2200000000010</v>
      </c>
      <c r="D392" s="24" t="s">
        <v>331</v>
      </c>
      <c r="E392" s="24" t="b">
        <v>0</v>
      </c>
    </row>
    <row r="393" spans="1:16">
      <c r="H393" s="24">
        <v>1</v>
      </c>
      <c r="I393" s="24" t="s">
        <v>448</v>
      </c>
      <c r="J393" s="24" t="s">
        <v>269</v>
      </c>
      <c r="K393" s="24" t="s">
        <v>334</v>
      </c>
      <c r="L393" s="24" t="s">
        <v>377</v>
      </c>
      <c r="M393" s="24" t="s">
        <v>2339</v>
      </c>
      <c r="N393" s="24">
        <v>1</v>
      </c>
      <c r="O393" s="24" t="s">
        <v>2340</v>
      </c>
      <c r="P393" s="24" t="s">
        <v>488</v>
      </c>
    </row>
    <row r="394" spans="1:16">
      <c r="A394" s="172">
        <v>2104000000267</v>
      </c>
      <c r="B394" s="24" t="s">
        <v>2341</v>
      </c>
      <c r="C394" s="172">
        <v>2200000000010</v>
      </c>
      <c r="D394" s="24" t="s">
        <v>331</v>
      </c>
      <c r="E394" s="24" t="b">
        <v>0</v>
      </c>
    </row>
    <row r="395" spans="1:16">
      <c r="H395" s="24">
        <v>1</v>
      </c>
      <c r="I395" s="24" t="s">
        <v>448</v>
      </c>
      <c r="J395" s="24" t="s">
        <v>269</v>
      </c>
      <c r="K395" s="24" t="s">
        <v>334</v>
      </c>
      <c r="L395" s="24" t="s">
        <v>377</v>
      </c>
      <c r="M395" s="24" t="s">
        <v>2342</v>
      </c>
      <c r="N395" s="24">
        <v>1</v>
      </c>
      <c r="O395" s="24" t="s">
        <v>2343</v>
      </c>
      <c r="P395" s="24" t="s">
        <v>488</v>
      </c>
    </row>
    <row r="396" spans="1:16">
      <c r="A396" s="172">
        <v>2104000000268</v>
      </c>
      <c r="B396" s="24" t="s">
        <v>2344</v>
      </c>
      <c r="C396" s="172">
        <v>2200000000010</v>
      </c>
      <c r="D396" s="24" t="s">
        <v>331</v>
      </c>
      <c r="E396" s="24" t="b">
        <v>0</v>
      </c>
    </row>
    <row r="397" spans="1:16">
      <c r="H397" s="24">
        <v>1</v>
      </c>
      <c r="I397" s="24" t="s">
        <v>448</v>
      </c>
      <c r="J397" s="24" t="s">
        <v>269</v>
      </c>
      <c r="K397" s="24" t="s">
        <v>334</v>
      </c>
      <c r="L397" s="24" t="s">
        <v>377</v>
      </c>
      <c r="M397" s="24" t="s">
        <v>2345</v>
      </c>
      <c r="N397" s="24">
        <v>1</v>
      </c>
      <c r="O397" s="24" t="s">
        <v>2346</v>
      </c>
      <c r="P397" s="24" t="s">
        <v>488</v>
      </c>
    </row>
    <row r="398" spans="1:16">
      <c r="A398" s="172">
        <v>2104000000269</v>
      </c>
      <c r="B398" s="24" t="s">
        <v>2347</v>
      </c>
      <c r="C398" s="172">
        <v>2200000000010</v>
      </c>
      <c r="D398" s="24" t="s">
        <v>331</v>
      </c>
      <c r="E398" s="24" t="b">
        <v>0</v>
      </c>
    </row>
    <row r="399" spans="1:16">
      <c r="H399" s="24">
        <v>1</v>
      </c>
      <c r="I399" s="24" t="s">
        <v>448</v>
      </c>
      <c r="J399" s="24" t="s">
        <v>269</v>
      </c>
      <c r="K399" s="24" t="s">
        <v>334</v>
      </c>
      <c r="L399" s="24" t="s">
        <v>377</v>
      </c>
      <c r="M399" s="24" t="s">
        <v>2348</v>
      </c>
      <c r="N399" s="24">
        <v>1</v>
      </c>
      <c r="O399" s="24" t="s">
        <v>2349</v>
      </c>
      <c r="P399" s="24" t="s">
        <v>488</v>
      </c>
    </row>
    <row r="400" spans="1:16">
      <c r="A400" s="172">
        <v>2104000000270</v>
      </c>
      <c r="B400" s="24" t="s">
        <v>2350</v>
      </c>
      <c r="C400" s="172">
        <v>2200000000010</v>
      </c>
      <c r="D400" s="24" t="s">
        <v>331</v>
      </c>
      <c r="E400" s="24" t="b">
        <v>0</v>
      </c>
    </row>
    <row r="401" spans="1:16">
      <c r="H401" s="24">
        <v>1</v>
      </c>
      <c r="I401" s="24" t="s">
        <v>448</v>
      </c>
      <c r="J401" s="24" t="s">
        <v>269</v>
      </c>
      <c r="K401" s="24" t="s">
        <v>334</v>
      </c>
      <c r="L401" s="24" t="s">
        <v>377</v>
      </c>
      <c r="M401" s="24" t="s">
        <v>2351</v>
      </c>
      <c r="N401" s="24">
        <v>1</v>
      </c>
      <c r="O401" s="24" t="s">
        <v>2352</v>
      </c>
      <c r="P401" s="24" t="s">
        <v>488</v>
      </c>
    </row>
    <row r="402" spans="1:16">
      <c r="A402" s="172">
        <v>2104000000272</v>
      </c>
      <c r="B402" s="24" t="s">
        <v>2353</v>
      </c>
      <c r="C402" s="172">
        <v>2200000000010</v>
      </c>
      <c r="D402" s="24" t="s">
        <v>331</v>
      </c>
      <c r="E402" s="24" t="b">
        <v>0</v>
      </c>
    </row>
    <row r="403" spans="1:16">
      <c r="H403" s="24">
        <v>1</v>
      </c>
      <c r="I403" s="24" t="s">
        <v>448</v>
      </c>
      <c r="J403" s="24" t="s">
        <v>269</v>
      </c>
      <c r="K403" s="24" t="s">
        <v>334</v>
      </c>
      <c r="L403" s="24" t="s">
        <v>377</v>
      </c>
      <c r="M403" s="24" t="s">
        <v>2354</v>
      </c>
      <c r="N403" s="24">
        <v>1</v>
      </c>
      <c r="O403" s="24" t="s">
        <v>2355</v>
      </c>
      <c r="P403" s="24" t="s">
        <v>488</v>
      </c>
    </row>
    <row r="404" spans="1:16">
      <c r="A404" s="172">
        <v>2104000000274</v>
      </c>
      <c r="B404" s="24" t="s">
        <v>2356</v>
      </c>
      <c r="C404" s="172">
        <v>2200000000010</v>
      </c>
      <c r="D404" s="24" t="s">
        <v>331</v>
      </c>
      <c r="E404" s="24" t="b">
        <v>0</v>
      </c>
    </row>
    <row r="405" spans="1:16">
      <c r="H405" s="24">
        <v>1</v>
      </c>
      <c r="I405" s="24" t="s">
        <v>448</v>
      </c>
      <c r="J405" s="24" t="s">
        <v>269</v>
      </c>
      <c r="K405" s="24" t="s">
        <v>334</v>
      </c>
      <c r="L405" s="24" t="s">
        <v>377</v>
      </c>
      <c r="M405" s="24" t="s">
        <v>2357</v>
      </c>
      <c r="N405" s="24">
        <v>1</v>
      </c>
      <c r="O405" s="24" t="s">
        <v>2358</v>
      </c>
      <c r="P405" s="24" t="s">
        <v>488</v>
      </c>
    </row>
    <row r="406" spans="1:16">
      <c r="A406" s="172">
        <v>2104000000275</v>
      </c>
      <c r="B406" s="24" t="s">
        <v>2359</v>
      </c>
      <c r="C406" s="172">
        <v>2200000000010</v>
      </c>
      <c r="D406" s="24" t="s">
        <v>331</v>
      </c>
      <c r="E406" s="24" t="b">
        <v>0</v>
      </c>
    </row>
    <row r="407" spans="1:16">
      <c r="H407" s="24">
        <v>1</v>
      </c>
      <c r="I407" s="24" t="s">
        <v>448</v>
      </c>
      <c r="J407" s="24" t="s">
        <v>269</v>
      </c>
      <c r="K407" s="24" t="s">
        <v>334</v>
      </c>
      <c r="L407" s="24" t="s">
        <v>377</v>
      </c>
      <c r="M407" s="24" t="s">
        <v>2360</v>
      </c>
      <c r="N407" s="24">
        <v>1</v>
      </c>
      <c r="O407" s="24" t="s">
        <v>2361</v>
      </c>
      <c r="P407" s="24" t="s">
        <v>488</v>
      </c>
    </row>
    <row r="408" spans="1:16">
      <c r="A408" s="172">
        <v>2104000000276</v>
      </c>
      <c r="B408" s="24" t="s">
        <v>2362</v>
      </c>
      <c r="C408" s="172">
        <v>2200000000010</v>
      </c>
      <c r="D408" s="24" t="s">
        <v>331</v>
      </c>
      <c r="E408" s="24" t="b">
        <v>0</v>
      </c>
    </row>
    <row r="409" spans="1:16">
      <c r="H409" s="24">
        <v>1</v>
      </c>
      <c r="I409" s="24" t="s">
        <v>448</v>
      </c>
      <c r="J409" s="24" t="s">
        <v>269</v>
      </c>
      <c r="K409" s="24" t="s">
        <v>334</v>
      </c>
      <c r="L409" s="24" t="s">
        <v>377</v>
      </c>
      <c r="M409" s="24" t="s">
        <v>2363</v>
      </c>
      <c r="N409" s="24">
        <v>1</v>
      </c>
      <c r="O409" s="24" t="s">
        <v>2364</v>
      </c>
      <c r="P409" s="24" t="s">
        <v>488</v>
      </c>
    </row>
    <row r="410" spans="1:16">
      <c r="A410" s="172">
        <v>2104000000278</v>
      </c>
      <c r="B410" s="24" t="s">
        <v>2365</v>
      </c>
      <c r="C410" s="172">
        <v>2200000000010</v>
      </c>
      <c r="D410" s="24" t="s">
        <v>331</v>
      </c>
      <c r="E410" s="24" t="b">
        <v>0</v>
      </c>
    </row>
    <row r="411" spans="1:16">
      <c r="H411" s="24">
        <v>1</v>
      </c>
      <c r="I411" s="24" t="s">
        <v>448</v>
      </c>
      <c r="J411" s="24" t="s">
        <v>269</v>
      </c>
      <c r="K411" s="24" t="s">
        <v>334</v>
      </c>
      <c r="L411" s="24" t="s">
        <v>377</v>
      </c>
      <c r="M411" s="24" t="s">
        <v>2366</v>
      </c>
      <c r="N411" s="24">
        <v>1</v>
      </c>
      <c r="O411" s="24" t="s">
        <v>2367</v>
      </c>
      <c r="P411" s="24" t="s">
        <v>488</v>
      </c>
    </row>
    <row r="412" spans="1:16">
      <c r="A412" s="172">
        <v>2104000000279</v>
      </c>
      <c r="B412" s="24" t="s">
        <v>2368</v>
      </c>
      <c r="C412" s="172">
        <v>2200000000010</v>
      </c>
      <c r="D412" s="24" t="s">
        <v>331</v>
      </c>
      <c r="E412" s="24" t="b">
        <v>0</v>
      </c>
    </row>
    <row r="413" spans="1:16">
      <c r="H413" s="24">
        <v>1</v>
      </c>
      <c r="I413" s="24" t="s">
        <v>448</v>
      </c>
      <c r="J413" s="24" t="s">
        <v>269</v>
      </c>
      <c r="K413" s="24" t="s">
        <v>334</v>
      </c>
      <c r="L413" s="24" t="s">
        <v>377</v>
      </c>
      <c r="M413" s="24" t="s">
        <v>2369</v>
      </c>
      <c r="N413" s="24">
        <v>1</v>
      </c>
      <c r="O413" s="24" t="s">
        <v>2370</v>
      </c>
      <c r="P413" s="24" t="s">
        <v>488</v>
      </c>
    </row>
    <row r="414" spans="1:16">
      <c r="A414" s="172">
        <v>2104000000280</v>
      </c>
      <c r="B414" s="24" t="s">
        <v>2371</v>
      </c>
      <c r="C414" s="172">
        <v>2200000000010</v>
      </c>
      <c r="D414" s="24" t="s">
        <v>331</v>
      </c>
      <c r="E414" s="24" t="b">
        <v>0</v>
      </c>
    </row>
    <row r="415" spans="1:16">
      <c r="H415" s="24">
        <v>1</v>
      </c>
      <c r="I415" s="24" t="s">
        <v>448</v>
      </c>
      <c r="J415" s="24" t="s">
        <v>269</v>
      </c>
      <c r="K415" s="24" t="s">
        <v>334</v>
      </c>
      <c r="L415" s="24" t="s">
        <v>377</v>
      </c>
      <c r="M415" s="24" t="s">
        <v>2372</v>
      </c>
      <c r="N415" s="24">
        <v>1</v>
      </c>
      <c r="O415" s="24" t="s">
        <v>2373</v>
      </c>
      <c r="P415" s="24" t="s">
        <v>488</v>
      </c>
    </row>
    <row r="416" spans="1:16">
      <c r="A416" s="172">
        <v>2104000000281</v>
      </c>
      <c r="B416" s="24" t="s">
        <v>2374</v>
      </c>
      <c r="C416" s="172">
        <v>2200000000010</v>
      </c>
      <c r="D416" s="24" t="s">
        <v>331</v>
      </c>
      <c r="E416" s="24" t="b">
        <v>0</v>
      </c>
    </row>
    <row r="417" spans="1:16">
      <c r="H417" s="24">
        <v>1</v>
      </c>
      <c r="I417" s="24" t="s">
        <v>448</v>
      </c>
      <c r="J417" s="24" t="s">
        <v>269</v>
      </c>
      <c r="K417" s="24" t="s">
        <v>334</v>
      </c>
      <c r="L417" s="24" t="s">
        <v>377</v>
      </c>
      <c r="M417" s="24" t="s">
        <v>2375</v>
      </c>
      <c r="N417" s="24">
        <v>1</v>
      </c>
      <c r="O417" s="24" t="s">
        <v>2376</v>
      </c>
      <c r="P417" s="24" t="s">
        <v>488</v>
      </c>
    </row>
    <row r="418" spans="1:16">
      <c r="A418" s="172">
        <v>2104000000282</v>
      </c>
      <c r="B418" s="24" t="s">
        <v>2377</v>
      </c>
      <c r="C418" s="172">
        <v>2200000000010</v>
      </c>
      <c r="D418" s="24" t="s">
        <v>331</v>
      </c>
      <c r="E418" s="24" t="b">
        <v>0</v>
      </c>
    </row>
    <row r="419" spans="1:16">
      <c r="H419" s="24">
        <v>1</v>
      </c>
      <c r="I419" s="24" t="s">
        <v>448</v>
      </c>
      <c r="J419" s="24" t="s">
        <v>269</v>
      </c>
      <c r="K419" s="24" t="s">
        <v>334</v>
      </c>
      <c r="L419" s="24" t="s">
        <v>377</v>
      </c>
      <c r="M419" s="24" t="s">
        <v>2378</v>
      </c>
      <c r="N419" s="24">
        <v>1</v>
      </c>
      <c r="O419" s="24" t="s">
        <v>2379</v>
      </c>
      <c r="P419" s="24" t="s">
        <v>488</v>
      </c>
    </row>
    <row r="420" spans="1:16">
      <c r="A420" s="172">
        <v>2104000000283</v>
      </c>
      <c r="B420" s="24" t="s">
        <v>2380</v>
      </c>
      <c r="C420" s="172">
        <v>2200000000010</v>
      </c>
      <c r="D420" s="24" t="s">
        <v>331</v>
      </c>
      <c r="E420" s="24" t="b">
        <v>0</v>
      </c>
    </row>
    <row r="421" spans="1:16">
      <c r="H421" s="24">
        <v>1</v>
      </c>
      <c r="I421" s="24" t="s">
        <v>448</v>
      </c>
      <c r="J421" s="24" t="s">
        <v>269</v>
      </c>
      <c r="K421" s="24" t="s">
        <v>334</v>
      </c>
      <c r="L421" s="24" t="s">
        <v>377</v>
      </c>
      <c r="M421" s="24" t="s">
        <v>2381</v>
      </c>
      <c r="N421" s="24">
        <v>1</v>
      </c>
      <c r="O421" s="24" t="s">
        <v>2382</v>
      </c>
      <c r="P421" s="24" t="s">
        <v>488</v>
      </c>
    </row>
    <row r="422" spans="1:16">
      <c r="A422" s="172">
        <v>2104000000284</v>
      </c>
      <c r="B422" s="24" t="s">
        <v>2383</v>
      </c>
      <c r="C422" s="172">
        <v>2200000000010</v>
      </c>
      <c r="D422" s="24" t="s">
        <v>331</v>
      </c>
      <c r="E422" s="24" t="b">
        <v>0</v>
      </c>
    </row>
    <row r="423" spans="1:16">
      <c r="H423" s="24">
        <v>1</v>
      </c>
      <c r="I423" s="24" t="s">
        <v>448</v>
      </c>
      <c r="J423" s="24" t="s">
        <v>269</v>
      </c>
      <c r="K423" s="24" t="s">
        <v>334</v>
      </c>
      <c r="L423" s="24" t="s">
        <v>377</v>
      </c>
      <c r="M423" s="24" t="s">
        <v>2384</v>
      </c>
      <c r="N423" s="24">
        <v>1</v>
      </c>
      <c r="O423" s="24" t="s">
        <v>2385</v>
      </c>
      <c r="P423" s="24" t="s">
        <v>488</v>
      </c>
    </row>
    <row r="424" spans="1:16">
      <c r="A424" s="172">
        <v>2104000000285</v>
      </c>
      <c r="B424" s="24" t="s">
        <v>2386</v>
      </c>
      <c r="C424" s="172">
        <v>2200000000010</v>
      </c>
      <c r="D424" s="24" t="s">
        <v>331</v>
      </c>
      <c r="E424" s="24" t="b">
        <v>0</v>
      </c>
    </row>
    <row r="425" spans="1:16">
      <c r="H425" s="24">
        <v>1</v>
      </c>
      <c r="I425" s="24" t="s">
        <v>448</v>
      </c>
      <c r="J425" s="24" t="s">
        <v>269</v>
      </c>
      <c r="K425" s="24" t="s">
        <v>334</v>
      </c>
      <c r="L425" s="24" t="s">
        <v>377</v>
      </c>
      <c r="M425" s="24" t="s">
        <v>2387</v>
      </c>
      <c r="N425" s="24">
        <v>1</v>
      </c>
      <c r="O425" s="24" t="s">
        <v>2388</v>
      </c>
      <c r="P425" s="24" t="s">
        <v>488</v>
      </c>
    </row>
    <row r="426" spans="1:16">
      <c r="A426" s="172">
        <v>2104000000286</v>
      </c>
      <c r="B426" s="24" t="s">
        <v>2389</v>
      </c>
      <c r="C426" s="172">
        <v>2200000000010</v>
      </c>
      <c r="D426" s="24" t="s">
        <v>331</v>
      </c>
      <c r="E426" s="24" t="b">
        <v>0</v>
      </c>
    </row>
    <row r="427" spans="1:16">
      <c r="H427" s="24">
        <v>1</v>
      </c>
      <c r="I427" s="24" t="s">
        <v>448</v>
      </c>
      <c r="J427" s="24" t="s">
        <v>269</v>
      </c>
      <c r="K427" s="24" t="s">
        <v>334</v>
      </c>
      <c r="L427" s="24" t="s">
        <v>377</v>
      </c>
      <c r="M427" s="24" t="s">
        <v>2390</v>
      </c>
      <c r="N427" s="24">
        <v>1</v>
      </c>
      <c r="O427" s="24" t="s">
        <v>2391</v>
      </c>
      <c r="P427" s="24" t="s">
        <v>488</v>
      </c>
    </row>
    <row r="428" spans="1:16">
      <c r="A428" s="172">
        <v>2104000000287</v>
      </c>
      <c r="B428" s="24" t="s">
        <v>2392</v>
      </c>
      <c r="C428" s="172">
        <v>2200000000010</v>
      </c>
      <c r="D428" s="24" t="s">
        <v>331</v>
      </c>
      <c r="E428" s="24" t="b">
        <v>0</v>
      </c>
    </row>
    <row r="429" spans="1:16">
      <c r="H429" s="24">
        <v>1</v>
      </c>
      <c r="I429" s="24" t="s">
        <v>448</v>
      </c>
      <c r="J429" s="24" t="s">
        <v>269</v>
      </c>
      <c r="K429" s="24" t="s">
        <v>334</v>
      </c>
      <c r="L429" s="24" t="s">
        <v>377</v>
      </c>
      <c r="M429" s="24" t="s">
        <v>2393</v>
      </c>
      <c r="N429" s="24">
        <v>1</v>
      </c>
      <c r="O429" s="24" t="s">
        <v>2394</v>
      </c>
      <c r="P429" s="24" t="s">
        <v>488</v>
      </c>
    </row>
    <row r="430" spans="1:16">
      <c r="A430" s="172">
        <v>2104000000288</v>
      </c>
      <c r="B430" s="24" t="s">
        <v>2395</v>
      </c>
      <c r="C430" s="172">
        <v>2200000000010</v>
      </c>
      <c r="D430" s="24" t="s">
        <v>331</v>
      </c>
      <c r="E430" s="24" t="b">
        <v>0</v>
      </c>
    </row>
    <row r="431" spans="1:16">
      <c r="H431" s="24">
        <v>1</v>
      </c>
      <c r="I431" s="24" t="s">
        <v>448</v>
      </c>
      <c r="J431" s="24" t="s">
        <v>269</v>
      </c>
      <c r="K431" s="24" t="s">
        <v>334</v>
      </c>
      <c r="L431" s="24" t="s">
        <v>377</v>
      </c>
      <c r="M431" s="24" t="s">
        <v>2396</v>
      </c>
      <c r="N431" s="24">
        <v>1</v>
      </c>
      <c r="O431" s="24" t="s">
        <v>2397</v>
      </c>
      <c r="P431" s="24" t="s">
        <v>488</v>
      </c>
    </row>
    <row r="432" spans="1:16">
      <c r="A432" s="172">
        <v>2104000000292</v>
      </c>
      <c r="B432" s="24" t="s">
        <v>2398</v>
      </c>
      <c r="C432" s="172">
        <v>2200000000010</v>
      </c>
      <c r="D432" s="24" t="s">
        <v>331</v>
      </c>
      <c r="E432" s="24" t="b">
        <v>0</v>
      </c>
    </row>
    <row r="433" spans="1:16">
      <c r="H433" s="24">
        <v>1</v>
      </c>
      <c r="I433" s="24" t="s">
        <v>448</v>
      </c>
      <c r="J433" s="24" t="s">
        <v>269</v>
      </c>
      <c r="K433" s="24" t="s">
        <v>334</v>
      </c>
      <c r="L433" s="24" t="s">
        <v>377</v>
      </c>
      <c r="M433" s="24" t="s">
        <v>2399</v>
      </c>
      <c r="N433" s="24">
        <v>1</v>
      </c>
      <c r="O433" s="24" t="s">
        <v>2400</v>
      </c>
      <c r="P433" s="24" t="s">
        <v>488</v>
      </c>
    </row>
    <row r="434" spans="1:16">
      <c r="A434" s="172">
        <v>2104000000293</v>
      </c>
      <c r="B434" s="24" t="s">
        <v>2401</v>
      </c>
      <c r="C434" s="172">
        <v>2200000000010</v>
      </c>
      <c r="D434" s="24" t="s">
        <v>331</v>
      </c>
      <c r="E434" s="24" t="b">
        <v>0</v>
      </c>
    </row>
    <row r="435" spans="1:16">
      <c r="H435" s="24">
        <v>1</v>
      </c>
      <c r="I435" s="24" t="s">
        <v>448</v>
      </c>
      <c r="J435" s="24" t="s">
        <v>269</v>
      </c>
      <c r="K435" s="24" t="s">
        <v>334</v>
      </c>
      <c r="L435" s="24" t="s">
        <v>377</v>
      </c>
      <c r="M435" s="24" t="s">
        <v>2402</v>
      </c>
      <c r="N435" s="24">
        <v>1</v>
      </c>
      <c r="O435" s="24" t="s">
        <v>2403</v>
      </c>
      <c r="P435" s="24" t="s">
        <v>488</v>
      </c>
    </row>
    <row r="436" spans="1:16">
      <c r="A436" s="172">
        <v>2104000000294</v>
      </c>
      <c r="B436" s="24" t="s">
        <v>2404</v>
      </c>
      <c r="C436" s="172">
        <v>2200000000010</v>
      </c>
      <c r="D436" s="24" t="s">
        <v>331</v>
      </c>
      <c r="E436" s="24" t="b">
        <v>0</v>
      </c>
    </row>
    <row r="437" spans="1:16">
      <c r="H437" s="24">
        <v>1</v>
      </c>
      <c r="I437" s="24" t="s">
        <v>448</v>
      </c>
      <c r="J437" s="24" t="s">
        <v>269</v>
      </c>
      <c r="K437" s="24" t="s">
        <v>334</v>
      </c>
      <c r="L437" s="24" t="s">
        <v>377</v>
      </c>
      <c r="M437" s="24" t="s">
        <v>2405</v>
      </c>
      <c r="N437" s="24">
        <v>1</v>
      </c>
      <c r="O437" s="24" t="s">
        <v>2406</v>
      </c>
      <c r="P437" s="24" t="s">
        <v>488</v>
      </c>
    </row>
    <row r="438" spans="1:16">
      <c r="A438" s="172">
        <v>2104000000295</v>
      </c>
      <c r="B438" s="24" t="s">
        <v>2407</v>
      </c>
      <c r="C438" s="172">
        <v>2200000000010</v>
      </c>
      <c r="D438" s="24" t="s">
        <v>331</v>
      </c>
      <c r="E438" s="24" t="b">
        <v>0</v>
      </c>
    </row>
    <row r="439" spans="1:16">
      <c r="H439" s="24">
        <v>1</v>
      </c>
      <c r="I439" s="24" t="s">
        <v>448</v>
      </c>
      <c r="J439" s="24" t="s">
        <v>269</v>
      </c>
      <c r="K439" s="24" t="s">
        <v>334</v>
      </c>
      <c r="L439" s="24" t="s">
        <v>377</v>
      </c>
      <c r="M439" s="24" t="s">
        <v>2408</v>
      </c>
      <c r="N439" s="24">
        <v>1</v>
      </c>
      <c r="O439" s="24" t="s">
        <v>2409</v>
      </c>
      <c r="P439" s="24" t="s">
        <v>488</v>
      </c>
    </row>
    <row r="440" spans="1:16">
      <c r="A440" s="172">
        <v>2104000000296</v>
      </c>
      <c r="B440" s="24" t="s">
        <v>2410</v>
      </c>
      <c r="C440" s="172">
        <v>2200000000010</v>
      </c>
      <c r="D440" s="24" t="s">
        <v>331</v>
      </c>
      <c r="E440" s="24" t="b">
        <v>0</v>
      </c>
    </row>
    <row r="441" spans="1:16">
      <c r="H441" s="24">
        <v>1</v>
      </c>
      <c r="I441" s="24" t="s">
        <v>448</v>
      </c>
      <c r="J441" s="24" t="s">
        <v>269</v>
      </c>
      <c r="K441" s="24" t="s">
        <v>334</v>
      </c>
      <c r="L441" s="24" t="s">
        <v>377</v>
      </c>
      <c r="M441" s="24" t="s">
        <v>2411</v>
      </c>
      <c r="N441" s="24">
        <v>1</v>
      </c>
      <c r="O441" s="24" t="s">
        <v>2412</v>
      </c>
      <c r="P441" s="24" t="s">
        <v>488</v>
      </c>
    </row>
    <row r="442" spans="1:16">
      <c r="A442" s="172">
        <v>2104000000297</v>
      </c>
      <c r="B442" s="24" t="s">
        <v>2413</v>
      </c>
      <c r="C442" s="172">
        <v>2200000000010</v>
      </c>
      <c r="D442" s="24" t="s">
        <v>331</v>
      </c>
      <c r="E442" s="24" t="b">
        <v>0</v>
      </c>
    </row>
    <row r="443" spans="1:16">
      <c r="H443" s="24">
        <v>1</v>
      </c>
      <c r="I443" s="24" t="s">
        <v>448</v>
      </c>
      <c r="J443" s="24" t="s">
        <v>269</v>
      </c>
      <c r="K443" s="24" t="s">
        <v>334</v>
      </c>
      <c r="L443" s="24" t="s">
        <v>377</v>
      </c>
      <c r="M443" s="24" t="s">
        <v>2414</v>
      </c>
      <c r="N443" s="24">
        <v>1</v>
      </c>
      <c r="O443" s="24" t="s">
        <v>2415</v>
      </c>
      <c r="P443" s="24" t="s">
        <v>488</v>
      </c>
    </row>
    <row r="444" spans="1:16">
      <c r="A444" s="172">
        <v>2104000000298</v>
      </c>
      <c r="B444" s="24" t="s">
        <v>2416</v>
      </c>
      <c r="C444" s="172">
        <v>2200000000010</v>
      </c>
      <c r="D444" s="24" t="s">
        <v>331</v>
      </c>
      <c r="E444" s="24" t="b">
        <v>0</v>
      </c>
    </row>
    <row r="445" spans="1:16">
      <c r="H445" s="24">
        <v>1</v>
      </c>
      <c r="I445" s="24" t="s">
        <v>448</v>
      </c>
      <c r="J445" s="24" t="s">
        <v>269</v>
      </c>
      <c r="K445" s="24" t="s">
        <v>334</v>
      </c>
      <c r="L445" s="24" t="s">
        <v>377</v>
      </c>
      <c r="M445" s="24" t="s">
        <v>2417</v>
      </c>
      <c r="N445" s="24">
        <v>1</v>
      </c>
      <c r="O445" s="24" t="s">
        <v>2418</v>
      </c>
      <c r="P445" s="24" t="s">
        <v>488</v>
      </c>
    </row>
    <row r="446" spans="1:16">
      <c r="A446" s="172">
        <v>2104000000299</v>
      </c>
      <c r="B446" s="24" t="s">
        <v>2419</v>
      </c>
      <c r="C446" s="172">
        <v>2200000000010</v>
      </c>
      <c r="D446" s="24" t="s">
        <v>331</v>
      </c>
      <c r="E446" s="24" t="b">
        <v>0</v>
      </c>
    </row>
    <row r="447" spans="1:16">
      <c r="H447" s="24">
        <v>1</v>
      </c>
      <c r="I447" s="24" t="s">
        <v>448</v>
      </c>
      <c r="J447" s="24" t="s">
        <v>269</v>
      </c>
      <c r="K447" s="24" t="s">
        <v>334</v>
      </c>
      <c r="L447" s="24" t="s">
        <v>377</v>
      </c>
      <c r="M447" s="24" t="s">
        <v>2420</v>
      </c>
      <c r="N447" s="24">
        <v>1</v>
      </c>
      <c r="O447" s="24" t="s">
        <v>2421</v>
      </c>
      <c r="P447" s="24" t="s">
        <v>488</v>
      </c>
    </row>
    <row r="448" spans="1:16">
      <c r="A448" s="172">
        <v>2104000000300</v>
      </c>
      <c r="B448" s="24" t="s">
        <v>2422</v>
      </c>
      <c r="C448" s="172">
        <v>2200000000010</v>
      </c>
      <c r="D448" s="24" t="s">
        <v>331</v>
      </c>
      <c r="E448" s="24" t="b">
        <v>0</v>
      </c>
    </row>
    <row r="449" spans="1:16">
      <c r="H449" s="24">
        <v>1</v>
      </c>
      <c r="I449" s="24" t="s">
        <v>448</v>
      </c>
      <c r="J449" s="24" t="s">
        <v>269</v>
      </c>
      <c r="K449" s="24" t="s">
        <v>334</v>
      </c>
      <c r="L449" s="24" t="s">
        <v>377</v>
      </c>
      <c r="M449" s="24" t="s">
        <v>2423</v>
      </c>
      <c r="N449" s="24">
        <v>1</v>
      </c>
      <c r="O449" s="24" t="s">
        <v>2424</v>
      </c>
      <c r="P449" s="24" t="s">
        <v>488</v>
      </c>
    </row>
    <row r="450" spans="1:16">
      <c r="A450" s="172">
        <v>2104000000301</v>
      </c>
      <c r="B450" s="24" t="s">
        <v>2425</v>
      </c>
      <c r="C450" s="172">
        <v>2200000000010</v>
      </c>
      <c r="D450" s="24" t="s">
        <v>331</v>
      </c>
      <c r="E450" s="24" t="b">
        <v>0</v>
      </c>
    </row>
    <row r="451" spans="1:16">
      <c r="H451" s="24">
        <v>1</v>
      </c>
      <c r="I451" s="24" t="s">
        <v>448</v>
      </c>
      <c r="J451" s="24" t="s">
        <v>269</v>
      </c>
      <c r="K451" s="24" t="s">
        <v>334</v>
      </c>
      <c r="L451" s="24" t="s">
        <v>377</v>
      </c>
      <c r="M451" s="24" t="s">
        <v>2426</v>
      </c>
      <c r="N451" s="24">
        <v>1</v>
      </c>
      <c r="O451" s="24" t="s">
        <v>2427</v>
      </c>
      <c r="P451" s="24" t="s">
        <v>488</v>
      </c>
    </row>
    <row r="452" spans="1:16">
      <c r="A452" s="172">
        <v>2104000000302</v>
      </c>
      <c r="B452" s="24" t="s">
        <v>2428</v>
      </c>
      <c r="C452" s="172">
        <v>2200000000010</v>
      </c>
      <c r="D452" s="24" t="s">
        <v>331</v>
      </c>
      <c r="E452" s="24" t="b">
        <v>0</v>
      </c>
    </row>
    <row r="453" spans="1:16">
      <c r="H453" s="24">
        <v>1</v>
      </c>
      <c r="I453" s="24" t="s">
        <v>448</v>
      </c>
      <c r="J453" s="24" t="s">
        <v>269</v>
      </c>
      <c r="K453" s="24" t="s">
        <v>334</v>
      </c>
      <c r="L453" s="24" t="s">
        <v>377</v>
      </c>
      <c r="M453" s="24" t="s">
        <v>2429</v>
      </c>
      <c r="N453" s="24">
        <v>1</v>
      </c>
      <c r="O453" s="24" t="s">
        <v>2430</v>
      </c>
      <c r="P453" s="24" t="s">
        <v>488</v>
      </c>
    </row>
    <row r="454" spans="1:16">
      <c r="A454" s="172">
        <v>2104000000303</v>
      </c>
      <c r="B454" s="24" t="s">
        <v>2431</v>
      </c>
      <c r="C454" s="172">
        <v>2200000000010</v>
      </c>
      <c r="D454" s="24" t="s">
        <v>331</v>
      </c>
      <c r="E454" s="24" t="b">
        <v>0</v>
      </c>
    </row>
    <row r="455" spans="1:16">
      <c r="H455" s="24">
        <v>1</v>
      </c>
      <c r="I455" s="24" t="s">
        <v>448</v>
      </c>
      <c r="J455" s="24" t="s">
        <v>269</v>
      </c>
      <c r="K455" s="24" t="s">
        <v>334</v>
      </c>
      <c r="L455" s="24" t="s">
        <v>377</v>
      </c>
      <c r="M455" s="24" t="s">
        <v>2432</v>
      </c>
      <c r="N455" s="24">
        <v>1</v>
      </c>
      <c r="O455" s="24" t="s">
        <v>2433</v>
      </c>
      <c r="P455" s="24" t="s">
        <v>488</v>
      </c>
    </row>
    <row r="456" spans="1:16">
      <c r="A456" s="172">
        <v>2104000000305</v>
      </c>
      <c r="B456" s="24" t="s">
        <v>2434</v>
      </c>
      <c r="C456" s="172">
        <v>2200000000010</v>
      </c>
      <c r="D456" s="24" t="s">
        <v>331</v>
      </c>
      <c r="E456" s="24" t="b">
        <v>0</v>
      </c>
    </row>
    <row r="457" spans="1:16">
      <c r="H457" s="24">
        <v>1</v>
      </c>
      <c r="I457" s="24" t="s">
        <v>448</v>
      </c>
      <c r="J457" s="24" t="s">
        <v>269</v>
      </c>
      <c r="K457" s="24" t="s">
        <v>334</v>
      </c>
      <c r="L457" s="24" t="s">
        <v>377</v>
      </c>
      <c r="M457" s="24" t="s">
        <v>2435</v>
      </c>
      <c r="N457" s="24">
        <v>1</v>
      </c>
      <c r="O457" s="24" t="s">
        <v>2436</v>
      </c>
      <c r="P457" s="24" t="s">
        <v>488</v>
      </c>
    </row>
    <row r="458" spans="1:16">
      <c r="A458" s="172">
        <v>2104000000306</v>
      </c>
      <c r="B458" s="24" t="s">
        <v>2458</v>
      </c>
      <c r="C458" s="172">
        <v>2200000000010</v>
      </c>
      <c r="D458" s="24" t="s">
        <v>331</v>
      </c>
      <c r="E458" s="24" t="b">
        <v>0</v>
      </c>
    </row>
    <row r="459" spans="1:16">
      <c r="H459" s="24">
        <v>1</v>
      </c>
      <c r="I459" s="24" t="s">
        <v>448</v>
      </c>
      <c r="J459" s="24" t="s">
        <v>269</v>
      </c>
      <c r="K459" s="24" t="s">
        <v>334</v>
      </c>
      <c r="L459" s="24" t="s">
        <v>784</v>
      </c>
      <c r="M459" s="24" t="s">
        <v>2459</v>
      </c>
      <c r="N459" s="24">
        <v>1</v>
      </c>
      <c r="O459" s="24" t="s">
        <v>2460</v>
      </c>
      <c r="P459" s="24" t="s">
        <v>488</v>
      </c>
    </row>
    <row r="460" spans="1:16">
      <c r="A460" s="172">
        <v>2104000000307</v>
      </c>
      <c r="B460" s="24" t="s">
        <v>2461</v>
      </c>
      <c r="C460" s="172">
        <v>2200000000010</v>
      </c>
      <c r="D460" s="24" t="s">
        <v>331</v>
      </c>
      <c r="E460" s="24" t="b">
        <v>0</v>
      </c>
    </row>
    <row r="461" spans="1:16">
      <c r="H461" s="24">
        <v>1</v>
      </c>
      <c r="I461" s="24" t="s">
        <v>448</v>
      </c>
      <c r="J461" s="24" t="s">
        <v>269</v>
      </c>
      <c r="K461" s="24" t="s">
        <v>334</v>
      </c>
      <c r="L461" s="24" t="s">
        <v>784</v>
      </c>
      <c r="M461" s="24" t="s">
        <v>2462</v>
      </c>
      <c r="N461" s="24">
        <v>1</v>
      </c>
      <c r="O461" s="24" t="s">
        <v>2463</v>
      </c>
      <c r="P461" s="24" t="s">
        <v>488</v>
      </c>
    </row>
    <row r="462" spans="1:16">
      <c r="A462" s="172">
        <v>2104000000308</v>
      </c>
      <c r="B462" s="24" t="s">
        <v>2464</v>
      </c>
      <c r="C462" s="172">
        <v>2200000000010</v>
      </c>
      <c r="D462" s="24" t="s">
        <v>331</v>
      </c>
      <c r="E462" s="24" t="b">
        <v>0</v>
      </c>
    </row>
    <row r="463" spans="1:16">
      <c r="H463" s="24">
        <v>1</v>
      </c>
      <c r="I463" s="24" t="s">
        <v>448</v>
      </c>
      <c r="J463" s="24" t="s">
        <v>269</v>
      </c>
      <c r="K463" s="24" t="s">
        <v>334</v>
      </c>
      <c r="L463" s="24" t="s">
        <v>784</v>
      </c>
      <c r="M463" s="24" t="s">
        <v>2465</v>
      </c>
      <c r="N463" s="24">
        <v>1</v>
      </c>
      <c r="O463" s="24" t="s">
        <v>2466</v>
      </c>
      <c r="P463" s="24" t="s">
        <v>488</v>
      </c>
    </row>
    <row r="464" spans="1:16">
      <c r="A464" s="172">
        <v>2104000000310</v>
      </c>
      <c r="B464" s="24" t="s">
        <v>2467</v>
      </c>
      <c r="C464" s="172">
        <v>2200000000010</v>
      </c>
      <c r="D464" s="24" t="s">
        <v>331</v>
      </c>
      <c r="E464" s="24" t="b">
        <v>0</v>
      </c>
    </row>
    <row r="465" spans="1:16">
      <c r="H465" s="24">
        <v>1</v>
      </c>
      <c r="I465" s="24" t="s">
        <v>448</v>
      </c>
      <c r="J465" s="24" t="s">
        <v>269</v>
      </c>
      <c r="K465" s="24" t="s">
        <v>334</v>
      </c>
      <c r="L465" s="24" t="s">
        <v>784</v>
      </c>
      <c r="M465" s="24" t="s">
        <v>2468</v>
      </c>
      <c r="N465" s="24">
        <v>1</v>
      </c>
      <c r="O465" s="24" t="s">
        <v>2469</v>
      </c>
      <c r="P465" s="24" t="s">
        <v>488</v>
      </c>
    </row>
    <row r="466" spans="1:16">
      <c r="A466" s="172">
        <v>2104000000311</v>
      </c>
      <c r="B466" s="24" t="s">
        <v>2470</v>
      </c>
      <c r="C466" s="172">
        <v>2200000000010</v>
      </c>
      <c r="D466" s="24" t="s">
        <v>331</v>
      </c>
      <c r="E466" s="24" t="b">
        <v>0</v>
      </c>
    </row>
    <row r="467" spans="1:16">
      <c r="H467" s="24">
        <v>1</v>
      </c>
      <c r="I467" s="24" t="s">
        <v>448</v>
      </c>
      <c r="J467" s="24" t="s">
        <v>269</v>
      </c>
      <c r="K467" s="24" t="s">
        <v>334</v>
      </c>
      <c r="L467" s="24" t="s">
        <v>784</v>
      </c>
      <c r="M467" s="24" t="s">
        <v>2471</v>
      </c>
      <c r="N467" s="24">
        <v>1</v>
      </c>
      <c r="O467" s="24" t="s">
        <v>2472</v>
      </c>
      <c r="P467" s="24" t="s">
        <v>488</v>
      </c>
    </row>
    <row r="468" spans="1:16">
      <c r="A468" s="172">
        <v>2104000000312</v>
      </c>
      <c r="B468" s="24" t="s">
        <v>2473</v>
      </c>
      <c r="C468" s="172">
        <v>2200000000010</v>
      </c>
      <c r="D468" s="24" t="s">
        <v>331</v>
      </c>
      <c r="E468" s="24" t="b">
        <v>0</v>
      </c>
    </row>
    <row r="469" spans="1:16">
      <c r="H469" s="24">
        <v>1</v>
      </c>
      <c r="I469" s="24" t="s">
        <v>448</v>
      </c>
      <c r="J469" s="24" t="s">
        <v>269</v>
      </c>
      <c r="K469" s="24" t="s">
        <v>334</v>
      </c>
      <c r="L469" s="24" t="s">
        <v>784</v>
      </c>
      <c r="M469" s="24" t="s">
        <v>2474</v>
      </c>
      <c r="N469" s="24">
        <v>1</v>
      </c>
      <c r="O469" s="24" t="s">
        <v>2475</v>
      </c>
      <c r="P469" s="24" t="s">
        <v>488</v>
      </c>
    </row>
    <row r="470" spans="1:16">
      <c r="A470" s="172">
        <v>2104000000313</v>
      </c>
      <c r="B470" s="24" t="s">
        <v>2476</v>
      </c>
      <c r="C470" s="172">
        <v>2200000000010</v>
      </c>
      <c r="D470" s="24" t="s">
        <v>331</v>
      </c>
      <c r="E470" s="24" t="b">
        <v>0</v>
      </c>
    </row>
    <row r="471" spans="1:16">
      <c r="H471" s="24">
        <v>1</v>
      </c>
      <c r="I471" s="24" t="s">
        <v>448</v>
      </c>
      <c r="J471" s="24" t="s">
        <v>269</v>
      </c>
      <c r="K471" s="24" t="s">
        <v>334</v>
      </c>
      <c r="L471" s="24" t="s">
        <v>784</v>
      </c>
      <c r="M471" s="24" t="s">
        <v>2477</v>
      </c>
      <c r="N471" s="24">
        <v>1</v>
      </c>
      <c r="O471" s="24" t="s">
        <v>2478</v>
      </c>
      <c r="P471" s="24" t="s">
        <v>488</v>
      </c>
    </row>
    <row r="472" spans="1:16">
      <c r="A472" s="172">
        <v>2104000000314</v>
      </c>
      <c r="B472" s="24" t="s">
        <v>2479</v>
      </c>
      <c r="C472" s="172">
        <v>2200000000010</v>
      </c>
      <c r="D472" s="24" t="s">
        <v>331</v>
      </c>
      <c r="E472" s="24" t="b">
        <v>0</v>
      </c>
    </row>
    <row r="473" spans="1:16">
      <c r="H473" s="24">
        <v>1</v>
      </c>
      <c r="I473" s="24" t="s">
        <v>448</v>
      </c>
      <c r="J473" s="24" t="s">
        <v>269</v>
      </c>
      <c r="K473" s="24" t="s">
        <v>334</v>
      </c>
      <c r="L473" s="24" t="s">
        <v>784</v>
      </c>
      <c r="M473" s="24" t="s">
        <v>2480</v>
      </c>
      <c r="N473" s="24">
        <v>1</v>
      </c>
      <c r="O473" s="24" t="s">
        <v>2481</v>
      </c>
      <c r="P473" s="24" t="s">
        <v>488</v>
      </c>
    </row>
    <row r="474" spans="1:16">
      <c r="A474" s="172">
        <v>2104000000315</v>
      </c>
      <c r="B474" s="24" t="s">
        <v>2482</v>
      </c>
      <c r="C474" s="172">
        <v>2200000000010</v>
      </c>
      <c r="D474" s="24" t="s">
        <v>331</v>
      </c>
      <c r="E474" s="24" t="b">
        <v>0</v>
      </c>
    </row>
    <row r="475" spans="1:16">
      <c r="H475" s="24">
        <v>1</v>
      </c>
      <c r="I475" s="24" t="s">
        <v>448</v>
      </c>
      <c r="J475" s="24" t="s">
        <v>269</v>
      </c>
      <c r="K475" s="24" t="s">
        <v>334</v>
      </c>
      <c r="L475" s="24" t="s">
        <v>784</v>
      </c>
      <c r="M475" s="24" t="s">
        <v>2483</v>
      </c>
      <c r="N475" s="24">
        <v>1</v>
      </c>
      <c r="O475" s="24" t="s">
        <v>2484</v>
      </c>
      <c r="P475" s="24" t="s">
        <v>488</v>
      </c>
    </row>
    <row r="476" spans="1:16">
      <c r="A476" s="172">
        <v>2104000000317</v>
      </c>
      <c r="B476" s="24" t="s">
        <v>2485</v>
      </c>
      <c r="C476" s="172">
        <v>2200000000010</v>
      </c>
      <c r="D476" s="24" t="s">
        <v>331</v>
      </c>
      <c r="E476" s="24" t="b">
        <v>0</v>
      </c>
    </row>
    <row r="477" spans="1:16">
      <c r="H477" s="24">
        <v>1</v>
      </c>
      <c r="I477" s="24" t="s">
        <v>448</v>
      </c>
      <c r="J477" s="24" t="s">
        <v>269</v>
      </c>
      <c r="K477" s="24" t="s">
        <v>334</v>
      </c>
      <c r="L477" s="24" t="s">
        <v>784</v>
      </c>
      <c r="M477" s="24" t="s">
        <v>2486</v>
      </c>
      <c r="N477" s="24">
        <v>1</v>
      </c>
      <c r="O477" s="24" t="s">
        <v>2487</v>
      </c>
      <c r="P477" s="24" t="s">
        <v>488</v>
      </c>
    </row>
    <row r="478" spans="1:16">
      <c r="A478" s="172">
        <v>2104000000318</v>
      </c>
      <c r="B478" s="24" t="s">
        <v>2488</v>
      </c>
      <c r="C478" s="172">
        <v>2200000000010</v>
      </c>
      <c r="D478" s="24" t="s">
        <v>331</v>
      </c>
      <c r="E478" s="24" t="b">
        <v>0</v>
      </c>
    </row>
    <row r="479" spans="1:16">
      <c r="H479" s="24">
        <v>1</v>
      </c>
      <c r="I479" s="24" t="s">
        <v>448</v>
      </c>
      <c r="J479" s="24" t="s">
        <v>269</v>
      </c>
      <c r="K479" s="24" t="s">
        <v>334</v>
      </c>
      <c r="L479" s="24" t="s">
        <v>784</v>
      </c>
      <c r="M479" s="24" t="s">
        <v>2489</v>
      </c>
      <c r="N479" s="24">
        <v>1</v>
      </c>
      <c r="O479" s="24" t="s">
        <v>2490</v>
      </c>
      <c r="P479" s="24" t="s">
        <v>488</v>
      </c>
    </row>
    <row r="480" spans="1:16">
      <c r="A480" s="172">
        <v>2104000000319</v>
      </c>
      <c r="B480" s="24" t="s">
        <v>2491</v>
      </c>
      <c r="C480" s="172">
        <v>2200000000010</v>
      </c>
      <c r="D480" s="24" t="s">
        <v>331</v>
      </c>
      <c r="E480" s="24" t="b">
        <v>0</v>
      </c>
    </row>
    <row r="481" spans="1:16">
      <c r="H481" s="24">
        <v>1</v>
      </c>
      <c r="I481" s="24" t="s">
        <v>448</v>
      </c>
      <c r="J481" s="24" t="s">
        <v>269</v>
      </c>
      <c r="K481" s="24" t="s">
        <v>334</v>
      </c>
      <c r="L481" s="24" t="s">
        <v>784</v>
      </c>
      <c r="M481" s="24" t="s">
        <v>2492</v>
      </c>
      <c r="N481" s="24">
        <v>1</v>
      </c>
      <c r="O481" s="24" t="s">
        <v>2493</v>
      </c>
      <c r="P481" s="24" t="s">
        <v>488</v>
      </c>
    </row>
    <row r="482" spans="1:16">
      <c r="A482" s="172">
        <v>2104000000320</v>
      </c>
      <c r="B482" s="24" t="s">
        <v>2494</v>
      </c>
      <c r="C482" s="172">
        <v>2200000000010</v>
      </c>
      <c r="D482" s="24" t="s">
        <v>331</v>
      </c>
      <c r="E482" s="24" t="b">
        <v>0</v>
      </c>
    </row>
    <row r="483" spans="1:16">
      <c r="H483" s="24">
        <v>1</v>
      </c>
      <c r="I483" s="24" t="s">
        <v>448</v>
      </c>
      <c r="J483" s="24" t="s">
        <v>269</v>
      </c>
      <c r="K483" s="24" t="s">
        <v>334</v>
      </c>
      <c r="L483" s="24" t="s">
        <v>784</v>
      </c>
      <c r="M483" s="24" t="s">
        <v>2495</v>
      </c>
      <c r="N483" s="24">
        <v>1</v>
      </c>
      <c r="O483" s="24" t="s">
        <v>2496</v>
      </c>
      <c r="P483" s="24" t="s">
        <v>488</v>
      </c>
    </row>
    <row r="484" spans="1:16">
      <c r="A484" s="172">
        <v>2104000000321</v>
      </c>
      <c r="B484" s="24" t="s">
        <v>2497</v>
      </c>
      <c r="C484" s="172">
        <v>2200000000010</v>
      </c>
      <c r="D484" s="24" t="s">
        <v>331</v>
      </c>
      <c r="E484" s="24" t="b">
        <v>0</v>
      </c>
    </row>
    <row r="485" spans="1:16">
      <c r="H485" s="24">
        <v>1</v>
      </c>
      <c r="I485" s="24" t="s">
        <v>448</v>
      </c>
      <c r="J485" s="24" t="s">
        <v>269</v>
      </c>
      <c r="K485" s="24" t="s">
        <v>334</v>
      </c>
      <c r="L485" s="24" t="s">
        <v>784</v>
      </c>
      <c r="M485" s="24" t="s">
        <v>2498</v>
      </c>
      <c r="N485" s="24">
        <v>1</v>
      </c>
      <c r="O485" s="24" t="s">
        <v>2499</v>
      </c>
      <c r="P485" s="24" t="s">
        <v>488</v>
      </c>
    </row>
    <row r="486" spans="1:16">
      <c r="A486" s="172">
        <v>2104000000322</v>
      </c>
      <c r="B486" s="24" t="s">
        <v>2500</v>
      </c>
      <c r="C486" s="172">
        <v>2200000000010</v>
      </c>
      <c r="D486" s="24" t="s">
        <v>331</v>
      </c>
      <c r="E486" s="24" t="b">
        <v>0</v>
      </c>
    </row>
    <row r="487" spans="1:16">
      <c r="H487" s="24">
        <v>1</v>
      </c>
      <c r="I487" s="24" t="s">
        <v>448</v>
      </c>
      <c r="J487" s="24" t="s">
        <v>269</v>
      </c>
      <c r="K487" s="24" t="s">
        <v>334</v>
      </c>
      <c r="L487" s="24" t="s">
        <v>784</v>
      </c>
      <c r="M487" s="24" t="s">
        <v>2501</v>
      </c>
      <c r="N487" s="24">
        <v>1</v>
      </c>
      <c r="O487" s="24" t="s">
        <v>2502</v>
      </c>
      <c r="P487" s="24" t="s">
        <v>488</v>
      </c>
    </row>
    <row r="488" spans="1:16">
      <c r="A488" s="172">
        <v>2104000000323</v>
      </c>
      <c r="B488" s="24" t="s">
        <v>2503</v>
      </c>
      <c r="C488" s="172">
        <v>2200000000010</v>
      </c>
      <c r="D488" s="24" t="s">
        <v>331</v>
      </c>
      <c r="E488" s="24" t="b">
        <v>0</v>
      </c>
    </row>
    <row r="489" spans="1:16">
      <c r="H489" s="24">
        <v>1</v>
      </c>
      <c r="I489" s="24" t="s">
        <v>448</v>
      </c>
      <c r="J489" s="24" t="s">
        <v>269</v>
      </c>
      <c r="K489" s="24" t="s">
        <v>334</v>
      </c>
      <c r="L489" s="24" t="s">
        <v>784</v>
      </c>
      <c r="M489" s="24" t="s">
        <v>2504</v>
      </c>
      <c r="N489" s="24">
        <v>1</v>
      </c>
      <c r="O489" s="24" t="s">
        <v>2505</v>
      </c>
      <c r="P489" s="24" t="s">
        <v>488</v>
      </c>
    </row>
    <row r="490" spans="1:16">
      <c r="A490" s="172">
        <v>2104000000324</v>
      </c>
      <c r="B490" s="24" t="s">
        <v>2506</v>
      </c>
      <c r="C490" s="172">
        <v>2200000000010</v>
      </c>
      <c r="D490" s="24" t="s">
        <v>331</v>
      </c>
      <c r="E490" s="24" t="b">
        <v>0</v>
      </c>
    </row>
    <row r="491" spans="1:16">
      <c r="H491" s="24">
        <v>1</v>
      </c>
      <c r="I491" s="24" t="s">
        <v>448</v>
      </c>
      <c r="J491" s="24" t="s">
        <v>269</v>
      </c>
      <c r="K491" s="24" t="s">
        <v>334</v>
      </c>
      <c r="L491" s="24" t="s">
        <v>784</v>
      </c>
      <c r="M491" s="24" t="s">
        <v>2507</v>
      </c>
      <c r="N491" s="24">
        <v>1</v>
      </c>
      <c r="O491" s="24" t="s">
        <v>2508</v>
      </c>
      <c r="P491" s="24" t="s">
        <v>488</v>
      </c>
    </row>
    <row r="492" spans="1:16">
      <c r="A492" s="172">
        <v>2104000000325</v>
      </c>
      <c r="B492" s="24" t="s">
        <v>2509</v>
      </c>
      <c r="C492" s="172">
        <v>2200000000010</v>
      </c>
      <c r="D492" s="24" t="s">
        <v>331</v>
      </c>
      <c r="E492" s="24" t="b">
        <v>0</v>
      </c>
    </row>
    <row r="493" spans="1:16">
      <c r="H493" s="24">
        <v>1</v>
      </c>
      <c r="I493" s="24" t="s">
        <v>448</v>
      </c>
      <c r="J493" s="24" t="s">
        <v>269</v>
      </c>
      <c r="K493" s="24" t="s">
        <v>334</v>
      </c>
      <c r="L493" s="24" t="s">
        <v>784</v>
      </c>
      <c r="M493" s="24" t="s">
        <v>2510</v>
      </c>
      <c r="N493" s="24">
        <v>1</v>
      </c>
      <c r="O493" s="24" t="s">
        <v>2511</v>
      </c>
      <c r="P493" s="24" t="s">
        <v>488</v>
      </c>
    </row>
    <row r="494" spans="1:16">
      <c r="A494" s="172">
        <v>2104000000330</v>
      </c>
      <c r="B494" s="24" t="s">
        <v>2512</v>
      </c>
      <c r="C494" s="172">
        <v>2200000000010</v>
      </c>
      <c r="D494" s="24" t="s">
        <v>331</v>
      </c>
      <c r="E494" s="24" t="b">
        <v>0</v>
      </c>
    </row>
    <row r="495" spans="1:16">
      <c r="H495" s="24">
        <v>1</v>
      </c>
      <c r="I495" s="24" t="s">
        <v>448</v>
      </c>
      <c r="J495" s="24" t="s">
        <v>269</v>
      </c>
      <c r="K495" s="24" t="s">
        <v>334</v>
      </c>
      <c r="L495" s="24" t="s">
        <v>784</v>
      </c>
      <c r="M495" s="24" t="s">
        <v>2513</v>
      </c>
      <c r="N495" s="24">
        <v>1</v>
      </c>
      <c r="O495" s="24" t="s">
        <v>2514</v>
      </c>
      <c r="P495" s="24" t="s">
        <v>488</v>
      </c>
    </row>
    <row r="496" spans="1:16">
      <c r="A496" s="172">
        <v>2104000000331</v>
      </c>
      <c r="B496" s="24" t="s">
        <v>2515</v>
      </c>
      <c r="C496" s="172">
        <v>2200000000010</v>
      </c>
      <c r="D496" s="24" t="s">
        <v>331</v>
      </c>
      <c r="E496" s="24" t="b">
        <v>0</v>
      </c>
    </row>
    <row r="497" spans="1:16">
      <c r="H497" s="24">
        <v>1</v>
      </c>
      <c r="I497" s="24" t="s">
        <v>448</v>
      </c>
      <c r="J497" s="24" t="s">
        <v>269</v>
      </c>
      <c r="K497" s="24" t="s">
        <v>334</v>
      </c>
      <c r="L497" s="24" t="s">
        <v>784</v>
      </c>
      <c r="M497" s="24" t="s">
        <v>2516</v>
      </c>
      <c r="N497" s="24">
        <v>1</v>
      </c>
      <c r="O497" s="24" t="s">
        <v>2517</v>
      </c>
      <c r="P497" s="24" t="s">
        <v>488</v>
      </c>
    </row>
    <row r="498" spans="1:16">
      <c r="A498" s="172">
        <v>2104000000332</v>
      </c>
      <c r="B498" s="24" t="s">
        <v>2518</v>
      </c>
      <c r="C498" s="172">
        <v>2200000000010</v>
      </c>
      <c r="D498" s="24" t="s">
        <v>331</v>
      </c>
      <c r="E498" s="24" t="b">
        <v>0</v>
      </c>
    </row>
    <row r="499" spans="1:16">
      <c r="H499" s="24">
        <v>1</v>
      </c>
      <c r="I499" s="24" t="s">
        <v>448</v>
      </c>
      <c r="J499" s="24" t="s">
        <v>269</v>
      </c>
      <c r="K499" s="24" t="s">
        <v>334</v>
      </c>
      <c r="L499" s="24" t="s">
        <v>784</v>
      </c>
      <c r="M499" s="24" t="s">
        <v>2519</v>
      </c>
      <c r="N499" s="24">
        <v>1</v>
      </c>
      <c r="O499" s="24" t="s">
        <v>2520</v>
      </c>
      <c r="P499" s="24" t="s">
        <v>488</v>
      </c>
    </row>
    <row r="500" spans="1:16">
      <c r="A500" s="172">
        <v>2104000000333</v>
      </c>
      <c r="B500" s="24" t="s">
        <v>2521</v>
      </c>
      <c r="C500" s="172">
        <v>2200000000010</v>
      </c>
      <c r="D500" s="24" t="s">
        <v>331</v>
      </c>
      <c r="E500" s="24" t="b">
        <v>0</v>
      </c>
    </row>
    <row r="501" spans="1:16">
      <c r="H501" s="24">
        <v>1</v>
      </c>
      <c r="I501" s="24" t="s">
        <v>448</v>
      </c>
      <c r="J501" s="24" t="s">
        <v>269</v>
      </c>
      <c r="K501" s="24" t="s">
        <v>334</v>
      </c>
      <c r="L501" s="24" t="s">
        <v>784</v>
      </c>
      <c r="M501" s="24" t="s">
        <v>2522</v>
      </c>
      <c r="N501" s="24">
        <v>1</v>
      </c>
      <c r="O501" s="24" t="s">
        <v>2523</v>
      </c>
      <c r="P501" s="24" t="s">
        <v>488</v>
      </c>
    </row>
    <row r="502" spans="1:16">
      <c r="A502" s="172">
        <v>2104000000334</v>
      </c>
      <c r="B502" s="24" t="s">
        <v>2524</v>
      </c>
      <c r="C502" s="172">
        <v>2200000000010</v>
      </c>
      <c r="D502" s="24" t="s">
        <v>331</v>
      </c>
      <c r="E502" s="24" t="b">
        <v>0</v>
      </c>
    </row>
    <row r="503" spans="1:16">
      <c r="H503" s="24">
        <v>1</v>
      </c>
      <c r="I503" s="24" t="s">
        <v>448</v>
      </c>
      <c r="J503" s="24" t="s">
        <v>269</v>
      </c>
      <c r="K503" s="24" t="s">
        <v>334</v>
      </c>
      <c r="L503" s="24" t="s">
        <v>784</v>
      </c>
      <c r="M503" s="24" t="s">
        <v>2525</v>
      </c>
      <c r="N503" s="24">
        <v>1</v>
      </c>
      <c r="O503" s="24" t="s">
        <v>2526</v>
      </c>
      <c r="P503" s="24" t="s">
        <v>488</v>
      </c>
    </row>
    <row r="504" spans="1:16">
      <c r="A504" s="172">
        <v>2104000000335</v>
      </c>
      <c r="B504" s="24" t="s">
        <v>2527</v>
      </c>
      <c r="C504" s="172">
        <v>2200000000010</v>
      </c>
      <c r="D504" s="24" t="s">
        <v>331</v>
      </c>
      <c r="E504" s="24" t="b">
        <v>0</v>
      </c>
    </row>
    <row r="505" spans="1:16">
      <c r="H505" s="24">
        <v>1</v>
      </c>
      <c r="I505" s="24" t="s">
        <v>448</v>
      </c>
      <c r="J505" s="24" t="s">
        <v>269</v>
      </c>
      <c r="K505" s="24" t="s">
        <v>334</v>
      </c>
      <c r="L505" s="24" t="s">
        <v>784</v>
      </c>
      <c r="M505" s="24" t="s">
        <v>2528</v>
      </c>
      <c r="N505" s="24">
        <v>1</v>
      </c>
      <c r="O505" s="24" t="s">
        <v>2529</v>
      </c>
      <c r="P505" s="24" t="s">
        <v>488</v>
      </c>
    </row>
    <row r="506" spans="1:16">
      <c r="A506" s="172">
        <v>2104000000336</v>
      </c>
      <c r="B506" s="24" t="s">
        <v>2530</v>
      </c>
      <c r="C506" s="172">
        <v>2200000000010</v>
      </c>
      <c r="D506" s="24" t="s">
        <v>331</v>
      </c>
      <c r="E506" s="24" t="b">
        <v>0</v>
      </c>
    </row>
    <row r="507" spans="1:16">
      <c r="H507" s="24">
        <v>1</v>
      </c>
      <c r="I507" s="24" t="s">
        <v>448</v>
      </c>
      <c r="J507" s="24" t="s">
        <v>269</v>
      </c>
      <c r="K507" s="24" t="s">
        <v>334</v>
      </c>
      <c r="L507" s="24" t="s">
        <v>784</v>
      </c>
      <c r="M507" s="24" t="s">
        <v>2531</v>
      </c>
      <c r="N507" s="24">
        <v>1</v>
      </c>
      <c r="O507" s="24" t="s">
        <v>2532</v>
      </c>
      <c r="P507" s="24" t="s">
        <v>488</v>
      </c>
    </row>
    <row r="508" spans="1:16">
      <c r="A508" s="172">
        <v>2104000000337</v>
      </c>
      <c r="B508" s="24" t="s">
        <v>2533</v>
      </c>
      <c r="C508" s="172">
        <v>2200000000010</v>
      </c>
      <c r="D508" s="24" t="s">
        <v>331</v>
      </c>
      <c r="E508" s="24" t="b">
        <v>0</v>
      </c>
    </row>
    <row r="509" spans="1:16">
      <c r="H509" s="24">
        <v>1</v>
      </c>
      <c r="I509" s="24" t="s">
        <v>448</v>
      </c>
      <c r="J509" s="24" t="s">
        <v>269</v>
      </c>
      <c r="K509" s="24" t="s">
        <v>334</v>
      </c>
      <c r="L509" s="24" t="s">
        <v>784</v>
      </c>
      <c r="M509" s="24" t="s">
        <v>2534</v>
      </c>
      <c r="N509" s="24">
        <v>1</v>
      </c>
      <c r="O509" s="24" t="s">
        <v>2535</v>
      </c>
      <c r="P509" s="24" t="s">
        <v>488</v>
      </c>
    </row>
    <row r="510" spans="1:16">
      <c r="A510" s="172">
        <v>2104000000338</v>
      </c>
      <c r="B510" s="24" t="s">
        <v>2536</v>
      </c>
      <c r="C510" s="172">
        <v>2200000000010</v>
      </c>
      <c r="D510" s="24" t="s">
        <v>331</v>
      </c>
      <c r="E510" s="24" t="b">
        <v>0</v>
      </c>
    </row>
    <row r="511" spans="1:16">
      <c r="H511" s="24">
        <v>1</v>
      </c>
      <c r="I511" s="24" t="s">
        <v>448</v>
      </c>
      <c r="J511" s="24" t="s">
        <v>269</v>
      </c>
      <c r="K511" s="24" t="s">
        <v>334</v>
      </c>
      <c r="L511" s="24" t="s">
        <v>784</v>
      </c>
      <c r="M511" s="24" t="s">
        <v>2537</v>
      </c>
      <c r="N511" s="24">
        <v>1</v>
      </c>
      <c r="O511" s="24" t="s">
        <v>2538</v>
      </c>
      <c r="P511" s="24" t="s">
        <v>488</v>
      </c>
    </row>
    <row r="512" spans="1:16">
      <c r="A512" s="172">
        <v>2104000000339</v>
      </c>
      <c r="B512" s="24" t="s">
        <v>2539</v>
      </c>
      <c r="C512" s="172">
        <v>2200000000010</v>
      </c>
      <c r="D512" s="24" t="s">
        <v>331</v>
      </c>
      <c r="E512" s="24" t="b">
        <v>0</v>
      </c>
    </row>
    <row r="513" spans="1:16">
      <c r="H513" s="24">
        <v>1</v>
      </c>
      <c r="I513" s="24" t="s">
        <v>448</v>
      </c>
      <c r="J513" s="24" t="s">
        <v>269</v>
      </c>
      <c r="K513" s="24" t="s">
        <v>334</v>
      </c>
      <c r="L513" s="24" t="s">
        <v>784</v>
      </c>
      <c r="M513" s="24" t="s">
        <v>2540</v>
      </c>
      <c r="N513" s="24">
        <v>1</v>
      </c>
      <c r="O513" s="24" t="s">
        <v>2541</v>
      </c>
      <c r="P513" s="24" t="s">
        <v>488</v>
      </c>
    </row>
    <row r="514" spans="1:16">
      <c r="A514" s="172">
        <v>2104000000340</v>
      </c>
      <c r="B514" s="24" t="s">
        <v>2542</v>
      </c>
      <c r="C514" s="172">
        <v>2200000000010</v>
      </c>
      <c r="D514" s="24" t="s">
        <v>331</v>
      </c>
      <c r="E514" s="24" t="b">
        <v>0</v>
      </c>
    </row>
    <row r="515" spans="1:16">
      <c r="H515" s="24">
        <v>1</v>
      </c>
      <c r="I515" s="24" t="s">
        <v>448</v>
      </c>
      <c r="J515" s="24" t="s">
        <v>269</v>
      </c>
      <c r="K515" s="24" t="s">
        <v>334</v>
      </c>
      <c r="L515" s="24" t="s">
        <v>784</v>
      </c>
      <c r="M515" s="24" t="s">
        <v>2543</v>
      </c>
      <c r="N515" s="24">
        <v>1</v>
      </c>
      <c r="O515" s="24" t="s">
        <v>2544</v>
      </c>
      <c r="P515" s="24" t="s">
        <v>488</v>
      </c>
    </row>
    <row r="516" spans="1:16">
      <c r="A516" s="172">
        <v>2104000000341</v>
      </c>
      <c r="B516" s="24" t="s">
        <v>2545</v>
      </c>
      <c r="C516" s="172">
        <v>2200000000010</v>
      </c>
      <c r="D516" s="24" t="s">
        <v>331</v>
      </c>
      <c r="E516" s="24" t="b">
        <v>0</v>
      </c>
    </row>
    <row r="517" spans="1:16">
      <c r="H517" s="24">
        <v>1</v>
      </c>
      <c r="I517" s="24" t="s">
        <v>448</v>
      </c>
      <c r="J517" s="24" t="s">
        <v>269</v>
      </c>
      <c r="K517" s="24" t="s">
        <v>334</v>
      </c>
      <c r="L517" s="24" t="s">
        <v>784</v>
      </c>
      <c r="M517" s="24" t="s">
        <v>2546</v>
      </c>
      <c r="N517" s="24">
        <v>1</v>
      </c>
      <c r="O517" s="24" t="s">
        <v>2547</v>
      </c>
      <c r="P517" s="24" t="s">
        <v>488</v>
      </c>
    </row>
    <row r="518" spans="1:16">
      <c r="A518" s="172">
        <v>2104000000342</v>
      </c>
      <c r="B518" s="24" t="s">
        <v>2548</v>
      </c>
      <c r="C518" s="172">
        <v>2200000000010</v>
      </c>
      <c r="D518" s="24" t="s">
        <v>331</v>
      </c>
      <c r="E518" s="24" t="b">
        <v>0</v>
      </c>
    </row>
    <row r="519" spans="1:16">
      <c r="H519" s="24">
        <v>1</v>
      </c>
      <c r="I519" s="24" t="s">
        <v>448</v>
      </c>
      <c r="J519" s="24" t="s">
        <v>269</v>
      </c>
      <c r="K519" s="24" t="s">
        <v>334</v>
      </c>
      <c r="L519" s="24" t="s">
        <v>784</v>
      </c>
      <c r="M519" s="24" t="s">
        <v>2549</v>
      </c>
      <c r="N519" s="24">
        <v>1</v>
      </c>
      <c r="O519" s="24" t="s">
        <v>2550</v>
      </c>
      <c r="P519" s="24" t="s">
        <v>488</v>
      </c>
    </row>
    <row r="520" spans="1:16">
      <c r="A520" s="172">
        <v>2104000000343</v>
      </c>
      <c r="B520" s="24" t="s">
        <v>2551</v>
      </c>
      <c r="C520" s="172">
        <v>2200000000010</v>
      </c>
      <c r="D520" s="24" t="s">
        <v>331</v>
      </c>
      <c r="E520" s="24" t="b">
        <v>0</v>
      </c>
    </row>
    <row r="521" spans="1:16">
      <c r="H521" s="24">
        <v>1</v>
      </c>
      <c r="I521" s="24" t="s">
        <v>448</v>
      </c>
      <c r="J521" s="24" t="s">
        <v>269</v>
      </c>
      <c r="K521" s="24" t="s">
        <v>334</v>
      </c>
      <c r="L521" s="24" t="s">
        <v>784</v>
      </c>
      <c r="M521" s="24" t="s">
        <v>2552</v>
      </c>
      <c r="N521" s="24">
        <v>1</v>
      </c>
      <c r="O521" s="24" t="s">
        <v>2553</v>
      </c>
      <c r="P521" s="24" t="s">
        <v>488</v>
      </c>
    </row>
    <row r="522" spans="1:16">
      <c r="A522" s="172">
        <v>2104000000345</v>
      </c>
      <c r="B522" s="24" t="s">
        <v>2554</v>
      </c>
      <c r="C522" s="172">
        <v>2200000000010</v>
      </c>
      <c r="D522" s="24" t="s">
        <v>331</v>
      </c>
      <c r="E522" s="24" t="b">
        <v>0</v>
      </c>
    </row>
    <row r="523" spans="1:16">
      <c r="H523" s="24">
        <v>1</v>
      </c>
      <c r="I523" s="24" t="s">
        <v>448</v>
      </c>
      <c r="J523" s="24" t="s">
        <v>269</v>
      </c>
      <c r="K523" s="24" t="s">
        <v>334</v>
      </c>
      <c r="L523" s="24" t="s">
        <v>784</v>
      </c>
      <c r="M523" s="24" t="s">
        <v>2555</v>
      </c>
      <c r="N523" s="24">
        <v>1</v>
      </c>
      <c r="O523" s="24" t="s">
        <v>2556</v>
      </c>
      <c r="P523" s="24" t="s">
        <v>488</v>
      </c>
    </row>
    <row r="524" spans="1:16">
      <c r="A524" s="172">
        <v>2104000000346</v>
      </c>
      <c r="B524" s="24" t="s">
        <v>2557</v>
      </c>
      <c r="C524" s="172">
        <v>2200000000010</v>
      </c>
      <c r="D524" s="24" t="s">
        <v>331</v>
      </c>
      <c r="E524" s="24" t="b">
        <v>0</v>
      </c>
    </row>
    <row r="525" spans="1:16">
      <c r="H525" s="24">
        <v>1</v>
      </c>
      <c r="I525" s="24" t="s">
        <v>448</v>
      </c>
      <c r="J525" s="24" t="s">
        <v>269</v>
      </c>
      <c r="K525" s="24" t="s">
        <v>334</v>
      </c>
      <c r="L525" s="24" t="s">
        <v>784</v>
      </c>
      <c r="M525" s="24" t="s">
        <v>2558</v>
      </c>
      <c r="N525" s="24">
        <v>1</v>
      </c>
      <c r="O525" s="24" t="s">
        <v>2559</v>
      </c>
      <c r="P525" s="24" t="s">
        <v>488</v>
      </c>
    </row>
    <row r="526" spans="1:16">
      <c r="A526" s="172">
        <v>2104000000347</v>
      </c>
      <c r="B526" s="24" t="s">
        <v>2560</v>
      </c>
      <c r="C526" s="172">
        <v>2200000000010</v>
      </c>
      <c r="D526" s="24" t="s">
        <v>331</v>
      </c>
      <c r="E526" s="24" t="b">
        <v>0</v>
      </c>
    </row>
    <row r="527" spans="1:16">
      <c r="H527" s="24">
        <v>1</v>
      </c>
      <c r="I527" s="24" t="s">
        <v>448</v>
      </c>
      <c r="J527" s="24" t="s">
        <v>269</v>
      </c>
      <c r="K527" s="24" t="s">
        <v>334</v>
      </c>
      <c r="L527" s="24" t="s">
        <v>784</v>
      </c>
      <c r="M527" s="24" t="s">
        <v>2561</v>
      </c>
      <c r="N527" s="24">
        <v>1</v>
      </c>
      <c r="O527" s="24" t="s">
        <v>3480</v>
      </c>
      <c r="P527" s="24" t="s">
        <v>488</v>
      </c>
    </row>
    <row r="528" spans="1:16">
      <c r="A528" s="172">
        <v>2104000000349</v>
      </c>
      <c r="B528" s="24" t="s">
        <v>2721</v>
      </c>
      <c r="C528" s="172">
        <v>2200000000010</v>
      </c>
      <c r="D528" s="24" t="s">
        <v>331</v>
      </c>
      <c r="E528" s="24" t="b">
        <v>0</v>
      </c>
    </row>
    <row r="529" spans="1:16">
      <c r="H529" s="24">
        <v>1</v>
      </c>
      <c r="I529" s="24" t="s">
        <v>448</v>
      </c>
      <c r="J529" s="24" t="s">
        <v>269</v>
      </c>
      <c r="K529" s="24" t="s">
        <v>334</v>
      </c>
      <c r="L529" s="265" t="s">
        <v>3465</v>
      </c>
      <c r="M529" s="24" t="s">
        <v>2643</v>
      </c>
      <c r="N529" s="24">
        <v>4</v>
      </c>
      <c r="O529" s="24" t="s">
        <v>3481</v>
      </c>
      <c r="P529" s="24" t="s">
        <v>488</v>
      </c>
    </row>
    <row r="530" spans="1:16">
      <c r="A530" s="172">
        <v>2104000000350</v>
      </c>
      <c r="B530" s="24" t="s">
        <v>2722</v>
      </c>
      <c r="C530" s="172">
        <v>2200000000010</v>
      </c>
      <c r="D530" s="24" t="s">
        <v>331</v>
      </c>
      <c r="E530" s="24" t="b">
        <v>0</v>
      </c>
    </row>
    <row r="531" spans="1:16">
      <c r="H531" s="24">
        <v>1</v>
      </c>
      <c r="I531" s="24" t="s">
        <v>448</v>
      </c>
      <c r="J531" s="24" t="s">
        <v>269</v>
      </c>
      <c r="K531" s="24" t="s">
        <v>334</v>
      </c>
      <c r="L531" s="265" t="s">
        <v>777</v>
      </c>
      <c r="M531" s="24" t="s">
        <v>3466</v>
      </c>
      <c r="N531" s="24">
        <v>4</v>
      </c>
      <c r="O531" s="24" t="s">
        <v>3482</v>
      </c>
      <c r="P531" s="24" t="s">
        <v>488</v>
      </c>
    </row>
    <row r="532" spans="1:16">
      <c r="A532" s="172">
        <v>2104000000351</v>
      </c>
      <c r="B532" s="24" t="s">
        <v>2723</v>
      </c>
      <c r="C532" s="172">
        <v>2200000000010</v>
      </c>
      <c r="D532" s="24" t="s">
        <v>331</v>
      </c>
      <c r="E532" s="24" t="b">
        <v>0</v>
      </c>
    </row>
    <row r="533" spans="1:16">
      <c r="H533" s="24">
        <v>1</v>
      </c>
      <c r="I533" s="24" t="s">
        <v>448</v>
      </c>
      <c r="J533" s="24" t="s">
        <v>269</v>
      </c>
      <c r="K533" s="24" t="s">
        <v>334</v>
      </c>
      <c r="L533" s="265" t="s">
        <v>3465</v>
      </c>
      <c r="M533" s="24" t="s">
        <v>2643</v>
      </c>
      <c r="N533" s="24">
        <v>4</v>
      </c>
      <c r="O533" s="24" t="s">
        <v>2889</v>
      </c>
      <c r="P533" s="24" t="s">
        <v>488</v>
      </c>
    </row>
    <row r="534" spans="1:16">
      <c r="A534" s="172">
        <v>2104000000352</v>
      </c>
      <c r="B534" s="24" t="s">
        <v>2724</v>
      </c>
      <c r="C534" s="172">
        <v>2200000000010</v>
      </c>
      <c r="D534" s="24" t="s">
        <v>331</v>
      </c>
      <c r="E534" s="24" t="b">
        <v>0</v>
      </c>
    </row>
    <row r="535" spans="1:16">
      <c r="H535" s="24">
        <v>1</v>
      </c>
      <c r="I535" s="24" t="s">
        <v>448</v>
      </c>
      <c r="J535" s="24" t="s">
        <v>269</v>
      </c>
      <c r="K535" s="24" t="s">
        <v>334</v>
      </c>
      <c r="L535" s="265" t="s">
        <v>3483</v>
      </c>
      <c r="M535" s="24" t="s">
        <v>3466</v>
      </c>
      <c r="N535" s="24">
        <v>4</v>
      </c>
      <c r="O535" s="24" t="s">
        <v>2890</v>
      </c>
      <c r="P535" s="24" t="s">
        <v>488</v>
      </c>
    </row>
    <row r="536" spans="1:16">
      <c r="A536" s="172">
        <v>2104000000353</v>
      </c>
      <c r="B536" s="24" t="s">
        <v>2725</v>
      </c>
      <c r="C536" s="172">
        <v>2200000000010</v>
      </c>
      <c r="D536" s="24" t="s">
        <v>331</v>
      </c>
      <c r="E536" s="24" t="b">
        <v>0</v>
      </c>
    </row>
    <row r="537" spans="1:16">
      <c r="H537" s="24">
        <v>1</v>
      </c>
      <c r="I537" s="24" t="s">
        <v>448</v>
      </c>
      <c r="J537" s="24" t="s">
        <v>269</v>
      </c>
      <c r="K537" s="24" t="s">
        <v>334</v>
      </c>
      <c r="L537" s="265" t="s">
        <v>777</v>
      </c>
      <c r="M537" s="24" t="s">
        <v>3466</v>
      </c>
      <c r="N537" s="24">
        <v>4</v>
      </c>
      <c r="O537" s="24" t="s">
        <v>2891</v>
      </c>
      <c r="P537" s="24" t="s">
        <v>488</v>
      </c>
    </row>
    <row r="538" spans="1:16">
      <c r="A538" s="172">
        <v>2104000000354</v>
      </c>
      <c r="B538" s="24" t="s">
        <v>2726</v>
      </c>
      <c r="C538" s="172">
        <v>2200000000010</v>
      </c>
      <c r="D538" s="24" t="s">
        <v>331</v>
      </c>
      <c r="E538" s="24" t="b">
        <v>0</v>
      </c>
    </row>
    <row r="539" spans="1:16">
      <c r="H539" s="24">
        <v>1</v>
      </c>
      <c r="I539" s="24" t="s">
        <v>448</v>
      </c>
      <c r="J539" s="24" t="s">
        <v>269</v>
      </c>
      <c r="K539" s="24" t="s">
        <v>334</v>
      </c>
      <c r="L539" s="265" t="s">
        <v>777</v>
      </c>
      <c r="M539" s="24" t="s">
        <v>3466</v>
      </c>
      <c r="N539" s="24">
        <v>4</v>
      </c>
      <c r="O539" s="24" t="s">
        <v>2892</v>
      </c>
      <c r="P539" s="24" t="s">
        <v>488</v>
      </c>
    </row>
    <row r="540" spans="1:16">
      <c r="A540" s="172">
        <v>2104000000355</v>
      </c>
      <c r="B540" s="24" t="s">
        <v>2727</v>
      </c>
      <c r="C540" s="172">
        <v>2200000000010</v>
      </c>
      <c r="D540" s="24" t="s">
        <v>331</v>
      </c>
      <c r="E540" s="24" t="b">
        <v>0</v>
      </c>
    </row>
    <row r="541" spans="1:16">
      <c r="H541" s="24">
        <v>1</v>
      </c>
      <c r="I541" s="24" t="s">
        <v>448</v>
      </c>
      <c r="J541" s="24" t="s">
        <v>269</v>
      </c>
      <c r="K541" s="24" t="s">
        <v>334</v>
      </c>
      <c r="L541" s="265" t="s">
        <v>3465</v>
      </c>
      <c r="M541" s="24" t="s">
        <v>3466</v>
      </c>
      <c r="N541" s="24">
        <v>4</v>
      </c>
      <c r="O541" s="24" t="s">
        <v>2893</v>
      </c>
      <c r="P541" s="24" t="s">
        <v>488</v>
      </c>
    </row>
    <row r="542" spans="1:16">
      <c r="A542" s="172">
        <v>2104000000356</v>
      </c>
      <c r="B542" s="24" t="s">
        <v>2728</v>
      </c>
      <c r="C542" s="172">
        <v>2200000000010</v>
      </c>
      <c r="D542" s="24" t="s">
        <v>331</v>
      </c>
      <c r="E542" s="24" t="b">
        <v>0</v>
      </c>
    </row>
    <row r="543" spans="1:16">
      <c r="H543" s="24">
        <v>1</v>
      </c>
      <c r="I543" s="24" t="s">
        <v>448</v>
      </c>
      <c r="J543" s="24" t="s">
        <v>269</v>
      </c>
      <c r="K543" s="24" t="s">
        <v>334</v>
      </c>
      <c r="L543" s="265" t="s">
        <v>3465</v>
      </c>
      <c r="M543" s="24" t="s">
        <v>3484</v>
      </c>
      <c r="N543" s="24">
        <v>4</v>
      </c>
      <c r="O543" s="24" t="s">
        <v>2894</v>
      </c>
      <c r="P543" s="24" t="s">
        <v>488</v>
      </c>
    </row>
    <row r="544" spans="1:16">
      <c r="A544" s="172">
        <v>2104000000357</v>
      </c>
      <c r="B544" s="24" t="s">
        <v>2874</v>
      </c>
      <c r="C544" s="172">
        <v>2200000000010</v>
      </c>
      <c r="D544" s="24" t="s">
        <v>331</v>
      </c>
      <c r="E544" s="24" t="b">
        <v>0</v>
      </c>
    </row>
    <row r="545" spans="1:16">
      <c r="H545" s="24">
        <v>1</v>
      </c>
      <c r="I545" s="24" t="s">
        <v>448</v>
      </c>
      <c r="J545" s="24" t="s">
        <v>269</v>
      </c>
      <c r="K545" s="24" t="s">
        <v>334</v>
      </c>
      <c r="L545" s="24" t="s">
        <v>3465</v>
      </c>
      <c r="M545" s="110" t="s">
        <v>3437</v>
      </c>
      <c r="N545" s="24">
        <v>1</v>
      </c>
      <c r="O545" s="24" t="s">
        <v>2895</v>
      </c>
      <c r="P545" s="24" t="s">
        <v>488</v>
      </c>
    </row>
    <row r="546" spans="1:16">
      <c r="A546" s="172">
        <v>2104000000358</v>
      </c>
      <c r="B546" s="24" t="s">
        <v>3485</v>
      </c>
      <c r="C546" s="172">
        <v>2200000000010</v>
      </c>
      <c r="D546" s="24" t="s">
        <v>331</v>
      </c>
      <c r="E546" s="24" t="b">
        <v>0</v>
      </c>
    </row>
    <row r="547" spans="1:16">
      <c r="H547" s="24">
        <v>1</v>
      </c>
      <c r="I547" s="24" t="s">
        <v>448</v>
      </c>
      <c r="J547" s="24" t="s">
        <v>269</v>
      </c>
      <c r="K547" s="24" t="s">
        <v>334</v>
      </c>
      <c r="L547" s="24" t="s">
        <v>777</v>
      </c>
      <c r="M547" s="110" t="s">
        <v>3438</v>
      </c>
      <c r="N547" s="24">
        <v>1</v>
      </c>
      <c r="O547" s="24" t="s">
        <v>2896</v>
      </c>
      <c r="P547" s="24" t="s">
        <v>488</v>
      </c>
    </row>
    <row r="548" spans="1:16">
      <c r="A548" s="172">
        <v>2104000000359</v>
      </c>
      <c r="B548" s="24" t="s">
        <v>2875</v>
      </c>
      <c r="C548" s="172">
        <v>2200000000010</v>
      </c>
      <c r="D548" s="24" t="s">
        <v>331</v>
      </c>
      <c r="E548" s="24" t="b">
        <v>0</v>
      </c>
    </row>
    <row r="549" spans="1:16">
      <c r="H549" s="24">
        <v>1</v>
      </c>
      <c r="I549" s="24" t="s">
        <v>448</v>
      </c>
      <c r="J549" s="24" t="s">
        <v>269</v>
      </c>
      <c r="K549" s="24" t="s">
        <v>334</v>
      </c>
      <c r="L549" s="24" t="s">
        <v>777</v>
      </c>
      <c r="M549" s="110" t="s">
        <v>2918</v>
      </c>
      <c r="N549" s="24">
        <v>1</v>
      </c>
      <c r="O549" s="24" t="s">
        <v>2897</v>
      </c>
      <c r="P549" s="24" t="s">
        <v>488</v>
      </c>
    </row>
    <row r="550" spans="1:16">
      <c r="A550" s="172">
        <v>2104000000360</v>
      </c>
      <c r="B550" s="24" t="s">
        <v>2876</v>
      </c>
      <c r="C550" s="172">
        <v>2200000000010</v>
      </c>
      <c r="D550" s="24" t="s">
        <v>331</v>
      </c>
      <c r="E550" s="24" t="b">
        <v>0</v>
      </c>
    </row>
    <row r="551" spans="1:16">
      <c r="H551" s="24">
        <v>1</v>
      </c>
      <c r="I551" s="24" t="s">
        <v>448</v>
      </c>
      <c r="J551" s="24" t="s">
        <v>269</v>
      </c>
      <c r="K551" s="24" t="s">
        <v>334</v>
      </c>
      <c r="L551" s="24" t="s">
        <v>3465</v>
      </c>
      <c r="M551" s="110" t="s">
        <v>3486</v>
      </c>
      <c r="N551" s="24">
        <v>1</v>
      </c>
      <c r="O551" s="24" t="s">
        <v>2898</v>
      </c>
      <c r="P551" s="24" t="s">
        <v>488</v>
      </c>
    </row>
    <row r="552" spans="1:16">
      <c r="A552" s="172">
        <v>2104000000361</v>
      </c>
      <c r="B552" s="24" t="s">
        <v>2877</v>
      </c>
      <c r="C552" s="172">
        <v>2200000000010</v>
      </c>
      <c r="D552" s="24" t="s">
        <v>331</v>
      </c>
      <c r="E552" s="24" t="b">
        <v>0</v>
      </c>
    </row>
    <row r="553" spans="1:16">
      <c r="H553" s="24">
        <v>1</v>
      </c>
      <c r="I553" s="24" t="s">
        <v>448</v>
      </c>
      <c r="J553" s="24" t="s">
        <v>269</v>
      </c>
      <c r="K553" s="24" t="s">
        <v>334</v>
      </c>
      <c r="L553" s="24" t="s">
        <v>3465</v>
      </c>
      <c r="M553" s="110" t="s">
        <v>3487</v>
      </c>
      <c r="N553" s="24">
        <v>1</v>
      </c>
      <c r="O553" s="24" t="s">
        <v>2899</v>
      </c>
      <c r="P553" s="24" t="s">
        <v>488</v>
      </c>
    </row>
    <row r="554" spans="1:16">
      <c r="A554" s="172">
        <v>2104000000362</v>
      </c>
      <c r="B554" s="24" t="s">
        <v>2878</v>
      </c>
      <c r="C554" s="172">
        <v>2200000000010</v>
      </c>
      <c r="D554" s="24" t="s">
        <v>331</v>
      </c>
      <c r="E554" s="24" t="b">
        <v>0</v>
      </c>
    </row>
    <row r="555" spans="1:16">
      <c r="H555" s="24">
        <v>1</v>
      </c>
      <c r="I555" s="24" t="s">
        <v>448</v>
      </c>
      <c r="J555" s="24" t="s">
        <v>269</v>
      </c>
      <c r="K555" s="24" t="s">
        <v>334</v>
      </c>
      <c r="L555" s="24" t="s">
        <v>3483</v>
      </c>
      <c r="M555" s="110" t="s">
        <v>3439</v>
      </c>
      <c r="N555" s="24">
        <v>1</v>
      </c>
      <c r="O555" s="24" t="s">
        <v>2900</v>
      </c>
      <c r="P555" s="24" t="s">
        <v>488</v>
      </c>
    </row>
    <row r="556" spans="1:16">
      <c r="A556" s="172">
        <v>2104000000363</v>
      </c>
      <c r="B556" s="24" t="s">
        <v>2879</v>
      </c>
      <c r="C556" s="172">
        <v>2200000000010</v>
      </c>
      <c r="D556" s="24" t="s">
        <v>331</v>
      </c>
      <c r="E556" s="24" t="b">
        <v>0</v>
      </c>
    </row>
    <row r="557" spans="1:16">
      <c r="H557" s="24">
        <v>1</v>
      </c>
      <c r="I557" s="24" t="s">
        <v>448</v>
      </c>
      <c r="J557" s="24" t="s">
        <v>269</v>
      </c>
      <c r="K557" s="24" t="s">
        <v>334</v>
      </c>
      <c r="L557" s="24" t="s">
        <v>777</v>
      </c>
      <c r="M557" s="110" t="s">
        <v>3440</v>
      </c>
      <c r="N557" s="24">
        <v>1</v>
      </c>
      <c r="O557" s="24" t="s">
        <v>2901</v>
      </c>
      <c r="P557" s="24" t="s">
        <v>488</v>
      </c>
    </row>
    <row r="558" spans="1:16">
      <c r="A558" s="172">
        <v>2104000000364</v>
      </c>
      <c r="B558" s="24" t="s">
        <v>2880</v>
      </c>
      <c r="C558" s="172">
        <v>2200000000010</v>
      </c>
      <c r="D558" s="24" t="s">
        <v>331</v>
      </c>
      <c r="E558" s="24" t="b">
        <v>0</v>
      </c>
    </row>
    <row r="559" spans="1:16">
      <c r="H559" s="24">
        <v>1</v>
      </c>
      <c r="I559" s="24" t="s">
        <v>448</v>
      </c>
      <c r="J559" s="24" t="s">
        <v>269</v>
      </c>
      <c r="K559" s="24" t="s">
        <v>334</v>
      </c>
      <c r="L559" s="24" t="s">
        <v>777</v>
      </c>
      <c r="M559" s="110" t="s">
        <v>3441</v>
      </c>
      <c r="N559" s="24">
        <v>1</v>
      </c>
      <c r="O559" s="24" t="s">
        <v>2902</v>
      </c>
      <c r="P559" s="24" t="s">
        <v>488</v>
      </c>
    </row>
    <row r="560" spans="1:16">
      <c r="A560" s="172">
        <v>2104000000365</v>
      </c>
      <c r="B560" s="24" t="s">
        <v>2881</v>
      </c>
      <c r="C560" s="172">
        <v>2200000000010</v>
      </c>
      <c r="D560" s="24" t="s">
        <v>331</v>
      </c>
      <c r="E560" s="24" t="b">
        <v>0</v>
      </c>
    </row>
    <row r="561" spans="1:16">
      <c r="H561" s="24">
        <v>1</v>
      </c>
      <c r="I561" s="24" t="s">
        <v>448</v>
      </c>
      <c r="J561" s="24" t="s">
        <v>269</v>
      </c>
      <c r="K561" s="24" t="s">
        <v>334</v>
      </c>
      <c r="L561" s="24" t="s">
        <v>3483</v>
      </c>
      <c r="M561" s="110" t="s">
        <v>3488</v>
      </c>
      <c r="N561" s="24">
        <v>1</v>
      </c>
      <c r="O561" s="24" t="s">
        <v>2903</v>
      </c>
      <c r="P561" s="24" t="s">
        <v>488</v>
      </c>
    </row>
    <row r="562" spans="1:16">
      <c r="A562" s="172">
        <v>2104000000366</v>
      </c>
      <c r="B562" s="24" t="s">
        <v>2882</v>
      </c>
      <c r="C562" s="172">
        <v>2200000000010</v>
      </c>
      <c r="D562" s="24" t="s">
        <v>331</v>
      </c>
      <c r="E562" s="24" t="b">
        <v>0</v>
      </c>
    </row>
    <row r="563" spans="1:16">
      <c r="H563" s="24">
        <v>1</v>
      </c>
      <c r="I563" s="24" t="s">
        <v>448</v>
      </c>
      <c r="J563" s="24" t="s">
        <v>269</v>
      </c>
      <c r="K563" s="24" t="s">
        <v>334</v>
      </c>
      <c r="L563" s="24" t="s">
        <v>3465</v>
      </c>
      <c r="M563" s="110" t="s">
        <v>3489</v>
      </c>
      <c r="N563" s="24">
        <v>1</v>
      </c>
      <c r="O563" s="24" t="s">
        <v>2904</v>
      </c>
      <c r="P563" s="24" t="s">
        <v>488</v>
      </c>
    </row>
    <row r="564" spans="1:16">
      <c r="A564" s="172">
        <v>2104000000367</v>
      </c>
      <c r="B564" s="24" t="s">
        <v>2883</v>
      </c>
      <c r="C564" s="172">
        <v>2200000000010</v>
      </c>
      <c r="D564" s="24" t="s">
        <v>331</v>
      </c>
      <c r="E564" s="24" t="b">
        <v>0</v>
      </c>
    </row>
    <row r="565" spans="1:16">
      <c r="H565" s="24">
        <v>1</v>
      </c>
      <c r="I565" s="24" t="s">
        <v>448</v>
      </c>
      <c r="J565" s="24" t="s">
        <v>269</v>
      </c>
      <c r="K565" s="24" t="s">
        <v>334</v>
      </c>
      <c r="L565" s="24" t="s">
        <v>3465</v>
      </c>
      <c r="M565" s="110" t="s">
        <v>3490</v>
      </c>
      <c r="N565" s="24">
        <v>1</v>
      </c>
      <c r="O565" s="24" t="s">
        <v>2905</v>
      </c>
      <c r="P565" s="24" t="s">
        <v>488</v>
      </c>
    </row>
    <row r="566" spans="1:16">
      <c r="A566" s="172">
        <v>2104000000368</v>
      </c>
      <c r="B566" s="24" t="s">
        <v>2884</v>
      </c>
      <c r="C566" s="172">
        <v>2200000000010</v>
      </c>
      <c r="D566" s="24" t="s">
        <v>331</v>
      </c>
      <c r="E566" s="24" t="b">
        <v>0</v>
      </c>
    </row>
    <row r="567" spans="1:16">
      <c r="H567" s="24">
        <v>1</v>
      </c>
      <c r="I567" s="24" t="s">
        <v>448</v>
      </c>
      <c r="J567" s="24" t="s">
        <v>269</v>
      </c>
      <c r="K567" s="24" t="s">
        <v>334</v>
      </c>
      <c r="L567" s="24" t="s">
        <v>3465</v>
      </c>
      <c r="M567" s="110" t="s">
        <v>3491</v>
      </c>
      <c r="N567" s="24">
        <v>1</v>
      </c>
      <c r="O567" s="24" t="s">
        <v>2906</v>
      </c>
      <c r="P567" s="24" t="s">
        <v>488</v>
      </c>
    </row>
    <row r="568" spans="1:16">
      <c r="A568" s="172">
        <v>2104000000369</v>
      </c>
      <c r="B568" s="24" t="s">
        <v>2885</v>
      </c>
      <c r="C568" s="172">
        <v>2200000000010</v>
      </c>
      <c r="D568" s="24" t="s">
        <v>331</v>
      </c>
      <c r="E568" s="24" t="b">
        <v>0</v>
      </c>
    </row>
    <row r="569" spans="1:16">
      <c r="H569" s="24">
        <v>1</v>
      </c>
      <c r="I569" s="24" t="s">
        <v>448</v>
      </c>
      <c r="J569" s="24" t="s">
        <v>269</v>
      </c>
      <c r="K569" s="24" t="s">
        <v>334</v>
      </c>
      <c r="L569" s="24" t="s">
        <v>777</v>
      </c>
      <c r="M569" s="110" t="s">
        <v>3492</v>
      </c>
      <c r="N569" s="24">
        <v>1</v>
      </c>
      <c r="O569" s="24" t="s">
        <v>2907</v>
      </c>
      <c r="P569" s="24" t="s">
        <v>488</v>
      </c>
    </row>
    <row r="570" spans="1:16">
      <c r="A570" s="172">
        <v>2104000000370</v>
      </c>
      <c r="B570" s="24" t="s">
        <v>2886</v>
      </c>
      <c r="C570" s="172">
        <v>2200000000010</v>
      </c>
      <c r="D570" s="24" t="s">
        <v>331</v>
      </c>
      <c r="E570" s="24" t="b">
        <v>0</v>
      </c>
    </row>
    <row r="571" spans="1:16">
      <c r="H571" s="24">
        <v>1</v>
      </c>
      <c r="I571" s="24" t="s">
        <v>448</v>
      </c>
      <c r="J571" s="24" t="s">
        <v>269</v>
      </c>
      <c r="K571" s="24" t="s">
        <v>334</v>
      </c>
      <c r="L571" s="24" t="s">
        <v>3465</v>
      </c>
      <c r="M571" s="110" t="s">
        <v>3493</v>
      </c>
      <c r="N571" s="24">
        <v>1</v>
      </c>
      <c r="O571" s="24" t="s">
        <v>2908</v>
      </c>
      <c r="P571" s="24" t="s">
        <v>488</v>
      </c>
    </row>
    <row r="572" spans="1:16">
      <c r="A572" s="172">
        <v>2104000000371</v>
      </c>
      <c r="B572" s="24" t="s">
        <v>2887</v>
      </c>
      <c r="C572" s="172">
        <v>2200000000010</v>
      </c>
      <c r="D572" s="24" t="s">
        <v>331</v>
      </c>
      <c r="E572" s="24" t="b">
        <v>0</v>
      </c>
    </row>
    <row r="573" spans="1:16">
      <c r="H573" s="24">
        <v>1</v>
      </c>
      <c r="I573" s="24" t="s">
        <v>448</v>
      </c>
      <c r="J573" s="24" t="s">
        <v>269</v>
      </c>
      <c r="K573" s="24" t="s">
        <v>334</v>
      </c>
      <c r="L573" s="24" t="s">
        <v>777</v>
      </c>
      <c r="M573" s="110" t="s">
        <v>3494</v>
      </c>
      <c r="N573" s="24">
        <v>1</v>
      </c>
      <c r="O573" s="24" t="s">
        <v>2909</v>
      </c>
      <c r="P573" s="24" t="s">
        <v>488</v>
      </c>
    </row>
    <row r="574" spans="1:16">
      <c r="A574" s="172">
        <v>2104000000372</v>
      </c>
      <c r="B574" s="24" t="s">
        <v>2888</v>
      </c>
      <c r="C574" s="172">
        <v>2200000000010</v>
      </c>
      <c r="D574" s="24" t="s">
        <v>331</v>
      </c>
      <c r="E574" s="24" t="b">
        <v>0</v>
      </c>
    </row>
    <row r="575" spans="1:16">
      <c r="H575" s="24">
        <v>1</v>
      </c>
      <c r="I575" s="24" t="s">
        <v>448</v>
      </c>
      <c r="J575" s="24" t="s">
        <v>269</v>
      </c>
      <c r="K575" s="24" t="s">
        <v>334</v>
      </c>
      <c r="L575" s="24" t="s">
        <v>3483</v>
      </c>
      <c r="M575" s="110" t="s">
        <v>3442</v>
      </c>
      <c r="N575" s="24">
        <v>1</v>
      </c>
      <c r="O575" s="24" t="s">
        <v>3495</v>
      </c>
      <c r="P575" s="24" t="s">
        <v>488</v>
      </c>
    </row>
    <row r="576" spans="1:16">
      <c r="A576" s="172">
        <v>2104000000373</v>
      </c>
      <c r="B576" s="24" t="s">
        <v>3496</v>
      </c>
      <c r="C576" s="172">
        <v>2200000000010</v>
      </c>
      <c r="D576" s="24" t="s">
        <v>331</v>
      </c>
      <c r="E576" s="24" t="b">
        <v>0</v>
      </c>
    </row>
    <row r="577" spans="1:16" ht="27">
      <c r="H577" s="24">
        <v>1</v>
      </c>
      <c r="I577" s="24" t="s">
        <v>448</v>
      </c>
      <c r="J577" s="24" t="s">
        <v>269</v>
      </c>
      <c r="K577" s="24" t="s">
        <v>334</v>
      </c>
      <c r="L577" s="24" t="s">
        <v>377</v>
      </c>
      <c r="M577" s="110" t="s">
        <v>3449</v>
      </c>
      <c r="N577" s="24">
        <v>1</v>
      </c>
      <c r="O577" s="24" t="s">
        <v>3497</v>
      </c>
      <c r="P577" s="24" t="s">
        <v>488</v>
      </c>
    </row>
    <row r="578" spans="1:16">
      <c r="A578" s="172">
        <v>2104000000374</v>
      </c>
      <c r="B578" s="24" t="s">
        <v>2910</v>
      </c>
      <c r="C578" s="172">
        <v>2200000000010</v>
      </c>
      <c r="D578" s="24" t="s">
        <v>331</v>
      </c>
      <c r="E578" s="24" t="b">
        <v>0</v>
      </c>
    </row>
    <row r="579" spans="1:16">
      <c r="H579" s="24">
        <v>1</v>
      </c>
      <c r="I579" s="24" t="s">
        <v>448</v>
      </c>
      <c r="J579" s="24" t="s">
        <v>269</v>
      </c>
      <c r="K579" s="24" t="s">
        <v>334</v>
      </c>
      <c r="L579" s="24" t="s">
        <v>2085</v>
      </c>
      <c r="M579" s="110" t="s">
        <v>3498</v>
      </c>
      <c r="N579" s="24">
        <v>1</v>
      </c>
      <c r="O579" s="24" t="s">
        <v>3499</v>
      </c>
      <c r="P579" s="24" t="s">
        <v>488</v>
      </c>
    </row>
    <row r="580" spans="1:16">
      <c r="A580" s="172">
        <v>2104000000375</v>
      </c>
      <c r="B580" s="24" t="s">
        <v>3500</v>
      </c>
      <c r="C580" s="172">
        <v>2200000000010</v>
      </c>
      <c r="D580" s="24" t="s">
        <v>331</v>
      </c>
      <c r="E580" s="24" t="b">
        <v>0</v>
      </c>
    </row>
    <row r="581" spans="1:16">
      <c r="H581" s="24">
        <v>1</v>
      </c>
      <c r="I581" s="24" t="s">
        <v>448</v>
      </c>
      <c r="J581" s="24" t="s">
        <v>269</v>
      </c>
      <c r="K581" s="154" t="s">
        <v>334</v>
      </c>
      <c r="L581" s="154" t="s">
        <v>399</v>
      </c>
      <c r="M581" s="330"/>
      <c r="N581" s="154">
        <v>999</v>
      </c>
      <c r="O581" s="24" t="s">
        <v>3501</v>
      </c>
      <c r="P581" s="24" t="s">
        <v>488</v>
      </c>
    </row>
    <row r="582" spans="1:16">
      <c r="A582" s="172">
        <v>2104000000376</v>
      </c>
      <c r="B582" s="24" t="s">
        <v>2911</v>
      </c>
      <c r="C582" s="172">
        <v>2200000000010</v>
      </c>
      <c r="D582" s="24" t="s">
        <v>331</v>
      </c>
      <c r="E582" s="24" t="b">
        <v>0</v>
      </c>
    </row>
    <row r="583" spans="1:16">
      <c r="H583" s="24">
        <v>1</v>
      </c>
      <c r="I583" s="24" t="s">
        <v>448</v>
      </c>
      <c r="J583" s="24" t="s">
        <v>269</v>
      </c>
      <c r="K583" s="24" t="s">
        <v>334</v>
      </c>
      <c r="L583" s="24" t="s">
        <v>2085</v>
      </c>
      <c r="M583" s="110" t="s">
        <v>3502</v>
      </c>
      <c r="N583" s="24">
        <v>1</v>
      </c>
      <c r="O583" s="24" t="s">
        <v>3503</v>
      </c>
      <c r="P583" s="24" t="s">
        <v>488</v>
      </c>
    </row>
    <row r="584" spans="1:16">
      <c r="A584" s="172">
        <v>2104000000377</v>
      </c>
      <c r="B584" s="24" t="s">
        <v>1905</v>
      </c>
      <c r="C584" s="172">
        <v>2200000000010</v>
      </c>
      <c r="D584" s="24" t="s">
        <v>331</v>
      </c>
      <c r="E584" s="24" t="b">
        <v>0</v>
      </c>
    </row>
    <row r="585" spans="1:16">
      <c r="H585" s="24">
        <v>1</v>
      </c>
      <c r="I585" s="24" t="s">
        <v>448</v>
      </c>
      <c r="J585" s="24" t="s">
        <v>269</v>
      </c>
      <c r="K585" s="24" t="s">
        <v>334</v>
      </c>
      <c r="L585" s="265" t="s">
        <v>3430</v>
      </c>
      <c r="M585" s="24" t="s">
        <v>3504</v>
      </c>
      <c r="N585" s="24">
        <v>1</v>
      </c>
      <c r="O585" s="24" t="s">
        <v>3505</v>
      </c>
      <c r="P585" s="24" t="s">
        <v>488</v>
      </c>
    </row>
    <row r="586" spans="1:16">
      <c r="A586" s="172">
        <v>2104000000378</v>
      </c>
      <c r="B586" s="24" t="s">
        <v>2987</v>
      </c>
      <c r="C586" s="172">
        <v>2200000000010</v>
      </c>
      <c r="D586" s="24" t="s">
        <v>331</v>
      </c>
      <c r="E586" s="24" t="b">
        <v>0</v>
      </c>
    </row>
    <row r="587" spans="1:16">
      <c r="H587" s="24">
        <v>1</v>
      </c>
      <c r="I587" s="24" t="s">
        <v>448</v>
      </c>
      <c r="J587" s="24" t="s">
        <v>269</v>
      </c>
      <c r="K587" s="24" t="s">
        <v>677</v>
      </c>
      <c r="L587" s="24" t="s">
        <v>1763</v>
      </c>
      <c r="M587" s="24" t="s">
        <v>2988</v>
      </c>
      <c r="N587" s="24">
        <v>1</v>
      </c>
      <c r="O587" s="24" t="s">
        <v>2989</v>
      </c>
      <c r="P587" s="24" t="s">
        <v>488</v>
      </c>
    </row>
    <row r="588" spans="1:16">
      <c r="A588" s="172">
        <v>2104000000379</v>
      </c>
      <c r="B588" s="24" t="s">
        <v>2990</v>
      </c>
      <c r="C588" s="172">
        <v>2200000000010</v>
      </c>
      <c r="D588" s="24" t="s">
        <v>331</v>
      </c>
      <c r="E588" s="24" t="b">
        <v>0</v>
      </c>
    </row>
    <row r="589" spans="1:16">
      <c r="H589" s="24">
        <v>1</v>
      </c>
      <c r="I589" s="24" t="s">
        <v>448</v>
      </c>
      <c r="J589" s="24" t="s">
        <v>269</v>
      </c>
      <c r="K589" s="24" t="s">
        <v>677</v>
      </c>
      <c r="L589" s="24" t="s">
        <v>1763</v>
      </c>
      <c r="M589" s="24" t="s">
        <v>2991</v>
      </c>
      <c r="N589" s="24">
        <v>1</v>
      </c>
      <c r="O589" s="24" t="s">
        <v>2992</v>
      </c>
      <c r="P589" s="24" t="s">
        <v>488</v>
      </c>
    </row>
    <row r="590" spans="1:16">
      <c r="A590" s="172">
        <v>2104000000380</v>
      </c>
      <c r="B590" s="24" t="s">
        <v>2993</v>
      </c>
      <c r="C590" s="172">
        <v>2200000000010</v>
      </c>
      <c r="D590" s="24" t="s">
        <v>331</v>
      </c>
      <c r="E590" s="24" t="b">
        <v>0</v>
      </c>
    </row>
    <row r="591" spans="1:16">
      <c r="H591" s="24">
        <v>1</v>
      </c>
      <c r="I591" s="24" t="s">
        <v>448</v>
      </c>
      <c r="J591" s="24" t="s">
        <v>269</v>
      </c>
      <c r="K591" s="24" t="s">
        <v>677</v>
      </c>
      <c r="L591" s="24" t="s">
        <v>1763</v>
      </c>
      <c r="M591" s="24" t="s">
        <v>2994</v>
      </c>
      <c r="N591" s="24">
        <v>1</v>
      </c>
      <c r="O591" s="24" t="s">
        <v>2995</v>
      </c>
      <c r="P591" s="24" t="s">
        <v>488</v>
      </c>
    </row>
    <row r="592" spans="1:16">
      <c r="A592" s="172">
        <v>2104000000381</v>
      </c>
      <c r="B592" s="24" t="s">
        <v>2996</v>
      </c>
      <c r="C592" s="172">
        <v>2200000000010</v>
      </c>
      <c r="D592" s="24" t="s">
        <v>331</v>
      </c>
      <c r="E592" s="24" t="b">
        <v>0</v>
      </c>
    </row>
    <row r="593" spans="1:16">
      <c r="H593" s="24">
        <v>1</v>
      </c>
      <c r="I593" s="24" t="s">
        <v>448</v>
      </c>
      <c r="J593" s="24" t="s">
        <v>269</v>
      </c>
      <c r="K593" s="24" t="s">
        <v>677</v>
      </c>
      <c r="L593" s="24" t="s">
        <v>1763</v>
      </c>
      <c r="M593" s="24" t="s">
        <v>2997</v>
      </c>
      <c r="N593" s="24">
        <v>1</v>
      </c>
      <c r="O593" s="24" t="s">
        <v>2998</v>
      </c>
      <c r="P593" s="24" t="s">
        <v>488</v>
      </c>
    </row>
    <row r="594" spans="1:16">
      <c r="A594" s="172">
        <v>2104000000382</v>
      </c>
      <c r="B594" s="24" t="s">
        <v>2999</v>
      </c>
      <c r="C594" s="172">
        <v>2200000000010</v>
      </c>
      <c r="D594" s="24" t="s">
        <v>331</v>
      </c>
      <c r="E594" s="24" t="b">
        <v>0</v>
      </c>
    </row>
    <row r="595" spans="1:16">
      <c r="H595" s="24">
        <v>1</v>
      </c>
      <c r="I595" s="24" t="s">
        <v>448</v>
      </c>
      <c r="J595" s="24" t="s">
        <v>269</v>
      </c>
      <c r="K595" s="24" t="s">
        <v>677</v>
      </c>
      <c r="L595" s="24" t="s">
        <v>1763</v>
      </c>
      <c r="M595" s="24" t="s">
        <v>3000</v>
      </c>
      <c r="N595" s="24">
        <v>1</v>
      </c>
      <c r="O595" s="24" t="s">
        <v>3001</v>
      </c>
      <c r="P595" s="24" t="s">
        <v>488</v>
      </c>
    </row>
    <row r="596" spans="1:16">
      <c r="A596" s="172">
        <v>2104000000383</v>
      </c>
      <c r="B596" s="24" t="s">
        <v>3002</v>
      </c>
      <c r="C596" s="172">
        <v>2200000000010</v>
      </c>
      <c r="D596" s="24" t="s">
        <v>331</v>
      </c>
      <c r="E596" s="24" t="b">
        <v>0</v>
      </c>
    </row>
    <row r="597" spans="1:16">
      <c r="H597" s="24">
        <v>1</v>
      </c>
      <c r="I597" s="24" t="s">
        <v>448</v>
      </c>
      <c r="J597" s="24" t="s">
        <v>269</v>
      </c>
      <c r="K597" s="24" t="s">
        <v>677</v>
      </c>
      <c r="L597" s="24" t="s">
        <v>1763</v>
      </c>
      <c r="M597" s="24" t="s">
        <v>3003</v>
      </c>
      <c r="N597" s="24">
        <v>1</v>
      </c>
      <c r="O597" s="24" t="s">
        <v>3004</v>
      </c>
      <c r="P597" s="24" t="s">
        <v>488</v>
      </c>
    </row>
    <row r="598" spans="1:16">
      <c r="A598" s="172">
        <v>2104000000384</v>
      </c>
      <c r="B598" s="24" t="s">
        <v>3005</v>
      </c>
      <c r="C598" s="172">
        <v>2200000000010</v>
      </c>
      <c r="D598" s="24" t="s">
        <v>331</v>
      </c>
      <c r="E598" s="24" t="b">
        <v>0</v>
      </c>
    </row>
    <row r="599" spans="1:16">
      <c r="H599" s="24">
        <v>1</v>
      </c>
      <c r="I599" s="24" t="s">
        <v>448</v>
      </c>
      <c r="J599" s="24" t="s">
        <v>269</v>
      </c>
      <c r="K599" s="24" t="s">
        <v>677</v>
      </c>
      <c r="L599" s="24" t="s">
        <v>1763</v>
      </c>
      <c r="M599" s="24" t="s">
        <v>3006</v>
      </c>
      <c r="N599" s="24">
        <v>1</v>
      </c>
      <c r="O599" s="24" t="s">
        <v>3007</v>
      </c>
      <c r="P599" s="24" t="s">
        <v>488</v>
      </c>
    </row>
    <row r="600" spans="1:16">
      <c r="A600" s="172">
        <v>2104000000385</v>
      </c>
      <c r="B600" s="24" t="s">
        <v>3008</v>
      </c>
      <c r="C600" s="172">
        <v>2200000000010</v>
      </c>
      <c r="D600" s="24" t="s">
        <v>331</v>
      </c>
      <c r="E600" s="24" t="b">
        <v>0</v>
      </c>
    </row>
    <row r="601" spans="1:16">
      <c r="H601" s="24">
        <v>1</v>
      </c>
      <c r="I601" s="24" t="s">
        <v>448</v>
      </c>
      <c r="J601" s="24" t="s">
        <v>269</v>
      </c>
      <c r="K601" s="24" t="s">
        <v>677</v>
      </c>
      <c r="L601" s="24" t="s">
        <v>1763</v>
      </c>
      <c r="M601" s="24" t="s">
        <v>3009</v>
      </c>
      <c r="N601" s="24">
        <v>1</v>
      </c>
      <c r="O601" s="24" t="s">
        <v>3010</v>
      </c>
      <c r="P601" s="24" t="s">
        <v>488</v>
      </c>
    </row>
    <row r="602" spans="1:16">
      <c r="A602" s="172">
        <v>2104000000386</v>
      </c>
      <c r="B602" s="24" t="s">
        <v>3011</v>
      </c>
      <c r="C602" s="172">
        <v>2200000000010</v>
      </c>
      <c r="D602" s="24" t="s">
        <v>331</v>
      </c>
      <c r="E602" s="24" t="b">
        <v>0</v>
      </c>
    </row>
    <row r="603" spans="1:16">
      <c r="H603" s="24">
        <v>1</v>
      </c>
      <c r="I603" s="24" t="s">
        <v>448</v>
      </c>
      <c r="J603" s="24" t="s">
        <v>269</v>
      </c>
      <c r="K603" s="24" t="s">
        <v>677</v>
      </c>
      <c r="L603" s="24" t="s">
        <v>1763</v>
      </c>
      <c r="M603" s="24" t="s">
        <v>3012</v>
      </c>
      <c r="N603" s="24">
        <v>1</v>
      </c>
      <c r="O603" s="24" t="s">
        <v>3013</v>
      </c>
      <c r="P603" s="24" t="s">
        <v>488</v>
      </c>
    </row>
    <row r="604" spans="1:16">
      <c r="A604" s="172">
        <v>2104000000387</v>
      </c>
      <c r="B604" s="24" t="s">
        <v>3014</v>
      </c>
      <c r="C604" s="172">
        <v>2200000000010</v>
      </c>
      <c r="D604" s="24" t="s">
        <v>331</v>
      </c>
      <c r="E604" s="24" t="b">
        <v>0</v>
      </c>
    </row>
    <row r="605" spans="1:16">
      <c r="H605" s="24">
        <v>1</v>
      </c>
      <c r="I605" s="24" t="s">
        <v>448</v>
      </c>
      <c r="J605" s="24" t="s">
        <v>269</v>
      </c>
      <c r="K605" s="24" t="s">
        <v>677</v>
      </c>
      <c r="L605" s="24" t="s">
        <v>1763</v>
      </c>
      <c r="M605" s="24" t="s">
        <v>3015</v>
      </c>
      <c r="N605" s="24">
        <v>1</v>
      </c>
      <c r="O605" s="24" t="s">
        <v>3016</v>
      </c>
      <c r="P605" s="24" t="s">
        <v>488</v>
      </c>
    </row>
    <row r="606" spans="1:16">
      <c r="A606" s="172">
        <v>2104000000388</v>
      </c>
      <c r="B606" s="24" t="s">
        <v>3506</v>
      </c>
      <c r="C606" s="172">
        <v>2200000000010</v>
      </c>
      <c r="D606" s="24" t="s">
        <v>331</v>
      </c>
      <c r="E606" s="24" t="b">
        <v>0</v>
      </c>
    </row>
    <row r="607" spans="1:16">
      <c r="B607" s="24" t="s">
        <v>1562</v>
      </c>
      <c r="H607" s="24">
        <v>1</v>
      </c>
      <c r="I607" s="24" t="s">
        <v>448</v>
      </c>
      <c r="J607" s="24" t="s">
        <v>269</v>
      </c>
      <c r="K607" s="24" t="s">
        <v>677</v>
      </c>
      <c r="L607" s="24" t="s">
        <v>1356</v>
      </c>
      <c r="M607" s="110" t="s">
        <v>3507</v>
      </c>
      <c r="N607" s="24">
        <v>2</v>
      </c>
      <c r="O607" s="24" t="s">
        <v>3508</v>
      </c>
      <c r="P607" s="24" t="s">
        <v>488</v>
      </c>
    </row>
    <row r="608" spans="1:16">
      <c r="A608" s="172">
        <v>2104000000389</v>
      </c>
      <c r="B608" s="24" t="s">
        <v>3509</v>
      </c>
      <c r="C608" s="172">
        <v>2200000000010</v>
      </c>
      <c r="D608" s="24" t="s">
        <v>331</v>
      </c>
      <c r="E608" s="24" t="b">
        <v>0</v>
      </c>
      <c r="M608" s="110"/>
    </row>
    <row r="609" spans="1:16">
      <c r="B609" s="24" t="s">
        <v>1562</v>
      </c>
      <c r="H609" s="24">
        <v>1</v>
      </c>
      <c r="I609" s="24" t="s">
        <v>448</v>
      </c>
      <c r="J609" s="24" t="s">
        <v>269</v>
      </c>
      <c r="K609" s="24" t="s">
        <v>677</v>
      </c>
      <c r="L609" s="24" t="s">
        <v>1356</v>
      </c>
      <c r="M609" s="110" t="s">
        <v>3507</v>
      </c>
      <c r="N609" s="24">
        <v>5</v>
      </c>
      <c r="O609" s="24" t="s">
        <v>3510</v>
      </c>
      <c r="P609" s="24" t="s">
        <v>488</v>
      </c>
    </row>
    <row r="610" spans="1:16">
      <c r="A610" s="172">
        <v>2104000000390</v>
      </c>
      <c r="B610" s="24" t="s">
        <v>3511</v>
      </c>
      <c r="C610" s="172">
        <v>2200000000010</v>
      </c>
      <c r="D610" s="24" t="s">
        <v>331</v>
      </c>
      <c r="E610" s="24" t="b">
        <v>0</v>
      </c>
      <c r="M610" s="110"/>
    </row>
    <row r="611" spans="1:16">
      <c r="H611" s="24">
        <v>1</v>
      </c>
      <c r="I611" s="24" t="s">
        <v>448</v>
      </c>
      <c r="J611" s="24" t="s">
        <v>269</v>
      </c>
      <c r="K611" s="24" t="s">
        <v>677</v>
      </c>
      <c r="L611" s="24" t="s">
        <v>1356</v>
      </c>
      <c r="M611" s="110" t="s">
        <v>3019</v>
      </c>
      <c r="N611" s="24">
        <v>7</v>
      </c>
      <c r="O611" s="24" t="s">
        <v>3512</v>
      </c>
      <c r="P611" s="24" t="s">
        <v>488</v>
      </c>
    </row>
    <row r="612" spans="1:16">
      <c r="A612" s="172">
        <v>2104000000391</v>
      </c>
      <c r="B612" s="24" t="s">
        <v>3020</v>
      </c>
      <c r="C612" s="172">
        <v>2200000000010</v>
      </c>
      <c r="D612" s="24" t="s">
        <v>331</v>
      </c>
      <c r="E612" s="24" t="b">
        <v>0</v>
      </c>
    </row>
    <row r="613" spans="1:16" ht="27">
      <c r="H613" s="24">
        <v>1</v>
      </c>
      <c r="I613" s="24" t="s">
        <v>448</v>
      </c>
      <c r="J613" s="24" t="s">
        <v>269</v>
      </c>
      <c r="K613" s="24" t="s">
        <v>334</v>
      </c>
      <c r="L613" s="24" t="s">
        <v>3731</v>
      </c>
      <c r="M613" s="110" t="s">
        <v>3729</v>
      </c>
      <c r="N613" s="24">
        <v>1</v>
      </c>
      <c r="O613" s="24" t="s">
        <v>3513</v>
      </c>
      <c r="P613" s="24" t="s">
        <v>488</v>
      </c>
    </row>
    <row r="614" spans="1:16">
      <c r="A614" s="172">
        <v>2104000000392</v>
      </c>
      <c r="B614" s="24" t="s">
        <v>3514</v>
      </c>
      <c r="C614" s="172">
        <v>2200000000010</v>
      </c>
      <c r="D614" s="24" t="s">
        <v>331</v>
      </c>
      <c r="E614" s="24" t="b">
        <v>0</v>
      </c>
    </row>
    <row r="615" spans="1:16" ht="27">
      <c r="H615" s="24">
        <v>1</v>
      </c>
      <c r="I615" s="24" t="s">
        <v>448</v>
      </c>
      <c r="J615" s="24" t="s">
        <v>269</v>
      </c>
      <c r="K615" s="24" t="s">
        <v>334</v>
      </c>
      <c r="L615" s="24" t="s">
        <v>784</v>
      </c>
      <c r="M615" s="110" t="s">
        <v>3443</v>
      </c>
      <c r="N615" s="24">
        <v>1</v>
      </c>
      <c r="O615" s="24" t="s">
        <v>3515</v>
      </c>
      <c r="P615" s="24" t="s">
        <v>488</v>
      </c>
    </row>
    <row r="616" spans="1:16">
      <c r="A616" s="172">
        <v>2104000000393</v>
      </c>
      <c r="B616" s="24" t="s">
        <v>3444</v>
      </c>
      <c r="C616" s="172">
        <v>2200000000012</v>
      </c>
      <c r="D616" s="24" t="s">
        <v>331</v>
      </c>
      <c r="E616" s="24" t="b">
        <v>0</v>
      </c>
    </row>
    <row r="617" spans="1:16">
      <c r="H617" s="24">
        <v>1</v>
      </c>
      <c r="I617" s="24" t="s">
        <v>448</v>
      </c>
      <c r="J617" s="24" t="s">
        <v>269</v>
      </c>
      <c r="K617" s="24" t="s">
        <v>334</v>
      </c>
      <c r="L617" s="24" t="s">
        <v>335</v>
      </c>
      <c r="M617" s="110" t="s">
        <v>3445</v>
      </c>
      <c r="N617" s="24">
        <v>1</v>
      </c>
      <c r="O617" s="24" t="s">
        <v>3446</v>
      </c>
      <c r="P617" s="24" t="s">
        <v>488</v>
      </c>
    </row>
    <row r="618" spans="1:16">
      <c r="A618" s="172">
        <v>2104000000394</v>
      </c>
      <c r="B618" s="24" t="s">
        <v>3447</v>
      </c>
      <c r="C618" s="172">
        <v>2200000000030</v>
      </c>
      <c r="D618" s="24" t="s">
        <v>331</v>
      </c>
      <c r="E618" s="24" t="b">
        <v>0</v>
      </c>
    </row>
    <row r="619" spans="1:16">
      <c r="H619" s="24">
        <v>1</v>
      </c>
      <c r="I619" s="24" t="s">
        <v>448</v>
      </c>
      <c r="J619" s="24" t="s">
        <v>269</v>
      </c>
      <c r="K619" s="24" t="s">
        <v>334</v>
      </c>
      <c r="L619" s="24" t="s">
        <v>3516</v>
      </c>
      <c r="M619" s="110" t="s">
        <v>3517</v>
      </c>
      <c r="N619" s="24">
        <v>1</v>
      </c>
      <c r="O619" s="24" t="s">
        <v>3518</v>
      </c>
      <c r="P619" s="24" t="s">
        <v>488</v>
      </c>
    </row>
    <row r="620" spans="1:16">
      <c r="A620" s="172">
        <v>2104000000395</v>
      </c>
      <c r="B620" s="24" t="s">
        <v>3448</v>
      </c>
      <c r="C620" s="172">
        <v>2200000000030</v>
      </c>
      <c r="D620" s="24" t="s">
        <v>331</v>
      </c>
      <c r="E620" s="24" t="b">
        <v>0</v>
      </c>
    </row>
    <row r="621" spans="1:16" ht="27">
      <c r="H621" s="24">
        <v>1</v>
      </c>
      <c r="I621" s="24" t="s">
        <v>448</v>
      </c>
      <c r="J621" s="24" t="s">
        <v>269</v>
      </c>
      <c r="K621" s="24" t="s">
        <v>334</v>
      </c>
      <c r="L621" s="24" t="s">
        <v>377</v>
      </c>
      <c r="M621" s="110" t="s">
        <v>3519</v>
      </c>
      <c r="N621" s="24">
        <v>1</v>
      </c>
      <c r="O621" s="24" t="s">
        <v>3520</v>
      </c>
      <c r="P621" s="24" t="s">
        <v>488</v>
      </c>
    </row>
    <row r="622" spans="1:16">
      <c r="A622" s="172">
        <v>2104000000396</v>
      </c>
      <c r="B622" s="24" t="s">
        <v>3521</v>
      </c>
      <c r="C622" s="172">
        <v>2200000000030</v>
      </c>
      <c r="D622" s="24" t="s">
        <v>331</v>
      </c>
      <c r="E622" s="24" t="b">
        <v>0</v>
      </c>
    </row>
    <row r="623" spans="1:16" ht="27">
      <c r="H623" s="24">
        <v>1</v>
      </c>
      <c r="I623" s="24" t="s">
        <v>448</v>
      </c>
      <c r="J623" s="24" t="s">
        <v>269</v>
      </c>
      <c r="K623" s="24" t="s">
        <v>334</v>
      </c>
      <c r="L623" s="24" t="s">
        <v>377</v>
      </c>
      <c r="M623" s="110" t="s">
        <v>3522</v>
      </c>
      <c r="N623" s="24">
        <v>1</v>
      </c>
      <c r="O623" s="24" t="s">
        <v>3523</v>
      </c>
      <c r="P623" s="24" t="s">
        <v>488</v>
      </c>
    </row>
    <row r="624" spans="1:16">
      <c r="A624" s="172">
        <v>2104000000397</v>
      </c>
      <c r="B624" s="24" t="s">
        <v>3600</v>
      </c>
      <c r="C624" s="172">
        <v>2200000000031</v>
      </c>
      <c r="D624" s="24" t="s">
        <v>331</v>
      </c>
      <c r="E624" s="24" t="b">
        <v>0</v>
      </c>
    </row>
    <row r="625" spans="1:16">
      <c r="H625" s="24">
        <v>1</v>
      </c>
      <c r="I625" s="24" t="s">
        <v>448</v>
      </c>
      <c r="J625" s="24" t="s">
        <v>269</v>
      </c>
      <c r="K625" s="24" t="s">
        <v>677</v>
      </c>
      <c r="L625" s="24" t="s">
        <v>3601</v>
      </c>
      <c r="M625" s="110" t="s">
        <v>3602</v>
      </c>
      <c r="N625" s="24">
        <v>1</v>
      </c>
      <c r="O625" s="24" t="s">
        <v>3603</v>
      </c>
      <c r="P625" s="24" t="s">
        <v>488</v>
      </c>
    </row>
    <row r="626" spans="1:16">
      <c r="A626" s="172">
        <v>2104000000398</v>
      </c>
      <c r="B626" s="24" t="s">
        <v>3727</v>
      </c>
      <c r="C626" s="172">
        <v>2200000000010</v>
      </c>
      <c r="D626" s="24" t="s">
        <v>331</v>
      </c>
      <c r="E626" s="24" t="b">
        <v>0</v>
      </c>
    </row>
    <row r="627" spans="1:16" ht="27">
      <c r="H627" s="24">
        <v>1</v>
      </c>
      <c r="I627" s="24" t="s">
        <v>448</v>
      </c>
      <c r="J627" s="24" t="s">
        <v>269</v>
      </c>
      <c r="K627" s="24" t="s">
        <v>334</v>
      </c>
      <c r="L627" s="24" t="s">
        <v>3732</v>
      </c>
      <c r="M627" s="110" t="s">
        <v>3730</v>
      </c>
      <c r="N627" s="24">
        <v>1</v>
      </c>
      <c r="O627" s="24" t="s">
        <v>3733</v>
      </c>
      <c r="P627" s="24" t="s">
        <v>488</v>
      </c>
    </row>
    <row r="628" spans="1:16">
      <c r="A628" s="172">
        <v>2104000000399</v>
      </c>
      <c r="B628" s="24" t="s">
        <v>3728</v>
      </c>
      <c r="C628" s="172">
        <v>2200000000010</v>
      </c>
      <c r="D628" s="24" t="s">
        <v>331</v>
      </c>
      <c r="E628" s="24" t="b">
        <v>0</v>
      </c>
    </row>
    <row r="629" spans="1:16">
      <c r="H629" s="24">
        <v>1</v>
      </c>
      <c r="I629" s="24" t="s">
        <v>448</v>
      </c>
      <c r="J629" s="24" t="s">
        <v>269</v>
      </c>
      <c r="K629" s="24" t="s">
        <v>334</v>
      </c>
      <c r="L629" s="24" t="s">
        <v>1763</v>
      </c>
      <c r="M629" s="24" t="s">
        <v>3738</v>
      </c>
      <c r="N629" s="24">
        <v>1</v>
      </c>
      <c r="O629" s="24" t="s">
        <v>3734</v>
      </c>
      <c r="P629" s="24" t="s">
        <v>488</v>
      </c>
    </row>
    <row r="630" spans="1:16">
      <c r="A630" s="172">
        <v>2104000000400</v>
      </c>
      <c r="B630" s="24" t="s">
        <v>1584</v>
      </c>
      <c r="C630" s="172">
        <v>2200000000010</v>
      </c>
      <c r="D630" s="24" t="s">
        <v>331</v>
      </c>
      <c r="E630" s="24" t="b">
        <v>0</v>
      </c>
      <c r="M630" s="110"/>
    </row>
    <row r="631" spans="1:16">
      <c r="B631" s="24" t="s">
        <v>1562</v>
      </c>
      <c r="H631" s="24">
        <v>1</v>
      </c>
      <c r="I631" s="24" t="s">
        <v>448</v>
      </c>
      <c r="J631" s="24" t="s">
        <v>269</v>
      </c>
      <c r="K631" s="24" t="s">
        <v>677</v>
      </c>
      <c r="L631" s="24" t="s">
        <v>1356</v>
      </c>
      <c r="M631" s="110" t="s">
        <v>3725</v>
      </c>
      <c r="N631" s="24">
        <v>2</v>
      </c>
      <c r="O631" s="24" t="s">
        <v>3735</v>
      </c>
      <c r="P631" s="24" t="s">
        <v>488</v>
      </c>
    </row>
    <row r="632" spans="1:16">
      <c r="A632" s="172">
        <v>2104000000401</v>
      </c>
      <c r="B632" s="24" t="s">
        <v>1585</v>
      </c>
      <c r="C632" s="172">
        <v>2200000000010</v>
      </c>
      <c r="D632" s="24" t="s">
        <v>331</v>
      </c>
      <c r="E632" s="24" t="b">
        <v>0</v>
      </c>
      <c r="M632" s="110"/>
    </row>
    <row r="633" spans="1:16">
      <c r="B633" s="24" t="s">
        <v>1562</v>
      </c>
      <c r="H633" s="24">
        <v>1</v>
      </c>
      <c r="I633" s="24" t="s">
        <v>448</v>
      </c>
      <c r="J633" s="24" t="s">
        <v>269</v>
      </c>
      <c r="K633" s="24" t="s">
        <v>677</v>
      </c>
      <c r="L633" s="24" t="s">
        <v>1356</v>
      </c>
      <c r="M633" s="110" t="s">
        <v>3726</v>
      </c>
      <c r="N633" s="24">
        <v>5</v>
      </c>
      <c r="O633" s="24" t="s">
        <v>3736</v>
      </c>
      <c r="P633" s="24" t="s">
        <v>488</v>
      </c>
    </row>
    <row r="634" spans="1:16">
      <c r="A634" s="172">
        <v>2104000000402</v>
      </c>
      <c r="B634" s="24" t="s">
        <v>1586</v>
      </c>
      <c r="C634" s="172">
        <v>2200000000010</v>
      </c>
      <c r="D634" s="24" t="s">
        <v>331</v>
      </c>
      <c r="E634" s="24" t="b">
        <v>0</v>
      </c>
      <c r="M634" s="110"/>
    </row>
    <row r="635" spans="1:16">
      <c r="H635" s="24">
        <v>1</v>
      </c>
      <c r="I635" s="24" t="s">
        <v>448</v>
      </c>
      <c r="J635" s="24" t="s">
        <v>269</v>
      </c>
      <c r="K635" s="24" t="s">
        <v>677</v>
      </c>
      <c r="L635" s="24" t="s">
        <v>1356</v>
      </c>
      <c r="M635" s="110" t="s">
        <v>3726</v>
      </c>
      <c r="N635" s="24">
        <v>7</v>
      </c>
      <c r="O635" s="24" t="s">
        <v>3737</v>
      </c>
      <c r="P635" s="24" t="s">
        <v>488</v>
      </c>
    </row>
    <row r="636" spans="1:16">
      <c r="A636" s="172">
        <v>2104000000403</v>
      </c>
      <c r="B636" s="24" t="s">
        <v>3741</v>
      </c>
      <c r="C636" s="172">
        <v>2200000000010</v>
      </c>
      <c r="D636" s="24" t="s">
        <v>331</v>
      </c>
      <c r="E636" s="24" t="b">
        <v>0</v>
      </c>
    </row>
    <row r="637" spans="1:16">
      <c r="B637" s="24" t="s">
        <v>1562</v>
      </c>
      <c r="H637" s="24">
        <v>1</v>
      </c>
      <c r="I637" s="24" t="s">
        <v>448</v>
      </c>
      <c r="J637" s="24" t="s">
        <v>269</v>
      </c>
      <c r="K637" s="24" t="s">
        <v>677</v>
      </c>
      <c r="L637" s="24" t="s">
        <v>1356</v>
      </c>
      <c r="M637" s="110" t="s">
        <v>3747</v>
      </c>
      <c r="N637" s="24">
        <v>2</v>
      </c>
      <c r="O637" s="24" t="s">
        <v>3748</v>
      </c>
      <c r="P637" s="24" t="s">
        <v>488</v>
      </c>
    </row>
    <row r="638" spans="1:16">
      <c r="A638" s="172">
        <v>2104000000404</v>
      </c>
      <c r="B638" s="24" t="s">
        <v>3742</v>
      </c>
      <c r="C638" s="172">
        <v>2200000000010</v>
      </c>
      <c r="D638" s="24" t="s">
        <v>331</v>
      </c>
      <c r="E638" s="24" t="b">
        <v>0</v>
      </c>
      <c r="M638" s="110"/>
    </row>
    <row r="639" spans="1:16">
      <c r="B639" s="24" t="s">
        <v>1562</v>
      </c>
      <c r="H639" s="24">
        <v>1</v>
      </c>
      <c r="I639" s="24" t="s">
        <v>448</v>
      </c>
      <c r="J639" s="24" t="s">
        <v>269</v>
      </c>
      <c r="K639" s="24" t="s">
        <v>677</v>
      </c>
      <c r="L639" s="24" t="s">
        <v>1356</v>
      </c>
      <c r="M639" s="110" t="s">
        <v>3747</v>
      </c>
      <c r="N639" s="24">
        <v>5</v>
      </c>
      <c r="O639" s="24" t="s">
        <v>3749</v>
      </c>
      <c r="P639" s="24" t="s">
        <v>488</v>
      </c>
    </row>
    <row r="640" spans="1:16">
      <c r="A640" s="172">
        <v>2104000000405</v>
      </c>
      <c r="B640" s="24" t="s">
        <v>3743</v>
      </c>
      <c r="C640" s="172">
        <v>2200000000010</v>
      </c>
      <c r="D640" s="24" t="s">
        <v>331</v>
      </c>
      <c r="E640" s="24" t="b">
        <v>0</v>
      </c>
      <c r="M640" s="110"/>
    </row>
    <row r="641" spans="1:16">
      <c r="H641" s="24">
        <v>1</v>
      </c>
      <c r="I641" s="24" t="s">
        <v>448</v>
      </c>
      <c r="J641" s="24" t="s">
        <v>269</v>
      </c>
      <c r="K641" s="24" t="s">
        <v>677</v>
      </c>
      <c r="L641" s="24" t="s">
        <v>1356</v>
      </c>
      <c r="M641" s="110" t="s">
        <v>3747</v>
      </c>
      <c r="N641" s="24">
        <v>7</v>
      </c>
      <c r="O641" s="24" t="s">
        <v>3750</v>
      </c>
      <c r="P641" s="24" t="s">
        <v>488</v>
      </c>
    </row>
    <row r="642" spans="1:16">
      <c r="A642" s="172">
        <v>2104000000406</v>
      </c>
      <c r="B642" s="24" t="s">
        <v>3744</v>
      </c>
      <c r="C642" s="172">
        <v>2200000000010</v>
      </c>
      <c r="D642" s="24" t="s">
        <v>331</v>
      </c>
      <c r="E642" s="24" t="b">
        <v>0</v>
      </c>
    </row>
    <row r="643" spans="1:16" ht="27">
      <c r="H643" s="24">
        <v>1</v>
      </c>
      <c r="I643" s="24" t="s">
        <v>448</v>
      </c>
      <c r="J643" s="24" t="s">
        <v>269</v>
      </c>
      <c r="K643" s="24" t="s">
        <v>334</v>
      </c>
      <c r="L643" s="24" t="s">
        <v>1076</v>
      </c>
      <c r="M643" s="110" t="s">
        <v>3753</v>
      </c>
      <c r="N643" s="24">
        <v>1</v>
      </c>
      <c r="O643" s="24" t="s">
        <v>3751</v>
      </c>
      <c r="P643" s="24" t="s">
        <v>488</v>
      </c>
    </row>
    <row r="644" spans="1:16">
      <c r="A644" s="172">
        <v>2104000000407</v>
      </c>
      <c r="B644" s="24" t="s">
        <v>3745</v>
      </c>
      <c r="C644" s="172">
        <v>2200000000010</v>
      </c>
      <c r="D644" s="24" t="s">
        <v>331</v>
      </c>
      <c r="E644" s="24" t="b">
        <v>0</v>
      </c>
    </row>
    <row r="645" spans="1:16" ht="27">
      <c r="H645" s="24">
        <v>1</v>
      </c>
      <c r="I645" s="24" t="s">
        <v>448</v>
      </c>
      <c r="J645" s="24" t="s">
        <v>269</v>
      </c>
      <c r="K645" s="24" t="s">
        <v>334</v>
      </c>
      <c r="L645" s="24" t="s">
        <v>377</v>
      </c>
      <c r="M645" s="110" t="s">
        <v>3746</v>
      </c>
      <c r="N645" s="24">
        <v>1</v>
      </c>
      <c r="O645" s="24" t="s">
        <v>3752</v>
      </c>
      <c r="P645" s="24" t="s">
        <v>488</v>
      </c>
    </row>
    <row r="646" spans="1:16">
      <c r="A646" s="172">
        <v>2104000000408</v>
      </c>
      <c r="B646" s="24" t="s">
        <v>3754</v>
      </c>
      <c r="C646" s="172">
        <v>2200000000033</v>
      </c>
      <c r="D646" s="24" t="s">
        <v>331</v>
      </c>
      <c r="E646" s="24" t="b">
        <v>0</v>
      </c>
    </row>
    <row r="647" spans="1:16">
      <c r="A647" s="24"/>
      <c r="H647" s="24">
        <v>1</v>
      </c>
      <c r="I647" s="24" t="s">
        <v>448</v>
      </c>
      <c r="J647" s="24" t="s">
        <v>269</v>
      </c>
      <c r="K647" s="24" t="s">
        <v>334</v>
      </c>
      <c r="L647" s="24" t="s">
        <v>3516</v>
      </c>
      <c r="M647" s="110" t="s">
        <v>3747</v>
      </c>
      <c r="N647" s="24">
        <v>1</v>
      </c>
      <c r="O647" s="24" t="s">
        <v>3755</v>
      </c>
      <c r="P647" s="24" t="s">
        <v>488</v>
      </c>
    </row>
    <row r="648" spans="1:16">
      <c r="A648" s="172">
        <v>2104000000409</v>
      </c>
      <c r="B648" s="24" t="s">
        <v>3756</v>
      </c>
      <c r="C648" s="172">
        <v>2200000000033</v>
      </c>
      <c r="D648" s="24" t="s">
        <v>331</v>
      </c>
      <c r="E648" s="24" t="b">
        <v>0</v>
      </c>
    </row>
    <row r="649" spans="1:16" ht="27">
      <c r="H649" s="24">
        <v>1</v>
      </c>
      <c r="I649" s="24" t="s">
        <v>448</v>
      </c>
      <c r="J649" s="24" t="s">
        <v>269</v>
      </c>
      <c r="K649" s="24" t="s">
        <v>334</v>
      </c>
      <c r="L649" s="24" t="s">
        <v>377</v>
      </c>
      <c r="M649" s="110" t="s">
        <v>3746</v>
      </c>
      <c r="N649" s="24">
        <v>1</v>
      </c>
      <c r="O649" s="24" t="s">
        <v>3757</v>
      </c>
      <c r="P649" s="24" t="s">
        <v>488</v>
      </c>
    </row>
    <row r="650" spans="1:16">
      <c r="A650" s="172">
        <v>2104000000410</v>
      </c>
      <c r="B650" s="24" t="s">
        <v>3758</v>
      </c>
      <c r="C650" s="172">
        <v>2200000000033</v>
      </c>
      <c r="D650" s="24" t="s">
        <v>331</v>
      </c>
      <c r="E650" s="24" t="b">
        <v>0</v>
      </c>
    </row>
    <row r="651" spans="1:16" ht="27">
      <c r="H651" s="24">
        <v>1</v>
      </c>
      <c r="I651" s="24" t="s">
        <v>448</v>
      </c>
      <c r="J651" s="24" t="s">
        <v>269</v>
      </c>
      <c r="K651" s="24" t="s">
        <v>334</v>
      </c>
      <c r="L651" s="24" t="s">
        <v>377</v>
      </c>
      <c r="M651" s="110" t="s">
        <v>3759</v>
      </c>
      <c r="N651" s="24">
        <v>1</v>
      </c>
      <c r="O651" s="24" t="s">
        <v>3760</v>
      </c>
      <c r="P651" s="24" t="s">
        <v>488</v>
      </c>
    </row>
    <row r="652" spans="1:16">
      <c r="A652" s="172">
        <v>2104000000411</v>
      </c>
      <c r="B652" s="24" t="s">
        <v>3798</v>
      </c>
      <c r="C652" s="172">
        <v>2200000000010</v>
      </c>
      <c r="D652" s="24" t="s">
        <v>331</v>
      </c>
      <c r="E652" s="24" t="b">
        <v>0</v>
      </c>
    </row>
    <row r="653" spans="1:16">
      <c r="H653" s="24">
        <v>1</v>
      </c>
      <c r="I653" s="24" t="s">
        <v>448</v>
      </c>
      <c r="J653" s="24" t="s">
        <v>269</v>
      </c>
      <c r="K653" s="24" t="s">
        <v>334</v>
      </c>
      <c r="L653" s="154" t="s">
        <v>399</v>
      </c>
      <c r="M653" s="330"/>
      <c r="N653" s="154">
        <v>999</v>
      </c>
      <c r="O653" s="24" t="s">
        <v>3799</v>
      </c>
      <c r="P653" s="24" t="s">
        <v>488</v>
      </c>
    </row>
    <row r="654" spans="1:16">
      <c r="A654" s="172">
        <v>2104000000412</v>
      </c>
      <c r="B654" s="24" t="s">
        <v>3800</v>
      </c>
      <c r="C654" s="172">
        <v>2200000000010</v>
      </c>
      <c r="D654" s="24" t="s">
        <v>331</v>
      </c>
      <c r="E654" s="24" t="b">
        <v>0</v>
      </c>
    </row>
    <row r="655" spans="1:16">
      <c r="H655" s="24">
        <v>1</v>
      </c>
      <c r="I655" s="24" t="s">
        <v>448</v>
      </c>
      <c r="J655" s="24" t="s">
        <v>269</v>
      </c>
      <c r="K655" s="24" t="s">
        <v>334</v>
      </c>
      <c r="L655" s="24" t="s">
        <v>1763</v>
      </c>
      <c r="M655" s="24" t="s">
        <v>3801</v>
      </c>
      <c r="N655" s="24">
        <v>1</v>
      </c>
      <c r="O655" s="24" t="s">
        <v>3802</v>
      </c>
      <c r="P655" s="24" t="s">
        <v>488</v>
      </c>
    </row>
    <row r="656" spans="1:16">
      <c r="A656" s="172">
        <v>2104000000413</v>
      </c>
      <c r="B656" s="24" t="s">
        <v>3803</v>
      </c>
      <c r="C656" s="172">
        <v>2231000000012</v>
      </c>
      <c r="D656" s="24" t="s">
        <v>331</v>
      </c>
      <c r="E656" s="24" t="b">
        <v>0</v>
      </c>
    </row>
    <row r="657" spans="1:16">
      <c r="H657" s="24">
        <v>1</v>
      </c>
      <c r="I657" s="24" t="s">
        <v>448</v>
      </c>
      <c r="J657" s="24" t="s">
        <v>269</v>
      </c>
      <c r="K657" s="24" t="s">
        <v>334</v>
      </c>
      <c r="L657" s="24" t="s">
        <v>1858</v>
      </c>
      <c r="M657" s="110" t="s">
        <v>3804</v>
      </c>
      <c r="N657" s="24">
        <v>1</v>
      </c>
      <c r="P657" s="24" t="s">
        <v>488</v>
      </c>
    </row>
    <row r="658" spans="1:16">
      <c r="A658" s="172">
        <v>2104000000415</v>
      </c>
      <c r="B658" s="24" t="s">
        <v>3813</v>
      </c>
      <c r="C658" s="172">
        <v>2231000000013</v>
      </c>
      <c r="D658" s="24" t="s">
        <v>331</v>
      </c>
      <c r="E658" s="24" t="b">
        <v>0</v>
      </c>
    </row>
    <row r="659" spans="1:16">
      <c r="H659" s="24">
        <v>1</v>
      </c>
      <c r="I659" s="24" t="s">
        <v>448</v>
      </c>
      <c r="J659" s="24" t="s">
        <v>269</v>
      </c>
      <c r="K659" s="24" t="s">
        <v>334</v>
      </c>
      <c r="L659" s="24" t="s">
        <v>1858</v>
      </c>
      <c r="M659" s="110" t="s">
        <v>3814</v>
      </c>
      <c r="N659" s="24">
        <v>1</v>
      </c>
      <c r="P659" s="24" t="s">
        <v>488</v>
      </c>
    </row>
    <row r="660" spans="1:16">
      <c r="A660" s="172">
        <v>2104000000416</v>
      </c>
      <c r="B660" s="24" t="s">
        <v>3873</v>
      </c>
      <c r="C660" s="172">
        <v>2200000000010</v>
      </c>
      <c r="D660" s="24" t="s">
        <v>331</v>
      </c>
      <c r="E660" s="24" t="b">
        <v>0</v>
      </c>
    </row>
    <row r="661" spans="1:16">
      <c r="B661" s="24" t="s">
        <v>1562</v>
      </c>
      <c r="H661" s="24">
        <v>1</v>
      </c>
      <c r="I661" s="24" t="s">
        <v>448</v>
      </c>
      <c r="J661" s="24" t="s">
        <v>269</v>
      </c>
      <c r="K661" s="24" t="s">
        <v>677</v>
      </c>
      <c r="L661" s="24" t="s">
        <v>1356</v>
      </c>
      <c r="M661" s="110" t="s">
        <v>3874</v>
      </c>
      <c r="N661" s="24">
        <v>2</v>
      </c>
      <c r="O661" s="24" t="s">
        <v>3875</v>
      </c>
      <c r="P661" s="24" t="s">
        <v>488</v>
      </c>
    </row>
    <row r="662" spans="1:16">
      <c r="A662" s="172">
        <v>2104000000417</v>
      </c>
      <c r="B662" s="24" t="s">
        <v>3876</v>
      </c>
      <c r="C662" s="172">
        <v>2200000000010</v>
      </c>
      <c r="D662" s="24" t="s">
        <v>331</v>
      </c>
      <c r="E662" s="24" t="b">
        <v>0</v>
      </c>
      <c r="M662" s="110"/>
    </row>
    <row r="663" spans="1:16">
      <c r="B663" s="24" t="s">
        <v>1562</v>
      </c>
      <c r="H663" s="24">
        <v>1</v>
      </c>
      <c r="I663" s="24" t="s">
        <v>448</v>
      </c>
      <c r="J663" s="24" t="s">
        <v>269</v>
      </c>
      <c r="K663" s="24" t="s">
        <v>677</v>
      </c>
      <c r="L663" s="24" t="s">
        <v>1356</v>
      </c>
      <c r="M663" s="110" t="s">
        <v>3874</v>
      </c>
      <c r="N663" s="24">
        <v>5</v>
      </c>
      <c r="O663" s="24" t="s">
        <v>3877</v>
      </c>
      <c r="P663" s="24" t="s">
        <v>488</v>
      </c>
    </row>
    <row r="664" spans="1:16">
      <c r="A664" s="172">
        <v>2104000000418</v>
      </c>
      <c r="B664" s="24" t="s">
        <v>3878</v>
      </c>
      <c r="C664" s="172">
        <v>2200000000010</v>
      </c>
      <c r="D664" s="24" t="s">
        <v>331</v>
      </c>
      <c r="E664" s="24" t="b">
        <v>0</v>
      </c>
      <c r="M664" s="110"/>
    </row>
    <row r="665" spans="1:16">
      <c r="H665" s="24">
        <v>1</v>
      </c>
      <c r="I665" s="24" t="s">
        <v>448</v>
      </c>
      <c r="J665" s="24" t="s">
        <v>269</v>
      </c>
      <c r="K665" s="24" t="s">
        <v>677</v>
      </c>
      <c r="L665" s="24" t="s">
        <v>1356</v>
      </c>
      <c r="M665" s="110" t="s">
        <v>3874</v>
      </c>
      <c r="N665" s="24">
        <v>7</v>
      </c>
      <c r="O665" s="24" t="s">
        <v>3879</v>
      </c>
      <c r="P665" s="24" t="s">
        <v>488</v>
      </c>
    </row>
    <row r="666" spans="1:16">
      <c r="A666" s="172">
        <v>2104000000419</v>
      </c>
      <c r="B666" s="24" t="s">
        <v>3880</v>
      </c>
      <c r="C666" s="172">
        <v>2200000000010</v>
      </c>
      <c r="D666" s="24" t="s">
        <v>331</v>
      </c>
      <c r="E666" s="24" t="b">
        <v>0</v>
      </c>
    </row>
    <row r="667" spans="1:16" ht="27">
      <c r="H667" s="24">
        <v>1</v>
      </c>
      <c r="I667" s="24" t="s">
        <v>448</v>
      </c>
      <c r="J667" s="24" t="s">
        <v>269</v>
      </c>
      <c r="K667" s="24" t="s">
        <v>334</v>
      </c>
      <c r="L667" s="24" t="s">
        <v>1076</v>
      </c>
      <c r="M667" s="110" t="s">
        <v>3881</v>
      </c>
      <c r="N667" s="24">
        <v>1</v>
      </c>
      <c r="O667" s="24" t="s">
        <v>3882</v>
      </c>
      <c r="P667" s="24" t="s">
        <v>488</v>
      </c>
    </row>
    <row r="668" spans="1:16">
      <c r="A668" s="172">
        <v>2104000000420</v>
      </c>
      <c r="B668" s="24" t="s">
        <v>3883</v>
      </c>
      <c r="C668" s="172">
        <v>2200000000010</v>
      </c>
      <c r="D668" s="24" t="s">
        <v>331</v>
      </c>
      <c r="E668" s="24" t="b">
        <v>0</v>
      </c>
    </row>
    <row r="669" spans="1:16" ht="27">
      <c r="H669" s="24">
        <v>1</v>
      </c>
      <c r="I669" s="24" t="s">
        <v>448</v>
      </c>
      <c r="J669" s="24" t="s">
        <v>269</v>
      </c>
      <c r="K669" s="24" t="s">
        <v>334</v>
      </c>
      <c r="L669" s="24" t="s">
        <v>377</v>
      </c>
      <c r="M669" s="110" t="s">
        <v>3843</v>
      </c>
      <c r="N669" s="24">
        <v>1</v>
      </c>
      <c r="O669" s="24" t="s">
        <v>3884</v>
      </c>
      <c r="P669" s="24" t="s">
        <v>488</v>
      </c>
    </row>
    <row r="670" spans="1:16">
      <c r="A670" s="172">
        <v>2104000000421</v>
      </c>
      <c r="B670" s="24" t="s">
        <v>3885</v>
      </c>
      <c r="C670" s="172">
        <v>2200000000034</v>
      </c>
      <c r="D670" s="24" t="s">
        <v>331</v>
      </c>
      <c r="E670" s="24" t="b">
        <v>0</v>
      </c>
    </row>
    <row r="671" spans="1:16">
      <c r="A671" s="24"/>
      <c r="H671" s="24">
        <v>1</v>
      </c>
      <c r="I671" s="24" t="s">
        <v>448</v>
      </c>
      <c r="J671" s="24" t="s">
        <v>269</v>
      </c>
      <c r="K671" s="24" t="s">
        <v>334</v>
      </c>
      <c r="L671" s="24" t="s">
        <v>3516</v>
      </c>
      <c r="M671" s="110" t="s">
        <v>3874</v>
      </c>
      <c r="N671" s="24">
        <v>1</v>
      </c>
      <c r="O671" s="24" t="s">
        <v>3886</v>
      </c>
      <c r="P671" s="24" t="s">
        <v>488</v>
      </c>
    </row>
    <row r="672" spans="1:16">
      <c r="A672" s="172">
        <v>2104000000422</v>
      </c>
      <c r="B672" s="24" t="s">
        <v>3887</v>
      </c>
      <c r="C672" s="172">
        <v>2200000000034</v>
      </c>
      <c r="D672" s="24" t="s">
        <v>331</v>
      </c>
      <c r="E672" s="24" t="b">
        <v>0</v>
      </c>
    </row>
    <row r="673" spans="1:16" ht="27">
      <c r="H673" s="24">
        <v>1</v>
      </c>
      <c r="I673" s="24" t="s">
        <v>448</v>
      </c>
      <c r="J673" s="24" t="s">
        <v>269</v>
      </c>
      <c r="K673" s="24" t="s">
        <v>334</v>
      </c>
      <c r="L673" s="24" t="s">
        <v>377</v>
      </c>
      <c r="M673" s="110" t="s">
        <v>3843</v>
      </c>
      <c r="N673" s="24">
        <v>1</v>
      </c>
      <c r="O673" s="24" t="s">
        <v>3888</v>
      </c>
      <c r="P673" s="24" t="s">
        <v>488</v>
      </c>
    </row>
    <row r="674" spans="1:16">
      <c r="A674" s="172">
        <v>2104000000423</v>
      </c>
      <c r="B674" s="24" t="s">
        <v>3889</v>
      </c>
      <c r="C674" s="172">
        <v>2200000000034</v>
      </c>
      <c r="D674" s="24" t="s">
        <v>331</v>
      </c>
      <c r="E674" s="24" t="b">
        <v>0</v>
      </c>
    </row>
    <row r="675" spans="1:16" ht="27">
      <c r="H675" s="24">
        <v>1</v>
      </c>
      <c r="I675" s="24" t="s">
        <v>448</v>
      </c>
      <c r="J675" s="24" t="s">
        <v>269</v>
      </c>
      <c r="K675" s="24" t="s">
        <v>334</v>
      </c>
      <c r="L675" s="24" t="s">
        <v>377</v>
      </c>
      <c r="M675" s="110" t="s">
        <v>3849</v>
      </c>
      <c r="N675" s="24">
        <v>1</v>
      </c>
      <c r="O675" s="24" t="s">
        <v>3890</v>
      </c>
      <c r="P675" s="24" t="s">
        <v>488</v>
      </c>
    </row>
    <row r="676" spans="1:16">
      <c r="A676" s="172">
        <v>2104000000424</v>
      </c>
      <c r="B676" s="24" t="s">
        <v>3891</v>
      </c>
      <c r="C676" s="172">
        <v>2231000000016</v>
      </c>
      <c r="D676" s="24" t="s">
        <v>331</v>
      </c>
      <c r="E676" s="24" t="b">
        <v>0</v>
      </c>
    </row>
    <row r="677" spans="1:16">
      <c r="H677" s="24">
        <v>1</v>
      </c>
      <c r="I677" s="24" t="s">
        <v>448</v>
      </c>
      <c r="J677" s="24" t="s">
        <v>269</v>
      </c>
      <c r="K677" s="24" t="s">
        <v>334</v>
      </c>
      <c r="L677" s="24" t="s">
        <v>1858</v>
      </c>
      <c r="M677" s="110" t="s">
        <v>3892</v>
      </c>
      <c r="N677" s="24">
        <v>1</v>
      </c>
      <c r="P677" s="24" t="s">
        <v>488</v>
      </c>
    </row>
  </sheetData>
  <phoneticPr fontId="4" type="noConversion"/>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108"/>
  <sheetViews>
    <sheetView workbookViewId="0">
      <selection activeCell="G1" sqref="G1"/>
    </sheetView>
  </sheetViews>
  <sheetFormatPr defaultRowHeight="16.5"/>
  <cols>
    <col min="1" max="2" width="33.125" customWidth="1"/>
    <col min="3" max="5" width="18.375" customWidth="1"/>
    <col min="6" max="7" width="9.375" customWidth="1"/>
    <col min="8" max="8" width="9" customWidth="1"/>
    <col min="9" max="9" width="33.25" customWidth="1"/>
    <col min="10" max="10" width="30.625" customWidth="1"/>
    <col min="11" max="11" width="20.75" customWidth="1"/>
    <col min="12" max="12" width="22.375" customWidth="1"/>
    <col min="13" max="13" width="31.125" customWidth="1"/>
    <col min="14" max="14" width="9" customWidth="1"/>
    <col min="15" max="15" width="24.125" customWidth="1"/>
    <col min="16" max="16" width="40.875" style="24" bestFit="1" customWidth="1"/>
    <col min="17" max="17" width="27.25" bestFit="1" customWidth="1"/>
  </cols>
  <sheetData>
    <row r="1" spans="1:19">
      <c r="A1" s="5" t="s">
        <v>304</v>
      </c>
      <c r="B1" s="6" t="s">
        <v>305</v>
      </c>
      <c r="C1" s="6" t="s">
        <v>306</v>
      </c>
      <c r="D1" s="6" t="s">
        <v>307</v>
      </c>
      <c r="E1" s="6" t="s">
        <v>308</v>
      </c>
      <c r="F1" s="5" t="s">
        <v>636</v>
      </c>
      <c r="G1" s="165" t="s">
        <v>3740</v>
      </c>
      <c r="H1" s="4" t="s">
        <v>309</v>
      </c>
      <c r="I1" s="4" t="s">
        <v>310</v>
      </c>
      <c r="J1" s="4" t="s">
        <v>311</v>
      </c>
      <c r="K1" s="4" t="s">
        <v>312</v>
      </c>
      <c r="L1" s="4" t="s">
        <v>313</v>
      </c>
      <c r="M1" s="4" t="s">
        <v>314</v>
      </c>
      <c r="N1" s="4" t="s">
        <v>315</v>
      </c>
      <c r="O1" s="4" t="s">
        <v>316</v>
      </c>
      <c r="P1" s="22" t="s">
        <v>1122</v>
      </c>
      <c r="Q1" s="9" t="s">
        <v>317</v>
      </c>
    </row>
    <row r="2" spans="1:19">
      <c r="A2" s="5" t="s">
        <v>318</v>
      </c>
      <c r="B2" s="5" t="s">
        <v>3</v>
      </c>
      <c r="C2" s="5" t="s">
        <v>319</v>
      </c>
      <c r="D2" s="5" t="s">
        <v>320</v>
      </c>
      <c r="E2" s="5" t="s">
        <v>321</v>
      </c>
      <c r="F2" s="5" t="s">
        <v>320</v>
      </c>
      <c r="G2" s="165" t="s">
        <v>851</v>
      </c>
      <c r="H2" s="4" t="s">
        <v>322</v>
      </c>
      <c r="I2" s="4" t="s">
        <v>323</v>
      </c>
      <c r="J2" s="4" t="s">
        <v>323</v>
      </c>
      <c r="K2" s="4" t="s">
        <v>324</v>
      </c>
      <c r="L2" s="4" t="s">
        <v>325</v>
      </c>
      <c r="M2" s="4" t="s">
        <v>326</v>
      </c>
      <c r="N2" s="4" t="s">
        <v>322</v>
      </c>
      <c r="O2" s="4" t="s">
        <v>320</v>
      </c>
      <c r="P2" s="22" t="s">
        <v>1122</v>
      </c>
      <c r="Q2" s="9" t="s">
        <v>327</v>
      </c>
    </row>
    <row r="3" spans="1:19">
      <c r="A3" s="5" t="s">
        <v>328</v>
      </c>
      <c r="B3" s="5" t="s">
        <v>3</v>
      </c>
      <c r="C3" s="5" t="s">
        <v>328</v>
      </c>
      <c r="D3" s="5" t="s">
        <v>329</v>
      </c>
      <c r="E3" s="5" t="s">
        <v>4</v>
      </c>
      <c r="F3" s="5" t="s">
        <v>328</v>
      </c>
      <c r="G3" s="165" t="s">
        <v>328</v>
      </c>
      <c r="H3" s="4" t="s">
        <v>328</v>
      </c>
      <c r="I3" s="4" t="s">
        <v>4</v>
      </c>
      <c r="J3" s="4" t="s">
        <v>4</v>
      </c>
      <c r="K3" s="4" t="s">
        <v>328</v>
      </c>
      <c r="L3" s="4" t="s">
        <v>328</v>
      </c>
      <c r="M3" s="4" t="s">
        <v>328</v>
      </c>
      <c r="N3" s="4" t="s">
        <v>328</v>
      </c>
      <c r="O3" s="4" t="s">
        <v>328</v>
      </c>
      <c r="P3" s="22" t="s">
        <v>1122</v>
      </c>
      <c r="Q3" s="9" t="s">
        <v>4</v>
      </c>
    </row>
    <row r="4" spans="1:19">
      <c r="A4" s="157">
        <v>2105000000001</v>
      </c>
      <c r="B4" s="28" t="s">
        <v>2199</v>
      </c>
      <c r="C4" s="25" t="s">
        <v>489</v>
      </c>
      <c r="D4" s="25" t="s">
        <v>331</v>
      </c>
      <c r="E4" s="25" t="b">
        <v>1</v>
      </c>
      <c r="L4" s="26"/>
      <c r="M4" s="26"/>
      <c r="Q4" s="97"/>
    </row>
    <row r="5" spans="1:19">
      <c r="A5" s="25"/>
      <c r="B5" s="25"/>
      <c r="E5" s="25"/>
      <c r="H5" s="43">
        <v>1</v>
      </c>
      <c r="I5" s="28" t="s">
        <v>2206</v>
      </c>
      <c r="J5" s="28" t="s">
        <v>2206</v>
      </c>
      <c r="K5" s="28" t="s">
        <v>334</v>
      </c>
      <c r="L5" s="28" t="s">
        <v>425</v>
      </c>
      <c r="M5" s="28" t="s">
        <v>1219</v>
      </c>
      <c r="N5" s="28">
        <v>1</v>
      </c>
      <c r="O5" t="s">
        <v>2663</v>
      </c>
      <c r="P5" s="24" t="str">
        <f>IF(VLOOKUP(L5,Statistics!B:F,5,FALSE)=0,"",VLOOKUP(L5,Statistics!B:F,5,FALSE))</f>
        <v>QuickMove0010</v>
      </c>
      <c r="Q5" s="28" t="s">
        <v>488</v>
      </c>
    </row>
    <row r="6" spans="1:19">
      <c r="A6" s="158">
        <v>2105000000002</v>
      </c>
      <c r="B6" s="26" t="s">
        <v>1222</v>
      </c>
      <c r="C6" s="25" t="s">
        <v>489</v>
      </c>
      <c r="D6" s="25" t="s">
        <v>331</v>
      </c>
      <c r="E6" s="25" t="b">
        <v>1</v>
      </c>
      <c r="H6" s="25"/>
      <c r="K6" s="25"/>
      <c r="L6" s="25"/>
      <c r="M6" s="25"/>
      <c r="N6" s="25"/>
      <c r="Q6" s="25"/>
    </row>
    <row r="7" spans="1:19">
      <c r="A7" s="25"/>
      <c r="B7" s="26"/>
      <c r="C7" s="25"/>
      <c r="D7" s="25"/>
      <c r="E7" s="25"/>
      <c r="H7" s="43">
        <v>1</v>
      </c>
      <c r="I7" s="28" t="s">
        <v>2207</v>
      </c>
      <c r="J7" s="28" t="s">
        <v>2207</v>
      </c>
      <c r="K7" s="28" t="s">
        <v>334</v>
      </c>
      <c r="L7" s="28" t="s">
        <v>495</v>
      </c>
      <c r="M7" s="28" t="s">
        <v>1223</v>
      </c>
      <c r="N7" s="28">
        <v>1</v>
      </c>
      <c r="O7" s="252" t="s">
        <v>2664</v>
      </c>
      <c r="P7" s="24" t="str">
        <f>IF(VLOOKUP(L7,Statistics!B:F,5,FALSE)=0,"",VLOOKUP(L7,Statistics!B:F,5,FALSE))</f>
        <v>QuickMove0110</v>
      </c>
      <c r="Q7" s="28" t="s">
        <v>1254</v>
      </c>
    </row>
    <row r="8" spans="1:19">
      <c r="A8" s="157">
        <v>2105000000003</v>
      </c>
      <c r="B8" s="25" t="s">
        <v>2201</v>
      </c>
      <c r="C8" s="25" t="s">
        <v>489</v>
      </c>
      <c r="D8" s="25" t="s">
        <v>331</v>
      </c>
      <c r="E8" s="25" t="b">
        <v>1</v>
      </c>
      <c r="H8" s="25"/>
      <c r="K8" s="25"/>
      <c r="L8" s="25"/>
      <c r="M8" s="25"/>
      <c r="N8" s="25"/>
      <c r="Q8" s="25"/>
    </row>
    <row r="9" spans="1:19">
      <c r="A9" s="25"/>
      <c r="B9" s="25"/>
      <c r="C9" s="25"/>
      <c r="D9" s="25"/>
      <c r="E9" s="25"/>
      <c r="H9" s="43" t="s">
        <v>332</v>
      </c>
      <c r="I9" s="28" t="s">
        <v>2208</v>
      </c>
      <c r="J9" s="28" t="s">
        <v>2208</v>
      </c>
      <c r="K9" s="28" t="s">
        <v>334</v>
      </c>
      <c r="L9" s="27" t="s">
        <v>361</v>
      </c>
      <c r="M9" s="27"/>
      <c r="N9" s="28">
        <v>1</v>
      </c>
      <c r="O9" t="s">
        <v>2665</v>
      </c>
      <c r="P9" s="24" t="str">
        <f>IF(VLOOKUP(L9,Statistics!B:F,5,FALSE)=0,"",VLOOKUP(L9,Statistics!B:F,5,FALSE))</f>
        <v>QuickMove0250</v>
      </c>
      <c r="Q9" s="28" t="s">
        <v>362</v>
      </c>
    </row>
    <row r="10" spans="1:19" s="218" customFormat="1">
      <c r="A10" s="158">
        <v>2105000000004</v>
      </c>
      <c r="B10" s="25" t="s">
        <v>2226</v>
      </c>
      <c r="C10" s="25" t="s">
        <v>489</v>
      </c>
      <c r="D10" s="25" t="s">
        <v>331</v>
      </c>
      <c r="E10" s="25" t="b">
        <v>1</v>
      </c>
      <c r="F10"/>
      <c r="G10"/>
      <c r="H10" s="44"/>
      <c r="I10"/>
      <c r="J10"/>
      <c r="K10" s="28"/>
      <c r="L10" s="27"/>
      <c r="M10" s="27"/>
      <c r="N10" s="27"/>
      <c r="O10"/>
      <c r="P10" s="24"/>
      <c r="Q10" s="28"/>
    </row>
    <row r="11" spans="1:19" s="218" customFormat="1">
      <c r="A11" s="25"/>
      <c r="B11" s="25"/>
      <c r="C11" s="25"/>
      <c r="D11" s="25"/>
      <c r="E11" s="25"/>
      <c r="F11"/>
      <c r="G11"/>
      <c r="H11" s="43" t="s">
        <v>332</v>
      </c>
      <c r="I11" s="28" t="s">
        <v>2209</v>
      </c>
      <c r="J11" s="28" t="s">
        <v>2209</v>
      </c>
      <c r="K11" s="28" t="s">
        <v>334</v>
      </c>
      <c r="L11" s="28" t="s">
        <v>495</v>
      </c>
      <c r="M11" s="28" t="s">
        <v>2227</v>
      </c>
      <c r="N11" s="28">
        <v>1</v>
      </c>
      <c r="O11" t="s">
        <v>2664</v>
      </c>
      <c r="P11" s="24" t="str">
        <f>IF(VLOOKUP(L11,Statistics!B:F,5,FALSE)=0,"",VLOOKUP(L11,Statistics!B:F,5,FALSE))</f>
        <v>QuickMove0110</v>
      </c>
      <c r="Q11" s="28" t="s">
        <v>488</v>
      </c>
    </row>
    <row r="12" spans="1:19" s="218" customFormat="1">
      <c r="A12" s="157">
        <v>2105000000005</v>
      </c>
      <c r="B12" s="26" t="s">
        <v>3200</v>
      </c>
      <c r="C12" s="26" t="s">
        <v>489</v>
      </c>
      <c r="D12" s="25" t="s">
        <v>331</v>
      </c>
      <c r="E12" s="25" t="b">
        <v>1</v>
      </c>
      <c r="F12"/>
      <c r="G12"/>
      <c r="H12" s="46"/>
      <c r="I12"/>
      <c r="J12"/>
      <c r="K12" s="25"/>
      <c r="L12" s="26"/>
      <c r="M12" s="26"/>
      <c r="N12" s="26"/>
      <c r="O12"/>
      <c r="P12" s="24"/>
      <c r="Q12" s="25"/>
      <c r="S12" s="220"/>
    </row>
    <row r="13" spans="1:19" s="218" customFormat="1">
      <c r="A13" s="25"/>
      <c r="B13" s="26"/>
      <c r="C13"/>
      <c r="D13"/>
      <c r="E13" s="25"/>
      <c r="F13"/>
      <c r="G13"/>
      <c r="H13" s="43">
        <v>1</v>
      </c>
      <c r="I13" s="28" t="s">
        <v>3205</v>
      </c>
      <c r="J13" s="28" t="s">
        <v>3205</v>
      </c>
      <c r="K13" s="28" t="s">
        <v>334</v>
      </c>
      <c r="L13" s="27" t="s">
        <v>425</v>
      </c>
      <c r="M13" s="28" t="s">
        <v>3201</v>
      </c>
      <c r="N13" s="28">
        <v>1</v>
      </c>
      <c r="O13" t="s">
        <v>2666</v>
      </c>
      <c r="P13" s="24" t="s">
        <v>488</v>
      </c>
      <c r="Q13" s="28" t="s">
        <v>488</v>
      </c>
    </row>
    <row r="14" spans="1:19" s="230" customFormat="1">
      <c r="A14" s="158">
        <v>2105000000006</v>
      </c>
      <c r="B14" s="25" t="s">
        <v>2192</v>
      </c>
      <c r="C14" s="25" t="s">
        <v>489</v>
      </c>
      <c r="D14" s="25" t="s">
        <v>331</v>
      </c>
      <c r="E14" s="25" t="b">
        <v>1</v>
      </c>
      <c r="F14"/>
      <c r="G14"/>
      <c r="H14" s="25"/>
      <c r="I14"/>
      <c r="J14"/>
      <c r="K14" s="25"/>
      <c r="L14" s="25"/>
      <c r="M14" s="25"/>
      <c r="N14" s="25"/>
      <c r="O14" s="205"/>
      <c r="P14" s="24"/>
      <c r="Q14" s="97"/>
    </row>
    <row r="15" spans="1:19" s="230" customFormat="1">
      <c r="A15" s="25"/>
      <c r="B15" s="25"/>
      <c r="C15" s="25"/>
      <c r="D15" s="25"/>
      <c r="E15" s="25"/>
      <c r="F15"/>
      <c r="G15"/>
      <c r="H15" s="44">
        <v>1</v>
      </c>
      <c r="I15" s="28" t="s">
        <v>2210</v>
      </c>
      <c r="J15" s="28" t="s">
        <v>2210</v>
      </c>
      <c r="K15" s="28" t="s">
        <v>334</v>
      </c>
      <c r="L15" s="87" t="s">
        <v>366</v>
      </c>
      <c r="M15" s="87" t="s">
        <v>367</v>
      </c>
      <c r="N15" s="87">
        <v>1</v>
      </c>
      <c r="O15" s="205" t="s">
        <v>2667</v>
      </c>
      <c r="P15" s="24" t="str">
        <f>IF(VLOOKUP(L15,Statistics!B:F,5,FALSE)=0,"",VLOOKUP(L15,Statistics!B:F,5,FALSE))</f>
        <v/>
      </c>
      <c r="Q15" s="28" t="s">
        <v>2248</v>
      </c>
    </row>
    <row r="16" spans="1:19" s="240" customFormat="1">
      <c r="A16" s="157">
        <v>2105000000007</v>
      </c>
      <c r="B16" s="26" t="s">
        <v>811</v>
      </c>
      <c r="C16" s="25" t="s">
        <v>489</v>
      </c>
      <c r="D16" s="25" t="s">
        <v>331</v>
      </c>
      <c r="E16" s="25" t="b">
        <v>1</v>
      </c>
      <c r="F16"/>
      <c r="G16"/>
      <c r="H16" s="33"/>
      <c r="I16"/>
      <c r="J16"/>
      <c r="K16" s="25"/>
      <c r="L16" s="25"/>
      <c r="M16" s="25"/>
      <c r="N16" s="25"/>
      <c r="O16" s="205"/>
      <c r="P16" s="24"/>
      <c r="Q16" s="97"/>
    </row>
    <row r="17" spans="1:17" s="240" customFormat="1">
      <c r="A17" s="25"/>
      <c r="B17" s="26"/>
      <c r="C17" s="25"/>
      <c r="D17" s="25"/>
      <c r="E17" s="25"/>
      <c r="F17"/>
      <c r="G17"/>
      <c r="H17" s="43">
        <v>1</v>
      </c>
      <c r="I17" s="28" t="s">
        <v>2231</v>
      </c>
      <c r="J17" s="28" t="s">
        <v>2231</v>
      </c>
      <c r="K17" s="28" t="s">
        <v>334</v>
      </c>
      <c r="L17" s="28" t="s">
        <v>542</v>
      </c>
      <c r="M17" s="28"/>
      <c r="N17" s="28">
        <v>1</v>
      </c>
      <c r="O17" t="s">
        <v>2665</v>
      </c>
      <c r="P17" s="24" t="str">
        <f>IF(VLOOKUP(L17,Statistics!B:F,5,FALSE)=0,"",VLOOKUP(L17,Statistics!B:F,5,FALSE))</f>
        <v/>
      </c>
      <c r="Q17" s="28" t="s">
        <v>2249</v>
      </c>
    </row>
    <row r="18" spans="1:17" s="240" customFormat="1">
      <c r="A18" s="158">
        <v>2105000000008</v>
      </c>
      <c r="B18" s="26" t="s">
        <v>2202</v>
      </c>
      <c r="C18" s="26" t="s">
        <v>489</v>
      </c>
      <c r="D18" s="25" t="s">
        <v>331</v>
      </c>
      <c r="E18" s="25" t="b">
        <v>1</v>
      </c>
      <c r="F18"/>
      <c r="G18"/>
      <c r="H18" s="46"/>
      <c r="I18"/>
      <c r="J18"/>
      <c r="K18" s="25"/>
      <c r="L18" s="26"/>
      <c r="M18" s="26"/>
      <c r="N18" s="26"/>
      <c r="O18"/>
      <c r="P18" s="24"/>
      <c r="Q18" s="25"/>
    </row>
    <row r="19" spans="1:17" s="240" customFormat="1">
      <c r="A19" s="25"/>
      <c r="B19" s="26"/>
      <c r="C19"/>
      <c r="D19"/>
      <c r="E19" s="25"/>
      <c r="F19"/>
      <c r="G19"/>
      <c r="H19" s="43" t="s">
        <v>332</v>
      </c>
      <c r="I19" s="28" t="s">
        <v>2211</v>
      </c>
      <c r="J19" s="28" t="s">
        <v>2211</v>
      </c>
      <c r="K19" s="28" t="s">
        <v>334</v>
      </c>
      <c r="L19" s="27" t="s">
        <v>490</v>
      </c>
      <c r="M19" s="27" t="s">
        <v>507</v>
      </c>
      <c r="N19" s="28">
        <v>1</v>
      </c>
      <c r="O19" s="205" t="s">
        <v>2668</v>
      </c>
      <c r="P19" s="24" t="str">
        <f>IF(VLOOKUP(L19,Statistics!B:F,5,FALSE)=0,"",VLOOKUP(L19,Statistics!B:F,5,FALSE))</f>
        <v>QuickMove0250</v>
      </c>
      <c r="Q19" s="28" t="s">
        <v>362</v>
      </c>
    </row>
    <row r="20" spans="1:17" s="240" customFormat="1">
      <c r="A20" s="157">
        <v>2105000000009</v>
      </c>
      <c r="B20" s="26" t="s">
        <v>2193</v>
      </c>
      <c r="C20" s="25" t="s">
        <v>489</v>
      </c>
      <c r="D20" s="25" t="s">
        <v>331</v>
      </c>
      <c r="E20" s="25" t="b">
        <v>1</v>
      </c>
      <c r="F20"/>
      <c r="G20"/>
      <c r="H20"/>
      <c r="I20"/>
      <c r="J20"/>
      <c r="K20"/>
      <c r="L20"/>
      <c r="M20"/>
      <c r="N20"/>
      <c r="O20" s="205"/>
      <c r="P20" s="24"/>
      <c r="Q20" s="97"/>
    </row>
    <row r="21" spans="1:17" s="240" customFormat="1">
      <c r="A21" s="25"/>
      <c r="B21" s="26"/>
      <c r="C21"/>
      <c r="D21"/>
      <c r="E21" s="25"/>
      <c r="F21"/>
      <c r="G21"/>
      <c r="H21" s="43" t="s">
        <v>332</v>
      </c>
      <c r="I21" s="28" t="s">
        <v>2212</v>
      </c>
      <c r="J21" s="28" t="s">
        <v>2212</v>
      </c>
      <c r="K21" s="28" t="s">
        <v>334</v>
      </c>
      <c r="L21" s="27" t="s">
        <v>508</v>
      </c>
      <c r="M21" s="45"/>
      <c r="N21" s="27">
        <v>1</v>
      </c>
      <c r="O21" t="s">
        <v>2667</v>
      </c>
      <c r="P21" s="24" t="str">
        <f>IF(VLOOKUP(L21,Statistics!B:F,5,FALSE)=0,"",VLOOKUP(L21,Statistics!B:F,5,FALSE))</f>
        <v>QuickMove0420</v>
      </c>
      <c r="Q21" s="98" t="s">
        <v>509</v>
      </c>
    </row>
    <row r="22" spans="1:17" s="240" customFormat="1">
      <c r="A22" s="158">
        <v>2105000000010</v>
      </c>
      <c r="B22" s="28" t="s">
        <v>2228</v>
      </c>
      <c r="C22" s="25" t="s">
        <v>489</v>
      </c>
      <c r="D22" s="25" t="s">
        <v>331</v>
      </c>
      <c r="E22" s="25" t="b">
        <v>1</v>
      </c>
      <c r="F22"/>
      <c r="G22"/>
      <c r="H22"/>
      <c r="I22"/>
      <c r="J22"/>
      <c r="K22"/>
      <c r="L22" s="26"/>
      <c r="M22" s="26"/>
      <c r="N22"/>
      <c r="O22"/>
      <c r="P22" s="24"/>
      <c r="Q22" s="97"/>
    </row>
    <row r="23" spans="1:17" s="240" customFormat="1">
      <c r="A23" s="25"/>
      <c r="B23" s="25"/>
      <c r="C23"/>
      <c r="D23"/>
      <c r="E23" s="25"/>
      <c r="F23"/>
      <c r="G23"/>
      <c r="H23" s="43">
        <v>1</v>
      </c>
      <c r="I23" s="28" t="s">
        <v>2213</v>
      </c>
      <c r="J23" s="28" t="s">
        <v>2213</v>
      </c>
      <c r="K23" s="28" t="s">
        <v>334</v>
      </c>
      <c r="L23" s="28" t="s">
        <v>425</v>
      </c>
      <c r="M23" s="28" t="s">
        <v>502</v>
      </c>
      <c r="N23" s="28">
        <v>1</v>
      </c>
      <c r="O23" t="s">
        <v>2669</v>
      </c>
      <c r="P23" s="24" t="s">
        <v>488</v>
      </c>
      <c r="Q23" s="28" t="s">
        <v>488</v>
      </c>
    </row>
    <row r="24" spans="1:17" s="240" customFormat="1">
      <c r="A24" s="157">
        <v>2105000000011</v>
      </c>
      <c r="B24" s="26" t="s">
        <v>3202</v>
      </c>
      <c r="C24" s="25" t="s">
        <v>489</v>
      </c>
      <c r="D24" s="25" t="s">
        <v>331</v>
      </c>
      <c r="E24" s="25" t="b">
        <v>1</v>
      </c>
      <c r="F24"/>
      <c r="G24"/>
      <c r="H24" s="33"/>
      <c r="I24"/>
      <c r="J24"/>
      <c r="K24" s="25"/>
      <c r="L24" s="25"/>
      <c r="M24" s="25"/>
      <c r="N24" s="25"/>
      <c r="O24"/>
      <c r="P24" s="24"/>
      <c r="Q24" s="97"/>
    </row>
    <row r="25" spans="1:17" s="240" customFormat="1">
      <c r="A25" s="25"/>
      <c r="B25" s="26"/>
      <c r="C25" s="25"/>
      <c r="D25" s="25"/>
      <c r="E25" s="25"/>
      <c r="F25"/>
      <c r="G25"/>
      <c r="H25" s="43" t="s">
        <v>332</v>
      </c>
      <c r="I25" s="28" t="s">
        <v>2214</v>
      </c>
      <c r="J25" s="28" t="s">
        <v>2214</v>
      </c>
      <c r="K25" s="28" t="s">
        <v>334</v>
      </c>
      <c r="L25" s="27" t="s">
        <v>425</v>
      </c>
      <c r="M25" s="27" t="s">
        <v>3203</v>
      </c>
      <c r="N25" s="28">
        <v>1</v>
      </c>
      <c r="O25" t="s">
        <v>2670</v>
      </c>
      <c r="P25" s="24" t="s">
        <v>488</v>
      </c>
      <c r="Q25" s="28" t="s">
        <v>488</v>
      </c>
    </row>
    <row r="26" spans="1:17" s="240" customFormat="1">
      <c r="A26" s="158">
        <v>2105000000012</v>
      </c>
      <c r="B26" s="26" t="s">
        <v>3204</v>
      </c>
      <c r="C26" s="25" t="s">
        <v>489</v>
      </c>
      <c r="D26" s="25" t="s">
        <v>331</v>
      </c>
      <c r="E26" s="25" t="b">
        <v>1</v>
      </c>
      <c r="F26"/>
      <c r="G26"/>
      <c r="H26"/>
      <c r="I26"/>
      <c r="J26"/>
      <c r="K26"/>
      <c r="L26" s="26"/>
      <c r="M26"/>
      <c r="N26"/>
      <c r="O26"/>
      <c r="P26" s="24"/>
      <c r="Q26" s="97"/>
    </row>
    <row r="27" spans="1:17" s="240" customFormat="1">
      <c r="A27" s="25"/>
      <c r="B27" s="26"/>
      <c r="C27"/>
      <c r="D27"/>
      <c r="E27" s="25"/>
      <c r="F27"/>
      <c r="G27"/>
      <c r="H27" s="44">
        <v>1</v>
      </c>
      <c r="I27" s="28" t="s">
        <v>2215</v>
      </c>
      <c r="J27" s="28" t="s">
        <v>2215</v>
      </c>
      <c r="K27" s="28" t="s">
        <v>334</v>
      </c>
      <c r="L27" s="27" t="s">
        <v>1347</v>
      </c>
      <c r="M27" s="27"/>
      <c r="N27" s="27">
        <v>1</v>
      </c>
      <c r="O27" t="s">
        <v>2665</v>
      </c>
      <c r="P27" s="24" t="s">
        <v>1562</v>
      </c>
      <c r="Q27" s="99" t="s">
        <v>2250</v>
      </c>
    </row>
    <row r="28" spans="1:17" s="240" customFormat="1">
      <c r="A28" s="157">
        <v>2105000000013</v>
      </c>
      <c r="B28" s="26" t="s">
        <v>908</v>
      </c>
      <c r="C28" s="26" t="s">
        <v>489</v>
      </c>
      <c r="D28" s="25" t="s">
        <v>331</v>
      </c>
      <c r="E28" s="25" t="b">
        <v>1</v>
      </c>
      <c r="F28"/>
      <c r="G28"/>
      <c r="H28"/>
      <c r="I28"/>
      <c r="J28"/>
      <c r="K28"/>
      <c r="L28"/>
      <c r="M28"/>
      <c r="N28"/>
      <c r="O28" s="205"/>
      <c r="P28" s="24"/>
      <c r="Q28" s="97"/>
    </row>
    <row r="29" spans="1:17" s="240" customFormat="1">
      <c r="A29" s="25"/>
      <c r="B29" s="26"/>
      <c r="C29"/>
      <c r="D29"/>
      <c r="E29" s="25"/>
      <c r="F29"/>
      <c r="G29"/>
      <c r="H29" s="43">
        <v>1</v>
      </c>
      <c r="I29" s="28" t="s">
        <v>2216</v>
      </c>
      <c r="J29" s="28" t="s">
        <v>2216</v>
      </c>
      <c r="K29" s="28" t="s">
        <v>334</v>
      </c>
      <c r="L29" s="28" t="s">
        <v>1252</v>
      </c>
      <c r="M29" s="28" t="s">
        <v>2437</v>
      </c>
      <c r="N29" s="28">
        <v>1</v>
      </c>
      <c r="O29" t="s">
        <v>2670</v>
      </c>
      <c r="P29" s="24" t="str">
        <f>IF(VLOOKUP(L29,Statistics!B:F,5,FALSE)=0,"",VLOOKUP(L29,Statistics!B:F,5,FALSE))</f>
        <v>QuickMove0110</v>
      </c>
      <c r="Q29" s="28" t="s">
        <v>488</v>
      </c>
    </row>
    <row r="30" spans="1:17" s="240" customFormat="1">
      <c r="A30" s="158">
        <v>2105000000014</v>
      </c>
      <c r="B30" s="26" t="s">
        <v>1207</v>
      </c>
      <c r="C30" s="25" t="s">
        <v>489</v>
      </c>
      <c r="D30" s="25" t="s">
        <v>331</v>
      </c>
      <c r="E30" s="25" t="b">
        <v>1</v>
      </c>
      <c r="F30"/>
      <c r="G30"/>
      <c r="H30"/>
      <c r="I30"/>
      <c r="J30"/>
      <c r="K30"/>
      <c r="L30" s="26"/>
      <c r="M30"/>
      <c r="N30"/>
      <c r="O30" s="205"/>
      <c r="P30" s="24"/>
      <c r="Q30" s="97"/>
    </row>
    <row r="31" spans="1:17" s="240" customFormat="1">
      <c r="A31" s="25"/>
      <c r="B31" s="26"/>
      <c r="C31"/>
      <c r="D31"/>
      <c r="E31" s="25"/>
      <c r="F31"/>
      <c r="G31"/>
      <c r="H31" s="44">
        <v>1</v>
      </c>
      <c r="I31" s="28" t="s">
        <v>2217</v>
      </c>
      <c r="J31" s="28" t="s">
        <v>2217</v>
      </c>
      <c r="K31" s="28" t="s">
        <v>334</v>
      </c>
      <c r="L31" s="27" t="s">
        <v>535</v>
      </c>
      <c r="M31" s="27" t="s">
        <v>536</v>
      </c>
      <c r="N31" s="27">
        <v>1</v>
      </c>
      <c r="O31" t="s">
        <v>2671</v>
      </c>
      <c r="Q31" s="99" t="s">
        <v>1200</v>
      </c>
    </row>
    <row r="32" spans="1:17" s="240" customFormat="1">
      <c r="A32" s="157">
        <v>2105000000015</v>
      </c>
      <c r="B32" s="25" t="s">
        <v>801</v>
      </c>
      <c r="C32" s="26" t="s">
        <v>489</v>
      </c>
      <c r="D32" s="25" t="s">
        <v>331</v>
      </c>
      <c r="E32" s="25" t="b">
        <v>1</v>
      </c>
      <c r="F32"/>
      <c r="G32"/>
      <c r="H32"/>
      <c r="I32"/>
      <c r="J32"/>
      <c r="K32"/>
      <c r="L32"/>
      <c r="M32"/>
      <c r="N32"/>
      <c r="O32" s="205"/>
      <c r="P32" s="24"/>
      <c r="Q32" s="97"/>
    </row>
    <row r="33" spans="1:17" s="240" customFormat="1">
      <c r="A33" s="25"/>
      <c r="B33" s="26"/>
      <c r="C33"/>
      <c r="D33"/>
      <c r="E33" s="25"/>
      <c r="F33"/>
      <c r="G33"/>
      <c r="H33" s="44">
        <v>1</v>
      </c>
      <c r="I33" s="28" t="s">
        <v>2218</v>
      </c>
      <c r="J33" s="28" t="s">
        <v>2218</v>
      </c>
      <c r="K33" s="28" t="s">
        <v>334</v>
      </c>
      <c r="L33" s="27" t="s">
        <v>1253</v>
      </c>
      <c r="M33" s="27"/>
      <c r="N33" s="27">
        <v>1</v>
      </c>
      <c r="O33" t="s">
        <v>2672</v>
      </c>
      <c r="P33" s="24" t="str">
        <f>IF(VLOOKUP(L33,Statistics!B:F,5,FALSE)=0,"",VLOOKUP(L33,Statistics!B:F,5,FALSE))</f>
        <v>QuickMove.IdleBattlePopup</v>
      </c>
      <c r="Q33" s="28" t="s">
        <v>1041</v>
      </c>
    </row>
    <row r="34" spans="1:17" s="256" customFormat="1">
      <c r="A34" s="158">
        <v>2105000000016</v>
      </c>
      <c r="B34" s="28" t="s">
        <v>2230</v>
      </c>
      <c r="C34" s="25" t="s">
        <v>489</v>
      </c>
      <c r="D34" s="25" t="s">
        <v>331</v>
      </c>
      <c r="E34" s="25" t="b">
        <v>1</v>
      </c>
      <c r="F34"/>
      <c r="G34"/>
      <c r="H34"/>
      <c r="I34"/>
      <c r="J34"/>
      <c r="K34"/>
      <c r="L34" s="26"/>
      <c r="M34" s="26"/>
      <c r="N34"/>
      <c r="O34"/>
      <c r="P34" s="24"/>
      <c r="Q34" s="97"/>
    </row>
    <row r="35" spans="1:17" s="256" customFormat="1">
      <c r="A35" s="25"/>
      <c r="B35" s="25"/>
      <c r="C35"/>
      <c r="D35"/>
      <c r="E35" s="25"/>
      <c r="F35"/>
      <c r="G35"/>
      <c r="H35" s="43">
        <v>1</v>
      </c>
      <c r="I35" s="28" t="s">
        <v>2232</v>
      </c>
      <c r="J35" s="28" t="s">
        <v>2232</v>
      </c>
      <c r="K35" s="28" t="s">
        <v>334</v>
      </c>
      <c r="L35" s="28" t="s">
        <v>425</v>
      </c>
      <c r="M35" s="28" t="s">
        <v>2229</v>
      </c>
      <c r="N35" s="28">
        <v>1</v>
      </c>
      <c r="O35" s="205" t="s">
        <v>2673</v>
      </c>
      <c r="P35" s="24" t="str">
        <f>IF(VLOOKUP(L35,Statistics!B:F,5,FALSE)=0,"",VLOOKUP(L35,Statistics!B:F,5,FALSE))</f>
        <v>QuickMove0010</v>
      </c>
      <c r="Q35" s="28" t="s">
        <v>488</v>
      </c>
    </row>
    <row r="36" spans="1:17" s="240" customFormat="1">
      <c r="A36" s="158">
        <v>2105000000017</v>
      </c>
      <c r="B36" s="25" t="s">
        <v>2203</v>
      </c>
      <c r="C36" s="25" t="s">
        <v>489</v>
      </c>
      <c r="D36" s="25" t="s">
        <v>331</v>
      </c>
      <c r="E36" s="25" t="b">
        <v>1</v>
      </c>
      <c r="F36"/>
      <c r="G36"/>
      <c r="H36" s="25"/>
      <c r="I36"/>
      <c r="J36"/>
      <c r="K36" s="25"/>
      <c r="L36" s="25"/>
      <c r="M36" s="25"/>
      <c r="N36" s="25"/>
      <c r="O36" s="205"/>
      <c r="P36" s="24"/>
      <c r="Q36" s="97"/>
    </row>
    <row r="37" spans="1:17" s="240" customFormat="1">
      <c r="A37" s="25"/>
      <c r="B37" s="26"/>
      <c r="C37" s="25"/>
      <c r="D37" s="25"/>
      <c r="E37" s="25"/>
      <c r="F37"/>
      <c r="G37"/>
      <c r="H37" s="43" t="s">
        <v>332</v>
      </c>
      <c r="I37" s="28" t="s">
        <v>2219</v>
      </c>
      <c r="J37" s="28" t="s">
        <v>2219</v>
      </c>
      <c r="K37" s="28" t="s">
        <v>334</v>
      </c>
      <c r="L37" s="27" t="s">
        <v>490</v>
      </c>
      <c r="M37" s="27" t="s">
        <v>507</v>
      </c>
      <c r="N37" s="28">
        <v>3</v>
      </c>
      <c r="O37" t="s">
        <v>2674</v>
      </c>
      <c r="P37" s="24" t="str">
        <f>IF(VLOOKUP(L37,Statistics!B:F,5,FALSE)=0,"",VLOOKUP(L37,Statistics!B:F,5,FALSE))</f>
        <v>QuickMove0250</v>
      </c>
      <c r="Q37" s="28" t="s">
        <v>362</v>
      </c>
    </row>
    <row r="38" spans="1:17" s="240" customFormat="1">
      <c r="A38" s="157">
        <v>2105000000018</v>
      </c>
      <c r="B38" s="26" t="s">
        <v>2194</v>
      </c>
      <c r="C38" s="25" t="s">
        <v>489</v>
      </c>
      <c r="D38" s="25" t="s">
        <v>331</v>
      </c>
      <c r="E38" s="25" t="b">
        <v>1</v>
      </c>
      <c r="F38"/>
      <c r="G38"/>
      <c r="H38"/>
      <c r="I38"/>
      <c r="J38"/>
      <c r="K38"/>
      <c r="L38"/>
      <c r="M38"/>
      <c r="N38"/>
      <c r="O38" s="205"/>
      <c r="P38" s="24"/>
      <c r="Q38" s="97"/>
    </row>
    <row r="39" spans="1:17" s="240" customFormat="1">
      <c r="A39" s="25"/>
      <c r="B39" s="26"/>
      <c r="C39"/>
      <c r="D39"/>
      <c r="E39" s="25"/>
      <c r="F39"/>
      <c r="G39"/>
      <c r="H39" s="43" t="s">
        <v>332</v>
      </c>
      <c r="I39" s="28" t="s">
        <v>2220</v>
      </c>
      <c r="J39" s="28" t="s">
        <v>2220</v>
      </c>
      <c r="K39" s="28" t="s">
        <v>334</v>
      </c>
      <c r="L39" s="27" t="s">
        <v>508</v>
      </c>
      <c r="M39" s="45"/>
      <c r="N39" s="27">
        <v>3</v>
      </c>
      <c r="O39" t="s">
        <v>2675</v>
      </c>
      <c r="P39" s="24" t="str">
        <f>IF(VLOOKUP(L39,Statistics!B:F,5,FALSE)=0,"",VLOOKUP(L39,Statistics!B:F,5,FALSE))</f>
        <v>QuickMove0420</v>
      </c>
      <c r="Q39" s="98" t="s">
        <v>509</v>
      </c>
    </row>
    <row r="40" spans="1:17">
      <c r="A40" s="157">
        <v>2105000000019</v>
      </c>
      <c r="B40" s="26" t="s">
        <v>2197</v>
      </c>
      <c r="C40" s="25" t="s">
        <v>489</v>
      </c>
      <c r="D40" s="25" t="s">
        <v>331</v>
      </c>
      <c r="E40" s="25" t="b">
        <v>1</v>
      </c>
      <c r="O40" s="205"/>
      <c r="Q40" s="97"/>
    </row>
    <row r="41" spans="1:17">
      <c r="A41" s="25"/>
      <c r="B41" s="26"/>
      <c r="E41" s="25"/>
      <c r="H41" s="43" t="s">
        <v>332</v>
      </c>
      <c r="I41" s="28" t="s">
        <v>2221</v>
      </c>
      <c r="J41" s="28" t="s">
        <v>2221</v>
      </c>
      <c r="K41" s="28" t="s">
        <v>334</v>
      </c>
      <c r="L41" s="27" t="s">
        <v>357</v>
      </c>
      <c r="M41" s="27" t="s">
        <v>2198</v>
      </c>
      <c r="N41" s="27">
        <v>1</v>
      </c>
      <c r="O41" t="s">
        <v>2676</v>
      </c>
      <c r="P41" s="24" t="str">
        <f>IF(VLOOKUP(L41,Statistics!B:F,5,FALSE)=0,"",VLOOKUP(L41,Statistics!B:F,5,FALSE))</f>
        <v/>
      </c>
      <c r="Q41" s="98" t="s">
        <v>2204</v>
      </c>
    </row>
    <row r="42" spans="1:17">
      <c r="A42" s="158">
        <v>2105000000020</v>
      </c>
      <c r="B42" s="26" t="s">
        <v>2195</v>
      </c>
      <c r="C42" s="25" t="s">
        <v>489</v>
      </c>
      <c r="D42" s="25" t="s">
        <v>331</v>
      </c>
      <c r="E42" s="25" t="b">
        <v>1</v>
      </c>
      <c r="H42" s="33"/>
      <c r="K42" s="25"/>
      <c r="L42" s="25"/>
      <c r="M42" s="25"/>
      <c r="N42" s="25"/>
      <c r="O42" s="205"/>
      <c r="Q42" s="97"/>
    </row>
    <row r="43" spans="1:17">
      <c r="A43" s="26"/>
      <c r="B43" s="26"/>
      <c r="C43" s="25"/>
      <c r="D43" s="25"/>
      <c r="E43" s="25"/>
      <c r="H43" s="43">
        <v>1</v>
      </c>
      <c r="I43" s="28" t="s">
        <v>2222</v>
      </c>
      <c r="J43" s="28" t="s">
        <v>2222</v>
      </c>
      <c r="K43" s="28" t="s">
        <v>334</v>
      </c>
      <c r="L43" s="28" t="s">
        <v>425</v>
      </c>
      <c r="M43" s="28" t="s">
        <v>2099</v>
      </c>
      <c r="N43" s="28">
        <v>1</v>
      </c>
      <c r="O43" s="205" t="s">
        <v>2677</v>
      </c>
      <c r="P43" s="24" t="str">
        <f>IF(VLOOKUP(L43,Statistics!B:F,5,FALSE)=0,"",VLOOKUP(L43,Statistics!B:F,5,FALSE))</f>
        <v>QuickMove0010</v>
      </c>
      <c r="Q43" s="28" t="s">
        <v>488</v>
      </c>
    </row>
    <row r="44" spans="1:17">
      <c r="E44" s="25"/>
    </row>
    <row r="45" spans="1:17">
      <c r="E45" s="25"/>
      <c r="P45"/>
    </row>
    <row r="48" spans="1:17">
      <c r="E48" s="25"/>
    </row>
    <row r="49" spans="5:5">
      <c r="E49" s="25"/>
    </row>
    <row r="50" spans="5:5">
      <c r="E50" s="25"/>
    </row>
    <row r="51" spans="5:5">
      <c r="E51" s="25"/>
    </row>
    <row r="52" spans="5:5">
      <c r="E52" s="25"/>
    </row>
    <row r="53" spans="5:5">
      <c r="E53" s="25"/>
    </row>
    <row r="54" spans="5:5">
      <c r="E54" s="25"/>
    </row>
    <row r="55" spans="5:5">
      <c r="E55" s="25"/>
    </row>
    <row r="56" spans="5:5">
      <c r="E56" s="25"/>
    </row>
    <row r="57" spans="5:5">
      <c r="E57" s="25"/>
    </row>
    <row r="58" spans="5:5">
      <c r="E58" s="25"/>
    </row>
    <row r="59" spans="5:5">
      <c r="E59" s="25"/>
    </row>
    <row r="60" spans="5:5">
      <c r="E60" s="25"/>
    </row>
    <row r="61" spans="5:5">
      <c r="E61" s="25"/>
    </row>
    <row r="62" spans="5:5">
      <c r="E62" s="25"/>
    </row>
    <row r="63" spans="5:5">
      <c r="E63" s="25"/>
    </row>
    <row r="64" spans="5:5">
      <c r="E64" s="25"/>
    </row>
    <row r="65" spans="5:16">
      <c r="E65" s="25"/>
    </row>
    <row r="66" spans="5:16">
      <c r="E66" s="25"/>
    </row>
    <row r="67" spans="5:16">
      <c r="E67" s="25"/>
    </row>
    <row r="68" spans="5:16">
      <c r="E68" s="25"/>
    </row>
    <row r="69" spans="5:16">
      <c r="E69" s="25"/>
    </row>
    <row r="77" spans="5:16">
      <c r="P77" s="108"/>
    </row>
    <row r="108" spans="16:16">
      <c r="P108" s="108"/>
    </row>
  </sheetData>
  <phoneticPr fontId="4" type="noConversion"/>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128"/>
  <sheetViews>
    <sheetView zoomScale="85" zoomScaleNormal="85" workbookViewId="0">
      <selection activeCell="G1" sqref="G1"/>
    </sheetView>
  </sheetViews>
  <sheetFormatPr defaultRowHeight="16.5"/>
  <cols>
    <col min="1" max="2" width="33.125" customWidth="1"/>
    <col min="3" max="5" width="18.375" customWidth="1"/>
    <col min="6" max="7" width="9.375" customWidth="1"/>
    <col min="8" max="8" width="9" customWidth="1"/>
    <col min="9" max="9" width="33.25" customWidth="1"/>
    <col min="10" max="10" width="30.625" customWidth="1"/>
    <col min="11" max="11" width="20.75" customWidth="1"/>
    <col min="12" max="12" width="22.375" customWidth="1"/>
    <col min="13" max="13" width="31.125" customWidth="1"/>
    <col min="14" max="14" width="9" customWidth="1"/>
    <col min="15" max="15" width="24.125" customWidth="1"/>
    <col min="16" max="16" width="40.875" style="24" bestFit="1" customWidth="1"/>
    <col min="17" max="17" width="27.25" bestFit="1" customWidth="1"/>
  </cols>
  <sheetData>
    <row r="1" spans="1:20">
      <c r="A1" s="5" t="s">
        <v>304</v>
      </c>
      <c r="B1" s="6" t="s">
        <v>305</v>
      </c>
      <c r="C1" s="6" t="s">
        <v>306</v>
      </c>
      <c r="D1" s="6" t="s">
        <v>307</v>
      </c>
      <c r="E1" s="6" t="s">
        <v>308</v>
      </c>
      <c r="F1" s="5" t="s">
        <v>636</v>
      </c>
      <c r="G1" s="165" t="s">
        <v>3740</v>
      </c>
      <c r="H1" s="4" t="s">
        <v>309</v>
      </c>
      <c r="I1" s="4" t="s">
        <v>310</v>
      </c>
      <c r="J1" s="4" t="s">
        <v>311</v>
      </c>
      <c r="K1" s="4" t="s">
        <v>312</v>
      </c>
      <c r="L1" s="4" t="s">
        <v>313</v>
      </c>
      <c r="M1" s="4" t="s">
        <v>314</v>
      </c>
      <c r="N1" s="4" t="s">
        <v>315</v>
      </c>
      <c r="O1" s="4" t="s">
        <v>316</v>
      </c>
      <c r="P1" s="22" t="s">
        <v>1262</v>
      </c>
      <c r="Q1" s="9" t="s">
        <v>317</v>
      </c>
    </row>
    <row r="2" spans="1:20">
      <c r="A2" s="5" t="s">
        <v>318</v>
      </c>
      <c r="B2" s="5" t="s">
        <v>3</v>
      </c>
      <c r="C2" s="5" t="s">
        <v>319</v>
      </c>
      <c r="D2" s="5" t="s">
        <v>320</v>
      </c>
      <c r="E2" s="5" t="s">
        <v>321</v>
      </c>
      <c r="F2" s="5" t="s">
        <v>320</v>
      </c>
      <c r="G2" s="165" t="s">
        <v>851</v>
      </c>
      <c r="H2" s="4" t="s">
        <v>322</v>
      </c>
      <c r="I2" s="4" t="s">
        <v>323</v>
      </c>
      <c r="J2" s="4" t="s">
        <v>323</v>
      </c>
      <c r="K2" s="4" t="s">
        <v>324</v>
      </c>
      <c r="L2" s="4" t="s">
        <v>325</v>
      </c>
      <c r="M2" s="4" t="s">
        <v>326</v>
      </c>
      <c r="N2" s="4" t="s">
        <v>322</v>
      </c>
      <c r="O2" s="4" t="s">
        <v>320</v>
      </c>
      <c r="P2" s="22" t="s">
        <v>1263</v>
      </c>
      <c r="Q2" s="9" t="s">
        <v>327</v>
      </c>
    </row>
    <row r="3" spans="1:20">
      <c r="A3" s="5" t="s">
        <v>328</v>
      </c>
      <c r="B3" s="5" t="s">
        <v>3</v>
      </c>
      <c r="C3" s="5" t="s">
        <v>328</v>
      </c>
      <c r="D3" s="5" t="s">
        <v>329</v>
      </c>
      <c r="E3" s="5" t="s">
        <v>4</v>
      </c>
      <c r="F3" s="5" t="s">
        <v>328</v>
      </c>
      <c r="G3" s="165" t="s">
        <v>328</v>
      </c>
      <c r="H3" s="4" t="s">
        <v>328</v>
      </c>
      <c r="I3" s="4" t="s">
        <v>4</v>
      </c>
      <c r="J3" s="4" t="s">
        <v>4</v>
      </c>
      <c r="K3" s="4" t="s">
        <v>328</v>
      </c>
      <c r="L3" s="4" t="s">
        <v>328</v>
      </c>
      <c r="M3" s="4" t="s">
        <v>328</v>
      </c>
      <c r="N3" s="4" t="s">
        <v>328</v>
      </c>
      <c r="O3" s="4" t="s">
        <v>328</v>
      </c>
      <c r="P3" s="22" t="s">
        <v>1263</v>
      </c>
      <c r="Q3" s="9" t="s">
        <v>4</v>
      </c>
    </row>
    <row r="4" spans="1:20">
      <c r="A4" s="157">
        <v>2105000000001</v>
      </c>
      <c r="B4" s="25" t="s">
        <v>1218</v>
      </c>
      <c r="C4" s="25" t="s">
        <v>489</v>
      </c>
      <c r="D4" s="25" t="s">
        <v>331</v>
      </c>
      <c r="E4" s="25" t="b">
        <v>1</v>
      </c>
      <c r="L4" s="26"/>
      <c r="M4" s="26"/>
      <c r="Q4" s="97"/>
    </row>
    <row r="5" spans="1:20">
      <c r="A5" s="25"/>
      <c r="B5" s="25"/>
      <c r="E5" s="25"/>
      <c r="H5" s="43">
        <v>1</v>
      </c>
      <c r="I5" s="28" t="s">
        <v>1226</v>
      </c>
      <c r="J5" s="28" t="s">
        <v>1505</v>
      </c>
      <c r="K5" s="28" t="s">
        <v>334</v>
      </c>
      <c r="L5" s="28" t="s">
        <v>425</v>
      </c>
      <c r="M5" s="28" t="s">
        <v>1219</v>
      </c>
      <c r="N5" s="28">
        <v>1</v>
      </c>
      <c r="O5" t="s">
        <v>2225</v>
      </c>
      <c r="P5" s="24" t="str">
        <f>IF(VLOOKUP(L5,Statistics!B:F,5,FALSE)=0,"",VLOOKUP(L5,Statistics!B:F,5,FALSE))</f>
        <v>QuickMove0010</v>
      </c>
      <c r="Q5" s="28" t="s">
        <v>488</v>
      </c>
    </row>
    <row r="6" spans="1:20">
      <c r="A6" s="158">
        <v>2105000000002</v>
      </c>
      <c r="B6" s="25" t="s">
        <v>798</v>
      </c>
      <c r="C6" s="25" t="s">
        <v>489</v>
      </c>
      <c r="D6" s="25" t="s">
        <v>331</v>
      </c>
      <c r="E6" s="25" t="b">
        <v>1</v>
      </c>
      <c r="H6" s="25"/>
      <c r="K6" s="25"/>
      <c r="L6" s="25"/>
      <c r="M6" s="25"/>
      <c r="N6" s="25"/>
      <c r="Q6" s="25"/>
    </row>
    <row r="7" spans="1:20">
      <c r="A7" s="25"/>
      <c r="B7" s="25"/>
      <c r="C7" s="25"/>
      <c r="D7" s="25"/>
      <c r="E7" s="25"/>
      <c r="H7" s="43" t="s">
        <v>332</v>
      </c>
      <c r="I7" s="28" t="s">
        <v>493</v>
      </c>
      <c r="J7" s="28" t="s">
        <v>494</v>
      </c>
      <c r="K7" s="28" t="s">
        <v>334</v>
      </c>
      <c r="L7" s="27" t="s">
        <v>490</v>
      </c>
      <c r="M7" s="27" t="s">
        <v>491</v>
      </c>
      <c r="N7" s="28">
        <v>1</v>
      </c>
      <c r="O7" s="252" t="s">
        <v>2224</v>
      </c>
      <c r="P7" s="24" t="str">
        <f>IF(VLOOKUP(L7,Statistics!B:F,5,FALSE)=0,"",VLOOKUP(L7,Statistics!B:F,5,FALSE))</f>
        <v>QuickMove0250</v>
      </c>
      <c r="Q7" s="28" t="s">
        <v>362</v>
      </c>
    </row>
    <row r="8" spans="1:20">
      <c r="A8" s="157">
        <v>2105000000003</v>
      </c>
      <c r="B8" s="26" t="s">
        <v>799</v>
      </c>
      <c r="C8" s="25" t="s">
        <v>489</v>
      </c>
      <c r="D8" s="25" t="s">
        <v>331</v>
      </c>
      <c r="E8" s="25" t="b">
        <v>1</v>
      </c>
      <c r="L8" s="28"/>
      <c r="M8" s="28"/>
      <c r="Q8" s="97"/>
    </row>
    <row r="9" spans="1:20">
      <c r="A9" s="25"/>
      <c r="B9" s="26"/>
      <c r="E9" s="25"/>
      <c r="H9" s="44">
        <v>1</v>
      </c>
      <c r="I9" s="28" t="s">
        <v>497</v>
      </c>
      <c r="J9" s="28" t="s">
        <v>498</v>
      </c>
      <c r="K9" s="28" t="s">
        <v>334</v>
      </c>
      <c r="L9" s="83" t="s">
        <v>366</v>
      </c>
      <c r="M9" s="83" t="s">
        <v>367</v>
      </c>
      <c r="N9" s="83">
        <v>10</v>
      </c>
      <c r="O9" s="284" t="s">
        <v>2110</v>
      </c>
      <c r="P9" s="24" t="str">
        <f>IF(VLOOKUP(L9,Statistics!B:F,5,FALSE)=0,"",VLOOKUP(L9,Statistics!B:F,5,FALSE))</f>
        <v/>
      </c>
      <c r="Q9" s="28" t="s">
        <v>501</v>
      </c>
    </row>
    <row r="10" spans="1:20" s="218" customFormat="1">
      <c r="A10" s="216">
        <v>2105000000004</v>
      </c>
      <c r="B10" s="217" t="s">
        <v>1220</v>
      </c>
      <c r="C10" s="217" t="s">
        <v>489</v>
      </c>
      <c r="D10" s="217" t="s">
        <v>331</v>
      </c>
      <c r="E10" s="217" t="b">
        <v>1</v>
      </c>
      <c r="H10" s="219"/>
      <c r="K10" s="220"/>
      <c r="L10" s="221"/>
      <c r="M10" s="221"/>
      <c r="N10" s="221"/>
      <c r="P10" s="222"/>
      <c r="Q10" s="220"/>
    </row>
    <row r="11" spans="1:20" s="218" customFormat="1">
      <c r="A11" s="217"/>
      <c r="B11" s="217" t="s">
        <v>1468</v>
      </c>
      <c r="C11" s="217"/>
      <c r="D11" s="217"/>
      <c r="E11" s="217"/>
      <c r="H11" s="219">
        <v>1</v>
      </c>
      <c r="I11" s="220" t="s">
        <v>1489</v>
      </c>
      <c r="J11" s="220" t="s">
        <v>1494</v>
      </c>
      <c r="K11" s="220" t="s">
        <v>334</v>
      </c>
      <c r="L11" s="220" t="s">
        <v>425</v>
      </c>
      <c r="M11" s="220" t="s">
        <v>1221</v>
      </c>
      <c r="N11" s="221">
        <v>1</v>
      </c>
      <c r="O11" s="218" t="s">
        <v>500</v>
      </c>
      <c r="P11" s="222" t="str">
        <f>IF(VLOOKUP(L11,Statistics!B:F,5,FALSE)=0,"",VLOOKUP(L11,Statistics!B:F,5,FALSE))</f>
        <v>QuickMove0010</v>
      </c>
      <c r="Q11" s="220" t="s">
        <v>488</v>
      </c>
    </row>
    <row r="12" spans="1:20" s="218" customFormat="1">
      <c r="A12" s="223">
        <v>2105000000005</v>
      </c>
      <c r="B12" s="224" t="s">
        <v>1222</v>
      </c>
      <c r="C12" s="217" t="s">
        <v>489</v>
      </c>
      <c r="D12" s="217" t="s">
        <v>331</v>
      </c>
      <c r="E12" s="217" t="b">
        <v>1</v>
      </c>
      <c r="H12" s="225"/>
      <c r="K12" s="217"/>
      <c r="L12" s="217"/>
      <c r="M12" s="217"/>
      <c r="N12" s="217"/>
      <c r="P12" s="222"/>
      <c r="Q12" s="217"/>
    </row>
    <row r="13" spans="1:20" s="218" customFormat="1">
      <c r="A13" s="217"/>
      <c r="B13" s="224" t="s">
        <v>1469</v>
      </c>
      <c r="C13" s="217"/>
      <c r="D13" s="217"/>
      <c r="E13" s="217"/>
      <c r="H13" s="226">
        <v>1</v>
      </c>
      <c r="I13" s="220" t="s">
        <v>1490</v>
      </c>
      <c r="J13" s="220" t="s">
        <v>1495</v>
      </c>
      <c r="K13" s="220" t="s">
        <v>334</v>
      </c>
      <c r="L13" s="220" t="s">
        <v>495</v>
      </c>
      <c r="M13" s="220" t="s">
        <v>1223</v>
      </c>
      <c r="N13" s="220">
        <v>1</v>
      </c>
      <c r="O13" s="218" t="s">
        <v>496</v>
      </c>
      <c r="P13" s="222" t="str">
        <f>IF(VLOOKUP(L13,Statistics!B:F,5,FALSE)=0,"",VLOOKUP(L13,Statistics!B:F,5,FALSE))</f>
        <v>QuickMove0110</v>
      </c>
      <c r="Q13" s="220" t="s">
        <v>1254</v>
      </c>
      <c r="S13" s="221"/>
      <c r="T13" s="221"/>
    </row>
    <row r="14" spans="1:20" s="218" customFormat="1">
      <c r="A14" s="216">
        <v>2105000000006</v>
      </c>
      <c r="B14" s="224" t="s">
        <v>800</v>
      </c>
      <c r="C14" s="224" t="s">
        <v>489</v>
      </c>
      <c r="D14" s="217" t="s">
        <v>331</v>
      </c>
      <c r="E14" s="217" t="b">
        <v>1</v>
      </c>
      <c r="H14" s="227"/>
      <c r="K14" s="217"/>
      <c r="L14" s="224"/>
      <c r="M14" s="224"/>
      <c r="N14" s="224"/>
      <c r="P14" s="222"/>
      <c r="Q14" s="217"/>
      <c r="S14" s="220"/>
    </row>
    <row r="15" spans="1:20" s="218" customFormat="1">
      <c r="A15" s="217"/>
      <c r="B15" s="224" t="s">
        <v>1470</v>
      </c>
      <c r="E15" s="217"/>
      <c r="H15" s="226">
        <v>1</v>
      </c>
      <c r="I15" s="220" t="s">
        <v>1491</v>
      </c>
      <c r="J15" s="220" t="s">
        <v>1496</v>
      </c>
      <c r="K15" s="220" t="s">
        <v>334</v>
      </c>
      <c r="L15" s="220" t="s">
        <v>425</v>
      </c>
      <c r="M15" s="220" t="s">
        <v>502</v>
      </c>
      <c r="N15" s="220">
        <v>1</v>
      </c>
      <c r="O15" s="284" t="s">
        <v>2109</v>
      </c>
      <c r="P15" s="222" t="str">
        <f>IF(VLOOKUP(L15,Statistics!B:F,5,FALSE)=0,"",VLOOKUP(L15,Statistics!B:F,5,FALSE))</f>
        <v>QuickMove0010</v>
      </c>
      <c r="Q15" s="220" t="s">
        <v>488</v>
      </c>
    </row>
    <row r="16" spans="1:20" s="230" customFormat="1">
      <c r="A16" s="228">
        <v>2105000000007</v>
      </c>
      <c r="B16" s="229" t="s">
        <v>1471</v>
      </c>
      <c r="C16" s="229" t="s">
        <v>489</v>
      </c>
      <c r="D16" s="229" t="s">
        <v>331</v>
      </c>
      <c r="E16" s="229" t="b">
        <v>1</v>
      </c>
      <c r="H16" s="229"/>
      <c r="K16" s="229"/>
      <c r="L16" s="229"/>
      <c r="M16" s="229"/>
      <c r="N16" s="229"/>
      <c r="O16" s="231"/>
      <c r="P16" s="232"/>
      <c r="Q16" s="233"/>
    </row>
    <row r="17" spans="1:17" s="230" customFormat="1">
      <c r="A17" s="229"/>
      <c r="B17" s="229" t="s">
        <v>1472</v>
      </c>
      <c r="C17" s="229"/>
      <c r="D17" s="229"/>
      <c r="E17" s="229"/>
      <c r="H17" s="234" t="s">
        <v>332</v>
      </c>
      <c r="I17" s="235" t="s">
        <v>1492</v>
      </c>
      <c r="J17" s="235" t="s">
        <v>1497</v>
      </c>
      <c r="K17" s="235" t="s">
        <v>334</v>
      </c>
      <c r="L17" s="236" t="s">
        <v>490</v>
      </c>
      <c r="M17" s="236" t="s">
        <v>1473</v>
      </c>
      <c r="N17" s="235">
        <v>5</v>
      </c>
      <c r="O17" s="230" t="s">
        <v>503</v>
      </c>
      <c r="P17" s="232" t="str">
        <f>IF(VLOOKUP(L17,Statistics!B:F,5,FALSE)=0,"",VLOOKUP(L17,Statistics!B:F,5,FALSE))</f>
        <v>QuickMove0250</v>
      </c>
      <c r="Q17" s="235" t="s">
        <v>362</v>
      </c>
    </row>
    <row r="18" spans="1:17" s="240" customFormat="1">
      <c r="A18" s="237">
        <v>2105000000008</v>
      </c>
      <c r="B18" s="238" t="s">
        <v>801</v>
      </c>
      <c r="C18" s="239" t="s">
        <v>489</v>
      </c>
      <c r="D18" s="238" t="s">
        <v>331</v>
      </c>
      <c r="E18" s="238" t="b">
        <v>1</v>
      </c>
      <c r="P18" s="241"/>
      <c r="Q18" s="242"/>
    </row>
    <row r="19" spans="1:17" s="240" customFormat="1">
      <c r="A19" s="238"/>
      <c r="B19" s="239" t="s">
        <v>1474</v>
      </c>
      <c r="E19" s="238"/>
      <c r="H19" s="243">
        <v>1</v>
      </c>
      <c r="I19" s="244" t="s">
        <v>1493</v>
      </c>
      <c r="J19" s="244" t="s">
        <v>504</v>
      </c>
      <c r="K19" s="244" t="s">
        <v>334</v>
      </c>
      <c r="L19" s="16" t="s">
        <v>1253</v>
      </c>
      <c r="M19" s="16"/>
      <c r="N19" s="16">
        <v>1</v>
      </c>
      <c r="O19" s="240" t="s">
        <v>496</v>
      </c>
      <c r="P19" s="241" t="str">
        <f>IF(VLOOKUP(L19,Statistics!B:F,5,FALSE)=0,"",VLOOKUP(L19,Statistics!B:F,5,FALSE))</f>
        <v>QuickMove.IdleBattlePopup</v>
      </c>
      <c r="Q19" s="244" t="s">
        <v>1259</v>
      </c>
    </row>
    <row r="20" spans="1:17" s="240" customFormat="1">
      <c r="A20" s="246">
        <v>2105000000009</v>
      </c>
      <c r="B20" s="239" t="s">
        <v>809</v>
      </c>
      <c r="C20" s="238" t="s">
        <v>489</v>
      </c>
      <c r="D20" s="238" t="s">
        <v>331</v>
      </c>
      <c r="E20" s="238" t="b">
        <v>1</v>
      </c>
      <c r="H20" s="245"/>
      <c r="K20" s="244"/>
      <c r="L20" s="244"/>
      <c r="M20" s="244"/>
      <c r="N20" s="244"/>
      <c r="O20" s="249"/>
      <c r="P20" s="241"/>
      <c r="Q20" s="244"/>
    </row>
    <row r="21" spans="1:17" s="240" customFormat="1">
      <c r="A21" s="238"/>
      <c r="B21" s="239" t="s">
        <v>1477</v>
      </c>
      <c r="C21" s="238"/>
      <c r="D21" s="238"/>
      <c r="E21" s="238"/>
      <c r="H21" s="245" t="s">
        <v>332</v>
      </c>
      <c r="I21" s="244" t="s">
        <v>505</v>
      </c>
      <c r="J21" s="244" t="s">
        <v>506</v>
      </c>
      <c r="K21" s="244" t="s">
        <v>334</v>
      </c>
      <c r="L21" s="16" t="s">
        <v>499</v>
      </c>
      <c r="M21" s="16" t="s">
        <v>1251</v>
      </c>
      <c r="N21" s="244">
        <v>1</v>
      </c>
      <c r="O21" s="240" t="s">
        <v>2111</v>
      </c>
      <c r="P21" s="241" t="e">
        <f>IF(VLOOKUP(L21,Statistics!B:F,5,FALSE)=0,"",VLOOKUP(L21,Statistics!B:F,5,FALSE))</f>
        <v>#N/A</v>
      </c>
      <c r="Q21" s="244" t="s">
        <v>1201</v>
      </c>
    </row>
    <row r="22" spans="1:17" s="240" customFormat="1">
      <c r="A22" s="237">
        <v>2105000000010</v>
      </c>
      <c r="B22" s="238" t="s">
        <v>802</v>
      </c>
      <c r="C22" s="238" t="s">
        <v>489</v>
      </c>
      <c r="D22" s="238" t="s">
        <v>331</v>
      </c>
      <c r="E22" s="238" t="b">
        <v>1</v>
      </c>
      <c r="H22" s="238"/>
      <c r="K22" s="238"/>
      <c r="L22" s="238"/>
      <c r="M22" s="238"/>
      <c r="N22" s="238"/>
      <c r="P22" s="241"/>
      <c r="Q22" s="238"/>
    </row>
    <row r="23" spans="1:17" s="240" customFormat="1">
      <c r="A23" s="238"/>
      <c r="B23" s="238" t="s">
        <v>1475</v>
      </c>
      <c r="C23" s="238"/>
      <c r="D23" s="238"/>
      <c r="E23" s="238"/>
      <c r="H23" s="245" t="s">
        <v>332</v>
      </c>
      <c r="I23" s="244" t="s">
        <v>1498</v>
      </c>
      <c r="J23" s="244" t="s">
        <v>1499</v>
      </c>
      <c r="K23" s="244" t="s">
        <v>334</v>
      </c>
      <c r="L23" s="16" t="s">
        <v>1224</v>
      </c>
      <c r="M23" s="16" t="s">
        <v>507</v>
      </c>
      <c r="N23" s="244">
        <v>1</v>
      </c>
      <c r="O23" s="284" t="s">
        <v>2109</v>
      </c>
      <c r="P23" s="241" t="str">
        <f>IF(VLOOKUP(L23,Statistics!B:F,5,FALSE)=0,"",VLOOKUP(L23,Statistics!B:F,5,FALSE))</f>
        <v>QuickMove0250</v>
      </c>
      <c r="Q23" s="244" t="s">
        <v>362</v>
      </c>
    </row>
    <row r="24" spans="1:17" s="240" customFormat="1">
      <c r="A24" s="246">
        <v>2105000000011</v>
      </c>
      <c r="B24" s="239" t="s">
        <v>803</v>
      </c>
      <c r="C24" s="238" t="s">
        <v>489</v>
      </c>
      <c r="D24" s="238" t="s">
        <v>331</v>
      </c>
      <c r="E24" s="238" t="b">
        <v>1</v>
      </c>
      <c r="P24" s="241"/>
      <c r="Q24" s="242"/>
    </row>
    <row r="25" spans="1:17" s="240" customFormat="1">
      <c r="A25" s="238"/>
      <c r="B25" s="239" t="s">
        <v>1476</v>
      </c>
      <c r="E25" s="238"/>
      <c r="H25" s="245" t="s">
        <v>332</v>
      </c>
      <c r="I25" s="244" t="s">
        <v>1500</v>
      </c>
      <c r="J25" s="244" t="s">
        <v>1501</v>
      </c>
      <c r="K25" s="244" t="s">
        <v>334</v>
      </c>
      <c r="L25" s="16" t="s">
        <v>508</v>
      </c>
      <c r="M25" s="247"/>
      <c r="N25" s="16">
        <v>1</v>
      </c>
      <c r="O25" s="240" t="s">
        <v>496</v>
      </c>
      <c r="P25" s="241" t="str">
        <f>IF(VLOOKUP(L25,Statistics!B:F,5,FALSE)=0,"",VLOOKUP(L25,Statistics!B:F,5,FALSE))</f>
        <v>QuickMove0420</v>
      </c>
      <c r="Q25" s="248" t="s">
        <v>509</v>
      </c>
    </row>
    <row r="26" spans="1:17" s="240" customFormat="1">
      <c r="A26" s="246">
        <v>2105000000012</v>
      </c>
      <c r="B26" s="239" t="s">
        <v>804</v>
      </c>
      <c r="C26" s="238" t="s">
        <v>489</v>
      </c>
      <c r="D26" s="238" t="s">
        <v>331</v>
      </c>
      <c r="E26" s="238" t="b">
        <v>1</v>
      </c>
      <c r="H26" s="250"/>
      <c r="K26" s="238"/>
      <c r="L26" s="238"/>
      <c r="M26" s="238"/>
      <c r="N26" s="238"/>
      <c r="P26" s="241"/>
      <c r="Q26" s="242"/>
    </row>
    <row r="27" spans="1:17" s="240" customFormat="1">
      <c r="A27" s="238"/>
      <c r="B27" s="239" t="s">
        <v>1480</v>
      </c>
      <c r="C27" s="238"/>
      <c r="D27" s="238"/>
      <c r="E27" s="238"/>
      <c r="H27" s="245">
        <v>1</v>
      </c>
      <c r="I27" s="244" t="s">
        <v>512</v>
      </c>
      <c r="J27" s="244" t="s">
        <v>513</v>
      </c>
      <c r="K27" s="244" t="s">
        <v>334</v>
      </c>
      <c r="L27" s="244" t="s">
        <v>425</v>
      </c>
      <c r="M27" s="244" t="s">
        <v>510</v>
      </c>
      <c r="N27" s="244">
        <v>1</v>
      </c>
      <c r="O27" s="240" t="s">
        <v>511</v>
      </c>
      <c r="P27" s="241" t="str">
        <f>IF(VLOOKUP(L27,Statistics!B:F,5,FALSE)=0,"",VLOOKUP(L27,Statistics!B:F,5,FALSE))</f>
        <v>QuickMove0010</v>
      </c>
      <c r="Q27" s="244" t="s">
        <v>488</v>
      </c>
    </row>
    <row r="28" spans="1:17" s="240" customFormat="1">
      <c r="A28" s="237">
        <v>2105000000013</v>
      </c>
      <c r="B28" s="239" t="s">
        <v>805</v>
      </c>
      <c r="C28" s="238" t="s">
        <v>489</v>
      </c>
      <c r="D28" s="238" t="s">
        <v>331</v>
      </c>
      <c r="E28" s="238" t="b">
        <v>1</v>
      </c>
      <c r="L28" s="239"/>
      <c r="P28" s="241"/>
      <c r="Q28" s="242"/>
    </row>
    <row r="29" spans="1:17" s="240" customFormat="1">
      <c r="A29" s="238"/>
      <c r="B29" s="239" t="s">
        <v>1481</v>
      </c>
      <c r="E29" s="238"/>
      <c r="H29" s="243">
        <v>1</v>
      </c>
      <c r="I29" s="244" t="s">
        <v>1267</v>
      </c>
      <c r="J29" s="244" t="s">
        <v>515</v>
      </c>
      <c r="K29" s="244" t="s">
        <v>334</v>
      </c>
      <c r="L29" s="16" t="s">
        <v>1199</v>
      </c>
      <c r="M29" s="247"/>
      <c r="N29" s="16">
        <v>1</v>
      </c>
      <c r="O29" s="240" t="s">
        <v>496</v>
      </c>
      <c r="P29" s="241" t="str">
        <f>IF(VLOOKUP(L29,Statistics!B:F,5,FALSE)=0,"",VLOOKUP(L29,Statistics!B:F,5,FALSE))</f>
        <v>QuickMove0170</v>
      </c>
      <c r="Q29" s="251" t="s">
        <v>1200</v>
      </c>
    </row>
    <row r="30" spans="1:17" s="240" customFormat="1">
      <c r="A30" s="246">
        <v>2105000000014</v>
      </c>
      <c r="B30" s="239" t="s">
        <v>949</v>
      </c>
      <c r="C30" s="239" t="s">
        <v>489</v>
      </c>
      <c r="D30" s="238" t="s">
        <v>331</v>
      </c>
      <c r="E30" s="238" t="b">
        <v>1</v>
      </c>
      <c r="O30" s="249"/>
      <c r="P30" s="241"/>
      <c r="Q30" s="242"/>
    </row>
    <row r="31" spans="1:17" s="240" customFormat="1">
      <c r="A31" s="238"/>
      <c r="B31" s="239" t="s">
        <v>1482</v>
      </c>
      <c r="E31" s="238"/>
      <c r="H31" s="243">
        <v>1</v>
      </c>
      <c r="I31" s="244" t="s">
        <v>516</v>
      </c>
      <c r="J31" s="244" t="s">
        <v>517</v>
      </c>
      <c r="K31" s="244" t="s">
        <v>334</v>
      </c>
      <c r="L31" s="244" t="s">
        <v>425</v>
      </c>
      <c r="M31" s="244" t="s">
        <v>948</v>
      </c>
      <c r="N31" s="244">
        <v>1</v>
      </c>
      <c r="O31" s="284" t="s">
        <v>2112</v>
      </c>
      <c r="P31" s="241" t="str">
        <f>IF(VLOOKUP(L31,Statistics!B:F,5,FALSE)=0,"",VLOOKUP(L31,Statistics!B:F,5,FALSE))</f>
        <v>QuickMove0010</v>
      </c>
      <c r="Q31" s="244" t="s">
        <v>488</v>
      </c>
    </row>
    <row r="32" spans="1:17" s="240" customFormat="1">
      <c r="A32" s="237">
        <v>2105000000015</v>
      </c>
      <c r="B32" s="238" t="s">
        <v>806</v>
      </c>
      <c r="C32" s="238" t="s">
        <v>489</v>
      </c>
      <c r="D32" s="238" t="s">
        <v>331</v>
      </c>
      <c r="E32" s="238" t="b">
        <v>1</v>
      </c>
      <c r="H32" s="238"/>
      <c r="K32" s="238"/>
      <c r="L32" s="238"/>
      <c r="M32" s="238"/>
      <c r="N32" s="238"/>
      <c r="O32" s="249"/>
      <c r="P32" s="241"/>
      <c r="Q32" s="242"/>
    </row>
    <row r="33" spans="1:17" s="240" customFormat="1">
      <c r="A33" s="238"/>
      <c r="B33" s="239" t="s">
        <v>1483</v>
      </c>
      <c r="C33" s="238"/>
      <c r="D33" s="238"/>
      <c r="E33" s="238"/>
      <c r="H33" s="245" t="s">
        <v>332</v>
      </c>
      <c r="I33" s="244" t="s">
        <v>819</v>
      </c>
      <c r="J33" s="244" t="s">
        <v>822</v>
      </c>
      <c r="K33" s="244" t="s">
        <v>334</v>
      </c>
      <c r="L33" s="16" t="s">
        <v>490</v>
      </c>
      <c r="M33" s="16" t="s">
        <v>507</v>
      </c>
      <c r="N33" s="244">
        <v>5</v>
      </c>
      <c r="O33" s="240" t="s">
        <v>2113</v>
      </c>
      <c r="P33" s="241" t="str">
        <f>IF(VLOOKUP(L33,Statistics!B:F,5,FALSE)=0,"",VLOOKUP(L33,Statistics!B:F,5,FALSE))</f>
        <v>QuickMove0250</v>
      </c>
      <c r="Q33" s="244" t="s">
        <v>362</v>
      </c>
    </row>
    <row r="34" spans="1:17" s="240" customFormat="1">
      <c r="A34" s="246">
        <v>2105000000016</v>
      </c>
      <c r="B34" s="239" t="s">
        <v>807</v>
      </c>
      <c r="C34" s="238" t="s">
        <v>489</v>
      </c>
      <c r="D34" s="238" t="s">
        <v>331</v>
      </c>
      <c r="E34" s="238" t="b">
        <v>1</v>
      </c>
      <c r="O34" s="249"/>
      <c r="P34" s="241"/>
      <c r="Q34" s="242"/>
    </row>
    <row r="35" spans="1:17" s="240" customFormat="1">
      <c r="A35" s="238"/>
      <c r="B35" s="239" t="s">
        <v>1484</v>
      </c>
      <c r="E35" s="238"/>
      <c r="H35" s="245" t="s">
        <v>332</v>
      </c>
      <c r="I35" s="244" t="s">
        <v>519</v>
      </c>
      <c r="J35" s="244" t="s">
        <v>520</v>
      </c>
      <c r="K35" s="244" t="s">
        <v>334</v>
      </c>
      <c r="L35" s="16" t="s">
        <v>508</v>
      </c>
      <c r="M35" s="247"/>
      <c r="N35" s="16">
        <v>3</v>
      </c>
      <c r="O35" s="240" t="s">
        <v>523</v>
      </c>
      <c r="P35" s="241" t="str">
        <f>IF(VLOOKUP(L35,Statistics!B:F,5,FALSE)=0,"",VLOOKUP(L35,Statistics!B:F,5,FALSE))</f>
        <v>QuickMove0420</v>
      </c>
      <c r="Q35" s="248" t="s">
        <v>509</v>
      </c>
    </row>
    <row r="36" spans="1:17" s="240" customFormat="1">
      <c r="A36" s="237">
        <v>2105000000017</v>
      </c>
      <c r="B36" s="239" t="s">
        <v>808</v>
      </c>
      <c r="C36" s="238" t="s">
        <v>489</v>
      </c>
      <c r="D36" s="238" t="s">
        <v>331</v>
      </c>
      <c r="E36" s="238" t="b">
        <v>1</v>
      </c>
      <c r="H36" s="250"/>
      <c r="K36" s="238"/>
      <c r="L36" s="238"/>
      <c r="M36" s="238"/>
      <c r="N36" s="238"/>
      <c r="O36" s="249"/>
      <c r="P36" s="241"/>
      <c r="Q36" s="242"/>
    </row>
    <row r="37" spans="1:17" s="240" customFormat="1">
      <c r="A37" s="238"/>
      <c r="B37" s="239" t="s">
        <v>1485</v>
      </c>
      <c r="C37" s="238"/>
      <c r="D37" s="238"/>
      <c r="E37" s="238"/>
      <c r="H37" s="245">
        <v>1</v>
      </c>
      <c r="I37" s="244" t="s">
        <v>907</v>
      </c>
      <c r="J37" s="244" t="s">
        <v>521</v>
      </c>
      <c r="K37" s="244" t="s">
        <v>334</v>
      </c>
      <c r="L37" s="244" t="s">
        <v>425</v>
      </c>
      <c r="M37" s="244" t="s">
        <v>522</v>
      </c>
      <c r="N37" s="244">
        <v>1</v>
      </c>
      <c r="O37" s="240" t="s">
        <v>526</v>
      </c>
      <c r="P37" s="241" t="str">
        <f>IF(VLOOKUP(L37,Statistics!B:F,5,FALSE)=0,"",VLOOKUP(L37,Statistics!B:F,5,FALSE))</f>
        <v>QuickMove0010</v>
      </c>
      <c r="Q37" s="244" t="s">
        <v>488</v>
      </c>
    </row>
    <row r="38" spans="1:17" s="240" customFormat="1">
      <c r="A38" s="246">
        <v>2105000000018</v>
      </c>
      <c r="B38" s="239" t="s">
        <v>908</v>
      </c>
      <c r="C38" s="239" t="s">
        <v>489</v>
      </c>
      <c r="D38" s="238" t="s">
        <v>331</v>
      </c>
      <c r="E38" s="238" t="b">
        <v>1</v>
      </c>
      <c r="O38" s="249"/>
      <c r="P38" s="241"/>
      <c r="Q38" s="242"/>
    </row>
    <row r="39" spans="1:17" s="240" customFormat="1">
      <c r="A39" s="238"/>
      <c r="B39" s="239" t="s">
        <v>1486</v>
      </c>
      <c r="E39" s="238"/>
      <c r="H39" s="245">
        <v>1</v>
      </c>
      <c r="I39" s="244" t="s">
        <v>524</v>
      </c>
      <c r="J39" s="244" t="s">
        <v>525</v>
      </c>
      <c r="K39" s="244" t="s">
        <v>334</v>
      </c>
      <c r="L39" s="244" t="s">
        <v>1252</v>
      </c>
      <c r="M39" s="244" t="s">
        <v>909</v>
      </c>
      <c r="N39" s="244">
        <v>1</v>
      </c>
      <c r="O39" s="240" t="s">
        <v>2114</v>
      </c>
      <c r="P39" s="241" t="str">
        <f>IF(VLOOKUP(L39,Statistics!B:F,5,FALSE)=0,"",VLOOKUP(L39,Statistics!B:F,5,FALSE))</f>
        <v>QuickMove0110</v>
      </c>
      <c r="Q39" s="251" t="s">
        <v>1256</v>
      </c>
    </row>
    <row r="40" spans="1:17" s="240" customFormat="1">
      <c r="A40" s="237">
        <v>2105000000019</v>
      </c>
      <c r="B40" s="239" t="s">
        <v>1088</v>
      </c>
      <c r="C40" s="238" t="s">
        <v>489</v>
      </c>
      <c r="D40" s="238" t="s">
        <v>331</v>
      </c>
      <c r="E40" s="238" t="b">
        <v>1</v>
      </c>
      <c r="H40" s="238"/>
      <c r="K40" s="238"/>
      <c r="L40" s="238"/>
      <c r="M40" s="238"/>
      <c r="N40" s="238"/>
      <c r="O40" s="249"/>
      <c r="P40" s="241"/>
      <c r="Q40" s="242"/>
    </row>
    <row r="41" spans="1:17" s="240" customFormat="1">
      <c r="A41" s="238"/>
      <c r="B41" s="239" t="s">
        <v>1488</v>
      </c>
      <c r="C41" s="238"/>
      <c r="D41" s="238"/>
      <c r="E41" s="238"/>
      <c r="H41" s="245" t="s">
        <v>332</v>
      </c>
      <c r="I41" s="244" t="s">
        <v>527</v>
      </c>
      <c r="J41" s="244" t="s">
        <v>528</v>
      </c>
      <c r="K41" s="244" t="s">
        <v>334</v>
      </c>
      <c r="L41" s="16" t="s">
        <v>490</v>
      </c>
      <c r="M41" s="16" t="s">
        <v>1089</v>
      </c>
      <c r="N41" s="244">
        <v>3</v>
      </c>
      <c r="O41" s="284" t="s">
        <v>2112</v>
      </c>
      <c r="P41" s="241" t="str">
        <f>IF(VLOOKUP(L41,Statistics!B:F,5,FALSE)=0,"",VLOOKUP(L41,Statistics!B:F,5,FALSE))</f>
        <v>QuickMove0250</v>
      </c>
      <c r="Q41" s="244" t="s">
        <v>1257</v>
      </c>
    </row>
    <row r="42" spans="1:17" s="240" customFormat="1">
      <c r="A42" s="246">
        <v>2105000000020</v>
      </c>
      <c r="B42" s="239" t="s">
        <v>817</v>
      </c>
      <c r="C42" s="238" t="s">
        <v>489</v>
      </c>
      <c r="D42" s="238" t="s">
        <v>331</v>
      </c>
      <c r="E42" s="238" t="b">
        <v>1</v>
      </c>
      <c r="H42" s="245"/>
      <c r="K42" s="244"/>
      <c r="L42" s="244"/>
      <c r="M42" s="244"/>
      <c r="N42" s="244"/>
      <c r="O42" s="249"/>
      <c r="P42" s="241"/>
      <c r="Q42" s="244"/>
    </row>
    <row r="43" spans="1:17" s="240" customFormat="1">
      <c r="A43" s="238"/>
      <c r="B43" s="239" t="s">
        <v>1487</v>
      </c>
      <c r="C43" s="238"/>
      <c r="D43" s="238"/>
      <c r="E43" s="238"/>
      <c r="H43" s="245" t="s">
        <v>332</v>
      </c>
      <c r="I43" s="244" t="s">
        <v>1502</v>
      </c>
      <c r="J43" s="244" t="s">
        <v>1503</v>
      </c>
      <c r="K43" s="244" t="s">
        <v>334</v>
      </c>
      <c r="L43" s="244" t="s">
        <v>425</v>
      </c>
      <c r="M43" s="244" t="s">
        <v>818</v>
      </c>
      <c r="N43" s="244">
        <v>1</v>
      </c>
      <c r="O43" s="240" t="s">
        <v>1225</v>
      </c>
      <c r="P43" s="241" t="str">
        <f>IF(VLOOKUP(L43,Statistics!B:F,5,FALSE)=0,"",VLOOKUP(L43,Statistics!B:F,5,FALSE))</f>
        <v>QuickMove0010</v>
      </c>
      <c r="Q43" s="244" t="s">
        <v>488</v>
      </c>
    </row>
    <row r="44" spans="1:17">
      <c r="A44" s="158">
        <v>2105000000021</v>
      </c>
      <c r="B44" s="26" t="s">
        <v>810</v>
      </c>
      <c r="C44" s="25" t="s">
        <v>489</v>
      </c>
      <c r="D44" s="25" t="s">
        <v>331</v>
      </c>
      <c r="E44" s="25" t="b">
        <v>1</v>
      </c>
      <c r="L44" s="26"/>
      <c r="M44" s="26"/>
      <c r="O44" s="205"/>
    </row>
    <row r="45" spans="1:17">
      <c r="A45" s="25"/>
      <c r="B45" s="26"/>
      <c r="E45" s="25"/>
      <c r="H45" s="43">
        <v>1</v>
      </c>
      <c r="I45" s="28" t="s">
        <v>820</v>
      </c>
      <c r="J45" s="28" t="s">
        <v>823</v>
      </c>
      <c r="K45" s="28" t="s">
        <v>334</v>
      </c>
      <c r="L45" s="28" t="s">
        <v>425</v>
      </c>
      <c r="M45" s="28" t="s">
        <v>2103</v>
      </c>
      <c r="N45" s="28">
        <v>1</v>
      </c>
      <c r="O45" t="s">
        <v>511</v>
      </c>
      <c r="P45" s="24" t="str">
        <f>IF(VLOOKUP(L45,Statistics!B:F,5,FALSE)=0,"",VLOOKUP(L45,Statistics!B:F,5,FALSE))</f>
        <v>QuickMove0010</v>
      </c>
      <c r="Q45" s="28" t="s">
        <v>2094</v>
      </c>
    </row>
    <row r="46" spans="1:17">
      <c r="A46" s="158">
        <v>2105000000022</v>
      </c>
      <c r="B46" s="26" t="s">
        <v>1090</v>
      </c>
      <c r="C46" s="25" t="s">
        <v>489</v>
      </c>
      <c r="D46" s="25" t="s">
        <v>331</v>
      </c>
      <c r="E46" s="25" t="b">
        <v>1</v>
      </c>
      <c r="H46" s="25"/>
      <c r="K46" s="25"/>
      <c r="L46" s="25"/>
      <c r="M46" s="25"/>
      <c r="N46" s="25"/>
      <c r="O46" s="205"/>
      <c r="Q46" s="97"/>
    </row>
    <row r="47" spans="1:17">
      <c r="A47" s="25"/>
      <c r="B47" s="26"/>
      <c r="C47" s="25"/>
      <c r="D47" s="25"/>
      <c r="E47" s="25"/>
      <c r="H47" s="43" t="s">
        <v>332</v>
      </c>
      <c r="I47" s="28" t="s">
        <v>1095</v>
      </c>
      <c r="J47" s="28" t="s">
        <v>1091</v>
      </c>
      <c r="K47" s="28" t="s">
        <v>334</v>
      </c>
      <c r="L47" s="27" t="s">
        <v>490</v>
      </c>
      <c r="M47" s="27" t="s">
        <v>1092</v>
      </c>
      <c r="N47" s="28">
        <v>1</v>
      </c>
      <c r="O47" s="284" t="s">
        <v>2109</v>
      </c>
      <c r="P47" s="24" t="str">
        <f>IF(VLOOKUP(L47,Statistics!B:F,5,FALSE)=0,"",VLOOKUP(L47,Statistics!B:F,5,FALSE))</f>
        <v>QuickMove0250</v>
      </c>
      <c r="Q47" s="32" t="s">
        <v>518</v>
      </c>
    </row>
    <row r="48" spans="1:17" s="256" customFormat="1">
      <c r="A48" s="253">
        <v>2105000000023</v>
      </c>
      <c r="B48" s="254" t="s">
        <v>1478</v>
      </c>
      <c r="C48" s="255" t="s">
        <v>489</v>
      </c>
      <c r="D48" s="255" t="s">
        <v>331</v>
      </c>
      <c r="E48" s="255" t="b">
        <v>1</v>
      </c>
      <c r="H48" s="257"/>
      <c r="K48" s="2"/>
      <c r="L48" s="2"/>
      <c r="M48" s="2"/>
      <c r="N48" s="2"/>
      <c r="O48" s="258"/>
      <c r="P48" s="259"/>
      <c r="Q48" s="2"/>
    </row>
    <row r="49" spans="1:17" s="256" customFormat="1">
      <c r="A49" s="255"/>
      <c r="B49" s="254" t="s">
        <v>1472</v>
      </c>
      <c r="C49" s="255"/>
      <c r="D49" s="255"/>
      <c r="E49" s="255"/>
      <c r="H49" s="257" t="s">
        <v>332</v>
      </c>
      <c r="I49" s="2" t="s">
        <v>1507</v>
      </c>
      <c r="J49" s="2" t="s">
        <v>1508</v>
      </c>
      <c r="K49" s="2" t="s">
        <v>334</v>
      </c>
      <c r="L49" s="2" t="s">
        <v>425</v>
      </c>
      <c r="M49" s="2" t="s">
        <v>1479</v>
      </c>
      <c r="N49" s="2">
        <v>1</v>
      </c>
      <c r="O49" s="256" t="s">
        <v>400</v>
      </c>
      <c r="P49" s="259" t="str">
        <f>IF(VLOOKUP(L49,Statistics!B:F,5,FALSE)=0,"",VLOOKUP(L49,Statistics!B:F,5,FALSE))</f>
        <v>QuickMove0010</v>
      </c>
      <c r="Q49" s="2" t="s">
        <v>488</v>
      </c>
    </row>
    <row r="50" spans="1:17">
      <c r="A50" s="158">
        <v>2105000000024</v>
      </c>
      <c r="B50" s="26" t="s">
        <v>1093</v>
      </c>
      <c r="C50" s="25" t="s">
        <v>489</v>
      </c>
      <c r="D50" s="25" t="s">
        <v>331</v>
      </c>
      <c r="E50" s="25" t="b">
        <v>1</v>
      </c>
      <c r="H50" s="25"/>
      <c r="K50" s="25"/>
      <c r="L50" s="25"/>
      <c r="M50" s="25"/>
      <c r="N50" s="25"/>
      <c r="O50" s="205"/>
      <c r="Q50" s="97"/>
    </row>
    <row r="51" spans="1:17">
      <c r="A51" s="25"/>
      <c r="B51" s="26"/>
      <c r="C51" s="25"/>
      <c r="D51" s="25"/>
      <c r="E51" s="25"/>
      <c r="H51" s="43" t="s">
        <v>332</v>
      </c>
      <c r="I51" s="28" t="s">
        <v>821</v>
      </c>
      <c r="J51" s="28" t="s">
        <v>824</v>
      </c>
      <c r="K51" s="28" t="s">
        <v>334</v>
      </c>
      <c r="L51" s="27" t="s">
        <v>531</v>
      </c>
      <c r="M51" s="27"/>
      <c r="N51" s="28">
        <v>9</v>
      </c>
      <c r="O51" s="205" t="s">
        <v>2223</v>
      </c>
      <c r="P51" s="24" t="str">
        <f>IF(VLOOKUP(L51,Statistics!B:F,5,FALSE)=0,"",VLOOKUP(L51,Statistics!B:F,5,FALSE))</f>
        <v/>
      </c>
      <c r="Q51" s="28" t="s">
        <v>1258</v>
      </c>
    </row>
    <row r="52" spans="1:17">
      <c r="A52" s="158">
        <v>2105000000025</v>
      </c>
      <c r="B52" s="26" t="s">
        <v>1207</v>
      </c>
      <c r="C52" s="25" t="s">
        <v>489</v>
      </c>
      <c r="D52" s="25" t="s">
        <v>331</v>
      </c>
      <c r="E52" s="25" t="b">
        <v>1</v>
      </c>
      <c r="L52" s="26"/>
      <c r="O52" s="205"/>
      <c r="Q52" s="97"/>
    </row>
    <row r="53" spans="1:17">
      <c r="A53" s="25"/>
      <c r="B53" s="26"/>
      <c r="E53" s="25"/>
      <c r="H53" s="44">
        <v>1</v>
      </c>
      <c r="I53" s="28" t="s">
        <v>1208</v>
      </c>
      <c r="J53" s="28" t="s">
        <v>1209</v>
      </c>
      <c r="K53" s="28" t="s">
        <v>334</v>
      </c>
      <c r="L53" s="27" t="s">
        <v>535</v>
      </c>
      <c r="M53" s="27" t="s">
        <v>536</v>
      </c>
      <c r="N53" s="27">
        <v>1</v>
      </c>
      <c r="O53" s="205" t="s">
        <v>1504</v>
      </c>
      <c r="P53" s="24" t="str">
        <f>IF(VLOOKUP(L53,Statistics!B:F,5,FALSE)=0,"",VLOOKUP(L53,Statistics!B:F,5,FALSE))</f>
        <v/>
      </c>
      <c r="Q53" s="99" t="s">
        <v>1203</v>
      </c>
    </row>
    <row r="54" spans="1:17">
      <c r="A54" s="158">
        <v>2105000000026</v>
      </c>
      <c r="B54" s="26" t="s">
        <v>813</v>
      </c>
      <c r="C54" s="25" t="s">
        <v>489</v>
      </c>
      <c r="D54" s="25" t="s">
        <v>331</v>
      </c>
      <c r="E54" s="25" t="b">
        <v>1</v>
      </c>
      <c r="H54" s="33"/>
      <c r="K54" s="25"/>
      <c r="L54" s="25"/>
      <c r="M54" s="25"/>
      <c r="N54" s="25"/>
      <c r="O54" s="205"/>
      <c r="Q54" s="97"/>
    </row>
    <row r="55" spans="1:17">
      <c r="A55" s="25"/>
      <c r="B55" s="26"/>
      <c r="C55" s="25"/>
      <c r="D55" s="25"/>
      <c r="E55" s="25"/>
      <c r="H55" s="43">
        <v>1</v>
      </c>
      <c r="I55" s="28" t="s">
        <v>529</v>
      </c>
      <c r="J55" s="28" t="s">
        <v>530</v>
      </c>
      <c r="K55" s="28" t="s">
        <v>334</v>
      </c>
      <c r="L55" s="28" t="s">
        <v>425</v>
      </c>
      <c r="M55" s="28" t="s">
        <v>796</v>
      </c>
      <c r="N55" s="28">
        <v>1</v>
      </c>
      <c r="O55" s="205" t="s">
        <v>539</v>
      </c>
      <c r="P55" s="24" t="str">
        <f>IF(VLOOKUP(L55,Statistics!B:F,5,FALSE)=0,"",VLOOKUP(L55,Statistics!B:F,5,FALSE))</f>
        <v>QuickMove0010</v>
      </c>
      <c r="Q55" s="28" t="s">
        <v>488</v>
      </c>
    </row>
    <row r="56" spans="1:17">
      <c r="A56" s="158">
        <v>2105000000027</v>
      </c>
      <c r="B56" s="26" t="s">
        <v>811</v>
      </c>
      <c r="C56" s="25" t="s">
        <v>489</v>
      </c>
      <c r="D56" s="25" t="s">
        <v>331</v>
      </c>
      <c r="E56" s="25" t="b">
        <v>1</v>
      </c>
      <c r="H56" s="33"/>
      <c r="K56" s="25"/>
      <c r="L56" s="25"/>
      <c r="M56" s="25"/>
      <c r="N56" s="25"/>
      <c r="O56" s="205"/>
      <c r="Q56" s="97"/>
    </row>
    <row r="57" spans="1:17">
      <c r="A57" s="25"/>
      <c r="B57" s="26"/>
      <c r="C57" s="25"/>
      <c r="D57" s="25"/>
      <c r="E57" s="25"/>
      <c r="H57" s="43">
        <v>1</v>
      </c>
      <c r="I57" s="28" t="s">
        <v>533</v>
      </c>
      <c r="J57" s="28" t="s">
        <v>534</v>
      </c>
      <c r="K57" s="28" t="s">
        <v>334</v>
      </c>
      <c r="L57" s="28" t="s">
        <v>542</v>
      </c>
      <c r="M57" s="28"/>
      <c r="N57" s="28">
        <v>1</v>
      </c>
      <c r="O57" s="284" t="s">
        <v>2112</v>
      </c>
      <c r="P57" s="24" t="str">
        <f>IF(VLOOKUP(L57,Statistics!B:F,5,FALSE)=0,"",VLOOKUP(L57,Statistics!B:F,5,FALSE))</f>
        <v/>
      </c>
      <c r="Q57" s="28" t="s">
        <v>543</v>
      </c>
    </row>
    <row r="58" spans="1:17">
      <c r="A58" s="158">
        <v>2105000000028</v>
      </c>
      <c r="B58" s="26" t="s">
        <v>1094</v>
      </c>
      <c r="C58" s="25" t="s">
        <v>489</v>
      </c>
      <c r="D58" s="25" t="s">
        <v>331</v>
      </c>
      <c r="E58" s="25" t="b">
        <v>1</v>
      </c>
      <c r="H58" s="25"/>
      <c r="K58" s="25"/>
      <c r="L58" s="25"/>
      <c r="M58" s="25"/>
      <c r="N58" s="25"/>
      <c r="O58" s="205"/>
      <c r="Q58" s="97"/>
    </row>
    <row r="59" spans="1:17">
      <c r="A59" s="25"/>
      <c r="B59" s="26"/>
      <c r="C59" s="25"/>
      <c r="D59" s="25"/>
      <c r="E59" s="25"/>
      <c r="H59" s="43" t="s">
        <v>332</v>
      </c>
      <c r="I59" s="28" t="s">
        <v>537</v>
      </c>
      <c r="J59" s="28" t="s">
        <v>538</v>
      </c>
      <c r="K59" s="28" t="s">
        <v>334</v>
      </c>
      <c r="L59" s="27" t="s">
        <v>531</v>
      </c>
      <c r="M59" s="27"/>
      <c r="N59" s="28">
        <v>11</v>
      </c>
      <c r="O59" s="205" t="s">
        <v>546</v>
      </c>
      <c r="P59" s="24" t="str">
        <f>IF(VLOOKUP(L59,Statistics!B:F,5,FALSE)=0,"",VLOOKUP(L59,Statistics!B:F,5,FALSE))</f>
        <v/>
      </c>
      <c r="Q59" s="28" t="s">
        <v>532</v>
      </c>
    </row>
    <row r="60" spans="1:17">
      <c r="A60" s="158">
        <v>2105000000029</v>
      </c>
      <c r="B60" s="26" t="s">
        <v>812</v>
      </c>
      <c r="C60" s="25" t="s">
        <v>489</v>
      </c>
      <c r="D60" s="25" t="s">
        <v>331</v>
      </c>
      <c r="E60" s="25" t="b">
        <v>1</v>
      </c>
      <c r="O60" s="205"/>
      <c r="Q60" s="97"/>
    </row>
    <row r="61" spans="1:17">
      <c r="A61" s="25"/>
      <c r="B61" s="26"/>
      <c r="E61" s="25"/>
      <c r="H61" s="43" t="s">
        <v>332</v>
      </c>
      <c r="I61" s="28" t="s">
        <v>540</v>
      </c>
      <c r="J61" s="28" t="s">
        <v>541</v>
      </c>
      <c r="K61" s="28" t="s">
        <v>334</v>
      </c>
      <c r="L61" s="27" t="s">
        <v>508</v>
      </c>
      <c r="M61" s="45"/>
      <c r="N61" s="27">
        <v>5</v>
      </c>
      <c r="O61" s="218" t="s">
        <v>2115</v>
      </c>
      <c r="P61" s="24" t="str">
        <f>IF(VLOOKUP(L61,Statistics!B:F,5,FALSE)=0,"",VLOOKUP(L61,Statistics!B:F,5,FALSE))</f>
        <v>QuickMove0420</v>
      </c>
      <c r="Q61" s="98" t="s">
        <v>1159</v>
      </c>
    </row>
    <row r="62" spans="1:17">
      <c r="A62" s="158">
        <v>2105000000030</v>
      </c>
      <c r="B62" s="26" t="s">
        <v>814</v>
      </c>
      <c r="C62" s="25" t="s">
        <v>489</v>
      </c>
      <c r="D62" s="25" t="s">
        <v>331</v>
      </c>
      <c r="E62" s="25" t="b">
        <v>1</v>
      </c>
      <c r="H62" s="33"/>
      <c r="K62" s="25"/>
      <c r="L62" s="25"/>
      <c r="M62" s="25"/>
      <c r="N62" s="25"/>
      <c r="O62" s="205"/>
      <c r="Q62" s="97"/>
    </row>
    <row r="63" spans="1:17">
      <c r="A63" s="26"/>
      <c r="B63" s="26"/>
      <c r="C63" s="25"/>
      <c r="D63" s="25"/>
      <c r="E63" s="25"/>
      <c r="H63" s="43">
        <v>1</v>
      </c>
      <c r="I63" s="28" t="s">
        <v>544</v>
      </c>
      <c r="J63" s="28" t="s">
        <v>545</v>
      </c>
      <c r="K63" s="28" t="s">
        <v>334</v>
      </c>
      <c r="L63" s="28" t="s">
        <v>425</v>
      </c>
      <c r="M63" s="28" t="s">
        <v>797</v>
      </c>
      <c r="N63" s="28">
        <v>1</v>
      </c>
      <c r="O63" s="205" t="s">
        <v>2205</v>
      </c>
      <c r="P63" s="24" t="str">
        <f>IF(VLOOKUP(L63,Statistics!B:F,5,FALSE)=0,"",VLOOKUP(L63,Statistics!B:F,5,FALSE))</f>
        <v>QuickMove0010</v>
      </c>
      <c r="Q63" s="28" t="s">
        <v>488</v>
      </c>
    </row>
    <row r="64" spans="1:17">
      <c r="E64" s="25"/>
    </row>
    <row r="65" spans="5:16">
      <c r="E65" s="25"/>
      <c r="P65"/>
    </row>
    <row r="66" spans="5:16">
      <c r="E66" s="25"/>
      <c r="P66"/>
    </row>
    <row r="67" spans="5:16">
      <c r="E67" s="25"/>
    </row>
    <row r="68" spans="5:16">
      <c r="E68" s="25"/>
    </row>
    <row r="69" spans="5:16">
      <c r="E69" s="25"/>
    </row>
    <row r="70" spans="5:16">
      <c r="E70" s="25"/>
    </row>
    <row r="71" spans="5:16">
      <c r="E71" s="25"/>
    </row>
    <row r="72" spans="5:16">
      <c r="E72" s="25"/>
    </row>
    <row r="73" spans="5:16">
      <c r="E73" s="25"/>
    </row>
    <row r="74" spans="5:16">
      <c r="E74" s="25"/>
    </row>
    <row r="75" spans="5:16">
      <c r="E75" s="25"/>
    </row>
    <row r="76" spans="5:16">
      <c r="E76" s="25"/>
    </row>
    <row r="77" spans="5:16">
      <c r="E77" s="25"/>
    </row>
    <row r="78" spans="5:16">
      <c r="E78" s="25"/>
    </row>
    <row r="79" spans="5:16">
      <c r="E79" s="25"/>
    </row>
    <row r="80" spans="5:16">
      <c r="E80" s="25"/>
    </row>
    <row r="81" spans="5:5">
      <c r="E81" s="25"/>
    </row>
    <row r="82" spans="5:5">
      <c r="E82" s="25"/>
    </row>
    <row r="83" spans="5:5">
      <c r="E83" s="25"/>
    </row>
    <row r="84" spans="5:5">
      <c r="E84" s="25"/>
    </row>
    <row r="85" spans="5:5">
      <c r="E85" s="25"/>
    </row>
    <row r="86" spans="5:5">
      <c r="E86" s="25"/>
    </row>
    <row r="87" spans="5:5">
      <c r="E87" s="25"/>
    </row>
    <row r="88" spans="5:5">
      <c r="E88" s="25"/>
    </row>
    <row r="89" spans="5:5">
      <c r="E89" s="25"/>
    </row>
    <row r="97" spans="16:16">
      <c r="P97" s="108"/>
    </row>
    <row r="128" spans="16:16">
      <c r="P128" s="108"/>
    </row>
  </sheetData>
  <phoneticPr fontId="4" type="noConversion"/>
  <pageMargins left="0.7" right="0.7" top="0.75" bottom="0.75" header="0.3" footer="0.3"/>
  <pageSetup paperSize="9" orientation="portrait" verticalDpi="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193"/>
  <sheetViews>
    <sheetView workbookViewId="0">
      <selection activeCell="G1" sqref="G1"/>
    </sheetView>
  </sheetViews>
  <sheetFormatPr defaultRowHeight="13.5"/>
  <cols>
    <col min="1" max="1" width="16" style="24" bestFit="1" customWidth="1"/>
    <col min="2" max="2" width="5.75" style="24" bestFit="1" customWidth="1"/>
    <col min="3" max="3" width="17.375" style="24" bestFit="1" customWidth="1"/>
    <col min="4" max="4" width="53.875" style="24" bestFit="1" customWidth="1"/>
    <col min="5" max="5" width="18.875" style="24" customWidth="1"/>
    <col min="6" max="7" width="8.25" style="24" customWidth="1"/>
    <col min="8" max="8" width="8" style="24" bestFit="1" customWidth="1"/>
    <col min="9" max="9" width="37.625" style="24" bestFit="1" customWidth="1"/>
    <col min="10" max="10" width="31.875" style="24" bestFit="1" customWidth="1"/>
    <col min="11" max="11" width="18.125" style="24" bestFit="1" customWidth="1"/>
    <col min="12" max="12" width="22" style="24" bestFit="1" customWidth="1"/>
    <col min="13" max="13" width="36.75" style="24" bestFit="1" customWidth="1"/>
    <col min="14" max="14" width="9.375" style="24" bestFit="1" customWidth="1"/>
    <col min="15" max="15" width="46.625" style="24" bestFit="1" customWidth="1"/>
    <col min="16" max="16" width="23.5" style="24" customWidth="1"/>
    <col min="17" max="19" width="9" style="24" customWidth="1"/>
    <col min="20" max="16384" width="9" style="24"/>
  </cols>
  <sheetData>
    <row r="1" spans="1:16" ht="16.5" customHeight="1">
      <c r="A1" s="20" t="s">
        <v>304</v>
      </c>
      <c r="B1" s="21" t="s">
        <v>305</v>
      </c>
      <c r="C1" s="21" t="s">
        <v>306</v>
      </c>
      <c r="D1" s="21" t="s">
        <v>307</v>
      </c>
      <c r="E1" s="6" t="s">
        <v>308</v>
      </c>
      <c r="F1" s="20" t="s">
        <v>636</v>
      </c>
      <c r="G1" s="165" t="s">
        <v>3740</v>
      </c>
      <c r="H1" s="22" t="s">
        <v>309</v>
      </c>
      <c r="I1" s="22" t="s">
        <v>310</v>
      </c>
      <c r="J1" s="22" t="s">
        <v>311</v>
      </c>
      <c r="K1" s="22" t="s">
        <v>312</v>
      </c>
      <c r="L1" s="22" t="s">
        <v>313</v>
      </c>
      <c r="M1" s="22" t="s">
        <v>314</v>
      </c>
      <c r="N1" s="22" t="s">
        <v>315</v>
      </c>
      <c r="O1" s="22" t="s">
        <v>316</v>
      </c>
      <c r="P1" s="9" t="s">
        <v>317</v>
      </c>
    </row>
    <row r="2" spans="1:16" ht="16.5" customHeight="1">
      <c r="A2" s="20" t="s">
        <v>318</v>
      </c>
      <c r="B2" s="20" t="s">
        <v>3</v>
      </c>
      <c r="C2" s="20" t="s">
        <v>319</v>
      </c>
      <c r="D2" s="20" t="s">
        <v>320</v>
      </c>
      <c r="E2" s="5" t="s">
        <v>321</v>
      </c>
      <c r="F2" s="20" t="s">
        <v>320</v>
      </c>
      <c r="G2" s="165" t="s">
        <v>851</v>
      </c>
      <c r="H2" s="22" t="s">
        <v>322</v>
      </c>
      <c r="I2" s="22" t="s">
        <v>323</v>
      </c>
      <c r="J2" s="22" t="s">
        <v>323</v>
      </c>
      <c r="K2" s="22" t="s">
        <v>324</v>
      </c>
      <c r="L2" s="22" t="s">
        <v>325</v>
      </c>
      <c r="M2" s="22" t="s">
        <v>326</v>
      </c>
      <c r="N2" s="22" t="s">
        <v>322</v>
      </c>
      <c r="O2" s="22" t="s">
        <v>320</v>
      </c>
      <c r="P2" s="9" t="s">
        <v>327</v>
      </c>
    </row>
    <row r="3" spans="1:16" ht="16.5" customHeight="1">
      <c r="A3" s="20" t="s">
        <v>328</v>
      </c>
      <c r="B3" s="20" t="s">
        <v>3</v>
      </c>
      <c r="C3" s="20" t="s">
        <v>328</v>
      </c>
      <c r="D3" s="20" t="s">
        <v>329</v>
      </c>
      <c r="E3" s="5" t="s">
        <v>4</v>
      </c>
      <c r="F3" s="20" t="s">
        <v>328</v>
      </c>
      <c r="G3" s="165" t="s">
        <v>328</v>
      </c>
      <c r="H3" s="22" t="s">
        <v>328</v>
      </c>
      <c r="I3" s="22" t="s">
        <v>4</v>
      </c>
      <c r="J3" s="22" t="s">
        <v>4</v>
      </c>
      <c r="K3" s="22" t="s">
        <v>328</v>
      </c>
      <c r="L3" s="22" t="s">
        <v>328</v>
      </c>
      <c r="M3" s="22" t="s">
        <v>328</v>
      </c>
      <c r="N3" s="22" t="s">
        <v>328</v>
      </c>
      <c r="O3" s="22" t="s">
        <v>328</v>
      </c>
      <c r="P3" s="9" t="s">
        <v>4</v>
      </c>
    </row>
    <row r="4" spans="1:16">
      <c r="A4" s="107" t="s">
        <v>547</v>
      </c>
      <c r="B4" s="107"/>
      <c r="C4" s="107"/>
      <c r="D4" s="107"/>
      <c r="E4" s="107"/>
      <c r="F4" s="107"/>
      <c r="G4" s="107"/>
      <c r="H4" s="108"/>
      <c r="I4" s="108"/>
      <c r="J4" s="108"/>
      <c r="K4" s="108"/>
      <c r="L4" s="108"/>
      <c r="M4" s="108"/>
      <c r="N4" s="108"/>
      <c r="O4" s="108"/>
      <c r="P4" s="109"/>
    </row>
    <row r="5" spans="1:16">
      <c r="A5" s="24" t="s">
        <v>548</v>
      </c>
      <c r="C5" s="24" t="s">
        <v>549</v>
      </c>
      <c r="D5" s="24" t="s">
        <v>331</v>
      </c>
      <c r="E5" s="24" t="b">
        <v>1</v>
      </c>
      <c r="H5" s="80"/>
      <c r="P5" s="198"/>
    </row>
    <row r="6" spans="1:16">
      <c r="H6" s="80">
        <v>1</v>
      </c>
      <c r="I6" s="24" t="s">
        <v>2174</v>
      </c>
      <c r="J6" s="24" t="s">
        <v>2173</v>
      </c>
      <c r="K6" s="198" t="s">
        <v>334</v>
      </c>
      <c r="L6" s="198" t="s">
        <v>551</v>
      </c>
      <c r="M6" s="198"/>
      <c r="N6" s="80">
        <v>1</v>
      </c>
      <c r="O6" s="24" t="s">
        <v>2123</v>
      </c>
      <c r="P6" s="198"/>
    </row>
    <row r="7" spans="1:16">
      <c r="A7" s="24" t="s">
        <v>552</v>
      </c>
      <c r="C7" s="24" t="s">
        <v>549</v>
      </c>
      <c r="D7" s="24" t="s">
        <v>331</v>
      </c>
      <c r="E7" s="24" t="b">
        <v>1</v>
      </c>
      <c r="H7" s="80"/>
      <c r="K7" s="198"/>
      <c r="L7" s="198"/>
      <c r="M7" s="198"/>
      <c r="N7" s="80"/>
      <c r="P7" s="198"/>
    </row>
    <row r="8" spans="1:16">
      <c r="H8" s="80">
        <v>1</v>
      </c>
      <c r="I8" s="24" t="s">
        <v>2243</v>
      </c>
      <c r="J8" s="24" t="s">
        <v>2173</v>
      </c>
      <c r="K8" s="198" t="s">
        <v>334</v>
      </c>
      <c r="L8" s="198" t="s">
        <v>490</v>
      </c>
      <c r="M8" s="198" t="s">
        <v>2240</v>
      </c>
      <c r="N8" s="288">
        <v>5</v>
      </c>
      <c r="O8" s="24" t="s">
        <v>2123</v>
      </c>
      <c r="P8" s="200" t="s">
        <v>362</v>
      </c>
    </row>
    <row r="9" spans="1:16">
      <c r="A9" s="24" t="s">
        <v>554</v>
      </c>
      <c r="C9" s="24" t="s">
        <v>549</v>
      </c>
      <c r="D9" s="24" t="s">
        <v>331</v>
      </c>
      <c r="E9" s="24" t="b">
        <v>1</v>
      </c>
      <c r="H9" s="80"/>
      <c r="K9" s="198"/>
      <c r="L9" s="198"/>
      <c r="M9" s="198"/>
      <c r="N9" s="80"/>
      <c r="P9" s="199"/>
    </row>
    <row r="10" spans="1:16">
      <c r="H10" s="80">
        <v>1</v>
      </c>
      <c r="I10" s="24" t="s">
        <v>2244</v>
      </c>
      <c r="J10" s="24" t="s">
        <v>2173</v>
      </c>
      <c r="K10" s="198" t="s">
        <v>334</v>
      </c>
      <c r="L10" s="198" t="s">
        <v>425</v>
      </c>
      <c r="M10" s="198" t="s">
        <v>2099</v>
      </c>
      <c r="N10" s="80">
        <v>1</v>
      </c>
      <c r="O10" s="24" t="s">
        <v>3118</v>
      </c>
      <c r="P10" s="199" t="s">
        <v>337</v>
      </c>
    </row>
    <row r="11" spans="1:16">
      <c r="A11" s="261">
        <v>2106000000003</v>
      </c>
      <c r="C11" s="24" t="s">
        <v>549</v>
      </c>
      <c r="D11" s="24" t="s">
        <v>331</v>
      </c>
      <c r="E11" s="24" t="b">
        <v>1</v>
      </c>
      <c r="H11" s="80"/>
      <c r="N11" s="80"/>
      <c r="P11" s="199"/>
    </row>
    <row r="12" spans="1:16">
      <c r="H12" s="80">
        <v>1</v>
      </c>
      <c r="I12" s="24" t="s">
        <v>2176</v>
      </c>
      <c r="J12" s="24" t="s">
        <v>2173</v>
      </c>
      <c r="K12" s="198" t="s">
        <v>334</v>
      </c>
      <c r="L12" s="198" t="s">
        <v>425</v>
      </c>
      <c r="M12" s="198" t="s">
        <v>764</v>
      </c>
      <c r="N12" s="80">
        <v>3</v>
      </c>
      <c r="O12" s="24" t="s">
        <v>3119</v>
      </c>
      <c r="P12" s="199" t="s">
        <v>431</v>
      </c>
    </row>
    <row r="13" spans="1:16">
      <c r="A13" s="261">
        <v>2106000000004</v>
      </c>
      <c r="C13" s="24" t="s">
        <v>549</v>
      </c>
      <c r="D13" s="24" t="s">
        <v>331</v>
      </c>
      <c r="E13" s="24" t="b">
        <v>1</v>
      </c>
      <c r="H13" s="80"/>
      <c r="N13" s="288"/>
      <c r="P13" s="199"/>
    </row>
    <row r="14" spans="1:16">
      <c r="H14" s="80">
        <v>1</v>
      </c>
      <c r="I14" s="24" t="s">
        <v>2179</v>
      </c>
      <c r="J14" s="289" t="s">
        <v>2173</v>
      </c>
      <c r="K14" s="24" t="s">
        <v>334</v>
      </c>
      <c r="L14" s="24" t="s">
        <v>570</v>
      </c>
      <c r="M14" s="24" t="s">
        <v>1002</v>
      </c>
      <c r="N14" s="288">
        <v>1</v>
      </c>
      <c r="O14" s="24" t="s">
        <v>2241</v>
      </c>
      <c r="P14" s="200" t="s">
        <v>443</v>
      </c>
    </row>
    <row r="15" spans="1:16">
      <c r="A15" s="107" t="s">
        <v>558</v>
      </c>
      <c r="B15" s="107"/>
      <c r="C15" s="107"/>
      <c r="D15" s="107"/>
      <c r="E15" s="107"/>
      <c r="F15" s="107"/>
      <c r="G15" s="107"/>
      <c r="H15" s="108"/>
      <c r="I15" s="108"/>
      <c r="J15" s="108"/>
      <c r="K15" s="108"/>
      <c r="L15" s="108"/>
      <c r="M15" s="108"/>
      <c r="N15" s="108"/>
      <c r="O15" s="108"/>
      <c r="P15" s="201"/>
    </row>
    <row r="16" spans="1:16">
      <c r="A16" s="261">
        <v>2106000000005</v>
      </c>
      <c r="C16" s="24" t="s">
        <v>559</v>
      </c>
      <c r="D16" s="24" t="s">
        <v>560</v>
      </c>
      <c r="E16" s="24" t="b">
        <v>1</v>
      </c>
      <c r="H16" s="80"/>
      <c r="P16" s="198"/>
    </row>
    <row r="17" spans="1:16">
      <c r="H17" s="80">
        <v>1</v>
      </c>
      <c r="I17" s="24" t="s">
        <v>2912</v>
      </c>
      <c r="J17" s="24" t="s">
        <v>2173</v>
      </c>
      <c r="K17" s="24" t="s">
        <v>334</v>
      </c>
      <c r="L17" s="24" t="s">
        <v>1337</v>
      </c>
      <c r="N17" s="80">
        <v>2</v>
      </c>
      <c r="O17" s="24" t="s">
        <v>2128</v>
      </c>
      <c r="P17" s="198" t="s">
        <v>2563</v>
      </c>
    </row>
    <row r="18" spans="1:16">
      <c r="A18" s="261">
        <v>2106000000006</v>
      </c>
      <c r="C18" s="24" t="s">
        <v>559</v>
      </c>
      <c r="D18" s="24" t="s">
        <v>560</v>
      </c>
      <c r="E18" s="24" t="b">
        <v>1</v>
      </c>
      <c r="H18" s="80"/>
      <c r="N18" s="80"/>
      <c r="P18" s="198"/>
    </row>
    <row r="19" spans="1:16">
      <c r="H19" s="80">
        <v>1</v>
      </c>
      <c r="I19" s="24" t="s">
        <v>561</v>
      </c>
      <c r="J19" s="24" t="s">
        <v>2173</v>
      </c>
      <c r="K19" s="24" t="s">
        <v>334</v>
      </c>
      <c r="L19" s="24" t="s">
        <v>1198</v>
      </c>
      <c r="N19" s="80">
        <v>1</v>
      </c>
      <c r="O19" s="24" t="s">
        <v>2128</v>
      </c>
      <c r="P19" s="199" t="s">
        <v>1004</v>
      </c>
    </row>
    <row r="20" spans="1:16">
      <c r="A20" s="261">
        <v>2106000000007</v>
      </c>
      <c r="C20" s="24" t="s">
        <v>559</v>
      </c>
      <c r="D20" s="24" t="s">
        <v>560</v>
      </c>
      <c r="E20" s="24" t="b">
        <v>1</v>
      </c>
      <c r="H20" s="80"/>
      <c r="N20" s="80"/>
      <c r="P20" s="198"/>
    </row>
    <row r="21" spans="1:16">
      <c r="H21" s="80">
        <v>1</v>
      </c>
      <c r="I21" s="266" t="s">
        <v>3062</v>
      </c>
      <c r="J21" s="266" t="s">
        <v>2173</v>
      </c>
      <c r="K21" s="24" t="s">
        <v>334</v>
      </c>
      <c r="L21" s="24" t="s">
        <v>1111</v>
      </c>
      <c r="N21" s="87">
        <v>1</v>
      </c>
      <c r="O21" s="24" t="s">
        <v>3120</v>
      </c>
      <c r="P21" s="199" t="s">
        <v>359</v>
      </c>
    </row>
    <row r="22" spans="1:16">
      <c r="A22" s="261">
        <v>2106000000008</v>
      </c>
      <c r="C22" s="24" t="s">
        <v>559</v>
      </c>
      <c r="D22" s="24" t="s">
        <v>560</v>
      </c>
      <c r="E22" s="24" t="b">
        <v>1</v>
      </c>
      <c r="H22" s="80"/>
      <c r="N22" s="80"/>
      <c r="P22" s="198"/>
    </row>
    <row r="23" spans="1:16">
      <c r="H23" s="80">
        <v>1</v>
      </c>
      <c r="I23" s="24" t="s">
        <v>2177</v>
      </c>
      <c r="J23" s="24" t="s">
        <v>2173</v>
      </c>
      <c r="K23" s="198" t="s">
        <v>334</v>
      </c>
      <c r="L23" s="198" t="s">
        <v>490</v>
      </c>
      <c r="M23" s="198" t="s">
        <v>1919</v>
      </c>
      <c r="N23" s="288">
        <v>1</v>
      </c>
      <c r="O23" s="24" t="s">
        <v>2131</v>
      </c>
      <c r="P23" s="200" t="s">
        <v>362</v>
      </c>
    </row>
    <row r="24" spans="1:16">
      <c r="A24" s="107" t="s">
        <v>565</v>
      </c>
      <c r="B24" s="107"/>
      <c r="C24" s="107"/>
      <c r="D24" s="107"/>
      <c r="E24" s="107"/>
      <c r="F24" s="107"/>
      <c r="G24" s="107"/>
      <c r="H24" s="108"/>
      <c r="I24" s="108"/>
      <c r="J24" s="108"/>
      <c r="K24" s="108"/>
      <c r="L24" s="108"/>
      <c r="M24" s="108"/>
      <c r="N24" s="108"/>
      <c r="O24" s="108"/>
      <c r="P24" s="201"/>
    </row>
    <row r="25" spans="1:16">
      <c r="A25" s="261">
        <v>2106000000009</v>
      </c>
      <c r="C25" s="24" t="s">
        <v>566</v>
      </c>
      <c r="D25" s="24" t="s">
        <v>567</v>
      </c>
      <c r="E25" s="24" t="b">
        <v>1</v>
      </c>
      <c r="H25" s="80"/>
      <c r="P25" s="198"/>
    </row>
    <row r="26" spans="1:16">
      <c r="A26" s="198"/>
      <c r="H26" s="80">
        <v>1</v>
      </c>
      <c r="I26" s="266" t="s">
        <v>2714</v>
      </c>
      <c r="J26" s="266" t="s">
        <v>2173</v>
      </c>
      <c r="K26" s="198" t="s">
        <v>334</v>
      </c>
      <c r="L26" s="87" t="s">
        <v>366</v>
      </c>
      <c r="M26" s="87" t="s">
        <v>367</v>
      </c>
      <c r="N26" s="87">
        <v>200</v>
      </c>
      <c r="O26" s="24" t="s">
        <v>2133</v>
      </c>
      <c r="P26" s="301" t="s">
        <v>611</v>
      </c>
    </row>
    <row r="27" spans="1:16">
      <c r="A27" s="261">
        <v>2106000000010</v>
      </c>
      <c r="C27" s="24" t="s">
        <v>566</v>
      </c>
      <c r="D27" s="24" t="s">
        <v>567</v>
      </c>
      <c r="E27" s="24" t="b">
        <v>1</v>
      </c>
      <c r="H27" s="80"/>
      <c r="I27" s="198"/>
      <c r="J27" s="198"/>
      <c r="K27" s="198"/>
      <c r="L27" s="198"/>
      <c r="M27" s="198"/>
      <c r="P27" s="198"/>
    </row>
    <row r="28" spans="1:16">
      <c r="H28" s="294" t="s">
        <v>332</v>
      </c>
      <c r="I28" s="24" t="s">
        <v>2179</v>
      </c>
      <c r="J28" s="289" t="s">
        <v>2173</v>
      </c>
      <c r="K28" s="24" t="s">
        <v>334</v>
      </c>
      <c r="L28" s="24" t="s">
        <v>570</v>
      </c>
      <c r="M28" s="24" t="s">
        <v>2242</v>
      </c>
      <c r="N28" s="288">
        <v>3</v>
      </c>
      <c r="O28" s="24" t="s">
        <v>2133</v>
      </c>
      <c r="P28" s="200" t="s">
        <v>443</v>
      </c>
    </row>
    <row r="29" spans="1:16">
      <c r="A29" s="261">
        <v>2106000000011</v>
      </c>
      <c r="C29" s="24" t="s">
        <v>566</v>
      </c>
      <c r="D29" s="24" t="s">
        <v>567</v>
      </c>
      <c r="E29" s="24" t="b">
        <v>1</v>
      </c>
      <c r="H29" s="80"/>
    </row>
    <row r="30" spans="1:16" ht="27" customHeight="1">
      <c r="H30" s="80">
        <v>1</v>
      </c>
      <c r="I30" s="198" t="s">
        <v>568</v>
      </c>
      <c r="J30" s="24" t="s">
        <v>2173</v>
      </c>
      <c r="K30" s="24" t="s">
        <v>334</v>
      </c>
      <c r="L30" s="24" t="s">
        <v>384</v>
      </c>
      <c r="M30" s="24" t="s">
        <v>350</v>
      </c>
      <c r="N30" s="80">
        <v>1</v>
      </c>
      <c r="O30" s="24" t="s">
        <v>3063</v>
      </c>
      <c r="P30" s="200" t="s">
        <v>385</v>
      </c>
    </row>
    <row r="31" spans="1:16">
      <c r="A31" s="261">
        <v>2106000000012</v>
      </c>
      <c r="C31" s="24" t="s">
        <v>566</v>
      </c>
      <c r="D31" s="24" t="s">
        <v>567</v>
      </c>
      <c r="E31" s="24" t="b">
        <v>1</v>
      </c>
      <c r="H31" s="80"/>
      <c r="P31" s="198"/>
    </row>
    <row r="32" spans="1:16" ht="27" customHeight="1">
      <c r="A32" s="198"/>
      <c r="H32" s="80">
        <v>1</v>
      </c>
      <c r="I32" s="299" t="s">
        <v>3070</v>
      </c>
      <c r="J32" s="154" t="s">
        <v>2173</v>
      </c>
      <c r="K32" s="24" t="s">
        <v>334</v>
      </c>
      <c r="L32" t="s">
        <v>3069</v>
      </c>
      <c r="M32" s="24" t="s">
        <v>3068</v>
      </c>
      <c r="N32" s="80">
        <v>3</v>
      </c>
      <c r="O32" s="24" t="s">
        <v>2135</v>
      </c>
      <c r="P32" s="298" t="s">
        <v>443</v>
      </c>
    </row>
    <row r="33" spans="1:16" ht="12.75" customHeight="1">
      <c r="A33" s="107" t="s">
        <v>571</v>
      </c>
      <c r="B33" s="107"/>
      <c r="C33" s="107"/>
      <c r="D33" s="107"/>
      <c r="E33" s="107"/>
      <c r="F33" s="107"/>
      <c r="G33" s="107"/>
      <c r="H33" s="108"/>
      <c r="I33" s="108"/>
      <c r="J33" s="108"/>
      <c r="K33" s="108"/>
      <c r="L33" s="108"/>
      <c r="M33" s="108"/>
      <c r="N33" s="108"/>
      <c r="O33" s="108"/>
      <c r="P33" s="201"/>
    </row>
    <row r="34" spans="1:16">
      <c r="A34" s="172">
        <v>2106000000013</v>
      </c>
      <c r="C34" s="24" t="s">
        <v>572</v>
      </c>
      <c r="D34" s="24" t="s">
        <v>573</v>
      </c>
      <c r="E34" s="24" t="b">
        <v>1</v>
      </c>
      <c r="H34" s="80"/>
      <c r="P34" s="198"/>
    </row>
    <row r="35" spans="1:16" ht="16.5">
      <c r="A35" s="172"/>
      <c r="H35" s="80">
        <v>1</v>
      </c>
      <c r="I35" s="24" t="s">
        <v>2245</v>
      </c>
      <c r="J35" s="24" t="s">
        <v>2173</v>
      </c>
      <c r="K35" s="198" t="s">
        <v>334</v>
      </c>
      <c r="L35" s="198" t="s">
        <v>357</v>
      </c>
      <c r="M35" s="198" t="s">
        <v>358</v>
      </c>
      <c r="N35" s="80">
        <v>100</v>
      </c>
      <c r="O35" s="24" t="s">
        <v>2139</v>
      </c>
      <c r="P35" t="s">
        <v>359</v>
      </c>
    </row>
    <row r="36" spans="1:16">
      <c r="A36" s="172">
        <v>2106000000014</v>
      </c>
      <c r="C36" s="24" t="s">
        <v>572</v>
      </c>
      <c r="D36" s="24" t="s">
        <v>573</v>
      </c>
      <c r="E36" s="24" t="b">
        <v>1</v>
      </c>
      <c r="H36" s="80"/>
      <c r="N36" s="80"/>
      <c r="P36" s="198"/>
    </row>
    <row r="37" spans="1:16">
      <c r="H37" s="294" t="s">
        <v>332</v>
      </c>
      <c r="I37" s="24" t="s">
        <v>2176</v>
      </c>
      <c r="J37" s="24" t="s">
        <v>2173</v>
      </c>
      <c r="K37" s="198" t="s">
        <v>334</v>
      </c>
      <c r="L37" s="198" t="s">
        <v>425</v>
      </c>
      <c r="M37" s="198" t="s">
        <v>764</v>
      </c>
      <c r="N37" s="80">
        <v>10</v>
      </c>
      <c r="O37" s="24" t="s">
        <v>2139</v>
      </c>
      <c r="P37" s="202" t="s">
        <v>765</v>
      </c>
    </row>
    <row r="38" spans="1:16">
      <c r="A38" s="172">
        <v>2106000000015</v>
      </c>
      <c r="C38" s="24" t="s">
        <v>572</v>
      </c>
      <c r="D38" s="24" t="s">
        <v>573</v>
      </c>
      <c r="E38" s="24" t="b">
        <v>1</v>
      </c>
      <c r="H38" s="80"/>
      <c r="I38" s="198"/>
      <c r="N38" s="80"/>
    </row>
    <row r="39" spans="1:16">
      <c r="A39" s="172"/>
      <c r="H39" s="80">
        <v>1</v>
      </c>
      <c r="I39" s="300" t="s">
        <v>2914</v>
      </c>
      <c r="J39" s="154" t="s">
        <v>2173</v>
      </c>
      <c r="K39" s="198" t="s">
        <v>334</v>
      </c>
      <c r="L39" s="24" t="s">
        <v>425</v>
      </c>
      <c r="M39" s="24" t="s">
        <v>2913</v>
      </c>
      <c r="N39" s="80">
        <v>1</v>
      </c>
      <c r="O39" s="24" t="s">
        <v>3065</v>
      </c>
      <c r="P39" s="301" t="s">
        <v>488</v>
      </c>
    </row>
    <row r="40" spans="1:16">
      <c r="A40" s="172">
        <v>2106000000016</v>
      </c>
      <c r="C40" s="24" t="s">
        <v>572</v>
      </c>
      <c r="D40" s="24" t="s">
        <v>573</v>
      </c>
      <c r="E40" s="24" t="b">
        <v>1</v>
      </c>
      <c r="H40" s="80"/>
      <c r="I40" s="198"/>
      <c r="N40" s="80"/>
      <c r="P40" s="198"/>
    </row>
    <row r="41" spans="1:16">
      <c r="H41" s="80">
        <v>1</v>
      </c>
      <c r="I41" s="198" t="s">
        <v>568</v>
      </c>
      <c r="J41" s="24" t="s">
        <v>2173</v>
      </c>
      <c r="K41" s="24" t="s">
        <v>334</v>
      </c>
      <c r="L41" s="24" t="s">
        <v>384</v>
      </c>
      <c r="M41" s="24" t="s">
        <v>350</v>
      </c>
      <c r="N41" s="80">
        <v>3</v>
      </c>
      <c r="O41" s="24" t="s">
        <v>3067</v>
      </c>
      <c r="P41" s="200" t="s">
        <v>385</v>
      </c>
    </row>
    <row r="42" spans="1:16" ht="12.75" customHeight="1">
      <c r="A42" s="107" t="s">
        <v>574</v>
      </c>
      <c r="B42" s="107"/>
      <c r="C42" s="107"/>
      <c r="D42" s="107"/>
      <c r="E42" s="107"/>
      <c r="F42" s="107"/>
      <c r="G42" s="107"/>
      <c r="H42" s="108"/>
      <c r="I42" s="297"/>
      <c r="J42" s="108"/>
      <c r="K42" s="108"/>
      <c r="L42" s="108"/>
      <c r="M42" s="108"/>
      <c r="N42" s="108"/>
      <c r="O42" s="108"/>
      <c r="P42" s="201"/>
    </row>
    <row r="43" spans="1:16">
      <c r="A43" s="261">
        <v>2106000000017</v>
      </c>
      <c r="C43" s="24" t="s">
        <v>575</v>
      </c>
      <c r="D43" s="24" t="s">
        <v>576</v>
      </c>
      <c r="E43" s="24" t="b">
        <v>1</v>
      </c>
      <c r="H43" s="80"/>
      <c r="I43" s="198"/>
      <c r="P43" s="198"/>
    </row>
    <row r="44" spans="1:16">
      <c r="A44" s="261"/>
      <c r="H44" s="80">
        <v>1</v>
      </c>
      <c r="I44" s="24" t="s">
        <v>561</v>
      </c>
      <c r="J44" s="24" t="s">
        <v>2173</v>
      </c>
      <c r="K44" s="24" t="s">
        <v>334</v>
      </c>
      <c r="L44" s="24" t="s">
        <v>1198</v>
      </c>
      <c r="N44" s="80">
        <v>3</v>
      </c>
      <c r="O44" s="24" t="s">
        <v>2145</v>
      </c>
      <c r="P44" s="199" t="s">
        <v>1004</v>
      </c>
    </row>
    <row r="45" spans="1:16">
      <c r="A45" s="261">
        <v>2106000000018</v>
      </c>
      <c r="C45" s="24" t="s">
        <v>575</v>
      </c>
      <c r="D45" s="24" t="s">
        <v>576</v>
      </c>
      <c r="E45" s="24" t="b">
        <v>1</v>
      </c>
      <c r="H45" s="80"/>
      <c r="I45" s="198"/>
      <c r="P45" s="198"/>
    </row>
    <row r="46" spans="1:16">
      <c r="H46" s="294" t="s">
        <v>332</v>
      </c>
      <c r="I46" s="266" t="s">
        <v>2714</v>
      </c>
      <c r="J46" s="266" t="s">
        <v>2173</v>
      </c>
      <c r="K46" s="198" t="s">
        <v>334</v>
      </c>
      <c r="L46" s="87" t="s">
        <v>366</v>
      </c>
      <c r="M46" s="87" t="s">
        <v>367</v>
      </c>
      <c r="N46" s="87">
        <v>300</v>
      </c>
      <c r="O46" s="24" t="s">
        <v>2145</v>
      </c>
      <c r="P46" s="301" t="s">
        <v>611</v>
      </c>
    </row>
    <row r="47" spans="1:16">
      <c r="A47" s="261">
        <v>2106000000019</v>
      </c>
      <c r="C47" s="24" t="s">
        <v>575</v>
      </c>
      <c r="D47" s="24" t="s">
        <v>576</v>
      </c>
      <c r="E47" s="24" t="b">
        <v>1</v>
      </c>
      <c r="H47" s="198"/>
      <c r="I47" s="198"/>
      <c r="N47" s="106"/>
    </row>
    <row r="48" spans="1:16" ht="27" customHeight="1">
      <c r="A48" s="261"/>
      <c r="H48" s="80">
        <v>1</v>
      </c>
      <c r="I48" s="24" t="s">
        <v>2179</v>
      </c>
      <c r="J48" s="289" t="s">
        <v>2173</v>
      </c>
      <c r="K48" s="24" t="s">
        <v>334</v>
      </c>
      <c r="L48" s="24" t="s">
        <v>570</v>
      </c>
      <c r="M48" s="24" t="s">
        <v>2242</v>
      </c>
      <c r="N48" s="288">
        <v>5</v>
      </c>
      <c r="O48" s="24" t="s">
        <v>3066</v>
      </c>
      <c r="P48" s="200" t="s">
        <v>443</v>
      </c>
    </row>
    <row r="49" spans="1:16">
      <c r="A49" s="261">
        <v>2106000000020</v>
      </c>
      <c r="C49" s="24" t="s">
        <v>575</v>
      </c>
      <c r="D49" s="24" t="s">
        <v>576</v>
      </c>
      <c r="E49" s="24" t="b">
        <v>1</v>
      </c>
      <c r="H49" s="80"/>
      <c r="N49" s="80"/>
      <c r="P49" s="198"/>
    </row>
    <row r="50" spans="1:16">
      <c r="H50" s="80">
        <v>1</v>
      </c>
      <c r="I50" s="198" t="s">
        <v>568</v>
      </c>
      <c r="J50" s="24" t="s">
        <v>2173</v>
      </c>
      <c r="K50" s="24" t="s">
        <v>334</v>
      </c>
      <c r="L50" s="24" t="s">
        <v>384</v>
      </c>
      <c r="M50" s="24" t="s">
        <v>350</v>
      </c>
      <c r="N50" s="80">
        <v>5</v>
      </c>
      <c r="O50" s="24" t="s">
        <v>3064</v>
      </c>
      <c r="P50" s="200" t="s">
        <v>385</v>
      </c>
    </row>
    <row r="51" spans="1:16" ht="12.75" customHeight="1">
      <c r="A51" s="107" t="s">
        <v>577</v>
      </c>
      <c r="B51" s="107"/>
      <c r="C51" s="107"/>
      <c r="D51" s="107"/>
      <c r="E51" s="107"/>
      <c r="F51" s="107"/>
      <c r="G51" s="107"/>
      <c r="H51" s="108"/>
      <c r="I51" s="108"/>
      <c r="J51" s="108"/>
      <c r="K51" s="108"/>
      <c r="L51" s="108"/>
      <c r="M51" s="108"/>
      <c r="N51" s="108"/>
      <c r="O51" s="108"/>
      <c r="P51" s="201"/>
    </row>
    <row r="52" spans="1:16">
      <c r="A52" s="261">
        <v>2106000000021</v>
      </c>
      <c r="C52" s="24" t="s">
        <v>578</v>
      </c>
      <c r="D52" s="24" t="s">
        <v>579</v>
      </c>
      <c r="E52" s="24" t="b">
        <v>1</v>
      </c>
      <c r="H52" s="80"/>
      <c r="P52" s="198"/>
    </row>
    <row r="53" spans="1:16">
      <c r="A53" s="261"/>
      <c r="H53" s="80">
        <v>1</v>
      </c>
      <c r="I53" s="24" t="s">
        <v>2247</v>
      </c>
      <c r="J53" s="24" t="s">
        <v>2173</v>
      </c>
      <c r="K53" s="198" t="s">
        <v>334</v>
      </c>
      <c r="L53" s="198" t="s">
        <v>490</v>
      </c>
      <c r="M53" s="198" t="s">
        <v>1920</v>
      </c>
      <c r="N53" s="288">
        <v>5</v>
      </c>
      <c r="O53" s="24" t="s">
        <v>2151</v>
      </c>
      <c r="P53" s="200" t="s">
        <v>362</v>
      </c>
    </row>
    <row r="54" spans="1:16">
      <c r="A54" s="261">
        <v>2106000000022</v>
      </c>
      <c r="C54" s="24" t="s">
        <v>578</v>
      </c>
      <c r="D54" s="24" t="s">
        <v>579</v>
      </c>
      <c r="E54" s="24" t="b">
        <v>1</v>
      </c>
      <c r="H54" s="80"/>
      <c r="P54" s="198"/>
    </row>
    <row r="55" spans="1:16">
      <c r="A55" s="261"/>
      <c r="H55" s="80">
        <v>1</v>
      </c>
      <c r="I55" s="24" t="s">
        <v>2178</v>
      </c>
      <c r="J55" s="198" t="s">
        <v>2173</v>
      </c>
      <c r="K55" s="24" t="s">
        <v>334</v>
      </c>
      <c r="L55" s="24" t="s">
        <v>777</v>
      </c>
      <c r="M55" s="24" t="s">
        <v>763</v>
      </c>
      <c r="N55" s="80">
        <v>6</v>
      </c>
      <c r="O55" s="24" t="s">
        <v>2151</v>
      </c>
      <c r="P55" s="199" t="s">
        <v>437</v>
      </c>
    </row>
    <row r="56" spans="1:16">
      <c r="A56" s="261">
        <v>2106000000023</v>
      </c>
      <c r="C56" s="24" t="s">
        <v>578</v>
      </c>
      <c r="D56" s="24" t="s">
        <v>579</v>
      </c>
      <c r="E56" s="24" t="b">
        <v>1</v>
      </c>
      <c r="H56" s="80"/>
      <c r="P56" s="198"/>
    </row>
    <row r="57" spans="1:16">
      <c r="H57" s="80">
        <v>1</v>
      </c>
      <c r="I57" s="198" t="s">
        <v>2915</v>
      </c>
      <c r="J57" s="24" t="s">
        <v>2173</v>
      </c>
      <c r="K57" s="24" t="s">
        <v>334</v>
      </c>
      <c r="L57" s="24" t="s">
        <v>425</v>
      </c>
      <c r="M57" s="24" t="s">
        <v>2918</v>
      </c>
      <c r="N57" s="80">
        <v>1</v>
      </c>
      <c r="O57" s="24" t="s">
        <v>2916</v>
      </c>
      <c r="P57" s="301" t="s">
        <v>488</v>
      </c>
    </row>
    <row r="58" spans="1:16">
      <c r="A58" s="261">
        <v>2106000000024</v>
      </c>
      <c r="C58" s="24" t="s">
        <v>578</v>
      </c>
      <c r="D58" s="24" t="s">
        <v>579</v>
      </c>
      <c r="E58" s="24" t="b">
        <v>1</v>
      </c>
      <c r="H58" s="80"/>
      <c r="P58" s="198"/>
    </row>
    <row r="59" spans="1:16">
      <c r="H59" s="80">
        <v>1</v>
      </c>
      <c r="I59" s="106" t="s">
        <v>568</v>
      </c>
      <c r="J59" s="24" t="s">
        <v>2173</v>
      </c>
      <c r="K59" s="198" t="s">
        <v>334</v>
      </c>
      <c r="L59" s="198" t="s">
        <v>384</v>
      </c>
      <c r="M59" s="198" t="s">
        <v>350</v>
      </c>
      <c r="N59" s="80">
        <v>8</v>
      </c>
      <c r="O59" s="24" t="s">
        <v>2917</v>
      </c>
      <c r="P59" s="200" t="s">
        <v>385</v>
      </c>
    </row>
    <row r="60" spans="1:16" ht="12.75" customHeight="1">
      <c r="A60" s="107" t="s">
        <v>581</v>
      </c>
      <c r="B60" s="107"/>
      <c r="C60" s="107"/>
      <c r="D60" s="107"/>
      <c r="E60" s="107"/>
      <c r="F60" s="107"/>
      <c r="G60" s="107"/>
      <c r="H60" s="108"/>
      <c r="I60" s="108"/>
      <c r="J60" s="108"/>
      <c r="K60" s="108"/>
      <c r="L60" s="108"/>
      <c r="M60" s="108"/>
      <c r="N60" s="108"/>
      <c r="O60" s="108"/>
      <c r="P60" s="201"/>
    </row>
    <row r="61" spans="1:16">
      <c r="A61" s="261">
        <v>2106000000025</v>
      </c>
      <c r="C61" s="24" t="s">
        <v>582</v>
      </c>
      <c r="D61" s="24" t="s">
        <v>583</v>
      </c>
      <c r="E61" s="24" t="b">
        <v>1</v>
      </c>
      <c r="H61" s="80"/>
      <c r="N61" s="80"/>
      <c r="P61" s="198"/>
    </row>
    <row r="62" spans="1:16">
      <c r="A62" s="261"/>
      <c r="H62" s="80">
        <v>1</v>
      </c>
      <c r="I62" s="24" t="s">
        <v>561</v>
      </c>
      <c r="J62" s="24" t="s">
        <v>2173</v>
      </c>
      <c r="K62" s="24" t="s">
        <v>334</v>
      </c>
      <c r="L62" s="24" t="s">
        <v>1198</v>
      </c>
      <c r="N62" s="80">
        <v>5</v>
      </c>
      <c r="O62" s="24" t="s">
        <v>2157</v>
      </c>
      <c r="P62" s="199" t="s">
        <v>1004</v>
      </c>
    </row>
    <row r="63" spans="1:16">
      <c r="A63" s="261">
        <v>2106000000026</v>
      </c>
      <c r="C63" s="24" t="s">
        <v>582</v>
      </c>
      <c r="D63" s="24" t="s">
        <v>583</v>
      </c>
      <c r="E63" s="24" t="b">
        <v>1</v>
      </c>
      <c r="H63" s="80"/>
      <c r="N63" s="80"/>
    </row>
    <row r="64" spans="1:16">
      <c r="H64" s="294" t="s">
        <v>332</v>
      </c>
      <c r="I64" s="300" t="s">
        <v>2246</v>
      </c>
      <c r="J64" s="24" t="s">
        <v>2173</v>
      </c>
      <c r="K64" s="289" t="s">
        <v>334</v>
      </c>
      <c r="L64" s="24" t="s">
        <v>784</v>
      </c>
      <c r="N64" s="80">
        <v>2</v>
      </c>
      <c r="O64" s="24" t="s">
        <v>2157</v>
      </c>
      <c r="P64" s="198" t="s">
        <v>790</v>
      </c>
    </row>
    <row r="65" spans="1:16">
      <c r="A65" s="261">
        <v>2106000000027</v>
      </c>
      <c r="C65" s="24" t="s">
        <v>582</v>
      </c>
      <c r="D65" s="24" t="s">
        <v>583</v>
      </c>
      <c r="E65" s="24" t="b">
        <v>1</v>
      </c>
      <c r="H65" s="80"/>
      <c r="N65" s="80"/>
      <c r="P65" s="198"/>
    </row>
    <row r="66" spans="1:16" ht="27" customHeight="1">
      <c r="A66" s="261"/>
      <c r="H66" s="80">
        <v>1</v>
      </c>
      <c r="I66" s="24" t="s">
        <v>2791</v>
      </c>
      <c r="J66" s="24" t="s">
        <v>1082</v>
      </c>
      <c r="K66" s="24" t="s">
        <v>334</v>
      </c>
      <c r="L66" s="74" t="s">
        <v>785</v>
      </c>
      <c r="N66" s="80">
        <v>2</v>
      </c>
      <c r="O66" s="24" t="s">
        <v>2157</v>
      </c>
      <c r="P66" s="198" t="s">
        <v>790</v>
      </c>
    </row>
    <row r="67" spans="1:16">
      <c r="A67" s="261">
        <v>2106000000028</v>
      </c>
      <c r="C67" s="24" t="s">
        <v>582</v>
      </c>
      <c r="D67" s="24" t="s">
        <v>583</v>
      </c>
      <c r="E67" s="24" t="b">
        <v>1</v>
      </c>
      <c r="H67" s="80"/>
      <c r="N67" s="80"/>
      <c r="P67" s="198"/>
    </row>
    <row r="68" spans="1:16">
      <c r="H68" s="80">
        <v>1</v>
      </c>
      <c r="I68" s="24" t="s">
        <v>2919</v>
      </c>
      <c r="J68" s="24" t="s">
        <v>2173</v>
      </c>
      <c r="K68" s="24" t="s">
        <v>334</v>
      </c>
      <c r="L68" s="24" t="s">
        <v>425</v>
      </c>
      <c r="M68" s="24" t="s">
        <v>2920</v>
      </c>
      <c r="N68" s="80">
        <v>1</v>
      </c>
      <c r="O68" s="24" t="s">
        <v>2162</v>
      </c>
      <c r="P68" s="301" t="s">
        <v>488</v>
      </c>
    </row>
    <row r="69" spans="1:16" ht="12.75" customHeight="1">
      <c r="A69" s="107" t="s">
        <v>585</v>
      </c>
      <c r="B69" s="107"/>
      <c r="C69" s="107"/>
      <c r="D69" s="107"/>
      <c r="E69" s="107"/>
      <c r="F69" s="107"/>
      <c r="G69" s="107"/>
      <c r="H69" s="108"/>
      <c r="I69" s="108"/>
      <c r="J69" s="108"/>
      <c r="K69" s="108"/>
      <c r="L69" s="108"/>
      <c r="M69" s="108"/>
      <c r="N69" s="108"/>
      <c r="O69" s="108"/>
      <c r="P69" s="201"/>
    </row>
    <row r="70" spans="1:16" ht="16.5" customHeight="1">
      <c r="A70" s="175">
        <v>2106000000029</v>
      </c>
      <c r="B70" s="100"/>
      <c r="C70" s="24" t="s">
        <v>586</v>
      </c>
      <c r="D70" s="101" t="s">
        <v>331</v>
      </c>
      <c r="E70" s="24" t="b">
        <v>0</v>
      </c>
      <c r="F70" s="100"/>
      <c r="G70" s="100"/>
      <c r="H70" s="102"/>
      <c r="I70" s="102"/>
      <c r="J70" s="102"/>
      <c r="K70" s="102"/>
      <c r="L70" s="102"/>
      <c r="M70" s="102"/>
      <c r="N70" s="102"/>
      <c r="O70" s="196"/>
      <c r="P70" s="203"/>
    </row>
    <row r="71" spans="1:16" ht="16.5" customHeight="1">
      <c r="A71" s="175"/>
      <c r="B71" s="100"/>
      <c r="C71" s="100"/>
      <c r="D71" s="100"/>
      <c r="F71" s="100"/>
      <c r="G71" s="100"/>
      <c r="H71" s="291">
        <v>1</v>
      </c>
      <c r="I71" s="292" t="s">
        <v>587</v>
      </c>
      <c r="J71" s="292" t="s">
        <v>587</v>
      </c>
      <c r="K71" s="290" t="s">
        <v>334</v>
      </c>
      <c r="L71" s="290" t="s">
        <v>366</v>
      </c>
      <c r="M71" s="290" t="s">
        <v>588</v>
      </c>
      <c r="N71" s="290">
        <v>5</v>
      </c>
      <c r="O71" s="295" t="s">
        <v>2116</v>
      </c>
      <c r="P71" s="203"/>
    </row>
    <row r="72" spans="1:16">
      <c r="A72" s="175">
        <v>2106000000030</v>
      </c>
      <c r="B72" s="100"/>
      <c r="C72" s="24" t="s">
        <v>589</v>
      </c>
      <c r="D72" s="24" t="s">
        <v>560</v>
      </c>
      <c r="E72" s="24" t="b">
        <v>0</v>
      </c>
      <c r="F72" s="100"/>
      <c r="G72" s="100"/>
      <c r="H72" s="102"/>
      <c r="I72" s="293"/>
      <c r="J72" s="293"/>
      <c r="K72" s="102"/>
      <c r="L72" s="102"/>
      <c r="M72" s="102"/>
      <c r="N72" s="102"/>
      <c r="O72" s="296"/>
      <c r="P72" s="198"/>
    </row>
    <row r="73" spans="1:16">
      <c r="A73" s="100"/>
      <c r="B73" s="100"/>
      <c r="C73" s="100"/>
      <c r="D73" s="100"/>
      <c r="F73" s="100"/>
      <c r="G73" s="100"/>
      <c r="H73" s="291">
        <v>1</v>
      </c>
      <c r="I73" s="106" t="s">
        <v>590</v>
      </c>
      <c r="J73" s="106" t="s">
        <v>590</v>
      </c>
      <c r="K73" s="290" t="s">
        <v>334</v>
      </c>
      <c r="L73" s="290" t="s">
        <v>366</v>
      </c>
      <c r="M73" s="290" t="s">
        <v>591</v>
      </c>
      <c r="N73" s="290">
        <v>4</v>
      </c>
      <c r="O73" s="295" t="s">
        <v>2121</v>
      </c>
      <c r="P73" s="198"/>
    </row>
    <row r="74" spans="1:16">
      <c r="A74" s="175">
        <v>2106000000031</v>
      </c>
      <c r="B74" s="100"/>
      <c r="C74" s="24" t="s">
        <v>592</v>
      </c>
      <c r="D74" s="24" t="s">
        <v>567</v>
      </c>
      <c r="E74" s="24" t="b">
        <v>0</v>
      </c>
      <c r="F74" s="100"/>
      <c r="G74" s="100"/>
      <c r="H74" s="102"/>
      <c r="I74" s="293"/>
      <c r="J74" s="293"/>
      <c r="K74" s="102"/>
      <c r="L74" s="102"/>
      <c r="M74" s="102"/>
      <c r="N74" s="102"/>
      <c r="O74" s="296"/>
      <c r="P74" s="198"/>
    </row>
    <row r="75" spans="1:16">
      <c r="A75" s="175"/>
      <c r="B75" s="100"/>
      <c r="C75" s="100"/>
      <c r="D75" s="100"/>
      <c r="F75" s="100"/>
      <c r="G75" s="100"/>
      <c r="H75" s="291">
        <v>1</v>
      </c>
      <c r="I75" s="106" t="s">
        <v>593</v>
      </c>
      <c r="J75" s="106" t="s">
        <v>593</v>
      </c>
      <c r="K75" s="290" t="s">
        <v>334</v>
      </c>
      <c r="L75" s="290" t="s">
        <v>366</v>
      </c>
      <c r="M75" s="290" t="s">
        <v>594</v>
      </c>
      <c r="N75" s="290">
        <v>4</v>
      </c>
      <c r="O75" s="295" t="s">
        <v>2120</v>
      </c>
      <c r="P75" s="198"/>
    </row>
    <row r="76" spans="1:16">
      <c r="A76" s="175">
        <v>2106000000032</v>
      </c>
      <c r="B76" s="100"/>
      <c r="C76" s="24" t="s">
        <v>595</v>
      </c>
      <c r="D76" s="24" t="s">
        <v>573</v>
      </c>
      <c r="E76" s="24" t="b">
        <v>0</v>
      </c>
      <c r="F76" s="100"/>
      <c r="G76" s="100"/>
      <c r="H76" s="102"/>
      <c r="I76" s="293"/>
      <c r="J76" s="293"/>
      <c r="K76" s="102"/>
      <c r="L76" s="102"/>
      <c r="M76" s="102"/>
      <c r="N76" s="102"/>
      <c r="O76" s="296"/>
      <c r="P76" s="198"/>
    </row>
    <row r="77" spans="1:16">
      <c r="A77" s="100"/>
      <c r="B77" s="100"/>
      <c r="C77" s="100"/>
      <c r="D77" s="100"/>
      <c r="F77" s="100"/>
      <c r="G77" s="100"/>
      <c r="H77" s="291">
        <v>1</v>
      </c>
      <c r="I77" s="106" t="s">
        <v>596</v>
      </c>
      <c r="J77" s="106" t="s">
        <v>596</v>
      </c>
      <c r="K77" s="290" t="s">
        <v>334</v>
      </c>
      <c r="L77" s="290" t="s">
        <v>366</v>
      </c>
      <c r="M77" s="290" t="s">
        <v>597</v>
      </c>
      <c r="N77" s="290">
        <v>4</v>
      </c>
      <c r="O77" s="295" t="s">
        <v>849</v>
      </c>
    </row>
    <row r="78" spans="1:16">
      <c r="A78" s="175">
        <v>2106000000033</v>
      </c>
      <c r="B78" s="100"/>
      <c r="C78" s="24" t="s">
        <v>598</v>
      </c>
      <c r="D78" s="24" t="s">
        <v>576</v>
      </c>
      <c r="E78" s="24" t="b">
        <v>0</v>
      </c>
      <c r="F78" s="100"/>
      <c r="G78" s="100"/>
      <c r="H78" s="102"/>
      <c r="I78" s="293"/>
      <c r="J78" s="293"/>
      <c r="K78" s="102"/>
      <c r="L78" s="102"/>
      <c r="M78" s="102"/>
      <c r="N78" s="102"/>
      <c r="O78" s="296"/>
      <c r="P78" s="198"/>
    </row>
    <row r="79" spans="1:16">
      <c r="A79" s="175"/>
      <c r="B79" s="100"/>
      <c r="C79" s="100"/>
      <c r="D79" s="100"/>
      <c r="F79" s="100"/>
      <c r="G79" s="100"/>
      <c r="H79" s="291">
        <v>1</v>
      </c>
      <c r="I79" s="106" t="s">
        <v>599</v>
      </c>
      <c r="J79" s="106" t="s">
        <v>599</v>
      </c>
      <c r="K79" s="290" t="s">
        <v>334</v>
      </c>
      <c r="L79" s="290" t="s">
        <v>366</v>
      </c>
      <c r="M79" s="290" t="s">
        <v>600</v>
      </c>
      <c r="N79" s="290">
        <v>4</v>
      </c>
      <c r="O79" s="295" t="s">
        <v>2121</v>
      </c>
      <c r="P79" s="198"/>
    </row>
    <row r="80" spans="1:16">
      <c r="A80" s="175">
        <v>2106000000034</v>
      </c>
      <c r="B80" s="100"/>
      <c r="C80" s="24" t="s">
        <v>601</v>
      </c>
      <c r="D80" s="24" t="s">
        <v>579</v>
      </c>
      <c r="E80" s="24" t="b">
        <v>0</v>
      </c>
      <c r="F80" s="100"/>
      <c r="G80" s="100"/>
      <c r="H80" s="102"/>
      <c r="I80" s="293"/>
      <c r="J80" s="293"/>
      <c r="K80" s="102"/>
      <c r="L80" s="102"/>
      <c r="M80" s="102"/>
      <c r="N80" s="102"/>
      <c r="O80" s="296"/>
      <c r="P80" s="198"/>
    </row>
    <row r="81" spans="1:16">
      <c r="A81" s="100"/>
      <c r="B81" s="100"/>
      <c r="C81" s="100"/>
      <c r="D81" s="100"/>
      <c r="F81" s="100"/>
      <c r="G81" s="100"/>
      <c r="H81" s="291">
        <v>1</v>
      </c>
      <c r="I81" s="106" t="s">
        <v>602</v>
      </c>
      <c r="J81" s="106" t="s">
        <v>602</v>
      </c>
      <c r="K81" s="290" t="s">
        <v>334</v>
      </c>
      <c r="L81" s="290" t="s">
        <v>366</v>
      </c>
      <c r="M81" s="290" t="s">
        <v>603</v>
      </c>
      <c r="N81" s="290">
        <v>4</v>
      </c>
      <c r="O81" s="295" t="s">
        <v>2120</v>
      </c>
      <c r="P81" s="198"/>
    </row>
    <row r="82" spans="1:16">
      <c r="A82" s="175">
        <v>2106000000035</v>
      </c>
      <c r="B82" s="100"/>
      <c r="C82" s="24" t="s">
        <v>604</v>
      </c>
      <c r="D82" s="24" t="s">
        <v>583</v>
      </c>
      <c r="E82" s="24" t="b">
        <v>0</v>
      </c>
      <c r="F82" s="100"/>
      <c r="G82" s="100"/>
      <c r="H82" s="102"/>
      <c r="I82" s="293"/>
      <c r="J82" s="293"/>
      <c r="K82" s="102"/>
      <c r="L82" s="102"/>
      <c r="M82" s="102"/>
      <c r="N82" s="102"/>
      <c r="O82" s="296"/>
      <c r="P82" s="198"/>
    </row>
    <row r="83" spans="1:16">
      <c r="A83" s="100"/>
      <c r="B83" s="100"/>
      <c r="C83" s="100"/>
      <c r="D83" s="100"/>
      <c r="F83" s="100"/>
      <c r="G83" s="100"/>
      <c r="H83" s="291">
        <v>1</v>
      </c>
      <c r="I83" s="106" t="s">
        <v>605</v>
      </c>
      <c r="J83" s="106" t="s">
        <v>605</v>
      </c>
      <c r="K83" s="290" t="s">
        <v>334</v>
      </c>
      <c r="L83" s="290" t="s">
        <v>366</v>
      </c>
      <c r="M83" s="290" t="s">
        <v>606</v>
      </c>
      <c r="N83" s="290">
        <v>4</v>
      </c>
      <c r="O83" s="295" t="s">
        <v>2116</v>
      </c>
      <c r="P83" s="198"/>
    </row>
    <row r="84" spans="1:16">
      <c r="P84" s="198"/>
    </row>
    <row r="85" spans="1:16">
      <c r="P85" s="198"/>
    </row>
    <row r="86" spans="1:16">
      <c r="P86" s="198"/>
    </row>
    <row r="87" spans="1:16">
      <c r="P87" s="198"/>
    </row>
    <row r="88" spans="1:16">
      <c r="P88" s="198"/>
    </row>
    <row r="89" spans="1:16">
      <c r="P89" s="198"/>
    </row>
    <row r="90" spans="1:16">
      <c r="P90" s="198"/>
    </row>
    <row r="91" spans="1:16">
      <c r="P91" s="198"/>
    </row>
    <row r="92" spans="1:16">
      <c r="P92" s="198"/>
    </row>
    <row r="93" spans="1:16">
      <c r="P93" s="198"/>
    </row>
    <row r="94" spans="1:16">
      <c r="P94" s="198"/>
    </row>
    <row r="95" spans="1:16">
      <c r="P95" s="198"/>
    </row>
    <row r="96" spans="1:16">
      <c r="P96" s="198"/>
    </row>
    <row r="97" spans="16:16">
      <c r="P97" s="198"/>
    </row>
    <row r="98" spans="16:16">
      <c r="P98" s="198"/>
    </row>
    <row r="99" spans="16:16">
      <c r="P99" s="198"/>
    </row>
    <row r="100" spans="16:16">
      <c r="P100" s="198"/>
    </row>
    <row r="101" spans="16:16">
      <c r="P101" s="198"/>
    </row>
    <row r="102" spans="16:16">
      <c r="P102" s="198"/>
    </row>
    <row r="103" spans="16:16">
      <c r="P103" s="198"/>
    </row>
    <row r="104" spans="16:16">
      <c r="P104" s="198"/>
    </row>
    <row r="105" spans="16:16">
      <c r="P105" s="198"/>
    </row>
    <row r="106" spans="16:16">
      <c r="P106" s="198"/>
    </row>
    <row r="107" spans="16:16">
      <c r="P107" s="198"/>
    </row>
    <row r="108" spans="16:16">
      <c r="P108" s="198"/>
    </row>
    <row r="109" spans="16:16">
      <c r="P109" s="198"/>
    </row>
    <row r="110" spans="16:16">
      <c r="P110" s="198"/>
    </row>
    <row r="111" spans="16:16">
      <c r="P111" s="198"/>
    </row>
    <row r="112" spans="16:16">
      <c r="P112" s="198"/>
    </row>
    <row r="113" spans="16:16">
      <c r="P113" s="198"/>
    </row>
    <row r="114" spans="16:16">
      <c r="P114" s="198"/>
    </row>
    <row r="115" spans="16:16">
      <c r="P115" s="198"/>
    </row>
    <row r="116" spans="16:16">
      <c r="P116" s="198"/>
    </row>
    <row r="117" spans="16:16">
      <c r="P117" s="198"/>
    </row>
    <row r="118" spans="16:16">
      <c r="P118" s="198"/>
    </row>
    <row r="119" spans="16:16">
      <c r="P119" s="198"/>
    </row>
    <row r="120" spans="16:16">
      <c r="P120" s="198"/>
    </row>
    <row r="121" spans="16:16">
      <c r="P121" s="198"/>
    </row>
    <row r="122" spans="16:16">
      <c r="P122" s="198"/>
    </row>
    <row r="123" spans="16:16">
      <c r="P123" s="198"/>
    </row>
    <row r="124" spans="16:16">
      <c r="P124" s="198"/>
    </row>
    <row r="125" spans="16:16">
      <c r="P125" s="198"/>
    </row>
    <row r="126" spans="16:16">
      <c r="P126" s="198"/>
    </row>
    <row r="127" spans="16:16">
      <c r="P127" s="198"/>
    </row>
    <row r="128" spans="16:16">
      <c r="P128" s="198"/>
    </row>
    <row r="129" spans="16:16">
      <c r="P129" s="198"/>
    </row>
    <row r="130" spans="16:16">
      <c r="P130" s="198"/>
    </row>
    <row r="131" spans="16:16">
      <c r="P131" s="198"/>
    </row>
    <row r="132" spans="16:16">
      <c r="P132" s="198"/>
    </row>
    <row r="133" spans="16:16">
      <c r="P133" s="198"/>
    </row>
    <row r="134" spans="16:16">
      <c r="P134" s="198"/>
    </row>
    <row r="135" spans="16:16">
      <c r="P135" s="198"/>
    </row>
    <row r="136" spans="16:16">
      <c r="P136" s="198"/>
    </row>
    <row r="137" spans="16:16">
      <c r="P137" s="198"/>
    </row>
    <row r="138" spans="16:16">
      <c r="P138" s="198"/>
    </row>
    <row r="139" spans="16:16">
      <c r="P139" s="198"/>
    </row>
    <row r="140" spans="16:16">
      <c r="P140" s="198"/>
    </row>
    <row r="141" spans="16:16">
      <c r="P141" s="198"/>
    </row>
    <row r="142" spans="16:16">
      <c r="P142" s="198"/>
    </row>
    <row r="143" spans="16:16">
      <c r="P143" s="198"/>
    </row>
    <row r="144" spans="16:16">
      <c r="P144" s="198"/>
    </row>
    <row r="145" spans="16:16">
      <c r="P145" s="198"/>
    </row>
    <row r="146" spans="16:16">
      <c r="P146" s="198"/>
    </row>
    <row r="147" spans="16:16">
      <c r="P147" s="198"/>
    </row>
    <row r="148" spans="16:16">
      <c r="P148" s="198"/>
    </row>
    <row r="149" spans="16:16">
      <c r="P149" s="198"/>
    </row>
    <row r="150" spans="16:16">
      <c r="P150" s="198"/>
    </row>
    <row r="151" spans="16:16">
      <c r="P151" s="198"/>
    </row>
    <row r="152" spans="16:16">
      <c r="P152" s="198"/>
    </row>
    <row r="153" spans="16:16">
      <c r="P153" s="198"/>
    </row>
    <row r="154" spans="16:16">
      <c r="P154" s="198"/>
    </row>
    <row r="155" spans="16:16">
      <c r="P155" s="198"/>
    </row>
    <row r="156" spans="16:16">
      <c r="P156" s="198"/>
    </row>
    <row r="157" spans="16:16">
      <c r="P157" s="198"/>
    </row>
    <row r="158" spans="16:16">
      <c r="P158" s="198"/>
    </row>
    <row r="159" spans="16:16">
      <c r="P159" s="198"/>
    </row>
    <row r="160" spans="16:16">
      <c r="P160" s="198"/>
    </row>
    <row r="161" spans="16:16">
      <c r="P161" s="198"/>
    </row>
    <row r="162" spans="16:16">
      <c r="P162" s="198"/>
    </row>
    <row r="163" spans="16:16">
      <c r="P163" s="198"/>
    </row>
    <row r="164" spans="16:16">
      <c r="P164" s="198"/>
    </row>
    <row r="165" spans="16:16">
      <c r="P165" s="198"/>
    </row>
    <row r="166" spans="16:16">
      <c r="P166" s="198"/>
    </row>
    <row r="167" spans="16:16">
      <c r="P167" s="198"/>
    </row>
    <row r="168" spans="16:16">
      <c r="P168" s="198"/>
    </row>
    <row r="169" spans="16:16">
      <c r="P169" s="198"/>
    </row>
    <row r="170" spans="16:16">
      <c r="P170" s="198"/>
    </row>
    <row r="171" spans="16:16">
      <c r="P171" s="198"/>
    </row>
    <row r="172" spans="16:16">
      <c r="P172" s="198"/>
    </row>
    <row r="173" spans="16:16">
      <c r="P173" s="198"/>
    </row>
    <row r="174" spans="16:16">
      <c r="P174" s="198"/>
    </row>
    <row r="175" spans="16:16">
      <c r="P175" s="198"/>
    </row>
    <row r="176" spans="16:16">
      <c r="P176" s="198"/>
    </row>
    <row r="177" spans="16:16">
      <c r="P177" s="198"/>
    </row>
    <row r="178" spans="16:16">
      <c r="P178" s="198"/>
    </row>
    <row r="179" spans="16:16">
      <c r="P179" s="198"/>
    </row>
    <row r="180" spans="16:16">
      <c r="P180" s="198"/>
    </row>
    <row r="181" spans="16:16">
      <c r="P181" s="198"/>
    </row>
    <row r="182" spans="16:16">
      <c r="P182" s="198"/>
    </row>
    <row r="183" spans="16:16">
      <c r="P183" s="198"/>
    </row>
    <row r="184" spans="16:16">
      <c r="P184" s="198"/>
    </row>
    <row r="185" spans="16:16">
      <c r="P185" s="198"/>
    </row>
    <row r="186" spans="16:16">
      <c r="P186" s="198"/>
    </row>
    <row r="187" spans="16:16">
      <c r="P187" s="198"/>
    </row>
    <row r="188" spans="16:16">
      <c r="P188" s="198"/>
    </row>
    <row r="189" spans="16:16">
      <c r="P189" s="198"/>
    </row>
    <row r="190" spans="16:16">
      <c r="P190" s="198"/>
    </row>
    <row r="191" spans="16:16">
      <c r="P191" s="198"/>
    </row>
    <row r="192" spans="16:16">
      <c r="P192" s="198"/>
    </row>
    <row r="193" spans="16:16">
      <c r="P193" s="198"/>
    </row>
  </sheetData>
  <phoneticPr fontId="4" type="noConversion"/>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233"/>
  <sheetViews>
    <sheetView workbookViewId="0">
      <selection activeCell="G1" sqref="G1"/>
    </sheetView>
  </sheetViews>
  <sheetFormatPr defaultRowHeight="13.5"/>
  <cols>
    <col min="1" max="1" width="16" style="24" bestFit="1" customWidth="1"/>
    <col min="2" max="2" width="5.75" style="24" bestFit="1" customWidth="1"/>
    <col min="3" max="3" width="17.375" style="24" bestFit="1" customWidth="1"/>
    <col min="4" max="4" width="53.875" style="24" bestFit="1" customWidth="1"/>
    <col min="5" max="5" width="18.875" style="24" customWidth="1"/>
    <col min="6" max="7" width="8.25" style="24" customWidth="1"/>
    <col min="8" max="8" width="8" style="24" bestFit="1" customWidth="1"/>
    <col min="9" max="9" width="37.625" style="24" bestFit="1" customWidth="1"/>
    <col min="10" max="10" width="31.875" style="24" bestFit="1" customWidth="1"/>
    <col min="11" max="11" width="18.125" style="24" bestFit="1" customWidth="1"/>
    <col min="12" max="12" width="22" style="24" bestFit="1" customWidth="1"/>
    <col min="13" max="13" width="36.75" style="24" bestFit="1" customWidth="1"/>
    <col min="14" max="14" width="9.375" style="24" bestFit="1" customWidth="1"/>
    <col min="15" max="15" width="46.625" style="24" bestFit="1" customWidth="1"/>
    <col min="16" max="16" width="23.5" style="24" customWidth="1"/>
    <col min="17" max="19" width="9" style="24" customWidth="1"/>
    <col min="20" max="16384" width="9" style="24"/>
  </cols>
  <sheetData>
    <row r="1" spans="1:16" ht="16.5" customHeight="1">
      <c r="A1" s="20" t="s">
        <v>304</v>
      </c>
      <c r="B1" s="21" t="s">
        <v>305</v>
      </c>
      <c r="C1" s="21" t="s">
        <v>306</v>
      </c>
      <c r="D1" s="21" t="s">
        <v>307</v>
      </c>
      <c r="E1" s="6" t="s">
        <v>308</v>
      </c>
      <c r="F1" s="20" t="s">
        <v>636</v>
      </c>
      <c r="G1" s="165" t="s">
        <v>3740</v>
      </c>
      <c r="H1" s="22" t="s">
        <v>309</v>
      </c>
      <c r="I1" s="22" t="s">
        <v>310</v>
      </c>
      <c r="J1" s="22" t="s">
        <v>311</v>
      </c>
      <c r="K1" s="22" t="s">
        <v>312</v>
      </c>
      <c r="L1" s="22" t="s">
        <v>313</v>
      </c>
      <c r="M1" s="22" t="s">
        <v>314</v>
      </c>
      <c r="N1" s="22" t="s">
        <v>315</v>
      </c>
      <c r="O1" s="22" t="s">
        <v>316</v>
      </c>
      <c r="P1" s="9" t="s">
        <v>317</v>
      </c>
    </row>
    <row r="2" spans="1:16" ht="16.5" customHeight="1">
      <c r="A2" s="20" t="s">
        <v>318</v>
      </c>
      <c r="B2" s="20" t="s">
        <v>3</v>
      </c>
      <c r="C2" s="20" t="s">
        <v>319</v>
      </c>
      <c r="D2" s="20" t="s">
        <v>320</v>
      </c>
      <c r="E2" s="5" t="s">
        <v>321</v>
      </c>
      <c r="F2" s="20" t="s">
        <v>320</v>
      </c>
      <c r="G2" s="165" t="s">
        <v>851</v>
      </c>
      <c r="H2" s="22" t="s">
        <v>322</v>
      </c>
      <c r="I2" s="22" t="s">
        <v>323</v>
      </c>
      <c r="J2" s="22" t="s">
        <v>323</v>
      </c>
      <c r="K2" s="22" t="s">
        <v>324</v>
      </c>
      <c r="L2" s="22" t="s">
        <v>325</v>
      </c>
      <c r="M2" s="22" t="s">
        <v>326</v>
      </c>
      <c r="N2" s="22" t="s">
        <v>322</v>
      </c>
      <c r="O2" s="22" t="s">
        <v>320</v>
      </c>
      <c r="P2" s="9" t="s">
        <v>327</v>
      </c>
    </row>
    <row r="3" spans="1:16" ht="16.5" customHeight="1">
      <c r="A3" s="20" t="s">
        <v>328</v>
      </c>
      <c r="B3" s="20" t="s">
        <v>3</v>
      </c>
      <c r="C3" s="20" t="s">
        <v>328</v>
      </c>
      <c r="D3" s="20" t="s">
        <v>329</v>
      </c>
      <c r="E3" s="5" t="s">
        <v>4</v>
      </c>
      <c r="F3" s="20" t="s">
        <v>328</v>
      </c>
      <c r="G3" s="165" t="s">
        <v>328</v>
      </c>
      <c r="H3" s="22" t="s">
        <v>328</v>
      </c>
      <c r="I3" s="22" t="s">
        <v>4</v>
      </c>
      <c r="J3" s="22" t="s">
        <v>4</v>
      </c>
      <c r="K3" s="22" t="s">
        <v>328</v>
      </c>
      <c r="L3" s="22" t="s">
        <v>328</v>
      </c>
      <c r="M3" s="22" t="s">
        <v>328</v>
      </c>
      <c r="N3" s="22" t="s">
        <v>328</v>
      </c>
      <c r="O3" s="22" t="s">
        <v>328</v>
      </c>
      <c r="P3" s="9" t="s">
        <v>4</v>
      </c>
    </row>
    <row r="4" spans="1:16">
      <c r="A4" s="107" t="s">
        <v>547</v>
      </c>
      <c r="B4" s="107"/>
      <c r="C4" s="107"/>
      <c r="D4" s="107"/>
      <c r="E4" s="107"/>
      <c r="F4" s="107"/>
      <c r="G4" s="107"/>
      <c r="H4" s="108"/>
      <c r="I4" s="108"/>
      <c r="J4" s="108"/>
      <c r="K4" s="108"/>
      <c r="L4" s="108"/>
      <c r="M4" s="108"/>
      <c r="N4" s="108"/>
      <c r="O4" s="108"/>
      <c r="P4" s="109"/>
    </row>
    <row r="5" spans="1:16">
      <c r="A5" s="24" t="s">
        <v>548</v>
      </c>
      <c r="C5" s="24" t="s">
        <v>549</v>
      </c>
      <c r="D5" s="24" t="s">
        <v>331</v>
      </c>
      <c r="E5" s="24" t="b">
        <v>1</v>
      </c>
      <c r="P5" s="198"/>
    </row>
    <row r="6" spans="1:16">
      <c r="H6" s="24">
        <v>1</v>
      </c>
      <c r="I6" s="24" t="s">
        <v>550</v>
      </c>
      <c r="J6" s="24" t="s">
        <v>270</v>
      </c>
      <c r="K6" s="198" t="s">
        <v>334</v>
      </c>
      <c r="L6" s="198" t="s">
        <v>551</v>
      </c>
      <c r="M6" s="198"/>
      <c r="N6" s="80">
        <v>1</v>
      </c>
      <c r="O6" s="24" t="s">
        <v>2123</v>
      </c>
      <c r="P6" s="198"/>
    </row>
    <row r="7" spans="1:16">
      <c r="A7" s="24" t="s">
        <v>552</v>
      </c>
      <c r="C7" s="24" t="s">
        <v>549</v>
      </c>
      <c r="D7" s="24" t="s">
        <v>331</v>
      </c>
      <c r="E7" s="24" t="b">
        <v>1</v>
      </c>
      <c r="K7" s="198"/>
      <c r="L7" s="198"/>
      <c r="M7" s="198"/>
      <c r="N7" s="80"/>
      <c r="P7" s="198"/>
    </row>
    <row r="8" spans="1:16">
      <c r="H8" s="24">
        <v>1</v>
      </c>
      <c r="I8" s="24" t="s">
        <v>555</v>
      </c>
      <c r="J8" s="24" t="s">
        <v>271</v>
      </c>
      <c r="K8" s="198" t="s">
        <v>334</v>
      </c>
      <c r="L8" s="198" t="s">
        <v>490</v>
      </c>
      <c r="M8" s="198" t="s">
        <v>2163</v>
      </c>
      <c r="N8" s="288">
        <v>1</v>
      </c>
      <c r="O8" s="24" t="s">
        <v>2123</v>
      </c>
      <c r="P8" s="199" t="s">
        <v>431</v>
      </c>
    </row>
    <row r="9" spans="1:16">
      <c r="A9" s="24" t="s">
        <v>554</v>
      </c>
      <c r="C9" s="24" t="s">
        <v>549</v>
      </c>
      <c r="D9" s="24" t="s">
        <v>331</v>
      </c>
      <c r="E9" s="24" t="b">
        <v>1</v>
      </c>
      <c r="N9" s="80"/>
      <c r="P9" s="199"/>
    </row>
    <row r="10" spans="1:16">
      <c r="H10" s="24">
        <v>1</v>
      </c>
      <c r="I10" s="24" t="s">
        <v>816</v>
      </c>
      <c r="J10" s="24" t="s">
        <v>815</v>
      </c>
      <c r="K10" s="198" t="s">
        <v>334</v>
      </c>
      <c r="L10" s="198" t="s">
        <v>425</v>
      </c>
      <c r="M10" s="198" t="s">
        <v>2099</v>
      </c>
      <c r="N10" s="80">
        <v>1</v>
      </c>
      <c r="O10" s="24" t="s">
        <v>2124</v>
      </c>
      <c r="P10" s="199" t="s">
        <v>362</v>
      </c>
    </row>
    <row r="11" spans="1:16">
      <c r="A11" s="24" t="s">
        <v>556</v>
      </c>
      <c r="C11" s="24" t="s">
        <v>549</v>
      </c>
      <c r="D11" s="24" t="s">
        <v>331</v>
      </c>
      <c r="E11" s="24" t="b">
        <v>1</v>
      </c>
      <c r="K11" s="198"/>
      <c r="L11" s="198"/>
      <c r="M11" s="198"/>
      <c r="N11" s="80"/>
      <c r="P11" s="199"/>
    </row>
    <row r="12" spans="1:16">
      <c r="H12" s="24">
        <v>1</v>
      </c>
      <c r="I12" s="198" t="s">
        <v>1072</v>
      </c>
      <c r="J12" s="198" t="s">
        <v>1072</v>
      </c>
      <c r="K12" s="198" t="s">
        <v>334</v>
      </c>
      <c r="L12" s="198" t="s">
        <v>427</v>
      </c>
      <c r="M12" s="286" t="s">
        <v>340</v>
      </c>
      <c r="N12" s="80">
        <v>5</v>
      </c>
      <c r="O12" s="24" t="s">
        <v>2125</v>
      </c>
      <c r="P12" s="200" t="s">
        <v>443</v>
      </c>
    </row>
    <row r="13" spans="1:16">
      <c r="A13" s="24" t="s">
        <v>557</v>
      </c>
      <c r="C13" s="24" t="s">
        <v>549</v>
      </c>
      <c r="D13" s="24" t="s">
        <v>331</v>
      </c>
      <c r="E13" s="24" t="b">
        <v>1</v>
      </c>
      <c r="N13" s="80"/>
      <c r="P13" s="199"/>
    </row>
    <row r="14" spans="1:16">
      <c r="H14" s="24">
        <v>1</v>
      </c>
      <c r="I14" s="24" t="s">
        <v>553</v>
      </c>
      <c r="J14" s="24" t="s">
        <v>344</v>
      </c>
      <c r="K14" s="198" t="s">
        <v>334</v>
      </c>
      <c r="L14" s="198" t="s">
        <v>335</v>
      </c>
      <c r="M14" s="198" t="s">
        <v>764</v>
      </c>
      <c r="N14" s="80">
        <v>6</v>
      </c>
      <c r="O14" s="24" t="s">
        <v>2126</v>
      </c>
      <c r="P14" s="199" t="s">
        <v>337</v>
      </c>
    </row>
    <row r="15" spans="1:16">
      <c r="A15" s="261">
        <v>2106000000005</v>
      </c>
      <c r="C15" s="24" t="s">
        <v>549</v>
      </c>
      <c r="D15" s="24" t="s">
        <v>331</v>
      </c>
      <c r="E15" s="24" t="b">
        <v>1</v>
      </c>
      <c r="K15" s="198"/>
      <c r="L15" s="198"/>
      <c r="M15" s="198"/>
      <c r="N15" s="80"/>
      <c r="P15" s="199"/>
    </row>
    <row r="16" spans="1:16">
      <c r="H16" s="24">
        <v>1</v>
      </c>
      <c r="I16" s="287" t="s">
        <v>788</v>
      </c>
      <c r="J16" s="287" t="s">
        <v>788</v>
      </c>
      <c r="K16" s="287" t="s">
        <v>334</v>
      </c>
      <c r="L16" s="287" t="s">
        <v>785</v>
      </c>
      <c r="M16" s="287"/>
      <c r="N16" s="285" t="s">
        <v>332</v>
      </c>
      <c r="O16" s="24" t="s">
        <v>2125</v>
      </c>
      <c r="P16" s="199" t="s">
        <v>337</v>
      </c>
    </row>
    <row r="17" spans="1:16">
      <c r="A17" s="261">
        <v>2106000000006</v>
      </c>
      <c r="C17" s="24" t="s">
        <v>549</v>
      </c>
      <c r="D17" s="24" t="s">
        <v>331</v>
      </c>
      <c r="E17" s="24" t="b">
        <v>1</v>
      </c>
      <c r="K17" s="198"/>
      <c r="L17" s="198"/>
      <c r="M17" s="198"/>
      <c r="P17" s="199"/>
    </row>
    <row r="18" spans="1:16">
      <c r="H18" s="24">
        <v>1</v>
      </c>
      <c r="I18" s="24" t="s">
        <v>816</v>
      </c>
      <c r="J18" s="24" t="s">
        <v>815</v>
      </c>
      <c r="K18" s="198" t="s">
        <v>334</v>
      </c>
      <c r="L18" s="198" t="s">
        <v>425</v>
      </c>
      <c r="M18" s="198" t="s">
        <v>2164</v>
      </c>
      <c r="N18" s="80">
        <v>1</v>
      </c>
      <c r="O18" s="24" t="s">
        <v>2127</v>
      </c>
      <c r="P18" s="199" t="s">
        <v>337</v>
      </c>
    </row>
    <row r="19" spans="1:16">
      <c r="A19" s="107" t="s">
        <v>558</v>
      </c>
      <c r="B19" s="107"/>
      <c r="C19" s="107"/>
      <c r="D19" s="107"/>
      <c r="E19" s="107"/>
      <c r="F19" s="107"/>
      <c r="G19" s="107"/>
      <c r="H19" s="108"/>
      <c r="I19" s="108"/>
      <c r="J19" s="108"/>
      <c r="K19" s="108"/>
      <c r="L19" s="108"/>
      <c r="M19" s="108"/>
      <c r="N19" s="108"/>
      <c r="O19" s="108"/>
      <c r="P19" s="201"/>
    </row>
    <row r="20" spans="1:16">
      <c r="A20" s="261">
        <v>2106000000007</v>
      </c>
      <c r="C20" s="24" t="s">
        <v>559</v>
      </c>
      <c r="D20" s="24" t="s">
        <v>560</v>
      </c>
      <c r="E20" s="24" t="b">
        <v>1</v>
      </c>
      <c r="P20" s="198"/>
    </row>
    <row r="21" spans="1:16">
      <c r="H21" s="24">
        <v>1</v>
      </c>
      <c r="I21" s="24" t="s">
        <v>550</v>
      </c>
      <c r="J21" s="24" t="s">
        <v>272</v>
      </c>
      <c r="K21" s="24" t="s">
        <v>334</v>
      </c>
      <c r="L21" s="24" t="s">
        <v>551</v>
      </c>
      <c r="N21" s="24">
        <v>2</v>
      </c>
      <c r="O21" s="24" t="s">
        <v>2128</v>
      </c>
      <c r="P21" s="198"/>
    </row>
    <row r="22" spans="1:16">
      <c r="A22" s="261">
        <v>2106000000008</v>
      </c>
      <c r="C22" s="24" t="s">
        <v>559</v>
      </c>
      <c r="D22" s="24" t="s">
        <v>560</v>
      </c>
      <c r="E22" s="24" t="b">
        <v>1</v>
      </c>
      <c r="P22" s="198"/>
    </row>
    <row r="23" spans="1:16">
      <c r="H23" s="24">
        <v>1</v>
      </c>
      <c r="I23" s="24" t="s">
        <v>561</v>
      </c>
      <c r="J23" s="24" t="s">
        <v>273</v>
      </c>
      <c r="K23" s="24" t="s">
        <v>334</v>
      </c>
      <c r="L23" s="24" t="s">
        <v>1198</v>
      </c>
      <c r="N23" s="24">
        <v>1</v>
      </c>
      <c r="O23" s="24" t="s">
        <v>2128</v>
      </c>
      <c r="P23" s="199" t="s">
        <v>1004</v>
      </c>
    </row>
    <row r="24" spans="1:16">
      <c r="A24" s="261">
        <v>2106000000009</v>
      </c>
      <c r="C24" s="24" t="s">
        <v>559</v>
      </c>
      <c r="D24" s="24" t="s">
        <v>560</v>
      </c>
      <c r="E24" s="24" t="b">
        <v>1</v>
      </c>
      <c r="P24" s="198"/>
    </row>
    <row r="25" spans="1:16">
      <c r="H25" s="24">
        <v>1</v>
      </c>
      <c r="I25" s="24" t="s">
        <v>610</v>
      </c>
      <c r="J25" s="24" t="s">
        <v>286</v>
      </c>
      <c r="K25" s="24" t="s">
        <v>334</v>
      </c>
      <c r="L25" s="24" t="s">
        <v>366</v>
      </c>
      <c r="M25" s="24" t="s">
        <v>367</v>
      </c>
      <c r="N25" s="24">
        <v>50</v>
      </c>
      <c r="O25" s="24" t="s">
        <v>2129</v>
      </c>
      <c r="P25" s="200" t="s">
        <v>825</v>
      </c>
    </row>
    <row r="26" spans="1:16">
      <c r="A26" s="261">
        <v>2106000000010</v>
      </c>
      <c r="C26" s="24" t="s">
        <v>559</v>
      </c>
      <c r="D26" s="24" t="s">
        <v>560</v>
      </c>
      <c r="E26" s="24" t="b">
        <v>1</v>
      </c>
      <c r="P26" s="198"/>
    </row>
    <row r="27" spans="1:16">
      <c r="H27" s="24">
        <v>1</v>
      </c>
      <c r="I27" s="24" t="s">
        <v>569</v>
      </c>
      <c r="J27" s="24" t="s">
        <v>277</v>
      </c>
      <c r="K27" s="24" t="s">
        <v>334</v>
      </c>
      <c r="L27" s="24" t="s">
        <v>570</v>
      </c>
      <c r="M27" s="24" t="s">
        <v>1002</v>
      </c>
      <c r="N27" s="24">
        <v>3</v>
      </c>
      <c r="O27" s="24" t="s">
        <v>2130</v>
      </c>
      <c r="P27" s="200" t="s">
        <v>443</v>
      </c>
    </row>
    <row r="28" spans="1:16">
      <c r="A28" s="261">
        <v>2106000000011</v>
      </c>
      <c r="C28" s="24" t="s">
        <v>559</v>
      </c>
      <c r="D28" s="24" t="s">
        <v>560</v>
      </c>
      <c r="E28" s="24" t="b">
        <v>1</v>
      </c>
      <c r="P28" s="198"/>
    </row>
    <row r="29" spans="1:16">
      <c r="H29" s="24">
        <v>1</v>
      </c>
      <c r="I29" s="24" t="s">
        <v>563</v>
      </c>
      <c r="J29" s="24" t="s">
        <v>274</v>
      </c>
      <c r="K29" s="24" t="s">
        <v>334</v>
      </c>
      <c r="L29" s="19" t="s">
        <v>490</v>
      </c>
      <c r="M29" s="24" t="s">
        <v>564</v>
      </c>
      <c r="N29" s="106">
        <v>5</v>
      </c>
      <c r="O29" s="24" t="s">
        <v>2130</v>
      </c>
      <c r="P29" s="199" t="s">
        <v>362</v>
      </c>
    </row>
    <row r="30" spans="1:16">
      <c r="A30" s="261">
        <v>2106000000012</v>
      </c>
      <c r="C30" s="24" t="s">
        <v>559</v>
      </c>
      <c r="D30" s="24" t="s">
        <v>560</v>
      </c>
      <c r="E30" s="24" t="b">
        <v>1</v>
      </c>
      <c r="L30" s="19"/>
      <c r="N30" s="106"/>
      <c r="P30" s="199"/>
    </row>
    <row r="31" spans="1:16">
      <c r="H31" s="24">
        <v>1</v>
      </c>
      <c r="I31" s="24" t="s">
        <v>563</v>
      </c>
      <c r="J31" s="24" t="s">
        <v>274</v>
      </c>
      <c r="K31" s="24" t="s">
        <v>334</v>
      </c>
      <c r="L31" s="19" t="s">
        <v>490</v>
      </c>
      <c r="M31" s="24" t="s">
        <v>564</v>
      </c>
      <c r="N31" s="106">
        <v>5</v>
      </c>
      <c r="O31" s="24" t="s">
        <v>2131</v>
      </c>
      <c r="P31" s="199" t="s">
        <v>362</v>
      </c>
    </row>
    <row r="32" spans="1:16">
      <c r="A32" s="261">
        <v>2106000000013</v>
      </c>
      <c r="C32" s="24" t="s">
        <v>559</v>
      </c>
      <c r="D32" s="24" t="s">
        <v>560</v>
      </c>
      <c r="E32" s="24" t="b">
        <v>1</v>
      </c>
      <c r="L32" s="19"/>
      <c r="N32" s="106"/>
      <c r="P32" s="199"/>
    </row>
    <row r="33" spans="1:16">
      <c r="H33" s="24">
        <v>1</v>
      </c>
      <c r="I33" s="24" t="s">
        <v>563</v>
      </c>
      <c r="J33" s="24" t="s">
        <v>274</v>
      </c>
      <c r="K33" s="24" t="s">
        <v>334</v>
      </c>
      <c r="L33" s="19" t="s">
        <v>490</v>
      </c>
      <c r="M33" s="24" t="s">
        <v>564</v>
      </c>
      <c r="N33" s="106">
        <v>5</v>
      </c>
      <c r="O33" s="24" t="s">
        <v>2132</v>
      </c>
      <c r="P33" s="199" t="s">
        <v>362</v>
      </c>
    </row>
    <row r="34" spans="1:16">
      <c r="A34" s="107" t="s">
        <v>565</v>
      </c>
      <c r="B34" s="107"/>
      <c r="C34" s="107"/>
      <c r="D34" s="107"/>
      <c r="E34" s="107"/>
      <c r="F34" s="107"/>
      <c r="G34" s="107"/>
      <c r="H34" s="108"/>
      <c r="I34" s="108"/>
      <c r="J34" s="108"/>
      <c r="K34" s="108"/>
      <c r="L34" s="108"/>
      <c r="M34" s="108"/>
      <c r="N34" s="108"/>
      <c r="O34" s="108"/>
      <c r="P34" s="201"/>
    </row>
    <row r="35" spans="1:16">
      <c r="A35" s="261">
        <v>2106000000014</v>
      </c>
      <c r="C35" s="24" t="s">
        <v>566</v>
      </c>
      <c r="D35" s="24" t="s">
        <v>567</v>
      </c>
      <c r="E35" s="24" t="b">
        <v>1</v>
      </c>
      <c r="P35" s="198"/>
    </row>
    <row r="36" spans="1:16">
      <c r="A36" s="198"/>
      <c r="H36" s="24">
        <v>1</v>
      </c>
      <c r="I36" s="24" t="s">
        <v>568</v>
      </c>
      <c r="J36" s="24" t="s">
        <v>275</v>
      </c>
      <c r="K36" s="24" t="s">
        <v>334</v>
      </c>
      <c r="L36" s="24" t="s">
        <v>384</v>
      </c>
      <c r="M36" s="24" t="s">
        <v>350</v>
      </c>
      <c r="N36" s="24">
        <v>1</v>
      </c>
      <c r="O36" s="24" t="s">
        <v>2133</v>
      </c>
      <c r="P36" s="200" t="s">
        <v>385</v>
      </c>
    </row>
    <row r="37" spans="1:16">
      <c r="A37" s="261">
        <v>2106000000015</v>
      </c>
      <c r="C37" s="24" t="s">
        <v>566</v>
      </c>
      <c r="D37" s="24" t="s">
        <v>567</v>
      </c>
      <c r="E37" s="24" t="b">
        <v>1</v>
      </c>
      <c r="P37" s="198"/>
    </row>
    <row r="38" spans="1:16">
      <c r="H38" s="24">
        <v>1</v>
      </c>
      <c r="I38" s="24" t="s">
        <v>1078</v>
      </c>
      <c r="J38" s="24" t="s">
        <v>276</v>
      </c>
      <c r="K38" s="24" t="s">
        <v>334</v>
      </c>
      <c r="L38" s="24" t="s">
        <v>1271</v>
      </c>
      <c r="N38" s="24">
        <v>5</v>
      </c>
      <c r="O38" s="24" t="s">
        <v>2134</v>
      </c>
      <c r="P38" s="174" t="s">
        <v>393</v>
      </c>
    </row>
    <row r="39" spans="1:16">
      <c r="A39" s="261">
        <v>2106000000016</v>
      </c>
      <c r="C39" s="24" t="s">
        <v>566</v>
      </c>
      <c r="D39" s="24" t="s">
        <v>567</v>
      </c>
      <c r="E39" s="24" t="b">
        <v>1</v>
      </c>
    </row>
    <row r="40" spans="1:16" ht="27" customHeight="1">
      <c r="H40" s="24">
        <v>1</v>
      </c>
      <c r="I40" s="24" t="s">
        <v>569</v>
      </c>
      <c r="J40" s="24" t="s">
        <v>277</v>
      </c>
      <c r="K40" s="24" t="s">
        <v>334</v>
      </c>
      <c r="L40" s="24" t="s">
        <v>570</v>
      </c>
      <c r="M40" s="24" t="s">
        <v>1002</v>
      </c>
      <c r="N40" s="24">
        <v>5</v>
      </c>
      <c r="O40" s="24" t="s">
        <v>2134</v>
      </c>
      <c r="P40" s="200" t="s">
        <v>443</v>
      </c>
    </row>
    <row r="41" spans="1:16">
      <c r="A41" s="261">
        <v>2106000000017</v>
      </c>
      <c r="C41" s="24" t="s">
        <v>566</v>
      </c>
      <c r="D41" s="24" t="s">
        <v>567</v>
      </c>
      <c r="E41" s="24" t="b">
        <v>1</v>
      </c>
      <c r="P41" s="198"/>
    </row>
    <row r="42" spans="1:16" ht="27" customHeight="1">
      <c r="A42" s="198"/>
      <c r="H42" s="24">
        <v>1</v>
      </c>
      <c r="I42" s="24" t="s">
        <v>610</v>
      </c>
      <c r="J42" s="24" t="s">
        <v>286</v>
      </c>
      <c r="K42" s="24" t="s">
        <v>334</v>
      </c>
      <c r="L42" s="24" t="s">
        <v>366</v>
      </c>
      <c r="M42" s="24" t="s">
        <v>367</v>
      </c>
      <c r="N42" s="24">
        <v>100</v>
      </c>
      <c r="O42" s="24" t="s">
        <v>2135</v>
      </c>
      <c r="P42" s="200" t="s">
        <v>825</v>
      </c>
    </row>
    <row r="43" spans="1:16" ht="27" customHeight="1">
      <c r="A43" s="261">
        <v>2106000000018</v>
      </c>
      <c r="C43" s="24" t="s">
        <v>566</v>
      </c>
      <c r="D43" s="24" t="s">
        <v>567</v>
      </c>
      <c r="E43" s="24" t="b">
        <v>1</v>
      </c>
      <c r="P43" s="198"/>
    </row>
    <row r="44" spans="1:16" ht="27" customHeight="1">
      <c r="H44" s="24">
        <v>1</v>
      </c>
      <c r="I44" s="24" t="s">
        <v>610</v>
      </c>
      <c r="J44" s="24" t="s">
        <v>286</v>
      </c>
      <c r="K44" s="24" t="s">
        <v>334</v>
      </c>
      <c r="L44" s="24" t="s">
        <v>366</v>
      </c>
      <c r="M44" s="24" t="s">
        <v>367</v>
      </c>
      <c r="N44" s="24">
        <v>100</v>
      </c>
      <c r="O44" s="24" t="s">
        <v>2136</v>
      </c>
      <c r="P44" s="200" t="s">
        <v>825</v>
      </c>
    </row>
    <row r="45" spans="1:16" ht="27" customHeight="1">
      <c r="A45" s="261">
        <v>2106000000019</v>
      </c>
      <c r="C45" s="24" t="s">
        <v>566</v>
      </c>
      <c r="D45" s="24" t="s">
        <v>567</v>
      </c>
      <c r="E45" s="24" t="b">
        <v>1</v>
      </c>
      <c r="P45" s="198"/>
    </row>
    <row r="46" spans="1:16" ht="27" customHeight="1">
      <c r="A46" s="198"/>
      <c r="H46" s="24">
        <v>1</v>
      </c>
      <c r="I46" s="24" t="s">
        <v>610</v>
      </c>
      <c r="J46" s="24" t="s">
        <v>286</v>
      </c>
      <c r="K46" s="24" t="s">
        <v>334</v>
      </c>
      <c r="L46" s="24" t="s">
        <v>366</v>
      </c>
      <c r="M46" s="24" t="s">
        <v>367</v>
      </c>
      <c r="N46" s="24">
        <v>100</v>
      </c>
      <c r="O46" s="24" t="s">
        <v>2137</v>
      </c>
      <c r="P46" s="200" t="s">
        <v>825</v>
      </c>
    </row>
    <row r="47" spans="1:16" ht="27" customHeight="1">
      <c r="A47" s="261">
        <v>2106000000020</v>
      </c>
      <c r="C47" s="24" t="s">
        <v>566</v>
      </c>
      <c r="D47" s="24" t="s">
        <v>567</v>
      </c>
      <c r="E47" s="24" t="b">
        <v>1</v>
      </c>
      <c r="P47" s="198"/>
    </row>
    <row r="48" spans="1:16" ht="27" customHeight="1">
      <c r="H48" s="24">
        <v>1</v>
      </c>
      <c r="I48" s="24" t="s">
        <v>610</v>
      </c>
      <c r="J48" s="24" t="s">
        <v>286</v>
      </c>
      <c r="K48" s="24" t="s">
        <v>334</v>
      </c>
      <c r="L48" s="24" t="s">
        <v>366</v>
      </c>
      <c r="M48" s="24" t="s">
        <v>367</v>
      </c>
      <c r="N48" s="24">
        <v>100</v>
      </c>
      <c r="O48" s="24" t="s">
        <v>2138</v>
      </c>
      <c r="P48" s="200" t="s">
        <v>825</v>
      </c>
    </row>
    <row r="49" spans="1:16" ht="12.75" customHeight="1">
      <c r="A49" s="107" t="s">
        <v>571</v>
      </c>
      <c r="B49" s="107"/>
      <c r="C49" s="107"/>
      <c r="D49" s="107"/>
      <c r="E49" s="107"/>
      <c r="F49" s="107"/>
      <c r="G49" s="107"/>
      <c r="H49" s="108"/>
      <c r="I49" s="108"/>
      <c r="J49" s="108"/>
      <c r="K49" s="108"/>
      <c r="L49" s="108"/>
      <c r="M49" s="108"/>
      <c r="N49" s="108"/>
      <c r="O49" s="108"/>
      <c r="P49" s="201"/>
    </row>
    <row r="50" spans="1:16">
      <c r="A50" s="172">
        <v>2106000000021</v>
      </c>
      <c r="C50" s="24" t="s">
        <v>572</v>
      </c>
      <c r="D50" s="24" t="s">
        <v>573</v>
      </c>
      <c r="E50" s="24" t="b">
        <v>1</v>
      </c>
      <c r="P50" s="198"/>
    </row>
    <row r="51" spans="1:16">
      <c r="A51" s="172"/>
      <c r="H51" s="24">
        <v>1</v>
      </c>
      <c r="I51" s="24" t="s">
        <v>568</v>
      </c>
      <c r="J51" s="24" t="s">
        <v>783</v>
      </c>
      <c r="K51" s="24" t="s">
        <v>334</v>
      </c>
      <c r="L51" s="24" t="s">
        <v>384</v>
      </c>
      <c r="M51" s="24" t="s">
        <v>350</v>
      </c>
      <c r="N51" s="24">
        <v>3</v>
      </c>
      <c r="O51" s="24" t="s">
        <v>2139</v>
      </c>
      <c r="P51" s="200" t="s">
        <v>385</v>
      </c>
    </row>
    <row r="52" spans="1:16">
      <c r="A52" s="172">
        <v>2106000000022</v>
      </c>
      <c r="C52" s="24" t="s">
        <v>572</v>
      </c>
      <c r="D52" s="24" t="s">
        <v>573</v>
      </c>
      <c r="E52" s="24" t="b">
        <v>1</v>
      </c>
      <c r="P52" s="198"/>
    </row>
    <row r="53" spans="1:16">
      <c r="H53" s="24">
        <v>1</v>
      </c>
      <c r="I53" s="24" t="s">
        <v>1079</v>
      </c>
      <c r="J53" s="24" t="s">
        <v>278</v>
      </c>
      <c r="K53" s="24" t="s">
        <v>334</v>
      </c>
      <c r="L53" s="24" t="s">
        <v>784</v>
      </c>
      <c r="N53" s="24">
        <v>1</v>
      </c>
      <c r="O53" s="24" t="s">
        <v>2140</v>
      </c>
      <c r="P53" s="198" t="s">
        <v>790</v>
      </c>
    </row>
    <row r="54" spans="1:16">
      <c r="A54" s="172">
        <v>2106000000023</v>
      </c>
      <c r="C54" s="24" t="s">
        <v>572</v>
      </c>
      <c r="D54" s="24" t="s">
        <v>573</v>
      </c>
      <c r="E54" s="24" t="b">
        <v>1</v>
      </c>
    </row>
    <row r="55" spans="1:16">
      <c r="A55" s="172"/>
      <c r="H55" s="24">
        <v>1</v>
      </c>
      <c r="I55" s="24" t="s">
        <v>1921</v>
      </c>
      <c r="J55" s="24" t="s">
        <v>1921</v>
      </c>
      <c r="K55" s="24" t="s">
        <v>334</v>
      </c>
      <c r="L55" s="24" t="s">
        <v>778</v>
      </c>
      <c r="M55" s="24" t="s">
        <v>764</v>
      </c>
      <c r="N55" s="24">
        <v>10</v>
      </c>
      <c r="O55" s="24" t="s">
        <v>2140</v>
      </c>
      <c r="P55" s="202" t="s">
        <v>765</v>
      </c>
    </row>
    <row r="56" spans="1:16">
      <c r="A56" s="172">
        <v>2106000000024</v>
      </c>
      <c r="C56" s="24" t="s">
        <v>572</v>
      </c>
      <c r="D56" s="24" t="s">
        <v>573</v>
      </c>
      <c r="E56" s="24" t="b">
        <v>1</v>
      </c>
      <c r="P56" s="198"/>
    </row>
    <row r="57" spans="1:16">
      <c r="H57" s="24">
        <v>1</v>
      </c>
      <c r="I57" s="24" t="s">
        <v>1285</v>
      </c>
      <c r="J57" s="24" t="s">
        <v>1284</v>
      </c>
      <c r="K57" s="24" t="s">
        <v>334</v>
      </c>
      <c r="L57" s="24" t="s">
        <v>357</v>
      </c>
      <c r="M57" s="110" t="s">
        <v>1283</v>
      </c>
      <c r="N57" s="24">
        <v>100</v>
      </c>
      <c r="O57" s="24" t="s">
        <v>2141</v>
      </c>
      <c r="P57" s="200" t="s">
        <v>1134</v>
      </c>
    </row>
    <row r="58" spans="1:16">
      <c r="A58" s="172">
        <v>2106000000025</v>
      </c>
      <c r="C58" s="24" t="s">
        <v>572</v>
      </c>
      <c r="D58" s="24" t="s">
        <v>573</v>
      </c>
      <c r="E58" s="24" t="b">
        <v>1</v>
      </c>
      <c r="P58" s="198"/>
    </row>
    <row r="59" spans="1:16">
      <c r="A59" s="172"/>
      <c r="H59" s="24">
        <v>1</v>
      </c>
      <c r="I59" s="24" t="s">
        <v>1285</v>
      </c>
      <c r="J59" s="24" t="s">
        <v>1284</v>
      </c>
      <c r="K59" s="24" t="s">
        <v>334</v>
      </c>
      <c r="L59" s="24" t="s">
        <v>357</v>
      </c>
      <c r="M59" s="110" t="s">
        <v>1283</v>
      </c>
      <c r="N59" s="24">
        <v>100</v>
      </c>
      <c r="O59" s="24" t="s">
        <v>2142</v>
      </c>
      <c r="P59" s="200" t="s">
        <v>1134</v>
      </c>
    </row>
    <row r="60" spans="1:16">
      <c r="A60" s="172">
        <v>2106000000026</v>
      </c>
      <c r="C60" s="24" t="s">
        <v>572</v>
      </c>
      <c r="D60" s="24" t="s">
        <v>573</v>
      </c>
      <c r="E60" s="24" t="b">
        <v>1</v>
      </c>
      <c r="P60" s="198"/>
    </row>
    <row r="61" spans="1:16">
      <c r="H61" s="24">
        <v>1</v>
      </c>
      <c r="I61" s="24" t="s">
        <v>1285</v>
      </c>
      <c r="J61" s="24" t="s">
        <v>1284</v>
      </c>
      <c r="K61" s="24" t="s">
        <v>334</v>
      </c>
      <c r="L61" s="24" t="s">
        <v>357</v>
      </c>
      <c r="M61" s="110" t="s">
        <v>1283</v>
      </c>
      <c r="N61" s="24">
        <v>100</v>
      </c>
      <c r="O61" s="24" t="s">
        <v>2143</v>
      </c>
      <c r="P61" s="200" t="s">
        <v>1134</v>
      </c>
    </row>
    <row r="62" spans="1:16">
      <c r="A62" s="172">
        <v>2106000000027</v>
      </c>
      <c r="C62" s="24" t="s">
        <v>572</v>
      </c>
      <c r="D62" s="24" t="s">
        <v>573</v>
      </c>
      <c r="E62" s="24" t="b">
        <v>1</v>
      </c>
      <c r="P62" s="198"/>
    </row>
    <row r="63" spans="1:16">
      <c r="H63" s="24">
        <v>1</v>
      </c>
      <c r="I63" s="24" t="s">
        <v>1285</v>
      </c>
      <c r="J63" s="24" t="s">
        <v>1284</v>
      </c>
      <c r="K63" s="24" t="s">
        <v>334</v>
      </c>
      <c r="L63" s="24" t="s">
        <v>357</v>
      </c>
      <c r="M63" s="110" t="s">
        <v>1283</v>
      </c>
      <c r="N63" s="24">
        <v>100</v>
      </c>
      <c r="O63" s="24" t="s">
        <v>2144</v>
      </c>
      <c r="P63" s="200" t="s">
        <v>1134</v>
      </c>
    </row>
    <row r="64" spans="1:16" ht="12.75" customHeight="1">
      <c r="A64" s="107" t="s">
        <v>574</v>
      </c>
      <c r="B64" s="107"/>
      <c r="C64" s="107"/>
      <c r="D64" s="107"/>
      <c r="E64" s="107"/>
      <c r="F64" s="107"/>
      <c r="G64" s="107"/>
      <c r="H64" s="108"/>
      <c r="I64" s="108"/>
      <c r="J64" s="108"/>
      <c r="K64" s="108"/>
      <c r="L64" s="108"/>
      <c r="M64" s="108"/>
      <c r="N64" s="108"/>
      <c r="O64" s="108"/>
      <c r="P64" s="201"/>
    </row>
    <row r="65" spans="1:16">
      <c r="A65" s="261">
        <v>2106000000028</v>
      </c>
      <c r="C65" s="24" t="s">
        <v>575</v>
      </c>
      <c r="D65" s="24" t="s">
        <v>576</v>
      </c>
      <c r="E65" s="24" t="b">
        <v>1</v>
      </c>
      <c r="P65" s="198"/>
    </row>
    <row r="66" spans="1:16">
      <c r="A66" s="261"/>
      <c r="H66" s="24">
        <v>1</v>
      </c>
      <c r="I66" s="24" t="s">
        <v>568</v>
      </c>
      <c r="J66" s="24" t="s">
        <v>279</v>
      </c>
      <c r="K66" s="24" t="s">
        <v>334</v>
      </c>
      <c r="L66" s="24" t="s">
        <v>384</v>
      </c>
      <c r="M66" s="24" t="s">
        <v>350</v>
      </c>
      <c r="N66" s="24">
        <v>5</v>
      </c>
      <c r="O66" s="24" t="s">
        <v>2145</v>
      </c>
      <c r="P66" s="200" t="s">
        <v>385</v>
      </c>
    </row>
    <row r="67" spans="1:16">
      <c r="A67" s="261">
        <v>2106000000029</v>
      </c>
      <c r="C67" s="24" t="s">
        <v>575</v>
      </c>
      <c r="D67" s="24" t="s">
        <v>576</v>
      </c>
      <c r="E67" s="24" t="b">
        <v>1</v>
      </c>
      <c r="P67" s="198"/>
    </row>
    <row r="68" spans="1:16">
      <c r="H68" s="24">
        <v>1</v>
      </c>
      <c r="I68" s="24" t="s">
        <v>1083</v>
      </c>
      <c r="J68" s="24" t="s">
        <v>1082</v>
      </c>
      <c r="K68" s="24" t="s">
        <v>334</v>
      </c>
      <c r="L68" s="19" t="s">
        <v>1080</v>
      </c>
      <c r="N68" s="24">
        <v>2</v>
      </c>
      <c r="O68" s="24" t="s">
        <v>2146</v>
      </c>
      <c r="P68" s="174" t="s">
        <v>936</v>
      </c>
    </row>
    <row r="69" spans="1:16">
      <c r="A69" s="261">
        <v>2106000000030</v>
      </c>
      <c r="C69" s="24" t="s">
        <v>575</v>
      </c>
      <c r="D69" s="24" t="s">
        <v>576</v>
      </c>
      <c r="E69" s="24" t="b">
        <v>1</v>
      </c>
      <c r="N69" s="106"/>
    </row>
    <row r="70" spans="1:16" ht="27" customHeight="1">
      <c r="A70" s="261"/>
      <c r="H70" s="24">
        <v>1</v>
      </c>
      <c r="I70" s="24" t="s">
        <v>1069</v>
      </c>
      <c r="J70" s="24" t="s">
        <v>1069</v>
      </c>
      <c r="K70" s="24" t="s">
        <v>334</v>
      </c>
      <c r="L70" s="24" t="s">
        <v>712</v>
      </c>
      <c r="N70" s="24">
        <v>3</v>
      </c>
      <c r="O70" s="24" t="s">
        <v>2146</v>
      </c>
      <c r="P70" s="200" t="s">
        <v>832</v>
      </c>
    </row>
    <row r="71" spans="1:16">
      <c r="A71" s="261">
        <v>2106000000031</v>
      </c>
      <c r="C71" s="24" t="s">
        <v>575</v>
      </c>
      <c r="D71" s="24" t="s">
        <v>576</v>
      </c>
      <c r="E71" s="24" t="b">
        <v>1</v>
      </c>
      <c r="P71" s="198"/>
    </row>
    <row r="72" spans="1:16">
      <c r="H72" s="24">
        <v>1</v>
      </c>
      <c r="I72" s="24" t="s">
        <v>561</v>
      </c>
      <c r="J72" s="24" t="s">
        <v>280</v>
      </c>
      <c r="K72" s="24" t="s">
        <v>334</v>
      </c>
      <c r="L72" s="24" t="s">
        <v>377</v>
      </c>
      <c r="N72" s="24">
        <v>3</v>
      </c>
      <c r="O72" s="24" t="s">
        <v>2147</v>
      </c>
      <c r="P72" s="200" t="s">
        <v>1190</v>
      </c>
    </row>
    <row r="73" spans="1:16">
      <c r="A73" s="261">
        <v>2106000000032</v>
      </c>
      <c r="C73" s="24" t="s">
        <v>575</v>
      </c>
      <c r="D73" s="24" t="s">
        <v>576</v>
      </c>
      <c r="E73" s="24" t="b">
        <v>1</v>
      </c>
      <c r="P73" s="200"/>
    </row>
    <row r="74" spans="1:16">
      <c r="A74" s="261"/>
      <c r="H74" s="24">
        <v>1</v>
      </c>
      <c r="I74" s="24" t="s">
        <v>561</v>
      </c>
      <c r="J74" s="24" t="s">
        <v>280</v>
      </c>
      <c r="K74" s="24" t="s">
        <v>334</v>
      </c>
      <c r="L74" s="24" t="s">
        <v>377</v>
      </c>
      <c r="N74" s="24">
        <v>3</v>
      </c>
      <c r="O74" s="24" t="s">
        <v>2148</v>
      </c>
      <c r="P74" s="200" t="s">
        <v>1190</v>
      </c>
    </row>
    <row r="75" spans="1:16">
      <c r="A75" s="261">
        <v>2106000000033</v>
      </c>
      <c r="C75" s="24" t="s">
        <v>575</v>
      </c>
      <c r="D75" s="24" t="s">
        <v>576</v>
      </c>
      <c r="E75" s="24" t="b">
        <v>1</v>
      </c>
      <c r="P75" s="200"/>
    </row>
    <row r="76" spans="1:16">
      <c r="H76" s="24">
        <v>1</v>
      </c>
      <c r="I76" s="24" t="s">
        <v>561</v>
      </c>
      <c r="J76" s="24" t="s">
        <v>280</v>
      </c>
      <c r="K76" s="24" t="s">
        <v>334</v>
      </c>
      <c r="L76" s="24" t="s">
        <v>377</v>
      </c>
      <c r="N76" s="24">
        <v>3</v>
      </c>
      <c r="O76" s="24" t="s">
        <v>2149</v>
      </c>
      <c r="P76" s="200" t="s">
        <v>1190</v>
      </c>
    </row>
    <row r="77" spans="1:16">
      <c r="A77" s="261">
        <v>2106000000034</v>
      </c>
      <c r="C77" s="24" t="s">
        <v>575</v>
      </c>
      <c r="D77" s="24" t="s">
        <v>576</v>
      </c>
      <c r="E77" s="24" t="b">
        <v>1</v>
      </c>
      <c r="P77" s="200"/>
    </row>
    <row r="78" spans="1:16">
      <c r="H78" s="24">
        <v>1</v>
      </c>
      <c r="I78" s="24" t="s">
        <v>561</v>
      </c>
      <c r="J78" s="24" t="s">
        <v>280</v>
      </c>
      <c r="K78" s="24" t="s">
        <v>334</v>
      </c>
      <c r="L78" s="24" t="s">
        <v>377</v>
      </c>
      <c r="N78" s="24">
        <v>3</v>
      </c>
      <c r="O78" s="24" t="s">
        <v>2150</v>
      </c>
      <c r="P78" s="200" t="s">
        <v>1190</v>
      </c>
    </row>
    <row r="79" spans="1:16" ht="12.75" customHeight="1">
      <c r="A79" s="107" t="s">
        <v>577</v>
      </c>
      <c r="B79" s="107"/>
      <c r="C79" s="107"/>
      <c r="D79" s="107"/>
      <c r="E79" s="107"/>
      <c r="F79" s="107"/>
      <c r="G79" s="107"/>
      <c r="H79" s="108"/>
      <c r="I79" s="108"/>
      <c r="J79" s="108"/>
      <c r="K79" s="108"/>
      <c r="L79" s="108"/>
      <c r="M79" s="108"/>
      <c r="N79" s="108"/>
      <c r="O79" s="108"/>
      <c r="P79" s="201"/>
    </row>
    <row r="80" spans="1:16">
      <c r="A80" s="261">
        <v>2106000000035</v>
      </c>
      <c r="C80" s="24" t="s">
        <v>578</v>
      </c>
      <c r="D80" s="24" t="s">
        <v>579</v>
      </c>
      <c r="E80" s="24" t="b">
        <v>1</v>
      </c>
      <c r="P80" s="198"/>
    </row>
    <row r="81" spans="1:16">
      <c r="A81" s="261"/>
      <c r="H81" s="24">
        <v>1</v>
      </c>
      <c r="I81" s="24" t="s">
        <v>568</v>
      </c>
      <c r="J81" s="24" t="s">
        <v>281</v>
      </c>
      <c r="K81" s="24" t="s">
        <v>334</v>
      </c>
      <c r="L81" s="24" t="s">
        <v>384</v>
      </c>
      <c r="M81" s="24" t="s">
        <v>350</v>
      </c>
      <c r="N81" s="24">
        <v>8</v>
      </c>
      <c r="O81" s="24" t="s">
        <v>2151</v>
      </c>
      <c r="P81" s="200" t="s">
        <v>385</v>
      </c>
    </row>
    <row r="82" spans="1:16">
      <c r="A82" s="261">
        <v>2106000000036</v>
      </c>
      <c r="C82" s="24" t="s">
        <v>578</v>
      </c>
      <c r="D82" s="24" t="s">
        <v>579</v>
      </c>
      <c r="E82" s="24" t="b">
        <v>1</v>
      </c>
      <c r="P82" s="198"/>
    </row>
    <row r="83" spans="1:16">
      <c r="H83" s="24">
        <v>1</v>
      </c>
      <c r="I83" s="24" t="s">
        <v>1081</v>
      </c>
      <c r="J83" s="24" t="s">
        <v>282</v>
      </c>
      <c r="K83" s="24" t="s">
        <v>334</v>
      </c>
      <c r="L83" s="24" t="s">
        <v>335</v>
      </c>
      <c r="M83" s="24" t="s">
        <v>763</v>
      </c>
      <c r="N83" s="24">
        <v>6</v>
      </c>
      <c r="O83" s="24" t="s">
        <v>2152</v>
      </c>
      <c r="P83" s="198" t="s">
        <v>355</v>
      </c>
    </row>
    <row r="84" spans="1:16">
      <c r="A84" s="261">
        <v>2106000000037</v>
      </c>
      <c r="C84" s="24" t="s">
        <v>578</v>
      </c>
      <c r="D84" s="24" t="s">
        <v>579</v>
      </c>
      <c r="E84" s="24" t="b">
        <v>1</v>
      </c>
    </row>
    <row r="85" spans="1:16">
      <c r="A85" s="261"/>
      <c r="H85" s="24">
        <v>1</v>
      </c>
      <c r="I85" s="24" t="s">
        <v>1539</v>
      </c>
      <c r="J85" s="24" t="s">
        <v>1541</v>
      </c>
      <c r="K85" s="24" t="s">
        <v>334</v>
      </c>
      <c r="L85" s="19" t="s">
        <v>490</v>
      </c>
      <c r="M85" s="24" t="s">
        <v>580</v>
      </c>
      <c r="N85" s="106">
        <v>5</v>
      </c>
      <c r="O85" s="24" t="s">
        <v>2152</v>
      </c>
      <c r="P85" s="200" t="s">
        <v>362</v>
      </c>
    </row>
    <row r="86" spans="1:16">
      <c r="A86" s="261">
        <v>2106000000038</v>
      </c>
      <c r="B86" s="154"/>
      <c r="C86" s="154" t="s">
        <v>578</v>
      </c>
      <c r="D86" s="154" t="s">
        <v>579</v>
      </c>
      <c r="E86" s="154" t="b">
        <v>1</v>
      </c>
      <c r="F86" s="154"/>
      <c r="G86" s="154"/>
      <c r="H86" s="154"/>
      <c r="I86" s="154"/>
      <c r="J86" s="154"/>
      <c r="K86" s="154"/>
      <c r="L86" s="154"/>
      <c r="M86" s="154"/>
      <c r="N86" s="154"/>
      <c r="O86" s="154"/>
      <c r="P86" s="266"/>
    </row>
    <row r="87" spans="1:16" ht="27" customHeight="1">
      <c r="B87" s="154"/>
      <c r="C87" s="154"/>
      <c r="D87" s="154"/>
      <c r="E87" s="154"/>
      <c r="F87" s="154"/>
      <c r="G87" s="154"/>
      <c r="H87" s="154">
        <v>1</v>
      </c>
      <c r="I87" s="154" t="s">
        <v>1540</v>
      </c>
      <c r="J87" s="154" t="s">
        <v>792</v>
      </c>
      <c r="K87" s="154" t="s">
        <v>334</v>
      </c>
      <c r="L87" s="154" t="s">
        <v>427</v>
      </c>
      <c r="M87" s="154" t="s">
        <v>1196</v>
      </c>
      <c r="N87" s="154">
        <v>15</v>
      </c>
      <c r="O87" s="154" t="s">
        <v>2153</v>
      </c>
      <c r="P87" s="267" t="s">
        <v>337</v>
      </c>
    </row>
    <row r="88" spans="1:16" ht="27" customHeight="1">
      <c r="A88" s="261">
        <v>2106000000039</v>
      </c>
      <c r="B88" s="154"/>
      <c r="C88" s="154" t="s">
        <v>578</v>
      </c>
      <c r="D88" s="154" t="s">
        <v>579</v>
      </c>
      <c r="E88" s="154" t="b">
        <v>1</v>
      </c>
      <c r="F88" s="154"/>
      <c r="G88" s="154"/>
      <c r="H88" s="154"/>
      <c r="I88" s="154"/>
      <c r="J88" s="154"/>
      <c r="K88" s="154"/>
      <c r="L88" s="154"/>
      <c r="M88" s="154"/>
      <c r="N88" s="154"/>
      <c r="O88" s="154"/>
      <c r="P88" s="266"/>
    </row>
    <row r="89" spans="1:16" ht="27" customHeight="1">
      <c r="A89" s="261"/>
      <c r="B89" s="154"/>
      <c r="C89" s="154"/>
      <c r="D89" s="154"/>
      <c r="E89" s="154"/>
      <c r="F89" s="154"/>
      <c r="G89" s="154"/>
      <c r="H89" s="154">
        <v>1</v>
      </c>
      <c r="I89" s="154" t="s">
        <v>1540</v>
      </c>
      <c r="J89" s="154" t="s">
        <v>792</v>
      </c>
      <c r="K89" s="154" t="s">
        <v>334</v>
      </c>
      <c r="L89" s="154" t="s">
        <v>427</v>
      </c>
      <c r="M89" s="154" t="s">
        <v>1196</v>
      </c>
      <c r="N89" s="154">
        <v>15</v>
      </c>
      <c r="O89" s="154" t="s">
        <v>2154</v>
      </c>
      <c r="P89" s="267" t="s">
        <v>337</v>
      </c>
    </row>
    <row r="90" spans="1:16" ht="27" customHeight="1">
      <c r="A90" s="261">
        <v>2106000000040</v>
      </c>
      <c r="B90" s="154"/>
      <c r="C90" s="154" t="s">
        <v>578</v>
      </c>
      <c r="D90" s="154" t="s">
        <v>579</v>
      </c>
      <c r="E90" s="154" t="b">
        <v>1</v>
      </c>
      <c r="F90" s="154"/>
      <c r="G90" s="154"/>
      <c r="H90" s="154"/>
      <c r="I90" s="154"/>
      <c r="J90" s="154"/>
      <c r="K90" s="154"/>
      <c r="L90" s="154"/>
      <c r="M90" s="154"/>
      <c r="N90" s="154"/>
      <c r="O90" s="154"/>
      <c r="P90" s="266"/>
    </row>
    <row r="91" spans="1:16" ht="27" customHeight="1">
      <c r="B91" s="154"/>
      <c r="C91" s="154"/>
      <c r="D91" s="154"/>
      <c r="E91" s="154"/>
      <c r="F91" s="154"/>
      <c r="G91" s="154"/>
      <c r="H91" s="154">
        <v>1</v>
      </c>
      <c r="I91" s="154" t="s">
        <v>1540</v>
      </c>
      <c r="J91" s="154" t="s">
        <v>792</v>
      </c>
      <c r="K91" s="154" t="s">
        <v>334</v>
      </c>
      <c r="L91" s="154" t="s">
        <v>427</v>
      </c>
      <c r="M91" s="154" t="s">
        <v>1196</v>
      </c>
      <c r="N91" s="154">
        <v>15</v>
      </c>
      <c r="O91" s="154" t="s">
        <v>2155</v>
      </c>
      <c r="P91" s="267" t="s">
        <v>337</v>
      </c>
    </row>
    <row r="92" spans="1:16" ht="27" customHeight="1">
      <c r="A92" s="261">
        <v>2106000000041</v>
      </c>
      <c r="B92" s="154"/>
      <c r="C92" s="154" t="s">
        <v>578</v>
      </c>
      <c r="D92" s="154" t="s">
        <v>579</v>
      </c>
      <c r="E92" s="154" t="b">
        <v>1</v>
      </c>
      <c r="F92" s="154"/>
      <c r="G92" s="154"/>
      <c r="H92" s="154"/>
      <c r="I92" s="154"/>
      <c r="J92" s="154"/>
      <c r="K92" s="154"/>
      <c r="L92" s="154"/>
      <c r="M92" s="154"/>
      <c r="N92" s="154"/>
      <c r="O92" s="154"/>
      <c r="P92" s="266"/>
    </row>
    <row r="93" spans="1:16" ht="27" customHeight="1">
      <c r="A93" s="154"/>
      <c r="B93" s="154"/>
      <c r="C93" s="154"/>
      <c r="D93" s="154"/>
      <c r="E93" s="154"/>
      <c r="F93" s="154"/>
      <c r="G93" s="154"/>
      <c r="H93" s="154">
        <v>1</v>
      </c>
      <c r="I93" s="154" t="s">
        <v>1540</v>
      </c>
      <c r="J93" s="154" t="s">
        <v>792</v>
      </c>
      <c r="K93" s="154" t="s">
        <v>334</v>
      </c>
      <c r="L93" s="154" t="s">
        <v>427</v>
      </c>
      <c r="M93" s="154" t="s">
        <v>1196</v>
      </c>
      <c r="N93" s="154">
        <v>15</v>
      </c>
      <c r="O93" s="154" t="s">
        <v>2156</v>
      </c>
      <c r="P93" s="267" t="s">
        <v>337</v>
      </c>
    </row>
    <row r="94" spans="1:16" ht="12.75" customHeight="1">
      <c r="A94" s="107" t="s">
        <v>581</v>
      </c>
      <c r="B94" s="107"/>
      <c r="C94" s="107"/>
      <c r="D94" s="107"/>
      <c r="E94" s="107"/>
      <c r="F94" s="107"/>
      <c r="G94" s="107"/>
      <c r="H94" s="108"/>
      <c r="I94" s="108"/>
      <c r="J94" s="108"/>
      <c r="K94" s="108"/>
      <c r="L94" s="108"/>
      <c r="M94" s="108"/>
      <c r="N94" s="108"/>
      <c r="O94" s="108"/>
      <c r="P94" s="201"/>
    </row>
    <row r="95" spans="1:16">
      <c r="A95" s="261">
        <v>2106000000042</v>
      </c>
      <c r="C95" s="24" t="s">
        <v>582</v>
      </c>
      <c r="D95" s="24" t="s">
        <v>583</v>
      </c>
      <c r="E95" s="24" t="b">
        <v>1</v>
      </c>
      <c r="N95" s="80"/>
      <c r="P95" s="198"/>
    </row>
    <row r="96" spans="1:16">
      <c r="A96" s="261"/>
      <c r="H96" s="24">
        <v>1</v>
      </c>
      <c r="I96" s="24" t="s">
        <v>1079</v>
      </c>
      <c r="J96" s="24" t="s">
        <v>283</v>
      </c>
      <c r="K96" s="24" t="s">
        <v>334</v>
      </c>
      <c r="L96" s="24" t="s">
        <v>784</v>
      </c>
      <c r="N96" s="80">
        <v>2</v>
      </c>
      <c r="O96" s="24" t="s">
        <v>2157</v>
      </c>
      <c r="P96" s="198" t="s">
        <v>790</v>
      </c>
    </row>
    <row r="97" spans="1:16">
      <c r="A97" s="261">
        <v>2106000000043</v>
      </c>
      <c r="C97" s="24" t="s">
        <v>582</v>
      </c>
      <c r="D97" s="24" t="s">
        <v>583</v>
      </c>
      <c r="E97" s="24" t="b">
        <v>1</v>
      </c>
      <c r="N97" s="80"/>
    </row>
    <row r="98" spans="1:16">
      <c r="H98" s="24">
        <v>1</v>
      </c>
      <c r="I98" s="24" t="s">
        <v>561</v>
      </c>
      <c r="J98" s="24" t="s">
        <v>284</v>
      </c>
      <c r="K98" s="24" t="s">
        <v>334</v>
      </c>
      <c r="L98" s="24" t="s">
        <v>377</v>
      </c>
      <c r="N98" s="80">
        <v>5</v>
      </c>
      <c r="O98" s="24" t="s">
        <v>2158</v>
      </c>
      <c r="P98" s="200" t="s">
        <v>1004</v>
      </c>
    </row>
    <row r="99" spans="1:16">
      <c r="A99" s="261">
        <v>2106000000044</v>
      </c>
      <c r="C99" s="24" t="s">
        <v>582</v>
      </c>
      <c r="D99" s="24" t="s">
        <v>583</v>
      </c>
      <c r="E99" s="24" t="b">
        <v>1</v>
      </c>
      <c r="N99" s="80"/>
      <c r="P99" s="198"/>
    </row>
    <row r="100" spans="1:16" ht="27" customHeight="1">
      <c r="A100" s="261"/>
      <c r="H100" s="24">
        <v>1</v>
      </c>
      <c r="I100" s="24" t="s">
        <v>584</v>
      </c>
      <c r="J100" s="24" t="s">
        <v>285</v>
      </c>
      <c r="K100" s="24" t="s">
        <v>334</v>
      </c>
      <c r="L100" s="24" t="s">
        <v>570</v>
      </c>
      <c r="M100" s="24" t="s">
        <v>1000</v>
      </c>
      <c r="N100" s="80">
        <v>3</v>
      </c>
      <c r="O100" s="24" t="s">
        <v>2158</v>
      </c>
      <c r="P100" s="200" t="s">
        <v>443</v>
      </c>
    </row>
    <row r="101" spans="1:16">
      <c r="A101" s="261">
        <v>2106000000045</v>
      </c>
      <c r="C101" s="24" t="s">
        <v>582</v>
      </c>
      <c r="D101" s="24" t="s">
        <v>583</v>
      </c>
      <c r="E101" s="24" t="b">
        <v>1</v>
      </c>
      <c r="N101" s="80"/>
      <c r="P101" s="198"/>
    </row>
    <row r="102" spans="1:16" ht="16.5">
      <c r="H102" s="24">
        <v>1</v>
      </c>
      <c r="I102" s="19" t="s">
        <v>903</v>
      </c>
      <c r="J102" s="24" t="s">
        <v>904</v>
      </c>
      <c r="K102" s="24" t="s">
        <v>334</v>
      </c>
      <c r="L102" s="28" t="s">
        <v>939</v>
      </c>
      <c r="M102" s="28"/>
      <c r="N102" s="28">
        <v>1</v>
      </c>
      <c r="O102" s="24" t="s">
        <v>2159</v>
      </c>
      <c r="P102" s="200"/>
    </row>
    <row r="103" spans="1:16">
      <c r="A103" s="261">
        <v>2106000000046</v>
      </c>
      <c r="C103" s="24" t="s">
        <v>582</v>
      </c>
      <c r="D103" s="24" t="s">
        <v>583</v>
      </c>
      <c r="E103" s="24" t="b">
        <v>1</v>
      </c>
      <c r="N103" s="80"/>
      <c r="P103" s="198"/>
    </row>
    <row r="104" spans="1:16" ht="16.5">
      <c r="A104" s="261"/>
      <c r="H104" s="24">
        <v>1</v>
      </c>
      <c r="I104" s="19" t="s">
        <v>903</v>
      </c>
      <c r="J104" s="24" t="s">
        <v>904</v>
      </c>
      <c r="K104" s="24" t="s">
        <v>334</v>
      </c>
      <c r="L104" s="28" t="s">
        <v>939</v>
      </c>
      <c r="M104" s="28"/>
      <c r="N104" s="28">
        <v>1</v>
      </c>
      <c r="O104" s="24" t="s">
        <v>2160</v>
      </c>
      <c r="P104" s="200"/>
    </row>
    <row r="105" spans="1:16">
      <c r="A105" s="261">
        <v>2106000000047</v>
      </c>
      <c r="C105" s="24" t="s">
        <v>582</v>
      </c>
      <c r="D105" s="24" t="s">
        <v>583</v>
      </c>
      <c r="E105" s="24" t="b">
        <v>1</v>
      </c>
      <c r="N105" s="80"/>
      <c r="P105" s="198"/>
    </row>
    <row r="106" spans="1:16" ht="16.5">
      <c r="H106" s="24">
        <v>1</v>
      </c>
      <c r="I106" s="19" t="s">
        <v>903</v>
      </c>
      <c r="J106" s="24" t="s">
        <v>904</v>
      </c>
      <c r="K106" s="24" t="s">
        <v>334</v>
      </c>
      <c r="L106" s="28" t="s">
        <v>939</v>
      </c>
      <c r="M106" s="28"/>
      <c r="N106" s="28">
        <v>1</v>
      </c>
      <c r="O106" s="24" t="s">
        <v>2161</v>
      </c>
      <c r="P106" s="200"/>
    </row>
    <row r="107" spans="1:16">
      <c r="A107" s="261">
        <v>2106000000048</v>
      </c>
      <c r="C107" s="24" t="s">
        <v>582</v>
      </c>
      <c r="D107" s="24" t="s">
        <v>583</v>
      </c>
      <c r="E107" s="24" t="b">
        <v>1</v>
      </c>
      <c r="N107" s="80"/>
      <c r="P107" s="198"/>
    </row>
    <row r="108" spans="1:16" ht="16.5">
      <c r="H108" s="24">
        <v>1</v>
      </c>
      <c r="I108" s="19" t="s">
        <v>903</v>
      </c>
      <c r="J108" s="24" t="s">
        <v>904</v>
      </c>
      <c r="K108" s="24" t="s">
        <v>334</v>
      </c>
      <c r="L108" s="28" t="s">
        <v>939</v>
      </c>
      <c r="M108" s="28"/>
      <c r="N108" s="28">
        <v>1</v>
      </c>
      <c r="O108" s="24" t="s">
        <v>2162</v>
      </c>
      <c r="P108" s="200"/>
    </row>
    <row r="109" spans="1:16" ht="12.75" customHeight="1">
      <c r="A109" s="107" t="s">
        <v>585</v>
      </c>
      <c r="B109" s="107"/>
      <c r="C109" s="107"/>
      <c r="D109" s="107"/>
      <c r="E109" s="107"/>
      <c r="F109" s="107"/>
      <c r="G109" s="107"/>
      <c r="H109" s="108"/>
      <c r="I109" s="108"/>
      <c r="J109" s="108"/>
      <c r="K109" s="108"/>
      <c r="L109" s="108"/>
      <c r="M109" s="108"/>
      <c r="N109" s="108"/>
      <c r="O109" s="108"/>
      <c r="P109" s="201"/>
    </row>
    <row r="110" spans="1:16" ht="16.5" customHeight="1">
      <c r="A110" s="175">
        <v>2106000000049</v>
      </c>
      <c r="B110" s="100"/>
      <c r="C110" s="24" t="s">
        <v>586</v>
      </c>
      <c r="D110" s="101" t="s">
        <v>331</v>
      </c>
      <c r="E110" s="24" t="b">
        <v>0</v>
      </c>
      <c r="F110" s="100"/>
      <c r="G110" s="100"/>
      <c r="H110" s="102"/>
      <c r="I110" s="102"/>
      <c r="J110" s="102"/>
      <c r="K110" s="102"/>
      <c r="L110" s="102"/>
      <c r="M110" s="102"/>
      <c r="N110" s="102"/>
      <c r="O110" s="196"/>
      <c r="P110" s="203"/>
    </row>
    <row r="111" spans="1:16" ht="16.5" customHeight="1">
      <c r="A111" s="175"/>
      <c r="B111" s="100"/>
      <c r="C111" s="100"/>
      <c r="D111" s="100"/>
      <c r="F111" s="100"/>
      <c r="G111" s="100"/>
      <c r="H111" s="104">
        <v>1</v>
      </c>
      <c r="I111" s="112" t="s">
        <v>587</v>
      </c>
      <c r="J111" s="112" t="s">
        <v>587</v>
      </c>
      <c r="K111" s="100" t="s">
        <v>334</v>
      </c>
      <c r="L111" s="100" t="s">
        <v>366</v>
      </c>
      <c r="M111" s="100" t="s">
        <v>588</v>
      </c>
      <c r="N111" s="100">
        <v>7</v>
      </c>
      <c r="O111" s="197" t="s">
        <v>2116</v>
      </c>
      <c r="P111" s="203"/>
    </row>
    <row r="112" spans="1:16">
      <c r="A112" s="175">
        <v>2106000000050</v>
      </c>
      <c r="B112" s="100"/>
      <c r="C112" s="24" t="s">
        <v>589</v>
      </c>
      <c r="D112" s="24" t="s">
        <v>560</v>
      </c>
      <c r="E112" s="24" t="b">
        <v>0</v>
      </c>
      <c r="F112" s="100"/>
      <c r="G112" s="100"/>
      <c r="H112" s="102"/>
      <c r="I112" s="113"/>
      <c r="J112" s="113"/>
      <c r="K112" s="102"/>
      <c r="L112" s="102"/>
      <c r="M112" s="102"/>
      <c r="N112" s="102"/>
      <c r="O112" s="196"/>
      <c r="P112" s="198"/>
    </row>
    <row r="113" spans="1:16">
      <c r="A113" s="100"/>
      <c r="B113" s="100"/>
      <c r="C113" s="100"/>
      <c r="D113" s="100"/>
      <c r="F113" s="100"/>
      <c r="G113" s="100"/>
      <c r="H113" s="104">
        <v>1</v>
      </c>
      <c r="I113" s="114" t="s">
        <v>590</v>
      </c>
      <c r="J113" s="114" t="s">
        <v>590</v>
      </c>
      <c r="K113" s="100" t="s">
        <v>334</v>
      </c>
      <c r="L113" s="100" t="s">
        <v>366</v>
      </c>
      <c r="M113" s="100" t="s">
        <v>591</v>
      </c>
      <c r="N113" s="100">
        <v>7</v>
      </c>
      <c r="O113" s="197" t="s">
        <v>2120</v>
      </c>
      <c r="P113" s="198"/>
    </row>
    <row r="114" spans="1:16">
      <c r="A114" s="175">
        <v>2106000000051</v>
      </c>
      <c r="B114" s="100"/>
      <c r="C114" s="24" t="s">
        <v>592</v>
      </c>
      <c r="D114" s="24" t="s">
        <v>567</v>
      </c>
      <c r="E114" s="24" t="b">
        <v>0</v>
      </c>
      <c r="F114" s="100"/>
      <c r="G114" s="100"/>
      <c r="H114" s="102"/>
      <c r="I114" s="113"/>
      <c r="J114" s="113"/>
      <c r="K114" s="102"/>
      <c r="L114" s="102"/>
      <c r="M114" s="102"/>
      <c r="N114" s="102"/>
      <c r="O114" s="196"/>
      <c r="P114" s="198"/>
    </row>
    <row r="115" spans="1:16">
      <c r="A115" s="175"/>
      <c r="B115" s="100"/>
      <c r="C115" s="100"/>
      <c r="D115" s="100"/>
      <c r="F115" s="100"/>
      <c r="G115" s="100"/>
      <c r="H115" s="104">
        <v>1</v>
      </c>
      <c r="I115" s="114" t="s">
        <v>593</v>
      </c>
      <c r="J115" s="114" t="s">
        <v>593</v>
      </c>
      <c r="K115" s="100" t="s">
        <v>334</v>
      </c>
      <c r="L115" s="100" t="s">
        <v>366</v>
      </c>
      <c r="M115" s="100" t="s">
        <v>594</v>
      </c>
      <c r="N115" s="100">
        <v>7</v>
      </c>
      <c r="O115" s="197" t="s">
        <v>849</v>
      </c>
      <c r="P115" s="198"/>
    </row>
    <row r="116" spans="1:16">
      <c r="A116" s="175">
        <v>2106000000052</v>
      </c>
      <c r="B116" s="100"/>
      <c r="C116" s="24" t="s">
        <v>595</v>
      </c>
      <c r="D116" s="24" t="s">
        <v>573</v>
      </c>
      <c r="E116" s="24" t="b">
        <v>0</v>
      </c>
      <c r="F116" s="100"/>
      <c r="G116" s="100"/>
      <c r="H116" s="102"/>
      <c r="I116" s="113"/>
      <c r="J116" s="113"/>
      <c r="K116" s="102"/>
      <c r="L116" s="102"/>
      <c r="M116" s="102"/>
      <c r="N116" s="102"/>
      <c r="O116" s="196"/>
      <c r="P116" s="198"/>
    </row>
    <row r="117" spans="1:16">
      <c r="A117" s="100"/>
      <c r="B117" s="100"/>
      <c r="C117" s="100"/>
      <c r="D117" s="100"/>
      <c r="F117" s="100"/>
      <c r="G117" s="100"/>
      <c r="H117" s="104">
        <v>1</v>
      </c>
      <c r="I117" s="114" t="s">
        <v>596</v>
      </c>
      <c r="J117" s="114" t="s">
        <v>596</v>
      </c>
      <c r="K117" s="100" t="s">
        <v>334</v>
      </c>
      <c r="L117" s="100" t="s">
        <v>366</v>
      </c>
      <c r="M117" s="100" t="s">
        <v>597</v>
      </c>
      <c r="N117" s="100">
        <v>7</v>
      </c>
      <c r="O117" s="197" t="s">
        <v>2121</v>
      </c>
      <c r="P117" s="198"/>
    </row>
    <row r="118" spans="1:16">
      <c r="A118" s="175">
        <v>2106000000053</v>
      </c>
      <c r="B118" s="100"/>
      <c r="C118" s="24" t="s">
        <v>598</v>
      </c>
      <c r="D118" s="24" t="s">
        <v>576</v>
      </c>
      <c r="E118" s="24" t="b">
        <v>0</v>
      </c>
      <c r="F118" s="100"/>
      <c r="G118" s="100"/>
      <c r="H118" s="102"/>
      <c r="I118" s="113"/>
      <c r="J118" s="113"/>
      <c r="K118" s="102"/>
      <c r="L118" s="102"/>
      <c r="M118" s="102"/>
      <c r="N118" s="102"/>
      <c r="O118" s="196"/>
      <c r="P118" s="198"/>
    </row>
    <row r="119" spans="1:16">
      <c r="A119" s="175"/>
      <c r="B119" s="100"/>
      <c r="C119" s="100"/>
      <c r="D119" s="100"/>
      <c r="F119" s="100"/>
      <c r="G119" s="100"/>
      <c r="H119" s="104">
        <v>1</v>
      </c>
      <c r="I119" s="114" t="s">
        <v>599</v>
      </c>
      <c r="J119" s="114" t="s">
        <v>599</v>
      </c>
      <c r="K119" s="100" t="s">
        <v>334</v>
      </c>
      <c r="L119" s="100" t="s">
        <v>366</v>
      </c>
      <c r="M119" s="100" t="s">
        <v>600</v>
      </c>
      <c r="N119" s="100">
        <v>7</v>
      </c>
      <c r="O119" s="197" t="s">
        <v>849</v>
      </c>
      <c r="P119" s="198"/>
    </row>
    <row r="120" spans="1:16">
      <c r="A120" s="175">
        <v>2106000000054</v>
      </c>
      <c r="B120" s="100"/>
      <c r="C120" s="24" t="s">
        <v>601</v>
      </c>
      <c r="D120" s="24" t="s">
        <v>579</v>
      </c>
      <c r="E120" s="24" t="b">
        <v>0</v>
      </c>
      <c r="F120" s="100"/>
      <c r="G120" s="100"/>
      <c r="H120" s="102"/>
      <c r="I120" s="113"/>
      <c r="J120" s="113"/>
      <c r="K120" s="102"/>
      <c r="L120" s="102"/>
      <c r="M120" s="102"/>
      <c r="N120" s="102"/>
      <c r="O120" s="196"/>
      <c r="P120" s="198"/>
    </row>
    <row r="121" spans="1:16">
      <c r="A121" s="100"/>
      <c r="B121" s="100"/>
      <c r="C121" s="100"/>
      <c r="D121" s="100"/>
      <c r="F121" s="100"/>
      <c r="G121" s="100"/>
      <c r="H121" s="104">
        <v>1</v>
      </c>
      <c r="I121" s="114" t="s">
        <v>602</v>
      </c>
      <c r="J121" s="114" t="s">
        <v>602</v>
      </c>
      <c r="K121" s="100" t="s">
        <v>334</v>
      </c>
      <c r="L121" s="100" t="s">
        <v>366</v>
      </c>
      <c r="M121" s="100" t="s">
        <v>603</v>
      </c>
      <c r="N121" s="100">
        <v>7</v>
      </c>
      <c r="O121" s="197" t="s">
        <v>2122</v>
      </c>
      <c r="P121" s="198"/>
    </row>
    <row r="122" spans="1:16">
      <c r="A122" s="175">
        <v>2106000000055</v>
      </c>
      <c r="B122" s="100"/>
      <c r="C122" s="24" t="s">
        <v>604</v>
      </c>
      <c r="D122" s="24" t="s">
        <v>583</v>
      </c>
      <c r="E122" s="24" t="b">
        <v>0</v>
      </c>
      <c r="F122" s="100"/>
      <c r="G122" s="100"/>
      <c r="H122" s="102"/>
      <c r="I122" s="113"/>
      <c r="J122" s="113"/>
      <c r="K122" s="102"/>
      <c r="L122" s="102"/>
      <c r="M122" s="102"/>
      <c r="N122" s="102"/>
      <c r="O122" s="196"/>
      <c r="P122" s="198"/>
    </row>
    <row r="123" spans="1:16">
      <c r="A123" s="100"/>
      <c r="B123" s="100"/>
      <c r="C123" s="100"/>
      <c r="D123" s="100"/>
      <c r="F123" s="100"/>
      <c r="G123" s="100"/>
      <c r="H123" s="104">
        <v>1</v>
      </c>
      <c r="I123" s="114" t="s">
        <v>605</v>
      </c>
      <c r="J123" s="114" t="s">
        <v>605</v>
      </c>
      <c r="K123" s="100" t="s">
        <v>334</v>
      </c>
      <c r="L123" s="100" t="s">
        <v>366</v>
      </c>
      <c r="M123" s="100" t="s">
        <v>606</v>
      </c>
      <c r="N123" s="100">
        <v>7</v>
      </c>
      <c r="O123" s="197" t="s">
        <v>2116</v>
      </c>
      <c r="P123" s="198"/>
    </row>
    <row r="124" spans="1:16">
      <c r="P124" s="198"/>
    </row>
    <row r="125" spans="1:16">
      <c r="P125" s="198"/>
    </row>
    <row r="126" spans="1:16">
      <c r="P126" s="198"/>
    </row>
    <row r="127" spans="1:16">
      <c r="P127" s="198"/>
    </row>
    <row r="128" spans="1:16">
      <c r="P128" s="198"/>
    </row>
    <row r="129" spans="16:16">
      <c r="P129" s="198"/>
    </row>
    <row r="130" spans="16:16">
      <c r="P130" s="198"/>
    </row>
    <row r="131" spans="16:16">
      <c r="P131" s="198"/>
    </row>
    <row r="132" spans="16:16">
      <c r="P132" s="198"/>
    </row>
    <row r="133" spans="16:16">
      <c r="P133" s="198"/>
    </row>
    <row r="134" spans="16:16">
      <c r="P134" s="198"/>
    </row>
    <row r="135" spans="16:16">
      <c r="P135" s="198"/>
    </row>
    <row r="136" spans="16:16">
      <c r="P136" s="198"/>
    </row>
    <row r="137" spans="16:16">
      <c r="P137" s="198"/>
    </row>
    <row r="138" spans="16:16">
      <c r="P138" s="198"/>
    </row>
    <row r="139" spans="16:16">
      <c r="P139" s="198"/>
    </row>
    <row r="140" spans="16:16">
      <c r="P140" s="198"/>
    </row>
    <row r="141" spans="16:16">
      <c r="P141" s="198"/>
    </row>
    <row r="142" spans="16:16">
      <c r="P142" s="198"/>
    </row>
    <row r="143" spans="16:16">
      <c r="P143" s="198"/>
    </row>
    <row r="144" spans="16:16">
      <c r="P144" s="198"/>
    </row>
    <row r="145" spans="16:16">
      <c r="P145" s="198"/>
    </row>
    <row r="146" spans="16:16">
      <c r="P146" s="198"/>
    </row>
    <row r="147" spans="16:16">
      <c r="P147" s="198"/>
    </row>
    <row r="148" spans="16:16">
      <c r="P148" s="198"/>
    </row>
    <row r="149" spans="16:16">
      <c r="P149" s="198"/>
    </row>
    <row r="150" spans="16:16">
      <c r="P150" s="198"/>
    </row>
    <row r="151" spans="16:16">
      <c r="P151" s="198"/>
    </row>
    <row r="152" spans="16:16">
      <c r="P152" s="198"/>
    </row>
    <row r="153" spans="16:16">
      <c r="P153" s="198"/>
    </row>
    <row r="154" spans="16:16">
      <c r="P154" s="198"/>
    </row>
    <row r="155" spans="16:16">
      <c r="P155" s="198"/>
    </row>
    <row r="156" spans="16:16">
      <c r="P156" s="198"/>
    </row>
    <row r="157" spans="16:16">
      <c r="P157" s="198"/>
    </row>
    <row r="158" spans="16:16">
      <c r="P158" s="198"/>
    </row>
    <row r="159" spans="16:16">
      <c r="P159" s="198"/>
    </row>
    <row r="160" spans="16:16">
      <c r="P160" s="198"/>
    </row>
    <row r="161" spans="16:16">
      <c r="P161" s="198"/>
    </row>
    <row r="162" spans="16:16">
      <c r="P162" s="198"/>
    </row>
    <row r="163" spans="16:16">
      <c r="P163" s="198"/>
    </row>
    <row r="164" spans="16:16">
      <c r="P164" s="198"/>
    </row>
    <row r="165" spans="16:16">
      <c r="P165" s="198"/>
    </row>
    <row r="166" spans="16:16">
      <c r="P166" s="198"/>
    </row>
    <row r="167" spans="16:16">
      <c r="P167" s="198"/>
    </row>
    <row r="168" spans="16:16">
      <c r="P168" s="198"/>
    </row>
    <row r="169" spans="16:16">
      <c r="P169" s="198"/>
    </row>
    <row r="170" spans="16:16">
      <c r="P170" s="198"/>
    </row>
    <row r="171" spans="16:16">
      <c r="P171" s="198"/>
    </row>
    <row r="172" spans="16:16">
      <c r="P172" s="198"/>
    </row>
    <row r="173" spans="16:16">
      <c r="P173" s="198"/>
    </row>
    <row r="174" spans="16:16">
      <c r="P174" s="198"/>
    </row>
    <row r="175" spans="16:16">
      <c r="P175" s="198"/>
    </row>
    <row r="176" spans="16:16">
      <c r="P176" s="198"/>
    </row>
    <row r="177" spans="16:16">
      <c r="P177" s="198"/>
    </row>
    <row r="178" spans="16:16">
      <c r="P178" s="198"/>
    </row>
    <row r="179" spans="16:16">
      <c r="P179" s="198"/>
    </row>
    <row r="180" spans="16:16">
      <c r="P180" s="198"/>
    </row>
    <row r="181" spans="16:16">
      <c r="P181" s="198"/>
    </row>
    <row r="182" spans="16:16">
      <c r="P182" s="198"/>
    </row>
    <row r="183" spans="16:16">
      <c r="P183" s="198"/>
    </row>
    <row r="184" spans="16:16">
      <c r="P184" s="198"/>
    </row>
    <row r="185" spans="16:16">
      <c r="P185" s="198"/>
    </row>
    <row r="186" spans="16:16">
      <c r="P186" s="198"/>
    </row>
    <row r="187" spans="16:16">
      <c r="P187" s="198"/>
    </row>
    <row r="188" spans="16:16">
      <c r="P188" s="198"/>
    </row>
    <row r="189" spans="16:16">
      <c r="P189" s="198"/>
    </row>
    <row r="190" spans="16:16">
      <c r="P190" s="198"/>
    </row>
    <row r="191" spans="16:16">
      <c r="P191" s="198"/>
    </row>
    <row r="192" spans="16:16">
      <c r="P192" s="198"/>
    </row>
    <row r="193" spans="16:16">
      <c r="P193" s="198"/>
    </row>
    <row r="194" spans="16:16">
      <c r="P194" s="198"/>
    </row>
    <row r="195" spans="16:16">
      <c r="P195" s="198"/>
    </row>
    <row r="196" spans="16:16">
      <c r="P196" s="198"/>
    </row>
    <row r="197" spans="16:16">
      <c r="P197" s="198"/>
    </row>
    <row r="198" spans="16:16">
      <c r="P198" s="198"/>
    </row>
    <row r="199" spans="16:16">
      <c r="P199" s="198"/>
    </row>
    <row r="200" spans="16:16">
      <c r="P200" s="198"/>
    </row>
    <row r="201" spans="16:16">
      <c r="P201" s="198"/>
    </row>
    <row r="202" spans="16:16">
      <c r="P202" s="198"/>
    </row>
    <row r="203" spans="16:16">
      <c r="P203" s="198"/>
    </row>
    <row r="204" spans="16:16">
      <c r="P204" s="198"/>
    </row>
    <row r="205" spans="16:16">
      <c r="P205" s="198"/>
    </row>
    <row r="206" spans="16:16">
      <c r="P206" s="198"/>
    </row>
    <row r="207" spans="16:16">
      <c r="P207" s="198"/>
    </row>
    <row r="208" spans="16:16">
      <c r="P208" s="198"/>
    </row>
    <row r="209" spans="16:16">
      <c r="P209" s="198"/>
    </row>
    <row r="210" spans="16:16">
      <c r="P210" s="198"/>
    </row>
    <row r="211" spans="16:16">
      <c r="P211" s="198"/>
    </row>
    <row r="212" spans="16:16">
      <c r="P212" s="198"/>
    </row>
    <row r="213" spans="16:16">
      <c r="P213" s="198"/>
    </row>
    <row r="214" spans="16:16">
      <c r="P214" s="198"/>
    </row>
    <row r="215" spans="16:16">
      <c r="P215" s="198"/>
    </row>
    <row r="216" spans="16:16">
      <c r="P216" s="198"/>
    </row>
    <row r="217" spans="16:16">
      <c r="P217" s="198"/>
    </row>
    <row r="218" spans="16:16">
      <c r="P218" s="198"/>
    </row>
    <row r="219" spans="16:16">
      <c r="P219" s="198"/>
    </row>
    <row r="220" spans="16:16">
      <c r="P220" s="198"/>
    </row>
    <row r="221" spans="16:16">
      <c r="P221" s="198"/>
    </row>
    <row r="222" spans="16:16">
      <c r="P222" s="198"/>
    </row>
    <row r="223" spans="16:16">
      <c r="P223" s="198"/>
    </row>
    <row r="224" spans="16:16">
      <c r="P224" s="198"/>
    </row>
    <row r="225" spans="16:16">
      <c r="P225" s="198"/>
    </row>
    <row r="226" spans="16:16">
      <c r="P226" s="198"/>
    </row>
    <row r="227" spans="16:16">
      <c r="P227" s="198"/>
    </row>
    <row r="228" spans="16:16">
      <c r="P228" s="198"/>
    </row>
    <row r="229" spans="16:16">
      <c r="P229" s="198"/>
    </row>
    <row r="230" spans="16:16">
      <c r="P230" s="198"/>
    </row>
    <row r="231" spans="16:16">
      <c r="P231" s="198"/>
    </row>
    <row r="232" spans="16:16">
      <c r="P232" s="198"/>
    </row>
    <row r="233" spans="16:16">
      <c r="P233" s="198"/>
    </row>
  </sheetData>
  <phoneticPr fontId="4" type="noConversion"/>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108"/>
  <sheetViews>
    <sheetView workbookViewId="0">
      <selection activeCell="G1" sqref="G1"/>
    </sheetView>
  </sheetViews>
  <sheetFormatPr defaultRowHeight="13.5"/>
  <cols>
    <col min="1" max="1" width="16" style="172" customWidth="1"/>
    <col min="2" max="2" width="5.75" style="24" bestFit="1" customWidth="1"/>
    <col min="3" max="3" width="17.375" style="24" bestFit="1" customWidth="1"/>
    <col min="4" max="4" width="53.875" style="24" bestFit="1" customWidth="1"/>
    <col min="5" max="5" width="18.875" style="24" customWidth="1"/>
    <col min="6" max="7" width="8.25" style="24" customWidth="1"/>
    <col min="8" max="8" width="8" style="24" bestFit="1" customWidth="1"/>
    <col min="9" max="9" width="37.625" style="24" bestFit="1" customWidth="1"/>
    <col min="10" max="10" width="29.125" style="24" bestFit="1" customWidth="1"/>
    <col min="11" max="11" width="18.125" style="24" bestFit="1" customWidth="1"/>
    <col min="12" max="12" width="31.125" style="24" bestFit="1" customWidth="1"/>
    <col min="13" max="13" width="19.5" style="24" bestFit="1" customWidth="1"/>
    <col min="14" max="14" width="39" style="24" bestFit="1" customWidth="1"/>
    <col min="15" max="15" width="36.75" style="24" bestFit="1" customWidth="1"/>
    <col min="16" max="16" width="9.375" style="24" customWidth="1"/>
    <col min="17" max="17" width="46.625" style="24" customWidth="1"/>
    <col min="18" max="18" width="40.375" style="24" customWidth="1"/>
    <col min="19" max="19" width="26.375" style="24" bestFit="1" customWidth="1"/>
    <col min="20" max="22" width="9" style="24" customWidth="1"/>
    <col min="23" max="16384" width="9" style="24"/>
  </cols>
  <sheetData>
    <row r="1" spans="1:19" ht="16.5" customHeight="1">
      <c r="A1" s="170" t="s">
        <v>304</v>
      </c>
      <c r="B1" s="21" t="s">
        <v>305</v>
      </c>
      <c r="C1" s="21" t="s">
        <v>306</v>
      </c>
      <c r="D1" s="21" t="s">
        <v>307</v>
      </c>
      <c r="E1" s="6" t="s">
        <v>308</v>
      </c>
      <c r="F1" s="20" t="s">
        <v>636</v>
      </c>
      <c r="G1" s="165" t="s">
        <v>3740</v>
      </c>
      <c r="H1" s="22" t="s">
        <v>309</v>
      </c>
      <c r="I1" s="22" t="s">
        <v>310</v>
      </c>
      <c r="J1" s="22" t="s">
        <v>311</v>
      </c>
      <c r="K1" s="22" t="s">
        <v>312</v>
      </c>
      <c r="L1" s="22" t="s">
        <v>1183</v>
      </c>
      <c r="M1" s="22" t="s">
        <v>313</v>
      </c>
      <c r="N1" s="22" t="s">
        <v>1183</v>
      </c>
      <c r="O1" s="22" t="s">
        <v>314</v>
      </c>
      <c r="P1" s="22" t="s">
        <v>315</v>
      </c>
      <c r="Q1" s="22" t="s">
        <v>316</v>
      </c>
      <c r="R1" s="22"/>
      <c r="S1" s="9" t="s">
        <v>317</v>
      </c>
    </row>
    <row r="2" spans="1:19" ht="16.5" customHeight="1">
      <c r="A2" s="170" t="s">
        <v>318</v>
      </c>
      <c r="B2" s="20" t="s">
        <v>3</v>
      </c>
      <c r="C2" s="20" t="s">
        <v>319</v>
      </c>
      <c r="D2" s="20" t="s">
        <v>320</v>
      </c>
      <c r="E2" s="5" t="s">
        <v>321</v>
      </c>
      <c r="F2" s="20" t="s">
        <v>320</v>
      </c>
      <c r="G2" s="165" t="s">
        <v>851</v>
      </c>
      <c r="H2" s="22" t="s">
        <v>322</v>
      </c>
      <c r="I2" s="22" t="s">
        <v>323</v>
      </c>
      <c r="J2" s="22" t="s">
        <v>323</v>
      </c>
      <c r="K2" s="22" t="s">
        <v>324</v>
      </c>
      <c r="L2" s="22" t="s">
        <v>1183</v>
      </c>
      <c r="M2" s="22" t="s">
        <v>325</v>
      </c>
      <c r="N2" s="22" t="s">
        <v>1184</v>
      </c>
      <c r="O2" s="22" t="s">
        <v>326</v>
      </c>
      <c r="P2" s="22" t="s">
        <v>322</v>
      </c>
      <c r="Q2" s="22" t="s">
        <v>320</v>
      </c>
      <c r="R2" s="22"/>
      <c r="S2" s="9" t="s">
        <v>327</v>
      </c>
    </row>
    <row r="3" spans="1:19" ht="16.5" customHeight="1">
      <c r="A3" s="170" t="s">
        <v>328</v>
      </c>
      <c r="B3" s="20" t="s">
        <v>3</v>
      </c>
      <c r="C3" s="20" t="s">
        <v>328</v>
      </c>
      <c r="D3" s="20" t="s">
        <v>329</v>
      </c>
      <c r="E3" s="5" t="s">
        <v>4</v>
      </c>
      <c r="F3" s="20" t="s">
        <v>328</v>
      </c>
      <c r="G3" s="165" t="s">
        <v>328</v>
      </c>
      <c r="H3" s="22" t="s">
        <v>328</v>
      </c>
      <c r="I3" s="22" t="s">
        <v>4</v>
      </c>
      <c r="J3" s="22" t="s">
        <v>4</v>
      </c>
      <c r="K3" s="22" t="s">
        <v>328</v>
      </c>
      <c r="L3" s="22" t="s">
        <v>1183</v>
      </c>
      <c r="M3" s="22" t="s">
        <v>328</v>
      </c>
      <c r="N3" s="22" t="s">
        <v>1183</v>
      </c>
      <c r="O3" s="22" t="s">
        <v>328</v>
      </c>
      <c r="P3" s="22" t="s">
        <v>328</v>
      </c>
      <c r="Q3" s="22" t="s">
        <v>328</v>
      </c>
      <c r="R3" s="22"/>
      <c r="S3" s="9" t="s">
        <v>4</v>
      </c>
    </row>
    <row r="4" spans="1:19">
      <c r="A4" s="171" t="s">
        <v>834</v>
      </c>
      <c r="B4" s="107"/>
      <c r="C4" s="107"/>
      <c r="D4" s="107"/>
      <c r="E4" s="107"/>
      <c r="F4" s="107"/>
      <c r="G4" s="107"/>
      <c r="H4" s="108"/>
      <c r="I4" s="108"/>
      <c r="J4" s="108"/>
      <c r="K4" s="108"/>
      <c r="L4" s="108"/>
      <c r="M4" s="108"/>
      <c r="N4" s="108"/>
      <c r="O4" s="108"/>
      <c r="P4" s="108"/>
      <c r="Q4" s="108"/>
      <c r="R4" s="108"/>
      <c r="S4" s="109"/>
    </row>
    <row r="5" spans="1:19">
      <c r="A5" s="172">
        <v>2109000000000</v>
      </c>
      <c r="C5" s="162">
        <v>2200000000037</v>
      </c>
      <c r="D5" s="24" t="s">
        <v>2104</v>
      </c>
      <c r="E5" s="24" t="b">
        <v>1</v>
      </c>
    </row>
    <row r="6" spans="1:19">
      <c r="H6" s="24">
        <v>1</v>
      </c>
      <c r="I6" s="24" t="s">
        <v>856</v>
      </c>
      <c r="J6" s="24" t="s">
        <v>2180</v>
      </c>
      <c r="K6" s="24" t="s">
        <v>334</v>
      </c>
      <c r="L6" s="24" t="s">
        <v>1234</v>
      </c>
      <c r="M6" s="24" t="str">
        <f>VLOOKUP(L6,Statistics!A:F,2,FALSE)</f>
        <v>ShopPurchase</v>
      </c>
      <c r="N6" s="24" t="str">
        <f>IF(VLOOKUP(M6,Statistics!B:F,4,FALSE)=0,"",VLOOKUP(M6,Statistics!B:F,4,FALSE))</f>
        <v>ShopCategory : (상점 ID)
[2600000000000:기본]</v>
      </c>
      <c r="O6" s="24" t="s">
        <v>855</v>
      </c>
      <c r="P6" s="24">
        <v>1</v>
      </c>
      <c r="Q6" s="24" t="s">
        <v>2251</v>
      </c>
      <c r="R6" s="24" t="str">
        <f>IF(VLOOKUP(M6,Statistics!B:F,5,FALSE)=0,"",VLOOKUP(M6,Statistics!B:F,5,FALSE))</f>
        <v>QuickMove.Starbeat.Shop</v>
      </c>
      <c r="S6" s="24" t="s">
        <v>380</v>
      </c>
    </row>
    <row r="7" spans="1:19">
      <c r="A7" s="172">
        <v>2109000000001</v>
      </c>
      <c r="C7" s="162">
        <v>2200000000037</v>
      </c>
      <c r="D7" s="24" t="s">
        <v>2104</v>
      </c>
      <c r="E7" s="24" t="b">
        <v>1</v>
      </c>
    </row>
    <row r="8" spans="1:19">
      <c r="H8" s="24">
        <v>1</v>
      </c>
      <c r="I8" s="24" t="s">
        <v>857</v>
      </c>
      <c r="J8" s="24" t="s">
        <v>2181</v>
      </c>
      <c r="K8" s="24" t="s">
        <v>334</v>
      </c>
      <c r="L8" s="24" t="s">
        <v>741</v>
      </c>
      <c r="M8" s="24" t="str">
        <f>VLOOKUP(L8,Statistics!A:F,2,FALSE)</f>
        <v>FavorLevelUp</v>
      </c>
      <c r="N8" s="24" t="str">
        <f>IF(VLOOKUP(M8,Statistics!B:F,4,FALSE)=0,"",VLOOKUP(M8,Statistics!B:F,4,FALSE))</f>
        <v/>
      </c>
      <c r="O8" s="110"/>
      <c r="P8" s="24">
        <v>1</v>
      </c>
      <c r="Q8" s="24" t="s">
        <v>2251</v>
      </c>
      <c r="R8" s="24" t="str">
        <f>IF(VLOOKUP(M8,Statistics!B:F,5,FALSE)=0,"",VLOOKUP(M8,Statistics!B:F,5,FALSE))</f>
        <v>QuickMove.Favorability</v>
      </c>
      <c r="S8" s="173" t="s">
        <v>1189</v>
      </c>
    </row>
    <row r="9" spans="1:19">
      <c r="A9" s="172">
        <v>2109000000002</v>
      </c>
      <c r="C9" s="162">
        <v>2200000000037</v>
      </c>
      <c r="D9" s="24" t="s">
        <v>2104</v>
      </c>
      <c r="E9" s="24" t="b">
        <v>1</v>
      </c>
      <c r="S9" s="174"/>
    </row>
    <row r="10" spans="1:19">
      <c r="H10" s="24">
        <v>1</v>
      </c>
      <c r="I10" s="24" t="s">
        <v>858</v>
      </c>
      <c r="J10" s="24" t="s">
        <v>858</v>
      </c>
      <c r="K10" s="24" t="s">
        <v>334</v>
      </c>
      <c r="L10" s="24" t="s">
        <v>753</v>
      </c>
      <c r="M10" s="24" t="str">
        <f>VLOOKUP(L10,Statistics!A:F,2,FALSE)</f>
        <v>MaxStageClear</v>
      </c>
      <c r="N10" s="24" t="str">
        <f>IF(VLOOKUP(M10,Statistics!B:F,4,FALSE)=0,"",VLOOKUP(M10,Statistics!B:F,4,FALSE))</f>
        <v>ContentsType : DataTower / Raid
StageId : Raid01</v>
      </c>
      <c r="O10" s="24" t="s">
        <v>2252</v>
      </c>
      <c r="P10" s="106">
        <v>1</v>
      </c>
      <c r="Q10" s="24" t="s">
        <v>2257</v>
      </c>
      <c r="R10" s="24" t="str">
        <f>IF(VLOOKUP(M10,Statistics!B:F,5,FALSE)=0,"",VLOOKUP(M10,Statistics!B:F,5,FALSE))</f>
        <v>QuickMove.DataTower
QuickMove.Raid</v>
      </c>
      <c r="S10" s="174" t="s">
        <v>2264</v>
      </c>
    </row>
    <row r="11" spans="1:19">
      <c r="A11" s="172">
        <v>2109000000003</v>
      </c>
      <c r="C11" s="162">
        <v>2200000000037</v>
      </c>
      <c r="D11" s="24" t="s">
        <v>2104</v>
      </c>
      <c r="E11" s="24" t="b">
        <v>1</v>
      </c>
      <c r="S11" s="174"/>
    </row>
    <row r="12" spans="1:19" ht="27">
      <c r="H12" s="24">
        <v>1</v>
      </c>
      <c r="I12" s="24" t="s">
        <v>1204</v>
      </c>
      <c r="J12" s="24" t="s">
        <v>2182</v>
      </c>
      <c r="K12" s="24" t="s">
        <v>334</v>
      </c>
      <c r="L12" s="24" t="s">
        <v>2729</v>
      </c>
      <c r="M12" s="24" t="str">
        <f>VLOOKUP(L12,Statistics!A:F,2,FALSE)</f>
        <v>StageClear</v>
      </c>
      <c r="N12" s="24" t="str">
        <f>IF(VLOOKUP(M12,Statistics!B:F,4,FALSE)=0,"",VLOOKUP(M12,Statistics!B:F,4,FALSE))</f>
        <v>StageId : 스테이지(숫자)</v>
      </c>
      <c r="O12" s="110" t="s">
        <v>2253</v>
      </c>
      <c r="P12" s="24">
        <v>1</v>
      </c>
      <c r="Q12" s="24" t="s">
        <v>2257</v>
      </c>
      <c r="R12" s="24" t="str">
        <f>IF(VLOOKUP(M12,Statistics!B:F,5,FALSE)=0,"",VLOOKUP(M12,Statistics!B:F,5,FALSE))</f>
        <v>QuickMove0010</v>
      </c>
      <c r="S12" s="174" t="s">
        <v>2265</v>
      </c>
    </row>
    <row r="13" spans="1:19">
      <c r="A13" s="172">
        <v>2109000000004</v>
      </c>
      <c r="C13" s="162">
        <v>2200000000037</v>
      </c>
      <c r="D13" s="24" t="s">
        <v>2104</v>
      </c>
      <c r="E13" s="24" t="b">
        <v>1</v>
      </c>
      <c r="S13" s="174"/>
    </row>
    <row r="14" spans="1:19" ht="27">
      <c r="H14" s="24">
        <v>1</v>
      </c>
      <c r="I14" s="24" t="s">
        <v>859</v>
      </c>
      <c r="J14" s="24" t="s">
        <v>859</v>
      </c>
      <c r="K14" s="24" t="s">
        <v>334</v>
      </c>
      <c r="L14" s="24" t="s">
        <v>2729</v>
      </c>
      <c r="M14" s="24" t="str">
        <f>VLOOKUP(L14,Statistics!A:F,2,FALSE)</f>
        <v>StageClear</v>
      </c>
      <c r="N14" s="24" t="str">
        <f>IF(VLOOKUP(M14,Statistics!B:F,4,FALSE)=0,"",VLOOKUP(M14,Statistics!B:F,4,FALSE))</f>
        <v>StageId : 스테이지(숫자)</v>
      </c>
      <c r="O14" s="110" t="s">
        <v>2254</v>
      </c>
      <c r="P14" s="24">
        <v>1</v>
      </c>
      <c r="Q14" s="24" t="s">
        <v>2257</v>
      </c>
      <c r="R14" s="24" t="str">
        <f>IF(VLOOKUP(M14,Statistics!B:F,5,FALSE)=0,"",VLOOKUP(M14,Statistics!B:F,5,FALSE))</f>
        <v>QuickMove0010</v>
      </c>
      <c r="S14" s="174" t="s">
        <v>2265</v>
      </c>
    </row>
    <row r="15" spans="1:19">
      <c r="A15" s="172">
        <v>2109000000005</v>
      </c>
      <c r="C15" s="162">
        <v>2200000000037</v>
      </c>
      <c r="D15" s="24" t="s">
        <v>2104</v>
      </c>
      <c r="E15" s="24" t="b">
        <v>1</v>
      </c>
      <c r="S15" s="174"/>
    </row>
    <row r="16" spans="1:19">
      <c r="H16" s="24">
        <v>1</v>
      </c>
      <c r="I16" s="24" t="s">
        <v>860</v>
      </c>
      <c r="J16" s="24" t="s">
        <v>860</v>
      </c>
      <c r="K16" s="24" t="s">
        <v>334</v>
      </c>
      <c r="L16" s="24" t="s">
        <v>734</v>
      </c>
      <c r="M16" s="24" t="str">
        <f>VLOOKUP(L16,Statistics!A:F,2,FALSE)</f>
        <v>MercenaryRegistration</v>
      </c>
      <c r="N16" s="24" t="str">
        <f>IF(VLOOKUP(M16,Statistics!B:F,4,FALSE)=0,"",VLOOKUP(M16,Statistics!B:F,4,FALSE))</f>
        <v/>
      </c>
      <c r="P16" s="24">
        <v>1</v>
      </c>
      <c r="Q16" s="24" t="s">
        <v>2251</v>
      </c>
      <c r="R16" s="24" t="str">
        <f>IF(VLOOKUP(M16,Statistics!B:F,5,FALSE)=0,"",VLOOKUP(M16,Statistics!B:F,5,FALSE))</f>
        <v>QuickMove0670</v>
      </c>
      <c r="S16" s="174" t="s">
        <v>1141</v>
      </c>
    </row>
    <row r="17" spans="1:19">
      <c r="A17" s="172">
        <v>2109000000006</v>
      </c>
      <c r="C17" s="162">
        <v>2200000000037</v>
      </c>
      <c r="D17" s="24" t="s">
        <v>2104</v>
      </c>
      <c r="E17" s="24" t="b">
        <v>1</v>
      </c>
    </row>
    <row r="18" spans="1:19">
      <c r="H18" s="24">
        <v>1</v>
      </c>
      <c r="I18" s="24" t="s">
        <v>861</v>
      </c>
      <c r="J18" s="24" t="s">
        <v>861</v>
      </c>
      <c r="K18" s="24" t="s">
        <v>334</v>
      </c>
      <c r="L18" s="24" t="s">
        <v>731</v>
      </c>
      <c r="M18" s="24" t="str">
        <f>VLOOKUP(L18,Statistics!A:F,2,FALSE)</f>
        <v>UseMercenary</v>
      </c>
      <c r="N18" s="24" t="str">
        <f>IF(VLOOKUP(M18,Statistics!B:F,4,FALSE)=0,"",VLOOKUP(M18,Statistics!B:F,4,FALSE))</f>
        <v/>
      </c>
      <c r="P18" s="24">
        <v>1</v>
      </c>
      <c r="Q18" s="24" t="s">
        <v>2258</v>
      </c>
      <c r="R18" s="24" t="str">
        <f>IF(VLOOKUP(M18,Statistics!B:F,5,FALSE)=0,"",VLOOKUP(M18,Statistics!B:F,5,FALSE))</f>
        <v>QuickMove0010</v>
      </c>
      <c r="S18" s="174" t="s">
        <v>488</v>
      </c>
    </row>
    <row r="19" spans="1:19">
      <c r="A19" s="172">
        <v>2109000000007</v>
      </c>
      <c r="C19" s="162">
        <v>2200000000037</v>
      </c>
      <c r="D19" s="24" t="s">
        <v>2104</v>
      </c>
      <c r="E19" s="24" t="b">
        <v>1</v>
      </c>
    </row>
    <row r="20" spans="1:19">
      <c r="H20" s="24">
        <v>1</v>
      </c>
      <c r="I20" s="24" t="s">
        <v>862</v>
      </c>
      <c r="J20" s="24" t="s">
        <v>862</v>
      </c>
      <c r="K20" s="24" t="s">
        <v>334</v>
      </c>
      <c r="L20" s="24" t="s">
        <v>678</v>
      </c>
      <c r="M20" s="24" t="str">
        <f>VLOOKUP(L20,Statistics!A:F,2,FALSE)</f>
        <v>StageClear</v>
      </c>
      <c r="N20" s="24" t="str">
        <f>IF(VLOOKUP(M20,Statistics!B:F,4,FALSE)=0,"",VLOOKUP(M20,Statistics!B:F,4,FALSE))</f>
        <v>StageId : 스테이지(숫자)</v>
      </c>
      <c r="O20" s="24" t="s">
        <v>2255</v>
      </c>
      <c r="P20" s="106">
        <v>1</v>
      </c>
      <c r="Q20" s="24" t="s">
        <v>2259</v>
      </c>
      <c r="R20" s="24" t="str">
        <f>IF(VLOOKUP(M20,Statistics!B:F,5,FALSE)=0,"",VLOOKUP(M20,Statistics!B:F,5,FALSE))</f>
        <v>QuickMove0010</v>
      </c>
      <c r="S20" s="173" t="s">
        <v>2260</v>
      </c>
    </row>
    <row r="21" spans="1:19">
      <c r="A21" s="172">
        <v>2109000000008</v>
      </c>
      <c r="C21" s="162">
        <v>2200000000037</v>
      </c>
      <c r="D21" s="24" t="s">
        <v>2104</v>
      </c>
      <c r="E21" s="24" t="b">
        <v>1</v>
      </c>
      <c r="S21" s="174"/>
    </row>
    <row r="22" spans="1:19">
      <c r="H22" s="24">
        <v>1</v>
      </c>
      <c r="I22" s="24" t="s">
        <v>863</v>
      </c>
      <c r="J22" s="24" t="s">
        <v>863</v>
      </c>
      <c r="K22" s="24" t="s">
        <v>334</v>
      </c>
      <c r="L22" s="24" t="s">
        <v>678</v>
      </c>
      <c r="M22" s="24" t="str">
        <f>VLOOKUP(L22,Statistics!A:F,2,FALSE)</f>
        <v>StageClear</v>
      </c>
      <c r="N22" s="24" t="str">
        <f>IF(VLOOKUP(M22,Statistics!B:F,4,FALSE)=0,"",VLOOKUP(M22,Statistics!B:F,4,FALSE))</f>
        <v>StageId : 스테이지(숫자)</v>
      </c>
      <c r="O22" s="24" t="s">
        <v>2256</v>
      </c>
      <c r="P22" s="24">
        <v>1</v>
      </c>
      <c r="Q22" s="24" t="s">
        <v>2257</v>
      </c>
      <c r="R22" s="24" t="str">
        <f>IF(VLOOKUP(M22,Statistics!B:F,5,FALSE)=0,"",VLOOKUP(M22,Statistics!B:F,5,FALSE))</f>
        <v>QuickMove0010</v>
      </c>
      <c r="S22" s="174" t="s">
        <v>488</v>
      </c>
    </row>
    <row r="23" spans="1:19">
      <c r="A23" s="172">
        <v>2109000000009</v>
      </c>
      <c r="C23" s="162">
        <v>2200000000037</v>
      </c>
      <c r="D23" s="24" t="s">
        <v>2104</v>
      </c>
      <c r="E23" s="24" t="b">
        <v>1</v>
      </c>
      <c r="S23" s="174"/>
    </row>
    <row r="24" spans="1:19">
      <c r="H24" s="24">
        <v>1</v>
      </c>
      <c r="I24" s="24" t="s">
        <v>1084</v>
      </c>
      <c r="J24" s="24" t="s">
        <v>2183</v>
      </c>
      <c r="K24" s="24" t="s">
        <v>334</v>
      </c>
      <c r="L24" s="24" t="s">
        <v>719</v>
      </c>
      <c r="M24" s="24" t="str">
        <f>VLOOKUP(L24,Statistics!A:F,2,FALSE)</f>
        <v>GuildJoin</v>
      </c>
      <c r="N24" s="24" t="str">
        <f>IF(VLOOKUP(M24,Statistics!B:F,4,FALSE)=0,"",VLOOKUP(M24,Statistics!B:F,4,FALSE))</f>
        <v/>
      </c>
      <c r="P24" s="24">
        <v>1</v>
      </c>
      <c r="Q24" s="24" t="s">
        <v>2257</v>
      </c>
      <c r="R24" s="24" t="str">
        <f>IF(VLOOKUP(M24,Statistics!B:F,5,FALSE)=0,"",VLOOKUP(M24,Statistics!B:F,5,FALSE))</f>
        <v>QuickMove0260</v>
      </c>
      <c r="S24" s="24" t="s">
        <v>1138</v>
      </c>
    </row>
    <row r="25" spans="1:19">
      <c r="A25" s="172">
        <v>2109000000010</v>
      </c>
      <c r="C25" s="162">
        <v>2200000000037</v>
      </c>
      <c r="D25" s="24" t="s">
        <v>2104</v>
      </c>
      <c r="E25" s="24" t="b">
        <v>1</v>
      </c>
      <c r="S25" s="174"/>
    </row>
    <row r="26" spans="1:19">
      <c r="H26" s="24">
        <v>1</v>
      </c>
      <c r="I26" s="24" t="s">
        <v>864</v>
      </c>
      <c r="J26" s="24" t="s">
        <v>864</v>
      </c>
      <c r="K26" s="24" t="s">
        <v>334</v>
      </c>
      <c r="L26" s="24" t="s">
        <v>729</v>
      </c>
      <c r="M26" s="24" t="str">
        <f>VLOOKUP(L26,Statistics!A:F,2,FALSE)</f>
        <v>GuildDonation</v>
      </c>
      <c r="N26" s="24" t="str">
        <f>IF(VLOOKUP(M26,Statistics!B:F,4,FALSE)=0,"",VLOOKUP(M26,Statistics!B:F,4,FALSE))</f>
        <v/>
      </c>
      <c r="P26" s="24">
        <v>1</v>
      </c>
      <c r="Q26" s="24" t="s">
        <v>2258</v>
      </c>
      <c r="R26" s="24" t="str">
        <f>IF(VLOOKUP(M26,Statistics!B:F,5,FALSE)=0,"",VLOOKUP(M26,Statistics!B:F,5,FALSE))</f>
        <v>QuickMove.GuildSupport</v>
      </c>
      <c r="S26" s="174" t="s">
        <v>388</v>
      </c>
    </row>
    <row r="27" spans="1:19">
      <c r="A27" s="172">
        <v>2109000000011</v>
      </c>
      <c r="C27" s="162">
        <v>2200000000037</v>
      </c>
      <c r="D27" s="24" t="s">
        <v>2104</v>
      </c>
      <c r="E27" s="24" t="b">
        <v>1</v>
      </c>
    </row>
    <row r="28" spans="1:19">
      <c r="H28" s="24">
        <v>1</v>
      </c>
      <c r="I28" s="24" t="s">
        <v>1210</v>
      </c>
      <c r="J28" s="24" t="s">
        <v>2184</v>
      </c>
      <c r="K28" s="24" t="s">
        <v>334</v>
      </c>
      <c r="L28" s="24" t="s">
        <v>679</v>
      </c>
      <c r="M28" s="24" t="str">
        <f>VLOOKUP(L28,Statistics!A:F,2,FALSE)</f>
        <v>StagePlay</v>
      </c>
      <c r="N28" s="24" t="str">
        <f>IF(VLOOKUP(M28,Statistics!B:F,4,FALSE)=0,"",VLOOKUP(M28,Statistics!B:F,4,FALSE))</f>
        <v>ContentsType : GuildOperation</v>
      </c>
      <c r="O28" s="24" t="s">
        <v>354</v>
      </c>
      <c r="P28" s="24">
        <v>3</v>
      </c>
      <c r="Q28" s="24" t="s">
        <v>2259</v>
      </c>
      <c r="R28" s="24" t="str">
        <f>IF(VLOOKUP(M28,Statistics!B:F,5,FALSE)=0,"",VLOOKUP(M28,Statistics!B:F,5,FALSE))</f>
        <v>QuickMove.GuildOperation</v>
      </c>
      <c r="S28" s="24" t="s">
        <v>437</v>
      </c>
    </row>
    <row r="29" spans="1:19">
      <c r="A29" s="171" t="s">
        <v>847</v>
      </c>
      <c r="B29" s="107"/>
      <c r="C29" s="107"/>
      <c r="D29" s="107"/>
      <c r="E29" s="107"/>
      <c r="F29" s="107"/>
      <c r="G29" s="107"/>
      <c r="H29" s="108"/>
      <c r="I29" s="108"/>
      <c r="J29" s="108"/>
      <c r="K29" s="108"/>
      <c r="L29" s="108"/>
      <c r="M29" s="108"/>
      <c r="N29" s="108"/>
      <c r="O29" s="108"/>
      <c r="P29" s="108"/>
      <c r="Q29" s="108"/>
      <c r="R29" s="108"/>
      <c r="S29" s="109"/>
    </row>
    <row r="30" spans="1:19">
      <c r="A30" s="172">
        <v>2109000000012</v>
      </c>
      <c r="C30" s="162">
        <v>2200000000038</v>
      </c>
      <c r="D30" s="24" t="s">
        <v>2108</v>
      </c>
      <c r="E30" s="24" t="b">
        <v>1</v>
      </c>
    </row>
    <row r="31" spans="1:19">
      <c r="H31" s="24">
        <v>1</v>
      </c>
      <c r="I31" s="24" t="s">
        <v>945</v>
      </c>
      <c r="J31" s="24" t="s">
        <v>2185</v>
      </c>
      <c r="K31" s="24" t="s">
        <v>334</v>
      </c>
      <c r="L31" s="24" t="s">
        <v>1119</v>
      </c>
      <c r="M31" s="24" t="str">
        <f>VLOOKUP(L31,Statistics!A:F,2,FALSE)</f>
        <v>CharacterGradeUp</v>
      </c>
      <c r="N31" s="24" t="str">
        <f>IF(VLOOKUP(M31,Statistics!B:F,4,FALSE)=0,"",VLOOKUP(M31,Statistics!B:F,4,FALSE))</f>
        <v/>
      </c>
      <c r="P31" s="24">
        <v>4</v>
      </c>
      <c r="Q31" s="24" t="s">
        <v>2440</v>
      </c>
      <c r="R31" s="24" t="str">
        <f>IF(VLOOKUP(M31,Statistics!B:F,5,FALSE)=0,"",VLOOKUP(M31,Statistics!B:F,5,FALSE))</f>
        <v>QuickMove0660</v>
      </c>
      <c r="S31" s="174" t="s">
        <v>1190</v>
      </c>
    </row>
    <row r="32" spans="1:19">
      <c r="A32" s="172">
        <v>2109000000013</v>
      </c>
      <c r="C32" s="162">
        <v>2200000000038</v>
      </c>
      <c r="D32" s="24" t="s">
        <v>2108</v>
      </c>
      <c r="E32" s="24" t="b">
        <v>1</v>
      </c>
    </row>
    <row r="33" spans="1:19">
      <c r="H33" s="24">
        <v>1</v>
      </c>
      <c r="I33" s="24" t="s">
        <v>865</v>
      </c>
      <c r="J33" s="24" t="s">
        <v>2186</v>
      </c>
      <c r="K33" s="24" t="s">
        <v>334</v>
      </c>
      <c r="L33" s="24" t="s">
        <v>1234</v>
      </c>
      <c r="M33" s="24" t="str">
        <f>VLOOKUP(L33,Statistics!A:F,2,FALSE)</f>
        <v>ShopPurchase</v>
      </c>
      <c r="N33" s="24" t="str">
        <f>IF(VLOOKUP(M33,Statistics!B:F,4,FALSE)=0,"",VLOOKUP(M33,Statistics!B:F,4,FALSE))</f>
        <v>ShopCategory : (상점 ID)
[2600000000000:기본]</v>
      </c>
      <c r="O33" s="24" t="s">
        <v>855</v>
      </c>
      <c r="P33" s="24">
        <v>5</v>
      </c>
      <c r="Q33" s="24" t="s">
        <v>2441</v>
      </c>
      <c r="R33" s="24" t="str">
        <f>IF(VLOOKUP(M33,Statistics!B:F,5,FALSE)=0,"",VLOOKUP(M33,Statistics!B:F,5,FALSE))</f>
        <v>QuickMove.Starbeat.Shop</v>
      </c>
      <c r="S33" s="173" t="s">
        <v>380</v>
      </c>
    </row>
    <row r="34" spans="1:19">
      <c r="A34" s="172">
        <v>2109000000014</v>
      </c>
      <c r="C34" s="162">
        <v>2200000000038</v>
      </c>
      <c r="D34" s="24" t="s">
        <v>2108</v>
      </c>
      <c r="E34" s="24" t="b">
        <v>1</v>
      </c>
      <c r="S34" s="174"/>
    </row>
    <row r="35" spans="1:19">
      <c r="H35" s="24">
        <v>1</v>
      </c>
      <c r="I35" s="24" t="s">
        <v>866</v>
      </c>
      <c r="J35" s="24" t="s">
        <v>866</v>
      </c>
      <c r="K35" s="24" t="s">
        <v>334</v>
      </c>
      <c r="L35" s="24" t="s">
        <v>753</v>
      </c>
      <c r="M35" s="24" t="str">
        <f>VLOOKUP(L35,Statistics!A:F,2,FALSE)</f>
        <v>MaxStageClear</v>
      </c>
      <c r="N35" s="24" t="str">
        <f>IF(VLOOKUP(M35,Statistics!B:F,4,FALSE)=0,"",VLOOKUP(M35,Statistics!B:F,4,FALSE))</f>
        <v>ContentsType : DataTower / Raid
StageId : Raid01</v>
      </c>
      <c r="O35" s="24" t="s">
        <v>2252</v>
      </c>
      <c r="P35" s="106">
        <v>60</v>
      </c>
      <c r="Q35" s="24" t="s">
        <v>2442</v>
      </c>
      <c r="R35" s="24" t="str">
        <f>IF(VLOOKUP(M35,Statistics!B:F,5,FALSE)=0,"",VLOOKUP(M35,Statistics!B:F,5,FALSE))</f>
        <v>QuickMove.DataTower
QuickMove.Raid</v>
      </c>
      <c r="S35" s="174" t="s">
        <v>2266</v>
      </c>
    </row>
    <row r="36" spans="1:19">
      <c r="A36" s="172">
        <v>2109000000015</v>
      </c>
      <c r="C36" s="162">
        <v>2200000000038</v>
      </c>
      <c r="D36" s="24" t="s">
        <v>2108</v>
      </c>
      <c r="E36" s="24" t="b">
        <v>1</v>
      </c>
      <c r="S36" s="174"/>
    </row>
    <row r="37" spans="1:19">
      <c r="H37" s="24">
        <v>1</v>
      </c>
      <c r="I37" s="24" t="s">
        <v>867</v>
      </c>
      <c r="J37" s="24" t="s">
        <v>867</v>
      </c>
      <c r="K37" s="24" t="s">
        <v>334</v>
      </c>
      <c r="L37" s="24" t="s">
        <v>946</v>
      </c>
      <c r="M37" s="24" t="str">
        <f>VLOOKUP(L37,Statistics!A:F,2,FALSE)</f>
        <v>PluginLevelReached</v>
      </c>
      <c r="N37" s="24" t="str">
        <f>IF(VLOOKUP(M37,Statistics!B:F,4,FALSE)=0,"",VLOOKUP(M37,Statistics!B:F,4,FALSE))</f>
        <v>Level : (숫자)</v>
      </c>
      <c r="O37" s="24" t="s">
        <v>2784</v>
      </c>
      <c r="P37" s="24">
        <v>1</v>
      </c>
      <c r="Q37" s="24" t="s">
        <v>2442</v>
      </c>
      <c r="R37" s="24" t="str">
        <f>IF(VLOOKUP(M37,Statistics!B:F,5,FALSE)=0,"",VLOOKUP(M37,Statistics!B:F,5,FALSE))</f>
        <v>QuickMove.Plugin</v>
      </c>
      <c r="S37" s="174" t="s">
        <v>790</v>
      </c>
    </row>
    <row r="38" spans="1:19">
      <c r="A38" s="172">
        <v>2109000000016</v>
      </c>
      <c r="C38" s="162">
        <v>2200000000038</v>
      </c>
      <c r="D38" s="24" t="s">
        <v>2108</v>
      </c>
      <c r="E38" s="24" t="b">
        <v>1</v>
      </c>
      <c r="S38" s="174"/>
    </row>
    <row r="39" spans="1:19" ht="27">
      <c r="H39" s="24">
        <v>1</v>
      </c>
      <c r="I39" s="24" t="s">
        <v>868</v>
      </c>
      <c r="J39" s="24" t="s">
        <v>868</v>
      </c>
      <c r="K39" s="24" t="s">
        <v>334</v>
      </c>
      <c r="L39" s="24" t="s">
        <v>2729</v>
      </c>
      <c r="M39" s="24" t="str">
        <f>VLOOKUP(L39,Statistics!A:F,2,FALSE)</f>
        <v>StageClear</v>
      </c>
      <c r="N39" s="24" t="str">
        <f>IF(VLOOKUP(M39,Statistics!B:F,4,FALSE)=0,"",VLOOKUP(M39,Statistics!B:F,4,FALSE))</f>
        <v>StageId : 스테이지(숫자)</v>
      </c>
      <c r="O39" s="110" t="s">
        <v>2253</v>
      </c>
      <c r="P39" s="24">
        <v>5</v>
      </c>
      <c r="Q39" s="24" t="s">
        <v>2442</v>
      </c>
      <c r="R39" s="24" t="str">
        <f>IF(VLOOKUP(M39,Statistics!B:F,5,FALSE)=0,"",VLOOKUP(M39,Statistics!B:F,5,FALSE))</f>
        <v>QuickMove0010</v>
      </c>
      <c r="S39" s="173" t="s">
        <v>2267</v>
      </c>
    </row>
    <row r="40" spans="1:19">
      <c r="A40" s="172">
        <v>2109000000017</v>
      </c>
      <c r="C40" s="162">
        <v>2200000000038</v>
      </c>
      <c r="D40" s="24" t="s">
        <v>2108</v>
      </c>
      <c r="E40" s="24" t="b">
        <v>1</v>
      </c>
    </row>
    <row r="41" spans="1:19" ht="27">
      <c r="H41" s="24">
        <v>1</v>
      </c>
      <c r="I41" s="24" t="s">
        <v>869</v>
      </c>
      <c r="J41" s="24" t="s">
        <v>869</v>
      </c>
      <c r="K41" s="24" t="s">
        <v>334</v>
      </c>
      <c r="L41" s="24" t="s">
        <v>2729</v>
      </c>
      <c r="M41" s="24" t="str">
        <f>VLOOKUP(L41,Statistics!A:F,2,FALSE)</f>
        <v>StageClear</v>
      </c>
      <c r="N41" s="24" t="str">
        <f>IF(VLOOKUP(M41,Statistics!B:F,4,FALSE)=0,"",VLOOKUP(M41,Statistics!B:F,4,FALSE))</f>
        <v>StageId : 스테이지(숫자)</v>
      </c>
      <c r="O41" s="110" t="s">
        <v>2263</v>
      </c>
      <c r="P41" s="24">
        <v>5</v>
      </c>
      <c r="Q41" s="24" t="s">
        <v>2442</v>
      </c>
      <c r="R41" s="24" t="str">
        <f>IF(VLOOKUP(M41,Statistics!B:F,5,FALSE)=0,"",VLOOKUP(M41,Statistics!B:F,5,FALSE))</f>
        <v>QuickMove0010</v>
      </c>
      <c r="S41" s="173" t="s">
        <v>2267</v>
      </c>
    </row>
    <row r="42" spans="1:19">
      <c r="A42" s="172">
        <v>2109000000018</v>
      </c>
      <c r="C42" s="162">
        <v>2200000000038</v>
      </c>
      <c r="D42" s="24" t="s">
        <v>2108</v>
      </c>
      <c r="E42" s="24" t="b">
        <v>1</v>
      </c>
    </row>
    <row r="43" spans="1:19">
      <c r="H43" s="24">
        <v>1</v>
      </c>
      <c r="I43" s="24" t="s">
        <v>870</v>
      </c>
      <c r="J43" s="24" t="s">
        <v>870</v>
      </c>
      <c r="K43" s="24" t="s">
        <v>334</v>
      </c>
      <c r="L43" s="24" t="s">
        <v>689</v>
      </c>
      <c r="M43" s="24" t="str">
        <f>VLOOKUP(L43,Statistics!A:F,2,FALSE)</f>
        <v>ShopPurchase</v>
      </c>
      <c r="N43" s="24" t="str">
        <f>IF(VLOOKUP(M43,Statistics!B:F,4,FALSE)=0,"",VLOOKUP(M43,Statistics!B:F,4,FALSE))</f>
        <v>ShopCategory : (상점 ID)
[2600000000000:기본]</v>
      </c>
      <c r="O43" s="24" t="s">
        <v>2958</v>
      </c>
      <c r="P43" s="24">
        <v>2</v>
      </c>
      <c r="Q43" s="24" t="s">
        <v>2441</v>
      </c>
      <c r="R43" s="24" t="str">
        <f>IF(VLOOKUP(M43,Statistics!B:F,5,FALSE)=0,"",VLOOKUP(M43,Statistics!B:F,5,FALSE))</f>
        <v>QuickMove.Starbeat.Shop</v>
      </c>
      <c r="S43" s="301" t="s">
        <v>382</v>
      </c>
    </row>
    <row r="44" spans="1:19">
      <c r="A44" s="172">
        <v>2109000000019</v>
      </c>
      <c r="C44" s="162">
        <v>2200000000038</v>
      </c>
      <c r="D44" s="24" t="s">
        <v>2108</v>
      </c>
      <c r="E44" s="24" t="b">
        <v>1</v>
      </c>
      <c r="S44" s="174"/>
    </row>
    <row r="45" spans="1:19">
      <c r="H45" s="24">
        <v>1</v>
      </c>
      <c r="I45" s="24" t="s">
        <v>871</v>
      </c>
      <c r="J45" s="24" t="s">
        <v>871</v>
      </c>
      <c r="K45" s="24" t="s">
        <v>334</v>
      </c>
      <c r="L45" s="24" t="s">
        <v>678</v>
      </c>
      <c r="M45" s="24" t="str">
        <f>VLOOKUP(L45,Statistics!A:F,2,FALSE)</f>
        <v>StageClear</v>
      </c>
      <c r="N45" s="24" t="str">
        <f>IF(VLOOKUP(M45,Statistics!B:F,4,FALSE)=0,"",VLOOKUP(M45,Statistics!B:F,4,FALSE))</f>
        <v>StageId : 스테이지(숫자)</v>
      </c>
      <c r="O45" s="24" t="s">
        <v>2785</v>
      </c>
      <c r="P45" s="24">
        <v>1</v>
      </c>
      <c r="Q45" s="24" t="s">
        <v>2439</v>
      </c>
      <c r="R45" s="24" t="str">
        <f>IF(VLOOKUP(M45,Statistics!B:F,5,FALSE)=0,"",VLOOKUP(M45,Statistics!B:F,5,FALSE))</f>
        <v>QuickMove0010</v>
      </c>
      <c r="S45" s="174" t="s">
        <v>488</v>
      </c>
    </row>
    <row r="46" spans="1:19">
      <c r="A46" s="172">
        <v>2109000000020</v>
      </c>
      <c r="C46" s="162">
        <v>2200000000038</v>
      </c>
      <c r="D46" s="24" t="s">
        <v>2108</v>
      </c>
      <c r="E46" s="24" t="b">
        <v>1</v>
      </c>
      <c r="S46" s="174"/>
    </row>
    <row r="47" spans="1:19">
      <c r="H47" s="24">
        <v>1</v>
      </c>
      <c r="I47" s="24" t="s">
        <v>872</v>
      </c>
      <c r="J47" s="24" t="s">
        <v>872</v>
      </c>
      <c r="K47" s="24" t="s">
        <v>334</v>
      </c>
      <c r="L47" s="10" t="s">
        <v>2117</v>
      </c>
      <c r="M47" s="24" t="str">
        <f>VLOOKUP(L47,Statistics!A:F,2,FALSE)</f>
        <v>GetAcademyTitle</v>
      </c>
      <c r="N47" s="24" t="str">
        <f>IF(VLOOKUP(M47,Statistics!B:F,4,FALSE)=0,"",VLOOKUP(M47,Statistics!B:F,4,FALSE))</f>
        <v>Grade : (등급 Type)</v>
      </c>
      <c r="O47" s="24" t="s">
        <v>2262</v>
      </c>
      <c r="P47" s="24">
        <v>1</v>
      </c>
      <c r="Q47" s="24" t="s">
        <v>2443</v>
      </c>
      <c r="R47" s="24" t="str">
        <f>IF(VLOOKUP(M47,Statistics!B:F,5,FALSE)=0,"",VLOOKUP(M47,Statistics!B:F,5,FALSE))</f>
        <v>QuickMove.Academy.Fuction</v>
      </c>
      <c r="S47" s="174" t="s">
        <v>443</v>
      </c>
    </row>
    <row r="48" spans="1:19">
      <c r="A48" s="172">
        <v>2109000000021</v>
      </c>
      <c r="C48" s="162">
        <v>2200000000038</v>
      </c>
      <c r="D48" s="24" t="s">
        <v>2108</v>
      </c>
      <c r="E48" s="24" t="b">
        <v>1</v>
      </c>
      <c r="S48" s="174"/>
    </row>
    <row r="49" spans="1:19">
      <c r="H49" s="24">
        <v>1</v>
      </c>
      <c r="I49" s="24" t="s">
        <v>873</v>
      </c>
      <c r="J49" s="24" t="s">
        <v>873</v>
      </c>
      <c r="K49" s="24" t="s">
        <v>334</v>
      </c>
      <c r="L49" s="24" t="s">
        <v>696</v>
      </c>
      <c r="M49" s="24" t="str">
        <f>VLOOKUP(L49,Statistics!A:F,2,FALSE)</f>
        <v>RewardCurrency</v>
      </c>
      <c r="N49" s="24" t="str">
        <f>IF(VLOOKUP(M49,Statistics!B:F,4,FALSE)=0,"",VLOOKUP(M49,Statistics!B:F,4,FALSE))</f>
        <v>ItemId : (아이템 ID)</v>
      </c>
      <c r="O49" s="24" t="s">
        <v>1193</v>
      </c>
      <c r="P49" s="106">
        <v>200</v>
      </c>
      <c r="Q49" s="24" t="s">
        <v>2443</v>
      </c>
      <c r="R49" s="24" t="str">
        <f>IF(VLOOKUP(M49,Statistics!B:F,5,FALSE)=0,"",VLOOKUP(M49,Statistics!B:F,5,FALSE))</f>
        <v/>
      </c>
      <c r="S49" s="174" t="s">
        <v>2268</v>
      </c>
    </row>
    <row r="50" spans="1:19">
      <c r="A50" s="172">
        <v>2109000000022</v>
      </c>
      <c r="C50" s="162">
        <v>2200000000038</v>
      </c>
      <c r="D50" s="24" t="s">
        <v>2108</v>
      </c>
      <c r="E50" s="24" t="b">
        <v>1</v>
      </c>
    </row>
    <row r="51" spans="1:19">
      <c r="H51" s="24">
        <v>1</v>
      </c>
      <c r="I51" s="24" t="s">
        <v>874</v>
      </c>
      <c r="J51" s="24" t="s">
        <v>874</v>
      </c>
      <c r="K51" s="24" t="s">
        <v>334</v>
      </c>
      <c r="L51" s="24" t="s">
        <v>678</v>
      </c>
      <c r="M51" s="24" t="str">
        <f>VLOOKUP(L51,Statistics!A:F,2,FALSE)</f>
        <v>StageClear</v>
      </c>
      <c r="N51" s="24" t="str">
        <f>IF(VLOOKUP(M51,Statistics!B:F,4,FALSE)=0,"",VLOOKUP(M51,Statistics!B:F,4,FALSE))</f>
        <v>StageId : 스테이지(숫자)</v>
      </c>
      <c r="O51" s="24" t="s">
        <v>2786</v>
      </c>
      <c r="P51" s="24">
        <v>1</v>
      </c>
      <c r="Q51" s="24" t="s">
        <v>2442</v>
      </c>
      <c r="R51" s="24" t="str">
        <f>IF(VLOOKUP(M51,Statistics!B:F,5,FALSE)=0,"",VLOOKUP(M51,Statistics!B:F,5,FALSE))</f>
        <v>QuickMove0010</v>
      </c>
      <c r="S51" s="24" t="s">
        <v>488</v>
      </c>
    </row>
    <row r="52" spans="1:19">
      <c r="A52" s="172">
        <v>2109000000023</v>
      </c>
      <c r="C52" s="162">
        <v>2200000000038</v>
      </c>
      <c r="D52" s="24" t="s">
        <v>2108</v>
      </c>
      <c r="E52" s="24" t="b">
        <v>1</v>
      </c>
    </row>
    <row r="53" spans="1:19">
      <c r="H53" s="24">
        <v>1</v>
      </c>
      <c r="I53" s="24" t="s">
        <v>875</v>
      </c>
      <c r="J53" s="24" t="s">
        <v>875</v>
      </c>
      <c r="K53" s="24" t="s">
        <v>334</v>
      </c>
      <c r="L53" s="24" t="s">
        <v>746</v>
      </c>
      <c r="M53" s="24" t="str">
        <f>VLOOKUP(L53,Statistics!A:F,2,FALSE)</f>
        <v>CharacterSync</v>
      </c>
      <c r="N53" s="24" t="str">
        <f>IF(VLOOKUP(M53,Statistics!B:F,4,FALSE)=0,"",VLOOKUP(M53,Statistics!B:F,4,FALSE))</f>
        <v/>
      </c>
      <c r="P53" s="24">
        <v>1</v>
      </c>
      <c r="Q53" s="24" t="s">
        <v>2443</v>
      </c>
      <c r="R53" s="24" t="str">
        <f>IF(VLOOKUP(M53,Statistics!B:F,5,FALSE)=0,"",VLOOKUP(M53,Statistics!B:F,5,FALSE))</f>
        <v>QuickMove0570</v>
      </c>
      <c r="S53" s="173" t="s">
        <v>532</v>
      </c>
    </row>
    <row r="54" spans="1:19">
      <c r="A54" s="171" t="s">
        <v>2774</v>
      </c>
      <c r="B54" s="107"/>
      <c r="C54" s="107"/>
      <c r="D54" s="107"/>
      <c r="E54" s="107"/>
      <c r="F54" s="107"/>
      <c r="G54" s="107"/>
      <c r="H54" s="108"/>
      <c r="I54" s="108"/>
      <c r="J54" s="108"/>
      <c r="K54" s="108"/>
      <c r="L54" s="108"/>
      <c r="M54" s="108"/>
      <c r="N54" s="108"/>
      <c r="O54" s="108"/>
      <c r="P54" s="108"/>
      <c r="Q54" s="108"/>
      <c r="R54" s="108"/>
      <c r="S54" s="109"/>
    </row>
    <row r="55" spans="1:19">
      <c r="A55" s="172">
        <v>2109000000024</v>
      </c>
      <c r="C55" s="162">
        <v>2200000000039</v>
      </c>
      <c r="D55" s="24" t="s">
        <v>3124</v>
      </c>
      <c r="E55" s="24" t="b">
        <v>1</v>
      </c>
    </row>
    <row r="56" spans="1:19">
      <c r="H56" s="24">
        <v>1</v>
      </c>
      <c r="I56" s="24" t="s">
        <v>876</v>
      </c>
      <c r="J56" s="24" t="s">
        <v>2187</v>
      </c>
      <c r="K56" s="24" t="s">
        <v>334</v>
      </c>
      <c r="L56" s="24" t="s">
        <v>741</v>
      </c>
      <c r="M56" s="24" t="str">
        <f>VLOOKUP(L56,Statistics!A:F,2,FALSE)</f>
        <v>FavorLevelUp</v>
      </c>
      <c r="N56" s="24" t="str">
        <f>IF(VLOOKUP(M56,Statistics!B:F,4,FALSE)=0,"",VLOOKUP(M56,Statistics!B:F,4,FALSE))</f>
        <v/>
      </c>
      <c r="P56" s="24">
        <v>5</v>
      </c>
      <c r="Q56" s="24" t="s">
        <v>2444</v>
      </c>
      <c r="R56" s="24" t="str">
        <f>IF(VLOOKUP(M56,Statistics!B:F,5,FALSE)=0,"",VLOOKUP(M56,Statistics!B:F,5,FALSE))</f>
        <v>QuickMove.Favorability</v>
      </c>
      <c r="S56" s="24" t="s">
        <v>1189</v>
      </c>
    </row>
    <row r="57" spans="1:19">
      <c r="A57" s="172">
        <v>2109000000025</v>
      </c>
      <c r="C57" s="162">
        <v>2200000000039</v>
      </c>
      <c r="D57" s="24" t="s">
        <v>3124</v>
      </c>
      <c r="E57" s="24" t="b">
        <v>1</v>
      </c>
    </row>
    <row r="58" spans="1:19">
      <c r="H58" s="24">
        <v>1</v>
      </c>
      <c r="I58" s="24" t="s">
        <v>877</v>
      </c>
      <c r="J58" s="24" t="s">
        <v>2188</v>
      </c>
      <c r="K58" s="24" t="s">
        <v>334</v>
      </c>
      <c r="L58" s="24" t="s">
        <v>753</v>
      </c>
      <c r="M58" s="24" t="str">
        <f>VLOOKUP(L58,Statistics!A:F,2,FALSE)</f>
        <v>MaxStageClear</v>
      </c>
      <c r="N58" s="24" t="str">
        <f>IF(VLOOKUP(M58,Statistics!B:F,4,FALSE)=0,"",VLOOKUP(M58,Statistics!B:F,4,FALSE))</f>
        <v>ContentsType : DataTower / Raid
StageId : Raid01</v>
      </c>
      <c r="O58" s="24" t="s">
        <v>2252</v>
      </c>
      <c r="P58" s="24">
        <v>74</v>
      </c>
      <c r="Q58" s="24" t="s">
        <v>2445</v>
      </c>
      <c r="R58" s="24" t="str">
        <f>IF(VLOOKUP(M58,Statistics!B:F,5,FALSE)=0,"",VLOOKUP(M58,Statistics!B:F,5,FALSE))</f>
        <v>QuickMove.DataTower
QuickMove.Raid</v>
      </c>
      <c r="S58" s="173" t="s">
        <v>2266</v>
      </c>
    </row>
    <row r="59" spans="1:19">
      <c r="A59" s="172">
        <v>2109000000026</v>
      </c>
      <c r="C59" s="162">
        <v>2200000000039</v>
      </c>
      <c r="D59" s="24" t="s">
        <v>3124</v>
      </c>
      <c r="E59" s="24" t="b">
        <v>1</v>
      </c>
      <c r="S59" s="174"/>
    </row>
    <row r="60" spans="1:19">
      <c r="H60" s="24">
        <v>1</v>
      </c>
      <c r="I60" s="24" t="s">
        <v>878</v>
      </c>
      <c r="J60" s="24" t="s">
        <v>878</v>
      </c>
      <c r="K60" s="24" t="s">
        <v>334</v>
      </c>
      <c r="L60" s="24" t="s">
        <v>689</v>
      </c>
      <c r="M60" s="24" t="str">
        <f>VLOOKUP(L60,Statistics!A:F,2,FALSE)</f>
        <v>ShopPurchase</v>
      </c>
      <c r="N60" s="24" t="str">
        <f>IF(VLOOKUP(M60,Statistics!B:F,4,FALSE)=0,"",VLOOKUP(M60,Statistics!B:F,4,FALSE))</f>
        <v>ShopCategory : (상점 ID)
[2600000000000:기본]</v>
      </c>
      <c r="O60" s="24" t="s">
        <v>2452</v>
      </c>
      <c r="P60" s="106">
        <v>1</v>
      </c>
      <c r="Q60" s="24" t="s">
        <v>2446</v>
      </c>
      <c r="R60" s="24" t="str">
        <f>IF(VLOOKUP(M60,Statistics!B:F,5,FALSE)=0,"",VLOOKUP(M60,Statistics!B:F,5,FALSE))</f>
        <v>QuickMove.Starbeat.Shop</v>
      </c>
      <c r="S60" s="174" t="s">
        <v>2454</v>
      </c>
    </row>
    <row r="61" spans="1:19">
      <c r="A61" s="172">
        <v>2109000000027</v>
      </c>
      <c r="C61" s="162">
        <v>2200000000039</v>
      </c>
      <c r="D61" s="24" t="s">
        <v>3124</v>
      </c>
      <c r="E61" s="24" t="b">
        <v>1</v>
      </c>
      <c r="S61" s="174"/>
    </row>
    <row r="62" spans="1:19">
      <c r="H62" s="24">
        <v>1</v>
      </c>
      <c r="I62" s="24" t="s">
        <v>879</v>
      </c>
      <c r="J62" s="24" t="s">
        <v>879</v>
      </c>
      <c r="K62" s="24" t="s">
        <v>334</v>
      </c>
      <c r="L62" s="24" t="s">
        <v>946</v>
      </c>
      <c r="M62" s="24" t="str">
        <f>VLOOKUP(L62,Statistics!A:F,2,FALSE)</f>
        <v>PluginLevelReached</v>
      </c>
      <c r="N62" s="24" t="str">
        <f>IF(VLOOKUP(M62,Statistics!B:F,4,FALSE)=0,"",VLOOKUP(M62,Statistics!B:F,4,FALSE))</f>
        <v>Level : (숫자)</v>
      </c>
      <c r="O62" s="24" t="s">
        <v>2269</v>
      </c>
      <c r="P62" s="24">
        <v>1</v>
      </c>
      <c r="Q62" s="24" t="s">
        <v>2445</v>
      </c>
      <c r="R62" s="24" t="str">
        <f>IF(VLOOKUP(M62,Statistics!B:F,5,FALSE)=0,"",VLOOKUP(M62,Statistics!B:F,5,FALSE))</f>
        <v>QuickMove.Plugin</v>
      </c>
      <c r="S62" s="174" t="s">
        <v>790</v>
      </c>
    </row>
    <row r="63" spans="1:19">
      <c r="A63" s="172">
        <v>2109000000028</v>
      </c>
      <c r="C63" s="162">
        <v>2200000000039</v>
      </c>
      <c r="D63" s="24" t="s">
        <v>3124</v>
      </c>
      <c r="E63" s="24" t="b">
        <v>1</v>
      </c>
      <c r="S63" s="174"/>
    </row>
    <row r="64" spans="1:19">
      <c r="H64" s="24">
        <v>1</v>
      </c>
      <c r="I64" s="24" t="s">
        <v>880</v>
      </c>
      <c r="J64" s="24" t="s">
        <v>880</v>
      </c>
      <c r="K64" s="24" t="s">
        <v>334</v>
      </c>
      <c r="L64" s="24" t="s">
        <v>729</v>
      </c>
      <c r="M64" s="24" t="str">
        <f>VLOOKUP(L64,Statistics!A:F,2,FALSE)</f>
        <v>GuildDonation</v>
      </c>
      <c r="N64" s="24" t="str">
        <f>IF(VLOOKUP(M64,Statistics!B:F,4,FALSE)=0,"",VLOOKUP(M64,Statistics!B:F,4,FALSE))</f>
        <v/>
      </c>
      <c r="P64" s="24">
        <v>20</v>
      </c>
      <c r="Q64" s="24" t="s">
        <v>2446</v>
      </c>
      <c r="R64" s="24" t="str">
        <f>IF(VLOOKUP(M64,Statistics!B:F,5,FALSE)=0,"",VLOOKUP(M64,Statistics!B:F,5,FALSE))</f>
        <v>QuickMove.GuildSupport</v>
      </c>
      <c r="S64" s="174" t="s">
        <v>388</v>
      </c>
    </row>
    <row r="65" spans="1:19">
      <c r="A65" s="172">
        <v>2109000000029</v>
      </c>
      <c r="C65" s="162">
        <v>2200000000039</v>
      </c>
      <c r="D65" s="24" t="s">
        <v>3124</v>
      </c>
      <c r="E65" s="24" t="b">
        <v>1</v>
      </c>
    </row>
    <row r="66" spans="1:19">
      <c r="H66" s="24">
        <v>1</v>
      </c>
      <c r="I66" s="24" t="s">
        <v>881</v>
      </c>
      <c r="J66" s="24" t="s">
        <v>881</v>
      </c>
      <c r="K66" s="24" t="s">
        <v>334</v>
      </c>
      <c r="L66" s="24" t="s">
        <v>696</v>
      </c>
      <c r="M66" s="24" t="str">
        <f>VLOOKUP(L66,Statistics!A:F,2,FALSE)</f>
        <v>RewardCurrency</v>
      </c>
      <c r="N66" s="24" t="str">
        <f>IF(VLOOKUP(M66,Statistics!B:F,4,FALSE)=0,"",VLOOKUP(M66,Statistics!B:F,4,FALSE))</f>
        <v>ItemId : (아이템 ID)</v>
      </c>
      <c r="O66" s="24" t="s">
        <v>1193</v>
      </c>
      <c r="P66" s="106">
        <v>800</v>
      </c>
      <c r="Q66" s="24" t="s">
        <v>2447</v>
      </c>
      <c r="R66" s="24" t="str">
        <f>IF(VLOOKUP(M66,Statistics!B:F,5,FALSE)=0,"",VLOOKUP(M66,Statistics!B:F,5,FALSE))</f>
        <v/>
      </c>
      <c r="S66" s="24" t="s">
        <v>2268</v>
      </c>
    </row>
    <row r="67" spans="1:19">
      <c r="A67" s="172">
        <v>2109000000030</v>
      </c>
      <c r="C67" s="162">
        <v>2200000000039</v>
      </c>
      <c r="D67" s="24" t="s">
        <v>3124</v>
      </c>
      <c r="E67" s="24" t="b">
        <v>1</v>
      </c>
    </row>
    <row r="68" spans="1:19">
      <c r="H68" s="24">
        <v>1</v>
      </c>
      <c r="I68" s="24" t="s">
        <v>2986</v>
      </c>
      <c r="J68" s="24" t="s">
        <v>2986</v>
      </c>
      <c r="K68" s="24" t="s">
        <v>334</v>
      </c>
      <c r="L68" s="24" t="s">
        <v>689</v>
      </c>
      <c r="M68" s="24" t="str">
        <f>VLOOKUP(L68,Statistics!A:F,2,FALSE)</f>
        <v>ShopPurchase</v>
      </c>
      <c r="N68" s="24" t="str">
        <f>IF(VLOOKUP(M68,Statistics!B:F,4,FALSE)=0,"",VLOOKUP(M68,Statistics!B:F,4,FALSE))</f>
        <v>ShopCategory : (상점 ID)
[2600000000000:기본]</v>
      </c>
      <c r="O68" s="24" t="s">
        <v>2959</v>
      </c>
      <c r="P68" s="24">
        <v>2</v>
      </c>
      <c r="Q68" s="24" t="s">
        <v>2446</v>
      </c>
      <c r="R68" s="24" t="str">
        <f>IF(VLOOKUP(M68,Statistics!B:F,5,FALSE)=0,"",VLOOKUP(M68,Statistics!B:F,5,FALSE))</f>
        <v>QuickMove.Starbeat.Shop</v>
      </c>
      <c r="S68" s="174" t="s">
        <v>2453</v>
      </c>
    </row>
    <row r="69" spans="1:19">
      <c r="A69" s="172">
        <v>2109000000032</v>
      </c>
      <c r="C69" s="162">
        <v>2200000000039</v>
      </c>
      <c r="D69" s="24" t="s">
        <v>3124</v>
      </c>
      <c r="E69" s="24" t="b">
        <v>1</v>
      </c>
      <c r="S69" s="174"/>
    </row>
    <row r="70" spans="1:19">
      <c r="H70" s="24">
        <v>1</v>
      </c>
      <c r="I70" s="24" t="s">
        <v>883</v>
      </c>
      <c r="J70" s="24" t="s">
        <v>883</v>
      </c>
      <c r="K70" s="24" t="s">
        <v>334</v>
      </c>
      <c r="L70" s="24" t="s">
        <v>1194</v>
      </c>
      <c r="M70" s="24" t="str">
        <f>VLOOKUP(L70,Statistics!A:F,2,FALSE)</f>
        <v>LadderScore</v>
      </c>
      <c r="N70" s="24" t="str">
        <f>IF(VLOOKUP(M70,Statistics!B:F,4,FALSE)=0,"",VLOOKUP(M70,Statistics!B:F,4,FALSE))</f>
        <v>LadderId : (ID)
Proxyan</v>
      </c>
      <c r="O70" s="24" t="s">
        <v>2271</v>
      </c>
      <c r="P70" s="24">
        <v>900</v>
      </c>
      <c r="Q70" s="24" t="s">
        <v>2444</v>
      </c>
      <c r="R70" s="24" t="str">
        <f>IF(VLOOKUP(M70,Statistics!B:F,5,FALSE)=0,"",VLOOKUP(M70,Statistics!B:F,5,FALSE))</f>
        <v>QuickMove0680</v>
      </c>
      <c r="S70" s="174" t="s">
        <v>1195</v>
      </c>
    </row>
    <row r="71" spans="1:19">
      <c r="A71" s="172">
        <v>2109000000033</v>
      </c>
      <c r="C71" s="162">
        <v>2200000000039</v>
      </c>
      <c r="D71" s="24" t="s">
        <v>3124</v>
      </c>
      <c r="E71" s="24" t="b">
        <v>1</v>
      </c>
      <c r="S71" s="174"/>
    </row>
    <row r="72" spans="1:19">
      <c r="H72" s="24">
        <v>1</v>
      </c>
      <c r="I72" s="24" t="s">
        <v>884</v>
      </c>
      <c r="J72" s="24" t="s">
        <v>884</v>
      </c>
      <c r="K72" s="24" t="s">
        <v>334</v>
      </c>
      <c r="L72" s="24" t="s">
        <v>678</v>
      </c>
      <c r="M72" s="24" t="str">
        <f>VLOOKUP(L72,Statistics!A:F,2,FALSE)</f>
        <v>StageClear</v>
      </c>
      <c r="N72" s="24" t="str">
        <f>IF(VLOOKUP(M72,Statistics!B:F,4,FALSE)=0,"",VLOOKUP(M72,Statistics!B:F,4,FALSE))</f>
        <v>StageId : 스테이지(숫자)</v>
      </c>
      <c r="O72" s="24" t="s">
        <v>2787</v>
      </c>
      <c r="P72" s="24">
        <v>1</v>
      </c>
      <c r="Q72" s="24" t="s">
        <v>2447</v>
      </c>
      <c r="R72" s="24" t="str">
        <f>IF(VLOOKUP(M72,Statistics!B:F,5,FALSE)=0,"",VLOOKUP(M72,Statistics!B:F,5,FALSE))</f>
        <v>QuickMove0010</v>
      </c>
      <c r="S72" s="174" t="s">
        <v>488</v>
      </c>
    </row>
    <row r="73" spans="1:19">
      <c r="A73" s="172">
        <v>2109000000034</v>
      </c>
      <c r="C73" s="162">
        <v>2200000000039</v>
      </c>
      <c r="D73" s="24" t="s">
        <v>3124</v>
      </c>
      <c r="E73" s="24" t="b">
        <v>1</v>
      </c>
    </row>
    <row r="74" spans="1:19">
      <c r="H74" s="24">
        <v>1</v>
      </c>
      <c r="I74" s="24" t="s">
        <v>885</v>
      </c>
      <c r="J74" s="24" t="s">
        <v>885</v>
      </c>
      <c r="K74" s="24" t="s">
        <v>334</v>
      </c>
      <c r="L74" s="24" t="s">
        <v>678</v>
      </c>
      <c r="M74" s="24" t="str">
        <f>VLOOKUP(L74,Statistics!A:F,2,FALSE)</f>
        <v>StageClear</v>
      </c>
      <c r="N74" s="24" t="str">
        <f>IF(VLOOKUP(M74,Statistics!B:F,4,FALSE)=0,"",VLOOKUP(M74,Statistics!B:F,4,FALSE))</f>
        <v>StageId : 스테이지(숫자)</v>
      </c>
      <c r="O74" s="110" t="s">
        <v>2273</v>
      </c>
      <c r="P74" s="24">
        <v>3</v>
      </c>
      <c r="Q74" s="24" t="s">
        <v>2445</v>
      </c>
      <c r="R74" s="24" t="str">
        <f>IF(VLOOKUP(M74,Statistics!B:F,5,FALSE)=0,"",VLOOKUP(M74,Statistics!B:F,5,FALSE))</f>
        <v>QuickMove0010</v>
      </c>
      <c r="S74" s="24" t="s">
        <v>2457</v>
      </c>
    </row>
    <row r="75" spans="1:19">
      <c r="A75" s="172">
        <v>2109000000035</v>
      </c>
      <c r="C75" s="162">
        <v>2200000000039</v>
      </c>
      <c r="D75" s="24" t="s">
        <v>3124</v>
      </c>
      <c r="E75" s="24" t="b">
        <v>1</v>
      </c>
    </row>
    <row r="76" spans="1:19">
      <c r="H76" s="24">
        <v>1</v>
      </c>
      <c r="I76" s="24" t="s">
        <v>886</v>
      </c>
      <c r="J76" s="24" t="s">
        <v>886</v>
      </c>
      <c r="K76" s="24" t="s">
        <v>334</v>
      </c>
      <c r="L76" s="24" t="s">
        <v>678</v>
      </c>
      <c r="M76" s="24" t="str">
        <f>VLOOKUP(L76,Statistics!A:F,2,FALSE)</f>
        <v>StageClear</v>
      </c>
      <c r="N76" s="24" t="str">
        <f>IF(VLOOKUP(M76,Statistics!B:F,4,FALSE)=0,"",VLOOKUP(M76,Statistics!B:F,4,FALSE))</f>
        <v>StageId : 스테이지(숫자)</v>
      </c>
      <c r="O76" s="24" t="s">
        <v>2788</v>
      </c>
      <c r="P76" s="24">
        <v>1</v>
      </c>
      <c r="Q76" s="24" t="s">
        <v>2445</v>
      </c>
      <c r="R76" s="24" t="str">
        <f>IF(VLOOKUP(M76,Statistics!B:F,5,FALSE)=0,"",VLOOKUP(M76,Statistics!B:F,5,FALSE))</f>
        <v>QuickMove0010</v>
      </c>
      <c r="S76" s="174" t="s">
        <v>488</v>
      </c>
    </row>
    <row r="77" spans="1:19" ht="12.75" customHeight="1">
      <c r="A77" s="171" t="s">
        <v>2775</v>
      </c>
      <c r="B77" s="107"/>
      <c r="C77" s="107"/>
      <c r="D77" s="107"/>
      <c r="E77" s="107"/>
      <c r="F77" s="107"/>
      <c r="G77" s="107"/>
      <c r="H77" s="108"/>
      <c r="I77" s="108"/>
      <c r="J77" s="108"/>
      <c r="K77" s="108"/>
      <c r="L77" s="108"/>
      <c r="M77" s="108"/>
      <c r="N77" s="108"/>
      <c r="O77" s="108"/>
      <c r="P77" s="108"/>
      <c r="Q77" s="108"/>
      <c r="R77" s="108"/>
      <c r="S77" s="109"/>
    </row>
    <row r="78" spans="1:19">
      <c r="A78" s="172">
        <v>2109000000036</v>
      </c>
      <c r="C78" s="162">
        <v>2200000000040</v>
      </c>
      <c r="D78" s="24" t="s">
        <v>3125</v>
      </c>
      <c r="E78" s="24" t="b">
        <v>1</v>
      </c>
    </row>
    <row r="79" spans="1:19">
      <c r="H79" s="24">
        <v>1</v>
      </c>
      <c r="I79" s="24" t="s">
        <v>887</v>
      </c>
      <c r="J79" s="24" t="s">
        <v>2189</v>
      </c>
      <c r="K79" s="24" t="s">
        <v>334</v>
      </c>
      <c r="L79" s="24" t="s">
        <v>753</v>
      </c>
      <c r="M79" s="24" t="str">
        <f>VLOOKUP(L79,Statistics!A:F,2,FALSE)</f>
        <v>MaxStageClear</v>
      </c>
      <c r="N79" s="24" t="str">
        <f>IF(VLOOKUP(M79,Statistics!B:F,4,FALSE)=0,"",VLOOKUP(M79,Statistics!B:F,4,FALSE))</f>
        <v>ContentsType : DataTower / Raid
StageId : Raid01</v>
      </c>
      <c r="O79" s="24" t="s">
        <v>2272</v>
      </c>
      <c r="P79" s="24">
        <v>80</v>
      </c>
      <c r="Q79" s="24" t="s">
        <v>2448</v>
      </c>
      <c r="R79" s="24" t="str">
        <f>IF(VLOOKUP(M79,Statistics!B:F,5,FALSE)=0,"",VLOOKUP(M79,Statistics!B:F,5,FALSE))</f>
        <v>QuickMove.DataTower
QuickMove.Raid</v>
      </c>
      <c r="S79" s="24" t="s">
        <v>2266</v>
      </c>
    </row>
    <row r="80" spans="1:19">
      <c r="A80" s="172">
        <v>2109000000037</v>
      </c>
      <c r="C80" s="162">
        <v>2200000000040</v>
      </c>
      <c r="D80" s="24" t="s">
        <v>3125</v>
      </c>
      <c r="E80" s="24" t="b">
        <v>1</v>
      </c>
    </row>
    <row r="81" spans="1:19">
      <c r="H81" s="24">
        <v>1</v>
      </c>
      <c r="I81" s="24" t="s">
        <v>1287</v>
      </c>
      <c r="J81" s="24" t="s">
        <v>2190</v>
      </c>
      <c r="K81" s="24" t="s">
        <v>334</v>
      </c>
      <c r="L81" s="24" t="s">
        <v>946</v>
      </c>
      <c r="M81" s="24" t="str">
        <f>VLOOKUP(L81,Statistics!A:F,2,FALSE)</f>
        <v>PluginLevelReached</v>
      </c>
      <c r="N81" s="24" t="str">
        <f>IF(VLOOKUP(M81,Statistics!B:F,4,FALSE)=0,"",VLOOKUP(M81,Statistics!B:F,4,FALSE))</f>
        <v>Level : (숫자)</v>
      </c>
      <c r="O81" s="24" t="s">
        <v>2983</v>
      </c>
      <c r="P81" s="24">
        <v>3</v>
      </c>
      <c r="Q81" s="24" t="s">
        <v>2449</v>
      </c>
      <c r="R81" s="24" t="str">
        <f>IF(VLOOKUP(M81,Statistics!B:F,5,FALSE)=0,"",VLOOKUP(M81,Statistics!B:F,5,FALSE))</f>
        <v>QuickMove.Plugin</v>
      </c>
      <c r="S81" s="173" t="s">
        <v>790</v>
      </c>
    </row>
    <row r="82" spans="1:19">
      <c r="A82" s="172">
        <v>2109000000038</v>
      </c>
      <c r="C82" s="162">
        <v>2200000000040</v>
      </c>
      <c r="D82" s="24" t="s">
        <v>3125</v>
      </c>
      <c r="E82" s="24" t="b">
        <v>1</v>
      </c>
      <c r="S82" s="174"/>
    </row>
    <row r="83" spans="1:19">
      <c r="H83" s="24">
        <v>1</v>
      </c>
      <c r="I83" s="24" t="s">
        <v>888</v>
      </c>
      <c r="J83" s="24" t="s">
        <v>888</v>
      </c>
      <c r="K83" s="24" t="s">
        <v>334</v>
      </c>
      <c r="L83" s="24" t="s">
        <v>753</v>
      </c>
      <c r="M83" s="24" t="str">
        <f>VLOOKUP(L83,Statistics!A:F,2,FALSE)</f>
        <v>MaxStageClear</v>
      </c>
      <c r="N83" s="24" t="str">
        <f>IF(VLOOKUP(M83,Statistics!B:F,4,FALSE)=0,"",VLOOKUP(M83,Statistics!B:F,4,FALSE))</f>
        <v>ContentsType : DataTower / Raid
StageId : Raid01</v>
      </c>
      <c r="O83" s="24" t="s">
        <v>2272</v>
      </c>
      <c r="P83" s="24">
        <v>95</v>
      </c>
      <c r="Q83" s="24" t="s">
        <v>2448</v>
      </c>
      <c r="R83" s="24" t="str">
        <f>IF(VLOOKUP(M83,Statistics!B:F,5,FALSE)=0,"",VLOOKUP(M83,Statistics!B:F,5,FALSE))</f>
        <v>QuickMove.DataTower
QuickMove.Raid</v>
      </c>
      <c r="S83" s="24" t="s">
        <v>2266</v>
      </c>
    </row>
    <row r="84" spans="1:19">
      <c r="A84" s="172">
        <v>2109000000039</v>
      </c>
      <c r="C84" s="162">
        <v>2200000000040</v>
      </c>
      <c r="D84" s="24" t="s">
        <v>3125</v>
      </c>
      <c r="E84" s="24" t="b">
        <v>1</v>
      </c>
      <c r="S84" s="174"/>
    </row>
    <row r="85" spans="1:19">
      <c r="H85" s="24">
        <v>1</v>
      </c>
      <c r="I85" s="24" t="s">
        <v>882</v>
      </c>
      <c r="J85" s="24" t="s">
        <v>882</v>
      </c>
      <c r="K85" s="24" t="s">
        <v>334</v>
      </c>
      <c r="L85" s="24" t="s">
        <v>678</v>
      </c>
      <c r="M85" s="24" t="str">
        <f>VLOOKUP(L85,Statistics!A:F,2,FALSE)</f>
        <v>StageClear</v>
      </c>
      <c r="N85" s="24" t="str">
        <f>IF(VLOOKUP(M85,Statistics!B:F,4,FALSE)=0,"",VLOOKUP(M85,Statistics!B:F,4,FALSE))</f>
        <v>StageId : 스테이지(숫자)</v>
      </c>
      <c r="O85" s="110" t="s">
        <v>2270</v>
      </c>
      <c r="P85" s="106">
        <v>15</v>
      </c>
      <c r="Q85" s="24" t="s">
        <v>2455</v>
      </c>
      <c r="R85" s="24" t="str">
        <f>IF(VLOOKUP(M85,Statistics!B:F,5,FALSE)=0,"",VLOOKUP(M85,Statistics!B:F,5,FALSE))</f>
        <v>QuickMove0010</v>
      </c>
      <c r="S85" s="174" t="s">
        <v>2456</v>
      </c>
    </row>
    <row r="86" spans="1:19">
      <c r="A86" s="172">
        <v>2109000000040</v>
      </c>
      <c r="C86" s="162">
        <v>2200000000040</v>
      </c>
      <c r="D86" s="24" t="s">
        <v>3125</v>
      </c>
      <c r="E86" s="24" t="b">
        <v>1</v>
      </c>
      <c r="S86" s="174"/>
    </row>
    <row r="87" spans="1:19">
      <c r="H87" s="24">
        <v>1</v>
      </c>
      <c r="I87" s="24" t="s">
        <v>889</v>
      </c>
      <c r="J87" s="24" t="s">
        <v>889</v>
      </c>
      <c r="K87" s="24" t="s">
        <v>334</v>
      </c>
      <c r="L87" s="24" t="s">
        <v>1239</v>
      </c>
      <c r="M87" s="24" t="str">
        <f>VLOOKUP(L87,Statistics!A:F,2,FALSE)</f>
        <v>AsniaRequestGift</v>
      </c>
      <c r="N87" s="24" t="str">
        <f>IF(VLOOKUP(M87,Statistics!B:F,4,FALSE)=0,"",VLOOKUP(M87,Statistics!B:F,4,FALSE))</f>
        <v/>
      </c>
      <c r="P87" s="24">
        <v>20</v>
      </c>
      <c r="Q87" s="24" t="s">
        <v>2450</v>
      </c>
      <c r="R87" s="24" t="str">
        <f>IF(VLOOKUP(M87,Statistics!B:F,5,FALSE)=0,"",VLOOKUP(M87,Statistics!B:F,5,FALSE))</f>
        <v/>
      </c>
      <c r="S87" s="301" t="s">
        <v>1458</v>
      </c>
    </row>
    <row r="88" spans="1:19">
      <c r="A88" s="172">
        <v>2109000000041</v>
      </c>
      <c r="C88" s="162">
        <v>2200000000040</v>
      </c>
      <c r="D88" s="24" t="s">
        <v>3125</v>
      </c>
      <c r="E88" s="24" t="b">
        <v>1</v>
      </c>
    </row>
    <row r="89" spans="1:19">
      <c r="H89" s="24">
        <v>1</v>
      </c>
      <c r="I89" s="24" t="s">
        <v>890</v>
      </c>
      <c r="J89" s="24" t="s">
        <v>890</v>
      </c>
      <c r="K89" s="24" t="s">
        <v>334</v>
      </c>
      <c r="L89" s="24" t="s">
        <v>2701</v>
      </c>
      <c r="M89" s="24" t="str">
        <f>VLOOKUP(L89,Statistics!A:F,2,FALSE)</f>
        <v>GetAcademyTitle</v>
      </c>
      <c r="N89" s="24" t="str">
        <f>IF(VLOOKUP(M89,Statistics!B:F,4,FALSE)=0,"",VLOOKUP(M89,Statistics!B:F,4,FALSE))</f>
        <v>Grade : (등급 Type)</v>
      </c>
      <c r="O89" s="24" t="s">
        <v>1197</v>
      </c>
      <c r="P89" s="24">
        <v>1</v>
      </c>
      <c r="Q89" s="24" t="s">
        <v>2451</v>
      </c>
      <c r="R89" s="24" t="str">
        <f>IF(VLOOKUP(M89,Statistics!B:F,5,FALSE)=0,"",VLOOKUP(M89,Statistics!B:F,5,FALSE))</f>
        <v>QuickMove.Academy.Fuction</v>
      </c>
      <c r="S89" s="24" t="s">
        <v>443</v>
      </c>
    </row>
    <row r="90" spans="1:19">
      <c r="A90" s="172">
        <v>2109000000042</v>
      </c>
      <c r="C90" s="162">
        <v>2200000000040</v>
      </c>
      <c r="D90" s="24" t="s">
        <v>3125</v>
      </c>
      <c r="E90" s="24" t="b">
        <v>1</v>
      </c>
    </row>
    <row r="91" spans="1:19">
      <c r="H91" s="24">
        <v>1</v>
      </c>
      <c r="I91" s="24" t="s">
        <v>891</v>
      </c>
      <c r="J91" s="24" t="s">
        <v>891</v>
      </c>
      <c r="K91" s="24" t="s">
        <v>334</v>
      </c>
      <c r="L91" s="24" t="s">
        <v>754</v>
      </c>
      <c r="M91" s="24" t="str">
        <f>VLOOKUP(L91,Statistics!A:F,2,FALSE)</f>
        <v>GraduateAcademy</v>
      </c>
      <c r="P91" s="24">
        <v>5</v>
      </c>
      <c r="Q91" s="24" t="s">
        <v>2451</v>
      </c>
      <c r="R91" s="24" t="str">
        <f>IF(VLOOKUP(M91,Statistics!B:F,5,FALSE)=0,"",VLOOKUP(M91,Statistics!B:F,5,FALSE))</f>
        <v>QuickMove.Academy.Fuction</v>
      </c>
      <c r="S91" s="174" t="s">
        <v>443</v>
      </c>
    </row>
    <row r="92" spans="1:19">
      <c r="A92" s="172">
        <v>2109000000043</v>
      </c>
      <c r="C92" s="162">
        <v>2200000000040</v>
      </c>
      <c r="D92" s="24" t="s">
        <v>3125</v>
      </c>
      <c r="E92" s="24" t="b">
        <v>1</v>
      </c>
      <c r="S92" s="174"/>
    </row>
    <row r="93" spans="1:19">
      <c r="H93" s="24">
        <v>1</v>
      </c>
      <c r="I93" s="24" t="s">
        <v>892</v>
      </c>
      <c r="J93" s="24" t="s">
        <v>892</v>
      </c>
      <c r="K93" s="24" t="s">
        <v>334</v>
      </c>
      <c r="L93" s="24" t="s">
        <v>696</v>
      </c>
      <c r="M93" s="24" t="str">
        <f>VLOOKUP(L93,Statistics!A:F,2,FALSE)</f>
        <v>RewardCurrency</v>
      </c>
      <c r="N93" s="24" t="str">
        <f>IF(VLOOKUP(M93,Statistics!B:F,4,FALSE)=0,"",VLOOKUP(M93,Statistics!B:F,4,FALSE))</f>
        <v>ItemId : (아이템 ID)</v>
      </c>
      <c r="O93" s="24" t="s">
        <v>1193</v>
      </c>
      <c r="P93" s="106">
        <v>2000</v>
      </c>
      <c r="Q93" s="24" t="s">
        <v>2448</v>
      </c>
      <c r="R93" s="24" t="str">
        <f>IF(VLOOKUP(M93,Statistics!B:F,5,FALSE)=0,"",VLOOKUP(M93,Statistics!B:F,5,FALSE))</f>
        <v/>
      </c>
      <c r="S93" s="24" t="s">
        <v>2268</v>
      </c>
    </row>
    <row r="94" spans="1:19">
      <c r="A94" s="172">
        <v>2109000000044</v>
      </c>
      <c r="C94" s="162">
        <v>2200000000040</v>
      </c>
      <c r="D94" s="24" t="s">
        <v>3125</v>
      </c>
      <c r="E94" s="24" t="b">
        <v>1</v>
      </c>
      <c r="S94" s="174"/>
    </row>
    <row r="95" spans="1:19">
      <c r="H95" s="24">
        <v>1</v>
      </c>
      <c r="I95" s="24" t="s">
        <v>893</v>
      </c>
      <c r="J95" s="24" t="s">
        <v>893</v>
      </c>
      <c r="K95" s="24" t="s">
        <v>334</v>
      </c>
      <c r="L95" s="24" t="s">
        <v>678</v>
      </c>
      <c r="M95" s="24" t="str">
        <f>VLOOKUP(L95,Statistics!A:F,2,FALSE)</f>
        <v>StageClear</v>
      </c>
      <c r="N95" s="24" t="str">
        <f>IF(VLOOKUP(M95,Statistics!B:F,4,FALSE)=0,"",VLOOKUP(M95,Statistics!B:F,4,FALSE))</f>
        <v>StageId : 스테이지(숫자)</v>
      </c>
      <c r="O95" s="110" t="s">
        <v>2273</v>
      </c>
      <c r="P95" s="24">
        <v>10</v>
      </c>
      <c r="Q95" s="24" t="s">
        <v>2448</v>
      </c>
      <c r="R95" s="24" t="str">
        <f>IF(VLOOKUP(M95,Statistics!B:F,5,FALSE)=0,"",VLOOKUP(M95,Statistics!B:F,5,FALSE))</f>
        <v>QuickMove0010</v>
      </c>
      <c r="S95" s="24" t="s">
        <v>2457</v>
      </c>
    </row>
    <row r="96" spans="1:19">
      <c r="A96" s="172">
        <v>2109000000045</v>
      </c>
      <c r="C96" s="162">
        <v>2200000000040</v>
      </c>
      <c r="D96" s="24" t="s">
        <v>3125</v>
      </c>
      <c r="E96" s="24" t="b">
        <v>1</v>
      </c>
      <c r="S96" s="174"/>
    </row>
    <row r="97" spans="1:19">
      <c r="H97" s="24">
        <v>1</v>
      </c>
      <c r="I97" s="24" t="s">
        <v>1286</v>
      </c>
      <c r="J97" s="24" t="s">
        <v>2191</v>
      </c>
      <c r="K97" s="24" t="s">
        <v>334</v>
      </c>
      <c r="L97" s="24" t="s">
        <v>678</v>
      </c>
      <c r="M97" s="24" t="str">
        <f>VLOOKUP(L97,Statistics!A:F,2,FALSE)</f>
        <v>StageClear</v>
      </c>
      <c r="N97" s="24" t="str">
        <f>IF(VLOOKUP(M97,Statistics!B:F,4,FALSE)=0,"",VLOOKUP(M97,Statistics!B:F,4,FALSE))</f>
        <v>StageId : 스테이지(숫자)</v>
      </c>
      <c r="O97" s="24" t="s">
        <v>2789</v>
      </c>
      <c r="P97" s="24">
        <v>1</v>
      </c>
      <c r="Q97" s="24" t="s">
        <v>2449</v>
      </c>
      <c r="R97" s="24" t="str">
        <f>IF(VLOOKUP(M97,Statistics!B:F,5,FALSE)=0,"",VLOOKUP(M97,Statistics!B:F,5,FALSE))</f>
        <v>QuickMove0010</v>
      </c>
      <c r="S97" s="173" t="s">
        <v>488</v>
      </c>
    </row>
    <row r="98" spans="1:19">
      <c r="A98" s="172">
        <v>2109000000046</v>
      </c>
      <c r="C98" s="162">
        <v>2200000000040</v>
      </c>
      <c r="D98" s="24" t="s">
        <v>3125</v>
      </c>
      <c r="E98" s="24" t="b">
        <v>1</v>
      </c>
    </row>
    <row r="99" spans="1:19">
      <c r="H99" s="24">
        <v>1</v>
      </c>
      <c r="I99" s="24" t="s">
        <v>894</v>
      </c>
      <c r="J99" s="24" t="s">
        <v>894</v>
      </c>
      <c r="K99" s="24" t="s">
        <v>334</v>
      </c>
      <c r="L99" s="24" t="s">
        <v>678</v>
      </c>
      <c r="M99" s="24" t="str">
        <f>VLOOKUP(L99,Statistics!A:F,2,FALSE)</f>
        <v>StageClear</v>
      </c>
      <c r="N99" s="24" t="str">
        <f>IF(VLOOKUP(M99,Statistics!B:F,4,FALSE)=0,"",VLOOKUP(M99,Statistics!B:F,4,FALSE))</f>
        <v>StageId : 스테이지(숫자)</v>
      </c>
      <c r="O99" s="24" t="s">
        <v>2790</v>
      </c>
      <c r="P99" s="24">
        <v>1</v>
      </c>
      <c r="Q99" s="24" t="s">
        <v>2448</v>
      </c>
      <c r="R99" s="24" t="str">
        <f>IF(VLOOKUP(M99,Statistics!B:F,5,FALSE)=0,"",VLOOKUP(M99,Statistics!B:F,5,FALSE))</f>
        <v>QuickMove0010</v>
      </c>
      <c r="S99" s="174" t="s">
        <v>488</v>
      </c>
    </row>
    <row r="100" spans="1:19" ht="12.75" customHeight="1">
      <c r="A100" s="171" t="s">
        <v>848</v>
      </c>
      <c r="B100" s="107"/>
      <c r="C100" s="107"/>
      <c r="D100" s="107"/>
      <c r="E100" s="107"/>
      <c r="F100" s="107"/>
      <c r="G100" s="107"/>
      <c r="H100" s="108"/>
      <c r="I100" s="108"/>
      <c r="J100" s="108"/>
      <c r="K100" s="108"/>
      <c r="L100" s="108"/>
      <c r="M100" s="108"/>
      <c r="N100" s="108"/>
      <c r="O100" s="108"/>
      <c r="P100" s="108"/>
      <c r="Q100" s="108"/>
      <c r="R100" s="108"/>
      <c r="S100" s="109"/>
    </row>
    <row r="101" spans="1:19" ht="16.5">
      <c r="A101" s="172">
        <v>2109000000060</v>
      </c>
      <c r="B101" s="100"/>
      <c r="C101" s="162">
        <v>2200000000041</v>
      </c>
      <c r="D101" s="24" t="s">
        <v>938</v>
      </c>
      <c r="E101" s="24" t="b">
        <v>0</v>
      </c>
      <c r="F101" s="100"/>
      <c r="G101" s="100"/>
      <c r="H101" s="102"/>
      <c r="I101" s="102"/>
      <c r="J101" s="102"/>
      <c r="K101" s="102"/>
      <c r="M101" s="102"/>
      <c r="O101" s="102"/>
      <c r="P101" s="102"/>
      <c r="S101" s="103"/>
    </row>
    <row r="102" spans="1:19" ht="16.5" customHeight="1">
      <c r="A102" s="175"/>
      <c r="B102" s="100"/>
      <c r="C102" s="100"/>
      <c r="D102" s="100"/>
      <c r="F102" s="100"/>
      <c r="G102" s="100"/>
      <c r="H102" s="104">
        <v>1</v>
      </c>
      <c r="I102" t="s">
        <v>941</v>
      </c>
      <c r="J102" s="112" t="s">
        <v>1070</v>
      </c>
      <c r="K102" s="100" t="s">
        <v>334</v>
      </c>
      <c r="L102" s="24" t="s">
        <v>691</v>
      </c>
      <c r="M102" s="100" t="s">
        <v>366</v>
      </c>
      <c r="N102" s="24" t="str">
        <f>IF(VLOOKUP(M102,Statistics!B:F,4,FALSE)=0,"",VLOOKUP(M102,Statistics!B:F,4,FALSE))</f>
        <v>MissionPointType : (미션 포인트 ID)</v>
      </c>
      <c r="O102" s="100" t="s">
        <v>1191</v>
      </c>
      <c r="P102" s="100">
        <v>12</v>
      </c>
      <c r="Q102" s="105" t="s">
        <v>2274</v>
      </c>
      <c r="R102" s="24" t="str">
        <f>IF(VLOOKUP(M102,Statistics!B:F,5,FALSE)=0,"",VLOOKUP(M102,Statistics!B:F,5,FALSE))</f>
        <v/>
      </c>
      <c r="S102" s="103"/>
    </row>
    <row r="103" spans="1:19">
      <c r="A103" s="172">
        <v>2109000000061</v>
      </c>
      <c r="B103" s="100"/>
      <c r="C103" s="162">
        <v>2200000000042</v>
      </c>
      <c r="D103" s="24" t="s">
        <v>938</v>
      </c>
      <c r="E103" s="24" t="b">
        <v>0</v>
      </c>
      <c r="F103" s="100"/>
      <c r="G103" s="100"/>
      <c r="H103" s="102"/>
      <c r="J103" s="113"/>
      <c r="K103" s="102"/>
      <c r="M103" s="102"/>
      <c r="O103" s="102"/>
      <c r="P103" s="102"/>
    </row>
    <row r="104" spans="1:19" ht="16.5">
      <c r="A104" s="175"/>
      <c r="B104" s="100"/>
      <c r="C104" s="100"/>
      <c r="D104" s="100"/>
      <c r="F104" s="100"/>
      <c r="G104" s="100"/>
      <c r="H104" s="104">
        <v>1</v>
      </c>
      <c r="I104" t="s">
        <v>942</v>
      </c>
      <c r="J104" s="114" t="s">
        <v>942</v>
      </c>
      <c r="K104" s="100" t="s">
        <v>334</v>
      </c>
      <c r="L104" s="24" t="s">
        <v>691</v>
      </c>
      <c r="M104" s="100" t="s">
        <v>366</v>
      </c>
      <c r="N104" s="24" t="str">
        <f>IF(VLOOKUP(M104,Statistics!B:F,4,FALSE)=0,"",VLOOKUP(M104,Statistics!B:F,4,FALSE))</f>
        <v>MissionPointType : (미션 포인트 ID)</v>
      </c>
      <c r="O104" s="100" t="s">
        <v>835</v>
      </c>
      <c r="P104" s="100">
        <v>12</v>
      </c>
      <c r="Q104" s="105" t="s">
        <v>2274</v>
      </c>
      <c r="R104" s="24" t="str">
        <f>IF(VLOOKUP(M104,Statistics!B:F,5,FALSE)=0,"",VLOOKUP(M104,Statistics!B:F,5,FALSE))</f>
        <v/>
      </c>
    </row>
    <row r="105" spans="1:19">
      <c r="A105" s="172">
        <v>2109000000062</v>
      </c>
      <c r="B105" s="100"/>
      <c r="C105" s="162">
        <v>2200000000043</v>
      </c>
      <c r="D105" s="24" t="s">
        <v>938</v>
      </c>
      <c r="E105" s="24" t="b">
        <v>0</v>
      </c>
      <c r="F105" s="100"/>
      <c r="G105" s="100"/>
      <c r="H105" s="102"/>
      <c r="J105" s="113"/>
      <c r="K105" s="102"/>
      <c r="M105" s="102"/>
      <c r="O105" s="102"/>
      <c r="P105" s="102"/>
    </row>
    <row r="106" spans="1:19" ht="16.5">
      <c r="A106" s="175"/>
      <c r="B106" s="100"/>
      <c r="C106" s="100"/>
      <c r="D106" s="100"/>
      <c r="F106" s="100"/>
      <c r="G106" s="100"/>
      <c r="H106" s="104">
        <v>1</v>
      </c>
      <c r="I106" t="s">
        <v>943</v>
      </c>
      <c r="J106" s="114" t="s">
        <v>943</v>
      </c>
      <c r="K106" s="100" t="s">
        <v>334</v>
      </c>
      <c r="L106" s="24" t="s">
        <v>691</v>
      </c>
      <c r="M106" s="100" t="s">
        <v>366</v>
      </c>
      <c r="N106" s="24" t="str">
        <f>IF(VLOOKUP(M106,Statistics!B:F,4,FALSE)=0,"",VLOOKUP(M106,Statistics!B:F,4,FALSE))</f>
        <v>MissionPointType : (미션 포인트 ID)</v>
      </c>
      <c r="O106" s="100" t="s">
        <v>836</v>
      </c>
      <c r="P106" s="100">
        <v>11</v>
      </c>
      <c r="Q106" s="105" t="s">
        <v>2562</v>
      </c>
      <c r="R106" s="24" t="str">
        <f>IF(VLOOKUP(M106,Statistics!B:F,5,FALSE)=0,"",VLOOKUP(M106,Statistics!B:F,5,FALSE))</f>
        <v/>
      </c>
    </row>
    <row r="107" spans="1:19">
      <c r="A107" s="172">
        <v>2109000000063</v>
      </c>
      <c r="B107" s="100"/>
      <c r="C107" s="162">
        <v>2200000000044</v>
      </c>
      <c r="D107" s="24" t="s">
        <v>938</v>
      </c>
      <c r="E107" s="24" t="b">
        <v>0</v>
      </c>
      <c r="F107" s="100"/>
      <c r="G107" s="100"/>
      <c r="H107" s="102"/>
      <c r="J107" s="113"/>
      <c r="K107" s="102"/>
      <c r="M107" s="102"/>
      <c r="O107" s="102"/>
      <c r="P107" s="102"/>
    </row>
    <row r="108" spans="1:19" ht="16.5">
      <c r="A108" s="175"/>
      <c r="B108" s="100"/>
      <c r="C108" s="100"/>
      <c r="D108" s="100"/>
      <c r="F108" s="100"/>
      <c r="G108" s="100"/>
      <c r="H108" s="104">
        <v>1</v>
      </c>
      <c r="I108" t="s">
        <v>944</v>
      </c>
      <c r="J108" s="114" t="s">
        <v>944</v>
      </c>
      <c r="K108" s="100" t="s">
        <v>334</v>
      </c>
      <c r="L108" s="24" t="s">
        <v>691</v>
      </c>
      <c r="M108" s="100" t="s">
        <v>366</v>
      </c>
      <c r="N108" s="24" t="str">
        <f>IF(VLOOKUP(M108,Statistics!B:F,4,FALSE)=0,"",VLOOKUP(M108,Statistics!B:F,4,FALSE))</f>
        <v>MissionPointType : (미션 포인트 ID)</v>
      </c>
      <c r="O108" s="100" t="s">
        <v>837</v>
      </c>
      <c r="P108" s="100">
        <v>11</v>
      </c>
      <c r="Q108" s="105" t="s">
        <v>2776</v>
      </c>
      <c r="R108" s="24" t="str">
        <f>IF(VLOOKUP(M108,Statistics!B:F,5,FALSE)=0,"",VLOOKUP(M108,Statistics!B:F,5,FALSE))</f>
        <v/>
      </c>
    </row>
  </sheetData>
  <phoneticPr fontId="4" type="noConversion"/>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Statistics!$A:$A</xm:f>
          </x14:formula1>
          <xm:sqref>L6 L41 L45 L47 L51 L53 L20 L85 L24 L26 L28 L31 L22 L33 L35 L37 L49 L14 L10 L8 L12 L16 L18 L39 L56 L60 L58 L62 L64 L66 L68 L70 L72 L74 L108 L87 L81 L76 L43 L91 L79 L89 L83 L97 L95 L93 L99 L102 L104 L106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49"/>
  <sheetViews>
    <sheetView zoomScale="70" zoomScaleNormal="70" workbookViewId="0">
      <selection activeCell="G1" sqref="G1"/>
    </sheetView>
  </sheetViews>
  <sheetFormatPr defaultRowHeight="13.5"/>
  <cols>
    <col min="1" max="1" width="14.625" style="19" bestFit="1" customWidth="1"/>
    <col min="2" max="2" width="6" style="19" bestFit="1" customWidth="1"/>
    <col min="3" max="3" width="16.25" style="19" bestFit="1" customWidth="1"/>
    <col min="4" max="4" width="23.25" style="19" bestFit="1" customWidth="1"/>
    <col min="5" max="5" width="14.5" style="19" bestFit="1" customWidth="1"/>
    <col min="6" max="7" width="8.5" style="19" customWidth="1"/>
    <col min="8" max="8" width="8.375" style="19" bestFit="1" customWidth="1"/>
    <col min="9" max="9" width="38.375" style="19" bestFit="1" customWidth="1"/>
    <col min="10" max="10" width="37.25" style="19" bestFit="1" customWidth="1"/>
    <col min="11" max="11" width="18.375" style="19" bestFit="1" customWidth="1"/>
    <col min="12" max="12" width="20.125" style="19" bestFit="1" customWidth="1"/>
    <col min="13" max="13" width="30" style="19" bestFit="1" customWidth="1"/>
    <col min="14" max="14" width="9.625" style="19" bestFit="1" customWidth="1"/>
    <col min="15" max="15" width="28.875" style="19" bestFit="1" customWidth="1"/>
    <col min="16" max="16" width="23.75" style="19" bestFit="1" customWidth="1"/>
    <col min="17" max="18" width="9" style="19" customWidth="1"/>
    <col min="19" max="16384" width="9" style="19"/>
  </cols>
  <sheetData>
    <row r="1" spans="1:16">
      <c r="A1" s="20" t="s">
        <v>304</v>
      </c>
      <c r="B1" s="21" t="s">
        <v>305</v>
      </c>
      <c r="C1" s="21" t="s">
        <v>306</v>
      </c>
      <c r="D1" s="21" t="s">
        <v>307</v>
      </c>
      <c r="E1" s="21" t="s">
        <v>308</v>
      </c>
      <c r="F1" s="20" t="s">
        <v>636</v>
      </c>
      <c r="G1" s="165" t="s">
        <v>3740</v>
      </c>
      <c r="H1" s="22" t="s">
        <v>309</v>
      </c>
      <c r="I1" s="22" t="s">
        <v>310</v>
      </c>
      <c r="J1" s="22" t="s">
        <v>311</v>
      </c>
      <c r="K1" s="22" t="s">
        <v>312</v>
      </c>
      <c r="L1" s="22" t="s">
        <v>313</v>
      </c>
      <c r="M1" s="22" t="s">
        <v>314</v>
      </c>
      <c r="N1" s="22" t="s">
        <v>315</v>
      </c>
      <c r="O1" s="22" t="s">
        <v>316</v>
      </c>
      <c r="P1" s="9" t="s">
        <v>317</v>
      </c>
    </row>
    <row r="2" spans="1:16">
      <c r="A2" s="20" t="s">
        <v>318</v>
      </c>
      <c r="B2" s="20" t="s">
        <v>3</v>
      </c>
      <c r="C2" s="20" t="s">
        <v>319</v>
      </c>
      <c r="D2" s="20" t="s">
        <v>320</v>
      </c>
      <c r="E2" s="20" t="s">
        <v>321</v>
      </c>
      <c r="F2" s="20" t="s">
        <v>320</v>
      </c>
      <c r="G2" s="165" t="s">
        <v>851</v>
      </c>
      <c r="H2" s="22" t="s">
        <v>322</v>
      </c>
      <c r="I2" s="22" t="s">
        <v>323</v>
      </c>
      <c r="J2" s="22" t="s">
        <v>323</v>
      </c>
      <c r="K2" s="22" t="s">
        <v>324</v>
      </c>
      <c r="L2" s="22" t="s">
        <v>325</v>
      </c>
      <c r="M2" s="22" t="s">
        <v>326</v>
      </c>
      <c r="N2" s="22" t="s">
        <v>322</v>
      </c>
      <c r="O2" s="22" t="s">
        <v>320</v>
      </c>
      <c r="P2" s="9" t="s">
        <v>327</v>
      </c>
    </row>
    <row r="3" spans="1:16">
      <c r="A3" s="20" t="s">
        <v>328</v>
      </c>
      <c r="B3" s="20" t="s">
        <v>3</v>
      </c>
      <c r="C3" s="20" t="s">
        <v>328</v>
      </c>
      <c r="D3" s="20" t="s">
        <v>329</v>
      </c>
      <c r="E3" s="20" t="s">
        <v>4</v>
      </c>
      <c r="F3" s="20" t="s">
        <v>328</v>
      </c>
      <c r="G3" s="165" t="s">
        <v>328</v>
      </c>
      <c r="H3" s="22" t="s">
        <v>328</v>
      </c>
      <c r="I3" s="22" t="s">
        <v>4</v>
      </c>
      <c r="J3" s="22" t="s">
        <v>4</v>
      </c>
      <c r="K3" s="22" t="s">
        <v>328</v>
      </c>
      <c r="L3" s="22" t="s">
        <v>328</v>
      </c>
      <c r="M3" s="22" t="s">
        <v>328</v>
      </c>
      <c r="N3" s="22" t="s">
        <v>328</v>
      </c>
      <c r="O3" s="22" t="s">
        <v>328</v>
      </c>
      <c r="P3" s="9" t="s">
        <v>4</v>
      </c>
    </row>
    <row r="4" spans="1:16" ht="14.25" thickBot="1">
      <c r="A4" s="10" t="s">
        <v>607</v>
      </c>
      <c r="B4" s="10"/>
      <c r="C4" s="10" t="s">
        <v>608</v>
      </c>
      <c r="D4" s="10" t="s">
        <v>609</v>
      </c>
      <c r="E4" s="10" t="b">
        <v>1</v>
      </c>
      <c r="F4" s="10"/>
      <c r="G4" s="10"/>
      <c r="H4" s="7"/>
      <c r="I4" s="7"/>
      <c r="J4" s="8"/>
      <c r="K4" s="8"/>
      <c r="L4" s="8"/>
      <c r="M4" s="8"/>
      <c r="N4" s="8"/>
      <c r="O4" s="8"/>
    </row>
    <row r="5" spans="1:16" ht="27.75" thickBot="1">
      <c r="A5" s="10"/>
      <c r="B5" s="10"/>
      <c r="C5" s="10"/>
      <c r="D5" s="10"/>
      <c r="E5" s="10"/>
      <c r="F5" s="10"/>
      <c r="G5" s="10"/>
      <c r="H5" s="11" t="s">
        <v>332</v>
      </c>
      <c r="I5" s="116" t="s">
        <v>610</v>
      </c>
      <c r="J5" s="117" t="s">
        <v>286</v>
      </c>
      <c r="K5" s="12" t="s">
        <v>334</v>
      </c>
      <c r="L5" s="83" t="s">
        <v>366</v>
      </c>
      <c r="M5" s="83" t="s">
        <v>367</v>
      </c>
      <c r="N5" s="13">
        <v>20</v>
      </c>
      <c r="O5" s="118" t="s">
        <v>2327</v>
      </c>
      <c r="P5" s="19" t="s">
        <v>611</v>
      </c>
    </row>
    <row r="6" spans="1:16" ht="27.75" thickBot="1">
      <c r="A6" s="10"/>
      <c r="B6" s="10"/>
      <c r="C6" s="10"/>
      <c r="D6" s="10"/>
      <c r="E6" s="119"/>
      <c r="F6" s="10"/>
      <c r="G6" s="10"/>
      <c r="H6" s="11" t="s">
        <v>401</v>
      </c>
      <c r="I6" s="116" t="s">
        <v>610</v>
      </c>
      <c r="J6" s="117" t="s">
        <v>287</v>
      </c>
      <c r="K6" s="12" t="s">
        <v>334</v>
      </c>
      <c r="L6" s="83" t="s">
        <v>366</v>
      </c>
      <c r="M6" s="83" t="s">
        <v>367</v>
      </c>
      <c r="N6" s="13">
        <v>40</v>
      </c>
      <c r="O6" s="118" t="s">
        <v>2327</v>
      </c>
      <c r="P6" s="19" t="s">
        <v>611</v>
      </c>
    </row>
    <row r="7" spans="1:16" ht="27.75" thickBot="1">
      <c r="A7" s="10"/>
      <c r="B7" s="10"/>
      <c r="C7" s="10"/>
      <c r="D7" s="10"/>
      <c r="E7" s="10"/>
      <c r="F7" s="10"/>
      <c r="G7" s="10"/>
      <c r="H7" s="11" t="s">
        <v>402</v>
      </c>
      <c r="I7" s="116" t="s">
        <v>610</v>
      </c>
      <c r="J7" s="117" t="s">
        <v>288</v>
      </c>
      <c r="K7" s="12" t="s">
        <v>334</v>
      </c>
      <c r="L7" s="83" t="s">
        <v>366</v>
      </c>
      <c r="M7" s="83" t="s">
        <v>367</v>
      </c>
      <c r="N7" s="13">
        <v>60</v>
      </c>
      <c r="O7" s="118" t="s">
        <v>2327</v>
      </c>
      <c r="P7" s="19" t="s">
        <v>611</v>
      </c>
    </row>
    <row r="8" spans="1:16" ht="27.75" thickBot="1">
      <c r="A8" s="10"/>
      <c r="B8" s="10"/>
      <c r="C8" s="10"/>
      <c r="D8" s="10"/>
      <c r="E8" s="119"/>
      <c r="F8" s="10"/>
      <c r="G8" s="10"/>
      <c r="H8" s="11" t="s">
        <v>404</v>
      </c>
      <c r="I8" s="116" t="s">
        <v>610</v>
      </c>
      <c r="J8" s="117" t="s">
        <v>289</v>
      </c>
      <c r="K8" s="12" t="s">
        <v>334</v>
      </c>
      <c r="L8" s="83" t="s">
        <v>366</v>
      </c>
      <c r="M8" s="83" t="s">
        <v>367</v>
      </c>
      <c r="N8" s="13">
        <v>80</v>
      </c>
      <c r="O8" s="118" t="s">
        <v>3225</v>
      </c>
      <c r="P8" s="19" t="s">
        <v>611</v>
      </c>
    </row>
    <row r="9" spans="1:16" ht="27">
      <c r="A9" s="10"/>
      <c r="B9" s="10"/>
      <c r="C9" s="10"/>
      <c r="D9" s="10"/>
      <c r="E9" s="119"/>
      <c r="F9" s="10"/>
      <c r="G9" s="10"/>
      <c r="H9" s="69">
        <v>5</v>
      </c>
      <c r="I9" s="116" t="s">
        <v>610</v>
      </c>
      <c r="J9" s="117" t="s">
        <v>3226</v>
      </c>
      <c r="K9" s="12" t="s">
        <v>334</v>
      </c>
      <c r="L9" s="83" t="s">
        <v>366</v>
      </c>
      <c r="M9" s="83" t="s">
        <v>367</v>
      </c>
      <c r="N9" s="13">
        <v>100</v>
      </c>
      <c r="O9" s="118" t="s">
        <v>2328</v>
      </c>
      <c r="P9" s="19" t="s">
        <v>611</v>
      </c>
    </row>
    <row r="10" spans="1:16" ht="14.25" thickBot="1">
      <c r="A10" s="10" t="s">
        <v>612</v>
      </c>
      <c r="B10" s="10"/>
      <c r="C10" s="10" t="s">
        <v>608</v>
      </c>
      <c r="D10" s="10" t="s">
        <v>609</v>
      </c>
      <c r="E10" s="10" t="b">
        <v>1</v>
      </c>
      <c r="F10" s="10"/>
      <c r="G10" s="10"/>
      <c r="H10" s="69"/>
      <c r="I10" s="117"/>
      <c r="J10" s="117"/>
      <c r="K10" s="70"/>
      <c r="L10" s="70"/>
      <c r="M10" s="70"/>
      <c r="N10" s="71"/>
      <c r="O10" s="120"/>
    </row>
    <row r="11" spans="1:16" ht="27.75" thickBot="1">
      <c r="A11" s="10"/>
      <c r="B11" s="10"/>
      <c r="C11" s="10"/>
      <c r="D11" s="10"/>
      <c r="E11" s="10"/>
      <c r="F11" s="10"/>
      <c r="G11" s="10"/>
      <c r="H11" s="11" t="s">
        <v>332</v>
      </c>
      <c r="I11" s="74" t="s">
        <v>613</v>
      </c>
      <c r="J11" s="117" t="s">
        <v>290</v>
      </c>
      <c r="K11" s="12" t="s">
        <v>334</v>
      </c>
      <c r="L11" s="12" t="s">
        <v>366</v>
      </c>
      <c r="M11" s="12" t="s">
        <v>395</v>
      </c>
      <c r="N11" s="13">
        <v>50</v>
      </c>
      <c r="O11" s="118" t="s">
        <v>2328</v>
      </c>
      <c r="P11" s="19" t="s">
        <v>614</v>
      </c>
    </row>
    <row r="12" spans="1:16" ht="27.75" thickBot="1">
      <c r="A12" s="10"/>
      <c r="B12" s="10"/>
      <c r="C12" s="10"/>
      <c r="D12" s="10"/>
      <c r="E12" s="119"/>
      <c r="F12" s="10"/>
      <c r="G12" s="10"/>
      <c r="H12" s="11">
        <v>2</v>
      </c>
      <c r="I12" s="74" t="s">
        <v>613</v>
      </c>
      <c r="J12" s="117" t="s">
        <v>291</v>
      </c>
      <c r="K12" s="12" t="s">
        <v>334</v>
      </c>
      <c r="L12" s="12" t="s">
        <v>366</v>
      </c>
      <c r="M12" s="12" t="s">
        <v>395</v>
      </c>
      <c r="N12" s="13">
        <v>100</v>
      </c>
      <c r="O12" s="118" t="s">
        <v>2328</v>
      </c>
      <c r="P12" s="19" t="s">
        <v>614</v>
      </c>
    </row>
    <row r="13" spans="1:16">
      <c r="A13" s="10" t="s">
        <v>615</v>
      </c>
      <c r="B13" s="10"/>
      <c r="C13" s="10" t="s">
        <v>608</v>
      </c>
      <c r="D13" s="10" t="s">
        <v>609</v>
      </c>
      <c r="E13" s="10" t="b">
        <v>1</v>
      </c>
      <c r="F13" s="10"/>
      <c r="G13" s="10"/>
      <c r="H13" s="69"/>
      <c r="I13" s="117"/>
      <c r="J13" s="117"/>
      <c r="K13" s="70"/>
      <c r="L13" s="70"/>
      <c r="M13" s="70"/>
      <c r="N13" s="71"/>
      <c r="O13" s="120"/>
    </row>
    <row r="14" spans="1:16" ht="27">
      <c r="A14" s="10"/>
      <c r="B14" s="10"/>
      <c r="C14" s="10"/>
      <c r="D14" s="10"/>
      <c r="E14" s="10"/>
      <c r="F14" s="10"/>
      <c r="G14" s="10"/>
      <c r="H14" s="69">
        <v>1</v>
      </c>
      <c r="I14" s="74" t="s">
        <v>616</v>
      </c>
      <c r="J14" s="117" t="s">
        <v>292</v>
      </c>
      <c r="K14" s="12" t="s">
        <v>334</v>
      </c>
      <c r="L14" s="70" t="s">
        <v>425</v>
      </c>
      <c r="M14" s="70" t="s">
        <v>336</v>
      </c>
      <c r="N14" s="71">
        <v>10</v>
      </c>
      <c r="O14" s="118" t="s">
        <v>3225</v>
      </c>
      <c r="P14" s="19" t="s">
        <v>337</v>
      </c>
    </row>
    <row r="15" spans="1:16" ht="27">
      <c r="A15" s="10"/>
      <c r="B15" s="10"/>
      <c r="C15" s="10"/>
      <c r="D15" s="10"/>
      <c r="E15" s="10"/>
      <c r="F15" s="10"/>
      <c r="G15" s="10"/>
      <c r="H15" s="69">
        <v>2</v>
      </c>
      <c r="I15" s="74" t="s">
        <v>616</v>
      </c>
      <c r="J15" s="117" t="s">
        <v>293</v>
      </c>
      <c r="K15" s="12" t="s">
        <v>334</v>
      </c>
      <c r="L15" s="70" t="s">
        <v>425</v>
      </c>
      <c r="M15" s="70" t="s">
        <v>336</v>
      </c>
      <c r="N15" s="71">
        <v>20</v>
      </c>
      <c r="O15" s="118" t="s">
        <v>3225</v>
      </c>
      <c r="P15" s="19" t="s">
        <v>337</v>
      </c>
    </row>
    <row r="16" spans="1:16" ht="27">
      <c r="A16" s="10"/>
      <c r="B16" s="10"/>
      <c r="C16" s="10"/>
      <c r="D16" s="10"/>
      <c r="E16" s="119"/>
      <c r="F16" s="10"/>
      <c r="G16" s="10"/>
      <c r="H16" s="69">
        <v>3</v>
      </c>
      <c r="I16" s="74" t="s">
        <v>616</v>
      </c>
      <c r="J16" s="117" t="s">
        <v>294</v>
      </c>
      <c r="K16" s="12" t="s">
        <v>334</v>
      </c>
      <c r="L16" s="70" t="s">
        <v>425</v>
      </c>
      <c r="M16" s="70" t="s">
        <v>336</v>
      </c>
      <c r="N16" s="71">
        <v>30</v>
      </c>
      <c r="O16" s="118" t="s">
        <v>3225</v>
      </c>
      <c r="P16" s="19" t="s">
        <v>337</v>
      </c>
    </row>
    <row r="17" spans="1:16" ht="27">
      <c r="A17" s="10"/>
      <c r="B17" s="10"/>
      <c r="C17" s="10"/>
      <c r="D17" s="10"/>
      <c r="E17" s="119"/>
      <c r="F17" s="10"/>
      <c r="G17" s="10"/>
      <c r="H17" s="69">
        <v>4</v>
      </c>
      <c r="I17" s="74" t="s">
        <v>616</v>
      </c>
      <c r="J17" s="117" t="s">
        <v>2921</v>
      </c>
      <c r="K17" s="12" t="s">
        <v>334</v>
      </c>
      <c r="L17" s="70" t="s">
        <v>425</v>
      </c>
      <c r="M17" s="70" t="s">
        <v>336</v>
      </c>
      <c r="N17" s="71">
        <v>40</v>
      </c>
      <c r="O17" s="118" t="s">
        <v>3225</v>
      </c>
      <c r="P17" s="19" t="s">
        <v>337</v>
      </c>
    </row>
    <row r="18" spans="1:16" ht="27">
      <c r="A18" s="10"/>
      <c r="B18" s="10"/>
      <c r="C18" s="10"/>
      <c r="D18" s="10"/>
      <c r="E18" s="10"/>
      <c r="F18" s="10"/>
      <c r="G18" s="10"/>
      <c r="H18" s="69">
        <v>5</v>
      </c>
      <c r="I18" s="74" t="s">
        <v>616</v>
      </c>
      <c r="J18" s="117" t="s">
        <v>2922</v>
      </c>
      <c r="K18" s="12" t="s">
        <v>334</v>
      </c>
      <c r="L18" s="70" t="s">
        <v>425</v>
      </c>
      <c r="M18" s="70" t="s">
        <v>336</v>
      </c>
      <c r="N18" s="71">
        <v>50</v>
      </c>
      <c r="O18" s="118" t="s">
        <v>3225</v>
      </c>
      <c r="P18" s="19" t="s">
        <v>337</v>
      </c>
    </row>
    <row r="19" spans="1:16" ht="27">
      <c r="A19" s="10"/>
      <c r="B19" s="10"/>
      <c r="C19" s="10"/>
      <c r="D19" s="10"/>
      <c r="E19" s="10"/>
      <c r="F19" s="10"/>
      <c r="G19" s="10"/>
      <c r="H19" s="69">
        <v>6</v>
      </c>
      <c r="I19" s="74" t="s">
        <v>616</v>
      </c>
      <c r="J19" s="117" t="s">
        <v>2923</v>
      </c>
      <c r="K19" s="12" t="s">
        <v>334</v>
      </c>
      <c r="L19" s="70" t="s">
        <v>425</v>
      </c>
      <c r="M19" s="70" t="s">
        <v>336</v>
      </c>
      <c r="N19" s="71">
        <v>60</v>
      </c>
      <c r="O19" s="118" t="s">
        <v>3227</v>
      </c>
      <c r="P19" s="19" t="s">
        <v>337</v>
      </c>
    </row>
    <row r="20" spans="1:16">
      <c r="A20" s="10" t="s">
        <v>617</v>
      </c>
      <c r="B20" s="10"/>
      <c r="C20" s="10" t="s">
        <v>608</v>
      </c>
      <c r="D20" s="10" t="s">
        <v>609</v>
      </c>
      <c r="E20" s="10" t="b">
        <v>1</v>
      </c>
      <c r="F20" s="10"/>
      <c r="G20" s="10"/>
      <c r="H20" s="69"/>
      <c r="I20" s="117"/>
      <c r="J20" s="117"/>
      <c r="K20" s="70"/>
      <c r="L20" s="70"/>
      <c r="M20" s="70"/>
      <c r="N20" s="71"/>
      <c r="O20" s="120"/>
    </row>
    <row r="21" spans="1:16" ht="27">
      <c r="A21" s="10"/>
      <c r="B21" s="10"/>
      <c r="C21" s="10"/>
      <c r="D21" s="10"/>
      <c r="E21" s="10"/>
      <c r="F21" s="10"/>
      <c r="G21" s="10"/>
      <c r="H21" s="69">
        <v>1</v>
      </c>
      <c r="I21" s="74" t="s">
        <v>618</v>
      </c>
      <c r="J21" s="117" t="s">
        <v>295</v>
      </c>
      <c r="K21" s="12" t="s">
        <v>334</v>
      </c>
      <c r="L21" s="13" t="s">
        <v>377</v>
      </c>
      <c r="M21" s="13"/>
      <c r="N21" s="19">
        <v>1</v>
      </c>
      <c r="O21" s="118" t="s">
        <v>3228</v>
      </c>
      <c r="P21" s="19" t="s">
        <v>3229</v>
      </c>
    </row>
    <row r="22" spans="1:16" ht="27">
      <c r="A22" s="10"/>
      <c r="B22" s="10"/>
      <c r="C22" s="10"/>
      <c r="D22" s="10"/>
      <c r="E22" s="119"/>
      <c r="F22" s="10"/>
      <c r="G22" s="10"/>
      <c r="H22" s="69">
        <v>2</v>
      </c>
      <c r="I22" s="74" t="s">
        <v>618</v>
      </c>
      <c r="J22" s="117" t="s">
        <v>296</v>
      </c>
      <c r="K22" s="12" t="s">
        <v>334</v>
      </c>
      <c r="L22" s="13" t="s">
        <v>377</v>
      </c>
      <c r="M22" s="13"/>
      <c r="N22" s="19">
        <v>2</v>
      </c>
      <c r="O22" s="118" t="s">
        <v>3225</v>
      </c>
      <c r="P22" s="19" t="s">
        <v>3229</v>
      </c>
    </row>
    <row r="23" spans="1:16" ht="27">
      <c r="A23" s="10"/>
      <c r="B23" s="10"/>
      <c r="C23" s="10"/>
      <c r="D23" s="10"/>
      <c r="E23" s="10"/>
      <c r="F23" s="10"/>
      <c r="G23" s="10"/>
      <c r="H23" s="69">
        <v>3</v>
      </c>
      <c r="I23" s="74" t="s">
        <v>618</v>
      </c>
      <c r="J23" s="117" t="s">
        <v>297</v>
      </c>
      <c r="K23" s="12" t="s">
        <v>334</v>
      </c>
      <c r="L23" s="13" t="s">
        <v>377</v>
      </c>
      <c r="M23" s="13"/>
      <c r="N23" s="19">
        <v>3</v>
      </c>
      <c r="O23" s="118" t="s">
        <v>3225</v>
      </c>
      <c r="P23" s="19" t="s">
        <v>3229</v>
      </c>
    </row>
    <row r="24" spans="1:16" ht="27">
      <c r="A24" s="10"/>
      <c r="B24" s="10"/>
      <c r="C24" s="10"/>
      <c r="D24" s="10"/>
      <c r="E24" s="119"/>
      <c r="F24" s="10"/>
      <c r="G24" s="10"/>
      <c r="H24" s="69">
        <v>4</v>
      </c>
      <c r="I24" s="74" t="s">
        <v>618</v>
      </c>
      <c r="J24" s="117" t="s">
        <v>298</v>
      </c>
      <c r="K24" s="12" t="s">
        <v>334</v>
      </c>
      <c r="L24" s="13" t="s">
        <v>377</v>
      </c>
      <c r="M24" s="13"/>
      <c r="N24" s="19">
        <v>5</v>
      </c>
      <c r="O24" s="118" t="s">
        <v>3227</v>
      </c>
      <c r="P24" s="19" t="s">
        <v>3229</v>
      </c>
    </row>
    <row r="25" spans="1:16">
      <c r="A25" s="10">
        <v>2107000000005</v>
      </c>
      <c r="B25" s="10"/>
      <c r="C25" s="10" t="s">
        <v>608</v>
      </c>
      <c r="D25" s="10" t="s">
        <v>609</v>
      </c>
      <c r="E25" s="10" t="b">
        <v>1</v>
      </c>
      <c r="F25" s="10"/>
      <c r="G25" s="10"/>
      <c r="H25" s="69"/>
      <c r="I25" s="117"/>
      <c r="J25" s="117"/>
      <c r="K25" s="70"/>
      <c r="L25" s="71"/>
      <c r="M25" s="71"/>
      <c r="O25" s="120"/>
    </row>
    <row r="26" spans="1:16" ht="27">
      <c r="A26" s="10"/>
      <c r="B26" s="10"/>
      <c r="C26" s="10"/>
      <c r="D26" s="10"/>
      <c r="E26" s="10"/>
      <c r="F26" s="10"/>
      <c r="G26" s="10"/>
      <c r="H26" s="69">
        <v>1</v>
      </c>
      <c r="I26" s="74" t="s">
        <v>3230</v>
      </c>
      <c r="J26" s="117" t="s">
        <v>3231</v>
      </c>
      <c r="K26" s="12" t="s">
        <v>334</v>
      </c>
      <c r="L26" s="13" t="s">
        <v>3232</v>
      </c>
      <c r="M26" s="13"/>
      <c r="N26" s="19">
        <v>1</v>
      </c>
      <c r="O26" s="118" t="s">
        <v>3225</v>
      </c>
      <c r="P26" s="99" t="s">
        <v>2250</v>
      </c>
    </row>
    <row r="27" spans="1:16" ht="27">
      <c r="A27" s="10"/>
      <c r="B27" s="10"/>
      <c r="C27" s="10"/>
      <c r="D27" s="10"/>
      <c r="E27" s="119"/>
      <c r="F27" s="10"/>
      <c r="G27" s="10"/>
      <c r="H27" s="69">
        <v>2</v>
      </c>
      <c r="I27" s="74" t="s">
        <v>3230</v>
      </c>
      <c r="J27" s="117" t="s">
        <v>2925</v>
      </c>
      <c r="K27" s="12" t="s">
        <v>334</v>
      </c>
      <c r="L27" s="13" t="s">
        <v>3232</v>
      </c>
      <c r="M27" s="13"/>
      <c r="N27" s="19">
        <v>2</v>
      </c>
      <c r="O27" s="118" t="s">
        <v>3225</v>
      </c>
      <c r="P27" s="99" t="s">
        <v>2250</v>
      </c>
    </row>
    <row r="28" spans="1:16" ht="27">
      <c r="A28" s="10"/>
      <c r="B28" s="10"/>
      <c r="C28" s="10"/>
      <c r="D28" s="10"/>
      <c r="E28" s="10"/>
      <c r="F28" s="10"/>
      <c r="G28" s="10"/>
      <c r="H28" s="69">
        <v>3</v>
      </c>
      <c r="I28" s="74" t="s">
        <v>3233</v>
      </c>
      <c r="J28" s="117" t="s">
        <v>2926</v>
      </c>
      <c r="K28" s="12" t="s">
        <v>334</v>
      </c>
      <c r="L28" s="13" t="s">
        <v>3232</v>
      </c>
      <c r="M28" s="13"/>
      <c r="N28" s="19">
        <v>3</v>
      </c>
      <c r="O28" s="118" t="s">
        <v>3225</v>
      </c>
      <c r="P28" s="99" t="s">
        <v>2250</v>
      </c>
    </row>
    <row r="29" spans="1:16">
      <c r="A29" s="10" t="s">
        <v>619</v>
      </c>
      <c r="B29" s="10"/>
      <c r="C29" s="10" t="s">
        <v>608</v>
      </c>
      <c r="D29" s="10" t="s">
        <v>609</v>
      </c>
      <c r="E29" s="10" t="b">
        <v>1</v>
      </c>
      <c r="F29" s="10"/>
      <c r="G29" s="10"/>
      <c r="H29" s="69"/>
      <c r="I29" s="74"/>
      <c r="J29" s="117"/>
      <c r="K29" s="70"/>
      <c r="L29" s="71"/>
      <c r="M29" s="71"/>
      <c r="O29" s="120"/>
    </row>
    <row r="30" spans="1:16" ht="27">
      <c r="A30" s="10"/>
      <c r="B30" s="10"/>
      <c r="C30" s="10"/>
      <c r="D30" s="10"/>
      <c r="E30" s="119"/>
      <c r="F30" s="10"/>
      <c r="G30" s="10"/>
      <c r="H30" s="69">
        <v>1</v>
      </c>
      <c r="I30" s="74" t="s">
        <v>3072</v>
      </c>
      <c r="J30" s="117" t="s">
        <v>3234</v>
      </c>
      <c r="K30" s="12" t="s">
        <v>334</v>
      </c>
      <c r="L30" s="121" t="s">
        <v>1763</v>
      </c>
      <c r="M30" s="122" t="s">
        <v>2938</v>
      </c>
      <c r="N30" s="10">
        <v>1</v>
      </c>
      <c r="O30" s="118" t="s">
        <v>2327</v>
      </c>
      <c r="P30" s="301" t="s">
        <v>2941</v>
      </c>
    </row>
    <row r="31" spans="1:16">
      <c r="A31" s="10">
        <v>2107000000007</v>
      </c>
      <c r="B31" s="10"/>
      <c r="C31" s="10" t="s">
        <v>608</v>
      </c>
      <c r="D31" s="10" t="s">
        <v>609</v>
      </c>
      <c r="E31" s="10" t="b">
        <v>1</v>
      </c>
      <c r="F31" s="10"/>
      <c r="G31" s="10"/>
      <c r="H31" s="69"/>
      <c r="I31" s="74"/>
      <c r="J31" s="117"/>
      <c r="K31" s="70"/>
      <c r="L31" s="71"/>
      <c r="M31" s="71"/>
      <c r="O31" s="120"/>
    </row>
    <row r="32" spans="1:16">
      <c r="A32" s="10"/>
      <c r="B32" s="10"/>
      <c r="C32" s="10"/>
      <c r="D32" s="10"/>
      <c r="E32" s="10"/>
      <c r="F32" s="10"/>
      <c r="G32" s="10"/>
      <c r="H32" s="69">
        <v>1</v>
      </c>
      <c r="I32" s="74" t="s">
        <v>3073</v>
      </c>
      <c r="J32" s="117" t="s">
        <v>2927</v>
      </c>
      <c r="K32" s="12" t="s">
        <v>334</v>
      </c>
      <c r="L32" s="121" t="s">
        <v>1763</v>
      </c>
      <c r="M32" s="122" t="s">
        <v>2939</v>
      </c>
      <c r="N32" s="10">
        <v>1</v>
      </c>
      <c r="O32" s="118" t="s">
        <v>2940</v>
      </c>
      <c r="P32" s="301" t="s">
        <v>2941</v>
      </c>
    </row>
    <row r="33" spans="1:16">
      <c r="A33" s="55"/>
      <c r="B33" s="55"/>
      <c r="C33" s="55"/>
      <c r="D33" s="55"/>
      <c r="E33" s="55"/>
      <c r="F33" s="55"/>
      <c r="G33" s="55"/>
      <c r="H33" s="54"/>
      <c r="I33" s="123"/>
      <c r="J33" s="123"/>
      <c r="K33" s="55"/>
      <c r="L33" s="55"/>
      <c r="M33" s="124"/>
      <c r="N33" s="55"/>
      <c r="O33" s="58"/>
      <c r="P33" s="72"/>
    </row>
    <row r="34" spans="1:16" ht="14.25" thickBot="1">
      <c r="A34" s="10" t="s">
        <v>620</v>
      </c>
      <c r="B34" s="10"/>
      <c r="C34" s="10" t="s">
        <v>621</v>
      </c>
      <c r="D34" s="10" t="s">
        <v>622</v>
      </c>
      <c r="E34" s="10" t="b">
        <v>1</v>
      </c>
      <c r="F34" s="10"/>
      <c r="G34" s="10"/>
      <c r="H34" s="7"/>
      <c r="I34" s="7"/>
      <c r="J34" s="8"/>
      <c r="K34" s="8"/>
      <c r="L34" s="8"/>
      <c r="M34" s="8"/>
      <c r="N34" s="8"/>
      <c r="O34" s="8"/>
    </row>
    <row r="35" spans="1:16" ht="25.5" thickBot="1">
      <c r="A35" s="10"/>
      <c r="B35" s="10"/>
      <c r="C35" s="10"/>
      <c r="D35" s="10"/>
      <c r="E35" s="10"/>
      <c r="F35" s="10"/>
      <c r="G35" s="10"/>
      <c r="H35" s="11" t="s">
        <v>332</v>
      </c>
      <c r="I35" s="116" t="s">
        <v>3235</v>
      </c>
      <c r="J35" s="116" t="s">
        <v>3129</v>
      </c>
      <c r="K35" s="12" t="s">
        <v>334</v>
      </c>
      <c r="L35" s="83" t="s">
        <v>366</v>
      </c>
      <c r="M35" s="83" t="s">
        <v>367</v>
      </c>
      <c r="N35" s="13">
        <v>100</v>
      </c>
      <c r="O35" s="139" t="s">
        <v>2329</v>
      </c>
      <c r="P35" s="19" t="s">
        <v>611</v>
      </c>
    </row>
    <row r="36" spans="1:16" ht="24.75">
      <c r="A36" s="10"/>
      <c r="B36" s="10"/>
      <c r="C36" s="10"/>
      <c r="D36" s="10"/>
      <c r="F36" s="10"/>
      <c r="G36" s="10"/>
      <c r="H36" s="69">
        <v>2</v>
      </c>
      <c r="I36" s="116" t="s">
        <v>3129</v>
      </c>
      <c r="J36" s="116" t="s">
        <v>3129</v>
      </c>
      <c r="K36" s="12" t="s">
        <v>334</v>
      </c>
      <c r="L36" s="83" t="s">
        <v>366</v>
      </c>
      <c r="M36" s="83" t="s">
        <v>367</v>
      </c>
      <c r="N36" s="13">
        <v>200</v>
      </c>
      <c r="O36" s="139" t="s">
        <v>2329</v>
      </c>
      <c r="P36" s="19" t="s">
        <v>611</v>
      </c>
    </row>
    <row r="37" spans="1:16" ht="24.75">
      <c r="A37" s="10"/>
      <c r="B37" s="10"/>
      <c r="C37" s="10"/>
      <c r="D37" s="10"/>
      <c r="F37" s="10"/>
      <c r="G37" s="10"/>
      <c r="H37" s="69">
        <v>3</v>
      </c>
      <c r="I37" s="116" t="s">
        <v>3129</v>
      </c>
      <c r="J37" s="116" t="s">
        <v>3129</v>
      </c>
      <c r="K37" s="12" t="s">
        <v>334</v>
      </c>
      <c r="L37" s="83" t="s">
        <v>366</v>
      </c>
      <c r="M37" s="83" t="s">
        <v>367</v>
      </c>
      <c r="N37" s="13">
        <v>300</v>
      </c>
      <c r="O37" s="139" t="s">
        <v>2329</v>
      </c>
      <c r="P37" s="19" t="s">
        <v>611</v>
      </c>
    </row>
    <row r="38" spans="1:16" ht="24.75">
      <c r="A38" s="10"/>
      <c r="B38" s="10"/>
      <c r="C38" s="10"/>
      <c r="D38" s="10"/>
      <c r="F38" s="10"/>
      <c r="G38" s="10"/>
      <c r="H38" s="69">
        <v>4</v>
      </c>
      <c r="I38" s="116" t="s">
        <v>3129</v>
      </c>
      <c r="J38" s="116" t="s">
        <v>3129</v>
      </c>
      <c r="K38" s="12" t="s">
        <v>334</v>
      </c>
      <c r="L38" s="83" t="s">
        <v>366</v>
      </c>
      <c r="M38" s="83" t="s">
        <v>367</v>
      </c>
      <c r="N38" s="13">
        <v>500</v>
      </c>
      <c r="O38" s="139" t="s">
        <v>2329</v>
      </c>
      <c r="P38" s="19" t="s">
        <v>611</v>
      </c>
    </row>
    <row r="39" spans="1:16" ht="14.25" thickBot="1">
      <c r="A39" s="10" t="s">
        <v>623</v>
      </c>
      <c r="C39" s="10" t="s">
        <v>621</v>
      </c>
      <c r="D39" s="10" t="s">
        <v>622</v>
      </c>
      <c r="E39" s="10" t="b">
        <v>1</v>
      </c>
      <c r="H39" s="69"/>
      <c r="I39" s="117"/>
      <c r="J39" s="117"/>
      <c r="K39" s="12"/>
      <c r="L39" s="83"/>
      <c r="M39" s="70"/>
      <c r="O39" s="120"/>
    </row>
    <row r="40" spans="1:16" ht="25.5" thickBot="1">
      <c r="E40" s="119"/>
      <c r="H40" s="11" t="s">
        <v>332</v>
      </c>
      <c r="I40" s="116" t="s">
        <v>3236</v>
      </c>
      <c r="J40" s="116" t="s">
        <v>3236</v>
      </c>
      <c r="K40" s="12" t="s">
        <v>334</v>
      </c>
      <c r="L40" s="12" t="s">
        <v>366</v>
      </c>
      <c r="M40" s="12" t="s">
        <v>395</v>
      </c>
      <c r="N40" s="13">
        <v>10</v>
      </c>
      <c r="O40" s="139" t="s">
        <v>2330</v>
      </c>
      <c r="P40" s="19" t="s">
        <v>614</v>
      </c>
    </row>
    <row r="41" spans="1:16" ht="24.75">
      <c r="H41" s="69">
        <v>2</v>
      </c>
      <c r="I41" s="116" t="s">
        <v>3237</v>
      </c>
      <c r="J41" s="116" t="s">
        <v>3236</v>
      </c>
      <c r="K41" s="12" t="s">
        <v>334</v>
      </c>
      <c r="L41" s="12" t="s">
        <v>366</v>
      </c>
      <c r="M41" s="12" t="s">
        <v>395</v>
      </c>
      <c r="N41" s="13">
        <v>20</v>
      </c>
      <c r="O41" s="139" t="s">
        <v>2330</v>
      </c>
      <c r="P41" s="19" t="s">
        <v>614</v>
      </c>
    </row>
    <row r="42" spans="1:16" ht="24.75">
      <c r="H42" s="69">
        <v>3</v>
      </c>
      <c r="I42" s="116" t="s">
        <v>3236</v>
      </c>
      <c r="J42" s="116" t="s">
        <v>3236</v>
      </c>
      <c r="K42" s="12" t="s">
        <v>334</v>
      </c>
      <c r="L42" s="12" t="s">
        <v>366</v>
      </c>
      <c r="M42" s="12" t="s">
        <v>395</v>
      </c>
      <c r="N42" s="13">
        <v>30</v>
      </c>
      <c r="O42" s="139" t="s">
        <v>2330</v>
      </c>
      <c r="P42" s="19" t="s">
        <v>614</v>
      </c>
    </row>
    <row r="43" spans="1:16" ht="24.75">
      <c r="H43" s="69">
        <v>4</v>
      </c>
      <c r="I43" s="116" t="s">
        <v>3238</v>
      </c>
      <c r="J43" s="116" t="s">
        <v>3236</v>
      </c>
      <c r="K43" s="12" t="s">
        <v>334</v>
      </c>
      <c r="L43" s="12" t="s">
        <v>366</v>
      </c>
      <c r="M43" s="12" t="s">
        <v>395</v>
      </c>
      <c r="N43" s="13">
        <v>40</v>
      </c>
      <c r="O43" s="139" t="s">
        <v>2330</v>
      </c>
      <c r="P43" s="19" t="s">
        <v>614</v>
      </c>
    </row>
    <row r="44" spans="1:16" ht="14.25" thickBot="1">
      <c r="A44" s="10" t="s">
        <v>624</v>
      </c>
      <c r="C44" s="10" t="s">
        <v>621</v>
      </c>
      <c r="D44" s="10" t="s">
        <v>622</v>
      </c>
      <c r="E44" s="10" t="b">
        <v>1</v>
      </c>
      <c r="H44" s="69"/>
      <c r="I44" s="117"/>
      <c r="J44" s="117"/>
      <c r="K44" s="70"/>
      <c r="L44" s="70"/>
      <c r="M44" s="70"/>
      <c r="N44" s="71"/>
      <c r="O44" s="120"/>
    </row>
    <row r="45" spans="1:16" ht="25.5" thickBot="1">
      <c r="C45" s="10"/>
      <c r="D45" s="10"/>
      <c r="E45" s="10"/>
      <c r="H45" s="11" t="s">
        <v>332</v>
      </c>
      <c r="I45" s="116" t="s">
        <v>771</v>
      </c>
      <c r="J45" s="116" t="s">
        <v>3239</v>
      </c>
      <c r="K45" s="12" t="s">
        <v>334</v>
      </c>
      <c r="L45" s="125" t="s">
        <v>335</v>
      </c>
      <c r="M45" s="125" t="s">
        <v>346</v>
      </c>
      <c r="N45" s="13">
        <v>10</v>
      </c>
      <c r="O45" s="139" t="s">
        <v>2331</v>
      </c>
      <c r="P45" s="19" t="s">
        <v>431</v>
      </c>
    </row>
    <row r="46" spans="1:16" ht="24.75">
      <c r="C46" s="10"/>
      <c r="D46" s="10"/>
      <c r="H46" s="69">
        <v>2</v>
      </c>
      <c r="I46" s="116" t="s">
        <v>771</v>
      </c>
      <c r="J46" s="116" t="s">
        <v>3239</v>
      </c>
      <c r="K46" s="12" t="s">
        <v>334</v>
      </c>
      <c r="L46" s="125" t="s">
        <v>335</v>
      </c>
      <c r="M46" s="125" t="s">
        <v>346</v>
      </c>
      <c r="N46" s="71">
        <v>20</v>
      </c>
      <c r="O46" s="139" t="s">
        <v>2331</v>
      </c>
      <c r="P46" s="19" t="s">
        <v>431</v>
      </c>
    </row>
    <row r="47" spans="1:16" ht="24.75">
      <c r="C47" s="10"/>
      <c r="D47" s="10"/>
      <c r="H47" s="69">
        <v>3</v>
      </c>
      <c r="I47" s="116" t="s">
        <v>771</v>
      </c>
      <c r="J47" s="116" t="s">
        <v>3239</v>
      </c>
      <c r="K47" s="12" t="s">
        <v>334</v>
      </c>
      <c r="L47" s="125" t="s">
        <v>335</v>
      </c>
      <c r="M47" s="125" t="s">
        <v>346</v>
      </c>
      <c r="N47" s="71">
        <v>30</v>
      </c>
      <c r="O47" s="139" t="s">
        <v>2331</v>
      </c>
      <c r="P47" s="19" t="s">
        <v>431</v>
      </c>
    </row>
    <row r="48" spans="1:16" ht="24.75">
      <c r="C48" s="10"/>
      <c r="D48" s="10"/>
      <c r="H48" s="69">
        <v>4</v>
      </c>
      <c r="I48" s="116" t="s">
        <v>771</v>
      </c>
      <c r="J48" s="116" t="s">
        <v>3239</v>
      </c>
      <c r="K48" s="12" t="s">
        <v>334</v>
      </c>
      <c r="L48" s="125" t="s">
        <v>335</v>
      </c>
      <c r="M48" s="125" t="s">
        <v>346</v>
      </c>
      <c r="N48" s="71">
        <v>40</v>
      </c>
      <c r="O48" s="139" t="s">
        <v>2331</v>
      </c>
      <c r="P48" s="19" t="s">
        <v>431</v>
      </c>
    </row>
    <row r="49" spans="1:16" ht="14.25" thickBot="1">
      <c r="A49" s="10" t="s">
        <v>625</v>
      </c>
      <c r="C49" s="10" t="s">
        <v>621</v>
      </c>
      <c r="D49" s="10" t="s">
        <v>622</v>
      </c>
      <c r="E49" s="10" t="b">
        <v>0</v>
      </c>
      <c r="H49" s="159"/>
      <c r="I49" s="117"/>
      <c r="J49" s="117"/>
      <c r="K49" s="10"/>
      <c r="L49" s="10"/>
      <c r="M49" s="10"/>
      <c r="N49" s="160"/>
      <c r="O49" s="161"/>
    </row>
    <row r="50" spans="1:16" ht="25.5" thickBot="1">
      <c r="E50" s="119"/>
      <c r="H50" s="11" t="s">
        <v>332</v>
      </c>
      <c r="I50" s="116" t="s">
        <v>772</v>
      </c>
      <c r="J50" s="116" t="s">
        <v>3240</v>
      </c>
      <c r="K50" s="12" t="s">
        <v>334</v>
      </c>
      <c r="L50" s="125" t="s">
        <v>335</v>
      </c>
      <c r="M50" s="125" t="s">
        <v>3242</v>
      </c>
      <c r="N50" s="13">
        <v>6</v>
      </c>
      <c r="O50" s="139" t="s">
        <v>2329</v>
      </c>
      <c r="P50" s="19" t="s">
        <v>3243</v>
      </c>
    </row>
    <row r="51" spans="1:16" ht="24.75">
      <c r="H51" s="10">
        <v>2</v>
      </c>
      <c r="I51" s="116" t="s">
        <v>772</v>
      </c>
      <c r="J51" s="116" t="s">
        <v>3240</v>
      </c>
      <c r="K51" s="12" t="s">
        <v>334</v>
      </c>
      <c r="L51" s="125" t="s">
        <v>335</v>
      </c>
      <c r="M51" s="125" t="s">
        <v>3241</v>
      </c>
      <c r="N51" s="71">
        <v>12</v>
      </c>
      <c r="O51" s="139" t="s">
        <v>2329</v>
      </c>
      <c r="P51" s="19" t="s">
        <v>437</v>
      </c>
    </row>
    <row r="52" spans="1:16" ht="24.75">
      <c r="H52" s="69">
        <v>3</v>
      </c>
      <c r="I52" s="116" t="s">
        <v>772</v>
      </c>
      <c r="J52" s="116" t="s">
        <v>3244</v>
      </c>
      <c r="K52" s="12" t="s">
        <v>334</v>
      </c>
      <c r="L52" s="125" t="s">
        <v>335</v>
      </c>
      <c r="M52" s="125" t="s">
        <v>3241</v>
      </c>
      <c r="N52" s="71">
        <v>18</v>
      </c>
      <c r="O52" s="139" t="s">
        <v>2330</v>
      </c>
      <c r="P52" s="19" t="s">
        <v>437</v>
      </c>
    </row>
    <row r="53" spans="1:16" ht="24.75">
      <c r="H53" s="69">
        <v>4</v>
      </c>
      <c r="I53" s="116" t="s">
        <v>772</v>
      </c>
      <c r="J53" s="116" t="s">
        <v>3240</v>
      </c>
      <c r="K53" s="12" t="s">
        <v>334</v>
      </c>
      <c r="L53" s="125" t="s">
        <v>335</v>
      </c>
      <c r="M53" s="125" t="s">
        <v>3241</v>
      </c>
      <c r="N53" s="71">
        <v>24</v>
      </c>
      <c r="O53" s="139" t="s">
        <v>2331</v>
      </c>
      <c r="P53" s="19" t="s">
        <v>437</v>
      </c>
    </row>
    <row r="54" spans="1:16">
      <c r="A54" s="10" t="s">
        <v>626</v>
      </c>
      <c r="C54" s="10" t="s">
        <v>621</v>
      </c>
      <c r="D54" s="10" t="s">
        <v>622</v>
      </c>
      <c r="E54" s="10" t="b">
        <v>1</v>
      </c>
    </row>
    <row r="55" spans="1:16" ht="24.75">
      <c r="E55" s="10"/>
      <c r="H55" s="10">
        <v>1</v>
      </c>
      <c r="I55" s="116" t="s">
        <v>773</v>
      </c>
      <c r="J55" s="116" t="s">
        <v>3246</v>
      </c>
      <c r="K55" s="12" t="s">
        <v>334</v>
      </c>
      <c r="L55" s="125" t="s">
        <v>335</v>
      </c>
      <c r="M55" s="125" t="s">
        <v>390</v>
      </c>
      <c r="N55" s="71">
        <v>3</v>
      </c>
      <c r="O55" s="139" t="s">
        <v>2331</v>
      </c>
      <c r="P55" s="19" t="s">
        <v>391</v>
      </c>
    </row>
    <row r="56" spans="1:16" ht="24.75">
      <c r="E56" s="10"/>
      <c r="H56" s="10">
        <v>2</v>
      </c>
      <c r="I56" s="116" t="s">
        <v>773</v>
      </c>
      <c r="J56" s="116" t="s">
        <v>3247</v>
      </c>
      <c r="K56" s="12" t="s">
        <v>334</v>
      </c>
      <c r="L56" s="125" t="s">
        <v>335</v>
      </c>
      <c r="M56" s="125" t="s">
        <v>390</v>
      </c>
      <c r="N56" s="71">
        <v>6</v>
      </c>
      <c r="O56" s="139" t="s">
        <v>2331</v>
      </c>
      <c r="P56" s="19" t="s">
        <v>391</v>
      </c>
    </row>
    <row r="57" spans="1:16" ht="24.75">
      <c r="E57" s="119"/>
      <c r="H57" s="10">
        <v>3</v>
      </c>
      <c r="I57" s="116" t="s">
        <v>773</v>
      </c>
      <c r="J57" s="116" t="s">
        <v>3247</v>
      </c>
      <c r="K57" s="12" t="s">
        <v>334</v>
      </c>
      <c r="L57" s="125" t="s">
        <v>335</v>
      </c>
      <c r="M57" s="125" t="s">
        <v>390</v>
      </c>
      <c r="N57" s="71">
        <v>9</v>
      </c>
      <c r="O57" s="139" t="s">
        <v>2331</v>
      </c>
      <c r="P57" s="19" t="s">
        <v>391</v>
      </c>
    </row>
    <row r="58" spans="1:16" ht="24.75">
      <c r="E58" s="119"/>
      <c r="H58" s="10">
        <v>4</v>
      </c>
      <c r="I58" s="116" t="s">
        <v>773</v>
      </c>
      <c r="J58" s="116" t="s">
        <v>3247</v>
      </c>
      <c r="K58" s="12" t="s">
        <v>334</v>
      </c>
      <c r="L58" s="125" t="s">
        <v>335</v>
      </c>
      <c r="M58" s="125" t="s">
        <v>390</v>
      </c>
      <c r="N58" s="71">
        <v>12</v>
      </c>
      <c r="O58" s="139" t="s">
        <v>2331</v>
      </c>
    </row>
    <row r="59" spans="1:16">
      <c r="A59" s="10" t="s">
        <v>627</v>
      </c>
      <c r="C59" s="10" t="s">
        <v>621</v>
      </c>
      <c r="D59" s="10" t="s">
        <v>622</v>
      </c>
      <c r="E59" s="10" t="b">
        <v>1</v>
      </c>
    </row>
    <row r="60" spans="1:16" ht="24.75">
      <c r="H60" s="10">
        <v>1</v>
      </c>
      <c r="I60" s="116" t="s">
        <v>774</v>
      </c>
      <c r="J60" s="116" t="s">
        <v>3249</v>
      </c>
      <c r="K60" s="12" t="s">
        <v>334</v>
      </c>
      <c r="L60" s="125" t="s">
        <v>335</v>
      </c>
      <c r="M60" s="125" t="s">
        <v>3251</v>
      </c>
      <c r="N60" s="71">
        <v>5</v>
      </c>
      <c r="O60" s="139" t="s">
        <v>2331</v>
      </c>
      <c r="P60" s="19" t="s">
        <v>3253</v>
      </c>
    </row>
    <row r="61" spans="1:16" ht="24.75">
      <c r="H61" s="10">
        <v>2</v>
      </c>
      <c r="I61" s="116" t="s">
        <v>774</v>
      </c>
      <c r="J61" s="116" t="s">
        <v>3249</v>
      </c>
      <c r="K61" s="12" t="s">
        <v>334</v>
      </c>
      <c r="L61" s="125" t="s">
        <v>335</v>
      </c>
      <c r="M61" s="125" t="s">
        <v>3251</v>
      </c>
      <c r="N61" s="71">
        <v>10</v>
      </c>
      <c r="O61" s="139" t="s">
        <v>2331</v>
      </c>
      <c r="P61" s="19" t="s">
        <v>3253</v>
      </c>
    </row>
    <row r="62" spans="1:16" ht="24.75">
      <c r="H62" s="10">
        <v>3</v>
      </c>
      <c r="I62" s="116" t="s">
        <v>774</v>
      </c>
      <c r="J62" s="116" t="s">
        <v>3249</v>
      </c>
      <c r="K62" s="12" t="s">
        <v>334</v>
      </c>
      <c r="L62" s="125" t="s">
        <v>335</v>
      </c>
      <c r="M62" s="125" t="s">
        <v>3251</v>
      </c>
      <c r="N62" s="71">
        <v>15</v>
      </c>
      <c r="O62" s="139" t="s">
        <v>2331</v>
      </c>
      <c r="P62" s="19" t="s">
        <v>3253</v>
      </c>
    </row>
    <row r="63" spans="1:16" ht="24.75">
      <c r="H63" s="10">
        <v>4</v>
      </c>
      <c r="I63" s="116" t="s">
        <v>774</v>
      </c>
      <c r="J63" s="116" t="s">
        <v>3249</v>
      </c>
      <c r="K63" s="12" t="s">
        <v>334</v>
      </c>
      <c r="L63" s="125" t="s">
        <v>335</v>
      </c>
      <c r="M63" s="125" t="s">
        <v>3251</v>
      </c>
      <c r="N63" s="10">
        <v>20</v>
      </c>
      <c r="O63" s="139" t="s">
        <v>2331</v>
      </c>
      <c r="P63" s="19" t="s">
        <v>3253</v>
      </c>
    </row>
    <row r="64" spans="1:16" ht="14.25" thickBot="1">
      <c r="A64" s="136">
        <v>2107000000014</v>
      </c>
      <c r="B64" s="10"/>
      <c r="C64" s="10" t="s">
        <v>621</v>
      </c>
      <c r="D64" s="10" t="s">
        <v>622</v>
      </c>
      <c r="E64" s="115" t="b">
        <v>1</v>
      </c>
      <c r="F64" s="10"/>
      <c r="G64" s="10"/>
      <c r="H64" s="7"/>
      <c r="I64" s="8"/>
      <c r="J64" s="8"/>
      <c r="K64" s="8"/>
      <c r="L64" s="8"/>
      <c r="M64" s="8"/>
      <c r="N64" s="8"/>
      <c r="O64" s="8"/>
    </row>
    <row r="65" spans="1:16" ht="25.5" thickBot="1">
      <c r="A65" s="133"/>
      <c r="B65" s="10"/>
      <c r="C65" s="10"/>
      <c r="D65" s="10"/>
      <c r="E65" s="10"/>
      <c r="F65" s="10"/>
      <c r="G65" s="10"/>
      <c r="H65" s="11" t="s">
        <v>332</v>
      </c>
      <c r="I65" s="116" t="s">
        <v>775</v>
      </c>
      <c r="J65" s="116" t="s">
        <v>3255</v>
      </c>
      <c r="K65" s="12" t="s">
        <v>334</v>
      </c>
      <c r="L65" s="13" t="s">
        <v>370</v>
      </c>
      <c r="M65" s="13" t="s">
        <v>371</v>
      </c>
      <c r="N65" s="12">
        <v>5</v>
      </c>
      <c r="O65" s="139" t="s">
        <v>2331</v>
      </c>
      <c r="P65" s="74" t="s">
        <v>372</v>
      </c>
    </row>
    <row r="66" spans="1:16" ht="24.75">
      <c r="H66" s="10">
        <v>2</v>
      </c>
      <c r="I66" s="116" t="s">
        <v>775</v>
      </c>
      <c r="J66" s="116" t="s">
        <v>3255</v>
      </c>
      <c r="K66" s="12" t="s">
        <v>334</v>
      </c>
      <c r="L66" s="13" t="s">
        <v>370</v>
      </c>
      <c r="M66" s="13" t="s">
        <v>371</v>
      </c>
      <c r="N66" s="12">
        <v>10</v>
      </c>
      <c r="O66" s="139" t="s">
        <v>2331</v>
      </c>
      <c r="P66" s="74" t="s">
        <v>372</v>
      </c>
    </row>
    <row r="67" spans="1:16" ht="24.75">
      <c r="H67" s="10">
        <v>3</v>
      </c>
      <c r="I67" s="116" t="s">
        <v>775</v>
      </c>
      <c r="J67" s="116" t="s">
        <v>3255</v>
      </c>
      <c r="K67" s="12" t="s">
        <v>334</v>
      </c>
      <c r="L67" s="13" t="s">
        <v>370</v>
      </c>
      <c r="M67" s="13" t="s">
        <v>371</v>
      </c>
      <c r="N67" s="12">
        <v>15</v>
      </c>
      <c r="O67" s="139" t="s">
        <v>2331</v>
      </c>
      <c r="P67" s="74" t="s">
        <v>372</v>
      </c>
    </row>
    <row r="68" spans="1:16" ht="24.75">
      <c r="H68" s="10">
        <v>4</v>
      </c>
      <c r="I68" s="116" t="s">
        <v>775</v>
      </c>
      <c r="J68" s="116" t="s">
        <v>3255</v>
      </c>
      <c r="K68" s="12" t="s">
        <v>334</v>
      </c>
      <c r="L68" s="13" t="s">
        <v>370</v>
      </c>
      <c r="M68" s="13" t="s">
        <v>371</v>
      </c>
      <c r="N68" s="12">
        <v>20</v>
      </c>
      <c r="O68" s="139" t="s">
        <v>2331</v>
      </c>
      <c r="P68" s="74" t="s">
        <v>372</v>
      </c>
    </row>
    <row r="69" spans="1:16" ht="14.25" thickBot="1">
      <c r="A69" s="136">
        <v>2107000000015</v>
      </c>
      <c r="B69" s="10"/>
      <c r="C69" s="10" t="s">
        <v>621</v>
      </c>
      <c r="D69" s="10" t="s">
        <v>622</v>
      </c>
      <c r="E69" s="115" t="b">
        <v>1</v>
      </c>
      <c r="F69" s="10"/>
      <c r="G69" s="10"/>
      <c r="H69" s="7"/>
      <c r="I69" s="8"/>
      <c r="J69" s="8"/>
      <c r="K69" s="8"/>
      <c r="L69" s="8"/>
      <c r="M69" s="8"/>
      <c r="N69" s="8"/>
      <c r="O69" s="8"/>
    </row>
    <row r="70" spans="1:16" ht="25.5" thickBot="1">
      <c r="A70" s="133"/>
      <c r="B70" s="10"/>
      <c r="C70" s="10"/>
      <c r="D70" s="10"/>
      <c r="E70" s="10"/>
      <c r="F70" s="10"/>
      <c r="G70" s="10"/>
      <c r="H70" s="11" t="s">
        <v>332</v>
      </c>
      <c r="I70" s="116" t="s">
        <v>776</v>
      </c>
      <c r="J70" s="116" t="s">
        <v>3257</v>
      </c>
      <c r="K70" s="12" t="s">
        <v>334</v>
      </c>
      <c r="L70" s="13" t="s">
        <v>370</v>
      </c>
      <c r="M70" s="13" t="s">
        <v>374</v>
      </c>
      <c r="N70" s="12">
        <v>5</v>
      </c>
      <c r="O70" s="139" t="s">
        <v>2331</v>
      </c>
      <c r="P70" s="74" t="s">
        <v>375</v>
      </c>
    </row>
    <row r="71" spans="1:16" ht="24.75">
      <c r="H71" s="10">
        <v>2</v>
      </c>
      <c r="I71" s="116" t="s">
        <v>776</v>
      </c>
      <c r="J71" s="116" t="s">
        <v>3257</v>
      </c>
      <c r="K71" s="12" t="s">
        <v>334</v>
      </c>
      <c r="L71" s="13" t="s">
        <v>370</v>
      </c>
      <c r="M71" s="13" t="s">
        <v>374</v>
      </c>
      <c r="N71" s="12">
        <v>10</v>
      </c>
      <c r="O71" s="139" t="s">
        <v>2331</v>
      </c>
      <c r="P71" s="74" t="s">
        <v>375</v>
      </c>
    </row>
    <row r="72" spans="1:16" ht="24.75">
      <c r="H72" s="10">
        <v>3</v>
      </c>
      <c r="I72" s="116" t="s">
        <v>776</v>
      </c>
      <c r="J72" s="116" t="s">
        <v>3257</v>
      </c>
      <c r="K72" s="12" t="s">
        <v>334</v>
      </c>
      <c r="L72" s="13" t="s">
        <v>370</v>
      </c>
      <c r="M72" s="13" t="s">
        <v>374</v>
      </c>
      <c r="N72" s="12">
        <v>15</v>
      </c>
      <c r="O72" s="139" t="s">
        <v>2331</v>
      </c>
      <c r="P72" s="74" t="s">
        <v>375</v>
      </c>
    </row>
    <row r="73" spans="1:16" ht="24.75">
      <c r="H73" s="10">
        <v>4</v>
      </c>
      <c r="I73" s="116" t="s">
        <v>776</v>
      </c>
      <c r="J73" s="116" t="s">
        <v>3257</v>
      </c>
      <c r="K73" s="12" t="s">
        <v>334</v>
      </c>
      <c r="L73" s="13" t="s">
        <v>370</v>
      </c>
      <c r="M73" s="13" t="s">
        <v>374</v>
      </c>
      <c r="N73" s="12">
        <v>20</v>
      </c>
      <c r="O73" s="139" t="s">
        <v>2331</v>
      </c>
      <c r="P73" s="74" t="s">
        <v>375</v>
      </c>
    </row>
    <row r="74" spans="1:16">
      <c r="A74" s="136">
        <v>2107000000016</v>
      </c>
      <c r="B74" s="10"/>
      <c r="C74" s="10" t="s">
        <v>621</v>
      </c>
      <c r="D74" s="10" t="s">
        <v>622</v>
      </c>
      <c r="E74" s="115" t="b">
        <v>1</v>
      </c>
      <c r="F74" s="10"/>
      <c r="G74" s="10"/>
    </row>
    <row r="75" spans="1:16" ht="24.75">
      <c r="H75" s="10">
        <v>1</v>
      </c>
      <c r="I75" s="116" t="s">
        <v>3259</v>
      </c>
      <c r="J75" s="116" t="s">
        <v>3259</v>
      </c>
      <c r="K75" s="12" t="s">
        <v>334</v>
      </c>
      <c r="L75" s="19" t="s">
        <v>793</v>
      </c>
      <c r="M75" s="19" t="s">
        <v>3260</v>
      </c>
      <c r="N75" s="19">
        <v>1</v>
      </c>
      <c r="O75" s="139" t="s">
        <v>2332</v>
      </c>
      <c r="P75" s="74" t="s">
        <v>1190</v>
      </c>
    </row>
    <row r="76" spans="1:16">
      <c r="A76" s="136">
        <v>2107000000017</v>
      </c>
      <c r="B76" s="10"/>
      <c r="C76" s="10" t="s">
        <v>621</v>
      </c>
      <c r="D76" s="10" t="s">
        <v>622</v>
      </c>
      <c r="E76" s="115" t="b">
        <v>1</v>
      </c>
      <c r="F76" s="10"/>
      <c r="G76" s="10"/>
    </row>
    <row r="77" spans="1:16" ht="24.75">
      <c r="H77" s="10">
        <v>1</v>
      </c>
      <c r="I77" s="116" t="s">
        <v>767</v>
      </c>
      <c r="J77" s="116" t="s">
        <v>767</v>
      </c>
      <c r="K77" s="12" t="s">
        <v>334</v>
      </c>
      <c r="L77" s="19" t="s">
        <v>793</v>
      </c>
      <c r="M77" s="19" t="s">
        <v>3261</v>
      </c>
      <c r="N77" s="19">
        <v>1</v>
      </c>
      <c r="O77" s="139" t="s">
        <v>2333</v>
      </c>
      <c r="P77" s="74" t="s">
        <v>1190</v>
      </c>
    </row>
    <row r="78" spans="1:16">
      <c r="A78" s="136">
        <v>2107000000018</v>
      </c>
      <c r="B78" s="10"/>
      <c r="C78" s="10" t="s">
        <v>621</v>
      </c>
      <c r="D78" s="10" t="s">
        <v>622</v>
      </c>
      <c r="E78" s="115" t="b">
        <v>1</v>
      </c>
      <c r="F78" s="10"/>
      <c r="G78" s="10"/>
    </row>
    <row r="79" spans="1:16" ht="24.75">
      <c r="H79" s="10">
        <v>1</v>
      </c>
      <c r="I79" s="116" t="s">
        <v>768</v>
      </c>
      <c r="J79" s="116" t="s">
        <v>768</v>
      </c>
      <c r="K79" s="12" t="s">
        <v>334</v>
      </c>
      <c r="L79" s="19" t="s">
        <v>793</v>
      </c>
      <c r="M79" s="19" t="s">
        <v>3262</v>
      </c>
      <c r="N79" s="19">
        <v>1</v>
      </c>
      <c r="O79" s="139" t="s">
        <v>2334</v>
      </c>
      <c r="P79" s="74" t="s">
        <v>1190</v>
      </c>
    </row>
    <row r="80" spans="1:16">
      <c r="A80" s="136">
        <v>2107000000019</v>
      </c>
      <c r="B80" s="10"/>
      <c r="C80" s="10" t="s">
        <v>621</v>
      </c>
      <c r="D80" s="10" t="s">
        <v>622</v>
      </c>
      <c r="E80" s="115" t="b">
        <v>1</v>
      </c>
      <c r="F80" s="10"/>
      <c r="G80" s="10"/>
    </row>
    <row r="81" spans="1:19" ht="24.75">
      <c r="A81" s="136"/>
      <c r="B81" s="10"/>
      <c r="C81" s="10"/>
      <c r="D81" s="10"/>
      <c r="E81" s="115"/>
      <c r="F81" s="10"/>
      <c r="G81" s="10"/>
      <c r="H81" s="10">
        <v>1</v>
      </c>
      <c r="I81" s="116" t="s">
        <v>3263</v>
      </c>
      <c r="J81" s="116" t="s">
        <v>768</v>
      </c>
      <c r="K81" s="12" t="s">
        <v>334</v>
      </c>
      <c r="L81" s="19" t="s">
        <v>793</v>
      </c>
      <c r="M81" s="19" t="s">
        <v>3265</v>
      </c>
      <c r="N81" s="19">
        <v>2</v>
      </c>
      <c r="O81" s="139" t="s">
        <v>2335</v>
      </c>
      <c r="P81" s="74" t="s">
        <v>1190</v>
      </c>
    </row>
    <row r="82" spans="1:19">
      <c r="A82" s="55"/>
      <c r="B82" s="55"/>
      <c r="C82" s="55"/>
      <c r="D82" s="55"/>
      <c r="E82" s="55"/>
      <c r="F82" s="55"/>
      <c r="G82" s="55"/>
      <c r="H82" s="54"/>
      <c r="I82" s="123"/>
      <c r="J82" s="123"/>
      <c r="K82" s="55"/>
      <c r="L82" s="55"/>
      <c r="M82" s="124"/>
      <c r="N82" s="55"/>
      <c r="O82" s="58"/>
      <c r="P82" s="72"/>
    </row>
    <row r="83" spans="1:19" customFormat="1" ht="17.25" thickBot="1">
      <c r="A83" s="10">
        <v>2107000001007</v>
      </c>
      <c r="B83" s="10"/>
      <c r="C83" s="10">
        <v>2200000000029</v>
      </c>
      <c r="D83" s="10" t="s">
        <v>3266</v>
      </c>
      <c r="E83" s="10" t="b">
        <v>1</v>
      </c>
      <c r="F83" s="10"/>
      <c r="G83" s="10"/>
      <c r="H83" s="7"/>
      <c r="I83" s="7"/>
      <c r="J83" s="8"/>
      <c r="K83" s="8"/>
      <c r="L83" s="8"/>
      <c r="M83" s="8"/>
      <c r="N83" s="8"/>
      <c r="O83" s="8"/>
      <c r="P83" s="19"/>
    </row>
    <row r="84" spans="1:19" customFormat="1" ht="26.25" thickBot="1">
      <c r="A84" s="10"/>
      <c r="B84" s="10"/>
      <c r="C84" s="10"/>
      <c r="D84" s="10"/>
      <c r="E84" s="10"/>
      <c r="F84" s="10"/>
      <c r="G84" s="10"/>
      <c r="H84" s="11" t="s">
        <v>332</v>
      </c>
      <c r="I84" s="116" t="s">
        <v>3268</v>
      </c>
      <c r="J84" s="116" t="s">
        <v>3268</v>
      </c>
      <c r="K84" s="12" t="s">
        <v>334</v>
      </c>
      <c r="L84" s="83" t="s">
        <v>551</v>
      </c>
      <c r="M84" s="83"/>
      <c r="N84" s="13">
        <v>1</v>
      </c>
      <c r="O84" s="139" t="s">
        <v>3270</v>
      </c>
      <c r="P84" s="19"/>
      <c r="R84" s="19"/>
      <c r="S84" s="19"/>
    </row>
    <row r="85" spans="1:19" customFormat="1" ht="26.25" thickBot="1">
      <c r="A85" s="10"/>
      <c r="B85" s="10"/>
      <c r="C85" s="10"/>
      <c r="D85" s="10"/>
      <c r="E85" s="19"/>
      <c r="F85" s="10"/>
      <c r="G85" s="10"/>
      <c r="H85" s="11" t="s">
        <v>401</v>
      </c>
      <c r="I85" s="116" t="s">
        <v>3268</v>
      </c>
      <c r="J85" s="116" t="s">
        <v>3268</v>
      </c>
      <c r="K85" s="12" t="s">
        <v>334</v>
      </c>
      <c r="L85" s="83" t="s">
        <v>551</v>
      </c>
      <c r="M85" s="83"/>
      <c r="N85" s="13">
        <v>2</v>
      </c>
      <c r="O85" s="139" t="s">
        <v>3270</v>
      </c>
      <c r="P85" s="19"/>
      <c r="R85" s="19"/>
      <c r="S85" s="19"/>
    </row>
    <row r="86" spans="1:19" customFormat="1" ht="26.25" thickBot="1">
      <c r="A86" s="10"/>
      <c r="B86" s="10"/>
      <c r="C86" s="10"/>
      <c r="D86" s="10"/>
      <c r="E86" s="19"/>
      <c r="F86" s="10"/>
      <c r="G86" s="10"/>
      <c r="H86" s="11" t="s">
        <v>402</v>
      </c>
      <c r="I86" s="116" t="s">
        <v>3268</v>
      </c>
      <c r="J86" s="116" t="s">
        <v>3268</v>
      </c>
      <c r="K86" s="12" t="s">
        <v>334</v>
      </c>
      <c r="L86" s="83" t="s">
        <v>551</v>
      </c>
      <c r="M86" s="83"/>
      <c r="N86" s="13">
        <v>3</v>
      </c>
      <c r="O86" s="139" t="s">
        <v>3270</v>
      </c>
      <c r="P86" s="19"/>
      <c r="R86" s="19"/>
      <c r="S86" s="19"/>
    </row>
    <row r="87" spans="1:19" customFormat="1" ht="26.25" thickBot="1">
      <c r="A87" s="10"/>
      <c r="B87" s="10"/>
      <c r="C87" s="10"/>
      <c r="D87" s="10"/>
      <c r="E87" s="19"/>
      <c r="F87" s="10"/>
      <c r="G87" s="10"/>
      <c r="H87" s="11" t="s">
        <v>404</v>
      </c>
      <c r="I87" s="116" t="s">
        <v>3268</v>
      </c>
      <c r="J87" s="116" t="s">
        <v>3268</v>
      </c>
      <c r="K87" s="12" t="s">
        <v>334</v>
      </c>
      <c r="L87" s="83" t="s">
        <v>551</v>
      </c>
      <c r="M87" s="83"/>
      <c r="N87" s="13">
        <v>4</v>
      </c>
      <c r="O87" s="139" t="s">
        <v>3270</v>
      </c>
      <c r="P87" s="19"/>
      <c r="R87" s="19"/>
      <c r="S87" s="19"/>
    </row>
    <row r="88" spans="1:19" customFormat="1" ht="26.25" thickBot="1">
      <c r="A88" s="10"/>
      <c r="B88" s="10"/>
      <c r="C88" s="10"/>
      <c r="D88" s="10"/>
      <c r="E88" s="10"/>
      <c r="F88" s="10"/>
      <c r="G88" s="10"/>
      <c r="H88" s="11" t="s">
        <v>405</v>
      </c>
      <c r="I88" s="116" t="s">
        <v>3268</v>
      </c>
      <c r="J88" s="116" t="s">
        <v>3268</v>
      </c>
      <c r="K88" s="12" t="s">
        <v>334</v>
      </c>
      <c r="L88" s="83" t="s">
        <v>551</v>
      </c>
      <c r="M88" s="83"/>
      <c r="N88" s="13">
        <v>5</v>
      </c>
      <c r="O88" s="139" t="s">
        <v>3270</v>
      </c>
      <c r="P88" s="19"/>
      <c r="R88" s="19"/>
      <c r="S88" s="19"/>
    </row>
    <row r="89" spans="1:19" customFormat="1" ht="26.25" thickBot="1">
      <c r="A89" s="10"/>
      <c r="B89" s="10"/>
      <c r="C89" s="10"/>
      <c r="D89" s="10"/>
      <c r="E89" s="19"/>
      <c r="F89" s="10"/>
      <c r="G89" s="10"/>
      <c r="H89" s="11" t="s">
        <v>407</v>
      </c>
      <c r="I89" s="116" t="s">
        <v>3268</v>
      </c>
      <c r="J89" s="116" t="s">
        <v>3271</v>
      </c>
      <c r="K89" s="12" t="s">
        <v>334</v>
      </c>
      <c r="L89" s="83" t="s">
        <v>551</v>
      </c>
      <c r="M89" s="83"/>
      <c r="N89" s="13">
        <v>6</v>
      </c>
      <c r="O89" s="139" t="s">
        <v>3270</v>
      </c>
      <c r="P89" s="19"/>
      <c r="R89" s="19"/>
      <c r="S89" s="19"/>
    </row>
    <row r="90" spans="1:19" customFormat="1" ht="26.25" thickBot="1">
      <c r="A90" s="10"/>
      <c r="B90" s="10"/>
      <c r="C90" s="10"/>
      <c r="D90" s="10"/>
      <c r="E90" s="19"/>
      <c r="F90" s="10"/>
      <c r="G90" s="10"/>
      <c r="H90" s="11" t="s">
        <v>408</v>
      </c>
      <c r="I90" s="116" t="s">
        <v>3268</v>
      </c>
      <c r="J90" s="116" t="s">
        <v>3268</v>
      </c>
      <c r="K90" s="12" t="s">
        <v>334</v>
      </c>
      <c r="L90" s="83" t="s">
        <v>551</v>
      </c>
      <c r="M90" s="83"/>
      <c r="N90" s="13">
        <v>7</v>
      </c>
      <c r="O90" s="139" t="s">
        <v>3270</v>
      </c>
      <c r="P90" s="19"/>
      <c r="R90" s="19"/>
      <c r="S90" s="19"/>
    </row>
    <row r="91" spans="1:19" customFormat="1" ht="26.25" thickBot="1">
      <c r="A91" s="10"/>
      <c r="B91" s="10"/>
      <c r="C91" s="10"/>
      <c r="D91" s="10"/>
      <c r="E91" s="19"/>
      <c r="F91" s="10"/>
      <c r="G91" s="10"/>
      <c r="H91" s="11" t="s">
        <v>409</v>
      </c>
      <c r="I91" s="116" t="s">
        <v>3268</v>
      </c>
      <c r="J91" s="116" t="s">
        <v>3268</v>
      </c>
      <c r="K91" s="12" t="s">
        <v>334</v>
      </c>
      <c r="L91" s="83" t="s">
        <v>551</v>
      </c>
      <c r="M91" s="83"/>
      <c r="N91" s="13">
        <v>8</v>
      </c>
      <c r="O91" s="139" t="s">
        <v>3270</v>
      </c>
      <c r="P91" s="19"/>
      <c r="R91" s="19"/>
      <c r="S91" s="19"/>
    </row>
    <row r="92" spans="1:19" customFormat="1" ht="26.25" thickBot="1">
      <c r="A92" s="10"/>
      <c r="B92" s="10"/>
      <c r="C92" s="10"/>
      <c r="D92" s="10"/>
      <c r="E92" s="10"/>
      <c r="F92" s="10"/>
      <c r="G92" s="10"/>
      <c r="H92" s="11" t="s">
        <v>410</v>
      </c>
      <c r="I92" s="116" t="s">
        <v>3268</v>
      </c>
      <c r="J92" s="116" t="s">
        <v>3268</v>
      </c>
      <c r="K92" s="12" t="s">
        <v>334</v>
      </c>
      <c r="L92" s="83" t="s">
        <v>551</v>
      </c>
      <c r="M92" s="83"/>
      <c r="N92" s="13">
        <v>9</v>
      </c>
      <c r="O92" s="139" t="s">
        <v>3270</v>
      </c>
      <c r="P92" s="19"/>
      <c r="R92" s="19"/>
      <c r="S92" s="19"/>
    </row>
    <row r="93" spans="1:19" customFormat="1" ht="26.25" thickBot="1">
      <c r="A93" s="10"/>
      <c r="B93" s="10"/>
      <c r="C93" s="10"/>
      <c r="D93" s="10"/>
      <c r="E93" s="19"/>
      <c r="F93" s="10"/>
      <c r="G93" s="10"/>
      <c r="H93" s="11" t="s">
        <v>411</v>
      </c>
      <c r="I93" s="116" t="s">
        <v>3268</v>
      </c>
      <c r="J93" s="116" t="s">
        <v>3268</v>
      </c>
      <c r="K93" s="12" t="s">
        <v>334</v>
      </c>
      <c r="L93" s="83" t="s">
        <v>551</v>
      </c>
      <c r="M93" s="83"/>
      <c r="N93" s="13">
        <v>10</v>
      </c>
      <c r="O93" s="139" t="s">
        <v>3270</v>
      </c>
      <c r="P93" s="19"/>
      <c r="R93" s="19"/>
      <c r="S93" s="19"/>
    </row>
    <row r="94" spans="1:19" customFormat="1" ht="26.25" thickBot="1">
      <c r="A94" s="10"/>
      <c r="B94" s="10"/>
      <c r="C94" s="10"/>
      <c r="D94" s="10"/>
      <c r="E94" s="19"/>
      <c r="F94" s="10"/>
      <c r="G94" s="10"/>
      <c r="H94" s="11" t="s">
        <v>412</v>
      </c>
      <c r="I94" s="116" t="s">
        <v>3268</v>
      </c>
      <c r="J94" s="116" t="s">
        <v>3268</v>
      </c>
      <c r="K94" s="12" t="s">
        <v>334</v>
      </c>
      <c r="L94" s="83" t="s">
        <v>551</v>
      </c>
      <c r="M94" s="83"/>
      <c r="N94" s="13">
        <v>11</v>
      </c>
      <c r="O94" s="139" t="s">
        <v>3270</v>
      </c>
      <c r="P94" s="19"/>
      <c r="R94" s="19"/>
      <c r="S94" s="19"/>
    </row>
    <row r="95" spans="1:19" customFormat="1" ht="26.25" thickBot="1">
      <c r="A95" s="10"/>
      <c r="B95" s="10"/>
      <c r="C95" s="10"/>
      <c r="D95" s="10"/>
      <c r="E95" s="19"/>
      <c r="F95" s="10"/>
      <c r="G95" s="10"/>
      <c r="H95" s="11" t="s">
        <v>413</v>
      </c>
      <c r="I95" s="116" t="s">
        <v>3268</v>
      </c>
      <c r="J95" s="116" t="s">
        <v>3268</v>
      </c>
      <c r="K95" s="12" t="s">
        <v>334</v>
      </c>
      <c r="L95" s="83" t="s">
        <v>551</v>
      </c>
      <c r="M95" s="83"/>
      <c r="N95" s="13">
        <v>12</v>
      </c>
      <c r="O95" s="139" t="s">
        <v>3270</v>
      </c>
      <c r="P95" s="19"/>
      <c r="R95" s="19"/>
      <c r="S95" s="19"/>
    </row>
    <row r="96" spans="1:19" customFormat="1" ht="26.25" thickBot="1">
      <c r="A96" s="10"/>
      <c r="B96" s="10"/>
      <c r="C96" s="10"/>
      <c r="D96" s="10"/>
      <c r="E96" s="10"/>
      <c r="F96" s="10"/>
      <c r="G96" s="10"/>
      <c r="H96" s="11" t="s">
        <v>414</v>
      </c>
      <c r="I96" s="116" t="s">
        <v>3271</v>
      </c>
      <c r="J96" s="116" t="s">
        <v>3268</v>
      </c>
      <c r="K96" s="12" t="s">
        <v>334</v>
      </c>
      <c r="L96" s="83" t="s">
        <v>551</v>
      </c>
      <c r="M96" s="83"/>
      <c r="N96" s="13">
        <v>13</v>
      </c>
      <c r="O96" s="139" t="s">
        <v>3270</v>
      </c>
      <c r="P96" s="19"/>
      <c r="R96" s="19"/>
      <c r="S96" s="19"/>
    </row>
    <row r="97" spans="1:19" customFormat="1" ht="26.25" thickBot="1">
      <c r="A97" s="10"/>
      <c r="B97" s="10"/>
      <c r="C97" s="10"/>
      <c r="D97" s="10"/>
      <c r="E97" s="19"/>
      <c r="F97" s="10"/>
      <c r="G97" s="10"/>
      <c r="H97" s="11" t="s">
        <v>415</v>
      </c>
      <c r="I97" s="116" t="s">
        <v>3268</v>
      </c>
      <c r="J97" s="116" t="s">
        <v>3268</v>
      </c>
      <c r="K97" s="12" t="s">
        <v>334</v>
      </c>
      <c r="L97" s="83" t="s">
        <v>551</v>
      </c>
      <c r="M97" s="83"/>
      <c r="N97" s="13">
        <v>14</v>
      </c>
      <c r="O97" s="139" t="s">
        <v>3270</v>
      </c>
      <c r="P97" s="19"/>
      <c r="R97" s="19"/>
      <c r="S97" s="19"/>
    </row>
    <row r="98" spans="1:19" customFormat="1" ht="26.25" thickBot="1">
      <c r="A98" s="10"/>
      <c r="B98" s="10"/>
      <c r="C98" s="10"/>
      <c r="D98" s="10"/>
      <c r="E98" s="19"/>
      <c r="F98" s="10"/>
      <c r="G98" s="10"/>
      <c r="H98" s="11" t="s">
        <v>416</v>
      </c>
      <c r="I98" s="116" t="s">
        <v>3268</v>
      </c>
      <c r="J98" s="116" t="s">
        <v>3268</v>
      </c>
      <c r="K98" s="12" t="s">
        <v>334</v>
      </c>
      <c r="L98" s="83" t="s">
        <v>551</v>
      </c>
      <c r="M98" s="83"/>
      <c r="N98" s="13">
        <v>15</v>
      </c>
      <c r="O98" s="139" t="s">
        <v>3270</v>
      </c>
      <c r="P98" s="19"/>
      <c r="R98" s="19"/>
      <c r="S98" s="19"/>
    </row>
    <row r="99" spans="1:19" customFormat="1" ht="26.25" thickBot="1">
      <c r="A99" s="10"/>
      <c r="B99" s="10"/>
      <c r="C99" s="10"/>
      <c r="D99" s="10"/>
      <c r="E99" s="19"/>
      <c r="F99" s="10"/>
      <c r="G99" s="10"/>
      <c r="H99" s="11" t="s">
        <v>418</v>
      </c>
      <c r="I99" s="116" t="s">
        <v>3267</v>
      </c>
      <c r="J99" s="116" t="s">
        <v>3268</v>
      </c>
      <c r="K99" s="12" t="s">
        <v>334</v>
      </c>
      <c r="L99" s="83" t="s">
        <v>551</v>
      </c>
      <c r="M99" s="83"/>
      <c r="N99" s="13">
        <v>16</v>
      </c>
      <c r="O99" s="139" t="s">
        <v>3270</v>
      </c>
      <c r="P99" s="19"/>
      <c r="R99" s="19"/>
      <c r="S99" s="19"/>
    </row>
    <row r="100" spans="1:19" customFormat="1" ht="26.25" thickBot="1">
      <c r="A100" s="10"/>
      <c r="B100" s="10"/>
      <c r="C100" s="10"/>
      <c r="D100" s="10"/>
      <c r="E100" s="10"/>
      <c r="F100" s="10"/>
      <c r="G100" s="10"/>
      <c r="H100" s="11" t="s">
        <v>419</v>
      </c>
      <c r="I100" s="116" t="s">
        <v>3268</v>
      </c>
      <c r="J100" s="116" t="s">
        <v>3268</v>
      </c>
      <c r="K100" s="12" t="s">
        <v>334</v>
      </c>
      <c r="L100" s="83" t="s">
        <v>551</v>
      </c>
      <c r="M100" s="83"/>
      <c r="N100" s="13">
        <v>17</v>
      </c>
      <c r="O100" s="139" t="s">
        <v>3270</v>
      </c>
      <c r="P100" s="19"/>
      <c r="R100" s="19"/>
      <c r="S100" s="19"/>
    </row>
    <row r="101" spans="1:19" customFormat="1" ht="26.25" thickBot="1">
      <c r="A101" s="10"/>
      <c r="B101" s="10"/>
      <c r="C101" s="10"/>
      <c r="D101" s="10"/>
      <c r="E101" s="19"/>
      <c r="F101" s="10"/>
      <c r="G101" s="10"/>
      <c r="H101" s="11" t="s">
        <v>420</v>
      </c>
      <c r="I101" s="116" t="s">
        <v>3268</v>
      </c>
      <c r="J101" s="116" t="s">
        <v>3271</v>
      </c>
      <c r="K101" s="12" t="s">
        <v>334</v>
      </c>
      <c r="L101" s="83" t="s">
        <v>551</v>
      </c>
      <c r="M101" s="83"/>
      <c r="N101" s="13">
        <v>18</v>
      </c>
      <c r="O101" s="139" t="s">
        <v>3270</v>
      </c>
      <c r="P101" s="19"/>
      <c r="R101" s="19"/>
      <c r="S101" s="19"/>
    </row>
    <row r="102" spans="1:19" customFormat="1" ht="26.25" thickBot="1">
      <c r="A102" s="10"/>
      <c r="B102" s="10"/>
      <c r="C102" s="10"/>
      <c r="D102" s="10"/>
      <c r="E102" s="19"/>
      <c r="F102" s="10"/>
      <c r="G102" s="10"/>
      <c r="H102" s="11" t="s">
        <v>421</v>
      </c>
      <c r="I102" s="116" t="s">
        <v>3268</v>
      </c>
      <c r="J102" s="116" t="s">
        <v>3268</v>
      </c>
      <c r="K102" s="12" t="s">
        <v>334</v>
      </c>
      <c r="L102" s="83" t="s">
        <v>551</v>
      </c>
      <c r="M102" s="83"/>
      <c r="N102" s="13">
        <v>19</v>
      </c>
      <c r="O102" s="139" t="s">
        <v>3270</v>
      </c>
      <c r="P102" s="19"/>
      <c r="R102" s="19"/>
      <c r="S102" s="19"/>
    </row>
    <row r="103" spans="1:19" customFormat="1" ht="26.25" thickBot="1">
      <c r="A103" s="10"/>
      <c r="B103" s="10"/>
      <c r="C103" s="10"/>
      <c r="D103" s="10"/>
      <c r="E103" s="19"/>
      <c r="F103" s="10"/>
      <c r="G103" s="10"/>
      <c r="H103" s="11" t="s">
        <v>422</v>
      </c>
      <c r="I103" s="116" t="s">
        <v>3268</v>
      </c>
      <c r="J103" s="116" t="s">
        <v>3268</v>
      </c>
      <c r="K103" s="12" t="s">
        <v>334</v>
      </c>
      <c r="L103" s="83" t="s">
        <v>551</v>
      </c>
      <c r="M103" s="83"/>
      <c r="N103" s="13">
        <v>20</v>
      </c>
      <c r="O103" s="139" t="s">
        <v>3270</v>
      </c>
      <c r="P103" s="19"/>
      <c r="R103" s="19"/>
      <c r="S103" s="19"/>
    </row>
    <row r="104" spans="1:19" customFormat="1" ht="26.25" thickBot="1">
      <c r="A104" s="10"/>
      <c r="B104" s="10"/>
      <c r="C104" s="10"/>
      <c r="D104" s="10"/>
      <c r="E104" s="10"/>
      <c r="F104" s="10"/>
      <c r="G104" s="10"/>
      <c r="H104" s="11" t="s">
        <v>2928</v>
      </c>
      <c r="I104" s="116" t="s">
        <v>3268</v>
      </c>
      <c r="J104" s="116" t="s">
        <v>3271</v>
      </c>
      <c r="K104" s="12" t="s">
        <v>334</v>
      </c>
      <c r="L104" s="83" t="s">
        <v>551</v>
      </c>
      <c r="M104" s="83"/>
      <c r="N104" s="13">
        <v>21</v>
      </c>
      <c r="O104" s="139" t="s">
        <v>3270</v>
      </c>
      <c r="P104" s="19"/>
      <c r="R104" s="19"/>
      <c r="S104" s="19"/>
    </row>
    <row r="105" spans="1:19" customFormat="1" ht="26.25" thickBot="1">
      <c r="A105" s="10"/>
      <c r="B105" s="10"/>
      <c r="C105" s="10"/>
      <c r="D105" s="10"/>
      <c r="E105" s="19"/>
      <c r="F105" s="10"/>
      <c r="G105" s="10"/>
      <c r="H105" s="11" t="s">
        <v>2929</v>
      </c>
      <c r="I105" s="116" t="s">
        <v>3268</v>
      </c>
      <c r="J105" s="116" t="s">
        <v>3268</v>
      </c>
      <c r="K105" s="12" t="s">
        <v>334</v>
      </c>
      <c r="L105" s="83" t="s">
        <v>551</v>
      </c>
      <c r="M105" s="83"/>
      <c r="N105" s="13">
        <v>22</v>
      </c>
      <c r="O105" s="139" t="s">
        <v>3270</v>
      </c>
      <c r="P105" s="19"/>
      <c r="R105" s="19"/>
      <c r="S105" s="19"/>
    </row>
    <row r="106" spans="1:19" customFormat="1" ht="26.25" thickBot="1">
      <c r="A106" s="10"/>
      <c r="B106" s="10"/>
      <c r="C106" s="10"/>
      <c r="D106" s="10"/>
      <c r="E106" s="19"/>
      <c r="F106" s="10"/>
      <c r="G106" s="10"/>
      <c r="H106" s="11" t="s">
        <v>2930</v>
      </c>
      <c r="I106" s="116" t="s">
        <v>3268</v>
      </c>
      <c r="J106" s="116" t="s">
        <v>3268</v>
      </c>
      <c r="K106" s="12" t="s">
        <v>334</v>
      </c>
      <c r="L106" s="83" t="s">
        <v>551</v>
      </c>
      <c r="M106" s="83"/>
      <c r="N106" s="13">
        <v>23</v>
      </c>
      <c r="O106" s="139" t="s">
        <v>3270</v>
      </c>
      <c r="P106" s="19"/>
      <c r="R106" s="19"/>
      <c r="S106" s="19"/>
    </row>
    <row r="107" spans="1:19" customFormat="1" ht="26.25" thickBot="1">
      <c r="A107" s="10"/>
      <c r="B107" s="10"/>
      <c r="C107" s="10"/>
      <c r="D107" s="10"/>
      <c r="E107" s="19"/>
      <c r="F107" s="10"/>
      <c r="G107" s="10"/>
      <c r="H107" s="11" t="s">
        <v>2931</v>
      </c>
      <c r="I107" s="116" t="s">
        <v>3268</v>
      </c>
      <c r="J107" s="116" t="s">
        <v>3268</v>
      </c>
      <c r="K107" s="12" t="s">
        <v>334</v>
      </c>
      <c r="L107" s="83" t="s">
        <v>551</v>
      </c>
      <c r="M107" s="83"/>
      <c r="N107" s="13">
        <v>24</v>
      </c>
      <c r="O107" s="139" t="s">
        <v>3270</v>
      </c>
      <c r="P107" s="19"/>
      <c r="R107" s="19"/>
      <c r="S107" s="19"/>
    </row>
    <row r="108" spans="1:19" customFormat="1" ht="26.25" thickBot="1">
      <c r="A108" s="10"/>
      <c r="B108" s="10"/>
      <c r="C108" s="10"/>
      <c r="D108" s="10"/>
      <c r="E108" s="10"/>
      <c r="F108" s="10"/>
      <c r="G108" s="10"/>
      <c r="H108" s="11" t="s">
        <v>2932</v>
      </c>
      <c r="I108" s="116" t="s">
        <v>3268</v>
      </c>
      <c r="J108" s="116" t="s">
        <v>3268</v>
      </c>
      <c r="K108" s="12" t="s">
        <v>334</v>
      </c>
      <c r="L108" s="83" t="s">
        <v>551</v>
      </c>
      <c r="M108" s="83"/>
      <c r="N108" s="13">
        <v>25</v>
      </c>
      <c r="O108" s="139" t="s">
        <v>3270</v>
      </c>
      <c r="P108" s="19"/>
      <c r="R108" s="19"/>
      <c r="S108" s="19"/>
    </row>
    <row r="109" spans="1:19" customFormat="1" ht="26.25" thickBot="1">
      <c r="A109" s="10"/>
      <c r="B109" s="10"/>
      <c r="C109" s="10"/>
      <c r="D109" s="10"/>
      <c r="E109" s="19"/>
      <c r="F109" s="10"/>
      <c r="G109" s="10"/>
      <c r="H109" s="11" t="s">
        <v>2933</v>
      </c>
      <c r="I109" s="116" t="s">
        <v>3268</v>
      </c>
      <c r="J109" s="116" t="s">
        <v>3268</v>
      </c>
      <c r="K109" s="12" t="s">
        <v>334</v>
      </c>
      <c r="L109" s="83" t="s">
        <v>551</v>
      </c>
      <c r="M109" s="83"/>
      <c r="N109" s="13">
        <v>26</v>
      </c>
      <c r="O109" s="139" t="s">
        <v>3270</v>
      </c>
      <c r="P109" s="19"/>
      <c r="R109" s="19"/>
      <c r="S109" s="19"/>
    </row>
    <row r="110" spans="1:19" customFormat="1" ht="26.25" thickBot="1">
      <c r="A110" s="10"/>
      <c r="B110" s="10"/>
      <c r="C110" s="10"/>
      <c r="D110" s="10"/>
      <c r="E110" s="19"/>
      <c r="F110" s="10"/>
      <c r="G110" s="10"/>
      <c r="H110" s="11" t="s">
        <v>2934</v>
      </c>
      <c r="I110" s="116" t="s">
        <v>3268</v>
      </c>
      <c r="J110" s="116" t="s">
        <v>3271</v>
      </c>
      <c r="K110" s="12" t="s">
        <v>334</v>
      </c>
      <c r="L110" s="83" t="s">
        <v>551</v>
      </c>
      <c r="M110" s="83"/>
      <c r="N110" s="13">
        <v>27</v>
      </c>
      <c r="O110" s="139" t="s">
        <v>3270</v>
      </c>
      <c r="P110" s="19"/>
      <c r="R110" s="19"/>
      <c r="S110" s="19"/>
    </row>
    <row r="111" spans="1:19" customFormat="1" ht="26.25" thickBot="1">
      <c r="A111" s="10"/>
      <c r="B111" s="10"/>
      <c r="C111" s="10"/>
      <c r="D111" s="10"/>
      <c r="E111" s="19"/>
      <c r="F111" s="10"/>
      <c r="G111" s="10"/>
      <c r="H111" s="11" t="s">
        <v>2935</v>
      </c>
      <c r="I111" s="116" t="s">
        <v>3268</v>
      </c>
      <c r="J111" s="116" t="s">
        <v>3268</v>
      </c>
      <c r="K111" s="12" t="s">
        <v>334</v>
      </c>
      <c r="L111" s="83" t="s">
        <v>551</v>
      </c>
      <c r="M111" s="83"/>
      <c r="N111" s="13">
        <v>28</v>
      </c>
      <c r="O111" s="139" t="s">
        <v>3270</v>
      </c>
      <c r="P111" s="19"/>
      <c r="R111" s="19"/>
      <c r="S111" s="19"/>
    </row>
    <row r="112" spans="1:19" customFormat="1" ht="17.25" thickBot="1">
      <c r="A112" s="10">
        <v>2107000001008</v>
      </c>
      <c r="B112" s="10"/>
      <c r="C112" s="10">
        <v>2200000000029</v>
      </c>
      <c r="D112" s="10" t="s">
        <v>3266</v>
      </c>
      <c r="E112" s="10" t="b">
        <v>1</v>
      </c>
      <c r="F112" s="10"/>
      <c r="G112" s="10"/>
      <c r="H112" s="7"/>
      <c r="I112" s="7"/>
      <c r="J112" s="8"/>
      <c r="K112" s="8"/>
      <c r="L112" s="8"/>
      <c r="M112" s="8"/>
      <c r="N112" s="8"/>
      <c r="O112" s="8"/>
      <c r="P112" s="19"/>
    </row>
    <row r="113" spans="1:16" customFormat="1" ht="26.25" thickBot="1">
      <c r="A113" s="10"/>
      <c r="B113" s="10"/>
      <c r="C113" s="10"/>
      <c r="D113" s="10"/>
      <c r="E113" s="10"/>
      <c r="F113" s="10"/>
      <c r="G113" s="10"/>
      <c r="H113" s="11" t="s">
        <v>332</v>
      </c>
      <c r="I113" s="116" t="s">
        <v>3235</v>
      </c>
      <c r="J113" s="116" t="s">
        <v>3235</v>
      </c>
      <c r="K113" s="12" t="s">
        <v>334</v>
      </c>
      <c r="L113" s="12" t="s">
        <v>3126</v>
      </c>
      <c r="M113" s="12" t="s">
        <v>3272</v>
      </c>
      <c r="N113" s="13">
        <v>1</v>
      </c>
      <c r="O113" s="139" t="s">
        <v>3270</v>
      </c>
      <c r="P113" s="19" t="s">
        <v>611</v>
      </c>
    </row>
    <row r="114" spans="1:16" customFormat="1" ht="26.25" thickBot="1">
      <c r="A114" s="10"/>
      <c r="B114" s="10"/>
      <c r="C114" s="10"/>
      <c r="D114" s="10"/>
      <c r="E114" s="19"/>
      <c r="F114" s="10"/>
      <c r="G114" s="10"/>
      <c r="H114" s="11" t="s">
        <v>401</v>
      </c>
      <c r="I114" s="116" t="s">
        <v>3235</v>
      </c>
      <c r="J114" s="116" t="s">
        <v>3235</v>
      </c>
      <c r="K114" s="12" t="s">
        <v>334</v>
      </c>
      <c r="L114" s="12" t="s">
        <v>3126</v>
      </c>
      <c r="M114" s="12" t="s">
        <v>3272</v>
      </c>
      <c r="N114" s="13">
        <v>2</v>
      </c>
      <c r="O114" s="139" t="s">
        <v>3270</v>
      </c>
      <c r="P114" s="19" t="s">
        <v>611</v>
      </c>
    </row>
    <row r="115" spans="1:16" customFormat="1" ht="26.25" thickBot="1">
      <c r="A115" s="10"/>
      <c r="B115" s="10"/>
      <c r="C115" s="10"/>
      <c r="D115" s="10"/>
      <c r="E115" s="19"/>
      <c r="F115" s="10"/>
      <c r="G115" s="10"/>
      <c r="H115" s="11" t="s">
        <v>402</v>
      </c>
      <c r="I115" s="116" t="s">
        <v>3235</v>
      </c>
      <c r="J115" s="116" t="s">
        <v>3235</v>
      </c>
      <c r="K115" s="12" t="s">
        <v>334</v>
      </c>
      <c r="L115" s="12" t="s">
        <v>3126</v>
      </c>
      <c r="M115" s="12" t="s">
        <v>3272</v>
      </c>
      <c r="N115" s="13">
        <v>3</v>
      </c>
      <c r="O115" s="139" t="s">
        <v>3273</v>
      </c>
      <c r="P115" s="19" t="s">
        <v>611</v>
      </c>
    </row>
    <row r="116" spans="1:16" customFormat="1" ht="26.25" thickBot="1">
      <c r="A116" s="10"/>
      <c r="B116" s="10"/>
      <c r="C116" s="10"/>
      <c r="D116" s="10"/>
      <c r="E116" s="19"/>
      <c r="F116" s="10"/>
      <c r="G116" s="10"/>
      <c r="H116" s="11" t="s">
        <v>404</v>
      </c>
      <c r="I116" s="116" t="s">
        <v>3235</v>
      </c>
      <c r="J116" s="116" t="s">
        <v>3235</v>
      </c>
      <c r="K116" s="12" t="s">
        <v>334</v>
      </c>
      <c r="L116" s="12" t="s">
        <v>3126</v>
      </c>
      <c r="M116" s="12" t="s">
        <v>3272</v>
      </c>
      <c r="N116" s="13">
        <v>4</v>
      </c>
      <c r="O116" s="139" t="s">
        <v>3270</v>
      </c>
      <c r="P116" s="19" t="s">
        <v>611</v>
      </c>
    </row>
    <row r="117" spans="1:16" customFormat="1" ht="26.25" thickBot="1">
      <c r="A117" s="10"/>
      <c r="B117" s="10"/>
      <c r="C117" s="10"/>
      <c r="D117" s="10"/>
      <c r="E117" s="10"/>
      <c r="F117" s="10"/>
      <c r="G117" s="10"/>
      <c r="H117" s="11" t="s">
        <v>405</v>
      </c>
      <c r="I117" s="116" t="s">
        <v>3235</v>
      </c>
      <c r="J117" s="116" t="s">
        <v>3235</v>
      </c>
      <c r="K117" s="12" t="s">
        <v>334</v>
      </c>
      <c r="L117" s="12" t="s">
        <v>3126</v>
      </c>
      <c r="M117" s="12" t="s">
        <v>3272</v>
      </c>
      <c r="N117" s="13">
        <v>5</v>
      </c>
      <c r="O117" s="139" t="s">
        <v>3270</v>
      </c>
      <c r="P117" s="19" t="s">
        <v>611</v>
      </c>
    </row>
    <row r="118" spans="1:16" customFormat="1" ht="26.25" thickBot="1">
      <c r="A118" s="10"/>
      <c r="B118" s="10"/>
      <c r="C118" s="10"/>
      <c r="D118" s="10"/>
      <c r="E118" s="19"/>
      <c r="F118" s="10"/>
      <c r="G118" s="10"/>
      <c r="H118" s="11" t="s">
        <v>407</v>
      </c>
      <c r="I118" s="116" t="s">
        <v>3235</v>
      </c>
      <c r="J118" s="116" t="s">
        <v>3235</v>
      </c>
      <c r="K118" s="12" t="s">
        <v>334</v>
      </c>
      <c r="L118" s="12" t="s">
        <v>3126</v>
      </c>
      <c r="M118" s="12" t="s">
        <v>3272</v>
      </c>
      <c r="N118" s="13">
        <v>6</v>
      </c>
      <c r="O118" s="139" t="s">
        <v>3270</v>
      </c>
      <c r="P118" s="19" t="s">
        <v>611</v>
      </c>
    </row>
    <row r="119" spans="1:16" customFormat="1" ht="26.25" thickBot="1">
      <c r="A119" s="10"/>
      <c r="B119" s="10"/>
      <c r="C119" s="10"/>
      <c r="D119" s="10"/>
      <c r="E119" s="19"/>
      <c r="F119" s="10"/>
      <c r="G119" s="10"/>
      <c r="H119" s="11" t="s">
        <v>408</v>
      </c>
      <c r="I119" s="116" t="s">
        <v>3235</v>
      </c>
      <c r="J119" s="116" t="s">
        <v>3274</v>
      </c>
      <c r="K119" s="12" t="s">
        <v>334</v>
      </c>
      <c r="L119" s="12" t="s">
        <v>3126</v>
      </c>
      <c r="M119" s="12" t="s">
        <v>3272</v>
      </c>
      <c r="N119" s="13">
        <v>7</v>
      </c>
      <c r="O119" s="139" t="s">
        <v>3270</v>
      </c>
      <c r="P119" s="19" t="s">
        <v>611</v>
      </c>
    </row>
    <row r="120" spans="1:16" customFormat="1" ht="26.25" thickBot="1">
      <c r="A120" s="10"/>
      <c r="B120" s="10"/>
      <c r="C120" s="10"/>
      <c r="D120" s="10"/>
      <c r="E120" s="19"/>
      <c r="F120" s="10"/>
      <c r="G120" s="10"/>
      <c r="H120" s="11" t="s">
        <v>409</v>
      </c>
      <c r="I120" s="116" t="s">
        <v>3235</v>
      </c>
      <c r="J120" s="116" t="s">
        <v>3235</v>
      </c>
      <c r="K120" s="12" t="s">
        <v>334</v>
      </c>
      <c r="L120" s="12" t="s">
        <v>3126</v>
      </c>
      <c r="M120" s="12" t="s">
        <v>3272</v>
      </c>
      <c r="N120" s="13">
        <v>8</v>
      </c>
      <c r="O120" s="139" t="s">
        <v>3270</v>
      </c>
      <c r="P120" s="19" t="s">
        <v>611</v>
      </c>
    </row>
    <row r="121" spans="1:16" customFormat="1" ht="26.25" thickBot="1">
      <c r="A121" s="10"/>
      <c r="B121" s="10"/>
      <c r="C121" s="10"/>
      <c r="D121" s="10"/>
      <c r="E121" s="10"/>
      <c r="F121" s="10"/>
      <c r="G121" s="10"/>
      <c r="H121" s="11" t="s">
        <v>410</v>
      </c>
      <c r="I121" s="116" t="s">
        <v>3235</v>
      </c>
      <c r="J121" s="116" t="s">
        <v>3235</v>
      </c>
      <c r="K121" s="12" t="s">
        <v>334</v>
      </c>
      <c r="L121" s="12" t="s">
        <v>3126</v>
      </c>
      <c r="M121" s="12" t="s">
        <v>3272</v>
      </c>
      <c r="N121" s="13">
        <v>9</v>
      </c>
      <c r="O121" s="139" t="s">
        <v>3270</v>
      </c>
      <c r="P121" s="19" t="s">
        <v>611</v>
      </c>
    </row>
    <row r="122" spans="1:16" customFormat="1" ht="26.25" thickBot="1">
      <c r="A122" s="10"/>
      <c r="B122" s="10"/>
      <c r="C122" s="10"/>
      <c r="D122" s="10"/>
      <c r="E122" s="19"/>
      <c r="F122" s="10"/>
      <c r="G122" s="10"/>
      <c r="H122" s="11" t="s">
        <v>411</v>
      </c>
      <c r="I122" s="116" t="s">
        <v>3235</v>
      </c>
      <c r="J122" s="116" t="s">
        <v>3235</v>
      </c>
      <c r="K122" s="12" t="s">
        <v>334</v>
      </c>
      <c r="L122" s="12" t="s">
        <v>3126</v>
      </c>
      <c r="M122" s="12" t="s">
        <v>3272</v>
      </c>
      <c r="N122" s="13">
        <v>10</v>
      </c>
      <c r="O122" s="139" t="s">
        <v>3270</v>
      </c>
      <c r="P122" s="19" t="s">
        <v>611</v>
      </c>
    </row>
    <row r="123" spans="1:16" customFormat="1" ht="26.25" thickBot="1">
      <c r="A123" s="10"/>
      <c r="B123" s="10"/>
      <c r="C123" s="10"/>
      <c r="D123" s="10"/>
      <c r="E123" s="19"/>
      <c r="F123" s="10"/>
      <c r="G123" s="10"/>
      <c r="H123" s="11" t="s">
        <v>412</v>
      </c>
      <c r="I123" s="116" t="s">
        <v>3235</v>
      </c>
      <c r="J123" s="116" t="s">
        <v>3235</v>
      </c>
      <c r="K123" s="12" t="s">
        <v>334</v>
      </c>
      <c r="L123" s="12" t="s">
        <v>3126</v>
      </c>
      <c r="M123" s="12" t="s">
        <v>3272</v>
      </c>
      <c r="N123" s="13">
        <v>11</v>
      </c>
      <c r="O123" s="139" t="s">
        <v>3270</v>
      </c>
      <c r="P123" s="19" t="s">
        <v>611</v>
      </c>
    </row>
    <row r="124" spans="1:16" customFormat="1" ht="26.25" thickBot="1">
      <c r="A124" s="10"/>
      <c r="B124" s="10"/>
      <c r="C124" s="10"/>
      <c r="D124" s="10"/>
      <c r="E124" s="19"/>
      <c r="F124" s="10"/>
      <c r="G124" s="10"/>
      <c r="H124" s="11" t="s">
        <v>413</v>
      </c>
      <c r="I124" s="116" t="s">
        <v>3235</v>
      </c>
      <c r="J124" s="116" t="s">
        <v>3235</v>
      </c>
      <c r="K124" s="12" t="s">
        <v>334</v>
      </c>
      <c r="L124" s="12" t="s">
        <v>3126</v>
      </c>
      <c r="M124" s="12" t="s">
        <v>3272</v>
      </c>
      <c r="N124" s="13">
        <v>12</v>
      </c>
      <c r="O124" s="139" t="s">
        <v>3270</v>
      </c>
      <c r="P124" s="19" t="s">
        <v>611</v>
      </c>
    </row>
    <row r="125" spans="1:16" customFormat="1" ht="26.25" thickBot="1">
      <c r="A125" s="10"/>
      <c r="B125" s="10"/>
      <c r="C125" s="10"/>
      <c r="D125" s="10"/>
      <c r="E125" s="10"/>
      <c r="F125" s="10"/>
      <c r="G125" s="10"/>
      <c r="H125" s="11" t="s">
        <v>414</v>
      </c>
      <c r="I125" s="116" t="s">
        <v>3235</v>
      </c>
      <c r="J125" s="116" t="s">
        <v>3235</v>
      </c>
      <c r="K125" s="12" t="s">
        <v>334</v>
      </c>
      <c r="L125" s="12" t="s">
        <v>3126</v>
      </c>
      <c r="M125" s="12" t="s">
        <v>3128</v>
      </c>
      <c r="N125" s="13">
        <v>13</v>
      </c>
      <c r="O125" s="139" t="s">
        <v>3270</v>
      </c>
      <c r="P125" s="19" t="s">
        <v>611</v>
      </c>
    </row>
    <row r="126" spans="1:16" customFormat="1" ht="26.25" thickBot="1">
      <c r="A126" s="10"/>
      <c r="B126" s="10"/>
      <c r="C126" s="10"/>
      <c r="D126" s="10"/>
      <c r="E126" s="19"/>
      <c r="F126" s="10"/>
      <c r="G126" s="10"/>
      <c r="H126" s="11" t="s">
        <v>415</v>
      </c>
      <c r="I126" s="116" t="s">
        <v>3235</v>
      </c>
      <c r="J126" s="116" t="s">
        <v>3235</v>
      </c>
      <c r="K126" s="12" t="s">
        <v>334</v>
      </c>
      <c r="L126" s="12" t="s">
        <v>3126</v>
      </c>
      <c r="M126" s="12" t="s">
        <v>3272</v>
      </c>
      <c r="N126" s="13">
        <v>14</v>
      </c>
      <c r="O126" s="139" t="s">
        <v>3270</v>
      </c>
      <c r="P126" s="19" t="s">
        <v>611</v>
      </c>
    </row>
    <row r="127" spans="1:16" customFormat="1" ht="26.25" thickBot="1">
      <c r="A127" s="10"/>
      <c r="B127" s="10"/>
      <c r="C127" s="10"/>
      <c r="D127" s="10"/>
      <c r="E127" s="19"/>
      <c r="F127" s="10"/>
      <c r="G127" s="10"/>
      <c r="H127" s="11" t="s">
        <v>416</v>
      </c>
      <c r="I127" s="116" t="s">
        <v>3235</v>
      </c>
      <c r="J127" s="116" t="s">
        <v>3235</v>
      </c>
      <c r="K127" s="12" t="s">
        <v>334</v>
      </c>
      <c r="L127" s="12" t="s">
        <v>3126</v>
      </c>
      <c r="M127" s="12" t="s">
        <v>3272</v>
      </c>
      <c r="N127" s="13">
        <v>15</v>
      </c>
      <c r="O127" s="139" t="s">
        <v>3269</v>
      </c>
      <c r="P127" s="19" t="s">
        <v>611</v>
      </c>
    </row>
    <row r="128" spans="1:16" customFormat="1" ht="26.25" thickBot="1">
      <c r="A128" s="10"/>
      <c r="B128" s="10"/>
      <c r="C128" s="10"/>
      <c r="D128" s="10"/>
      <c r="E128" s="19"/>
      <c r="F128" s="10"/>
      <c r="G128" s="10"/>
      <c r="H128" s="11" t="s">
        <v>418</v>
      </c>
      <c r="I128" s="116" t="s">
        <v>3235</v>
      </c>
      <c r="J128" s="116" t="s">
        <v>3235</v>
      </c>
      <c r="K128" s="12" t="s">
        <v>334</v>
      </c>
      <c r="L128" s="12" t="s">
        <v>3126</v>
      </c>
      <c r="M128" s="12" t="s">
        <v>3272</v>
      </c>
      <c r="N128" s="13">
        <v>16</v>
      </c>
      <c r="O128" s="139" t="s">
        <v>3270</v>
      </c>
      <c r="P128" s="19" t="s">
        <v>611</v>
      </c>
    </row>
    <row r="129" spans="1:16" customFormat="1" ht="26.25" thickBot="1">
      <c r="A129" s="10"/>
      <c r="B129" s="10"/>
      <c r="C129" s="10"/>
      <c r="D129" s="10"/>
      <c r="E129" s="10"/>
      <c r="F129" s="10"/>
      <c r="G129" s="10"/>
      <c r="H129" s="11" t="s">
        <v>419</v>
      </c>
      <c r="I129" s="116" t="s">
        <v>3235</v>
      </c>
      <c r="J129" s="116" t="s">
        <v>3235</v>
      </c>
      <c r="K129" s="12" t="s">
        <v>334</v>
      </c>
      <c r="L129" s="12" t="s">
        <v>3126</v>
      </c>
      <c r="M129" s="12" t="s">
        <v>3272</v>
      </c>
      <c r="N129" s="13">
        <v>17</v>
      </c>
      <c r="O129" s="139" t="s">
        <v>3270</v>
      </c>
      <c r="P129" s="19" t="s">
        <v>611</v>
      </c>
    </row>
    <row r="130" spans="1:16" customFormat="1" ht="26.25" thickBot="1">
      <c r="A130" s="10"/>
      <c r="B130" s="10"/>
      <c r="C130" s="10"/>
      <c r="D130" s="10"/>
      <c r="E130" s="19"/>
      <c r="F130" s="10"/>
      <c r="G130" s="10"/>
      <c r="H130" s="11" t="s">
        <v>420</v>
      </c>
      <c r="I130" s="116" t="s">
        <v>3235</v>
      </c>
      <c r="J130" s="116" t="s">
        <v>3235</v>
      </c>
      <c r="K130" s="12" t="s">
        <v>334</v>
      </c>
      <c r="L130" s="12" t="s">
        <v>3126</v>
      </c>
      <c r="M130" s="12" t="s">
        <v>3272</v>
      </c>
      <c r="N130" s="13">
        <v>18</v>
      </c>
      <c r="O130" s="139" t="s">
        <v>3270</v>
      </c>
      <c r="P130" s="19" t="s">
        <v>611</v>
      </c>
    </row>
    <row r="131" spans="1:16" customFormat="1" ht="26.25" thickBot="1">
      <c r="A131" s="10"/>
      <c r="B131" s="10"/>
      <c r="C131" s="10"/>
      <c r="D131" s="10"/>
      <c r="E131" s="19"/>
      <c r="F131" s="10"/>
      <c r="G131" s="10"/>
      <c r="H131" s="11" t="s">
        <v>421</v>
      </c>
      <c r="I131" s="116" t="s">
        <v>3235</v>
      </c>
      <c r="J131" s="116" t="s">
        <v>3274</v>
      </c>
      <c r="K131" s="12" t="s">
        <v>334</v>
      </c>
      <c r="L131" s="12" t="s">
        <v>3126</v>
      </c>
      <c r="M131" s="12" t="s">
        <v>3272</v>
      </c>
      <c r="N131" s="13">
        <v>19</v>
      </c>
      <c r="O131" s="139" t="s">
        <v>3270</v>
      </c>
      <c r="P131" s="19" t="s">
        <v>611</v>
      </c>
    </row>
    <row r="132" spans="1:16" customFormat="1" ht="26.25" thickBot="1">
      <c r="A132" s="10"/>
      <c r="B132" s="10"/>
      <c r="C132" s="10"/>
      <c r="D132" s="10"/>
      <c r="E132" s="19"/>
      <c r="F132" s="10"/>
      <c r="G132" s="10"/>
      <c r="H132" s="11" t="s">
        <v>422</v>
      </c>
      <c r="I132" s="116" t="s">
        <v>3235</v>
      </c>
      <c r="J132" s="116" t="s">
        <v>3235</v>
      </c>
      <c r="K132" s="12" t="s">
        <v>334</v>
      </c>
      <c r="L132" s="12" t="s">
        <v>3126</v>
      </c>
      <c r="M132" s="12" t="s">
        <v>3272</v>
      </c>
      <c r="N132" s="13">
        <v>20</v>
      </c>
      <c r="O132" s="139" t="s">
        <v>3270</v>
      </c>
      <c r="P132" s="19" t="s">
        <v>611</v>
      </c>
    </row>
    <row r="133" spans="1:16" customFormat="1" ht="26.25" thickBot="1">
      <c r="A133" s="10"/>
      <c r="B133" s="10"/>
      <c r="C133" s="10"/>
      <c r="D133" s="10"/>
      <c r="E133" s="10"/>
      <c r="F133" s="10"/>
      <c r="G133" s="10"/>
      <c r="H133" s="11" t="s">
        <v>2928</v>
      </c>
      <c r="I133" s="116" t="s">
        <v>3235</v>
      </c>
      <c r="J133" s="116" t="s">
        <v>3235</v>
      </c>
      <c r="K133" s="12" t="s">
        <v>334</v>
      </c>
      <c r="L133" s="12" t="s">
        <v>3126</v>
      </c>
      <c r="M133" s="12" t="s">
        <v>3272</v>
      </c>
      <c r="N133" s="13">
        <v>21</v>
      </c>
      <c r="O133" s="139" t="s">
        <v>3270</v>
      </c>
      <c r="P133" s="19" t="s">
        <v>611</v>
      </c>
    </row>
    <row r="134" spans="1:16" customFormat="1" ht="26.25" thickBot="1">
      <c r="A134" s="10"/>
      <c r="B134" s="10"/>
      <c r="C134" s="10"/>
      <c r="D134" s="10"/>
      <c r="E134" s="19"/>
      <c r="F134" s="10"/>
      <c r="G134" s="10"/>
      <c r="H134" s="11" t="s">
        <v>2929</v>
      </c>
      <c r="I134" s="116" t="s">
        <v>3235</v>
      </c>
      <c r="J134" s="116" t="s">
        <v>3235</v>
      </c>
      <c r="K134" s="12" t="s">
        <v>334</v>
      </c>
      <c r="L134" s="12" t="s">
        <v>3126</v>
      </c>
      <c r="M134" s="12" t="s">
        <v>3272</v>
      </c>
      <c r="N134" s="13">
        <v>22</v>
      </c>
      <c r="O134" s="139" t="s">
        <v>3270</v>
      </c>
      <c r="P134" s="19" t="s">
        <v>611</v>
      </c>
    </row>
    <row r="135" spans="1:16" customFormat="1" ht="26.25" thickBot="1">
      <c r="A135" s="10"/>
      <c r="B135" s="10"/>
      <c r="C135" s="10"/>
      <c r="D135" s="10"/>
      <c r="E135" s="19"/>
      <c r="F135" s="10"/>
      <c r="G135" s="10"/>
      <c r="H135" s="11" t="s">
        <v>2930</v>
      </c>
      <c r="I135" s="116" t="s">
        <v>3235</v>
      </c>
      <c r="J135" s="116" t="s">
        <v>3235</v>
      </c>
      <c r="K135" s="12" t="s">
        <v>334</v>
      </c>
      <c r="L135" s="12" t="s">
        <v>3126</v>
      </c>
      <c r="M135" s="12" t="s">
        <v>3272</v>
      </c>
      <c r="N135" s="13">
        <v>23</v>
      </c>
      <c r="O135" s="139" t="s">
        <v>3270</v>
      </c>
      <c r="P135" s="19" t="s">
        <v>611</v>
      </c>
    </row>
    <row r="136" spans="1:16" customFormat="1" ht="26.25" thickBot="1">
      <c r="A136" s="10"/>
      <c r="B136" s="10"/>
      <c r="C136" s="10"/>
      <c r="D136" s="10"/>
      <c r="E136" s="19"/>
      <c r="F136" s="10"/>
      <c r="G136" s="10"/>
      <c r="H136" s="11" t="s">
        <v>2931</v>
      </c>
      <c r="I136" s="116" t="s">
        <v>3235</v>
      </c>
      <c r="J136" s="116" t="s">
        <v>3235</v>
      </c>
      <c r="K136" s="12" t="s">
        <v>334</v>
      </c>
      <c r="L136" s="12" t="s">
        <v>3126</v>
      </c>
      <c r="M136" s="12" t="s">
        <v>3272</v>
      </c>
      <c r="N136" s="13">
        <v>24</v>
      </c>
      <c r="O136" s="139" t="s">
        <v>3270</v>
      </c>
      <c r="P136" s="19" t="s">
        <v>611</v>
      </c>
    </row>
    <row r="137" spans="1:16" customFormat="1" ht="26.25" thickBot="1">
      <c r="A137" s="10"/>
      <c r="B137" s="10"/>
      <c r="C137" s="10"/>
      <c r="D137" s="10"/>
      <c r="E137" s="10"/>
      <c r="F137" s="10"/>
      <c r="G137" s="10"/>
      <c r="H137" s="11" t="s">
        <v>2932</v>
      </c>
      <c r="I137" s="116" t="s">
        <v>3235</v>
      </c>
      <c r="J137" s="116" t="s">
        <v>3235</v>
      </c>
      <c r="K137" s="12" t="s">
        <v>334</v>
      </c>
      <c r="L137" s="12" t="s">
        <v>3126</v>
      </c>
      <c r="M137" s="12" t="s">
        <v>3272</v>
      </c>
      <c r="N137" s="13">
        <v>25</v>
      </c>
      <c r="O137" s="139" t="s">
        <v>3270</v>
      </c>
      <c r="P137" s="19" t="s">
        <v>611</v>
      </c>
    </row>
    <row r="138" spans="1:16" customFormat="1" ht="26.25" thickBot="1">
      <c r="A138" s="10"/>
      <c r="B138" s="10"/>
      <c r="C138" s="10"/>
      <c r="D138" s="10"/>
      <c r="E138" s="19"/>
      <c r="F138" s="10"/>
      <c r="G138" s="10"/>
      <c r="H138" s="11" t="s">
        <v>2933</v>
      </c>
      <c r="I138" s="116" t="s">
        <v>3235</v>
      </c>
      <c r="J138" s="116" t="s">
        <v>3129</v>
      </c>
      <c r="K138" s="12" t="s">
        <v>334</v>
      </c>
      <c r="L138" s="12" t="s">
        <v>3126</v>
      </c>
      <c r="M138" s="12" t="s">
        <v>3272</v>
      </c>
      <c r="N138" s="13">
        <v>26</v>
      </c>
      <c r="O138" s="139" t="s">
        <v>3270</v>
      </c>
      <c r="P138" s="19" t="s">
        <v>611</v>
      </c>
    </row>
    <row r="139" spans="1:16" customFormat="1" ht="26.25" thickBot="1">
      <c r="A139" s="10"/>
      <c r="B139" s="10"/>
      <c r="C139" s="10"/>
      <c r="D139" s="10"/>
      <c r="E139" s="19"/>
      <c r="F139" s="10"/>
      <c r="G139" s="10"/>
      <c r="H139" s="11" t="s">
        <v>2934</v>
      </c>
      <c r="I139" s="116" t="s">
        <v>3235</v>
      </c>
      <c r="J139" s="116" t="s">
        <v>3235</v>
      </c>
      <c r="K139" s="12" t="s">
        <v>334</v>
      </c>
      <c r="L139" s="12" t="s">
        <v>3126</v>
      </c>
      <c r="M139" s="12" t="s">
        <v>3272</v>
      </c>
      <c r="N139" s="13">
        <v>27</v>
      </c>
      <c r="O139" s="139" t="s">
        <v>3270</v>
      </c>
      <c r="P139" s="19" t="s">
        <v>611</v>
      </c>
    </row>
    <row r="140" spans="1:16" customFormat="1" ht="26.25" thickBot="1">
      <c r="A140" s="10"/>
      <c r="B140" s="10"/>
      <c r="C140" s="10"/>
      <c r="D140" s="10"/>
      <c r="E140" s="19"/>
      <c r="F140" s="10"/>
      <c r="G140" s="10"/>
      <c r="H140" s="11" t="s">
        <v>2935</v>
      </c>
      <c r="I140" s="116" t="s">
        <v>3235</v>
      </c>
      <c r="J140" s="116" t="s">
        <v>3235</v>
      </c>
      <c r="K140" s="12" t="s">
        <v>334</v>
      </c>
      <c r="L140" s="12" t="s">
        <v>3126</v>
      </c>
      <c r="M140" s="12" t="s">
        <v>3272</v>
      </c>
      <c r="N140" s="13">
        <v>28</v>
      </c>
      <c r="O140" s="139" t="s">
        <v>3270</v>
      </c>
      <c r="P140" s="19" t="s">
        <v>611</v>
      </c>
    </row>
    <row r="141" spans="1:16" customFormat="1" ht="16.5">
      <c r="A141" s="10"/>
      <c r="B141" s="10"/>
      <c r="C141" s="10"/>
      <c r="D141" s="10"/>
      <c r="E141" s="19"/>
      <c r="F141" s="10"/>
      <c r="G141" s="10"/>
      <c r="H141" s="69"/>
      <c r="I141" s="116"/>
      <c r="J141" s="116"/>
      <c r="K141" s="12"/>
      <c r="L141" s="83"/>
      <c r="M141" s="125"/>
      <c r="N141" s="71"/>
      <c r="O141" s="139"/>
      <c r="P141" s="19"/>
    </row>
    <row r="142" spans="1:16" customFormat="1" ht="16.5">
      <c r="A142" s="10"/>
      <c r="B142" s="10"/>
      <c r="C142" s="10"/>
      <c r="D142" s="10"/>
      <c r="E142" s="19"/>
      <c r="F142" s="10"/>
      <c r="G142" s="10"/>
      <c r="H142" s="69"/>
      <c r="I142" s="116"/>
      <c r="J142" s="116"/>
      <c r="K142" s="12"/>
      <c r="L142" s="83"/>
      <c r="M142" s="125"/>
      <c r="N142" s="71"/>
      <c r="O142" s="139"/>
      <c r="P142" s="19"/>
    </row>
    <row r="143" spans="1:16" customFormat="1" ht="17.25" thickBot="1">
      <c r="A143" s="10">
        <v>2107000001009</v>
      </c>
      <c r="B143" s="19"/>
      <c r="C143" s="10">
        <v>2200000000029</v>
      </c>
      <c r="D143" s="10" t="s">
        <v>3266</v>
      </c>
      <c r="E143" s="10" t="b">
        <v>1</v>
      </c>
      <c r="F143" s="19"/>
      <c r="G143" s="19"/>
      <c r="H143" s="69"/>
      <c r="I143" s="117"/>
      <c r="J143" s="117"/>
      <c r="K143" s="12"/>
      <c r="L143" s="83"/>
      <c r="M143" s="70"/>
      <c r="N143" s="19"/>
      <c r="O143" s="120"/>
      <c r="P143" s="19"/>
    </row>
    <row r="144" spans="1:16" customFormat="1" ht="26.25" thickBot="1">
      <c r="A144" s="19"/>
      <c r="B144" s="19"/>
      <c r="C144" s="19"/>
      <c r="D144" s="19"/>
      <c r="E144" s="119"/>
      <c r="F144" s="19"/>
      <c r="G144" s="19"/>
      <c r="H144" s="11" t="s">
        <v>332</v>
      </c>
      <c r="I144" s="116" t="s">
        <v>3237</v>
      </c>
      <c r="J144" s="116" t="s">
        <v>3237</v>
      </c>
      <c r="K144" s="12" t="s">
        <v>3275</v>
      </c>
      <c r="L144" s="12" t="s">
        <v>3126</v>
      </c>
      <c r="M144" s="12" t="s">
        <v>3276</v>
      </c>
      <c r="N144" s="13">
        <v>1</v>
      </c>
      <c r="O144" s="139" t="s">
        <v>3277</v>
      </c>
      <c r="P144" s="19" t="s">
        <v>614</v>
      </c>
    </row>
    <row r="145" spans="1:16" customFormat="1" ht="25.5">
      <c r="A145" s="19"/>
      <c r="B145" s="19"/>
      <c r="C145" s="19"/>
      <c r="D145" s="19"/>
      <c r="E145" s="19"/>
      <c r="F145" s="19"/>
      <c r="G145" s="19"/>
      <c r="H145" s="69">
        <v>2</v>
      </c>
      <c r="I145" s="116" t="s">
        <v>3237</v>
      </c>
      <c r="J145" s="116" t="s">
        <v>3237</v>
      </c>
      <c r="K145" s="12" t="s">
        <v>3275</v>
      </c>
      <c r="L145" s="12" t="s">
        <v>3126</v>
      </c>
      <c r="M145" s="12" t="s">
        <v>3276</v>
      </c>
      <c r="N145" s="13">
        <v>2</v>
      </c>
      <c r="O145" s="139" t="s">
        <v>3277</v>
      </c>
      <c r="P145" s="19" t="s">
        <v>614</v>
      </c>
    </row>
    <row r="146" spans="1:16" customFormat="1" ht="25.5">
      <c r="A146" s="19"/>
      <c r="B146" s="19"/>
      <c r="C146" s="19"/>
      <c r="D146" s="19"/>
      <c r="E146" s="19"/>
      <c r="F146" s="19"/>
      <c r="G146" s="19"/>
      <c r="H146" s="69">
        <v>3</v>
      </c>
      <c r="I146" s="116" t="s">
        <v>3237</v>
      </c>
      <c r="J146" s="116" t="s">
        <v>3237</v>
      </c>
      <c r="K146" s="12" t="s">
        <v>3275</v>
      </c>
      <c r="L146" s="12" t="s">
        <v>3126</v>
      </c>
      <c r="M146" s="12" t="s">
        <v>3276</v>
      </c>
      <c r="N146" s="13">
        <v>3</v>
      </c>
      <c r="O146" s="139" t="s">
        <v>3277</v>
      </c>
      <c r="P146" s="19" t="s">
        <v>614</v>
      </c>
    </row>
    <row r="147" spans="1:16" customFormat="1" ht="25.5">
      <c r="A147" s="19"/>
      <c r="B147" s="19"/>
      <c r="C147" s="19"/>
      <c r="D147" s="19"/>
      <c r="E147" s="19"/>
      <c r="F147" s="19"/>
      <c r="G147" s="19"/>
      <c r="H147" s="69">
        <v>4</v>
      </c>
      <c r="I147" s="116" t="s">
        <v>3237</v>
      </c>
      <c r="J147" s="116" t="s">
        <v>3237</v>
      </c>
      <c r="K147" s="12" t="s">
        <v>3275</v>
      </c>
      <c r="L147" s="12" t="s">
        <v>3126</v>
      </c>
      <c r="M147" s="12" t="s">
        <v>3278</v>
      </c>
      <c r="N147" s="13">
        <v>4</v>
      </c>
      <c r="O147" s="139" t="s">
        <v>3277</v>
      </c>
      <c r="P147" s="19" t="s">
        <v>614</v>
      </c>
    </row>
    <row r="148" spans="1:16" customFormat="1" ht="17.25" thickBot="1">
      <c r="A148" s="10">
        <v>2107000001010</v>
      </c>
      <c r="B148" s="19"/>
      <c r="C148" s="10">
        <v>2200000000029</v>
      </c>
      <c r="D148" s="10" t="s">
        <v>3266</v>
      </c>
      <c r="E148" s="10" t="b">
        <v>1</v>
      </c>
      <c r="F148" s="19"/>
      <c r="G148" s="19"/>
      <c r="H148" s="69"/>
      <c r="I148" s="117"/>
      <c r="J148" s="117"/>
      <c r="K148" s="70"/>
      <c r="L148" s="70"/>
      <c r="M148" s="70"/>
      <c r="N148" s="71"/>
      <c r="O148" s="120"/>
      <c r="P148" s="19"/>
    </row>
    <row r="149" spans="1:16" ht="25.5" thickBot="1">
      <c r="C149" s="10"/>
      <c r="D149" s="10"/>
      <c r="E149" s="10"/>
      <c r="H149" s="11" t="s">
        <v>332</v>
      </c>
      <c r="I149" s="116" t="s">
        <v>773</v>
      </c>
      <c r="J149" s="116" t="s">
        <v>3279</v>
      </c>
      <c r="K149" s="12" t="s">
        <v>334</v>
      </c>
      <c r="L149" s="125" t="s">
        <v>335</v>
      </c>
      <c r="M149" s="125" t="s">
        <v>3280</v>
      </c>
      <c r="N149" s="13">
        <v>1</v>
      </c>
      <c r="O149" s="139" t="s">
        <v>3281</v>
      </c>
      <c r="P149" s="301" t="s">
        <v>391</v>
      </c>
    </row>
    <row r="150" spans="1:16" customFormat="1" ht="16.5">
      <c r="A150" s="10">
        <v>2107000001012</v>
      </c>
      <c r="B150" s="19"/>
      <c r="C150" s="10">
        <v>2200000000029</v>
      </c>
      <c r="D150" s="10" t="s">
        <v>3266</v>
      </c>
      <c r="E150" s="10" t="b">
        <v>1</v>
      </c>
      <c r="F150" s="19"/>
      <c r="G150" s="19"/>
      <c r="H150" s="19"/>
      <c r="I150" s="19"/>
      <c r="J150" s="19"/>
      <c r="K150" s="19"/>
      <c r="L150" s="19"/>
      <c r="M150" s="19"/>
      <c r="N150" s="19"/>
      <c r="O150" s="19"/>
      <c r="P150" s="19"/>
    </row>
    <row r="151" spans="1:16" customFormat="1" ht="25.5">
      <c r="A151" s="19"/>
      <c r="B151" s="19"/>
      <c r="C151" s="19"/>
      <c r="D151" s="19"/>
      <c r="E151" s="19"/>
      <c r="F151" s="19"/>
      <c r="G151" s="19"/>
      <c r="H151" s="10">
        <v>1</v>
      </c>
      <c r="I151" s="116" t="s">
        <v>774</v>
      </c>
      <c r="J151" s="116" t="s">
        <v>3249</v>
      </c>
      <c r="K151" s="12" t="s">
        <v>334</v>
      </c>
      <c r="L151" s="125" t="s">
        <v>335</v>
      </c>
      <c r="M151" s="125" t="s">
        <v>3282</v>
      </c>
      <c r="N151" s="71">
        <v>1</v>
      </c>
      <c r="O151" s="139" t="s">
        <v>3281</v>
      </c>
      <c r="P151" s="301" t="s">
        <v>3283</v>
      </c>
    </row>
    <row r="152" spans="1:16" customFormat="1" ht="17.25" thickBot="1">
      <c r="A152" s="10">
        <v>2107000001013</v>
      </c>
      <c r="B152" s="10"/>
      <c r="C152" s="10">
        <v>2200000000029</v>
      </c>
      <c r="D152" s="10" t="s">
        <v>3266</v>
      </c>
      <c r="E152" s="115" t="b">
        <v>1</v>
      </c>
      <c r="F152" s="10"/>
      <c r="G152" s="10"/>
      <c r="H152" s="7"/>
      <c r="I152" s="8"/>
      <c r="J152" s="8"/>
      <c r="K152" s="8"/>
      <c r="L152" s="8"/>
      <c r="M152" s="8"/>
      <c r="N152" s="8"/>
      <c r="O152" s="8"/>
      <c r="P152" s="19"/>
    </row>
    <row r="153" spans="1:16" ht="25.5" thickBot="1">
      <c r="A153" s="133"/>
      <c r="B153" s="10"/>
      <c r="C153" s="10"/>
      <c r="D153" s="10"/>
      <c r="E153" s="10"/>
      <c r="F153" s="10"/>
      <c r="G153" s="10"/>
      <c r="H153" s="11" t="s">
        <v>332</v>
      </c>
      <c r="I153" s="116" t="s">
        <v>775</v>
      </c>
      <c r="J153" s="116" t="s">
        <v>3255</v>
      </c>
      <c r="K153" s="12" t="s">
        <v>334</v>
      </c>
      <c r="L153" s="13" t="s">
        <v>370</v>
      </c>
      <c r="M153" s="13" t="s">
        <v>371</v>
      </c>
      <c r="N153" s="12">
        <v>5</v>
      </c>
      <c r="O153" s="139" t="s">
        <v>3277</v>
      </c>
      <c r="P153" s="74" t="s">
        <v>372</v>
      </c>
    </row>
    <row r="154" spans="1:16" ht="24.75">
      <c r="H154" s="10">
        <v>2</v>
      </c>
      <c r="I154" s="116" t="s">
        <v>775</v>
      </c>
      <c r="J154" s="116" t="s">
        <v>3255</v>
      </c>
      <c r="K154" s="12" t="s">
        <v>334</v>
      </c>
      <c r="L154" s="13" t="s">
        <v>370</v>
      </c>
      <c r="M154" s="13" t="s">
        <v>371</v>
      </c>
      <c r="N154" s="12">
        <v>10</v>
      </c>
      <c r="O154" s="139" t="s">
        <v>3277</v>
      </c>
      <c r="P154" s="74" t="s">
        <v>372</v>
      </c>
    </row>
    <row r="155" spans="1:16" ht="24.75">
      <c r="H155" s="10">
        <v>3</v>
      </c>
      <c r="I155" s="116" t="s">
        <v>775</v>
      </c>
      <c r="J155" s="116" t="s">
        <v>3255</v>
      </c>
      <c r="K155" s="12" t="s">
        <v>334</v>
      </c>
      <c r="L155" s="13" t="s">
        <v>370</v>
      </c>
      <c r="M155" s="13" t="s">
        <v>371</v>
      </c>
      <c r="N155" s="12">
        <v>15</v>
      </c>
      <c r="O155" s="139" t="s">
        <v>3277</v>
      </c>
      <c r="P155" s="74" t="s">
        <v>372</v>
      </c>
    </row>
    <row r="156" spans="1:16" ht="24.75">
      <c r="H156" s="10">
        <v>4</v>
      </c>
      <c r="I156" s="116" t="s">
        <v>775</v>
      </c>
      <c r="J156" s="116" t="s">
        <v>3255</v>
      </c>
      <c r="K156" s="12" t="s">
        <v>334</v>
      </c>
      <c r="L156" s="13" t="s">
        <v>370</v>
      </c>
      <c r="M156" s="13" t="s">
        <v>371</v>
      </c>
      <c r="N156" s="12">
        <v>20</v>
      </c>
      <c r="O156" s="139" t="s">
        <v>3284</v>
      </c>
      <c r="P156" s="74" t="s">
        <v>372</v>
      </c>
    </row>
    <row r="157" spans="1:16" ht="14.25" thickBot="1">
      <c r="A157" s="10">
        <v>2107000001014</v>
      </c>
      <c r="B157" s="10"/>
      <c r="C157" s="10">
        <v>2200000000029</v>
      </c>
      <c r="D157" s="10" t="s">
        <v>3266</v>
      </c>
      <c r="E157" s="115" t="b">
        <v>1</v>
      </c>
      <c r="F157" s="10"/>
      <c r="G157" s="10"/>
      <c r="H157" s="7"/>
      <c r="I157" s="8"/>
      <c r="J157" s="8"/>
      <c r="K157" s="8"/>
      <c r="L157" s="8"/>
      <c r="M157" s="8"/>
      <c r="N157" s="8"/>
      <c r="O157" s="8"/>
    </row>
    <row r="158" spans="1:16" ht="25.5" thickBot="1">
      <c r="A158" s="133"/>
      <c r="B158" s="10"/>
      <c r="C158" s="10"/>
      <c r="D158" s="10"/>
      <c r="E158" s="10"/>
      <c r="F158" s="10"/>
      <c r="G158" s="10"/>
      <c r="H158" s="11" t="s">
        <v>332</v>
      </c>
      <c r="I158" s="116" t="s">
        <v>776</v>
      </c>
      <c r="J158" s="116" t="s">
        <v>3257</v>
      </c>
      <c r="K158" s="12" t="s">
        <v>334</v>
      </c>
      <c r="L158" s="13" t="s">
        <v>370</v>
      </c>
      <c r="M158" s="13" t="s">
        <v>374</v>
      </c>
      <c r="N158" s="12">
        <v>5</v>
      </c>
      <c r="O158" s="139" t="s">
        <v>3277</v>
      </c>
      <c r="P158" s="74" t="s">
        <v>3123</v>
      </c>
    </row>
    <row r="159" spans="1:16" ht="24.75">
      <c r="H159" s="10">
        <v>2</v>
      </c>
      <c r="I159" s="116" t="s">
        <v>776</v>
      </c>
      <c r="J159" s="116" t="s">
        <v>3257</v>
      </c>
      <c r="K159" s="12" t="s">
        <v>334</v>
      </c>
      <c r="L159" s="13" t="s">
        <v>370</v>
      </c>
      <c r="M159" s="13" t="s">
        <v>374</v>
      </c>
      <c r="N159" s="12">
        <v>10</v>
      </c>
      <c r="O159" s="139" t="s">
        <v>3277</v>
      </c>
      <c r="P159" s="74" t="s">
        <v>3123</v>
      </c>
    </row>
    <row r="160" spans="1:16" ht="24.75">
      <c r="H160" s="10">
        <v>3</v>
      </c>
      <c r="I160" s="116" t="s">
        <v>776</v>
      </c>
      <c r="J160" s="116" t="s">
        <v>3257</v>
      </c>
      <c r="K160" s="12" t="s">
        <v>334</v>
      </c>
      <c r="L160" s="13" t="s">
        <v>370</v>
      </c>
      <c r="M160" s="13" t="s">
        <v>374</v>
      </c>
      <c r="N160" s="12">
        <v>15</v>
      </c>
      <c r="O160" s="139" t="s">
        <v>2937</v>
      </c>
      <c r="P160" s="74" t="s">
        <v>3123</v>
      </c>
    </row>
    <row r="161" spans="1:16" ht="24.75">
      <c r="H161" s="10">
        <v>4</v>
      </c>
      <c r="I161" s="116" t="s">
        <v>776</v>
      </c>
      <c r="J161" s="116" t="s">
        <v>3257</v>
      </c>
      <c r="K161" s="12" t="s">
        <v>334</v>
      </c>
      <c r="L161" s="13" t="s">
        <v>370</v>
      </c>
      <c r="M161" s="13" t="s">
        <v>374</v>
      </c>
      <c r="N161" s="12">
        <v>20</v>
      </c>
      <c r="O161" s="139" t="s">
        <v>3277</v>
      </c>
      <c r="P161" s="74" t="s">
        <v>3123</v>
      </c>
    </row>
    <row r="162" spans="1:16">
      <c r="A162" s="55"/>
      <c r="B162" s="55"/>
      <c r="C162" s="55"/>
      <c r="D162" s="55"/>
      <c r="E162" s="55"/>
      <c r="F162" s="55"/>
      <c r="G162" s="55"/>
      <c r="H162" s="54"/>
      <c r="I162" s="123"/>
      <c r="J162" s="123"/>
      <c r="K162" s="55"/>
      <c r="L162" s="55"/>
      <c r="M162" s="124"/>
      <c r="N162" s="55"/>
      <c r="O162" s="58"/>
      <c r="P162" s="72"/>
    </row>
    <row r="163" spans="1:16" ht="14.25" thickBot="1">
      <c r="A163" s="136">
        <v>2107000000038</v>
      </c>
      <c r="B163" s="136"/>
      <c r="C163" s="136">
        <v>2200000000047</v>
      </c>
      <c r="D163" s="10" t="s">
        <v>934</v>
      </c>
      <c r="E163" s="10" t="b">
        <v>1</v>
      </c>
      <c r="F163" s="10"/>
      <c r="G163" s="10"/>
      <c r="H163" s="7"/>
      <c r="I163" s="7"/>
      <c r="J163" s="8"/>
      <c r="K163" s="8"/>
      <c r="L163" s="8"/>
      <c r="M163" s="8"/>
      <c r="N163" s="8"/>
      <c r="O163" s="8"/>
    </row>
    <row r="164" spans="1:16" ht="25.5" thickBot="1">
      <c r="A164" s="136"/>
      <c r="B164" s="136"/>
      <c r="C164" s="136"/>
      <c r="D164" s="10"/>
      <c r="E164" s="10"/>
      <c r="F164" s="10"/>
      <c r="G164" s="10"/>
      <c r="H164" s="11" t="s">
        <v>332</v>
      </c>
      <c r="I164" s="116" t="s">
        <v>769</v>
      </c>
      <c r="J164" s="116" t="s">
        <v>3286</v>
      </c>
      <c r="K164" s="12" t="s">
        <v>334</v>
      </c>
      <c r="L164" s="83" t="s">
        <v>366</v>
      </c>
      <c r="M164" s="83" t="s">
        <v>367</v>
      </c>
      <c r="N164" s="13">
        <v>100</v>
      </c>
      <c r="O164" s="139" t="s">
        <v>2329</v>
      </c>
      <c r="P164" s="19" t="s">
        <v>611</v>
      </c>
    </row>
    <row r="165" spans="1:16" ht="24.75">
      <c r="A165" s="136"/>
      <c r="B165" s="136"/>
      <c r="C165" s="136"/>
      <c r="D165" s="10"/>
      <c r="F165" s="10"/>
      <c r="G165" s="10"/>
      <c r="H165" s="69">
        <v>2</v>
      </c>
      <c r="I165" s="116" t="s">
        <v>769</v>
      </c>
      <c r="J165" s="116" t="s">
        <v>3286</v>
      </c>
      <c r="K165" s="12" t="s">
        <v>334</v>
      </c>
      <c r="L165" s="83" t="s">
        <v>366</v>
      </c>
      <c r="M165" s="83" t="s">
        <v>367</v>
      </c>
      <c r="N165" s="13">
        <v>200</v>
      </c>
      <c r="O165" s="139" t="s">
        <v>2329</v>
      </c>
      <c r="P165" s="19" t="s">
        <v>611</v>
      </c>
    </row>
    <row r="166" spans="1:16" ht="24.75">
      <c r="A166" s="136"/>
      <c r="B166" s="136"/>
      <c r="C166" s="136"/>
      <c r="D166" s="10"/>
      <c r="F166" s="10"/>
      <c r="G166" s="10"/>
      <c r="H166" s="69">
        <v>3</v>
      </c>
      <c r="I166" s="116" t="s">
        <v>769</v>
      </c>
      <c r="J166" s="116" t="s">
        <v>3286</v>
      </c>
      <c r="K166" s="12" t="s">
        <v>334</v>
      </c>
      <c r="L166" s="83" t="s">
        <v>366</v>
      </c>
      <c r="M166" s="83" t="s">
        <v>367</v>
      </c>
      <c r="N166" s="13">
        <v>300</v>
      </c>
      <c r="O166" s="139" t="s">
        <v>2329</v>
      </c>
      <c r="P166" s="19" t="s">
        <v>611</v>
      </c>
    </row>
    <row r="167" spans="1:16" ht="24.75">
      <c r="A167" s="136"/>
      <c r="B167" s="136"/>
      <c r="C167" s="136"/>
      <c r="D167" s="10"/>
      <c r="F167" s="10"/>
      <c r="G167" s="10"/>
      <c r="H167" s="69">
        <v>4</v>
      </c>
      <c r="I167" s="116" t="s">
        <v>769</v>
      </c>
      <c r="J167" s="116" t="s">
        <v>3286</v>
      </c>
      <c r="K167" s="12" t="s">
        <v>334</v>
      </c>
      <c r="L167" s="83" t="s">
        <v>366</v>
      </c>
      <c r="M167" s="83" t="s">
        <v>367</v>
      </c>
      <c r="N167" s="13">
        <v>500</v>
      </c>
      <c r="O167" s="139" t="s">
        <v>2329</v>
      </c>
      <c r="P167" s="19" t="s">
        <v>611</v>
      </c>
    </row>
    <row r="168" spans="1:16" ht="14.25" thickBot="1">
      <c r="A168" s="136">
        <v>2107000000039</v>
      </c>
      <c r="B168" s="182"/>
      <c r="C168" s="136">
        <v>2200000000047</v>
      </c>
      <c r="D168" s="10" t="s">
        <v>934</v>
      </c>
      <c r="E168" s="10" t="b">
        <v>1</v>
      </c>
      <c r="H168" s="69"/>
      <c r="I168" s="117"/>
      <c r="J168" s="117"/>
      <c r="K168" s="12"/>
      <c r="L168" s="83"/>
      <c r="M168" s="70"/>
      <c r="O168" s="120"/>
    </row>
    <row r="169" spans="1:16" ht="25.5" thickBot="1">
      <c r="A169" s="182"/>
      <c r="B169" s="182"/>
      <c r="C169" s="182"/>
      <c r="E169" s="119"/>
      <c r="H169" s="11" t="s">
        <v>332</v>
      </c>
      <c r="I169" s="116" t="s">
        <v>770</v>
      </c>
      <c r="J169" s="116" t="s">
        <v>3287</v>
      </c>
      <c r="K169" s="12" t="s">
        <v>334</v>
      </c>
      <c r="L169" s="12" t="s">
        <v>366</v>
      </c>
      <c r="M169" s="12" t="s">
        <v>395</v>
      </c>
      <c r="N169" s="13">
        <v>10</v>
      </c>
      <c r="O169" s="139" t="s">
        <v>2330</v>
      </c>
      <c r="P169" s="19" t="s">
        <v>614</v>
      </c>
    </row>
    <row r="170" spans="1:16" ht="24.75">
      <c r="A170" s="182"/>
      <c r="B170" s="182"/>
      <c r="C170" s="182"/>
      <c r="H170" s="69">
        <v>2</v>
      </c>
      <c r="I170" s="116" t="s">
        <v>770</v>
      </c>
      <c r="J170" s="116" t="s">
        <v>3287</v>
      </c>
      <c r="K170" s="12" t="s">
        <v>334</v>
      </c>
      <c r="L170" s="12" t="s">
        <v>366</v>
      </c>
      <c r="M170" s="12" t="s">
        <v>395</v>
      </c>
      <c r="N170" s="13">
        <v>20</v>
      </c>
      <c r="O170" s="139" t="s">
        <v>2330</v>
      </c>
      <c r="P170" s="19" t="s">
        <v>614</v>
      </c>
    </row>
    <row r="171" spans="1:16" ht="24.75">
      <c r="A171" s="182"/>
      <c r="B171" s="182"/>
      <c r="C171" s="182"/>
      <c r="H171" s="69">
        <v>3</v>
      </c>
      <c r="I171" s="116" t="s">
        <v>770</v>
      </c>
      <c r="J171" s="116" t="s">
        <v>3287</v>
      </c>
      <c r="K171" s="12" t="s">
        <v>334</v>
      </c>
      <c r="L171" s="12" t="s">
        <v>366</v>
      </c>
      <c r="M171" s="12" t="s">
        <v>395</v>
      </c>
      <c r="N171" s="13">
        <v>30</v>
      </c>
      <c r="O171" s="139" t="s">
        <v>2330</v>
      </c>
      <c r="P171" s="19" t="s">
        <v>614</v>
      </c>
    </row>
    <row r="172" spans="1:16" ht="24.75">
      <c r="A172" s="182"/>
      <c r="B172" s="182"/>
      <c r="C172" s="182"/>
      <c r="H172" s="69">
        <v>4</v>
      </c>
      <c r="I172" s="116" t="s">
        <v>770</v>
      </c>
      <c r="J172" s="116" t="s">
        <v>3287</v>
      </c>
      <c r="K172" s="12" t="s">
        <v>334</v>
      </c>
      <c r="L172" s="12" t="s">
        <v>366</v>
      </c>
      <c r="M172" s="12" t="s">
        <v>395</v>
      </c>
      <c r="N172" s="13">
        <v>40</v>
      </c>
      <c r="O172" s="139" t="s">
        <v>2330</v>
      </c>
      <c r="P172" s="19" t="s">
        <v>614</v>
      </c>
    </row>
    <row r="173" spans="1:16" ht="14.25" thickBot="1">
      <c r="A173" s="136">
        <v>2107000000040</v>
      </c>
      <c r="B173" s="182"/>
      <c r="C173" s="136">
        <v>2200000000047</v>
      </c>
      <c r="D173" s="10" t="s">
        <v>934</v>
      </c>
      <c r="E173" s="10" t="b">
        <v>1</v>
      </c>
      <c r="H173" s="69"/>
      <c r="I173" s="117"/>
      <c r="J173" s="117"/>
      <c r="K173" s="70"/>
      <c r="L173" s="70"/>
      <c r="M173" s="70"/>
      <c r="N173" s="71"/>
      <c r="O173" s="120"/>
    </row>
    <row r="174" spans="1:16" ht="25.5" thickBot="1">
      <c r="A174" s="182"/>
      <c r="B174" s="182"/>
      <c r="C174" s="136"/>
      <c r="D174" s="10"/>
      <c r="E174" s="10"/>
      <c r="H174" s="11" t="s">
        <v>332</v>
      </c>
      <c r="I174" s="116" t="s">
        <v>771</v>
      </c>
      <c r="J174" s="116" t="s">
        <v>3239</v>
      </c>
      <c r="K174" s="12" t="s">
        <v>334</v>
      </c>
      <c r="L174" s="125" t="s">
        <v>335</v>
      </c>
      <c r="M174" s="125" t="s">
        <v>346</v>
      </c>
      <c r="N174" s="13">
        <v>10</v>
      </c>
      <c r="O174" s="139" t="s">
        <v>2331</v>
      </c>
      <c r="P174" s="19" t="s">
        <v>431</v>
      </c>
    </row>
    <row r="175" spans="1:16" ht="24.75">
      <c r="A175" s="182"/>
      <c r="B175" s="182"/>
      <c r="C175" s="136"/>
      <c r="D175" s="10"/>
      <c r="H175" s="69">
        <v>2</v>
      </c>
      <c r="I175" s="116" t="s">
        <v>771</v>
      </c>
      <c r="J175" s="116" t="s">
        <v>3288</v>
      </c>
      <c r="K175" s="12" t="s">
        <v>334</v>
      </c>
      <c r="L175" s="125" t="s">
        <v>335</v>
      </c>
      <c r="M175" s="125" t="s">
        <v>346</v>
      </c>
      <c r="N175" s="71">
        <v>20</v>
      </c>
      <c r="O175" s="139" t="s">
        <v>2331</v>
      </c>
      <c r="P175" s="19" t="s">
        <v>431</v>
      </c>
    </row>
    <row r="176" spans="1:16" ht="24.75">
      <c r="A176" s="182"/>
      <c r="B176" s="182"/>
      <c r="C176" s="136"/>
      <c r="D176" s="10"/>
      <c r="H176" s="69">
        <v>3</v>
      </c>
      <c r="I176" s="116" t="s">
        <v>771</v>
      </c>
      <c r="J176" s="116" t="s">
        <v>3288</v>
      </c>
      <c r="K176" s="12" t="s">
        <v>334</v>
      </c>
      <c r="L176" s="125" t="s">
        <v>335</v>
      </c>
      <c r="M176" s="125" t="s">
        <v>346</v>
      </c>
      <c r="N176" s="71">
        <v>30</v>
      </c>
      <c r="O176" s="139" t="s">
        <v>2331</v>
      </c>
      <c r="P176" s="19" t="s">
        <v>431</v>
      </c>
    </row>
    <row r="177" spans="1:16" ht="24.75">
      <c r="A177" s="182"/>
      <c r="B177" s="182"/>
      <c r="C177" s="136"/>
      <c r="D177" s="10"/>
      <c r="H177" s="69">
        <v>4</v>
      </c>
      <c r="I177" s="116" t="s">
        <v>771</v>
      </c>
      <c r="J177" s="116" t="s">
        <v>3239</v>
      </c>
      <c r="K177" s="12" t="s">
        <v>334</v>
      </c>
      <c r="L177" s="125" t="s">
        <v>335</v>
      </c>
      <c r="M177" s="125" t="s">
        <v>346</v>
      </c>
      <c r="N177" s="71">
        <v>40</v>
      </c>
      <c r="O177" s="139" t="s">
        <v>2331</v>
      </c>
      <c r="P177" s="19" t="s">
        <v>431</v>
      </c>
    </row>
    <row r="178" spans="1:16" ht="14.25" thickBot="1">
      <c r="A178" s="136">
        <v>2107000000041</v>
      </c>
      <c r="B178" s="182"/>
      <c r="C178" s="136">
        <v>2200000000047</v>
      </c>
      <c r="D178" s="10" t="s">
        <v>934</v>
      </c>
      <c r="E178" s="10" t="b">
        <v>0</v>
      </c>
      <c r="H178" s="159"/>
      <c r="I178" s="117"/>
      <c r="J178" s="117"/>
      <c r="K178" s="10"/>
      <c r="L178" s="10"/>
      <c r="M178" s="10"/>
      <c r="N178" s="160"/>
      <c r="O178" s="161"/>
    </row>
    <row r="179" spans="1:16" ht="25.5" thickBot="1">
      <c r="A179" s="182"/>
      <c r="B179" s="182"/>
      <c r="C179" s="182"/>
      <c r="E179" s="119"/>
      <c r="H179" s="11" t="s">
        <v>332</v>
      </c>
      <c r="I179" s="116" t="s">
        <v>772</v>
      </c>
      <c r="J179" s="116" t="s">
        <v>3289</v>
      </c>
      <c r="K179" s="12" t="s">
        <v>334</v>
      </c>
      <c r="L179" s="125" t="s">
        <v>335</v>
      </c>
      <c r="M179" s="125" t="s">
        <v>3242</v>
      </c>
      <c r="N179" s="13">
        <v>6</v>
      </c>
      <c r="O179" s="139" t="s">
        <v>2329</v>
      </c>
      <c r="P179" s="19" t="s">
        <v>3290</v>
      </c>
    </row>
    <row r="180" spans="1:16" ht="24.75">
      <c r="A180" s="182"/>
      <c r="B180" s="182"/>
      <c r="C180" s="182"/>
      <c r="H180" s="10">
        <v>2</v>
      </c>
      <c r="I180" s="116" t="s">
        <v>772</v>
      </c>
      <c r="J180" s="116" t="s">
        <v>3289</v>
      </c>
      <c r="K180" s="12" t="s">
        <v>334</v>
      </c>
      <c r="L180" s="125" t="s">
        <v>335</v>
      </c>
      <c r="M180" s="125" t="s">
        <v>3242</v>
      </c>
      <c r="N180" s="71">
        <v>12</v>
      </c>
      <c r="O180" s="139" t="s">
        <v>2329</v>
      </c>
      <c r="P180" s="19" t="s">
        <v>437</v>
      </c>
    </row>
    <row r="181" spans="1:16" ht="24.75">
      <c r="A181" s="182"/>
      <c r="B181" s="182"/>
      <c r="C181" s="182"/>
      <c r="H181" s="69">
        <v>3</v>
      </c>
      <c r="I181" s="116" t="s">
        <v>772</v>
      </c>
      <c r="J181" s="116" t="s">
        <v>3289</v>
      </c>
      <c r="K181" s="12" t="s">
        <v>334</v>
      </c>
      <c r="L181" s="125" t="s">
        <v>335</v>
      </c>
      <c r="M181" s="125" t="s">
        <v>3242</v>
      </c>
      <c r="N181" s="71">
        <v>18</v>
      </c>
      <c r="O181" s="139" t="s">
        <v>2330</v>
      </c>
      <c r="P181" s="19" t="s">
        <v>437</v>
      </c>
    </row>
    <row r="182" spans="1:16" ht="24.75">
      <c r="A182" s="182"/>
      <c r="B182" s="182"/>
      <c r="C182" s="182"/>
      <c r="H182" s="69">
        <v>4</v>
      </c>
      <c r="I182" s="116" t="s">
        <v>772</v>
      </c>
      <c r="J182" s="116" t="s">
        <v>3240</v>
      </c>
      <c r="K182" s="12" t="s">
        <v>334</v>
      </c>
      <c r="L182" s="125" t="s">
        <v>335</v>
      </c>
      <c r="M182" s="125" t="s">
        <v>3241</v>
      </c>
      <c r="N182" s="71">
        <v>24</v>
      </c>
      <c r="O182" s="139" t="s">
        <v>2331</v>
      </c>
      <c r="P182" s="19" t="s">
        <v>437</v>
      </c>
    </row>
    <row r="183" spans="1:16">
      <c r="A183" s="136">
        <v>2107000000042</v>
      </c>
      <c r="B183" s="182"/>
      <c r="C183" s="136">
        <v>2200000000047</v>
      </c>
      <c r="D183" s="10" t="s">
        <v>934</v>
      </c>
      <c r="E183" s="10" t="b">
        <v>1</v>
      </c>
    </row>
    <row r="184" spans="1:16" ht="24.75">
      <c r="A184" s="182"/>
      <c r="B184" s="182"/>
      <c r="C184" s="182"/>
      <c r="E184" s="10"/>
      <c r="H184" s="10">
        <v>1</v>
      </c>
      <c r="I184" s="116" t="s">
        <v>773</v>
      </c>
      <c r="J184" s="116" t="s">
        <v>3291</v>
      </c>
      <c r="K184" s="12" t="s">
        <v>334</v>
      </c>
      <c r="L184" s="125" t="s">
        <v>335</v>
      </c>
      <c r="M184" s="125" t="s">
        <v>390</v>
      </c>
      <c r="N184" s="71">
        <v>3</v>
      </c>
      <c r="O184" s="139" t="s">
        <v>2331</v>
      </c>
      <c r="P184" s="19" t="s">
        <v>391</v>
      </c>
    </row>
    <row r="185" spans="1:16" ht="24.75">
      <c r="A185" s="182"/>
      <c r="B185" s="182"/>
      <c r="C185" s="182"/>
      <c r="E185" s="10"/>
      <c r="H185" s="10">
        <v>2</v>
      </c>
      <c r="I185" s="116" t="s">
        <v>773</v>
      </c>
      <c r="J185" s="116" t="s">
        <v>3246</v>
      </c>
      <c r="K185" s="12" t="s">
        <v>334</v>
      </c>
      <c r="L185" s="125" t="s">
        <v>335</v>
      </c>
      <c r="M185" s="125" t="s">
        <v>390</v>
      </c>
      <c r="N185" s="71">
        <v>6</v>
      </c>
      <c r="O185" s="139" t="s">
        <v>2331</v>
      </c>
      <c r="P185" s="19" t="s">
        <v>391</v>
      </c>
    </row>
    <row r="186" spans="1:16" ht="24.75">
      <c r="A186" s="182"/>
      <c r="B186" s="182"/>
      <c r="C186" s="182"/>
      <c r="E186" s="119"/>
      <c r="H186" s="10">
        <v>3</v>
      </c>
      <c r="I186" s="116" t="s">
        <v>773</v>
      </c>
      <c r="J186" s="116" t="s">
        <v>3245</v>
      </c>
      <c r="K186" s="12" t="s">
        <v>334</v>
      </c>
      <c r="L186" s="125" t="s">
        <v>335</v>
      </c>
      <c r="M186" s="125" t="s">
        <v>390</v>
      </c>
      <c r="N186" s="71">
        <v>9</v>
      </c>
      <c r="O186" s="139" t="s">
        <v>2331</v>
      </c>
      <c r="P186" s="19" t="s">
        <v>391</v>
      </c>
    </row>
    <row r="187" spans="1:16" ht="24.75">
      <c r="A187" s="182"/>
      <c r="B187" s="182"/>
      <c r="C187" s="182"/>
      <c r="E187" s="119"/>
      <c r="H187" s="10">
        <v>4</v>
      </c>
      <c r="I187" s="116" t="s">
        <v>773</v>
      </c>
      <c r="J187" s="116" t="s">
        <v>3246</v>
      </c>
      <c r="K187" s="12" t="s">
        <v>334</v>
      </c>
      <c r="L187" s="125" t="s">
        <v>335</v>
      </c>
      <c r="M187" s="125" t="s">
        <v>390</v>
      </c>
      <c r="N187" s="71">
        <v>12</v>
      </c>
      <c r="O187" s="139" t="s">
        <v>2331</v>
      </c>
      <c r="P187" s="19" t="s">
        <v>391</v>
      </c>
    </row>
    <row r="188" spans="1:16">
      <c r="A188" s="136">
        <v>2107000000043</v>
      </c>
      <c r="B188" s="182"/>
      <c r="C188" s="136">
        <v>2200000000047</v>
      </c>
      <c r="D188" s="10" t="s">
        <v>934</v>
      </c>
      <c r="E188" s="10" t="b">
        <v>1</v>
      </c>
    </row>
    <row r="189" spans="1:16" ht="24.75">
      <c r="A189" s="182"/>
      <c r="B189" s="182"/>
      <c r="C189" s="182"/>
      <c r="H189" s="10">
        <v>1</v>
      </c>
      <c r="I189" s="116" t="s">
        <v>774</v>
      </c>
      <c r="J189" s="116" t="s">
        <v>3248</v>
      </c>
      <c r="K189" s="12" t="s">
        <v>334</v>
      </c>
      <c r="L189" s="125" t="s">
        <v>335</v>
      </c>
      <c r="M189" s="125" t="s">
        <v>3292</v>
      </c>
      <c r="N189" s="71">
        <v>5</v>
      </c>
      <c r="O189" s="139" t="s">
        <v>2331</v>
      </c>
      <c r="P189" s="19" t="s">
        <v>3293</v>
      </c>
    </row>
    <row r="190" spans="1:16" ht="24.75">
      <c r="A190" s="182"/>
      <c r="B190" s="182"/>
      <c r="C190" s="182"/>
      <c r="H190" s="10">
        <v>2</v>
      </c>
      <c r="I190" s="116" t="s">
        <v>774</v>
      </c>
      <c r="J190" s="116" t="s">
        <v>3294</v>
      </c>
      <c r="K190" s="12" t="s">
        <v>334</v>
      </c>
      <c r="L190" s="125" t="s">
        <v>335</v>
      </c>
      <c r="M190" s="125" t="s">
        <v>3250</v>
      </c>
      <c r="N190" s="71">
        <v>10</v>
      </c>
      <c r="O190" s="139" t="s">
        <v>2331</v>
      </c>
      <c r="P190" s="19" t="s">
        <v>3252</v>
      </c>
    </row>
    <row r="191" spans="1:16" ht="24.75">
      <c r="A191" s="182"/>
      <c r="B191" s="182"/>
      <c r="C191" s="182"/>
      <c r="H191" s="10">
        <v>3</v>
      </c>
      <c r="I191" s="116" t="s">
        <v>774</v>
      </c>
      <c r="J191" s="116" t="s">
        <v>3294</v>
      </c>
      <c r="K191" s="12" t="s">
        <v>334</v>
      </c>
      <c r="L191" s="125" t="s">
        <v>335</v>
      </c>
      <c r="M191" s="125" t="s">
        <v>3292</v>
      </c>
      <c r="N191" s="71">
        <v>15</v>
      </c>
      <c r="O191" s="139" t="s">
        <v>2331</v>
      </c>
      <c r="P191" s="19" t="s">
        <v>3252</v>
      </c>
    </row>
    <row r="192" spans="1:16" ht="24.75">
      <c r="A192" s="182"/>
      <c r="B192" s="182"/>
      <c r="C192" s="182"/>
      <c r="H192" s="10">
        <v>4</v>
      </c>
      <c r="I192" s="116" t="s">
        <v>774</v>
      </c>
      <c r="J192" s="116" t="s">
        <v>3294</v>
      </c>
      <c r="K192" s="12" t="s">
        <v>334</v>
      </c>
      <c r="L192" s="125" t="s">
        <v>335</v>
      </c>
      <c r="M192" s="125" t="s">
        <v>3292</v>
      </c>
      <c r="N192" s="10">
        <v>20</v>
      </c>
      <c r="O192" s="139" t="s">
        <v>2331</v>
      </c>
      <c r="P192" s="19" t="s">
        <v>3293</v>
      </c>
    </row>
    <row r="193" spans="1:16" ht="14.25" thickBot="1">
      <c r="A193" s="136">
        <v>2107000000044</v>
      </c>
      <c r="B193" s="136"/>
      <c r="C193" s="136">
        <v>2200000000047</v>
      </c>
      <c r="D193" s="10" t="s">
        <v>934</v>
      </c>
      <c r="E193" s="115" t="b">
        <v>1</v>
      </c>
      <c r="F193" s="10"/>
      <c r="G193" s="10"/>
      <c r="H193" s="7"/>
      <c r="I193" s="8"/>
      <c r="J193" s="8"/>
      <c r="K193" s="8"/>
      <c r="L193" s="8"/>
      <c r="M193" s="8"/>
      <c r="N193" s="8"/>
      <c r="O193" s="8"/>
    </row>
    <row r="194" spans="1:16" ht="25.5" thickBot="1">
      <c r="A194" s="183"/>
      <c r="B194" s="136"/>
      <c r="C194" s="136"/>
      <c r="D194" s="10"/>
      <c r="E194" s="10"/>
      <c r="F194" s="10"/>
      <c r="G194" s="10"/>
      <c r="H194" s="11" t="s">
        <v>332</v>
      </c>
      <c r="I194" s="116" t="s">
        <v>775</v>
      </c>
      <c r="J194" s="116" t="s">
        <v>3295</v>
      </c>
      <c r="K194" s="12" t="s">
        <v>334</v>
      </c>
      <c r="L194" s="13" t="s">
        <v>370</v>
      </c>
      <c r="M194" s="13" t="s">
        <v>371</v>
      </c>
      <c r="N194" s="12">
        <v>5</v>
      </c>
      <c r="O194" s="139" t="s">
        <v>2331</v>
      </c>
      <c r="P194" s="74" t="s">
        <v>372</v>
      </c>
    </row>
    <row r="195" spans="1:16" ht="24.75">
      <c r="A195" s="182"/>
      <c r="B195" s="182"/>
      <c r="C195" s="182"/>
      <c r="H195" s="10">
        <v>2</v>
      </c>
      <c r="I195" s="116" t="s">
        <v>775</v>
      </c>
      <c r="J195" s="116" t="s">
        <v>3254</v>
      </c>
      <c r="K195" s="12" t="s">
        <v>334</v>
      </c>
      <c r="L195" s="13" t="s">
        <v>370</v>
      </c>
      <c r="M195" s="13" t="s">
        <v>371</v>
      </c>
      <c r="N195" s="12">
        <v>10</v>
      </c>
      <c r="O195" s="139" t="s">
        <v>2331</v>
      </c>
      <c r="P195" s="74" t="s">
        <v>372</v>
      </c>
    </row>
    <row r="196" spans="1:16" ht="24.75">
      <c r="A196" s="182"/>
      <c r="B196" s="182"/>
      <c r="C196" s="182"/>
      <c r="H196" s="10">
        <v>3</v>
      </c>
      <c r="I196" s="116" t="s">
        <v>775</v>
      </c>
      <c r="J196" s="116" t="s">
        <v>3295</v>
      </c>
      <c r="K196" s="12" t="s">
        <v>334</v>
      </c>
      <c r="L196" s="13" t="s">
        <v>370</v>
      </c>
      <c r="M196" s="13" t="s">
        <v>371</v>
      </c>
      <c r="N196" s="12">
        <v>15</v>
      </c>
      <c r="O196" s="139" t="s">
        <v>2331</v>
      </c>
      <c r="P196" s="74" t="s">
        <v>372</v>
      </c>
    </row>
    <row r="197" spans="1:16" ht="24.75">
      <c r="A197" s="182"/>
      <c r="B197" s="182"/>
      <c r="C197" s="182"/>
      <c r="H197" s="10">
        <v>4</v>
      </c>
      <c r="I197" s="116" t="s">
        <v>775</v>
      </c>
      <c r="J197" s="116" t="s">
        <v>3295</v>
      </c>
      <c r="K197" s="12" t="s">
        <v>334</v>
      </c>
      <c r="L197" s="13" t="s">
        <v>370</v>
      </c>
      <c r="M197" s="13" t="s">
        <v>371</v>
      </c>
      <c r="N197" s="12">
        <v>20</v>
      </c>
      <c r="O197" s="139" t="s">
        <v>2331</v>
      </c>
      <c r="P197" s="74" t="s">
        <v>372</v>
      </c>
    </row>
    <row r="198" spans="1:16" ht="14.25" thickBot="1">
      <c r="A198" s="136">
        <v>2107000000045</v>
      </c>
      <c r="B198" s="136"/>
      <c r="C198" s="136">
        <v>2200000000047</v>
      </c>
      <c r="D198" s="10" t="s">
        <v>934</v>
      </c>
      <c r="E198" s="115" t="b">
        <v>1</v>
      </c>
      <c r="F198" s="10"/>
      <c r="G198" s="10"/>
      <c r="H198" s="7"/>
      <c r="I198" s="8"/>
      <c r="J198" s="8"/>
      <c r="K198" s="8"/>
      <c r="L198" s="8"/>
      <c r="M198" s="8"/>
      <c r="N198" s="8"/>
      <c r="O198" s="8"/>
    </row>
    <row r="199" spans="1:16" ht="25.5" thickBot="1">
      <c r="A199" s="183"/>
      <c r="B199" s="136"/>
      <c r="C199" s="136"/>
      <c r="D199" s="10"/>
      <c r="E199" s="10"/>
      <c r="F199" s="10"/>
      <c r="G199" s="10"/>
      <c r="H199" s="11" t="s">
        <v>332</v>
      </c>
      <c r="I199" s="116" t="s">
        <v>776</v>
      </c>
      <c r="J199" s="116" t="s">
        <v>3256</v>
      </c>
      <c r="K199" s="12" t="s">
        <v>334</v>
      </c>
      <c r="L199" s="13" t="s">
        <v>370</v>
      </c>
      <c r="M199" s="13" t="s">
        <v>374</v>
      </c>
      <c r="N199" s="12">
        <v>5</v>
      </c>
      <c r="O199" s="139" t="s">
        <v>2331</v>
      </c>
      <c r="P199" s="74" t="s">
        <v>375</v>
      </c>
    </row>
    <row r="200" spans="1:16" ht="24.75">
      <c r="A200" s="182"/>
      <c r="B200" s="182"/>
      <c r="C200" s="182"/>
      <c r="H200" s="10">
        <v>2</v>
      </c>
      <c r="I200" s="116" t="s">
        <v>776</v>
      </c>
      <c r="J200" s="116" t="s">
        <v>3296</v>
      </c>
      <c r="K200" s="12" t="s">
        <v>334</v>
      </c>
      <c r="L200" s="13" t="s">
        <v>370</v>
      </c>
      <c r="M200" s="13" t="s">
        <v>374</v>
      </c>
      <c r="N200" s="12">
        <v>10</v>
      </c>
      <c r="O200" s="139" t="s">
        <v>2331</v>
      </c>
      <c r="P200" s="74" t="s">
        <v>375</v>
      </c>
    </row>
    <row r="201" spans="1:16" ht="24.75">
      <c r="A201" s="182"/>
      <c r="B201" s="182"/>
      <c r="C201" s="182"/>
      <c r="H201" s="10">
        <v>3</v>
      </c>
      <c r="I201" s="116" t="s">
        <v>776</v>
      </c>
      <c r="J201" s="116" t="s">
        <v>3256</v>
      </c>
      <c r="K201" s="12" t="s">
        <v>334</v>
      </c>
      <c r="L201" s="13" t="s">
        <v>370</v>
      </c>
      <c r="M201" s="13" t="s">
        <v>374</v>
      </c>
      <c r="N201" s="12">
        <v>15</v>
      </c>
      <c r="O201" s="139" t="s">
        <v>2331</v>
      </c>
      <c r="P201" s="74" t="s">
        <v>375</v>
      </c>
    </row>
    <row r="202" spans="1:16" ht="24.75">
      <c r="A202" s="182"/>
      <c r="B202" s="182"/>
      <c r="C202" s="182"/>
      <c r="H202" s="10">
        <v>4</v>
      </c>
      <c r="I202" s="116" t="s">
        <v>776</v>
      </c>
      <c r="J202" s="116" t="s">
        <v>3256</v>
      </c>
      <c r="K202" s="12" t="s">
        <v>334</v>
      </c>
      <c r="L202" s="13" t="s">
        <v>370</v>
      </c>
      <c r="M202" s="13" t="s">
        <v>374</v>
      </c>
      <c r="N202" s="12">
        <v>20</v>
      </c>
      <c r="O202" s="139" t="s">
        <v>2331</v>
      </c>
      <c r="P202" s="74" t="s">
        <v>375</v>
      </c>
    </row>
    <row r="203" spans="1:16">
      <c r="A203" s="136">
        <v>2107000000046</v>
      </c>
      <c r="B203" s="136"/>
      <c r="C203" s="136">
        <v>2200000000047</v>
      </c>
      <c r="D203" s="10" t="s">
        <v>934</v>
      </c>
      <c r="E203" s="115" t="b">
        <v>1</v>
      </c>
      <c r="F203" s="10"/>
      <c r="G203" s="10"/>
    </row>
    <row r="204" spans="1:16" ht="24.75">
      <c r="A204" s="182"/>
      <c r="B204" s="182"/>
      <c r="C204" s="182"/>
      <c r="H204" s="10">
        <v>1</v>
      </c>
      <c r="I204" s="116" t="s">
        <v>3297</v>
      </c>
      <c r="J204" s="116" t="s">
        <v>3258</v>
      </c>
      <c r="K204" s="12" t="s">
        <v>334</v>
      </c>
      <c r="L204" s="19" t="s">
        <v>793</v>
      </c>
      <c r="M204" s="19" t="s">
        <v>3298</v>
      </c>
      <c r="N204" s="19">
        <v>1</v>
      </c>
      <c r="O204" s="139" t="s">
        <v>2332</v>
      </c>
      <c r="P204" s="74" t="s">
        <v>1190</v>
      </c>
    </row>
    <row r="205" spans="1:16">
      <c r="A205" s="136">
        <v>2107000000047</v>
      </c>
      <c r="B205" s="136"/>
      <c r="C205" s="136">
        <v>2200000000047</v>
      </c>
      <c r="D205" s="10" t="s">
        <v>934</v>
      </c>
      <c r="E205" s="115" t="b">
        <v>1</v>
      </c>
      <c r="F205" s="10"/>
      <c r="G205" s="10"/>
    </row>
    <row r="206" spans="1:16" ht="24.75">
      <c r="A206" s="182"/>
      <c r="B206" s="182"/>
      <c r="C206" s="182"/>
      <c r="H206" s="10">
        <v>1</v>
      </c>
      <c r="I206" s="116" t="s">
        <v>767</v>
      </c>
      <c r="J206" s="116" t="s">
        <v>767</v>
      </c>
      <c r="K206" s="12" t="s">
        <v>334</v>
      </c>
      <c r="L206" s="19" t="s">
        <v>793</v>
      </c>
      <c r="M206" s="19" t="s">
        <v>3143</v>
      </c>
      <c r="N206" s="19">
        <v>1</v>
      </c>
      <c r="O206" s="139" t="s">
        <v>2333</v>
      </c>
      <c r="P206" s="74" t="s">
        <v>1190</v>
      </c>
    </row>
    <row r="207" spans="1:16">
      <c r="A207" s="136">
        <v>2107000000048</v>
      </c>
      <c r="B207" s="136"/>
      <c r="C207" s="136">
        <v>2200000000047</v>
      </c>
      <c r="D207" s="10" t="s">
        <v>934</v>
      </c>
      <c r="E207" s="115" t="b">
        <v>1</v>
      </c>
      <c r="F207" s="10"/>
      <c r="G207" s="10"/>
    </row>
    <row r="208" spans="1:16" ht="24.75">
      <c r="A208" s="182"/>
      <c r="B208" s="182"/>
      <c r="C208" s="182"/>
      <c r="H208" s="10">
        <v>1</v>
      </c>
      <c r="I208" s="116" t="s">
        <v>768</v>
      </c>
      <c r="J208" s="116" t="s">
        <v>768</v>
      </c>
      <c r="K208" s="12" t="s">
        <v>334</v>
      </c>
      <c r="L208" s="19" t="s">
        <v>793</v>
      </c>
      <c r="M208" s="19" t="s">
        <v>3144</v>
      </c>
      <c r="N208" s="19">
        <v>1</v>
      </c>
      <c r="O208" s="139" t="s">
        <v>2334</v>
      </c>
      <c r="P208" s="74" t="s">
        <v>1190</v>
      </c>
    </row>
    <row r="209" spans="1:16">
      <c r="A209" s="136">
        <v>2107000000049</v>
      </c>
      <c r="B209" s="136"/>
      <c r="C209" s="136">
        <v>2200000000047</v>
      </c>
      <c r="D209" s="10" t="s">
        <v>934</v>
      </c>
      <c r="E209" s="115" t="b">
        <v>1</v>
      </c>
      <c r="F209" s="10"/>
      <c r="G209" s="10"/>
    </row>
    <row r="210" spans="1:16" ht="24.75">
      <c r="A210" s="136"/>
      <c r="B210" s="10"/>
      <c r="C210" s="10"/>
      <c r="D210" s="10"/>
      <c r="E210" s="115"/>
      <c r="F210" s="10"/>
      <c r="G210" s="10"/>
      <c r="H210" s="10">
        <v>1</v>
      </c>
      <c r="I210" s="116" t="s">
        <v>3299</v>
      </c>
      <c r="J210" s="116" t="s">
        <v>768</v>
      </c>
      <c r="K210" s="12" t="s">
        <v>334</v>
      </c>
      <c r="L210" s="19" t="s">
        <v>793</v>
      </c>
      <c r="M210" s="19" t="s">
        <v>3264</v>
      </c>
      <c r="N210" s="19">
        <v>2</v>
      </c>
      <c r="O210" s="139" t="s">
        <v>2335</v>
      </c>
      <c r="P210" s="74" t="s">
        <v>1190</v>
      </c>
    </row>
    <row r="211" spans="1:16">
      <c r="A211" s="55"/>
      <c r="B211" s="55"/>
      <c r="C211" s="55"/>
      <c r="D211" s="55"/>
      <c r="E211" s="55"/>
      <c r="F211" s="55"/>
      <c r="G211" s="55"/>
      <c r="H211" s="54"/>
      <c r="I211" s="123"/>
      <c r="J211" s="123"/>
      <c r="K211" s="55"/>
      <c r="L211" s="55"/>
      <c r="M211" s="124"/>
      <c r="N211" s="55"/>
      <c r="O211" s="58"/>
      <c r="P211" s="72"/>
    </row>
    <row r="212" spans="1:16" ht="14.25" thickBot="1">
      <c r="A212" s="136">
        <v>2107000000050</v>
      </c>
      <c r="B212" s="136"/>
      <c r="C212" s="136">
        <v>2200000000048</v>
      </c>
      <c r="D212" s="10" t="s">
        <v>935</v>
      </c>
      <c r="E212" s="10" t="b">
        <v>1</v>
      </c>
      <c r="F212" s="10"/>
      <c r="G212" s="10"/>
      <c r="H212" s="7"/>
      <c r="I212" s="7"/>
      <c r="J212" s="8"/>
      <c r="K212" s="8"/>
      <c r="L212" s="8"/>
      <c r="M212" s="8"/>
      <c r="N212" s="8"/>
      <c r="O212" s="8"/>
    </row>
    <row r="213" spans="1:16" ht="25.5" thickBot="1">
      <c r="A213" s="136"/>
      <c r="B213" s="136"/>
      <c r="C213" s="136"/>
      <c r="D213" s="10"/>
      <c r="E213" s="10"/>
      <c r="F213" s="10"/>
      <c r="G213" s="10"/>
      <c r="H213" s="11" t="s">
        <v>332</v>
      </c>
      <c r="I213" s="116" t="s">
        <v>769</v>
      </c>
      <c r="J213" s="116" t="s">
        <v>3285</v>
      </c>
      <c r="K213" s="12" t="s">
        <v>334</v>
      </c>
      <c r="L213" s="83" t="s">
        <v>366</v>
      </c>
      <c r="M213" s="83" t="s">
        <v>367</v>
      </c>
      <c r="N213" s="13">
        <v>100</v>
      </c>
      <c r="O213" s="139" t="s">
        <v>2329</v>
      </c>
      <c r="P213" s="19" t="s">
        <v>611</v>
      </c>
    </row>
    <row r="214" spans="1:16" ht="24.75">
      <c r="A214" s="136"/>
      <c r="B214" s="136"/>
      <c r="C214" s="136"/>
      <c r="D214" s="10"/>
      <c r="F214" s="10"/>
      <c r="G214" s="10"/>
      <c r="H214" s="69">
        <v>2</v>
      </c>
      <c r="I214" s="116" t="s">
        <v>769</v>
      </c>
      <c r="J214" s="116" t="s">
        <v>3300</v>
      </c>
      <c r="K214" s="12" t="s">
        <v>334</v>
      </c>
      <c r="L214" s="83" t="s">
        <v>366</v>
      </c>
      <c r="M214" s="83" t="s">
        <v>367</v>
      </c>
      <c r="N214" s="13">
        <v>200</v>
      </c>
      <c r="O214" s="139" t="s">
        <v>2329</v>
      </c>
      <c r="P214" s="19" t="s">
        <v>611</v>
      </c>
    </row>
    <row r="215" spans="1:16" ht="24.75">
      <c r="A215" s="136"/>
      <c r="B215" s="136"/>
      <c r="C215" s="136"/>
      <c r="D215" s="10"/>
      <c r="F215" s="10"/>
      <c r="G215" s="10"/>
      <c r="H215" s="69">
        <v>3</v>
      </c>
      <c r="I215" s="116" t="s">
        <v>769</v>
      </c>
      <c r="J215" s="116" t="s">
        <v>3300</v>
      </c>
      <c r="K215" s="12" t="s">
        <v>334</v>
      </c>
      <c r="L215" s="83" t="s">
        <v>366</v>
      </c>
      <c r="M215" s="83" t="s">
        <v>367</v>
      </c>
      <c r="N215" s="13">
        <v>300</v>
      </c>
      <c r="O215" s="139" t="s">
        <v>2329</v>
      </c>
      <c r="P215" s="19" t="s">
        <v>611</v>
      </c>
    </row>
    <row r="216" spans="1:16" ht="24.75">
      <c r="A216" s="136"/>
      <c r="B216" s="136"/>
      <c r="C216" s="136"/>
      <c r="D216" s="10"/>
      <c r="F216" s="10"/>
      <c r="G216" s="10"/>
      <c r="H216" s="69">
        <v>4</v>
      </c>
      <c r="I216" s="116" t="s">
        <v>769</v>
      </c>
      <c r="J216" s="116" t="s">
        <v>3300</v>
      </c>
      <c r="K216" s="12" t="s">
        <v>334</v>
      </c>
      <c r="L216" s="83" t="s">
        <v>366</v>
      </c>
      <c r="M216" s="83" t="s">
        <v>367</v>
      </c>
      <c r="N216" s="13">
        <v>500</v>
      </c>
      <c r="O216" s="139" t="s">
        <v>2329</v>
      </c>
      <c r="P216" s="19" t="s">
        <v>611</v>
      </c>
    </row>
    <row r="217" spans="1:16" ht="14.25" thickBot="1">
      <c r="A217" s="136">
        <v>2107000000051</v>
      </c>
      <c r="B217" s="182"/>
      <c r="C217" s="136">
        <v>2200000000048</v>
      </c>
      <c r="D217" s="10" t="s">
        <v>935</v>
      </c>
      <c r="E217" s="10" t="b">
        <v>1</v>
      </c>
      <c r="H217" s="69"/>
      <c r="I217" s="117"/>
      <c r="J217" s="117"/>
      <c r="K217" s="12"/>
      <c r="L217" s="83"/>
      <c r="M217" s="70"/>
      <c r="O217" s="120"/>
    </row>
    <row r="218" spans="1:16" ht="25.5" thickBot="1">
      <c r="A218" s="182"/>
      <c r="B218" s="182"/>
      <c r="C218" s="182"/>
      <c r="E218" s="119"/>
      <c r="H218" s="11" t="s">
        <v>332</v>
      </c>
      <c r="I218" s="116" t="s">
        <v>770</v>
      </c>
      <c r="J218" s="116" t="s">
        <v>3287</v>
      </c>
      <c r="K218" s="12" t="s">
        <v>334</v>
      </c>
      <c r="L218" s="12" t="s">
        <v>366</v>
      </c>
      <c r="M218" s="12" t="s">
        <v>395</v>
      </c>
      <c r="N218" s="13">
        <v>10</v>
      </c>
      <c r="O218" s="139" t="s">
        <v>2330</v>
      </c>
      <c r="P218" s="19" t="s">
        <v>614</v>
      </c>
    </row>
    <row r="219" spans="1:16" ht="24.75">
      <c r="A219" s="182"/>
      <c r="B219" s="182"/>
      <c r="C219" s="182"/>
      <c r="H219" s="69">
        <v>2</v>
      </c>
      <c r="I219" s="116" t="s">
        <v>770</v>
      </c>
      <c r="J219" s="116" t="s">
        <v>3287</v>
      </c>
      <c r="K219" s="12" t="s">
        <v>334</v>
      </c>
      <c r="L219" s="12" t="s">
        <v>366</v>
      </c>
      <c r="M219" s="12" t="s">
        <v>395</v>
      </c>
      <c r="N219" s="13">
        <v>20</v>
      </c>
      <c r="O219" s="139" t="s">
        <v>2330</v>
      </c>
      <c r="P219" s="19" t="s">
        <v>614</v>
      </c>
    </row>
    <row r="220" spans="1:16" ht="24.75">
      <c r="A220" s="182"/>
      <c r="B220" s="182"/>
      <c r="C220" s="182"/>
      <c r="H220" s="69">
        <v>3</v>
      </c>
      <c r="I220" s="116" t="s">
        <v>770</v>
      </c>
      <c r="J220" s="116" t="s">
        <v>3287</v>
      </c>
      <c r="K220" s="12" t="s">
        <v>334</v>
      </c>
      <c r="L220" s="12" t="s">
        <v>366</v>
      </c>
      <c r="M220" s="12" t="s">
        <v>395</v>
      </c>
      <c r="N220" s="13">
        <v>30</v>
      </c>
      <c r="O220" s="139" t="s">
        <v>2330</v>
      </c>
      <c r="P220" s="19" t="s">
        <v>614</v>
      </c>
    </row>
    <row r="221" spans="1:16" ht="24.75">
      <c r="A221" s="182"/>
      <c r="B221" s="182"/>
      <c r="C221" s="182"/>
      <c r="H221" s="69">
        <v>4</v>
      </c>
      <c r="I221" s="116" t="s">
        <v>770</v>
      </c>
      <c r="J221" s="116" t="s">
        <v>3287</v>
      </c>
      <c r="K221" s="12" t="s">
        <v>334</v>
      </c>
      <c r="L221" s="12" t="s">
        <v>366</v>
      </c>
      <c r="M221" s="12" t="s">
        <v>395</v>
      </c>
      <c r="N221" s="13">
        <v>40</v>
      </c>
      <c r="O221" s="139" t="s">
        <v>2330</v>
      </c>
      <c r="P221" s="19" t="s">
        <v>614</v>
      </c>
    </row>
    <row r="222" spans="1:16" ht="14.25" thickBot="1">
      <c r="A222" s="136">
        <v>2107000000052</v>
      </c>
      <c r="B222" s="182"/>
      <c r="C222" s="136">
        <v>2200000000048</v>
      </c>
      <c r="D222" s="10" t="s">
        <v>935</v>
      </c>
      <c r="E222" s="10" t="b">
        <v>1</v>
      </c>
      <c r="H222" s="69"/>
      <c r="I222" s="117"/>
      <c r="J222" s="117"/>
      <c r="K222" s="70"/>
      <c r="L222" s="70"/>
      <c r="M222" s="70"/>
      <c r="N222" s="71"/>
      <c r="O222" s="120"/>
    </row>
    <row r="223" spans="1:16" ht="25.5" thickBot="1">
      <c r="A223" s="182"/>
      <c r="B223" s="182"/>
      <c r="C223" s="136"/>
      <c r="D223" s="10"/>
      <c r="E223" s="10"/>
      <c r="H223" s="11" t="s">
        <v>332</v>
      </c>
      <c r="I223" s="116" t="s">
        <v>771</v>
      </c>
      <c r="J223" s="116" t="s">
        <v>3288</v>
      </c>
      <c r="K223" s="12" t="s">
        <v>334</v>
      </c>
      <c r="L223" s="125" t="s">
        <v>335</v>
      </c>
      <c r="M223" s="125" t="s">
        <v>346</v>
      </c>
      <c r="N223" s="13">
        <v>80</v>
      </c>
      <c r="O223" s="139" t="s">
        <v>2331</v>
      </c>
      <c r="P223" s="19" t="s">
        <v>431</v>
      </c>
    </row>
    <row r="224" spans="1:16" ht="24.75">
      <c r="A224" s="182"/>
      <c r="B224" s="182"/>
      <c r="C224" s="136"/>
      <c r="D224" s="10"/>
      <c r="H224" s="69">
        <v>2</v>
      </c>
      <c r="I224" s="116" t="s">
        <v>771</v>
      </c>
      <c r="J224" s="116" t="s">
        <v>3288</v>
      </c>
      <c r="K224" s="12" t="s">
        <v>334</v>
      </c>
      <c r="L224" s="125" t="s">
        <v>335</v>
      </c>
      <c r="M224" s="125" t="s">
        <v>346</v>
      </c>
      <c r="N224" s="71">
        <v>160</v>
      </c>
      <c r="O224" s="139" t="s">
        <v>2331</v>
      </c>
      <c r="P224" s="19" t="s">
        <v>431</v>
      </c>
    </row>
    <row r="225" spans="1:16" ht="24.75">
      <c r="A225" s="182"/>
      <c r="B225" s="182"/>
      <c r="C225" s="136"/>
      <c r="D225" s="10"/>
      <c r="H225" s="69">
        <v>3</v>
      </c>
      <c r="I225" s="116" t="s">
        <v>771</v>
      </c>
      <c r="J225" s="116" t="s">
        <v>3288</v>
      </c>
      <c r="K225" s="12" t="s">
        <v>334</v>
      </c>
      <c r="L225" s="125" t="s">
        <v>335</v>
      </c>
      <c r="M225" s="125" t="s">
        <v>346</v>
      </c>
      <c r="N225" s="71">
        <v>240</v>
      </c>
      <c r="O225" s="139" t="s">
        <v>2331</v>
      </c>
      <c r="P225" s="19" t="s">
        <v>431</v>
      </c>
    </row>
    <row r="226" spans="1:16" ht="24.75">
      <c r="A226" s="182"/>
      <c r="B226" s="182"/>
      <c r="C226" s="136"/>
      <c r="D226" s="10"/>
      <c r="H226" s="69">
        <v>4</v>
      </c>
      <c r="I226" s="116" t="s">
        <v>771</v>
      </c>
      <c r="J226" s="116" t="s">
        <v>3288</v>
      </c>
      <c r="K226" s="12" t="s">
        <v>334</v>
      </c>
      <c r="L226" s="125" t="s">
        <v>335</v>
      </c>
      <c r="M226" s="125" t="s">
        <v>346</v>
      </c>
      <c r="N226" s="71">
        <v>300</v>
      </c>
      <c r="O226" s="139" t="s">
        <v>2331</v>
      </c>
      <c r="P226" s="19" t="s">
        <v>431</v>
      </c>
    </row>
    <row r="227" spans="1:16" ht="14.25" thickBot="1">
      <c r="A227" s="136">
        <v>2107000000053</v>
      </c>
      <c r="B227" s="182"/>
      <c r="C227" s="136">
        <v>2200000000048</v>
      </c>
      <c r="D227" s="10" t="s">
        <v>935</v>
      </c>
      <c r="E227" s="10" t="b">
        <v>0</v>
      </c>
      <c r="H227" s="159"/>
      <c r="I227" s="117"/>
      <c r="J227" s="117"/>
      <c r="K227" s="10"/>
      <c r="L227" s="10"/>
      <c r="M227" s="10"/>
      <c r="N227" s="160"/>
      <c r="O227" s="161"/>
    </row>
    <row r="228" spans="1:16" ht="25.5" thickBot="1">
      <c r="A228" s="182"/>
      <c r="B228" s="182"/>
      <c r="C228" s="182"/>
      <c r="E228" s="119"/>
      <c r="H228" s="11" t="s">
        <v>332</v>
      </c>
      <c r="I228" s="116" t="s">
        <v>772</v>
      </c>
      <c r="J228" s="116" t="s">
        <v>3289</v>
      </c>
      <c r="K228" s="12" t="s">
        <v>334</v>
      </c>
      <c r="L228" s="125" t="s">
        <v>335</v>
      </c>
      <c r="M228" s="125" t="s">
        <v>3241</v>
      </c>
      <c r="N228" s="13">
        <v>6</v>
      </c>
      <c r="O228" s="139" t="s">
        <v>2329</v>
      </c>
      <c r="P228" s="19" t="s">
        <v>3290</v>
      </c>
    </row>
    <row r="229" spans="1:16" ht="24.75">
      <c r="A229" s="182"/>
      <c r="B229" s="182"/>
      <c r="C229" s="182"/>
      <c r="H229" s="10">
        <v>2</v>
      </c>
      <c r="I229" s="116" t="s">
        <v>772</v>
      </c>
      <c r="J229" s="116" t="s">
        <v>3289</v>
      </c>
      <c r="K229" s="12" t="s">
        <v>334</v>
      </c>
      <c r="L229" s="125" t="s">
        <v>335</v>
      </c>
      <c r="M229" s="125" t="s">
        <v>3242</v>
      </c>
      <c r="N229" s="71">
        <v>12</v>
      </c>
      <c r="O229" s="139" t="s">
        <v>2329</v>
      </c>
      <c r="P229" s="19" t="s">
        <v>437</v>
      </c>
    </row>
    <row r="230" spans="1:16" ht="24.75">
      <c r="A230" s="182"/>
      <c r="B230" s="182"/>
      <c r="C230" s="182"/>
      <c r="H230" s="69">
        <v>3</v>
      </c>
      <c r="I230" s="116" t="s">
        <v>772</v>
      </c>
      <c r="J230" s="116" t="s">
        <v>3289</v>
      </c>
      <c r="K230" s="12" t="s">
        <v>334</v>
      </c>
      <c r="L230" s="125" t="s">
        <v>335</v>
      </c>
      <c r="M230" s="125" t="s">
        <v>3241</v>
      </c>
      <c r="N230" s="71">
        <v>18</v>
      </c>
      <c r="O230" s="139" t="s">
        <v>2330</v>
      </c>
      <c r="P230" s="19" t="s">
        <v>437</v>
      </c>
    </row>
    <row r="231" spans="1:16" ht="24.75">
      <c r="A231" s="182"/>
      <c r="B231" s="182"/>
      <c r="C231" s="182"/>
      <c r="H231" s="69">
        <v>4</v>
      </c>
      <c r="I231" s="116" t="s">
        <v>772</v>
      </c>
      <c r="J231" s="116" t="s">
        <v>3289</v>
      </c>
      <c r="K231" s="12" t="s">
        <v>334</v>
      </c>
      <c r="L231" s="125" t="s">
        <v>335</v>
      </c>
      <c r="M231" s="125" t="s">
        <v>3242</v>
      </c>
      <c r="N231" s="71">
        <v>24</v>
      </c>
      <c r="O231" s="139" t="s">
        <v>2331</v>
      </c>
      <c r="P231" s="19" t="s">
        <v>437</v>
      </c>
    </row>
    <row r="232" spans="1:16">
      <c r="A232" s="136">
        <v>2107000000054</v>
      </c>
      <c r="B232" s="182"/>
      <c r="C232" s="136">
        <v>2200000000048</v>
      </c>
      <c r="D232" s="10" t="s">
        <v>935</v>
      </c>
      <c r="E232" s="10" t="b">
        <v>1</v>
      </c>
    </row>
    <row r="233" spans="1:16" ht="24.75">
      <c r="A233" s="182"/>
      <c r="B233" s="182"/>
      <c r="C233" s="182"/>
      <c r="E233" s="10"/>
      <c r="H233" s="10">
        <v>1</v>
      </c>
      <c r="I233" s="116" t="s">
        <v>773</v>
      </c>
      <c r="J233" s="116" t="s">
        <v>3246</v>
      </c>
      <c r="K233" s="12" t="s">
        <v>334</v>
      </c>
      <c r="L233" s="125" t="s">
        <v>335</v>
      </c>
      <c r="M233" s="125" t="s">
        <v>390</v>
      </c>
      <c r="N233" s="71">
        <v>3</v>
      </c>
      <c r="O233" s="139" t="s">
        <v>2331</v>
      </c>
      <c r="P233" s="19" t="s">
        <v>391</v>
      </c>
    </row>
    <row r="234" spans="1:16" ht="24.75">
      <c r="A234" s="182"/>
      <c r="B234" s="182"/>
      <c r="C234" s="182"/>
      <c r="E234" s="10"/>
      <c r="H234" s="10">
        <v>2</v>
      </c>
      <c r="I234" s="116" t="s">
        <v>773</v>
      </c>
      <c r="J234" s="116" t="s">
        <v>3245</v>
      </c>
      <c r="K234" s="12" t="s">
        <v>334</v>
      </c>
      <c r="L234" s="125" t="s">
        <v>335</v>
      </c>
      <c r="M234" s="125" t="s">
        <v>390</v>
      </c>
      <c r="N234" s="71">
        <v>6</v>
      </c>
      <c r="O234" s="139" t="s">
        <v>2331</v>
      </c>
      <c r="P234" s="19" t="s">
        <v>391</v>
      </c>
    </row>
    <row r="235" spans="1:16" ht="24.75">
      <c r="A235" s="182"/>
      <c r="B235" s="182"/>
      <c r="C235" s="182"/>
      <c r="E235" s="119"/>
      <c r="H235" s="10">
        <v>3</v>
      </c>
      <c r="I235" s="116" t="s">
        <v>773</v>
      </c>
      <c r="J235" s="116" t="s">
        <v>3245</v>
      </c>
      <c r="K235" s="12" t="s">
        <v>334</v>
      </c>
      <c r="L235" s="125" t="s">
        <v>335</v>
      </c>
      <c r="M235" s="125" t="s">
        <v>390</v>
      </c>
      <c r="N235" s="71">
        <v>9</v>
      </c>
      <c r="O235" s="139" t="s">
        <v>2331</v>
      </c>
      <c r="P235" s="19" t="s">
        <v>391</v>
      </c>
    </row>
    <row r="236" spans="1:16" ht="24.75">
      <c r="A236" s="182"/>
      <c r="B236" s="182"/>
      <c r="C236" s="182"/>
      <c r="E236" s="119"/>
      <c r="H236" s="10">
        <v>4</v>
      </c>
      <c r="I236" s="116" t="s">
        <v>773</v>
      </c>
      <c r="J236" s="116" t="s">
        <v>3245</v>
      </c>
      <c r="K236" s="12" t="s">
        <v>334</v>
      </c>
      <c r="L236" s="125" t="s">
        <v>335</v>
      </c>
      <c r="M236" s="125" t="s">
        <v>390</v>
      </c>
      <c r="N236" s="71">
        <v>12</v>
      </c>
      <c r="O236" s="139" t="s">
        <v>2331</v>
      </c>
      <c r="P236" s="19" t="s">
        <v>391</v>
      </c>
    </row>
    <row r="237" spans="1:16">
      <c r="A237" s="136">
        <v>2107000000055</v>
      </c>
      <c r="B237" s="182"/>
      <c r="C237" s="136">
        <v>2200000000048</v>
      </c>
      <c r="D237" s="10" t="s">
        <v>3301</v>
      </c>
      <c r="E237" s="10" t="b">
        <v>1</v>
      </c>
    </row>
    <row r="238" spans="1:16" ht="24.75">
      <c r="A238" s="182"/>
      <c r="B238" s="182"/>
      <c r="C238" s="182"/>
      <c r="H238" s="10">
        <v>1</v>
      </c>
      <c r="I238" s="116" t="s">
        <v>774</v>
      </c>
      <c r="J238" s="116" t="s">
        <v>3294</v>
      </c>
      <c r="K238" s="12" t="s">
        <v>334</v>
      </c>
      <c r="L238" s="125" t="s">
        <v>335</v>
      </c>
      <c r="M238" s="125" t="s">
        <v>3292</v>
      </c>
      <c r="N238" s="71">
        <v>40</v>
      </c>
      <c r="O238" s="139" t="s">
        <v>2331</v>
      </c>
      <c r="P238" s="19" t="s">
        <v>3293</v>
      </c>
    </row>
    <row r="239" spans="1:16" ht="24.75">
      <c r="A239" s="182"/>
      <c r="B239" s="182"/>
      <c r="C239" s="182"/>
      <c r="H239" s="10">
        <v>2</v>
      </c>
      <c r="I239" s="116" t="s">
        <v>774</v>
      </c>
      <c r="J239" s="116" t="s">
        <v>3294</v>
      </c>
      <c r="K239" s="12" t="s">
        <v>334</v>
      </c>
      <c r="L239" s="125" t="s">
        <v>335</v>
      </c>
      <c r="M239" s="125" t="s">
        <v>3292</v>
      </c>
      <c r="N239" s="71">
        <v>80</v>
      </c>
      <c r="O239" s="139" t="s">
        <v>2331</v>
      </c>
      <c r="P239" s="19" t="s">
        <v>3252</v>
      </c>
    </row>
    <row r="240" spans="1:16" ht="24.75">
      <c r="A240" s="182"/>
      <c r="B240" s="182"/>
      <c r="C240" s="182"/>
      <c r="H240" s="10">
        <v>3</v>
      </c>
      <c r="I240" s="116" t="s">
        <v>774</v>
      </c>
      <c r="J240" s="116" t="s">
        <v>3294</v>
      </c>
      <c r="K240" s="12" t="s">
        <v>334</v>
      </c>
      <c r="L240" s="125" t="s">
        <v>335</v>
      </c>
      <c r="M240" s="125" t="s">
        <v>3292</v>
      </c>
      <c r="N240" s="71">
        <v>120</v>
      </c>
      <c r="O240" s="139" t="s">
        <v>2331</v>
      </c>
      <c r="P240" s="19" t="s">
        <v>3293</v>
      </c>
    </row>
    <row r="241" spans="1:16" ht="24.75">
      <c r="A241" s="182"/>
      <c r="B241" s="182"/>
      <c r="C241" s="182"/>
      <c r="H241" s="10">
        <v>4</v>
      </c>
      <c r="I241" s="116" t="s">
        <v>774</v>
      </c>
      <c r="J241" s="116" t="s">
        <v>3294</v>
      </c>
      <c r="K241" s="12" t="s">
        <v>334</v>
      </c>
      <c r="L241" s="125" t="s">
        <v>335</v>
      </c>
      <c r="M241" s="125" t="s">
        <v>3292</v>
      </c>
      <c r="N241" s="10">
        <v>160</v>
      </c>
      <c r="O241" s="139" t="s">
        <v>2331</v>
      </c>
      <c r="P241" s="19" t="s">
        <v>3252</v>
      </c>
    </row>
    <row r="242" spans="1:16" ht="14.25" thickBot="1">
      <c r="A242" s="136">
        <v>2107000000056</v>
      </c>
      <c r="B242" s="136"/>
      <c r="C242" s="136">
        <v>2200000000048</v>
      </c>
      <c r="D242" s="10" t="s">
        <v>935</v>
      </c>
      <c r="E242" s="115" t="b">
        <v>1</v>
      </c>
      <c r="F242" s="10"/>
      <c r="G242" s="10"/>
      <c r="H242" s="7"/>
      <c r="I242" s="8"/>
      <c r="J242" s="8"/>
      <c r="K242" s="8"/>
      <c r="L242" s="8"/>
      <c r="M242" s="8"/>
      <c r="N242" s="8"/>
      <c r="O242" s="8"/>
    </row>
    <row r="243" spans="1:16" ht="25.5" thickBot="1">
      <c r="A243" s="183"/>
      <c r="B243" s="136"/>
      <c r="C243" s="136"/>
      <c r="D243" s="10"/>
      <c r="E243" s="10"/>
      <c r="F243" s="10"/>
      <c r="G243" s="10"/>
      <c r="H243" s="11" t="s">
        <v>332</v>
      </c>
      <c r="I243" s="116" t="s">
        <v>775</v>
      </c>
      <c r="J243" s="116" t="s">
        <v>3295</v>
      </c>
      <c r="K243" s="12" t="s">
        <v>334</v>
      </c>
      <c r="L243" s="13" t="s">
        <v>370</v>
      </c>
      <c r="M243" s="13" t="s">
        <v>371</v>
      </c>
      <c r="N243" s="12">
        <v>10</v>
      </c>
      <c r="O243" s="139" t="s">
        <v>2331</v>
      </c>
      <c r="P243" s="74" t="s">
        <v>372</v>
      </c>
    </row>
    <row r="244" spans="1:16" ht="24.75">
      <c r="A244" s="182"/>
      <c r="B244" s="182"/>
      <c r="C244" s="182"/>
      <c r="H244" s="10">
        <v>2</v>
      </c>
      <c r="I244" s="116" t="s">
        <v>775</v>
      </c>
      <c r="J244" s="116" t="s">
        <v>3295</v>
      </c>
      <c r="K244" s="12" t="s">
        <v>334</v>
      </c>
      <c r="L244" s="13" t="s">
        <v>370</v>
      </c>
      <c r="M244" s="13" t="s">
        <v>371</v>
      </c>
      <c r="N244" s="12">
        <v>20</v>
      </c>
      <c r="O244" s="139" t="s">
        <v>2331</v>
      </c>
      <c r="P244" s="74" t="s">
        <v>372</v>
      </c>
    </row>
    <row r="245" spans="1:16" ht="24.75">
      <c r="A245" s="182"/>
      <c r="B245" s="182"/>
      <c r="C245" s="182"/>
      <c r="H245" s="10">
        <v>3</v>
      </c>
      <c r="I245" s="116" t="s">
        <v>775</v>
      </c>
      <c r="J245" s="116" t="s">
        <v>3295</v>
      </c>
      <c r="K245" s="12" t="s">
        <v>334</v>
      </c>
      <c r="L245" s="13" t="s">
        <v>370</v>
      </c>
      <c r="M245" s="13" t="s">
        <v>371</v>
      </c>
      <c r="N245" s="12">
        <v>30</v>
      </c>
      <c r="O245" s="139" t="s">
        <v>2331</v>
      </c>
      <c r="P245" s="74" t="s">
        <v>372</v>
      </c>
    </row>
    <row r="246" spans="1:16" ht="24.75">
      <c r="A246" s="182"/>
      <c r="B246" s="182"/>
      <c r="C246" s="182"/>
      <c r="H246" s="10">
        <v>4</v>
      </c>
      <c r="I246" s="116" t="s">
        <v>775</v>
      </c>
      <c r="J246" s="116" t="s">
        <v>3254</v>
      </c>
      <c r="K246" s="12" t="s">
        <v>334</v>
      </c>
      <c r="L246" s="13" t="s">
        <v>370</v>
      </c>
      <c r="M246" s="13" t="s">
        <v>371</v>
      </c>
      <c r="N246" s="12">
        <v>40</v>
      </c>
      <c r="O246" s="139" t="s">
        <v>2331</v>
      </c>
      <c r="P246" s="74" t="s">
        <v>372</v>
      </c>
    </row>
    <row r="247" spans="1:16" ht="14.25" thickBot="1">
      <c r="A247" s="136">
        <v>2107000000057</v>
      </c>
      <c r="B247" s="136"/>
      <c r="C247" s="136">
        <v>2200000000048</v>
      </c>
      <c r="D247" s="10" t="s">
        <v>935</v>
      </c>
      <c r="E247" s="115" t="b">
        <v>1</v>
      </c>
      <c r="F247" s="10"/>
      <c r="G247" s="10"/>
      <c r="H247" s="7"/>
      <c r="I247" s="8"/>
      <c r="J247" s="8"/>
      <c r="K247" s="8"/>
      <c r="L247" s="8"/>
      <c r="M247" s="8"/>
      <c r="N247" s="8"/>
      <c r="O247" s="8"/>
    </row>
    <row r="248" spans="1:16" ht="25.5" thickBot="1">
      <c r="A248" s="183"/>
      <c r="B248" s="136"/>
      <c r="C248" s="136"/>
      <c r="D248" s="10"/>
      <c r="E248" s="10"/>
      <c r="F248" s="10"/>
      <c r="G248" s="10"/>
      <c r="H248" s="11" t="s">
        <v>332</v>
      </c>
      <c r="I248" s="116" t="s">
        <v>776</v>
      </c>
      <c r="J248" s="116" t="s">
        <v>3296</v>
      </c>
      <c r="K248" s="12" t="s">
        <v>334</v>
      </c>
      <c r="L248" s="13" t="s">
        <v>370</v>
      </c>
      <c r="M248" s="13" t="s">
        <v>374</v>
      </c>
      <c r="N248" s="12">
        <v>10</v>
      </c>
      <c r="O248" s="139" t="s">
        <v>2331</v>
      </c>
      <c r="P248" s="74" t="s">
        <v>375</v>
      </c>
    </row>
    <row r="249" spans="1:16" ht="24.75">
      <c r="A249" s="182"/>
      <c r="B249" s="182"/>
      <c r="C249" s="182"/>
      <c r="H249" s="10">
        <v>2</v>
      </c>
      <c r="I249" s="116" t="s">
        <v>776</v>
      </c>
      <c r="J249" s="116" t="s">
        <v>3256</v>
      </c>
      <c r="K249" s="12" t="s">
        <v>334</v>
      </c>
      <c r="L249" s="13" t="s">
        <v>370</v>
      </c>
      <c r="M249" s="13" t="s">
        <v>374</v>
      </c>
      <c r="N249" s="12">
        <v>20</v>
      </c>
      <c r="O249" s="139" t="s">
        <v>2331</v>
      </c>
      <c r="P249" s="74" t="s">
        <v>375</v>
      </c>
    </row>
    <row r="250" spans="1:16" ht="24.75">
      <c r="A250" s="182"/>
      <c r="B250" s="182"/>
      <c r="C250" s="182"/>
      <c r="H250" s="10">
        <v>3</v>
      </c>
      <c r="I250" s="116" t="s">
        <v>776</v>
      </c>
      <c r="J250" s="116" t="s">
        <v>3256</v>
      </c>
      <c r="K250" s="12" t="s">
        <v>334</v>
      </c>
      <c r="L250" s="13" t="s">
        <v>370</v>
      </c>
      <c r="M250" s="13" t="s">
        <v>374</v>
      </c>
      <c r="N250" s="12">
        <v>30</v>
      </c>
      <c r="O250" s="139" t="s">
        <v>2331</v>
      </c>
      <c r="P250" s="74" t="s">
        <v>375</v>
      </c>
    </row>
    <row r="251" spans="1:16" ht="24.75">
      <c r="A251" s="182"/>
      <c r="B251" s="182"/>
      <c r="C251" s="182"/>
      <c r="H251" s="10">
        <v>4</v>
      </c>
      <c r="I251" s="116" t="s">
        <v>776</v>
      </c>
      <c r="J251" s="116" t="s">
        <v>3256</v>
      </c>
      <c r="K251" s="12" t="s">
        <v>334</v>
      </c>
      <c r="L251" s="13" t="s">
        <v>370</v>
      </c>
      <c r="M251" s="13" t="s">
        <v>374</v>
      </c>
      <c r="N251" s="12">
        <v>40</v>
      </c>
      <c r="O251" s="139" t="s">
        <v>2331</v>
      </c>
      <c r="P251" s="74" t="s">
        <v>375</v>
      </c>
    </row>
    <row r="252" spans="1:16">
      <c r="A252" s="136">
        <v>2107000000058</v>
      </c>
      <c r="B252" s="136"/>
      <c r="C252" s="136">
        <v>2200000000048</v>
      </c>
      <c r="D252" s="10" t="s">
        <v>3302</v>
      </c>
      <c r="E252" s="115" t="b">
        <v>1</v>
      </c>
      <c r="F252" s="10"/>
      <c r="G252" s="10"/>
    </row>
    <row r="253" spans="1:16" ht="24.75">
      <c r="A253" s="182"/>
      <c r="B253" s="182"/>
      <c r="C253" s="182"/>
      <c r="H253" s="10">
        <v>1</v>
      </c>
      <c r="I253" s="116" t="s">
        <v>3297</v>
      </c>
      <c r="J253" s="116" t="s">
        <v>3297</v>
      </c>
      <c r="K253" s="12" t="s">
        <v>334</v>
      </c>
      <c r="L253" s="19" t="s">
        <v>793</v>
      </c>
      <c r="M253" s="19" t="s">
        <v>3298</v>
      </c>
      <c r="N253" s="19">
        <v>1</v>
      </c>
      <c r="O253" s="139" t="s">
        <v>3303</v>
      </c>
      <c r="P253" s="74" t="s">
        <v>1190</v>
      </c>
    </row>
    <row r="254" spans="1:16">
      <c r="A254" s="136">
        <v>2107000000059</v>
      </c>
      <c r="B254" s="136"/>
      <c r="C254" s="136">
        <v>2200000000048</v>
      </c>
      <c r="D254" s="10" t="s">
        <v>935</v>
      </c>
      <c r="E254" s="115" t="b">
        <v>1</v>
      </c>
      <c r="F254" s="10"/>
      <c r="G254" s="10"/>
    </row>
    <row r="255" spans="1:16" ht="24.75">
      <c r="A255" s="182"/>
      <c r="B255" s="182"/>
      <c r="C255" s="182"/>
      <c r="H255" s="10">
        <v>1</v>
      </c>
      <c r="I255" s="116" t="s">
        <v>767</v>
      </c>
      <c r="J255" s="116" t="s">
        <v>767</v>
      </c>
      <c r="K255" s="12" t="s">
        <v>334</v>
      </c>
      <c r="L255" s="19" t="s">
        <v>793</v>
      </c>
      <c r="M255" s="19" t="s">
        <v>3143</v>
      </c>
      <c r="N255" s="19">
        <v>1</v>
      </c>
      <c r="O255" s="139" t="s">
        <v>2333</v>
      </c>
      <c r="P255" s="74" t="s">
        <v>1190</v>
      </c>
    </row>
    <row r="256" spans="1:16">
      <c r="A256" s="136">
        <v>2107000000060</v>
      </c>
      <c r="B256" s="136"/>
      <c r="C256" s="136">
        <v>2200000000048</v>
      </c>
      <c r="D256" s="10" t="s">
        <v>935</v>
      </c>
      <c r="E256" s="115" t="b">
        <v>1</v>
      </c>
      <c r="F256" s="10"/>
      <c r="G256" s="10"/>
    </row>
    <row r="257" spans="1:16" ht="24.75">
      <c r="A257" s="182"/>
      <c r="B257" s="182"/>
      <c r="C257" s="182"/>
      <c r="H257" s="10">
        <v>1</v>
      </c>
      <c r="I257" s="116" t="s">
        <v>768</v>
      </c>
      <c r="J257" s="116" t="s">
        <v>768</v>
      </c>
      <c r="K257" s="12" t="s">
        <v>334</v>
      </c>
      <c r="L257" s="19" t="s">
        <v>793</v>
      </c>
      <c r="M257" s="19" t="s">
        <v>3144</v>
      </c>
      <c r="N257" s="19">
        <v>1</v>
      </c>
      <c r="O257" s="139" t="s">
        <v>2334</v>
      </c>
      <c r="P257" s="74" t="s">
        <v>1190</v>
      </c>
    </row>
    <row r="258" spans="1:16">
      <c r="A258" s="136">
        <v>2107000000061</v>
      </c>
      <c r="B258" s="136"/>
      <c r="C258" s="136">
        <v>2200000000048</v>
      </c>
      <c r="D258" s="10" t="s">
        <v>935</v>
      </c>
      <c r="E258" s="115" t="b">
        <v>1</v>
      </c>
      <c r="F258" s="10"/>
      <c r="G258" s="10"/>
    </row>
    <row r="259" spans="1:16" ht="24.75">
      <c r="A259" s="136"/>
      <c r="B259" s="10"/>
      <c r="C259" s="10"/>
      <c r="D259" s="10"/>
      <c r="E259" s="115"/>
      <c r="F259" s="10"/>
      <c r="G259" s="10"/>
      <c r="H259" s="10">
        <v>1</v>
      </c>
      <c r="I259" s="116" t="s">
        <v>1012</v>
      </c>
      <c r="J259" s="116" t="s">
        <v>1012</v>
      </c>
      <c r="K259" s="12" t="s">
        <v>334</v>
      </c>
      <c r="L259" s="19" t="s">
        <v>793</v>
      </c>
      <c r="M259" s="19" t="s">
        <v>3304</v>
      </c>
      <c r="N259" s="19">
        <v>1</v>
      </c>
      <c r="O259" s="139" t="s">
        <v>2335</v>
      </c>
      <c r="P259" s="74" t="s">
        <v>1190</v>
      </c>
    </row>
    <row r="266" spans="1:16">
      <c r="A266" s="136">
        <v>2107000000090</v>
      </c>
      <c r="B266" s="136"/>
      <c r="C266" s="136">
        <v>2200000000056</v>
      </c>
      <c r="D266" s="10" t="s">
        <v>3305</v>
      </c>
      <c r="E266" s="115" t="b">
        <v>1</v>
      </c>
      <c r="F266" s="10"/>
      <c r="G266" s="10"/>
    </row>
    <row r="267" spans="1:16">
      <c r="A267" s="182"/>
      <c r="B267" s="182"/>
      <c r="C267" s="182"/>
      <c r="H267" s="10">
        <v>1</v>
      </c>
      <c r="I267" s="116" t="s">
        <v>2337</v>
      </c>
      <c r="J267" s="116" t="s">
        <v>2337</v>
      </c>
      <c r="K267" s="12" t="s">
        <v>334</v>
      </c>
      <c r="L267" s="19" t="s">
        <v>3306</v>
      </c>
      <c r="N267" s="19">
        <v>3</v>
      </c>
      <c r="O267" s="139" t="s">
        <v>3308</v>
      </c>
      <c r="P267" s="301" t="s">
        <v>1458</v>
      </c>
    </row>
    <row r="268" spans="1:16">
      <c r="H268" s="10">
        <v>2</v>
      </c>
      <c r="I268" s="116" t="s">
        <v>2564</v>
      </c>
      <c r="J268" s="116" t="s">
        <v>2564</v>
      </c>
      <c r="K268" s="12" t="s">
        <v>334</v>
      </c>
      <c r="L268" s="19" t="s">
        <v>3309</v>
      </c>
      <c r="N268" s="19">
        <v>6</v>
      </c>
      <c r="O268" s="139" t="s">
        <v>3308</v>
      </c>
      <c r="P268" s="301" t="s">
        <v>1458</v>
      </c>
    </row>
    <row r="269" spans="1:16">
      <c r="H269" s="10">
        <v>3</v>
      </c>
      <c r="I269" s="116" t="s">
        <v>2565</v>
      </c>
      <c r="J269" s="116" t="s">
        <v>2565</v>
      </c>
      <c r="K269" s="12" t="s">
        <v>334</v>
      </c>
      <c r="L269" s="19" t="s">
        <v>3309</v>
      </c>
      <c r="N269" s="19">
        <v>9</v>
      </c>
      <c r="O269" s="139" t="s">
        <v>3307</v>
      </c>
      <c r="P269" s="301" t="s">
        <v>1458</v>
      </c>
    </row>
    <row r="270" spans="1:16">
      <c r="H270" s="10">
        <v>4</v>
      </c>
      <c r="I270" s="116" t="s">
        <v>2566</v>
      </c>
      <c r="J270" s="116" t="s">
        <v>2566</v>
      </c>
      <c r="K270" s="12" t="s">
        <v>334</v>
      </c>
      <c r="L270" s="19" t="s">
        <v>3309</v>
      </c>
      <c r="N270" s="19">
        <v>12</v>
      </c>
      <c r="O270" s="139" t="s">
        <v>3307</v>
      </c>
      <c r="P270" s="301" t="s">
        <v>1458</v>
      </c>
    </row>
    <row r="271" spans="1:16">
      <c r="H271" s="10">
        <v>5</v>
      </c>
      <c r="I271" s="116" t="s">
        <v>2567</v>
      </c>
      <c r="J271" s="116" t="s">
        <v>2567</v>
      </c>
      <c r="K271" s="12" t="s">
        <v>334</v>
      </c>
      <c r="L271" s="19" t="s">
        <v>3309</v>
      </c>
      <c r="N271" s="19">
        <v>15</v>
      </c>
      <c r="O271" s="139" t="s">
        <v>3308</v>
      </c>
      <c r="P271" s="301" t="s">
        <v>1458</v>
      </c>
    </row>
    <row r="272" spans="1:16">
      <c r="H272" s="10">
        <v>6</v>
      </c>
      <c r="I272" s="116" t="s">
        <v>2568</v>
      </c>
      <c r="J272" s="116" t="s">
        <v>2568</v>
      </c>
      <c r="K272" s="12" t="s">
        <v>334</v>
      </c>
      <c r="L272" s="19" t="s">
        <v>3306</v>
      </c>
      <c r="N272" s="19">
        <v>18</v>
      </c>
      <c r="O272" s="139" t="s">
        <v>3308</v>
      </c>
      <c r="P272" s="301" t="s">
        <v>1458</v>
      </c>
    </row>
    <row r="273" spans="1:16">
      <c r="H273" s="10">
        <v>7</v>
      </c>
      <c r="I273" s="116" t="s">
        <v>2569</v>
      </c>
      <c r="J273" s="116" t="s">
        <v>2569</v>
      </c>
      <c r="K273" s="12" t="s">
        <v>334</v>
      </c>
      <c r="L273" s="19" t="s">
        <v>3306</v>
      </c>
      <c r="N273" s="19">
        <v>21</v>
      </c>
      <c r="O273" s="139" t="s">
        <v>3307</v>
      </c>
      <c r="P273" s="301" t="s">
        <v>1458</v>
      </c>
    </row>
    <row r="274" spans="1:16">
      <c r="H274" s="10">
        <v>8</v>
      </c>
      <c r="I274" s="116" t="s">
        <v>2570</v>
      </c>
      <c r="J274" s="116" t="s">
        <v>2570</v>
      </c>
      <c r="K274" s="12" t="s">
        <v>334</v>
      </c>
      <c r="L274" s="19" t="s">
        <v>3309</v>
      </c>
      <c r="N274" s="19">
        <v>24</v>
      </c>
      <c r="O274" s="139" t="s">
        <v>3308</v>
      </c>
      <c r="P274" s="301" t="s">
        <v>1458</v>
      </c>
    </row>
    <row r="275" spans="1:16">
      <c r="H275" s="10">
        <v>9</v>
      </c>
      <c r="I275" s="116" t="s">
        <v>2571</v>
      </c>
      <c r="J275" s="116" t="s">
        <v>2571</v>
      </c>
      <c r="K275" s="12" t="s">
        <v>334</v>
      </c>
      <c r="L275" s="19" t="s">
        <v>3309</v>
      </c>
      <c r="N275" s="19">
        <v>27</v>
      </c>
      <c r="O275" s="139" t="s">
        <v>3308</v>
      </c>
      <c r="P275" s="301" t="s">
        <v>1458</v>
      </c>
    </row>
    <row r="276" spans="1:16">
      <c r="H276" s="10">
        <v>10</v>
      </c>
      <c r="I276" s="116" t="s">
        <v>2572</v>
      </c>
      <c r="J276" s="116" t="s">
        <v>2572</v>
      </c>
      <c r="K276" s="12" t="s">
        <v>334</v>
      </c>
      <c r="L276" s="19" t="s">
        <v>3306</v>
      </c>
      <c r="N276" s="19">
        <v>30</v>
      </c>
      <c r="O276" s="139" t="s">
        <v>3308</v>
      </c>
      <c r="P276" s="301" t="s">
        <v>1458</v>
      </c>
    </row>
    <row r="277" spans="1:16">
      <c r="H277" s="10">
        <v>11</v>
      </c>
      <c r="I277" s="116" t="s">
        <v>2573</v>
      </c>
      <c r="J277" s="116" t="s">
        <v>2573</v>
      </c>
      <c r="K277" s="12" t="s">
        <v>334</v>
      </c>
      <c r="L277" s="19" t="s">
        <v>3309</v>
      </c>
      <c r="N277" s="19">
        <v>33</v>
      </c>
      <c r="O277" s="139" t="s">
        <v>3308</v>
      </c>
      <c r="P277" s="301" t="s">
        <v>1458</v>
      </c>
    </row>
    <row r="278" spans="1:16">
      <c r="H278" s="10">
        <v>12</v>
      </c>
      <c r="I278" s="116" t="s">
        <v>2574</v>
      </c>
      <c r="J278" s="116" t="s">
        <v>2574</v>
      </c>
      <c r="K278" s="12" t="s">
        <v>334</v>
      </c>
      <c r="L278" s="19" t="s">
        <v>3309</v>
      </c>
      <c r="N278" s="19">
        <v>36</v>
      </c>
      <c r="O278" s="139" t="s">
        <v>3308</v>
      </c>
      <c r="P278" s="301" t="s">
        <v>1458</v>
      </c>
    </row>
    <row r="279" spans="1:16">
      <c r="H279" s="10">
        <v>13</v>
      </c>
      <c r="I279" s="116" t="s">
        <v>2575</v>
      </c>
      <c r="J279" s="116" t="s">
        <v>2575</v>
      </c>
      <c r="K279" s="12" t="s">
        <v>334</v>
      </c>
      <c r="L279" s="19" t="s">
        <v>3309</v>
      </c>
      <c r="N279" s="19">
        <v>39</v>
      </c>
      <c r="O279" s="139" t="s">
        <v>3308</v>
      </c>
      <c r="P279" s="301" t="s">
        <v>1458</v>
      </c>
    </row>
    <row r="280" spans="1:16">
      <c r="H280" s="10">
        <v>14</v>
      </c>
      <c r="I280" s="116" t="s">
        <v>2576</v>
      </c>
      <c r="J280" s="116" t="s">
        <v>2576</v>
      </c>
      <c r="K280" s="12" t="s">
        <v>334</v>
      </c>
      <c r="L280" s="19" t="s">
        <v>3309</v>
      </c>
      <c r="N280" s="19">
        <v>42</v>
      </c>
      <c r="O280" s="139" t="s">
        <v>3307</v>
      </c>
      <c r="P280" s="301" t="s">
        <v>1458</v>
      </c>
    </row>
    <row r="281" spans="1:16">
      <c r="H281" s="10">
        <v>15</v>
      </c>
      <c r="I281" s="116" t="s">
        <v>2577</v>
      </c>
      <c r="J281" s="116" t="s">
        <v>2577</v>
      </c>
      <c r="K281" s="12" t="s">
        <v>334</v>
      </c>
      <c r="L281" s="19" t="s">
        <v>3309</v>
      </c>
      <c r="N281" s="19">
        <v>45</v>
      </c>
      <c r="O281" s="139" t="s">
        <v>3307</v>
      </c>
      <c r="P281" s="301" t="s">
        <v>1458</v>
      </c>
    </row>
    <row r="282" spans="1:16">
      <c r="H282" s="10">
        <v>16</v>
      </c>
      <c r="I282" s="116" t="s">
        <v>2578</v>
      </c>
      <c r="J282" s="116" t="s">
        <v>2578</v>
      </c>
      <c r="K282" s="12" t="s">
        <v>334</v>
      </c>
      <c r="L282" s="19" t="s">
        <v>3306</v>
      </c>
      <c r="N282" s="19">
        <v>48</v>
      </c>
      <c r="O282" s="139" t="s">
        <v>3307</v>
      </c>
      <c r="P282" s="301" t="s">
        <v>1458</v>
      </c>
    </row>
    <row r="283" spans="1:16">
      <c r="H283" s="10">
        <v>17</v>
      </c>
      <c r="I283" s="116" t="s">
        <v>2579</v>
      </c>
      <c r="J283" s="116" t="s">
        <v>2579</v>
      </c>
      <c r="K283" s="12" t="s">
        <v>334</v>
      </c>
      <c r="L283" s="19" t="s">
        <v>3309</v>
      </c>
      <c r="N283" s="19">
        <v>51</v>
      </c>
      <c r="O283" s="139" t="s">
        <v>3308</v>
      </c>
      <c r="P283" s="301" t="s">
        <v>1458</v>
      </c>
    </row>
    <row r="284" spans="1:16">
      <c r="H284" s="10">
        <v>18</v>
      </c>
      <c r="I284" s="116" t="s">
        <v>2580</v>
      </c>
      <c r="J284" s="116" t="s">
        <v>2580</v>
      </c>
      <c r="K284" s="12" t="s">
        <v>334</v>
      </c>
      <c r="L284" s="19" t="s">
        <v>3309</v>
      </c>
      <c r="N284" s="19">
        <v>54</v>
      </c>
      <c r="O284" s="139" t="s">
        <v>3307</v>
      </c>
      <c r="P284" s="301" t="s">
        <v>1458</v>
      </c>
    </row>
    <row r="285" spans="1:16">
      <c r="H285" s="10">
        <v>19</v>
      </c>
      <c r="I285" s="116" t="s">
        <v>2581</v>
      </c>
      <c r="J285" s="116" t="s">
        <v>2581</v>
      </c>
      <c r="K285" s="12" t="s">
        <v>334</v>
      </c>
      <c r="L285" s="19" t="s">
        <v>3309</v>
      </c>
      <c r="N285" s="19">
        <v>57</v>
      </c>
      <c r="O285" s="139" t="s">
        <v>3308</v>
      </c>
      <c r="P285" s="301" t="s">
        <v>1458</v>
      </c>
    </row>
    <row r="286" spans="1:16">
      <c r="H286" s="10">
        <v>20</v>
      </c>
      <c r="I286" s="116" t="s">
        <v>2582</v>
      </c>
      <c r="J286" s="116" t="s">
        <v>2582</v>
      </c>
      <c r="K286" s="12" t="s">
        <v>334</v>
      </c>
      <c r="L286" s="19" t="s">
        <v>3309</v>
      </c>
      <c r="N286" s="19">
        <v>60</v>
      </c>
      <c r="O286" s="139" t="s">
        <v>3307</v>
      </c>
      <c r="P286" s="301" t="s">
        <v>1458</v>
      </c>
    </row>
    <row r="287" spans="1:16">
      <c r="A287" s="136">
        <v>2107000000091</v>
      </c>
      <c r="B287" s="136"/>
      <c r="C287" s="136">
        <v>2200000000056</v>
      </c>
      <c r="D287" s="10" t="s">
        <v>3310</v>
      </c>
      <c r="E287" s="115" t="b">
        <v>1</v>
      </c>
      <c r="F287" s="10"/>
      <c r="G287" s="10"/>
    </row>
    <row r="288" spans="1:16">
      <c r="A288" s="182"/>
      <c r="B288" s="182"/>
      <c r="C288" s="182"/>
      <c r="H288" s="10">
        <v>1</v>
      </c>
      <c r="I288" s="116" t="s">
        <v>3311</v>
      </c>
      <c r="J288" s="116" t="s">
        <v>3311</v>
      </c>
      <c r="K288" s="12" t="s">
        <v>334</v>
      </c>
      <c r="L288" s="19" t="s">
        <v>3313</v>
      </c>
      <c r="N288" s="19">
        <v>1</v>
      </c>
      <c r="O288" s="139" t="s">
        <v>3308</v>
      </c>
      <c r="P288" s="301" t="s">
        <v>3315</v>
      </c>
    </row>
    <row r="289" spans="8:16">
      <c r="H289" s="10">
        <v>2</v>
      </c>
      <c r="I289" s="116" t="s">
        <v>2583</v>
      </c>
      <c r="J289" s="116" t="s">
        <v>2583</v>
      </c>
      <c r="K289" s="12" t="s">
        <v>334</v>
      </c>
      <c r="L289" s="19" t="s">
        <v>3312</v>
      </c>
      <c r="N289" s="19">
        <v>2</v>
      </c>
      <c r="O289" s="139" t="s">
        <v>3307</v>
      </c>
      <c r="P289" s="301" t="s">
        <v>3315</v>
      </c>
    </row>
    <row r="290" spans="8:16">
      <c r="H290" s="10">
        <v>3</v>
      </c>
      <c r="I290" s="116" t="s">
        <v>2584</v>
      </c>
      <c r="J290" s="116" t="s">
        <v>2584</v>
      </c>
      <c r="K290" s="12" t="s">
        <v>334</v>
      </c>
      <c r="L290" s="19" t="s">
        <v>3313</v>
      </c>
      <c r="N290" s="19">
        <v>3</v>
      </c>
      <c r="O290" s="139" t="s">
        <v>3307</v>
      </c>
      <c r="P290" s="301" t="s">
        <v>3315</v>
      </c>
    </row>
    <row r="291" spans="8:16">
      <c r="H291" s="10">
        <v>4</v>
      </c>
      <c r="I291" s="116" t="s">
        <v>2585</v>
      </c>
      <c r="J291" s="116" t="s">
        <v>2585</v>
      </c>
      <c r="K291" s="12" t="s">
        <v>334</v>
      </c>
      <c r="L291" s="19" t="s">
        <v>3312</v>
      </c>
      <c r="N291" s="19">
        <v>4</v>
      </c>
      <c r="O291" s="139" t="s">
        <v>3307</v>
      </c>
      <c r="P291" s="301" t="s">
        <v>3314</v>
      </c>
    </row>
    <row r="292" spans="8:16">
      <c r="H292" s="10">
        <v>5</v>
      </c>
      <c r="I292" s="116" t="s">
        <v>2586</v>
      </c>
      <c r="J292" s="116" t="s">
        <v>2586</v>
      </c>
      <c r="K292" s="12" t="s">
        <v>334</v>
      </c>
      <c r="L292" s="19" t="s">
        <v>3312</v>
      </c>
      <c r="N292" s="19">
        <v>5</v>
      </c>
      <c r="O292" s="139" t="s">
        <v>3308</v>
      </c>
      <c r="P292" s="301" t="s">
        <v>3315</v>
      </c>
    </row>
    <row r="293" spans="8:16">
      <c r="H293" s="10">
        <v>6</v>
      </c>
      <c r="I293" s="116" t="s">
        <v>2587</v>
      </c>
      <c r="J293" s="116" t="s">
        <v>2587</v>
      </c>
      <c r="K293" s="12" t="s">
        <v>334</v>
      </c>
      <c r="L293" s="19" t="s">
        <v>3313</v>
      </c>
      <c r="N293" s="19">
        <v>6</v>
      </c>
      <c r="O293" s="139" t="s">
        <v>3307</v>
      </c>
      <c r="P293" s="301" t="s">
        <v>3315</v>
      </c>
    </row>
    <row r="294" spans="8:16">
      <c r="H294" s="10">
        <v>7</v>
      </c>
      <c r="I294" s="116" t="s">
        <v>2588</v>
      </c>
      <c r="J294" s="116" t="s">
        <v>2588</v>
      </c>
      <c r="K294" s="12" t="s">
        <v>334</v>
      </c>
      <c r="L294" s="19" t="s">
        <v>3313</v>
      </c>
      <c r="N294" s="19">
        <v>7</v>
      </c>
      <c r="O294" s="139" t="s">
        <v>3308</v>
      </c>
      <c r="P294" s="301" t="s">
        <v>3314</v>
      </c>
    </row>
    <row r="295" spans="8:16">
      <c r="H295" s="10">
        <v>8</v>
      </c>
      <c r="I295" s="116" t="s">
        <v>2589</v>
      </c>
      <c r="J295" s="116" t="s">
        <v>2589</v>
      </c>
      <c r="K295" s="12" t="s">
        <v>334</v>
      </c>
      <c r="L295" s="19" t="s">
        <v>3313</v>
      </c>
      <c r="N295" s="19">
        <v>8</v>
      </c>
      <c r="O295" s="139" t="s">
        <v>3308</v>
      </c>
      <c r="P295" s="301" t="s">
        <v>3314</v>
      </c>
    </row>
    <row r="296" spans="8:16">
      <c r="H296" s="10">
        <v>9</v>
      </c>
      <c r="I296" s="116" t="s">
        <v>2590</v>
      </c>
      <c r="J296" s="116" t="s">
        <v>2590</v>
      </c>
      <c r="K296" s="12" t="s">
        <v>334</v>
      </c>
      <c r="L296" s="19" t="s">
        <v>3313</v>
      </c>
      <c r="N296" s="19">
        <v>9</v>
      </c>
      <c r="O296" s="139" t="s">
        <v>3308</v>
      </c>
      <c r="P296" s="301" t="s">
        <v>3315</v>
      </c>
    </row>
    <row r="297" spans="8:16">
      <c r="H297" s="10">
        <v>10</v>
      </c>
      <c r="I297" s="116" t="s">
        <v>2591</v>
      </c>
      <c r="J297" s="116" t="s">
        <v>2591</v>
      </c>
      <c r="K297" s="12" t="s">
        <v>334</v>
      </c>
      <c r="L297" s="19" t="s">
        <v>3313</v>
      </c>
      <c r="N297" s="19">
        <v>10</v>
      </c>
      <c r="O297" s="139" t="s">
        <v>3308</v>
      </c>
      <c r="P297" s="301" t="s">
        <v>3315</v>
      </c>
    </row>
    <row r="298" spans="8:16">
      <c r="H298" s="10">
        <v>11</v>
      </c>
      <c r="I298" s="116" t="s">
        <v>2592</v>
      </c>
      <c r="J298" s="116" t="s">
        <v>2592</v>
      </c>
      <c r="K298" s="12" t="s">
        <v>334</v>
      </c>
      <c r="L298" s="19" t="s">
        <v>3316</v>
      </c>
      <c r="N298" s="19">
        <v>11</v>
      </c>
      <c r="O298" s="139" t="s">
        <v>3308</v>
      </c>
      <c r="P298" s="301" t="s">
        <v>3314</v>
      </c>
    </row>
    <row r="299" spans="8:16">
      <c r="H299" s="10">
        <v>12</v>
      </c>
      <c r="I299" s="116" t="s">
        <v>2593</v>
      </c>
      <c r="J299" s="116" t="s">
        <v>2593</v>
      </c>
      <c r="K299" s="12" t="s">
        <v>334</v>
      </c>
      <c r="L299" s="19" t="s">
        <v>3312</v>
      </c>
      <c r="N299" s="19">
        <v>12</v>
      </c>
      <c r="O299" s="139" t="s">
        <v>3308</v>
      </c>
      <c r="P299" s="301" t="s">
        <v>3315</v>
      </c>
    </row>
    <row r="300" spans="8:16">
      <c r="H300" s="10">
        <v>13</v>
      </c>
      <c r="I300" s="116" t="s">
        <v>2594</v>
      </c>
      <c r="J300" s="116" t="s">
        <v>2594</v>
      </c>
      <c r="K300" s="12" t="s">
        <v>334</v>
      </c>
      <c r="L300" s="19" t="s">
        <v>3312</v>
      </c>
      <c r="N300" s="19">
        <v>13</v>
      </c>
      <c r="O300" s="139" t="s">
        <v>3308</v>
      </c>
      <c r="P300" s="301" t="s">
        <v>3315</v>
      </c>
    </row>
    <row r="301" spans="8:16">
      <c r="H301" s="10">
        <v>14</v>
      </c>
      <c r="I301" s="116" t="s">
        <v>2595</v>
      </c>
      <c r="J301" s="116" t="s">
        <v>2595</v>
      </c>
      <c r="K301" s="12" t="s">
        <v>334</v>
      </c>
      <c r="L301" s="19" t="s">
        <v>3313</v>
      </c>
      <c r="N301" s="19">
        <v>14</v>
      </c>
      <c r="O301" s="139" t="s">
        <v>3308</v>
      </c>
      <c r="P301" s="301" t="s">
        <v>3315</v>
      </c>
    </row>
    <row r="302" spans="8:16">
      <c r="H302" s="10">
        <v>15</v>
      </c>
      <c r="I302" s="116" t="s">
        <v>2596</v>
      </c>
      <c r="J302" s="116" t="s">
        <v>2596</v>
      </c>
      <c r="K302" s="12" t="s">
        <v>334</v>
      </c>
      <c r="L302" s="19" t="s">
        <v>3313</v>
      </c>
      <c r="N302" s="19">
        <v>15</v>
      </c>
      <c r="O302" s="139" t="s">
        <v>3308</v>
      </c>
      <c r="P302" s="301" t="s">
        <v>3315</v>
      </c>
    </row>
    <row r="303" spans="8:16">
      <c r="H303" s="10">
        <v>16</v>
      </c>
      <c r="I303" s="116" t="s">
        <v>2597</v>
      </c>
      <c r="J303" s="116" t="s">
        <v>2597</v>
      </c>
      <c r="K303" s="12" t="s">
        <v>334</v>
      </c>
      <c r="L303" s="19" t="s">
        <v>3312</v>
      </c>
      <c r="N303" s="19">
        <v>16</v>
      </c>
      <c r="O303" s="139" t="s">
        <v>3308</v>
      </c>
      <c r="P303" s="301" t="s">
        <v>3315</v>
      </c>
    </row>
    <row r="304" spans="8:16">
      <c r="H304" s="10">
        <v>17</v>
      </c>
      <c r="I304" s="116" t="s">
        <v>2598</v>
      </c>
      <c r="J304" s="116" t="s">
        <v>2598</v>
      </c>
      <c r="K304" s="12" t="s">
        <v>334</v>
      </c>
      <c r="L304" s="19" t="s">
        <v>3313</v>
      </c>
      <c r="N304" s="19">
        <v>17</v>
      </c>
      <c r="O304" s="139" t="s">
        <v>3308</v>
      </c>
      <c r="P304" s="301" t="s">
        <v>3315</v>
      </c>
    </row>
    <row r="305" spans="1:16">
      <c r="H305" s="10">
        <v>18</v>
      </c>
      <c r="I305" s="116" t="s">
        <v>2599</v>
      </c>
      <c r="J305" s="116" t="s">
        <v>2599</v>
      </c>
      <c r="K305" s="12" t="s">
        <v>334</v>
      </c>
      <c r="L305" s="19" t="s">
        <v>3313</v>
      </c>
      <c r="N305" s="19">
        <v>18</v>
      </c>
      <c r="O305" s="139" t="s">
        <v>3308</v>
      </c>
      <c r="P305" s="301" t="s">
        <v>3315</v>
      </c>
    </row>
    <row r="306" spans="1:16">
      <c r="H306" s="10">
        <v>19</v>
      </c>
      <c r="I306" s="116" t="s">
        <v>2600</v>
      </c>
      <c r="J306" s="116" t="s">
        <v>2600</v>
      </c>
      <c r="K306" s="12" t="s">
        <v>334</v>
      </c>
      <c r="L306" s="19" t="s">
        <v>3312</v>
      </c>
      <c r="N306" s="19">
        <v>19</v>
      </c>
      <c r="O306" s="139" t="s">
        <v>3308</v>
      </c>
      <c r="P306" s="301" t="s">
        <v>3314</v>
      </c>
    </row>
    <row r="307" spans="1:16">
      <c r="H307" s="10">
        <v>20</v>
      </c>
      <c r="I307" s="116" t="s">
        <v>2601</v>
      </c>
      <c r="J307" s="116" t="s">
        <v>2601</v>
      </c>
      <c r="K307" s="12" t="s">
        <v>334</v>
      </c>
      <c r="L307" s="19" t="s">
        <v>3313</v>
      </c>
      <c r="N307" s="19">
        <v>20</v>
      </c>
      <c r="O307" s="139" t="s">
        <v>3308</v>
      </c>
      <c r="P307" s="301" t="s">
        <v>3315</v>
      </c>
    </row>
    <row r="308" spans="1:16">
      <c r="A308" s="136">
        <v>2107000000092</v>
      </c>
      <c r="B308" s="136"/>
      <c r="C308" s="136">
        <v>2200000000056</v>
      </c>
      <c r="D308" s="10" t="s">
        <v>3310</v>
      </c>
      <c r="E308" s="115" t="b">
        <v>1</v>
      </c>
      <c r="F308" s="10"/>
      <c r="G308" s="10"/>
    </row>
    <row r="309" spans="1:16">
      <c r="A309" s="182"/>
      <c r="B309" s="182"/>
      <c r="C309" s="182"/>
      <c r="H309" s="10">
        <v>1</v>
      </c>
      <c r="I309" s="116" t="s">
        <v>3317</v>
      </c>
      <c r="J309" s="116" t="s">
        <v>3317</v>
      </c>
      <c r="K309" s="12" t="s">
        <v>334</v>
      </c>
      <c r="L309" s="19" t="s">
        <v>3319</v>
      </c>
      <c r="N309" s="19">
        <v>1</v>
      </c>
      <c r="O309" s="139" t="s">
        <v>3308</v>
      </c>
      <c r="P309" s="301" t="s">
        <v>1186</v>
      </c>
    </row>
    <row r="310" spans="1:16">
      <c r="H310" s="10">
        <v>2</v>
      </c>
      <c r="I310" s="116" t="s">
        <v>2602</v>
      </c>
      <c r="J310" s="116" t="s">
        <v>2602</v>
      </c>
      <c r="K310" s="12" t="s">
        <v>334</v>
      </c>
      <c r="L310" s="19" t="s">
        <v>3318</v>
      </c>
      <c r="N310" s="19">
        <v>2</v>
      </c>
      <c r="O310" s="139" t="s">
        <v>3308</v>
      </c>
      <c r="P310" s="301" t="s">
        <v>1186</v>
      </c>
    </row>
    <row r="311" spans="1:16">
      <c r="H311" s="10">
        <v>3</v>
      </c>
      <c r="I311" s="116" t="s">
        <v>2603</v>
      </c>
      <c r="J311" s="116" t="s">
        <v>2603</v>
      </c>
      <c r="K311" s="12" t="s">
        <v>334</v>
      </c>
      <c r="L311" s="19" t="s">
        <v>3319</v>
      </c>
      <c r="N311" s="19">
        <v>3</v>
      </c>
      <c r="O311" s="139" t="s">
        <v>3308</v>
      </c>
      <c r="P311" s="301" t="s">
        <v>1186</v>
      </c>
    </row>
    <row r="312" spans="1:16">
      <c r="H312" s="10">
        <v>4</v>
      </c>
      <c r="I312" s="116" t="s">
        <v>2604</v>
      </c>
      <c r="J312" s="116" t="s">
        <v>2604</v>
      </c>
      <c r="K312" s="12" t="s">
        <v>334</v>
      </c>
      <c r="L312" s="19" t="s">
        <v>3319</v>
      </c>
      <c r="N312" s="19">
        <v>4</v>
      </c>
      <c r="O312" s="139" t="s">
        <v>3307</v>
      </c>
      <c r="P312" s="301" t="s">
        <v>1186</v>
      </c>
    </row>
    <row r="313" spans="1:16">
      <c r="H313" s="10">
        <v>5</v>
      </c>
      <c r="I313" s="116" t="s">
        <v>2605</v>
      </c>
      <c r="J313" s="116" t="s">
        <v>2605</v>
      </c>
      <c r="K313" s="12" t="s">
        <v>334</v>
      </c>
      <c r="L313" s="19" t="s">
        <v>3318</v>
      </c>
      <c r="N313" s="19">
        <v>5</v>
      </c>
      <c r="O313" s="139" t="s">
        <v>3320</v>
      </c>
      <c r="P313" s="301" t="s">
        <v>1186</v>
      </c>
    </row>
    <row r="314" spans="1:16">
      <c r="H314" s="10">
        <v>6</v>
      </c>
      <c r="I314" s="116" t="s">
        <v>2606</v>
      </c>
      <c r="J314" s="116" t="s">
        <v>2606</v>
      </c>
      <c r="K314" s="12" t="s">
        <v>334</v>
      </c>
      <c r="L314" s="19" t="s">
        <v>3319</v>
      </c>
      <c r="N314" s="19">
        <v>6</v>
      </c>
      <c r="O314" s="139" t="s">
        <v>3307</v>
      </c>
      <c r="P314" s="301" t="s">
        <v>1186</v>
      </c>
    </row>
    <row r="315" spans="1:16">
      <c r="H315" s="10">
        <v>7</v>
      </c>
      <c r="I315" s="116" t="s">
        <v>2607</v>
      </c>
      <c r="J315" s="116" t="s">
        <v>2607</v>
      </c>
      <c r="K315" s="12" t="s">
        <v>334</v>
      </c>
      <c r="L315" s="19" t="s">
        <v>3319</v>
      </c>
      <c r="N315" s="19">
        <v>7</v>
      </c>
      <c r="O315" s="139" t="s">
        <v>3307</v>
      </c>
      <c r="P315" s="301" t="s">
        <v>1186</v>
      </c>
    </row>
    <row r="316" spans="1:16">
      <c r="H316" s="10">
        <v>8</v>
      </c>
      <c r="I316" s="116" t="s">
        <v>2608</v>
      </c>
      <c r="J316" s="116" t="s">
        <v>2608</v>
      </c>
      <c r="K316" s="12" t="s">
        <v>334</v>
      </c>
      <c r="L316" s="19" t="s">
        <v>3319</v>
      </c>
      <c r="N316" s="19">
        <v>8</v>
      </c>
      <c r="O316" s="139" t="s">
        <v>3308</v>
      </c>
      <c r="P316" s="301" t="s">
        <v>1186</v>
      </c>
    </row>
    <row r="317" spans="1:16">
      <c r="H317" s="10">
        <v>9</v>
      </c>
      <c r="I317" s="116" t="s">
        <v>2609</v>
      </c>
      <c r="J317" s="116" t="s">
        <v>2609</v>
      </c>
      <c r="K317" s="12" t="s">
        <v>334</v>
      </c>
      <c r="L317" s="19" t="s">
        <v>3319</v>
      </c>
      <c r="N317" s="19">
        <v>9</v>
      </c>
      <c r="O317" s="139" t="s">
        <v>3307</v>
      </c>
      <c r="P317" s="301" t="s">
        <v>1186</v>
      </c>
    </row>
    <row r="318" spans="1:16">
      <c r="H318" s="10">
        <v>10</v>
      </c>
      <c r="I318" s="116" t="s">
        <v>2610</v>
      </c>
      <c r="J318" s="116" t="s">
        <v>2610</v>
      </c>
      <c r="K318" s="12" t="s">
        <v>334</v>
      </c>
      <c r="L318" s="19" t="s">
        <v>3318</v>
      </c>
      <c r="N318" s="19">
        <v>10</v>
      </c>
      <c r="O318" s="139" t="s">
        <v>3308</v>
      </c>
      <c r="P318" s="301" t="s">
        <v>1186</v>
      </c>
    </row>
    <row r="319" spans="1:16">
      <c r="H319" s="10">
        <v>11</v>
      </c>
      <c r="I319" s="116" t="s">
        <v>2611</v>
      </c>
      <c r="J319" s="116" t="s">
        <v>2611</v>
      </c>
      <c r="K319" s="12" t="s">
        <v>334</v>
      </c>
      <c r="L319" s="19" t="s">
        <v>3319</v>
      </c>
      <c r="N319" s="19">
        <v>11</v>
      </c>
      <c r="O319" s="139" t="s">
        <v>3307</v>
      </c>
      <c r="P319" s="301" t="s">
        <v>1186</v>
      </c>
    </row>
    <row r="320" spans="1:16">
      <c r="H320" s="10">
        <v>12</v>
      </c>
      <c r="I320" s="116" t="s">
        <v>2612</v>
      </c>
      <c r="J320" s="116" t="s">
        <v>2612</v>
      </c>
      <c r="K320" s="12" t="s">
        <v>334</v>
      </c>
      <c r="L320" s="19" t="s">
        <v>3319</v>
      </c>
      <c r="N320" s="19">
        <v>12</v>
      </c>
      <c r="O320" s="139" t="s">
        <v>3308</v>
      </c>
      <c r="P320" s="301" t="s">
        <v>1186</v>
      </c>
    </row>
    <row r="321" spans="1:16">
      <c r="H321" s="10">
        <v>13</v>
      </c>
      <c r="I321" s="116" t="s">
        <v>2613</v>
      </c>
      <c r="J321" s="116" t="s">
        <v>2613</v>
      </c>
      <c r="K321" s="12" t="s">
        <v>334</v>
      </c>
      <c r="L321" s="19" t="s">
        <v>3319</v>
      </c>
      <c r="N321" s="19">
        <v>13</v>
      </c>
      <c r="O321" s="139" t="s">
        <v>3308</v>
      </c>
      <c r="P321" s="301" t="s">
        <v>1186</v>
      </c>
    </row>
    <row r="322" spans="1:16">
      <c r="H322" s="10">
        <v>14</v>
      </c>
      <c r="I322" s="116" t="s">
        <v>2614</v>
      </c>
      <c r="J322" s="116" t="s">
        <v>2614</v>
      </c>
      <c r="K322" s="12" t="s">
        <v>334</v>
      </c>
      <c r="L322" s="19" t="s">
        <v>3319</v>
      </c>
      <c r="N322" s="19">
        <v>14</v>
      </c>
      <c r="O322" s="139" t="s">
        <v>3308</v>
      </c>
      <c r="P322" s="301" t="s">
        <v>1186</v>
      </c>
    </row>
    <row r="323" spans="1:16">
      <c r="H323" s="10">
        <v>15</v>
      </c>
      <c r="I323" s="116" t="s">
        <v>2615</v>
      </c>
      <c r="J323" s="116" t="s">
        <v>2615</v>
      </c>
      <c r="K323" s="12" t="s">
        <v>334</v>
      </c>
      <c r="L323" s="19" t="s">
        <v>3318</v>
      </c>
      <c r="N323" s="19">
        <v>15</v>
      </c>
      <c r="O323" s="139" t="s">
        <v>3308</v>
      </c>
      <c r="P323" s="301" t="s">
        <v>1186</v>
      </c>
    </row>
    <row r="324" spans="1:16">
      <c r="H324" s="10">
        <v>16</v>
      </c>
      <c r="I324" s="116" t="s">
        <v>2616</v>
      </c>
      <c r="J324" s="116" t="s">
        <v>2616</v>
      </c>
      <c r="K324" s="12" t="s">
        <v>334</v>
      </c>
      <c r="L324" s="19" t="s">
        <v>3319</v>
      </c>
      <c r="N324" s="19">
        <v>16</v>
      </c>
      <c r="O324" s="139" t="s">
        <v>3307</v>
      </c>
      <c r="P324" s="301" t="s">
        <v>1186</v>
      </c>
    </row>
    <row r="325" spans="1:16">
      <c r="H325" s="10">
        <v>17</v>
      </c>
      <c r="I325" s="116" t="s">
        <v>2617</v>
      </c>
      <c r="J325" s="116" t="s">
        <v>2617</v>
      </c>
      <c r="K325" s="12" t="s">
        <v>334</v>
      </c>
      <c r="L325" s="19" t="s">
        <v>3319</v>
      </c>
      <c r="N325" s="19">
        <v>17</v>
      </c>
      <c r="O325" s="139" t="s">
        <v>3307</v>
      </c>
      <c r="P325" s="301" t="s">
        <v>1186</v>
      </c>
    </row>
    <row r="326" spans="1:16">
      <c r="H326" s="10">
        <v>18</v>
      </c>
      <c r="I326" s="116" t="s">
        <v>2618</v>
      </c>
      <c r="J326" s="116" t="s">
        <v>2618</v>
      </c>
      <c r="K326" s="12" t="s">
        <v>334</v>
      </c>
      <c r="L326" s="19" t="s">
        <v>3319</v>
      </c>
      <c r="N326" s="19">
        <v>18</v>
      </c>
      <c r="O326" s="139" t="s">
        <v>3308</v>
      </c>
      <c r="P326" s="301" t="s">
        <v>1186</v>
      </c>
    </row>
    <row r="327" spans="1:16">
      <c r="H327" s="10">
        <v>19</v>
      </c>
      <c r="I327" s="116" t="s">
        <v>2619</v>
      </c>
      <c r="J327" s="116" t="s">
        <v>2619</v>
      </c>
      <c r="K327" s="12" t="s">
        <v>334</v>
      </c>
      <c r="L327" s="19" t="s">
        <v>3319</v>
      </c>
      <c r="N327" s="19">
        <v>19</v>
      </c>
      <c r="O327" s="139" t="s">
        <v>3307</v>
      </c>
      <c r="P327" s="301" t="s">
        <v>1186</v>
      </c>
    </row>
    <row r="328" spans="1:16">
      <c r="H328" s="10">
        <v>20</v>
      </c>
      <c r="I328" s="116" t="s">
        <v>2620</v>
      </c>
      <c r="J328" s="116" t="s">
        <v>2620</v>
      </c>
      <c r="K328" s="12" t="s">
        <v>334</v>
      </c>
      <c r="L328" s="19" t="s">
        <v>3318</v>
      </c>
      <c r="N328" s="19">
        <v>20</v>
      </c>
      <c r="O328" s="139" t="s">
        <v>3308</v>
      </c>
      <c r="P328" s="301" t="s">
        <v>1186</v>
      </c>
    </row>
    <row r="329" spans="1:16">
      <c r="A329" s="136">
        <v>2107000000093</v>
      </c>
      <c r="B329" s="136"/>
      <c r="C329" s="136">
        <v>2200000000056</v>
      </c>
      <c r="D329" s="10" t="s">
        <v>3310</v>
      </c>
      <c r="E329" s="115" t="b">
        <v>1</v>
      </c>
      <c r="F329" s="10"/>
      <c r="G329" s="10"/>
    </row>
    <row r="330" spans="1:16">
      <c r="A330" s="182"/>
      <c r="B330" s="182"/>
      <c r="C330" s="182"/>
      <c r="H330" s="10">
        <v>1</v>
      </c>
      <c r="I330" s="116" t="s">
        <v>3321</v>
      </c>
      <c r="J330" s="116" t="s">
        <v>3321</v>
      </c>
      <c r="K330" s="12" t="s">
        <v>334</v>
      </c>
      <c r="L330" s="19" t="s">
        <v>1337</v>
      </c>
      <c r="N330" s="19">
        <v>3</v>
      </c>
      <c r="O330" s="139" t="s">
        <v>3308</v>
      </c>
      <c r="P330" s="301" t="s">
        <v>2563</v>
      </c>
    </row>
    <row r="331" spans="1:16">
      <c r="H331" s="10">
        <v>2</v>
      </c>
      <c r="I331" s="116" t="s">
        <v>2621</v>
      </c>
      <c r="J331" s="116" t="s">
        <v>2621</v>
      </c>
      <c r="K331" s="12" t="s">
        <v>334</v>
      </c>
      <c r="L331" s="19" t="s">
        <v>1337</v>
      </c>
      <c r="N331" s="19">
        <v>6</v>
      </c>
      <c r="O331" s="139" t="s">
        <v>3308</v>
      </c>
      <c r="P331" s="301" t="s">
        <v>2563</v>
      </c>
    </row>
    <row r="332" spans="1:16">
      <c r="H332" s="10">
        <v>3</v>
      </c>
      <c r="I332" s="116" t="s">
        <v>2622</v>
      </c>
      <c r="J332" s="116" t="s">
        <v>2622</v>
      </c>
      <c r="K332" s="12" t="s">
        <v>334</v>
      </c>
      <c r="L332" s="19" t="s">
        <v>1337</v>
      </c>
      <c r="N332" s="19">
        <v>9</v>
      </c>
      <c r="O332" s="139" t="s">
        <v>3308</v>
      </c>
      <c r="P332" s="301" t="s">
        <v>2563</v>
      </c>
    </row>
    <row r="333" spans="1:16">
      <c r="H333" s="10">
        <v>4</v>
      </c>
      <c r="I333" s="116" t="s">
        <v>2623</v>
      </c>
      <c r="J333" s="116" t="s">
        <v>2623</v>
      </c>
      <c r="K333" s="12" t="s">
        <v>334</v>
      </c>
      <c r="L333" s="19" t="s">
        <v>1337</v>
      </c>
      <c r="N333" s="19">
        <v>12</v>
      </c>
      <c r="O333" s="139" t="s">
        <v>3308</v>
      </c>
      <c r="P333" s="301" t="s">
        <v>2563</v>
      </c>
    </row>
    <row r="334" spans="1:16">
      <c r="H334" s="10">
        <v>5</v>
      </c>
      <c r="I334" s="116" t="s">
        <v>2624</v>
      </c>
      <c r="J334" s="116" t="s">
        <v>2624</v>
      </c>
      <c r="K334" s="12" t="s">
        <v>334</v>
      </c>
      <c r="L334" s="19" t="s">
        <v>1337</v>
      </c>
      <c r="N334" s="19">
        <v>15</v>
      </c>
      <c r="O334" s="139" t="s">
        <v>3308</v>
      </c>
      <c r="P334" s="301" t="s">
        <v>2563</v>
      </c>
    </row>
    <row r="335" spans="1:16">
      <c r="H335" s="10">
        <v>6</v>
      </c>
      <c r="I335" s="116" t="s">
        <v>2625</v>
      </c>
      <c r="J335" s="116" t="s">
        <v>2625</v>
      </c>
      <c r="K335" s="12" t="s">
        <v>334</v>
      </c>
      <c r="L335" s="19" t="s">
        <v>1337</v>
      </c>
      <c r="N335" s="19">
        <v>18</v>
      </c>
      <c r="O335" s="139" t="s">
        <v>3308</v>
      </c>
      <c r="P335" s="301" t="s">
        <v>2563</v>
      </c>
    </row>
    <row r="336" spans="1:16">
      <c r="H336" s="10">
        <v>7</v>
      </c>
      <c r="I336" s="116" t="s">
        <v>2626</v>
      </c>
      <c r="J336" s="116" t="s">
        <v>2626</v>
      </c>
      <c r="K336" s="12" t="s">
        <v>334</v>
      </c>
      <c r="L336" s="19" t="s">
        <v>1337</v>
      </c>
      <c r="N336" s="19">
        <v>21</v>
      </c>
      <c r="O336" s="139" t="s">
        <v>3307</v>
      </c>
      <c r="P336" s="301" t="s">
        <v>2563</v>
      </c>
    </row>
    <row r="337" spans="8:16">
      <c r="H337" s="10">
        <v>8</v>
      </c>
      <c r="I337" s="116" t="s">
        <v>2627</v>
      </c>
      <c r="J337" s="116" t="s">
        <v>2627</v>
      </c>
      <c r="K337" s="12" t="s">
        <v>334</v>
      </c>
      <c r="L337" s="19" t="s">
        <v>1337</v>
      </c>
      <c r="N337" s="19">
        <v>24</v>
      </c>
      <c r="O337" s="139" t="s">
        <v>3308</v>
      </c>
      <c r="P337" s="301" t="s">
        <v>2563</v>
      </c>
    </row>
    <row r="338" spans="8:16">
      <c r="H338" s="10">
        <v>9</v>
      </c>
      <c r="I338" s="116" t="s">
        <v>2628</v>
      </c>
      <c r="J338" s="116" t="s">
        <v>2628</v>
      </c>
      <c r="K338" s="12" t="s">
        <v>334</v>
      </c>
      <c r="L338" s="19" t="s">
        <v>1337</v>
      </c>
      <c r="N338" s="19">
        <v>27</v>
      </c>
      <c r="O338" s="139" t="s">
        <v>3307</v>
      </c>
      <c r="P338" s="301" t="s">
        <v>2563</v>
      </c>
    </row>
    <row r="339" spans="8:16">
      <c r="H339" s="10">
        <v>10</v>
      </c>
      <c r="I339" s="116" t="s">
        <v>2629</v>
      </c>
      <c r="J339" s="116" t="s">
        <v>2629</v>
      </c>
      <c r="K339" s="12" t="s">
        <v>334</v>
      </c>
      <c r="L339" s="19" t="s">
        <v>1337</v>
      </c>
      <c r="N339" s="19">
        <v>30</v>
      </c>
      <c r="O339" s="139" t="s">
        <v>3307</v>
      </c>
      <c r="P339" s="301" t="s">
        <v>2563</v>
      </c>
    </row>
    <row r="340" spans="8:16">
      <c r="H340" s="10">
        <v>11</v>
      </c>
      <c r="I340" s="116" t="s">
        <v>2630</v>
      </c>
      <c r="J340" s="116" t="s">
        <v>2630</v>
      </c>
      <c r="K340" s="12" t="s">
        <v>334</v>
      </c>
      <c r="L340" s="19" t="s">
        <v>1337</v>
      </c>
      <c r="N340" s="19">
        <v>33</v>
      </c>
      <c r="O340" s="139" t="s">
        <v>3307</v>
      </c>
      <c r="P340" s="301" t="s">
        <v>2563</v>
      </c>
    </row>
    <row r="341" spans="8:16">
      <c r="H341" s="10">
        <v>12</v>
      </c>
      <c r="I341" s="116" t="s">
        <v>2631</v>
      </c>
      <c r="J341" s="116" t="s">
        <v>2631</v>
      </c>
      <c r="K341" s="12" t="s">
        <v>334</v>
      </c>
      <c r="L341" s="19" t="s">
        <v>1337</v>
      </c>
      <c r="N341" s="19">
        <v>36</v>
      </c>
      <c r="O341" s="139" t="s">
        <v>3308</v>
      </c>
      <c r="P341" s="301" t="s">
        <v>2563</v>
      </c>
    </row>
    <row r="342" spans="8:16">
      <c r="H342" s="10">
        <v>13</v>
      </c>
      <c r="I342" s="116" t="s">
        <v>2632</v>
      </c>
      <c r="J342" s="116" t="s">
        <v>2632</v>
      </c>
      <c r="K342" s="12" t="s">
        <v>334</v>
      </c>
      <c r="L342" s="19" t="s">
        <v>1337</v>
      </c>
      <c r="N342" s="19">
        <v>39</v>
      </c>
      <c r="O342" s="139" t="s">
        <v>3308</v>
      </c>
      <c r="P342" s="301" t="s">
        <v>2563</v>
      </c>
    </row>
    <row r="343" spans="8:16">
      <c r="H343" s="10">
        <v>14</v>
      </c>
      <c r="I343" s="116" t="s">
        <v>2633</v>
      </c>
      <c r="J343" s="116" t="s">
        <v>2633</v>
      </c>
      <c r="K343" s="12" t="s">
        <v>334</v>
      </c>
      <c r="L343" s="19" t="s">
        <v>1337</v>
      </c>
      <c r="N343" s="19">
        <v>42</v>
      </c>
      <c r="O343" s="139" t="s">
        <v>3308</v>
      </c>
      <c r="P343" s="301" t="s">
        <v>2563</v>
      </c>
    </row>
    <row r="344" spans="8:16">
      <c r="H344" s="10">
        <v>15</v>
      </c>
      <c r="I344" s="116" t="s">
        <v>2634</v>
      </c>
      <c r="J344" s="116" t="s">
        <v>2634</v>
      </c>
      <c r="K344" s="12" t="s">
        <v>334</v>
      </c>
      <c r="L344" s="19" t="s">
        <v>1337</v>
      </c>
      <c r="N344" s="19">
        <v>45</v>
      </c>
      <c r="O344" s="139" t="s">
        <v>3307</v>
      </c>
      <c r="P344" s="301" t="s">
        <v>2563</v>
      </c>
    </row>
    <row r="345" spans="8:16">
      <c r="H345" s="10">
        <v>16</v>
      </c>
      <c r="I345" s="116" t="s">
        <v>2635</v>
      </c>
      <c r="J345" s="116" t="s">
        <v>2635</v>
      </c>
      <c r="K345" s="12" t="s">
        <v>334</v>
      </c>
      <c r="L345" s="19" t="s">
        <v>1337</v>
      </c>
      <c r="N345" s="19">
        <v>48</v>
      </c>
      <c r="O345" s="139" t="s">
        <v>3308</v>
      </c>
      <c r="P345" s="301" t="s">
        <v>2563</v>
      </c>
    </row>
    <row r="346" spans="8:16">
      <c r="H346" s="10">
        <v>17</v>
      </c>
      <c r="I346" s="116" t="s">
        <v>2636</v>
      </c>
      <c r="J346" s="116" t="s">
        <v>2636</v>
      </c>
      <c r="K346" s="12" t="s">
        <v>334</v>
      </c>
      <c r="L346" s="19" t="s">
        <v>1337</v>
      </c>
      <c r="N346" s="19">
        <v>51</v>
      </c>
      <c r="O346" s="139" t="s">
        <v>3308</v>
      </c>
      <c r="P346" s="301" t="s">
        <v>2563</v>
      </c>
    </row>
    <row r="347" spans="8:16">
      <c r="H347" s="10">
        <v>18</v>
      </c>
      <c r="I347" s="116" t="s">
        <v>2637</v>
      </c>
      <c r="J347" s="116" t="s">
        <v>2637</v>
      </c>
      <c r="K347" s="12" t="s">
        <v>334</v>
      </c>
      <c r="L347" s="19" t="s">
        <v>1337</v>
      </c>
      <c r="N347" s="19">
        <v>54</v>
      </c>
      <c r="O347" s="139" t="s">
        <v>3308</v>
      </c>
      <c r="P347" s="301" t="s">
        <v>2563</v>
      </c>
    </row>
    <row r="348" spans="8:16">
      <c r="H348" s="10">
        <v>19</v>
      </c>
      <c r="I348" s="116" t="s">
        <v>2638</v>
      </c>
      <c r="J348" s="116" t="s">
        <v>2638</v>
      </c>
      <c r="K348" s="12" t="s">
        <v>334</v>
      </c>
      <c r="L348" s="19" t="s">
        <v>1337</v>
      </c>
      <c r="N348" s="19">
        <v>57</v>
      </c>
      <c r="O348" s="139" t="s">
        <v>3307</v>
      </c>
      <c r="P348" s="301" t="s">
        <v>2563</v>
      </c>
    </row>
    <row r="349" spans="8:16">
      <c r="H349" s="10">
        <v>20</v>
      </c>
      <c r="I349" s="116" t="s">
        <v>2639</v>
      </c>
      <c r="J349" s="116" t="s">
        <v>2639</v>
      </c>
      <c r="K349" s="12" t="s">
        <v>334</v>
      </c>
      <c r="L349" s="19" t="s">
        <v>1337</v>
      </c>
      <c r="N349" s="19">
        <v>60</v>
      </c>
      <c r="O349" s="139" t="s">
        <v>3308</v>
      </c>
      <c r="P349" s="301" t="s">
        <v>2563</v>
      </c>
    </row>
  </sheetData>
  <phoneticPr fontId="4"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15"/>
  <sheetViews>
    <sheetView zoomScale="85" zoomScaleNormal="85" workbookViewId="0">
      <selection activeCell="G1" sqref="G1"/>
    </sheetView>
  </sheetViews>
  <sheetFormatPr defaultRowHeight="16.5"/>
  <cols>
    <col min="1" max="1" width="15.625" bestFit="1" customWidth="1"/>
    <col min="2" max="2" width="5.75" bestFit="1" customWidth="1"/>
    <col min="3" max="3" width="16.125" bestFit="1" customWidth="1"/>
    <col min="4" max="4" width="13.5" bestFit="1" customWidth="1"/>
    <col min="5" max="5" width="16.625" bestFit="1" customWidth="1"/>
    <col min="6" max="7" width="8.25" customWidth="1"/>
    <col min="9" max="10" width="27.875" bestFit="1" customWidth="1"/>
    <col min="11" max="11" width="18.125" bestFit="1" customWidth="1"/>
    <col min="12" max="12" width="17.75" bestFit="1" customWidth="1"/>
    <col min="13" max="13" width="30.125" bestFit="1" customWidth="1"/>
    <col min="14" max="14" width="9.625" customWidth="1"/>
    <col min="15" max="15" width="30.25" bestFit="1" customWidth="1"/>
    <col min="16" max="16" width="11.625" bestFit="1" customWidth="1"/>
  </cols>
  <sheetData>
    <row r="1" spans="1:16">
      <c r="A1" s="163" t="s">
        <v>304</v>
      </c>
      <c r="B1" s="164" t="s">
        <v>305</v>
      </c>
      <c r="C1" s="164" t="s">
        <v>306</v>
      </c>
      <c r="D1" s="165" t="s">
        <v>307</v>
      </c>
      <c r="E1" s="166" t="s">
        <v>308</v>
      </c>
      <c r="F1" s="165" t="s">
        <v>636</v>
      </c>
      <c r="G1" s="165" t="s">
        <v>3740</v>
      </c>
      <c r="H1" s="167" t="s">
        <v>309</v>
      </c>
      <c r="I1" s="167" t="s">
        <v>310</v>
      </c>
      <c r="J1" s="167" t="s">
        <v>311</v>
      </c>
      <c r="K1" s="167" t="s">
        <v>312</v>
      </c>
      <c r="L1" s="167" t="s">
        <v>313</v>
      </c>
      <c r="M1" s="167" t="s">
        <v>314</v>
      </c>
      <c r="N1" s="167" t="s">
        <v>315</v>
      </c>
      <c r="O1" s="167" t="s">
        <v>316</v>
      </c>
      <c r="P1" s="9" t="s">
        <v>317</v>
      </c>
    </row>
    <row r="2" spans="1:16">
      <c r="A2" s="163" t="s">
        <v>318</v>
      </c>
      <c r="B2" s="165" t="s">
        <v>3</v>
      </c>
      <c r="C2" s="165" t="s">
        <v>319</v>
      </c>
      <c r="D2" s="165" t="s">
        <v>320</v>
      </c>
      <c r="E2" s="168" t="s">
        <v>321</v>
      </c>
      <c r="F2" s="165" t="s">
        <v>320</v>
      </c>
      <c r="G2" s="165" t="s">
        <v>851</v>
      </c>
      <c r="H2" s="167" t="s">
        <v>322</v>
      </c>
      <c r="I2" s="167" t="s">
        <v>323</v>
      </c>
      <c r="J2" s="167" t="s">
        <v>323</v>
      </c>
      <c r="K2" s="167" t="s">
        <v>324</v>
      </c>
      <c r="L2" s="167" t="s">
        <v>325</v>
      </c>
      <c r="M2" s="167" t="s">
        <v>326</v>
      </c>
      <c r="N2" s="167" t="s">
        <v>322</v>
      </c>
      <c r="O2" s="167" t="s">
        <v>320</v>
      </c>
      <c r="P2" s="9" t="s">
        <v>327</v>
      </c>
    </row>
    <row r="3" spans="1:16">
      <c r="A3" s="163" t="s">
        <v>328</v>
      </c>
      <c r="B3" s="165" t="s">
        <v>3</v>
      </c>
      <c r="C3" s="165" t="s">
        <v>328</v>
      </c>
      <c r="D3" s="165" t="s">
        <v>329</v>
      </c>
      <c r="E3" s="168" t="s">
        <v>4</v>
      </c>
      <c r="F3" s="165" t="s">
        <v>328</v>
      </c>
      <c r="G3" s="165" t="s">
        <v>328</v>
      </c>
      <c r="H3" s="167" t="s">
        <v>328</v>
      </c>
      <c r="I3" s="167" t="s">
        <v>4</v>
      </c>
      <c r="J3" s="167" t="s">
        <v>4</v>
      </c>
      <c r="K3" s="167" t="s">
        <v>328</v>
      </c>
      <c r="L3" s="167" t="s">
        <v>328</v>
      </c>
      <c r="M3" s="167" t="s">
        <v>328</v>
      </c>
      <c r="N3" s="167" t="s">
        <v>328</v>
      </c>
      <c r="O3" s="167" t="s">
        <v>328</v>
      </c>
      <c r="P3" s="9" t="s">
        <v>4</v>
      </c>
    </row>
    <row r="4" spans="1:16">
      <c r="A4" s="138" t="s">
        <v>3130</v>
      </c>
      <c r="C4" s="138">
        <v>2200000000045</v>
      </c>
      <c r="D4" t="s">
        <v>3121</v>
      </c>
      <c r="E4" t="b">
        <v>0</v>
      </c>
    </row>
    <row r="5" spans="1:16">
      <c r="A5" s="180"/>
      <c r="H5">
        <v>1</v>
      </c>
      <c r="I5" t="s">
        <v>2942</v>
      </c>
      <c r="J5" t="s">
        <v>996</v>
      </c>
      <c r="K5" t="s">
        <v>853</v>
      </c>
      <c r="L5" t="s">
        <v>993</v>
      </c>
      <c r="M5" s="169"/>
      <c r="N5">
        <v>500</v>
      </c>
      <c r="O5" t="s">
        <v>2953</v>
      </c>
    </row>
    <row r="6" spans="1:16">
      <c r="A6" s="138" t="s">
        <v>3131</v>
      </c>
      <c r="C6" s="138">
        <v>2200000000045</v>
      </c>
      <c r="D6" t="s">
        <v>3121</v>
      </c>
      <c r="E6" t="b">
        <v>0</v>
      </c>
    </row>
    <row r="7" spans="1:16">
      <c r="A7" s="180"/>
      <c r="H7">
        <v>1</v>
      </c>
      <c r="I7" t="s">
        <v>2943</v>
      </c>
      <c r="J7" t="s">
        <v>996</v>
      </c>
      <c r="K7" t="s">
        <v>853</v>
      </c>
      <c r="L7" t="s">
        <v>993</v>
      </c>
      <c r="M7" s="169"/>
      <c r="N7">
        <v>2000</v>
      </c>
      <c r="O7" t="s">
        <v>2954</v>
      </c>
    </row>
    <row r="8" spans="1:16">
      <c r="A8" s="138" t="s">
        <v>3132</v>
      </c>
      <c r="C8" s="138">
        <v>2200000000045</v>
      </c>
      <c r="D8" t="s">
        <v>3121</v>
      </c>
      <c r="E8" t="b">
        <v>0</v>
      </c>
    </row>
    <row r="9" spans="1:16">
      <c r="A9" s="180"/>
      <c r="H9">
        <v>1</v>
      </c>
      <c r="I9" t="s">
        <v>2944</v>
      </c>
      <c r="J9" t="s">
        <v>996</v>
      </c>
      <c r="K9" t="s">
        <v>853</v>
      </c>
      <c r="L9" t="s">
        <v>993</v>
      </c>
      <c r="M9" s="169"/>
      <c r="N9">
        <v>6000</v>
      </c>
      <c r="O9" t="s">
        <v>2955</v>
      </c>
    </row>
    <row r="10" spans="1:16">
      <c r="A10" s="138" t="s">
        <v>3133</v>
      </c>
      <c r="C10" s="138">
        <v>2200000000045</v>
      </c>
      <c r="D10" t="s">
        <v>3121</v>
      </c>
      <c r="E10" t="b">
        <v>0</v>
      </c>
    </row>
    <row r="11" spans="1:16">
      <c r="A11" s="180"/>
      <c r="H11">
        <v>1</v>
      </c>
      <c r="I11" t="s">
        <v>2945</v>
      </c>
      <c r="J11" t="s">
        <v>996</v>
      </c>
      <c r="K11" t="s">
        <v>853</v>
      </c>
      <c r="L11" t="s">
        <v>993</v>
      </c>
      <c r="M11" s="169"/>
      <c r="N11">
        <v>15000</v>
      </c>
      <c r="O11" t="s">
        <v>2956</v>
      </c>
    </row>
    <row r="12" spans="1:16">
      <c r="A12" s="138">
        <v>2110000000004</v>
      </c>
      <c r="C12" s="138">
        <v>2200000000049</v>
      </c>
      <c r="D12" t="s">
        <v>3121</v>
      </c>
      <c r="E12" t="b">
        <v>0</v>
      </c>
    </row>
    <row r="13" spans="1:16" ht="33">
      <c r="A13" s="180"/>
      <c r="H13">
        <v>1</v>
      </c>
      <c r="I13" t="s">
        <v>995</v>
      </c>
      <c r="J13" t="s">
        <v>996</v>
      </c>
      <c r="K13" t="s">
        <v>853</v>
      </c>
      <c r="L13" t="s">
        <v>895</v>
      </c>
      <c r="M13" s="169"/>
      <c r="N13">
        <v>1</v>
      </c>
      <c r="O13" s="169" t="s">
        <v>1085</v>
      </c>
      <c r="P13" t="s">
        <v>1171</v>
      </c>
    </row>
    <row r="14" spans="1:16" s="263" customFormat="1">
      <c r="A14" s="138" t="s">
        <v>3134</v>
      </c>
      <c r="B14"/>
      <c r="C14" s="138">
        <v>2200000000045</v>
      </c>
      <c r="D14" t="s">
        <v>3121</v>
      </c>
      <c r="E14" t="b">
        <v>0</v>
      </c>
      <c r="F14"/>
      <c r="G14"/>
      <c r="H14"/>
      <c r="I14"/>
      <c r="J14"/>
      <c r="K14"/>
      <c r="L14"/>
      <c r="M14"/>
      <c r="N14"/>
      <c r="O14"/>
    </row>
    <row r="15" spans="1:16">
      <c r="A15" s="180"/>
      <c r="H15">
        <v>1</v>
      </c>
      <c r="I15" t="s">
        <v>2946</v>
      </c>
      <c r="J15" t="s">
        <v>996</v>
      </c>
      <c r="K15" t="s">
        <v>853</v>
      </c>
      <c r="L15" t="s">
        <v>993</v>
      </c>
      <c r="M15" s="169"/>
      <c r="N15">
        <v>30000</v>
      </c>
      <c r="O15" t="s">
        <v>2957</v>
      </c>
    </row>
  </sheetData>
  <phoneticPr fontId="4" type="noConversion"/>
  <conditionalFormatting sqref="A1:A3 A5 A7 A9 A11">
    <cfRule type="duplicateValues" dxfId="12" priority="3"/>
  </conditionalFormatting>
  <conditionalFormatting sqref="A13">
    <cfRule type="duplicateValues" dxfId="11" priority="1"/>
  </conditionalFormatting>
  <conditionalFormatting sqref="A15">
    <cfRule type="duplicateValues" dxfId="10" priority="2"/>
  </conditionalFormatting>
  <pageMargins left="0.7" right="0.7" top="0.75" bottom="0.75" header="0.3" footer="0.3"/>
  <pageSetup paperSize="9" orientation="portrait" verticalDpi="0"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266"/>
  <sheetViews>
    <sheetView zoomScale="85" zoomScaleNormal="85" workbookViewId="0">
      <selection activeCell="G1" sqref="G1"/>
    </sheetView>
  </sheetViews>
  <sheetFormatPr defaultRowHeight="16.5"/>
  <cols>
    <col min="1" max="1" width="15.625" bestFit="1" customWidth="1"/>
    <col min="2" max="2" width="5.75" bestFit="1" customWidth="1"/>
    <col min="3" max="3" width="16.125" bestFit="1" customWidth="1"/>
    <col min="4" max="4" width="23.125" bestFit="1" customWidth="1"/>
    <col min="5" max="5" width="16.625" bestFit="1" customWidth="1"/>
    <col min="6" max="7" width="8.25" customWidth="1"/>
    <col min="8" max="8" width="8" bestFit="1" customWidth="1"/>
    <col min="9" max="9" width="45.75" bestFit="1" customWidth="1"/>
    <col min="10" max="10" width="44.625" bestFit="1" customWidth="1"/>
    <col min="11" max="11" width="18.125" bestFit="1" customWidth="1"/>
    <col min="12" max="12" width="23.625" bestFit="1" customWidth="1"/>
    <col min="13" max="13" width="27.5" style="169" bestFit="1" customWidth="1"/>
    <col min="14" max="14" width="9.375" bestFit="1" customWidth="1"/>
    <col min="15" max="15" width="28.75" bestFit="1" customWidth="1"/>
    <col min="16" max="16" width="11.625" bestFit="1" customWidth="1"/>
  </cols>
  <sheetData>
    <row r="1" spans="1:16">
      <c r="A1" s="163" t="s">
        <v>304</v>
      </c>
      <c r="B1" s="164" t="s">
        <v>305</v>
      </c>
      <c r="C1" s="164" t="s">
        <v>306</v>
      </c>
      <c r="D1" s="165" t="s">
        <v>307</v>
      </c>
      <c r="E1" s="166" t="s">
        <v>308</v>
      </c>
      <c r="F1" s="165" t="s">
        <v>636</v>
      </c>
      <c r="G1" s="165" t="s">
        <v>3740</v>
      </c>
      <c r="H1" s="167" t="s">
        <v>309</v>
      </c>
      <c r="I1" s="167" t="s">
        <v>310</v>
      </c>
      <c r="J1" s="167" t="s">
        <v>311</v>
      </c>
      <c r="K1" s="167" t="s">
        <v>312</v>
      </c>
      <c r="L1" s="167" t="s">
        <v>313</v>
      </c>
      <c r="M1" s="282" t="s">
        <v>314</v>
      </c>
      <c r="N1" s="167" t="s">
        <v>315</v>
      </c>
      <c r="O1" s="167" t="s">
        <v>316</v>
      </c>
      <c r="P1" s="9" t="s">
        <v>317</v>
      </c>
    </row>
    <row r="2" spans="1:16">
      <c r="A2" s="163" t="s">
        <v>318</v>
      </c>
      <c r="B2" s="165" t="s">
        <v>3</v>
      </c>
      <c r="C2" s="165" t="s">
        <v>319</v>
      </c>
      <c r="D2" s="165" t="s">
        <v>320</v>
      </c>
      <c r="E2" s="168" t="s">
        <v>321</v>
      </c>
      <c r="F2" s="165" t="s">
        <v>320</v>
      </c>
      <c r="G2" s="165" t="s">
        <v>851</v>
      </c>
      <c r="H2" s="167" t="s">
        <v>322</v>
      </c>
      <c r="I2" s="167" t="s">
        <v>323</v>
      </c>
      <c r="J2" s="167" t="s">
        <v>323</v>
      </c>
      <c r="K2" s="167" t="s">
        <v>324</v>
      </c>
      <c r="L2" s="167" t="s">
        <v>325</v>
      </c>
      <c r="M2" s="282" t="s">
        <v>326</v>
      </c>
      <c r="N2" s="167" t="s">
        <v>322</v>
      </c>
      <c r="O2" s="167" t="s">
        <v>320</v>
      </c>
      <c r="P2" s="9" t="s">
        <v>327</v>
      </c>
    </row>
    <row r="3" spans="1:16">
      <c r="A3" s="163" t="s">
        <v>328</v>
      </c>
      <c r="B3" s="165" t="s">
        <v>3</v>
      </c>
      <c r="C3" s="165" t="s">
        <v>328</v>
      </c>
      <c r="D3" s="165" t="s">
        <v>329</v>
      </c>
      <c r="E3" s="168" t="s">
        <v>4</v>
      </c>
      <c r="F3" s="165" t="s">
        <v>328</v>
      </c>
      <c r="G3" s="165" t="s">
        <v>328</v>
      </c>
      <c r="H3" s="167" t="s">
        <v>328</v>
      </c>
      <c r="I3" s="167" t="s">
        <v>4</v>
      </c>
      <c r="J3" s="167" t="s">
        <v>4</v>
      </c>
      <c r="K3" s="167" t="s">
        <v>328</v>
      </c>
      <c r="L3" s="167" t="s">
        <v>328</v>
      </c>
      <c r="M3" s="282" t="s">
        <v>328</v>
      </c>
      <c r="N3" s="167" t="s">
        <v>328</v>
      </c>
      <c r="O3" s="167" t="s">
        <v>328</v>
      </c>
      <c r="P3" s="9" t="s">
        <v>4</v>
      </c>
    </row>
    <row r="4" spans="1:16" s="19" customFormat="1">
      <c r="A4" s="136">
        <v>2107000000031</v>
      </c>
      <c r="C4" s="137">
        <v>2200000000046</v>
      </c>
      <c r="D4" s="26" t="s">
        <v>915</v>
      </c>
      <c r="E4" s="26" t="b">
        <v>1</v>
      </c>
      <c r="M4" s="184"/>
    </row>
    <row r="5" spans="1:16" s="19" customFormat="1" ht="41.25">
      <c r="H5" s="10">
        <v>1</v>
      </c>
      <c r="I5" t="s">
        <v>917</v>
      </c>
      <c r="J5" t="s">
        <v>918</v>
      </c>
      <c r="K5" s="12" t="s">
        <v>334</v>
      </c>
      <c r="L5" s="37" t="s">
        <v>999</v>
      </c>
      <c r="M5" s="184" t="s">
        <v>3580</v>
      </c>
      <c r="N5" s="53">
        <v>1</v>
      </c>
      <c r="O5" s="3" t="s">
        <v>2832</v>
      </c>
      <c r="P5" s="19" t="s">
        <v>1010</v>
      </c>
    </row>
    <row r="6" spans="1:16" s="19" customFormat="1" ht="41.25">
      <c r="H6" s="10">
        <v>2</v>
      </c>
      <c r="I6" t="s">
        <v>917</v>
      </c>
      <c r="J6" t="s">
        <v>918</v>
      </c>
      <c r="K6" s="12" t="s">
        <v>334</v>
      </c>
      <c r="L6" s="37" t="s">
        <v>999</v>
      </c>
      <c r="M6" s="184" t="s">
        <v>3580</v>
      </c>
      <c r="N6" s="53">
        <v>3</v>
      </c>
      <c r="O6" s="3" t="s">
        <v>2832</v>
      </c>
      <c r="P6" s="19" t="s">
        <v>1010</v>
      </c>
    </row>
    <row r="7" spans="1:16" s="19" customFormat="1" ht="41.25">
      <c r="H7" s="10">
        <v>3</v>
      </c>
      <c r="I7" t="s">
        <v>917</v>
      </c>
      <c r="J7" t="s">
        <v>918</v>
      </c>
      <c r="K7" s="12" t="s">
        <v>334</v>
      </c>
      <c r="L7" s="37" t="s">
        <v>999</v>
      </c>
      <c r="M7" s="184" t="s">
        <v>3580</v>
      </c>
      <c r="N7" s="53">
        <v>8</v>
      </c>
      <c r="O7" s="3" t="s">
        <v>2832</v>
      </c>
      <c r="P7" s="19" t="s">
        <v>1010</v>
      </c>
    </row>
    <row r="8" spans="1:16" s="19" customFormat="1" ht="41.25">
      <c r="H8" s="10">
        <v>4</v>
      </c>
      <c r="I8" t="s">
        <v>917</v>
      </c>
      <c r="J8" t="s">
        <v>918</v>
      </c>
      <c r="K8" s="12" t="s">
        <v>334</v>
      </c>
      <c r="L8" s="37" t="s">
        <v>999</v>
      </c>
      <c r="M8" s="184" t="s">
        <v>3580</v>
      </c>
      <c r="N8" s="53">
        <v>12</v>
      </c>
      <c r="O8" s="3" t="s">
        <v>2833</v>
      </c>
      <c r="P8" s="19" t="s">
        <v>1010</v>
      </c>
    </row>
    <row r="9" spans="1:16" s="19" customFormat="1">
      <c r="A9" s="136">
        <v>2107000000032</v>
      </c>
      <c r="C9" s="137">
        <v>2200000000046</v>
      </c>
      <c r="D9" s="26" t="s">
        <v>915</v>
      </c>
      <c r="E9" s="26" t="b">
        <v>1</v>
      </c>
      <c r="M9" s="184"/>
    </row>
    <row r="10" spans="1:16" s="19" customFormat="1" ht="41.25">
      <c r="A10" s="136"/>
      <c r="C10" s="137"/>
      <c r="D10" s="26"/>
      <c r="E10" s="26"/>
      <c r="H10" s="10">
        <v>1</v>
      </c>
      <c r="I10" t="s">
        <v>919</v>
      </c>
      <c r="J10" t="s">
        <v>920</v>
      </c>
      <c r="K10" s="12" t="s">
        <v>334</v>
      </c>
      <c r="L10" s="37" t="s">
        <v>999</v>
      </c>
      <c r="M10" s="184" t="s">
        <v>3581</v>
      </c>
      <c r="N10" s="53">
        <v>1</v>
      </c>
      <c r="O10" s="3" t="s">
        <v>2834</v>
      </c>
      <c r="P10" s="19" t="s">
        <v>1010</v>
      </c>
    </row>
    <row r="11" spans="1:16" s="19" customFormat="1" ht="41.25">
      <c r="A11" s="136"/>
      <c r="C11" s="137"/>
      <c r="D11" s="26"/>
      <c r="E11" s="26"/>
      <c r="H11" s="10">
        <v>2</v>
      </c>
      <c r="I11" t="s">
        <v>919</v>
      </c>
      <c r="J11" t="s">
        <v>920</v>
      </c>
      <c r="K11" s="12" t="s">
        <v>334</v>
      </c>
      <c r="L11" s="37" t="s">
        <v>999</v>
      </c>
      <c r="M11" s="184" t="s">
        <v>3581</v>
      </c>
      <c r="N11" s="53">
        <v>3</v>
      </c>
      <c r="O11" s="3" t="s">
        <v>2834</v>
      </c>
      <c r="P11" s="19" t="s">
        <v>1010</v>
      </c>
    </row>
    <row r="12" spans="1:16" s="19" customFormat="1" ht="41.25">
      <c r="A12" s="136"/>
      <c r="C12" s="137"/>
      <c r="D12" s="26"/>
      <c r="E12" s="26"/>
      <c r="H12" s="10">
        <v>3</v>
      </c>
      <c r="I12" t="s">
        <v>919</v>
      </c>
      <c r="J12" t="s">
        <v>920</v>
      </c>
      <c r="K12" s="12" t="s">
        <v>334</v>
      </c>
      <c r="L12" s="37" t="s">
        <v>999</v>
      </c>
      <c r="M12" s="184" t="s">
        <v>3581</v>
      </c>
      <c r="N12" s="53">
        <v>8</v>
      </c>
      <c r="O12" s="3" t="s">
        <v>2834</v>
      </c>
      <c r="P12" s="19" t="s">
        <v>1010</v>
      </c>
    </row>
    <row r="13" spans="1:16" s="19" customFormat="1" ht="41.25">
      <c r="H13" s="10">
        <v>4</v>
      </c>
      <c r="I13" t="s">
        <v>919</v>
      </c>
      <c r="J13" t="s">
        <v>920</v>
      </c>
      <c r="K13" s="12" t="s">
        <v>334</v>
      </c>
      <c r="L13" s="37" t="s">
        <v>999</v>
      </c>
      <c r="M13" s="184" t="s">
        <v>3581</v>
      </c>
      <c r="N13" s="53">
        <v>12</v>
      </c>
      <c r="O13" s="3" t="s">
        <v>2835</v>
      </c>
      <c r="P13" s="19" t="s">
        <v>1010</v>
      </c>
    </row>
    <row r="14" spans="1:16" s="19" customFormat="1">
      <c r="A14" s="136">
        <v>2107000000033</v>
      </c>
      <c r="C14" s="137">
        <v>2200000000046</v>
      </c>
      <c r="D14" s="26" t="s">
        <v>914</v>
      </c>
      <c r="E14" s="26" t="b">
        <v>1</v>
      </c>
      <c r="M14" s="184"/>
    </row>
    <row r="15" spans="1:16" s="19" customFormat="1" ht="41.25">
      <c r="H15" s="10">
        <v>1</v>
      </c>
      <c r="I15" t="s">
        <v>921</v>
      </c>
      <c r="J15" t="s">
        <v>922</v>
      </c>
      <c r="K15" s="12" t="s">
        <v>334</v>
      </c>
      <c r="L15" s="37" t="s">
        <v>777</v>
      </c>
      <c r="M15" s="184" t="s">
        <v>3582</v>
      </c>
      <c r="N15" s="53">
        <v>1</v>
      </c>
      <c r="O15" s="3" t="s">
        <v>2832</v>
      </c>
      <c r="P15" s="19" t="s">
        <v>1010</v>
      </c>
    </row>
    <row r="16" spans="1:16" s="19" customFormat="1" ht="41.25">
      <c r="H16" s="10">
        <v>2</v>
      </c>
      <c r="I16" t="s">
        <v>921</v>
      </c>
      <c r="J16" t="s">
        <v>922</v>
      </c>
      <c r="K16" s="12" t="s">
        <v>334</v>
      </c>
      <c r="L16" s="37" t="s">
        <v>777</v>
      </c>
      <c r="M16" s="184" t="s">
        <v>3582</v>
      </c>
      <c r="N16" s="53">
        <v>3</v>
      </c>
      <c r="O16" s="3" t="s">
        <v>2832</v>
      </c>
      <c r="P16" s="19" t="s">
        <v>1010</v>
      </c>
    </row>
    <row r="17" spans="1:16" s="19" customFormat="1" ht="41.25">
      <c r="H17" s="10">
        <v>3</v>
      </c>
      <c r="I17" t="s">
        <v>921</v>
      </c>
      <c r="J17" t="s">
        <v>922</v>
      </c>
      <c r="K17" s="12" t="s">
        <v>334</v>
      </c>
      <c r="L17" s="37" t="s">
        <v>777</v>
      </c>
      <c r="M17" s="184" t="s">
        <v>3582</v>
      </c>
      <c r="N17" s="53">
        <v>5</v>
      </c>
      <c r="O17" s="3" t="s">
        <v>2832</v>
      </c>
      <c r="P17" s="19" t="s">
        <v>1010</v>
      </c>
    </row>
    <row r="18" spans="1:16" s="19" customFormat="1" ht="41.25">
      <c r="H18" s="10">
        <v>4</v>
      </c>
      <c r="I18" t="s">
        <v>921</v>
      </c>
      <c r="J18" t="s">
        <v>2336</v>
      </c>
      <c r="K18" s="12" t="s">
        <v>334</v>
      </c>
      <c r="L18" s="37" t="s">
        <v>777</v>
      </c>
      <c r="M18" s="184" t="s">
        <v>3582</v>
      </c>
      <c r="N18" s="53">
        <v>8</v>
      </c>
      <c r="O18" s="3" t="s">
        <v>2832</v>
      </c>
      <c r="P18" s="19" t="s">
        <v>1010</v>
      </c>
    </row>
    <row r="19" spans="1:16" s="19" customFormat="1" ht="41.25">
      <c r="H19" s="10">
        <v>5</v>
      </c>
      <c r="I19" t="s">
        <v>921</v>
      </c>
      <c r="J19" t="s">
        <v>922</v>
      </c>
      <c r="K19" s="12" t="s">
        <v>334</v>
      </c>
      <c r="L19" s="37" t="s">
        <v>777</v>
      </c>
      <c r="M19" s="184" t="s">
        <v>3582</v>
      </c>
      <c r="N19" s="53">
        <v>12</v>
      </c>
      <c r="O19" s="3" t="s">
        <v>2834</v>
      </c>
      <c r="P19" s="19" t="s">
        <v>1010</v>
      </c>
    </row>
    <row r="20" spans="1:16" s="19" customFormat="1" ht="41.25">
      <c r="H20" s="10">
        <v>6</v>
      </c>
      <c r="I20" t="s">
        <v>921</v>
      </c>
      <c r="J20" t="s">
        <v>922</v>
      </c>
      <c r="K20" s="12" t="s">
        <v>334</v>
      </c>
      <c r="L20" s="37" t="s">
        <v>777</v>
      </c>
      <c r="M20" s="184" t="s">
        <v>3582</v>
      </c>
      <c r="N20" s="53">
        <v>15</v>
      </c>
      <c r="O20" s="3" t="s">
        <v>2833</v>
      </c>
      <c r="P20" s="19" t="s">
        <v>1010</v>
      </c>
    </row>
    <row r="21" spans="1:16" s="19" customFormat="1">
      <c r="A21" s="136">
        <v>2107000000034</v>
      </c>
      <c r="C21" s="137">
        <v>2200000000046</v>
      </c>
      <c r="D21" s="26" t="s">
        <v>914</v>
      </c>
      <c r="E21" s="26" t="b">
        <v>1</v>
      </c>
      <c r="M21" s="184"/>
    </row>
    <row r="22" spans="1:16" s="19" customFormat="1" ht="41.25">
      <c r="H22" s="10">
        <v>1</v>
      </c>
      <c r="I22" t="s">
        <v>923</v>
      </c>
      <c r="J22" t="s">
        <v>924</v>
      </c>
      <c r="K22" s="12" t="s">
        <v>334</v>
      </c>
      <c r="L22" s="37" t="s">
        <v>777</v>
      </c>
      <c r="M22" s="184" t="s">
        <v>3583</v>
      </c>
      <c r="N22" s="53">
        <v>1</v>
      </c>
      <c r="O22" s="3" t="s">
        <v>2836</v>
      </c>
      <c r="P22" s="19" t="s">
        <v>1010</v>
      </c>
    </row>
    <row r="23" spans="1:16" s="19" customFormat="1">
      <c r="A23" s="136">
        <v>2107000000035</v>
      </c>
      <c r="C23" s="137">
        <v>2200000000046</v>
      </c>
      <c r="D23" s="26" t="s">
        <v>914</v>
      </c>
      <c r="E23" s="26" t="b">
        <v>1</v>
      </c>
      <c r="M23" s="184"/>
    </row>
    <row r="24" spans="1:16" s="19" customFormat="1" ht="41.25">
      <c r="H24" s="10">
        <v>1</v>
      </c>
      <c r="I24" t="s">
        <v>925</v>
      </c>
      <c r="J24" t="s">
        <v>926</v>
      </c>
      <c r="K24" s="12" t="s">
        <v>334</v>
      </c>
      <c r="L24" s="37" t="s">
        <v>777</v>
      </c>
      <c r="M24" s="184" t="s">
        <v>3584</v>
      </c>
      <c r="N24" s="53">
        <v>1</v>
      </c>
      <c r="O24" s="3" t="s">
        <v>2834</v>
      </c>
      <c r="P24" s="19" t="s">
        <v>1010</v>
      </c>
    </row>
    <row r="25" spans="1:16" s="19" customFormat="1" ht="41.25">
      <c r="H25" s="10">
        <v>2</v>
      </c>
      <c r="I25" t="s">
        <v>925</v>
      </c>
      <c r="J25" t="s">
        <v>926</v>
      </c>
      <c r="K25" s="12" t="s">
        <v>334</v>
      </c>
      <c r="L25" s="37" t="s">
        <v>777</v>
      </c>
      <c r="M25" s="184" t="s">
        <v>3584</v>
      </c>
      <c r="N25" s="53">
        <v>3</v>
      </c>
      <c r="O25" s="3" t="s">
        <v>2834</v>
      </c>
      <c r="P25" s="19" t="s">
        <v>1010</v>
      </c>
    </row>
    <row r="26" spans="1:16" s="19" customFormat="1" ht="41.25">
      <c r="H26" s="10">
        <v>3</v>
      </c>
      <c r="I26" t="s">
        <v>925</v>
      </c>
      <c r="J26" t="s">
        <v>926</v>
      </c>
      <c r="K26" s="12" t="s">
        <v>334</v>
      </c>
      <c r="L26" s="37" t="s">
        <v>777</v>
      </c>
      <c r="M26" s="184" t="s">
        <v>3584</v>
      </c>
      <c r="N26" s="53">
        <v>5</v>
      </c>
      <c r="O26" s="3" t="s">
        <v>2834</v>
      </c>
      <c r="P26" s="19" t="s">
        <v>1010</v>
      </c>
    </row>
    <row r="27" spans="1:16" s="19" customFormat="1" ht="41.25">
      <c r="H27" s="10">
        <v>4</v>
      </c>
      <c r="I27" t="s">
        <v>925</v>
      </c>
      <c r="J27" t="s">
        <v>926</v>
      </c>
      <c r="K27" s="12" t="s">
        <v>334</v>
      </c>
      <c r="L27" s="37" t="s">
        <v>777</v>
      </c>
      <c r="M27" s="184" t="s">
        <v>3584</v>
      </c>
      <c r="N27" s="53">
        <v>8</v>
      </c>
      <c r="O27" s="3" t="s">
        <v>2834</v>
      </c>
      <c r="P27" s="19" t="s">
        <v>1010</v>
      </c>
    </row>
    <row r="28" spans="1:16" s="19" customFormat="1" ht="41.25">
      <c r="H28" s="10">
        <v>5</v>
      </c>
      <c r="I28" t="s">
        <v>925</v>
      </c>
      <c r="J28" t="s">
        <v>926</v>
      </c>
      <c r="K28" s="12" t="s">
        <v>334</v>
      </c>
      <c r="L28" s="37" t="s">
        <v>777</v>
      </c>
      <c r="M28" s="184" t="s">
        <v>3584</v>
      </c>
      <c r="N28" s="53">
        <v>12</v>
      </c>
      <c r="O28" s="3" t="s">
        <v>2833</v>
      </c>
      <c r="P28" s="19" t="s">
        <v>1010</v>
      </c>
    </row>
    <row r="29" spans="1:16" s="19" customFormat="1" ht="41.25">
      <c r="H29" s="10">
        <v>6</v>
      </c>
      <c r="I29" t="s">
        <v>925</v>
      </c>
      <c r="J29" t="s">
        <v>926</v>
      </c>
      <c r="K29" s="12" t="s">
        <v>334</v>
      </c>
      <c r="L29" s="37" t="s">
        <v>777</v>
      </c>
      <c r="M29" s="184" t="s">
        <v>3584</v>
      </c>
      <c r="N29" s="53">
        <v>15</v>
      </c>
      <c r="O29" s="3" t="s">
        <v>2835</v>
      </c>
      <c r="P29" s="19" t="s">
        <v>1010</v>
      </c>
    </row>
    <row r="30" spans="1:16" s="19" customFormat="1">
      <c r="A30" s="136">
        <v>2107000000036</v>
      </c>
      <c r="C30" s="137">
        <v>2200000000046</v>
      </c>
      <c r="D30" s="26" t="s">
        <v>914</v>
      </c>
      <c r="E30" s="26" t="b">
        <v>1</v>
      </c>
      <c r="M30" s="184"/>
    </row>
    <row r="31" spans="1:16" s="19" customFormat="1" ht="41.25">
      <c r="H31" s="10">
        <v>1</v>
      </c>
      <c r="I31" t="s">
        <v>927</v>
      </c>
      <c r="J31" t="s">
        <v>928</v>
      </c>
      <c r="K31" s="12" t="s">
        <v>334</v>
      </c>
      <c r="L31" s="37" t="s">
        <v>777</v>
      </c>
      <c r="M31" s="184" t="s">
        <v>3585</v>
      </c>
      <c r="N31" s="19">
        <v>1</v>
      </c>
      <c r="O31" s="3" t="s">
        <v>2837</v>
      </c>
      <c r="P31" s="19" t="s">
        <v>1010</v>
      </c>
    </row>
    <row r="32" spans="1:16" s="19" customFormat="1">
      <c r="A32" s="136">
        <v>2107000000037</v>
      </c>
      <c r="C32" s="137">
        <v>2200000000046</v>
      </c>
      <c r="D32" s="26" t="s">
        <v>914</v>
      </c>
      <c r="E32" s="26" t="b">
        <v>1</v>
      </c>
      <c r="M32" s="184"/>
    </row>
    <row r="33" spans="1:16" s="19" customFormat="1">
      <c r="H33" s="10">
        <v>1</v>
      </c>
      <c r="I33" t="s">
        <v>929</v>
      </c>
      <c r="J33" t="s">
        <v>930</v>
      </c>
      <c r="K33" s="12" t="s">
        <v>334</v>
      </c>
      <c r="L33" s="37" t="s">
        <v>854</v>
      </c>
      <c r="M33" s="184" t="s">
        <v>2825</v>
      </c>
      <c r="N33" s="53">
        <v>200</v>
      </c>
      <c r="O33" s="3" t="s">
        <v>2834</v>
      </c>
      <c r="P33" s="19" t="s">
        <v>1011</v>
      </c>
    </row>
    <row r="34" spans="1:16" s="19" customFormat="1">
      <c r="H34" s="10">
        <v>2</v>
      </c>
      <c r="I34" t="s">
        <v>929</v>
      </c>
      <c r="J34" t="s">
        <v>930</v>
      </c>
      <c r="K34" s="12" t="s">
        <v>334</v>
      </c>
      <c r="L34" s="37" t="s">
        <v>990</v>
      </c>
      <c r="M34" s="184" t="s">
        <v>2825</v>
      </c>
      <c r="N34" s="53">
        <v>400</v>
      </c>
      <c r="O34" s="3" t="s">
        <v>2835</v>
      </c>
      <c r="P34" s="19" t="s">
        <v>1011</v>
      </c>
    </row>
    <row r="35" spans="1:16" s="19" customFormat="1">
      <c r="H35" s="10">
        <v>3</v>
      </c>
      <c r="I35" t="s">
        <v>929</v>
      </c>
      <c r="J35" t="s">
        <v>930</v>
      </c>
      <c r="K35" s="12" t="s">
        <v>334</v>
      </c>
      <c r="L35" s="37" t="s">
        <v>990</v>
      </c>
      <c r="M35" s="184" t="s">
        <v>2825</v>
      </c>
      <c r="N35" s="53">
        <v>600</v>
      </c>
      <c r="O35" s="3" t="s">
        <v>2837</v>
      </c>
      <c r="P35" s="19" t="s">
        <v>1011</v>
      </c>
    </row>
    <row r="36" spans="1:16" s="19" customFormat="1" ht="13.5">
      <c r="A36" s="55"/>
      <c r="B36" s="55"/>
      <c r="C36" s="55"/>
      <c r="D36" s="55"/>
      <c r="E36" s="55"/>
      <c r="F36" s="55"/>
      <c r="G36" s="55"/>
      <c r="H36" s="54"/>
      <c r="I36" s="123"/>
      <c r="J36" s="123"/>
      <c r="K36" s="55"/>
      <c r="L36" s="55"/>
      <c r="M36" s="124"/>
      <c r="N36" s="55"/>
      <c r="O36" s="58"/>
      <c r="P36" s="72"/>
    </row>
    <row r="37" spans="1:16" s="19" customFormat="1">
      <c r="A37" s="136">
        <v>2107000000062</v>
      </c>
      <c r="C37" s="137">
        <v>2200000000050</v>
      </c>
      <c r="D37" s="26" t="s">
        <v>1014</v>
      </c>
      <c r="E37" s="26" t="b">
        <v>1</v>
      </c>
      <c r="M37" s="184"/>
    </row>
    <row r="38" spans="1:16" s="19" customFormat="1" ht="41.25">
      <c r="H38" s="10">
        <v>1</v>
      </c>
      <c r="I38" t="s">
        <v>917</v>
      </c>
      <c r="J38" t="s">
        <v>918</v>
      </c>
      <c r="K38" s="12" t="s">
        <v>334</v>
      </c>
      <c r="L38" s="37" t="s">
        <v>999</v>
      </c>
      <c r="M38" s="184" t="s">
        <v>3586</v>
      </c>
      <c r="N38" s="53">
        <v>1</v>
      </c>
      <c r="O38" s="3" t="s">
        <v>2838</v>
      </c>
      <c r="P38" s="19" t="s">
        <v>1167</v>
      </c>
    </row>
    <row r="39" spans="1:16" s="19" customFormat="1" ht="41.25">
      <c r="H39" s="10">
        <v>2</v>
      </c>
      <c r="I39" t="s">
        <v>917</v>
      </c>
      <c r="J39" t="s">
        <v>918</v>
      </c>
      <c r="K39" s="12" t="s">
        <v>334</v>
      </c>
      <c r="L39" s="37" t="s">
        <v>999</v>
      </c>
      <c r="M39" s="184" t="s">
        <v>3586</v>
      </c>
      <c r="N39" s="53">
        <v>3</v>
      </c>
      <c r="O39" s="3" t="s">
        <v>2838</v>
      </c>
      <c r="P39" s="19" t="s">
        <v>1032</v>
      </c>
    </row>
    <row r="40" spans="1:16" s="19" customFormat="1" ht="41.25">
      <c r="H40" s="10">
        <v>3</v>
      </c>
      <c r="I40" t="s">
        <v>917</v>
      </c>
      <c r="J40" t="s">
        <v>918</v>
      </c>
      <c r="K40" s="12" t="s">
        <v>334</v>
      </c>
      <c r="L40" s="37" t="s">
        <v>999</v>
      </c>
      <c r="M40" s="184" t="s">
        <v>3586</v>
      </c>
      <c r="N40" s="53">
        <v>8</v>
      </c>
      <c r="O40" s="3" t="s">
        <v>2838</v>
      </c>
      <c r="P40" s="19" t="s">
        <v>1032</v>
      </c>
    </row>
    <row r="41" spans="1:16" s="19" customFormat="1" ht="41.25">
      <c r="H41" s="10">
        <v>4</v>
      </c>
      <c r="I41" t="s">
        <v>917</v>
      </c>
      <c r="J41" t="s">
        <v>918</v>
      </c>
      <c r="K41" s="12" t="s">
        <v>334</v>
      </c>
      <c r="L41" s="37" t="s">
        <v>999</v>
      </c>
      <c r="M41" s="184" t="s">
        <v>3586</v>
      </c>
      <c r="N41" s="53">
        <v>12</v>
      </c>
      <c r="O41" s="3" t="s">
        <v>2839</v>
      </c>
      <c r="P41" s="19" t="s">
        <v>1032</v>
      </c>
    </row>
    <row r="42" spans="1:16" s="19" customFormat="1">
      <c r="A42" s="136">
        <v>2107000000063</v>
      </c>
      <c r="C42" s="137">
        <v>2200000000050</v>
      </c>
      <c r="D42" s="26" t="s">
        <v>1014</v>
      </c>
      <c r="E42" s="26" t="b">
        <v>1</v>
      </c>
      <c r="M42" s="184"/>
    </row>
    <row r="43" spans="1:16" s="19" customFormat="1" ht="41.25">
      <c r="A43" s="136"/>
      <c r="C43" s="137"/>
      <c r="D43" s="26"/>
      <c r="E43" s="26"/>
      <c r="H43" s="10">
        <v>1</v>
      </c>
      <c r="I43" t="s">
        <v>919</v>
      </c>
      <c r="J43" t="s">
        <v>920</v>
      </c>
      <c r="K43" s="12" t="s">
        <v>334</v>
      </c>
      <c r="L43" s="37" t="s">
        <v>999</v>
      </c>
      <c r="M43" s="184" t="s">
        <v>3587</v>
      </c>
      <c r="N43" s="53">
        <v>1</v>
      </c>
      <c r="O43" s="3" t="s">
        <v>2840</v>
      </c>
      <c r="P43" s="19" t="s">
        <v>1032</v>
      </c>
    </row>
    <row r="44" spans="1:16" s="19" customFormat="1" ht="41.25">
      <c r="A44" s="136"/>
      <c r="C44" s="137"/>
      <c r="D44" s="26"/>
      <c r="E44" s="26"/>
      <c r="H44" s="10">
        <v>2</v>
      </c>
      <c r="I44" t="s">
        <v>919</v>
      </c>
      <c r="J44" t="s">
        <v>920</v>
      </c>
      <c r="K44" s="12" t="s">
        <v>334</v>
      </c>
      <c r="L44" s="37" t="s">
        <v>999</v>
      </c>
      <c r="M44" s="184" t="s">
        <v>3587</v>
      </c>
      <c r="N44" s="53">
        <v>3</v>
      </c>
      <c r="O44" s="3" t="s">
        <v>2840</v>
      </c>
      <c r="P44" s="19" t="s">
        <v>1032</v>
      </c>
    </row>
    <row r="45" spans="1:16" s="19" customFormat="1" ht="41.25">
      <c r="A45" s="136"/>
      <c r="C45" s="137"/>
      <c r="D45" s="26"/>
      <c r="E45" s="26"/>
      <c r="H45" s="10">
        <v>3</v>
      </c>
      <c r="I45" t="s">
        <v>919</v>
      </c>
      <c r="J45" t="s">
        <v>920</v>
      </c>
      <c r="K45" s="12" t="s">
        <v>334</v>
      </c>
      <c r="L45" s="37" t="s">
        <v>999</v>
      </c>
      <c r="M45" s="184" t="s">
        <v>3587</v>
      </c>
      <c r="N45" s="53">
        <v>8</v>
      </c>
      <c r="O45" s="3" t="s">
        <v>2840</v>
      </c>
      <c r="P45" s="19" t="s">
        <v>1032</v>
      </c>
    </row>
    <row r="46" spans="1:16" s="19" customFormat="1" ht="41.25">
      <c r="H46" s="10">
        <v>4</v>
      </c>
      <c r="I46" t="s">
        <v>919</v>
      </c>
      <c r="J46" t="s">
        <v>920</v>
      </c>
      <c r="K46" s="12" t="s">
        <v>334</v>
      </c>
      <c r="L46" s="37" t="s">
        <v>999</v>
      </c>
      <c r="M46" s="184" t="s">
        <v>3587</v>
      </c>
      <c r="N46" s="53">
        <v>12</v>
      </c>
      <c r="O46" s="3" t="s">
        <v>2841</v>
      </c>
      <c r="P46" s="19" t="s">
        <v>1032</v>
      </c>
    </row>
    <row r="47" spans="1:16" s="19" customFormat="1">
      <c r="A47" s="136">
        <v>2107000000064</v>
      </c>
      <c r="C47" s="137">
        <v>2200000000050</v>
      </c>
      <c r="D47" s="26" t="s">
        <v>1014</v>
      </c>
      <c r="E47" s="26" t="b">
        <v>1</v>
      </c>
      <c r="M47" s="184"/>
    </row>
    <row r="48" spans="1:16" s="19" customFormat="1" ht="41.25">
      <c r="H48" s="10">
        <v>1</v>
      </c>
      <c r="I48" t="s">
        <v>921</v>
      </c>
      <c r="J48" t="s">
        <v>922</v>
      </c>
      <c r="K48" s="12" t="s">
        <v>334</v>
      </c>
      <c r="L48" s="37" t="s">
        <v>777</v>
      </c>
      <c r="M48" s="184" t="s">
        <v>3588</v>
      </c>
      <c r="N48" s="53">
        <v>1</v>
      </c>
      <c r="O48" s="3" t="s">
        <v>2838</v>
      </c>
      <c r="P48" s="19" t="s">
        <v>1032</v>
      </c>
    </row>
    <row r="49" spans="1:16" s="19" customFormat="1" ht="41.25">
      <c r="H49" s="10">
        <v>2</v>
      </c>
      <c r="I49" t="s">
        <v>921</v>
      </c>
      <c r="J49" t="s">
        <v>922</v>
      </c>
      <c r="K49" s="12" t="s">
        <v>334</v>
      </c>
      <c r="L49" s="37" t="s">
        <v>777</v>
      </c>
      <c r="M49" s="184" t="s">
        <v>3588</v>
      </c>
      <c r="N49" s="53">
        <v>3</v>
      </c>
      <c r="O49" s="3" t="s">
        <v>2838</v>
      </c>
      <c r="P49" s="19" t="s">
        <v>1032</v>
      </c>
    </row>
    <row r="50" spans="1:16" s="19" customFormat="1" ht="41.25">
      <c r="H50" s="10">
        <v>3</v>
      </c>
      <c r="I50" t="s">
        <v>921</v>
      </c>
      <c r="J50" t="s">
        <v>922</v>
      </c>
      <c r="K50" s="12" t="s">
        <v>334</v>
      </c>
      <c r="L50" s="37" t="s">
        <v>777</v>
      </c>
      <c r="M50" s="184" t="s">
        <v>3588</v>
      </c>
      <c r="N50" s="53">
        <v>5</v>
      </c>
      <c r="O50" s="3" t="s">
        <v>2838</v>
      </c>
      <c r="P50" s="19" t="s">
        <v>1032</v>
      </c>
    </row>
    <row r="51" spans="1:16" s="19" customFormat="1" ht="41.25">
      <c r="H51" s="10">
        <v>4</v>
      </c>
      <c r="I51" t="s">
        <v>921</v>
      </c>
      <c r="J51" t="s">
        <v>922</v>
      </c>
      <c r="K51" s="12" t="s">
        <v>334</v>
      </c>
      <c r="L51" s="37" t="s">
        <v>777</v>
      </c>
      <c r="M51" s="184" t="s">
        <v>3588</v>
      </c>
      <c r="N51" s="53">
        <v>8</v>
      </c>
      <c r="O51" s="3" t="s">
        <v>2838</v>
      </c>
      <c r="P51" s="19" t="s">
        <v>1032</v>
      </c>
    </row>
    <row r="52" spans="1:16" s="19" customFormat="1" ht="41.25">
      <c r="H52" s="10">
        <v>5</v>
      </c>
      <c r="I52" t="s">
        <v>921</v>
      </c>
      <c r="J52" t="s">
        <v>922</v>
      </c>
      <c r="K52" s="12" t="s">
        <v>334</v>
      </c>
      <c r="L52" s="37" t="s">
        <v>777</v>
      </c>
      <c r="M52" s="184" t="s">
        <v>3588</v>
      </c>
      <c r="N52" s="53">
        <v>12</v>
      </c>
      <c r="O52" s="3" t="s">
        <v>2840</v>
      </c>
      <c r="P52" s="19" t="s">
        <v>1032</v>
      </c>
    </row>
    <row r="53" spans="1:16" s="19" customFormat="1" ht="41.25">
      <c r="H53" s="10">
        <v>6</v>
      </c>
      <c r="I53" t="s">
        <v>921</v>
      </c>
      <c r="J53" t="s">
        <v>922</v>
      </c>
      <c r="K53" s="12" t="s">
        <v>334</v>
      </c>
      <c r="L53" s="37" t="s">
        <v>777</v>
      </c>
      <c r="M53" s="184" t="s">
        <v>3588</v>
      </c>
      <c r="N53" s="53">
        <v>15</v>
      </c>
      <c r="O53" s="3" t="s">
        <v>2839</v>
      </c>
      <c r="P53" s="19" t="s">
        <v>1032</v>
      </c>
    </row>
    <row r="54" spans="1:16" s="19" customFormat="1">
      <c r="A54" s="136">
        <v>2107000000065</v>
      </c>
      <c r="C54" s="137">
        <v>2200000000050</v>
      </c>
      <c r="D54" s="26" t="s">
        <v>1014</v>
      </c>
      <c r="E54" s="26" t="b">
        <v>1</v>
      </c>
      <c r="M54" s="184"/>
    </row>
    <row r="55" spans="1:16" s="19" customFormat="1" ht="41.25">
      <c r="H55" s="10">
        <v>1</v>
      </c>
      <c r="I55" t="s">
        <v>923</v>
      </c>
      <c r="J55" t="s">
        <v>924</v>
      </c>
      <c r="K55" s="12" t="s">
        <v>334</v>
      </c>
      <c r="L55" s="37" t="s">
        <v>777</v>
      </c>
      <c r="M55" s="184" t="s">
        <v>3589</v>
      </c>
      <c r="N55" s="53">
        <v>1</v>
      </c>
      <c r="O55" s="3" t="s">
        <v>2842</v>
      </c>
      <c r="P55" s="19" t="s">
        <v>1032</v>
      </c>
    </row>
    <row r="56" spans="1:16" s="19" customFormat="1">
      <c r="A56" s="136">
        <v>2107000000066</v>
      </c>
      <c r="C56" s="137">
        <v>2200000000050</v>
      </c>
      <c r="D56" s="26" t="s">
        <v>1014</v>
      </c>
      <c r="E56" s="26" t="b">
        <v>1</v>
      </c>
      <c r="M56" s="184"/>
    </row>
    <row r="57" spans="1:16" s="19" customFormat="1" ht="41.25">
      <c r="H57" s="10">
        <v>1</v>
      </c>
      <c r="I57" t="s">
        <v>925</v>
      </c>
      <c r="J57" t="s">
        <v>926</v>
      </c>
      <c r="K57" s="12" t="s">
        <v>334</v>
      </c>
      <c r="L57" s="37" t="s">
        <v>777</v>
      </c>
      <c r="M57" s="184" t="s">
        <v>3590</v>
      </c>
      <c r="N57" s="53">
        <v>1</v>
      </c>
      <c r="O57" s="3" t="s">
        <v>2840</v>
      </c>
      <c r="P57" s="19" t="s">
        <v>1032</v>
      </c>
    </row>
    <row r="58" spans="1:16" s="19" customFormat="1" ht="41.25">
      <c r="H58" s="10">
        <v>2</v>
      </c>
      <c r="I58" t="s">
        <v>925</v>
      </c>
      <c r="J58" t="s">
        <v>926</v>
      </c>
      <c r="K58" s="12" t="s">
        <v>334</v>
      </c>
      <c r="L58" s="37" t="s">
        <v>777</v>
      </c>
      <c r="M58" s="184" t="s">
        <v>3590</v>
      </c>
      <c r="N58" s="53">
        <v>3</v>
      </c>
      <c r="O58" s="3" t="s">
        <v>2840</v>
      </c>
      <c r="P58" s="19" t="s">
        <v>1032</v>
      </c>
    </row>
    <row r="59" spans="1:16" s="19" customFormat="1" ht="41.25">
      <c r="H59" s="10">
        <v>3</v>
      </c>
      <c r="I59" t="s">
        <v>925</v>
      </c>
      <c r="J59" t="s">
        <v>926</v>
      </c>
      <c r="K59" s="12" t="s">
        <v>334</v>
      </c>
      <c r="L59" s="37" t="s">
        <v>777</v>
      </c>
      <c r="M59" s="184" t="s">
        <v>3590</v>
      </c>
      <c r="N59" s="53">
        <v>5</v>
      </c>
      <c r="O59" s="3" t="s">
        <v>2840</v>
      </c>
      <c r="P59" s="19" t="s">
        <v>1032</v>
      </c>
    </row>
    <row r="60" spans="1:16" s="19" customFormat="1" ht="41.25">
      <c r="H60" s="10">
        <v>4</v>
      </c>
      <c r="I60" t="s">
        <v>925</v>
      </c>
      <c r="J60" t="s">
        <v>926</v>
      </c>
      <c r="K60" s="12" t="s">
        <v>334</v>
      </c>
      <c r="L60" s="37" t="s">
        <v>777</v>
      </c>
      <c r="M60" s="184" t="s">
        <v>3590</v>
      </c>
      <c r="N60" s="53">
        <v>8</v>
      </c>
      <c r="O60" s="3" t="s">
        <v>2840</v>
      </c>
      <c r="P60" s="19" t="s">
        <v>1032</v>
      </c>
    </row>
    <row r="61" spans="1:16" s="19" customFormat="1" ht="41.25">
      <c r="H61" s="10">
        <v>5</v>
      </c>
      <c r="I61" t="s">
        <v>925</v>
      </c>
      <c r="J61" t="s">
        <v>926</v>
      </c>
      <c r="K61" s="12" t="s">
        <v>334</v>
      </c>
      <c r="L61" s="37" t="s">
        <v>777</v>
      </c>
      <c r="M61" s="184" t="s">
        <v>3590</v>
      </c>
      <c r="N61" s="53">
        <v>12</v>
      </c>
      <c r="O61" s="3" t="s">
        <v>2839</v>
      </c>
      <c r="P61" s="19" t="s">
        <v>1032</v>
      </c>
    </row>
    <row r="62" spans="1:16" s="19" customFormat="1" ht="41.25">
      <c r="H62" s="10">
        <v>6</v>
      </c>
      <c r="I62" t="s">
        <v>925</v>
      </c>
      <c r="J62" t="s">
        <v>926</v>
      </c>
      <c r="K62" s="12" t="s">
        <v>334</v>
      </c>
      <c r="L62" s="37" t="s">
        <v>777</v>
      </c>
      <c r="M62" s="184" t="s">
        <v>3590</v>
      </c>
      <c r="N62" s="53">
        <v>15</v>
      </c>
      <c r="O62" s="3" t="s">
        <v>2841</v>
      </c>
      <c r="P62" s="19" t="s">
        <v>1032</v>
      </c>
    </row>
    <row r="63" spans="1:16" s="19" customFormat="1">
      <c r="A63" s="136">
        <v>2107000000067</v>
      </c>
      <c r="C63" s="137">
        <v>2200000000050</v>
      </c>
      <c r="D63" s="26" t="s">
        <v>1014</v>
      </c>
      <c r="E63" s="26" t="b">
        <v>1</v>
      </c>
      <c r="M63" s="184"/>
    </row>
    <row r="64" spans="1:16" s="19" customFormat="1" ht="41.25">
      <c r="H64" s="10">
        <v>1</v>
      </c>
      <c r="I64" t="s">
        <v>927</v>
      </c>
      <c r="J64" t="s">
        <v>928</v>
      </c>
      <c r="K64" s="12" t="s">
        <v>334</v>
      </c>
      <c r="L64" s="37" t="s">
        <v>777</v>
      </c>
      <c r="M64" s="184" t="s">
        <v>3591</v>
      </c>
      <c r="N64" s="19">
        <v>1</v>
      </c>
      <c r="O64" s="3" t="s">
        <v>2843</v>
      </c>
      <c r="P64" s="19" t="s">
        <v>1032</v>
      </c>
    </row>
    <row r="65" spans="1:16" s="19" customFormat="1">
      <c r="A65" s="136">
        <v>2107000000068</v>
      </c>
      <c r="C65" s="137">
        <v>2200000000050</v>
      </c>
      <c r="D65" s="26" t="s">
        <v>1014</v>
      </c>
      <c r="E65" s="26" t="b">
        <v>1</v>
      </c>
      <c r="M65" s="184"/>
    </row>
    <row r="66" spans="1:16" s="19" customFormat="1">
      <c r="H66" s="10">
        <v>1</v>
      </c>
      <c r="I66" t="s">
        <v>1033</v>
      </c>
      <c r="J66" t="s">
        <v>930</v>
      </c>
      <c r="K66" s="12" t="s">
        <v>334</v>
      </c>
      <c r="L66" s="37" t="s">
        <v>854</v>
      </c>
      <c r="M66" s="184" t="s">
        <v>2826</v>
      </c>
      <c r="N66" s="53">
        <v>200</v>
      </c>
      <c r="O66" s="3" t="s">
        <v>2840</v>
      </c>
      <c r="P66" s="19" t="s">
        <v>1031</v>
      </c>
    </row>
    <row r="67" spans="1:16" s="19" customFormat="1">
      <c r="H67" s="10">
        <v>2</v>
      </c>
      <c r="I67" t="s">
        <v>1033</v>
      </c>
      <c r="J67" t="s">
        <v>930</v>
      </c>
      <c r="K67" s="12" t="s">
        <v>334</v>
      </c>
      <c r="L67" s="37" t="s">
        <v>990</v>
      </c>
      <c r="M67" s="184" t="s">
        <v>2826</v>
      </c>
      <c r="N67" s="53">
        <v>400</v>
      </c>
      <c r="O67" s="3" t="s">
        <v>2841</v>
      </c>
      <c r="P67" s="19" t="s">
        <v>1031</v>
      </c>
    </row>
    <row r="68" spans="1:16" s="19" customFormat="1">
      <c r="H68" s="10">
        <v>3</v>
      </c>
      <c r="I68" t="s">
        <v>1033</v>
      </c>
      <c r="J68" t="s">
        <v>930</v>
      </c>
      <c r="K68" s="12" t="s">
        <v>334</v>
      </c>
      <c r="L68" s="37" t="s">
        <v>990</v>
      </c>
      <c r="M68" s="184" t="s">
        <v>2826</v>
      </c>
      <c r="N68" s="53">
        <v>600</v>
      </c>
      <c r="O68" s="3" t="s">
        <v>2843</v>
      </c>
      <c r="P68" s="19" t="s">
        <v>1031</v>
      </c>
    </row>
    <row r="69" spans="1:16" s="19" customFormat="1" ht="13.5">
      <c r="A69" s="55"/>
      <c r="B69" s="55"/>
      <c r="C69" s="55"/>
      <c r="D69" s="55"/>
      <c r="E69" s="55"/>
      <c r="F69" s="55"/>
      <c r="G69" s="55"/>
      <c r="H69" s="54"/>
      <c r="I69" s="123"/>
      <c r="J69" s="123"/>
      <c r="K69" s="55"/>
      <c r="L69" s="55"/>
      <c r="M69" s="124"/>
      <c r="N69" s="55"/>
      <c r="O69" s="58"/>
      <c r="P69" s="72"/>
    </row>
    <row r="70" spans="1:16" s="19" customFormat="1">
      <c r="A70" s="136">
        <v>2107000000069</v>
      </c>
      <c r="C70" s="137">
        <v>2200000000053</v>
      </c>
      <c r="D70" s="26" t="s">
        <v>3592</v>
      </c>
      <c r="E70" s="26" t="b">
        <v>1</v>
      </c>
      <c r="M70" s="184"/>
    </row>
    <row r="71" spans="1:16" s="19" customFormat="1" ht="41.25">
      <c r="H71" s="10">
        <v>1</v>
      </c>
      <c r="I71" t="s">
        <v>917</v>
      </c>
      <c r="J71" t="s">
        <v>918</v>
      </c>
      <c r="K71" s="12" t="s">
        <v>334</v>
      </c>
      <c r="L71" s="37" t="s">
        <v>999</v>
      </c>
      <c r="M71" s="184" t="s">
        <v>3593</v>
      </c>
      <c r="N71" s="53">
        <v>1</v>
      </c>
      <c r="O71" s="3" t="s">
        <v>2844</v>
      </c>
      <c r="P71" s="19" t="s">
        <v>1216</v>
      </c>
    </row>
    <row r="72" spans="1:16" s="19" customFormat="1" ht="41.25">
      <c r="H72" s="10">
        <v>2</v>
      </c>
      <c r="I72" t="s">
        <v>917</v>
      </c>
      <c r="J72" t="s">
        <v>918</v>
      </c>
      <c r="K72" s="12" t="s">
        <v>334</v>
      </c>
      <c r="L72" s="37" t="s">
        <v>999</v>
      </c>
      <c r="M72" s="184" t="s">
        <v>3593</v>
      </c>
      <c r="N72" s="53">
        <v>3</v>
      </c>
      <c r="O72" s="3" t="s">
        <v>2844</v>
      </c>
      <c r="P72" s="19" t="s">
        <v>1216</v>
      </c>
    </row>
    <row r="73" spans="1:16" s="19" customFormat="1" ht="41.25">
      <c r="H73" s="10">
        <v>3</v>
      </c>
      <c r="I73" t="s">
        <v>917</v>
      </c>
      <c r="J73" t="s">
        <v>918</v>
      </c>
      <c r="K73" s="12" t="s">
        <v>334</v>
      </c>
      <c r="L73" s="37" t="s">
        <v>999</v>
      </c>
      <c r="M73" s="184" t="s">
        <v>3593</v>
      </c>
      <c r="N73" s="53">
        <v>8</v>
      </c>
      <c r="O73" s="3" t="s">
        <v>2844</v>
      </c>
      <c r="P73" s="19" t="s">
        <v>1216</v>
      </c>
    </row>
    <row r="74" spans="1:16" s="19" customFormat="1" ht="41.25">
      <c r="H74" s="10">
        <v>4</v>
      </c>
      <c r="I74" t="s">
        <v>917</v>
      </c>
      <c r="J74" t="s">
        <v>918</v>
      </c>
      <c r="K74" s="12" t="s">
        <v>334</v>
      </c>
      <c r="L74" s="37" t="s">
        <v>999</v>
      </c>
      <c r="M74" s="184" t="s">
        <v>3593</v>
      </c>
      <c r="N74" s="53">
        <v>12</v>
      </c>
      <c r="O74" s="3" t="s">
        <v>2845</v>
      </c>
      <c r="P74" s="19" t="s">
        <v>1216</v>
      </c>
    </row>
    <row r="75" spans="1:16" s="19" customFormat="1">
      <c r="A75" s="136">
        <v>2107000000070</v>
      </c>
      <c r="C75" s="137">
        <v>2200000000053</v>
      </c>
      <c r="D75" s="26" t="s">
        <v>1214</v>
      </c>
      <c r="E75" s="26" t="b">
        <v>1</v>
      </c>
      <c r="M75" s="184"/>
    </row>
    <row r="76" spans="1:16" s="19" customFormat="1" ht="41.25">
      <c r="A76" s="136"/>
      <c r="C76" s="137"/>
      <c r="D76" s="26"/>
      <c r="E76" s="26"/>
      <c r="H76" s="10">
        <v>1</v>
      </c>
      <c r="I76" t="s">
        <v>919</v>
      </c>
      <c r="J76" t="s">
        <v>920</v>
      </c>
      <c r="K76" s="12" t="s">
        <v>334</v>
      </c>
      <c r="L76" s="37" t="s">
        <v>999</v>
      </c>
      <c r="M76" s="184" t="s">
        <v>3594</v>
      </c>
      <c r="N76" s="53">
        <v>1</v>
      </c>
      <c r="O76" s="3" t="s">
        <v>2846</v>
      </c>
      <c r="P76" s="19" t="s">
        <v>1216</v>
      </c>
    </row>
    <row r="77" spans="1:16" s="19" customFormat="1" ht="41.25">
      <c r="A77" s="136"/>
      <c r="C77" s="137"/>
      <c r="D77" s="26"/>
      <c r="E77" s="26"/>
      <c r="H77" s="10">
        <v>2</v>
      </c>
      <c r="I77" t="s">
        <v>919</v>
      </c>
      <c r="J77" t="s">
        <v>920</v>
      </c>
      <c r="K77" s="12" t="s">
        <v>334</v>
      </c>
      <c r="L77" s="37" t="s">
        <v>999</v>
      </c>
      <c r="M77" s="184" t="s">
        <v>3594</v>
      </c>
      <c r="N77" s="53">
        <v>3</v>
      </c>
      <c r="O77" s="3" t="s">
        <v>2846</v>
      </c>
      <c r="P77" s="19" t="s">
        <v>1216</v>
      </c>
    </row>
    <row r="78" spans="1:16" s="19" customFormat="1" ht="41.25">
      <c r="A78" s="136"/>
      <c r="C78" s="137"/>
      <c r="D78" s="26"/>
      <c r="E78" s="26"/>
      <c r="H78" s="10">
        <v>3</v>
      </c>
      <c r="I78" t="s">
        <v>919</v>
      </c>
      <c r="J78" t="s">
        <v>920</v>
      </c>
      <c r="K78" s="12" t="s">
        <v>334</v>
      </c>
      <c r="L78" s="37" t="s">
        <v>999</v>
      </c>
      <c r="M78" s="184" t="s">
        <v>3594</v>
      </c>
      <c r="N78" s="53">
        <v>8</v>
      </c>
      <c r="O78" s="3" t="s">
        <v>2846</v>
      </c>
      <c r="P78" s="19" t="s">
        <v>1216</v>
      </c>
    </row>
    <row r="79" spans="1:16" s="19" customFormat="1" ht="41.25">
      <c r="H79" s="10">
        <v>4</v>
      </c>
      <c r="I79" t="s">
        <v>919</v>
      </c>
      <c r="J79" t="s">
        <v>920</v>
      </c>
      <c r="K79" s="12" t="s">
        <v>334</v>
      </c>
      <c r="L79" s="37" t="s">
        <v>999</v>
      </c>
      <c r="M79" s="184" t="s">
        <v>3594</v>
      </c>
      <c r="N79" s="53">
        <v>12</v>
      </c>
      <c r="O79" s="3" t="s">
        <v>2847</v>
      </c>
      <c r="P79" s="19" t="s">
        <v>1216</v>
      </c>
    </row>
    <row r="80" spans="1:16" s="19" customFormat="1">
      <c r="A80" s="136">
        <v>2107000000071</v>
      </c>
      <c r="C80" s="137">
        <v>2200000000053</v>
      </c>
      <c r="D80" s="26" t="s">
        <v>1214</v>
      </c>
      <c r="E80" s="26" t="b">
        <v>1</v>
      </c>
      <c r="M80" s="184"/>
    </row>
    <row r="81" spans="1:16" s="19" customFormat="1" ht="41.25">
      <c r="H81" s="10">
        <v>1</v>
      </c>
      <c r="I81" t="s">
        <v>921</v>
      </c>
      <c r="J81" t="s">
        <v>922</v>
      </c>
      <c r="K81" s="12" t="s">
        <v>334</v>
      </c>
      <c r="L81" s="37" t="s">
        <v>777</v>
      </c>
      <c r="M81" s="184" t="s">
        <v>3595</v>
      </c>
      <c r="N81" s="53">
        <v>1</v>
      </c>
      <c r="O81" s="3" t="s">
        <v>2844</v>
      </c>
      <c r="P81" s="19" t="s">
        <v>1216</v>
      </c>
    </row>
    <row r="82" spans="1:16" s="19" customFormat="1" ht="41.25">
      <c r="H82" s="10">
        <v>2</v>
      </c>
      <c r="I82" t="s">
        <v>921</v>
      </c>
      <c r="J82" t="s">
        <v>922</v>
      </c>
      <c r="K82" s="12" t="s">
        <v>334</v>
      </c>
      <c r="L82" s="37" t="s">
        <v>777</v>
      </c>
      <c r="M82" s="184" t="s">
        <v>3595</v>
      </c>
      <c r="N82" s="53">
        <v>3</v>
      </c>
      <c r="O82" s="3" t="s">
        <v>2844</v>
      </c>
      <c r="P82" s="19" t="s">
        <v>1216</v>
      </c>
    </row>
    <row r="83" spans="1:16" s="19" customFormat="1" ht="41.25">
      <c r="H83" s="10">
        <v>3</v>
      </c>
      <c r="I83" t="s">
        <v>921</v>
      </c>
      <c r="J83" t="s">
        <v>922</v>
      </c>
      <c r="K83" s="12" t="s">
        <v>334</v>
      </c>
      <c r="L83" s="37" t="s">
        <v>777</v>
      </c>
      <c r="M83" s="184" t="s">
        <v>3595</v>
      </c>
      <c r="N83" s="53">
        <v>5</v>
      </c>
      <c r="O83" s="3" t="s">
        <v>2844</v>
      </c>
      <c r="P83" s="19" t="s">
        <v>1216</v>
      </c>
    </row>
    <row r="84" spans="1:16" s="19" customFormat="1" ht="41.25">
      <c r="H84" s="10">
        <v>4</v>
      </c>
      <c r="I84" t="s">
        <v>921</v>
      </c>
      <c r="J84" t="s">
        <v>922</v>
      </c>
      <c r="K84" s="12" t="s">
        <v>334</v>
      </c>
      <c r="L84" s="37" t="s">
        <v>777</v>
      </c>
      <c r="M84" s="184" t="s">
        <v>3595</v>
      </c>
      <c r="N84" s="53">
        <v>8</v>
      </c>
      <c r="O84" s="3" t="s">
        <v>2844</v>
      </c>
      <c r="P84" s="19" t="s">
        <v>1216</v>
      </c>
    </row>
    <row r="85" spans="1:16" s="19" customFormat="1" ht="41.25">
      <c r="H85" s="10">
        <v>5</v>
      </c>
      <c r="I85" t="s">
        <v>921</v>
      </c>
      <c r="J85" t="s">
        <v>922</v>
      </c>
      <c r="K85" s="12" t="s">
        <v>334</v>
      </c>
      <c r="L85" s="37" t="s">
        <v>777</v>
      </c>
      <c r="M85" s="184" t="s">
        <v>3595</v>
      </c>
      <c r="N85" s="53">
        <v>12</v>
      </c>
      <c r="O85" s="3" t="s">
        <v>2846</v>
      </c>
      <c r="P85" s="19" t="s">
        <v>1216</v>
      </c>
    </row>
    <row r="86" spans="1:16" s="19" customFormat="1" ht="41.25">
      <c r="H86" s="10">
        <v>6</v>
      </c>
      <c r="I86" t="s">
        <v>921</v>
      </c>
      <c r="J86" t="s">
        <v>922</v>
      </c>
      <c r="K86" s="12" t="s">
        <v>334</v>
      </c>
      <c r="L86" s="37" t="s">
        <v>777</v>
      </c>
      <c r="M86" s="184" t="s">
        <v>3595</v>
      </c>
      <c r="N86" s="53">
        <v>15</v>
      </c>
      <c r="O86" s="3" t="s">
        <v>2845</v>
      </c>
      <c r="P86" s="19" t="s">
        <v>1216</v>
      </c>
    </row>
    <row r="87" spans="1:16" s="19" customFormat="1">
      <c r="A87" s="136">
        <v>2107000000072</v>
      </c>
      <c r="C87" s="137">
        <v>2200000000053</v>
      </c>
      <c r="D87" s="26" t="s">
        <v>1214</v>
      </c>
      <c r="E87" s="26" t="b">
        <v>1</v>
      </c>
      <c r="M87" s="184"/>
    </row>
    <row r="88" spans="1:16" s="19" customFormat="1" ht="41.25">
      <c r="H88" s="10">
        <v>1</v>
      </c>
      <c r="I88" t="s">
        <v>923</v>
      </c>
      <c r="J88" t="s">
        <v>924</v>
      </c>
      <c r="K88" s="12" t="s">
        <v>334</v>
      </c>
      <c r="L88" s="37" t="s">
        <v>777</v>
      </c>
      <c r="M88" s="184" t="s">
        <v>3596</v>
      </c>
      <c r="N88" s="53">
        <v>1</v>
      </c>
      <c r="O88" s="3" t="s">
        <v>2848</v>
      </c>
      <c r="P88" s="19" t="s">
        <v>1216</v>
      </c>
    </row>
    <row r="89" spans="1:16" s="19" customFormat="1">
      <c r="A89" s="136">
        <v>2107000000073</v>
      </c>
      <c r="C89" s="137">
        <v>2200000000053</v>
      </c>
      <c r="D89" s="26" t="s">
        <v>1214</v>
      </c>
      <c r="E89" s="26" t="b">
        <v>1</v>
      </c>
      <c r="M89" s="184"/>
    </row>
    <row r="90" spans="1:16" s="19" customFormat="1" ht="41.25">
      <c r="H90" s="10">
        <v>1</v>
      </c>
      <c r="I90" t="s">
        <v>925</v>
      </c>
      <c r="J90" t="s">
        <v>926</v>
      </c>
      <c r="K90" s="12" t="s">
        <v>334</v>
      </c>
      <c r="L90" s="37" t="s">
        <v>777</v>
      </c>
      <c r="M90" s="184" t="s">
        <v>3597</v>
      </c>
      <c r="N90" s="53">
        <v>1</v>
      </c>
      <c r="O90" s="3" t="s">
        <v>2846</v>
      </c>
      <c r="P90" s="19" t="s">
        <v>1216</v>
      </c>
    </row>
    <row r="91" spans="1:16" s="19" customFormat="1" ht="41.25">
      <c r="H91" s="10">
        <v>2</v>
      </c>
      <c r="I91" t="s">
        <v>925</v>
      </c>
      <c r="J91" t="s">
        <v>926</v>
      </c>
      <c r="K91" s="12" t="s">
        <v>334</v>
      </c>
      <c r="L91" s="37" t="s">
        <v>777</v>
      </c>
      <c r="M91" s="184" t="s">
        <v>3597</v>
      </c>
      <c r="N91" s="53">
        <v>3</v>
      </c>
      <c r="O91" s="3" t="s">
        <v>2846</v>
      </c>
      <c r="P91" s="19" t="s">
        <v>1216</v>
      </c>
    </row>
    <row r="92" spans="1:16" s="19" customFormat="1" ht="41.25">
      <c r="H92" s="10">
        <v>3</v>
      </c>
      <c r="I92" t="s">
        <v>925</v>
      </c>
      <c r="J92" t="s">
        <v>926</v>
      </c>
      <c r="K92" s="12" t="s">
        <v>334</v>
      </c>
      <c r="L92" s="37" t="s">
        <v>777</v>
      </c>
      <c r="M92" s="184" t="s">
        <v>3597</v>
      </c>
      <c r="N92" s="53">
        <v>5</v>
      </c>
      <c r="O92" s="3" t="s">
        <v>2846</v>
      </c>
      <c r="P92" s="19" t="s">
        <v>1216</v>
      </c>
    </row>
    <row r="93" spans="1:16" s="19" customFormat="1" ht="41.25">
      <c r="H93" s="10">
        <v>4</v>
      </c>
      <c r="I93" t="s">
        <v>925</v>
      </c>
      <c r="J93" t="s">
        <v>926</v>
      </c>
      <c r="K93" s="12" t="s">
        <v>334</v>
      </c>
      <c r="L93" s="37" t="s">
        <v>777</v>
      </c>
      <c r="M93" s="184" t="s">
        <v>3597</v>
      </c>
      <c r="N93" s="53">
        <v>8</v>
      </c>
      <c r="O93" s="3" t="s">
        <v>2846</v>
      </c>
      <c r="P93" s="19" t="s">
        <v>1216</v>
      </c>
    </row>
    <row r="94" spans="1:16" s="19" customFormat="1" ht="41.25">
      <c r="H94" s="10">
        <v>5</v>
      </c>
      <c r="I94" t="s">
        <v>925</v>
      </c>
      <c r="J94" t="s">
        <v>926</v>
      </c>
      <c r="K94" s="12" t="s">
        <v>334</v>
      </c>
      <c r="L94" s="37" t="s">
        <v>777</v>
      </c>
      <c r="M94" s="184" t="s">
        <v>3597</v>
      </c>
      <c r="N94" s="53">
        <v>12</v>
      </c>
      <c r="O94" s="3" t="s">
        <v>2845</v>
      </c>
      <c r="P94" s="19" t="s">
        <v>1216</v>
      </c>
    </row>
    <row r="95" spans="1:16" s="19" customFormat="1" ht="41.25">
      <c r="H95" s="10">
        <v>6</v>
      </c>
      <c r="I95" t="s">
        <v>925</v>
      </c>
      <c r="J95" t="s">
        <v>926</v>
      </c>
      <c r="K95" s="12" t="s">
        <v>334</v>
      </c>
      <c r="L95" s="37" t="s">
        <v>777</v>
      </c>
      <c r="M95" s="184" t="s">
        <v>3597</v>
      </c>
      <c r="N95" s="53">
        <v>15</v>
      </c>
      <c r="O95" s="3" t="s">
        <v>2847</v>
      </c>
      <c r="P95" s="19" t="s">
        <v>1216</v>
      </c>
    </row>
    <row r="96" spans="1:16" s="19" customFormat="1">
      <c r="A96" s="136">
        <v>2107000000074</v>
      </c>
      <c r="C96" s="137">
        <v>2200000000053</v>
      </c>
      <c r="D96" s="26" t="s">
        <v>1214</v>
      </c>
      <c r="E96" s="26" t="b">
        <v>1</v>
      </c>
      <c r="M96" s="184"/>
    </row>
    <row r="97" spans="1:16" s="19" customFormat="1" ht="41.25">
      <c r="H97" s="10">
        <v>1</v>
      </c>
      <c r="I97" t="s">
        <v>927</v>
      </c>
      <c r="J97" t="s">
        <v>928</v>
      </c>
      <c r="K97" s="12" t="s">
        <v>334</v>
      </c>
      <c r="L97" s="37" t="s">
        <v>777</v>
      </c>
      <c r="M97" s="184" t="s">
        <v>3598</v>
      </c>
      <c r="N97" s="19">
        <v>15</v>
      </c>
      <c r="O97" s="3" t="s">
        <v>2849</v>
      </c>
      <c r="P97" s="19" t="s">
        <v>1216</v>
      </c>
    </row>
    <row r="98" spans="1:16" s="19" customFormat="1">
      <c r="A98" s="136">
        <v>2107000000075</v>
      </c>
      <c r="C98" s="137">
        <v>2200000000053</v>
      </c>
      <c r="D98" s="26" t="s">
        <v>1214</v>
      </c>
      <c r="E98" s="26" t="b">
        <v>1</v>
      </c>
      <c r="M98" s="184"/>
    </row>
    <row r="99" spans="1:16" s="19" customFormat="1">
      <c r="H99" s="10">
        <v>1</v>
      </c>
      <c r="I99" t="s">
        <v>1215</v>
      </c>
      <c r="J99" t="s">
        <v>930</v>
      </c>
      <c r="K99" s="12" t="s">
        <v>334</v>
      </c>
      <c r="L99" s="37" t="s">
        <v>854</v>
      </c>
      <c r="M99" s="184" t="s">
        <v>2827</v>
      </c>
      <c r="N99" s="53">
        <v>1000</v>
      </c>
      <c r="O99" s="3" t="s">
        <v>2846</v>
      </c>
      <c r="P99" s="19" t="s">
        <v>1217</v>
      </c>
    </row>
    <row r="100" spans="1:16" s="19" customFormat="1">
      <c r="H100" s="10">
        <v>2</v>
      </c>
      <c r="I100" t="s">
        <v>1215</v>
      </c>
      <c r="J100" t="s">
        <v>930</v>
      </c>
      <c r="K100" s="12" t="s">
        <v>334</v>
      </c>
      <c r="L100" s="37" t="s">
        <v>990</v>
      </c>
      <c r="M100" s="184" t="s">
        <v>2827</v>
      </c>
      <c r="N100" s="53">
        <v>2000</v>
      </c>
      <c r="O100" s="3" t="s">
        <v>2847</v>
      </c>
      <c r="P100" s="19" t="s">
        <v>1217</v>
      </c>
    </row>
    <row r="101" spans="1:16" s="19" customFormat="1">
      <c r="H101" s="10">
        <v>3</v>
      </c>
      <c r="I101" t="s">
        <v>1215</v>
      </c>
      <c r="J101" t="s">
        <v>930</v>
      </c>
      <c r="K101" s="12" t="s">
        <v>334</v>
      </c>
      <c r="L101" s="37" t="s">
        <v>990</v>
      </c>
      <c r="M101" s="184" t="s">
        <v>2827</v>
      </c>
      <c r="N101" s="53">
        <v>3000</v>
      </c>
      <c r="O101" s="3" t="s">
        <v>2849</v>
      </c>
      <c r="P101" s="19" t="s">
        <v>1217</v>
      </c>
    </row>
    <row r="102" spans="1:16" s="19" customFormat="1" ht="13.5">
      <c r="A102" s="55"/>
      <c r="B102" s="55"/>
      <c r="C102" s="55"/>
      <c r="D102" s="55"/>
      <c r="E102" s="55"/>
      <c r="F102" s="55"/>
      <c r="G102" s="55"/>
      <c r="H102" s="54"/>
      <c r="I102" s="123"/>
      <c r="J102" s="123"/>
      <c r="K102" s="55"/>
      <c r="L102" s="55"/>
      <c r="M102" s="124"/>
      <c r="N102" s="55"/>
      <c r="O102" s="58"/>
      <c r="P102" s="72"/>
    </row>
    <row r="103" spans="1:16" s="19" customFormat="1">
      <c r="A103" s="136">
        <v>2107000000076</v>
      </c>
      <c r="C103" s="137">
        <v>2200000000054</v>
      </c>
      <c r="D103" s="26" t="s">
        <v>1280</v>
      </c>
      <c r="E103" s="26" t="b">
        <v>1</v>
      </c>
      <c r="M103" s="184"/>
    </row>
    <row r="104" spans="1:16" s="19" customFormat="1" ht="41.25">
      <c r="H104" s="10">
        <v>1</v>
      </c>
      <c r="I104" t="s">
        <v>917</v>
      </c>
      <c r="J104" t="s">
        <v>918</v>
      </c>
      <c r="K104" s="12" t="s">
        <v>334</v>
      </c>
      <c r="L104" s="37" t="s">
        <v>999</v>
      </c>
      <c r="M104" s="184" t="s">
        <v>3543</v>
      </c>
      <c r="N104" s="53">
        <v>1</v>
      </c>
      <c r="O104" s="3" t="s">
        <v>2850</v>
      </c>
      <c r="P104" s="19" t="s">
        <v>3542</v>
      </c>
    </row>
    <row r="105" spans="1:16" s="19" customFormat="1" ht="41.25">
      <c r="H105" s="10">
        <v>2</v>
      </c>
      <c r="I105" t="s">
        <v>917</v>
      </c>
      <c r="J105" t="s">
        <v>918</v>
      </c>
      <c r="K105" s="12" t="s">
        <v>334</v>
      </c>
      <c r="L105" s="37" t="s">
        <v>999</v>
      </c>
      <c r="M105" s="184" t="s">
        <v>3543</v>
      </c>
      <c r="N105" s="53">
        <v>3</v>
      </c>
      <c r="O105" s="3" t="s">
        <v>2850</v>
      </c>
      <c r="P105" s="19" t="s">
        <v>3542</v>
      </c>
    </row>
    <row r="106" spans="1:16" s="19" customFormat="1" ht="41.25">
      <c r="H106" s="10">
        <v>3</v>
      </c>
      <c r="I106" t="s">
        <v>917</v>
      </c>
      <c r="J106" t="s">
        <v>918</v>
      </c>
      <c r="K106" s="12" t="s">
        <v>334</v>
      </c>
      <c r="L106" s="37" t="s">
        <v>999</v>
      </c>
      <c r="M106" s="184" t="s">
        <v>3543</v>
      </c>
      <c r="N106" s="53">
        <v>8</v>
      </c>
      <c r="O106" s="3" t="s">
        <v>2850</v>
      </c>
      <c r="P106" s="19" t="s">
        <v>3542</v>
      </c>
    </row>
    <row r="107" spans="1:16" s="19" customFormat="1" ht="41.25">
      <c r="H107" s="10">
        <v>4</v>
      </c>
      <c r="I107" t="s">
        <v>917</v>
      </c>
      <c r="J107" t="s">
        <v>918</v>
      </c>
      <c r="K107" s="12" t="s">
        <v>334</v>
      </c>
      <c r="L107" s="37" t="s">
        <v>999</v>
      </c>
      <c r="M107" s="184" t="s">
        <v>3543</v>
      </c>
      <c r="N107" s="53">
        <v>12</v>
      </c>
      <c r="O107" s="3" t="s">
        <v>2851</v>
      </c>
      <c r="P107" s="19" t="s">
        <v>3542</v>
      </c>
    </row>
    <row r="108" spans="1:16" s="19" customFormat="1">
      <c r="A108" s="136">
        <v>2107000000077</v>
      </c>
      <c r="C108" s="137">
        <v>2200000000054</v>
      </c>
      <c r="D108" s="26" t="s">
        <v>1280</v>
      </c>
      <c r="E108" s="26" t="b">
        <v>1</v>
      </c>
      <c r="M108" s="184"/>
    </row>
    <row r="109" spans="1:16" s="19" customFormat="1" ht="41.25">
      <c r="A109" s="136"/>
      <c r="C109" s="137"/>
      <c r="D109" s="26"/>
      <c r="E109" s="26"/>
      <c r="H109" s="10">
        <v>1</v>
      </c>
      <c r="I109" t="s">
        <v>919</v>
      </c>
      <c r="J109" t="s">
        <v>920</v>
      </c>
      <c r="K109" s="12" t="s">
        <v>334</v>
      </c>
      <c r="L109" s="37" t="s">
        <v>999</v>
      </c>
      <c r="M109" s="184" t="s">
        <v>3544</v>
      </c>
      <c r="N109" s="53">
        <v>1</v>
      </c>
      <c r="O109" s="3" t="s">
        <v>2852</v>
      </c>
      <c r="P109" s="19" t="s">
        <v>3542</v>
      </c>
    </row>
    <row r="110" spans="1:16" s="19" customFormat="1" ht="41.25">
      <c r="A110" s="136"/>
      <c r="C110" s="137"/>
      <c r="D110" s="26"/>
      <c r="E110" s="26"/>
      <c r="H110" s="10">
        <v>2</v>
      </c>
      <c r="I110" t="s">
        <v>919</v>
      </c>
      <c r="J110" t="s">
        <v>920</v>
      </c>
      <c r="K110" s="12" t="s">
        <v>334</v>
      </c>
      <c r="L110" s="37" t="s">
        <v>999</v>
      </c>
      <c r="M110" s="184" t="s">
        <v>3544</v>
      </c>
      <c r="N110" s="53">
        <v>3</v>
      </c>
      <c r="O110" s="3" t="s">
        <v>2852</v>
      </c>
      <c r="P110" s="19" t="s">
        <v>3542</v>
      </c>
    </row>
    <row r="111" spans="1:16" s="19" customFormat="1" ht="41.25">
      <c r="A111" s="136"/>
      <c r="C111" s="137"/>
      <c r="D111" s="26"/>
      <c r="E111" s="26"/>
      <c r="H111" s="10">
        <v>3</v>
      </c>
      <c r="I111" t="s">
        <v>919</v>
      </c>
      <c r="J111" t="s">
        <v>920</v>
      </c>
      <c r="K111" s="12" t="s">
        <v>334</v>
      </c>
      <c r="L111" s="37" t="s">
        <v>999</v>
      </c>
      <c r="M111" s="184" t="s">
        <v>3544</v>
      </c>
      <c r="N111" s="53">
        <v>8</v>
      </c>
      <c r="O111" s="3" t="s">
        <v>2852</v>
      </c>
      <c r="P111" s="19" t="s">
        <v>3542</v>
      </c>
    </row>
    <row r="112" spans="1:16" s="19" customFormat="1" ht="41.25">
      <c r="H112" s="10">
        <v>4</v>
      </c>
      <c r="I112" t="s">
        <v>919</v>
      </c>
      <c r="J112" t="s">
        <v>920</v>
      </c>
      <c r="K112" s="12" t="s">
        <v>334</v>
      </c>
      <c r="L112" s="37" t="s">
        <v>999</v>
      </c>
      <c r="M112" s="184" t="s">
        <v>3544</v>
      </c>
      <c r="N112" s="53">
        <v>12</v>
      </c>
      <c r="O112" s="3" t="s">
        <v>2853</v>
      </c>
      <c r="P112" s="19" t="s">
        <v>3542</v>
      </c>
    </row>
    <row r="113" spans="1:16" s="19" customFormat="1">
      <c r="A113" s="136">
        <v>2107000000078</v>
      </c>
      <c r="C113" s="137">
        <v>2200000000054</v>
      </c>
      <c r="D113" s="26" t="s">
        <v>1280</v>
      </c>
      <c r="E113" s="26" t="b">
        <v>1</v>
      </c>
      <c r="M113" s="184"/>
    </row>
    <row r="114" spans="1:16" s="19" customFormat="1" ht="41.25">
      <c r="H114" s="10">
        <v>1</v>
      </c>
      <c r="I114" t="s">
        <v>921</v>
      </c>
      <c r="J114" t="s">
        <v>922</v>
      </c>
      <c r="K114" s="12" t="s">
        <v>334</v>
      </c>
      <c r="L114" s="37" t="s">
        <v>777</v>
      </c>
      <c r="M114" s="184" t="s">
        <v>3545</v>
      </c>
      <c r="N114" s="53">
        <v>1</v>
      </c>
      <c r="O114" s="3" t="s">
        <v>2850</v>
      </c>
      <c r="P114" s="19" t="s">
        <v>3542</v>
      </c>
    </row>
    <row r="115" spans="1:16" s="19" customFormat="1" ht="41.25">
      <c r="H115" s="10">
        <v>2</v>
      </c>
      <c r="I115" t="s">
        <v>921</v>
      </c>
      <c r="J115" t="s">
        <v>922</v>
      </c>
      <c r="K115" s="12" t="s">
        <v>334</v>
      </c>
      <c r="L115" s="37" t="s">
        <v>777</v>
      </c>
      <c r="M115" s="184" t="s">
        <v>3547</v>
      </c>
      <c r="N115" s="53">
        <v>3</v>
      </c>
      <c r="O115" s="3" t="s">
        <v>2850</v>
      </c>
      <c r="P115" s="19" t="s">
        <v>3542</v>
      </c>
    </row>
    <row r="116" spans="1:16" s="19" customFormat="1" ht="41.25">
      <c r="H116" s="10">
        <v>3</v>
      </c>
      <c r="I116" t="s">
        <v>921</v>
      </c>
      <c r="J116" t="s">
        <v>922</v>
      </c>
      <c r="K116" s="12" t="s">
        <v>334</v>
      </c>
      <c r="L116" s="37" t="s">
        <v>777</v>
      </c>
      <c r="M116" s="184" t="s">
        <v>3546</v>
      </c>
      <c r="N116" s="53">
        <v>5</v>
      </c>
      <c r="O116" s="3" t="s">
        <v>2850</v>
      </c>
      <c r="P116" s="19" t="s">
        <v>3542</v>
      </c>
    </row>
    <row r="117" spans="1:16" s="19" customFormat="1" ht="41.25">
      <c r="H117" s="10">
        <v>4</v>
      </c>
      <c r="I117" t="s">
        <v>921</v>
      </c>
      <c r="J117" t="s">
        <v>922</v>
      </c>
      <c r="K117" s="12" t="s">
        <v>334</v>
      </c>
      <c r="L117" s="37" t="s">
        <v>777</v>
      </c>
      <c r="M117" s="184" t="s">
        <v>3546</v>
      </c>
      <c r="N117" s="53">
        <v>8</v>
      </c>
      <c r="O117" s="3" t="s">
        <v>2850</v>
      </c>
      <c r="P117" s="19" t="s">
        <v>3542</v>
      </c>
    </row>
    <row r="118" spans="1:16" s="19" customFormat="1" ht="41.25">
      <c r="H118" s="10">
        <v>5</v>
      </c>
      <c r="I118" t="s">
        <v>921</v>
      </c>
      <c r="J118" t="s">
        <v>922</v>
      </c>
      <c r="K118" s="12" t="s">
        <v>334</v>
      </c>
      <c r="L118" s="37" t="s">
        <v>777</v>
      </c>
      <c r="M118" s="184" t="s">
        <v>3546</v>
      </c>
      <c r="N118" s="53">
        <v>12</v>
      </c>
      <c r="O118" s="3" t="s">
        <v>2852</v>
      </c>
      <c r="P118" s="19" t="s">
        <v>3542</v>
      </c>
    </row>
    <row r="119" spans="1:16" s="19" customFormat="1" ht="41.25">
      <c r="H119" s="10">
        <v>6</v>
      </c>
      <c r="I119" t="s">
        <v>921</v>
      </c>
      <c r="J119" t="s">
        <v>922</v>
      </c>
      <c r="K119" s="12" t="s">
        <v>334</v>
      </c>
      <c r="L119" s="37" t="s">
        <v>777</v>
      </c>
      <c r="M119" s="184" t="s">
        <v>3546</v>
      </c>
      <c r="N119" s="53">
        <v>15</v>
      </c>
      <c r="O119" s="3" t="s">
        <v>2851</v>
      </c>
      <c r="P119" s="19" t="s">
        <v>3542</v>
      </c>
    </row>
    <row r="120" spans="1:16" s="19" customFormat="1">
      <c r="A120" s="136">
        <v>2107000000079</v>
      </c>
      <c r="C120" s="137">
        <v>2200000000054</v>
      </c>
      <c r="D120" s="26" t="s">
        <v>1280</v>
      </c>
      <c r="E120" s="26" t="b">
        <v>1</v>
      </c>
      <c r="M120" s="184"/>
    </row>
    <row r="121" spans="1:16" s="19" customFormat="1" ht="41.25">
      <c r="H121" s="10">
        <v>1</v>
      </c>
      <c r="I121" t="s">
        <v>923</v>
      </c>
      <c r="J121" t="s">
        <v>924</v>
      </c>
      <c r="K121" s="12" t="s">
        <v>334</v>
      </c>
      <c r="L121" s="37" t="s">
        <v>777</v>
      </c>
      <c r="M121" s="184" t="s">
        <v>3548</v>
      </c>
      <c r="N121" s="53">
        <v>1</v>
      </c>
      <c r="O121" s="3" t="s">
        <v>2854</v>
      </c>
      <c r="P121" s="19" t="s">
        <v>3542</v>
      </c>
    </row>
    <row r="122" spans="1:16" s="19" customFormat="1">
      <c r="A122" s="136">
        <v>2107000000080</v>
      </c>
      <c r="C122" s="137">
        <v>2200000000054</v>
      </c>
      <c r="D122" s="26" t="s">
        <v>1280</v>
      </c>
      <c r="E122" s="26" t="b">
        <v>1</v>
      </c>
      <c r="M122" s="184"/>
    </row>
    <row r="123" spans="1:16" s="19" customFormat="1" ht="41.25">
      <c r="H123" s="10">
        <v>1</v>
      </c>
      <c r="I123" t="s">
        <v>925</v>
      </c>
      <c r="J123" t="s">
        <v>926</v>
      </c>
      <c r="K123" s="12" t="s">
        <v>334</v>
      </c>
      <c r="L123" s="37" t="s">
        <v>777</v>
      </c>
      <c r="M123" s="184" t="s">
        <v>3549</v>
      </c>
      <c r="N123" s="53">
        <v>1</v>
      </c>
      <c r="O123" s="3" t="s">
        <v>2852</v>
      </c>
      <c r="P123" s="19" t="s">
        <v>3542</v>
      </c>
    </row>
    <row r="124" spans="1:16" s="19" customFormat="1" ht="41.25">
      <c r="H124" s="10">
        <v>2</v>
      </c>
      <c r="I124" t="s">
        <v>925</v>
      </c>
      <c r="J124" t="s">
        <v>926</v>
      </c>
      <c r="K124" s="12" t="s">
        <v>334</v>
      </c>
      <c r="L124" s="37" t="s">
        <v>777</v>
      </c>
      <c r="M124" s="184" t="s">
        <v>3549</v>
      </c>
      <c r="N124" s="53">
        <v>3</v>
      </c>
      <c r="O124" s="3" t="s">
        <v>2852</v>
      </c>
      <c r="P124" s="19" t="s">
        <v>3542</v>
      </c>
    </row>
    <row r="125" spans="1:16" s="19" customFormat="1" ht="41.25">
      <c r="H125" s="10">
        <v>3</v>
      </c>
      <c r="I125" t="s">
        <v>925</v>
      </c>
      <c r="J125" t="s">
        <v>926</v>
      </c>
      <c r="K125" s="12" t="s">
        <v>334</v>
      </c>
      <c r="L125" s="37" t="s">
        <v>777</v>
      </c>
      <c r="M125" s="184" t="s">
        <v>3549</v>
      </c>
      <c r="N125" s="53">
        <v>5</v>
      </c>
      <c r="O125" s="3" t="s">
        <v>2852</v>
      </c>
      <c r="P125" s="19" t="s">
        <v>3542</v>
      </c>
    </row>
    <row r="126" spans="1:16" s="19" customFormat="1" ht="41.25">
      <c r="H126" s="10">
        <v>4</v>
      </c>
      <c r="I126" t="s">
        <v>925</v>
      </c>
      <c r="J126" t="s">
        <v>926</v>
      </c>
      <c r="K126" s="12" t="s">
        <v>334</v>
      </c>
      <c r="L126" s="37" t="s">
        <v>777</v>
      </c>
      <c r="M126" s="184" t="s">
        <v>3549</v>
      </c>
      <c r="N126" s="53">
        <v>8</v>
      </c>
      <c r="O126" s="3" t="s">
        <v>2852</v>
      </c>
      <c r="P126" s="19" t="s">
        <v>3542</v>
      </c>
    </row>
    <row r="127" spans="1:16" s="19" customFormat="1" ht="41.25">
      <c r="H127" s="10">
        <v>5</v>
      </c>
      <c r="I127" t="s">
        <v>925</v>
      </c>
      <c r="J127" t="s">
        <v>926</v>
      </c>
      <c r="K127" s="12" t="s">
        <v>334</v>
      </c>
      <c r="L127" s="37" t="s">
        <v>777</v>
      </c>
      <c r="M127" s="184" t="s">
        <v>3549</v>
      </c>
      <c r="N127" s="53">
        <v>12</v>
      </c>
      <c r="O127" s="3" t="s">
        <v>2851</v>
      </c>
      <c r="P127" s="19" t="s">
        <v>3542</v>
      </c>
    </row>
    <row r="128" spans="1:16" s="19" customFormat="1" ht="41.25">
      <c r="H128" s="10">
        <v>6</v>
      </c>
      <c r="I128" t="s">
        <v>925</v>
      </c>
      <c r="J128" t="s">
        <v>926</v>
      </c>
      <c r="K128" s="12" t="s">
        <v>334</v>
      </c>
      <c r="L128" s="37" t="s">
        <v>777</v>
      </c>
      <c r="M128" s="184" t="s">
        <v>3550</v>
      </c>
      <c r="N128" s="53">
        <v>15</v>
      </c>
      <c r="O128" s="3" t="s">
        <v>2853</v>
      </c>
      <c r="P128" s="19" t="s">
        <v>3542</v>
      </c>
    </row>
    <row r="129" spans="1:16" s="19" customFormat="1">
      <c r="A129" s="136">
        <v>2107000000081</v>
      </c>
      <c r="C129" s="137">
        <v>2200000000054</v>
      </c>
      <c r="D129" s="26" t="s">
        <v>1280</v>
      </c>
      <c r="E129" s="26" t="b">
        <v>1</v>
      </c>
      <c r="M129" s="184"/>
    </row>
    <row r="130" spans="1:16" s="19" customFormat="1" ht="41.25">
      <c r="H130" s="10">
        <v>1</v>
      </c>
      <c r="I130" t="s">
        <v>927</v>
      </c>
      <c r="J130" t="s">
        <v>928</v>
      </c>
      <c r="K130" s="12" t="s">
        <v>334</v>
      </c>
      <c r="L130" s="37" t="s">
        <v>777</v>
      </c>
      <c r="M130" s="184" t="s">
        <v>3551</v>
      </c>
      <c r="N130" s="19">
        <v>1</v>
      </c>
      <c r="O130" s="3" t="s">
        <v>2855</v>
      </c>
      <c r="P130" s="19" t="s">
        <v>3542</v>
      </c>
    </row>
    <row r="131" spans="1:16" s="19" customFormat="1">
      <c r="A131" s="136">
        <v>2107000000082</v>
      </c>
      <c r="C131" s="137">
        <v>2200000000054</v>
      </c>
      <c r="D131" s="26" t="s">
        <v>1280</v>
      </c>
      <c r="E131" s="26" t="b">
        <v>1</v>
      </c>
      <c r="M131" s="184"/>
    </row>
    <row r="132" spans="1:16" s="19" customFormat="1">
      <c r="H132" s="10">
        <v>1</v>
      </c>
      <c r="I132" t="s">
        <v>1370</v>
      </c>
      <c r="J132" t="s">
        <v>930</v>
      </c>
      <c r="K132" s="12" t="s">
        <v>334</v>
      </c>
      <c r="L132" s="37" t="s">
        <v>854</v>
      </c>
      <c r="M132" s="184" t="s">
        <v>2828</v>
      </c>
      <c r="N132" s="53">
        <v>200</v>
      </c>
      <c r="O132" s="3" t="s">
        <v>2852</v>
      </c>
      <c r="P132" s="19" t="s">
        <v>3539</v>
      </c>
    </row>
    <row r="133" spans="1:16" s="19" customFormat="1">
      <c r="H133" s="10">
        <v>2</v>
      </c>
      <c r="I133" t="s">
        <v>1370</v>
      </c>
      <c r="J133" t="s">
        <v>930</v>
      </c>
      <c r="K133" s="12" t="s">
        <v>334</v>
      </c>
      <c r="L133" s="37" t="s">
        <v>990</v>
      </c>
      <c r="M133" s="184" t="s">
        <v>2828</v>
      </c>
      <c r="N133" s="53">
        <v>400</v>
      </c>
      <c r="O133" s="3" t="s">
        <v>2853</v>
      </c>
      <c r="P133" s="19" t="s">
        <v>3540</v>
      </c>
    </row>
    <row r="134" spans="1:16" s="19" customFormat="1">
      <c r="H134" s="10">
        <v>3</v>
      </c>
      <c r="I134" t="s">
        <v>1370</v>
      </c>
      <c r="J134" t="s">
        <v>930</v>
      </c>
      <c r="K134" s="12" t="s">
        <v>334</v>
      </c>
      <c r="L134" s="37" t="s">
        <v>990</v>
      </c>
      <c r="M134" s="184" t="s">
        <v>2828</v>
      </c>
      <c r="N134" s="53">
        <v>600</v>
      </c>
      <c r="O134" s="3" t="s">
        <v>2855</v>
      </c>
      <c r="P134" s="19" t="s">
        <v>3541</v>
      </c>
    </row>
    <row r="135" spans="1:16" s="19" customFormat="1" ht="13.5">
      <c r="A135" s="55"/>
      <c r="B135" s="55"/>
      <c r="C135" s="55"/>
      <c r="D135" s="55"/>
      <c r="E135" s="55"/>
      <c r="F135" s="55"/>
      <c r="G135" s="55"/>
      <c r="H135" s="54"/>
      <c r="I135" s="123"/>
      <c r="J135" s="123"/>
      <c r="K135" s="55"/>
      <c r="L135" s="55"/>
      <c r="M135" s="124"/>
      <c r="N135" s="55"/>
      <c r="O135" s="58"/>
      <c r="P135" s="72"/>
    </row>
    <row r="136" spans="1:16" s="19" customFormat="1">
      <c r="A136" s="136">
        <v>2107000000083</v>
      </c>
      <c r="C136" s="137">
        <v>2200000000055</v>
      </c>
      <c r="D136" s="26" t="s">
        <v>3567</v>
      </c>
      <c r="E136" s="26" t="b">
        <v>1</v>
      </c>
      <c r="M136" s="184"/>
    </row>
    <row r="137" spans="1:16" s="19" customFormat="1" ht="41.25">
      <c r="H137" s="10">
        <v>1</v>
      </c>
      <c r="I137" t="s">
        <v>917</v>
      </c>
      <c r="J137" t="s">
        <v>918</v>
      </c>
      <c r="K137" s="12" t="s">
        <v>334</v>
      </c>
      <c r="L137" s="37" t="s">
        <v>999</v>
      </c>
      <c r="M137" s="184" t="s">
        <v>3568</v>
      </c>
      <c r="N137" s="53">
        <v>1</v>
      </c>
      <c r="O137" s="3" t="s">
        <v>2856</v>
      </c>
      <c r="P137" s="19" t="s">
        <v>3574</v>
      </c>
    </row>
    <row r="138" spans="1:16" s="19" customFormat="1" ht="41.25">
      <c r="H138" s="10">
        <v>2</v>
      </c>
      <c r="I138" t="s">
        <v>917</v>
      </c>
      <c r="J138" t="s">
        <v>918</v>
      </c>
      <c r="K138" s="12" t="s">
        <v>334</v>
      </c>
      <c r="L138" s="37" t="s">
        <v>999</v>
      </c>
      <c r="M138" s="184" t="s">
        <v>3568</v>
      </c>
      <c r="N138" s="53">
        <v>3</v>
      </c>
      <c r="O138" s="3" t="s">
        <v>2856</v>
      </c>
      <c r="P138" s="19" t="s">
        <v>3574</v>
      </c>
    </row>
    <row r="139" spans="1:16" s="19" customFormat="1" ht="41.25">
      <c r="H139" s="10">
        <v>3</v>
      </c>
      <c r="I139" t="s">
        <v>917</v>
      </c>
      <c r="J139" t="s">
        <v>918</v>
      </c>
      <c r="K139" s="12" t="s">
        <v>334</v>
      </c>
      <c r="L139" s="37" t="s">
        <v>999</v>
      </c>
      <c r="M139" s="184" t="s">
        <v>3568</v>
      </c>
      <c r="N139" s="53">
        <v>8</v>
      </c>
      <c r="O139" s="3" t="s">
        <v>2856</v>
      </c>
      <c r="P139" s="19" t="s">
        <v>3574</v>
      </c>
    </row>
    <row r="140" spans="1:16" s="19" customFormat="1" ht="41.25">
      <c r="H140" s="10">
        <v>4</v>
      </c>
      <c r="I140" t="s">
        <v>917</v>
      </c>
      <c r="J140" t="s">
        <v>918</v>
      </c>
      <c r="K140" s="12" t="s">
        <v>334</v>
      </c>
      <c r="L140" s="37" t="s">
        <v>999</v>
      </c>
      <c r="M140" s="184" t="s">
        <v>3568</v>
      </c>
      <c r="N140" s="53">
        <v>12</v>
      </c>
      <c r="O140" s="3" t="s">
        <v>2857</v>
      </c>
      <c r="P140" s="19" t="s">
        <v>3574</v>
      </c>
    </row>
    <row r="141" spans="1:16" s="19" customFormat="1">
      <c r="A141" s="136">
        <v>2107000000084</v>
      </c>
      <c r="C141" s="137">
        <v>2200000000055</v>
      </c>
      <c r="D141" s="26" t="s">
        <v>2685</v>
      </c>
      <c r="E141" s="26" t="b">
        <v>1</v>
      </c>
      <c r="M141" s="184"/>
    </row>
    <row r="142" spans="1:16" s="19" customFormat="1" ht="41.25">
      <c r="A142" s="136"/>
      <c r="C142" s="137"/>
      <c r="D142" s="26"/>
      <c r="E142" s="26"/>
      <c r="H142" s="10">
        <v>1</v>
      </c>
      <c r="I142" t="s">
        <v>919</v>
      </c>
      <c r="J142" t="s">
        <v>920</v>
      </c>
      <c r="K142" s="12" t="s">
        <v>334</v>
      </c>
      <c r="L142" s="37" t="s">
        <v>999</v>
      </c>
      <c r="M142" s="184" t="s">
        <v>3569</v>
      </c>
      <c r="N142" s="53">
        <v>1</v>
      </c>
      <c r="O142" s="3" t="s">
        <v>2858</v>
      </c>
      <c r="P142" s="19" t="s">
        <v>3574</v>
      </c>
    </row>
    <row r="143" spans="1:16" s="19" customFormat="1" ht="41.25">
      <c r="A143" s="136"/>
      <c r="C143" s="137"/>
      <c r="D143" s="26"/>
      <c r="E143" s="26"/>
      <c r="H143" s="10">
        <v>2</v>
      </c>
      <c r="I143" t="s">
        <v>919</v>
      </c>
      <c r="J143" t="s">
        <v>920</v>
      </c>
      <c r="K143" s="12" t="s">
        <v>334</v>
      </c>
      <c r="L143" s="37" t="s">
        <v>999</v>
      </c>
      <c r="M143" s="184" t="s">
        <v>3569</v>
      </c>
      <c r="N143" s="53">
        <v>3</v>
      </c>
      <c r="O143" s="3" t="s">
        <v>2858</v>
      </c>
      <c r="P143" s="19" t="s">
        <v>3574</v>
      </c>
    </row>
    <row r="144" spans="1:16" s="19" customFormat="1" ht="41.25">
      <c r="A144" s="136"/>
      <c r="C144" s="137"/>
      <c r="D144" s="26"/>
      <c r="E144" s="26"/>
      <c r="H144" s="10">
        <v>3</v>
      </c>
      <c r="I144" t="s">
        <v>919</v>
      </c>
      <c r="J144" t="s">
        <v>920</v>
      </c>
      <c r="K144" s="12" t="s">
        <v>334</v>
      </c>
      <c r="L144" s="37" t="s">
        <v>999</v>
      </c>
      <c r="M144" s="184" t="s">
        <v>3569</v>
      </c>
      <c r="N144" s="53">
        <v>8</v>
      </c>
      <c r="O144" s="3" t="s">
        <v>2858</v>
      </c>
      <c r="P144" s="19" t="s">
        <v>3574</v>
      </c>
    </row>
    <row r="145" spans="1:16" s="19" customFormat="1" ht="41.25">
      <c r="H145" s="10">
        <v>4</v>
      </c>
      <c r="I145" t="s">
        <v>919</v>
      </c>
      <c r="J145" t="s">
        <v>920</v>
      </c>
      <c r="K145" s="12" t="s">
        <v>334</v>
      </c>
      <c r="L145" s="37" t="s">
        <v>999</v>
      </c>
      <c r="M145" s="184" t="s">
        <v>3569</v>
      </c>
      <c r="N145" s="53">
        <v>12</v>
      </c>
      <c r="O145" s="3" t="s">
        <v>2859</v>
      </c>
      <c r="P145" s="19" t="s">
        <v>3574</v>
      </c>
    </row>
    <row r="146" spans="1:16" s="19" customFormat="1">
      <c r="A146" s="136">
        <v>2107000000085</v>
      </c>
      <c r="C146" s="137">
        <v>2200000000055</v>
      </c>
      <c r="D146" s="26" t="s">
        <v>2685</v>
      </c>
      <c r="E146" s="26" t="b">
        <v>1</v>
      </c>
      <c r="M146" s="184"/>
    </row>
    <row r="147" spans="1:16" s="19" customFormat="1" ht="41.25">
      <c r="H147" s="10">
        <v>1</v>
      </c>
      <c r="I147" t="s">
        <v>921</v>
      </c>
      <c r="J147" t="s">
        <v>922</v>
      </c>
      <c r="K147" s="12" t="s">
        <v>334</v>
      </c>
      <c r="L147" s="37" t="s">
        <v>777</v>
      </c>
      <c r="M147" s="184" t="s">
        <v>3570</v>
      </c>
      <c r="N147" s="53">
        <v>1</v>
      </c>
      <c r="O147" s="3" t="s">
        <v>2856</v>
      </c>
      <c r="P147" s="19" t="s">
        <v>3574</v>
      </c>
    </row>
    <row r="148" spans="1:16" s="19" customFormat="1" ht="41.25">
      <c r="H148" s="10">
        <v>2</v>
      </c>
      <c r="I148" t="s">
        <v>921</v>
      </c>
      <c r="J148" t="s">
        <v>922</v>
      </c>
      <c r="K148" s="12" t="s">
        <v>334</v>
      </c>
      <c r="L148" s="37" t="s">
        <v>777</v>
      </c>
      <c r="M148" s="184" t="s">
        <v>3570</v>
      </c>
      <c r="N148" s="53">
        <v>3</v>
      </c>
      <c r="O148" s="3" t="s">
        <v>2856</v>
      </c>
      <c r="P148" s="19" t="s">
        <v>3574</v>
      </c>
    </row>
    <row r="149" spans="1:16" s="19" customFormat="1" ht="41.25">
      <c r="H149" s="10">
        <v>3</v>
      </c>
      <c r="I149" t="s">
        <v>921</v>
      </c>
      <c r="J149" t="s">
        <v>922</v>
      </c>
      <c r="K149" s="12" t="s">
        <v>334</v>
      </c>
      <c r="L149" s="37" t="s">
        <v>777</v>
      </c>
      <c r="M149" s="184" t="s">
        <v>3570</v>
      </c>
      <c r="N149" s="53">
        <v>5</v>
      </c>
      <c r="O149" s="3" t="s">
        <v>2856</v>
      </c>
      <c r="P149" s="19" t="s">
        <v>3574</v>
      </c>
    </row>
    <row r="150" spans="1:16" s="19" customFormat="1" ht="41.25">
      <c r="H150" s="10">
        <v>4</v>
      </c>
      <c r="I150" t="s">
        <v>921</v>
      </c>
      <c r="J150" t="s">
        <v>922</v>
      </c>
      <c r="K150" s="12" t="s">
        <v>334</v>
      </c>
      <c r="L150" s="37" t="s">
        <v>777</v>
      </c>
      <c r="M150" s="184" t="s">
        <v>3570</v>
      </c>
      <c r="N150" s="53">
        <v>8</v>
      </c>
      <c r="O150" s="3" t="s">
        <v>2856</v>
      </c>
      <c r="P150" s="19" t="s">
        <v>3574</v>
      </c>
    </row>
    <row r="151" spans="1:16" s="19" customFormat="1" ht="41.25">
      <c r="H151" s="10">
        <v>5</v>
      </c>
      <c r="I151" t="s">
        <v>921</v>
      </c>
      <c r="J151" t="s">
        <v>922</v>
      </c>
      <c r="K151" s="12" t="s">
        <v>334</v>
      </c>
      <c r="L151" s="37" t="s">
        <v>777</v>
      </c>
      <c r="M151" s="184" t="s">
        <v>3570</v>
      </c>
      <c r="N151" s="53">
        <v>12</v>
      </c>
      <c r="O151" s="3" t="s">
        <v>2858</v>
      </c>
      <c r="P151" s="19" t="s">
        <v>3574</v>
      </c>
    </row>
    <row r="152" spans="1:16" s="19" customFormat="1" ht="41.25">
      <c r="H152" s="10">
        <v>6</v>
      </c>
      <c r="I152" t="s">
        <v>921</v>
      </c>
      <c r="J152" t="s">
        <v>922</v>
      </c>
      <c r="K152" s="12" t="s">
        <v>334</v>
      </c>
      <c r="L152" s="37" t="s">
        <v>777</v>
      </c>
      <c r="M152" s="184" t="s">
        <v>3570</v>
      </c>
      <c r="N152" s="53">
        <v>15</v>
      </c>
      <c r="O152" s="3" t="s">
        <v>2857</v>
      </c>
      <c r="P152" s="19" t="s">
        <v>3574</v>
      </c>
    </row>
    <row r="153" spans="1:16" s="19" customFormat="1">
      <c r="A153" s="136">
        <v>2107000000086</v>
      </c>
      <c r="C153" s="137">
        <v>2200000000055</v>
      </c>
      <c r="D153" s="26" t="s">
        <v>2685</v>
      </c>
      <c r="E153" s="26" t="b">
        <v>1</v>
      </c>
      <c r="M153" s="184"/>
    </row>
    <row r="154" spans="1:16" s="19" customFormat="1" ht="41.25">
      <c r="H154" s="10">
        <v>1</v>
      </c>
      <c r="I154" t="s">
        <v>923</v>
      </c>
      <c r="J154" t="s">
        <v>924</v>
      </c>
      <c r="K154" s="12" t="s">
        <v>334</v>
      </c>
      <c r="L154" s="37" t="s">
        <v>777</v>
      </c>
      <c r="M154" s="184" t="s">
        <v>3571</v>
      </c>
      <c r="N154" s="53">
        <v>1</v>
      </c>
      <c r="O154" s="3" t="s">
        <v>2860</v>
      </c>
      <c r="P154" s="19" t="s">
        <v>3574</v>
      </c>
    </row>
    <row r="155" spans="1:16" s="19" customFormat="1">
      <c r="A155" s="136">
        <v>2107000000087</v>
      </c>
      <c r="C155" s="137">
        <v>2200000000055</v>
      </c>
      <c r="D155" s="26" t="s">
        <v>2685</v>
      </c>
      <c r="E155" s="26" t="b">
        <v>1</v>
      </c>
      <c r="M155" s="184"/>
    </row>
    <row r="156" spans="1:16" s="19" customFormat="1" ht="41.25">
      <c r="H156" s="10">
        <v>1</v>
      </c>
      <c r="I156" t="s">
        <v>925</v>
      </c>
      <c r="J156" t="s">
        <v>926</v>
      </c>
      <c r="K156" s="12" t="s">
        <v>334</v>
      </c>
      <c r="L156" s="37" t="s">
        <v>777</v>
      </c>
      <c r="M156" s="184" t="s">
        <v>3572</v>
      </c>
      <c r="N156" s="53">
        <v>1</v>
      </c>
      <c r="O156" s="3" t="s">
        <v>2858</v>
      </c>
      <c r="P156" s="19" t="s">
        <v>3574</v>
      </c>
    </row>
    <row r="157" spans="1:16" s="19" customFormat="1" ht="41.25">
      <c r="H157" s="10">
        <v>2</v>
      </c>
      <c r="I157" t="s">
        <v>925</v>
      </c>
      <c r="J157" t="s">
        <v>926</v>
      </c>
      <c r="K157" s="12" t="s">
        <v>334</v>
      </c>
      <c r="L157" s="37" t="s">
        <v>777</v>
      </c>
      <c r="M157" s="184" t="s">
        <v>3572</v>
      </c>
      <c r="N157" s="53">
        <v>3</v>
      </c>
      <c r="O157" s="3" t="s">
        <v>2858</v>
      </c>
      <c r="P157" s="19" t="s">
        <v>3574</v>
      </c>
    </row>
    <row r="158" spans="1:16" s="19" customFormat="1" ht="41.25">
      <c r="H158" s="10">
        <v>3</v>
      </c>
      <c r="I158" t="s">
        <v>925</v>
      </c>
      <c r="J158" t="s">
        <v>926</v>
      </c>
      <c r="K158" s="12" t="s">
        <v>334</v>
      </c>
      <c r="L158" s="37" t="s">
        <v>777</v>
      </c>
      <c r="M158" s="184" t="s">
        <v>3572</v>
      </c>
      <c r="N158" s="53">
        <v>5</v>
      </c>
      <c r="O158" s="3" t="s">
        <v>2858</v>
      </c>
      <c r="P158" s="19" t="s">
        <v>3574</v>
      </c>
    </row>
    <row r="159" spans="1:16" s="19" customFormat="1" ht="41.25">
      <c r="H159" s="10">
        <v>4</v>
      </c>
      <c r="I159" t="s">
        <v>925</v>
      </c>
      <c r="J159" t="s">
        <v>926</v>
      </c>
      <c r="K159" s="12" t="s">
        <v>334</v>
      </c>
      <c r="L159" s="37" t="s">
        <v>777</v>
      </c>
      <c r="M159" s="184" t="s">
        <v>3572</v>
      </c>
      <c r="N159" s="53">
        <v>8</v>
      </c>
      <c r="O159" s="3" t="s">
        <v>2858</v>
      </c>
      <c r="P159" s="19" t="s">
        <v>3574</v>
      </c>
    </row>
    <row r="160" spans="1:16" s="19" customFormat="1" ht="41.25">
      <c r="H160" s="10">
        <v>5</v>
      </c>
      <c r="I160" t="s">
        <v>925</v>
      </c>
      <c r="J160" t="s">
        <v>926</v>
      </c>
      <c r="K160" s="12" t="s">
        <v>334</v>
      </c>
      <c r="L160" s="37" t="s">
        <v>777</v>
      </c>
      <c r="M160" s="184" t="s">
        <v>3572</v>
      </c>
      <c r="N160" s="53">
        <v>12</v>
      </c>
      <c r="O160" s="3" t="s">
        <v>2857</v>
      </c>
      <c r="P160" s="19" t="s">
        <v>3574</v>
      </c>
    </row>
    <row r="161" spans="1:16" s="19" customFormat="1" ht="41.25">
      <c r="H161" s="10">
        <v>6</v>
      </c>
      <c r="I161" t="s">
        <v>925</v>
      </c>
      <c r="J161" t="s">
        <v>926</v>
      </c>
      <c r="K161" s="12" t="s">
        <v>334</v>
      </c>
      <c r="L161" s="37" t="s">
        <v>777</v>
      </c>
      <c r="M161" s="184" t="s">
        <v>3572</v>
      </c>
      <c r="N161" s="53">
        <v>15</v>
      </c>
      <c r="O161" s="3" t="s">
        <v>2859</v>
      </c>
      <c r="P161" s="19" t="s">
        <v>3574</v>
      </c>
    </row>
    <row r="162" spans="1:16" s="19" customFormat="1">
      <c r="A162" s="136">
        <v>2107000000088</v>
      </c>
      <c r="C162" s="137">
        <v>2200000000055</v>
      </c>
      <c r="D162" s="26" t="s">
        <v>2685</v>
      </c>
      <c r="E162" s="26" t="b">
        <v>1</v>
      </c>
      <c r="M162" s="184"/>
    </row>
    <row r="163" spans="1:16" s="19" customFormat="1" ht="41.25">
      <c r="H163" s="10">
        <v>1</v>
      </c>
      <c r="I163" t="s">
        <v>927</v>
      </c>
      <c r="J163" t="s">
        <v>928</v>
      </c>
      <c r="K163" s="12" t="s">
        <v>334</v>
      </c>
      <c r="L163" s="37" t="s">
        <v>777</v>
      </c>
      <c r="M163" s="184" t="s">
        <v>3573</v>
      </c>
      <c r="N163" s="19">
        <v>1</v>
      </c>
      <c r="O163" s="3" t="s">
        <v>2861</v>
      </c>
      <c r="P163" s="19" t="s">
        <v>3574</v>
      </c>
    </row>
    <row r="164" spans="1:16" s="19" customFormat="1">
      <c r="A164" s="136">
        <v>2107000000089</v>
      </c>
      <c r="C164" s="137">
        <v>2200000000055</v>
      </c>
      <c r="D164" s="26" t="s">
        <v>2685</v>
      </c>
      <c r="E164" s="26" t="b">
        <v>1</v>
      </c>
      <c r="M164" s="184"/>
    </row>
    <row r="165" spans="1:16" s="19" customFormat="1">
      <c r="H165" s="10">
        <v>1</v>
      </c>
      <c r="I165" t="s">
        <v>3578</v>
      </c>
      <c r="J165" t="s">
        <v>930</v>
      </c>
      <c r="K165" s="12" t="s">
        <v>334</v>
      </c>
      <c r="L165" s="37" t="s">
        <v>854</v>
      </c>
      <c r="M165" s="184" t="s">
        <v>3576</v>
      </c>
      <c r="N165" s="53">
        <v>200</v>
      </c>
      <c r="O165" s="3" t="s">
        <v>2858</v>
      </c>
      <c r="P165" s="19" t="s">
        <v>3575</v>
      </c>
    </row>
    <row r="166" spans="1:16" s="19" customFormat="1">
      <c r="H166" s="10">
        <v>2</v>
      </c>
      <c r="I166" t="s">
        <v>3579</v>
      </c>
      <c r="J166" t="s">
        <v>930</v>
      </c>
      <c r="K166" s="12" t="s">
        <v>334</v>
      </c>
      <c r="L166" s="37" t="s">
        <v>990</v>
      </c>
      <c r="M166" s="184" t="s">
        <v>2829</v>
      </c>
      <c r="N166" s="53">
        <v>400</v>
      </c>
      <c r="O166" s="3" t="s">
        <v>2859</v>
      </c>
      <c r="P166" s="19" t="s">
        <v>3575</v>
      </c>
    </row>
    <row r="167" spans="1:16" s="19" customFormat="1">
      <c r="H167" s="10">
        <v>3</v>
      </c>
      <c r="I167" t="s">
        <v>3579</v>
      </c>
      <c r="J167" t="s">
        <v>930</v>
      </c>
      <c r="K167" s="12" t="s">
        <v>334</v>
      </c>
      <c r="L167" s="37" t="s">
        <v>990</v>
      </c>
      <c r="M167" s="184" t="s">
        <v>2829</v>
      </c>
      <c r="N167" s="53">
        <v>600</v>
      </c>
      <c r="O167" s="3" t="s">
        <v>2861</v>
      </c>
      <c r="P167" s="19" t="s">
        <v>3577</v>
      </c>
    </row>
    <row r="168" spans="1:16">
      <c r="A168" s="55"/>
      <c r="B168" s="55"/>
      <c r="C168" s="55"/>
      <c r="D168" s="55"/>
      <c r="E168" s="55"/>
      <c r="F168" s="55"/>
      <c r="G168" s="55"/>
      <c r="H168" s="54"/>
      <c r="I168" s="123"/>
      <c r="J168" s="123"/>
      <c r="K168" s="55"/>
      <c r="L168" s="55"/>
      <c r="M168" s="124"/>
      <c r="N168" s="55"/>
      <c r="O168" s="58"/>
      <c r="P168" s="72"/>
    </row>
    <row r="169" spans="1:16">
      <c r="A169" s="136">
        <v>2107100000094</v>
      </c>
      <c r="B169" s="19"/>
      <c r="C169" s="137">
        <v>2200000000057</v>
      </c>
      <c r="D169" s="26" t="s">
        <v>2686</v>
      </c>
      <c r="E169" s="26" t="b">
        <v>1</v>
      </c>
      <c r="F169" s="19"/>
      <c r="G169" s="19"/>
      <c r="H169" s="19"/>
      <c r="I169" s="19"/>
      <c r="J169" s="19"/>
      <c r="K169" s="19"/>
      <c r="L169" s="19"/>
      <c r="M169" s="184"/>
      <c r="N169" s="19"/>
      <c r="O169" s="19"/>
      <c r="P169" s="19"/>
    </row>
    <row r="170" spans="1:16" ht="41.25">
      <c r="A170" s="19"/>
      <c r="B170" s="19"/>
      <c r="C170" s="19"/>
      <c r="D170" s="19"/>
      <c r="E170" s="19"/>
      <c r="F170" s="19"/>
      <c r="G170" s="19"/>
      <c r="H170" s="10">
        <v>1</v>
      </c>
      <c r="I170" t="s">
        <v>917</v>
      </c>
      <c r="J170" t="s">
        <v>918</v>
      </c>
      <c r="K170" s="12" t="s">
        <v>334</v>
      </c>
      <c r="L170" s="37" t="s">
        <v>999</v>
      </c>
      <c r="M170" s="184" t="s">
        <v>3561</v>
      </c>
      <c r="N170" s="53">
        <v>1</v>
      </c>
      <c r="O170" s="3" t="s">
        <v>2862</v>
      </c>
      <c r="P170" s="19" t="s">
        <v>2688</v>
      </c>
    </row>
    <row r="171" spans="1:16" ht="41.25">
      <c r="A171" s="19"/>
      <c r="B171" s="19"/>
      <c r="C171" s="19"/>
      <c r="D171" s="19"/>
      <c r="E171" s="19"/>
      <c r="F171" s="19"/>
      <c r="G171" s="19"/>
      <c r="H171" s="10">
        <v>2</v>
      </c>
      <c r="I171" t="s">
        <v>917</v>
      </c>
      <c r="J171" t="s">
        <v>918</v>
      </c>
      <c r="K171" s="12" t="s">
        <v>334</v>
      </c>
      <c r="L171" s="37" t="s">
        <v>999</v>
      </c>
      <c r="M171" s="184" t="s">
        <v>3561</v>
      </c>
      <c r="N171" s="53">
        <v>3</v>
      </c>
      <c r="O171" s="3" t="s">
        <v>2862</v>
      </c>
      <c r="P171" s="19" t="s">
        <v>2688</v>
      </c>
    </row>
    <row r="172" spans="1:16" ht="41.25">
      <c r="A172" s="19"/>
      <c r="B172" s="19"/>
      <c r="C172" s="19"/>
      <c r="D172" s="19"/>
      <c r="E172" s="19"/>
      <c r="F172" s="19"/>
      <c r="G172" s="19"/>
      <c r="H172" s="10">
        <v>3</v>
      </c>
      <c r="I172" t="s">
        <v>917</v>
      </c>
      <c r="J172" t="s">
        <v>918</v>
      </c>
      <c r="K172" s="12" t="s">
        <v>334</v>
      </c>
      <c r="L172" s="37" t="s">
        <v>999</v>
      </c>
      <c r="M172" s="184" t="s">
        <v>3561</v>
      </c>
      <c r="N172" s="53">
        <v>8</v>
      </c>
      <c r="O172" s="3" t="s">
        <v>2862</v>
      </c>
      <c r="P172" s="19" t="s">
        <v>2688</v>
      </c>
    </row>
    <row r="173" spans="1:16" ht="41.25">
      <c r="A173" s="19"/>
      <c r="B173" s="19"/>
      <c r="C173" s="19"/>
      <c r="D173" s="19"/>
      <c r="E173" s="19"/>
      <c r="F173" s="19"/>
      <c r="G173" s="19"/>
      <c r="H173" s="10">
        <v>4</v>
      </c>
      <c r="I173" t="s">
        <v>917</v>
      </c>
      <c r="J173" t="s">
        <v>918</v>
      </c>
      <c r="K173" s="12" t="s">
        <v>334</v>
      </c>
      <c r="L173" s="37" t="s">
        <v>999</v>
      </c>
      <c r="M173" s="184" t="s">
        <v>3561</v>
      </c>
      <c r="N173" s="53">
        <v>12</v>
      </c>
      <c r="O173" s="3" t="s">
        <v>2863</v>
      </c>
      <c r="P173" s="19" t="s">
        <v>2688</v>
      </c>
    </row>
    <row r="174" spans="1:16">
      <c r="A174" s="136">
        <v>2107100000095</v>
      </c>
      <c r="B174" s="19"/>
      <c r="C174" s="137">
        <v>2200000000057</v>
      </c>
      <c r="D174" s="26" t="s">
        <v>2686</v>
      </c>
      <c r="E174" s="26" t="b">
        <v>1</v>
      </c>
      <c r="F174" s="19"/>
      <c r="G174" s="19"/>
      <c r="H174" s="19"/>
      <c r="I174" s="19"/>
      <c r="J174" s="19"/>
      <c r="K174" s="19"/>
      <c r="L174" s="19"/>
      <c r="M174" s="184"/>
      <c r="N174" s="19"/>
      <c r="O174" s="19"/>
      <c r="P174" s="19"/>
    </row>
    <row r="175" spans="1:16" ht="41.25">
      <c r="A175" s="136"/>
      <c r="B175" s="19"/>
      <c r="C175" s="137"/>
      <c r="D175" s="26"/>
      <c r="E175" s="26"/>
      <c r="F175" s="19"/>
      <c r="G175" s="19"/>
      <c r="H175" s="10">
        <v>1</v>
      </c>
      <c r="I175" t="s">
        <v>919</v>
      </c>
      <c r="J175" t="s">
        <v>920</v>
      </c>
      <c r="K175" s="12" t="s">
        <v>334</v>
      </c>
      <c r="L175" s="37" t="s">
        <v>999</v>
      </c>
      <c r="M175" s="184" t="s">
        <v>3562</v>
      </c>
      <c r="N175" s="53">
        <v>1</v>
      </c>
      <c r="O175" s="3" t="s">
        <v>2864</v>
      </c>
      <c r="P175" s="19" t="s">
        <v>2688</v>
      </c>
    </row>
    <row r="176" spans="1:16" ht="41.25">
      <c r="A176" s="136"/>
      <c r="B176" s="19"/>
      <c r="C176" s="137"/>
      <c r="D176" s="26"/>
      <c r="E176" s="26"/>
      <c r="F176" s="19"/>
      <c r="G176" s="19"/>
      <c r="H176" s="10">
        <v>2</v>
      </c>
      <c r="I176" t="s">
        <v>919</v>
      </c>
      <c r="J176" t="s">
        <v>920</v>
      </c>
      <c r="K176" s="12" t="s">
        <v>334</v>
      </c>
      <c r="L176" s="37" t="s">
        <v>999</v>
      </c>
      <c r="M176" s="184" t="s">
        <v>3562</v>
      </c>
      <c r="N176" s="53">
        <v>3</v>
      </c>
      <c r="O176" s="3" t="s">
        <v>2864</v>
      </c>
      <c r="P176" s="19" t="s">
        <v>2688</v>
      </c>
    </row>
    <row r="177" spans="1:16" ht="41.25">
      <c r="A177" s="136"/>
      <c r="B177" s="19"/>
      <c r="C177" s="137"/>
      <c r="D177" s="26"/>
      <c r="E177" s="26"/>
      <c r="F177" s="19"/>
      <c r="G177" s="19"/>
      <c r="H177" s="10">
        <v>3</v>
      </c>
      <c r="I177" t="s">
        <v>919</v>
      </c>
      <c r="J177" t="s">
        <v>920</v>
      </c>
      <c r="K177" s="12" t="s">
        <v>334</v>
      </c>
      <c r="L177" s="37" t="s">
        <v>999</v>
      </c>
      <c r="M177" s="184" t="s">
        <v>3562</v>
      </c>
      <c r="N177" s="53">
        <v>8</v>
      </c>
      <c r="O177" s="3" t="s">
        <v>2864</v>
      </c>
      <c r="P177" s="19" t="s">
        <v>2688</v>
      </c>
    </row>
    <row r="178" spans="1:16" ht="41.25">
      <c r="A178" s="19"/>
      <c r="B178" s="19"/>
      <c r="C178" s="19"/>
      <c r="D178" s="19"/>
      <c r="E178" s="19"/>
      <c r="F178" s="19"/>
      <c r="G178" s="19"/>
      <c r="H178" s="10">
        <v>4</v>
      </c>
      <c r="I178" t="s">
        <v>919</v>
      </c>
      <c r="J178" t="s">
        <v>920</v>
      </c>
      <c r="K178" s="12" t="s">
        <v>334</v>
      </c>
      <c r="L178" s="37" t="s">
        <v>999</v>
      </c>
      <c r="M178" s="184" t="s">
        <v>3562</v>
      </c>
      <c r="N178" s="53">
        <v>12</v>
      </c>
      <c r="O178" s="3" t="s">
        <v>2865</v>
      </c>
      <c r="P178" s="19" t="s">
        <v>2688</v>
      </c>
    </row>
    <row r="179" spans="1:16">
      <c r="A179" s="136">
        <v>2107100000096</v>
      </c>
      <c r="B179" s="19"/>
      <c r="C179" s="137">
        <v>2200000000057</v>
      </c>
      <c r="D179" s="26" t="s">
        <v>2686</v>
      </c>
      <c r="E179" s="26" t="b">
        <v>1</v>
      </c>
      <c r="F179" s="19"/>
      <c r="G179" s="19"/>
      <c r="H179" s="19"/>
      <c r="I179" s="19"/>
      <c r="J179" s="19"/>
      <c r="K179" s="19"/>
      <c r="L179" s="19"/>
      <c r="M179" s="184"/>
      <c r="N179" s="19"/>
      <c r="O179" s="19"/>
      <c r="P179" s="19"/>
    </row>
    <row r="180" spans="1:16" ht="41.25">
      <c r="A180" s="19"/>
      <c r="B180" s="19"/>
      <c r="C180" s="19"/>
      <c r="D180" s="19"/>
      <c r="E180" s="19"/>
      <c r="F180" s="19"/>
      <c r="G180" s="19"/>
      <c r="H180" s="10">
        <v>1</v>
      </c>
      <c r="I180" t="s">
        <v>921</v>
      </c>
      <c r="J180" t="s">
        <v>922</v>
      </c>
      <c r="K180" s="12" t="s">
        <v>334</v>
      </c>
      <c r="L180" s="37" t="s">
        <v>777</v>
      </c>
      <c r="M180" s="184" t="s">
        <v>3563</v>
      </c>
      <c r="N180" s="53">
        <v>1</v>
      </c>
      <c r="O180" s="3" t="s">
        <v>2862</v>
      </c>
      <c r="P180" s="19" t="s">
        <v>2688</v>
      </c>
    </row>
    <row r="181" spans="1:16" ht="41.25">
      <c r="A181" s="19"/>
      <c r="B181" s="19"/>
      <c r="C181" s="19"/>
      <c r="D181" s="19"/>
      <c r="E181" s="19"/>
      <c r="F181" s="19"/>
      <c r="G181" s="19"/>
      <c r="H181" s="10">
        <v>2</v>
      </c>
      <c r="I181" t="s">
        <v>921</v>
      </c>
      <c r="J181" t="s">
        <v>922</v>
      </c>
      <c r="K181" s="12" t="s">
        <v>334</v>
      </c>
      <c r="L181" s="37" t="s">
        <v>777</v>
      </c>
      <c r="M181" s="184" t="s">
        <v>3563</v>
      </c>
      <c r="N181" s="53">
        <v>3</v>
      </c>
      <c r="O181" s="3" t="s">
        <v>2862</v>
      </c>
      <c r="P181" s="19" t="s">
        <v>2688</v>
      </c>
    </row>
    <row r="182" spans="1:16" ht="41.25">
      <c r="A182" s="19"/>
      <c r="B182" s="19"/>
      <c r="C182" s="19"/>
      <c r="D182" s="19"/>
      <c r="E182" s="19"/>
      <c r="F182" s="19"/>
      <c r="G182" s="19"/>
      <c r="H182" s="10">
        <v>3</v>
      </c>
      <c r="I182" t="s">
        <v>921</v>
      </c>
      <c r="J182" t="s">
        <v>922</v>
      </c>
      <c r="K182" s="12" t="s">
        <v>334</v>
      </c>
      <c r="L182" s="37" t="s">
        <v>777</v>
      </c>
      <c r="M182" s="184" t="s">
        <v>3563</v>
      </c>
      <c r="N182" s="53">
        <v>5</v>
      </c>
      <c r="O182" s="3" t="s">
        <v>2862</v>
      </c>
      <c r="P182" s="19" t="s">
        <v>2688</v>
      </c>
    </row>
    <row r="183" spans="1:16" ht="41.25">
      <c r="A183" s="19"/>
      <c r="B183" s="19"/>
      <c r="C183" s="19"/>
      <c r="D183" s="19"/>
      <c r="E183" s="19"/>
      <c r="F183" s="19"/>
      <c r="G183" s="19"/>
      <c r="H183" s="10">
        <v>4</v>
      </c>
      <c r="I183" t="s">
        <v>921</v>
      </c>
      <c r="J183" t="s">
        <v>922</v>
      </c>
      <c r="K183" s="12" t="s">
        <v>334</v>
      </c>
      <c r="L183" s="37" t="s">
        <v>777</v>
      </c>
      <c r="M183" s="184" t="s">
        <v>3563</v>
      </c>
      <c r="N183" s="53">
        <v>8</v>
      </c>
      <c r="O183" s="3" t="s">
        <v>2862</v>
      </c>
      <c r="P183" s="19" t="s">
        <v>2688</v>
      </c>
    </row>
    <row r="184" spans="1:16" ht="41.25">
      <c r="A184" s="19"/>
      <c r="B184" s="19"/>
      <c r="C184" s="19"/>
      <c r="D184" s="19"/>
      <c r="E184" s="19"/>
      <c r="F184" s="19"/>
      <c r="G184" s="19"/>
      <c r="H184" s="10">
        <v>5</v>
      </c>
      <c r="I184" t="s">
        <v>921</v>
      </c>
      <c r="J184" t="s">
        <v>922</v>
      </c>
      <c r="K184" s="12" t="s">
        <v>334</v>
      </c>
      <c r="L184" s="37" t="s">
        <v>777</v>
      </c>
      <c r="M184" s="184" t="s">
        <v>3563</v>
      </c>
      <c r="N184" s="53">
        <v>12</v>
      </c>
      <c r="O184" s="3" t="s">
        <v>2864</v>
      </c>
      <c r="P184" s="19" t="s">
        <v>2688</v>
      </c>
    </row>
    <row r="185" spans="1:16" ht="41.25">
      <c r="A185" s="19"/>
      <c r="B185" s="19"/>
      <c r="C185" s="19"/>
      <c r="D185" s="19"/>
      <c r="E185" s="19"/>
      <c r="F185" s="19"/>
      <c r="G185" s="19"/>
      <c r="H185" s="10">
        <v>6</v>
      </c>
      <c r="I185" t="s">
        <v>921</v>
      </c>
      <c r="J185" t="s">
        <v>922</v>
      </c>
      <c r="K185" s="12" t="s">
        <v>334</v>
      </c>
      <c r="L185" s="37" t="s">
        <v>777</v>
      </c>
      <c r="M185" s="184" t="s">
        <v>3563</v>
      </c>
      <c r="N185" s="53">
        <v>15</v>
      </c>
      <c r="O185" s="3" t="s">
        <v>2863</v>
      </c>
      <c r="P185" s="19" t="s">
        <v>2688</v>
      </c>
    </row>
    <row r="186" spans="1:16">
      <c r="A186" s="136">
        <v>2107100000097</v>
      </c>
      <c r="B186" s="19"/>
      <c r="C186" s="137">
        <v>2200000000057</v>
      </c>
      <c r="D186" s="26" t="s">
        <v>2686</v>
      </c>
      <c r="E186" s="26" t="b">
        <v>1</v>
      </c>
      <c r="F186" s="19"/>
      <c r="G186" s="19"/>
      <c r="H186" s="19"/>
      <c r="I186" s="19"/>
      <c r="J186" s="19"/>
      <c r="K186" s="19"/>
      <c r="L186" s="19"/>
      <c r="M186" s="184"/>
      <c r="N186" s="19"/>
      <c r="O186" s="19"/>
      <c r="P186" s="19"/>
    </row>
    <row r="187" spans="1:16" ht="41.25">
      <c r="A187" s="19"/>
      <c r="B187" s="19"/>
      <c r="C187" s="19"/>
      <c r="D187" s="19"/>
      <c r="E187" s="19"/>
      <c r="F187" s="19"/>
      <c r="G187" s="19"/>
      <c r="H187" s="10">
        <v>1</v>
      </c>
      <c r="I187" t="s">
        <v>923</v>
      </c>
      <c r="J187" t="s">
        <v>924</v>
      </c>
      <c r="K187" s="12" t="s">
        <v>334</v>
      </c>
      <c r="L187" s="37" t="s">
        <v>777</v>
      </c>
      <c r="M187" s="184" t="s">
        <v>3564</v>
      </c>
      <c r="N187" s="53">
        <v>1</v>
      </c>
      <c r="O187" s="3" t="s">
        <v>2866</v>
      </c>
      <c r="P187" s="19" t="s">
        <v>2688</v>
      </c>
    </row>
    <row r="188" spans="1:16">
      <c r="A188" s="136">
        <v>2107100000098</v>
      </c>
      <c r="B188" s="19"/>
      <c r="C188" s="137">
        <v>2200000000057</v>
      </c>
      <c r="D188" s="26" t="s">
        <v>2686</v>
      </c>
      <c r="E188" s="26" t="b">
        <v>1</v>
      </c>
      <c r="F188" s="19"/>
      <c r="G188" s="19"/>
      <c r="H188" s="19"/>
      <c r="I188" s="19"/>
      <c r="J188" s="19"/>
      <c r="K188" s="19"/>
      <c r="L188" s="19"/>
      <c r="M188" s="184"/>
      <c r="N188" s="19"/>
      <c r="O188" s="19"/>
      <c r="P188" s="19"/>
    </row>
    <row r="189" spans="1:16" ht="41.25">
      <c r="A189" s="19"/>
      <c r="B189" s="19"/>
      <c r="C189" s="19"/>
      <c r="D189" s="19"/>
      <c r="E189" s="19"/>
      <c r="F189" s="19"/>
      <c r="G189" s="19"/>
      <c r="H189" s="10">
        <v>1</v>
      </c>
      <c r="I189" t="s">
        <v>925</v>
      </c>
      <c r="J189" t="s">
        <v>926</v>
      </c>
      <c r="K189" s="12" t="s">
        <v>334</v>
      </c>
      <c r="L189" s="37" t="s">
        <v>777</v>
      </c>
      <c r="M189" s="184" t="s">
        <v>3565</v>
      </c>
      <c r="N189" s="53">
        <v>1</v>
      </c>
      <c r="O189" s="3" t="s">
        <v>2864</v>
      </c>
      <c r="P189" s="19" t="s">
        <v>2688</v>
      </c>
    </row>
    <row r="190" spans="1:16" ht="41.25">
      <c r="A190" s="19"/>
      <c r="B190" s="19"/>
      <c r="C190" s="19"/>
      <c r="D190" s="19"/>
      <c r="E190" s="19"/>
      <c r="F190" s="19"/>
      <c r="G190" s="19"/>
      <c r="H190" s="10">
        <v>2</v>
      </c>
      <c r="I190" t="s">
        <v>925</v>
      </c>
      <c r="J190" t="s">
        <v>926</v>
      </c>
      <c r="K190" s="12" t="s">
        <v>334</v>
      </c>
      <c r="L190" s="37" t="s">
        <v>777</v>
      </c>
      <c r="M190" s="184" t="s">
        <v>3565</v>
      </c>
      <c r="N190" s="53">
        <v>3</v>
      </c>
      <c r="O190" s="3" t="s">
        <v>2864</v>
      </c>
      <c r="P190" s="19" t="s">
        <v>2688</v>
      </c>
    </row>
    <row r="191" spans="1:16" ht="41.25">
      <c r="A191" s="19"/>
      <c r="B191" s="19"/>
      <c r="C191" s="19"/>
      <c r="D191" s="19"/>
      <c r="E191" s="19"/>
      <c r="F191" s="19"/>
      <c r="G191" s="19"/>
      <c r="H191" s="10">
        <v>3</v>
      </c>
      <c r="I191" t="s">
        <v>925</v>
      </c>
      <c r="J191" t="s">
        <v>926</v>
      </c>
      <c r="K191" s="12" t="s">
        <v>334</v>
      </c>
      <c r="L191" s="37" t="s">
        <v>777</v>
      </c>
      <c r="M191" s="184" t="s">
        <v>3565</v>
      </c>
      <c r="N191" s="53">
        <v>5</v>
      </c>
      <c r="O191" s="3" t="s">
        <v>2864</v>
      </c>
      <c r="P191" s="19" t="s">
        <v>2688</v>
      </c>
    </row>
    <row r="192" spans="1:16" ht="41.25">
      <c r="A192" s="19"/>
      <c r="B192" s="19"/>
      <c r="C192" s="19"/>
      <c r="D192" s="19"/>
      <c r="E192" s="19"/>
      <c r="F192" s="19"/>
      <c r="G192" s="19"/>
      <c r="H192" s="10">
        <v>4</v>
      </c>
      <c r="I192" t="s">
        <v>925</v>
      </c>
      <c r="J192" t="s">
        <v>926</v>
      </c>
      <c r="K192" s="12" t="s">
        <v>334</v>
      </c>
      <c r="L192" s="37" t="s">
        <v>777</v>
      </c>
      <c r="M192" s="184" t="s">
        <v>3565</v>
      </c>
      <c r="N192" s="53">
        <v>8</v>
      </c>
      <c r="O192" s="3" t="s">
        <v>2864</v>
      </c>
      <c r="P192" s="19" t="s">
        <v>2688</v>
      </c>
    </row>
    <row r="193" spans="1:16" ht="41.25">
      <c r="A193" s="19"/>
      <c r="B193" s="19"/>
      <c r="C193" s="19"/>
      <c r="D193" s="19"/>
      <c r="E193" s="19"/>
      <c r="F193" s="19"/>
      <c r="G193" s="19"/>
      <c r="H193" s="10">
        <v>5</v>
      </c>
      <c r="I193" t="s">
        <v>925</v>
      </c>
      <c r="J193" t="s">
        <v>926</v>
      </c>
      <c r="K193" s="12" t="s">
        <v>334</v>
      </c>
      <c r="L193" s="37" t="s">
        <v>777</v>
      </c>
      <c r="M193" s="184" t="s">
        <v>3565</v>
      </c>
      <c r="N193" s="53">
        <v>12</v>
      </c>
      <c r="O193" s="3" t="s">
        <v>2863</v>
      </c>
      <c r="P193" s="19" t="s">
        <v>2688</v>
      </c>
    </row>
    <row r="194" spans="1:16" ht="41.25">
      <c r="A194" s="19"/>
      <c r="B194" s="19"/>
      <c r="C194" s="19"/>
      <c r="D194" s="19"/>
      <c r="E194" s="19"/>
      <c r="F194" s="19"/>
      <c r="G194" s="19"/>
      <c r="H194" s="10">
        <v>6</v>
      </c>
      <c r="I194" t="s">
        <v>925</v>
      </c>
      <c r="J194" t="s">
        <v>926</v>
      </c>
      <c r="K194" s="12" t="s">
        <v>334</v>
      </c>
      <c r="L194" s="37" t="s">
        <v>777</v>
      </c>
      <c r="M194" s="184" t="s">
        <v>3565</v>
      </c>
      <c r="N194" s="53">
        <v>15</v>
      </c>
      <c r="O194" s="3" t="s">
        <v>2865</v>
      </c>
      <c r="P194" s="19" t="s">
        <v>2688</v>
      </c>
    </row>
    <row r="195" spans="1:16">
      <c r="A195" s="136">
        <v>2107100000099</v>
      </c>
      <c r="B195" s="19"/>
      <c r="C195" s="137">
        <v>2200000000057</v>
      </c>
      <c r="D195" s="26" t="s">
        <v>2686</v>
      </c>
      <c r="E195" s="26" t="b">
        <v>1</v>
      </c>
      <c r="F195" s="19"/>
      <c r="G195" s="19"/>
      <c r="H195" s="19"/>
      <c r="I195" s="19"/>
      <c r="J195" s="19"/>
      <c r="K195" s="19"/>
      <c r="L195" s="19"/>
      <c r="M195" s="184"/>
      <c r="N195" s="19"/>
      <c r="O195" s="19"/>
      <c r="P195" s="19"/>
    </row>
    <row r="196" spans="1:16" ht="41.25">
      <c r="A196" s="19"/>
      <c r="B196" s="19"/>
      <c r="C196" s="19"/>
      <c r="D196" s="19"/>
      <c r="E196" s="19"/>
      <c r="F196" s="19"/>
      <c r="G196" s="19"/>
      <c r="H196" s="10">
        <v>1</v>
      </c>
      <c r="I196" t="s">
        <v>927</v>
      </c>
      <c r="J196" t="s">
        <v>928</v>
      </c>
      <c r="K196" s="12" t="s">
        <v>334</v>
      </c>
      <c r="L196" s="37" t="s">
        <v>777</v>
      </c>
      <c r="M196" s="184" t="s">
        <v>3566</v>
      </c>
      <c r="N196" s="19">
        <v>15</v>
      </c>
      <c r="O196" s="3" t="s">
        <v>2867</v>
      </c>
      <c r="P196" s="19" t="s">
        <v>2688</v>
      </c>
    </row>
    <row r="197" spans="1:16">
      <c r="A197" s="136">
        <v>2107100000100</v>
      </c>
      <c r="B197" s="19"/>
      <c r="C197" s="137">
        <v>2200000000057</v>
      </c>
      <c r="D197" s="26" t="s">
        <v>2686</v>
      </c>
      <c r="E197" s="26" t="b">
        <v>1</v>
      </c>
      <c r="F197" s="19"/>
      <c r="G197" s="19"/>
      <c r="H197" s="19"/>
      <c r="I197" s="19"/>
      <c r="J197" s="19"/>
      <c r="K197" s="19"/>
      <c r="L197" s="19"/>
      <c r="M197" s="184"/>
      <c r="N197" s="19"/>
      <c r="O197" s="19"/>
      <c r="P197" s="19"/>
    </row>
    <row r="198" spans="1:16">
      <c r="A198" s="19"/>
      <c r="B198" s="19"/>
      <c r="C198" s="19"/>
      <c r="D198" s="19"/>
      <c r="E198" s="19"/>
      <c r="F198" s="19"/>
      <c r="G198" s="19"/>
      <c r="H198" s="10">
        <v>1</v>
      </c>
      <c r="I198" t="s">
        <v>2687</v>
      </c>
      <c r="J198" t="s">
        <v>930</v>
      </c>
      <c r="K198" s="12" t="s">
        <v>334</v>
      </c>
      <c r="L198" s="37" t="s">
        <v>854</v>
      </c>
      <c r="M198" s="184" t="s">
        <v>2830</v>
      </c>
      <c r="N198" s="53">
        <v>1000</v>
      </c>
      <c r="O198" s="3" t="s">
        <v>2864</v>
      </c>
      <c r="P198" s="19" t="s">
        <v>2689</v>
      </c>
    </row>
    <row r="199" spans="1:16">
      <c r="A199" s="19"/>
      <c r="B199" s="19"/>
      <c r="C199" s="19"/>
      <c r="D199" s="19"/>
      <c r="E199" s="19"/>
      <c r="F199" s="19"/>
      <c r="G199" s="19"/>
      <c r="H199" s="10">
        <v>2</v>
      </c>
      <c r="I199" t="s">
        <v>2687</v>
      </c>
      <c r="J199" t="s">
        <v>930</v>
      </c>
      <c r="K199" s="12" t="s">
        <v>334</v>
      </c>
      <c r="L199" s="37" t="s">
        <v>990</v>
      </c>
      <c r="M199" s="184" t="s">
        <v>2830</v>
      </c>
      <c r="N199" s="53">
        <v>2000</v>
      </c>
      <c r="O199" s="3" t="s">
        <v>2865</v>
      </c>
      <c r="P199" s="19" t="s">
        <v>2689</v>
      </c>
    </row>
    <row r="200" spans="1:16">
      <c r="A200" s="19"/>
      <c r="B200" s="19"/>
      <c r="C200" s="19"/>
      <c r="D200" s="19"/>
      <c r="E200" s="19"/>
      <c r="F200" s="19"/>
      <c r="G200" s="19"/>
      <c r="H200" s="10">
        <v>3</v>
      </c>
      <c r="I200" t="s">
        <v>2687</v>
      </c>
      <c r="J200" t="s">
        <v>930</v>
      </c>
      <c r="K200" s="12" t="s">
        <v>334</v>
      </c>
      <c r="L200" s="37" t="s">
        <v>990</v>
      </c>
      <c r="M200" s="184" t="s">
        <v>2830</v>
      </c>
      <c r="N200" s="53">
        <v>3000</v>
      </c>
      <c r="O200" s="3" t="s">
        <v>2867</v>
      </c>
      <c r="P200" s="19" t="s">
        <v>2689</v>
      </c>
    </row>
    <row r="201" spans="1:16">
      <c r="A201" s="55"/>
      <c r="B201" s="55"/>
      <c r="C201" s="55"/>
      <c r="D201" s="55"/>
      <c r="E201" s="55"/>
      <c r="F201" s="55"/>
      <c r="G201" s="55"/>
      <c r="H201" s="54"/>
      <c r="I201" s="123"/>
      <c r="J201" s="123"/>
      <c r="K201" s="55"/>
      <c r="L201" s="55"/>
      <c r="M201" s="124"/>
      <c r="N201" s="55"/>
      <c r="O201" s="58"/>
      <c r="P201" s="72"/>
    </row>
    <row r="202" spans="1:16">
      <c r="A202" s="136">
        <v>2107100000101</v>
      </c>
      <c r="B202" s="19"/>
      <c r="C202" s="137">
        <v>2200000000058</v>
      </c>
      <c r="D202" s="26" t="s">
        <v>2751</v>
      </c>
      <c r="E202" s="26" t="b">
        <v>1</v>
      </c>
      <c r="F202" s="19"/>
      <c r="G202" s="19"/>
      <c r="H202" s="19"/>
      <c r="I202" s="19"/>
      <c r="J202" s="19"/>
      <c r="K202" s="19"/>
      <c r="L202" s="19"/>
      <c r="M202" s="184"/>
      <c r="N202" s="19"/>
      <c r="O202" s="19"/>
      <c r="P202" s="19"/>
    </row>
    <row r="203" spans="1:16" ht="41.25">
      <c r="A203" s="19"/>
      <c r="B203" s="19"/>
      <c r="C203" s="19"/>
      <c r="D203" s="19"/>
      <c r="E203" s="19"/>
      <c r="F203" s="19"/>
      <c r="G203" s="19"/>
      <c r="H203" s="10">
        <v>1</v>
      </c>
      <c r="I203" t="s">
        <v>917</v>
      </c>
      <c r="J203" t="s">
        <v>918</v>
      </c>
      <c r="K203" s="12" t="s">
        <v>334</v>
      </c>
      <c r="L203" s="37" t="s">
        <v>999</v>
      </c>
      <c r="M203" s="184" t="s">
        <v>3552</v>
      </c>
      <c r="N203" s="53">
        <v>1</v>
      </c>
      <c r="O203" s="3" t="s">
        <v>2868</v>
      </c>
      <c r="P203" s="19" t="s">
        <v>2984</v>
      </c>
    </row>
    <row r="204" spans="1:16" ht="41.25">
      <c r="A204" s="19"/>
      <c r="B204" s="19"/>
      <c r="C204" s="19"/>
      <c r="D204" s="19"/>
      <c r="E204" s="19"/>
      <c r="F204" s="19"/>
      <c r="G204" s="19"/>
      <c r="H204" s="10">
        <v>2</v>
      </c>
      <c r="I204" t="s">
        <v>917</v>
      </c>
      <c r="J204" t="s">
        <v>918</v>
      </c>
      <c r="K204" s="12" t="s">
        <v>334</v>
      </c>
      <c r="L204" s="37" t="s">
        <v>999</v>
      </c>
      <c r="M204" s="184" t="s">
        <v>3553</v>
      </c>
      <c r="N204" s="53">
        <v>3</v>
      </c>
      <c r="O204" s="3" t="s">
        <v>2868</v>
      </c>
      <c r="P204" s="19" t="s">
        <v>2984</v>
      </c>
    </row>
    <row r="205" spans="1:16" ht="41.25">
      <c r="A205" s="19"/>
      <c r="B205" s="19"/>
      <c r="C205" s="19"/>
      <c r="D205" s="19"/>
      <c r="E205" s="19"/>
      <c r="F205" s="19"/>
      <c r="G205" s="19"/>
      <c r="H205" s="10">
        <v>3</v>
      </c>
      <c r="I205" t="s">
        <v>917</v>
      </c>
      <c r="J205" t="s">
        <v>918</v>
      </c>
      <c r="K205" s="12" t="s">
        <v>334</v>
      </c>
      <c r="L205" s="37" t="s">
        <v>999</v>
      </c>
      <c r="M205" s="184" t="s">
        <v>3554</v>
      </c>
      <c r="N205" s="53">
        <v>8</v>
      </c>
      <c r="O205" s="3" t="s">
        <v>2868</v>
      </c>
      <c r="P205" s="19" t="s">
        <v>2984</v>
      </c>
    </row>
    <row r="206" spans="1:16" ht="41.25">
      <c r="A206" s="19"/>
      <c r="B206" s="19"/>
      <c r="C206" s="19"/>
      <c r="D206" s="19"/>
      <c r="E206" s="19"/>
      <c r="F206" s="19"/>
      <c r="G206" s="19"/>
      <c r="H206" s="10">
        <v>4</v>
      </c>
      <c r="I206" t="s">
        <v>917</v>
      </c>
      <c r="J206" t="s">
        <v>918</v>
      </c>
      <c r="K206" s="12" t="s">
        <v>334</v>
      </c>
      <c r="L206" s="37" t="s">
        <v>999</v>
      </c>
      <c r="M206" s="184" t="s">
        <v>3553</v>
      </c>
      <c r="N206" s="53">
        <v>12</v>
      </c>
      <c r="O206" s="3" t="s">
        <v>2869</v>
      </c>
      <c r="P206" s="19" t="s">
        <v>2984</v>
      </c>
    </row>
    <row r="207" spans="1:16">
      <c r="A207" s="136">
        <v>2107100000102</v>
      </c>
      <c r="B207" s="19"/>
      <c r="C207" s="137">
        <v>2200000000058</v>
      </c>
      <c r="D207" s="26" t="s">
        <v>2751</v>
      </c>
      <c r="E207" s="26" t="b">
        <v>1</v>
      </c>
      <c r="F207" s="19"/>
      <c r="G207" s="19"/>
      <c r="H207" s="19"/>
      <c r="I207" s="19"/>
      <c r="J207" s="19"/>
      <c r="K207" s="19"/>
      <c r="L207" s="19"/>
      <c r="M207" s="184"/>
      <c r="N207" s="19"/>
      <c r="O207" s="19"/>
      <c r="P207" s="19"/>
    </row>
    <row r="208" spans="1:16" ht="41.25">
      <c r="A208" s="136"/>
      <c r="B208" s="19"/>
      <c r="C208" s="137"/>
      <c r="D208" s="26"/>
      <c r="E208" s="26"/>
      <c r="F208" s="19"/>
      <c r="G208" s="19"/>
      <c r="H208" s="10">
        <v>1</v>
      </c>
      <c r="I208" t="s">
        <v>919</v>
      </c>
      <c r="J208" t="s">
        <v>920</v>
      </c>
      <c r="K208" s="12" t="s">
        <v>334</v>
      </c>
      <c r="L208" s="37" t="s">
        <v>999</v>
      </c>
      <c r="M208" s="184" t="s">
        <v>3555</v>
      </c>
      <c r="N208" s="53">
        <v>1</v>
      </c>
      <c r="O208" s="3" t="s">
        <v>2870</v>
      </c>
      <c r="P208" s="19" t="s">
        <v>2984</v>
      </c>
    </row>
    <row r="209" spans="1:16" ht="41.25">
      <c r="A209" s="136"/>
      <c r="B209" s="19"/>
      <c r="C209" s="137"/>
      <c r="D209" s="26"/>
      <c r="E209" s="26"/>
      <c r="F209" s="19"/>
      <c r="G209" s="19"/>
      <c r="H209" s="10">
        <v>2</v>
      </c>
      <c r="I209" t="s">
        <v>919</v>
      </c>
      <c r="J209" t="s">
        <v>920</v>
      </c>
      <c r="K209" s="12" t="s">
        <v>334</v>
      </c>
      <c r="L209" s="37" t="s">
        <v>999</v>
      </c>
      <c r="M209" s="184" t="s">
        <v>3555</v>
      </c>
      <c r="N209" s="53">
        <v>3</v>
      </c>
      <c r="O209" s="3" t="s">
        <v>2870</v>
      </c>
      <c r="P209" s="19" t="s">
        <v>2984</v>
      </c>
    </row>
    <row r="210" spans="1:16" ht="41.25">
      <c r="A210" s="136"/>
      <c r="B210" s="19"/>
      <c r="C210" s="137"/>
      <c r="D210" s="26"/>
      <c r="E210" s="26"/>
      <c r="F210" s="19"/>
      <c r="G210" s="19"/>
      <c r="H210" s="10">
        <v>3</v>
      </c>
      <c r="I210" t="s">
        <v>919</v>
      </c>
      <c r="J210" t="s">
        <v>920</v>
      </c>
      <c r="K210" s="12" t="s">
        <v>334</v>
      </c>
      <c r="L210" s="37" t="s">
        <v>999</v>
      </c>
      <c r="M210" s="184" t="s">
        <v>3555</v>
      </c>
      <c r="N210" s="53">
        <v>8</v>
      </c>
      <c r="O210" s="3" t="s">
        <v>2870</v>
      </c>
      <c r="P210" s="19" t="s">
        <v>2984</v>
      </c>
    </row>
    <row r="211" spans="1:16" ht="41.25">
      <c r="A211" s="19"/>
      <c r="B211" s="19"/>
      <c r="C211" s="19"/>
      <c r="D211" s="19"/>
      <c r="E211" s="19"/>
      <c r="F211" s="19"/>
      <c r="G211" s="19"/>
      <c r="H211" s="10">
        <v>4</v>
      </c>
      <c r="I211" t="s">
        <v>919</v>
      </c>
      <c r="J211" t="s">
        <v>920</v>
      </c>
      <c r="K211" s="12" t="s">
        <v>334</v>
      </c>
      <c r="L211" s="37" t="s">
        <v>999</v>
      </c>
      <c r="M211" s="184" t="s">
        <v>3555</v>
      </c>
      <c r="N211" s="53">
        <v>12</v>
      </c>
      <c r="O211" s="3" t="s">
        <v>2871</v>
      </c>
      <c r="P211" s="19" t="s">
        <v>2984</v>
      </c>
    </row>
    <row r="212" spans="1:16">
      <c r="A212" s="136">
        <v>2107100000103</v>
      </c>
      <c r="B212" s="19"/>
      <c r="C212" s="137">
        <v>2200000000058</v>
      </c>
      <c r="D212" s="26" t="s">
        <v>2751</v>
      </c>
      <c r="E212" s="26" t="b">
        <v>1</v>
      </c>
      <c r="F212" s="19"/>
      <c r="G212" s="19"/>
      <c r="H212" s="19"/>
      <c r="I212" s="19"/>
      <c r="J212" s="19"/>
      <c r="K212" s="19"/>
      <c r="L212" s="19"/>
      <c r="M212" s="184"/>
      <c r="N212" s="19"/>
      <c r="O212" s="19"/>
      <c r="P212" s="19"/>
    </row>
    <row r="213" spans="1:16" ht="41.25">
      <c r="A213" s="19"/>
      <c r="B213" s="19"/>
      <c r="C213" s="19"/>
      <c r="D213" s="19"/>
      <c r="E213" s="19"/>
      <c r="F213" s="19"/>
      <c r="G213" s="19"/>
      <c r="H213" s="10">
        <v>1</v>
      </c>
      <c r="I213" t="s">
        <v>921</v>
      </c>
      <c r="J213" t="s">
        <v>922</v>
      </c>
      <c r="K213" s="12" t="s">
        <v>334</v>
      </c>
      <c r="L213" s="37" t="s">
        <v>777</v>
      </c>
      <c r="M213" s="184" t="s">
        <v>3556</v>
      </c>
      <c r="N213" s="53">
        <v>1</v>
      </c>
      <c r="O213" s="3" t="s">
        <v>2868</v>
      </c>
      <c r="P213" s="19" t="s">
        <v>2984</v>
      </c>
    </row>
    <row r="214" spans="1:16" ht="41.25">
      <c r="A214" s="19"/>
      <c r="B214" s="19"/>
      <c r="C214" s="19"/>
      <c r="D214" s="19"/>
      <c r="E214" s="19"/>
      <c r="F214" s="19"/>
      <c r="G214" s="19"/>
      <c r="H214" s="10">
        <v>2</v>
      </c>
      <c r="I214" t="s">
        <v>921</v>
      </c>
      <c r="J214" t="s">
        <v>922</v>
      </c>
      <c r="K214" s="12" t="s">
        <v>334</v>
      </c>
      <c r="L214" s="37" t="s">
        <v>777</v>
      </c>
      <c r="M214" s="184" t="s">
        <v>3557</v>
      </c>
      <c r="N214" s="53">
        <v>3</v>
      </c>
      <c r="O214" s="3" t="s">
        <v>2868</v>
      </c>
      <c r="P214" s="19" t="s">
        <v>2984</v>
      </c>
    </row>
    <row r="215" spans="1:16" ht="41.25">
      <c r="A215" s="19"/>
      <c r="B215" s="19"/>
      <c r="C215" s="19"/>
      <c r="D215" s="19"/>
      <c r="E215" s="19"/>
      <c r="F215" s="19"/>
      <c r="G215" s="19"/>
      <c r="H215" s="10">
        <v>3</v>
      </c>
      <c r="I215" t="s">
        <v>921</v>
      </c>
      <c r="J215" t="s">
        <v>922</v>
      </c>
      <c r="K215" s="12" t="s">
        <v>334</v>
      </c>
      <c r="L215" s="37" t="s">
        <v>777</v>
      </c>
      <c r="M215" s="184" t="s">
        <v>3556</v>
      </c>
      <c r="N215" s="53">
        <v>5</v>
      </c>
      <c r="O215" s="3" t="s">
        <v>2868</v>
      </c>
      <c r="P215" s="19" t="s">
        <v>2984</v>
      </c>
    </row>
    <row r="216" spans="1:16" ht="41.25">
      <c r="A216" s="19"/>
      <c r="B216" s="19"/>
      <c r="C216" s="19"/>
      <c r="D216" s="19"/>
      <c r="E216" s="19"/>
      <c r="F216" s="19"/>
      <c r="G216" s="19"/>
      <c r="H216" s="10">
        <v>4</v>
      </c>
      <c r="I216" t="s">
        <v>921</v>
      </c>
      <c r="J216" t="s">
        <v>922</v>
      </c>
      <c r="K216" s="12" t="s">
        <v>334</v>
      </c>
      <c r="L216" s="37" t="s">
        <v>777</v>
      </c>
      <c r="M216" s="184" t="s">
        <v>3556</v>
      </c>
      <c r="N216" s="53">
        <v>8</v>
      </c>
      <c r="O216" s="3" t="s">
        <v>2868</v>
      </c>
      <c r="P216" s="19" t="s">
        <v>2984</v>
      </c>
    </row>
    <row r="217" spans="1:16" ht="41.25">
      <c r="A217" s="19"/>
      <c r="B217" s="19"/>
      <c r="C217" s="19"/>
      <c r="D217" s="19"/>
      <c r="E217" s="19"/>
      <c r="F217" s="19"/>
      <c r="G217" s="19"/>
      <c r="H217" s="10">
        <v>5</v>
      </c>
      <c r="I217" t="s">
        <v>921</v>
      </c>
      <c r="J217" t="s">
        <v>922</v>
      </c>
      <c r="K217" s="12" t="s">
        <v>334</v>
      </c>
      <c r="L217" s="37" t="s">
        <v>777</v>
      </c>
      <c r="M217" s="184" t="s">
        <v>3556</v>
      </c>
      <c r="N217" s="53">
        <v>12</v>
      </c>
      <c r="O217" s="3" t="s">
        <v>2870</v>
      </c>
      <c r="P217" s="19" t="s">
        <v>2984</v>
      </c>
    </row>
    <row r="218" spans="1:16" ht="41.25">
      <c r="A218" s="19"/>
      <c r="B218" s="19"/>
      <c r="C218" s="19"/>
      <c r="D218" s="19"/>
      <c r="E218" s="19"/>
      <c r="F218" s="19"/>
      <c r="G218" s="19"/>
      <c r="H218" s="10">
        <v>6</v>
      </c>
      <c r="I218" t="s">
        <v>921</v>
      </c>
      <c r="J218" t="s">
        <v>922</v>
      </c>
      <c r="K218" s="12" t="s">
        <v>334</v>
      </c>
      <c r="L218" s="37" t="s">
        <v>777</v>
      </c>
      <c r="M218" s="184" t="s">
        <v>3556</v>
      </c>
      <c r="N218" s="53">
        <v>15</v>
      </c>
      <c r="O218" s="3" t="s">
        <v>2869</v>
      </c>
      <c r="P218" s="19" t="s">
        <v>2984</v>
      </c>
    </row>
    <row r="219" spans="1:16">
      <c r="A219" s="136">
        <v>2107100000104</v>
      </c>
      <c r="B219" s="19"/>
      <c r="C219" s="137">
        <v>2200000000058</v>
      </c>
      <c r="D219" s="26" t="s">
        <v>2751</v>
      </c>
      <c r="E219" s="26" t="b">
        <v>1</v>
      </c>
      <c r="F219" s="19"/>
      <c r="G219" s="19"/>
      <c r="H219" s="19"/>
      <c r="I219" s="19"/>
      <c r="J219" s="19"/>
      <c r="K219" s="19"/>
      <c r="L219" s="19"/>
      <c r="M219" s="184"/>
      <c r="N219" s="19"/>
      <c r="O219" s="19"/>
      <c r="P219" s="19"/>
    </row>
    <row r="220" spans="1:16" ht="41.25">
      <c r="A220" s="19"/>
      <c r="B220" s="19"/>
      <c r="C220" s="19"/>
      <c r="D220" s="19"/>
      <c r="E220" s="19"/>
      <c r="F220" s="19"/>
      <c r="G220" s="19"/>
      <c r="H220" s="10">
        <v>1</v>
      </c>
      <c r="I220" t="s">
        <v>923</v>
      </c>
      <c r="J220" t="s">
        <v>924</v>
      </c>
      <c r="K220" s="12" t="s">
        <v>334</v>
      </c>
      <c r="L220" s="37" t="s">
        <v>777</v>
      </c>
      <c r="M220" s="184" t="s">
        <v>3558</v>
      </c>
      <c r="N220" s="53">
        <v>1</v>
      </c>
      <c r="O220" s="3" t="s">
        <v>2872</v>
      </c>
      <c r="P220" s="19" t="s">
        <v>2984</v>
      </c>
    </row>
    <row r="221" spans="1:16">
      <c r="A221" s="136">
        <v>2107100000105</v>
      </c>
      <c r="B221" s="19"/>
      <c r="C221" s="137">
        <v>2200000000058</v>
      </c>
      <c r="D221" s="26" t="s">
        <v>2751</v>
      </c>
      <c r="E221" s="26" t="b">
        <v>1</v>
      </c>
      <c r="F221" s="19"/>
      <c r="G221" s="19"/>
      <c r="H221" s="19"/>
      <c r="I221" s="19"/>
      <c r="J221" s="19"/>
      <c r="K221" s="19"/>
      <c r="L221" s="19"/>
      <c r="M221" s="184"/>
      <c r="N221" s="19"/>
      <c r="O221" s="19"/>
      <c r="P221" s="19"/>
    </row>
    <row r="222" spans="1:16" ht="41.25">
      <c r="A222" s="19"/>
      <c r="B222" s="19"/>
      <c r="C222" s="19"/>
      <c r="D222" s="19"/>
      <c r="E222" s="19"/>
      <c r="F222" s="19"/>
      <c r="G222" s="19"/>
      <c r="H222" s="10">
        <v>1</v>
      </c>
      <c r="I222" t="s">
        <v>925</v>
      </c>
      <c r="J222" t="s">
        <v>926</v>
      </c>
      <c r="K222" s="12" t="s">
        <v>334</v>
      </c>
      <c r="L222" s="37" t="s">
        <v>777</v>
      </c>
      <c r="M222" s="184" t="s">
        <v>3559</v>
      </c>
      <c r="N222" s="53">
        <v>1</v>
      </c>
      <c r="O222" s="3" t="s">
        <v>2870</v>
      </c>
      <c r="P222" s="19" t="s">
        <v>2984</v>
      </c>
    </row>
    <row r="223" spans="1:16" ht="41.25">
      <c r="A223" s="19"/>
      <c r="B223" s="19"/>
      <c r="C223" s="19"/>
      <c r="D223" s="19"/>
      <c r="E223" s="19"/>
      <c r="F223" s="19"/>
      <c r="G223" s="19"/>
      <c r="H223" s="10">
        <v>2</v>
      </c>
      <c r="I223" t="s">
        <v>925</v>
      </c>
      <c r="J223" t="s">
        <v>926</v>
      </c>
      <c r="K223" s="12" t="s">
        <v>334</v>
      </c>
      <c r="L223" s="37" t="s">
        <v>777</v>
      </c>
      <c r="M223" s="184" t="s">
        <v>3559</v>
      </c>
      <c r="N223" s="53">
        <v>3</v>
      </c>
      <c r="O223" s="3" t="s">
        <v>2870</v>
      </c>
      <c r="P223" s="19" t="s">
        <v>2984</v>
      </c>
    </row>
    <row r="224" spans="1:16" ht="41.25">
      <c r="A224" s="19"/>
      <c r="B224" s="19"/>
      <c r="C224" s="19"/>
      <c r="D224" s="19"/>
      <c r="E224" s="19"/>
      <c r="F224" s="19"/>
      <c r="G224" s="19"/>
      <c r="H224" s="10">
        <v>3</v>
      </c>
      <c r="I224" t="s">
        <v>925</v>
      </c>
      <c r="J224" t="s">
        <v>926</v>
      </c>
      <c r="K224" s="12" t="s">
        <v>334</v>
      </c>
      <c r="L224" s="37" t="s">
        <v>777</v>
      </c>
      <c r="M224" s="184" t="s">
        <v>3559</v>
      </c>
      <c r="N224" s="53">
        <v>5</v>
      </c>
      <c r="O224" s="3" t="s">
        <v>2870</v>
      </c>
      <c r="P224" s="19" t="s">
        <v>2984</v>
      </c>
    </row>
    <row r="225" spans="1:16" ht="41.25">
      <c r="A225" s="19"/>
      <c r="B225" s="19"/>
      <c r="C225" s="19"/>
      <c r="D225" s="19"/>
      <c r="E225" s="19"/>
      <c r="F225" s="19"/>
      <c r="G225" s="19"/>
      <c r="H225" s="10">
        <v>4</v>
      </c>
      <c r="I225" t="s">
        <v>925</v>
      </c>
      <c r="J225" t="s">
        <v>926</v>
      </c>
      <c r="K225" s="12" t="s">
        <v>334</v>
      </c>
      <c r="L225" s="37" t="s">
        <v>777</v>
      </c>
      <c r="M225" s="184" t="s">
        <v>3559</v>
      </c>
      <c r="N225" s="53">
        <v>8</v>
      </c>
      <c r="O225" s="3" t="s">
        <v>2870</v>
      </c>
      <c r="P225" s="19" t="s">
        <v>2984</v>
      </c>
    </row>
    <row r="226" spans="1:16" ht="41.25">
      <c r="A226" s="19"/>
      <c r="B226" s="19"/>
      <c r="C226" s="19"/>
      <c r="D226" s="19"/>
      <c r="E226" s="19"/>
      <c r="F226" s="19"/>
      <c r="G226" s="19"/>
      <c r="H226" s="10">
        <v>5</v>
      </c>
      <c r="I226" t="s">
        <v>925</v>
      </c>
      <c r="J226" t="s">
        <v>926</v>
      </c>
      <c r="K226" s="12" t="s">
        <v>334</v>
      </c>
      <c r="L226" s="37" t="s">
        <v>777</v>
      </c>
      <c r="M226" s="184" t="s">
        <v>3559</v>
      </c>
      <c r="N226" s="53">
        <v>12</v>
      </c>
      <c r="O226" s="3" t="s">
        <v>2869</v>
      </c>
      <c r="P226" s="19" t="s">
        <v>2984</v>
      </c>
    </row>
    <row r="227" spans="1:16" ht="41.25">
      <c r="A227" s="19"/>
      <c r="B227" s="19"/>
      <c r="C227" s="19"/>
      <c r="D227" s="19"/>
      <c r="E227" s="19"/>
      <c r="F227" s="19"/>
      <c r="G227" s="19"/>
      <c r="H227" s="10">
        <v>6</v>
      </c>
      <c r="I227" t="s">
        <v>925</v>
      </c>
      <c r="J227" t="s">
        <v>926</v>
      </c>
      <c r="K227" s="12" t="s">
        <v>334</v>
      </c>
      <c r="L227" s="37" t="s">
        <v>777</v>
      </c>
      <c r="M227" s="184" t="s">
        <v>3559</v>
      </c>
      <c r="N227" s="53">
        <v>15</v>
      </c>
      <c r="O227" s="3" t="s">
        <v>2871</v>
      </c>
      <c r="P227" s="19" t="s">
        <v>2984</v>
      </c>
    </row>
    <row r="228" spans="1:16">
      <c r="A228" s="136">
        <v>2107100000106</v>
      </c>
      <c r="B228" s="19"/>
      <c r="C228" s="137">
        <v>2200000000058</v>
      </c>
      <c r="D228" s="26" t="s">
        <v>2751</v>
      </c>
      <c r="E228" s="26" t="b">
        <v>1</v>
      </c>
      <c r="F228" s="19"/>
      <c r="G228" s="19"/>
      <c r="H228" s="19"/>
      <c r="I228" s="19"/>
      <c r="J228" s="19"/>
      <c r="K228" s="19"/>
      <c r="L228" s="19"/>
      <c r="M228" s="184"/>
      <c r="N228" s="19"/>
      <c r="O228" s="19"/>
      <c r="P228" s="19"/>
    </row>
    <row r="229" spans="1:16" ht="41.25">
      <c r="A229" s="19"/>
      <c r="B229" s="19"/>
      <c r="C229" s="19"/>
      <c r="D229" s="19"/>
      <c r="E229" s="19"/>
      <c r="F229" s="19"/>
      <c r="G229" s="19"/>
      <c r="H229" s="10">
        <v>1</v>
      </c>
      <c r="I229" t="s">
        <v>927</v>
      </c>
      <c r="J229" t="s">
        <v>928</v>
      </c>
      <c r="K229" s="12" t="s">
        <v>334</v>
      </c>
      <c r="L229" s="37" t="s">
        <v>777</v>
      </c>
      <c r="M229" s="184" t="s">
        <v>3560</v>
      </c>
      <c r="N229" s="19">
        <v>1</v>
      </c>
      <c r="O229" s="3" t="s">
        <v>2873</v>
      </c>
      <c r="P229" s="19" t="s">
        <v>2984</v>
      </c>
    </row>
    <row r="230" spans="1:16">
      <c r="A230" s="136">
        <v>2107100000107</v>
      </c>
      <c r="B230" s="19"/>
      <c r="C230" s="137">
        <v>2200000000058</v>
      </c>
      <c r="D230" s="26" t="s">
        <v>2751</v>
      </c>
      <c r="E230" s="26" t="b">
        <v>1</v>
      </c>
      <c r="F230" s="19"/>
      <c r="G230" s="19"/>
      <c r="H230" s="19"/>
      <c r="I230" s="19"/>
      <c r="J230" s="19"/>
      <c r="K230" s="19"/>
      <c r="L230" s="19"/>
      <c r="M230" s="184"/>
      <c r="N230" s="19"/>
      <c r="O230" s="19"/>
      <c r="P230" s="19"/>
    </row>
    <row r="231" spans="1:16">
      <c r="A231" s="19"/>
      <c r="B231" s="19"/>
      <c r="C231" s="19"/>
      <c r="D231" s="19"/>
      <c r="E231" s="19"/>
      <c r="F231" s="19"/>
      <c r="G231" s="19"/>
      <c r="H231" s="10">
        <v>1</v>
      </c>
      <c r="I231" t="s">
        <v>2752</v>
      </c>
      <c r="J231" t="s">
        <v>930</v>
      </c>
      <c r="K231" s="12" t="s">
        <v>334</v>
      </c>
      <c r="L231" s="37" t="s">
        <v>854</v>
      </c>
      <c r="M231" s="184" t="s">
        <v>2831</v>
      </c>
      <c r="N231" s="53">
        <v>200</v>
      </c>
      <c r="O231" s="3" t="s">
        <v>2870</v>
      </c>
      <c r="P231" s="19" t="s">
        <v>2985</v>
      </c>
    </row>
    <row r="232" spans="1:16">
      <c r="A232" s="19"/>
      <c r="B232" s="19"/>
      <c r="C232" s="19"/>
      <c r="D232" s="19"/>
      <c r="E232" s="19"/>
      <c r="F232" s="19"/>
      <c r="G232" s="19"/>
      <c r="H232" s="10">
        <v>2</v>
      </c>
      <c r="I232" t="s">
        <v>2752</v>
      </c>
      <c r="J232" t="s">
        <v>930</v>
      </c>
      <c r="K232" s="12" t="s">
        <v>334</v>
      </c>
      <c r="L232" s="37" t="s">
        <v>990</v>
      </c>
      <c r="M232" s="184" t="s">
        <v>2831</v>
      </c>
      <c r="N232" s="53">
        <v>400</v>
      </c>
      <c r="O232" s="3" t="s">
        <v>2871</v>
      </c>
      <c r="P232" s="19" t="s">
        <v>2985</v>
      </c>
    </row>
    <row r="233" spans="1:16">
      <c r="A233" s="19"/>
      <c r="B233" s="19"/>
      <c r="C233" s="19"/>
      <c r="D233" s="19"/>
      <c r="E233" s="19"/>
      <c r="F233" s="19"/>
      <c r="G233" s="19"/>
      <c r="H233" s="10">
        <v>3</v>
      </c>
      <c r="I233" t="s">
        <v>2752</v>
      </c>
      <c r="J233" t="s">
        <v>930</v>
      </c>
      <c r="K233" s="12" t="s">
        <v>334</v>
      </c>
      <c r="L233" s="37" t="s">
        <v>990</v>
      </c>
      <c r="M233" s="184" t="s">
        <v>2831</v>
      </c>
      <c r="N233" s="53">
        <v>600</v>
      </c>
      <c r="O233" s="3" t="s">
        <v>2873</v>
      </c>
      <c r="P233" s="19" t="s">
        <v>2985</v>
      </c>
    </row>
    <row r="234" spans="1:16">
      <c r="A234" s="55"/>
      <c r="B234" s="55"/>
      <c r="C234" s="55"/>
      <c r="D234" s="55"/>
      <c r="E234" s="55"/>
      <c r="F234" s="55"/>
      <c r="G234" s="55"/>
      <c r="H234" s="54"/>
      <c r="I234" s="123"/>
      <c r="J234" s="123"/>
      <c r="K234" s="55"/>
      <c r="L234" s="55"/>
      <c r="M234" s="124"/>
      <c r="N234" s="55"/>
      <c r="O234" s="58"/>
      <c r="P234" s="72"/>
    </row>
    <row r="235" spans="1:16">
      <c r="A235" s="136">
        <v>2107100000111</v>
      </c>
      <c r="B235" s="19"/>
      <c r="C235" s="137">
        <v>2200000000059</v>
      </c>
      <c r="D235" s="26" t="s">
        <v>3628</v>
      </c>
      <c r="E235" s="26" t="b">
        <v>1</v>
      </c>
      <c r="F235" s="19"/>
      <c r="G235" s="19"/>
      <c r="H235" s="19"/>
      <c r="I235" s="19"/>
      <c r="J235" s="19"/>
      <c r="K235" s="19"/>
      <c r="L235" s="19"/>
      <c r="M235" s="184"/>
      <c r="N235" s="19"/>
      <c r="O235" s="19"/>
      <c r="P235" s="19"/>
    </row>
    <row r="236" spans="1:16" ht="41.25">
      <c r="A236" s="19"/>
      <c r="B236" s="19"/>
      <c r="C236" s="19"/>
      <c r="D236" s="19"/>
      <c r="E236" s="19"/>
      <c r="F236" s="19"/>
      <c r="G236" s="19"/>
      <c r="H236" s="10">
        <v>1</v>
      </c>
      <c r="I236" t="s">
        <v>917</v>
      </c>
      <c r="J236" t="s">
        <v>3629</v>
      </c>
      <c r="K236" s="12" t="s">
        <v>334</v>
      </c>
      <c r="L236" s="37" t="s">
        <v>999</v>
      </c>
      <c r="M236" s="184" t="s">
        <v>3630</v>
      </c>
      <c r="N236" s="53">
        <v>1</v>
      </c>
      <c r="O236" s="3" t="s">
        <v>3631</v>
      </c>
      <c r="P236" s="19" t="s">
        <v>3632</v>
      </c>
    </row>
    <row r="237" spans="1:16" ht="41.25">
      <c r="A237" s="19"/>
      <c r="B237" s="19"/>
      <c r="C237" s="19"/>
      <c r="D237" s="19"/>
      <c r="E237" s="19"/>
      <c r="F237" s="19"/>
      <c r="G237" s="19"/>
      <c r="H237" s="10">
        <v>2</v>
      </c>
      <c r="I237" t="s">
        <v>917</v>
      </c>
      <c r="J237" t="s">
        <v>3633</v>
      </c>
      <c r="K237" s="12" t="s">
        <v>334</v>
      </c>
      <c r="L237" s="37" t="s">
        <v>999</v>
      </c>
      <c r="M237" s="184" t="s">
        <v>3630</v>
      </c>
      <c r="N237" s="53">
        <v>3</v>
      </c>
      <c r="O237" s="3" t="s">
        <v>3631</v>
      </c>
      <c r="P237" s="19" t="s">
        <v>3632</v>
      </c>
    </row>
    <row r="238" spans="1:16" ht="41.25">
      <c r="A238" s="19"/>
      <c r="B238" s="19"/>
      <c r="C238" s="19"/>
      <c r="D238" s="19"/>
      <c r="E238" s="19"/>
      <c r="F238" s="19"/>
      <c r="G238" s="19"/>
      <c r="H238" s="10">
        <v>3</v>
      </c>
      <c r="I238" t="s">
        <v>3634</v>
      </c>
      <c r="J238" t="s">
        <v>3633</v>
      </c>
      <c r="K238" s="12" t="s">
        <v>334</v>
      </c>
      <c r="L238" s="37" t="s">
        <v>999</v>
      </c>
      <c r="M238" s="184" t="s">
        <v>3630</v>
      </c>
      <c r="N238" s="53">
        <v>8</v>
      </c>
      <c r="O238" s="3" t="s">
        <v>3631</v>
      </c>
      <c r="P238" s="19" t="s">
        <v>3632</v>
      </c>
    </row>
    <row r="239" spans="1:16" ht="41.25">
      <c r="A239" s="19"/>
      <c r="B239" s="19"/>
      <c r="C239" s="19"/>
      <c r="D239" s="19"/>
      <c r="E239" s="19"/>
      <c r="F239" s="19"/>
      <c r="G239" s="19"/>
      <c r="H239" s="10">
        <v>4</v>
      </c>
      <c r="I239" t="s">
        <v>3635</v>
      </c>
      <c r="J239" t="s">
        <v>3633</v>
      </c>
      <c r="K239" s="12" t="s">
        <v>334</v>
      </c>
      <c r="L239" s="37" t="s">
        <v>999</v>
      </c>
      <c r="M239" s="184" t="s">
        <v>3630</v>
      </c>
      <c r="N239" s="53">
        <v>12</v>
      </c>
      <c r="O239" s="3" t="s">
        <v>3636</v>
      </c>
      <c r="P239" s="19" t="s">
        <v>3632</v>
      </c>
    </row>
    <row r="240" spans="1:16">
      <c r="A240" s="136">
        <v>2107100000112</v>
      </c>
      <c r="B240" s="19"/>
      <c r="C240" s="137">
        <v>2200000000059</v>
      </c>
      <c r="D240" s="26" t="s">
        <v>3638</v>
      </c>
      <c r="E240" s="26" t="b">
        <v>1</v>
      </c>
      <c r="F240" s="19"/>
      <c r="G240" s="19"/>
      <c r="H240" s="19"/>
      <c r="I240" s="19"/>
      <c r="J240" s="19"/>
      <c r="K240" s="19"/>
      <c r="L240" s="19"/>
      <c r="M240" s="184"/>
      <c r="N240" s="19"/>
      <c r="O240" s="19"/>
      <c r="P240" s="19"/>
    </row>
    <row r="241" spans="1:16" ht="41.25">
      <c r="A241" s="136"/>
      <c r="B241" s="19"/>
      <c r="C241" s="137"/>
      <c r="D241" s="26"/>
      <c r="E241" s="26"/>
      <c r="F241" s="19"/>
      <c r="G241" s="19"/>
      <c r="H241" s="10">
        <v>1</v>
      </c>
      <c r="I241" t="s">
        <v>3639</v>
      </c>
      <c r="J241" t="s">
        <v>3640</v>
      </c>
      <c r="K241" s="12" t="s">
        <v>334</v>
      </c>
      <c r="L241" s="37" t="s">
        <v>999</v>
      </c>
      <c r="M241" s="184" t="s">
        <v>3641</v>
      </c>
      <c r="N241" s="53">
        <v>1</v>
      </c>
      <c r="O241" s="3" t="s">
        <v>3642</v>
      </c>
      <c r="P241" s="19" t="s">
        <v>3632</v>
      </c>
    </row>
    <row r="242" spans="1:16" ht="41.25">
      <c r="A242" s="136"/>
      <c r="B242" s="19"/>
      <c r="C242" s="137"/>
      <c r="D242" s="26"/>
      <c r="E242" s="26"/>
      <c r="F242" s="19"/>
      <c r="G242" s="19"/>
      <c r="H242" s="10">
        <v>2</v>
      </c>
      <c r="I242" t="s">
        <v>3639</v>
      </c>
      <c r="J242" t="s">
        <v>3643</v>
      </c>
      <c r="K242" s="12" t="s">
        <v>334</v>
      </c>
      <c r="L242" s="37" t="s">
        <v>999</v>
      </c>
      <c r="M242" s="184" t="s">
        <v>3641</v>
      </c>
      <c r="N242" s="53">
        <v>3</v>
      </c>
      <c r="O242" s="3" t="s">
        <v>3642</v>
      </c>
      <c r="P242" s="19" t="s">
        <v>3632</v>
      </c>
    </row>
    <row r="243" spans="1:16" ht="41.25">
      <c r="A243" s="136"/>
      <c r="B243" s="19"/>
      <c r="C243" s="137"/>
      <c r="D243" s="26"/>
      <c r="E243" s="26"/>
      <c r="F243" s="19"/>
      <c r="G243" s="19"/>
      <c r="H243" s="10">
        <v>3</v>
      </c>
      <c r="I243" t="s">
        <v>3639</v>
      </c>
      <c r="J243" t="s">
        <v>920</v>
      </c>
      <c r="K243" s="12" t="s">
        <v>334</v>
      </c>
      <c r="L243" s="37" t="s">
        <v>999</v>
      </c>
      <c r="M243" s="184" t="s">
        <v>3641</v>
      </c>
      <c r="N243" s="53">
        <v>8</v>
      </c>
      <c r="O243" s="3" t="s">
        <v>3642</v>
      </c>
      <c r="P243" s="19" t="s">
        <v>3632</v>
      </c>
    </row>
    <row r="244" spans="1:16" ht="41.25">
      <c r="A244" s="19"/>
      <c r="B244" s="19"/>
      <c r="C244" s="19"/>
      <c r="D244" s="19"/>
      <c r="E244" s="19"/>
      <c r="F244" s="19"/>
      <c r="G244" s="19"/>
      <c r="H244" s="10">
        <v>4</v>
      </c>
      <c r="I244" t="s">
        <v>3639</v>
      </c>
      <c r="J244" t="s">
        <v>920</v>
      </c>
      <c r="K244" s="12" t="s">
        <v>334</v>
      </c>
      <c r="L244" s="37" t="s">
        <v>999</v>
      </c>
      <c r="M244" s="184" t="s">
        <v>3641</v>
      </c>
      <c r="N244" s="53">
        <v>12</v>
      </c>
      <c r="O244" s="3" t="s">
        <v>3644</v>
      </c>
      <c r="P244" s="19" t="s">
        <v>3632</v>
      </c>
    </row>
    <row r="245" spans="1:16">
      <c r="A245" s="136">
        <v>2107100000113</v>
      </c>
      <c r="B245" s="19"/>
      <c r="C245" s="137">
        <v>2200000000059</v>
      </c>
      <c r="D245" s="26" t="s">
        <v>3628</v>
      </c>
      <c r="E245" s="26" t="b">
        <v>1</v>
      </c>
      <c r="F245" s="19"/>
      <c r="G245" s="19"/>
      <c r="H245" s="19"/>
      <c r="I245" s="19"/>
      <c r="J245" s="19"/>
      <c r="K245" s="19"/>
      <c r="L245" s="19"/>
      <c r="M245" s="184"/>
      <c r="N245" s="19"/>
      <c r="O245" s="19"/>
      <c r="P245" s="19"/>
    </row>
    <row r="246" spans="1:16" ht="41.25">
      <c r="A246" s="19"/>
      <c r="B246" s="19"/>
      <c r="C246" s="19"/>
      <c r="D246" s="19"/>
      <c r="E246" s="19"/>
      <c r="F246" s="19"/>
      <c r="G246" s="19"/>
      <c r="H246" s="10">
        <v>1</v>
      </c>
      <c r="I246" t="s">
        <v>3645</v>
      </c>
      <c r="J246" t="s">
        <v>922</v>
      </c>
      <c r="K246" s="12" t="s">
        <v>334</v>
      </c>
      <c r="L246" s="37" t="s">
        <v>3646</v>
      </c>
      <c r="M246" s="184" t="s">
        <v>3647</v>
      </c>
      <c r="N246" s="53">
        <v>1</v>
      </c>
      <c r="O246" s="3" t="s">
        <v>3631</v>
      </c>
      <c r="P246" s="19" t="s">
        <v>3632</v>
      </c>
    </row>
    <row r="247" spans="1:16" ht="41.25">
      <c r="A247" s="19"/>
      <c r="B247" s="19"/>
      <c r="C247" s="19"/>
      <c r="D247" s="19"/>
      <c r="E247" s="19"/>
      <c r="F247" s="19"/>
      <c r="G247" s="19"/>
      <c r="H247" s="10">
        <v>2</v>
      </c>
      <c r="I247" t="s">
        <v>921</v>
      </c>
      <c r="J247" t="s">
        <v>922</v>
      </c>
      <c r="K247" s="12" t="s">
        <v>334</v>
      </c>
      <c r="L247" s="37" t="s">
        <v>3646</v>
      </c>
      <c r="M247" s="184" t="s">
        <v>3647</v>
      </c>
      <c r="N247" s="53">
        <v>3</v>
      </c>
      <c r="O247" s="3" t="s">
        <v>3631</v>
      </c>
      <c r="P247" s="19" t="s">
        <v>3632</v>
      </c>
    </row>
    <row r="248" spans="1:16" ht="41.25">
      <c r="A248" s="19"/>
      <c r="B248" s="19"/>
      <c r="C248" s="19"/>
      <c r="D248" s="19"/>
      <c r="E248" s="19"/>
      <c r="F248" s="19"/>
      <c r="G248" s="19"/>
      <c r="H248" s="10">
        <v>3</v>
      </c>
      <c r="I248" t="s">
        <v>3648</v>
      </c>
      <c r="J248" t="s">
        <v>3649</v>
      </c>
      <c r="K248" s="12" t="s">
        <v>334</v>
      </c>
      <c r="L248" s="37" t="s">
        <v>3646</v>
      </c>
      <c r="M248" s="184" t="s">
        <v>3647</v>
      </c>
      <c r="N248" s="53">
        <v>5</v>
      </c>
      <c r="O248" s="3" t="s">
        <v>3631</v>
      </c>
      <c r="P248" s="19" t="s">
        <v>3632</v>
      </c>
    </row>
    <row r="249" spans="1:16" ht="41.25">
      <c r="A249" s="19"/>
      <c r="B249" s="19"/>
      <c r="C249" s="19"/>
      <c r="D249" s="19"/>
      <c r="E249" s="19"/>
      <c r="F249" s="19"/>
      <c r="G249" s="19"/>
      <c r="H249" s="10">
        <v>4</v>
      </c>
      <c r="I249" t="s">
        <v>3648</v>
      </c>
      <c r="J249" t="s">
        <v>3650</v>
      </c>
      <c r="K249" s="12" t="s">
        <v>334</v>
      </c>
      <c r="L249" s="37" t="s">
        <v>3651</v>
      </c>
      <c r="M249" s="184" t="s">
        <v>3647</v>
      </c>
      <c r="N249" s="53">
        <v>8</v>
      </c>
      <c r="O249" s="3" t="s">
        <v>3631</v>
      </c>
      <c r="P249" s="19" t="s">
        <v>3632</v>
      </c>
    </row>
    <row r="250" spans="1:16" ht="41.25">
      <c r="A250" s="19"/>
      <c r="B250" s="19"/>
      <c r="C250" s="19"/>
      <c r="D250" s="19"/>
      <c r="E250" s="19"/>
      <c r="F250" s="19"/>
      <c r="G250" s="19"/>
      <c r="H250" s="10">
        <v>5</v>
      </c>
      <c r="I250" t="s">
        <v>3648</v>
      </c>
      <c r="J250" t="s">
        <v>3650</v>
      </c>
      <c r="K250" s="12" t="s">
        <v>334</v>
      </c>
      <c r="L250" s="37" t="s">
        <v>3652</v>
      </c>
      <c r="M250" s="184" t="s">
        <v>3647</v>
      </c>
      <c r="N250" s="53">
        <v>12</v>
      </c>
      <c r="O250" s="3" t="s">
        <v>3642</v>
      </c>
      <c r="P250" s="19" t="s">
        <v>3632</v>
      </c>
    </row>
    <row r="251" spans="1:16" ht="41.25">
      <c r="A251" s="19"/>
      <c r="B251" s="19"/>
      <c r="C251" s="19"/>
      <c r="D251" s="19"/>
      <c r="E251" s="19"/>
      <c r="F251" s="19"/>
      <c r="G251" s="19"/>
      <c r="H251" s="10">
        <v>6</v>
      </c>
      <c r="I251" t="s">
        <v>3648</v>
      </c>
      <c r="J251" t="s">
        <v>3650</v>
      </c>
      <c r="K251" s="12" t="s">
        <v>334</v>
      </c>
      <c r="L251" s="37" t="s">
        <v>3646</v>
      </c>
      <c r="M251" s="184" t="s">
        <v>3647</v>
      </c>
      <c r="N251" s="53">
        <v>15</v>
      </c>
      <c r="O251" s="3" t="s">
        <v>3636</v>
      </c>
      <c r="P251" s="19" t="s">
        <v>3632</v>
      </c>
    </row>
    <row r="252" spans="1:16">
      <c r="A252" s="136">
        <v>2107100000114</v>
      </c>
      <c r="B252" s="19"/>
      <c r="C252" s="137">
        <v>2200000000059</v>
      </c>
      <c r="D252" s="26" t="s">
        <v>3653</v>
      </c>
      <c r="E252" s="26" t="b">
        <v>1</v>
      </c>
      <c r="F252" s="19"/>
      <c r="G252" s="19"/>
      <c r="H252" s="19"/>
      <c r="I252" s="19"/>
      <c r="J252" s="19"/>
      <c r="K252" s="19"/>
      <c r="L252" s="19"/>
      <c r="M252" s="184"/>
      <c r="N252" s="19"/>
      <c r="O252" s="19"/>
      <c r="P252" s="19"/>
    </row>
    <row r="253" spans="1:16" ht="41.25">
      <c r="A253" s="19"/>
      <c r="B253" s="19"/>
      <c r="C253" s="19"/>
      <c r="D253" s="19"/>
      <c r="E253" s="19"/>
      <c r="F253" s="19"/>
      <c r="G253" s="19"/>
      <c r="H253" s="10">
        <v>1</v>
      </c>
      <c r="I253" t="s">
        <v>3654</v>
      </c>
      <c r="J253" t="s">
        <v>3655</v>
      </c>
      <c r="K253" s="12" t="s">
        <v>334</v>
      </c>
      <c r="L253" s="37" t="s">
        <v>3646</v>
      </c>
      <c r="M253" s="184" t="s">
        <v>3656</v>
      </c>
      <c r="N253" s="53">
        <v>1</v>
      </c>
      <c r="O253" s="3" t="s">
        <v>3657</v>
      </c>
      <c r="P253" s="19" t="s">
        <v>3632</v>
      </c>
    </row>
    <row r="254" spans="1:16">
      <c r="A254" s="136">
        <v>2107100000115</v>
      </c>
      <c r="B254" s="19"/>
      <c r="C254" s="137">
        <v>2200000000059</v>
      </c>
      <c r="D254" s="26" t="s">
        <v>3637</v>
      </c>
      <c r="E254" s="26" t="b">
        <v>1</v>
      </c>
      <c r="F254" s="19"/>
      <c r="G254" s="19"/>
      <c r="H254" s="19"/>
      <c r="I254" s="19"/>
      <c r="J254" s="19"/>
      <c r="K254" s="19"/>
      <c r="L254" s="19"/>
      <c r="M254" s="184"/>
      <c r="N254" s="19"/>
      <c r="O254" s="19"/>
      <c r="P254" s="19"/>
    </row>
    <row r="255" spans="1:16" ht="41.25">
      <c r="A255" s="19"/>
      <c r="B255" s="19"/>
      <c r="C255" s="19"/>
      <c r="D255" s="19"/>
      <c r="E255" s="19"/>
      <c r="F255" s="19"/>
      <c r="G255" s="19"/>
      <c r="H255" s="10">
        <v>1</v>
      </c>
      <c r="I255" t="s">
        <v>3658</v>
      </c>
      <c r="J255" t="s">
        <v>3659</v>
      </c>
      <c r="K255" s="12" t="s">
        <v>334</v>
      </c>
      <c r="L255" s="37" t="s">
        <v>3646</v>
      </c>
      <c r="M255" s="184" t="s">
        <v>3660</v>
      </c>
      <c r="N255" s="53">
        <v>1</v>
      </c>
      <c r="O255" s="3" t="s">
        <v>3642</v>
      </c>
      <c r="P255" s="19" t="s">
        <v>3632</v>
      </c>
    </row>
    <row r="256" spans="1:16" ht="41.25">
      <c r="A256" s="19"/>
      <c r="B256" s="19"/>
      <c r="C256" s="19"/>
      <c r="D256" s="19"/>
      <c r="E256" s="19"/>
      <c r="F256" s="19"/>
      <c r="G256" s="19"/>
      <c r="H256" s="10">
        <v>2</v>
      </c>
      <c r="I256" t="s">
        <v>3658</v>
      </c>
      <c r="J256" t="s">
        <v>3661</v>
      </c>
      <c r="K256" s="12" t="s">
        <v>334</v>
      </c>
      <c r="L256" s="37" t="s">
        <v>3662</v>
      </c>
      <c r="M256" s="184" t="s">
        <v>3660</v>
      </c>
      <c r="N256" s="53">
        <v>3</v>
      </c>
      <c r="O256" s="3" t="s">
        <v>3642</v>
      </c>
      <c r="P256" s="19" t="s">
        <v>3632</v>
      </c>
    </row>
    <row r="257" spans="1:16" ht="41.25">
      <c r="A257" s="19"/>
      <c r="B257" s="19"/>
      <c r="C257" s="19"/>
      <c r="D257" s="19"/>
      <c r="E257" s="19"/>
      <c r="F257" s="19"/>
      <c r="G257" s="19"/>
      <c r="H257" s="10">
        <v>3</v>
      </c>
      <c r="I257" t="s">
        <v>3663</v>
      </c>
      <c r="J257" t="s">
        <v>926</v>
      </c>
      <c r="K257" s="12" t="s">
        <v>334</v>
      </c>
      <c r="L257" s="37" t="s">
        <v>3646</v>
      </c>
      <c r="M257" s="184" t="s">
        <v>3660</v>
      </c>
      <c r="N257" s="53">
        <v>5</v>
      </c>
      <c r="O257" s="3" t="s">
        <v>3642</v>
      </c>
      <c r="P257" s="19" t="s">
        <v>3632</v>
      </c>
    </row>
    <row r="258" spans="1:16" ht="41.25">
      <c r="A258" s="19"/>
      <c r="B258" s="19"/>
      <c r="C258" s="19"/>
      <c r="D258" s="19"/>
      <c r="E258" s="19"/>
      <c r="F258" s="19"/>
      <c r="G258" s="19"/>
      <c r="H258" s="10">
        <v>4</v>
      </c>
      <c r="I258" t="s">
        <v>3663</v>
      </c>
      <c r="J258" t="s">
        <v>926</v>
      </c>
      <c r="K258" s="12" t="s">
        <v>334</v>
      </c>
      <c r="L258" s="37" t="s">
        <v>3646</v>
      </c>
      <c r="M258" s="184" t="s">
        <v>3660</v>
      </c>
      <c r="N258" s="53">
        <v>8</v>
      </c>
      <c r="O258" s="3" t="s">
        <v>3642</v>
      </c>
      <c r="P258" s="19" t="s">
        <v>3632</v>
      </c>
    </row>
    <row r="259" spans="1:16" ht="41.25">
      <c r="A259" s="19"/>
      <c r="B259" s="19"/>
      <c r="C259" s="19"/>
      <c r="D259" s="19"/>
      <c r="E259" s="19"/>
      <c r="F259" s="19"/>
      <c r="G259" s="19"/>
      <c r="H259" s="10">
        <v>5</v>
      </c>
      <c r="I259" t="s">
        <v>925</v>
      </c>
      <c r="J259" t="s">
        <v>3664</v>
      </c>
      <c r="K259" s="12" t="s">
        <v>334</v>
      </c>
      <c r="L259" s="37" t="s">
        <v>3662</v>
      </c>
      <c r="M259" s="184" t="s">
        <v>3660</v>
      </c>
      <c r="N259" s="53">
        <v>12</v>
      </c>
      <c r="O259" s="3" t="s">
        <v>3636</v>
      </c>
      <c r="P259" s="19" t="s">
        <v>3632</v>
      </c>
    </row>
    <row r="260" spans="1:16" ht="41.25">
      <c r="A260" s="19"/>
      <c r="B260" s="19"/>
      <c r="C260" s="19"/>
      <c r="D260" s="19"/>
      <c r="E260" s="19"/>
      <c r="F260" s="19"/>
      <c r="G260" s="19"/>
      <c r="H260" s="10">
        <v>6</v>
      </c>
      <c r="I260" t="s">
        <v>3658</v>
      </c>
      <c r="J260" t="s">
        <v>3665</v>
      </c>
      <c r="K260" s="12" t="s">
        <v>334</v>
      </c>
      <c r="L260" s="37" t="s">
        <v>3646</v>
      </c>
      <c r="M260" s="184" t="s">
        <v>3660</v>
      </c>
      <c r="N260" s="53">
        <v>15</v>
      </c>
      <c r="O260" s="3" t="s">
        <v>3644</v>
      </c>
      <c r="P260" s="19" t="s">
        <v>3632</v>
      </c>
    </row>
    <row r="261" spans="1:16">
      <c r="A261" s="136">
        <v>2107100000116</v>
      </c>
      <c r="B261" s="19"/>
      <c r="C261" s="137">
        <v>2200000000059</v>
      </c>
      <c r="D261" s="26" t="s">
        <v>3637</v>
      </c>
      <c r="E261" s="26" t="b">
        <v>1</v>
      </c>
      <c r="F261" s="19"/>
      <c r="G261" s="19"/>
      <c r="H261" s="19"/>
      <c r="I261" s="19"/>
      <c r="J261" s="19"/>
      <c r="K261" s="19"/>
      <c r="L261" s="19"/>
      <c r="M261" s="184"/>
      <c r="N261" s="19"/>
      <c r="O261" s="19"/>
      <c r="P261" s="19"/>
    </row>
    <row r="262" spans="1:16" ht="41.25">
      <c r="A262" s="19"/>
      <c r="B262" s="19"/>
      <c r="C262" s="19"/>
      <c r="D262" s="19"/>
      <c r="E262" s="19"/>
      <c r="F262" s="19"/>
      <c r="G262" s="19"/>
      <c r="H262" s="10">
        <v>1</v>
      </c>
      <c r="I262" t="s">
        <v>927</v>
      </c>
      <c r="J262" t="s">
        <v>928</v>
      </c>
      <c r="K262" s="12" t="s">
        <v>334</v>
      </c>
      <c r="L262" s="37" t="s">
        <v>777</v>
      </c>
      <c r="M262" s="184" t="s">
        <v>3666</v>
      </c>
      <c r="N262" s="19">
        <v>1</v>
      </c>
      <c r="O262" s="3" t="s">
        <v>3667</v>
      </c>
      <c r="P262" s="19" t="s">
        <v>3632</v>
      </c>
    </row>
    <row r="263" spans="1:16">
      <c r="A263" s="136">
        <v>2107100000117</v>
      </c>
      <c r="B263" s="19"/>
      <c r="C263" s="137">
        <v>2200000000059</v>
      </c>
      <c r="D263" s="26" t="s">
        <v>3638</v>
      </c>
      <c r="E263" s="26" t="b">
        <v>1</v>
      </c>
      <c r="F263" s="19"/>
      <c r="G263" s="19"/>
      <c r="H263" s="19"/>
      <c r="I263" s="19"/>
      <c r="J263" s="19"/>
      <c r="K263" s="19"/>
      <c r="L263" s="19"/>
      <c r="M263" s="184"/>
      <c r="N263" s="19"/>
      <c r="O263" s="19"/>
      <c r="P263" s="19"/>
    </row>
    <row r="264" spans="1:16">
      <c r="A264" s="19"/>
      <c r="B264" s="19"/>
      <c r="C264" s="19"/>
      <c r="D264" s="19"/>
      <c r="E264" s="19"/>
      <c r="F264" s="19"/>
      <c r="G264" s="19"/>
      <c r="H264" s="10">
        <v>1</v>
      </c>
      <c r="I264" t="s">
        <v>3668</v>
      </c>
      <c r="J264" t="s">
        <v>3669</v>
      </c>
      <c r="K264" s="12" t="s">
        <v>334</v>
      </c>
      <c r="L264" s="37" t="s">
        <v>3670</v>
      </c>
      <c r="M264" s="184" t="s">
        <v>3671</v>
      </c>
      <c r="N264" s="53">
        <v>200</v>
      </c>
      <c r="O264" s="3" t="s">
        <v>3672</v>
      </c>
      <c r="P264" s="19" t="s">
        <v>3673</v>
      </c>
    </row>
    <row r="265" spans="1:16">
      <c r="A265" s="19"/>
      <c r="B265" s="19"/>
      <c r="C265" s="19"/>
      <c r="D265" s="19"/>
      <c r="E265" s="19"/>
      <c r="F265" s="19"/>
      <c r="G265" s="19"/>
      <c r="H265" s="10">
        <v>2</v>
      </c>
      <c r="I265" t="s">
        <v>3668</v>
      </c>
      <c r="J265" t="s">
        <v>3669</v>
      </c>
      <c r="K265" s="12" t="s">
        <v>334</v>
      </c>
      <c r="L265" s="37" t="s">
        <v>990</v>
      </c>
      <c r="M265" s="184" t="s">
        <v>3671</v>
      </c>
      <c r="N265" s="53">
        <v>400</v>
      </c>
      <c r="O265" s="3" t="s">
        <v>3674</v>
      </c>
      <c r="P265" s="19" t="s">
        <v>3673</v>
      </c>
    </row>
    <row r="266" spans="1:16">
      <c r="A266" s="19"/>
      <c r="B266" s="19"/>
      <c r="C266" s="19"/>
      <c r="D266" s="19"/>
      <c r="E266" s="19"/>
      <c r="F266" s="19"/>
      <c r="G266" s="19"/>
      <c r="H266" s="10">
        <v>3</v>
      </c>
      <c r="I266" t="s">
        <v>3668</v>
      </c>
      <c r="J266" t="s">
        <v>3669</v>
      </c>
      <c r="K266" s="12" t="s">
        <v>334</v>
      </c>
      <c r="L266" s="37" t="s">
        <v>990</v>
      </c>
      <c r="M266" s="184" t="s">
        <v>3671</v>
      </c>
      <c r="N266" s="53">
        <v>600</v>
      </c>
      <c r="O266" s="3" t="s">
        <v>3675</v>
      </c>
      <c r="P266" s="19" t="s">
        <v>3673</v>
      </c>
    </row>
  </sheetData>
  <phoneticPr fontId="4" type="noConversion"/>
  <conditionalFormatting sqref="A1:A3">
    <cfRule type="duplicateValues" dxfId="9" priority="1"/>
  </conditionalFormatting>
  <pageMargins left="0.7" right="0.7" top="0.75" bottom="0.75"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235"/>
  <sheetViews>
    <sheetView topLeftCell="A220" workbookViewId="0">
      <selection activeCell="I252" sqref="I252"/>
    </sheetView>
  </sheetViews>
  <sheetFormatPr defaultRowHeight="16.5"/>
  <cols>
    <col min="1" max="1" width="15.625" style="138" bestFit="1" customWidth="1"/>
    <col min="2" max="2" width="5.75" bestFit="1" customWidth="1"/>
    <col min="3" max="3" width="16.125" style="138" bestFit="1" customWidth="1"/>
    <col min="4" max="4" width="13.5" bestFit="1" customWidth="1"/>
    <col min="5" max="5" width="16.625" bestFit="1" customWidth="1"/>
    <col min="6" max="7" width="8.25" customWidth="1"/>
    <col min="8" max="8" width="8" bestFit="1" customWidth="1"/>
    <col min="9" max="9" width="33.625" bestFit="1" customWidth="1"/>
    <col min="10" max="10" width="32.5" bestFit="1" customWidth="1"/>
    <col min="11" max="11" width="18.125" bestFit="1" customWidth="1"/>
    <col min="12" max="12" width="31.125" bestFit="1" customWidth="1"/>
    <col min="13" max="13" width="23.625" bestFit="1" customWidth="1"/>
    <col min="14" max="14" width="27.625" bestFit="1" customWidth="1"/>
    <col min="15" max="15" width="27.5" bestFit="1" customWidth="1"/>
    <col min="16" max="16" width="9.375" bestFit="1" customWidth="1"/>
    <col min="17" max="18" width="32.125" customWidth="1"/>
    <col min="19" max="19" width="27.875" bestFit="1" customWidth="1"/>
  </cols>
  <sheetData>
    <row r="1" spans="1:19">
      <c r="A1" s="185" t="s">
        <v>304</v>
      </c>
      <c r="B1" s="164" t="s">
        <v>305</v>
      </c>
      <c r="C1" s="186" t="s">
        <v>306</v>
      </c>
      <c r="D1" s="165" t="s">
        <v>307</v>
      </c>
      <c r="E1" s="166" t="s">
        <v>308</v>
      </c>
      <c r="F1" s="165" t="s">
        <v>636</v>
      </c>
      <c r="G1" s="165" t="s">
        <v>3740</v>
      </c>
      <c r="H1" s="167" t="s">
        <v>309</v>
      </c>
      <c r="I1" s="167" t="s">
        <v>310</v>
      </c>
      <c r="J1" s="167" t="s">
        <v>311</v>
      </c>
      <c r="K1" s="167" t="s">
        <v>312</v>
      </c>
      <c r="L1" s="167" t="s">
        <v>1378</v>
      </c>
      <c r="M1" s="167" t="s">
        <v>313</v>
      </c>
      <c r="N1" s="167"/>
      <c r="O1" s="167" t="s">
        <v>314</v>
      </c>
      <c r="P1" s="167" t="s">
        <v>315</v>
      </c>
      <c r="Q1" s="167" t="s">
        <v>316</v>
      </c>
      <c r="R1" s="167"/>
      <c r="S1" s="9" t="s">
        <v>317</v>
      </c>
    </row>
    <row r="2" spans="1:19">
      <c r="A2" s="185" t="s">
        <v>318</v>
      </c>
      <c r="B2" s="165" t="s">
        <v>3</v>
      </c>
      <c r="C2" s="185" t="s">
        <v>319</v>
      </c>
      <c r="D2" s="165" t="s">
        <v>320</v>
      </c>
      <c r="E2" s="168" t="s">
        <v>321</v>
      </c>
      <c r="F2" s="165" t="s">
        <v>320</v>
      </c>
      <c r="G2" s="165" t="s">
        <v>851</v>
      </c>
      <c r="H2" s="167" t="s">
        <v>322</v>
      </c>
      <c r="I2" s="167" t="s">
        <v>323</v>
      </c>
      <c r="J2" s="167" t="s">
        <v>323</v>
      </c>
      <c r="K2" s="167" t="s">
        <v>324</v>
      </c>
      <c r="L2" s="167" t="s">
        <v>1379</v>
      </c>
      <c r="M2" s="167" t="s">
        <v>325</v>
      </c>
      <c r="N2" s="167"/>
      <c r="O2" s="167" t="s">
        <v>326</v>
      </c>
      <c r="P2" s="167" t="s">
        <v>322</v>
      </c>
      <c r="Q2" s="167" t="s">
        <v>320</v>
      </c>
      <c r="R2" s="167"/>
      <c r="S2" s="9" t="s">
        <v>327</v>
      </c>
    </row>
    <row r="3" spans="1:19">
      <c r="A3" s="185" t="s">
        <v>328</v>
      </c>
      <c r="B3" s="165" t="s">
        <v>3</v>
      </c>
      <c r="C3" s="185" t="s">
        <v>328</v>
      </c>
      <c r="D3" s="165" t="s">
        <v>329</v>
      </c>
      <c r="E3" s="168" t="s">
        <v>4</v>
      </c>
      <c r="F3" s="165" t="s">
        <v>328</v>
      </c>
      <c r="G3" s="165" t="s">
        <v>328</v>
      </c>
      <c r="H3" s="167" t="s">
        <v>328</v>
      </c>
      <c r="I3" s="167" t="s">
        <v>4</v>
      </c>
      <c r="J3" s="167" t="s">
        <v>4</v>
      </c>
      <c r="K3" s="167" t="s">
        <v>328</v>
      </c>
      <c r="L3" s="167" t="s">
        <v>1380</v>
      </c>
      <c r="M3" s="167" t="s">
        <v>328</v>
      </c>
      <c r="N3" s="167"/>
      <c r="O3" s="167" t="s">
        <v>328</v>
      </c>
      <c r="P3" s="167" t="s">
        <v>328</v>
      </c>
      <c r="Q3" s="167" t="s">
        <v>328</v>
      </c>
      <c r="R3" s="167"/>
      <c r="S3" s="9" t="s">
        <v>4</v>
      </c>
    </row>
    <row r="4" spans="1:19" s="24" customFormat="1" ht="13.5">
      <c r="A4" s="172">
        <v>2111000000011</v>
      </c>
      <c r="C4" s="172">
        <v>2211000000001</v>
      </c>
      <c r="D4" s="323" t="s">
        <v>331</v>
      </c>
      <c r="E4" s="24" t="b">
        <v>1</v>
      </c>
      <c r="L4" s="210"/>
      <c r="M4" s="210"/>
      <c r="N4" s="210"/>
      <c r="O4" s="210"/>
      <c r="R4" s="210"/>
      <c r="S4" s="210"/>
    </row>
    <row r="5" spans="1:19" s="24" customFormat="1" ht="27">
      <c r="A5" s="172"/>
      <c r="C5" s="172"/>
      <c r="H5" s="80" t="s">
        <v>332</v>
      </c>
      <c r="I5" s="24" t="s">
        <v>1991</v>
      </c>
      <c r="J5" s="24" t="s">
        <v>1991</v>
      </c>
      <c r="K5" s="194" t="s">
        <v>334</v>
      </c>
      <c r="L5" s="211" t="s">
        <v>1308</v>
      </c>
      <c r="M5" s="212" t="s">
        <v>366</v>
      </c>
      <c r="N5" s="212" t="s">
        <v>367</v>
      </c>
      <c r="O5" s="24" t="s">
        <v>367</v>
      </c>
      <c r="P5" s="24">
        <v>50</v>
      </c>
      <c r="Q5" s="195" t="s">
        <v>1034</v>
      </c>
      <c r="R5" s="212" t="s">
        <v>611</v>
      </c>
      <c r="S5" s="24" t="s">
        <v>611</v>
      </c>
    </row>
    <row r="6" spans="1:19" s="24" customFormat="1" ht="13.5">
      <c r="A6" s="172">
        <v>2111000000012</v>
      </c>
      <c r="C6" s="172">
        <v>2211000000001</v>
      </c>
      <c r="D6" s="323" t="s">
        <v>331</v>
      </c>
      <c r="E6" s="24" t="b">
        <v>1</v>
      </c>
      <c r="K6" s="87"/>
      <c r="L6" s="210"/>
      <c r="M6" s="210"/>
      <c r="N6" s="210"/>
      <c r="O6" s="210"/>
      <c r="Q6" s="40"/>
      <c r="R6" s="210"/>
      <c r="S6" s="210"/>
    </row>
    <row r="7" spans="1:19" s="24" customFormat="1" ht="27">
      <c r="A7" s="172"/>
      <c r="C7" s="172"/>
      <c r="H7" s="80" t="s">
        <v>332</v>
      </c>
      <c r="I7" s="24" t="s">
        <v>2981</v>
      </c>
      <c r="J7" s="24" t="s">
        <v>2981</v>
      </c>
      <c r="K7" s="194" t="s">
        <v>334</v>
      </c>
      <c r="L7" s="211" t="s">
        <v>1344</v>
      </c>
      <c r="M7" s="212" t="s">
        <v>361</v>
      </c>
      <c r="N7" s="212" t="s">
        <v>1562</v>
      </c>
      <c r="O7" s="24" t="s">
        <v>1562</v>
      </c>
      <c r="P7" s="24">
        <v>3</v>
      </c>
      <c r="Q7" s="195" t="s">
        <v>1034</v>
      </c>
      <c r="R7" s="212" t="s">
        <v>362</v>
      </c>
      <c r="S7" s="24" t="s">
        <v>362</v>
      </c>
    </row>
    <row r="8" spans="1:19" s="24" customFormat="1" ht="13.5">
      <c r="A8" s="172">
        <v>2111000000013</v>
      </c>
      <c r="C8" s="172">
        <v>2211000000001</v>
      </c>
      <c r="D8" s="323" t="s">
        <v>331</v>
      </c>
      <c r="E8" s="24" t="b">
        <v>1</v>
      </c>
      <c r="L8" s="210"/>
      <c r="M8" s="210"/>
      <c r="N8" s="210"/>
      <c r="O8" s="210"/>
      <c r="R8" s="210"/>
      <c r="S8" s="210"/>
    </row>
    <row r="9" spans="1:19" s="24" customFormat="1" ht="27">
      <c r="A9" s="172"/>
      <c r="C9" s="172"/>
      <c r="H9" s="80" t="s">
        <v>332</v>
      </c>
      <c r="I9" s="24" t="s">
        <v>1047</v>
      </c>
      <c r="J9" s="24" t="s">
        <v>1047</v>
      </c>
      <c r="K9" s="194" t="s">
        <v>334</v>
      </c>
      <c r="L9" s="211" t="s">
        <v>1100</v>
      </c>
      <c r="M9" s="212" t="s">
        <v>343</v>
      </c>
      <c r="N9" s="212" t="s">
        <v>1562</v>
      </c>
      <c r="O9" s="24" t="s">
        <v>1562</v>
      </c>
      <c r="P9" s="24">
        <v>2</v>
      </c>
      <c r="Q9" s="195" t="s">
        <v>1034</v>
      </c>
      <c r="R9" s="212" t="s">
        <v>1399</v>
      </c>
      <c r="S9" s="24" t="s">
        <v>1399</v>
      </c>
    </row>
    <row r="10" spans="1:19" s="24" customFormat="1" ht="13.5">
      <c r="A10" s="172">
        <v>2111000000014</v>
      </c>
      <c r="C10" s="172">
        <v>2211000000001</v>
      </c>
      <c r="D10" s="323" t="s">
        <v>331</v>
      </c>
      <c r="E10" s="24" t="b">
        <v>1</v>
      </c>
      <c r="L10" s="210"/>
      <c r="M10" s="210"/>
      <c r="N10" s="210"/>
      <c r="O10" s="210"/>
      <c r="R10" s="210"/>
      <c r="S10" s="210"/>
    </row>
    <row r="11" spans="1:19" s="24" customFormat="1" ht="27">
      <c r="A11" s="172"/>
      <c r="C11" s="172"/>
      <c r="H11" s="80">
        <v>1</v>
      </c>
      <c r="I11" s="24" t="s">
        <v>1048</v>
      </c>
      <c r="J11" s="24" t="s">
        <v>1048</v>
      </c>
      <c r="K11" s="194" t="s">
        <v>334</v>
      </c>
      <c r="L11" s="211" t="s">
        <v>1299</v>
      </c>
      <c r="M11" s="212" t="s">
        <v>370</v>
      </c>
      <c r="N11" s="212" t="s">
        <v>371</v>
      </c>
      <c r="O11" s="24" t="s">
        <v>371</v>
      </c>
      <c r="P11" s="24">
        <v>1</v>
      </c>
      <c r="Q11" s="195" t="s">
        <v>1034</v>
      </c>
      <c r="R11" s="212" t="s">
        <v>372</v>
      </c>
      <c r="S11" s="24" t="s">
        <v>372</v>
      </c>
    </row>
    <row r="12" spans="1:19" s="24" customFormat="1" ht="13.5">
      <c r="A12" s="172">
        <v>2111000000015</v>
      </c>
      <c r="C12" s="172">
        <v>2211000000001</v>
      </c>
      <c r="D12" s="323" t="s">
        <v>331</v>
      </c>
      <c r="E12" s="24" t="b">
        <v>1</v>
      </c>
      <c r="L12" s="210"/>
      <c r="M12" s="210"/>
      <c r="N12" s="210"/>
      <c r="O12" s="210"/>
      <c r="R12" s="210"/>
      <c r="S12" s="210"/>
    </row>
    <row r="13" spans="1:19" s="24" customFormat="1" ht="27">
      <c r="A13" s="172"/>
      <c r="C13" s="172"/>
      <c r="H13" s="80" t="s">
        <v>332</v>
      </c>
      <c r="I13" s="24" t="s">
        <v>1049</v>
      </c>
      <c r="J13" s="24" t="s">
        <v>1049</v>
      </c>
      <c r="K13" s="194" t="s">
        <v>334</v>
      </c>
      <c r="L13" s="211" t="s">
        <v>1300</v>
      </c>
      <c r="M13" s="212" t="s">
        <v>370</v>
      </c>
      <c r="N13" s="212" t="s">
        <v>374</v>
      </c>
      <c r="O13" s="24" t="s">
        <v>374</v>
      </c>
      <c r="P13" s="24">
        <v>1</v>
      </c>
      <c r="Q13" s="195" t="s">
        <v>1034</v>
      </c>
      <c r="R13" s="212" t="s">
        <v>3170</v>
      </c>
      <c r="S13" s="287" t="s">
        <v>3169</v>
      </c>
    </row>
    <row r="14" spans="1:19" s="24" customFormat="1" ht="13.5">
      <c r="A14" s="172">
        <v>2111000000016</v>
      </c>
      <c r="C14" s="172">
        <v>2211000000001</v>
      </c>
      <c r="D14" s="323" t="s">
        <v>331</v>
      </c>
      <c r="E14" s="24" t="b">
        <v>1</v>
      </c>
      <c r="L14" s="210"/>
      <c r="M14" s="210"/>
      <c r="N14" s="210"/>
      <c r="O14" s="210"/>
      <c r="R14" s="210"/>
      <c r="S14" s="210"/>
    </row>
    <row r="15" spans="1:19" s="24" customFormat="1" ht="27">
      <c r="A15" s="172"/>
      <c r="C15" s="172"/>
      <c r="H15" s="80" t="s">
        <v>332</v>
      </c>
      <c r="I15" s="24" t="s">
        <v>1050</v>
      </c>
      <c r="J15" s="24" t="s">
        <v>1050</v>
      </c>
      <c r="K15" s="194" t="s">
        <v>334</v>
      </c>
      <c r="L15" s="211" t="s">
        <v>1314</v>
      </c>
      <c r="M15" s="212" t="s">
        <v>425</v>
      </c>
      <c r="N15" s="212" t="s">
        <v>354</v>
      </c>
      <c r="O15" s="24" t="s">
        <v>354</v>
      </c>
      <c r="P15" s="24">
        <v>1</v>
      </c>
      <c r="Q15" s="195" t="s">
        <v>1034</v>
      </c>
      <c r="R15" s="212" t="s">
        <v>437</v>
      </c>
      <c r="S15" s="24" t="s">
        <v>437</v>
      </c>
    </row>
    <row r="16" spans="1:19" s="24" customFormat="1" ht="13.5">
      <c r="A16" s="172">
        <v>2111000000017</v>
      </c>
      <c r="C16" s="172">
        <v>2211000000001</v>
      </c>
      <c r="D16" s="323" t="s">
        <v>331</v>
      </c>
      <c r="E16" s="24" t="b">
        <v>1</v>
      </c>
      <c r="L16" s="210"/>
      <c r="M16" s="210"/>
      <c r="N16" s="210"/>
      <c r="O16" s="210"/>
      <c r="R16" s="210"/>
      <c r="S16" s="210"/>
    </row>
    <row r="17" spans="1:19" s="24" customFormat="1" ht="27">
      <c r="A17" s="172"/>
      <c r="C17" s="172"/>
      <c r="H17" s="80" t="s">
        <v>332</v>
      </c>
      <c r="I17" s="24" t="s">
        <v>1051</v>
      </c>
      <c r="J17" s="24" t="s">
        <v>1051</v>
      </c>
      <c r="K17" s="194" t="s">
        <v>334</v>
      </c>
      <c r="L17" s="211" t="s">
        <v>731</v>
      </c>
      <c r="M17" s="212" t="s">
        <v>1327</v>
      </c>
      <c r="N17" s="212" t="s">
        <v>1562</v>
      </c>
      <c r="O17" s="24" t="s">
        <v>1562</v>
      </c>
      <c r="P17" s="24">
        <v>1</v>
      </c>
      <c r="Q17" s="195" t="s">
        <v>1034</v>
      </c>
      <c r="R17" s="212" t="s">
        <v>488</v>
      </c>
      <c r="S17" s="24" t="s">
        <v>488</v>
      </c>
    </row>
    <row r="18" spans="1:19" s="24" customFormat="1" ht="13.5">
      <c r="A18" s="209">
        <v>2111000000111</v>
      </c>
      <c r="C18" s="209">
        <v>2211000000002</v>
      </c>
      <c r="D18" s="323" t="s">
        <v>331</v>
      </c>
      <c r="E18" s="24" t="b">
        <v>1</v>
      </c>
      <c r="L18" s="210"/>
      <c r="M18" s="210"/>
      <c r="N18" s="210"/>
      <c r="O18" s="210"/>
      <c r="R18" s="210"/>
      <c r="S18" s="210"/>
    </row>
    <row r="19" spans="1:19" s="24" customFormat="1" ht="27">
      <c r="A19" s="172"/>
      <c r="C19" s="172"/>
      <c r="H19" s="80" t="s">
        <v>332</v>
      </c>
      <c r="I19" s="24" t="s">
        <v>1062</v>
      </c>
      <c r="J19" s="24" t="s">
        <v>1045</v>
      </c>
      <c r="K19" s="194" t="s">
        <v>334</v>
      </c>
      <c r="L19" s="211" t="s">
        <v>741</v>
      </c>
      <c r="M19" s="212" t="str">
        <f>VLOOKUP(L19,'#Mission.Set'!$A:$D,2,FALSE)</f>
        <v>FavorLevelUp</v>
      </c>
      <c r="N19" s="212" t="str">
        <f>IF(VLOOKUP($L19,'#Mission.Set'!$A:$D,3,FALSE)=0,"",VLOOKUP($L19,'#Mission.Set'!$A:$D,3,FALSE))</f>
        <v/>
      </c>
      <c r="O19" s="24" t="str">
        <f t="shared" ref="O19" si="0">N19</f>
        <v/>
      </c>
      <c r="P19" s="24">
        <v>1</v>
      </c>
      <c r="Q19" s="195" t="s">
        <v>1264</v>
      </c>
      <c r="R19" s="212" t="str">
        <f>IF(VLOOKUP($L19,'#Mission.Set'!$A:$D,4,FALSE)=0,"",VLOOKUP($L19,'#Mission.Set'!$A:$D,4,FALSE))</f>
        <v>QuickMove.Favorability</v>
      </c>
      <c r="S19" s="24" t="str">
        <f t="shared" ref="S19" si="1">R19</f>
        <v>QuickMove.Favorability</v>
      </c>
    </row>
    <row r="20" spans="1:19" s="24" customFormat="1" ht="13.5">
      <c r="A20" s="172">
        <v>2111000000112</v>
      </c>
      <c r="C20" s="172">
        <v>2211000000002</v>
      </c>
      <c r="D20" s="323" t="s">
        <v>331</v>
      </c>
      <c r="E20" s="24" t="b">
        <v>1</v>
      </c>
      <c r="K20" s="87"/>
      <c r="L20" s="210"/>
      <c r="M20" s="210"/>
      <c r="N20" s="210"/>
      <c r="O20" s="210"/>
      <c r="Q20" s="40"/>
      <c r="R20" s="210"/>
      <c r="S20" s="210"/>
    </row>
    <row r="21" spans="1:19" s="24" customFormat="1" ht="27">
      <c r="A21" s="172"/>
      <c r="C21" s="172"/>
      <c r="H21" s="80" t="s">
        <v>332</v>
      </c>
      <c r="I21" s="24" t="s">
        <v>1046</v>
      </c>
      <c r="J21" s="24" t="s">
        <v>1046</v>
      </c>
      <c r="K21" s="194" t="s">
        <v>334</v>
      </c>
      <c r="L21" s="211" t="s">
        <v>1354</v>
      </c>
      <c r="M21" s="212" t="str">
        <f>VLOOKUP(L21,'#Mission.Set'!$A:$D,2,FALSE)</f>
        <v>PluginLvUp</v>
      </c>
      <c r="N21" s="212" t="str">
        <f>IF(VLOOKUP($L21,'#Mission.Set'!$A:$D,3,FALSE)=0,"",VLOOKUP($L21,'#Mission.Set'!$A:$D,3,FALSE))</f>
        <v/>
      </c>
      <c r="O21" s="24" t="str">
        <f t="shared" ref="O21" si="2">N21</f>
        <v/>
      </c>
      <c r="P21" s="24">
        <v>1</v>
      </c>
      <c r="Q21" s="195" t="s">
        <v>1264</v>
      </c>
      <c r="R21" s="212" t="str">
        <f>IF(VLOOKUP($L21,'#Mission.Set'!$A:$D,4,FALSE)=0,"",VLOOKUP($L21,'#Mission.Set'!$A:$D,4,FALSE))</f>
        <v>QuickMove.Plugin</v>
      </c>
      <c r="S21" s="24" t="str">
        <f t="shared" ref="S21" si="3">R21</f>
        <v>QuickMove.Plugin</v>
      </c>
    </row>
    <row r="22" spans="1:19" s="24" customFormat="1" ht="13.5">
      <c r="A22" s="172">
        <v>2111000000113</v>
      </c>
      <c r="C22" s="172">
        <v>2211000000002</v>
      </c>
      <c r="D22" s="323" t="s">
        <v>331</v>
      </c>
      <c r="E22" s="24" t="b">
        <v>1</v>
      </c>
      <c r="L22" s="210"/>
      <c r="M22" s="210"/>
      <c r="N22" s="210"/>
      <c r="O22" s="210"/>
      <c r="R22" s="210"/>
      <c r="S22" s="210"/>
    </row>
    <row r="23" spans="1:19" s="24" customFormat="1" ht="27">
      <c r="A23" s="172"/>
      <c r="C23" s="172"/>
      <c r="H23" s="80" t="s">
        <v>332</v>
      </c>
      <c r="I23" s="24" t="s">
        <v>1047</v>
      </c>
      <c r="J23" s="24" t="s">
        <v>1047</v>
      </c>
      <c r="K23" s="194" t="s">
        <v>334</v>
      </c>
      <c r="L23" s="211" t="s">
        <v>1299</v>
      </c>
      <c r="M23" s="212" t="str">
        <f>VLOOKUP(L23,'#Mission.Set'!$A:$D,2,FALSE)</f>
        <v>TryGacha</v>
      </c>
      <c r="N23" s="212" t="str">
        <f>IF(VLOOKUP($L23,'#Mission.Set'!$A:$D,3,FALSE)=0,"",VLOOKUP($L23,'#Mission.Set'!$A:$D,3,FALSE))</f>
        <v>GachaGroup : Character</v>
      </c>
      <c r="O23" s="24" t="str">
        <f t="shared" ref="O23" si="4">N23</f>
        <v>GachaGroup : Character</v>
      </c>
      <c r="P23" s="24">
        <v>5</v>
      </c>
      <c r="Q23" s="195" t="s">
        <v>1264</v>
      </c>
      <c r="R23" s="212" t="str">
        <f>IF(VLOOKUP($L23,'#Mission.Set'!$A:$D,4,FALSE)=0,"",VLOOKUP($L23,'#Mission.Set'!$A:$D,4,FALSE))</f>
        <v>QuickMove.Gacha.Character</v>
      </c>
      <c r="S23" s="24" t="str">
        <f t="shared" ref="S23" si="5">R23</f>
        <v>QuickMove.Gacha.Character</v>
      </c>
    </row>
    <row r="24" spans="1:19" s="24" customFormat="1" ht="13.5">
      <c r="A24" s="172">
        <v>2111000000114</v>
      </c>
      <c r="C24" s="172">
        <v>2211000000002</v>
      </c>
      <c r="D24" s="323" t="s">
        <v>331</v>
      </c>
      <c r="E24" s="24" t="b">
        <v>1</v>
      </c>
      <c r="L24" s="210"/>
      <c r="M24" s="210"/>
      <c r="N24" s="210"/>
      <c r="O24" s="210"/>
      <c r="R24" s="210"/>
      <c r="S24" s="210"/>
    </row>
    <row r="25" spans="1:19" s="24" customFormat="1" ht="27">
      <c r="A25" s="172"/>
      <c r="C25" s="172"/>
      <c r="H25" s="80">
        <v>1</v>
      </c>
      <c r="I25" s="24" t="s">
        <v>1048</v>
      </c>
      <c r="J25" s="24" t="s">
        <v>1048</v>
      </c>
      <c r="K25" s="194" t="s">
        <v>334</v>
      </c>
      <c r="L25" s="211" t="s">
        <v>1344</v>
      </c>
      <c r="M25" s="212" t="str">
        <f>VLOOKUP(L25,'#Mission.Set'!$A:$D,2,FALSE)</f>
        <v>CharacterLvUp</v>
      </c>
      <c r="N25" s="212" t="str">
        <f>IF(VLOOKUP($L25,'#Mission.Set'!$A:$D,3,FALSE)=0,"",VLOOKUP($L25,'#Mission.Set'!$A:$D,3,FALSE))</f>
        <v/>
      </c>
      <c r="O25" s="24" t="str">
        <f t="shared" ref="O25" si="6">N25</f>
        <v/>
      </c>
      <c r="P25" s="24">
        <v>1</v>
      </c>
      <c r="Q25" s="195" t="s">
        <v>1264</v>
      </c>
      <c r="R25" s="212" t="str">
        <f>IF(VLOOKUP($L25,'#Mission.Set'!$A:$D,4,FALSE)=0,"",VLOOKUP($L25,'#Mission.Set'!$A:$D,4,FALSE))</f>
        <v>QuickMove0250</v>
      </c>
      <c r="S25" s="24" t="str">
        <f t="shared" ref="S25" si="7">R25</f>
        <v>QuickMove0250</v>
      </c>
    </row>
    <row r="26" spans="1:19" s="24" customFormat="1" ht="13.5">
      <c r="A26" s="172">
        <v>2111000000115</v>
      </c>
      <c r="C26" s="172">
        <v>2211000000002</v>
      </c>
      <c r="D26" s="323" t="s">
        <v>331</v>
      </c>
      <c r="E26" s="24" t="b">
        <v>1</v>
      </c>
      <c r="L26" s="210"/>
      <c r="M26" s="210"/>
      <c r="N26" s="210"/>
      <c r="O26" s="210"/>
      <c r="R26" s="210"/>
      <c r="S26" s="210"/>
    </row>
    <row r="27" spans="1:19" s="24" customFormat="1" ht="27">
      <c r="A27" s="172"/>
      <c r="C27" s="172"/>
      <c r="H27" s="80" t="s">
        <v>332</v>
      </c>
      <c r="I27" s="24" t="s">
        <v>1049</v>
      </c>
      <c r="J27" s="24" t="s">
        <v>1049</v>
      </c>
      <c r="K27" s="194" t="s">
        <v>334</v>
      </c>
      <c r="L27" s="211" t="s">
        <v>754</v>
      </c>
      <c r="M27" s="212" t="str">
        <f>VLOOKUP(L27,'#Mission.Set'!$A:$D,2,FALSE)</f>
        <v>GraduateAcademy</v>
      </c>
      <c r="N27" s="212" t="str">
        <f>IF(VLOOKUP($L27,'#Mission.Set'!$A:$D,3,FALSE)=0,"",VLOOKUP($L27,'#Mission.Set'!$A:$D,3,FALSE))</f>
        <v/>
      </c>
      <c r="O27" s="24" t="str">
        <f t="shared" ref="O27" si="8">N27</f>
        <v/>
      </c>
      <c r="P27" s="24">
        <v>3</v>
      </c>
      <c r="Q27" s="195" t="s">
        <v>1264</v>
      </c>
      <c r="R27" s="212" t="str">
        <f>IF(VLOOKUP($L27,'#Mission.Set'!$A:$D,4,FALSE)=0,"",VLOOKUP($L27,'#Mission.Set'!$A:$D,4,FALSE))</f>
        <v>QuickMove.Academy.Fuction</v>
      </c>
      <c r="S27" s="24" t="str">
        <f t="shared" ref="S27" si="9">R27</f>
        <v>QuickMove.Academy.Fuction</v>
      </c>
    </row>
    <row r="28" spans="1:19" s="24" customFormat="1" ht="13.5">
      <c r="A28" s="172">
        <v>2111000000116</v>
      </c>
      <c r="C28" s="172">
        <v>2211000000002</v>
      </c>
      <c r="D28" s="323" t="s">
        <v>331</v>
      </c>
      <c r="E28" s="24" t="b">
        <v>1</v>
      </c>
      <c r="L28" s="210"/>
      <c r="M28" s="210"/>
      <c r="N28" s="210"/>
      <c r="O28" s="210"/>
      <c r="R28" s="210"/>
      <c r="S28" s="210"/>
    </row>
    <row r="29" spans="1:19" s="24" customFormat="1" ht="27">
      <c r="A29" s="172"/>
      <c r="C29" s="172"/>
      <c r="H29" s="80" t="s">
        <v>332</v>
      </c>
      <c r="I29" s="24" t="s">
        <v>1050</v>
      </c>
      <c r="J29" s="24" t="s">
        <v>1050</v>
      </c>
      <c r="K29" s="194" t="s">
        <v>334</v>
      </c>
      <c r="L29" s="211" t="s">
        <v>1313</v>
      </c>
      <c r="M29" s="212" t="str">
        <f>VLOOKUP(L29,'#Mission.Set'!$A:$D,2,FALSE)</f>
        <v>StageClear</v>
      </c>
      <c r="N29" s="212" t="str">
        <f>IF(VLOOKUP($L29,'#Mission.Set'!$A:$D,3,FALSE)=0,"",VLOOKUP($L29,'#Mission.Set'!$A:$D,3,FALSE))</f>
        <v>ContentsType : Raid</v>
      </c>
      <c r="O29" s="24" t="str">
        <f t="shared" ref="O29" si="10">N29</f>
        <v>ContentsType : Raid</v>
      </c>
      <c r="P29" s="24">
        <v>10</v>
      </c>
      <c r="Q29" s="195" t="s">
        <v>1264</v>
      </c>
      <c r="R29" s="212" t="str">
        <f>IF(VLOOKUP($L29,'#Mission.Set'!$A:$D,4,FALSE)=0,"",VLOOKUP($L29,'#Mission.Set'!$A:$D,4,FALSE))</f>
        <v>QuickMove.Raid</v>
      </c>
      <c r="S29" s="24" t="str">
        <f t="shared" ref="S29" si="11">R29</f>
        <v>QuickMove.Raid</v>
      </c>
    </row>
    <row r="30" spans="1:19" s="24" customFormat="1" ht="13.5">
      <c r="A30" s="172">
        <v>2111000000117</v>
      </c>
      <c r="C30" s="172">
        <v>2211000000002</v>
      </c>
      <c r="D30" s="323" t="s">
        <v>331</v>
      </c>
      <c r="E30" s="24" t="b">
        <v>1</v>
      </c>
      <c r="L30" s="210"/>
      <c r="M30" s="210"/>
      <c r="N30" s="210"/>
      <c r="O30" s="210"/>
      <c r="R30" s="210"/>
      <c r="S30" s="210"/>
    </row>
    <row r="31" spans="1:19" s="24" customFormat="1" ht="27">
      <c r="A31" s="172"/>
      <c r="C31" s="172"/>
      <c r="H31" s="80" t="s">
        <v>332</v>
      </c>
      <c r="I31" s="24" t="s">
        <v>1051</v>
      </c>
      <c r="J31" s="24" t="s">
        <v>1051</v>
      </c>
      <c r="K31" s="194" t="s">
        <v>334</v>
      </c>
      <c r="L31" s="211" t="s">
        <v>1314</v>
      </c>
      <c r="M31" s="212" t="str">
        <f>VLOOKUP(L31,'#Mission.Set'!$A:$D,2,FALSE)</f>
        <v>StageClear</v>
      </c>
      <c r="N31" s="212" t="str">
        <f>IF(VLOOKUP($L31,'#Mission.Set'!$A:$D,3,FALSE)=0,"",VLOOKUP($L31,'#Mission.Set'!$A:$D,3,FALSE))</f>
        <v>ContentsType : GuildOperation</v>
      </c>
      <c r="O31" s="24" t="str">
        <f t="shared" ref="O31" si="12">N31</f>
        <v>ContentsType : GuildOperation</v>
      </c>
      <c r="P31" s="24">
        <v>3</v>
      </c>
      <c r="Q31" s="195" t="s">
        <v>1264</v>
      </c>
      <c r="R31" s="212" t="str">
        <f>IF(VLOOKUP($L31,'#Mission.Set'!$A:$D,4,FALSE)=0,"",VLOOKUP($L31,'#Mission.Set'!$A:$D,4,FALSE))</f>
        <v>QuickMove.GuildOperation</v>
      </c>
      <c r="S31" s="24" t="str">
        <f t="shared" ref="S31" si="13">R31</f>
        <v>QuickMove.GuildOperation</v>
      </c>
    </row>
    <row r="32" spans="1:19" s="24" customFormat="1" ht="13.5">
      <c r="A32" s="172">
        <v>2111000000118</v>
      </c>
      <c r="C32" s="172">
        <v>2211000000002</v>
      </c>
      <c r="D32" s="323" t="s">
        <v>331</v>
      </c>
      <c r="E32" s="24" t="b">
        <v>1</v>
      </c>
      <c r="L32" s="210"/>
      <c r="M32" s="210"/>
      <c r="N32" s="210"/>
      <c r="O32" s="210"/>
      <c r="R32" s="210"/>
      <c r="S32" s="210"/>
    </row>
    <row r="33" spans="1:19" s="24" customFormat="1" ht="27">
      <c r="A33" s="172"/>
      <c r="C33" s="172"/>
      <c r="H33" s="80">
        <v>1</v>
      </c>
      <c r="I33" s="24" t="s">
        <v>1052</v>
      </c>
      <c r="J33" s="24" t="s">
        <v>1052</v>
      </c>
      <c r="K33" s="194" t="s">
        <v>334</v>
      </c>
      <c r="L33" s="211" t="s">
        <v>1355</v>
      </c>
      <c r="M33" s="212" t="str">
        <f>VLOOKUP(L33,'#Mission.Set'!$A:$D,2,FALSE)</f>
        <v>PluginPromote</v>
      </c>
      <c r="N33" s="212" t="str">
        <f>IF(VLOOKUP($L33,'#Mission.Set'!$A:$D,3,FALSE)=0,"",VLOOKUP($L33,'#Mission.Set'!$A:$D,3,FALSE))</f>
        <v/>
      </c>
      <c r="O33" s="24" t="str">
        <f t="shared" ref="O33" si="14">N33</f>
        <v/>
      </c>
      <c r="P33" s="24">
        <v>1</v>
      </c>
      <c r="Q33" s="195" t="s">
        <v>1265</v>
      </c>
      <c r="R33" s="212" t="str">
        <f>IF(VLOOKUP($L33,'#Mission.Set'!$A:$D,4,FALSE)=0,"",VLOOKUP($L33,'#Mission.Set'!$A:$D,4,FALSE))</f>
        <v>QuickMove.Plugin</v>
      </c>
      <c r="S33" s="24" t="str">
        <f t="shared" ref="S33" si="15">R33</f>
        <v>QuickMove.Plugin</v>
      </c>
    </row>
    <row r="34" spans="1:19" s="24" customFormat="1" ht="13.5">
      <c r="A34" s="172">
        <v>2111000000119</v>
      </c>
      <c r="C34" s="172">
        <v>2211000000002</v>
      </c>
      <c r="D34" s="323" t="s">
        <v>331</v>
      </c>
      <c r="E34" s="24" t="b">
        <v>1</v>
      </c>
      <c r="L34" s="210"/>
      <c r="M34" s="210"/>
      <c r="N34" s="210"/>
      <c r="O34" s="210"/>
      <c r="R34" s="210"/>
      <c r="S34" s="210"/>
    </row>
    <row r="35" spans="1:19" s="24" customFormat="1" ht="27">
      <c r="A35" s="172"/>
      <c r="C35" s="172"/>
      <c r="H35" s="80" t="s">
        <v>332</v>
      </c>
      <c r="I35" s="24" t="s">
        <v>1053</v>
      </c>
      <c r="J35" s="24" t="s">
        <v>1053</v>
      </c>
      <c r="K35" s="194" t="s">
        <v>334</v>
      </c>
      <c r="L35" s="211" t="s">
        <v>1300</v>
      </c>
      <c r="M35" s="212" t="str">
        <f>VLOOKUP(L35,'#Mission.Set'!$A:$D,2,FALSE)</f>
        <v>TryGacha</v>
      </c>
      <c r="N35" s="212" t="str">
        <f>IF(VLOOKUP($L35,'#Mission.Set'!$A:$D,3,FALSE)=0,"",VLOOKUP($L35,'#Mission.Set'!$A:$D,3,FALSE))</f>
        <v>GachaGroup : Plugin</v>
      </c>
      <c r="O35" s="24" t="str">
        <f t="shared" ref="O35" si="16">N35</f>
        <v>GachaGroup : Plugin</v>
      </c>
      <c r="P35" s="24">
        <v>10</v>
      </c>
      <c r="Q35" s="195" t="s">
        <v>1265</v>
      </c>
      <c r="R35" s="212" t="str">
        <f>IF(VLOOKUP($L35,'#Mission.Set'!$A:$D,4,FALSE)=0,"",VLOOKUP($L35,'#Mission.Set'!$A:$D,4,FALSE))</f>
        <v>QuickMove.Gacha</v>
      </c>
      <c r="S35" s="24" t="str">
        <f t="shared" ref="S35" si="17">R35</f>
        <v>QuickMove.Gacha</v>
      </c>
    </row>
    <row r="36" spans="1:19" s="24" customFormat="1" ht="13.5">
      <c r="A36" s="172">
        <v>2111000000120</v>
      </c>
      <c r="C36" s="172">
        <v>2211000000002</v>
      </c>
      <c r="D36" s="323" t="s">
        <v>331</v>
      </c>
      <c r="E36" s="24" t="b">
        <v>1</v>
      </c>
      <c r="L36" s="210"/>
      <c r="M36" s="210"/>
      <c r="N36" s="210"/>
      <c r="O36" s="210"/>
      <c r="R36" s="210"/>
      <c r="S36" s="210"/>
    </row>
    <row r="37" spans="1:19" s="24" customFormat="1" ht="27">
      <c r="A37" s="172"/>
      <c r="C37" s="172"/>
      <c r="H37" s="80" t="s">
        <v>332</v>
      </c>
      <c r="I37" s="24" t="s">
        <v>1054</v>
      </c>
      <c r="J37" s="24" t="s">
        <v>1054</v>
      </c>
      <c r="K37" s="194" t="s">
        <v>334</v>
      </c>
      <c r="L37" s="211" t="s">
        <v>1405</v>
      </c>
      <c r="M37" s="212" t="str">
        <f>VLOOKUP(L37,'#Mission.Set'!$A:$D,2,FALSE)</f>
        <v>OverCharacterGradeUp</v>
      </c>
      <c r="N37" s="212" t="str">
        <f>IF(VLOOKUP($L37,'#Mission.Set'!$A:$D,3,FALSE)=0,"",VLOOKUP($L37,'#Mission.Set'!$A:$D,3,FALSE))</f>
        <v>Grade : MR</v>
      </c>
      <c r="O37" s="24" t="str">
        <f t="shared" ref="O37" si="18">N37</f>
        <v>Grade : MR</v>
      </c>
      <c r="P37" s="24">
        <v>1</v>
      </c>
      <c r="Q37" s="195" t="s">
        <v>1265</v>
      </c>
      <c r="R37" s="212" t="str">
        <f>IF(VLOOKUP($L37,'#Mission.Set'!$A:$D,4,FALSE)=0,"",VLOOKUP($L37,'#Mission.Set'!$A:$D,4,FALSE))</f>
        <v>QuickMove0660</v>
      </c>
      <c r="S37" s="24" t="str">
        <f t="shared" ref="S37" si="19">R37</f>
        <v>QuickMove0660</v>
      </c>
    </row>
    <row r="38" spans="1:19" s="24" customFormat="1" ht="13.5">
      <c r="A38" s="172">
        <v>2111000000121</v>
      </c>
      <c r="C38" s="172">
        <v>2211000000002</v>
      </c>
      <c r="D38" s="323" t="s">
        <v>331</v>
      </c>
      <c r="E38" s="24" t="b">
        <v>1</v>
      </c>
      <c r="L38" s="210"/>
      <c r="M38" s="210"/>
      <c r="N38" s="210"/>
      <c r="O38" s="210"/>
      <c r="R38" s="210"/>
      <c r="S38" s="210"/>
    </row>
    <row r="39" spans="1:19" s="24" customFormat="1" ht="27">
      <c r="A39" s="172"/>
      <c r="C39" s="172"/>
      <c r="H39" s="80" t="s">
        <v>332</v>
      </c>
      <c r="I39" s="24" t="s">
        <v>1055</v>
      </c>
      <c r="J39" s="24" t="s">
        <v>1055</v>
      </c>
      <c r="K39" s="194" t="s">
        <v>334</v>
      </c>
      <c r="L39" s="211" t="s">
        <v>1308</v>
      </c>
      <c r="M39" s="212" t="str">
        <f>VLOOKUP(L39,'#Mission.Set'!$A:$D,2,FALSE)</f>
        <v>MissionPoint</v>
      </c>
      <c r="N39" s="212" t="str">
        <f>IF(VLOOKUP($L39,'#Mission.Set'!$A:$D,3,FALSE)=0,"",VLOOKUP($L39,'#Mission.Set'!$A:$D,3,FALSE))</f>
        <v>MissionPointType : Daily</v>
      </c>
      <c r="O39" s="24" t="str">
        <f t="shared" ref="O39" si="20">N39</f>
        <v>MissionPointType : Daily</v>
      </c>
      <c r="P39" s="24">
        <v>30</v>
      </c>
      <c r="Q39" s="195" t="s">
        <v>1265</v>
      </c>
      <c r="R39" s="212" t="str">
        <f>IF(VLOOKUP($L39,'#Mission.Set'!$A:$D,4,FALSE)=0,"",VLOOKUP($L39,'#Mission.Set'!$A:$D,4,FALSE))</f>
        <v>QuickMove.DailyMission</v>
      </c>
      <c r="S39" s="24" t="str">
        <f t="shared" ref="S39" si="21">R39</f>
        <v>QuickMove.DailyMission</v>
      </c>
    </row>
    <row r="40" spans="1:19" s="24" customFormat="1" ht="13.5">
      <c r="A40" s="172">
        <v>2111000000122</v>
      </c>
      <c r="C40" s="172">
        <v>2211000000002</v>
      </c>
      <c r="D40" s="323" t="s">
        <v>331</v>
      </c>
      <c r="E40" s="24" t="b">
        <v>1</v>
      </c>
      <c r="L40" s="210"/>
      <c r="M40" s="210"/>
      <c r="N40" s="210"/>
      <c r="O40" s="210"/>
      <c r="R40" s="210"/>
      <c r="S40" s="210"/>
    </row>
    <row r="41" spans="1:19" s="24" customFormat="1" ht="27">
      <c r="A41" s="172"/>
      <c r="C41" s="172"/>
      <c r="H41" s="80">
        <v>1</v>
      </c>
      <c r="I41" s="24" t="s">
        <v>1056</v>
      </c>
      <c r="J41" s="24" t="s">
        <v>1056</v>
      </c>
      <c r="K41" s="194" t="s">
        <v>334</v>
      </c>
      <c r="L41" s="211" t="s">
        <v>1371</v>
      </c>
      <c r="M41" s="212" t="str">
        <f>VLOOKUP(L41,'#Mission.Set'!$A:$D,2,FALSE)</f>
        <v>RewardCurrency</v>
      </c>
      <c r="N41" s="212" t="str">
        <f>IF(VLOOKUP($L41,'#Mission.Set'!$A:$D,3,FALSE)=0,"",VLOOKUP($L41,'#Mission.Set'!$A:$D,3,FALSE))</f>
        <v>ItemId:1040201001</v>
      </c>
      <c r="O41" s="24" t="str">
        <f t="shared" ref="O41" si="22">N41</f>
        <v>ItemId:1040201001</v>
      </c>
      <c r="P41" s="24">
        <v>200</v>
      </c>
      <c r="Q41" s="195" t="s">
        <v>1265</v>
      </c>
      <c r="R41" s="212" t="str">
        <f>IF(VLOOKUP($L41,'#Mission.Set'!$A:$D,4,FALSE)=0,"",VLOOKUP($L41,'#Mission.Set'!$A:$D,4,FALSE))</f>
        <v>QuickMove0310</v>
      </c>
      <c r="S41" s="24" t="str">
        <f t="shared" ref="S41" si="23">R41</f>
        <v>QuickMove0310</v>
      </c>
    </row>
    <row r="42" spans="1:19" s="24" customFormat="1" ht="13.5">
      <c r="A42" s="172">
        <v>2111000000123</v>
      </c>
      <c r="C42" s="172">
        <v>2211000000002</v>
      </c>
      <c r="D42" s="323" t="s">
        <v>331</v>
      </c>
      <c r="E42" s="24" t="b">
        <v>1</v>
      </c>
      <c r="L42" s="210"/>
      <c r="M42" s="210"/>
      <c r="N42" s="210"/>
      <c r="O42" s="210"/>
      <c r="R42" s="210"/>
      <c r="S42" s="210"/>
    </row>
    <row r="43" spans="1:19" s="24" customFormat="1" ht="27">
      <c r="A43" s="172"/>
      <c r="C43" s="172"/>
      <c r="H43" s="80" t="s">
        <v>332</v>
      </c>
      <c r="I43" s="24" t="s">
        <v>1057</v>
      </c>
      <c r="J43" s="24" t="s">
        <v>1057</v>
      </c>
      <c r="K43" s="194" t="s">
        <v>334</v>
      </c>
      <c r="L43" s="211" t="s">
        <v>731</v>
      </c>
      <c r="M43" s="212" t="str">
        <f>VLOOKUP(L43,'#Mission.Set'!$A:$D,2,FALSE)</f>
        <v>UseMercenary</v>
      </c>
      <c r="N43" s="212" t="str">
        <f>IF(VLOOKUP($L43,'#Mission.Set'!$A:$D,3,FALSE)=0,"",VLOOKUP($L43,'#Mission.Set'!$A:$D,3,FALSE))</f>
        <v/>
      </c>
      <c r="O43" s="24" t="str">
        <f t="shared" ref="O43" si="24">N43</f>
        <v/>
      </c>
      <c r="P43" s="24">
        <v>3</v>
      </c>
      <c r="Q43" s="195" t="s">
        <v>1265</v>
      </c>
      <c r="R43" s="212" t="str">
        <f>IF(VLOOKUP($L43,'#Mission.Set'!$A:$D,4,FALSE)=0,"",VLOOKUP($L43,'#Mission.Set'!$A:$D,4,FALSE))</f>
        <v>QuickMove0010</v>
      </c>
      <c r="S43" s="24" t="str">
        <f t="shared" ref="S43" si="25">R43</f>
        <v>QuickMove0010</v>
      </c>
    </row>
    <row r="44" spans="1:19" s="24" customFormat="1" ht="13.5">
      <c r="A44" s="172">
        <v>2111000000125</v>
      </c>
      <c r="C44" s="172">
        <v>2211000000002</v>
      </c>
      <c r="D44" s="323" t="s">
        <v>331</v>
      </c>
      <c r="E44" s="24" t="b">
        <v>1</v>
      </c>
      <c r="L44" s="210"/>
      <c r="M44" s="210"/>
      <c r="N44" s="210"/>
      <c r="O44" s="210"/>
      <c r="R44" s="210"/>
      <c r="S44" s="210"/>
    </row>
    <row r="45" spans="1:19" s="24" customFormat="1" ht="27">
      <c r="A45" s="172"/>
      <c r="C45" s="172"/>
      <c r="H45" s="80" t="s">
        <v>332</v>
      </c>
      <c r="I45" s="24" t="s">
        <v>1058</v>
      </c>
      <c r="J45" s="24" t="s">
        <v>1058</v>
      </c>
      <c r="K45" s="194" t="s">
        <v>334</v>
      </c>
      <c r="L45" s="211" t="s">
        <v>1388</v>
      </c>
      <c r="M45" s="212" t="str">
        <f>VLOOKUP(L45,'#Mission.Set'!$A:$D,2,FALSE)</f>
        <v>ArenaPlay</v>
      </c>
      <c r="N45" s="212" t="str">
        <f>IF(VLOOKUP($L45,'#Mission.Set'!$A:$D,3,FALSE)=0,"",VLOOKUP($L45,'#Mission.Set'!$A:$D,3,FALSE))</f>
        <v>ArenaType : Normal</v>
      </c>
      <c r="O45" s="24" t="str">
        <f t="shared" ref="O45" si="26">N45</f>
        <v>ArenaType : Normal</v>
      </c>
      <c r="P45" s="24">
        <v>15</v>
      </c>
      <c r="Q45" s="195" t="s">
        <v>1265</v>
      </c>
      <c r="R45" s="212" t="str">
        <f>IF(VLOOKUP($L45,'#Mission.Set'!$A:$D,4,FALSE)=0,"",VLOOKUP($L45,'#Mission.Set'!$A:$D,4,FALSE))</f>
        <v>QuickMove.Arena</v>
      </c>
      <c r="S45" s="24" t="str">
        <f t="shared" ref="S45" si="27">R45</f>
        <v>QuickMove.Arena</v>
      </c>
    </row>
    <row r="46" spans="1:19" s="24" customFormat="1" ht="13.5">
      <c r="A46" s="172">
        <v>2111000000126</v>
      </c>
      <c r="C46" s="172">
        <v>2211000000002</v>
      </c>
      <c r="D46" s="323" t="s">
        <v>331</v>
      </c>
      <c r="E46" s="24" t="b">
        <v>1</v>
      </c>
      <c r="L46" s="210"/>
      <c r="M46" s="210"/>
      <c r="N46" s="210"/>
      <c r="O46" s="210"/>
      <c r="R46" s="210"/>
      <c r="S46" s="210"/>
    </row>
    <row r="47" spans="1:19" s="24" customFormat="1" ht="27">
      <c r="A47" s="172"/>
      <c r="C47" s="172"/>
      <c r="H47" s="80">
        <v>1</v>
      </c>
      <c r="I47" s="24" t="s">
        <v>1059</v>
      </c>
      <c r="J47" s="24" t="s">
        <v>1059</v>
      </c>
      <c r="K47" s="194" t="s">
        <v>334</v>
      </c>
      <c r="L47" s="211" t="s">
        <v>1100</v>
      </c>
      <c r="M47" s="212" t="str">
        <f>VLOOKUP(L47,'#Mission.Set'!$A:$D,2,FALSE)</f>
        <v>IdleBattleReward</v>
      </c>
      <c r="N47" s="212" t="str">
        <f>IF(VLOOKUP($L47,'#Mission.Set'!$A:$D,3,FALSE)=0,"",VLOOKUP($L47,'#Mission.Set'!$A:$D,3,FALSE))</f>
        <v/>
      </c>
      <c r="O47" s="24" t="str">
        <f t="shared" ref="O47" si="28">N47</f>
        <v/>
      </c>
      <c r="P47" s="24">
        <v>25</v>
      </c>
      <c r="Q47" s="195" t="s">
        <v>1265</v>
      </c>
      <c r="R47" s="212" t="str">
        <f>IF(VLOOKUP($L47,'#Mission.Set'!$A:$D,4,FALSE)=0,"",VLOOKUP($L47,'#Mission.Set'!$A:$D,4,FALSE))</f>
        <v>QuickMove.IdleBattlePopup</v>
      </c>
      <c r="S47" s="24" t="str">
        <f t="shared" ref="S47" si="29">R47</f>
        <v>QuickMove.IdleBattlePopup</v>
      </c>
    </row>
    <row r="48" spans="1:19" s="24" customFormat="1" ht="13.5">
      <c r="A48" s="172">
        <v>2111000000127</v>
      </c>
      <c r="C48" s="172">
        <v>2211000000002</v>
      </c>
      <c r="D48" s="323" t="s">
        <v>331</v>
      </c>
      <c r="E48" s="24" t="b">
        <v>1</v>
      </c>
      <c r="L48" s="210"/>
      <c r="M48" s="210"/>
      <c r="N48" s="210"/>
      <c r="O48" s="210"/>
      <c r="R48" s="210"/>
      <c r="S48" s="210"/>
    </row>
    <row r="49" spans="1:19" s="24" customFormat="1" ht="27">
      <c r="A49" s="172"/>
      <c r="C49" s="172"/>
      <c r="H49" s="80" t="s">
        <v>332</v>
      </c>
      <c r="I49" s="24" t="s">
        <v>1060</v>
      </c>
      <c r="J49" s="24" t="s">
        <v>1060</v>
      </c>
      <c r="K49" s="194" t="s">
        <v>334</v>
      </c>
      <c r="L49" s="211" t="s">
        <v>1313</v>
      </c>
      <c r="M49" s="212" t="str">
        <f>VLOOKUP(L49,'#Mission.Set'!$A:$D,2,FALSE)</f>
        <v>StageClear</v>
      </c>
      <c r="N49" s="212" t="str">
        <f>IF(VLOOKUP($L49,'#Mission.Set'!$A:$D,3,FALSE)=0,"",VLOOKUP($L49,'#Mission.Set'!$A:$D,3,FALSE))</f>
        <v>ContentsType : Raid</v>
      </c>
      <c r="O49" s="24" t="str">
        <f t="shared" ref="O49" si="30">N49</f>
        <v>ContentsType : Raid</v>
      </c>
      <c r="P49" s="24">
        <v>20</v>
      </c>
      <c r="Q49" s="195" t="s">
        <v>1265</v>
      </c>
      <c r="R49" s="212" t="str">
        <f>IF(VLOOKUP($L49,'#Mission.Set'!$A:$D,4,FALSE)=0,"",VLOOKUP($L49,'#Mission.Set'!$A:$D,4,FALSE))</f>
        <v>QuickMove.Raid</v>
      </c>
      <c r="S49" s="24" t="str">
        <f t="shared" ref="S49" si="31">R49</f>
        <v>QuickMove.Raid</v>
      </c>
    </row>
    <row r="50" spans="1:19" s="24" customFormat="1" ht="13.5">
      <c r="A50" s="172">
        <v>2111000000128</v>
      </c>
      <c r="C50" s="172">
        <v>2211000000002</v>
      </c>
      <c r="D50" s="323" t="s">
        <v>331</v>
      </c>
      <c r="E50" s="24" t="b">
        <v>1</v>
      </c>
      <c r="L50" s="210"/>
      <c r="M50" s="210"/>
      <c r="N50" s="210"/>
      <c r="O50" s="210"/>
      <c r="R50" s="210"/>
      <c r="S50" s="210"/>
    </row>
    <row r="51" spans="1:19" s="24" customFormat="1" ht="27">
      <c r="A51" s="172"/>
      <c r="C51" s="172"/>
      <c r="H51" s="80" t="s">
        <v>332</v>
      </c>
      <c r="I51" s="24" t="s">
        <v>1061</v>
      </c>
      <c r="J51" s="24" t="s">
        <v>1061</v>
      </c>
      <c r="K51" s="194" t="s">
        <v>334</v>
      </c>
      <c r="L51" s="211" t="s">
        <v>1382</v>
      </c>
      <c r="M51" s="212" t="str">
        <f>VLOOKUP(L51,'#Mission.Set'!$A:$D,2,FALSE)</f>
        <v>StageClear</v>
      </c>
      <c r="N51" s="212" t="str">
        <f>IF(VLOOKUP($L51,'#Mission.Set'!$A:$D,3,FALSE)=0,"",VLOOKUP($L51,'#Mission.Set'!$A:$D,3,FALSE))</f>
        <v>ContentsType : Dominion</v>
      </c>
      <c r="O51" s="24" t="str">
        <f t="shared" ref="O51" si="32">N51</f>
        <v>ContentsType : Dominion</v>
      </c>
      <c r="P51" s="24">
        <v>10</v>
      </c>
      <c r="Q51" s="195" t="s">
        <v>1265</v>
      </c>
      <c r="R51" s="212" t="str">
        <f>IF(VLOOKUP($L51,'#Mission.Set'!$A:$D,4,FALSE)=0,"",VLOOKUP($L51,'#Mission.Set'!$A:$D,4,FALSE))</f>
        <v>QuickMove.Dominion</v>
      </c>
      <c r="S51" s="24" t="str">
        <f t="shared" ref="S51" si="33">R51</f>
        <v>QuickMove.Dominion</v>
      </c>
    </row>
    <row r="52" spans="1:19" s="210" customFormat="1" ht="13.5">
      <c r="A52" s="172">
        <v>2111000000129</v>
      </c>
      <c r="B52" s="24"/>
      <c r="C52" s="172">
        <v>2211000000002</v>
      </c>
      <c r="D52" s="323" t="s">
        <v>331</v>
      </c>
      <c r="E52" s="24" t="b">
        <v>1</v>
      </c>
      <c r="I52" s="24"/>
      <c r="J52" s="24"/>
    </row>
    <row r="53" spans="1:19" s="24" customFormat="1" ht="27">
      <c r="A53" s="172"/>
      <c r="C53" s="172"/>
      <c r="H53" s="80" t="s">
        <v>332</v>
      </c>
      <c r="I53" s="24" t="s">
        <v>1409</v>
      </c>
      <c r="J53" s="24" t="s">
        <v>1409</v>
      </c>
      <c r="K53" s="194" t="s">
        <v>334</v>
      </c>
      <c r="L53" s="211" t="s">
        <v>1374</v>
      </c>
      <c r="M53" s="212" t="str">
        <f>VLOOKUP(L53,'#Mission.Set'!$A:$D,2,FALSE)</f>
        <v>ConsumeCurrency</v>
      </c>
      <c r="N53" s="212" t="str">
        <f>IF(VLOOKUP($L53,'#Mission.Set'!$A:$D,3,FALSE)=0,"",VLOOKUP($L53,'#Mission.Set'!$A:$D,3,FALSE))</f>
        <v>ItemId:1040103021</v>
      </c>
      <c r="O53" s="24" t="str">
        <f t="shared" ref="O53" si="34">N53</f>
        <v>ItemId:1040103021</v>
      </c>
      <c r="P53" s="24">
        <v>5000</v>
      </c>
      <c r="Q53" s="195" t="s">
        <v>1265</v>
      </c>
      <c r="R53" s="212" t="str">
        <f>IF(VLOOKUP($L53,'#Mission.Set'!$A:$D,4,FALSE)=0,"",VLOOKUP($L53,'#Mission.Set'!$A:$D,4,FALSE))</f>
        <v>QuickMove.Guild.Shop</v>
      </c>
      <c r="S53" s="24" t="str">
        <f t="shared" ref="S53" si="35">R53</f>
        <v>QuickMove.Guild.Shop</v>
      </c>
    </row>
    <row r="54" spans="1:19" s="24" customFormat="1" ht="13.5">
      <c r="A54" s="172">
        <v>2111000000130</v>
      </c>
      <c r="C54" s="172">
        <v>2211000000002</v>
      </c>
      <c r="D54" s="323" t="s">
        <v>331</v>
      </c>
      <c r="E54" s="24" t="b">
        <v>1</v>
      </c>
      <c r="L54" s="210"/>
      <c r="M54" s="210"/>
      <c r="N54" s="210"/>
      <c r="O54" s="210"/>
      <c r="R54" s="210"/>
      <c r="S54" s="210"/>
    </row>
    <row r="55" spans="1:19" s="24" customFormat="1" ht="27">
      <c r="A55" s="172"/>
      <c r="C55" s="172"/>
      <c r="H55" s="80" t="s">
        <v>332</v>
      </c>
      <c r="I55" s="24" t="s">
        <v>1410</v>
      </c>
      <c r="J55" s="24" t="s">
        <v>1410</v>
      </c>
      <c r="K55" s="194" t="s">
        <v>334</v>
      </c>
      <c r="L55" s="211" t="s">
        <v>1386</v>
      </c>
      <c r="M55" s="212" t="str">
        <f>VLOOKUP(L55,'#Mission.Set'!$A:$D,2,FALSE)</f>
        <v>StagePlay</v>
      </c>
      <c r="N55" s="212" t="str">
        <f>IF(VLOOKUP($L55,'#Mission.Set'!$A:$D,3,FALSE)=0,"",VLOOKUP($L55,'#Mission.Set'!$A:$D,3,FALSE))</f>
        <v>ContentsType : GuildAssault</v>
      </c>
      <c r="O55" s="24" t="str">
        <f t="shared" ref="O55" si="36">N55</f>
        <v>ContentsType : GuildAssault</v>
      </c>
      <c r="P55" s="24">
        <v>5</v>
      </c>
      <c r="Q55" s="195" t="s">
        <v>1265</v>
      </c>
      <c r="R55" s="212" t="str">
        <f>IF(VLOOKUP($L55,'#Mission.Set'!$A:$D,4,FALSE)=0,"",VLOOKUP($L55,'#Mission.Set'!$A:$D,4,FALSE))</f>
        <v>QuickMove.GuildAssault</v>
      </c>
      <c r="S55" s="24" t="str">
        <f t="shared" ref="S55" si="37">R55</f>
        <v>QuickMove.GuildAssault</v>
      </c>
    </row>
    <row r="56" spans="1:19" s="24" customFormat="1" ht="13.5">
      <c r="A56" s="172">
        <v>2111000000131</v>
      </c>
      <c r="C56" s="172">
        <v>2211000000002</v>
      </c>
      <c r="D56" s="323" t="s">
        <v>331</v>
      </c>
      <c r="E56" s="24" t="b">
        <v>1</v>
      </c>
      <c r="L56" s="210"/>
      <c r="M56" s="210"/>
      <c r="N56" s="210"/>
      <c r="O56" s="210"/>
      <c r="R56" s="210"/>
      <c r="S56" s="210"/>
    </row>
    <row r="57" spans="1:19" s="24" customFormat="1" ht="27">
      <c r="A57" s="172"/>
      <c r="C57" s="172"/>
      <c r="H57" s="80" t="s">
        <v>332</v>
      </c>
      <c r="I57" s="24" t="s">
        <v>1411</v>
      </c>
      <c r="J57" s="24" t="s">
        <v>1411</v>
      </c>
      <c r="K57" s="194" t="s">
        <v>334</v>
      </c>
      <c r="L57" s="211" t="s">
        <v>1517</v>
      </c>
      <c r="M57" s="212" t="str">
        <f>VLOOKUP(L57,'#Mission.Set'!$A:$D,2,FALSE)</f>
        <v>OverCharacterGradeUp</v>
      </c>
      <c r="N57" s="212" t="str">
        <f>IF(VLOOKUP($L57,'#Mission.Set'!$A:$D,3,FALSE)=0,"",VLOOKUP($L57,'#Mission.Set'!$A:$D,3,FALSE))</f>
        <v>Grade : MR1</v>
      </c>
      <c r="O57" s="24" t="str">
        <f t="shared" ref="O57" si="38">N57</f>
        <v>Grade : MR1</v>
      </c>
      <c r="P57" s="24">
        <v>1</v>
      </c>
      <c r="Q57" s="195" t="s">
        <v>1266</v>
      </c>
      <c r="R57" s="212" t="str">
        <f>IF(VLOOKUP($L57,'#Mission.Set'!$A:$D,4,FALSE)=0,"",VLOOKUP($L57,'#Mission.Set'!$A:$D,4,FALSE))</f>
        <v>QuickMove0660</v>
      </c>
      <c r="S57" s="24" t="str">
        <f t="shared" ref="S57" si="39">R57</f>
        <v>QuickMove0660</v>
      </c>
    </row>
    <row r="58" spans="1:19" s="24" customFormat="1" ht="13.5">
      <c r="A58" s="172">
        <v>2111000000132</v>
      </c>
      <c r="C58" s="172">
        <v>2211000000002</v>
      </c>
      <c r="D58" s="323" t="s">
        <v>331</v>
      </c>
      <c r="E58" s="24" t="b">
        <v>1</v>
      </c>
      <c r="L58" s="210"/>
      <c r="M58" s="210"/>
      <c r="N58" s="210"/>
      <c r="O58" s="210"/>
      <c r="R58" s="210"/>
      <c r="S58" s="210"/>
    </row>
    <row r="59" spans="1:19" s="24" customFormat="1" ht="27">
      <c r="A59" s="172"/>
      <c r="C59" s="172"/>
      <c r="H59" s="80">
        <v>1</v>
      </c>
      <c r="I59" s="24" t="s">
        <v>1412</v>
      </c>
      <c r="J59" s="24" t="s">
        <v>1412</v>
      </c>
      <c r="K59" s="194" t="s">
        <v>334</v>
      </c>
      <c r="L59" s="211" t="s">
        <v>1390</v>
      </c>
      <c r="M59" s="212" t="str">
        <f>VLOOKUP(L59,'#Mission.Set'!$A:$D,2,FALSE)</f>
        <v>ArenaPlay</v>
      </c>
      <c r="N59" s="212" t="str">
        <f>IF(VLOOKUP($L59,'#Mission.Set'!$A:$D,3,FALSE)=0,"",VLOOKUP($L59,'#Mission.Set'!$A:$D,3,FALSE))</f>
        <v>ArenaType : Team</v>
      </c>
      <c r="O59" s="24" t="str">
        <f t="shared" ref="O59" si="40">N59</f>
        <v>ArenaType : Team</v>
      </c>
      <c r="P59" s="24">
        <v>15</v>
      </c>
      <c r="Q59" s="195" t="s">
        <v>1266</v>
      </c>
      <c r="R59" s="212" t="str">
        <f>IF(VLOOKUP($L59,'#Mission.Set'!$A:$D,4,FALSE)=0,"",VLOOKUP($L59,'#Mission.Set'!$A:$D,4,FALSE))</f>
        <v>QuickMove.TeamArena</v>
      </c>
      <c r="S59" s="24" t="str">
        <f t="shared" ref="S59" si="41">R59</f>
        <v>QuickMove.TeamArena</v>
      </c>
    </row>
    <row r="60" spans="1:19" s="24" customFormat="1" ht="13.5">
      <c r="A60" s="172">
        <v>2111000000134</v>
      </c>
      <c r="C60" s="172">
        <v>2211000000002</v>
      </c>
      <c r="D60" s="323" t="s">
        <v>331</v>
      </c>
      <c r="E60" s="24" t="b">
        <v>1</v>
      </c>
      <c r="L60" s="210"/>
      <c r="M60" s="210"/>
      <c r="N60" s="210"/>
      <c r="O60" s="210"/>
      <c r="R60" s="210"/>
      <c r="S60" s="210"/>
    </row>
    <row r="61" spans="1:19" s="24" customFormat="1" ht="27">
      <c r="A61" s="172"/>
      <c r="C61" s="172"/>
      <c r="H61" s="80" t="s">
        <v>332</v>
      </c>
      <c r="I61" s="24" t="s">
        <v>1413</v>
      </c>
      <c r="J61" s="24" t="s">
        <v>1413</v>
      </c>
      <c r="K61" s="194" t="s">
        <v>334</v>
      </c>
      <c r="L61" s="211" t="s">
        <v>1309</v>
      </c>
      <c r="M61" s="212" t="str">
        <f>VLOOKUP(L61,'#Mission.Set'!$A:$D,2,FALSE)</f>
        <v>MissionPoint</v>
      </c>
      <c r="N61" s="212" t="str">
        <f>IF(VLOOKUP($L61,'#Mission.Set'!$A:$D,3,FALSE)=0,"",VLOOKUP($L61,'#Mission.Set'!$A:$D,3,FALSE))</f>
        <v>MissionPointType : Weekly</v>
      </c>
      <c r="O61" s="24" t="str">
        <f t="shared" ref="O61" si="42">N61</f>
        <v>MissionPointType : Weekly</v>
      </c>
      <c r="P61" s="24">
        <v>8</v>
      </c>
      <c r="Q61" s="195" t="s">
        <v>1266</v>
      </c>
      <c r="R61" s="212" t="str">
        <f>IF(VLOOKUP($L61,'#Mission.Set'!$A:$D,4,FALSE)=0,"",VLOOKUP($L61,'#Mission.Set'!$A:$D,4,FALSE))</f>
        <v>QuickMove.WeeklyMission</v>
      </c>
      <c r="S61" s="24" t="str">
        <f t="shared" ref="S61" si="43">R61</f>
        <v>QuickMove.WeeklyMission</v>
      </c>
    </row>
    <row r="62" spans="1:19" s="24" customFormat="1" ht="13.5">
      <c r="A62" s="172">
        <v>2111000000135</v>
      </c>
      <c r="C62" s="172">
        <v>2211000000002</v>
      </c>
      <c r="D62" s="323" t="s">
        <v>331</v>
      </c>
      <c r="E62" s="24" t="b">
        <v>1</v>
      </c>
      <c r="L62" s="210"/>
      <c r="M62" s="210"/>
      <c r="N62" s="210"/>
      <c r="O62" s="210"/>
      <c r="R62" s="210"/>
      <c r="S62" s="210"/>
    </row>
    <row r="63" spans="1:19" s="24" customFormat="1" ht="27">
      <c r="A63" s="172"/>
      <c r="C63" s="172"/>
      <c r="H63" s="80" t="s">
        <v>332</v>
      </c>
      <c r="I63" s="24" t="s">
        <v>1414</v>
      </c>
      <c r="J63" s="24" t="s">
        <v>1414</v>
      </c>
      <c r="K63" s="194" t="s">
        <v>334</v>
      </c>
      <c r="L63" s="211" t="s">
        <v>1366</v>
      </c>
      <c r="M63" s="212" t="str">
        <f>VLOOKUP(L63,'#Mission.Set'!$A:$D,2,FALSE)</f>
        <v>StagePlay</v>
      </c>
      <c r="N63" s="212" t="str">
        <f>IF(VLOOKUP($L63,'#Mission.Set'!$A:$D,3,FALSE)=0,"",VLOOKUP($L63,'#Mission.Set'!$A:$D,3,FALSE))</f>
        <v>ContentsType : WorldRaid</v>
      </c>
      <c r="O63" s="24" t="str">
        <f t="shared" ref="O63" si="44">N63</f>
        <v>ContentsType : WorldRaid</v>
      </c>
      <c r="P63" s="24">
        <v>2</v>
      </c>
      <c r="Q63" s="195" t="s">
        <v>1266</v>
      </c>
      <c r="R63" s="212" t="str">
        <f>IF(VLOOKUP($L63,'#Mission.Set'!$A:$D,4,FALSE)=0,"",VLOOKUP($L63,'#Mission.Set'!$A:$D,4,FALSE))</f>
        <v>QuickMove.WorldRaid</v>
      </c>
      <c r="S63" s="24" t="str">
        <f t="shared" ref="S63" si="45">R63</f>
        <v>QuickMove.WorldRaid</v>
      </c>
    </row>
    <row r="64" spans="1:19" s="24" customFormat="1" ht="13.5">
      <c r="A64" s="172">
        <v>2111000000136</v>
      </c>
      <c r="C64" s="172">
        <v>2211000000002</v>
      </c>
      <c r="D64" s="323" t="s">
        <v>331</v>
      </c>
      <c r="E64" s="24" t="b">
        <v>1</v>
      </c>
      <c r="L64" s="210"/>
      <c r="M64" s="210"/>
      <c r="N64" s="210"/>
      <c r="O64" s="210"/>
      <c r="R64" s="210"/>
      <c r="S64" s="210"/>
    </row>
    <row r="65" spans="1:19" s="24" customFormat="1" ht="27">
      <c r="A65" s="172"/>
      <c r="C65" s="172"/>
      <c r="H65" s="80" t="s">
        <v>332</v>
      </c>
      <c r="I65" s="24" t="s">
        <v>1415</v>
      </c>
      <c r="J65" s="24" t="s">
        <v>1415</v>
      </c>
      <c r="K65" s="194" t="s">
        <v>334</v>
      </c>
      <c r="L65" s="211" t="s">
        <v>1394</v>
      </c>
      <c r="M65" s="212" t="str">
        <f>VLOOKUP(L65,'#Mission.Set'!$A:$D,2,FALSE)</f>
        <v>StageClear</v>
      </c>
      <c r="N65" s="212" t="str">
        <f>IF(VLOOKUP($L65,'#Mission.Set'!$A:$D,3,FALSE)=0,"",VLOOKUP($L65,'#Mission.Set'!$A:$D,3,FALSE))</f>
        <v>ContentsType : ArenaChallenge</v>
      </c>
      <c r="O65" s="24" t="str">
        <f t="shared" ref="O65" si="46">N65</f>
        <v>ContentsType : ArenaChallenge</v>
      </c>
      <c r="P65" s="24">
        <v>10</v>
      </c>
      <c r="Q65" s="195" t="s">
        <v>1266</v>
      </c>
      <c r="R65" s="212" t="str">
        <f>IF(VLOOKUP($L65,'#Mission.Set'!$A:$D,4,FALSE)=0,"",VLOOKUP($L65,'#Mission.Set'!$A:$D,4,FALSE))</f>
        <v>QuickMove0510</v>
      </c>
      <c r="S65" s="24" t="str">
        <f t="shared" ref="S65" si="47">R65</f>
        <v>QuickMove0510</v>
      </c>
    </row>
    <row r="66" spans="1:19" s="24" customFormat="1" ht="13.5">
      <c r="A66" s="172">
        <v>2111000000137</v>
      </c>
      <c r="C66" s="172">
        <v>2211000000002</v>
      </c>
      <c r="D66" s="323" t="s">
        <v>331</v>
      </c>
      <c r="E66" s="24" t="b">
        <v>1</v>
      </c>
      <c r="L66" s="210"/>
      <c r="M66" s="210"/>
      <c r="N66" s="210"/>
      <c r="O66" s="210"/>
      <c r="R66" s="210"/>
      <c r="S66" s="210"/>
    </row>
    <row r="67" spans="1:19" s="24" customFormat="1" ht="27">
      <c r="A67" s="172"/>
      <c r="C67" s="172"/>
      <c r="H67" s="80" t="s">
        <v>332</v>
      </c>
      <c r="I67" s="24" t="s">
        <v>1416</v>
      </c>
      <c r="J67" s="24" t="s">
        <v>1416</v>
      </c>
      <c r="K67" s="194" t="s">
        <v>334</v>
      </c>
      <c r="L67" s="211" t="s">
        <v>1382</v>
      </c>
      <c r="M67" s="212" t="str">
        <f>VLOOKUP(L67,'#Mission.Set'!$A:$D,2,FALSE)</f>
        <v>StageClear</v>
      </c>
      <c r="N67" s="212" t="str">
        <f>IF(VLOOKUP($L67,'#Mission.Set'!$A:$D,3,FALSE)=0,"",VLOOKUP($L67,'#Mission.Set'!$A:$D,3,FALSE))</f>
        <v>ContentsType : Dominion</v>
      </c>
      <c r="O67" s="24" t="str">
        <f t="shared" ref="O67" si="48">N67</f>
        <v>ContentsType : Dominion</v>
      </c>
      <c r="P67" s="24">
        <v>20</v>
      </c>
      <c r="Q67" s="195" t="s">
        <v>1266</v>
      </c>
      <c r="R67" s="212" t="str">
        <f>IF(VLOOKUP($L67,'#Mission.Set'!$A:$D,4,FALSE)=0,"",VLOOKUP($L67,'#Mission.Set'!$A:$D,4,FALSE))</f>
        <v>QuickMove.Dominion</v>
      </c>
      <c r="S67" s="24" t="str">
        <f t="shared" ref="S67" si="49">R67</f>
        <v>QuickMove.Dominion</v>
      </c>
    </row>
    <row r="68" spans="1:19" s="210" customFormat="1" ht="13.5">
      <c r="A68" s="172">
        <v>2111000000138</v>
      </c>
      <c r="B68" s="24"/>
      <c r="C68" s="172">
        <v>2211000000002</v>
      </c>
      <c r="D68" s="323" t="s">
        <v>331</v>
      </c>
      <c r="E68" s="24" t="b">
        <v>1</v>
      </c>
      <c r="I68" s="24"/>
      <c r="J68" s="24"/>
    </row>
    <row r="69" spans="1:19" s="24" customFormat="1" ht="27">
      <c r="A69" s="172"/>
      <c r="C69" s="172"/>
      <c r="H69" s="80" t="s">
        <v>332</v>
      </c>
      <c r="I69" s="24" t="s">
        <v>1417</v>
      </c>
      <c r="J69" s="24" t="s">
        <v>1417</v>
      </c>
      <c r="K69" s="194" t="s">
        <v>334</v>
      </c>
      <c r="L69" s="211" t="s">
        <v>1514</v>
      </c>
      <c r="M69" s="212" t="str">
        <f>VLOOKUP(L69,'#Mission.Set'!$A:$D,2,FALSE)</f>
        <v>OverCharacterGradeUp</v>
      </c>
      <c r="N69" s="212" t="str">
        <f>IF(VLOOKUP($L69,'#Mission.Set'!$A:$D,3,FALSE)=0,"",VLOOKUP($L69,'#Mission.Set'!$A:$D,3,FALSE))</f>
        <v>Grade : LR</v>
      </c>
      <c r="O69" s="24" t="str">
        <f t="shared" ref="O69" si="50">N69</f>
        <v>Grade : LR</v>
      </c>
      <c r="P69" s="24">
        <v>1</v>
      </c>
      <c r="Q69" s="195" t="s">
        <v>1408</v>
      </c>
      <c r="R69" s="212" t="str">
        <f>IF(VLOOKUP($L69,'#Mission.Set'!$A:$D,4,FALSE)=0,"",VLOOKUP($L69,'#Mission.Set'!$A:$D,4,FALSE))</f>
        <v>QuickMove0660</v>
      </c>
      <c r="S69" s="24" t="str">
        <f t="shared" ref="S69" si="51">R69</f>
        <v>QuickMove0660</v>
      </c>
    </row>
    <row r="70" spans="1:19" s="24" customFormat="1" ht="13.5">
      <c r="A70" s="209">
        <v>2111000000211</v>
      </c>
      <c r="C70" s="209">
        <v>2211000000003</v>
      </c>
      <c r="D70" s="323" t="s">
        <v>331</v>
      </c>
      <c r="E70" s="24" t="b">
        <v>1</v>
      </c>
      <c r="L70" s="210"/>
      <c r="M70" s="210"/>
      <c r="N70" s="210"/>
      <c r="O70" s="210"/>
      <c r="R70" s="210"/>
      <c r="S70" s="210"/>
    </row>
    <row r="71" spans="1:19" s="24" customFormat="1" ht="27">
      <c r="A71" s="172"/>
      <c r="C71" s="172"/>
      <c r="H71" s="80" t="s">
        <v>332</v>
      </c>
      <c r="I71" s="24" t="s">
        <v>1062</v>
      </c>
      <c r="J71" s="24" t="s">
        <v>1045</v>
      </c>
      <c r="K71" s="194" t="s">
        <v>334</v>
      </c>
      <c r="L71" s="211" t="s">
        <v>741</v>
      </c>
      <c r="M71" s="212" t="str">
        <f>VLOOKUP(L71,'#Mission.Set'!$A:$D,2,FALSE)</f>
        <v>FavorLevelUp</v>
      </c>
      <c r="N71" s="212" t="str">
        <f>IF(VLOOKUP($L71,'#Mission.Set'!$A:$D,3,FALSE)=0,"",VLOOKUP($L71,'#Mission.Set'!$A:$D,3,FALSE))</f>
        <v/>
      </c>
      <c r="O71" s="24" t="str">
        <f t="shared" ref="O71" si="52">N71</f>
        <v/>
      </c>
      <c r="P71" s="24">
        <v>1</v>
      </c>
      <c r="Q71" s="195" t="s">
        <v>1268</v>
      </c>
      <c r="R71" s="212" t="str">
        <f>IF(VLOOKUP($L71,'#Mission.Set'!$A:$D,4,FALSE)=0,"",VLOOKUP($L71,'#Mission.Set'!$A:$D,4,FALSE))</f>
        <v>QuickMove.Favorability</v>
      </c>
      <c r="S71" s="24" t="str">
        <f t="shared" ref="S71" si="53">R71</f>
        <v>QuickMove.Favorability</v>
      </c>
    </row>
    <row r="72" spans="1:19" s="24" customFormat="1" ht="13.5">
      <c r="A72" s="172">
        <v>2111000000212</v>
      </c>
      <c r="C72" s="172">
        <v>2211000000003</v>
      </c>
      <c r="D72" s="323" t="s">
        <v>331</v>
      </c>
      <c r="E72" s="24" t="b">
        <v>1</v>
      </c>
      <c r="K72" s="87"/>
      <c r="L72" s="210"/>
      <c r="M72" s="210"/>
      <c r="N72" s="210"/>
      <c r="O72" s="210"/>
      <c r="Q72" s="40"/>
      <c r="R72" s="210"/>
      <c r="S72" s="210"/>
    </row>
    <row r="73" spans="1:19" s="24" customFormat="1" ht="27">
      <c r="A73" s="172"/>
      <c r="C73" s="172"/>
      <c r="H73" s="80" t="s">
        <v>332</v>
      </c>
      <c r="I73" s="24" t="s">
        <v>1046</v>
      </c>
      <c r="J73" s="24" t="s">
        <v>1046</v>
      </c>
      <c r="K73" s="194" t="s">
        <v>334</v>
      </c>
      <c r="L73" s="211" t="s">
        <v>1354</v>
      </c>
      <c r="M73" s="212" t="str">
        <f>VLOOKUP(L73,'#Mission.Set'!$A:$D,2,FALSE)</f>
        <v>PluginLvUp</v>
      </c>
      <c r="N73" s="212" t="str">
        <f>IF(VLOOKUP($L73,'#Mission.Set'!$A:$D,3,FALSE)=0,"",VLOOKUP($L73,'#Mission.Set'!$A:$D,3,FALSE))</f>
        <v/>
      </c>
      <c r="O73" s="24" t="str">
        <f t="shared" ref="O73" si="54">N73</f>
        <v/>
      </c>
      <c r="P73" s="24">
        <v>1</v>
      </c>
      <c r="Q73" s="195" t="s">
        <v>1268</v>
      </c>
      <c r="R73" s="212" t="str">
        <f>IF(VLOOKUP($L73,'#Mission.Set'!$A:$D,4,FALSE)=0,"",VLOOKUP($L73,'#Mission.Set'!$A:$D,4,FALSE))</f>
        <v>QuickMove.Plugin</v>
      </c>
      <c r="S73" s="24" t="str">
        <f t="shared" ref="S73" si="55">R73</f>
        <v>QuickMove.Plugin</v>
      </c>
    </row>
    <row r="74" spans="1:19" s="24" customFormat="1" ht="13.5">
      <c r="A74" s="172">
        <v>2111000000213</v>
      </c>
      <c r="C74" s="172">
        <v>2211000000003</v>
      </c>
      <c r="D74" s="323" t="s">
        <v>331</v>
      </c>
      <c r="E74" s="24" t="b">
        <v>1</v>
      </c>
      <c r="L74" s="210"/>
      <c r="M74" s="210"/>
      <c r="N74" s="210"/>
      <c r="O74" s="210"/>
      <c r="R74" s="210"/>
      <c r="S74" s="210"/>
    </row>
    <row r="75" spans="1:19" s="24" customFormat="1" ht="27">
      <c r="A75" s="172"/>
      <c r="C75" s="172"/>
      <c r="H75" s="80" t="s">
        <v>332</v>
      </c>
      <c r="I75" s="24" t="s">
        <v>1047</v>
      </c>
      <c r="J75" s="24" t="s">
        <v>1047</v>
      </c>
      <c r="K75" s="194" t="s">
        <v>334</v>
      </c>
      <c r="L75" s="211" t="s">
        <v>1299</v>
      </c>
      <c r="M75" s="212" t="str">
        <f>VLOOKUP(L75,'#Mission.Set'!$A:$D,2,FALSE)</f>
        <v>TryGacha</v>
      </c>
      <c r="N75" s="212" t="str">
        <f>IF(VLOOKUP($L75,'#Mission.Set'!$A:$D,3,FALSE)=0,"",VLOOKUP($L75,'#Mission.Set'!$A:$D,3,FALSE))</f>
        <v>GachaGroup : Character</v>
      </c>
      <c r="O75" s="24" t="str">
        <f t="shared" ref="O75" si="56">N75</f>
        <v>GachaGroup : Character</v>
      </c>
      <c r="P75" s="24">
        <v>5</v>
      </c>
      <c r="Q75" s="195" t="s">
        <v>1268</v>
      </c>
      <c r="R75" s="212" t="str">
        <f>IF(VLOOKUP($L75,'#Mission.Set'!$A:$D,4,FALSE)=0,"",VLOOKUP($L75,'#Mission.Set'!$A:$D,4,FALSE))</f>
        <v>QuickMove.Gacha.Character</v>
      </c>
      <c r="S75" s="24" t="str">
        <f t="shared" ref="S75" si="57">R75</f>
        <v>QuickMove.Gacha.Character</v>
      </c>
    </row>
    <row r="76" spans="1:19" s="24" customFormat="1" ht="13.5">
      <c r="A76" s="172">
        <v>2111000000214</v>
      </c>
      <c r="C76" s="172">
        <v>2211000000003</v>
      </c>
      <c r="D76" s="323" t="s">
        <v>331</v>
      </c>
      <c r="E76" s="24" t="b">
        <v>1</v>
      </c>
      <c r="L76" s="210"/>
      <c r="M76" s="210"/>
      <c r="N76" s="210"/>
      <c r="O76" s="210"/>
      <c r="R76" s="210"/>
      <c r="S76" s="210"/>
    </row>
    <row r="77" spans="1:19" s="24" customFormat="1" ht="27">
      <c r="A77" s="172"/>
      <c r="C77" s="172"/>
      <c r="H77" s="80">
        <v>1</v>
      </c>
      <c r="I77" s="24" t="s">
        <v>1048</v>
      </c>
      <c r="J77" s="24" t="s">
        <v>1048</v>
      </c>
      <c r="K77" s="194" t="s">
        <v>334</v>
      </c>
      <c r="L77" s="211" t="s">
        <v>1344</v>
      </c>
      <c r="M77" s="212" t="str">
        <f>VLOOKUP(L77,'#Mission.Set'!$A:$D,2,FALSE)</f>
        <v>CharacterLvUp</v>
      </c>
      <c r="N77" s="212" t="str">
        <f>IF(VLOOKUP($L77,'#Mission.Set'!$A:$D,3,FALSE)=0,"",VLOOKUP($L77,'#Mission.Set'!$A:$D,3,FALSE))</f>
        <v/>
      </c>
      <c r="O77" s="24" t="str">
        <f t="shared" ref="O77" si="58">N77</f>
        <v/>
      </c>
      <c r="P77" s="24">
        <v>1</v>
      </c>
      <c r="Q77" s="195" t="s">
        <v>1268</v>
      </c>
      <c r="R77" s="212" t="str">
        <f>IF(VLOOKUP($L77,'#Mission.Set'!$A:$D,4,FALSE)=0,"",VLOOKUP($L77,'#Mission.Set'!$A:$D,4,FALSE))</f>
        <v>QuickMove0250</v>
      </c>
      <c r="S77" s="24" t="str">
        <f t="shared" ref="S77" si="59">R77</f>
        <v>QuickMove0250</v>
      </c>
    </row>
    <row r="78" spans="1:19" s="24" customFormat="1" ht="13.5">
      <c r="A78" s="172">
        <v>2111000000215</v>
      </c>
      <c r="C78" s="172">
        <v>2211000000003</v>
      </c>
      <c r="D78" s="323" t="s">
        <v>331</v>
      </c>
      <c r="E78" s="24" t="b">
        <v>1</v>
      </c>
      <c r="L78" s="210"/>
      <c r="M78" s="210"/>
      <c r="N78" s="210"/>
      <c r="O78" s="210"/>
      <c r="R78" s="210"/>
      <c r="S78" s="210"/>
    </row>
    <row r="79" spans="1:19" s="24" customFormat="1" ht="27">
      <c r="A79" s="172"/>
      <c r="C79" s="172"/>
      <c r="H79" s="80" t="s">
        <v>332</v>
      </c>
      <c r="I79" s="24" t="s">
        <v>1049</v>
      </c>
      <c r="J79" s="24" t="s">
        <v>1049</v>
      </c>
      <c r="K79" s="194" t="s">
        <v>334</v>
      </c>
      <c r="L79" s="211" t="s">
        <v>754</v>
      </c>
      <c r="M79" s="212" t="str">
        <f>VLOOKUP(L79,'#Mission.Set'!$A:$D,2,FALSE)</f>
        <v>GraduateAcademy</v>
      </c>
      <c r="N79" s="212" t="str">
        <f>IF(VLOOKUP($L79,'#Mission.Set'!$A:$D,3,FALSE)=0,"",VLOOKUP($L79,'#Mission.Set'!$A:$D,3,FALSE))</f>
        <v/>
      </c>
      <c r="O79" s="24" t="str">
        <f t="shared" ref="O79" si="60">N79</f>
        <v/>
      </c>
      <c r="P79" s="24">
        <v>3</v>
      </c>
      <c r="Q79" s="195" t="s">
        <v>1268</v>
      </c>
      <c r="R79" s="212" t="str">
        <f>IF(VLOOKUP($L79,'#Mission.Set'!$A:$D,4,FALSE)=0,"",VLOOKUP($L79,'#Mission.Set'!$A:$D,4,FALSE))</f>
        <v>QuickMove.Academy.Fuction</v>
      </c>
      <c r="S79" s="24" t="str">
        <f t="shared" ref="S79" si="61">R79</f>
        <v>QuickMove.Academy.Fuction</v>
      </c>
    </row>
    <row r="80" spans="1:19" s="24" customFormat="1" ht="13.5">
      <c r="A80" s="172">
        <v>2111000000216</v>
      </c>
      <c r="C80" s="172">
        <v>2211000000003</v>
      </c>
      <c r="D80" s="323" t="s">
        <v>331</v>
      </c>
      <c r="E80" s="24" t="b">
        <v>1</v>
      </c>
      <c r="L80" s="210"/>
      <c r="M80" s="210"/>
      <c r="N80" s="210"/>
      <c r="O80" s="210"/>
      <c r="R80" s="210"/>
      <c r="S80" s="210"/>
    </row>
    <row r="81" spans="1:19" s="24" customFormat="1" ht="27">
      <c r="A81" s="172"/>
      <c r="C81" s="172"/>
      <c r="H81" s="80" t="s">
        <v>332</v>
      </c>
      <c r="I81" s="24" t="s">
        <v>1050</v>
      </c>
      <c r="J81" s="24" t="s">
        <v>1050</v>
      </c>
      <c r="K81" s="194" t="s">
        <v>334</v>
      </c>
      <c r="L81" s="211" t="s">
        <v>1313</v>
      </c>
      <c r="M81" s="212" t="str">
        <f>VLOOKUP(L81,'#Mission.Set'!$A:$D,2,FALSE)</f>
        <v>StageClear</v>
      </c>
      <c r="N81" s="212" t="str">
        <f>IF(VLOOKUP($L81,'#Mission.Set'!$A:$D,3,FALSE)=0,"",VLOOKUP($L81,'#Mission.Set'!$A:$D,3,FALSE))</f>
        <v>ContentsType : Raid</v>
      </c>
      <c r="O81" s="24" t="str">
        <f t="shared" ref="O81" si="62">N81</f>
        <v>ContentsType : Raid</v>
      </c>
      <c r="P81" s="24">
        <v>10</v>
      </c>
      <c r="Q81" s="195" t="s">
        <v>1268</v>
      </c>
      <c r="R81" s="212" t="str">
        <f>IF(VLOOKUP($L81,'#Mission.Set'!$A:$D,4,FALSE)=0,"",VLOOKUP($L81,'#Mission.Set'!$A:$D,4,FALSE))</f>
        <v>QuickMove.Raid</v>
      </c>
      <c r="S81" s="24" t="str">
        <f t="shared" ref="S81" si="63">R81</f>
        <v>QuickMove.Raid</v>
      </c>
    </row>
    <row r="82" spans="1:19" s="24" customFormat="1" ht="13.5">
      <c r="A82" s="172">
        <v>2111000000217</v>
      </c>
      <c r="C82" s="172">
        <v>2211000000003</v>
      </c>
      <c r="D82" s="323" t="s">
        <v>331</v>
      </c>
      <c r="E82" s="24" t="b">
        <v>1</v>
      </c>
      <c r="L82" s="210"/>
      <c r="M82" s="210"/>
      <c r="N82" s="210"/>
      <c r="O82" s="210"/>
      <c r="R82" s="210"/>
      <c r="S82" s="210"/>
    </row>
    <row r="83" spans="1:19" s="24" customFormat="1" ht="27">
      <c r="A83" s="172"/>
      <c r="C83" s="172"/>
      <c r="H83" s="80" t="s">
        <v>332</v>
      </c>
      <c r="I83" s="24" t="s">
        <v>1051</v>
      </c>
      <c r="J83" s="24" t="s">
        <v>1051</v>
      </c>
      <c r="K83" s="194" t="s">
        <v>334</v>
      </c>
      <c r="L83" s="211" t="s">
        <v>1314</v>
      </c>
      <c r="M83" s="212" t="str">
        <f>VLOOKUP(L83,'#Mission.Set'!$A:$D,2,FALSE)</f>
        <v>StageClear</v>
      </c>
      <c r="N83" s="212" t="str">
        <f>IF(VLOOKUP($L83,'#Mission.Set'!$A:$D,3,FALSE)=0,"",VLOOKUP($L83,'#Mission.Set'!$A:$D,3,FALSE))</f>
        <v>ContentsType : GuildOperation</v>
      </c>
      <c r="O83" s="24" t="str">
        <f t="shared" ref="O83" si="64">N83</f>
        <v>ContentsType : GuildOperation</v>
      </c>
      <c r="P83" s="24">
        <v>3</v>
      </c>
      <c r="Q83" s="195" t="s">
        <v>1268</v>
      </c>
      <c r="R83" s="212" t="str">
        <f>IF(VLOOKUP($L83,'#Mission.Set'!$A:$D,4,FALSE)=0,"",VLOOKUP($L83,'#Mission.Set'!$A:$D,4,FALSE))</f>
        <v>QuickMove.GuildOperation</v>
      </c>
      <c r="S83" s="24" t="str">
        <f t="shared" ref="S83" si="65">R83</f>
        <v>QuickMove.GuildOperation</v>
      </c>
    </row>
    <row r="84" spans="1:19" s="24" customFormat="1" ht="13.5">
      <c r="A84" s="172">
        <v>2111000000218</v>
      </c>
      <c r="C84" s="172">
        <v>2211000000003</v>
      </c>
      <c r="D84" s="323" t="s">
        <v>331</v>
      </c>
      <c r="E84" s="24" t="b">
        <v>1</v>
      </c>
      <c r="L84" s="210"/>
      <c r="M84" s="210"/>
      <c r="N84" s="210"/>
      <c r="O84" s="210"/>
      <c r="R84" s="210"/>
      <c r="S84" s="210"/>
    </row>
    <row r="85" spans="1:19" s="24" customFormat="1" ht="27">
      <c r="A85" s="172"/>
      <c r="C85" s="172"/>
      <c r="H85" s="80">
        <v>1</v>
      </c>
      <c r="I85" s="24" t="s">
        <v>1052</v>
      </c>
      <c r="J85" s="24" t="s">
        <v>1052</v>
      </c>
      <c r="K85" s="194" t="s">
        <v>334</v>
      </c>
      <c r="L85" s="211" t="s">
        <v>1355</v>
      </c>
      <c r="M85" s="212" t="str">
        <f>VLOOKUP(L85,'#Mission.Set'!$A:$D,2,FALSE)</f>
        <v>PluginPromote</v>
      </c>
      <c r="N85" s="212" t="str">
        <f>IF(VLOOKUP($L85,'#Mission.Set'!$A:$D,3,FALSE)=0,"",VLOOKUP($L85,'#Mission.Set'!$A:$D,3,FALSE))</f>
        <v/>
      </c>
      <c r="O85" s="24" t="str">
        <f t="shared" ref="O85" si="66">N85</f>
        <v/>
      </c>
      <c r="P85" s="24">
        <v>1</v>
      </c>
      <c r="Q85" s="195" t="s">
        <v>1269</v>
      </c>
      <c r="R85" s="212" t="str">
        <f>IF(VLOOKUP($L85,'#Mission.Set'!$A:$D,4,FALSE)=0,"",VLOOKUP($L85,'#Mission.Set'!$A:$D,4,FALSE))</f>
        <v>QuickMove.Plugin</v>
      </c>
      <c r="S85" s="24" t="str">
        <f t="shared" ref="S85" si="67">R85</f>
        <v>QuickMove.Plugin</v>
      </c>
    </row>
    <row r="86" spans="1:19" s="24" customFormat="1" ht="13.5">
      <c r="A86" s="172">
        <v>2111000000219</v>
      </c>
      <c r="C86" s="172">
        <v>2211000000003</v>
      </c>
      <c r="D86" s="323" t="s">
        <v>331</v>
      </c>
      <c r="E86" s="24" t="b">
        <v>1</v>
      </c>
      <c r="L86" s="210"/>
      <c r="M86" s="210"/>
      <c r="N86" s="210"/>
      <c r="O86" s="210"/>
      <c r="R86" s="210"/>
      <c r="S86" s="210"/>
    </row>
    <row r="87" spans="1:19" s="24" customFormat="1" ht="27">
      <c r="A87" s="172"/>
      <c r="C87" s="172"/>
      <c r="H87" s="80" t="s">
        <v>332</v>
      </c>
      <c r="I87" s="24" t="s">
        <v>1053</v>
      </c>
      <c r="J87" s="24" t="s">
        <v>1053</v>
      </c>
      <c r="K87" s="194" t="s">
        <v>334</v>
      </c>
      <c r="L87" s="211" t="s">
        <v>1300</v>
      </c>
      <c r="M87" s="212" t="str">
        <f>VLOOKUP(L87,'#Mission.Set'!$A:$D,2,FALSE)</f>
        <v>TryGacha</v>
      </c>
      <c r="N87" s="212" t="str">
        <f>IF(VLOOKUP($L87,'#Mission.Set'!$A:$D,3,FALSE)=0,"",VLOOKUP($L87,'#Mission.Set'!$A:$D,3,FALSE))</f>
        <v>GachaGroup : Plugin</v>
      </c>
      <c r="O87" s="24" t="str">
        <f t="shared" ref="O87" si="68">N87</f>
        <v>GachaGroup : Plugin</v>
      </c>
      <c r="P87" s="24">
        <v>10</v>
      </c>
      <c r="Q87" s="195" t="s">
        <v>1269</v>
      </c>
      <c r="R87" s="212" t="str">
        <f>IF(VLOOKUP($L87,'#Mission.Set'!$A:$D,4,FALSE)=0,"",VLOOKUP($L87,'#Mission.Set'!$A:$D,4,FALSE))</f>
        <v>QuickMove.Gacha</v>
      </c>
      <c r="S87" s="24" t="str">
        <f t="shared" ref="S87" si="69">R87</f>
        <v>QuickMove.Gacha</v>
      </c>
    </row>
    <row r="88" spans="1:19" s="24" customFormat="1" ht="13.5">
      <c r="A88" s="172">
        <v>2111000000220</v>
      </c>
      <c r="C88" s="172">
        <v>2211000000003</v>
      </c>
      <c r="D88" s="323" t="s">
        <v>331</v>
      </c>
      <c r="E88" s="24" t="b">
        <v>1</v>
      </c>
      <c r="L88" s="210"/>
      <c r="M88" s="210"/>
      <c r="N88" s="210"/>
      <c r="O88" s="210"/>
      <c r="R88" s="210"/>
      <c r="S88" s="210"/>
    </row>
    <row r="89" spans="1:19" s="24" customFormat="1" ht="27">
      <c r="A89" s="172"/>
      <c r="C89" s="172"/>
      <c r="H89" s="80" t="s">
        <v>332</v>
      </c>
      <c r="I89" s="24" t="s">
        <v>1054</v>
      </c>
      <c r="J89" s="24" t="s">
        <v>1054</v>
      </c>
      <c r="K89" s="194" t="s">
        <v>334</v>
      </c>
      <c r="L89" s="211" t="s">
        <v>1405</v>
      </c>
      <c r="M89" s="212" t="str">
        <f>VLOOKUP(L89,'#Mission.Set'!$A:$D,2,FALSE)</f>
        <v>OverCharacterGradeUp</v>
      </c>
      <c r="N89" s="212" t="str">
        <f>IF(VLOOKUP($L89,'#Mission.Set'!$A:$D,3,FALSE)=0,"",VLOOKUP($L89,'#Mission.Set'!$A:$D,3,FALSE))</f>
        <v>Grade : MR</v>
      </c>
      <c r="O89" s="24" t="str">
        <f t="shared" ref="O89" si="70">N89</f>
        <v>Grade : MR</v>
      </c>
      <c r="P89" s="24">
        <v>1</v>
      </c>
      <c r="Q89" s="195" t="s">
        <v>1269</v>
      </c>
      <c r="R89" s="212" t="str">
        <f>IF(VLOOKUP($L89,'#Mission.Set'!$A:$D,4,FALSE)=0,"",VLOOKUP($L89,'#Mission.Set'!$A:$D,4,FALSE))</f>
        <v>QuickMove0660</v>
      </c>
      <c r="S89" s="24" t="str">
        <f t="shared" ref="S89" si="71">R89</f>
        <v>QuickMove0660</v>
      </c>
    </row>
    <row r="90" spans="1:19" s="24" customFormat="1" ht="13.5">
      <c r="A90" s="172">
        <v>2111000000221</v>
      </c>
      <c r="C90" s="172">
        <v>2211000000003</v>
      </c>
      <c r="D90" s="323" t="s">
        <v>331</v>
      </c>
      <c r="E90" s="24" t="b">
        <v>1</v>
      </c>
      <c r="L90" s="210"/>
      <c r="M90" s="210"/>
      <c r="N90" s="210"/>
      <c r="O90" s="210"/>
      <c r="R90" s="210"/>
      <c r="S90" s="210"/>
    </row>
    <row r="91" spans="1:19" s="24" customFormat="1" ht="27">
      <c r="A91" s="172"/>
      <c r="C91" s="172"/>
      <c r="H91" s="80" t="s">
        <v>332</v>
      </c>
      <c r="I91" s="24" t="s">
        <v>1055</v>
      </c>
      <c r="J91" s="24" t="s">
        <v>1055</v>
      </c>
      <c r="K91" s="194" t="s">
        <v>334</v>
      </c>
      <c r="L91" s="211" t="s">
        <v>1308</v>
      </c>
      <c r="M91" s="212" t="str">
        <f>VLOOKUP(L91,'#Mission.Set'!$A:$D,2,FALSE)</f>
        <v>MissionPoint</v>
      </c>
      <c r="N91" s="212" t="str">
        <f>IF(VLOOKUP($L91,'#Mission.Set'!$A:$D,3,FALSE)=0,"",VLOOKUP($L91,'#Mission.Set'!$A:$D,3,FALSE))</f>
        <v>MissionPointType : Daily</v>
      </c>
      <c r="O91" s="24" t="str">
        <f t="shared" ref="O91" si="72">N91</f>
        <v>MissionPointType : Daily</v>
      </c>
      <c r="P91" s="24">
        <v>30</v>
      </c>
      <c r="Q91" s="195" t="s">
        <v>1269</v>
      </c>
      <c r="R91" s="212" t="str">
        <f>IF(VLOOKUP($L91,'#Mission.Set'!$A:$D,4,FALSE)=0,"",VLOOKUP($L91,'#Mission.Set'!$A:$D,4,FALSE))</f>
        <v>QuickMove.DailyMission</v>
      </c>
      <c r="S91" s="24" t="str">
        <f t="shared" ref="S91" si="73">R91</f>
        <v>QuickMove.DailyMission</v>
      </c>
    </row>
    <row r="92" spans="1:19" s="24" customFormat="1" ht="13.5">
      <c r="A92" s="172">
        <v>2111000000222</v>
      </c>
      <c r="C92" s="172">
        <v>2211000000003</v>
      </c>
      <c r="D92" s="323" t="s">
        <v>331</v>
      </c>
      <c r="E92" s="24" t="b">
        <v>1</v>
      </c>
      <c r="L92" s="210"/>
      <c r="M92" s="210"/>
      <c r="N92" s="210"/>
      <c r="O92" s="210"/>
      <c r="R92" s="210"/>
      <c r="S92" s="210"/>
    </row>
    <row r="93" spans="1:19" s="24" customFormat="1" ht="27">
      <c r="A93" s="172"/>
      <c r="C93" s="172"/>
      <c r="H93" s="80">
        <v>1</v>
      </c>
      <c r="I93" s="24" t="s">
        <v>1056</v>
      </c>
      <c r="J93" s="24" t="s">
        <v>1056</v>
      </c>
      <c r="K93" s="194" t="s">
        <v>334</v>
      </c>
      <c r="L93" s="211" t="s">
        <v>1371</v>
      </c>
      <c r="M93" s="212" t="str">
        <f>VLOOKUP(L93,'#Mission.Set'!$A:$D,2,FALSE)</f>
        <v>RewardCurrency</v>
      </c>
      <c r="N93" s="212" t="str">
        <f>IF(VLOOKUP($L93,'#Mission.Set'!$A:$D,3,FALSE)=0,"",VLOOKUP($L93,'#Mission.Set'!$A:$D,3,FALSE))</f>
        <v>ItemId:1040201001</v>
      </c>
      <c r="O93" s="24" t="str">
        <f t="shared" ref="O93" si="74">N93</f>
        <v>ItemId:1040201001</v>
      </c>
      <c r="P93" s="24">
        <v>200</v>
      </c>
      <c r="Q93" s="195" t="s">
        <v>1269</v>
      </c>
      <c r="R93" s="212" t="str">
        <f>IF(VLOOKUP($L93,'#Mission.Set'!$A:$D,4,FALSE)=0,"",VLOOKUP($L93,'#Mission.Set'!$A:$D,4,FALSE))</f>
        <v>QuickMove0310</v>
      </c>
      <c r="S93" s="24" t="str">
        <f t="shared" ref="S93" si="75">R93</f>
        <v>QuickMove0310</v>
      </c>
    </row>
    <row r="94" spans="1:19" s="24" customFormat="1" ht="13.5">
      <c r="A94" s="172">
        <v>2111000000223</v>
      </c>
      <c r="C94" s="172">
        <v>2211000000003</v>
      </c>
      <c r="D94" s="323" t="s">
        <v>331</v>
      </c>
      <c r="E94" s="24" t="b">
        <v>1</v>
      </c>
      <c r="L94" s="210"/>
      <c r="M94" s="210"/>
      <c r="N94" s="210"/>
      <c r="O94" s="210"/>
      <c r="R94" s="210"/>
      <c r="S94" s="210"/>
    </row>
    <row r="95" spans="1:19" s="24" customFormat="1" ht="27">
      <c r="A95" s="172"/>
      <c r="C95" s="172"/>
      <c r="H95" s="80" t="s">
        <v>332</v>
      </c>
      <c r="I95" s="24" t="s">
        <v>1057</v>
      </c>
      <c r="J95" s="24" t="s">
        <v>1057</v>
      </c>
      <c r="K95" s="194" t="s">
        <v>334</v>
      </c>
      <c r="L95" s="211" t="s">
        <v>731</v>
      </c>
      <c r="M95" s="212" t="str">
        <f>VLOOKUP(L95,'#Mission.Set'!$A:$D,2,FALSE)</f>
        <v>UseMercenary</v>
      </c>
      <c r="N95" s="212" t="str">
        <f>IF(VLOOKUP($L95,'#Mission.Set'!$A:$D,3,FALSE)=0,"",VLOOKUP($L95,'#Mission.Set'!$A:$D,3,FALSE))</f>
        <v/>
      </c>
      <c r="O95" s="24" t="str">
        <f t="shared" ref="O95" si="76">N95</f>
        <v/>
      </c>
      <c r="P95" s="24">
        <v>3</v>
      </c>
      <c r="Q95" s="195" t="s">
        <v>1269</v>
      </c>
      <c r="R95" s="212" t="str">
        <f>IF(VLOOKUP($L95,'#Mission.Set'!$A:$D,4,FALSE)=0,"",VLOOKUP($L95,'#Mission.Set'!$A:$D,4,FALSE))</f>
        <v>QuickMove0010</v>
      </c>
      <c r="S95" s="24" t="str">
        <f t="shared" ref="S95" si="77">R95</f>
        <v>QuickMove0010</v>
      </c>
    </row>
    <row r="96" spans="1:19" s="24" customFormat="1" ht="13.5">
      <c r="A96" s="172">
        <v>2111000000225</v>
      </c>
      <c r="C96" s="172">
        <v>2211000000003</v>
      </c>
      <c r="D96" s="323" t="s">
        <v>331</v>
      </c>
      <c r="E96" s="24" t="b">
        <v>1</v>
      </c>
      <c r="L96" s="210"/>
      <c r="M96" s="210"/>
      <c r="N96" s="210"/>
      <c r="O96" s="210"/>
      <c r="R96" s="210"/>
      <c r="S96" s="210"/>
    </row>
    <row r="97" spans="1:19" s="24" customFormat="1" ht="27">
      <c r="A97" s="172"/>
      <c r="C97" s="172"/>
      <c r="H97" s="80" t="s">
        <v>332</v>
      </c>
      <c r="I97" s="24" t="s">
        <v>1058</v>
      </c>
      <c r="J97" s="24" t="s">
        <v>1058</v>
      </c>
      <c r="K97" s="194" t="s">
        <v>334</v>
      </c>
      <c r="L97" s="211" t="s">
        <v>1388</v>
      </c>
      <c r="M97" s="212" t="str">
        <f>VLOOKUP(L97,'#Mission.Set'!$A:$D,2,FALSE)</f>
        <v>ArenaPlay</v>
      </c>
      <c r="N97" s="212" t="str">
        <f>IF(VLOOKUP($L97,'#Mission.Set'!$A:$D,3,FALSE)=0,"",VLOOKUP($L97,'#Mission.Set'!$A:$D,3,FALSE))</f>
        <v>ArenaType : Normal</v>
      </c>
      <c r="O97" s="24" t="str">
        <f t="shared" ref="O97" si="78">N97</f>
        <v>ArenaType : Normal</v>
      </c>
      <c r="P97" s="24">
        <v>15</v>
      </c>
      <c r="Q97" s="195" t="s">
        <v>1269</v>
      </c>
      <c r="R97" s="212" t="str">
        <f>IF(VLOOKUP($L97,'#Mission.Set'!$A:$D,4,FALSE)=0,"",VLOOKUP($L97,'#Mission.Set'!$A:$D,4,FALSE))</f>
        <v>QuickMove.Arena</v>
      </c>
      <c r="S97" s="24" t="str">
        <f t="shared" ref="S97" si="79">R97</f>
        <v>QuickMove.Arena</v>
      </c>
    </row>
    <row r="98" spans="1:19" s="24" customFormat="1" ht="13.5">
      <c r="A98" s="172">
        <v>2111000000226</v>
      </c>
      <c r="C98" s="172">
        <v>2211000000003</v>
      </c>
      <c r="D98" s="323" t="s">
        <v>331</v>
      </c>
      <c r="E98" s="24" t="b">
        <v>1</v>
      </c>
      <c r="L98" s="210"/>
      <c r="M98" s="210"/>
      <c r="N98" s="210"/>
      <c r="O98" s="210"/>
      <c r="R98" s="210"/>
      <c r="S98" s="210"/>
    </row>
    <row r="99" spans="1:19" s="24" customFormat="1" ht="27">
      <c r="A99" s="172"/>
      <c r="C99" s="172"/>
      <c r="H99" s="80">
        <v>1</v>
      </c>
      <c r="I99" s="24" t="s">
        <v>1059</v>
      </c>
      <c r="J99" s="24" t="s">
        <v>1059</v>
      </c>
      <c r="K99" s="194" t="s">
        <v>334</v>
      </c>
      <c r="L99" s="211" t="s">
        <v>1100</v>
      </c>
      <c r="M99" s="212" t="str">
        <f>VLOOKUP(L99,'#Mission.Set'!$A:$D,2,FALSE)</f>
        <v>IdleBattleReward</v>
      </c>
      <c r="N99" s="212" t="str">
        <f>IF(VLOOKUP($L99,'#Mission.Set'!$A:$D,3,FALSE)=0,"",VLOOKUP($L99,'#Mission.Set'!$A:$D,3,FALSE))</f>
        <v/>
      </c>
      <c r="O99" s="24" t="str">
        <f t="shared" ref="O99" si="80">N99</f>
        <v/>
      </c>
      <c r="P99" s="24">
        <v>25</v>
      </c>
      <c r="Q99" s="195" t="s">
        <v>1269</v>
      </c>
      <c r="R99" s="212" t="str">
        <f>IF(VLOOKUP($L99,'#Mission.Set'!$A:$D,4,FALSE)=0,"",VLOOKUP($L99,'#Mission.Set'!$A:$D,4,FALSE))</f>
        <v>QuickMove.IdleBattlePopup</v>
      </c>
      <c r="S99" s="24" t="str">
        <f t="shared" ref="S99" si="81">R99</f>
        <v>QuickMove.IdleBattlePopup</v>
      </c>
    </row>
    <row r="100" spans="1:19" s="24" customFormat="1" ht="13.5">
      <c r="A100" s="172">
        <v>2111000000227</v>
      </c>
      <c r="C100" s="172">
        <v>2211000000003</v>
      </c>
      <c r="D100" s="323" t="s">
        <v>331</v>
      </c>
      <c r="E100" s="24" t="b">
        <v>1</v>
      </c>
      <c r="L100" s="210"/>
      <c r="M100" s="210"/>
      <c r="N100" s="210"/>
      <c r="O100" s="210"/>
      <c r="R100" s="210"/>
      <c r="S100" s="210"/>
    </row>
    <row r="101" spans="1:19" s="24" customFormat="1" ht="27">
      <c r="A101" s="172"/>
      <c r="C101" s="172"/>
      <c r="H101" s="80" t="s">
        <v>332</v>
      </c>
      <c r="I101" s="24" t="s">
        <v>1060</v>
      </c>
      <c r="J101" s="24" t="s">
        <v>1060</v>
      </c>
      <c r="K101" s="194" t="s">
        <v>334</v>
      </c>
      <c r="L101" s="211" t="s">
        <v>1313</v>
      </c>
      <c r="M101" s="212" t="str">
        <f>VLOOKUP(L101,'#Mission.Set'!$A:$D,2,FALSE)</f>
        <v>StageClear</v>
      </c>
      <c r="N101" s="212" t="str">
        <f>IF(VLOOKUP($L101,'#Mission.Set'!$A:$D,3,FALSE)=0,"",VLOOKUP($L101,'#Mission.Set'!$A:$D,3,FALSE))</f>
        <v>ContentsType : Raid</v>
      </c>
      <c r="O101" s="24" t="str">
        <f t="shared" ref="O101" si="82">N101</f>
        <v>ContentsType : Raid</v>
      </c>
      <c r="P101" s="24">
        <v>20</v>
      </c>
      <c r="Q101" s="195" t="s">
        <v>1269</v>
      </c>
      <c r="R101" s="212" t="str">
        <f>IF(VLOOKUP($L101,'#Mission.Set'!$A:$D,4,FALSE)=0,"",VLOOKUP($L101,'#Mission.Set'!$A:$D,4,FALSE))</f>
        <v>QuickMove.Raid</v>
      </c>
      <c r="S101" s="24" t="str">
        <f t="shared" ref="S101" si="83">R101</f>
        <v>QuickMove.Raid</v>
      </c>
    </row>
    <row r="102" spans="1:19" s="24" customFormat="1" ht="13.5">
      <c r="A102" s="172">
        <v>2111000000228</v>
      </c>
      <c r="C102" s="172">
        <v>2211000000003</v>
      </c>
      <c r="D102" s="323" t="s">
        <v>331</v>
      </c>
      <c r="E102" s="24" t="b">
        <v>1</v>
      </c>
      <c r="L102" s="210"/>
      <c r="M102" s="210"/>
      <c r="N102" s="210"/>
      <c r="O102" s="210"/>
      <c r="R102" s="210"/>
      <c r="S102" s="210"/>
    </row>
    <row r="103" spans="1:19" s="24" customFormat="1" ht="27">
      <c r="A103" s="172"/>
      <c r="C103" s="172"/>
      <c r="H103" s="80" t="s">
        <v>332</v>
      </c>
      <c r="I103" s="24" t="s">
        <v>1061</v>
      </c>
      <c r="J103" s="24" t="s">
        <v>1061</v>
      </c>
      <c r="K103" s="194" t="s">
        <v>334</v>
      </c>
      <c r="L103" s="211" t="s">
        <v>1382</v>
      </c>
      <c r="M103" s="212" t="str">
        <f>VLOOKUP(L103,'#Mission.Set'!$A:$D,2,FALSE)</f>
        <v>StageClear</v>
      </c>
      <c r="N103" s="212" t="str">
        <f>IF(VLOOKUP($L103,'#Mission.Set'!$A:$D,3,FALSE)=0,"",VLOOKUP($L103,'#Mission.Set'!$A:$D,3,FALSE))</f>
        <v>ContentsType : Dominion</v>
      </c>
      <c r="O103" s="24" t="str">
        <f t="shared" ref="O103" si="84">N103</f>
        <v>ContentsType : Dominion</v>
      </c>
      <c r="P103" s="24">
        <v>10</v>
      </c>
      <c r="Q103" s="195" t="s">
        <v>1269</v>
      </c>
      <c r="R103" s="212" t="str">
        <f>IF(VLOOKUP($L103,'#Mission.Set'!$A:$D,4,FALSE)=0,"",VLOOKUP($L103,'#Mission.Set'!$A:$D,4,FALSE))</f>
        <v>QuickMove.Dominion</v>
      </c>
      <c r="S103" s="24" t="str">
        <f t="shared" ref="S103" si="85">R103</f>
        <v>QuickMove.Dominion</v>
      </c>
    </row>
    <row r="104" spans="1:19" s="210" customFormat="1" ht="13.5">
      <c r="A104" s="172">
        <v>2111000000229</v>
      </c>
      <c r="B104" s="24"/>
      <c r="C104" s="172">
        <v>2211000000003</v>
      </c>
      <c r="D104" s="323" t="s">
        <v>331</v>
      </c>
      <c r="E104" s="24" t="b">
        <v>1</v>
      </c>
      <c r="I104" s="24"/>
      <c r="J104" s="24"/>
    </row>
    <row r="105" spans="1:19" s="24" customFormat="1" ht="27">
      <c r="A105" s="172"/>
      <c r="C105" s="172"/>
      <c r="H105" s="80" t="s">
        <v>332</v>
      </c>
      <c r="I105" s="24" t="s">
        <v>1409</v>
      </c>
      <c r="J105" s="24" t="s">
        <v>1409</v>
      </c>
      <c r="K105" s="194" t="s">
        <v>334</v>
      </c>
      <c r="L105" s="211" t="s">
        <v>1374</v>
      </c>
      <c r="M105" s="212" t="str">
        <f>VLOOKUP(L105,'#Mission.Set'!$A:$D,2,FALSE)</f>
        <v>ConsumeCurrency</v>
      </c>
      <c r="N105" s="212" t="str">
        <f>IF(VLOOKUP($L105,'#Mission.Set'!$A:$D,3,FALSE)=0,"",VLOOKUP($L105,'#Mission.Set'!$A:$D,3,FALSE))</f>
        <v>ItemId:1040103021</v>
      </c>
      <c r="O105" s="24" t="str">
        <f t="shared" ref="O105" si="86">N105</f>
        <v>ItemId:1040103021</v>
      </c>
      <c r="P105" s="24">
        <v>5000</v>
      </c>
      <c r="Q105" s="195" t="s">
        <v>1269</v>
      </c>
      <c r="R105" s="212" t="str">
        <f>IF(VLOOKUP($L105,'#Mission.Set'!$A:$D,4,FALSE)=0,"",VLOOKUP($L105,'#Mission.Set'!$A:$D,4,FALSE))</f>
        <v>QuickMove.Guild.Shop</v>
      </c>
      <c r="S105" s="24" t="str">
        <f t="shared" ref="S105" si="87">R105</f>
        <v>QuickMove.Guild.Shop</v>
      </c>
    </row>
    <row r="106" spans="1:19" s="24" customFormat="1" ht="13.5">
      <c r="A106" s="172">
        <v>2111000000230</v>
      </c>
      <c r="C106" s="172">
        <v>2211000000003</v>
      </c>
      <c r="D106" s="323" t="s">
        <v>331</v>
      </c>
      <c r="E106" s="24" t="b">
        <v>1</v>
      </c>
      <c r="L106" s="210"/>
      <c r="M106" s="210"/>
      <c r="N106" s="210"/>
      <c r="O106" s="210"/>
      <c r="R106" s="210"/>
      <c r="S106" s="210"/>
    </row>
    <row r="107" spans="1:19" s="24" customFormat="1" ht="27">
      <c r="A107" s="172"/>
      <c r="C107" s="172"/>
      <c r="H107" s="80" t="s">
        <v>332</v>
      </c>
      <c r="I107" s="24" t="s">
        <v>1410</v>
      </c>
      <c r="J107" s="24" t="s">
        <v>1410</v>
      </c>
      <c r="K107" s="194" t="s">
        <v>334</v>
      </c>
      <c r="L107" s="211" t="s">
        <v>1386</v>
      </c>
      <c r="M107" s="212" t="str">
        <f>VLOOKUP(L107,'#Mission.Set'!$A:$D,2,FALSE)</f>
        <v>StagePlay</v>
      </c>
      <c r="N107" s="212" t="str">
        <f>IF(VLOOKUP($L107,'#Mission.Set'!$A:$D,3,FALSE)=0,"",VLOOKUP($L107,'#Mission.Set'!$A:$D,3,FALSE))</f>
        <v>ContentsType : GuildAssault</v>
      </c>
      <c r="O107" s="24" t="str">
        <f t="shared" ref="O107" si="88">N107</f>
        <v>ContentsType : GuildAssault</v>
      </c>
      <c r="P107" s="24">
        <v>5</v>
      </c>
      <c r="Q107" s="195" t="s">
        <v>1269</v>
      </c>
      <c r="R107" s="212" t="str">
        <f>IF(VLOOKUP($L107,'#Mission.Set'!$A:$D,4,FALSE)=0,"",VLOOKUP($L107,'#Mission.Set'!$A:$D,4,FALSE))</f>
        <v>QuickMove.GuildAssault</v>
      </c>
      <c r="S107" s="24" t="str">
        <f t="shared" ref="S107" si="89">R107</f>
        <v>QuickMove.GuildAssault</v>
      </c>
    </row>
    <row r="108" spans="1:19" s="24" customFormat="1" ht="13.5">
      <c r="A108" s="172">
        <v>2111000000231</v>
      </c>
      <c r="C108" s="172">
        <v>2211000000003</v>
      </c>
      <c r="D108" s="323" t="s">
        <v>331</v>
      </c>
      <c r="E108" s="24" t="b">
        <v>1</v>
      </c>
      <c r="L108" s="210"/>
      <c r="M108" s="210"/>
      <c r="N108" s="210"/>
      <c r="O108" s="210"/>
      <c r="R108" s="210"/>
      <c r="S108" s="210"/>
    </row>
    <row r="109" spans="1:19" s="24" customFormat="1" ht="27">
      <c r="A109" s="172"/>
      <c r="C109" s="172"/>
      <c r="H109" s="80" t="s">
        <v>332</v>
      </c>
      <c r="I109" s="24" t="s">
        <v>1411</v>
      </c>
      <c r="J109" s="24" t="s">
        <v>1411</v>
      </c>
      <c r="K109" s="194" t="s">
        <v>334</v>
      </c>
      <c r="L109" s="211" t="s">
        <v>1517</v>
      </c>
      <c r="M109" s="212" t="str">
        <f>VLOOKUP(L109,'#Mission.Set'!$A:$D,2,FALSE)</f>
        <v>OverCharacterGradeUp</v>
      </c>
      <c r="N109" s="212" t="str">
        <f>IF(VLOOKUP($L109,'#Mission.Set'!$A:$D,3,FALSE)=0,"",VLOOKUP($L109,'#Mission.Set'!$A:$D,3,FALSE))</f>
        <v>Grade : MR1</v>
      </c>
      <c r="O109" s="24" t="str">
        <f t="shared" ref="O109" si="90">N109</f>
        <v>Grade : MR1</v>
      </c>
      <c r="P109" s="24">
        <v>1</v>
      </c>
      <c r="Q109" s="195" t="s">
        <v>1270</v>
      </c>
      <c r="R109" s="212" t="str">
        <f>IF(VLOOKUP($L109,'#Mission.Set'!$A:$D,4,FALSE)=0,"",VLOOKUP($L109,'#Mission.Set'!$A:$D,4,FALSE))</f>
        <v>QuickMove0660</v>
      </c>
      <c r="S109" s="24" t="str">
        <f t="shared" ref="S109" si="91">R109</f>
        <v>QuickMove0660</v>
      </c>
    </row>
    <row r="110" spans="1:19" s="24" customFormat="1" ht="13.5">
      <c r="A110" s="172">
        <v>2111000000232</v>
      </c>
      <c r="C110" s="172">
        <v>2211000000003</v>
      </c>
      <c r="D110" s="323" t="s">
        <v>331</v>
      </c>
      <c r="E110" s="24" t="b">
        <v>1</v>
      </c>
      <c r="L110" s="210"/>
      <c r="M110" s="210"/>
      <c r="N110" s="210"/>
      <c r="O110" s="210"/>
      <c r="R110" s="210"/>
      <c r="S110" s="210"/>
    </row>
    <row r="111" spans="1:19" s="24" customFormat="1" ht="27">
      <c r="A111" s="172"/>
      <c r="C111" s="172"/>
      <c r="H111" s="80">
        <v>1</v>
      </c>
      <c r="I111" s="24" t="s">
        <v>1412</v>
      </c>
      <c r="J111" s="24" t="s">
        <v>1412</v>
      </c>
      <c r="K111" s="194" t="s">
        <v>334</v>
      </c>
      <c r="L111" s="211" t="s">
        <v>1390</v>
      </c>
      <c r="M111" s="212" t="str">
        <f>VLOOKUP(L111,'#Mission.Set'!$A:$D,2,FALSE)</f>
        <v>ArenaPlay</v>
      </c>
      <c r="N111" s="212" t="str">
        <f>IF(VLOOKUP($L111,'#Mission.Set'!$A:$D,3,FALSE)=0,"",VLOOKUP($L111,'#Mission.Set'!$A:$D,3,FALSE))</f>
        <v>ArenaType : Team</v>
      </c>
      <c r="O111" s="24" t="str">
        <f t="shared" ref="O111" si="92">N111</f>
        <v>ArenaType : Team</v>
      </c>
      <c r="P111" s="24">
        <v>15</v>
      </c>
      <c r="Q111" s="195" t="s">
        <v>1270</v>
      </c>
      <c r="R111" s="212" t="str">
        <f>IF(VLOOKUP($L111,'#Mission.Set'!$A:$D,4,FALSE)=0,"",VLOOKUP($L111,'#Mission.Set'!$A:$D,4,FALSE))</f>
        <v>QuickMove.TeamArena</v>
      </c>
      <c r="S111" s="24" t="str">
        <f t="shared" ref="S111" si="93">R111</f>
        <v>QuickMove.TeamArena</v>
      </c>
    </row>
    <row r="112" spans="1:19" s="24" customFormat="1" ht="13.5">
      <c r="A112" s="172">
        <v>2111000000234</v>
      </c>
      <c r="C112" s="172">
        <v>2211000000003</v>
      </c>
      <c r="D112" s="323" t="s">
        <v>331</v>
      </c>
      <c r="E112" s="24" t="b">
        <v>1</v>
      </c>
      <c r="L112" s="210"/>
      <c r="M112" s="210"/>
      <c r="N112" s="210"/>
      <c r="O112" s="210"/>
      <c r="R112" s="210"/>
      <c r="S112" s="210"/>
    </row>
    <row r="113" spans="1:19" s="24" customFormat="1" ht="27">
      <c r="A113" s="172"/>
      <c r="C113" s="172"/>
      <c r="H113" s="80" t="s">
        <v>332</v>
      </c>
      <c r="I113" s="24" t="s">
        <v>1413</v>
      </c>
      <c r="J113" s="24" t="s">
        <v>1413</v>
      </c>
      <c r="K113" s="194" t="s">
        <v>334</v>
      </c>
      <c r="L113" s="211" t="s">
        <v>1309</v>
      </c>
      <c r="M113" s="212" t="str">
        <f>VLOOKUP(L113,'#Mission.Set'!$A:$D,2,FALSE)</f>
        <v>MissionPoint</v>
      </c>
      <c r="N113" s="212" t="str">
        <f>IF(VLOOKUP($L113,'#Mission.Set'!$A:$D,3,FALSE)=0,"",VLOOKUP($L113,'#Mission.Set'!$A:$D,3,FALSE))</f>
        <v>MissionPointType : Weekly</v>
      </c>
      <c r="O113" s="24" t="str">
        <f t="shared" ref="O113" si="94">N113</f>
        <v>MissionPointType : Weekly</v>
      </c>
      <c r="P113" s="24">
        <v>8</v>
      </c>
      <c r="Q113" s="195" t="s">
        <v>1270</v>
      </c>
      <c r="R113" s="212" t="str">
        <f>IF(VLOOKUP($L113,'#Mission.Set'!$A:$D,4,FALSE)=0,"",VLOOKUP($L113,'#Mission.Set'!$A:$D,4,FALSE))</f>
        <v>QuickMove.WeeklyMission</v>
      </c>
      <c r="S113" s="24" t="str">
        <f t="shared" ref="S113" si="95">R113</f>
        <v>QuickMove.WeeklyMission</v>
      </c>
    </row>
    <row r="114" spans="1:19" s="24" customFormat="1" ht="13.5">
      <c r="A114" s="172">
        <v>2111000000235</v>
      </c>
      <c r="C114" s="172">
        <v>2211000000003</v>
      </c>
      <c r="D114" s="323" t="s">
        <v>331</v>
      </c>
      <c r="E114" s="24" t="b">
        <v>1</v>
      </c>
      <c r="L114" s="210"/>
      <c r="M114" s="210"/>
      <c r="N114" s="210"/>
      <c r="O114" s="210"/>
      <c r="R114" s="210"/>
      <c r="S114" s="210"/>
    </row>
    <row r="115" spans="1:19" s="24" customFormat="1" ht="27">
      <c r="A115" s="172"/>
      <c r="C115" s="172"/>
      <c r="H115" s="80" t="s">
        <v>332</v>
      </c>
      <c r="I115" s="24" t="s">
        <v>1414</v>
      </c>
      <c r="J115" s="24" t="s">
        <v>1414</v>
      </c>
      <c r="K115" s="194" t="s">
        <v>334</v>
      </c>
      <c r="L115" s="211" t="s">
        <v>1366</v>
      </c>
      <c r="M115" s="212" t="str">
        <f>VLOOKUP(L115,'#Mission.Set'!$A:$D,2,FALSE)</f>
        <v>StagePlay</v>
      </c>
      <c r="N115" s="212" t="str">
        <f>IF(VLOOKUP($L115,'#Mission.Set'!$A:$D,3,FALSE)=0,"",VLOOKUP($L115,'#Mission.Set'!$A:$D,3,FALSE))</f>
        <v>ContentsType : WorldRaid</v>
      </c>
      <c r="O115" s="24" t="str">
        <f t="shared" ref="O115" si="96">N115</f>
        <v>ContentsType : WorldRaid</v>
      </c>
      <c r="P115" s="24">
        <v>2</v>
      </c>
      <c r="Q115" s="195" t="s">
        <v>1270</v>
      </c>
      <c r="R115" s="212" t="str">
        <f>IF(VLOOKUP($L115,'#Mission.Set'!$A:$D,4,FALSE)=0,"",VLOOKUP($L115,'#Mission.Set'!$A:$D,4,FALSE))</f>
        <v>QuickMove.WorldRaid</v>
      </c>
      <c r="S115" s="24" t="str">
        <f t="shared" ref="S115" si="97">R115</f>
        <v>QuickMove.WorldRaid</v>
      </c>
    </row>
    <row r="116" spans="1:19" s="24" customFormat="1" ht="13.5">
      <c r="A116" s="172">
        <v>2111000000236</v>
      </c>
      <c r="C116" s="172">
        <v>2211000000003</v>
      </c>
      <c r="D116" s="323" t="s">
        <v>331</v>
      </c>
      <c r="E116" s="24" t="b">
        <v>1</v>
      </c>
      <c r="L116" s="210"/>
      <c r="M116" s="210"/>
      <c r="N116" s="210"/>
      <c r="O116" s="210"/>
      <c r="R116" s="210"/>
      <c r="S116" s="210"/>
    </row>
    <row r="117" spans="1:19" s="24" customFormat="1" ht="27">
      <c r="A117" s="172"/>
      <c r="C117" s="172"/>
      <c r="H117" s="80" t="s">
        <v>332</v>
      </c>
      <c r="I117" s="24" t="s">
        <v>1415</v>
      </c>
      <c r="J117" s="24" t="s">
        <v>1415</v>
      </c>
      <c r="K117" s="194" t="s">
        <v>334</v>
      </c>
      <c r="L117" s="211" t="s">
        <v>1394</v>
      </c>
      <c r="M117" s="212" t="str">
        <f>VLOOKUP(L117,'#Mission.Set'!$A:$D,2,FALSE)</f>
        <v>StageClear</v>
      </c>
      <c r="N117" s="212" t="str">
        <f>IF(VLOOKUP($L117,'#Mission.Set'!$A:$D,3,FALSE)=0,"",VLOOKUP($L117,'#Mission.Set'!$A:$D,3,FALSE))</f>
        <v>ContentsType : ArenaChallenge</v>
      </c>
      <c r="O117" s="24" t="str">
        <f t="shared" ref="O117" si="98">N117</f>
        <v>ContentsType : ArenaChallenge</v>
      </c>
      <c r="P117" s="24">
        <v>10</v>
      </c>
      <c r="Q117" s="195" t="s">
        <v>1270</v>
      </c>
      <c r="R117" s="212" t="str">
        <f>IF(VLOOKUP($L117,'#Mission.Set'!$A:$D,4,FALSE)=0,"",VLOOKUP($L117,'#Mission.Set'!$A:$D,4,FALSE))</f>
        <v>QuickMove0510</v>
      </c>
      <c r="S117" s="24" t="str">
        <f t="shared" ref="S117" si="99">R117</f>
        <v>QuickMove0510</v>
      </c>
    </row>
    <row r="118" spans="1:19" s="24" customFormat="1" ht="13.5">
      <c r="A118" s="172">
        <v>2111000000237</v>
      </c>
      <c r="C118" s="172">
        <v>2211000000003</v>
      </c>
      <c r="D118" s="323" t="s">
        <v>331</v>
      </c>
      <c r="E118" s="24" t="b">
        <v>1</v>
      </c>
      <c r="L118" s="210"/>
      <c r="M118" s="210"/>
      <c r="N118" s="210"/>
      <c r="O118" s="210"/>
      <c r="R118" s="210"/>
      <c r="S118" s="210"/>
    </row>
    <row r="119" spans="1:19" s="24" customFormat="1" ht="27">
      <c r="A119" s="172"/>
      <c r="C119" s="172"/>
      <c r="H119" s="80" t="s">
        <v>332</v>
      </c>
      <c r="I119" s="24" t="s">
        <v>1416</v>
      </c>
      <c r="J119" s="24" t="s">
        <v>1416</v>
      </c>
      <c r="K119" s="194" t="s">
        <v>334</v>
      </c>
      <c r="L119" s="211" t="s">
        <v>1382</v>
      </c>
      <c r="M119" s="212" t="str">
        <f>VLOOKUP(L119,'#Mission.Set'!$A:$D,2,FALSE)</f>
        <v>StageClear</v>
      </c>
      <c r="N119" s="212" t="str">
        <f>IF(VLOOKUP($L119,'#Mission.Set'!$A:$D,3,FALSE)=0,"",VLOOKUP($L119,'#Mission.Set'!$A:$D,3,FALSE))</f>
        <v>ContentsType : Dominion</v>
      </c>
      <c r="O119" s="24" t="str">
        <f t="shared" ref="O119" si="100">N119</f>
        <v>ContentsType : Dominion</v>
      </c>
      <c r="P119" s="24">
        <v>20</v>
      </c>
      <c r="Q119" s="195" t="s">
        <v>1270</v>
      </c>
      <c r="R119" s="212" t="str">
        <f>IF(VLOOKUP($L119,'#Mission.Set'!$A:$D,4,FALSE)=0,"",VLOOKUP($L119,'#Mission.Set'!$A:$D,4,FALSE))</f>
        <v>QuickMove.Dominion</v>
      </c>
      <c r="S119" s="24" t="str">
        <f t="shared" ref="S119" si="101">R119</f>
        <v>QuickMove.Dominion</v>
      </c>
    </row>
    <row r="120" spans="1:19" s="210" customFormat="1" ht="13.5">
      <c r="A120" s="172">
        <v>2111000000238</v>
      </c>
      <c r="B120" s="24"/>
      <c r="C120" s="172">
        <v>2211000000003</v>
      </c>
      <c r="D120" s="323" t="s">
        <v>331</v>
      </c>
      <c r="E120" s="24" t="b">
        <v>1</v>
      </c>
      <c r="I120" s="24"/>
      <c r="J120" s="24"/>
    </row>
    <row r="121" spans="1:19" s="24" customFormat="1" ht="27">
      <c r="A121" s="172"/>
      <c r="C121" s="172"/>
      <c r="H121" s="80" t="s">
        <v>332</v>
      </c>
      <c r="I121" s="24" t="s">
        <v>1417</v>
      </c>
      <c r="J121" s="24" t="s">
        <v>1417</v>
      </c>
      <c r="K121" s="194" t="s">
        <v>334</v>
      </c>
      <c r="L121" s="211" t="s">
        <v>1514</v>
      </c>
      <c r="M121" s="212" t="str">
        <f>VLOOKUP(L121,'#Mission.Set'!$A:$D,2,FALSE)</f>
        <v>OverCharacterGradeUp</v>
      </c>
      <c r="N121" s="212" t="str">
        <f>IF(VLOOKUP($L121,'#Mission.Set'!$A:$D,3,FALSE)=0,"",VLOOKUP($L121,'#Mission.Set'!$A:$D,3,FALSE))</f>
        <v>Grade : LR</v>
      </c>
      <c r="O121" s="24" t="str">
        <f t="shared" ref="O121" si="102">N121</f>
        <v>Grade : LR</v>
      </c>
      <c r="P121" s="24">
        <v>1</v>
      </c>
      <c r="Q121" s="195" t="s">
        <v>1426</v>
      </c>
      <c r="R121" s="212" t="str">
        <f>IF(VLOOKUP($L121,'#Mission.Set'!$A:$D,4,FALSE)=0,"",VLOOKUP($L121,'#Mission.Set'!$A:$D,4,FALSE))</f>
        <v>QuickMove0660</v>
      </c>
      <c r="S121" s="24" t="str">
        <f t="shared" ref="S121" si="103">R121</f>
        <v>QuickMove0660</v>
      </c>
    </row>
    <row r="122" spans="1:19" s="24" customFormat="1" ht="13.5">
      <c r="A122" s="209">
        <v>2111000000311</v>
      </c>
      <c r="C122" s="209">
        <v>2211000000004</v>
      </c>
      <c r="D122" s="323" t="s">
        <v>331</v>
      </c>
      <c r="E122" s="24" t="b">
        <v>1</v>
      </c>
      <c r="L122" s="210"/>
      <c r="M122" s="210"/>
      <c r="N122" s="210"/>
      <c r="O122" s="210"/>
      <c r="R122" s="210"/>
      <c r="S122" s="210"/>
    </row>
    <row r="123" spans="1:19" s="24" customFormat="1" ht="27">
      <c r="A123" s="172"/>
      <c r="C123" s="172"/>
      <c r="H123" s="80" t="s">
        <v>332</v>
      </c>
      <c r="I123" s="24" t="s">
        <v>1062</v>
      </c>
      <c r="J123" s="24" t="s">
        <v>1045</v>
      </c>
      <c r="K123" s="194" t="s">
        <v>334</v>
      </c>
      <c r="L123" s="211" t="s">
        <v>741</v>
      </c>
      <c r="M123" s="212" t="str">
        <f>VLOOKUP(L123,'#Mission.Set'!$A:$D,2,FALSE)</f>
        <v>FavorLevelUp</v>
      </c>
      <c r="N123" s="212" t="str">
        <f>IF(VLOOKUP($L123,'#Mission.Set'!$A:$D,3,FALSE)=0,"",VLOOKUP($L123,'#Mission.Set'!$A:$D,3,FALSE))</f>
        <v/>
      </c>
      <c r="O123" s="24" t="str">
        <f t="shared" ref="O123" si="104">N123</f>
        <v/>
      </c>
      <c r="P123" s="24">
        <v>1</v>
      </c>
      <c r="Q123" s="195" t="s">
        <v>1422</v>
      </c>
      <c r="R123" s="212" t="str">
        <f>IF(VLOOKUP($L123,'#Mission.Set'!$A:$D,4,FALSE)=0,"",VLOOKUP($L123,'#Mission.Set'!$A:$D,4,FALSE))</f>
        <v>QuickMove.Favorability</v>
      </c>
      <c r="S123" s="24" t="str">
        <f t="shared" ref="S123" si="105">R123</f>
        <v>QuickMove.Favorability</v>
      </c>
    </row>
    <row r="124" spans="1:19" s="24" customFormat="1" ht="13.5">
      <c r="A124" s="172">
        <v>2111000000312</v>
      </c>
      <c r="C124" s="172">
        <v>2211000000004</v>
      </c>
      <c r="D124" s="323" t="s">
        <v>331</v>
      </c>
      <c r="E124" s="24" t="b">
        <v>1</v>
      </c>
      <c r="K124" s="87"/>
      <c r="L124" s="210"/>
      <c r="M124" s="210"/>
      <c r="N124" s="210"/>
      <c r="O124" s="210"/>
      <c r="Q124" s="40"/>
      <c r="R124" s="210"/>
      <c r="S124" s="210"/>
    </row>
    <row r="125" spans="1:19" s="24" customFormat="1" ht="27">
      <c r="A125" s="172"/>
      <c r="C125" s="172"/>
      <c r="H125" s="80" t="s">
        <v>332</v>
      </c>
      <c r="I125" s="24" t="s">
        <v>1046</v>
      </c>
      <c r="J125" s="24" t="s">
        <v>1046</v>
      </c>
      <c r="K125" s="194" t="s">
        <v>334</v>
      </c>
      <c r="L125" s="211" t="s">
        <v>1354</v>
      </c>
      <c r="M125" s="212" t="str">
        <f>VLOOKUP(L125,'#Mission.Set'!$A:$D,2,FALSE)</f>
        <v>PluginLvUp</v>
      </c>
      <c r="N125" s="212" t="str">
        <f>IF(VLOOKUP($L125,'#Mission.Set'!$A:$D,3,FALSE)=0,"",VLOOKUP($L125,'#Mission.Set'!$A:$D,3,FALSE))</f>
        <v/>
      </c>
      <c r="O125" s="24" t="str">
        <f t="shared" ref="O125" si="106">N125</f>
        <v/>
      </c>
      <c r="P125" s="24">
        <v>1</v>
      </c>
      <c r="Q125" s="195" t="s">
        <v>1422</v>
      </c>
      <c r="R125" s="212" t="str">
        <f>IF(VLOOKUP($L125,'#Mission.Set'!$A:$D,4,FALSE)=0,"",VLOOKUP($L125,'#Mission.Set'!$A:$D,4,FALSE))</f>
        <v>QuickMove.Plugin</v>
      </c>
      <c r="S125" s="24" t="str">
        <f t="shared" ref="S125" si="107">R125</f>
        <v>QuickMove.Plugin</v>
      </c>
    </row>
    <row r="126" spans="1:19" s="24" customFormat="1" ht="13.5">
      <c r="A126" s="172">
        <v>2111000000313</v>
      </c>
      <c r="C126" s="172">
        <v>2211000000004</v>
      </c>
      <c r="D126" s="323" t="s">
        <v>331</v>
      </c>
      <c r="E126" s="24" t="b">
        <v>1</v>
      </c>
      <c r="L126" s="210"/>
      <c r="M126" s="210"/>
      <c r="N126" s="210"/>
      <c r="O126" s="210"/>
      <c r="R126" s="210"/>
      <c r="S126" s="210"/>
    </row>
    <row r="127" spans="1:19" s="24" customFormat="1" ht="27">
      <c r="A127" s="172"/>
      <c r="C127" s="172"/>
      <c r="H127" s="80" t="s">
        <v>332</v>
      </c>
      <c r="I127" s="24" t="s">
        <v>1047</v>
      </c>
      <c r="J127" s="24" t="s">
        <v>1047</v>
      </c>
      <c r="K127" s="194" t="s">
        <v>334</v>
      </c>
      <c r="L127" s="211" t="s">
        <v>1299</v>
      </c>
      <c r="M127" s="212" t="str">
        <f>VLOOKUP(L127,'#Mission.Set'!$A:$D,2,FALSE)</f>
        <v>TryGacha</v>
      </c>
      <c r="N127" s="212" t="str">
        <f>IF(VLOOKUP($L127,'#Mission.Set'!$A:$D,3,FALSE)=0,"",VLOOKUP($L127,'#Mission.Set'!$A:$D,3,FALSE))</f>
        <v>GachaGroup : Character</v>
      </c>
      <c r="O127" s="24" t="str">
        <f t="shared" ref="O127" si="108">N127</f>
        <v>GachaGroup : Character</v>
      </c>
      <c r="P127" s="24">
        <v>5</v>
      </c>
      <c r="Q127" s="195" t="s">
        <v>1422</v>
      </c>
      <c r="R127" s="212" t="str">
        <f>IF(VLOOKUP($L127,'#Mission.Set'!$A:$D,4,FALSE)=0,"",VLOOKUP($L127,'#Mission.Set'!$A:$D,4,FALSE))</f>
        <v>QuickMove.Gacha.Character</v>
      </c>
      <c r="S127" s="24" t="str">
        <f t="shared" ref="S127" si="109">R127</f>
        <v>QuickMove.Gacha.Character</v>
      </c>
    </row>
    <row r="128" spans="1:19" s="24" customFormat="1" ht="13.5">
      <c r="A128" s="172">
        <v>2111000000314</v>
      </c>
      <c r="C128" s="172">
        <v>2211000000004</v>
      </c>
      <c r="D128" s="323" t="s">
        <v>331</v>
      </c>
      <c r="E128" s="24" t="b">
        <v>1</v>
      </c>
      <c r="L128" s="210"/>
      <c r="M128" s="210"/>
      <c r="N128" s="210"/>
      <c r="O128" s="210"/>
      <c r="R128" s="210"/>
      <c r="S128" s="210"/>
    </row>
    <row r="129" spans="1:19" s="24" customFormat="1" ht="27">
      <c r="A129" s="172"/>
      <c r="C129" s="172"/>
      <c r="H129" s="80">
        <v>1</v>
      </c>
      <c r="I129" s="24" t="s">
        <v>1048</v>
      </c>
      <c r="J129" s="24" t="s">
        <v>1048</v>
      </c>
      <c r="K129" s="194" t="s">
        <v>334</v>
      </c>
      <c r="L129" s="211" t="s">
        <v>1344</v>
      </c>
      <c r="M129" s="212" t="str">
        <f>VLOOKUP(L129,'#Mission.Set'!$A:$D,2,FALSE)</f>
        <v>CharacterLvUp</v>
      </c>
      <c r="N129" s="212" t="str">
        <f>IF(VLOOKUP($L129,'#Mission.Set'!$A:$D,3,FALSE)=0,"",VLOOKUP($L129,'#Mission.Set'!$A:$D,3,FALSE))</f>
        <v/>
      </c>
      <c r="O129" s="24" t="str">
        <f t="shared" ref="O129" si="110">N129</f>
        <v/>
      </c>
      <c r="P129" s="24">
        <v>1</v>
      </c>
      <c r="Q129" s="195" t="s">
        <v>1422</v>
      </c>
      <c r="R129" s="212" t="str">
        <f>IF(VLOOKUP($L129,'#Mission.Set'!$A:$D,4,FALSE)=0,"",VLOOKUP($L129,'#Mission.Set'!$A:$D,4,FALSE))</f>
        <v>QuickMove0250</v>
      </c>
      <c r="S129" s="24" t="str">
        <f t="shared" ref="S129" si="111">R129</f>
        <v>QuickMove0250</v>
      </c>
    </row>
    <row r="130" spans="1:19" s="24" customFormat="1" ht="13.5">
      <c r="A130" s="172">
        <v>2111000000315</v>
      </c>
      <c r="C130" s="172">
        <v>2211000000004</v>
      </c>
      <c r="D130" s="323" t="s">
        <v>331</v>
      </c>
      <c r="E130" s="24" t="b">
        <v>1</v>
      </c>
      <c r="L130" s="210"/>
      <c r="M130" s="210"/>
      <c r="N130" s="210"/>
      <c r="O130" s="210"/>
      <c r="R130" s="210"/>
      <c r="S130" s="210"/>
    </row>
    <row r="131" spans="1:19" s="24" customFormat="1" ht="27">
      <c r="A131" s="172"/>
      <c r="C131" s="172"/>
      <c r="H131" s="80" t="s">
        <v>332</v>
      </c>
      <c r="I131" s="24" t="s">
        <v>1049</v>
      </c>
      <c r="J131" s="24" t="s">
        <v>1049</v>
      </c>
      <c r="K131" s="194" t="s">
        <v>334</v>
      </c>
      <c r="L131" s="211" t="s">
        <v>754</v>
      </c>
      <c r="M131" s="212" t="str">
        <f>VLOOKUP(L131,'#Mission.Set'!$A:$D,2,FALSE)</f>
        <v>GraduateAcademy</v>
      </c>
      <c r="N131" s="212" t="str">
        <f>IF(VLOOKUP($L131,'#Mission.Set'!$A:$D,3,FALSE)=0,"",VLOOKUP($L131,'#Mission.Set'!$A:$D,3,FALSE))</f>
        <v/>
      </c>
      <c r="O131" s="24" t="str">
        <f t="shared" ref="O131" si="112">N131</f>
        <v/>
      </c>
      <c r="P131" s="24">
        <v>3</v>
      </c>
      <c r="Q131" s="195" t="s">
        <v>1422</v>
      </c>
      <c r="R131" s="212" t="str">
        <f>IF(VLOOKUP($L131,'#Mission.Set'!$A:$D,4,FALSE)=0,"",VLOOKUP($L131,'#Mission.Set'!$A:$D,4,FALSE))</f>
        <v>QuickMove.Academy.Fuction</v>
      </c>
      <c r="S131" s="24" t="str">
        <f t="shared" ref="S131" si="113">R131</f>
        <v>QuickMove.Academy.Fuction</v>
      </c>
    </row>
    <row r="132" spans="1:19" s="24" customFormat="1" ht="13.5">
      <c r="A132" s="172">
        <v>2111000000316</v>
      </c>
      <c r="C132" s="172">
        <v>2211000000004</v>
      </c>
      <c r="D132" s="323" t="s">
        <v>331</v>
      </c>
      <c r="E132" s="24" t="b">
        <v>1</v>
      </c>
      <c r="L132" s="210"/>
      <c r="M132" s="210"/>
      <c r="N132" s="210"/>
      <c r="O132" s="210"/>
      <c r="R132" s="210"/>
      <c r="S132" s="210"/>
    </row>
    <row r="133" spans="1:19" s="24" customFormat="1" ht="27">
      <c r="A133" s="172"/>
      <c r="C133" s="172"/>
      <c r="H133" s="80" t="s">
        <v>332</v>
      </c>
      <c r="I133" s="24" t="s">
        <v>1050</v>
      </c>
      <c r="J133" s="24" t="s">
        <v>1050</v>
      </c>
      <c r="K133" s="194" t="s">
        <v>334</v>
      </c>
      <c r="L133" s="211" t="s">
        <v>1313</v>
      </c>
      <c r="M133" s="212" t="str">
        <f>VLOOKUP(L133,'#Mission.Set'!$A:$D,2,FALSE)</f>
        <v>StageClear</v>
      </c>
      <c r="N133" s="212" t="str">
        <f>IF(VLOOKUP($L133,'#Mission.Set'!$A:$D,3,FALSE)=0,"",VLOOKUP($L133,'#Mission.Set'!$A:$D,3,FALSE))</f>
        <v>ContentsType : Raid</v>
      </c>
      <c r="O133" s="24" t="str">
        <f t="shared" ref="O133" si="114">N133</f>
        <v>ContentsType : Raid</v>
      </c>
      <c r="P133" s="24">
        <v>10</v>
      </c>
      <c r="Q133" s="195" t="s">
        <v>1422</v>
      </c>
      <c r="R133" s="212" t="str">
        <f>IF(VLOOKUP($L133,'#Mission.Set'!$A:$D,4,FALSE)=0,"",VLOOKUP($L133,'#Mission.Set'!$A:$D,4,FALSE))</f>
        <v>QuickMove.Raid</v>
      </c>
      <c r="S133" s="24" t="str">
        <f t="shared" ref="S133" si="115">R133</f>
        <v>QuickMove.Raid</v>
      </c>
    </row>
    <row r="134" spans="1:19" s="24" customFormat="1" ht="13.5">
      <c r="A134" s="172">
        <v>2111000000317</v>
      </c>
      <c r="C134" s="172">
        <v>2211000000004</v>
      </c>
      <c r="D134" s="323" t="s">
        <v>331</v>
      </c>
      <c r="E134" s="24" t="b">
        <v>1</v>
      </c>
      <c r="L134" s="210"/>
      <c r="M134" s="210"/>
      <c r="N134" s="210"/>
      <c r="O134" s="210"/>
      <c r="R134" s="210"/>
      <c r="S134" s="210"/>
    </row>
    <row r="135" spans="1:19" s="24" customFormat="1" ht="27">
      <c r="A135" s="172"/>
      <c r="C135" s="172"/>
      <c r="H135" s="80" t="s">
        <v>332</v>
      </c>
      <c r="I135" s="24" t="s">
        <v>1051</v>
      </c>
      <c r="J135" s="24" t="s">
        <v>1051</v>
      </c>
      <c r="K135" s="194" t="s">
        <v>334</v>
      </c>
      <c r="L135" s="211" t="s">
        <v>1314</v>
      </c>
      <c r="M135" s="212" t="str">
        <f>VLOOKUP(L135,'#Mission.Set'!$A:$D,2,FALSE)</f>
        <v>StageClear</v>
      </c>
      <c r="N135" s="212" t="str">
        <f>IF(VLOOKUP($L135,'#Mission.Set'!$A:$D,3,FALSE)=0,"",VLOOKUP($L135,'#Mission.Set'!$A:$D,3,FALSE))</f>
        <v>ContentsType : GuildOperation</v>
      </c>
      <c r="O135" s="24" t="str">
        <f t="shared" ref="O135" si="116">N135</f>
        <v>ContentsType : GuildOperation</v>
      </c>
      <c r="P135" s="24">
        <v>3</v>
      </c>
      <c r="Q135" s="195" t="s">
        <v>1422</v>
      </c>
      <c r="R135" s="212" t="str">
        <f>IF(VLOOKUP($L135,'#Mission.Set'!$A:$D,4,FALSE)=0,"",VLOOKUP($L135,'#Mission.Set'!$A:$D,4,FALSE))</f>
        <v>QuickMove.GuildOperation</v>
      </c>
      <c r="S135" s="24" t="str">
        <f t="shared" ref="S135" si="117">R135</f>
        <v>QuickMove.GuildOperation</v>
      </c>
    </row>
    <row r="136" spans="1:19" s="24" customFormat="1" ht="13.5">
      <c r="A136" s="172">
        <v>2111000000318</v>
      </c>
      <c r="C136" s="172">
        <v>2211000000004</v>
      </c>
      <c r="D136" s="323" t="s">
        <v>331</v>
      </c>
      <c r="E136" s="24" t="b">
        <v>1</v>
      </c>
      <c r="L136" s="210"/>
      <c r="M136" s="210"/>
      <c r="N136" s="210"/>
      <c r="O136" s="210"/>
      <c r="R136" s="210"/>
      <c r="S136" s="210"/>
    </row>
    <row r="137" spans="1:19" s="24" customFormat="1" ht="27">
      <c r="A137" s="172"/>
      <c r="C137" s="172"/>
      <c r="H137" s="80">
        <v>1</v>
      </c>
      <c r="I137" s="24" t="s">
        <v>1052</v>
      </c>
      <c r="J137" s="24" t="s">
        <v>1052</v>
      </c>
      <c r="K137" s="194" t="s">
        <v>334</v>
      </c>
      <c r="L137" s="211" t="s">
        <v>1355</v>
      </c>
      <c r="M137" s="212" t="str">
        <f>VLOOKUP(L137,'#Mission.Set'!$A:$D,2,FALSE)</f>
        <v>PluginPromote</v>
      </c>
      <c r="N137" s="212" t="str">
        <f>IF(VLOOKUP($L137,'#Mission.Set'!$A:$D,3,FALSE)=0,"",VLOOKUP($L137,'#Mission.Set'!$A:$D,3,FALSE))</f>
        <v/>
      </c>
      <c r="O137" s="24" t="str">
        <f t="shared" ref="O137" si="118">N137</f>
        <v/>
      </c>
      <c r="P137" s="24">
        <v>1</v>
      </c>
      <c r="Q137" s="195" t="s">
        <v>1423</v>
      </c>
      <c r="R137" s="212" t="str">
        <f>IF(VLOOKUP($L137,'#Mission.Set'!$A:$D,4,FALSE)=0,"",VLOOKUP($L137,'#Mission.Set'!$A:$D,4,FALSE))</f>
        <v>QuickMove.Plugin</v>
      </c>
      <c r="S137" s="24" t="str">
        <f t="shared" ref="S137" si="119">R137</f>
        <v>QuickMove.Plugin</v>
      </c>
    </row>
    <row r="138" spans="1:19" s="24" customFormat="1" ht="13.5">
      <c r="A138" s="172">
        <v>2111000000319</v>
      </c>
      <c r="C138" s="172">
        <v>2211000000004</v>
      </c>
      <c r="D138" s="323" t="s">
        <v>331</v>
      </c>
      <c r="E138" s="24" t="b">
        <v>1</v>
      </c>
      <c r="L138" s="210"/>
      <c r="M138" s="210"/>
      <c r="N138" s="210"/>
      <c r="O138" s="210"/>
      <c r="R138" s="210"/>
      <c r="S138" s="210"/>
    </row>
    <row r="139" spans="1:19" s="24" customFormat="1" ht="27">
      <c r="A139" s="172"/>
      <c r="C139" s="172"/>
      <c r="H139" s="80" t="s">
        <v>332</v>
      </c>
      <c r="I139" s="24" t="s">
        <v>1053</v>
      </c>
      <c r="J139" s="24" t="s">
        <v>1053</v>
      </c>
      <c r="K139" s="194" t="s">
        <v>334</v>
      </c>
      <c r="L139" s="211" t="s">
        <v>1300</v>
      </c>
      <c r="M139" s="212" t="str">
        <f>VLOOKUP(L139,'#Mission.Set'!$A:$D,2,FALSE)</f>
        <v>TryGacha</v>
      </c>
      <c r="N139" s="212" t="str">
        <f>IF(VLOOKUP($L139,'#Mission.Set'!$A:$D,3,FALSE)=0,"",VLOOKUP($L139,'#Mission.Set'!$A:$D,3,FALSE))</f>
        <v>GachaGroup : Plugin</v>
      </c>
      <c r="O139" s="24" t="str">
        <f t="shared" ref="O139" si="120">N139</f>
        <v>GachaGroup : Plugin</v>
      </c>
      <c r="P139" s="24">
        <v>10</v>
      </c>
      <c r="Q139" s="195" t="s">
        <v>1423</v>
      </c>
      <c r="R139" s="212" t="str">
        <f>IF(VLOOKUP($L139,'#Mission.Set'!$A:$D,4,FALSE)=0,"",VLOOKUP($L139,'#Mission.Set'!$A:$D,4,FALSE))</f>
        <v>QuickMove.Gacha</v>
      </c>
      <c r="S139" s="24" t="str">
        <f t="shared" ref="S139" si="121">R139</f>
        <v>QuickMove.Gacha</v>
      </c>
    </row>
    <row r="140" spans="1:19" s="24" customFormat="1" ht="13.5">
      <c r="A140" s="172">
        <v>2111000000320</v>
      </c>
      <c r="C140" s="172">
        <v>2211000000004</v>
      </c>
      <c r="D140" s="323" t="s">
        <v>331</v>
      </c>
      <c r="E140" s="24" t="b">
        <v>1</v>
      </c>
      <c r="L140" s="210"/>
      <c r="M140" s="210"/>
      <c r="N140" s="210"/>
      <c r="O140" s="210"/>
      <c r="R140" s="210"/>
      <c r="S140" s="210"/>
    </row>
    <row r="141" spans="1:19" s="24" customFormat="1" ht="27">
      <c r="A141" s="172"/>
      <c r="C141" s="172"/>
      <c r="H141" s="80" t="s">
        <v>332</v>
      </c>
      <c r="I141" s="24" t="s">
        <v>1054</v>
      </c>
      <c r="J141" s="24" t="s">
        <v>1054</v>
      </c>
      <c r="K141" s="194" t="s">
        <v>334</v>
      </c>
      <c r="L141" s="211" t="s">
        <v>1405</v>
      </c>
      <c r="M141" s="212" t="str">
        <f>VLOOKUP(L141,'#Mission.Set'!$A:$D,2,FALSE)</f>
        <v>OverCharacterGradeUp</v>
      </c>
      <c r="N141" s="212" t="str">
        <f>IF(VLOOKUP($L141,'#Mission.Set'!$A:$D,3,FALSE)=0,"",VLOOKUP($L141,'#Mission.Set'!$A:$D,3,FALSE))</f>
        <v>Grade : MR</v>
      </c>
      <c r="O141" s="24" t="str">
        <f t="shared" ref="O141" si="122">N141</f>
        <v>Grade : MR</v>
      </c>
      <c r="P141" s="24">
        <v>1</v>
      </c>
      <c r="Q141" s="195" t="s">
        <v>1423</v>
      </c>
      <c r="R141" s="212" t="str">
        <f>IF(VLOOKUP($L141,'#Mission.Set'!$A:$D,4,FALSE)=0,"",VLOOKUP($L141,'#Mission.Set'!$A:$D,4,FALSE))</f>
        <v>QuickMove0660</v>
      </c>
      <c r="S141" s="24" t="str">
        <f t="shared" ref="S141" si="123">R141</f>
        <v>QuickMove0660</v>
      </c>
    </row>
    <row r="142" spans="1:19" s="24" customFormat="1" ht="13.5">
      <c r="A142" s="172">
        <v>2111000000321</v>
      </c>
      <c r="C142" s="172">
        <v>2211000000004</v>
      </c>
      <c r="D142" s="323" t="s">
        <v>331</v>
      </c>
      <c r="E142" s="24" t="b">
        <v>1</v>
      </c>
      <c r="L142" s="210"/>
      <c r="M142" s="210"/>
      <c r="N142" s="210"/>
      <c r="O142" s="210"/>
      <c r="R142" s="210"/>
      <c r="S142" s="210"/>
    </row>
    <row r="143" spans="1:19" s="24" customFormat="1" ht="27">
      <c r="A143" s="172"/>
      <c r="C143" s="172"/>
      <c r="H143" s="80" t="s">
        <v>332</v>
      </c>
      <c r="I143" s="24" t="s">
        <v>1055</v>
      </c>
      <c r="J143" s="24" t="s">
        <v>1055</v>
      </c>
      <c r="K143" s="194" t="s">
        <v>334</v>
      </c>
      <c r="L143" s="211" t="s">
        <v>1308</v>
      </c>
      <c r="M143" s="212" t="str">
        <f>VLOOKUP(L143,'#Mission.Set'!$A:$D,2,FALSE)</f>
        <v>MissionPoint</v>
      </c>
      <c r="N143" s="212" t="str">
        <f>IF(VLOOKUP($L143,'#Mission.Set'!$A:$D,3,FALSE)=0,"",VLOOKUP($L143,'#Mission.Set'!$A:$D,3,FALSE))</f>
        <v>MissionPointType : Daily</v>
      </c>
      <c r="O143" s="24" t="str">
        <f t="shared" ref="O143" si="124">N143</f>
        <v>MissionPointType : Daily</v>
      </c>
      <c r="P143" s="24">
        <v>30</v>
      </c>
      <c r="Q143" s="195" t="s">
        <v>1423</v>
      </c>
      <c r="R143" s="212" t="str">
        <f>IF(VLOOKUP($L143,'#Mission.Set'!$A:$D,4,FALSE)=0,"",VLOOKUP($L143,'#Mission.Set'!$A:$D,4,FALSE))</f>
        <v>QuickMove.DailyMission</v>
      </c>
      <c r="S143" s="24" t="str">
        <f t="shared" ref="S143" si="125">R143</f>
        <v>QuickMove.DailyMission</v>
      </c>
    </row>
    <row r="144" spans="1:19" s="24" customFormat="1" ht="13.5">
      <c r="A144" s="172">
        <v>2111000000322</v>
      </c>
      <c r="C144" s="172">
        <v>2211000000004</v>
      </c>
      <c r="D144" s="323" t="s">
        <v>331</v>
      </c>
      <c r="E144" s="24" t="b">
        <v>1</v>
      </c>
      <c r="L144" s="210"/>
      <c r="M144" s="210"/>
      <c r="N144" s="210"/>
      <c r="O144" s="210"/>
      <c r="R144" s="210"/>
      <c r="S144" s="210"/>
    </row>
    <row r="145" spans="1:19" s="24" customFormat="1" ht="27">
      <c r="A145" s="172"/>
      <c r="C145" s="172"/>
      <c r="H145" s="80">
        <v>1</v>
      </c>
      <c r="I145" s="24" t="s">
        <v>1056</v>
      </c>
      <c r="J145" s="24" t="s">
        <v>1056</v>
      </c>
      <c r="K145" s="194" t="s">
        <v>334</v>
      </c>
      <c r="L145" s="211" t="s">
        <v>1371</v>
      </c>
      <c r="M145" s="212" t="str">
        <f>VLOOKUP(L145,'#Mission.Set'!$A:$D,2,FALSE)</f>
        <v>RewardCurrency</v>
      </c>
      <c r="N145" s="212" t="str">
        <f>IF(VLOOKUP($L145,'#Mission.Set'!$A:$D,3,FALSE)=0,"",VLOOKUP($L145,'#Mission.Set'!$A:$D,3,FALSE))</f>
        <v>ItemId:1040201001</v>
      </c>
      <c r="O145" s="24" t="str">
        <f t="shared" ref="O145" si="126">N145</f>
        <v>ItemId:1040201001</v>
      </c>
      <c r="P145" s="24">
        <v>200</v>
      </c>
      <c r="Q145" s="195" t="s">
        <v>1423</v>
      </c>
      <c r="R145" s="212" t="str">
        <f>IF(VLOOKUP($L145,'#Mission.Set'!$A:$D,4,FALSE)=0,"",VLOOKUP($L145,'#Mission.Set'!$A:$D,4,FALSE))</f>
        <v>QuickMove0310</v>
      </c>
      <c r="S145" s="24" t="str">
        <f t="shared" ref="S145" si="127">R145</f>
        <v>QuickMove0310</v>
      </c>
    </row>
    <row r="146" spans="1:19" s="24" customFormat="1" ht="13.5">
      <c r="A146" s="172">
        <v>2111000000323</v>
      </c>
      <c r="C146" s="172">
        <v>2211000000004</v>
      </c>
      <c r="D146" s="323" t="s">
        <v>331</v>
      </c>
      <c r="E146" s="24" t="b">
        <v>1</v>
      </c>
      <c r="L146" s="210"/>
      <c r="M146" s="210"/>
      <c r="N146" s="210"/>
      <c r="O146" s="210"/>
      <c r="R146" s="210"/>
      <c r="S146" s="210"/>
    </row>
    <row r="147" spans="1:19" s="24" customFormat="1" ht="27">
      <c r="A147" s="172"/>
      <c r="C147" s="172"/>
      <c r="H147" s="80" t="s">
        <v>332</v>
      </c>
      <c r="I147" s="24" t="s">
        <v>1057</v>
      </c>
      <c r="J147" s="24" t="s">
        <v>1057</v>
      </c>
      <c r="K147" s="194" t="s">
        <v>334</v>
      </c>
      <c r="L147" s="211" t="s">
        <v>731</v>
      </c>
      <c r="M147" s="212" t="str">
        <f>VLOOKUP(L147,'#Mission.Set'!$A:$D,2,FALSE)</f>
        <v>UseMercenary</v>
      </c>
      <c r="N147" s="212" t="str">
        <f>IF(VLOOKUP($L147,'#Mission.Set'!$A:$D,3,FALSE)=0,"",VLOOKUP($L147,'#Mission.Set'!$A:$D,3,FALSE))</f>
        <v/>
      </c>
      <c r="O147" s="24" t="str">
        <f t="shared" ref="O147" si="128">N147</f>
        <v/>
      </c>
      <c r="P147" s="24">
        <v>3</v>
      </c>
      <c r="Q147" s="195" t="s">
        <v>1423</v>
      </c>
      <c r="R147" s="212" t="str">
        <f>IF(VLOOKUP($L147,'#Mission.Set'!$A:$D,4,FALSE)=0,"",VLOOKUP($L147,'#Mission.Set'!$A:$D,4,FALSE))</f>
        <v>QuickMove0010</v>
      </c>
      <c r="S147" s="24" t="str">
        <f t="shared" ref="S147" si="129">R147</f>
        <v>QuickMove0010</v>
      </c>
    </row>
    <row r="148" spans="1:19" s="24" customFormat="1" ht="13.5">
      <c r="A148" s="172">
        <v>2111000000325</v>
      </c>
      <c r="C148" s="172">
        <v>2211000000004</v>
      </c>
      <c r="D148" s="323" t="s">
        <v>331</v>
      </c>
      <c r="E148" s="24" t="b">
        <v>1</v>
      </c>
      <c r="L148" s="210"/>
      <c r="M148" s="210"/>
      <c r="N148" s="210"/>
      <c r="O148" s="210"/>
      <c r="R148" s="210"/>
      <c r="S148" s="210"/>
    </row>
    <row r="149" spans="1:19" s="24" customFormat="1" ht="27">
      <c r="A149" s="172"/>
      <c r="C149" s="172"/>
      <c r="H149" s="80" t="s">
        <v>332</v>
      </c>
      <c r="I149" s="24" t="s">
        <v>1058</v>
      </c>
      <c r="J149" s="24" t="s">
        <v>1058</v>
      </c>
      <c r="K149" s="194" t="s">
        <v>334</v>
      </c>
      <c r="L149" s="211" t="s">
        <v>1388</v>
      </c>
      <c r="M149" s="212" t="str">
        <f>VLOOKUP(L149,'#Mission.Set'!$A:$D,2,FALSE)</f>
        <v>ArenaPlay</v>
      </c>
      <c r="N149" s="212" t="str">
        <f>IF(VLOOKUP($L149,'#Mission.Set'!$A:$D,3,FALSE)=0,"",VLOOKUP($L149,'#Mission.Set'!$A:$D,3,FALSE))</f>
        <v>ArenaType : Normal</v>
      </c>
      <c r="O149" s="24" t="str">
        <f t="shared" ref="O149" si="130">N149</f>
        <v>ArenaType : Normal</v>
      </c>
      <c r="P149" s="24">
        <v>15</v>
      </c>
      <c r="Q149" s="195" t="s">
        <v>1423</v>
      </c>
      <c r="R149" s="212" t="str">
        <f>IF(VLOOKUP($L149,'#Mission.Set'!$A:$D,4,FALSE)=0,"",VLOOKUP($L149,'#Mission.Set'!$A:$D,4,FALSE))</f>
        <v>QuickMove.Arena</v>
      </c>
      <c r="S149" s="24" t="str">
        <f t="shared" ref="S149" si="131">R149</f>
        <v>QuickMove.Arena</v>
      </c>
    </row>
    <row r="150" spans="1:19" s="24" customFormat="1" ht="13.5">
      <c r="A150" s="172">
        <v>2111000000326</v>
      </c>
      <c r="C150" s="172">
        <v>2211000000004</v>
      </c>
      <c r="D150" s="323" t="s">
        <v>331</v>
      </c>
      <c r="E150" s="24" t="b">
        <v>1</v>
      </c>
      <c r="L150" s="210"/>
      <c r="M150" s="210"/>
      <c r="N150" s="210"/>
      <c r="O150" s="210"/>
      <c r="R150" s="210"/>
      <c r="S150" s="210"/>
    </row>
    <row r="151" spans="1:19" s="24" customFormat="1" ht="27">
      <c r="A151" s="172"/>
      <c r="C151" s="172"/>
      <c r="H151" s="80">
        <v>1</v>
      </c>
      <c r="I151" s="24" t="s">
        <v>1059</v>
      </c>
      <c r="J151" s="24" t="s">
        <v>1059</v>
      </c>
      <c r="K151" s="194" t="s">
        <v>334</v>
      </c>
      <c r="L151" s="211" t="s">
        <v>1100</v>
      </c>
      <c r="M151" s="212" t="str">
        <f>VLOOKUP(L151,'#Mission.Set'!$A:$D,2,FALSE)</f>
        <v>IdleBattleReward</v>
      </c>
      <c r="N151" s="212" t="str">
        <f>IF(VLOOKUP($L151,'#Mission.Set'!$A:$D,3,FALSE)=0,"",VLOOKUP($L151,'#Mission.Set'!$A:$D,3,FALSE))</f>
        <v/>
      </c>
      <c r="O151" s="24" t="str">
        <f t="shared" ref="O151" si="132">N151</f>
        <v/>
      </c>
      <c r="P151" s="24">
        <v>25</v>
      </c>
      <c r="Q151" s="195" t="s">
        <v>1423</v>
      </c>
      <c r="R151" s="212" t="str">
        <f>IF(VLOOKUP($L151,'#Mission.Set'!$A:$D,4,FALSE)=0,"",VLOOKUP($L151,'#Mission.Set'!$A:$D,4,FALSE))</f>
        <v>QuickMove.IdleBattlePopup</v>
      </c>
      <c r="S151" s="24" t="str">
        <f t="shared" ref="S151" si="133">R151</f>
        <v>QuickMove.IdleBattlePopup</v>
      </c>
    </row>
    <row r="152" spans="1:19" s="24" customFormat="1" ht="13.5">
      <c r="A152" s="172">
        <v>2111000000327</v>
      </c>
      <c r="C152" s="172">
        <v>2211000000004</v>
      </c>
      <c r="D152" s="323" t="s">
        <v>331</v>
      </c>
      <c r="E152" s="24" t="b">
        <v>1</v>
      </c>
      <c r="L152" s="210"/>
      <c r="M152" s="210"/>
      <c r="N152" s="210"/>
      <c r="O152" s="210"/>
      <c r="R152" s="210"/>
      <c r="S152" s="210"/>
    </row>
    <row r="153" spans="1:19" s="24" customFormat="1" ht="27">
      <c r="A153" s="172"/>
      <c r="C153" s="172"/>
      <c r="H153" s="80" t="s">
        <v>332</v>
      </c>
      <c r="I153" s="24" t="s">
        <v>1060</v>
      </c>
      <c r="J153" s="24" t="s">
        <v>1060</v>
      </c>
      <c r="K153" s="194" t="s">
        <v>334</v>
      </c>
      <c r="L153" s="211" t="s">
        <v>1313</v>
      </c>
      <c r="M153" s="212" t="str">
        <f>VLOOKUP(L153,'#Mission.Set'!$A:$D,2,FALSE)</f>
        <v>StageClear</v>
      </c>
      <c r="N153" s="212" t="str">
        <f>IF(VLOOKUP($L153,'#Mission.Set'!$A:$D,3,FALSE)=0,"",VLOOKUP($L153,'#Mission.Set'!$A:$D,3,FALSE))</f>
        <v>ContentsType : Raid</v>
      </c>
      <c r="O153" s="24" t="str">
        <f t="shared" ref="O153" si="134">N153</f>
        <v>ContentsType : Raid</v>
      </c>
      <c r="P153" s="24">
        <v>20</v>
      </c>
      <c r="Q153" s="195" t="s">
        <v>1423</v>
      </c>
      <c r="R153" s="212" t="str">
        <f>IF(VLOOKUP($L153,'#Mission.Set'!$A:$D,4,FALSE)=0,"",VLOOKUP($L153,'#Mission.Set'!$A:$D,4,FALSE))</f>
        <v>QuickMove.Raid</v>
      </c>
      <c r="S153" s="24" t="str">
        <f t="shared" ref="S153" si="135">R153</f>
        <v>QuickMove.Raid</v>
      </c>
    </row>
    <row r="154" spans="1:19" s="24" customFormat="1" ht="13.5">
      <c r="A154" s="172">
        <v>2111000000328</v>
      </c>
      <c r="C154" s="172">
        <v>2211000000004</v>
      </c>
      <c r="D154" s="323" t="s">
        <v>331</v>
      </c>
      <c r="E154" s="24" t="b">
        <v>1</v>
      </c>
      <c r="L154" s="210"/>
      <c r="M154" s="210"/>
      <c r="N154" s="210"/>
      <c r="O154" s="210"/>
      <c r="R154" s="210"/>
      <c r="S154" s="210"/>
    </row>
    <row r="155" spans="1:19" s="24" customFormat="1" ht="27">
      <c r="A155" s="172"/>
      <c r="C155" s="172"/>
      <c r="H155" s="80" t="s">
        <v>332</v>
      </c>
      <c r="I155" s="24" t="s">
        <v>1061</v>
      </c>
      <c r="J155" s="24" t="s">
        <v>1061</v>
      </c>
      <c r="K155" s="194" t="s">
        <v>334</v>
      </c>
      <c r="L155" s="211" t="s">
        <v>1382</v>
      </c>
      <c r="M155" s="212" t="str">
        <f>VLOOKUP(L155,'#Mission.Set'!$A:$D,2,FALSE)</f>
        <v>StageClear</v>
      </c>
      <c r="N155" s="212" t="str">
        <f>IF(VLOOKUP($L155,'#Mission.Set'!$A:$D,3,FALSE)=0,"",VLOOKUP($L155,'#Mission.Set'!$A:$D,3,FALSE))</f>
        <v>ContentsType : Dominion</v>
      </c>
      <c r="O155" s="24" t="str">
        <f t="shared" ref="O155" si="136">N155</f>
        <v>ContentsType : Dominion</v>
      </c>
      <c r="P155" s="24">
        <v>10</v>
      </c>
      <c r="Q155" s="195" t="s">
        <v>1423</v>
      </c>
      <c r="R155" s="212" t="str">
        <f>IF(VLOOKUP($L155,'#Mission.Set'!$A:$D,4,FALSE)=0,"",VLOOKUP($L155,'#Mission.Set'!$A:$D,4,FALSE))</f>
        <v>QuickMove.Dominion</v>
      </c>
      <c r="S155" s="24" t="str">
        <f t="shared" ref="S155" si="137">R155</f>
        <v>QuickMove.Dominion</v>
      </c>
    </row>
    <row r="156" spans="1:19" s="210" customFormat="1" ht="13.5">
      <c r="A156" s="172">
        <v>2111000000329</v>
      </c>
      <c r="B156" s="24"/>
      <c r="C156" s="172">
        <v>2211000000004</v>
      </c>
      <c r="D156" s="323" t="s">
        <v>331</v>
      </c>
      <c r="E156" s="24" t="b">
        <v>1</v>
      </c>
      <c r="I156" s="24"/>
      <c r="J156" s="24"/>
    </row>
    <row r="157" spans="1:19" s="24" customFormat="1" ht="27">
      <c r="A157" s="172"/>
      <c r="C157" s="172"/>
      <c r="H157" s="80" t="s">
        <v>332</v>
      </c>
      <c r="I157" s="24" t="s">
        <v>1409</v>
      </c>
      <c r="J157" s="24" t="s">
        <v>1409</v>
      </c>
      <c r="K157" s="194" t="s">
        <v>334</v>
      </c>
      <c r="L157" s="211" t="s">
        <v>1374</v>
      </c>
      <c r="M157" s="212" t="str">
        <f>VLOOKUP(L157,'#Mission.Set'!$A:$D,2,FALSE)</f>
        <v>ConsumeCurrency</v>
      </c>
      <c r="N157" s="212" t="str">
        <f>IF(VLOOKUP($L157,'#Mission.Set'!$A:$D,3,FALSE)=0,"",VLOOKUP($L157,'#Mission.Set'!$A:$D,3,FALSE))</f>
        <v>ItemId:1040103021</v>
      </c>
      <c r="O157" s="24" t="str">
        <f t="shared" ref="O157" si="138">N157</f>
        <v>ItemId:1040103021</v>
      </c>
      <c r="P157" s="24">
        <v>5000</v>
      </c>
      <c r="Q157" s="195" t="s">
        <v>1423</v>
      </c>
      <c r="R157" s="212" t="str">
        <f>IF(VLOOKUP($L157,'#Mission.Set'!$A:$D,4,FALSE)=0,"",VLOOKUP($L157,'#Mission.Set'!$A:$D,4,FALSE))</f>
        <v>QuickMove.Guild.Shop</v>
      </c>
      <c r="S157" s="24" t="str">
        <f t="shared" ref="S157" si="139">R157</f>
        <v>QuickMove.Guild.Shop</v>
      </c>
    </row>
    <row r="158" spans="1:19" s="24" customFormat="1" ht="13.5">
      <c r="A158" s="172">
        <v>2111000000330</v>
      </c>
      <c r="C158" s="172">
        <v>2211000000004</v>
      </c>
      <c r="D158" s="323" t="s">
        <v>331</v>
      </c>
      <c r="E158" s="24" t="b">
        <v>1</v>
      </c>
      <c r="L158" s="210"/>
      <c r="M158" s="210"/>
      <c r="N158" s="210"/>
      <c r="O158" s="210"/>
      <c r="R158" s="210"/>
      <c r="S158" s="210"/>
    </row>
    <row r="159" spans="1:19" s="24" customFormat="1" ht="27">
      <c r="A159" s="172"/>
      <c r="C159" s="172"/>
      <c r="H159" s="80" t="s">
        <v>332</v>
      </c>
      <c r="I159" s="24" t="s">
        <v>1410</v>
      </c>
      <c r="J159" s="24" t="s">
        <v>1410</v>
      </c>
      <c r="K159" s="194" t="s">
        <v>334</v>
      </c>
      <c r="L159" s="211" t="s">
        <v>1386</v>
      </c>
      <c r="M159" s="212" t="str">
        <f>VLOOKUP(L159,'#Mission.Set'!$A:$D,2,FALSE)</f>
        <v>StagePlay</v>
      </c>
      <c r="N159" s="212" t="str">
        <f>IF(VLOOKUP($L159,'#Mission.Set'!$A:$D,3,FALSE)=0,"",VLOOKUP($L159,'#Mission.Set'!$A:$D,3,FALSE))</f>
        <v>ContentsType : GuildAssault</v>
      </c>
      <c r="O159" s="24" t="str">
        <f t="shared" ref="O159" si="140">N159</f>
        <v>ContentsType : GuildAssault</v>
      </c>
      <c r="P159" s="24">
        <v>5</v>
      </c>
      <c r="Q159" s="195" t="s">
        <v>1423</v>
      </c>
      <c r="R159" s="212" t="str">
        <f>IF(VLOOKUP($L159,'#Mission.Set'!$A:$D,4,FALSE)=0,"",VLOOKUP($L159,'#Mission.Set'!$A:$D,4,FALSE))</f>
        <v>QuickMove.GuildAssault</v>
      </c>
      <c r="S159" s="24" t="str">
        <f t="shared" ref="S159" si="141">R159</f>
        <v>QuickMove.GuildAssault</v>
      </c>
    </row>
    <row r="160" spans="1:19" s="24" customFormat="1" ht="13.5">
      <c r="A160" s="172">
        <v>2111000000331</v>
      </c>
      <c r="C160" s="172">
        <v>2211000000004</v>
      </c>
      <c r="D160" s="323" t="s">
        <v>331</v>
      </c>
      <c r="E160" s="24" t="b">
        <v>1</v>
      </c>
      <c r="L160" s="210"/>
      <c r="M160" s="210"/>
      <c r="N160" s="210"/>
      <c r="O160" s="210"/>
      <c r="R160" s="210"/>
      <c r="S160" s="210"/>
    </row>
    <row r="161" spans="1:19" s="24" customFormat="1" ht="27">
      <c r="A161" s="172"/>
      <c r="C161" s="172"/>
      <c r="H161" s="80" t="s">
        <v>332</v>
      </c>
      <c r="I161" s="24" t="s">
        <v>1411</v>
      </c>
      <c r="J161" s="24" t="s">
        <v>1411</v>
      </c>
      <c r="K161" s="194" t="s">
        <v>334</v>
      </c>
      <c r="L161" s="211" t="s">
        <v>1517</v>
      </c>
      <c r="M161" s="212" t="str">
        <f>VLOOKUP(L161,'#Mission.Set'!$A:$D,2,FALSE)</f>
        <v>OverCharacterGradeUp</v>
      </c>
      <c r="N161" s="212" t="str">
        <f>IF(VLOOKUP($L161,'#Mission.Set'!$A:$D,3,FALSE)=0,"",VLOOKUP($L161,'#Mission.Set'!$A:$D,3,FALSE))</f>
        <v>Grade : MR1</v>
      </c>
      <c r="O161" s="24" t="str">
        <f t="shared" ref="O161" si="142">N161</f>
        <v>Grade : MR1</v>
      </c>
      <c r="P161" s="24">
        <v>1</v>
      </c>
      <c r="Q161" s="195" t="s">
        <v>1424</v>
      </c>
      <c r="R161" s="212" t="str">
        <f>IF(VLOOKUP($L161,'#Mission.Set'!$A:$D,4,FALSE)=0,"",VLOOKUP($L161,'#Mission.Set'!$A:$D,4,FALSE))</f>
        <v>QuickMove0660</v>
      </c>
      <c r="S161" s="24" t="str">
        <f t="shared" ref="S161" si="143">R161</f>
        <v>QuickMove0660</v>
      </c>
    </row>
    <row r="162" spans="1:19" s="24" customFormat="1" ht="13.5">
      <c r="A162" s="172">
        <v>2111000000332</v>
      </c>
      <c r="C162" s="172">
        <v>2211000000004</v>
      </c>
      <c r="D162" s="323" t="s">
        <v>331</v>
      </c>
      <c r="E162" s="24" t="b">
        <v>1</v>
      </c>
      <c r="L162" s="210"/>
      <c r="M162" s="210"/>
      <c r="N162" s="210"/>
      <c r="O162" s="210"/>
      <c r="R162" s="210"/>
      <c r="S162" s="210"/>
    </row>
    <row r="163" spans="1:19" s="24" customFormat="1" ht="27">
      <c r="A163" s="172"/>
      <c r="C163" s="172"/>
      <c r="H163" s="80">
        <v>1</v>
      </c>
      <c r="I163" s="24" t="s">
        <v>1412</v>
      </c>
      <c r="J163" s="24" t="s">
        <v>1412</v>
      </c>
      <c r="K163" s="194" t="s">
        <v>334</v>
      </c>
      <c r="L163" s="211" t="s">
        <v>1390</v>
      </c>
      <c r="M163" s="212" t="str">
        <f>VLOOKUP(L163,'#Mission.Set'!$A:$D,2,FALSE)</f>
        <v>ArenaPlay</v>
      </c>
      <c r="N163" s="212" t="str">
        <f>IF(VLOOKUP($L163,'#Mission.Set'!$A:$D,3,FALSE)=0,"",VLOOKUP($L163,'#Mission.Set'!$A:$D,3,FALSE))</f>
        <v>ArenaType : Team</v>
      </c>
      <c r="O163" s="24" t="str">
        <f t="shared" ref="O163" si="144">N163</f>
        <v>ArenaType : Team</v>
      </c>
      <c r="P163" s="24">
        <v>15</v>
      </c>
      <c r="Q163" s="195" t="s">
        <v>1424</v>
      </c>
      <c r="R163" s="212" t="str">
        <f>IF(VLOOKUP($L163,'#Mission.Set'!$A:$D,4,FALSE)=0,"",VLOOKUP($L163,'#Mission.Set'!$A:$D,4,FALSE))</f>
        <v>QuickMove.TeamArena</v>
      </c>
      <c r="S163" s="24" t="str">
        <f t="shared" ref="S163" si="145">R163</f>
        <v>QuickMove.TeamArena</v>
      </c>
    </row>
    <row r="164" spans="1:19" s="24" customFormat="1" ht="13.5">
      <c r="A164" s="172">
        <v>2111000000334</v>
      </c>
      <c r="C164" s="172">
        <v>2211000000004</v>
      </c>
      <c r="D164" s="323" t="s">
        <v>331</v>
      </c>
      <c r="E164" s="24" t="b">
        <v>1</v>
      </c>
      <c r="L164" s="210"/>
      <c r="M164" s="210"/>
      <c r="N164" s="210"/>
      <c r="O164" s="210"/>
      <c r="R164" s="210"/>
      <c r="S164" s="210"/>
    </row>
    <row r="165" spans="1:19" s="24" customFormat="1" ht="27">
      <c r="A165" s="172"/>
      <c r="C165" s="172"/>
      <c r="H165" s="80" t="s">
        <v>332</v>
      </c>
      <c r="I165" s="24" t="s">
        <v>1413</v>
      </c>
      <c r="J165" s="24" t="s">
        <v>1413</v>
      </c>
      <c r="K165" s="194" t="s">
        <v>334</v>
      </c>
      <c r="L165" s="211" t="s">
        <v>1309</v>
      </c>
      <c r="M165" s="212" t="str">
        <f>VLOOKUP(L165,'#Mission.Set'!$A:$D,2,FALSE)</f>
        <v>MissionPoint</v>
      </c>
      <c r="N165" s="212" t="str">
        <f>IF(VLOOKUP($L165,'#Mission.Set'!$A:$D,3,FALSE)=0,"",VLOOKUP($L165,'#Mission.Set'!$A:$D,3,FALSE))</f>
        <v>MissionPointType : Weekly</v>
      </c>
      <c r="O165" s="24" t="str">
        <f t="shared" ref="O165" si="146">N165</f>
        <v>MissionPointType : Weekly</v>
      </c>
      <c r="P165" s="24">
        <v>8</v>
      </c>
      <c r="Q165" s="195" t="s">
        <v>1424</v>
      </c>
      <c r="R165" s="212" t="str">
        <f>IF(VLOOKUP($L165,'#Mission.Set'!$A:$D,4,FALSE)=0,"",VLOOKUP($L165,'#Mission.Set'!$A:$D,4,FALSE))</f>
        <v>QuickMove.WeeklyMission</v>
      </c>
      <c r="S165" s="24" t="str">
        <f t="shared" ref="S165" si="147">R165</f>
        <v>QuickMove.WeeklyMission</v>
      </c>
    </row>
    <row r="166" spans="1:19" s="24" customFormat="1" ht="13.5">
      <c r="A166" s="172">
        <v>2111000000335</v>
      </c>
      <c r="C166" s="172">
        <v>2211000000004</v>
      </c>
      <c r="D166" s="323" t="s">
        <v>331</v>
      </c>
      <c r="E166" s="24" t="b">
        <v>1</v>
      </c>
      <c r="L166" s="210"/>
      <c r="M166" s="210"/>
      <c r="N166" s="210"/>
      <c r="O166" s="210"/>
      <c r="R166" s="210"/>
      <c r="S166" s="210"/>
    </row>
    <row r="167" spans="1:19" s="24" customFormat="1" ht="27">
      <c r="A167" s="172"/>
      <c r="C167" s="172"/>
      <c r="H167" s="80" t="s">
        <v>332</v>
      </c>
      <c r="I167" s="24" t="s">
        <v>1414</v>
      </c>
      <c r="J167" s="24" t="s">
        <v>1414</v>
      </c>
      <c r="K167" s="194" t="s">
        <v>334</v>
      </c>
      <c r="L167" s="211" t="s">
        <v>1366</v>
      </c>
      <c r="M167" s="212" t="str">
        <f>VLOOKUP(L167,'#Mission.Set'!$A:$D,2,FALSE)</f>
        <v>StagePlay</v>
      </c>
      <c r="N167" s="212" t="str">
        <f>IF(VLOOKUP($L167,'#Mission.Set'!$A:$D,3,FALSE)=0,"",VLOOKUP($L167,'#Mission.Set'!$A:$D,3,FALSE))</f>
        <v>ContentsType : WorldRaid</v>
      </c>
      <c r="O167" s="24" t="str">
        <f t="shared" ref="O167" si="148">N167</f>
        <v>ContentsType : WorldRaid</v>
      </c>
      <c r="P167" s="24">
        <v>2</v>
      </c>
      <c r="Q167" s="195" t="s">
        <v>1424</v>
      </c>
      <c r="R167" s="212" t="str">
        <f>IF(VLOOKUP($L167,'#Mission.Set'!$A:$D,4,FALSE)=0,"",VLOOKUP($L167,'#Mission.Set'!$A:$D,4,FALSE))</f>
        <v>QuickMove.WorldRaid</v>
      </c>
      <c r="S167" s="24" t="str">
        <f t="shared" ref="S167" si="149">R167</f>
        <v>QuickMove.WorldRaid</v>
      </c>
    </row>
    <row r="168" spans="1:19" s="24" customFormat="1" ht="13.5">
      <c r="A168" s="172">
        <v>2111000000336</v>
      </c>
      <c r="C168" s="172">
        <v>2211000000004</v>
      </c>
      <c r="D168" s="323" t="s">
        <v>331</v>
      </c>
      <c r="E168" s="24" t="b">
        <v>1</v>
      </c>
      <c r="L168" s="210"/>
      <c r="M168" s="210"/>
      <c r="N168" s="210"/>
      <c r="O168" s="210"/>
      <c r="R168" s="210"/>
      <c r="S168" s="210"/>
    </row>
    <row r="169" spans="1:19" s="24" customFormat="1" ht="27">
      <c r="A169" s="172"/>
      <c r="C169" s="172"/>
      <c r="H169" s="80" t="s">
        <v>332</v>
      </c>
      <c r="I169" s="24" t="s">
        <v>1415</v>
      </c>
      <c r="J169" s="24" t="s">
        <v>1415</v>
      </c>
      <c r="K169" s="194" t="s">
        <v>334</v>
      </c>
      <c r="L169" s="211" t="s">
        <v>1394</v>
      </c>
      <c r="M169" s="212" t="str">
        <f>VLOOKUP(L169,'#Mission.Set'!$A:$D,2,FALSE)</f>
        <v>StageClear</v>
      </c>
      <c r="N169" s="212" t="str">
        <f>IF(VLOOKUP($L169,'#Mission.Set'!$A:$D,3,FALSE)=0,"",VLOOKUP($L169,'#Mission.Set'!$A:$D,3,FALSE))</f>
        <v>ContentsType : ArenaChallenge</v>
      </c>
      <c r="O169" s="24" t="str">
        <f t="shared" ref="O169" si="150">N169</f>
        <v>ContentsType : ArenaChallenge</v>
      </c>
      <c r="P169" s="24">
        <v>10</v>
      </c>
      <c r="Q169" s="195" t="s">
        <v>1424</v>
      </c>
      <c r="R169" s="212" t="str">
        <f>IF(VLOOKUP($L169,'#Mission.Set'!$A:$D,4,FALSE)=0,"",VLOOKUP($L169,'#Mission.Set'!$A:$D,4,FALSE))</f>
        <v>QuickMove0510</v>
      </c>
      <c r="S169" s="24" t="str">
        <f t="shared" ref="S169" si="151">R169</f>
        <v>QuickMove0510</v>
      </c>
    </row>
    <row r="170" spans="1:19" s="24" customFormat="1" ht="13.5">
      <c r="A170" s="172">
        <v>2111000000337</v>
      </c>
      <c r="C170" s="172">
        <v>2211000000004</v>
      </c>
      <c r="D170" s="323" t="s">
        <v>331</v>
      </c>
      <c r="E170" s="24" t="b">
        <v>1</v>
      </c>
      <c r="L170" s="210"/>
      <c r="M170" s="210"/>
      <c r="N170" s="210"/>
      <c r="O170" s="210"/>
      <c r="R170" s="210"/>
      <c r="S170" s="210"/>
    </row>
    <row r="171" spans="1:19" s="24" customFormat="1" ht="27">
      <c r="A171" s="172"/>
      <c r="C171" s="172"/>
      <c r="H171" s="80" t="s">
        <v>332</v>
      </c>
      <c r="I171" s="24" t="s">
        <v>1416</v>
      </c>
      <c r="J171" s="24" t="s">
        <v>1416</v>
      </c>
      <c r="K171" s="194" t="s">
        <v>334</v>
      </c>
      <c r="L171" s="211" t="s">
        <v>1382</v>
      </c>
      <c r="M171" s="212" t="str">
        <f>VLOOKUP(L171,'#Mission.Set'!$A:$D,2,FALSE)</f>
        <v>StageClear</v>
      </c>
      <c r="N171" s="212" t="str">
        <f>IF(VLOOKUP($L171,'#Mission.Set'!$A:$D,3,FALSE)=0,"",VLOOKUP($L171,'#Mission.Set'!$A:$D,3,FALSE))</f>
        <v>ContentsType : Dominion</v>
      </c>
      <c r="O171" s="24" t="str">
        <f t="shared" ref="O171" si="152">N171</f>
        <v>ContentsType : Dominion</v>
      </c>
      <c r="P171" s="24">
        <v>20</v>
      </c>
      <c r="Q171" s="195" t="s">
        <v>1424</v>
      </c>
      <c r="R171" s="212" t="str">
        <f>IF(VLOOKUP($L171,'#Mission.Set'!$A:$D,4,FALSE)=0,"",VLOOKUP($L171,'#Mission.Set'!$A:$D,4,FALSE))</f>
        <v>QuickMove.Dominion</v>
      </c>
      <c r="S171" s="24" t="str">
        <f t="shared" ref="S171" si="153">R171</f>
        <v>QuickMove.Dominion</v>
      </c>
    </row>
    <row r="172" spans="1:19" s="210" customFormat="1" ht="13.5">
      <c r="A172" s="172">
        <v>2111000000338</v>
      </c>
      <c r="B172" s="24"/>
      <c r="C172" s="172">
        <v>2211000000004</v>
      </c>
      <c r="D172" s="323" t="s">
        <v>331</v>
      </c>
      <c r="E172" s="24" t="b">
        <v>1</v>
      </c>
      <c r="I172" s="24"/>
      <c r="J172" s="24"/>
    </row>
    <row r="173" spans="1:19" s="24" customFormat="1" ht="27">
      <c r="A173" s="172"/>
      <c r="C173" s="172"/>
      <c r="H173" s="80" t="s">
        <v>332</v>
      </c>
      <c r="I173" s="24" t="s">
        <v>1417</v>
      </c>
      <c r="J173" s="24" t="s">
        <v>1417</v>
      </c>
      <c r="K173" s="194" t="s">
        <v>334</v>
      </c>
      <c r="L173" s="211" t="s">
        <v>1514</v>
      </c>
      <c r="M173" s="212" t="str">
        <f>VLOOKUP(L173,'#Mission.Set'!$A:$D,2,FALSE)</f>
        <v>OverCharacterGradeUp</v>
      </c>
      <c r="N173" s="212" t="str">
        <f>IF(VLOOKUP($L173,'#Mission.Set'!$A:$D,3,FALSE)=0,"",VLOOKUP($L173,'#Mission.Set'!$A:$D,3,FALSE))</f>
        <v>Grade : LR</v>
      </c>
      <c r="O173" s="24" t="str">
        <f t="shared" ref="O173" si="154">N173</f>
        <v>Grade : LR</v>
      </c>
      <c r="P173" s="24">
        <v>1</v>
      </c>
      <c r="Q173" s="195" t="s">
        <v>1425</v>
      </c>
      <c r="R173" s="212" t="str">
        <f>IF(VLOOKUP($L173,'#Mission.Set'!$A:$D,4,FALSE)=0,"",VLOOKUP($L173,'#Mission.Set'!$A:$D,4,FALSE))</f>
        <v>QuickMove0660</v>
      </c>
      <c r="S173" s="24" t="str">
        <f t="shared" ref="S173" si="155">R173</f>
        <v>QuickMove0660</v>
      </c>
    </row>
    <row r="174" spans="1:19" s="24" customFormat="1" ht="13.5">
      <c r="A174" s="209">
        <v>2111000000411</v>
      </c>
      <c r="C174" s="209">
        <v>2211000000005</v>
      </c>
      <c r="D174" s="323" t="s">
        <v>331</v>
      </c>
      <c r="E174" s="24" t="b">
        <v>1</v>
      </c>
      <c r="L174" s="210"/>
      <c r="M174" s="210"/>
      <c r="N174" s="210"/>
      <c r="O174" s="210"/>
      <c r="R174" s="210"/>
      <c r="S174" s="210"/>
    </row>
    <row r="175" spans="1:19" s="24" customFormat="1" ht="27">
      <c r="A175" s="172"/>
      <c r="C175" s="172"/>
      <c r="H175" s="80" t="s">
        <v>332</v>
      </c>
      <c r="I175" s="24" t="s">
        <v>1062</v>
      </c>
      <c r="J175" s="24" t="s">
        <v>1045</v>
      </c>
      <c r="K175" s="194" t="s">
        <v>334</v>
      </c>
      <c r="L175" s="211" t="s">
        <v>741</v>
      </c>
      <c r="M175" s="212" t="str">
        <f>VLOOKUP(L175,'#Mission.Set'!$A:$D,2,FALSE)</f>
        <v>FavorLevelUp</v>
      </c>
      <c r="N175" s="212" t="str">
        <f>IF(VLOOKUP($L175,'#Mission.Set'!$A:$D,3,FALSE)=0,"",VLOOKUP($L175,'#Mission.Set'!$A:$D,3,FALSE))</f>
        <v/>
      </c>
      <c r="O175" s="24" t="str">
        <f t="shared" ref="O175" si="156">N175</f>
        <v/>
      </c>
      <c r="P175" s="24">
        <v>1</v>
      </c>
      <c r="Q175" s="195" t="s">
        <v>1418</v>
      </c>
      <c r="R175" s="212" t="str">
        <f>IF(VLOOKUP($L175,'#Mission.Set'!$A:$D,4,FALSE)=0,"",VLOOKUP($L175,'#Mission.Set'!$A:$D,4,FALSE))</f>
        <v>QuickMove.Favorability</v>
      </c>
      <c r="S175" s="24" t="str">
        <f t="shared" ref="S175" si="157">R175</f>
        <v>QuickMove.Favorability</v>
      </c>
    </row>
    <row r="176" spans="1:19" s="24" customFormat="1" ht="13.5">
      <c r="A176" s="172">
        <v>2111000000412</v>
      </c>
      <c r="C176" s="172">
        <v>2211000000005</v>
      </c>
      <c r="D176" s="323" t="s">
        <v>331</v>
      </c>
      <c r="E176" s="24" t="b">
        <v>1</v>
      </c>
      <c r="K176" s="87"/>
      <c r="L176" s="210"/>
      <c r="M176" s="210"/>
      <c r="N176" s="210"/>
      <c r="O176" s="210"/>
      <c r="Q176" s="40"/>
      <c r="R176" s="210"/>
      <c r="S176" s="210"/>
    </row>
    <row r="177" spans="1:19" s="24" customFormat="1" ht="27">
      <c r="A177" s="172"/>
      <c r="C177" s="172"/>
      <c r="H177" s="80" t="s">
        <v>332</v>
      </c>
      <c r="I177" s="24" t="s">
        <v>1046</v>
      </c>
      <c r="J177" s="24" t="s">
        <v>1046</v>
      </c>
      <c r="K177" s="194" t="s">
        <v>334</v>
      </c>
      <c r="L177" s="211" t="s">
        <v>1354</v>
      </c>
      <c r="M177" s="212" t="str">
        <f>VLOOKUP(L177,'#Mission.Set'!$A:$D,2,FALSE)</f>
        <v>PluginLvUp</v>
      </c>
      <c r="N177" s="212" t="str">
        <f>IF(VLOOKUP($L177,'#Mission.Set'!$A:$D,3,FALSE)=0,"",VLOOKUP($L177,'#Mission.Set'!$A:$D,3,FALSE))</f>
        <v/>
      </c>
      <c r="O177" s="24" t="str">
        <f t="shared" ref="O177" si="158">N177</f>
        <v/>
      </c>
      <c r="P177" s="24">
        <v>1</v>
      </c>
      <c r="Q177" s="195" t="s">
        <v>1418</v>
      </c>
      <c r="R177" s="212" t="str">
        <f>IF(VLOOKUP($L177,'#Mission.Set'!$A:$D,4,FALSE)=0,"",VLOOKUP($L177,'#Mission.Set'!$A:$D,4,FALSE))</f>
        <v>QuickMove.Plugin</v>
      </c>
      <c r="S177" s="24" t="str">
        <f t="shared" ref="S177" si="159">R177</f>
        <v>QuickMove.Plugin</v>
      </c>
    </row>
    <row r="178" spans="1:19" s="24" customFormat="1" ht="13.5">
      <c r="A178" s="172">
        <v>2111000000413</v>
      </c>
      <c r="C178" s="172">
        <v>2211000000005</v>
      </c>
      <c r="D178" s="323" t="s">
        <v>331</v>
      </c>
      <c r="E178" s="24" t="b">
        <v>1</v>
      </c>
      <c r="L178" s="210"/>
      <c r="M178" s="210"/>
      <c r="N178" s="210"/>
      <c r="O178" s="210"/>
      <c r="R178" s="210"/>
      <c r="S178" s="210"/>
    </row>
    <row r="179" spans="1:19" s="24" customFormat="1" ht="27">
      <c r="A179" s="172"/>
      <c r="C179" s="172"/>
      <c r="H179" s="80" t="s">
        <v>332</v>
      </c>
      <c r="I179" s="24" t="s">
        <v>1047</v>
      </c>
      <c r="J179" s="24" t="s">
        <v>1047</v>
      </c>
      <c r="K179" s="194" t="s">
        <v>334</v>
      </c>
      <c r="L179" s="211" t="s">
        <v>1299</v>
      </c>
      <c r="M179" s="212" t="str">
        <f>VLOOKUP(L179,'#Mission.Set'!$A:$D,2,FALSE)</f>
        <v>TryGacha</v>
      </c>
      <c r="N179" s="212" t="str">
        <f>IF(VLOOKUP($L179,'#Mission.Set'!$A:$D,3,FALSE)=0,"",VLOOKUP($L179,'#Mission.Set'!$A:$D,3,FALSE))</f>
        <v>GachaGroup : Character</v>
      </c>
      <c r="O179" s="24" t="str">
        <f t="shared" ref="O179" si="160">N179</f>
        <v>GachaGroup : Character</v>
      </c>
      <c r="P179" s="24">
        <v>5</v>
      </c>
      <c r="Q179" s="195" t="s">
        <v>1418</v>
      </c>
      <c r="R179" s="212" t="str">
        <f>IF(VLOOKUP($L179,'#Mission.Set'!$A:$D,4,FALSE)=0,"",VLOOKUP($L179,'#Mission.Set'!$A:$D,4,FALSE))</f>
        <v>QuickMove.Gacha.Character</v>
      </c>
      <c r="S179" s="24" t="str">
        <f t="shared" ref="S179" si="161">R179</f>
        <v>QuickMove.Gacha.Character</v>
      </c>
    </row>
    <row r="180" spans="1:19" s="24" customFormat="1" ht="13.5">
      <c r="A180" s="172">
        <v>2111000000414</v>
      </c>
      <c r="C180" s="172">
        <v>2211000000005</v>
      </c>
      <c r="D180" s="323" t="s">
        <v>331</v>
      </c>
      <c r="E180" s="24" t="b">
        <v>1</v>
      </c>
      <c r="L180" s="210"/>
      <c r="M180" s="210"/>
      <c r="N180" s="210"/>
      <c r="O180" s="210"/>
      <c r="R180" s="210"/>
      <c r="S180" s="210"/>
    </row>
    <row r="181" spans="1:19" s="24" customFormat="1" ht="27">
      <c r="A181" s="172"/>
      <c r="C181" s="172"/>
      <c r="H181" s="80">
        <v>1</v>
      </c>
      <c r="I181" s="24" t="s">
        <v>1048</v>
      </c>
      <c r="J181" s="24" t="s">
        <v>1048</v>
      </c>
      <c r="K181" s="194" t="s">
        <v>334</v>
      </c>
      <c r="L181" s="211" t="s">
        <v>1344</v>
      </c>
      <c r="M181" s="212" t="str">
        <f>VLOOKUP(L181,'#Mission.Set'!$A:$D,2,FALSE)</f>
        <v>CharacterLvUp</v>
      </c>
      <c r="N181" s="212" t="str">
        <f>IF(VLOOKUP($L181,'#Mission.Set'!$A:$D,3,FALSE)=0,"",VLOOKUP($L181,'#Mission.Set'!$A:$D,3,FALSE))</f>
        <v/>
      </c>
      <c r="O181" s="24" t="str">
        <f t="shared" ref="O181" si="162">N181</f>
        <v/>
      </c>
      <c r="P181" s="24">
        <v>1</v>
      </c>
      <c r="Q181" s="195" t="s">
        <v>1418</v>
      </c>
      <c r="R181" s="212" t="str">
        <f>IF(VLOOKUP($L181,'#Mission.Set'!$A:$D,4,FALSE)=0,"",VLOOKUP($L181,'#Mission.Set'!$A:$D,4,FALSE))</f>
        <v>QuickMove0250</v>
      </c>
      <c r="S181" s="24" t="str">
        <f t="shared" ref="S181" si="163">R181</f>
        <v>QuickMove0250</v>
      </c>
    </row>
    <row r="182" spans="1:19" s="24" customFormat="1" ht="13.5">
      <c r="A182" s="172">
        <v>2111000000415</v>
      </c>
      <c r="C182" s="172">
        <v>2211000000005</v>
      </c>
      <c r="D182" s="323" t="s">
        <v>331</v>
      </c>
      <c r="E182" s="24" t="b">
        <v>1</v>
      </c>
      <c r="L182" s="210"/>
      <c r="M182" s="210"/>
      <c r="N182" s="210"/>
      <c r="O182" s="210"/>
      <c r="R182" s="210"/>
      <c r="S182" s="210"/>
    </row>
    <row r="183" spans="1:19" s="24" customFormat="1" ht="27">
      <c r="A183" s="172"/>
      <c r="C183" s="172"/>
      <c r="H183" s="80" t="s">
        <v>332</v>
      </c>
      <c r="I183" s="24" t="s">
        <v>1049</v>
      </c>
      <c r="J183" s="24" t="s">
        <v>1049</v>
      </c>
      <c r="K183" s="194" t="s">
        <v>334</v>
      </c>
      <c r="L183" s="211" t="s">
        <v>754</v>
      </c>
      <c r="M183" s="212" t="str">
        <f>VLOOKUP(L183,'#Mission.Set'!$A:$D,2,FALSE)</f>
        <v>GraduateAcademy</v>
      </c>
      <c r="N183" s="212" t="str">
        <f>IF(VLOOKUP($L183,'#Mission.Set'!$A:$D,3,FALSE)=0,"",VLOOKUP($L183,'#Mission.Set'!$A:$D,3,FALSE))</f>
        <v/>
      </c>
      <c r="O183" s="24" t="str">
        <f t="shared" ref="O183" si="164">N183</f>
        <v/>
      </c>
      <c r="P183" s="24">
        <v>3</v>
      </c>
      <c r="Q183" s="195" t="s">
        <v>1418</v>
      </c>
      <c r="R183" s="212" t="str">
        <f>IF(VLOOKUP($L183,'#Mission.Set'!$A:$D,4,FALSE)=0,"",VLOOKUP($L183,'#Mission.Set'!$A:$D,4,FALSE))</f>
        <v>QuickMove.Academy.Fuction</v>
      </c>
      <c r="S183" s="24" t="str">
        <f t="shared" ref="S183" si="165">R183</f>
        <v>QuickMove.Academy.Fuction</v>
      </c>
    </row>
    <row r="184" spans="1:19" s="24" customFormat="1" ht="13.5">
      <c r="A184" s="172">
        <v>2111000000416</v>
      </c>
      <c r="C184" s="172">
        <v>2211000000005</v>
      </c>
      <c r="D184" s="323" t="s">
        <v>331</v>
      </c>
      <c r="E184" s="24" t="b">
        <v>1</v>
      </c>
      <c r="L184" s="210"/>
      <c r="M184" s="210"/>
      <c r="N184" s="210"/>
      <c r="O184" s="210"/>
      <c r="R184" s="210"/>
      <c r="S184" s="210"/>
    </row>
    <row r="185" spans="1:19" s="24" customFormat="1" ht="27">
      <c r="A185" s="172"/>
      <c r="C185" s="172"/>
      <c r="H185" s="80" t="s">
        <v>332</v>
      </c>
      <c r="I185" s="24" t="s">
        <v>1050</v>
      </c>
      <c r="J185" s="24" t="s">
        <v>1050</v>
      </c>
      <c r="K185" s="194" t="s">
        <v>334</v>
      </c>
      <c r="L185" s="211" t="s">
        <v>1313</v>
      </c>
      <c r="M185" s="212" t="str">
        <f>VLOOKUP(L185,'#Mission.Set'!$A:$D,2,FALSE)</f>
        <v>StageClear</v>
      </c>
      <c r="N185" s="212" t="str">
        <f>IF(VLOOKUP($L185,'#Mission.Set'!$A:$D,3,FALSE)=0,"",VLOOKUP($L185,'#Mission.Set'!$A:$D,3,FALSE))</f>
        <v>ContentsType : Raid</v>
      </c>
      <c r="O185" s="24" t="str">
        <f t="shared" ref="O185" si="166">N185</f>
        <v>ContentsType : Raid</v>
      </c>
      <c r="P185" s="24">
        <v>10</v>
      </c>
      <c r="Q185" s="195" t="s">
        <v>1418</v>
      </c>
      <c r="R185" s="212" t="str">
        <f>IF(VLOOKUP($L185,'#Mission.Set'!$A:$D,4,FALSE)=0,"",VLOOKUP($L185,'#Mission.Set'!$A:$D,4,FALSE))</f>
        <v>QuickMove.Raid</v>
      </c>
      <c r="S185" s="24" t="str">
        <f t="shared" ref="S185" si="167">R185</f>
        <v>QuickMove.Raid</v>
      </c>
    </row>
    <row r="186" spans="1:19" s="24" customFormat="1" ht="13.5">
      <c r="A186" s="172">
        <v>2111000000417</v>
      </c>
      <c r="C186" s="172">
        <v>2211000000005</v>
      </c>
      <c r="D186" s="323" t="s">
        <v>331</v>
      </c>
      <c r="E186" s="24" t="b">
        <v>1</v>
      </c>
      <c r="L186" s="210"/>
      <c r="M186" s="210"/>
      <c r="N186" s="210"/>
      <c r="O186" s="210"/>
      <c r="R186" s="210"/>
      <c r="S186" s="210"/>
    </row>
    <row r="187" spans="1:19" s="24" customFormat="1" ht="27">
      <c r="A187" s="172"/>
      <c r="C187" s="172"/>
      <c r="H187" s="80" t="s">
        <v>332</v>
      </c>
      <c r="I187" s="24" t="s">
        <v>1051</v>
      </c>
      <c r="J187" s="24" t="s">
        <v>1051</v>
      </c>
      <c r="K187" s="194" t="s">
        <v>334</v>
      </c>
      <c r="L187" s="211" t="s">
        <v>1314</v>
      </c>
      <c r="M187" s="212" t="str">
        <f>VLOOKUP(L187,'#Mission.Set'!$A:$D,2,FALSE)</f>
        <v>StageClear</v>
      </c>
      <c r="N187" s="212" t="str">
        <f>IF(VLOOKUP($L187,'#Mission.Set'!$A:$D,3,FALSE)=0,"",VLOOKUP($L187,'#Mission.Set'!$A:$D,3,FALSE))</f>
        <v>ContentsType : GuildOperation</v>
      </c>
      <c r="O187" s="24" t="str">
        <f t="shared" ref="O187" si="168">N187</f>
        <v>ContentsType : GuildOperation</v>
      </c>
      <c r="P187" s="24">
        <v>3</v>
      </c>
      <c r="Q187" s="195" t="s">
        <v>1418</v>
      </c>
      <c r="R187" s="212" t="str">
        <f>IF(VLOOKUP($L187,'#Mission.Set'!$A:$D,4,FALSE)=0,"",VLOOKUP($L187,'#Mission.Set'!$A:$D,4,FALSE))</f>
        <v>QuickMove.GuildOperation</v>
      </c>
      <c r="S187" s="24" t="str">
        <f t="shared" ref="S187" si="169">R187</f>
        <v>QuickMove.GuildOperation</v>
      </c>
    </row>
    <row r="188" spans="1:19" s="24" customFormat="1" ht="13.5">
      <c r="A188" s="172">
        <v>2111000000418</v>
      </c>
      <c r="C188" s="172">
        <v>2211000000005</v>
      </c>
      <c r="D188" s="323" t="s">
        <v>331</v>
      </c>
      <c r="E188" s="24" t="b">
        <v>1</v>
      </c>
      <c r="L188" s="210"/>
      <c r="M188" s="210"/>
      <c r="N188" s="210"/>
      <c r="O188" s="210"/>
      <c r="R188" s="210"/>
      <c r="S188" s="210"/>
    </row>
    <row r="189" spans="1:19" s="24" customFormat="1" ht="27">
      <c r="A189" s="172"/>
      <c r="C189" s="172"/>
      <c r="H189" s="80">
        <v>1</v>
      </c>
      <c r="I189" s="24" t="s">
        <v>1052</v>
      </c>
      <c r="J189" s="24" t="s">
        <v>1052</v>
      </c>
      <c r="K189" s="194" t="s">
        <v>334</v>
      </c>
      <c r="L189" s="211" t="s">
        <v>1355</v>
      </c>
      <c r="M189" s="212" t="str">
        <f>VLOOKUP(L189,'#Mission.Set'!$A:$D,2,FALSE)</f>
        <v>PluginPromote</v>
      </c>
      <c r="N189" s="212" t="str">
        <f>IF(VLOOKUP($L189,'#Mission.Set'!$A:$D,3,FALSE)=0,"",VLOOKUP($L189,'#Mission.Set'!$A:$D,3,FALSE))</f>
        <v/>
      </c>
      <c r="O189" s="24" t="str">
        <f t="shared" ref="O189" si="170">N189</f>
        <v/>
      </c>
      <c r="P189" s="24">
        <v>1</v>
      </c>
      <c r="Q189" s="195" t="s">
        <v>1419</v>
      </c>
      <c r="R189" s="212" t="str">
        <f>IF(VLOOKUP($L189,'#Mission.Set'!$A:$D,4,FALSE)=0,"",VLOOKUP($L189,'#Mission.Set'!$A:$D,4,FALSE))</f>
        <v>QuickMove.Plugin</v>
      </c>
      <c r="S189" s="24" t="str">
        <f t="shared" ref="S189" si="171">R189</f>
        <v>QuickMove.Plugin</v>
      </c>
    </row>
    <row r="190" spans="1:19" s="24" customFormat="1" ht="13.5">
      <c r="A190" s="172">
        <v>2111000000419</v>
      </c>
      <c r="C190" s="172">
        <v>2211000000005</v>
      </c>
      <c r="D190" s="323" t="s">
        <v>331</v>
      </c>
      <c r="E190" s="24" t="b">
        <v>1</v>
      </c>
      <c r="L190" s="210"/>
      <c r="M190" s="210"/>
      <c r="N190" s="210"/>
      <c r="O190" s="210"/>
      <c r="R190" s="210"/>
      <c r="S190" s="210"/>
    </row>
    <row r="191" spans="1:19" s="24" customFormat="1" ht="27">
      <c r="A191" s="172"/>
      <c r="C191" s="172"/>
      <c r="H191" s="80" t="s">
        <v>332</v>
      </c>
      <c r="I191" s="24" t="s">
        <v>1053</v>
      </c>
      <c r="J191" s="24" t="s">
        <v>1053</v>
      </c>
      <c r="K191" s="194" t="s">
        <v>334</v>
      </c>
      <c r="L191" s="211" t="s">
        <v>1300</v>
      </c>
      <c r="M191" s="212" t="str">
        <f>VLOOKUP(L191,'#Mission.Set'!$A:$D,2,FALSE)</f>
        <v>TryGacha</v>
      </c>
      <c r="N191" s="212" t="str">
        <f>IF(VLOOKUP($L191,'#Mission.Set'!$A:$D,3,FALSE)=0,"",VLOOKUP($L191,'#Mission.Set'!$A:$D,3,FALSE))</f>
        <v>GachaGroup : Plugin</v>
      </c>
      <c r="O191" s="24" t="str">
        <f t="shared" ref="O191" si="172">N191</f>
        <v>GachaGroup : Plugin</v>
      </c>
      <c r="P191" s="24">
        <v>10</v>
      </c>
      <c r="Q191" s="195" t="s">
        <v>1419</v>
      </c>
      <c r="R191" s="212" t="str">
        <f>IF(VLOOKUP($L191,'#Mission.Set'!$A:$D,4,FALSE)=0,"",VLOOKUP($L191,'#Mission.Set'!$A:$D,4,FALSE))</f>
        <v>QuickMove.Gacha</v>
      </c>
      <c r="S191" s="24" t="str">
        <f t="shared" ref="S191" si="173">R191</f>
        <v>QuickMove.Gacha</v>
      </c>
    </row>
    <row r="192" spans="1:19" s="24" customFormat="1" ht="13.5">
      <c r="A192" s="172">
        <v>2111000000420</v>
      </c>
      <c r="C192" s="172">
        <v>2211000000005</v>
      </c>
      <c r="D192" s="323" t="s">
        <v>331</v>
      </c>
      <c r="E192" s="24" t="b">
        <v>1</v>
      </c>
      <c r="L192" s="210"/>
      <c r="M192" s="210"/>
      <c r="N192" s="210"/>
      <c r="O192" s="210"/>
      <c r="R192" s="210"/>
      <c r="S192" s="210"/>
    </row>
    <row r="193" spans="1:19" s="24" customFormat="1" ht="27">
      <c r="A193" s="172"/>
      <c r="C193" s="172"/>
      <c r="H193" s="80" t="s">
        <v>332</v>
      </c>
      <c r="I193" s="24" t="s">
        <v>1054</v>
      </c>
      <c r="J193" s="24" t="s">
        <v>1054</v>
      </c>
      <c r="K193" s="194" t="s">
        <v>334</v>
      </c>
      <c r="L193" s="211" t="s">
        <v>1405</v>
      </c>
      <c r="M193" s="212" t="str">
        <f>VLOOKUP(L193,'#Mission.Set'!$A:$D,2,FALSE)</f>
        <v>OverCharacterGradeUp</v>
      </c>
      <c r="N193" s="212" t="str">
        <f>IF(VLOOKUP($L193,'#Mission.Set'!$A:$D,3,FALSE)=0,"",VLOOKUP($L193,'#Mission.Set'!$A:$D,3,FALSE))</f>
        <v>Grade : MR</v>
      </c>
      <c r="O193" s="24" t="str">
        <f t="shared" ref="O193" si="174">N193</f>
        <v>Grade : MR</v>
      </c>
      <c r="P193" s="24">
        <v>1</v>
      </c>
      <c r="Q193" s="195" t="s">
        <v>1419</v>
      </c>
      <c r="R193" s="212" t="str">
        <f>IF(VLOOKUP($L193,'#Mission.Set'!$A:$D,4,FALSE)=0,"",VLOOKUP($L193,'#Mission.Set'!$A:$D,4,FALSE))</f>
        <v>QuickMove0660</v>
      </c>
      <c r="S193" s="24" t="str">
        <f t="shared" ref="S193" si="175">R193</f>
        <v>QuickMove0660</v>
      </c>
    </row>
    <row r="194" spans="1:19" s="24" customFormat="1" ht="13.5">
      <c r="A194" s="172">
        <v>2111000000421</v>
      </c>
      <c r="C194" s="172">
        <v>2211000000005</v>
      </c>
      <c r="D194" s="323" t="s">
        <v>331</v>
      </c>
      <c r="E194" s="24" t="b">
        <v>1</v>
      </c>
      <c r="L194" s="210"/>
      <c r="M194" s="210"/>
      <c r="N194" s="210"/>
      <c r="O194" s="210"/>
      <c r="R194" s="210"/>
      <c r="S194" s="210"/>
    </row>
    <row r="195" spans="1:19" s="24" customFormat="1" ht="27">
      <c r="A195" s="172"/>
      <c r="C195" s="172"/>
      <c r="H195" s="80" t="s">
        <v>332</v>
      </c>
      <c r="I195" s="24" t="s">
        <v>1055</v>
      </c>
      <c r="J195" s="24" t="s">
        <v>1055</v>
      </c>
      <c r="K195" s="194" t="s">
        <v>334</v>
      </c>
      <c r="L195" s="211" t="s">
        <v>1308</v>
      </c>
      <c r="M195" s="212" t="str">
        <f>VLOOKUP(L195,'#Mission.Set'!$A:$D,2,FALSE)</f>
        <v>MissionPoint</v>
      </c>
      <c r="N195" s="212" t="str">
        <f>IF(VLOOKUP($L195,'#Mission.Set'!$A:$D,3,FALSE)=0,"",VLOOKUP($L195,'#Mission.Set'!$A:$D,3,FALSE))</f>
        <v>MissionPointType : Daily</v>
      </c>
      <c r="O195" s="24" t="str">
        <f t="shared" ref="O195" si="176">N195</f>
        <v>MissionPointType : Daily</v>
      </c>
      <c r="P195" s="24">
        <v>30</v>
      </c>
      <c r="Q195" s="195" t="s">
        <v>1419</v>
      </c>
      <c r="R195" s="212" t="str">
        <f>IF(VLOOKUP($L195,'#Mission.Set'!$A:$D,4,FALSE)=0,"",VLOOKUP($L195,'#Mission.Set'!$A:$D,4,FALSE))</f>
        <v>QuickMove.DailyMission</v>
      </c>
      <c r="S195" s="24" t="str">
        <f t="shared" ref="S195" si="177">R195</f>
        <v>QuickMove.DailyMission</v>
      </c>
    </row>
    <row r="196" spans="1:19" s="24" customFormat="1" ht="13.5">
      <c r="A196" s="172">
        <v>2111000000422</v>
      </c>
      <c r="C196" s="172">
        <v>2211000000005</v>
      </c>
      <c r="D196" s="323" t="s">
        <v>331</v>
      </c>
      <c r="E196" s="24" t="b">
        <v>1</v>
      </c>
      <c r="L196" s="210"/>
      <c r="M196" s="210"/>
      <c r="N196" s="210"/>
      <c r="O196" s="210"/>
      <c r="R196" s="210"/>
      <c r="S196" s="210"/>
    </row>
    <row r="197" spans="1:19" s="24" customFormat="1" ht="27">
      <c r="A197" s="172"/>
      <c r="C197" s="172"/>
      <c r="H197" s="80">
        <v>1</v>
      </c>
      <c r="I197" s="24" t="s">
        <v>1056</v>
      </c>
      <c r="J197" s="24" t="s">
        <v>1056</v>
      </c>
      <c r="K197" s="194" t="s">
        <v>334</v>
      </c>
      <c r="L197" s="211" t="s">
        <v>1371</v>
      </c>
      <c r="M197" s="212" t="str">
        <f>VLOOKUP(L197,'#Mission.Set'!$A:$D,2,FALSE)</f>
        <v>RewardCurrency</v>
      </c>
      <c r="N197" s="212" t="str">
        <f>IF(VLOOKUP($L197,'#Mission.Set'!$A:$D,3,FALSE)=0,"",VLOOKUP($L197,'#Mission.Set'!$A:$D,3,FALSE))</f>
        <v>ItemId:1040201001</v>
      </c>
      <c r="O197" s="24" t="str">
        <f t="shared" ref="O197" si="178">N197</f>
        <v>ItemId:1040201001</v>
      </c>
      <c r="P197" s="24">
        <v>200</v>
      </c>
      <c r="Q197" s="195" t="s">
        <v>1419</v>
      </c>
      <c r="R197" s="212" t="str">
        <f>IF(VLOOKUP($L197,'#Mission.Set'!$A:$D,4,FALSE)=0,"",VLOOKUP($L197,'#Mission.Set'!$A:$D,4,FALSE))</f>
        <v>QuickMove0310</v>
      </c>
      <c r="S197" s="24" t="str">
        <f t="shared" ref="S197" si="179">R197</f>
        <v>QuickMove0310</v>
      </c>
    </row>
    <row r="198" spans="1:19" s="24" customFormat="1" ht="13.5">
      <c r="A198" s="172">
        <v>2111000000423</v>
      </c>
      <c r="C198" s="172">
        <v>2211000000005</v>
      </c>
      <c r="D198" s="323" t="s">
        <v>331</v>
      </c>
      <c r="E198" s="24" t="b">
        <v>1</v>
      </c>
      <c r="L198" s="210"/>
      <c r="M198" s="210"/>
      <c r="N198" s="210"/>
      <c r="O198" s="210"/>
      <c r="R198" s="210"/>
      <c r="S198" s="210"/>
    </row>
    <row r="199" spans="1:19" s="24" customFormat="1" ht="27">
      <c r="A199" s="172"/>
      <c r="C199" s="172"/>
      <c r="H199" s="80" t="s">
        <v>332</v>
      </c>
      <c r="I199" s="24" t="s">
        <v>1057</v>
      </c>
      <c r="J199" s="24" t="s">
        <v>1057</v>
      </c>
      <c r="K199" s="194" t="s">
        <v>334</v>
      </c>
      <c r="L199" s="211" t="s">
        <v>731</v>
      </c>
      <c r="M199" s="212" t="str">
        <f>VLOOKUP(L199,'#Mission.Set'!$A:$D,2,FALSE)</f>
        <v>UseMercenary</v>
      </c>
      <c r="N199" s="212" t="str">
        <f>IF(VLOOKUP($L199,'#Mission.Set'!$A:$D,3,FALSE)=0,"",VLOOKUP($L199,'#Mission.Set'!$A:$D,3,FALSE))</f>
        <v/>
      </c>
      <c r="O199" s="24" t="str">
        <f t="shared" ref="O199" si="180">N199</f>
        <v/>
      </c>
      <c r="P199" s="24">
        <v>3</v>
      </c>
      <c r="Q199" s="195" t="s">
        <v>1419</v>
      </c>
      <c r="R199" s="212" t="str">
        <f>IF(VLOOKUP($L199,'#Mission.Set'!$A:$D,4,FALSE)=0,"",VLOOKUP($L199,'#Mission.Set'!$A:$D,4,FALSE))</f>
        <v>QuickMove0010</v>
      </c>
      <c r="S199" s="24" t="str">
        <f t="shared" ref="S199" si="181">R199</f>
        <v>QuickMove0010</v>
      </c>
    </row>
    <row r="200" spans="1:19" s="24" customFormat="1" ht="13.5">
      <c r="A200" s="172">
        <v>2111000000425</v>
      </c>
      <c r="C200" s="172">
        <v>2211000000005</v>
      </c>
      <c r="D200" s="323" t="s">
        <v>331</v>
      </c>
      <c r="E200" s="24" t="b">
        <v>1</v>
      </c>
      <c r="L200" s="210"/>
      <c r="M200" s="210"/>
      <c r="N200" s="210"/>
      <c r="O200" s="210"/>
      <c r="R200" s="210"/>
      <c r="S200" s="210"/>
    </row>
    <row r="201" spans="1:19" s="24" customFormat="1" ht="27">
      <c r="A201" s="172"/>
      <c r="C201" s="172"/>
      <c r="H201" s="80" t="s">
        <v>332</v>
      </c>
      <c r="I201" s="24" t="s">
        <v>1058</v>
      </c>
      <c r="J201" s="24" t="s">
        <v>1058</v>
      </c>
      <c r="K201" s="194" t="s">
        <v>334</v>
      </c>
      <c r="L201" s="211" t="s">
        <v>1388</v>
      </c>
      <c r="M201" s="212" t="str">
        <f>VLOOKUP(L201,'#Mission.Set'!$A:$D,2,FALSE)</f>
        <v>ArenaPlay</v>
      </c>
      <c r="N201" s="212" t="str">
        <f>IF(VLOOKUP($L201,'#Mission.Set'!$A:$D,3,FALSE)=0,"",VLOOKUP($L201,'#Mission.Set'!$A:$D,3,FALSE))</f>
        <v>ArenaType : Normal</v>
      </c>
      <c r="O201" s="24" t="str">
        <f t="shared" ref="O201" si="182">N201</f>
        <v>ArenaType : Normal</v>
      </c>
      <c r="P201" s="24">
        <v>15</v>
      </c>
      <c r="Q201" s="195" t="s">
        <v>1419</v>
      </c>
      <c r="R201" s="212" t="str">
        <f>IF(VLOOKUP($L201,'#Mission.Set'!$A:$D,4,FALSE)=0,"",VLOOKUP($L201,'#Mission.Set'!$A:$D,4,FALSE))</f>
        <v>QuickMove.Arena</v>
      </c>
      <c r="S201" s="24" t="str">
        <f t="shared" ref="S201" si="183">R201</f>
        <v>QuickMove.Arena</v>
      </c>
    </row>
    <row r="202" spans="1:19" s="24" customFormat="1" ht="13.5">
      <c r="A202" s="172">
        <v>2111000000426</v>
      </c>
      <c r="C202" s="172">
        <v>2211000000005</v>
      </c>
      <c r="D202" s="323" t="s">
        <v>331</v>
      </c>
      <c r="E202" s="24" t="b">
        <v>1</v>
      </c>
      <c r="L202" s="210"/>
      <c r="M202" s="210"/>
      <c r="N202" s="210"/>
      <c r="O202" s="210"/>
      <c r="R202" s="210"/>
      <c r="S202" s="210"/>
    </row>
    <row r="203" spans="1:19" s="24" customFormat="1" ht="27">
      <c r="A203" s="172"/>
      <c r="C203" s="172"/>
      <c r="H203" s="80">
        <v>1</v>
      </c>
      <c r="I203" s="24" t="s">
        <v>1059</v>
      </c>
      <c r="J203" s="24" t="s">
        <v>1059</v>
      </c>
      <c r="K203" s="194" t="s">
        <v>334</v>
      </c>
      <c r="L203" s="211" t="s">
        <v>1100</v>
      </c>
      <c r="M203" s="212" t="str">
        <f>VLOOKUP(L203,'#Mission.Set'!$A:$D,2,FALSE)</f>
        <v>IdleBattleReward</v>
      </c>
      <c r="N203" s="212" t="str">
        <f>IF(VLOOKUP($L203,'#Mission.Set'!$A:$D,3,FALSE)=0,"",VLOOKUP($L203,'#Mission.Set'!$A:$D,3,FALSE))</f>
        <v/>
      </c>
      <c r="O203" s="24" t="str">
        <f t="shared" ref="O203" si="184">N203</f>
        <v/>
      </c>
      <c r="P203" s="24">
        <v>25</v>
      </c>
      <c r="Q203" s="195" t="s">
        <v>1419</v>
      </c>
      <c r="R203" s="212" t="str">
        <f>IF(VLOOKUP($L203,'#Mission.Set'!$A:$D,4,FALSE)=0,"",VLOOKUP($L203,'#Mission.Set'!$A:$D,4,FALSE))</f>
        <v>QuickMove.IdleBattlePopup</v>
      </c>
      <c r="S203" s="24" t="str">
        <f t="shared" ref="S203" si="185">R203</f>
        <v>QuickMove.IdleBattlePopup</v>
      </c>
    </row>
    <row r="204" spans="1:19" s="24" customFormat="1" ht="13.5">
      <c r="A204" s="172">
        <v>2111000000427</v>
      </c>
      <c r="C204" s="172">
        <v>2211000000005</v>
      </c>
      <c r="D204" s="323" t="s">
        <v>331</v>
      </c>
      <c r="E204" s="24" t="b">
        <v>1</v>
      </c>
      <c r="L204" s="210"/>
      <c r="M204" s="210"/>
      <c r="N204" s="210"/>
      <c r="O204" s="210"/>
      <c r="R204" s="210"/>
      <c r="S204" s="210"/>
    </row>
    <row r="205" spans="1:19" s="24" customFormat="1" ht="27">
      <c r="A205" s="172"/>
      <c r="C205" s="172"/>
      <c r="H205" s="80" t="s">
        <v>332</v>
      </c>
      <c r="I205" s="24" t="s">
        <v>1060</v>
      </c>
      <c r="J205" s="24" t="s">
        <v>1060</v>
      </c>
      <c r="K205" s="194" t="s">
        <v>334</v>
      </c>
      <c r="L205" s="211" t="s">
        <v>1313</v>
      </c>
      <c r="M205" s="212" t="str">
        <f>VLOOKUP(L205,'#Mission.Set'!$A:$D,2,FALSE)</f>
        <v>StageClear</v>
      </c>
      <c r="N205" s="212" t="str">
        <f>IF(VLOOKUP($L205,'#Mission.Set'!$A:$D,3,FALSE)=0,"",VLOOKUP($L205,'#Mission.Set'!$A:$D,3,FALSE))</f>
        <v>ContentsType : Raid</v>
      </c>
      <c r="O205" s="24" t="str">
        <f t="shared" ref="O205" si="186">N205</f>
        <v>ContentsType : Raid</v>
      </c>
      <c r="P205" s="24">
        <v>20</v>
      </c>
      <c r="Q205" s="195" t="s">
        <v>1419</v>
      </c>
      <c r="R205" s="212" t="str">
        <f>IF(VLOOKUP($L205,'#Mission.Set'!$A:$D,4,FALSE)=0,"",VLOOKUP($L205,'#Mission.Set'!$A:$D,4,FALSE))</f>
        <v>QuickMove.Raid</v>
      </c>
      <c r="S205" s="24" t="str">
        <f t="shared" ref="S205" si="187">R205</f>
        <v>QuickMove.Raid</v>
      </c>
    </row>
    <row r="206" spans="1:19" s="24" customFormat="1" ht="13.5">
      <c r="A206" s="172">
        <v>2111000000428</v>
      </c>
      <c r="C206" s="172">
        <v>2211000000005</v>
      </c>
      <c r="D206" s="323" t="s">
        <v>331</v>
      </c>
      <c r="E206" s="24" t="b">
        <v>1</v>
      </c>
      <c r="L206" s="210"/>
      <c r="M206" s="210"/>
      <c r="N206" s="210"/>
      <c r="O206" s="210"/>
      <c r="R206" s="210"/>
      <c r="S206" s="210"/>
    </row>
    <row r="207" spans="1:19" s="24" customFormat="1" ht="27">
      <c r="A207" s="172"/>
      <c r="C207" s="172"/>
      <c r="H207" s="80" t="s">
        <v>332</v>
      </c>
      <c r="I207" s="24" t="s">
        <v>1061</v>
      </c>
      <c r="J207" s="24" t="s">
        <v>1061</v>
      </c>
      <c r="K207" s="194" t="s">
        <v>334</v>
      </c>
      <c r="L207" s="211" t="s">
        <v>1382</v>
      </c>
      <c r="M207" s="212" t="str">
        <f>VLOOKUP(L207,'#Mission.Set'!$A:$D,2,FALSE)</f>
        <v>StageClear</v>
      </c>
      <c r="N207" s="212" t="str">
        <f>IF(VLOOKUP($L207,'#Mission.Set'!$A:$D,3,FALSE)=0,"",VLOOKUP($L207,'#Mission.Set'!$A:$D,3,FALSE))</f>
        <v>ContentsType : Dominion</v>
      </c>
      <c r="O207" s="24" t="str">
        <f t="shared" ref="O207" si="188">N207</f>
        <v>ContentsType : Dominion</v>
      </c>
      <c r="P207" s="24">
        <v>10</v>
      </c>
      <c r="Q207" s="195" t="s">
        <v>1419</v>
      </c>
      <c r="R207" s="212" t="str">
        <f>IF(VLOOKUP($L207,'#Mission.Set'!$A:$D,4,FALSE)=0,"",VLOOKUP($L207,'#Mission.Set'!$A:$D,4,FALSE))</f>
        <v>QuickMove.Dominion</v>
      </c>
      <c r="S207" s="24" t="str">
        <f t="shared" ref="S207" si="189">R207</f>
        <v>QuickMove.Dominion</v>
      </c>
    </row>
    <row r="208" spans="1:19" s="210" customFormat="1" ht="13.5">
      <c r="A208" s="172">
        <v>2111000000429</v>
      </c>
      <c r="B208" s="24"/>
      <c r="C208" s="172">
        <v>2211000000005</v>
      </c>
      <c r="D208" s="323" t="s">
        <v>331</v>
      </c>
      <c r="E208" s="24" t="b">
        <v>1</v>
      </c>
      <c r="I208" s="24"/>
      <c r="J208" s="24"/>
    </row>
    <row r="209" spans="1:19" s="24" customFormat="1" ht="27">
      <c r="A209" s="172"/>
      <c r="C209" s="172"/>
      <c r="H209" s="80" t="s">
        <v>332</v>
      </c>
      <c r="I209" s="24" t="s">
        <v>1409</v>
      </c>
      <c r="J209" s="24" t="s">
        <v>1409</v>
      </c>
      <c r="K209" s="194" t="s">
        <v>334</v>
      </c>
      <c r="L209" s="211" t="s">
        <v>1374</v>
      </c>
      <c r="M209" s="212" t="str">
        <f>VLOOKUP(L209,'#Mission.Set'!$A:$D,2,FALSE)</f>
        <v>ConsumeCurrency</v>
      </c>
      <c r="N209" s="212" t="str">
        <f>IF(VLOOKUP($L209,'#Mission.Set'!$A:$D,3,FALSE)=0,"",VLOOKUP($L209,'#Mission.Set'!$A:$D,3,FALSE))</f>
        <v>ItemId:1040103021</v>
      </c>
      <c r="O209" s="24" t="str">
        <f t="shared" ref="O209" si="190">N209</f>
        <v>ItemId:1040103021</v>
      </c>
      <c r="P209" s="24">
        <v>5000</v>
      </c>
      <c r="Q209" s="195" t="s">
        <v>1419</v>
      </c>
      <c r="R209" s="212" t="str">
        <f>IF(VLOOKUP($L209,'#Mission.Set'!$A:$D,4,FALSE)=0,"",VLOOKUP($L209,'#Mission.Set'!$A:$D,4,FALSE))</f>
        <v>QuickMove.Guild.Shop</v>
      </c>
      <c r="S209" s="24" t="str">
        <f t="shared" ref="S209" si="191">R209</f>
        <v>QuickMove.Guild.Shop</v>
      </c>
    </row>
    <row r="210" spans="1:19" s="24" customFormat="1" ht="13.5">
      <c r="A210" s="172">
        <v>2111000000430</v>
      </c>
      <c r="C210" s="172">
        <v>2211000000005</v>
      </c>
      <c r="D210" s="323" t="s">
        <v>331</v>
      </c>
      <c r="E210" s="24" t="b">
        <v>1</v>
      </c>
      <c r="L210" s="210"/>
      <c r="M210" s="210"/>
      <c r="N210" s="210"/>
      <c r="O210" s="210"/>
      <c r="R210" s="210"/>
      <c r="S210" s="210"/>
    </row>
    <row r="211" spans="1:19" s="24" customFormat="1" ht="27">
      <c r="A211" s="172"/>
      <c r="C211" s="172"/>
      <c r="H211" s="80" t="s">
        <v>332</v>
      </c>
      <c r="I211" s="24" t="s">
        <v>1410</v>
      </c>
      <c r="J211" s="24" t="s">
        <v>1410</v>
      </c>
      <c r="K211" s="194" t="s">
        <v>334</v>
      </c>
      <c r="L211" s="211" t="s">
        <v>1386</v>
      </c>
      <c r="M211" s="212" t="str">
        <f>VLOOKUP(L211,'#Mission.Set'!$A:$D,2,FALSE)</f>
        <v>StagePlay</v>
      </c>
      <c r="N211" s="212" t="str">
        <f>IF(VLOOKUP($L211,'#Mission.Set'!$A:$D,3,FALSE)=0,"",VLOOKUP($L211,'#Mission.Set'!$A:$D,3,FALSE))</f>
        <v>ContentsType : GuildAssault</v>
      </c>
      <c r="O211" s="24" t="str">
        <f t="shared" ref="O211" si="192">N211</f>
        <v>ContentsType : GuildAssault</v>
      </c>
      <c r="P211" s="24">
        <v>5</v>
      </c>
      <c r="Q211" s="195" t="s">
        <v>1419</v>
      </c>
      <c r="R211" s="212" t="str">
        <f>IF(VLOOKUP($L211,'#Mission.Set'!$A:$D,4,FALSE)=0,"",VLOOKUP($L211,'#Mission.Set'!$A:$D,4,FALSE))</f>
        <v>QuickMove.GuildAssault</v>
      </c>
      <c r="S211" s="24" t="str">
        <f t="shared" ref="S211" si="193">R211</f>
        <v>QuickMove.GuildAssault</v>
      </c>
    </row>
    <row r="212" spans="1:19" s="24" customFormat="1" ht="13.5">
      <c r="A212" s="172">
        <v>2111000000431</v>
      </c>
      <c r="C212" s="172">
        <v>2211000000005</v>
      </c>
      <c r="D212" s="323" t="s">
        <v>331</v>
      </c>
      <c r="E212" s="24" t="b">
        <v>1</v>
      </c>
      <c r="L212" s="210"/>
      <c r="M212" s="210"/>
      <c r="N212" s="210"/>
      <c r="O212" s="210"/>
      <c r="R212" s="210"/>
      <c r="S212" s="210"/>
    </row>
    <row r="213" spans="1:19" s="24" customFormat="1" ht="27">
      <c r="A213" s="172"/>
      <c r="C213" s="172"/>
      <c r="H213" s="80" t="s">
        <v>332</v>
      </c>
      <c r="I213" s="24" t="s">
        <v>1411</v>
      </c>
      <c r="J213" s="24" t="s">
        <v>1411</v>
      </c>
      <c r="K213" s="194" t="s">
        <v>334</v>
      </c>
      <c r="L213" s="211" t="s">
        <v>1517</v>
      </c>
      <c r="M213" s="212" t="str">
        <f>VLOOKUP(L213,'#Mission.Set'!$A:$D,2,FALSE)</f>
        <v>OverCharacterGradeUp</v>
      </c>
      <c r="N213" s="212" t="str">
        <f>IF(VLOOKUP($L213,'#Mission.Set'!$A:$D,3,FALSE)=0,"",VLOOKUP($L213,'#Mission.Set'!$A:$D,3,FALSE))</f>
        <v>Grade : MR1</v>
      </c>
      <c r="O213" s="24" t="str">
        <f t="shared" ref="O213" si="194">N213</f>
        <v>Grade : MR1</v>
      </c>
      <c r="P213" s="24">
        <v>1</v>
      </c>
      <c r="Q213" s="195" t="s">
        <v>1420</v>
      </c>
      <c r="R213" s="212" t="str">
        <f>IF(VLOOKUP($L213,'#Mission.Set'!$A:$D,4,FALSE)=0,"",VLOOKUP($L213,'#Mission.Set'!$A:$D,4,FALSE))</f>
        <v>QuickMove0660</v>
      </c>
      <c r="S213" s="24" t="str">
        <f t="shared" ref="S213" si="195">R213</f>
        <v>QuickMove0660</v>
      </c>
    </row>
    <row r="214" spans="1:19" s="24" customFormat="1" ht="13.5">
      <c r="A214" s="172">
        <v>2111000000432</v>
      </c>
      <c r="C214" s="172">
        <v>2211000000005</v>
      </c>
      <c r="D214" s="323" t="s">
        <v>331</v>
      </c>
      <c r="E214" s="24" t="b">
        <v>1</v>
      </c>
      <c r="L214" s="210"/>
      <c r="M214" s="210"/>
      <c r="N214" s="210"/>
      <c r="O214" s="210"/>
      <c r="R214" s="210"/>
      <c r="S214" s="210"/>
    </row>
    <row r="215" spans="1:19" s="24" customFormat="1" ht="27">
      <c r="A215" s="172"/>
      <c r="C215" s="172"/>
      <c r="H215" s="80">
        <v>1</v>
      </c>
      <c r="I215" s="24" t="s">
        <v>1412</v>
      </c>
      <c r="J215" s="24" t="s">
        <v>1412</v>
      </c>
      <c r="K215" s="194" t="s">
        <v>334</v>
      </c>
      <c r="L215" s="211" t="s">
        <v>1390</v>
      </c>
      <c r="M215" s="212" t="str">
        <f>VLOOKUP(L215,'#Mission.Set'!$A:$D,2,FALSE)</f>
        <v>ArenaPlay</v>
      </c>
      <c r="N215" s="212" t="str">
        <f>IF(VLOOKUP($L215,'#Mission.Set'!$A:$D,3,FALSE)=0,"",VLOOKUP($L215,'#Mission.Set'!$A:$D,3,FALSE))</f>
        <v>ArenaType : Team</v>
      </c>
      <c r="O215" s="24" t="str">
        <f t="shared" ref="O215" si="196">N215</f>
        <v>ArenaType : Team</v>
      </c>
      <c r="P215" s="24">
        <v>15</v>
      </c>
      <c r="Q215" s="195" t="s">
        <v>1420</v>
      </c>
      <c r="R215" s="212" t="str">
        <f>IF(VLOOKUP($L215,'#Mission.Set'!$A:$D,4,FALSE)=0,"",VLOOKUP($L215,'#Mission.Set'!$A:$D,4,FALSE))</f>
        <v>QuickMove.TeamArena</v>
      </c>
      <c r="S215" s="24" t="str">
        <f t="shared" ref="S215" si="197">R215</f>
        <v>QuickMove.TeamArena</v>
      </c>
    </row>
    <row r="216" spans="1:19" s="24" customFormat="1" ht="13.5">
      <c r="A216" s="172">
        <v>2111000000434</v>
      </c>
      <c r="C216" s="172">
        <v>2211000000005</v>
      </c>
      <c r="D216" s="323" t="s">
        <v>331</v>
      </c>
      <c r="E216" s="24" t="b">
        <v>1</v>
      </c>
      <c r="L216" s="210"/>
      <c r="M216" s="210"/>
      <c r="N216" s="210"/>
      <c r="O216" s="210"/>
      <c r="R216" s="210"/>
      <c r="S216" s="210"/>
    </row>
    <row r="217" spans="1:19" s="24" customFormat="1" ht="27">
      <c r="A217" s="172"/>
      <c r="C217" s="172"/>
      <c r="H217" s="80" t="s">
        <v>332</v>
      </c>
      <c r="I217" s="24" t="s">
        <v>1413</v>
      </c>
      <c r="J217" s="24" t="s">
        <v>1413</v>
      </c>
      <c r="K217" s="194" t="s">
        <v>334</v>
      </c>
      <c r="L217" s="211" t="s">
        <v>1309</v>
      </c>
      <c r="M217" s="212" t="str">
        <f>VLOOKUP(L217,'#Mission.Set'!$A:$D,2,FALSE)</f>
        <v>MissionPoint</v>
      </c>
      <c r="N217" s="212" t="str">
        <f>IF(VLOOKUP($L217,'#Mission.Set'!$A:$D,3,FALSE)=0,"",VLOOKUP($L217,'#Mission.Set'!$A:$D,3,FALSE))</f>
        <v>MissionPointType : Weekly</v>
      </c>
      <c r="O217" s="24" t="str">
        <f t="shared" ref="O217" si="198">N217</f>
        <v>MissionPointType : Weekly</v>
      </c>
      <c r="P217" s="24">
        <v>8</v>
      </c>
      <c r="Q217" s="195" t="s">
        <v>1420</v>
      </c>
      <c r="R217" s="212" t="str">
        <f>IF(VLOOKUP($L217,'#Mission.Set'!$A:$D,4,FALSE)=0,"",VLOOKUP($L217,'#Mission.Set'!$A:$D,4,FALSE))</f>
        <v>QuickMove.WeeklyMission</v>
      </c>
      <c r="S217" s="24" t="str">
        <f t="shared" ref="S217" si="199">R217</f>
        <v>QuickMove.WeeklyMission</v>
      </c>
    </row>
    <row r="218" spans="1:19" s="24" customFormat="1" ht="13.5">
      <c r="A218" s="172">
        <v>2111000000435</v>
      </c>
      <c r="C218" s="172">
        <v>2211000000005</v>
      </c>
      <c r="D218" s="323" t="s">
        <v>331</v>
      </c>
      <c r="E218" s="24" t="b">
        <v>1</v>
      </c>
      <c r="L218" s="210"/>
      <c r="M218" s="210"/>
      <c r="N218" s="210"/>
      <c r="O218" s="210"/>
      <c r="R218" s="210"/>
      <c r="S218" s="210"/>
    </row>
    <row r="219" spans="1:19" s="24" customFormat="1" ht="27">
      <c r="A219" s="172"/>
      <c r="C219" s="172"/>
      <c r="H219" s="80" t="s">
        <v>332</v>
      </c>
      <c r="I219" s="24" t="s">
        <v>1414</v>
      </c>
      <c r="J219" s="24" t="s">
        <v>1414</v>
      </c>
      <c r="K219" s="194" t="s">
        <v>334</v>
      </c>
      <c r="L219" s="211" t="s">
        <v>1366</v>
      </c>
      <c r="M219" s="212" t="str">
        <f>VLOOKUP(L219,'#Mission.Set'!$A:$D,2,FALSE)</f>
        <v>StagePlay</v>
      </c>
      <c r="N219" s="212" t="str">
        <f>IF(VLOOKUP($L219,'#Mission.Set'!$A:$D,3,FALSE)=0,"",VLOOKUP($L219,'#Mission.Set'!$A:$D,3,FALSE))</f>
        <v>ContentsType : WorldRaid</v>
      </c>
      <c r="O219" s="24" t="str">
        <f t="shared" ref="O219" si="200">N219</f>
        <v>ContentsType : WorldRaid</v>
      </c>
      <c r="P219" s="24">
        <v>2</v>
      </c>
      <c r="Q219" s="195" t="s">
        <v>1420</v>
      </c>
      <c r="R219" s="212" t="str">
        <f>IF(VLOOKUP($L219,'#Mission.Set'!$A:$D,4,FALSE)=0,"",VLOOKUP($L219,'#Mission.Set'!$A:$D,4,FALSE))</f>
        <v>QuickMove.WorldRaid</v>
      </c>
      <c r="S219" s="24" t="str">
        <f t="shared" ref="S219" si="201">R219</f>
        <v>QuickMove.WorldRaid</v>
      </c>
    </row>
    <row r="220" spans="1:19" s="24" customFormat="1" ht="13.5">
      <c r="A220" s="172">
        <v>2111000000436</v>
      </c>
      <c r="C220" s="172">
        <v>2211000000005</v>
      </c>
      <c r="D220" s="323" t="s">
        <v>331</v>
      </c>
      <c r="E220" s="24" t="b">
        <v>1</v>
      </c>
      <c r="L220" s="210"/>
      <c r="M220" s="210"/>
      <c r="N220" s="210"/>
      <c r="O220" s="210"/>
      <c r="R220" s="210"/>
      <c r="S220" s="210"/>
    </row>
    <row r="221" spans="1:19" s="24" customFormat="1" ht="27">
      <c r="A221" s="172"/>
      <c r="C221" s="172"/>
      <c r="H221" s="80" t="s">
        <v>332</v>
      </c>
      <c r="I221" s="24" t="s">
        <v>1415</v>
      </c>
      <c r="J221" s="24" t="s">
        <v>1415</v>
      </c>
      <c r="K221" s="194" t="s">
        <v>334</v>
      </c>
      <c r="L221" s="211" t="s">
        <v>1394</v>
      </c>
      <c r="M221" s="212" t="str">
        <f>VLOOKUP(L221,'#Mission.Set'!$A:$D,2,FALSE)</f>
        <v>StageClear</v>
      </c>
      <c r="N221" s="212" t="str">
        <f>IF(VLOOKUP($L221,'#Mission.Set'!$A:$D,3,FALSE)=0,"",VLOOKUP($L221,'#Mission.Set'!$A:$D,3,FALSE))</f>
        <v>ContentsType : ArenaChallenge</v>
      </c>
      <c r="O221" s="24" t="str">
        <f t="shared" ref="O221" si="202">N221</f>
        <v>ContentsType : ArenaChallenge</v>
      </c>
      <c r="P221" s="24">
        <v>10</v>
      </c>
      <c r="Q221" s="195" t="s">
        <v>1420</v>
      </c>
      <c r="R221" s="212" t="str">
        <f>IF(VLOOKUP($L221,'#Mission.Set'!$A:$D,4,FALSE)=0,"",VLOOKUP($L221,'#Mission.Set'!$A:$D,4,FALSE))</f>
        <v>QuickMove0510</v>
      </c>
      <c r="S221" s="24" t="str">
        <f t="shared" ref="S221" si="203">R221</f>
        <v>QuickMove0510</v>
      </c>
    </row>
    <row r="222" spans="1:19" s="24" customFormat="1" ht="13.5">
      <c r="A222" s="172">
        <v>2111000000437</v>
      </c>
      <c r="C222" s="172">
        <v>2211000000005</v>
      </c>
      <c r="D222" s="323" t="s">
        <v>331</v>
      </c>
      <c r="E222" s="24" t="b">
        <v>1</v>
      </c>
      <c r="L222" s="210"/>
      <c r="M222" s="210"/>
      <c r="N222" s="210"/>
      <c r="O222" s="210"/>
      <c r="R222" s="210"/>
      <c r="S222" s="210"/>
    </row>
    <row r="223" spans="1:19" s="24" customFormat="1" ht="27">
      <c r="A223" s="172"/>
      <c r="C223" s="172"/>
      <c r="H223" s="80" t="s">
        <v>332</v>
      </c>
      <c r="I223" s="24" t="s">
        <v>1416</v>
      </c>
      <c r="J223" s="24" t="s">
        <v>1416</v>
      </c>
      <c r="K223" s="194" t="s">
        <v>334</v>
      </c>
      <c r="L223" s="211" t="s">
        <v>1382</v>
      </c>
      <c r="M223" s="212" t="str">
        <f>VLOOKUP(L223,'#Mission.Set'!$A:$D,2,FALSE)</f>
        <v>StageClear</v>
      </c>
      <c r="N223" s="212" t="str">
        <f>IF(VLOOKUP($L223,'#Mission.Set'!$A:$D,3,FALSE)=0,"",VLOOKUP($L223,'#Mission.Set'!$A:$D,3,FALSE))</f>
        <v>ContentsType : Dominion</v>
      </c>
      <c r="O223" s="24" t="str">
        <f t="shared" ref="O223" si="204">N223</f>
        <v>ContentsType : Dominion</v>
      </c>
      <c r="P223" s="24">
        <v>20</v>
      </c>
      <c r="Q223" s="195" t="s">
        <v>1420</v>
      </c>
      <c r="R223" s="212" t="str">
        <f>IF(VLOOKUP($L223,'#Mission.Set'!$A:$D,4,FALSE)=0,"",VLOOKUP($L223,'#Mission.Set'!$A:$D,4,FALSE))</f>
        <v>QuickMove.Dominion</v>
      </c>
      <c r="S223" s="24" t="str">
        <f t="shared" ref="S223" si="205">R223</f>
        <v>QuickMove.Dominion</v>
      </c>
    </row>
    <row r="224" spans="1:19" s="210" customFormat="1" ht="13.5">
      <c r="A224" s="172">
        <v>2111000000438</v>
      </c>
      <c r="B224" s="24"/>
      <c r="C224" s="172">
        <v>2211000000005</v>
      </c>
      <c r="D224" s="323" t="s">
        <v>331</v>
      </c>
      <c r="E224" s="24" t="b">
        <v>1</v>
      </c>
      <c r="I224" s="24"/>
      <c r="J224" s="24"/>
    </row>
    <row r="225" spans="1:19" s="24" customFormat="1" ht="27">
      <c r="A225" s="172"/>
      <c r="C225" s="172"/>
      <c r="H225" s="80" t="s">
        <v>332</v>
      </c>
      <c r="I225" s="24" t="s">
        <v>1513</v>
      </c>
      <c r="J225" s="24" t="s">
        <v>1417</v>
      </c>
      <c r="K225" s="194" t="s">
        <v>334</v>
      </c>
      <c r="L225" s="211" t="s">
        <v>1514</v>
      </c>
      <c r="M225" s="212" t="str">
        <f>VLOOKUP(L225,'#Mission.Set'!$A:$D,2,FALSE)</f>
        <v>OverCharacterGradeUp</v>
      </c>
      <c r="N225" s="212" t="str">
        <f>IF(VLOOKUP($L225,'#Mission.Set'!$A:$D,3,FALSE)=0,"",VLOOKUP($L225,'#Mission.Set'!$A:$D,3,FALSE))</f>
        <v>Grade : LR</v>
      </c>
      <c r="O225" s="24" t="str">
        <f t="shared" ref="O225" si="206">N225</f>
        <v>Grade : LR</v>
      </c>
      <c r="P225" s="24">
        <v>1</v>
      </c>
      <c r="Q225" s="195" t="s">
        <v>1421</v>
      </c>
      <c r="R225" s="212" t="str">
        <f>IF(VLOOKUP($L225,'#Mission.Set'!$A:$D,4,FALSE)=0,"",VLOOKUP($L225,'#Mission.Set'!$A:$D,4,FALSE))</f>
        <v>QuickMove0660</v>
      </c>
      <c r="S225" s="24" t="str">
        <f t="shared" ref="S225" si="207">R225</f>
        <v>QuickMove0660</v>
      </c>
    </row>
    <row r="226" spans="1:19" s="24" customFormat="1" ht="13.5">
      <c r="A226" s="172">
        <v>2111000000439</v>
      </c>
      <c r="C226" s="172">
        <v>2211000000006</v>
      </c>
      <c r="D226" s="323" t="s">
        <v>331</v>
      </c>
      <c r="E226" s="24" t="b">
        <v>1</v>
      </c>
      <c r="K226" s="210"/>
      <c r="L226" s="210"/>
      <c r="M226" s="210"/>
      <c r="N226" s="210"/>
      <c r="Q226" s="210"/>
      <c r="R226" s="210"/>
    </row>
    <row r="227" spans="1:19" s="24" customFormat="1" ht="27">
      <c r="A227" s="172"/>
      <c r="C227" s="172"/>
      <c r="H227" s="80" t="s">
        <v>332</v>
      </c>
      <c r="I227" s="24" t="s">
        <v>1991</v>
      </c>
      <c r="J227" s="24" t="s">
        <v>1991</v>
      </c>
      <c r="K227" s="194" t="s">
        <v>334</v>
      </c>
      <c r="L227" s="211" t="s">
        <v>1308</v>
      </c>
      <c r="M227" s="212" t="s">
        <v>366</v>
      </c>
      <c r="N227" s="212" t="s">
        <v>367</v>
      </c>
      <c r="O227" s="24" t="s">
        <v>367</v>
      </c>
      <c r="P227" s="24">
        <v>50</v>
      </c>
      <c r="Q227" s="195" t="s">
        <v>3810</v>
      </c>
      <c r="R227" s="212" t="s">
        <v>611</v>
      </c>
      <c r="S227" s="24" t="s">
        <v>611</v>
      </c>
    </row>
    <row r="228" spans="1:19" s="24" customFormat="1" ht="13.5">
      <c r="A228" s="172">
        <v>2111000000440</v>
      </c>
      <c r="C228" s="172">
        <v>2211000000006</v>
      </c>
      <c r="D228" s="323" t="s">
        <v>331</v>
      </c>
      <c r="E228" s="24" t="b">
        <v>1</v>
      </c>
      <c r="K228" s="87"/>
      <c r="L228" s="210"/>
      <c r="M228" s="210"/>
      <c r="N228" s="210"/>
      <c r="O228" s="210"/>
      <c r="Q228" s="40"/>
      <c r="R228" s="210"/>
      <c r="S228" s="210"/>
    </row>
    <row r="229" spans="1:19" s="24" customFormat="1" ht="27">
      <c r="A229" s="172"/>
      <c r="C229" s="172"/>
      <c r="H229" s="80" t="s">
        <v>332</v>
      </c>
      <c r="I229" s="24" t="s">
        <v>2981</v>
      </c>
      <c r="J229" s="24" t="s">
        <v>2981</v>
      </c>
      <c r="K229" s="194" t="s">
        <v>334</v>
      </c>
      <c r="L229" s="211" t="s">
        <v>1344</v>
      </c>
      <c r="M229" s="212" t="s">
        <v>361</v>
      </c>
      <c r="N229" s="212" t="s">
        <v>1562</v>
      </c>
      <c r="O229" s="24" t="s">
        <v>1562</v>
      </c>
      <c r="P229" s="24">
        <v>3</v>
      </c>
      <c r="Q229" s="195" t="s">
        <v>3810</v>
      </c>
      <c r="R229" s="212" t="s">
        <v>362</v>
      </c>
      <c r="S229" s="24" t="s">
        <v>362</v>
      </c>
    </row>
    <row r="230" spans="1:19" s="24" customFormat="1" ht="13.5">
      <c r="A230" s="172">
        <v>2111000000441</v>
      </c>
      <c r="C230" s="172">
        <v>2211000000006</v>
      </c>
      <c r="D230" s="323" t="s">
        <v>331</v>
      </c>
      <c r="E230" s="24" t="b">
        <v>1</v>
      </c>
      <c r="L230" s="210"/>
      <c r="M230" s="210"/>
      <c r="N230" s="210"/>
      <c r="O230" s="210"/>
      <c r="R230" s="210"/>
      <c r="S230" s="210"/>
    </row>
    <row r="231" spans="1:19" s="24" customFormat="1" ht="27">
      <c r="A231" s="172"/>
      <c r="C231" s="172"/>
      <c r="H231" s="80" t="s">
        <v>332</v>
      </c>
      <c r="I231" s="24" t="s">
        <v>1047</v>
      </c>
      <c r="J231" s="24" t="s">
        <v>1047</v>
      </c>
      <c r="K231" s="194" t="s">
        <v>334</v>
      </c>
      <c r="L231" s="211" t="s">
        <v>1100</v>
      </c>
      <c r="M231" s="212" t="s">
        <v>343</v>
      </c>
      <c r="N231" s="212" t="s">
        <v>1562</v>
      </c>
      <c r="O231" s="24" t="s">
        <v>1562</v>
      </c>
      <c r="P231" s="24">
        <v>2</v>
      </c>
      <c r="Q231" s="195" t="s">
        <v>3810</v>
      </c>
      <c r="R231" s="212" t="s">
        <v>1399</v>
      </c>
      <c r="S231" s="24" t="s">
        <v>1399</v>
      </c>
    </row>
    <row r="232" spans="1:19" s="24" customFormat="1" ht="13.5">
      <c r="A232" s="172">
        <v>2111000000442</v>
      </c>
      <c r="C232" s="172">
        <v>2211000000006</v>
      </c>
      <c r="D232" s="323" t="s">
        <v>331</v>
      </c>
      <c r="E232" s="24" t="b">
        <v>1</v>
      </c>
      <c r="L232" s="210"/>
      <c r="M232" s="210"/>
      <c r="N232" s="210"/>
      <c r="O232" s="210"/>
      <c r="R232" s="210"/>
      <c r="S232" s="210"/>
    </row>
    <row r="233" spans="1:19" s="24" customFormat="1" ht="27">
      <c r="A233" s="172"/>
      <c r="C233" s="172"/>
      <c r="H233" s="80">
        <v>1</v>
      </c>
      <c r="I233" s="24" t="s">
        <v>1048</v>
      </c>
      <c r="J233" s="24" t="s">
        <v>1048</v>
      </c>
      <c r="K233" s="194" t="s">
        <v>334</v>
      </c>
      <c r="L233" s="211" t="s">
        <v>1299</v>
      </c>
      <c r="M233" s="212" t="s">
        <v>370</v>
      </c>
      <c r="N233" s="212" t="s">
        <v>371</v>
      </c>
      <c r="O233" s="24" t="s">
        <v>371</v>
      </c>
      <c r="P233" s="24">
        <v>1</v>
      </c>
      <c r="Q233" s="195" t="s">
        <v>3810</v>
      </c>
      <c r="R233" s="212" t="s">
        <v>372</v>
      </c>
      <c r="S233" s="24" t="s">
        <v>372</v>
      </c>
    </row>
    <row r="234" spans="1:19" s="24" customFormat="1" ht="13.5">
      <c r="A234" s="172">
        <v>2111000000443</v>
      </c>
      <c r="C234" s="172">
        <v>2211000000006</v>
      </c>
      <c r="D234" s="323" t="s">
        <v>331</v>
      </c>
      <c r="E234" s="24" t="b">
        <v>1</v>
      </c>
      <c r="L234" s="210"/>
      <c r="M234" s="210"/>
      <c r="N234" s="210"/>
      <c r="O234" s="210"/>
      <c r="R234" s="210"/>
      <c r="S234" s="210"/>
    </row>
    <row r="235" spans="1:19" s="24" customFormat="1" ht="27">
      <c r="A235" s="172"/>
      <c r="C235" s="172"/>
      <c r="H235" s="80" t="s">
        <v>332</v>
      </c>
      <c r="I235" s="24" t="s">
        <v>1049</v>
      </c>
      <c r="J235" s="24" t="s">
        <v>1049</v>
      </c>
      <c r="K235" s="194" t="s">
        <v>334</v>
      </c>
      <c r="L235" s="211" t="s">
        <v>1300</v>
      </c>
      <c r="M235" s="212" t="s">
        <v>370</v>
      </c>
      <c r="N235" s="212" t="s">
        <v>374</v>
      </c>
      <c r="O235" s="24" t="s">
        <v>374</v>
      </c>
      <c r="P235" s="24">
        <v>1</v>
      </c>
      <c r="Q235" s="195" t="s">
        <v>3810</v>
      </c>
      <c r="R235" s="212" t="s">
        <v>3169</v>
      </c>
      <c r="S235" s="287" t="s">
        <v>3169</v>
      </c>
    </row>
  </sheetData>
  <phoneticPr fontId="4" type="noConversion"/>
  <conditionalFormatting sqref="A1:A3">
    <cfRule type="duplicateValues" dxfId="8" priority="1"/>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'#Mission.Set'!$A:$A</xm:f>
          </x14:formula1>
          <xm:sqref>L207 L155 L103 L51 L205 L153 L101 L49 L203 L151 L99 L47 L201 L149 L97 L45 L199 L147 L95 L43 L197 L145 L93 L41 L195 L143 L91 L39 L193 L141 L89 L37 L191 L139 L87 L35 L189 L137 L85 L33 L187 L135 L83 L31 L17 L185 L133 L81 L29 L15 L183 L131 L79 L27 L13 L181 L129 L77 L25 L11 L179 L127 L75 L23 L9 L177 L125 L73 L21 L7 L175 L123 L71 L19 L5 L223 L171 L119 L67 L221 L169 L117 L65 L219 L167 L115 L63 L217 L165 L113 L61 L215 L163 L111 L59 L213 L161 L109 L57 L211 L159 L107 L55 L209 L157 L105 L53 L225 L173 L121 L69</xm:sqref>
        </x14:dataValidation>
        <x14:dataValidation type="list" allowBlank="1" showInputMessage="1" showErrorMessage="1">
          <x14:formula1>
            <xm:f>'C:\Users\pseudorange\Desktop\[Miㅁssion.xlsx]#Mission.Set'!#REF!</xm:f>
          </x14:formula1>
          <xm:sqref>L235 L233 L231 L229 L227</xm:sqref>
        </x14:dataValidation>
      </x14:dataValidation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72"/>
  <sheetViews>
    <sheetView workbookViewId="0">
      <selection activeCell="G1" sqref="G1"/>
    </sheetView>
  </sheetViews>
  <sheetFormatPr defaultRowHeight="16.5"/>
  <cols>
    <col min="1" max="1" width="15.625" style="138" bestFit="1" customWidth="1"/>
    <col min="2" max="2" width="5.75" bestFit="1" customWidth="1"/>
    <col min="3" max="3" width="16.125" style="138" bestFit="1" customWidth="1"/>
    <col min="4" max="4" width="13.5" bestFit="1" customWidth="1"/>
    <col min="5" max="5" width="16.625" bestFit="1" customWidth="1"/>
    <col min="6" max="7" width="8.25" customWidth="1"/>
    <col min="8" max="8" width="8" bestFit="1" customWidth="1"/>
    <col min="9" max="9" width="33.625" bestFit="1" customWidth="1"/>
    <col min="10" max="10" width="32.5" bestFit="1" customWidth="1"/>
    <col min="11" max="11" width="18.125" bestFit="1" customWidth="1"/>
    <col min="12" max="12" width="23.625" bestFit="1" customWidth="1"/>
    <col min="13" max="13" width="27.5" bestFit="1" customWidth="1"/>
    <col min="14" max="14" width="9.375" bestFit="1" customWidth="1"/>
    <col min="15" max="15" width="32.125" customWidth="1"/>
    <col min="16" max="16" width="27.875" bestFit="1" customWidth="1"/>
  </cols>
  <sheetData>
    <row r="1" spans="1:16">
      <c r="A1" s="185" t="s">
        <v>304</v>
      </c>
      <c r="B1" s="164" t="s">
        <v>305</v>
      </c>
      <c r="C1" s="186" t="s">
        <v>306</v>
      </c>
      <c r="D1" s="165" t="s">
        <v>307</v>
      </c>
      <c r="E1" s="166" t="s">
        <v>308</v>
      </c>
      <c r="F1" s="165" t="s">
        <v>636</v>
      </c>
      <c r="G1" s="165" t="s">
        <v>3740</v>
      </c>
      <c r="H1" s="167" t="s">
        <v>309</v>
      </c>
      <c r="I1" s="167" t="s">
        <v>310</v>
      </c>
      <c r="J1" s="167" t="s">
        <v>311</v>
      </c>
      <c r="K1" s="167" t="s">
        <v>312</v>
      </c>
      <c r="L1" s="167" t="s">
        <v>313</v>
      </c>
      <c r="M1" s="167" t="s">
        <v>314</v>
      </c>
      <c r="N1" s="167" t="s">
        <v>315</v>
      </c>
      <c r="O1" s="167" t="s">
        <v>316</v>
      </c>
      <c r="P1" s="9" t="s">
        <v>317</v>
      </c>
    </row>
    <row r="2" spans="1:16">
      <c r="A2" s="185" t="s">
        <v>318</v>
      </c>
      <c r="B2" s="165" t="s">
        <v>3</v>
      </c>
      <c r="C2" s="185" t="s">
        <v>319</v>
      </c>
      <c r="D2" s="165" t="s">
        <v>320</v>
      </c>
      <c r="E2" s="168" t="s">
        <v>321</v>
      </c>
      <c r="F2" s="165" t="s">
        <v>320</v>
      </c>
      <c r="G2" s="165" t="s">
        <v>851</v>
      </c>
      <c r="H2" s="167" t="s">
        <v>322</v>
      </c>
      <c r="I2" s="167" t="s">
        <v>323</v>
      </c>
      <c r="J2" s="167" t="s">
        <v>323</v>
      </c>
      <c r="K2" s="167" t="s">
        <v>324</v>
      </c>
      <c r="L2" s="167" t="s">
        <v>325</v>
      </c>
      <c r="M2" s="167" t="s">
        <v>326</v>
      </c>
      <c r="N2" s="167" t="s">
        <v>322</v>
      </c>
      <c r="O2" s="167" t="s">
        <v>320</v>
      </c>
      <c r="P2" s="9" t="s">
        <v>327</v>
      </c>
    </row>
    <row r="3" spans="1:16">
      <c r="A3" s="185" t="s">
        <v>328</v>
      </c>
      <c r="B3" s="165" t="s">
        <v>3</v>
      </c>
      <c r="C3" s="185" t="s">
        <v>328</v>
      </c>
      <c r="D3" s="165" t="s">
        <v>329</v>
      </c>
      <c r="E3" s="168" t="s">
        <v>4</v>
      </c>
      <c r="F3" s="165" t="s">
        <v>328</v>
      </c>
      <c r="G3" s="165" t="s">
        <v>328</v>
      </c>
      <c r="H3" s="167" t="s">
        <v>328</v>
      </c>
      <c r="I3" s="167" t="s">
        <v>4</v>
      </c>
      <c r="J3" s="167" t="s">
        <v>4</v>
      </c>
      <c r="K3" s="167" t="s">
        <v>328</v>
      </c>
      <c r="L3" s="167" t="s">
        <v>328</v>
      </c>
      <c r="M3" s="167" t="s">
        <v>328</v>
      </c>
      <c r="N3" s="167" t="s">
        <v>328</v>
      </c>
      <c r="O3" s="167" t="s">
        <v>328</v>
      </c>
      <c r="P3" s="9" t="s">
        <v>4</v>
      </c>
    </row>
    <row r="4" spans="1:16" s="24" customFormat="1" ht="13.5">
      <c r="A4" s="213">
        <v>2121000000011</v>
      </c>
      <c r="B4" s="190"/>
      <c r="C4" s="213">
        <v>2221000000001</v>
      </c>
      <c r="D4" s="193" t="s">
        <v>1073</v>
      </c>
      <c r="E4" s="190" t="b">
        <v>1</v>
      </c>
      <c r="F4" s="190"/>
      <c r="G4" s="190"/>
      <c r="H4" s="190"/>
      <c r="I4" s="190"/>
      <c r="J4" s="190"/>
      <c r="K4" s="190"/>
      <c r="L4" s="190"/>
      <c r="M4" s="190"/>
      <c r="N4" s="190"/>
      <c r="O4" s="190"/>
      <c r="P4" s="190"/>
    </row>
    <row r="5" spans="1:16" s="24" customFormat="1" ht="27">
      <c r="A5" s="213"/>
      <c r="B5" s="190"/>
      <c r="C5" s="213"/>
      <c r="D5" s="190"/>
      <c r="E5" s="190"/>
      <c r="F5" s="190"/>
      <c r="G5" s="190"/>
      <c r="H5" s="193">
        <v>1</v>
      </c>
      <c r="I5" s="190" t="s">
        <v>1289</v>
      </c>
      <c r="J5" s="190" t="s">
        <v>1288</v>
      </c>
      <c r="K5" s="194" t="s">
        <v>334</v>
      </c>
      <c r="L5" s="83" t="s">
        <v>840</v>
      </c>
      <c r="M5" s="214" t="s">
        <v>367</v>
      </c>
      <c r="N5" s="190">
        <v>50</v>
      </c>
      <c r="O5" s="195" t="s">
        <v>2960</v>
      </c>
      <c r="P5" s="190" t="s">
        <v>2961</v>
      </c>
    </row>
    <row r="6" spans="1:16" s="24" customFormat="1" ht="13.5">
      <c r="A6" s="213">
        <v>2121000000012</v>
      </c>
      <c r="B6" s="190"/>
      <c r="C6" s="213">
        <v>2221000000001</v>
      </c>
      <c r="D6" s="193" t="s">
        <v>1073</v>
      </c>
      <c r="E6" s="190" t="b">
        <v>1</v>
      </c>
      <c r="F6" s="190"/>
      <c r="G6" s="190"/>
      <c r="H6" s="193"/>
      <c r="I6" s="190"/>
      <c r="J6" s="190"/>
      <c r="K6" s="193"/>
      <c r="L6" s="87"/>
      <c r="M6" s="214"/>
      <c r="N6" s="190"/>
      <c r="O6" s="190"/>
      <c r="P6" s="190"/>
    </row>
    <row r="7" spans="1:16" s="24" customFormat="1" ht="27">
      <c r="A7" s="213"/>
      <c r="B7" s="190"/>
      <c r="C7" s="213"/>
      <c r="D7" s="190"/>
      <c r="E7" s="190"/>
      <c r="F7" s="190"/>
      <c r="G7" s="190"/>
      <c r="H7" s="193">
        <v>1</v>
      </c>
      <c r="I7" s="190" t="s">
        <v>1293</v>
      </c>
      <c r="J7" s="190" t="s">
        <v>2962</v>
      </c>
      <c r="K7" s="194" t="s">
        <v>334</v>
      </c>
      <c r="L7" s="83" t="s">
        <v>335</v>
      </c>
      <c r="M7" s="214" t="s">
        <v>346</v>
      </c>
      <c r="N7" s="190">
        <v>3</v>
      </c>
      <c r="O7" s="195" t="s">
        <v>2960</v>
      </c>
      <c r="P7" s="190" t="s">
        <v>765</v>
      </c>
    </row>
    <row r="8" spans="1:16" s="24" customFormat="1" ht="13.5">
      <c r="A8" s="213">
        <v>2121000000013</v>
      </c>
      <c r="B8" s="190"/>
      <c r="C8" s="213">
        <v>2221000000001</v>
      </c>
      <c r="D8" s="193" t="s">
        <v>1073</v>
      </c>
      <c r="E8" s="190" t="b">
        <v>1</v>
      </c>
      <c r="F8" s="190"/>
      <c r="G8" s="190"/>
      <c r="H8" s="193"/>
      <c r="I8" s="190"/>
      <c r="J8" s="190"/>
      <c r="K8" s="193"/>
      <c r="L8" s="87"/>
      <c r="M8" s="214"/>
      <c r="N8" s="190"/>
      <c r="O8" s="190"/>
      <c r="P8" s="190"/>
    </row>
    <row r="9" spans="1:16" s="24" customFormat="1" ht="27">
      <c r="A9" s="213"/>
      <c r="B9" s="190"/>
      <c r="C9" s="213"/>
      <c r="D9" s="190"/>
      <c r="E9" s="190"/>
      <c r="F9" s="190"/>
      <c r="G9" s="190"/>
      <c r="H9" s="193">
        <v>1</v>
      </c>
      <c r="I9" s="190" t="s">
        <v>2963</v>
      </c>
      <c r="J9" s="190" t="s">
        <v>2964</v>
      </c>
      <c r="K9" s="194" t="s">
        <v>334</v>
      </c>
      <c r="L9" s="83" t="s">
        <v>349</v>
      </c>
      <c r="M9" s="214" t="s">
        <v>350</v>
      </c>
      <c r="N9" s="190">
        <v>3</v>
      </c>
      <c r="O9" s="195" t="s">
        <v>2960</v>
      </c>
      <c r="P9" s="190" t="s">
        <v>1165</v>
      </c>
    </row>
    <row r="10" spans="1:16" s="24" customFormat="1" ht="13.5">
      <c r="A10" s="213">
        <v>2121000000014</v>
      </c>
      <c r="B10" s="190"/>
      <c r="C10" s="213">
        <v>2221000000001</v>
      </c>
      <c r="D10" s="193" t="s">
        <v>1073</v>
      </c>
      <c r="E10" s="190" t="b">
        <v>1</v>
      </c>
      <c r="F10" s="190"/>
      <c r="G10" s="190"/>
      <c r="H10" s="193"/>
      <c r="I10" s="190"/>
      <c r="J10" s="190"/>
      <c r="K10" s="193"/>
      <c r="L10" s="87"/>
      <c r="M10" s="214"/>
      <c r="N10" s="190"/>
      <c r="O10" s="190"/>
      <c r="P10" s="190"/>
    </row>
    <row r="11" spans="1:16" s="24" customFormat="1" ht="27">
      <c r="A11" s="213"/>
      <c r="B11" s="190"/>
      <c r="C11" s="213"/>
      <c r="D11" s="190"/>
      <c r="E11" s="190"/>
      <c r="F11" s="190"/>
      <c r="G11" s="190"/>
      <c r="H11" s="193">
        <v>1</v>
      </c>
      <c r="I11" s="190" t="s">
        <v>2965</v>
      </c>
      <c r="J11" s="190" t="s">
        <v>2966</v>
      </c>
      <c r="K11" s="194" t="s">
        <v>334</v>
      </c>
      <c r="L11" s="83" t="s">
        <v>1001</v>
      </c>
      <c r="M11" s="214"/>
      <c r="N11" s="190">
        <v>1</v>
      </c>
      <c r="O11" s="195" t="s">
        <v>2960</v>
      </c>
      <c r="P11" s="190" t="s">
        <v>1144</v>
      </c>
    </row>
    <row r="12" spans="1:16" s="24" customFormat="1" ht="13.5">
      <c r="A12" s="213">
        <v>2121000000015</v>
      </c>
      <c r="B12" s="190"/>
      <c r="C12" s="213">
        <v>2221000000001</v>
      </c>
      <c r="D12" s="193" t="s">
        <v>1073</v>
      </c>
      <c r="E12" s="190" t="b">
        <v>1</v>
      </c>
      <c r="F12" s="190"/>
      <c r="G12" s="190"/>
      <c r="H12" s="193"/>
      <c r="I12" s="190"/>
      <c r="J12" s="190"/>
      <c r="K12" s="193"/>
      <c r="L12" s="87"/>
      <c r="M12" s="214"/>
      <c r="N12" s="190"/>
      <c r="O12" s="190"/>
      <c r="P12" s="190"/>
    </row>
    <row r="13" spans="1:16" s="24" customFormat="1" ht="27">
      <c r="A13" s="213"/>
      <c r="B13" s="190"/>
      <c r="C13" s="213"/>
      <c r="D13" s="190"/>
      <c r="E13" s="190"/>
      <c r="F13" s="190"/>
      <c r="G13" s="190"/>
      <c r="H13" s="193">
        <v>1</v>
      </c>
      <c r="I13" s="190" t="s">
        <v>2967</v>
      </c>
      <c r="J13" s="190" t="s">
        <v>2968</v>
      </c>
      <c r="K13" s="194" t="s">
        <v>334</v>
      </c>
      <c r="L13" s="83" t="s">
        <v>2969</v>
      </c>
      <c r="M13" s="214"/>
      <c r="N13" s="190">
        <v>1</v>
      </c>
      <c r="O13" s="195" t="s">
        <v>2960</v>
      </c>
      <c r="P13" s="190" t="s">
        <v>2970</v>
      </c>
    </row>
    <row r="14" spans="1:16" s="24" customFormat="1" ht="13.5">
      <c r="A14" s="213">
        <v>2121000000016</v>
      </c>
      <c r="B14" s="190"/>
      <c r="C14" s="213">
        <v>2221000000001</v>
      </c>
      <c r="D14" s="193" t="s">
        <v>1073</v>
      </c>
      <c r="E14" s="190" t="b">
        <v>1</v>
      </c>
      <c r="F14" s="190"/>
      <c r="G14" s="190"/>
      <c r="H14" s="193"/>
      <c r="I14" s="190"/>
      <c r="J14" s="190"/>
      <c r="K14" s="193"/>
      <c r="L14" s="87"/>
      <c r="M14" s="214"/>
      <c r="N14" s="190"/>
      <c r="O14" s="190"/>
      <c r="P14" s="190"/>
    </row>
    <row r="15" spans="1:16" s="24" customFormat="1" ht="27">
      <c r="A15" s="213"/>
      <c r="B15" s="190"/>
      <c r="C15" s="213"/>
      <c r="D15" s="190"/>
      <c r="E15" s="190"/>
      <c r="F15" s="190"/>
      <c r="G15" s="190"/>
      <c r="H15" s="193">
        <v>1</v>
      </c>
      <c r="I15" s="190" t="s">
        <v>2971</v>
      </c>
      <c r="J15" s="190" t="s">
        <v>2972</v>
      </c>
      <c r="K15" s="194" t="s">
        <v>334</v>
      </c>
      <c r="L15" s="83" t="s">
        <v>335</v>
      </c>
      <c r="M15" s="214" t="s">
        <v>2270</v>
      </c>
      <c r="N15" s="190">
        <v>1</v>
      </c>
      <c r="O15" s="195" t="s">
        <v>2960</v>
      </c>
      <c r="P15" s="190" t="s">
        <v>2456</v>
      </c>
    </row>
    <row r="16" spans="1:16" s="24" customFormat="1" ht="13.5">
      <c r="A16" s="213">
        <v>2121000000017</v>
      </c>
      <c r="B16" s="190"/>
      <c r="C16" s="213">
        <v>2221000000001</v>
      </c>
      <c r="D16" s="193" t="s">
        <v>1073</v>
      </c>
      <c r="E16" s="190" t="b">
        <v>1</v>
      </c>
      <c r="F16" s="190"/>
      <c r="G16" s="190"/>
      <c r="H16" s="193"/>
      <c r="I16" s="190"/>
      <c r="J16" s="190"/>
      <c r="K16" s="193"/>
      <c r="L16" s="87"/>
      <c r="M16" s="214"/>
      <c r="N16" s="190"/>
      <c r="O16" s="190"/>
      <c r="P16" s="190"/>
    </row>
    <row r="17" spans="1:16" s="24" customFormat="1" ht="27">
      <c r="A17" s="213"/>
      <c r="B17" s="190"/>
      <c r="C17" s="213"/>
      <c r="D17" s="190"/>
      <c r="E17" s="190"/>
      <c r="F17" s="190"/>
      <c r="G17" s="190"/>
      <c r="H17" s="193">
        <v>1</v>
      </c>
      <c r="I17" s="190" t="s">
        <v>2973</v>
      </c>
      <c r="J17" s="190" t="s">
        <v>2974</v>
      </c>
      <c r="K17" s="194" t="s">
        <v>334</v>
      </c>
      <c r="L17" s="83" t="s">
        <v>349</v>
      </c>
      <c r="M17" s="214" t="s">
        <v>2975</v>
      </c>
      <c r="N17" s="190">
        <v>1</v>
      </c>
      <c r="O17" s="195" t="s">
        <v>2960</v>
      </c>
      <c r="P17" s="190" t="s">
        <v>2976</v>
      </c>
    </row>
    <row r="18" spans="1:16">
      <c r="A18" s="213">
        <v>2121000000021</v>
      </c>
      <c r="B18" s="190"/>
      <c r="C18" s="213">
        <v>2221000000002</v>
      </c>
      <c r="D18" s="193" t="s">
        <v>1073</v>
      </c>
      <c r="E18" s="190" t="b">
        <v>1</v>
      </c>
      <c r="F18" s="190"/>
      <c r="G18" s="190"/>
      <c r="H18" s="190"/>
      <c r="I18" s="190"/>
      <c r="J18" s="190"/>
      <c r="K18" s="87"/>
      <c r="L18" s="87"/>
      <c r="M18" s="87"/>
      <c r="N18" s="87"/>
      <c r="O18" s="40"/>
      <c r="P18" s="81"/>
    </row>
    <row r="19" spans="1:16">
      <c r="A19" s="213"/>
      <c r="B19" s="190"/>
      <c r="C19" s="213"/>
      <c r="D19" s="190"/>
      <c r="E19" s="190"/>
      <c r="F19" s="190"/>
      <c r="G19" s="190"/>
      <c r="H19" s="193">
        <v>1</v>
      </c>
      <c r="I19" s="190" t="s">
        <v>1293</v>
      </c>
      <c r="J19" s="190" t="s">
        <v>1293</v>
      </c>
      <c r="K19" s="194" t="s">
        <v>334</v>
      </c>
      <c r="L19" s="83" t="s">
        <v>366</v>
      </c>
      <c r="M19" s="214" t="s">
        <v>367</v>
      </c>
      <c r="N19" s="190">
        <v>100</v>
      </c>
      <c r="O19" s="195" t="s">
        <v>1295</v>
      </c>
      <c r="P19" s="190" t="s">
        <v>1294</v>
      </c>
    </row>
    <row r="20" spans="1:16">
      <c r="A20" s="213"/>
      <c r="B20" s="190"/>
      <c r="C20" s="213"/>
      <c r="D20" s="190"/>
      <c r="E20" s="190"/>
      <c r="F20" s="190"/>
      <c r="G20" s="190"/>
      <c r="H20" s="193">
        <v>2</v>
      </c>
      <c r="I20" s="190" t="s">
        <v>1293</v>
      </c>
      <c r="J20" s="190" t="s">
        <v>1293</v>
      </c>
      <c r="K20" s="194" t="s">
        <v>334</v>
      </c>
      <c r="L20" s="83" t="s">
        <v>366</v>
      </c>
      <c r="M20" s="214" t="s">
        <v>367</v>
      </c>
      <c r="N20" s="190">
        <v>300</v>
      </c>
      <c r="O20" s="195" t="s">
        <v>1295</v>
      </c>
      <c r="P20" s="190" t="s">
        <v>501</v>
      </c>
    </row>
    <row r="21" spans="1:16">
      <c r="A21" s="213"/>
      <c r="B21" s="190"/>
      <c r="C21" s="213"/>
      <c r="D21" s="190"/>
      <c r="E21" s="190"/>
      <c r="F21" s="190"/>
      <c r="G21" s="190"/>
      <c r="H21" s="193">
        <v>3</v>
      </c>
      <c r="I21" s="190" t="s">
        <v>1292</v>
      </c>
      <c r="J21" s="190" t="s">
        <v>1292</v>
      </c>
      <c r="K21" s="194" t="s">
        <v>334</v>
      </c>
      <c r="L21" s="83" t="s">
        <v>366</v>
      </c>
      <c r="M21" s="214" t="s">
        <v>367</v>
      </c>
      <c r="N21" s="190">
        <v>500</v>
      </c>
      <c r="O21" s="195" t="s">
        <v>1291</v>
      </c>
      <c r="P21" s="190" t="s">
        <v>501</v>
      </c>
    </row>
    <row r="22" spans="1:16">
      <c r="A22" s="213"/>
      <c r="B22" s="190"/>
      <c r="C22" s="213"/>
      <c r="D22" s="190"/>
      <c r="E22" s="190"/>
      <c r="F22" s="190"/>
      <c r="G22" s="190"/>
      <c r="H22" s="193">
        <v>4</v>
      </c>
      <c r="I22" s="190" t="s">
        <v>1292</v>
      </c>
      <c r="J22" s="190" t="s">
        <v>1292</v>
      </c>
      <c r="K22" s="194" t="s">
        <v>334</v>
      </c>
      <c r="L22" s="83" t="s">
        <v>366</v>
      </c>
      <c r="M22" s="214" t="s">
        <v>367</v>
      </c>
      <c r="N22" s="190">
        <v>700</v>
      </c>
      <c r="O22" s="195" t="s">
        <v>1291</v>
      </c>
      <c r="P22" s="190" t="s">
        <v>501</v>
      </c>
    </row>
    <row r="23" spans="1:16">
      <c r="A23" s="213"/>
      <c r="B23" s="190"/>
      <c r="C23" s="213"/>
      <c r="D23" s="190"/>
      <c r="E23" s="190"/>
      <c r="F23" s="190"/>
      <c r="G23" s="190"/>
      <c r="H23" s="193">
        <v>5</v>
      </c>
      <c r="I23" s="190" t="s">
        <v>1293</v>
      </c>
      <c r="J23" s="190" t="s">
        <v>1293</v>
      </c>
      <c r="K23" s="194" t="s">
        <v>334</v>
      </c>
      <c r="L23" s="83" t="s">
        <v>366</v>
      </c>
      <c r="M23" s="214" t="s">
        <v>367</v>
      </c>
      <c r="N23" s="190">
        <v>900</v>
      </c>
      <c r="O23" s="195" t="s">
        <v>1296</v>
      </c>
      <c r="P23" s="190" t="s">
        <v>501</v>
      </c>
    </row>
    <row r="24" spans="1:16">
      <c r="A24" s="213"/>
      <c r="B24" s="190"/>
      <c r="C24" s="213"/>
      <c r="D24" s="190"/>
      <c r="E24" s="190"/>
      <c r="F24" s="190"/>
      <c r="G24" s="190"/>
      <c r="H24" s="193">
        <v>6</v>
      </c>
      <c r="I24" s="190" t="s">
        <v>1293</v>
      </c>
      <c r="J24" s="190" t="s">
        <v>1293</v>
      </c>
      <c r="K24" s="194" t="s">
        <v>334</v>
      </c>
      <c r="L24" s="83" t="s">
        <v>366</v>
      </c>
      <c r="M24" s="214" t="s">
        <v>367</v>
      </c>
      <c r="N24" s="190">
        <v>1100</v>
      </c>
      <c r="O24" s="195" t="s">
        <v>1296</v>
      </c>
      <c r="P24" s="190" t="s">
        <v>501</v>
      </c>
    </row>
    <row r="25" spans="1:16">
      <c r="A25" s="213"/>
      <c r="B25" s="190"/>
      <c r="C25" s="213"/>
      <c r="D25" s="190"/>
      <c r="E25" s="190"/>
      <c r="F25" s="190"/>
      <c r="G25" s="190"/>
      <c r="H25" s="193">
        <v>7</v>
      </c>
      <c r="I25" s="190" t="s">
        <v>1293</v>
      </c>
      <c r="J25" s="190" t="s">
        <v>1293</v>
      </c>
      <c r="K25" s="194" t="s">
        <v>334</v>
      </c>
      <c r="L25" s="83" t="s">
        <v>366</v>
      </c>
      <c r="M25" s="214" t="s">
        <v>367</v>
      </c>
      <c r="N25" s="190">
        <v>1300</v>
      </c>
      <c r="O25" s="195" t="s">
        <v>1297</v>
      </c>
      <c r="P25" s="190" t="s">
        <v>501</v>
      </c>
    </row>
    <row r="26" spans="1:16">
      <c r="A26" s="213"/>
      <c r="B26" s="190"/>
      <c r="C26" s="213"/>
      <c r="D26" s="190"/>
      <c r="E26" s="190"/>
      <c r="F26" s="190"/>
      <c r="G26" s="190"/>
      <c r="H26" s="193">
        <v>8</v>
      </c>
      <c r="I26" s="190" t="s">
        <v>1293</v>
      </c>
      <c r="J26" s="190" t="s">
        <v>1293</v>
      </c>
      <c r="K26" s="194" t="s">
        <v>334</v>
      </c>
      <c r="L26" s="83" t="s">
        <v>366</v>
      </c>
      <c r="M26" s="214" t="s">
        <v>367</v>
      </c>
      <c r="N26" s="190">
        <v>1500</v>
      </c>
      <c r="O26" s="195" t="s">
        <v>1297</v>
      </c>
      <c r="P26" s="190" t="s">
        <v>501</v>
      </c>
    </row>
    <row r="27" spans="1:16">
      <c r="A27" s="213">
        <v>2121000000022</v>
      </c>
      <c r="B27" s="190"/>
      <c r="C27" s="213">
        <v>2221000000002</v>
      </c>
      <c r="D27" s="193" t="s">
        <v>1073</v>
      </c>
      <c r="E27" s="190" t="b">
        <v>1</v>
      </c>
      <c r="F27" s="190"/>
      <c r="G27" s="190"/>
      <c r="H27" s="190"/>
      <c r="I27" s="190"/>
      <c r="J27" s="190"/>
      <c r="K27" s="190"/>
      <c r="L27" s="190"/>
      <c r="M27" s="190"/>
      <c r="N27" s="190"/>
      <c r="O27" s="190"/>
      <c r="P27" s="190"/>
    </row>
    <row r="28" spans="1:16">
      <c r="A28" s="213"/>
      <c r="B28" s="190"/>
      <c r="C28" s="213"/>
      <c r="D28" s="190"/>
      <c r="E28" s="190"/>
      <c r="F28" s="190"/>
      <c r="G28" s="190"/>
      <c r="H28" s="193">
        <v>1</v>
      </c>
      <c r="I28" s="190" t="s">
        <v>1289</v>
      </c>
      <c r="J28" s="190" t="s">
        <v>1288</v>
      </c>
      <c r="K28" s="194" t="s">
        <v>334</v>
      </c>
      <c r="L28" s="83" t="s">
        <v>357</v>
      </c>
      <c r="M28" s="214" t="s">
        <v>358</v>
      </c>
      <c r="N28" s="190">
        <v>110</v>
      </c>
      <c r="O28" s="195" t="s">
        <v>1429</v>
      </c>
      <c r="P28" s="190" t="s">
        <v>359</v>
      </c>
    </row>
    <row r="29" spans="1:16">
      <c r="A29" s="213"/>
      <c r="B29" s="190"/>
      <c r="C29" s="213"/>
      <c r="D29" s="190"/>
      <c r="E29" s="190"/>
      <c r="F29" s="190"/>
      <c r="G29" s="190"/>
      <c r="H29" s="193">
        <v>2</v>
      </c>
      <c r="I29" s="190" t="s">
        <v>1289</v>
      </c>
      <c r="J29" s="190" t="s">
        <v>1288</v>
      </c>
      <c r="K29" s="194" t="s">
        <v>334</v>
      </c>
      <c r="L29" s="83" t="s">
        <v>357</v>
      </c>
      <c r="M29" s="214" t="s">
        <v>358</v>
      </c>
      <c r="N29" s="190">
        <v>220</v>
      </c>
      <c r="O29" s="195" t="s">
        <v>1429</v>
      </c>
      <c r="P29" s="190" t="s">
        <v>359</v>
      </c>
    </row>
    <row r="30" spans="1:16">
      <c r="A30" s="213"/>
      <c r="B30" s="190"/>
      <c r="C30" s="213"/>
      <c r="D30" s="190"/>
      <c r="E30" s="190"/>
      <c r="F30" s="190"/>
      <c r="G30" s="190"/>
      <c r="H30" s="193">
        <v>3</v>
      </c>
      <c r="I30" s="190" t="s">
        <v>1289</v>
      </c>
      <c r="J30" s="190" t="s">
        <v>1288</v>
      </c>
      <c r="K30" s="194" t="s">
        <v>334</v>
      </c>
      <c r="L30" s="83" t="s">
        <v>357</v>
      </c>
      <c r="M30" s="214" t="s">
        <v>358</v>
      </c>
      <c r="N30" s="190">
        <v>330</v>
      </c>
      <c r="O30" s="195" t="s">
        <v>1430</v>
      </c>
      <c r="P30" s="190" t="s">
        <v>359</v>
      </c>
    </row>
    <row r="31" spans="1:16">
      <c r="A31" s="213"/>
      <c r="B31" s="190"/>
      <c r="C31" s="213"/>
      <c r="D31" s="190"/>
      <c r="E31" s="190"/>
      <c r="F31" s="190"/>
      <c r="G31" s="190"/>
      <c r="H31" s="193">
        <v>4</v>
      </c>
      <c r="I31" s="190" t="s">
        <v>1289</v>
      </c>
      <c r="J31" s="190" t="s">
        <v>1288</v>
      </c>
      <c r="K31" s="194" t="s">
        <v>334</v>
      </c>
      <c r="L31" s="83" t="s">
        <v>357</v>
      </c>
      <c r="M31" s="214" t="s">
        <v>358</v>
      </c>
      <c r="N31" s="190">
        <v>445</v>
      </c>
      <c r="O31" s="195" t="s">
        <v>1430</v>
      </c>
      <c r="P31" s="190" t="s">
        <v>359</v>
      </c>
    </row>
    <row r="32" spans="1:16">
      <c r="A32" s="213"/>
      <c r="B32" s="190"/>
      <c r="C32" s="213"/>
      <c r="D32" s="190"/>
      <c r="E32" s="190"/>
      <c r="F32" s="190"/>
      <c r="G32" s="190"/>
      <c r="H32" s="193">
        <v>5</v>
      </c>
      <c r="I32" s="190" t="s">
        <v>1289</v>
      </c>
      <c r="J32" s="190" t="s">
        <v>1288</v>
      </c>
      <c r="K32" s="194" t="s">
        <v>334</v>
      </c>
      <c r="L32" s="83" t="s">
        <v>357</v>
      </c>
      <c r="M32" s="214" t="s">
        <v>358</v>
      </c>
      <c r="N32" s="190">
        <v>555</v>
      </c>
      <c r="O32" s="195" t="s">
        <v>1431</v>
      </c>
      <c r="P32" s="190" t="s">
        <v>359</v>
      </c>
    </row>
    <row r="33" spans="1:16">
      <c r="A33" s="213"/>
      <c r="B33" s="190"/>
      <c r="C33" s="213"/>
      <c r="D33" s="190"/>
      <c r="E33" s="190"/>
      <c r="F33" s="190"/>
      <c r="G33" s="190"/>
      <c r="H33" s="193">
        <v>6</v>
      </c>
      <c r="I33" s="190" t="s">
        <v>1289</v>
      </c>
      <c r="J33" s="190" t="s">
        <v>1288</v>
      </c>
      <c r="K33" s="194" t="s">
        <v>334</v>
      </c>
      <c r="L33" s="83" t="s">
        <v>357</v>
      </c>
      <c r="M33" s="214" t="s">
        <v>358</v>
      </c>
      <c r="N33" s="190">
        <v>665</v>
      </c>
      <c r="O33" s="195" t="s">
        <v>1431</v>
      </c>
      <c r="P33" s="190" t="s">
        <v>359</v>
      </c>
    </row>
    <row r="34" spans="1:16">
      <c r="A34" s="213"/>
      <c r="B34" s="190"/>
      <c r="C34" s="213"/>
      <c r="D34" s="190"/>
      <c r="E34" s="190"/>
      <c r="F34" s="190"/>
      <c r="G34" s="190"/>
      <c r="H34" s="193">
        <v>7</v>
      </c>
      <c r="I34" s="190" t="s">
        <v>1289</v>
      </c>
      <c r="J34" s="190" t="s">
        <v>1288</v>
      </c>
      <c r="K34" s="194" t="s">
        <v>334</v>
      </c>
      <c r="L34" s="83" t="s">
        <v>357</v>
      </c>
      <c r="M34" s="214" t="s">
        <v>358</v>
      </c>
      <c r="N34" s="190">
        <v>775</v>
      </c>
      <c r="O34" s="195" t="s">
        <v>1432</v>
      </c>
      <c r="P34" s="190" t="s">
        <v>359</v>
      </c>
    </row>
    <row r="35" spans="1:16">
      <c r="A35" s="213"/>
      <c r="B35" s="190"/>
      <c r="C35" s="213"/>
      <c r="D35" s="190"/>
      <c r="E35" s="190"/>
      <c r="F35" s="190"/>
      <c r="G35" s="190"/>
      <c r="H35" s="193">
        <v>8</v>
      </c>
      <c r="I35" s="190" t="s">
        <v>1289</v>
      </c>
      <c r="J35" s="190" t="s">
        <v>1288</v>
      </c>
      <c r="K35" s="194" t="s">
        <v>334</v>
      </c>
      <c r="L35" s="83" t="s">
        <v>357</v>
      </c>
      <c r="M35" s="214" t="s">
        <v>358</v>
      </c>
      <c r="N35" s="190">
        <v>890</v>
      </c>
      <c r="O35" s="195" t="s">
        <v>1432</v>
      </c>
      <c r="P35" s="190" t="s">
        <v>359</v>
      </c>
    </row>
    <row r="36" spans="1:16">
      <c r="A36" s="213">
        <f>A27+1</f>
        <v>2121000000023</v>
      </c>
      <c r="B36" s="190"/>
      <c r="C36" s="213">
        <v>2221000000002</v>
      </c>
      <c r="D36" s="193" t="s">
        <v>1073</v>
      </c>
      <c r="E36" s="190" t="b">
        <v>1</v>
      </c>
      <c r="F36" s="190"/>
      <c r="G36" s="190"/>
      <c r="H36" s="190"/>
      <c r="I36" s="190"/>
      <c r="J36" s="190"/>
      <c r="K36" s="87"/>
      <c r="L36" s="87"/>
      <c r="M36" s="87"/>
      <c r="N36" s="87"/>
      <c r="O36" s="40"/>
      <c r="P36" s="81"/>
    </row>
    <row r="37" spans="1:16">
      <c r="A37" s="213"/>
      <c r="B37" s="190"/>
      <c r="C37" s="213"/>
      <c r="D37" s="190"/>
      <c r="E37" s="190"/>
      <c r="F37" s="190"/>
      <c r="G37" s="190"/>
      <c r="H37" s="193">
        <v>1</v>
      </c>
      <c r="I37" s="190" t="s">
        <v>1293</v>
      </c>
      <c r="J37" s="190" t="s">
        <v>1293</v>
      </c>
      <c r="K37" s="194" t="s">
        <v>334</v>
      </c>
      <c r="L37" s="83" t="s">
        <v>366</v>
      </c>
      <c r="M37" s="214" t="s">
        <v>367</v>
      </c>
      <c r="N37" s="190">
        <v>100</v>
      </c>
      <c r="O37" s="195" t="s">
        <v>1429</v>
      </c>
      <c r="P37" s="190" t="s">
        <v>1294</v>
      </c>
    </row>
    <row r="38" spans="1:16">
      <c r="A38" s="213"/>
      <c r="B38" s="190"/>
      <c r="C38" s="213"/>
      <c r="D38" s="190"/>
      <c r="E38" s="190"/>
      <c r="F38" s="190"/>
      <c r="G38" s="190"/>
      <c r="H38" s="193">
        <v>2</v>
      </c>
      <c r="I38" s="190" t="s">
        <v>1293</v>
      </c>
      <c r="J38" s="190" t="s">
        <v>1293</v>
      </c>
      <c r="K38" s="194" t="s">
        <v>334</v>
      </c>
      <c r="L38" s="83" t="s">
        <v>366</v>
      </c>
      <c r="M38" s="214" t="s">
        <v>367</v>
      </c>
      <c r="N38" s="190">
        <v>300</v>
      </c>
      <c r="O38" s="195" t="s">
        <v>1429</v>
      </c>
      <c r="P38" s="190" t="s">
        <v>501</v>
      </c>
    </row>
    <row r="39" spans="1:16">
      <c r="A39" s="213"/>
      <c r="B39" s="190"/>
      <c r="C39" s="213"/>
      <c r="D39" s="190"/>
      <c r="E39" s="190"/>
      <c r="F39" s="190"/>
      <c r="G39" s="190"/>
      <c r="H39" s="193">
        <v>3</v>
      </c>
      <c r="I39" s="190" t="s">
        <v>1292</v>
      </c>
      <c r="J39" s="190" t="s">
        <v>1292</v>
      </c>
      <c r="K39" s="194" t="s">
        <v>334</v>
      </c>
      <c r="L39" s="83" t="s">
        <v>366</v>
      </c>
      <c r="M39" s="214" t="s">
        <v>367</v>
      </c>
      <c r="N39" s="190">
        <v>500</v>
      </c>
      <c r="O39" s="195" t="s">
        <v>1430</v>
      </c>
      <c r="P39" s="190" t="s">
        <v>501</v>
      </c>
    </row>
    <row r="40" spans="1:16">
      <c r="A40" s="213"/>
      <c r="B40" s="190"/>
      <c r="C40" s="213"/>
      <c r="D40" s="190"/>
      <c r="E40" s="190"/>
      <c r="F40" s="190"/>
      <c r="G40" s="190"/>
      <c r="H40" s="193">
        <v>4</v>
      </c>
      <c r="I40" s="190" t="s">
        <v>1292</v>
      </c>
      <c r="J40" s="190" t="s">
        <v>1292</v>
      </c>
      <c r="K40" s="194" t="s">
        <v>334</v>
      </c>
      <c r="L40" s="83" t="s">
        <v>366</v>
      </c>
      <c r="M40" s="214" t="s">
        <v>367</v>
      </c>
      <c r="N40" s="190">
        <v>700</v>
      </c>
      <c r="O40" s="195" t="s">
        <v>1430</v>
      </c>
      <c r="P40" s="190" t="s">
        <v>501</v>
      </c>
    </row>
    <row r="41" spans="1:16">
      <c r="A41" s="213"/>
      <c r="B41" s="190"/>
      <c r="C41" s="213"/>
      <c r="D41" s="190"/>
      <c r="E41" s="190"/>
      <c r="F41" s="190"/>
      <c r="G41" s="190"/>
      <c r="H41" s="193">
        <v>5</v>
      </c>
      <c r="I41" s="190" t="s">
        <v>1293</v>
      </c>
      <c r="J41" s="190" t="s">
        <v>1293</v>
      </c>
      <c r="K41" s="194" t="s">
        <v>334</v>
      </c>
      <c r="L41" s="83" t="s">
        <v>366</v>
      </c>
      <c r="M41" s="214" t="s">
        <v>367</v>
      </c>
      <c r="N41" s="190">
        <v>900</v>
      </c>
      <c r="O41" s="195" t="s">
        <v>1431</v>
      </c>
      <c r="P41" s="190" t="s">
        <v>501</v>
      </c>
    </row>
    <row r="42" spans="1:16">
      <c r="A42" s="213"/>
      <c r="B42" s="190"/>
      <c r="C42" s="213"/>
      <c r="D42" s="190"/>
      <c r="E42" s="190"/>
      <c r="F42" s="190"/>
      <c r="G42" s="190"/>
      <c r="H42" s="193">
        <v>6</v>
      </c>
      <c r="I42" s="190" t="s">
        <v>1293</v>
      </c>
      <c r="J42" s="190" t="s">
        <v>1293</v>
      </c>
      <c r="K42" s="194" t="s">
        <v>334</v>
      </c>
      <c r="L42" s="83" t="s">
        <v>366</v>
      </c>
      <c r="M42" s="214" t="s">
        <v>367</v>
      </c>
      <c r="N42" s="190">
        <v>1100</v>
      </c>
      <c r="O42" s="195" t="s">
        <v>1431</v>
      </c>
      <c r="P42" s="190" t="s">
        <v>501</v>
      </c>
    </row>
    <row r="43" spans="1:16">
      <c r="A43" s="213"/>
      <c r="B43" s="190"/>
      <c r="C43" s="213"/>
      <c r="D43" s="190"/>
      <c r="E43" s="190"/>
      <c r="F43" s="190"/>
      <c r="G43" s="190"/>
      <c r="H43" s="193">
        <v>7</v>
      </c>
      <c r="I43" s="190" t="s">
        <v>1293</v>
      </c>
      <c r="J43" s="190" t="s">
        <v>1293</v>
      </c>
      <c r="K43" s="194" t="s">
        <v>334</v>
      </c>
      <c r="L43" s="83" t="s">
        <v>366</v>
      </c>
      <c r="M43" s="214" t="s">
        <v>367</v>
      </c>
      <c r="N43" s="190">
        <v>1300</v>
      </c>
      <c r="O43" s="195" t="s">
        <v>1432</v>
      </c>
      <c r="P43" s="190" t="s">
        <v>501</v>
      </c>
    </row>
    <row r="44" spans="1:16">
      <c r="A44" s="213"/>
      <c r="B44" s="190"/>
      <c r="C44" s="213"/>
      <c r="D44" s="190"/>
      <c r="E44" s="190"/>
      <c r="F44" s="190"/>
      <c r="G44" s="190"/>
      <c r="H44" s="193">
        <v>8</v>
      </c>
      <c r="I44" s="190" t="s">
        <v>1293</v>
      </c>
      <c r="J44" s="190" t="s">
        <v>1293</v>
      </c>
      <c r="K44" s="194" t="s">
        <v>334</v>
      </c>
      <c r="L44" s="83" t="s">
        <v>366</v>
      </c>
      <c r="M44" s="214" t="s">
        <v>367</v>
      </c>
      <c r="N44" s="190">
        <v>1500</v>
      </c>
      <c r="O44" s="195" t="s">
        <v>1432</v>
      </c>
      <c r="P44" s="190" t="s">
        <v>501</v>
      </c>
    </row>
    <row r="45" spans="1:16">
      <c r="A45" s="213">
        <v>2121000000024</v>
      </c>
      <c r="B45" s="190"/>
      <c r="C45" s="213">
        <v>2221000000003</v>
      </c>
      <c r="D45" s="193" t="s">
        <v>1073</v>
      </c>
      <c r="E45" s="190" t="b">
        <v>1</v>
      </c>
      <c r="F45" s="190"/>
      <c r="G45" s="190"/>
      <c r="H45" s="190"/>
      <c r="I45" s="190"/>
      <c r="J45" s="190"/>
      <c r="K45" s="190"/>
      <c r="L45" s="190"/>
      <c r="M45" s="190"/>
      <c r="N45" s="190"/>
      <c r="O45" s="190"/>
      <c r="P45" s="190"/>
    </row>
    <row r="46" spans="1:16">
      <c r="A46" s="213"/>
      <c r="B46" s="190"/>
      <c r="C46" s="213"/>
      <c r="D46" s="190"/>
      <c r="E46" s="190"/>
      <c r="F46" s="190"/>
      <c r="G46" s="190"/>
      <c r="H46" s="193">
        <v>1</v>
      </c>
      <c r="I46" s="190" t="s">
        <v>1289</v>
      </c>
      <c r="J46" s="190" t="s">
        <v>1288</v>
      </c>
      <c r="K46" s="194" t="s">
        <v>334</v>
      </c>
      <c r="L46" s="83" t="s">
        <v>357</v>
      </c>
      <c r="M46" s="214" t="s">
        <v>358</v>
      </c>
      <c r="N46" s="190">
        <v>110</v>
      </c>
      <c r="O46" s="195" t="s">
        <v>1433</v>
      </c>
      <c r="P46" s="190" t="s">
        <v>359</v>
      </c>
    </row>
    <row r="47" spans="1:16">
      <c r="A47" s="213"/>
      <c r="B47" s="190"/>
      <c r="C47" s="213"/>
      <c r="D47" s="190"/>
      <c r="E47" s="190"/>
      <c r="F47" s="190"/>
      <c r="G47" s="190"/>
      <c r="H47" s="193">
        <v>2</v>
      </c>
      <c r="I47" s="190" t="s">
        <v>1289</v>
      </c>
      <c r="J47" s="190" t="s">
        <v>1288</v>
      </c>
      <c r="K47" s="194" t="s">
        <v>334</v>
      </c>
      <c r="L47" s="83" t="s">
        <v>357</v>
      </c>
      <c r="M47" s="214" t="s">
        <v>358</v>
      </c>
      <c r="N47" s="190">
        <v>220</v>
      </c>
      <c r="O47" s="195" t="s">
        <v>1433</v>
      </c>
      <c r="P47" s="190" t="s">
        <v>359</v>
      </c>
    </row>
    <row r="48" spans="1:16">
      <c r="A48" s="213"/>
      <c r="B48" s="190"/>
      <c r="C48" s="213"/>
      <c r="D48" s="190"/>
      <c r="E48" s="190"/>
      <c r="F48" s="190"/>
      <c r="G48" s="190"/>
      <c r="H48" s="193">
        <v>3</v>
      </c>
      <c r="I48" s="190" t="s">
        <v>1289</v>
      </c>
      <c r="J48" s="190" t="s">
        <v>1288</v>
      </c>
      <c r="K48" s="194" t="s">
        <v>334</v>
      </c>
      <c r="L48" s="83" t="s">
        <v>357</v>
      </c>
      <c r="M48" s="214" t="s">
        <v>358</v>
      </c>
      <c r="N48" s="190">
        <v>330</v>
      </c>
      <c r="O48" s="195" t="s">
        <v>1434</v>
      </c>
      <c r="P48" s="190" t="s">
        <v>359</v>
      </c>
    </row>
    <row r="49" spans="1:16">
      <c r="A49" s="213"/>
      <c r="B49" s="190"/>
      <c r="C49" s="213"/>
      <c r="D49" s="190"/>
      <c r="E49" s="190"/>
      <c r="F49" s="190"/>
      <c r="G49" s="190"/>
      <c r="H49" s="193">
        <v>4</v>
      </c>
      <c r="I49" s="190" t="s">
        <v>1289</v>
      </c>
      <c r="J49" s="190" t="s">
        <v>1288</v>
      </c>
      <c r="K49" s="194" t="s">
        <v>334</v>
      </c>
      <c r="L49" s="83" t="s">
        <v>357</v>
      </c>
      <c r="M49" s="214" t="s">
        <v>358</v>
      </c>
      <c r="N49" s="190">
        <v>445</v>
      </c>
      <c r="O49" s="195" t="s">
        <v>1434</v>
      </c>
      <c r="P49" s="190" t="s">
        <v>359</v>
      </c>
    </row>
    <row r="50" spans="1:16">
      <c r="A50" s="213"/>
      <c r="B50" s="190"/>
      <c r="C50" s="213"/>
      <c r="D50" s="190"/>
      <c r="E50" s="190"/>
      <c r="F50" s="190"/>
      <c r="G50" s="190"/>
      <c r="H50" s="193">
        <v>5</v>
      </c>
      <c r="I50" s="190" t="s">
        <v>1289</v>
      </c>
      <c r="J50" s="190" t="s">
        <v>1288</v>
      </c>
      <c r="K50" s="194" t="s">
        <v>334</v>
      </c>
      <c r="L50" s="83" t="s">
        <v>357</v>
      </c>
      <c r="M50" s="214" t="s">
        <v>358</v>
      </c>
      <c r="N50" s="190">
        <v>555</v>
      </c>
      <c r="O50" s="195" t="s">
        <v>1435</v>
      </c>
      <c r="P50" s="190" t="s">
        <v>359</v>
      </c>
    </row>
    <row r="51" spans="1:16">
      <c r="A51" s="213"/>
      <c r="B51" s="190"/>
      <c r="C51" s="213"/>
      <c r="D51" s="190"/>
      <c r="E51" s="190"/>
      <c r="F51" s="190"/>
      <c r="G51" s="190"/>
      <c r="H51" s="193">
        <v>6</v>
      </c>
      <c r="I51" s="190" t="s">
        <v>1289</v>
      </c>
      <c r="J51" s="190" t="s">
        <v>1288</v>
      </c>
      <c r="K51" s="194" t="s">
        <v>334</v>
      </c>
      <c r="L51" s="83" t="s">
        <v>357</v>
      </c>
      <c r="M51" s="214" t="s">
        <v>358</v>
      </c>
      <c r="N51" s="190">
        <v>665</v>
      </c>
      <c r="O51" s="195" t="s">
        <v>1435</v>
      </c>
      <c r="P51" s="190" t="s">
        <v>359</v>
      </c>
    </row>
    <row r="52" spans="1:16">
      <c r="A52" s="213"/>
      <c r="B52" s="190"/>
      <c r="C52" s="213"/>
      <c r="D52" s="190"/>
      <c r="E52" s="190"/>
      <c r="F52" s="190"/>
      <c r="G52" s="190"/>
      <c r="H52" s="193">
        <v>7</v>
      </c>
      <c r="I52" s="190" t="s">
        <v>1289</v>
      </c>
      <c r="J52" s="190" t="s">
        <v>1288</v>
      </c>
      <c r="K52" s="194" t="s">
        <v>334</v>
      </c>
      <c r="L52" s="83" t="s">
        <v>357</v>
      </c>
      <c r="M52" s="214" t="s">
        <v>358</v>
      </c>
      <c r="N52" s="190">
        <v>775</v>
      </c>
      <c r="O52" s="195" t="s">
        <v>1436</v>
      </c>
      <c r="P52" s="190" t="s">
        <v>359</v>
      </c>
    </row>
    <row r="53" spans="1:16">
      <c r="A53" s="213"/>
      <c r="B53" s="190"/>
      <c r="C53" s="213"/>
      <c r="D53" s="190"/>
      <c r="E53" s="190"/>
      <c r="F53" s="190"/>
      <c r="G53" s="190"/>
      <c r="H53" s="193">
        <v>8</v>
      </c>
      <c r="I53" s="190" t="s">
        <v>1289</v>
      </c>
      <c r="J53" s="190" t="s">
        <v>1288</v>
      </c>
      <c r="K53" s="194" t="s">
        <v>334</v>
      </c>
      <c r="L53" s="83" t="s">
        <v>357</v>
      </c>
      <c r="M53" s="214" t="s">
        <v>358</v>
      </c>
      <c r="N53" s="190">
        <v>890</v>
      </c>
      <c r="O53" s="195" t="s">
        <v>1436</v>
      </c>
      <c r="P53" s="190" t="s">
        <v>359</v>
      </c>
    </row>
    <row r="54" spans="1:16">
      <c r="A54" s="213">
        <f>A45+1</f>
        <v>2121000000025</v>
      </c>
      <c r="B54" s="190"/>
      <c r="C54" s="213">
        <v>2221000000003</v>
      </c>
      <c r="D54" s="193" t="s">
        <v>1073</v>
      </c>
      <c r="E54" s="190" t="b">
        <v>1</v>
      </c>
      <c r="F54" s="190"/>
      <c r="G54" s="190"/>
      <c r="H54" s="190"/>
      <c r="I54" s="190"/>
      <c r="J54" s="190"/>
      <c r="K54" s="87"/>
      <c r="L54" s="87"/>
      <c r="M54" s="87"/>
      <c r="N54" s="87"/>
      <c r="O54" s="40"/>
      <c r="P54" s="81"/>
    </row>
    <row r="55" spans="1:16">
      <c r="A55" s="213"/>
      <c r="B55" s="190"/>
      <c r="C55" s="213"/>
      <c r="D55" s="190"/>
      <c r="E55" s="190"/>
      <c r="F55" s="190"/>
      <c r="G55" s="190"/>
      <c r="H55" s="193">
        <v>1</v>
      </c>
      <c r="I55" s="190" t="s">
        <v>1293</v>
      </c>
      <c r="J55" s="190" t="s">
        <v>1293</v>
      </c>
      <c r="K55" s="194" t="s">
        <v>334</v>
      </c>
      <c r="L55" s="83" t="s">
        <v>366</v>
      </c>
      <c r="M55" s="214" t="s">
        <v>367</v>
      </c>
      <c r="N55" s="190">
        <v>100</v>
      </c>
      <c r="O55" s="195" t="s">
        <v>1433</v>
      </c>
      <c r="P55" s="190" t="s">
        <v>1294</v>
      </c>
    </row>
    <row r="56" spans="1:16">
      <c r="A56" s="213"/>
      <c r="B56" s="190"/>
      <c r="C56" s="213"/>
      <c r="D56" s="190"/>
      <c r="E56" s="190"/>
      <c r="F56" s="190"/>
      <c r="G56" s="190"/>
      <c r="H56" s="193">
        <v>2</v>
      </c>
      <c r="I56" s="190" t="s">
        <v>1293</v>
      </c>
      <c r="J56" s="190" t="s">
        <v>1293</v>
      </c>
      <c r="K56" s="194" t="s">
        <v>334</v>
      </c>
      <c r="L56" s="83" t="s">
        <v>366</v>
      </c>
      <c r="M56" s="214" t="s">
        <v>367</v>
      </c>
      <c r="N56" s="190">
        <v>300</v>
      </c>
      <c r="O56" s="195" t="s">
        <v>1433</v>
      </c>
      <c r="P56" s="190" t="s">
        <v>501</v>
      </c>
    </row>
    <row r="57" spans="1:16">
      <c r="A57" s="213"/>
      <c r="B57" s="190"/>
      <c r="C57" s="213"/>
      <c r="D57" s="190"/>
      <c r="E57" s="190"/>
      <c r="F57" s="190"/>
      <c r="G57" s="190"/>
      <c r="H57" s="193">
        <v>3</v>
      </c>
      <c r="I57" s="190" t="s">
        <v>1292</v>
      </c>
      <c r="J57" s="190" t="s">
        <v>1292</v>
      </c>
      <c r="K57" s="194" t="s">
        <v>334</v>
      </c>
      <c r="L57" s="83" t="s">
        <v>366</v>
      </c>
      <c r="M57" s="214" t="s">
        <v>367</v>
      </c>
      <c r="N57" s="190">
        <v>500</v>
      </c>
      <c r="O57" s="195" t="s">
        <v>1434</v>
      </c>
      <c r="P57" s="190" t="s">
        <v>501</v>
      </c>
    </row>
    <row r="58" spans="1:16">
      <c r="A58" s="213"/>
      <c r="B58" s="190"/>
      <c r="C58" s="213"/>
      <c r="D58" s="190"/>
      <c r="E58" s="190"/>
      <c r="F58" s="190"/>
      <c r="G58" s="190"/>
      <c r="H58" s="193">
        <v>4</v>
      </c>
      <c r="I58" s="190" t="s">
        <v>1292</v>
      </c>
      <c r="J58" s="190" t="s">
        <v>1292</v>
      </c>
      <c r="K58" s="194" t="s">
        <v>334</v>
      </c>
      <c r="L58" s="83" t="s">
        <v>366</v>
      </c>
      <c r="M58" s="214" t="s">
        <v>367</v>
      </c>
      <c r="N58" s="190">
        <v>700</v>
      </c>
      <c r="O58" s="195" t="s">
        <v>1434</v>
      </c>
      <c r="P58" s="190" t="s">
        <v>501</v>
      </c>
    </row>
    <row r="59" spans="1:16">
      <c r="A59" s="213"/>
      <c r="B59" s="190"/>
      <c r="C59" s="213"/>
      <c r="D59" s="190"/>
      <c r="E59" s="190"/>
      <c r="F59" s="190"/>
      <c r="G59" s="190"/>
      <c r="H59" s="193">
        <v>5</v>
      </c>
      <c r="I59" s="190" t="s">
        <v>1293</v>
      </c>
      <c r="J59" s="190" t="s">
        <v>1293</v>
      </c>
      <c r="K59" s="194" t="s">
        <v>334</v>
      </c>
      <c r="L59" s="83" t="s">
        <v>366</v>
      </c>
      <c r="M59" s="214" t="s">
        <v>367</v>
      </c>
      <c r="N59" s="190">
        <v>900</v>
      </c>
      <c r="O59" s="195" t="s">
        <v>1435</v>
      </c>
      <c r="P59" s="190" t="s">
        <v>501</v>
      </c>
    </row>
    <row r="60" spans="1:16">
      <c r="A60" s="213"/>
      <c r="B60" s="190"/>
      <c r="C60" s="213"/>
      <c r="D60" s="190"/>
      <c r="E60" s="190"/>
      <c r="F60" s="190"/>
      <c r="G60" s="190"/>
      <c r="H60" s="193">
        <v>6</v>
      </c>
      <c r="I60" s="190" t="s">
        <v>1293</v>
      </c>
      <c r="J60" s="190" t="s">
        <v>1293</v>
      </c>
      <c r="K60" s="194" t="s">
        <v>334</v>
      </c>
      <c r="L60" s="83" t="s">
        <v>366</v>
      </c>
      <c r="M60" s="214" t="s">
        <v>367</v>
      </c>
      <c r="N60" s="190">
        <v>1100</v>
      </c>
      <c r="O60" s="195" t="s">
        <v>1435</v>
      </c>
      <c r="P60" s="190" t="s">
        <v>501</v>
      </c>
    </row>
    <row r="61" spans="1:16">
      <c r="A61" s="213"/>
      <c r="B61" s="190"/>
      <c r="C61" s="213"/>
      <c r="D61" s="190"/>
      <c r="E61" s="190"/>
      <c r="F61" s="190"/>
      <c r="G61" s="190"/>
      <c r="H61" s="193">
        <v>7</v>
      </c>
      <c r="I61" s="190" t="s">
        <v>1293</v>
      </c>
      <c r="J61" s="190" t="s">
        <v>1293</v>
      </c>
      <c r="K61" s="194" t="s">
        <v>334</v>
      </c>
      <c r="L61" s="83" t="s">
        <v>366</v>
      </c>
      <c r="M61" s="214" t="s">
        <v>367</v>
      </c>
      <c r="N61" s="190">
        <v>1300</v>
      </c>
      <c r="O61" s="195" t="s">
        <v>1436</v>
      </c>
      <c r="P61" s="190" t="s">
        <v>501</v>
      </c>
    </row>
    <row r="62" spans="1:16">
      <c r="A62" s="213"/>
      <c r="B62" s="190"/>
      <c r="C62" s="213"/>
      <c r="D62" s="190"/>
      <c r="E62" s="190"/>
      <c r="F62" s="190"/>
      <c r="G62" s="190"/>
      <c r="H62" s="193">
        <v>8</v>
      </c>
      <c r="I62" s="190" t="s">
        <v>1293</v>
      </c>
      <c r="J62" s="190" t="s">
        <v>1293</v>
      </c>
      <c r="K62" s="194" t="s">
        <v>334</v>
      </c>
      <c r="L62" s="83" t="s">
        <v>366</v>
      </c>
      <c r="M62" s="214" t="s">
        <v>367</v>
      </c>
      <c r="N62" s="190">
        <v>1500</v>
      </c>
      <c r="O62" s="195" t="s">
        <v>1436</v>
      </c>
      <c r="P62" s="190" t="s">
        <v>501</v>
      </c>
    </row>
    <row r="63" spans="1:16">
      <c r="A63" s="213">
        <v>2121000000101</v>
      </c>
      <c r="B63" s="190"/>
      <c r="C63" s="213">
        <v>2221000000004</v>
      </c>
      <c r="D63" s="193" t="s">
        <v>1073</v>
      </c>
      <c r="E63" s="190" t="b">
        <v>1</v>
      </c>
      <c r="F63" s="190"/>
      <c r="G63" s="190"/>
      <c r="H63" s="190"/>
      <c r="I63" s="190"/>
      <c r="J63" s="190"/>
      <c r="K63" s="190"/>
      <c r="L63" s="190"/>
      <c r="M63" s="190"/>
      <c r="N63" s="190"/>
      <c r="O63" s="190"/>
      <c r="P63" s="190"/>
    </row>
    <row r="64" spans="1:16">
      <c r="A64" s="213"/>
      <c r="B64" s="190"/>
      <c r="C64" s="213"/>
      <c r="D64" s="190"/>
      <c r="E64" s="190"/>
      <c r="F64" s="190"/>
      <c r="G64" s="190"/>
      <c r="H64" s="193">
        <v>1</v>
      </c>
      <c r="I64" s="190" t="s">
        <v>3525</v>
      </c>
      <c r="J64" s="190" t="s">
        <v>3526</v>
      </c>
      <c r="K64" s="194" t="s">
        <v>334</v>
      </c>
      <c r="L64" s="83" t="s">
        <v>357</v>
      </c>
      <c r="M64" s="214" t="s">
        <v>3527</v>
      </c>
      <c r="N64" s="190">
        <v>250</v>
      </c>
      <c r="O64" s="195" t="s">
        <v>2111</v>
      </c>
      <c r="P64" s="190"/>
    </row>
    <row r="65" spans="1:16">
      <c r="A65" s="213">
        <v>2121000000102</v>
      </c>
      <c r="B65" s="190"/>
      <c r="C65" s="213">
        <v>2221000000004</v>
      </c>
      <c r="D65" s="193" t="s">
        <v>1073</v>
      </c>
      <c r="E65" s="190" t="b">
        <v>1</v>
      </c>
      <c r="F65" s="190"/>
      <c r="G65" s="190"/>
      <c r="H65" s="193"/>
      <c r="I65" s="190"/>
      <c r="J65" s="190"/>
      <c r="K65" s="193"/>
      <c r="L65" s="87"/>
      <c r="M65" s="214"/>
      <c r="N65" s="190"/>
      <c r="O65" s="324"/>
      <c r="P65" s="190"/>
    </row>
    <row r="66" spans="1:16">
      <c r="A66" s="213"/>
      <c r="B66" s="190"/>
      <c r="C66" s="213"/>
      <c r="D66" s="190"/>
      <c r="E66" s="190"/>
      <c r="F66" s="190"/>
      <c r="G66" s="190"/>
      <c r="H66" s="193">
        <v>1</v>
      </c>
      <c r="I66" s="190" t="s">
        <v>3525</v>
      </c>
      <c r="J66" s="190" t="s">
        <v>3526</v>
      </c>
      <c r="K66" s="194" t="s">
        <v>334</v>
      </c>
      <c r="L66" s="83" t="s">
        <v>357</v>
      </c>
      <c r="M66" s="214" t="s">
        <v>3527</v>
      </c>
      <c r="N66" s="190">
        <v>1000</v>
      </c>
      <c r="O66" s="195" t="s">
        <v>3528</v>
      </c>
      <c r="P66" s="190"/>
    </row>
    <row r="67" spans="1:16">
      <c r="A67" s="213">
        <v>2121000000103</v>
      </c>
      <c r="B67" s="190"/>
      <c r="C67" s="213">
        <v>2221000000004</v>
      </c>
      <c r="D67" s="193" t="s">
        <v>1073</v>
      </c>
      <c r="E67" s="190" t="b">
        <v>1</v>
      </c>
      <c r="F67" s="190"/>
      <c r="G67" s="190"/>
      <c r="H67" s="193"/>
      <c r="I67" s="190"/>
      <c r="J67" s="190"/>
      <c r="K67" s="193"/>
      <c r="L67" s="87"/>
      <c r="M67" s="214"/>
      <c r="N67" s="190"/>
      <c r="O67" s="324"/>
      <c r="P67" s="190"/>
    </row>
    <row r="68" spans="1:16">
      <c r="A68" s="213"/>
      <c r="B68" s="190"/>
      <c r="C68" s="213"/>
      <c r="D68" s="190"/>
      <c r="E68" s="190"/>
      <c r="F68" s="190"/>
      <c r="G68" s="190"/>
      <c r="H68" s="193">
        <v>1</v>
      </c>
      <c r="I68" s="190" t="s">
        <v>3525</v>
      </c>
      <c r="J68" s="190" t="s">
        <v>3526</v>
      </c>
      <c r="K68" s="194" t="s">
        <v>334</v>
      </c>
      <c r="L68" s="83" t="s">
        <v>357</v>
      </c>
      <c r="M68" s="214" t="s">
        <v>3527</v>
      </c>
      <c r="N68" s="190">
        <v>2000</v>
      </c>
      <c r="O68" s="195" t="s">
        <v>3529</v>
      </c>
      <c r="P68" s="190"/>
    </row>
    <row r="69" spans="1:16">
      <c r="A69" s="213">
        <v>2121000000104</v>
      </c>
      <c r="B69" s="190"/>
      <c r="C69" s="213">
        <v>2221000000004</v>
      </c>
      <c r="D69" s="193" t="s">
        <v>1073</v>
      </c>
      <c r="E69" s="190" t="b">
        <v>1</v>
      </c>
      <c r="F69" s="190"/>
      <c r="G69" s="190"/>
      <c r="H69" s="193"/>
      <c r="I69" s="190"/>
      <c r="J69" s="190"/>
      <c r="K69" s="193"/>
      <c r="L69" s="87"/>
      <c r="M69" s="214"/>
      <c r="N69" s="190"/>
      <c r="O69" s="324"/>
      <c r="P69" s="190"/>
    </row>
    <row r="70" spans="1:16">
      <c r="A70" s="213"/>
      <c r="B70" s="190"/>
      <c r="C70" s="213"/>
      <c r="D70" s="190"/>
      <c r="E70" s="190"/>
      <c r="F70" s="190"/>
      <c r="G70" s="190"/>
      <c r="H70" s="193">
        <v>1</v>
      </c>
      <c r="I70" s="190" t="s">
        <v>3525</v>
      </c>
      <c r="J70" s="190" t="s">
        <v>3526</v>
      </c>
      <c r="K70" s="194" t="s">
        <v>334</v>
      </c>
      <c r="L70" s="83" t="s">
        <v>357</v>
      </c>
      <c r="M70" s="214" t="s">
        <v>3527</v>
      </c>
      <c r="N70" s="190">
        <v>2800</v>
      </c>
      <c r="O70" s="195" t="s">
        <v>3097</v>
      </c>
      <c r="P70" s="190"/>
    </row>
    <row r="71" spans="1:16">
      <c r="A71" s="213">
        <v>2121000000105</v>
      </c>
      <c r="B71" s="190"/>
      <c r="C71" s="213">
        <v>2221000000004</v>
      </c>
      <c r="D71" s="193" t="s">
        <v>1073</v>
      </c>
      <c r="E71" s="190" t="b">
        <v>1</v>
      </c>
      <c r="F71" s="190"/>
      <c r="G71" s="190"/>
      <c r="H71" s="193"/>
      <c r="I71" s="190"/>
      <c r="J71" s="190"/>
      <c r="K71" s="193"/>
      <c r="L71" s="87"/>
      <c r="M71" s="214"/>
      <c r="N71" s="190"/>
      <c r="O71" s="324"/>
      <c r="P71" s="190"/>
    </row>
    <row r="72" spans="1:16">
      <c r="A72" s="213"/>
      <c r="B72" s="190"/>
      <c r="C72" s="213"/>
      <c r="D72" s="190"/>
      <c r="E72" s="190"/>
      <c r="F72" s="190"/>
      <c r="G72" s="190"/>
      <c r="H72" s="193">
        <v>1</v>
      </c>
      <c r="I72" s="190" t="s">
        <v>3525</v>
      </c>
      <c r="J72" s="190" t="s">
        <v>3526</v>
      </c>
      <c r="K72" s="194" t="s">
        <v>334</v>
      </c>
      <c r="L72" s="83" t="s">
        <v>357</v>
      </c>
      <c r="M72" s="214" t="s">
        <v>3527</v>
      </c>
      <c r="N72" s="190">
        <v>3500</v>
      </c>
      <c r="O72" s="195" t="s">
        <v>3530</v>
      </c>
      <c r="P72" s="190"/>
    </row>
  </sheetData>
  <phoneticPr fontId="4" type="noConversion"/>
  <conditionalFormatting sqref="A1:A3">
    <cfRule type="duplicateValues" dxfId="7" priority="1"/>
  </conditionalFormatting>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21"/>
  <sheetViews>
    <sheetView topLeftCell="G1" workbookViewId="0">
      <selection activeCell="A18" sqref="A18:P19"/>
    </sheetView>
  </sheetViews>
  <sheetFormatPr defaultRowHeight="16.5"/>
  <cols>
    <col min="1" max="1" width="15.625" style="138" bestFit="1" customWidth="1"/>
    <col min="2" max="2" width="5.75" bestFit="1" customWidth="1"/>
    <col min="3" max="3" width="16.125" style="138" bestFit="1" customWidth="1"/>
    <col min="4" max="4" width="13.5" bestFit="1" customWidth="1"/>
    <col min="5" max="5" width="16.625" bestFit="1" customWidth="1"/>
    <col min="6" max="6" width="9.125" bestFit="1" customWidth="1"/>
    <col min="7" max="7" width="8.25" customWidth="1"/>
    <col min="8" max="8" width="8" bestFit="1" customWidth="1"/>
    <col min="9" max="9" width="33.625" bestFit="1" customWidth="1"/>
    <col min="10" max="10" width="32.5" bestFit="1" customWidth="1"/>
    <col min="11" max="11" width="18.125" bestFit="1" customWidth="1"/>
    <col min="12" max="12" width="23.625" bestFit="1" customWidth="1"/>
    <col min="13" max="13" width="27.5" bestFit="1" customWidth="1"/>
    <col min="14" max="14" width="9.375" bestFit="1" customWidth="1"/>
    <col min="15" max="15" width="32.125" customWidth="1"/>
    <col min="16" max="16" width="27.875" bestFit="1" customWidth="1"/>
  </cols>
  <sheetData>
    <row r="1" spans="1:16">
      <c r="A1" s="185" t="s">
        <v>304</v>
      </c>
      <c r="B1" s="164" t="s">
        <v>305</v>
      </c>
      <c r="C1" s="186" t="s">
        <v>306</v>
      </c>
      <c r="D1" s="165" t="s">
        <v>307</v>
      </c>
      <c r="E1" s="166" t="s">
        <v>308</v>
      </c>
      <c r="F1" s="165" t="s">
        <v>636</v>
      </c>
      <c r="G1" s="165" t="s">
        <v>3740</v>
      </c>
      <c r="H1" s="167" t="s">
        <v>309</v>
      </c>
      <c r="I1" s="167" t="s">
        <v>310</v>
      </c>
      <c r="J1" s="167" t="s">
        <v>311</v>
      </c>
      <c r="K1" s="167" t="s">
        <v>312</v>
      </c>
      <c r="L1" s="167" t="s">
        <v>313</v>
      </c>
      <c r="M1" s="167" t="s">
        <v>314</v>
      </c>
      <c r="N1" s="167" t="s">
        <v>315</v>
      </c>
      <c r="O1" s="167" t="s">
        <v>316</v>
      </c>
      <c r="P1" s="9" t="s">
        <v>317</v>
      </c>
    </row>
    <row r="2" spans="1:16">
      <c r="A2" s="185" t="s">
        <v>318</v>
      </c>
      <c r="B2" s="165" t="s">
        <v>3</v>
      </c>
      <c r="C2" s="185" t="s">
        <v>319</v>
      </c>
      <c r="D2" s="165" t="s">
        <v>320</v>
      </c>
      <c r="E2" s="168" t="s">
        <v>321</v>
      </c>
      <c r="F2" s="165" t="s">
        <v>320</v>
      </c>
      <c r="G2" s="165" t="s">
        <v>851</v>
      </c>
      <c r="H2" s="167" t="s">
        <v>322</v>
      </c>
      <c r="I2" s="167" t="s">
        <v>323</v>
      </c>
      <c r="J2" s="167" t="s">
        <v>323</v>
      </c>
      <c r="K2" s="167" t="s">
        <v>324</v>
      </c>
      <c r="L2" s="167" t="s">
        <v>325</v>
      </c>
      <c r="M2" s="167" t="s">
        <v>326</v>
      </c>
      <c r="N2" s="167" t="s">
        <v>322</v>
      </c>
      <c r="O2" s="167" t="s">
        <v>320</v>
      </c>
      <c r="P2" s="9" t="s">
        <v>327</v>
      </c>
    </row>
    <row r="3" spans="1:16">
      <c r="A3" s="185" t="s">
        <v>328</v>
      </c>
      <c r="B3" s="165" t="s">
        <v>3</v>
      </c>
      <c r="C3" s="185" t="s">
        <v>328</v>
      </c>
      <c r="D3" s="165" t="s">
        <v>329</v>
      </c>
      <c r="E3" s="168" t="s">
        <v>4</v>
      </c>
      <c r="F3" s="165" t="s">
        <v>328</v>
      </c>
      <c r="G3" s="165" t="s">
        <v>328</v>
      </c>
      <c r="H3" s="167" t="s">
        <v>328</v>
      </c>
      <c r="I3" s="167" t="s">
        <v>4</v>
      </c>
      <c r="J3" s="167" t="s">
        <v>4</v>
      </c>
      <c r="K3" s="167" t="s">
        <v>328</v>
      </c>
      <c r="L3" s="167" t="s">
        <v>328</v>
      </c>
      <c r="M3" s="167" t="s">
        <v>328</v>
      </c>
      <c r="N3" s="167" t="s">
        <v>328</v>
      </c>
      <c r="O3" s="167" t="s">
        <v>328</v>
      </c>
      <c r="P3" s="9" t="s">
        <v>4</v>
      </c>
    </row>
    <row r="4" spans="1:16" s="24" customFormat="1" ht="13.5">
      <c r="A4" s="213">
        <v>2131000000011</v>
      </c>
      <c r="B4" s="190"/>
      <c r="C4" s="213">
        <v>2241000000001</v>
      </c>
      <c r="D4" s="193" t="s">
        <v>1073</v>
      </c>
      <c r="E4" s="190" t="b">
        <v>1</v>
      </c>
      <c r="F4" s="190"/>
      <c r="G4" s="190"/>
      <c r="H4" s="190"/>
      <c r="I4" s="190"/>
      <c r="J4" s="190"/>
      <c r="K4" s="190"/>
      <c r="L4" s="190"/>
      <c r="M4" s="190"/>
      <c r="N4" s="190"/>
      <c r="O4" s="190"/>
      <c r="P4" s="190"/>
    </row>
    <row r="5" spans="1:16" s="24" customFormat="1" ht="13.5">
      <c r="A5" s="213"/>
      <c r="B5" s="190"/>
      <c r="C5" s="213"/>
      <c r="D5" s="190"/>
      <c r="E5" s="190"/>
      <c r="F5" s="190"/>
      <c r="G5" s="190"/>
      <c r="H5" s="193">
        <v>1</v>
      </c>
      <c r="I5" s="190" t="s">
        <v>3192</v>
      </c>
      <c r="J5" s="190" t="s">
        <v>3192</v>
      </c>
      <c r="K5" s="194" t="s">
        <v>334</v>
      </c>
      <c r="L5" s="83" t="s">
        <v>840</v>
      </c>
      <c r="M5" s="214" t="s">
        <v>367</v>
      </c>
      <c r="N5" s="190">
        <v>50</v>
      </c>
      <c r="O5" s="195" t="s">
        <v>3681</v>
      </c>
      <c r="P5" s="190" t="s">
        <v>2961</v>
      </c>
    </row>
    <row r="6" spans="1:16" s="24" customFormat="1" ht="13.5">
      <c r="A6" s="213">
        <v>2131000000012</v>
      </c>
      <c r="B6" s="190"/>
      <c r="C6" s="213">
        <v>2241000000001</v>
      </c>
      <c r="D6" s="193" t="s">
        <v>1073</v>
      </c>
      <c r="E6" s="190" t="b">
        <v>1</v>
      </c>
      <c r="F6" s="190"/>
      <c r="G6" s="190"/>
      <c r="H6" s="193"/>
      <c r="I6" s="190"/>
      <c r="J6" s="190"/>
      <c r="K6" s="193"/>
      <c r="L6" s="87"/>
      <c r="M6" s="214"/>
      <c r="N6" s="190"/>
      <c r="O6" s="190"/>
      <c r="P6" s="190"/>
    </row>
    <row r="7" spans="1:16" s="24" customFormat="1" ht="13.5">
      <c r="A7" s="213"/>
      <c r="B7" s="190"/>
      <c r="C7" s="213"/>
      <c r="D7" s="190"/>
      <c r="E7" s="190"/>
      <c r="F7" s="190"/>
      <c r="G7" s="190"/>
      <c r="H7" s="193">
        <v>1</v>
      </c>
      <c r="I7" s="190" t="s">
        <v>3195</v>
      </c>
      <c r="J7" s="190" t="s">
        <v>3195</v>
      </c>
      <c r="K7" s="194" t="s">
        <v>334</v>
      </c>
      <c r="L7" s="83" t="s">
        <v>1157</v>
      </c>
      <c r="M7" s="214"/>
      <c r="N7" s="190">
        <v>2</v>
      </c>
      <c r="O7" s="195" t="s">
        <v>3681</v>
      </c>
      <c r="P7" s="190" t="s">
        <v>1259</v>
      </c>
    </row>
    <row r="8" spans="1:16" s="24" customFormat="1" ht="13.5">
      <c r="A8" s="213">
        <v>2131000000013</v>
      </c>
      <c r="B8" s="190"/>
      <c r="C8" s="213">
        <v>2241000000001</v>
      </c>
      <c r="D8" s="193" t="s">
        <v>1073</v>
      </c>
      <c r="E8" s="190" t="b">
        <v>1</v>
      </c>
      <c r="F8" s="190"/>
      <c r="G8" s="190"/>
      <c r="H8" s="193"/>
      <c r="I8" s="190"/>
      <c r="J8" s="190"/>
      <c r="K8" s="193"/>
      <c r="L8" s="87"/>
      <c r="M8" s="214"/>
      <c r="N8" s="190"/>
      <c r="O8" s="190"/>
      <c r="P8" s="190"/>
    </row>
    <row r="9" spans="1:16" s="24" customFormat="1" ht="13.5">
      <c r="A9" s="213"/>
      <c r="B9" s="190"/>
      <c r="C9" s="213"/>
      <c r="D9" s="190"/>
      <c r="E9" s="190"/>
      <c r="F9" s="190"/>
      <c r="G9" s="190"/>
      <c r="H9" s="193">
        <v>1</v>
      </c>
      <c r="I9" s="190" t="s">
        <v>3196</v>
      </c>
      <c r="J9" s="190" t="s">
        <v>3196</v>
      </c>
      <c r="K9" s="194" t="s">
        <v>334</v>
      </c>
      <c r="L9" s="83" t="s">
        <v>778</v>
      </c>
      <c r="M9" s="214" t="s">
        <v>3445</v>
      </c>
      <c r="N9" s="190">
        <v>2</v>
      </c>
      <c r="O9" s="195" t="s">
        <v>3681</v>
      </c>
      <c r="P9" s="190" t="s">
        <v>3535</v>
      </c>
    </row>
    <row r="10" spans="1:16" s="24" customFormat="1" ht="13.5">
      <c r="A10" s="213">
        <v>2131000000014</v>
      </c>
      <c r="B10" s="190"/>
      <c r="C10" s="213">
        <v>2241000000001</v>
      </c>
      <c r="D10" s="193" t="s">
        <v>1073</v>
      </c>
      <c r="E10" s="190" t="b">
        <v>1</v>
      </c>
      <c r="F10" s="190"/>
      <c r="G10" s="190"/>
      <c r="H10" s="193"/>
      <c r="I10" s="190"/>
      <c r="J10" s="190"/>
      <c r="K10" s="193"/>
      <c r="L10" s="87"/>
      <c r="M10" s="214"/>
      <c r="N10" s="190"/>
      <c r="O10" s="190"/>
      <c r="P10" s="190"/>
    </row>
    <row r="11" spans="1:16" s="24" customFormat="1" ht="13.5">
      <c r="A11" s="213"/>
      <c r="B11" s="190"/>
      <c r="C11" s="213"/>
      <c r="D11" s="190"/>
      <c r="E11" s="190"/>
      <c r="F11" s="190"/>
      <c r="G11" s="190"/>
      <c r="H11" s="193">
        <v>1</v>
      </c>
      <c r="I11" s="190" t="s">
        <v>3197</v>
      </c>
      <c r="J11" s="190" t="s">
        <v>3197</v>
      </c>
      <c r="K11" s="194" t="s">
        <v>334</v>
      </c>
      <c r="L11" s="83" t="s">
        <v>778</v>
      </c>
      <c r="M11" s="214" t="s">
        <v>2252</v>
      </c>
      <c r="N11" s="190">
        <v>3</v>
      </c>
      <c r="O11" s="195" t="s">
        <v>3682</v>
      </c>
      <c r="P11" s="190" t="s">
        <v>2264</v>
      </c>
    </row>
    <row r="12" spans="1:16" s="24" customFormat="1" ht="13.5">
      <c r="A12" s="213">
        <v>2131000000015</v>
      </c>
      <c r="B12" s="190"/>
      <c r="C12" s="213">
        <v>2241000000001</v>
      </c>
      <c r="D12" s="193" t="s">
        <v>1073</v>
      </c>
      <c r="E12" s="190" t="b">
        <v>1</v>
      </c>
      <c r="F12" s="190"/>
      <c r="G12" s="190"/>
      <c r="H12" s="193"/>
      <c r="I12" s="190"/>
      <c r="J12" s="190"/>
      <c r="K12" s="193"/>
      <c r="L12" s="87"/>
      <c r="M12" s="214"/>
      <c r="N12" s="190"/>
      <c r="O12" s="190"/>
      <c r="P12" s="190"/>
    </row>
    <row r="13" spans="1:16" s="24" customFormat="1" ht="13.5">
      <c r="A13" s="213"/>
      <c r="B13" s="190"/>
      <c r="C13" s="213"/>
      <c r="D13" s="190"/>
      <c r="E13" s="190"/>
      <c r="F13" s="190"/>
      <c r="G13" s="190"/>
      <c r="H13" s="193">
        <v>1</v>
      </c>
      <c r="I13" s="190" t="s">
        <v>3198</v>
      </c>
      <c r="J13" s="190" t="s">
        <v>3198</v>
      </c>
      <c r="K13" s="194" t="s">
        <v>334</v>
      </c>
      <c r="L13" s="83" t="s">
        <v>777</v>
      </c>
      <c r="M13" s="214" t="s">
        <v>764</v>
      </c>
      <c r="N13" s="190">
        <v>3</v>
      </c>
      <c r="O13" s="195" t="s">
        <v>3683</v>
      </c>
      <c r="P13" s="190" t="s">
        <v>765</v>
      </c>
    </row>
    <row r="14" spans="1:16" s="24" customFormat="1" ht="13.5">
      <c r="A14" s="213">
        <v>2131000000016</v>
      </c>
      <c r="B14" s="190"/>
      <c r="C14" s="213">
        <v>2241000000001</v>
      </c>
      <c r="D14" s="193" t="s">
        <v>1073</v>
      </c>
      <c r="E14" s="190" t="b">
        <v>1</v>
      </c>
      <c r="F14" s="190"/>
      <c r="G14" s="190"/>
      <c r="H14" s="193"/>
      <c r="I14" s="190"/>
      <c r="J14" s="190"/>
      <c r="K14" s="193"/>
      <c r="L14" s="87"/>
      <c r="M14" s="214"/>
      <c r="N14" s="190"/>
      <c r="O14" s="190"/>
      <c r="P14" s="190"/>
    </row>
    <row r="15" spans="1:16" s="24" customFormat="1" ht="13.5">
      <c r="A15" s="213"/>
      <c r="B15" s="190"/>
      <c r="C15" s="213"/>
      <c r="D15" s="190"/>
      <c r="E15" s="190"/>
      <c r="F15" s="190"/>
      <c r="G15" s="190"/>
      <c r="H15" s="193">
        <v>1</v>
      </c>
      <c r="I15" s="190" t="s">
        <v>3194</v>
      </c>
      <c r="J15" s="190" t="s">
        <v>3194</v>
      </c>
      <c r="K15" s="194" t="s">
        <v>334</v>
      </c>
      <c r="L15" s="83" t="s">
        <v>1001</v>
      </c>
      <c r="M15" s="214"/>
      <c r="N15" s="190">
        <v>1</v>
      </c>
      <c r="O15" s="195" t="s">
        <v>3684</v>
      </c>
      <c r="P15" s="190" t="s">
        <v>1144</v>
      </c>
    </row>
    <row r="16" spans="1:16" s="24" customFormat="1" ht="13.5">
      <c r="A16" s="213">
        <v>2131000000017</v>
      </c>
      <c r="B16" s="190"/>
      <c r="C16" s="213">
        <v>2241000000001</v>
      </c>
      <c r="D16" s="193" t="s">
        <v>1073</v>
      </c>
      <c r="E16" s="190" t="b">
        <v>1</v>
      </c>
      <c r="F16" s="190"/>
      <c r="G16" s="190"/>
      <c r="H16" s="193"/>
      <c r="I16" s="190"/>
      <c r="J16" s="190"/>
      <c r="K16" s="193"/>
      <c r="L16" s="87"/>
      <c r="M16" s="214"/>
      <c r="N16" s="190"/>
      <c r="O16" s="190"/>
      <c r="P16" s="190"/>
    </row>
    <row r="17" spans="1:16" s="24" customFormat="1" ht="13.5">
      <c r="A17" s="213"/>
      <c r="B17" s="190"/>
      <c r="C17" s="213"/>
      <c r="D17" s="190"/>
      <c r="E17" s="190"/>
      <c r="F17" s="190"/>
      <c r="G17" s="190"/>
      <c r="H17" s="193">
        <v>1</v>
      </c>
      <c r="I17" s="190" t="s">
        <v>3193</v>
      </c>
      <c r="J17" s="190" t="s">
        <v>3193</v>
      </c>
      <c r="K17" s="194" t="s">
        <v>334</v>
      </c>
      <c r="L17" s="83" t="s">
        <v>778</v>
      </c>
      <c r="M17" s="214" t="s">
        <v>763</v>
      </c>
      <c r="N17" s="190">
        <v>3</v>
      </c>
      <c r="O17" s="195" t="s">
        <v>3739</v>
      </c>
      <c r="P17" s="190" t="s">
        <v>1133</v>
      </c>
    </row>
    <row r="18" spans="1:16">
      <c r="A18" s="213">
        <v>2131000000019</v>
      </c>
      <c r="B18" s="190"/>
      <c r="C18" s="213">
        <v>2241000000001</v>
      </c>
      <c r="D18" s="193" t="s">
        <v>1073</v>
      </c>
      <c r="E18" s="190" t="b">
        <v>1</v>
      </c>
      <c r="F18" s="190"/>
      <c r="G18" s="190"/>
      <c r="H18" s="193"/>
      <c r="I18" s="190"/>
      <c r="J18" s="190"/>
      <c r="K18" s="193"/>
      <c r="L18" s="87"/>
      <c r="M18" s="214"/>
      <c r="N18" s="190"/>
      <c r="O18" s="190"/>
      <c r="P18" s="190"/>
    </row>
    <row r="19" spans="1:16">
      <c r="A19" s="213"/>
      <c r="B19" s="190"/>
      <c r="C19" s="213"/>
      <c r="D19" s="190"/>
      <c r="E19" s="190"/>
      <c r="F19" s="190"/>
      <c r="G19" s="190"/>
      <c r="H19" s="193">
        <v>1</v>
      </c>
      <c r="I19" s="190" t="s">
        <v>3685</v>
      </c>
      <c r="J19" s="190" t="s">
        <v>3685</v>
      </c>
      <c r="K19" s="194" t="s">
        <v>334</v>
      </c>
      <c r="L19" s="83" t="s">
        <v>1231</v>
      </c>
      <c r="M19" s="214"/>
      <c r="N19" s="190">
        <v>2</v>
      </c>
      <c r="O19" s="195" t="s">
        <v>3686</v>
      </c>
      <c r="P19" s="190" t="s">
        <v>3687</v>
      </c>
    </row>
    <row r="20" spans="1:16">
      <c r="A20" s="213">
        <v>2131000000020</v>
      </c>
      <c r="B20" s="190"/>
      <c r="C20" s="213">
        <v>2241000000001</v>
      </c>
      <c r="D20" s="193" t="s">
        <v>1073</v>
      </c>
      <c r="E20" s="190" t="b">
        <v>1</v>
      </c>
      <c r="F20" s="190"/>
      <c r="G20" s="190"/>
      <c r="H20" s="193"/>
      <c r="I20" s="190"/>
      <c r="J20" s="190"/>
      <c r="K20" s="193"/>
      <c r="L20" s="87"/>
      <c r="M20" s="214"/>
      <c r="N20" s="190"/>
      <c r="O20" s="190"/>
      <c r="P20" s="190"/>
    </row>
    <row r="21" spans="1:16">
      <c r="A21" s="213"/>
      <c r="B21" s="190"/>
      <c r="C21" s="213"/>
      <c r="D21" s="190"/>
      <c r="E21" s="190"/>
      <c r="F21" s="190"/>
      <c r="G21" s="190"/>
      <c r="H21" s="193">
        <v>1</v>
      </c>
      <c r="I21" s="190" t="s">
        <v>3688</v>
      </c>
      <c r="J21" s="190" t="s">
        <v>3688</v>
      </c>
      <c r="K21" s="194" t="s">
        <v>334</v>
      </c>
      <c r="L21" s="83" t="s">
        <v>3689</v>
      </c>
      <c r="M21" s="214"/>
      <c r="N21" s="190">
        <v>3</v>
      </c>
      <c r="O21" s="195" t="s">
        <v>3686</v>
      </c>
      <c r="P21" s="190" t="s">
        <v>1165</v>
      </c>
    </row>
  </sheetData>
  <phoneticPr fontId="4" type="noConversion"/>
  <conditionalFormatting sqref="A1:A3">
    <cfRule type="duplicateValues" dxfId="6" priority="1"/>
  </conditionalFormatting>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17"/>
  <sheetViews>
    <sheetView workbookViewId="0">
      <selection activeCell="L12" sqref="A6:L12"/>
    </sheetView>
  </sheetViews>
  <sheetFormatPr defaultRowHeight="16.5"/>
  <cols>
    <col min="1" max="1" width="15.625" style="138" bestFit="1" customWidth="1"/>
    <col min="2" max="2" width="5.75" bestFit="1" customWidth="1"/>
    <col min="3" max="3" width="16.125" style="138" bestFit="1" customWidth="1"/>
    <col min="4" max="4" width="13.5" bestFit="1" customWidth="1"/>
    <col min="5" max="5" width="16.625" bestFit="1" customWidth="1"/>
    <col min="6" max="6" width="9.125" bestFit="1" customWidth="1"/>
    <col min="7" max="7" width="8.25" customWidth="1"/>
    <col min="8" max="8" width="8" bestFit="1" customWidth="1"/>
    <col min="9" max="9" width="33.625" bestFit="1" customWidth="1"/>
    <col min="10" max="10" width="32.5" bestFit="1" customWidth="1"/>
    <col min="11" max="11" width="18.125" bestFit="1" customWidth="1"/>
    <col min="12" max="12" width="23.625" bestFit="1" customWidth="1"/>
    <col min="13" max="13" width="27.5" bestFit="1" customWidth="1"/>
    <col min="14" max="14" width="9.375" bestFit="1" customWidth="1"/>
    <col min="15" max="15" width="32.125" customWidth="1"/>
    <col min="16" max="16" width="27.875" bestFit="1" customWidth="1"/>
  </cols>
  <sheetData>
    <row r="1" spans="1:16">
      <c r="A1" s="185" t="s">
        <v>304</v>
      </c>
      <c r="B1" s="164" t="s">
        <v>305</v>
      </c>
      <c r="C1" s="186" t="s">
        <v>306</v>
      </c>
      <c r="D1" s="165" t="s">
        <v>307</v>
      </c>
      <c r="E1" s="166" t="s">
        <v>308</v>
      </c>
      <c r="F1" s="165" t="s">
        <v>636</v>
      </c>
      <c r="G1" s="165" t="s">
        <v>3740</v>
      </c>
      <c r="H1" s="167" t="s">
        <v>309</v>
      </c>
      <c r="I1" s="167" t="s">
        <v>310</v>
      </c>
      <c r="J1" s="167" t="s">
        <v>311</v>
      </c>
      <c r="K1" s="167" t="s">
        <v>312</v>
      </c>
      <c r="L1" s="167" t="s">
        <v>313</v>
      </c>
      <c r="M1" s="167" t="s">
        <v>314</v>
      </c>
      <c r="N1" s="167" t="s">
        <v>315</v>
      </c>
      <c r="O1" s="167" t="s">
        <v>316</v>
      </c>
      <c r="P1" s="9" t="s">
        <v>317</v>
      </c>
    </row>
    <row r="2" spans="1:16">
      <c r="A2" s="185" t="s">
        <v>318</v>
      </c>
      <c r="B2" s="165" t="s">
        <v>3</v>
      </c>
      <c r="C2" s="185" t="s">
        <v>319</v>
      </c>
      <c r="D2" s="165" t="s">
        <v>320</v>
      </c>
      <c r="E2" s="168" t="s">
        <v>321</v>
      </c>
      <c r="F2" s="165" t="s">
        <v>320</v>
      </c>
      <c r="G2" s="165" t="s">
        <v>851</v>
      </c>
      <c r="H2" s="167" t="s">
        <v>322</v>
      </c>
      <c r="I2" s="167" t="s">
        <v>323</v>
      </c>
      <c r="J2" s="167" t="s">
        <v>323</v>
      </c>
      <c r="K2" s="167" t="s">
        <v>324</v>
      </c>
      <c r="L2" s="167" t="s">
        <v>325</v>
      </c>
      <c r="M2" s="167" t="s">
        <v>326</v>
      </c>
      <c r="N2" s="167" t="s">
        <v>322</v>
      </c>
      <c r="O2" s="167" t="s">
        <v>320</v>
      </c>
      <c r="P2" s="9" t="s">
        <v>327</v>
      </c>
    </row>
    <row r="3" spans="1:16">
      <c r="A3" s="185" t="s">
        <v>328</v>
      </c>
      <c r="B3" s="165" t="s">
        <v>3</v>
      </c>
      <c r="C3" s="185" t="s">
        <v>328</v>
      </c>
      <c r="D3" s="165" t="s">
        <v>329</v>
      </c>
      <c r="E3" s="168" t="s">
        <v>4</v>
      </c>
      <c r="F3" s="165" t="s">
        <v>328</v>
      </c>
      <c r="G3" s="165" t="s">
        <v>328</v>
      </c>
      <c r="H3" s="167" t="s">
        <v>328</v>
      </c>
      <c r="I3" s="167" t="s">
        <v>4</v>
      </c>
      <c r="J3" s="167" t="s">
        <v>4</v>
      </c>
      <c r="K3" s="167" t="s">
        <v>328</v>
      </c>
      <c r="L3" s="167" t="s">
        <v>328</v>
      </c>
      <c r="M3" s="167" t="s">
        <v>328</v>
      </c>
      <c r="N3" s="167" t="s">
        <v>328</v>
      </c>
      <c r="O3" s="167" t="s">
        <v>328</v>
      </c>
      <c r="P3" s="9" t="s">
        <v>4</v>
      </c>
    </row>
    <row r="4" spans="1:16" s="24" customFormat="1" ht="13.5">
      <c r="A4" s="213">
        <v>2141000000011</v>
      </c>
      <c r="B4" s="190"/>
      <c r="C4" s="213">
        <v>2251000000001</v>
      </c>
      <c r="D4" s="193" t="s">
        <v>1073</v>
      </c>
      <c r="E4" s="190" t="b">
        <v>1</v>
      </c>
      <c r="F4" s="190"/>
      <c r="G4" s="190"/>
      <c r="H4" s="190"/>
      <c r="I4" s="190"/>
      <c r="J4" s="190"/>
      <c r="K4" s="190"/>
      <c r="L4" s="190"/>
      <c r="M4" s="190"/>
      <c r="N4" s="190"/>
      <c r="O4" s="190"/>
      <c r="P4" s="190"/>
    </row>
    <row r="5" spans="1:16" s="24" customFormat="1" ht="13.5">
      <c r="A5" s="213"/>
      <c r="B5" s="190"/>
      <c r="C5" s="213"/>
      <c r="D5" s="190"/>
      <c r="E5" s="190"/>
      <c r="F5" s="190"/>
      <c r="G5" s="190"/>
      <c r="H5" s="193">
        <v>1</v>
      </c>
      <c r="I5" s="190" t="s">
        <v>3818</v>
      </c>
      <c r="J5" s="190" t="s">
        <v>3818</v>
      </c>
      <c r="K5" s="194" t="s">
        <v>334</v>
      </c>
      <c r="L5" s="83" t="s">
        <v>3825</v>
      </c>
      <c r="M5" s="214"/>
      <c r="N5" s="190">
        <v>100</v>
      </c>
      <c r="O5" s="195" t="s">
        <v>3832</v>
      </c>
      <c r="P5" s="190"/>
    </row>
    <row r="6" spans="1:16" s="24" customFormat="1" ht="13.5">
      <c r="A6" s="213">
        <v>2141000000012</v>
      </c>
      <c r="B6" s="190"/>
      <c r="C6" s="213">
        <v>2251000000001</v>
      </c>
      <c r="D6" s="193" t="s">
        <v>1073</v>
      </c>
      <c r="E6" s="190" t="b">
        <v>1</v>
      </c>
      <c r="F6" s="190"/>
      <c r="G6" s="190"/>
      <c r="H6" s="193"/>
      <c r="I6" s="190"/>
      <c r="J6" s="190"/>
      <c r="K6" s="193"/>
      <c r="L6" s="87"/>
      <c r="M6" s="214"/>
      <c r="N6" s="190"/>
      <c r="O6" s="190"/>
      <c r="P6" s="190"/>
    </row>
    <row r="7" spans="1:16" s="24" customFormat="1" ht="13.5">
      <c r="A7" s="213"/>
      <c r="B7" s="190"/>
      <c r="C7" s="213"/>
      <c r="D7" s="190"/>
      <c r="E7" s="190"/>
      <c r="F7" s="190"/>
      <c r="G7" s="190"/>
      <c r="H7" s="193">
        <v>1</v>
      </c>
      <c r="I7" s="190" t="s">
        <v>3819</v>
      </c>
      <c r="J7" s="190" t="s">
        <v>3819</v>
      </c>
      <c r="K7" s="194" t="s">
        <v>334</v>
      </c>
      <c r="L7" s="83" t="s">
        <v>3826</v>
      </c>
      <c r="M7" s="214"/>
      <c r="N7" s="190">
        <v>80</v>
      </c>
      <c r="O7" s="195" t="s">
        <v>3836</v>
      </c>
      <c r="P7" s="190"/>
    </row>
    <row r="8" spans="1:16" s="24" customFormat="1" ht="13.5">
      <c r="A8" s="213">
        <v>2141000000013</v>
      </c>
      <c r="B8" s="190"/>
      <c r="C8" s="213">
        <v>2251000000001</v>
      </c>
      <c r="D8" s="193" t="s">
        <v>1073</v>
      </c>
      <c r="E8" s="190" t="b">
        <v>1</v>
      </c>
      <c r="F8" s="190"/>
      <c r="G8" s="190"/>
      <c r="H8" s="193"/>
      <c r="I8" s="190"/>
      <c r="J8" s="190"/>
      <c r="K8" s="193"/>
      <c r="L8" s="87"/>
      <c r="M8" s="214"/>
      <c r="N8" s="190"/>
      <c r="O8" s="190"/>
      <c r="P8" s="190"/>
    </row>
    <row r="9" spans="1:16" s="24" customFormat="1" ht="13.5">
      <c r="A9" s="213"/>
      <c r="B9" s="190"/>
      <c r="C9" s="213"/>
      <c r="D9" s="190"/>
      <c r="E9" s="190"/>
      <c r="F9" s="190"/>
      <c r="G9" s="190"/>
      <c r="H9" s="193">
        <v>1</v>
      </c>
      <c r="I9" s="190" t="s">
        <v>3820</v>
      </c>
      <c r="J9" s="190" t="s">
        <v>3820</v>
      </c>
      <c r="K9" s="194" t="s">
        <v>334</v>
      </c>
      <c r="L9" s="83" t="s">
        <v>3827</v>
      </c>
      <c r="M9" s="214"/>
      <c r="N9" s="190">
        <v>60</v>
      </c>
      <c r="O9" s="195" t="s">
        <v>3836</v>
      </c>
      <c r="P9" s="190"/>
    </row>
    <row r="10" spans="1:16" s="24" customFormat="1" ht="13.5">
      <c r="A10" s="213">
        <v>2141000000014</v>
      </c>
      <c r="B10" s="190"/>
      <c r="C10" s="213">
        <v>2251000000001</v>
      </c>
      <c r="D10" s="193" t="s">
        <v>1073</v>
      </c>
      <c r="E10" s="190" t="b">
        <v>1</v>
      </c>
      <c r="F10" s="190"/>
      <c r="G10" s="190"/>
      <c r="H10" s="193"/>
      <c r="I10" s="190"/>
      <c r="J10" s="190"/>
      <c r="K10" s="193"/>
      <c r="L10" s="87"/>
      <c r="M10" s="214"/>
      <c r="N10" s="190"/>
      <c r="O10" s="190"/>
      <c r="P10" s="190"/>
    </row>
    <row r="11" spans="1:16" s="24" customFormat="1" ht="13.5">
      <c r="A11" s="213"/>
      <c r="B11" s="190"/>
      <c r="C11" s="213"/>
      <c r="D11" s="190"/>
      <c r="E11" s="190"/>
      <c r="F11" s="190"/>
      <c r="G11" s="190"/>
      <c r="H11" s="193">
        <v>1</v>
      </c>
      <c r="I11" s="190" t="s">
        <v>3821</v>
      </c>
      <c r="J11" s="190" t="s">
        <v>3821</v>
      </c>
      <c r="K11" s="194" t="s">
        <v>334</v>
      </c>
      <c r="L11" s="83" t="s">
        <v>3828</v>
      </c>
      <c r="M11" s="214"/>
      <c r="N11" s="190">
        <v>40</v>
      </c>
      <c r="O11" s="195" t="s">
        <v>3835</v>
      </c>
      <c r="P11" s="190"/>
    </row>
    <row r="12" spans="1:16" s="24" customFormat="1" ht="13.5">
      <c r="A12" s="213">
        <v>2141000000015</v>
      </c>
      <c r="B12" s="190"/>
      <c r="C12" s="213">
        <v>2251000000001</v>
      </c>
      <c r="D12" s="193" t="s">
        <v>1073</v>
      </c>
      <c r="E12" s="190" t="b">
        <v>1</v>
      </c>
      <c r="F12" s="190"/>
      <c r="G12" s="190"/>
      <c r="H12" s="193"/>
      <c r="I12" s="190"/>
      <c r="J12" s="190"/>
      <c r="K12" s="193"/>
      <c r="L12" s="87"/>
      <c r="M12" s="214"/>
      <c r="N12" s="190"/>
      <c r="O12" s="190"/>
      <c r="P12" s="190"/>
    </row>
    <row r="13" spans="1:16" s="24" customFormat="1" ht="13.5">
      <c r="A13" s="213"/>
      <c r="B13" s="190"/>
      <c r="C13" s="213"/>
      <c r="D13" s="190"/>
      <c r="E13" s="190"/>
      <c r="F13" s="190"/>
      <c r="G13" s="190"/>
      <c r="H13" s="193">
        <v>1</v>
      </c>
      <c r="I13" s="190" t="s">
        <v>3822</v>
      </c>
      <c r="J13" s="190" t="s">
        <v>3822</v>
      </c>
      <c r="K13" s="194" t="s">
        <v>334</v>
      </c>
      <c r="L13" s="83" t="s">
        <v>3827</v>
      </c>
      <c r="M13" s="214"/>
      <c r="N13" s="190">
        <v>20</v>
      </c>
      <c r="O13" s="195" t="s">
        <v>3835</v>
      </c>
      <c r="P13" s="190"/>
    </row>
    <row r="14" spans="1:16" s="24" customFormat="1" ht="13.5">
      <c r="A14" s="213">
        <v>2141000000016</v>
      </c>
      <c r="B14" s="190"/>
      <c r="C14" s="213">
        <v>2251000000001</v>
      </c>
      <c r="D14" s="193" t="s">
        <v>1073</v>
      </c>
      <c r="E14" s="190" t="b">
        <v>1</v>
      </c>
      <c r="F14" s="190"/>
      <c r="G14" s="190"/>
      <c r="H14" s="193"/>
      <c r="I14" s="190"/>
      <c r="J14" s="190"/>
      <c r="K14" s="193"/>
      <c r="L14" s="87"/>
      <c r="M14" s="214"/>
      <c r="N14" s="190"/>
      <c r="O14" s="190"/>
      <c r="P14" s="190"/>
    </row>
    <row r="15" spans="1:16" s="24" customFormat="1" ht="13.5">
      <c r="A15" s="213"/>
      <c r="B15" s="190"/>
      <c r="C15" s="213"/>
      <c r="D15" s="190"/>
      <c r="E15" s="190"/>
      <c r="F15" s="190"/>
      <c r="G15" s="190"/>
      <c r="H15" s="193">
        <v>1</v>
      </c>
      <c r="I15" s="190" t="s">
        <v>3823</v>
      </c>
      <c r="J15" s="190" t="s">
        <v>3823</v>
      </c>
      <c r="K15" s="194" t="s">
        <v>334</v>
      </c>
      <c r="L15" s="83" t="s">
        <v>3829</v>
      </c>
      <c r="M15" s="214"/>
      <c r="N15" s="190">
        <v>1</v>
      </c>
      <c r="O15" s="195" t="s">
        <v>3834</v>
      </c>
      <c r="P15" s="190"/>
    </row>
    <row r="16" spans="1:16" s="24" customFormat="1" ht="13.5">
      <c r="A16" s="213">
        <v>2141000000017</v>
      </c>
      <c r="B16" s="190"/>
      <c r="C16" s="213">
        <v>2251000000001</v>
      </c>
      <c r="D16" s="193" t="s">
        <v>1073</v>
      </c>
      <c r="E16" s="190" t="b">
        <v>1</v>
      </c>
      <c r="F16" s="190"/>
      <c r="G16" s="190"/>
      <c r="H16" s="193"/>
      <c r="I16" s="190"/>
      <c r="J16" s="190"/>
      <c r="K16" s="193"/>
      <c r="L16" s="87"/>
      <c r="M16" s="214"/>
      <c r="N16" s="190"/>
      <c r="O16" s="190"/>
      <c r="P16" s="190"/>
    </row>
    <row r="17" spans="1:16" s="24" customFormat="1" ht="13.5">
      <c r="A17" s="213"/>
      <c r="B17" s="190"/>
      <c r="C17" s="213"/>
      <c r="D17" s="190"/>
      <c r="E17" s="190"/>
      <c r="F17" s="190"/>
      <c r="G17" s="190"/>
      <c r="H17" s="193">
        <v>1</v>
      </c>
      <c r="I17" s="190" t="s">
        <v>3824</v>
      </c>
      <c r="J17" s="190" t="s">
        <v>3824</v>
      </c>
      <c r="K17" s="194" t="s">
        <v>334</v>
      </c>
      <c r="L17" s="83" t="s">
        <v>3830</v>
      </c>
      <c r="M17" s="214" t="s">
        <v>3831</v>
      </c>
      <c r="N17" s="190">
        <v>10</v>
      </c>
      <c r="O17" s="195" t="s">
        <v>3833</v>
      </c>
      <c r="P17" s="190"/>
    </row>
  </sheetData>
  <phoneticPr fontId="4" type="noConversion"/>
  <conditionalFormatting sqref="A1:A3">
    <cfRule type="duplicateValues" dxfId="5" priority="1"/>
  </conditionalFormatting>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63"/>
  <sheetViews>
    <sheetView workbookViewId="0">
      <selection activeCell="G1" sqref="G1"/>
    </sheetView>
  </sheetViews>
  <sheetFormatPr defaultRowHeight="16.5"/>
  <cols>
    <col min="1" max="1" width="15.625" style="138" bestFit="1" customWidth="1"/>
    <col min="2" max="2" width="5.75" bestFit="1" customWidth="1"/>
    <col min="3" max="3" width="16.125" style="138" bestFit="1" customWidth="1"/>
    <col min="4" max="4" width="13.5" bestFit="1" customWidth="1"/>
    <col min="5" max="5" width="16.625" bestFit="1" customWidth="1"/>
    <col min="6" max="7" width="8.25" customWidth="1"/>
    <col min="8" max="8" width="8" bestFit="1" customWidth="1"/>
    <col min="9" max="9" width="33.625" bestFit="1" customWidth="1"/>
    <col min="10" max="10" width="32.5" bestFit="1" customWidth="1"/>
    <col min="11" max="11" width="18.125" bestFit="1" customWidth="1"/>
    <col min="12" max="12" width="31.125" bestFit="1" customWidth="1"/>
    <col min="13" max="13" width="23.625" bestFit="1" customWidth="1"/>
    <col min="14" max="14" width="27.625" bestFit="1" customWidth="1"/>
    <col min="15" max="15" width="27.5" bestFit="1" customWidth="1"/>
    <col min="16" max="16" width="9.375" bestFit="1" customWidth="1"/>
    <col min="17" max="18" width="32.125" customWidth="1"/>
    <col min="19" max="19" width="27.875" bestFit="1" customWidth="1"/>
  </cols>
  <sheetData>
    <row r="1" spans="1:19">
      <c r="A1" s="185" t="s">
        <v>304</v>
      </c>
      <c r="B1" s="164" t="s">
        <v>305</v>
      </c>
      <c r="C1" s="186" t="s">
        <v>306</v>
      </c>
      <c r="D1" s="165" t="s">
        <v>307</v>
      </c>
      <c r="E1" s="166" t="s">
        <v>308</v>
      </c>
      <c r="F1" s="165" t="s">
        <v>636</v>
      </c>
      <c r="G1" s="165" t="s">
        <v>3740</v>
      </c>
      <c r="H1" s="167" t="s">
        <v>309</v>
      </c>
      <c r="I1" s="167" t="s">
        <v>310</v>
      </c>
      <c r="J1" s="167" t="s">
        <v>311</v>
      </c>
      <c r="K1" s="167" t="s">
        <v>312</v>
      </c>
      <c r="L1" s="167" t="s">
        <v>1122</v>
      </c>
      <c r="M1" s="167" t="s">
        <v>313</v>
      </c>
      <c r="N1" s="167"/>
      <c r="O1" s="167" t="s">
        <v>314</v>
      </c>
      <c r="P1" s="167" t="s">
        <v>315</v>
      </c>
      <c r="Q1" s="167" t="s">
        <v>316</v>
      </c>
      <c r="R1" s="167"/>
      <c r="S1" s="9" t="s">
        <v>317</v>
      </c>
    </row>
    <row r="2" spans="1:19">
      <c r="A2" s="185" t="s">
        <v>318</v>
      </c>
      <c r="B2" s="165" t="s">
        <v>3</v>
      </c>
      <c r="C2" s="185" t="s">
        <v>319</v>
      </c>
      <c r="D2" s="165" t="s">
        <v>320</v>
      </c>
      <c r="E2" s="168" t="s">
        <v>321</v>
      </c>
      <c r="F2" s="165" t="s">
        <v>320</v>
      </c>
      <c r="G2" s="165" t="s">
        <v>851</v>
      </c>
      <c r="H2" s="167" t="s">
        <v>322</v>
      </c>
      <c r="I2" s="167" t="s">
        <v>323</v>
      </c>
      <c r="J2" s="167" t="s">
        <v>323</v>
      </c>
      <c r="K2" s="167" t="s">
        <v>324</v>
      </c>
      <c r="L2" s="167" t="s">
        <v>1122</v>
      </c>
      <c r="M2" s="167" t="s">
        <v>325</v>
      </c>
      <c r="N2" s="167"/>
      <c r="O2" s="167" t="s">
        <v>326</v>
      </c>
      <c r="P2" s="167" t="s">
        <v>322</v>
      </c>
      <c r="Q2" s="167" t="s">
        <v>320</v>
      </c>
      <c r="R2" s="167"/>
      <c r="S2" s="9" t="s">
        <v>327</v>
      </c>
    </row>
    <row r="3" spans="1:19">
      <c r="A3" s="185" t="s">
        <v>328</v>
      </c>
      <c r="B3" s="165" t="s">
        <v>3</v>
      </c>
      <c r="C3" s="185" t="s">
        <v>328</v>
      </c>
      <c r="D3" s="165" t="s">
        <v>329</v>
      </c>
      <c r="E3" s="168" t="s">
        <v>4</v>
      </c>
      <c r="F3" s="165" t="s">
        <v>328</v>
      </c>
      <c r="G3" s="165" t="s">
        <v>328</v>
      </c>
      <c r="H3" s="167" t="s">
        <v>328</v>
      </c>
      <c r="I3" s="167" t="s">
        <v>4</v>
      </c>
      <c r="J3" s="167" t="s">
        <v>4</v>
      </c>
      <c r="K3" s="167" t="s">
        <v>328</v>
      </c>
      <c r="L3" s="167" t="s">
        <v>1122</v>
      </c>
      <c r="M3" s="167" t="s">
        <v>328</v>
      </c>
      <c r="N3" s="167"/>
      <c r="O3" s="167" t="s">
        <v>328</v>
      </c>
      <c r="P3" s="167" t="s">
        <v>328</v>
      </c>
      <c r="Q3" s="167" t="s">
        <v>328</v>
      </c>
      <c r="R3" s="167"/>
      <c r="S3" s="9" t="s">
        <v>4</v>
      </c>
    </row>
    <row r="4" spans="1:19" s="24" customFormat="1" ht="13.5">
      <c r="A4" s="172">
        <v>2231000000002</v>
      </c>
      <c r="C4" s="172">
        <v>2231000000001</v>
      </c>
      <c r="D4" s="80" t="s">
        <v>791</v>
      </c>
      <c r="E4" s="24" t="b">
        <v>1</v>
      </c>
      <c r="K4" s="87"/>
      <c r="L4" s="210"/>
      <c r="M4" s="210"/>
      <c r="N4" s="210"/>
      <c r="O4" s="210"/>
      <c r="Q4" s="40"/>
      <c r="R4" s="210"/>
      <c r="S4" s="210"/>
    </row>
    <row r="5" spans="1:19" s="24" customFormat="1" ht="13.5">
      <c r="A5" s="209"/>
      <c r="C5" s="209"/>
      <c r="H5" s="80" t="s">
        <v>332</v>
      </c>
      <c r="I5" s="24" t="s">
        <v>1442</v>
      </c>
      <c r="J5" s="24" t="s">
        <v>1441</v>
      </c>
      <c r="K5" s="194" t="s">
        <v>334</v>
      </c>
      <c r="L5" s="211" t="s">
        <v>1324</v>
      </c>
      <c r="M5" s="212" t="str">
        <f>VLOOKUP(L5,'#Mission.Set'!$A:$D,2,FALSE)</f>
        <v>ArenaVictory</v>
      </c>
      <c r="N5" s="212" t="str">
        <f>IF(VLOOKUP($L5,'#Mission.Set'!$A:$D,3,FALSE)=0,"",VLOOKUP($L5,'#Mission.Set'!$A:$D,3,FALSE))</f>
        <v>ArenaType : Team</v>
      </c>
      <c r="O5" s="24" t="str">
        <f t="shared" ref="O5" si="0">N5</f>
        <v>ArenaType : Team</v>
      </c>
      <c r="P5" s="24">
        <v>2</v>
      </c>
      <c r="Q5" s="195" t="s">
        <v>1438</v>
      </c>
      <c r="R5" s="212" t="str">
        <f>IF(VLOOKUP($L5,'#Mission.Set'!$A:$D,4,FALSE)=0,"",VLOOKUP($L5,'#Mission.Set'!$A:$D,4,FALSE))</f>
        <v>QuickMove.TeamArena</v>
      </c>
      <c r="S5" s="24" t="str">
        <f t="shared" ref="S5" si="1">R5</f>
        <v>QuickMove.TeamArena</v>
      </c>
    </row>
    <row r="6" spans="1:19" s="24" customFormat="1" ht="13.5">
      <c r="A6" s="172">
        <v>2231000000003</v>
      </c>
      <c r="C6" s="172">
        <v>2231000000001</v>
      </c>
      <c r="D6" s="80" t="s">
        <v>791</v>
      </c>
      <c r="E6" s="24" t="b">
        <v>1</v>
      </c>
      <c r="L6" s="210"/>
      <c r="M6" s="210"/>
      <c r="N6" s="210"/>
      <c r="O6" s="210"/>
      <c r="R6" s="210"/>
      <c r="S6" s="210"/>
    </row>
    <row r="7" spans="1:19" s="24" customFormat="1" ht="13.5">
      <c r="A7" s="209"/>
      <c r="C7" s="209"/>
      <c r="H7" s="80" t="s">
        <v>332</v>
      </c>
      <c r="I7" s="24" t="s">
        <v>1443</v>
      </c>
      <c r="J7" s="24" t="s">
        <v>1441</v>
      </c>
      <c r="K7" s="194" t="s">
        <v>334</v>
      </c>
      <c r="L7" s="211" t="s">
        <v>1382</v>
      </c>
      <c r="M7" s="212" t="str">
        <f>VLOOKUP(L7,'#Mission.Set'!$A:$D,2,FALSE)</f>
        <v>StageClear</v>
      </c>
      <c r="N7" s="212" t="str">
        <f>IF(VLOOKUP($L7,'#Mission.Set'!$A:$D,3,FALSE)=0,"",VLOOKUP($L7,'#Mission.Set'!$A:$D,3,FALSE))</f>
        <v>ContentsType : Dominion</v>
      </c>
      <c r="O7" s="24" t="str">
        <f t="shared" ref="O7" si="2">N7</f>
        <v>ContentsType : Dominion</v>
      </c>
      <c r="P7" s="24">
        <v>10</v>
      </c>
      <c r="Q7" s="195" t="s">
        <v>1438</v>
      </c>
      <c r="R7" s="212" t="str">
        <f>IF(VLOOKUP($L7,'#Mission.Set'!$A:$D,4,FALSE)=0,"",VLOOKUP($L7,'#Mission.Set'!$A:$D,4,FALSE))</f>
        <v>QuickMove.Dominion</v>
      </c>
      <c r="S7" s="24" t="str">
        <f t="shared" ref="S7" si="3">R7</f>
        <v>QuickMove.Dominion</v>
      </c>
    </row>
    <row r="8" spans="1:19" s="24" customFormat="1" ht="13.5">
      <c r="A8" s="172">
        <v>2231000000004</v>
      </c>
      <c r="C8" s="172">
        <v>2231000000001</v>
      </c>
      <c r="D8" s="80" t="s">
        <v>791</v>
      </c>
      <c r="E8" s="24" t="b">
        <v>1</v>
      </c>
      <c r="L8" s="210"/>
      <c r="M8" s="210"/>
      <c r="N8" s="210"/>
      <c r="O8" s="210"/>
      <c r="R8" s="210"/>
      <c r="S8" s="210"/>
    </row>
    <row r="9" spans="1:19" s="24" customFormat="1" ht="13.5">
      <c r="A9" s="209"/>
      <c r="C9" s="209"/>
      <c r="H9" s="80">
        <v>1</v>
      </c>
      <c r="I9" s="24" t="s">
        <v>1444</v>
      </c>
      <c r="J9" s="24" t="s">
        <v>1441</v>
      </c>
      <c r="K9" s="194" t="s">
        <v>334</v>
      </c>
      <c r="L9" s="211" t="s">
        <v>1394</v>
      </c>
      <c r="M9" s="212" t="str">
        <f>VLOOKUP(L9,'#Mission.Set'!$A:$D,2,FALSE)</f>
        <v>StageClear</v>
      </c>
      <c r="N9" s="212" t="str">
        <f>IF(VLOOKUP($L9,'#Mission.Set'!$A:$D,3,FALSE)=0,"",VLOOKUP($L9,'#Mission.Set'!$A:$D,3,FALSE))</f>
        <v>ContentsType : ArenaChallenge</v>
      </c>
      <c r="O9" s="24" t="str">
        <f t="shared" ref="O9" si="4">N9</f>
        <v>ContentsType : ArenaChallenge</v>
      </c>
      <c r="P9" s="24">
        <v>2</v>
      </c>
      <c r="Q9" s="195" t="s">
        <v>1438</v>
      </c>
      <c r="R9" s="212" t="str">
        <f>IF(VLOOKUP($L9,'#Mission.Set'!$A:$D,4,FALSE)=0,"",VLOOKUP($L9,'#Mission.Set'!$A:$D,4,FALSE))</f>
        <v>QuickMove0510</v>
      </c>
      <c r="S9" s="24" t="str">
        <f t="shared" ref="S9" si="5">R9</f>
        <v>QuickMove0510</v>
      </c>
    </row>
    <row r="10" spans="1:19" s="24" customFormat="1" ht="13.5">
      <c r="A10" s="172">
        <v>2231000000005</v>
      </c>
      <c r="C10" s="172">
        <v>2231000000001</v>
      </c>
      <c r="D10" s="80" t="s">
        <v>791</v>
      </c>
      <c r="E10" s="24" t="b">
        <v>1</v>
      </c>
      <c r="L10" s="210"/>
      <c r="M10" s="210"/>
      <c r="N10" s="210"/>
      <c r="O10" s="210"/>
      <c r="R10" s="210"/>
      <c r="S10" s="210"/>
    </row>
    <row r="11" spans="1:19" s="24" customFormat="1" ht="13.5">
      <c r="A11" s="209"/>
      <c r="C11" s="209"/>
      <c r="H11" s="80" t="s">
        <v>332</v>
      </c>
      <c r="I11" s="24" t="s">
        <v>1445</v>
      </c>
      <c r="J11" s="24" t="s">
        <v>1441</v>
      </c>
      <c r="K11" s="194" t="s">
        <v>334</v>
      </c>
      <c r="L11" s="211" t="s">
        <v>1386</v>
      </c>
      <c r="M11" s="212" t="str">
        <f>VLOOKUP(L11,'#Mission.Set'!$A:$D,2,FALSE)</f>
        <v>StagePlay</v>
      </c>
      <c r="N11" s="212" t="str">
        <f>IF(VLOOKUP($L11,'#Mission.Set'!$A:$D,3,FALSE)=0,"",VLOOKUP($L11,'#Mission.Set'!$A:$D,3,FALSE))</f>
        <v>ContentsType : GuildAssault</v>
      </c>
      <c r="O11" s="24" t="str">
        <f t="shared" ref="O11" si="6">N11</f>
        <v>ContentsType : GuildAssault</v>
      </c>
      <c r="P11" s="24">
        <v>4</v>
      </c>
      <c r="Q11" s="195" t="s">
        <v>1438</v>
      </c>
      <c r="R11" s="212" t="str">
        <f>IF(VLOOKUP($L11,'#Mission.Set'!$A:$D,4,FALSE)=0,"",VLOOKUP($L11,'#Mission.Set'!$A:$D,4,FALSE))</f>
        <v>QuickMove.GuildAssault</v>
      </c>
      <c r="S11" s="24" t="str">
        <f t="shared" ref="S11" si="7">R11</f>
        <v>QuickMove.GuildAssault</v>
      </c>
    </row>
    <row r="12" spans="1:19" s="24" customFormat="1" ht="13.5">
      <c r="A12" s="172">
        <v>2231000000006</v>
      </c>
      <c r="C12" s="172">
        <v>2231000000001</v>
      </c>
      <c r="D12" s="80" t="s">
        <v>791</v>
      </c>
      <c r="E12" s="24" t="b">
        <v>1</v>
      </c>
      <c r="L12" s="210"/>
      <c r="M12" s="210"/>
      <c r="N12" s="210"/>
      <c r="O12" s="210"/>
      <c r="R12" s="210"/>
      <c r="S12" s="210"/>
    </row>
    <row r="13" spans="1:19" s="24" customFormat="1" ht="13.5">
      <c r="A13" s="209"/>
      <c r="C13" s="209"/>
      <c r="H13" s="80" t="s">
        <v>332</v>
      </c>
      <c r="I13" s="24" t="s">
        <v>1446</v>
      </c>
      <c r="J13" s="24" t="s">
        <v>1441</v>
      </c>
      <c r="K13" s="194" t="s">
        <v>334</v>
      </c>
      <c r="L13" s="211" t="s">
        <v>1366</v>
      </c>
      <c r="M13" s="212" t="str">
        <f>VLOOKUP(L13,'#Mission.Set'!$A:$D,2,FALSE)</f>
        <v>StagePlay</v>
      </c>
      <c r="N13" s="212" t="str">
        <f>IF(VLOOKUP($L13,'#Mission.Set'!$A:$D,3,FALSE)=0,"",VLOOKUP($L13,'#Mission.Set'!$A:$D,3,FALSE))</f>
        <v>ContentsType : WorldRaid</v>
      </c>
      <c r="O13" s="24" t="str">
        <f t="shared" ref="O13" si="8">N13</f>
        <v>ContentsType : WorldRaid</v>
      </c>
      <c r="P13" s="24">
        <v>6</v>
      </c>
      <c r="Q13" s="195" t="s">
        <v>1438</v>
      </c>
      <c r="R13" s="212" t="str">
        <f>IF(VLOOKUP($L13,'#Mission.Set'!$A:$D,4,FALSE)=0,"",VLOOKUP($L13,'#Mission.Set'!$A:$D,4,FALSE))</f>
        <v>QuickMove.WorldRaid</v>
      </c>
      <c r="S13" s="24" t="str">
        <f t="shared" ref="S13" si="9">R13</f>
        <v>QuickMove.WorldRaid</v>
      </c>
    </row>
    <row r="14" spans="1:19" s="24" customFormat="1" ht="13.5">
      <c r="A14" s="172">
        <v>2231000000008</v>
      </c>
      <c r="C14" s="172">
        <v>2231000000001</v>
      </c>
      <c r="D14" s="80" t="s">
        <v>791</v>
      </c>
      <c r="E14" s="24" t="b">
        <v>1</v>
      </c>
      <c r="L14" s="210"/>
      <c r="M14" s="210"/>
      <c r="N14" s="210"/>
      <c r="O14" s="210"/>
      <c r="R14" s="210"/>
      <c r="S14" s="210"/>
    </row>
    <row r="15" spans="1:19" s="24" customFormat="1" ht="13.5">
      <c r="A15" s="209"/>
      <c r="C15" s="209"/>
      <c r="H15" s="80">
        <v>1</v>
      </c>
      <c r="I15" s="24" t="s">
        <v>1447</v>
      </c>
      <c r="J15" s="24" t="s">
        <v>1441</v>
      </c>
      <c r="K15" s="194" t="s">
        <v>334</v>
      </c>
      <c r="L15" s="211" t="s">
        <v>1324</v>
      </c>
      <c r="M15" s="212" t="str">
        <f>VLOOKUP(L15,'#Mission.Set'!$A:$D,2,FALSE)</f>
        <v>ArenaVictory</v>
      </c>
      <c r="N15" s="212" t="str">
        <f>IF(VLOOKUP($L15,'#Mission.Set'!$A:$D,3,FALSE)=0,"",VLOOKUP($L15,'#Mission.Set'!$A:$D,3,FALSE))</f>
        <v>ArenaType : Team</v>
      </c>
      <c r="O15" s="24" t="str">
        <f t="shared" ref="O15" si="10">N15</f>
        <v>ArenaType : Team</v>
      </c>
      <c r="P15" s="24">
        <v>10</v>
      </c>
      <c r="Q15" s="195" t="s">
        <v>1440</v>
      </c>
      <c r="R15" s="212" t="str">
        <f>IF(VLOOKUP($L15,'#Mission.Set'!$A:$D,4,FALSE)=0,"",VLOOKUP($L15,'#Mission.Set'!$A:$D,4,FALSE))</f>
        <v>QuickMove.TeamArena</v>
      </c>
      <c r="S15" s="24" t="str">
        <f t="shared" ref="S15" si="11">R15</f>
        <v>QuickMove.TeamArena</v>
      </c>
    </row>
    <row r="16" spans="1:19" s="24" customFormat="1" ht="13.5">
      <c r="A16" s="172">
        <v>2231000000009</v>
      </c>
      <c r="C16" s="172">
        <v>2231000000001</v>
      </c>
      <c r="D16" s="80" t="s">
        <v>791</v>
      </c>
      <c r="E16" s="24" t="b">
        <v>1</v>
      </c>
      <c r="L16" s="210"/>
      <c r="M16" s="210"/>
      <c r="N16" s="210"/>
      <c r="O16" s="210"/>
      <c r="R16" s="210"/>
      <c r="S16" s="210"/>
    </row>
    <row r="17" spans="1:19" s="24" customFormat="1" ht="13.5">
      <c r="A17" s="209"/>
      <c r="C17" s="209"/>
      <c r="H17" s="80" t="s">
        <v>332</v>
      </c>
      <c r="I17" s="24" t="s">
        <v>1448</v>
      </c>
      <c r="J17" s="24" t="s">
        <v>1441</v>
      </c>
      <c r="K17" s="194" t="s">
        <v>334</v>
      </c>
      <c r="L17" s="211" t="s">
        <v>1382</v>
      </c>
      <c r="M17" s="212" t="str">
        <f>VLOOKUP(L17,'#Mission.Set'!$A:$D,2,FALSE)</f>
        <v>StageClear</v>
      </c>
      <c r="N17" s="212" t="str">
        <f>IF(VLOOKUP($L17,'#Mission.Set'!$A:$D,3,FALSE)=0,"",VLOOKUP($L17,'#Mission.Set'!$A:$D,3,FALSE))</f>
        <v>ContentsType : Dominion</v>
      </c>
      <c r="O17" s="24" t="str">
        <f t="shared" ref="O17" si="12">N17</f>
        <v>ContentsType : Dominion</v>
      </c>
      <c r="P17" s="24">
        <v>40</v>
      </c>
      <c r="Q17" s="195" t="s">
        <v>1440</v>
      </c>
      <c r="R17" s="212" t="str">
        <f>IF(VLOOKUP($L17,'#Mission.Set'!$A:$D,4,FALSE)=0,"",VLOOKUP($L17,'#Mission.Set'!$A:$D,4,FALSE))</f>
        <v>QuickMove.Dominion</v>
      </c>
      <c r="S17" s="24" t="str">
        <f t="shared" ref="S17" si="13">R17</f>
        <v>QuickMove.Dominion</v>
      </c>
    </row>
    <row r="18" spans="1:19" s="24" customFormat="1" ht="13.5">
      <c r="A18" s="172">
        <v>2231000000010</v>
      </c>
      <c r="C18" s="172">
        <v>2231000000001</v>
      </c>
      <c r="D18" s="80" t="s">
        <v>791</v>
      </c>
      <c r="E18" s="24" t="b">
        <v>1</v>
      </c>
      <c r="L18" s="210"/>
      <c r="M18" s="210"/>
      <c r="N18" s="210"/>
      <c r="O18" s="210"/>
      <c r="R18" s="210"/>
      <c r="S18" s="210"/>
    </row>
    <row r="19" spans="1:19" s="24" customFormat="1" ht="13.5">
      <c r="A19" s="209"/>
      <c r="C19" s="209"/>
      <c r="H19" s="80" t="s">
        <v>332</v>
      </c>
      <c r="I19" s="24" t="s">
        <v>1449</v>
      </c>
      <c r="J19" s="24" t="s">
        <v>1441</v>
      </c>
      <c r="K19" s="194" t="s">
        <v>334</v>
      </c>
      <c r="L19" s="211" t="s">
        <v>1394</v>
      </c>
      <c r="M19" s="212" t="str">
        <f>VLOOKUP(L19,'#Mission.Set'!$A:$D,2,FALSE)</f>
        <v>StageClear</v>
      </c>
      <c r="N19" s="212" t="str">
        <f>IF(VLOOKUP($L19,'#Mission.Set'!$A:$D,3,FALSE)=0,"",VLOOKUP($L19,'#Mission.Set'!$A:$D,3,FALSE))</f>
        <v>ContentsType : ArenaChallenge</v>
      </c>
      <c r="O19" s="24" t="str">
        <f t="shared" ref="O19" si="14">N19</f>
        <v>ContentsType : ArenaChallenge</v>
      </c>
      <c r="P19" s="24">
        <v>6</v>
      </c>
      <c r="Q19" s="195" t="s">
        <v>1439</v>
      </c>
      <c r="R19" s="212" t="str">
        <f>IF(VLOOKUP($L19,'#Mission.Set'!$A:$D,4,FALSE)=0,"",VLOOKUP($L19,'#Mission.Set'!$A:$D,4,FALSE))</f>
        <v>QuickMove0510</v>
      </c>
      <c r="S19" s="24" t="str">
        <f t="shared" ref="S19" si="15">R19</f>
        <v>QuickMove0510</v>
      </c>
    </row>
    <row r="20" spans="1:19" s="24" customFormat="1" ht="13.5">
      <c r="A20" s="172">
        <v>2231000000011</v>
      </c>
      <c r="C20" s="172">
        <v>2231000000001</v>
      </c>
      <c r="D20" s="80" t="s">
        <v>791</v>
      </c>
      <c r="E20" s="24" t="b">
        <v>1</v>
      </c>
      <c r="L20" s="210"/>
      <c r="M20" s="210"/>
      <c r="N20" s="210"/>
      <c r="O20" s="210"/>
      <c r="R20" s="210"/>
      <c r="S20" s="210"/>
    </row>
    <row r="21" spans="1:19" s="24" customFormat="1" ht="13.5">
      <c r="A21" s="209"/>
      <c r="C21" s="209"/>
      <c r="H21" s="80" t="s">
        <v>332</v>
      </c>
      <c r="I21" s="24" t="s">
        <v>1450</v>
      </c>
      <c r="J21" s="24" t="s">
        <v>1441</v>
      </c>
      <c r="K21" s="194" t="s">
        <v>334</v>
      </c>
      <c r="L21" s="211" t="s">
        <v>1386</v>
      </c>
      <c r="M21" s="212" t="str">
        <f>VLOOKUP(L21,'#Mission.Set'!$A:$D,2,FALSE)</f>
        <v>StagePlay</v>
      </c>
      <c r="N21" s="212" t="str">
        <f>IF(VLOOKUP($L21,'#Mission.Set'!$A:$D,3,FALSE)=0,"",VLOOKUP($L21,'#Mission.Set'!$A:$D,3,FALSE))</f>
        <v>ContentsType : GuildAssault</v>
      </c>
      <c r="O21" s="24" t="str">
        <f t="shared" ref="O21" si="16">N21</f>
        <v>ContentsType : GuildAssault</v>
      </c>
      <c r="P21" s="24">
        <v>10</v>
      </c>
      <c r="Q21" s="195" t="s">
        <v>1439</v>
      </c>
      <c r="R21" s="212" t="str">
        <f>IF(VLOOKUP($L21,'#Mission.Set'!$A:$D,4,FALSE)=0,"",VLOOKUP($L21,'#Mission.Set'!$A:$D,4,FALSE))</f>
        <v>QuickMove.GuildAssault</v>
      </c>
      <c r="S21" s="24" t="str">
        <f t="shared" ref="S21" si="17">R21</f>
        <v>QuickMove.GuildAssault</v>
      </c>
    </row>
    <row r="22" spans="1:19" s="24" customFormat="1" ht="13.5">
      <c r="A22" s="172">
        <v>2231000000012</v>
      </c>
      <c r="C22" s="172">
        <v>2231000000001</v>
      </c>
      <c r="D22" s="80" t="s">
        <v>791</v>
      </c>
      <c r="E22" s="24" t="b">
        <v>1</v>
      </c>
      <c r="L22" s="210"/>
      <c r="M22" s="210"/>
      <c r="N22" s="210"/>
      <c r="O22" s="210"/>
      <c r="R22" s="210"/>
      <c r="S22" s="210"/>
    </row>
    <row r="23" spans="1:19" s="24" customFormat="1" ht="13.5">
      <c r="A23" s="209"/>
      <c r="C23" s="209"/>
      <c r="H23" s="80">
        <v>1</v>
      </c>
      <c r="I23" s="24" t="s">
        <v>1451</v>
      </c>
      <c r="J23" s="24" t="s">
        <v>1441</v>
      </c>
      <c r="K23" s="194" t="s">
        <v>334</v>
      </c>
      <c r="L23" s="211" t="s">
        <v>1366</v>
      </c>
      <c r="M23" s="212" t="str">
        <f>VLOOKUP(L23,'#Mission.Set'!$A:$D,2,FALSE)</f>
        <v>StagePlay</v>
      </c>
      <c r="N23" s="212" t="str">
        <f>IF(VLOOKUP($L23,'#Mission.Set'!$A:$D,3,FALSE)=0,"",VLOOKUP($L23,'#Mission.Set'!$A:$D,3,FALSE))</f>
        <v>ContentsType : WorldRaid</v>
      </c>
      <c r="O23" s="24" t="str">
        <f t="shared" ref="O23" si="18">N23</f>
        <v>ContentsType : WorldRaid</v>
      </c>
      <c r="P23" s="24">
        <v>10</v>
      </c>
      <c r="Q23" s="195" t="s">
        <v>1439</v>
      </c>
      <c r="R23" s="212" t="str">
        <f>IF(VLOOKUP($L23,'#Mission.Set'!$A:$D,4,FALSE)=0,"",VLOOKUP($L23,'#Mission.Set'!$A:$D,4,FALSE))</f>
        <v>QuickMove.WorldRaid</v>
      </c>
      <c r="S23" s="24" t="str">
        <f t="shared" ref="S23" si="19">R23</f>
        <v>QuickMove.WorldRaid</v>
      </c>
    </row>
    <row r="24" spans="1:19">
      <c r="A24" s="172">
        <v>2231000000014</v>
      </c>
      <c r="B24" s="24"/>
      <c r="C24" s="172">
        <v>2231000000001</v>
      </c>
      <c r="D24" s="80" t="s">
        <v>791</v>
      </c>
      <c r="E24" s="24" t="b">
        <v>1</v>
      </c>
      <c r="F24" s="24"/>
      <c r="G24" s="24"/>
      <c r="H24" s="24"/>
      <c r="I24" s="24"/>
      <c r="J24" s="24"/>
      <c r="K24" s="24"/>
      <c r="L24" s="210"/>
      <c r="M24" s="210"/>
      <c r="N24" s="210"/>
      <c r="O24" s="210"/>
      <c r="P24" s="24"/>
      <c r="Q24" s="24"/>
      <c r="R24" s="210"/>
      <c r="S24" s="210"/>
    </row>
    <row r="25" spans="1:19">
      <c r="A25" s="209"/>
      <c r="B25" s="24"/>
      <c r="C25" s="209"/>
      <c r="D25" s="24"/>
      <c r="E25" s="24"/>
      <c r="F25" s="24"/>
      <c r="G25" s="24"/>
      <c r="H25" s="80" t="s">
        <v>332</v>
      </c>
      <c r="I25" s="24" t="s">
        <v>1452</v>
      </c>
      <c r="J25" s="24" t="s">
        <v>1441</v>
      </c>
      <c r="K25" s="194" t="s">
        <v>334</v>
      </c>
      <c r="L25" s="211" t="s">
        <v>1324</v>
      </c>
      <c r="M25" s="212" t="str">
        <f>VLOOKUP(L25,'#Mission.Set'!$A:$D,2,FALSE)</f>
        <v>ArenaVictory</v>
      </c>
      <c r="N25" s="212" t="str">
        <f>IF(VLOOKUP($L25,'#Mission.Set'!$A:$D,3,FALSE)=0,"",VLOOKUP($L25,'#Mission.Set'!$A:$D,3,FALSE))</f>
        <v>ArenaType : Team</v>
      </c>
      <c r="O25" s="24" t="str">
        <f t="shared" ref="O25" si="20">N25</f>
        <v>ArenaType : Team</v>
      </c>
      <c r="P25" s="24">
        <v>25</v>
      </c>
      <c r="Q25" s="195" t="s">
        <v>1439</v>
      </c>
      <c r="R25" s="212" t="str">
        <f>IF(VLOOKUP($L25,'#Mission.Set'!$A:$D,4,FALSE)=0,"",VLOOKUP($L25,'#Mission.Set'!$A:$D,4,FALSE))</f>
        <v>QuickMove.TeamArena</v>
      </c>
      <c r="S25" s="24" t="str">
        <f t="shared" ref="S25" si="21">R25</f>
        <v>QuickMove.TeamArena</v>
      </c>
    </row>
    <row r="26" spans="1:19">
      <c r="A26" s="172">
        <v>2231000000015</v>
      </c>
      <c r="B26" s="24"/>
      <c r="C26" s="172">
        <v>2231000000001</v>
      </c>
      <c r="D26" s="80" t="s">
        <v>791</v>
      </c>
      <c r="E26" s="24" t="b">
        <v>1</v>
      </c>
      <c r="F26" s="24"/>
      <c r="G26" s="24"/>
      <c r="H26" s="24"/>
      <c r="I26" s="24"/>
      <c r="J26" s="24"/>
      <c r="K26" s="24"/>
      <c r="L26" s="210"/>
      <c r="M26" s="210"/>
      <c r="N26" s="210"/>
      <c r="O26" s="210"/>
      <c r="P26" s="24"/>
      <c r="Q26" s="24"/>
      <c r="R26" s="210"/>
      <c r="S26" s="210"/>
    </row>
    <row r="27" spans="1:19">
      <c r="A27" s="209"/>
      <c r="B27" s="24"/>
      <c r="C27" s="209"/>
      <c r="D27" s="24"/>
      <c r="E27" s="24"/>
      <c r="F27" s="24"/>
      <c r="G27" s="24"/>
      <c r="H27" s="80" t="s">
        <v>332</v>
      </c>
      <c r="I27" s="24" t="s">
        <v>1453</v>
      </c>
      <c r="J27" s="24" t="s">
        <v>1441</v>
      </c>
      <c r="K27" s="194" t="s">
        <v>334</v>
      </c>
      <c r="L27" s="211" t="s">
        <v>1382</v>
      </c>
      <c r="M27" s="212" t="str">
        <f>VLOOKUP(L27,'#Mission.Set'!$A:$D,2,FALSE)</f>
        <v>StageClear</v>
      </c>
      <c r="N27" s="212" t="str">
        <f>IF(VLOOKUP($L27,'#Mission.Set'!$A:$D,3,FALSE)=0,"",VLOOKUP($L27,'#Mission.Set'!$A:$D,3,FALSE))</f>
        <v>ContentsType : Dominion</v>
      </c>
      <c r="O27" s="24" t="str">
        <f t="shared" ref="O27" si="22">N27</f>
        <v>ContentsType : Dominion</v>
      </c>
      <c r="P27" s="24">
        <v>95</v>
      </c>
      <c r="Q27" s="195" t="s">
        <v>1439</v>
      </c>
      <c r="R27" s="212" t="str">
        <f>IF(VLOOKUP($L27,'#Mission.Set'!$A:$D,4,FALSE)=0,"",VLOOKUP($L27,'#Mission.Set'!$A:$D,4,FALSE))</f>
        <v>QuickMove.Dominion</v>
      </c>
      <c r="S27" s="24" t="str">
        <f t="shared" ref="S27" si="23">R27</f>
        <v>QuickMove.Dominion</v>
      </c>
    </row>
    <row r="28" spans="1:19">
      <c r="A28" s="172">
        <v>2231000000016</v>
      </c>
      <c r="B28" s="24"/>
      <c r="C28" s="172">
        <v>2231000000001</v>
      </c>
      <c r="D28" s="80" t="s">
        <v>791</v>
      </c>
      <c r="E28" s="24" t="b">
        <v>1</v>
      </c>
      <c r="F28" s="24"/>
      <c r="G28" s="24"/>
      <c r="H28" s="24"/>
      <c r="I28" s="24"/>
      <c r="J28" s="24"/>
      <c r="K28" s="24"/>
      <c r="L28" s="210"/>
      <c r="M28" s="210"/>
      <c r="N28" s="210"/>
      <c r="O28" s="210"/>
      <c r="P28" s="24"/>
      <c r="Q28" s="24"/>
      <c r="R28" s="210"/>
      <c r="S28" s="210"/>
    </row>
    <row r="29" spans="1:19">
      <c r="A29" s="172"/>
      <c r="B29" s="24"/>
      <c r="C29" s="172"/>
      <c r="D29" s="24"/>
      <c r="E29" s="24"/>
      <c r="F29" s="24"/>
      <c r="G29" s="24"/>
      <c r="H29" s="80">
        <v>1</v>
      </c>
      <c r="I29" s="24" t="s">
        <v>1454</v>
      </c>
      <c r="J29" s="24" t="s">
        <v>1441</v>
      </c>
      <c r="K29" s="194" t="s">
        <v>334</v>
      </c>
      <c r="L29" s="211" t="s">
        <v>1394</v>
      </c>
      <c r="M29" s="212" t="str">
        <f>VLOOKUP(L29,'#Mission.Set'!$A:$D,2,FALSE)</f>
        <v>StageClear</v>
      </c>
      <c r="N29" s="212" t="str">
        <f>IF(VLOOKUP($L29,'#Mission.Set'!$A:$D,3,FALSE)=0,"",VLOOKUP($L29,'#Mission.Set'!$A:$D,3,FALSE))</f>
        <v>ContentsType : ArenaChallenge</v>
      </c>
      <c r="O29" s="24" t="str">
        <f t="shared" ref="O29" si="24">N29</f>
        <v>ContentsType : ArenaChallenge</v>
      </c>
      <c r="P29" s="24">
        <v>10</v>
      </c>
      <c r="Q29" s="195" t="s">
        <v>1439</v>
      </c>
      <c r="R29" s="212" t="str">
        <f>IF(VLOOKUP($L29,'#Mission.Set'!$A:$D,4,FALSE)=0,"",VLOOKUP($L29,'#Mission.Set'!$A:$D,4,FALSE))</f>
        <v>QuickMove0510</v>
      </c>
      <c r="S29" s="24" t="str">
        <f t="shared" ref="S29" si="25">R29</f>
        <v>QuickMove0510</v>
      </c>
    </row>
    <row r="30" spans="1:19">
      <c r="A30" s="172">
        <v>2231000000017</v>
      </c>
      <c r="B30" s="24"/>
      <c r="C30" s="172">
        <v>2231000000001</v>
      </c>
      <c r="D30" s="80" t="s">
        <v>791</v>
      </c>
      <c r="E30" s="24" t="b">
        <v>1</v>
      </c>
      <c r="F30" s="24"/>
      <c r="G30" s="24"/>
      <c r="H30" s="24"/>
      <c r="I30" s="24"/>
      <c r="J30" s="24"/>
      <c r="K30" s="24"/>
      <c r="L30" s="210"/>
      <c r="M30" s="210"/>
      <c r="N30" s="210"/>
      <c r="O30" s="210"/>
      <c r="P30" s="24"/>
      <c r="Q30" s="24"/>
      <c r="R30" s="210"/>
      <c r="S30" s="210"/>
    </row>
    <row r="31" spans="1:19">
      <c r="A31" s="209"/>
      <c r="B31" s="24"/>
      <c r="C31" s="209"/>
      <c r="D31" s="24"/>
      <c r="E31" s="24"/>
      <c r="F31" s="24"/>
      <c r="G31" s="24"/>
      <c r="H31" s="80" t="s">
        <v>332</v>
      </c>
      <c r="I31" s="24" t="s">
        <v>1455</v>
      </c>
      <c r="J31" s="24" t="s">
        <v>1441</v>
      </c>
      <c r="K31" s="194" t="s">
        <v>334</v>
      </c>
      <c r="L31" s="211" t="s">
        <v>1386</v>
      </c>
      <c r="M31" s="212" t="str">
        <f>VLOOKUP(L31,'#Mission.Set'!$A:$D,2,FALSE)</f>
        <v>StagePlay</v>
      </c>
      <c r="N31" s="212" t="str">
        <f>IF(VLOOKUP($L31,'#Mission.Set'!$A:$D,3,FALSE)=0,"",VLOOKUP($L31,'#Mission.Set'!$A:$D,3,FALSE))</f>
        <v>ContentsType : GuildAssault</v>
      </c>
      <c r="O31" s="24" t="str">
        <f t="shared" ref="O31" si="26">N31</f>
        <v>ContentsType : GuildAssault</v>
      </c>
      <c r="P31" s="24">
        <v>20</v>
      </c>
      <c r="Q31" s="195" t="s">
        <v>1439</v>
      </c>
      <c r="R31" s="212" t="str">
        <f>IF(VLOOKUP($L31,'#Mission.Set'!$A:$D,4,FALSE)=0,"",VLOOKUP($L31,'#Mission.Set'!$A:$D,4,FALSE))</f>
        <v>QuickMove.GuildAssault</v>
      </c>
      <c r="S31" s="24" t="str">
        <f t="shared" ref="S31" si="27">R31</f>
        <v>QuickMove.GuildAssault</v>
      </c>
    </row>
    <row r="32" spans="1:19">
      <c r="A32" s="172">
        <v>2231000000018</v>
      </c>
      <c r="B32" s="24"/>
      <c r="C32" s="172">
        <v>2231000000001</v>
      </c>
      <c r="D32" s="80" t="s">
        <v>791</v>
      </c>
      <c r="E32" s="24" t="b">
        <v>1</v>
      </c>
      <c r="F32" s="24"/>
      <c r="G32" s="24"/>
      <c r="H32" s="24"/>
      <c r="I32" s="24"/>
      <c r="J32" s="24"/>
      <c r="K32" s="24"/>
      <c r="L32" s="210"/>
      <c r="M32" s="210"/>
      <c r="N32" s="210"/>
      <c r="O32" s="210"/>
      <c r="P32" s="24"/>
      <c r="Q32" s="24"/>
      <c r="R32" s="210"/>
      <c r="S32" s="210"/>
    </row>
    <row r="33" spans="1:19">
      <c r="A33" s="209"/>
      <c r="B33" s="24"/>
      <c r="C33" s="209"/>
      <c r="H33" s="80" t="s">
        <v>332</v>
      </c>
      <c r="I33" s="24" t="s">
        <v>1456</v>
      </c>
      <c r="J33" s="24" t="s">
        <v>1441</v>
      </c>
      <c r="K33" s="194" t="s">
        <v>334</v>
      </c>
      <c r="L33" s="211" t="s">
        <v>1366</v>
      </c>
      <c r="M33" s="212" t="str">
        <f>VLOOKUP(L33,'#Mission.Set'!$A:$D,2,FALSE)</f>
        <v>StagePlay</v>
      </c>
      <c r="N33" s="212" t="str">
        <f>IF(VLOOKUP($L33,'#Mission.Set'!$A:$D,3,FALSE)=0,"",VLOOKUP($L33,'#Mission.Set'!$A:$D,3,FALSE))</f>
        <v>ContentsType : WorldRaid</v>
      </c>
      <c r="O33" s="24" t="str">
        <f t="shared" ref="O33" si="28">N33</f>
        <v>ContentsType : WorldRaid</v>
      </c>
      <c r="P33" s="24">
        <v>30</v>
      </c>
      <c r="Q33" s="195" t="s">
        <v>1439</v>
      </c>
      <c r="R33" s="212" t="str">
        <f>IF(VLOOKUP($L33,'#Mission.Set'!$A:$D,4,FALSE)=0,"",VLOOKUP($L33,'#Mission.Set'!$A:$D,4,FALSE))</f>
        <v>QuickMove.WorldRaid</v>
      </c>
      <c r="S33" s="24" t="str">
        <f t="shared" ref="S33" si="29">R33</f>
        <v>QuickMove.WorldRaid</v>
      </c>
    </row>
    <row r="34" spans="1:19" s="24" customFormat="1" ht="13.5">
      <c r="A34" s="273">
        <v>2231000000112</v>
      </c>
      <c r="C34" s="273">
        <v>2231000000002</v>
      </c>
      <c r="D34" s="80" t="s">
        <v>791</v>
      </c>
      <c r="E34" s="24" t="b">
        <v>1</v>
      </c>
      <c r="K34" s="87"/>
      <c r="L34" s="210"/>
      <c r="M34" s="210"/>
      <c r="N34" s="210"/>
      <c r="O34" s="210"/>
      <c r="Q34" s="40"/>
      <c r="R34" s="210"/>
      <c r="S34" s="210"/>
    </row>
    <row r="35" spans="1:19" s="24" customFormat="1" ht="13.5">
      <c r="H35" s="80" t="s">
        <v>332</v>
      </c>
      <c r="I35" s="24" t="s">
        <v>1442</v>
      </c>
      <c r="J35" s="24" t="s">
        <v>1441</v>
      </c>
      <c r="K35" s="194" t="s">
        <v>334</v>
      </c>
      <c r="L35" s="211" t="s">
        <v>1324</v>
      </c>
      <c r="M35" s="212" t="str">
        <f>VLOOKUP(L35,'#Mission.Set'!$A:$D,2,FALSE)</f>
        <v>ArenaVictory</v>
      </c>
      <c r="N35" s="212" t="str">
        <f>IF(VLOOKUP($L35,'#Mission.Set'!$A:$D,3,FALSE)=0,"",VLOOKUP($L35,'#Mission.Set'!$A:$D,3,FALSE))</f>
        <v>ArenaType : Team</v>
      </c>
      <c r="O35" s="24" t="str">
        <f t="shared" ref="O35" si="30">N35</f>
        <v>ArenaType : Team</v>
      </c>
      <c r="P35" s="24">
        <v>2</v>
      </c>
      <c r="Q35" s="195" t="s">
        <v>1438</v>
      </c>
      <c r="R35" s="212" t="str">
        <f>IF(VLOOKUP($L35,'#Mission.Set'!$A:$D,4,FALSE)=0,"",VLOOKUP($L35,'#Mission.Set'!$A:$D,4,FALSE))</f>
        <v>QuickMove.TeamArena</v>
      </c>
      <c r="S35" s="24" t="str">
        <f t="shared" ref="S35" si="31">R35</f>
        <v>QuickMove.TeamArena</v>
      </c>
    </row>
    <row r="36" spans="1:19" s="24" customFormat="1" ht="13.5">
      <c r="A36" s="172">
        <v>2231000000113</v>
      </c>
      <c r="C36" s="172">
        <v>2231000000002</v>
      </c>
      <c r="D36" s="80" t="s">
        <v>791</v>
      </c>
      <c r="E36" s="24" t="b">
        <v>1</v>
      </c>
      <c r="L36" s="210"/>
      <c r="M36" s="210"/>
      <c r="N36" s="210"/>
      <c r="O36" s="210"/>
      <c r="R36" s="210"/>
      <c r="S36" s="210"/>
    </row>
    <row r="37" spans="1:19" s="24" customFormat="1" ht="13.5">
      <c r="A37" s="209"/>
      <c r="C37" s="209"/>
      <c r="H37" s="80" t="s">
        <v>332</v>
      </c>
      <c r="I37" s="24" t="s">
        <v>1443</v>
      </c>
      <c r="J37" s="24" t="s">
        <v>1441</v>
      </c>
      <c r="K37" s="194" t="s">
        <v>334</v>
      </c>
      <c r="L37" s="211" t="s">
        <v>1382</v>
      </c>
      <c r="M37" s="212" t="str">
        <f>VLOOKUP(L37,'#Mission.Set'!$A:$D,2,FALSE)</f>
        <v>StageClear</v>
      </c>
      <c r="N37" s="212" t="str">
        <f>IF(VLOOKUP($L37,'#Mission.Set'!$A:$D,3,FALSE)=0,"",VLOOKUP($L37,'#Mission.Set'!$A:$D,3,FALSE))</f>
        <v>ContentsType : Dominion</v>
      </c>
      <c r="O37" s="24" t="str">
        <f t="shared" ref="O37" si="32">N37</f>
        <v>ContentsType : Dominion</v>
      </c>
      <c r="P37" s="24">
        <v>10</v>
      </c>
      <c r="Q37" s="195" t="s">
        <v>1438</v>
      </c>
      <c r="R37" s="212" t="str">
        <f>IF(VLOOKUP($L37,'#Mission.Set'!$A:$D,4,FALSE)=0,"",VLOOKUP($L37,'#Mission.Set'!$A:$D,4,FALSE))</f>
        <v>QuickMove.Dominion</v>
      </c>
      <c r="S37" s="24" t="str">
        <f t="shared" ref="S37" si="33">R37</f>
        <v>QuickMove.Dominion</v>
      </c>
    </row>
    <row r="38" spans="1:19" s="24" customFormat="1" ht="13.5">
      <c r="A38" s="172">
        <v>2231000000114</v>
      </c>
      <c r="C38" s="172">
        <v>2231000000002</v>
      </c>
      <c r="D38" s="80" t="s">
        <v>791</v>
      </c>
      <c r="E38" s="24" t="b">
        <v>1</v>
      </c>
      <c r="L38" s="210"/>
      <c r="M38" s="210"/>
      <c r="N38" s="210"/>
      <c r="O38" s="210"/>
      <c r="R38" s="210"/>
      <c r="S38" s="210"/>
    </row>
    <row r="39" spans="1:19" s="24" customFormat="1" ht="13.5">
      <c r="A39" s="209"/>
      <c r="C39" s="209"/>
      <c r="H39" s="80">
        <v>1</v>
      </c>
      <c r="I39" s="24" t="s">
        <v>1444</v>
      </c>
      <c r="J39" s="24" t="s">
        <v>1441</v>
      </c>
      <c r="K39" s="194" t="s">
        <v>334</v>
      </c>
      <c r="L39" s="211" t="s">
        <v>1394</v>
      </c>
      <c r="M39" s="212" t="str">
        <f>VLOOKUP(L39,'#Mission.Set'!$A:$D,2,FALSE)</f>
        <v>StageClear</v>
      </c>
      <c r="N39" s="212" t="str">
        <f>IF(VLOOKUP($L39,'#Mission.Set'!$A:$D,3,FALSE)=0,"",VLOOKUP($L39,'#Mission.Set'!$A:$D,3,FALSE))</f>
        <v>ContentsType : ArenaChallenge</v>
      </c>
      <c r="O39" s="24" t="str">
        <f t="shared" ref="O39" si="34">N39</f>
        <v>ContentsType : ArenaChallenge</v>
      </c>
      <c r="P39" s="24">
        <v>2</v>
      </c>
      <c r="Q39" s="195" t="s">
        <v>1438</v>
      </c>
      <c r="R39" s="212" t="str">
        <f>IF(VLOOKUP($L39,'#Mission.Set'!$A:$D,4,FALSE)=0,"",VLOOKUP($L39,'#Mission.Set'!$A:$D,4,FALSE))</f>
        <v>QuickMove0510</v>
      </c>
      <c r="S39" s="24" t="str">
        <f t="shared" ref="S39" si="35">R39</f>
        <v>QuickMove0510</v>
      </c>
    </row>
    <row r="40" spans="1:19" s="24" customFormat="1" ht="13.5">
      <c r="A40" s="172">
        <v>2231000000115</v>
      </c>
      <c r="C40" s="172">
        <v>2231000000002</v>
      </c>
      <c r="D40" s="80" t="s">
        <v>791</v>
      </c>
      <c r="E40" s="24" t="b">
        <v>1</v>
      </c>
      <c r="L40" s="210"/>
      <c r="M40" s="210"/>
      <c r="N40" s="210"/>
      <c r="O40" s="210"/>
      <c r="R40" s="210"/>
      <c r="S40" s="210"/>
    </row>
    <row r="41" spans="1:19" s="24" customFormat="1" ht="13.5">
      <c r="A41" s="209"/>
      <c r="C41" s="209"/>
      <c r="H41" s="80" t="s">
        <v>332</v>
      </c>
      <c r="I41" s="24" t="s">
        <v>1445</v>
      </c>
      <c r="J41" s="24" t="s">
        <v>1441</v>
      </c>
      <c r="K41" s="194" t="s">
        <v>334</v>
      </c>
      <c r="L41" s="211" t="s">
        <v>1386</v>
      </c>
      <c r="M41" s="212" t="str">
        <f>VLOOKUP(L41,'#Mission.Set'!$A:$D,2,FALSE)</f>
        <v>StagePlay</v>
      </c>
      <c r="N41" s="212" t="str">
        <f>IF(VLOOKUP($L41,'#Mission.Set'!$A:$D,3,FALSE)=0,"",VLOOKUP($L41,'#Mission.Set'!$A:$D,3,FALSE))</f>
        <v>ContentsType : GuildAssault</v>
      </c>
      <c r="O41" s="24" t="str">
        <f t="shared" ref="O41" si="36">N41</f>
        <v>ContentsType : GuildAssault</v>
      </c>
      <c r="P41" s="24">
        <v>4</v>
      </c>
      <c r="Q41" s="195" t="s">
        <v>1438</v>
      </c>
      <c r="R41" s="212" t="str">
        <f>IF(VLOOKUP($L41,'#Mission.Set'!$A:$D,4,FALSE)=0,"",VLOOKUP($L41,'#Mission.Set'!$A:$D,4,FALSE))</f>
        <v>QuickMove.GuildAssault</v>
      </c>
      <c r="S41" s="24" t="str">
        <f t="shared" ref="S41" si="37">R41</f>
        <v>QuickMove.GuildAssault</v>
      </c>
    </row>
    <row r="42" spans="1:19" s="24" customFormat="1" ht="13.5">
      <c r="A42" s="172">
        <v>2231000000116</v>
      </c>
      <c r="C42" s="172">
        <v>2231000000002</v>
      </c>
      <c r="D42" s="80" t="s">
        <v>791</v>
      </c>
      <c r="E42" s="24" t="b">
        <v>1</v>
      </c>
      <c r="L42" s="210"/>
      <c r="M42" s="210"/>
      <c r="N42" s="210"/>
      <c r="O42" s="210"/>
      <c r="R42" s="210"/>
      <c r="S42" s="210"/>
    </row>
    <row r="43" spans="1:19" s="24" customFormat="1" ht="13.5">
      <c r="A43" s="209"/>
      <c r="C43" s="209"/>
      <c r="H43" s="80" t="s">
        <v>332</v>
      </c>
      <c r="I43" s="24" t="s">
        <v>1446</v>
      </c>
      <c r="J43" s="24" t="s">
        <v>1441</v>
      </c>
      <c r="K43" s="194" t="s">
        <v>334</v>
      </c>
      <c r="L43" s="211" t="s">
        <v>1366</v>
      </c>
      <c r="M43" s="212" t="str">
        <f>VLOOKUP(L43,'#Mission.Set'!$A:$D,2,FALSE)</f>
        <v>StagePlay</v>
      </c>
      <c r="N43" s="212" t="str">
        <f>IF(VLOOKUP($L43,'#Mission.Set'!$A:$D,3,FALSE)=0,"",VLOOKUP($L43,'#Mission.Set'!$A:$D,3,FALSE))</f>
        <v>ContentsType : WorldRaid</v>
      </c>
      <c r="O43" s="24" t="str">
        <f t="shared" ref="O43" si="38">N43</f>
        <v>ContentsType : WorldRaid</v>
      </c>
      <c r="P43" s="24">
        <v>6</v>
      </c>
      <c r="Q43" s="195" t="s">
        <v>1438</v>
      </c>
      <c r="R43" s="212" t="str">
        <f>IF(VLOOKUP($L43,'#Mission.Set'!$A:$D,4,FALSE)=0,"",VLOOKUP($L43,'#Mission.Set'!$A:$D,4,FALSE))</f>
        <v>QuickMove.WorldRaid</v>
      </c>
      <c r="S43" s="24" t="str">
        <f t="shared" ref="S43" si="39">R43</f>
        <v>QuickMove.WorldRaid</v>
      </c>
    </row>
    <row r="44" spans="1:19" s="24" customFormat="1" ht="13.5">
      <c r="A44" s="172">
        <v>2231000000118</v>
      </c>
      <c r="C44" s="172">
        <v>2231000000002</v>
      </c>
      <c r="D44" s="80" t="s">
        <v>791</v>
      </c>
      <c r="E44" s="24" t="b">
        <v>1</v>
      </c>
      <c r="L44" s="210"/>
      <c r="M44" s="210"/>
      <c r="N44" s="210"/>
      <c r="O44" s="210"/>
      <c r="R44" s="210"/>
      <c r="S44" s="210"/>
    </row>
    <row r="45" spans="1:19" s="24" customFormat="1" ht="13.5">
      <c r="A45" s="209"/>
      <c r="C45" s="209"/>
      <c r="H45" s="80">
        <v>1</v>
      </c>
      <c r="I45" s="24" t="s">
        <v>1447</v>
      </c>
      <c r="J45" s="24" t="s">
        <v>1441</v>
      </c>
      <c r="K45" s="194" t="s">
        <v>334</v>
      </c>
      <c r="L45" s="211" t="s">
        <v>1324</v>
      </c>
      <c r="M45" s="212" t="str">
        <f>VLOOKUP(L45,'#Mission.Set'!$A:$D,2,FALSE)</f>
        <v>ArenaVictory</v>
      </c>
      <c r="N45" s="212" t="str">
        <f>IF(VLOOKUP($L45,'#Mission.Set'!$A:$D,3,FALSE)=0,"",VLOOKUP($L45,'#Mission.Set'!$A:$D,3,FALSE))</f>
        <v>ArenaType : Team</v>
      </c>
      <c r="O45" s="24" t="str">
        <f t="shared" ref="O45" si="40">N45</f>
        <v>ArenaType : Team</v>
      </c>
      <c r="P45" s="24">
        <v>10</v>
      </c>
      <c r="Q45" s="195" t="s">
        <v>1440</v>
      </c>
      <c r="R45" s="212" t="str">
        <f>IF(VLOOKUP($L45,'#Mission.Set'!$A:$D,4,FALSE)=0,"",VLOOKUP($L45,'#Mission.Set'!$A:$D,4,FALSE))</f>
        <v>QuickMove.TeamArena</v>
      </c>
      <c r="S45" s="24" t="str">
        <f t="shared" ref="S45" si="41">R45</f>
        <v>QuickMove.TeamArena</v>
      </c>
    </row>
    <row r="46" spans="1:19" s="24" customFormat="1" ht="13.5">
      <c r="A46" s="172">
        <v>2231000000119</v>
      </c>
      <c r="C46" s="172">
        <v>2231000000002</v>
      </c>
      <c r="D46" s="80" t="s">
        <v>791</v>
      </c>
      <c r="E46" s="24" t="b">
        <v>1</v>
      </c>
      <c r="L46" s="210"/>
      <c r="M46" s="210"/>
      <c r="N46" s="210"/>
      <c r="O46" s="210"/>
      <c r="R46" s="210"/>
      <c r="S46" s="210"/>
    </row>
    <row r="47" spans="1:19" s="24" customFormat="1" ht="13.5">
      <c r="A47" s="209"/>
      <c r="C47" s="209"/>
      <c r="H47" s="80" t="s">
        <v>332</v>
      </c>
      <c r="I47" s="24" t="s">
        <v>1448</v>
      </c>
      <c r="J47" s="24" t="s">
        <v>1441</v>
      </c>
      <c r="K47" s="194" t="s">
        <v>334</v>
      </c>
      <c r="L47" s="211" t="s">
        <v>1382</v>
      </c>
      <c r="M47" s="212" t="str">
        <f>VLOOKUP(L47,'#Mission.Set'!$A:$D,2,FALSE)</f>
        <v>StageClear</v>
      </c>
      <c r="N47" s="212" t="str">
        <f>IF(VLOOKUP($L47,'#Mission.Set'!$A:$D,3,FALSE)=0,"",VLOOKUP($L47,'#Mission.Set'!$A:$D,3,FALSE))</f>
        <v>ContentsType : Dominion</v>
      </c>
      <c r="O47" s="24" t="str">
        <f t="shared" ref="O47" si="42">N47</f>
        <v>ContentsType : Dominion</v>
      </c>
      <c r="P47" s="24">
        <v>40</v>
      </c>
      <c r="Q47" s="195" t="s">
        <v>1440</v>
      </c>
      <c r="R47" s="212" t="str">
        <f>IF(VLOOKUP($L47,'#Mission.Set'!$A:$D,4,FALSE)=0,"",VLOOKUP($L47,'#Mission.Set'!$A:$D,4,FALSE))</f>
        <v>QuickMove.Dominion</v>
      </c>
      <c r="S47" s="24" t="str">
        <f t="shared" ref="S47" si="43">R47</f>
        <v>QuickMove.Dominion</v>
      </c>
    </row>
    <row r="48" spans="1:19" s="24" customFormat="1" ht="13.5">
      <c r="A48" s="172">
        <v>2231000000120</v>
      </c>
      <c r="C48" s="172">
        <v>2231000000002</v>
      </c>
      <c r="D48" s="80" t="s">
        <v>791</v>
      </c>
      <c r="E48" s="24" t="b">
        <v>1</v>
      </c>
      <c r="L48" s="210"/>
      <c r="M48" s="210"/>
      <c r="N48" s="210"/>
      <c r="O48" s="210"/>
      <c r="R48" s="210"/>
      <c r="S48" s="210"/>
    </row>
    <row r="49" spans="1:19" s="24" customFormat="1" ht="13.5">
      <c r="A49" s="209"/>
      <c r="C49" s="209"/>
      <c r="H49" s="80" t="s">
        <v>332</v>
      </c>
      <c r="I49" s="24" t="s">
        <v>1449</v>
      </c>
      <c r="J49" s="24" t="s">
        <v>1441</v>
      </c>
      <c r="K49" s="194" t="s">
        <v>334</v>
      </c>
      <c r="L49" s="211" t="s">
        <v>1394</v>
      </c>
      <c r="M49" s="212" t="str">
        <f>VLOOKUP(L49,'#Mission.Set'!$A:$D,2,FALSE)</f>
        <v>StageClear</v>
      </c>
      <c r="N49" s="212" t="str">
        <f>IF(VLOOKUP($L49,'#Mission.Set'!$A:$D,3,FALSE)=0,"",VLOOKUP($L49,'#Mission.Set'!$A:$D,3,FALSE))</f>
        <v>ContentsType : ArenaChallenge</v>
      </c>
      <c r="O49" s="24" t="str">
        <f t="shared" ref="O49" si="44">N49</f>
        <v>ContentsType : ArenaChallenge</v>
      </c>
      <c r="P49" s="24">
        <v>6</v>
      </c>
      <c r="Q49" s="195" t="s">
        <v>1439</v>
      </c>
      <c r="R49" s="212" t="str">
        <f>IF(VLOOKUP($L49,'#Mission.Set'!$A:$D,4,FALSE)=0,"",VLOOKUP($L49,'#Mission.Set'!$A:$D,4,FALSE))</f>
        <v>QuickMove0510</v>
      </c>
      <c r="S49" s="24" t="str">
        <f t="shared" ref="S49" si="45">R49</f>
        <v>QuickMove0510</v>
      </c>
    </row>
    <row r="50" spans="1:19" s="24" customFormat="1" ht="13.5">
      <c r="A50" s="172">
        <v>2231000000121</v>
      </c>
      <c r="C50" s="172">
        <v>2231000000002</v>
      </c>
      <c r="D50" s="80" t="s">
        <v>791</v>
      </c>
      <c r="E50" s="24" t="b">
        <v>1</v>
      </c>
      <c r="L50" s="210"/>
      <c r="M50" s="210"/>
      <c r="N50" s="210"/>
      <c r="O50" s="210"/>
      <c r="R50" s="210"/>
      <c r="S50" s="210"/>
    </row>
    <row r="51" spans="1:19" s="24" customFormat="1" ht="13.5">
      <c r="A51" s="209"/>
      <c r="C51" s="209"/>
      <c r="H51" s="80" t="s">
        <v>332</v>
      </c>
      <c r="I51" s="24" t="s">
        <v>1450</v>
      </c>
      <c r="J51" s="24" t="s">
        <v>1441</v>
      </c>
      <c r="K51" s="194" t="s">
        <v>334</v>
      </c>
      <c r="L51" s="211" t="s">
        <v>1386</v>
      </c>
      <c r="M51" s="212" t="str">
        <f>VLOOKUP(L51,'#Mission.Set'!$A:$D,2,FALSE)</f>
        <v>StagePlay</v>
      </c>
      <c r="N51" s="212" t="str">
        <f>IF(VLOOKUP($L51,'#Mission.Set'!$A:$D,3,FALSE)=0,"",VLOOKUP($L51,'#Mission.Set'!$A:$D,3,FALSE))</f>
        <v>ContentsType : GuildAssault</v>
      </c>
      <c r="O51" s="24" t="str">
        <f t="shared" ref="O51" si="46">N51</f>
        <v>ContentsType : GuildAssault</v>
      </c>
      <c r="P51" s="24">
        <v>10</v>
      </c>
      <c r="Q51" s="195" t="s">
        <v>1439</v>
      </c>
      <c r="R51" s="212" t="str">
        <f>IF(VLOOKUP($L51,'#Mission.Set'!$A:$D,4,FALSE)=0,"",VLOOKUP($L51,'#Mission.Set'!$A:$D,4,FALSE))</f>
        <v>QuickMove.GuildAssault</v>
      </c>
      <c r="S51" s="24" t="str">
        <f t="shared" ref="S51" si="47">R51</f>
        <v>QuickMove.GuildAssault</v>
      </c>
    </row>
    <row r="52" spans="1:19" s="24" customFormat="1" ht="13.5">
      <c r="A52" s="172">
        <v>2231000000122</v>
      </c>
      <c r="C52" s="172">
        <v>2231000000002</v>
      </c>
      <c r="D52" s="80" t="s">
        <v>791</v>
      </c>
      <c r="E52" s="24" t="b">
        <v>1</v>
      </c>
      <c r="L52" s="210"/>
      <c r="M52" s="210"/>
      <c r="N52" s="210"/>
      <c r="O52" s="210"/>
      <c r="R52" s="210"/>
      <c r="S52" s="210"/>
    </row>
    <row r="53" spans="1:19" s="24" customFormat="1" ht="13.5">
      <c r="A53" s="209"/>
      <c r="C53" s="209"/>
      <c r="H53" s="80">
        <v>1</v>
      </c>
      <c r="I53" s="24" t="s">
        <v>1451</v>
      </c>
      <c r="J53" s="24" t="s">
        <v>1441</v>
      </c>
      <c r="K53" s="194" t="s">
        <v>334</v>
      </c>
      <c r="L53" s="211" t="s">
        <v>1366</v>
      </c>
      <c r="M53" s="212" t="str">
        <f>VLOOKUP(L53,'#Mission.Set'!$A:$D,2,FALSE)</f>
        <v>StagePlay</v>
      </c>
      <c r="N53" s="212" t="str">
        <f>IF(VLOOKUP($L53,'#Mission.Set'!$A:$D,3,FALSE)=0,"",VLOOKUP($L53,'#Mission.Set'!$A:$D,3,FALSE))</f>
        <v>ContentsType : WorldRaid</v>
      </c>
      <c r="O53" s="24" t="str">
        <f t="shared" ref="O53" si="48">N53</f>
        <v>ContentsType : WorldRaid</v>
      </c>
      <c r="P53" s="24">
        <v>10</v>
      </c>
      <c r="Q53" s="195" t="s">
        <v>1439</v>
      </c>
      <c r="R53" s="212" t="str">
        <f>IF(VLOOKUP($L53,'#Mission.Set'!$A:$D,4,FALSE)=0,"",VLOOKUP($L53,'#Mission.Set'!$A:$D,4,FALSE))</f>
        <v>QuickMove.WorldRaid</v>
      </c>
      <c r="S53" s="24" t="str">
        <f t="shared" ref="S53" si="49">R53</f>
        <v>QuickMove.WorldRaid</v>
      </c>
    </row>
    <row r="54" spans="1:19">
      <c r="A54" s="172">
        <v>2231000000124</v>
      </c>
      <c r="B54" s="24"/>
      <c r="C54" s="172">
        <v>2231000000002</v>
      </c>
      <c r="D54" s="80" t="s">
        <v>791</v>
      </c>
      <c r="E54" s="24" t="b">
        <v>1</v>
      </c>
      <c r="F54" s="24"/>
      <c r="G54" s="24"/>
      <c r="H54" s="24"/>
      <c r="I54" s="24"/>
      <c r="J54" s="24"/>
      <c r="K54" s="24"/>
      <c r="L54" s="210"/>
      <c r="M54" s="210"/>
      <c r="N54" s="210"/>
      <c r="O54" s="210"/>
      <c r="P54" s="24"/>
      <c r="Q54" s="24"/>
      <c r="R54" s="210"/>
      <c r="S54" s="210"/>
    </row>
    <row r="55" spans="1:19">
      <c r="A55" s="209"/>
      <c r="B55" s="24"/>
      <c r="C55" s="209"/>
      <c r="D55" s="24"/>
      <c r="E55" s="24"/>
      <c r="F55" s="24"/>
      <c r="G55" s="24"/>
      <c r="H55" s="80" t="s">
        <v>332</v>
      </c>
      <c r="I55" s="24" t="s">
        <v>1452</v>
      </c>
      <c r="J55" s="24" t="s">
        <v>1441</v>
      </c>
      <c r="K55" s="194" t="s">
        <v>334</v>
      </c>
      <c r="L55" s="211" t="s">
        <v>1324</v>
      </c>
      <c r="M55" s="212" t="str">
        <f>VLOOKUP(L55,'#Mission.Set'!$A:$D,2,FALSE)</f>
        <v>ArenaVictory</v>
      </c>
      <c r="N55" s="212" t="str">
        <f>IF(VLOOKUP($L55,'#Mission.Set'!$A:$D,3,FALSE)=0,"",VLOOKUP($L55,'#Mission.Set'!$A:$D,3,FALSE))</f>
        <v>ArenaType : Team</v>
      </c>
      <c r="O55" s="24" t="str">
        <f t="shared" ref="O55" si="50">N55</f>
        <v>ArenaType : Team</v>
      </c>
      <c r="P55" s="24">
        <v>25</v>
      </c>
      <c r="Q55" s="195" t="s">
        <v>1439</v>
      </c>
      <c r="R55" s="212" t="str">
        <f>IF(VLOOKUP($L55,'#Mission.Set'!$A:$D,4,FALSE)=0,"",VLOOKUP($L55,'#Mission.Set'!$A:$D,4,FALSE))</f>
        <v>QuickMove.TeamArena</v>
      </c>
      <c r="S55" s="24" t="str">
        <f t="shared" ref="S55" si="51">R55</f>
        <v>QuickMove.TeamArena</v>
      </c>
    </row>
    <row r="56" spans="1:19">
      <c r="A56" s="172">
        <v>2231000000125</v>
      </c>
      <c r="B56" s="24"/>
      <c r="C56" s="172">
        <v>2231000000002</v>
      </c>
      <c r="D56" s="80" t="s">
        <v>791</v>
      </c>
      <c r="E56" s="24" t="b">
        <v>1</v>
      </c>
      <c r="F56" s="24"/>
      <c r="G56" s="24"/>
      <c r="H56" s="24"/>
      <c r="I56" s="24"/>
      <c r="J56" s="24"/>
      <c r="K56" s="24"/>
      <c r="L56" s="210"/>
      <c r="M56" s="210"/>
      <c r="N56" s="210"/>
      <c r="O56" s="210"/>
      <c r="P56" s="24"/>
      <c r="Q56" s="24"/>
      <c r="R56" s="210"/>
      <c r="S56" s="210"/>
    </row>
    <row r="57" spans="1:19">
      <c r="A57" s="172"/>
      <c r="B57" s="24"/>
      <c r="C57" s="172"/>
      <c r="D57" s="24"/>
      <c r="E57" s="24"/>
      <c r="F57" s="24"/>
      <c r="G57" s="24"/>
      <c r="H57" s="80" t="s">
        <v>332</v>
      </c>
      <c r="I57" s="24" t="s">
        <v>1453</v>
      </c>
      <c r="J57" s="24" t="s">
        <v>1441</v>
      </c>
      <c r="K57" s="194" t="s">
        <v>334</v>
      </c>
      <c r="L57" s="211" t="s">
        <v>1382</v>
      </c>
      <c r="M57" s="212" t="str">
        <f>VLOOKUP(L57,'#Mission.Set'!$A:$D,2,FALSE)</f>
        <v>StageClear</v>
      </c>
      <c r="N57" s="212" t="str">
        <f>IF(VLOOKUP($L57,'#Mission.Set'!$A:$D,3,FALSE)=0,"",VLOOKUP($L57,'#Mission.Set'!$A:$D,3,FALSE))</f>
        <v>ContentsType : Dominion</v>
      </c>
      <c r="O57" s="24" t="str">
        <f t="shared" ref="O57" si="52">N57</f>
        <v>ContentsType : Dominion</v>
      </c>
      <c r="P57" s="24">
        <v>95</v>
      </c>
      <c r="Q57" s="195" t="s">
        <v>1439</v>
      </c>
      <c r="R57" s="212" t="str">
        <f>IF(VLOOKUP($L57,'#Mission.Set'!$A:$D,4,FALSE)=0,"",VLOOKUP($L57,'#Mission.Set'!$A:$D,4,FALSE))</f>
        <v>QuickMove.Dominion</v>
      </c>
      <c r="S57" s="24" t="str">
        <f t="shared" ref="S57" si="53">R57</f>
        <v>QuickMove.Dominion</v>
      </c>
    </row>
    <row r="58" spans="1:19">
      <c r="A58" s="172">
        <v>2231000000126</v>
      </c>
      <c r="B58" s="24"/>
      <c r="C58" s="172">
        <v>2231000000002</v>
      </c>
      <c r="D58" s="80" t="s">
        <v>791</v>
      </c>
      <c r="E58" s="24" t="b">
        <v>1</v>
      </c>
      <c r="F58" s="24"/>
      <c r="G58" s="24"/>
      <c r="H58" s="24"/>
      <c r="I58" s="24"/>
      <c r="J58" s="24"/>
      <c r="K58" s="24"/>
      <c r="L58" s="210"/>
      <c r="M58" s="210"/>
      <c r="N58" s="210"/>
      <c r="O58" s="210"/>
      <c r="P58" s="24"/>
      <c r="Q58" s="24"/>
      <c r="R58" s="210"/>
      <c r="S58" s="210"/>
    </row>
    <row r="59" spans="1:19">
      <c r="A59" s="172"/>
      <c r="B59" s="24"/>
      <c r="C59" s="172"/>
      <c r="D59" s="24"/>
      <c r="E59" s="24"/>
      <c r="F59" s="24"/>
      <c r="G59" s="24"/>
      <c r="H59" s="80">
        <v>1</v>
      </c>
      <c r="I59" s="24" t="s">
        <v>1454</v>
      </c>
      <c r="J59" s="24" t="s">
        <v>1441</v>
      </c>
      <c r="K59" s="194" t="s">
        <v>334</v>
      </c>
      <c r="L59" s="211" t="s">
        <v>1394</v>
      </c>
      <c r="M59" s="212" t="str">
        <f>VLOOKUP(L59,'#Mission.Set'!$A:$D,2,FALSE)</f>
        <v>StageClear</v>
      </c>
      <c r="N59" s="212" t="str">
        <f>IF(VLOOKUP($L59,'#Mission.Set'!$A:$D,3,FALSE)=0,"",VLOOKUP($L59,'#Mission.Set'!$A:$D,3,FALSE))</f>
        <v>ContentsType : ArenaChallenge</v>
      </c>
      <c r="O59" s="24" t="str">
        <f t="shared" ref="O59" si="54">N59</f>
        <v>ContentsType : ArenaChallenge</v>
      </c>
      <c r="P59" s="24">
        <v>10</v>
      </c>
      <c r="Q59" s="195" t="s">
        <v>1439</v>
      </c>
      <c r="R59" s="212" t="str">
        <f>IF(VLOOKUP($L59,'#Mission.Set'!$A:$D,4,FALSE)=0,"",VLOOKUP($L59,'#Mission.Set'!$A:$D,4,FALSE))</f>
        <v>QuickMove0510</v>
      </c>
      <c r="S59" s="24" t="str">
        <f t="shared" ref="S59" si="55">R59</f>
        <v>QuickMove0510</v>
      </c>
    </row>
    <row r="60" spans="1:19">
      <c r="A60" s="172">
        <v>2231000000127</v>
      </c>
      <c r="B60" s="24"/>
      <c r="C60" s="172">
        <v>2231000000002</v>
      </c>
      <c r="D60" s="80" t="s">
        <v>791</v>
      </c>
      <c r="E60" s="24" t="b">
        <v>1</v>
      </c>
      <c r="F60" s="24"/>
      <c r="G60" s="24"/>
      <c r="H60" s="24"/>
      <c r="I60" s="24"/>
      <c r="J60" s="24"/>
      <c r="K60" s="24"/>
      <c r="L60" s="210"/>
      <c r="M60" s="210"/>
      <c r="N60" s="210"/>
      <c r="O60" s="210"/>
      <c r="P60" s="24"/>
      <c r="Q60" s="24"/>
      <c r="R60" s="210"/>
      <c r="S60" s="210"/>
    </row>
    <row r="61" spans="1:19">
      <c r="A61" s="172"/>
      <c r="B61" s="24"/>
      <c r="C61" s="172"/>
      <c r="D61" s="24"/>
      <c r="E61" s="24"/>
      <c r="F61" s="24"/>
      <c r="G61" s="24"/>
      <c r="H61" s="80" t="s">
        <v>332</v>
      </c>
      <c r="I61" s="24" t="s">
        <v>1455</v>
      </c>
      <c r="J61" s="24" t="s">
        <v>1441</v>
      </c>
      <c r="K61" s="194" t="s">
        <v>334</v>
      </c>
      <c r="L61" s="211" t="s">
        <v>1386</v>
      </c>
      <c r="M61" s="212" t="str">
        <f>VLOOKUP(L61,'#Mission.Set'!$A:$D,2,FALSE)</f>
        <v>StagePlay</v>
      </c>
      <c r="N61" s="212" t="str">
        <f>IF(VLOOKUP($L61,'#Mission.Set'!$A:$D,3,FALSE)=0,"",VLOOKUP($L61,'#Mission.Set'!$A:$D,3,FALSE))</f>
        <v>ContentsType : GuildAssault</v>
      </c>
      <c r="O61" s="24" t="str">
        <f t="shared" ref="O61" si="56">N61</f>
        <v>ContentsType : GuildAssault</v>
      </c>
      <c r="P61" s="24">
        <v>20</v>
      </c>
      <c r="Q61" s="195" t="s">
        <v>1439</v>
      </c>
      <c r="R61" s="212" t="str">
        <f>IF(VLOOKUP($L61,'#Mission.Set'!$A:$D,4,FALSE)=0,"",VLOOKUP($L61,'#Mission.Set'!$A:$D,4,FALSE))</f>
        <v>QuickMove.GuildAssault</v>
      </c>
      <c r="S61" s="24" t="str">
        <f t="shared" ref="S61" si="57">R61</f>
        <v>QuickMove.GuildAssault</v>
      </c>
    </row>
    <row r="62" spans="1:19">
      <c r="A62" s="172">
        <v>2231000000128</v>
      </c>
      <c r="B62" s="24"/>
      <c r="C62" s="172">
        <v>2231000000002</v>
      </c>
      <c r="D62" s="80" t="s">
        <v>791</v>
      </c>
      <c r="E62" s="24" t="b">
        <v>1</v>
      </c>
      <c r="F62" s="24"/>
      <c r="G62" s="24"/>
      <c r="H62" s="24"/>
      <c r="I62" s="24"/>
      <c r="J62" s="24"/>
      <c r="K62" s="24"/>
      <c r="L62" s="210"/>
      <c r="M62" s="210"/>
      <c r="N62" s="210"/>
      <c r="O62" s="210"/>
      <c r="P62" s="24"/>
      <c r="Q62" s="24"/>
      <c r="R62" s="210"/>
      <c r="S62" s="210"/>
    </row>
    <row r="63" spans="1:19">
      <c r="H63" s="80" t="s">
        <v>332</v>
      </c>
      <c r="I63" s="24" t="s">
        <v>1456</v>
      </c>
      <c r="J63" s="24" t="s">
        <v>1441</v>
      </c>
      <c r="K63" s="194" t="s">
        <v>334</v>
      </c>
      <c r="L63" s="211" t="s">
        <v>1366</v>
      </c>
      <c r="M63" s="212" t="str">
        <f>VLOOKUP(L63,'#Mission.Set'!$A:$D,2,FALSE)</f>
        <v>StagePlay</v>
      </c>
      <c r="N63" s="212" t="str">
        <f>IF(VLOOKUP($L63,'#Mission.Set'!$A:$D,3,FALSE)=0,"",VLOOKUP($L63,'#Mission.Set'!$A:$D,3,FALSE))</f>
        <v>ContentsType : WorldRaid</v>
      </c>
      <c r="O63" s="24" t="str">
        <f t="shared" ref="O63" si="58">N63</f>
        <v>ContentsType : WorldRaid</v>
      </c>
      <c r="P63" s="24">
        <v>30</v>
      </c>
      <c r="Q63" s="195" t="s">
        <v>1439</v>
      </c>
      <c r="R63" s="212" t="str">
        <f>IF(VLOOKUP($L63,'#Mission.Set'!$A:$D,4,FALSE)=0,"",VLOOKUP($L63,'#Mission.Set'!$A:$D,4,FALSE))</f>
        <v>QuickMove.WorldRaid</v>
      </c>
      <c r="S63" s="24" t="str">
        <f t="shared" ref="S63" si="59">R63</f>
        <v>QuickMove.WorldRaid</v>
      </c>
    </row>
  </sheetData>
  <phoneticPr fontId="4" type="noConversion"/>
  <conditionalFormatting sqref="A1:A3">
    <cfRule type="duplicateValues" dxfId="4" priority="1"/>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'#Mission.Set'!$A:$A</xm:f>
          </x14:formula1>
          <xm:sqref>L7 L17 L27 L5 L15 L25 L13 L23 L33 L11 L21 L31 L9 L19 L29 L37 L47 L57 L35 L45 L55 L43 L53 L63 L41 L51 L61 L39 L49 L59</xm:sqref>
        </x14:dataValidation>
      </x14:dataValidation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91"/>
  <sheetViews>
    <sheetView zoomScale="85" zoomScaleNormal="85" workbookViewId="0">
      <selection activeCell="G1" sqref="G1"/>
    </sheetView>
  </sheetViews>
  <sheetFormatPr defaultRowHeight="16.5"/>
  <cols>
    <col min="1" max="1" width="15.625" bestFit="1" customWidth="1"/>
    <col min="2" max="2" width="23" bestFit="1" customWidth="1"/>
    <col min="3" max="3" width="16.125" bestFit="1" customWidth="1"/>
    <col min="4" max="4" width="13.5" bestFit="1" customWidth="1"/>
    <col min="5" max="5" width="16.625" bestFit="1" customWidth="1"/>
    <col min="6" max="7" width="8.25" customWidth="1"/>
    <col min="8" max="8" width="8" bestFit="1" customWidth="1"/>
    <col min="9" max="9" width="5.875" bestFit="1" customWidth="1"/>
    <col min="10" max="10" width="5.625" bestFit="1" customWidth="1"/>
    <col min="11" max="11" width="18.125" bestFit="1" customWidth="1"/>
    <col min="12" max="12" width="22.625" bestFit="1" customWidth="1"/>
    <col min="13" max="13" width="27.5" bestFit="1" customWidth="1"/>
    <col min="14" max="14" width="9.375" bestFit="1" customWidth="1"/>
    <col min="15" max="15" width="8" bestFit="1" customWidth="1"/>
    <col min="16" max="16" width="11.625" bestFit="1" customWidth="1"/>
  </cols>
  <sheetData>
    <row r="1" spans="1:16">
      <c r="A1" s="185" t="s">
        <v>304</v>
      </c>
      <c r="B1" s="164" t="s">
        <v>305</v>
      </c>
      <c r="C1" s="186" t="s">
        <v>306</v>
      </c>
      <c r="D1" s="165" t="s">
        <v>307</v>
      </c>
      <c r="E1" s="166" t="s">
        <v>308</v>
      </c>
      <c r="F1" s="165" t="s">
        <v>636</v>
      </c>
      <c r="G1" s="165" t="s">
        <v>3740</v>
      </c>
      <c r="H1" s="167" t="s">
        <v>309</v>
      </c>
      <c r="I1" s="167" t="s">
        <v>310</v>
      </c>
      <c r="J1" s="167" t="s">
        <v>311</v>
      </c>
      <c r="K1" s="167" t="s">
        <v>312</v>
      </c>
      <c r="L1" s="167" t="s">
        <v>313</v>
      </c>
      <c r="M1" s="167" t="s">
        <v>314</v>
      </c>
      <c r="N1" s="167" t="s">
        <v>315</v>
      </c>
      <c r="O1" s="167" t="s">
        <v>316</v>
      </c>
      <c r="P1" s="9" t="s">
        <v>317</v>
      </c>
    </row>
    <row r="2" spans="1:16">
      <c r="A2" s="185" t="s">
        <v>318</v>
      </c>
      <c r="B2" s="165" t="s">
        <v>3</v>
      </c>
      <c r="C2" s="185" t="s">
        <v>319</v>
      </c>
      <c r="D2" s="165" t="s">
        <v>320</v>
      </c>
      <c r="E2" s="168" t="s">
        <v>321</v>
      </c>
      <c r="F2" s="165" t="s">
        <v>320</v>
      </c>
      <c r="G2" s="165" t="s">
        <v>851</v>
      </c>
      <c r="H2" s="167" t="s">
        <v>322</v>
      </c>
      <c r="I2" s="167" t="s">
        <v>323</v>
      </c>
      <c r="J2" s="167" t="s">
        <v>323</v>
      </c>
      <c r="K2" s="167" t="s">
        <v>324</v>
      </c>
      <c r="L2" s="167" t="s">
        <v>325</v>
      </c>
      <c r="M2" s="167" t="s">
        <v>326</v>
      </c>
      <c r="N2" s="167" t="s">
        <v>322</v>
      </c>
      <c r="O2" s="167" t="s">
        <v>320</v>
      </c>
      <c r="P2" s="9" t="s">
        <v>327</v>
      </c>
    </row>
    <row r="3" spans="1:16">
      <c r="A3" s="185" t="s">
        <v>328</v>
      </c>
      <c r="B3" s="165" t="s">
        <v>3</v>
      </c>
      <c r="C3" s="185" t="s">
        <v>328</v>
      </c>
      <c r="D3" s="165" t="s">
        <v>329</v>
      </c>
      <c r="E3" s="168" t="s">
        <v>4</v>
      </c>
      <c r="F3" s="165" t="s">
        <v>328</v>
      </c>
      <c r="G3" s="165" t="s">
        <v>328</v>
      </c>
      <c r="H3" s="167" t="s">
        <v>328</v>
      </c>
      <c r="I3" s="167" t="s">
        <v>4</v>
      </c>
      <c r="J3" s="167" t="s">
        <v>4</v>
      </c>
      <c r="K3" s="167" t="s">
        <v>328</v>
      </c>
      <c r="L3" s="167" t="s">
        <v>328</v>
      </c>
      <c r="M3" s="167" t="s">
        <v>328</v>
      </c>
      <c r="N3" s="167" t="s">
        <v>328</v>
      </c>
      <c r="O3" s="167" t="s">
        <v>328</v>
      </c>
      <c r="P3" s="9" t="s">
        <v>4</v>
      </c>
    </row>
    <row r="4" spans="1:16">
      <c r="A4" s="188">
        <v>2112000000001</v>
      </c>
      <c r="B4" s="189" t="s">
        <v>1019</v>
      </c>
      <c r="C4" s="189">
        <v>2200000000052</v>
      </c>
      <c r="D4" s="193" t="s">
        <v>331</v>
      </c>
      <c r="E4" s="24" t="b">
        <v>0</v>
      </c>
      <c r="F4" s="190"/>
      <c r="G4" s="190"/>
      <c r="H4" s="190"/>
      <c r="I4" s="190"/>
      <c r="J4" s="190"/>
      <c r="K4" s="190"/>
      <c r="L4" s="190"/>
      <c r="M4" s="190"/>
      <c r="N4" s="190"/>
      <c r="O4" s="190"/>
      <c r="P4" s="190"/>
    </row>
    <row r="5" spans="1:16">
      <c r="A5" s="190"/>
      <c r="B5" s="189"/>
      <c r="C5" s="190"/>
      <c r="D5" s="193"/>
      <c r="E5" s="190"/>
      <c r="F5" s="190"/>
      <c r="G5" s="190"/>
      <c r="H5" s="191">
        <v>1</v>
      </c>
      <c r="I5" s="191" t="s">
        <v>1029</v>
      </c>
      <c r="J5" s="191" t="s">
        <v>1029</v>
      </c>
      <c r="K5" s="191" t="s">
        <v>853</v>
      </c>
      <c r="L5" s="191" t="s">
        <v>1021</v>
      </c>
      <c r="M5" s="191" t="s">
        <v>1020</v>
      </c>
      <c r="N5" s="191">
        <v>1</v>
      </c>
      <c r="O5" s="191"/>
      <c r="P5" s="191"/>
    </row>
    <row r="6" spans="1:16">
      <c r="A6" s="188">
        <v>2112000000002</v>
      </c>
      <c r="B6" s="189" t="s">
        <v>1023</v>
      </c>
      <c r="C6" s="189">
        <v>2200000000052</v>
      </c>
      <c r="D6" s="193" t="s">
        <v>331</v>
      </c>
      <c r="E6" s="24" t="b">
        <v>0</v>
      </c>
      <c r="F6" s="190"/>
      <c r="G6" s="190"/>
      <c r="H6" s="190"/>
      <c r="I6" s="190"/>
      <c r="J6" s="190"/>
      <c r="K6" s="190"/>
      <c r="L6" s="190"/>
      <c r="M6" s="190"/>
      <c r="N6" s="190"/>
      <c r="O6" s="190"/>
      <c r="P6" s="190"/>
    </row>
    <row r="7" spans="1:16" ht="27.75">
      <c r="A7" s="190"/>
      <c r="B7" s="189"/>
      <c r="C7" s="190"/>
      <c r="D7" s="193"/>
      <c r="E7" s="190"/>
      <c r="F7" s="190"/>
      <c r="G7" s="190"/>
      <c r="H7" s="191">
        <v>1</v>
      </c>
      <c r="I7" s="191" t="s">
        <v>1029</v>
      </c>
      <c r="J7" s="191" t="s">
        <v>1029</v>
      </c>
      <c r="K7" s="191" t="s">
        <v>853</v>
      </c>
      <c r="L7" s="191" t="s">
        <v>1021</v>
      </c>
      <c r="M7" s="192" t="s">
        <v>1027</v>
      </c>
      <c r="N7" s="191">
        <v>1</v>
      </c>
      <c r="O7" s="191"/>
      <c r="P7" s="191"/>
    </row>
    <row r="8" spans="1:16">
      <c r="A8" s="188">
        <v>2112000000003</v>
      </c>
      <c r="B8" s="189" t="s">
        <v>1024</v>
      </c>
      <c r="C8" s="189">
        <v>2200000000052</v>
      </c>
      <c r="D8" s="193" t="s">
        <v>331</v>
      </c>
      <c r="E8" s="24" t="b">
        <v>0</v>
      </c>
      <c r="F8" s="190"/>
      <c r="G8" s="190"/>
      <c r="H8" s="190"/>
      <c r="I8" s="190"/>
      <c r="J8" s="190"/>
      <c r="K8" s="190"/>
      <c r="L8" s="190"/>
      <c r="M8" s="190"/>
      <c r="N8" s="190"/>
      <c r="O8" s="190"/>
      <c r="P8" s="190"/>
    </row>
    <row r="9" spans="1:16">
      <c r="A9" s="190"/>
      <c r="B9" s="189"/>
      <c r="C9" s="190"/>
      <c r="D9" s="193"/>
      <c r="E9" s="190"/>
      <c r="F9" s="190"/>
      <c r="G9" s="190"/>
      <c r="H9" s="191">
        <v>1</v>
      </c>
      <c r="I9" s="191" t="s">
        <v>1029</v>
      </c>
      <c r="J9" s="191" t="s">
        <v>1029</v>
      </c>
      <c r="K9" s="191" t="s">
        <v>853</v>
      </c>
      <c r="L9" s="191" t="s">
        <v>1001</v>
      </c>
      <c r="M9" s="191" t="s">
        <v>1020</v>
      </c>
      <c r="N9" s="191">
        <v>1</v>
      </c>
      <c r="O9" s="191"/>
      <c r="P9" s="191"/>
    </row>
    <row r="10" spans="1:16">
      <c r="A10" s="188">
        <v>2112000000004</v>
      </c>
      <c r="B10" s="189" t="s">
        <v>1025</v>
      </c>
      <c r="C10" s="189">
        <v>2200000000052</v>
      </c>
      <c r="D10" s="193" t="s">
        <v>331</v>
      </c>
      <c r="E10" s="24" t="b">
        <v>0</v>
      </c>
      <c r="F10" s="190"/>
      <c r="G10" s="190"/>
      <c r="H10" s="190"/>
      <c r="I10" s="190"/>
      <c r="J10" s="190"/>
      <c r="K10" s="190"/>
      <c r="L10" s="190"/>
      <c r="M10" s="190"/>
      <c r="N10" s="190"/>
      <c r="O10" s="190"/>
      <c r="P10" s="190"/>
    </row>
    <row r="11" spans="1:16" ht="41.25">
      <c r="A11" s="190"/>
      <c r="B11" s="189"/>
      <c r="C11" s="190"/>
      <c r="D11" s="193"/>
      <c r="E11" s="190"/>
      <c r="F11" s="190"/>
      <c r="G11" s="190"/>
      <c r="H11" s="191">
        <v>1</v>
      </c>
      <c r="I11" s="191" t="s">
        <v>1029</v>
      </c>
      <c r="J11" s="191" t="s">
        <v>1029</v>
      </c>
      <c r="K11" s="191" t="s">
        <v>853</v>
      </c>
      <c r="L11" s="191" t="s">
        <v>1561</v>
      </c>
      <c r="M11" s="192" t="s">
        <v>1925</v>
      </c>
      <c r="N11" s="191">
        <v>1</v>
      </c>
      <c r="O11" s="191"/>
      <c r="P11" s="191"/>
    </row>
    <row r="12" spans="1:16">
      <c r="A12" s="188">
        <v>2112000000005</v>
      </c>
      <c r="B12" s="189" t="s">
        <v>1026</v>
      </c>
      <c r="C12" s="189">
        <v>2200000000052</v>
      </c>
      <c r="D12" s="193" t="s">
        <v>331</v>
      </c>
      <c r="E12" s="24" t="b">
        <v>0</v>
      </c>
      <c r="F12" s="190"/>
      <c r="G12" s="190"/>
      <c r="H12" s="190"/>
      <c r="I12" s="190"/>
      <c r="J12" s="190"/>
      <c r="K12" s="190"/>
      <c r="L12" s="190"/>
      <c r="M12" s="190"/>
      <c r="N12" s="190"/>
      <c r="O12" s="190"/>
      <c r="P12" s="190"/>
    </row>
    <row r="13" spans="1:16" ht="27.75">
      <c r="A13" s="190"/>
      <c r="B13" s="189"/>
      <c r="C13" s="190"/>
      <c r="D13" s="190"/>
      <c r="E13" s="190"/>
      <c r="F13" s="190"/>
      <c r="G13" s="190"/>
      <c r="H13" s="191">
        <v>1</v>
      </c>
      <c r="I13" s="191" t="s">
        <v>1029</v>
      </c>
      <c r="J13" s="191" t="s">
        <v>1029</v>
      </c>
      <c r="K13" s="191" t="s">
        <v>853</v>
      </c>
      <c r="L13" s="191" t="s">
        <v>795</v>
      </c>
      <c r="M13" s="192" t="s">
        <v>1028</v>
      </c>
      <c r="N13" s="191">
        <v>1</v>
      </c>
      <c r="O13" s="191"/>
      <c r="P13" s="191"/>
    </row>
    <row r="14" spans="1:16" s="274" customFormat="1" ht="12">
      <c r="A14" s="274" t="s">
        <v>1926</v>
      </c>
    </row>
    <row r="15" spans="1:16">
      <c r="A15" s="188">
        <v>2112001050001</v>
      </c>
      <c r="B15" s="275" t="s">
        <v>1927</v>
      </c>
      <c r="C15" s="189">
        <v>2200000000052</v>
      </c>
      <c r="D15" s="193" t="s">
        <v>331</v>
      </c>
      <c r="E15" s="24" t="b">
        <v>0</v>
      </c>
      <c r="F15" s="190"/>
      <c r="G15" s="190"/>
      <c r="H15" s="190"/>
      <c r="I15" s="190"/>
      <c r="J15" s="190"/>
      <c r="K15" s="190"/>
      <c r="L15" s="190"/>
      <c r="M15" s="190"/>
      <c r="N15" s="190"/>
      <c r="O15" s="190"/>
      <c r="P15" s="190"/>
    </row>
    <row r="16" spans="1:16" ht="41.25">
      <c r="A16" s="190"/>
      <c r="B16" s="189"/>
      <c r="C16" s="190"/>
      <c r="D16" s="193"/>
      <c r="E16" s="190"/>
      <c r="F16" s="190"/>
      <c r="G16" s="190"/>
      <c r="H16" s="191">
        <v>1</v>
      </c>
      <c r="I16" s="191" t="s">
        <v>1029</v>
      </c>
      <c r="J16" s="191" t="s">
        <v>1029</v>
      </c>
      <c r="K16" s="191" t="s">
        <v>853</v>
      </c>
      <c r="L16" s="191" t="s">
        <v>1561</v>
      </c>
      <c r="M16" s="192" t="s">
        <v>1947</v>
      </c>
      <c r="N16" s="191">
        <v>1</v>
      </c>
      <c r="O16" s="191"/>
      <c r="P16" s="191"/>
    </row>
    <row r="17" spans="1:16">
      <c r="A17" s="188">
        <v>2112001050002</v>
      </c>
      <c r="B17" s="276" t="s">
        <v>1928</v>
      </c>
      <c r="C17" s="189">
        <v>2200000000052</v>
      </c>
      <c r="D17" s="193" t="s">
        <v>331</v>
      </c>
      <c r="E17" s="24" t="b">
        <v>0</v>
      </c>
      <c r="F17" s="190"/>
      <c r="G17" s="190"/>
      <c r="H17" s="190"/>
      <c r="I17" s="190"/>
      <c r="J17" s="190"/>
      <c r="K17" s="190"/>
      <c r="L17" s="190"/>
      <c r="M17" s="190"/>
      <c r="N17" s="190"/>
      <c r="O17" s="190"/>
      <c r="P17" s="190"/>
    </row>
    <row r="18" spans="1:16" ht="41.25">
      <c r="A18" s="190"/>
      <c r="B18" s="189"/>
      <c r="C18" s="190"/>
      <c r="D18" s="193"/>
      <c r="E18" s="190"/>
      <c r="F18" s="190"/>
      <c r="G18" s="190"/>
      <c r="H18" s="191">
        <v>1</v>
      </c>
      <c r="I18" s="191" t="s">
        <v>1029</v>
      </c>
      <c r="J18" s="191" t="s">
        <v>1029</v>
      </c>
      <c r="K18" s="191" t="s">
        <v>853</v>
      </c>
      <c r="L18" s="191" t="s">
        <v>1561</v>
      </c>
      <c r="M18" s="192" t="s">
        <v>1948</v>
      </c>
      <c r="N18" s="191">
        <v>1</v>
      </c>
      <c r="O18" s="191"/>
      <c r="P18" s="191"/>
    </row>
    <row r="19" spans="1:16">
      <c r="A19" s="188">
        <v>2112001050003</v>
      </c>
      <c r="B19" s="276" t="s">
        <v>1929</v>
      </c>
      <c r="C19" s="189">
        <v>2200000000052</v>
      </c>
      <c r="D19" s="193" t="s">
        <v>331</v>
      </c>
      <c r="E19" s="24" t="b">
        <v>0</v>
      </c>
      <c r="F19" s="190"/>
      <c r="G19" s="190"/>
      <c r="H19" s="190"/>
      <c r="I19" s="190"/>
      <c r="J19" s="190"/>
      <c r="K19" s="190"/>
      <c r="L19" s="190"/>
      <c r="M19" s="190"/>
      <c r="N19" s="190"/>
      <c r="O19" s="190"/>
      <c r="P19" s="190"/>
    </row>
    <row r="20" spans="1:16" ht="41.25">
      <c r="A20" s="190"/>
      <c r="B20" s="189"/>
      <c r="C20" s="190"/>
      <c r="D20" s="193"/>
      <c r="E20" s="190"/>
      <c r="F20" s="190"/>
      <c r="G20" s="190"/>
      <c r="H20" s="191">
        <v>1</v>
      </c>
      <c r="I20" s="191" t="s">
        <v>1029</v>
      </c>
      <c r="J20" s="191" t="s">
        <v>1029</v>
      </c>
      <c r="K20" s="191" t="s">
        <v>853</v>
      </c>
      <c r="L20" s="191" t="s">
        <v>1561</v>
      </c>
      <c r="M20" s="192" t="s">
        <v>1949</v>
      </c>
      <c r="N20" s="191">
        <v>1</v>
      </c>
      <c r="O20" s="191"/>
      <c r="P20" s="191"/>
    </row>
    <row r="21" spans="1:16">
      <c r="A21" s="188">
        <v>2112001050004</v>
      </c>
      <c r="B21" s="276" t="s">
        <v>1930</v>
      </c>
      <c r="C21" s="189">
        <v>2200000000052</v>
      </c>
      <c r="D21" s="193" t="s">
        <v>331</v>
      </c>
      <c r="E21" s="24" t="b">
        <v>0</v>
      </c>
      <c r="F21" s="190"/>
      <c r="G21" s="190"/>
      <c r="H21" s="190"/>
      <c r="I21" s="190"/>
      <c r="J21" s="190"/>
      <c r="K21" s="190"/>
      <c r="L21" s="190"/>
      <c r="M21" s="190"/>
      <c r="N21" s="190"/>
      <c r="O21" s="190"/>
      <c r="P21" s="190"/>
    </row>
    <row r="22" spans="1:16" ht="41.25">
      <c r="A22" s="190"/>
      <c r="B22" s="189"/>
      <c r="C22" s="190"/>
      <c r="D22" s="193"/>
      <c r="E22" s="190"/>
      <c r="F22" s="190"/>
      <c r="G22" s="190"/>
      <c r="H22" s="191">
        <v>1</v>
      </c>
      <c r="I22" s="191" t="s">
        <v>1029</v>
      </c>
      <c r="J22" s="191" t="s">
        <v>1029</v>
      </c>
      <c r="K22" s="191" t="s">
        <v>853</v>
      </c>
      <c r="L22" s="191" t="s">
        <v>1561</v>
      </c>
      <c r="M22" s="192" t="s">
        <v>1950</v>
      </c>
      <c r="N22" s="191">
        <v>1</v>
      </c>
      <c r="O22" s="191"/>
      <c r="P22" s="191"/>
    </row>
    <row r="23" spans="1:16">
      <c r="A23" s="188">
        <v>2112001050005</v>
      </c>
      <c r="B23" s="276" t="s">
        <v>1931</v>
      </c>
      <c r="C23" s="189">
        <v>2200000000052</v>
      </c>
      <c r="D23" s="193" t="s">
        <v>331</v>
      </c>
      <c r="E23" s="24" t="b">
        <v>0</v>
      </c>
      <c r="F23" s="190"/>
      <c r="G23" s="190"/>
      <c r="H23" s="190"/>
      <c r="I23" s="190"/>
      <c r="J23" s="190"/>
      <c r="K23" s="190"/>
      <c r="L23" s="190"/>
      <c r="M23" s="190"/>
      <c r="N23" s="190"/>
      <c r="O23" s="190"/>
      <c r="P23" s="190"/>
    </row>
    <row r="24" spans="1:16" ht="41.25">
      <c r="A24" s="190"/>
      <c r="B24" s="189"/>
      <c r="C24" s="190"/>
      <c r="D24" s="193"/>
      <c r="E24" s="190"/>
      <c r="F24" s="190"/>
      <c r="G24" s="190"/>
      <c r="H24" s="191">
        <v>1</v>
      </c>
      <c r="I24" s="191" t="s">
        <v>1029</v>
      </c>
      <c r="J24" s="191" t="s">
        <v>1029</v>
      </c>
      <c r="K24" s="191" t="s">
        <v>853</v>
      </c>
      <c r="L24" s="191" t="s">
        <v>1561</v>
      </c>
      <c r="M24" s="192" t="s">
        <v>1951</v>
      </c>
      <c r="N24" s="191">
        <v>1</v>
      </c>
      <c r="O24" s="191"/>
      <c r="P24" s="191"/>
    </row>
    <row r="25" spans="1:16">
      <c r="A25" s="188">
        <v>2112001050006</v>
      </c>
      <c r="B25" s="276" t="s">
        <v>1932</v>
      </c>
      <c r="C25" s="189">
        <v>2200000000052</v>
      </c>
      <c r="D25" s="193" t="s">
        <v>331</v>
      </c>
      <c r="E25" s="24" t="b">
        <v>0</v>
      </c>
      <c r="F25" s="190"/>
      <c r="G25" s="190"/>
      <c r="H25" s="190"/>
      <c r="I25" s="190"/>
      <c r="J25" s="190"/>
      <c r="K25" s="190"/>
      <c r="L25" s="190"/>
      <c r="M25" s="190"/>
      <c r="N25" s="190"/>
      <c r="O25" s="190"/>
      <c r="P25" s="190"/>
    </row>
    <row r="26" spans="1:16" ht="41.25">
      <c r="A26" s="190"/>
      <c r="B26" s="189"/>
      <c r="C26" s="190"/>
      <c r="D26" s="193"/>
      <c r="E26" s="190"/>
      <c r="F26" s="190"/>
      <c r="G26" s="190"/>
      <c r="H26" s="191">
        <v>1</v>
      </c>
      <c r="I26" s="191" t="s">
        <v>1029</v>
      </c>
      <c r="J26" s="191" t="s">
        <v>1029</v>
      </c>
      <c r="K26" s="191" t="s">
        <v>853</v>
      </c>
      <c r="L26" s="191" t="s">
        <v>1561</v>
      </c>
      <c r="M26" s="192" t="s">
        <v>1952</v>
      </c>
      <c r="N26" s="191">
        <v>1</v>
      </c>
      <c r="O26" s="191"/>
      <c r="P26" s="191"/>
    </row>
    <row r="27" spans="1:16">
      <c r="A27" s="188">
        <v>2112001050007</v>
      </c>
      <c r="B27" s="276" t="s">
        <v>1933</v>
      </c>
      <c r="C27" s="189">
        <v>2200000000052</v>
      </c>
      <c r="D27" s="193" t="s">
        <v>331</v>
      </c>
      <c r="E27" s="24" t="b">
        <v>0</v>
      </c>
      <c r="F27" s="190"/>
      <c r="G27" s="190"/>
      <c r="H27" s="190"/>
      <c r="I27" s="190"/>
      <c r="J27" s="190"/>
      <c r="K27" s="190"/>
      <c r="L27" s="190"/>
      <c r="M27" s="190"/>
      <c r="N27" s="190"/>
      <c r="O27" s="190"/>
      <c r="P27" s="190"/>
    </row>
    <row r="28" spans="1:16" ht="41.25">
      <c r="A28" s="190"/>
      <c r="B28" s="189"/>
      <c r="C28" s="190"/>
      <c r="D28" s="193"/>
      <c r="E28" s="190"/>
      <c r="F28" s="190"/>
      <c r="G28" s="190"/>
      <c r="H28" s="191">
        <v>1</v>
      </c>
      <c r="I28" s="191" t="s">
        <v>1029</v>
      </c>
      <c r="J28" s="191" t="s">
        <v>1029</v>
      </c>
      <c r="K28" s="191" t="s">
        <v>853</v>
      </c>
      <c r="L28" s="191" t="s">
        <v>1561</v>
      </c>
      <c r="M28" s="192" t="s">
        <v>1953</v>
      </c>
      <c r="N28" s="191">
        <v>1</v>
      </c>
      <c r="O28" s="191"/>
      <c r="P28" s="191"/>
    </row>
    <row r="29" spans="1:16">
      <c r="A29" s="188">
        <v>2112001050008</v>
      </c>
      <c r="B29" s="276" t="s">
        <v>1934</v>
      </c>
      <c r="C29" s="189">
        <v>2200000000052</v>
      </c>
      <c r="D29" s="193" t="s">
        <v>331</v>
      </c>
      <c r="E29" s="24" t="b">
        <v>0</v>
      </c>
      <c r="F29" s="190"/>
      <c r="G29" s="190"/>
      <c r="H29" s="190"/>
      <c r="I29" s="190"/>
      <c r="J29" s="190"/>
      <c r="K29" s="190"/>
      <c r="L29" s="190"/>
      <c r="M29" s="190"/>
      <c r="N29" s="190"/>
      <c r="O29" s="190"/>
      <c r="P29" s="190"/>
    </row>
    <row r="30" spans="1:16" ht="41.25">
      <c r="A30" s="190"/>
      <c r="B30" s="189"/>
      <c r="C30" s="190"/>
      <c r="D30" s="193"/>
      <c r="E30" s="190"/>
      <c r="F30" s="190"/>
      <c r="G30" s="190"/>
      <c r="H30" s="191">
        <v>1</v>
      </c>
      <c r="I30" s="191" t="s">
        <v>1029</v>
      </c>
      <c r="J30" s="191" t="s">
        <v>1029</v>
      </c>
      <c r="K30" s="191" t="s">
        <v>853</v>
      </c>
      <c r="L30" s="191" t="s">
        <v>1561</v>
      </c>
      <c r="M30" s="192" t="s">
        <v>1954</v>
      </c>
      <c r="N30" s="191">
        <v>1</v>
      </c>
      <c r="O30" s="191"/>
      <c r="P30" s="191"/>
    </row>
    <row r="31" spans="1:16">
      <c r="A31" s="188">
        <v>2112001050009</v>
      </c>
      <c r="B31" s="276" t="s">
        <v>1935</v>
      </c>
      <c r="C31" s="189">
        <v>2200000000052</v>
      </c>
      <c r="D31" s="193" t="s">
        <v>331</v>
      </c>
      <c r="E31" s="24" t="b">
        <v>0</v>
      </c>
      <c r="F31" s="190"/>
      <c r="G31" s="190"/>
      <c r="H31" s="190"/>
      <c r="I31" s="190"/>
      <c r="J31" s="190"/>
      <c r="K31" s="190"/>
      <c r="L31" s="190"/>
      <c r="M31" s="190"/>
      <c r="N31" s="190"/>
      <c r="O31" s="190"/>
      <c r="P31" s="190"/>
    </row>
    <row r="32" spans="1:16" ht="41.25">
      <c r="A32" s="190"/>
      <c r="B32" s="189"/>
      <c r="C32" s="190"/>
      <c r="D32" s="193"/>
      <c r="E32" s="190"/>
      <c r="F32" s="190"/>
      <c r="G32" s="190"/>
      <c r="H32" s="191">
        <v>1</v>
      </c>
      <c r="I32" s="191" t="s">
        <v>1029</v>
      </c>
      <c r="J32" s="191" t="s">
        <v>1029</v>
      </c>
      <c r="K32" s="191" t="s">
        <v>853</v>
      </c>
      <c r="L32" s="191" t="s">
        <v>1561</v>
      </c>
      <c r="M32" s="192" t="s">
        <v>1955</v>
      </c>
      <c r="N32" s="191">
        <v>1</v>
      </c>
      <c r="O32" s="191"/>
      <c r="P32" s="191"/>
    </row>
    <row r="33" spans="1:16">
      <c r="A33" s="188">
        <v>2112001050010</v>
      </c>
      <c r="B33" s="276" t="s">
        <v>1936</v>
      </c>
      <c r="C33" s="189">
        <v>2200000000052</v>
      </c>
      <c r="D33" s="193" t="s">
        <v>331</v>
      </c>
      <c r="E33" s="24" t="b">
        <v>0</v>
      </c>
      <c r="F33" s="190"/>
      <c r="G33" s="190"/>
      <c r="H33" s="190"/>
      <c r="I33" s="190"/>
      <c r="J33" s="190"/>
      <c r="K33" s="190"/>
      <c r="L33" s="190"/>
      <c r="M33" s="190"/>
      <c r="N33" s="190"/>
      <c r="O33" s="190"/>
      <c r="P33" s="190"/>
    </row>
    <row r="34" spans="1:16" ht="41.25">
      <c r="A34" s="190"/>
      <c r="B34" s="189"/>
      <c r="C34" s="190"/>
      <c r="D34" s="193"/>
      <c r="E34" s="190"/>
      <c r="F34" s="190"/>
      <c r="G34" s="190"/>
      <c r="H34" s="191">
        <v>1</v>
      </c>
      <c r="I34" s="191" t="s">
        <v>1029</v>
      </c>
      <c r="J34" s="191" t="s">
        <v>1029</v>
      </c>
      <c r="K34" s="191" t="s">
        <v>853</v>
      </c>
      <c r="L34" s="191" t="s">
        <v>1561</v>
      </c>
      <c r="M34" s="192" t="s">
        <v>1956</v>
      </c>
      <c r="N34" s="191">
        <v>1</v>
      </c>
      <c r="O34" s="191"/>
      <c r="P34" s="191"/>
    </row>
    <row r="35" spans="1:16">
      <c r="A35" s="188">
        <v>2112001050011</v>
      </c>
      <c r="B35" s="276" t="s">
        <v>1937</v>
      </c>
      <c r="C35" s="189">
        <v>2200000000052</v>
      </c>
      <c r="D35" s="193" t="s">
        <v>331</v>
      </c>
      <c r="E35" s="24" t="b">
        <v>0</v>
      </c>
      <c r="F35" s="190"/>
      <c r="G35" s="190"/>
      <c r="H35" s="190"/>
      <c r="I35" s="190"/>
      <c r="J35" s="190"/>
      <c r="K35" s="190"/>
      <c r="L35" s="190"/>
      <c r="M35" s="190"/>
      <c r="N35" s="190"/>
      <c r="O35" s="190"/>
      <c r="P35" s="190"/>
    </row>
    <row r="36" spans="1:16" ht="41.25">
      <c r="A36" s="190"/>
      <c r="B36" s="189"/>
      <c r="C36" s="190"/>
      <c r="D36" s="193"/>
      <c r="E36" s="190"/>
      <c r="F36" s="190"/>
      <c r="G36" s="190"/>
      <c r="H36" s="191">
        <v>1</v>
      </c>
      <c r="I36" s="191" t="s">
        <v>1029</v>
      </c>
      <c r="J36" s="191" t="s">
        <v>1029</v>
      </c>
      <c r="K36" s="191" t="s">
        <v>853</v>
      </c>
      <c r="L36" s="191" t="s">
        <v>1561</v>
      </c>
      <c r="M36" s="192" t="s">
        <v>1957</v>
      </c>
      <c r="N36" s="191">
        <v>1</v>
      </c>
      <c r="O36" s="191"/>
      <c r="P36" s="191"/>
    </row>
    <row r="37" spans="1:16">
      <c r="A37" s="188">
        <v>2112001050012</v>
      </c>
      <c r="B37" s="276" t="s">
        <v>1938</v>
      </c>
      <c r="C37" s="189">
        <v>2200000000052</v>
      </c>
      <c r="D37" s="193" t="s">
        <v>331</v>
      </c>
      <c r="E37" s="24" t="b">
        <v>0</v>
      </c>
      <c r="F37" s="190"/>
      <c r="G37" s="190"/>
      <c r="H37" s="190"/>
      <c r="I37" s="190"/>
      <c r="J37" s="190"/>
      <c r="K37" s="190"/>
      <c r="L37" s="190"/>
      <c r="M37" s="190"/>
      <c r="N37" s="190"/>
      <c r="O37" s="190"/>
      <c r="P37" s="190"/>
    </row>
    <row r="38" spans="1:16" ht="41.25">
      <c r="A38" s="190"/>
      <c r="B38" s="189"/>
      <c r="C38" s="190"/>
      <c r="D38" s="193"/>
      <c r="E38" s="190"/>
      <c r="F38" s="190"/>
      <c r="G38" s="190"/>
      <c r="H38" s="191">
        <v>1</v>
      </c>
      <c r="I38" s="191" t="s">
        <v>1029</v>
      </c>
      <c r="J38" s="191" t="s">
        <v>1029</v>
      </c>
      <c r="K38" s="191" t="s">
        <v>853</v>
      </c>
      <c r="L38" s="191" t="s">
        <v>1561</v>
      </c>
      <c r="M38" s="192" t="s">
        <v>1958</v>
      </c>
      <c r="N38" s="191">
        <v>1</v>
      </c>
      <c r="O38" s="191"/>
      <c r="P38" s="191"/>
    </row>
    <row r="39" spans="1:16">
      <c r="A39" s="188">
        <v>2112001050013</v>
      </c>
      <c r="B39" s="276" t="s">
        <v>1939</v>
      </c>
      <c r="C39" s="189">
        <v>2200000000052</v>
      </c>
      <c r="D39" s="193" t="s">
        <v>331</v>
      </c>
      <c r="E39" s="24" t="b">
        <v>0</v>
      </c>
      <c r="F39" s="190"/>
      <c r="G39" s="190"/>
      <c r="H39" s="190"/>
      <c r="I39" s="190"/>
      <c r="J39" s="190"/>
      <c r="K39" s="190"/>
      <c r="L39" s="190"/>
      <c r="M39" s="190"/>
      <c r="N39" s="190"/>
      <c r="O39" s="190"/>
      <c r="P39" s="190"/>
    </row>
    <row r="40" spans="1:16" ht="41.25">
      <c r="A40" s="190"/>
      <c r="B40" s="189"/>
      <c r="C40" s="190"/>
      <c r="D40" s="193"/>
      <c r="E40" s="190"/>
      <c r="F40" s="190"/>
      <c r="G40" s="190"/>
      <c r="H40" s="191">
        <v>1</v>
      </c>
      <c r="I40" s="191" t="s">
        <v>1029</v>
      </c>
      <c r="J40" s="191" t="s">
        <v>1029</v>
      </c>
      <c r="K40" s="191" t="s">
        <v>853</v>
      </c>
      <c r="L40" s="191" t="s">
        <v>1561</v>
      </c>
      <c r="M40" s="192" t="s">
        <v>1959</v>
      </c>
      <c r="N40" s="191">
        <v>1</v>
      </c>
      <c r="O40" s="191"/>
      <c r="P40" s="191"/>
    </row>
    <row r="41" spans="1:16">
      <c r="A41" s="188">
        <v>2112001050014</v>
      </c>
      <c r="B41" s="276" t="s">
        <v>1940</v>
      </c>
      <c r="C41" s="189">
        <v>2200000000052</v>
      </c>
      <c r="D41" s="193" t="s">
        <v>331</v>
      </c>
      <c r="E41" s="24" t="b">
        <v>0</v>
      </c>
      <c r="F41" s="190"/>
      <c r="G41" s="190"/>
      <c r="H41" s="190"/>
      <c r="I41" s="190"/>
      <c r="J41" s="190"/>
      <c r="K41" s="190"/>
      <c r="L41" s="190"/>
      <c r="M41" s="190"/>
      <c r="N41" s="190"/>
      <c r="O41" s="190"/>
      <c r="P41" s="190"/>
    </row>
    <row r="42" spans="1:16" ht="41.25">
      <c r="A42" s="190"/>
      <c r="B42" s="189"/>
      <c r="C42" s="190"/>
      <c r="D42" s="193"/>
      <c r="E42" s="190"/>
      <c r="F42" s="190"/>
      <c r="G42" s="190"/>
      <c r="H42" s="191">
        <v>1</v>
      </c>
      <c r="I42" s="191" t="s">
        <v>1029</v>
      </c>
      <c r="J42" s="191" t="s">
        <v>1029</v>
      </c>
      <c r="K42" s="191" t="s">
        <v>853</v>
      </c>
      <c r="L42" s="191" t="s">
        <v>1561</v>
      </c>
      <c r="M42" s="192" t="s">
        <v>1960</v>
      </c>
      <c r="N42" s="191">
        <v>1</v>
      </c>
      <c r="O42" s="191"/>
      <c r="P42" s="191"/>
    </row>
    <row r="43" spans="1:16">
      <c r="A43" s="188">
        <v>2112001050015</v>
      </c>
      <c r="B43" s="276" t="s">
        <v>1941</v>
      </c>
      <c r="C43" s="189">
        <v>2200000000052</v>
      </c>
      <c r="D43" s="193" t="s">
        <v>331</v>
      </c>
      <c r="E43" s="24" t="b">
        <v>0</v>
      </c>
      <c r="F43" s="190"/>
      <c r="G43" s="190"/>
      <c r="H43" s="190"/>
      <c r="I43" s="190"/>
      <c r="J43" s="190"/>
      <c r="K43" s="190"/>
      <c r="L43" s="190"/>
      <c r="M43" s="190"/>
      <c r="N43" s="190"/>
      <c r="O43" s="190"/>
      <c r="P43" s="190"/>
    </row>
    <row r="44" spans="1:16" ht="41.25">
      <c r="A44" s="190"/>
      <c r="B44" s="189"/>
      <c r="C44" s="190"/>
      <c r="D44" s="193"/>
      <c r="E44" s="190"/>
      <c r="F44" s="190"/>
      <c r="G44" s="190"/>
      <c r="H44" s="191">
        <v>1</v>
      </c>
      <c r="I44" s="191" t="s">
        <v>1029</v>
      </c>
      <c r="J44" s="191" t="s">
        <v>1029</v>
      </c>
      <c r="K44" s="191" t="s">
        <v>853</v>
      </c>
      <c r="L44" s="191" t="s">
        <v>1561</v>
      </c>
      <c r="M44" s="192" t="s">
        <v>1961</v>
      </c>
      <c r="N44" s="191">
        <v>1</v>
      </c>
      <c r="O44" s="191"/>
      <c r="P44" s="191"/>
    </row>
    <row r="45" spans="1:16">
      <c r="A45" s="188">
        <v>2112001050016</v>
      </c>
      <c r="B45" s="276" t="s">
        <v>1942</v>
      </c>
      <c r="C45" s="189">
        <v>2200000000052</v>
      </c>
      <c r="D45" s="193" t="s">
        <v>331</v>
      </c>
      <c r="E45" s="24" t="b">
        <v>0</v>
      </c>
      <c r="F45" s="190"/>
      <c r="G45" s="190"/>
      <c r="H45" s="190"/>
      <c r="I45" s="190"/>
      <c r="J45" s="190"/>
      <c r="K45" s="190"/>
      <c r="L45" s="190"/>
      <c r="M45" s="190"/>
      <c r="N45" s="190"/>
      <c r="O45" s="190"/>
      <c r="P45" s="190"/>
    </row>
    <row r="46" spans="1:16" ht="41.25">
      <c r="A46" s="190"/>
      <c r="B46" s="189"/>
      <c r="C46" s="190"/>
      <c r="D46" s="193"/>
      <c r="E46" s="190"/>
      <c r="F46" s="190"/>
      <c r="G46" s="190"/>
      <c r="H46" s="191">
        <v>1</v>
      </c>
      <c r="I46" s="191" t="s">
        <v>1029</v>
      </c>
      <c r="J46" s="191" t="s">
        <v>1029</v>
      </c>
      <c r="K46" s="191" t="s">
        <v>853</v>
      </c>
      <c r="L46" s="191" t="s">
        <v>1561</v>
      </c>
      <c r="M46" s="192" t="s">
        <v>1962</v>
      </c>
      <c r="N46" s="191">
        <v>1</v>
      </c>
      <c r="O46" s="191"/>
      <c r="P46" s="191"/>
    </row>
    <row r="47" spans="1:16">
      <c r="A47" s="188">
        <v>2112001050017</v>
      </c>
      <c r="B47" s="276" t="s">
        <v>1943</v>
      </c>
      <c r="C47" s="189">
        <v>2200000000052</v>
      </c>
      <c r="D47" s="193" t="s">
        <v>331</v>
      </c>
      <c r="E47" s="24" t="b">
        <v>0</v>
      </c>
      <c r="F47" s="190"/>
      <c r="G47" s="190"/>
      <c r="H47" s="190"/>
      <c r="I47" s="190"/>
      <c r="J47" s="190"/>
      <c r="K47" s="190"/>
      <c r="L47" s="190"/>
      <c r="M47" s="190"/>
      <c r="N47" s="190"/>
      <c r="O47" s="190"/>
      <c r="P47" s="190"/>
    </row>
    <row r="48" spans="1:16" ht="41.25">
      <c r="A48" s="190"/>
      <c r="B48" s="189"/>
      <c r="C48" s="190"/>
      <c r="D48" s="193"/>
      <c r="E48" s="190"/>
      <c r="F48" s="190"/>
      <c r="G48" s="190"/>
      <c r="H48" s="191">
        <v>1</v>
      </c>
      <c r="I48" s="191" t="s">
        <v>1029</v>
      </c>
      <c r="J48" s="191" t="s">
        <v>1029</v>
      </c>
      <c r="K48" s="191" t="s">
        <v>853</v>
      </c>
      <c r="L48" s="191" t="s">
        <v>1561</v>
      </c>
      <c r="M48" s="192" t="s">
        <v>1963</v>
      </c>
      <c r="N48" s="191">
        <v>1</v>
      </c>
      <c r="O48" s="191"/>
      <c r="P48" s="191"/>
    </row>
    <row r="49" spans="1:16">
      <c r="A49" s="188">
        <v>2112001050018</v>
      </c>
      <c r="B49" s="276" t="s">
        <v>1944</v>
      </c>
      <c r="C49" s="189">
        <v>2200000000052</v>
      </c>
      <c r="D49" s="193" t="s">
        <v>331</v>
      </c>
      <c r="E49" s="24" t="b">
        <v>0</v>
      </c>
      <c r="F49" s="190"/>
      <c r="G49" s="190"/>
      <c r="H49" s="190"/>
      <c r="I49" s="190"/>
      <c r="J49" s="190"/>
      <c r="K49" s="190"/>
      <c r="L49" s="190"/>
      <c r="M49" s="190"/>
      <c r="N49" s="190"/>
      <c r="O49" s="190"/>
      <c r="P49" s="190"/>
    </row>
    <row r="50" spans="1:16" ht="41.25">
      <c r="A50" s="190"/>
      <c r="B50" s="189"/>
      <c r="C50" s="190"/>
      <c r="D50" s="193"/>
      <c r="E50" s="190"/>
      <c r="F50" s="190"/>
      <c r="G50" s="190"/>
      <c r="H50" s="191">
        <v>1</v>
      </c>
      <c r="I50" s="191" t="s">
        <v>1029</v>
      </c>
      <c r="J50" s="191" t="s">
        <v>1029</v>
      </c>
      <c r="K50" s="191" t="s">
        <v>853</v>
      </c>
      <c r="L50" s="191" t="s">
        <v>1561</v>
      </c>
      <c r="M50" s="192" t="s">
        <v>1964</v>
      </c>
      <c r="N50" s="191">
        <v>1</v>
      </c>
      <c r="O50" s="191"/>
      <c r="P50" s="191"/>
    </row>
    <row r="51" spans="1:16">
      <c r="A51" s="188">
        <v>2112001050019</v>
      </c>
      <c r="B51" s="276" t="s">
        <v>1945</v>
      </c>
      <c r="C51" s="189">
        <v>2200000000052</v>
      </c>
      <c r="D51" s="193" t="s">
        <v>331</v>
      </c>
      <c r="E51" s="24" t="b">
        <v>0</v>
      </c>
      <c r="F51" s="190"/>
      <c r="G51" s="190"/>
      <c r="H51" s="190"/>
      <c r="I51" s="190"/>
      <c r="J51" s="190"/>
      <c r="K51" s="190"/>
      <c r="L51" s="190"/>
      <c r="M51" s="190"/>
      <c r="N51" s="190"/>
      <c r="O51" s="190"/>
      <c r="P51" s="190"/>
    </row>
    <row r="52" spans="1:16" ht="41.25">
      <c r="A52" s="190"/>
      <c r="B52" s="189"/>
      <c r="C52" s="190"/>
      <c r="D52" s="193"/>
      <c r="E52" s="190"/>
      <c r="F52" s="190"/>
      <c r="G52" s="190"/>
      <c r="H52" s="191">
        <v>1</v>
      </c>
      <c r="I52" s="191" t="s">
        <v>1029</v>
      </c>
      <c r="J52" s="191" t="s">
        <v>1029</v>
      </c>
      <c r="K52" s="191" t="s">
        <v>853</v>
      </c>
      <c r="L52" s="191" t="s">
        <v>1561</v>
      </c>
      <c r="M52" s="192" t="s">
        <v>1965</v>
      </c>
      <c r="N52" s="191">
        <v>1</v>
      </c>
      <c r="O52" s="191"/>
      <c r="P52" s="191"/>
    </row>
    <row r="53" spans="1:16">
      <c r="A53" s="188">
        <v>2112001050020</v>
      </c>
      <c r="B53" s="276" t="s">
        <v>1946</v>
      </c>
      <c r="C53" s="189">
        <v>2200000000052</v>
      </c>
      <c r="D53" s="193" t="s">
        <v>331</v>
      </c>
      <c r="E53" s="24" t="b">
        <v>0</v>
      </c>
      <c r="F53" s="190"/>
      <c r="G53" s="190"/>
      <c r="H53" s="190"/>
      <c r="I53" s="190"/>
      <c r="J53" s="190"/>
      <c r="K53" s="190"/>
      <c r="L53" s="190"/>
      <c r="M53" s="190"/>
      <c r="N53" s="190"/>
      <c r="O53" s="190"/>
      <c r="P53" s="190"/>
    </row>
    <row r="54" spans="1:16" ht="41.25">
      <c r="A54" s="190"/>
      <c r="B54" s="189"/>
      <c r="C54" s="190"/>
      <c r="D54" s="193"/>
      <c r="E54" s="190"/>
      <c r="F54" s="190"/>
      <c r="G54" s="190"/>
      <c r="H54" s="191">
        <v>1</v>
      </c>
      <c r="I54" s="191" t="s">
        <v>1029</v>
      </c>
      <c r="J54" s="191" t="s">
        <v>1029</v>
      </c>
      <c r="K54" s="191" t="s">
        <v>853</v>
      </c>
      <c r="L54" s="191" t="s">
        <v>1561</v>
      </c>
      <c r="M54" s="192" t="s">
        <v>1966</v>
      </c>
      <c r="N54" s="191">
        <v>1</v>
      </c>
      <c r="O54" s="191"/>
      <c r="P54" s="191"/>
    </row>
    <row r="55" spans="1:16" s="274" customFormat="1" ht="12">
      <c r="A55" s="274" t="s">
        <v>1967</v>
      </c>
    </row>
    <row r="56" spans="1:16">
      <c r="A56" s="188">
        <v>2112001070001</v>
      </c>
      <c r="B56" s="189" t="s">
        <v>1970</v>
      </c>
      <c r="C56" s="189">
        <v>2200000000052</v>
      </c>
      <c r="D56" s="193" t="s">
        <v>331</v>
      </c>
      <c r="E56" s="24" t="b">
        <v>0</v>
      </c>
      <c r="F56" s="190"/>
      <c r="G56" s="190"/>
      <c r="H56" s="190"/>
      <c r="I56" s="190"/>
      <c r="J56" s="190"/>
      <c r="K56" s="190"/>
      <c r="L56" s="190"/>
      <c r="M56" s="190"/>
      <c r="N56" s="190"/>
      <c r="O56" s="190"/>
      <c r="P56" s="190"/>
    </row>
    <row r="57" spans="1:16" ht="27.75">
      <c r="A57" s="190"/>
      <c r="B57" s="189"/>
      <c r="C57" s="190"/>
      <c r="D57" s="193"/>
      <c r="E57" s="190"/>
      <c r="F57" s="190"/>
      <c r="G57" s="190"/>
      <c r="H57" s="191">
        <v>1</v>
      </c>
      <c r="I57" s="191" t="s">
        <v>1029</v>
      </c>
      <c r="J57" s="191" t="s">
        <v>1029</v>
      </c>
      <c r="K57" s="191" t="s">
        <v>853</v>
      </c>
      <c r="L57" s="191" t="s">
        <v>1021</v>
      </c>
      <c r="M57" s="192" t="s">
        <v>1981</v>
      </c>
      <c r="N57" s="191">
        <v>1</v>
      </c>
      <c r="O57" s="191"/>
      <c r="P57" s="191"/>
    </row>
    <row r="58" spans="1:16">
      <c r="A58" s="188">
        <f>A56+1</f>
        <v>2112001070002</v>
      </c>
      <c r="B58" s="189" t="s">
        <v>1971</v>
      </c>
      <c r="C58" s="189">
        <v>2200000000052</v>
      </c>
      <c r="D58" s="193" t="s">
        <v>331</v>
      </c>
      <c r="E58" s="24" t="b">
        <v>0</v>
      </c>
      <c r="F58" s="190"/>
      <c r="G58" s="190"/>
      <c r="H58" s="190"/>
      <c r="I58" s="190"/>
      <c r="J58" s="190"/>
      <c r="K58" s="190"/>
      <c r="L58" s="190"/>
      <c r="M58" s="190"/>
      <c r="N58" s="190"/>
      <c r="O58" s="190"/>
      <c r="P58" s="190"/>
    </row>
    <row r="59" spans="1:16" ht="27.75">
      <c r="A59" s="190"/>
      <c r="B59" s="189"/>
      <c r="C59" s="190"/>
      <c r="D59" s="193"/>
      <c r="E59" s="190"/>
      <c r="F59" s="190"/>
      <c r="G59" s="190"/>
      <c r="H59" s="191">
        <v>1</v>
      </c>
      <c r="I59" s="191" t="s">
        <v>1029</v>
      </c>
      <c r="J59" s="191" t="s">
        <v>1029</v>
      </c>
      <c r="K59" s="191" t="s">
        <v>853</v>
      </c>
      <c r="L59" s="191" t="s">
        <v>1021</v>
      </c>
      <c r="M59" s="192" t="s">
        <v>1982</v>
      </c>
      <c r="N59" s="191">
        <v>1</v>
      </c>
      <c r="O59" s="191"/>
      <c r="P59" s="191"/>
    </row>
    <row r="60" spans="1:16">
      <c r="A60" s="188">
        <f>A58+1</f>
        <v>2112001070003</v>
      </c>
      <c r="B60" s="189" t="s">
        <v>1972</v>
      </c>
      <c r="C60" s="189">
        <v>2200000000052</v>
      </c>
      <c r="D60" s="193" t="s">
        <v>331</v>
      </c>
      <c r="E60" s="24" t="b">
        <v>0</v>
      </c>
      <c r="F60" s="190"/>
      <c r="G60" s="190"/>
      <c r="H60" s="190"/>
      <c r="I60" s="190"/>
      <c r="J60" s="190"/>
      <c r="K60" s="190"/>
      <c r="L60" s="190"/>
      <c r="M60" s="190"/>
      <c r="N60" s="190"/>
      <c r="O60" s="190"/>
      <c r="P60" s="190"/>
    </row>
    <row r="61" spans="1:16" ht="27.75">
      <c r="A61" s="190"/>
      <c r="B61" s="189"/>
      <c r="C61" s="190"/>
      <c r="D61" s="193"/>
      <c r="E61" s="190"/>
      <c r="F61" s="190"/>
      <c r="G61" s="190"/>
      <c r="H61" s="191">
        <v>1</v>
      </c>
      <c r="I61" s="191" t="s">
        <v>1029</v>
      </c>
      <c r="J61" s="191" t="s">
        <v>1029</v>
      </c>
      <c r="K61" s="191" t="s">
        <v>853</v>
      </c>
      <c r="L61" s="191" t="s">
        <v>1021</v>
      </c>
      <c r="M61" s="192" t="s">
        <v>1983</v>
      </c>
      <c r="N61" s="191">
        <v>1</v>
      </c>
      <c r="O61" s="191"/>
      <c r="P61" s="191"/>
    </row>
    <row r="62" spans="1:16">
      <c r="A62" s="188">
        <f>A60+1</f>
        <v>2112001070004</v>
      </c>
      <c r="B62" s="189" t="s">
        <v>1973</v>
      </c>
      <c r="C62" s="189">
        <v>2200000000052</v>
      </c>
      <c r="D62" s="193" t="s">
        <v>331</v>
      </c>
      <c r="E62" s="24" t="b">
        <v>0</v>
      </c>
      <c r="F62" s="190"/>
      <c r="G62" s="190"/>
      <c r="H62" s="190"/>
      <c r="I62" s="190"/>
      <c r="J62" s="190"/>
      <c r="K62" s="190"/>
      <c r="L62" s="190"/>
      <c r="M62" s="190"/>
      <c r="N62" s="190"/>
      <c r="O62" s="190"/>
      <c r="P62" s="190"/>
    </row>
    <row r="63" spans="1:16" ht="27.75">
      <c r="A63" s="190"/>
      <c r="B63" s="189"/>
      <c r="C63" s="190"/>
      <c r="D63" s="193"/>
      <c r="E63" s="190"/>
      <c r="F63" s="190"/>
      <c r="G63" s="190"/>
      <c r="H63" s="191">
        <v>1</v>
      </c>
      <c r="I63" s="191" t="s">
        <v>1029</v>
      </c>
      <c r="J63" s="191" t="s">
        <v>1029</v>
      </c>
      <c r="K63" s="191" t="s">
        <v>853</v>
      </c>
      <c r="L63" s="191" t="s">
        <v>1021</v>
      </c>
      <c r="M63" s="192" t="s">
        <v>1984</v>
      </c>
      <c r="N63" s="191">
        <v>1</v>
      </c>
      <c r="O63" s="191"/>
      <c r="P63" s="191"/>
    </row>
    <row r="64" spans="1:16">
      <c r="A64" s="188">
        <f>A62+1</f>
        <v>2112001070005</v>
      </c>
      <c r="B64" s="189" t="s">
        <v>1974</v>
      </c>
      <c r="C64" s="189">
        <v>2200000000052</v>
      </c>
      <c r="D64" s="193" t="s">
        <v>331</v>
      </c>
      <c r="E64" s="24" t="b">
        <v>0</v>
      </c>
      <c r="F64" s="190"/>
      <c r="G64" s="190"/>
      <c r="H64" s="190"/>
      <c r="I64" s="190"/>
      <c r="J64" s="190"/>
      <c r="K64" s="190"/>
      <c r="L64" s="190"/>
      <c r="M64" s="190"/>
      <c r="N64" s="190"/>
      <c r="O64" s="190"/>
      <c r="P64" s="190"/>
    </row>
    <row r="65" spans="1:16" ht="27.75">
      <c r="A65" s="190"/>
      <c r="B65" s="189"/>
      <c r="C65" s="190"/>
      <c r="D65" s="193"/>
      <c r="E65" s="190"/>
      <c r="F65" s="190"/>
      <c r="G65" s="190"/>
      <c r="H65" s="191">
        <v>1</v>
      </c>
      <c r="I65" s="191" t="s">
        <v>1029</v>
      </c>
      <c r="J65" s="191" t="s">
        <v>1029</v>
      </c>
      <c r="K65" s="191" t="s">
        <v>853</v>
      </c>
      <c r="L65" s="191" t="s">
        <v>1021</v>
      </c>
      <c r="M65" s="192" t="s">
        <v>1985</v>
      </c>
      <c r="N65" s="191">
        <v>1</v>
      </c>
      <c r="O65" s="191"/>
      <c r="P65" s="191"/>
    </row>
    <row r="66" spans="1:16">
      <c r="A66" s="188">
        <f>A64+1</f>
        <v>2112001070006</v>
      </c>
      <c r="B66" s="189" t="s">
        <v>2706</v>
      </c>
      <c r="C66" s="189">
        <v>2200000000052</v>
      </c>
      <c r="D66" s="193" t="s">
        <v>331</v>
      </c>
      <c r="E66" s="24" t="b">
        <v>0</v>
      </c>
      <c r="F66" s="190"/>
      <c r="G66" s="190"/>
      <c r="H66" s="190"/>
      <c r="I66" s="190"/>
      <c r="J66" s="190"/>
      <c r="K66" s="190"/>
      <c r="L66" s="190"/>
      <c r="M66" s="190"/>
      <c r="N66" s="190"/>
      <c r="O66" s="190"/>
      <c r="P66" s="190"/>
    </row>
    <row r="67" spans="1:16" ht="41.25">
      <c r="A67" s="190"/>
      <c r="B67" s="189"/>
      <c r="C67" s="190"/>
      <c r="D67" s="193"/>
      <c r="E67" s="190"/>
      <c r="F67" s="190"/>
      <c r="G67" s="190"/>
      <c r="H67" s="191">
        <v>1</v>
      </c>
      <c r="I67" s="191" t="s">
        <v>1029</v>
      </c>
      <c r="J67" s="191" t="s">
        <v>1029</v>
      </c>
      <c r="K67" s="191" t="s">
        <v>853</v>
      </c>
      <c r="L67" s="191" t="s">
        <v>1021</v>
      </c>
      <c r="M67" s="192" t="s">
        <v>2710</v>
      </c>
      <c r="N67" s="191">
        <v>1</v>
      </c>
      <c r="O67" s="191"/>
      <c r="P67" s="191"/>
    </row>
    <row r="68" spans="1:16">
      <c r="A68" s="188">
        <f>A66+1</f>
        <v>2112001070007</v>
      </c>
      <c r="B68" s="189" t="s">
        <v>2707</v>
      </c>
      <c r="C68" s="189">
        <v>2200000000052</v>
      </c>
      <c r="D68" s="193" t="s">
        <v>331</v>
      </c>
      <c r="E68" s="24" t="b">
        <v>0</v>
      </c>
      <c r="F68" s="190"/>
      <c r="G68" s="190"/>
      <c r="H68" s="190"/>
      <c r="I68" s="190"/>
      <c r="J68" s="190"/>
      <c r="K68" s="190"/>
      <c r="L68" s="190"/>
      <c r="M68" s="190"/>
      <c r="N68" s="190"/>
      <c r="O68" s="190"/>
      <c r="P68" s="190"/>
    </row>
    <row r="69" spans="1:16" ht="41.25">
      <c r="A69" s="190"/>
      <c r="B69" s="189"/>
      <c r="C69" s="190"/>
      <c r="D69" s="193"/>
      <c r="E69" s="190"/>
      <c r="F69" s="190"/>
      <c r="G69" s="190"/>
      <c r="H69" s="191">
        <v>1</v>
      </c>
      <c r="I69" s="191" t="s">
        <v>1029</v>
      </c>
      <c r="J69" s="191" t="s">
        <v>1029</v>
      </c>
      <c r="K69" s="191" t="s">
        <v>853</v>
      </c>
      <c r="L69" s="191" t="s">
        <v>1021</v>
      </c>
      <c r="M69" s="192" t="s">
        <v>2711</v>
      </c>
      <c r="N69" s="191">
        <v>1</v>
      </c>
      <c r="O69" s="191"/>
      <c r="P69" s="191"/>
    </row>
    <row r="70" spans="1:16">
      <c r="A70" s="188">
        <f>A68+1</f>
        <v>2112001070008</v>
      </c>
      <c r="B70" s="189" t="s">
        <v>2708</v>
      </c>
      <c r="C70" s="189">
        <v>2200000000052</v>
      </c>
      <c r="D70" s="193" t="s">
        <v>331</v>
      </c>
      <c r="E70" s="24" t="b">
        <v>0</v>
      </c>
      <c r="F70" s="190"/>
      <c r="G70" s="190"/>
      <c r="H70" s="190"/>
      <c r="I70" s="190"/>
      <c r="J70" s="190"/>
      <c r="K70" s="190"/>
      <c r="L70" s="190"/>
      <c r="M70" s="190"/>
      <c r="N70" s="190"/>
      <c r="O70" s="190"/>
      <c r="P70" s="190"/>
    </row>
    <row r="71" spans="1:16" ht="41.25">
      <c r="A71" s="190"/>
      <c r="B71" s="189"/>
      <c r="C71" s="190"/>
      <c r="D71" s="193"/>
      <c r="E71" s="190"/>
      <c r="F71" s="190"/>
      <c r="G71" s="190"/>
      <c r="H71" s="191">
        <v>1</v>
      </c>
      <c r="I71" s="191" t="s">
        <v>1029</v>
      </c>
      <c r="J71" s="191" t="s">
        <v>1029</v>
      </c>
      <c r="K71" s="191" t="s">
        <v>853</v>
      </c>
      <c r="L71" s="191" t="s">
        <v>1021</v>
      </c>
      <c r="M71" s="192" t="s">
        <v>2712</v>
      </c>
      <c r="N71" s="191">
        <v>1</v>
      </c>
      <c r="O71" s="191"/>
      <c r="P71" s="191"/>
    </row>
    <row r="72" spans="1:16">
      <c r="A72" s="188">
        <f>A70+1</f>
        <v>2112001070009</v>
      </c>
      <c r="B72" s="189" t="s">
        <v>2709</v>
      </c>
      <c r="C72" s="189">
        <v>2200000000052</v>
      </c>
      <c r="D72" s="193" t="s">
        <v>331</v>
      </c>
      <c r="E72" s="24" t="b">
        <v>0</v>
      </c>
      <c r="F72" s="190"/>
      <c r="G72" s="190"/>
      <c r="H72" s="190"/>
      <c r="I72" s="190"/>
      <c r="J72" s="190"/>
      <c r="K72" s="190"/>
      <c r="L72" s="190"/>
      <c r="M72" s="190"/>
      <c r="N72" s="190"/>
      <c r="O72" s="190"/>
      <c r="P72" s="190"/>
    </row>
    <row r="73" spans="1:16" ht="41.25">
      <c r="A73" s="190"/>
      <c r="B73" s="189"/>
      <c r="C73" s="190"/>
      <c r="D73" s="193"/>
      <c r="E73" s="190"/>
      <c r="F73" s="190"/>
      <c r="G73" s="190"/>
      <c r="H73" s="191">
        <v>1</v>
      </c>
      <c r="I73" s="191" t="s">
        <v>1029</v>
      </c>
      <c r="J73" s="191" t="s">
        <v>1029</v>
      </c>
      <c r="K73" s="191" t="s">
        <v>853</v>
      </c>
      <c r="L73" s="191" t="s">
        <v>1021</v>
      </c>
      <c r="M73" s="192" t="s">
        <v>2713</v>
      </c>
      <c r="N73" s="191">
        <v>1</v>
      </c>
      <c r="O73" s="191"/>
      <c r="P73" s="191"/>
    </row>
    <row r="74" spans="1:16">
      <c r="A74" s="188">
        <f>A72+1</f>
        <v>2112001070010</v>
      </c>
      <c r="B74" s="189" t="s">
        <v>1975</v>
      </c>
      <c r="C74" s="189">
        <v>2200000000052</v>
      </c>
      <c r="D74" s="193" t="s">
        <v>331</v>
      </c>
      <c r="E74" s="24" t="b">
        <v>0</v>
      </c>
      <c r="F74" s="190"/>
      <c r="G74" s="190"/>
      <c r="H74" s="190"/>
      <c r="I74" s="190"/>
      <c r="J74" s="190"/>
      <c r="K74" s="190"/>
      <c r="L74" s="190"/>
      <c r="M74" s="190"/>
      <c r="N74" s="190"/>
      <c r="O74" s="190"/>
      <c r="P74" s="190"/>
    </row>
    <row r="75" spans="1:16" ht="27.75">
      <c r="A75" s="190"/>
      <c r="B75" s="189"/>
      <c r="C75" s="190"/>
      <c r="D75" s="193"/>
      <c r="E75" s="190"/>
      <c r="F75" s="190"/>
      <c r="G75" s="190"/>
      <c r="H75" s="191">
        <v>1</v>
      </c>
      <c r="I75" s="191" t="s">
        <v>1029</v>
      </c>
      <c r="J75" s="191" t="s">
        <v>1029</v>
      </c>
      <c r="K75" s="191" t="s">
        <v>853</v>
      </c>
      <c r="L75" s="191" t="s">
        <v>1021</v>
      </c>
      <c r="M75" s="192" t="s">
        <v>1986</v>
      </c>
      <c r="N75" s="191">
        <v>1</v>
      </c>
      <c r="O75" s="191"/>
      <c r="P75" s="191"/>
    </row>
    <row r="76" spans="1:16">
      <c r="A76" s="188">
        <f>A74+1</f>
        <v>2112001070011</v>
      </c>
      <c r="B76" s="189" t="s">
        <v>1976</v>
      </c>
      <c r="C76" s="189">
        <v>2200000000052</v>
      </c>
      <c r="D76" s="193" t="s">
        <v>331</v>
      </c>
      <c r="E76" s="24" t="b">
        <v>0</v>
      </c>
      <c r="F76" s="190"/>
      <c r="G76" s="190"/>
      <c r="H76" s="190"/>
      <c r="I76" s="190"/>
      <c r="J76" s="190"/>
      <c r="K76" s="190"/>
      <c r="L76" s="190"/>
      <c r="M76" s="190"/>
      <c r="N76" s="190"/>
      <c r="O76" s="190"/>
      <c r="P76" s="190"/>
    </row>
    <row r="77" spans="1:16" ht="27.75">
      <c r="A77" s="190"/>
      <c r="B77" s="189"/>
      <c r="C77" s="190"/>
      <c r="D77" s="193"/>
      <c r="E77" s="190"/>
      <c r="F77" s="190"/>
      <c r="G77" s="190"/>
      <c r="H77" s="191">
        <v>1</v>
      </c>
      <c r="I77" s="191" t="s">
        <v>1029</v>
      </c>
      <c r="J77" s="191" t="s">
        <v>1029</v>
      </c>
      <c r="K77" s="191" t="s">
        <v>853</v>
      </c>
      <c r="L77" s="191" t="s">
        <v>1021</v>
      </c>
      <c r="M77" s="192" t="s">
        <v>1987</v>
      </c>
      <c r="N77" s="191">
        <v>1</v>
      </c>
      <c r="O77" s="191"/>
      <c r="P77" s="191"/>
    </row>
    <row r="78" spans="1:16">
      <c r="A78" s="188">
        <f>A76+1</f>
        <v>2112001070012</v>
      </c>
      <c r="B78" s="189" t="s">
        <v>1977</v>
      </c>
      <c r="C78" s="189">
        <v>2200000000052</v>
      </c>
      <c r="D78" s="193" t="s">
        <v>331</v>
      </c>
      <c r="E78" s="24" t="b">
        <v>0</v>
      </c>
      <c r="F78" s="190"/>
      <c r="G78" s="190"/>
      <c r="H78" s="190"/>
      <c r="I78" s="190"/>
      <c r="J78" s="190"/>
      <c r="K78" s="190"/>
      <c r="L78" s="190"/>
      <c r="M78" s="190"/>
      <c r="N78" s="190"/>
      <c r="O78" s="190"/>
      <c r="P78" s="190"/>
    </row>
    <row r="79" spans="1:16" ht="27.75">
      <c r="A79" s="190"/>
      <c r="B79" s="189"/>
      <c r="C79" s="190"/>
      <c r="D79" s="193"/>
      <c r="E79" s="190"/>
      <c r="F79" s="190"/>
      <c r="G79" s="190"/>
      <c r="H79" s="191">
        <v>1</v>
      </c>
      <c r="I79" s="191" t="s">
        <v>1029</v>
      </c>
      <c r="J79" s="191" t="s">
        <v>1029</v>
      </c>
      <c r="K79" s="191" t="s">
        <v>853</v>
      </c>
      <c r="L79" s="191" t="s">
        <v>1021</v>
      </c>
      <c r="M79" s="192" t="s">
        <v>1988</v>
      </c>
      <c r="N79" s="191">
        <v>1</v>
      </c>
      <c r="O79" s="191"/>
      <c r="P79" s="191"/>
    </row>
    <row r="80" spans="1:16">
      <c r="A80" s="188">
        <f>A78+1</f>
        <v>2112001070013</v>
      </c>
      <c r="B80" s="189" t="s">
        <v>1978</v>
      </c>
      <c r="C80" s="189">
        <v>2200000000052</v>
      </c>
      <c r="D80" s="193" t="s">
        <v>331</v>
      </c>
      <c r="E80" s="24" t="b">
        <v>0</v>
      </c>
      <c r="F80" s="190"/>
      <c r="G80" s="190"/>
      <c r="H80" s="190"/>
      <c r="I80" s="190"/>
      <c r="J80" s="190"/>
      <c r="K80" s="190"/>
      <c r="L80" s="190"/>
      <c r="M80" s="190"/>
      <c r="N80" s="190"/>
      <c r="O80" s="190"/>
      <c r="P80" s="190"/>
    </row>
    <row r="81" spans="1:16" ht="27.75">
      <c r="A81" s="190"/>
      <c r="B81" s="189"/>
      <c r="C81" s="190"/>
      <c r="D81" s="193"/>
      <c r="E81" s="190"/>
      <c r="F81" s="190"/>
      <c r="G81" s="190"/>
      <c r="H81" s="191">
        <v>1</v>
      </c>
      <c r="I81" s="191" t="s">
        <v>1029</v>
      </c>
      <c r="J81" s="191" t="s">
        <v>1029</v>
      </c>
      <c r="K81" s="191" t="s">
        <v>853</v>
      </c>
      <c r="L81" s="191" t="s">
        <v>1021</v>
      </c>
      <c r="M81" s="192" t="s">
        <v>1989</v>
      </c>
      <c r="N81" s="191">
        <v>1</v>
      </c>
      <c r="O81" s="191"/>
      <c r="P81" s="191"/>
    </row>
    <row r="82" spans="1:16">
      <c r="A82" s="188">
        <f>A80+1</f>
        <v>2112001070014</v>
      </c>
      <c r="B82" s="189" t="s">
        <v>1968</v>
      </c>
      <c r="C82" s="189">
        <v>2200000000052</v>
      </c>
      <c r="D82" s="193" t="s">
        <v>331</v>
      </c>
      <c r="E82" s="24" t="b">
        <v>0</v>
      </c>
      <c r="F82" s="190"/>
      <c r="G82" s="190"/>
      <c r="H82" s="190"/>
      <c r="I82" s="190"/>
      <c r="J82" s="190"/>
      <c r="K82" s="190"/>
      <c r="L82" s="190"/>
      <c r="M82" s="190"/>
      <c r="N82" s="190"/>
      <c r="O82" s="190"/>
      <c r="P82" s="190"/>
    </row>
    <row r="83" spans="1:16" ht="27.75">
      <c r="A83" s="190"/>
      <c r="B83" s="189"/>
      <c r="C83" s="190"/>
      <c r="D83" s="193"/>
      <c r="E83" s="190"/>
      <c r="F83" s="190"/>
      <c r="G83" s="190"/>
      <c r="H83" s="191">
        <v>1</v>
      </c>
      <c r="I83" s="191" t="s">
        <v>1029</v>
      </c>
      <c r="J83" s="191" t="s">
        <v>1029</v>
      </c>
      <c r="K83" s="191" t="s">
        <v>853</v>
      </c>
      <c r="L83" s="191" t="s">
        <v>1021</v>
      </c>
      <c r="M83" s="192" t="s">
        <v>1979</v>
      </c>
      <c r="N83" s="191">
        <v>1</v>
      </c>
      <c r="O83" s="191"/>
      <c r="P83" s="191"/>
    </row>
    <row r="84" spans="1:16">
      <c r="A84" s="188">
        <f>A82+1</f>
        <v>2112001070015</v>
      </c>
      <c r="B84" s="189" t="s">
        <v>1969</v>
      </c>
      <c r="C84" s="189">
        <v>2200000000052</v>
      </c>
      <c r="D84" s="193" t="s">
        <v>331</v>
      </c>
      <c r="E84" s="24" t="b">
        <v>0</v>
      </c>
      <c r="F84" s="190"/>
      <c r="G84" s="190"/>
      <c r="H84" s="190"/>
      <c r="I84" s="190"/>
      <c r="J84" s="190"/>
      <c r="K84" s="190"/>
      <c r="L84" s="190"/>
      <c r="M84" s="190"/>
      <c r="N84" s="190"/>
      <c r="O84" s="190"/>
      <c r="P84" s="190"/>
    </row>
    <row r="85" spans="1:16" ht="27.75">
      <c r="A85" s="190"/>
      <c r="B85" s="189"/>
      <c r="C85" s="190"/>
      <c r="D85" s="193"/>
      <c r="E85" s="190"/>
      <c r="F85" s="190"/>
      <c r="G85" s="190"/>
      <c r="H85" s="191">
        <v>1</v>
      </c>
      <c r="I85" s="191" t="s">
        <v>1029</v>
      </c>
      <c r="J85" s="191" t="s">
        <v>1029</v>
      </c>
      <c r="K85" s="191" t="s">
        <v>853</v>
      </c>
      <c r="L85" s="191" t="s">
        <v>1021</v>
      </c>
      <c r="M85" s="192" t="s">
        <v>1980</v>
      </c>
      <c r="N85" s="191">
        <v>1</v>
      </c>
      <c r="O85" s="191"/>
      <c r="P85" s="191"/>
    </row>
    <row r="86" spans="1:16">
      <c r="A86" s="188">
        <f>A84+1</f>
        <v>2112001070016</v>
      </c>
      <c r="B86" s="189" t="s">
        <v>2762</v>
      </c>
      <c r="C86" s="189">
        <v>2200000000052</v>
      </c>
      <c r="D86" s="193" t="s">
        <v>331</v>
      </c>
      <c r="E86" s="24" t="b">
        <v>0</v>
      </c>
      <c r="F86" s="190"/>
      <c r="G86" s="190"/>
      <c r="H86" s="190"/>
      <c r="I86" s="190"/>
      <c r="J86" s="190"/>
      <c r="K86" s="190"/>
      <c r="L86" s="190"/>
      <c r="M86" s="190"/>
      <c r="N86" s="190"/>
      <c r="O86" s="190"/>
      <c r="P86" s="190"/>
    </row>
    <row r="87" spans="1:16" ht="27.75">
      <c r="A87" s="190"/>
      <c r="B87" s="189"/>
      <c r="C87" s="190"/>
      <c r="D87" s="193"/>
      <c r="E87" s="190"/>
      <c r="F87" s="190"/>
      <c r="G87" s="190"/>
      <c r="H87" s="191">
        <v>1</v>
      </c>
      <c r="I87" s="191" t="s">
        <v>1029</v>
      </c>
      <c r="J87" s="191" t="s">
        <v>1029</v>
      </c>
      <c r="K87" s="191" t="s">
        <v>853</v>
      </c>
      <c r="L87" s="191" t="s">
        <v>1021</v>
      </c>
      <c r="M87" s="192" t="s">
        <v>2765</v>
      </c>
      <c r="N87" s="191">
        <v>1</v>
      </c>
      <c r="O87" s="191"/>
      <c r="P87" s="191"/>
    </row>
    <row r="88" spans="1:16">
      <c r="A88" s="188">
        <f>A86+1</f>
        <v>2112001070017</v>
      </c>
      <c r="B88" s="189" t="s">
        <v>2763</v>
      </c>
      <c r="C88" s="189">
        <v>2200000000052</v>
      </c>
      <c r="D88" s="193" t="s">
        <v>331</v>
      </c>
      <c r="E88" s="24" t="b">
        <v>0</v>
      </c>
      <c r="F88" s="190"/>
      <c r="G88" s="190"/>
      <c r="H88" s="190"/>
      <c r="I88" s="190"/>
      <c r="J88" s="190"/>
      <c r="K88" s="190"/>
      <c r="L88" s="190"/>
      <c r="M88" s="190"/>
      <c r="N88" s="190"/>
      <c r="O88" s="190"/>
      <c r="P88" s="190"/>
    </row>
    <row r="89" spans="1:16" ht="27.75">
      <c r="A89" s="190"/>
      <c r="B89" s="189"/>
      <c r="C89" s="190"/>
      <c r="D89" s="193"/>
      <c r="E89" s="190"/>
      <c r="F89" s="190"/>
      <c r="G89" s="190"/>
      <c r="H89" s="191">
        <v>1</v>
      </c>
      <c r="I89" s="191" t="s">
        <v>1029</v>
      </c>
      <c r="J89" s="191" t="s">
        <v>1029</v>
      </c>
      <c r="K89" s="191" t="s">
        <v>853</v>
      </c>
      <c r="L89" s="191" t="s">
        <v>1021</v>
      </c>
      <c r="M89" s="192" t="s">
        <v>2766</v>
      </c>
      <c r="N89" s="191">
        <v>1</v>
      </c>
      <c r="O89" s="191"/>
      <c r="P89" s="191"/>
    </row>
    <row r="90" spans="1:16">
      <c r="A90" s="188">
        <f>A88+1</f>
        <v>2112001070018</v>
      </c>
      <c r="B90" s="189" t="s">
        <v>2764</v>
      </c>
      <c r="C90" s="189">
        <v>2200000000052</v>
      </c>
      <c r="D90" s="193" t="s">
        <v>331</v>
      </c>
      <c r="E90" s="24" t="b">
        <v>0</v>
      </c>
      <c r="F90" s="190"/>
      <c r="G90" s="190"/>
      <c r="H90" s="190"/>
      <c r="I90" s="190"/>
      <c r="J90" s="190"/>
      <c r="K90" s="190"/>
      <c r="L90" s="190"/>
      <c r="M90" s="190"/>
      <c r="N90" s="190"/>
      <c r="O90" s="190"/>
      <c r="P90" s="190"/>
    </row>
    <row r="91" spans="1:16" ht="27.75">
      <c r="A91" s="190"/>
      <c r="B91" s="189"/>
      <c r="C91" s="190"/>
      <c r="D91" s="193"/>
      <c r="E91" s="190"/>
      <c r="F91" s="190"/>
      <c r="G91" s="190"/>
      <c r="H91" s="191">
        <v>1</v>
      </c>
      <c r="I91" s="191" t="s">
        <v>1029</v>
      </c>
      <c r="J91" s="191" t="s">
        <v>1029</v>
      </c>
      <c r="K91" s="191" t="s">
        <v>853</v>
      </c>
      <c r="L91" s="191" t="s">
        <v>1021</v>
      </c>
      <c r="M91" s="192" t="s">
        <v>2767</v>
      </c>
      <c r="N91" s="191">
        <v>1</v>
      </c>
      <c r="O91" s="191"/>
      <c r="P91" s="191"/>
    </row>
  </sheetData>
  <phoneticPr fontId="4" type="noConversion"/>
  <conditionalFormatting sqref="A1:A3">
    <cfRule type="duplicateValues" dxfId="3" priority="1"/>
  </conditionalFormatting>
  <pageMargins left="0.7" right="0.7" top="0.75" bottom="0.75" header="0.3" footer="0.3"/>
  <pageSetup paperSize="9" orientation="portrait" verticalDpi="0"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71"/>
  <sheetViews>
    <sheetView workbookViewId="0">
      <selection activeCell="G1" sqref="G1"/>
    </sheetView>
  </sheetViews>
  <sheetFormatPr defaultRowHeight="16.5"/>
  <cols>
    <col min="1" max="1" width="14.75" bestFit="1" customWidth="1"/>
    <col min="2" max="2" width="5.75" bestFit="1" customWidth="1"/>
    <col min="3" max="3" width="16.125" bestFit="1" customWidth="1"/>
    <col min="4" max="4" width="13.5" bestFit="1" customWidth="1"/>
    <col min="5" max="5" width="16.625" bestFit="1" customWidth="1"/>
    <col min="6" max="6" width="27.75" customWidth="1"/>
    <col min="7" max="7" width="8.25" bestFit="1" customWidth="1"/>
    <col min="8" max="8" width="8" bestFit="1" customWidth="1"/>
    <col min="9" max="9" width="29.625" bestFit="1" customWidth="1"/>
    <col min="10" max="10" width="28.75" bestFit="1" customWidth="1"/>
    <col min="11" max="11" width="18.125" bestFit="1" customWidth="1"/>
    <col min="12" max="12" width="31.125" bestFit="1" customWidth="1"/>
    <col min="13" max="13" width="22.625" bestFit="1" customWidth="1"/>
    <col min="14" max="14" width="30.125" bestFit="1" customWidth="1"/>
    <col min="15" max="15" width="27.5" bestFit="1" customWidth="1"/>
    <col min="16" max="16" width="9.375" bestFit="1" customWidth="1"/>
    <col min="17" max="17" width="21.625" bestFit="1" customWidth="1"/>
    <col min="18" max="18" width="24.125" bestFit="1" customWidth="1"/>
    <col min="19" max="19" width="13.75" bestFit="1" customWidth="1"/>
  </cols>
  <sheetData>
    <row r="1" spans="1:19">
      <c r="A1" s="185" t="s">
        <v>304</v>
      </c>
      <c r="B1" s="164" t="s">
        <v>305</v>
      </c>
      <c r="C1" s="186" t="s">
        <v>306</v>
      </c>
      <c r="D1" s="165" t="s">
        <v>307</v>
      </c>
      <c r="E1" s="166" t="s">
        <v>308</v>
      </c>
      <c r="F1" s="165" t="s">
        <v>636</v>
      </c>
      <c r="G1" s="165" t="s">
        <v>3740</v>
      </c>
      <c r="H1" s="167" t="s">
        <v>309</v>
      </c>
      <c r="I1" s="167" t="s">
        <v>310</v>
      </c>
      <c r="J1" s="167" t="s">
        <v>311</v>
      </c>
      <c r="K1" s="167" t="s">
        <v>312</v>
      </c>
      <c r="L1" s="167" t="s">
        <v>1235</v>
      </c>
      <c r="M1" s="167" t="s">
        <v>313</v>
      </c>
      <c r="N1" s="167" t="s">
        <v>1236</v>
      </c>
      <c r="O1" s="167" t="s">
        <v>314</v>
      </c>
      <c r="P1" s="167" t="s">
        <v>315</v>
      </c>
      <c r="Q1" s="167" t="s">
        <v>316</v>
      </c>
      <c r="R1" s="167" t="s">
        <v>1236</v>
      </c>
      <c r="S1" s="9" t="s">
        <v>317</v>
      </c>
    </row>
    <row r="2" spans="1:19">
      <c r="A2" s="185" t="s">
        <v>318</v>
      </c>
      <c r="B2" s="165" t="s">
        <v>3</v>
      </c>
      <c r="C2" s="185" t="s">
        <v>319</v>
      </c>
      <c r="D2" s="165" t="s">
        <v>320</v>
      </c>
      <c r="E2" s="168" t="s">
        <v>321</v>
      </c>
      <c r="F2" s="165" t="s">
        <v>320</v>
      </c>
      <c r="G2" s="165" t="s">
        <v>851</v>
      </c>
      <c r="H2" s="167" t="s">
        <v>322</v>
      </c>
      <c r="I2" s="167" t="s">
        <v>323</v>
      </c>
      <c r="J2" s="167" t="s">
        <v>323</v>
      </c>
      <c r="K2" s="167" t="s">
        <v>324</v>
      </c>
      <c r="L2" s="167" t="s">
        <v>1236</v>
      </c>
      <c r="M2" s="167" t="s">
        <v>325</v>
      </c>
      <c r="N2" s="167" t="s">
        <v>1236</v>
      </c>
      <c r="O2" s="167" t="s">
        <v>326</v>
      </c>
      <c r="P2" s="167" t="s">
        <v>322</v>
      </c>
      <c r="Q2" s="167" t="s">
        <v>1213</v>
      </c>
      <c r="R2" s="167" t="s">
        <v>1236</v>
      </c>
      <c r="S2" s="9" t="s">
        <v>327</v>
      </c>
    </row>
    <row r="3" spans="1:19">
      <c r="A3" s="185" t="s">
        <v>328</v>
      </c>
      <c r="B3" s="165" t="s">
        <v>3</v>
      </c>
      <c r="C3" s="185" t="s">
        <v>328</v>
      </c>
      <c r="D3" s="165" t="s">
        <v>329</v>
      </c>
      <c r="E3" s="168" t="s">
        <v>4</v>
      </c>
      <c r="F3" s="165" t="s">
        <v>328</v>
      </c>
      <c r="G3" s="165" t="s">
        <v>328</v>
      </c>
      <c r="H3" s="167" t="s">
        <v>328</v>
      </c>
      <c r="I3" s="167" t="s">
        <v>4</v>
      </c>
      <c r="J3" s="167" t="s">
        <v>4</v>
      </c>
      <c r="K3" s="167" t="s">
        <v>328</v>
      </c>
      <c r="L3" s="167" t="s">
        <v>1236</v>
      </c>
      <c r="M3" s="167" t="s">
        <v>328</v>
      </c>
      <c r="N3" s="167" t="s">
        <v>1237</v>
      </c>
      <c r="O3" s="167" t="s">
        <v>328</v>
      </c>
      <c r="P3" s="167" t="s">
        <v>328</v>
      </c>
      <c r="Q3" s="167" t="s">
        <v>328</v>
      </c>
      <c r="R3" s="167" t="s">
        <v>1236</v>
      </c>
      <c r="S3" s="9" t="s">
        <v>4</v>
      </c>
    </row>
    <row r="4" spans="1:19">
      <c r="A4" s="172">
        <v>2212000000001</v>
      </c>
      <c r="B4" s="24"/>
      <c r="C4" s="172">
        <v>2212000000001</v>
      </c>
      <c r="D4" s="80" t="s">
        <v>1073</v>
      </c>
      <c r="E4" s="24" t="b">
        <v>0</v>
      </c>
      <c r="F4" s="24"/>
      <c r="G4" s="24"/>
      <c r="H4" s="24"/>
      <c r="I4" s="24"/>
      <c r="J4" s="24"/>
      <c r="K4" s="24"/>
      <c r="L4" s="24"/>
      <c r="M4" s="24"/>
      <c r="N4" s="24"/>
      <c r="O4" s="24"/>
      <c r="P4" s="24"/>
      <c r="Q4" s="24"/>
      <c r="R4" s="24"/>
      <c r="S4" s="24"/>
    </row>
    <row r="5" spans="1:19" ht="33">
      <c r="A5" s="172"/>
      <c r="B5" s="172"/>
      <c r="C5" s="24"/>
      <c r="D5" s="172"/>
      <c r="E5" s="24"/>
      <c r="F5" s="24"/>
      <c r="G5" s="24"/>
      <c r="H5" s="80" t="s">
        <v>332</v>
      </c>
      <c r="I5" s="24" t="s">
        <v>1512</v>
      </c>
      <c r="J5" s="24" t="s">
        <v>1511</v>
      </c>
      <c r="K5" s="194" t="s">
        <v>3122</v>
      </c>
      <c r="L5" s="194" t="s">
        <v>2118</v>
      </c>
      <c r="M5" s="24" t="s">
        <v>2119</v>
      </c>
      <c r="N5" s="24" t="str">
        <f>IF(VLOOKUP(M5,Statistics!B:F,4,FALSE)=0,"",VLOOKUP(M5,Statistics!B:F,4,FALSE))</f>
        <v>Grade : (등급 Type)</v>
      </c>
      <c r="O5" s="13" t="s">
        <v>2761</v>
      </c>
      <c r="P5" s="24">
        <v>1</v>
      </c>
      <c r="Q5" s="208" t="s">
        <v>2235</v>
      </c>
      <c r="R5" s="24" t="str">
        <f>IF(VLOOKUP(M5,Statistics!B:F,5,FALSE)=0,"",VLOOKUP(M5,Statistics!B:F,5,FALSE))</f>
        <v>QuickMove.Academy.Fuction</v>
      </c>
      <c r="S5" s="24" t="s">
        <v>443</v>
      </c>
    </row>
    <row r="6" spans="1:19">
      <c r="A6" s="172">
        <v>2212000000002</v>
      </c>
      <c r="B6" s="24"/>
      <c r="C6" s="172">
        <v>2212000000001</v>
      </c>
      <c r="D6" s="80" t="s">
        <v>1073</v>
      </c>
      <c r="E6" s="24" t="b">
        <v>0</v>
      </c>
      <c r="F6" s="24"/>
      <c r="G6" s="24"/>
      <c r="H6" s="24"/>
      <c r="I6" s="24"/>
      <c r="J6" s="24"/>
      <c r="K6" s="24"/>
      <c r="L6" s="24"/>
      <c r="M6" s="24"/>
      <c r="N6" s="24"/>
      <c r="O6" s="24"/>
      <c r="P6" s="24"/>
      <c r="Q6" s="24"/>
      <c r="R6" s="24"/>
      <c r="S6" s="24"/>
    </row>
    <row r="7" spans="1:19" ht="33.75" thickBot="1">
      <c r="A7" s="172"/>
      <c r="B7" s="172"/>
      <c r="C7" s="24"/>
      <c r="D7" s="172"/>
      <c r="E7" s="24"/>
      <c r="F7" s="24"/>
      <c r="G7" s="24"/>
      <c r="H7" s="80" t="s">
        <v>332</v>
      </c>
      <c r="I7" s="24" t="s">
        <v>1512</v>
      </c>
      <c r="J7" s="24" t="s">
        <v>1045</v>
      </c>
      <c r="K7" s="194" t="s">
        <v>3122</v>
      </c>
      <c r="L7" s="306" t="s">
        <v>2118</v>
      </c>
      <c r="M7" s="24" t="s">
        <v>2119</v>
      </c>
      <c r="N7" s="24" t="str">
        <f>IF(VLOOKUP(M7,Statistics!B:F,4,FALSE)=0,"",VLOOKUP(M7,Statistics!B:F,4,FALSE))</f>
        <v>Grade : (등급 Type)</v>
      </c>
      <c r="O7" s="307" t="s">
        <v>2760</v>
      </c>
      <c r="P7" s="24">
        <v>3</v>
      </c>
      <c r="Q7" s="208" t="s">
        <v>2236</v>
      </c>
      <c r="R7" s="24" t="str">
        <f>IF(VLOOKUP(M7,Statistics!B:F,5,FALSE)=0,"",VLOOKUP(M7,Statistics!B:F,5,FALSE))</f>
        <v>QuickMove.Academy.Fuction</v>
      </c>
      <c r="S7" s="24" t="s">
        <v>443</v>
      </c>
    </row>
    <row r="8" spans="1:19" s="313" customFormat="1">
      <c r="A8" s="308">
        <v>2212000000003</v>
      </c>
      <c r="B8" s="309"/>
      <c r="C8" s="310">
        <v>2212000000001</v>
      </c>
      <c r="D8" s="311" t="s">
        <v>1073</v>
      </c>
      <c r="E8" s="309" t="b">
        <v>0</v>
      </c>
      <c r="F8" s="182" t="s">
        <v>3160</v>
      </c>
      <c r="G8" s="182"/>
      <c r="H8" s="309"/>
      <c r="I8" s="309"/>
      <c r="J8" s="309"/>
      <c r="K8" s="309"/>
      <c r="L8" s="309"/>
      <c r="M8" s="309"/>
      <c r="N8" s="309"/>
      <c r="O8" s="309"/>
      <c r="P8" s="309"/>
      <c r="Q8" s="312"/>
      <c r="R8" s="309"/>
      <c r="S8" s="309"/>
    </row>
    <row r="9" spans="1:19" ht="33">
      <c r="A9" s="314"/>
      <c r="B9" s="172"/>
      <c r="C9" s="24"/>
      <c r="D9" s="172"/>
      <c r="E9" s="24"/>
      <c r="F9" s="24"/>
      <c r="G9" s="24"/>
      <c r="H9" s="80" t="s">
        <v>332</v>
      </c>
      <c r="I9" s="24" t="s">
        <v>2808</v>
      </c>
      <c r="J9" s="24" t="s">
        <v>1045</v>
      </c>
      <c r="K9" s="305" t="s">
        <v>334</v>
      </c>
      <c r="L9" s="305" t="s">
        <v>1250</v>
      </c>
      <c r="M9" s="24" t="s">
        <v>2733</v>
      </c>
      <c r="N9" s="24" t="str">
        <f>IF(VLOOKUP(M9,Statistics!B:F,4,FALSE)=0,"",VLOOKUP(M9,Statistics!B:F,4,FALSE))</f>
        <v>Grade : (등급 값)</v>
      </c>
      <c r="O9" s="13" t="s">
        <v>2794</v>
      </c>
      <c r="P9" s="24">
        <v>6</v>
      </c>
      <c r="Q9" s="208" t="s">
        <v>1457</v>
      </c>
      <c r="R9" s="24" t="str">
        <f>IF(VLOOKUP(M9,Statistics!B:F,5,FALSE)=0,"",VLOOKUP(M9,Statistics!B:F,5,FALSE))</f>
        <v>QuickMove.Dispatch.Fuction</v>
      </c>
      <c r="S9" s="24" t="s">
        <v>393</v>
      </c>
    </row>
    <row r="10" spans="1:19">
      <c r="A10" s="314">
        <v>2212000000004</v>
      </c>
      <c r="B10" s="24"/>
      <c r="C10" s="172">
        <v>2212000000001</v>
      </c>
      <c r="D10" s="80" t="s">
        <v>1073</v>
      </c>
      <c r="E10" s="24" t="b">
        <v>0</v>
      </c>
      <c r="F10" s="182" t="s">
        <v>3160</v>
      </c>
      <c r="G10" s="182"/>
      <c r="H10" s="24"/>
      <c r="I10" s="24"/>
      <c r="J10" s="24"/>
      <c r="K10" s="24"/>
      <c r="L10" s="24"/>
      <c r="M10" s="24"/>
      <c r="N10" s="24"/>
      <c r="O10" s="24"/>
      <c r="P10" s="24"/>
      <c r="Q10" s="205"/>
      <c r="R10" s="24"/>
      <c r="S10" s="24"/>
    </row>
    <row r="11" spans="1:19" ht="33">
      <c r="A11" s="314"/>
      <c r="B11" s="172"/>
      <c r="C11" s="24"/>
      <c r="D11" s="172"/>
      <c r="E11" s="24"/>
      <c r="F11" s="24"/>
      <c r="G11" s="24"/>
      <c r="H11" s="80" t="s">
        <v>332</v>
      </c>
      <c r="I11" s="24" t="s">
        <v>2808</v>
      </c>
      <c r="J11" s="24" t="s">
        <v>1045</v>
      </c>
      <c r="K11" s="305" t="s">
        <v>334</v>
      </c>
      <c r="L11" s="305" t="s">
        <v>1250</v>
      </c>
      <c r="M11" s="24" t="s">
        <v>2733</v>
      </c>
      <c r="N11" s="24" t="str">
        <f>IF(VLOOKUP(M11,Statistics!B:F,4,FALSE)=0,"",VLOOKUP(M11,Statistics!B:F,4,FALSE))</f>
        <v>Grade : (등급 값)</v>
      </c>
      <c r="O11" s="13" t="s">
        <v>2794</v>
      </c>
      <c r="P11" s="24">
        <v>8</v>
      </c>
      <c r="Q11" s="208" t="s">
        <v>2239</v>
      </c>
      <c r="R11" s="24" t="str">
        <f>IF(VLOOKUP(M11,Statistics!B:F,5,FALSE)=0,"",VLOOKUP(M11,Statistics!B:F,5,FALSE))</f>
        <v>QuickMove.Dispatch.Fuction</v>
      </c>
      <c r="S11" s="24" t="s">
        <v>393</v>
      </c>
    </row>
    <row r="12" spans="1:19">
      <c r="A12" s="314">
        <v>2212000000005</v>
      </c>
      <c r="B12" s="24"/>
      <c r="C12" s="172">
        <v>2212000000001</v>
      </c>
      <c r="D12" s="80" t="s">
        <v>1073</v>
      </c>
      <c r="E12" s="24" t="b">
        <v>0</v>
      </c>
      <c r="F12" s="182" t="s">
        <v>3160</v>
      </c>
      <c r="G12" s="182"/>
      <c r="H12" s="24"/>
      <c r="I12" s="24"/>
      <c r="J12" s="24"/>
      <c r="K12" s="24"/>
      <c r="L12" s="24"/>
      <c r="M12" s="24"/>
      <c r="N12" s="24"/>
      <c r="O12" s="24"/>
      <c r="P12" s="24"/>
      <c r="Q12" s="205"/>
      <c r="R12" s="24"/>
      <c r="S12" s="24"/>
    </row>
    <row r="13" spans="1:19" ht="33">
      <c r="A13" s="314"/>
      <c r="B13" s="172"/>
      <c r="C13" s="24"/>
      <c r="D13" s="172"/>
      <c r="E13" s="24"/>
      <c r="F13" s="24"/>
      <c r="G13" s="24"/>
      <c r="H13" s="80" t="s">
        <v>332</v>
      </c>
      <c r="I13" s="24" t="s">
        <v>2809</v>
      </c>
      <c r="J13" s="24" t="s">
        <v>1045</v>
      </c>
      <c r="K13" s="305" t="s">
        <v>334</v>
      </c>
      <c r="L13" s="305" t="s">
        <v>1250</v>
      </c>
      <c r="M13" s="24" t="s">
        <v>2733</v>
      </c>
      <c r="N13" s="24" t="str">
        <f>IF(VLOOKUP(M13,Statistics!B:F,4,FALSE)=0,"",VLOOKUP(M13,Statistics!B:F,4,FALSE))</f>
        <v>Grade : (등급 값)</v>
      </c>
      <c r="O13" s="13" t="s">
        <v>2795</v>
      </c>
      <c r="P13" s="24">
        <v>4</v>
      </c>
      <c r="Q13" s="208" t="s">
        <v>2237</v>
      </c>
      <c r="R13" s="24" t="str">
        <f>IF(VLOOKUP(M13,Statistics!B:F,5,FALSE)=0,"",VLOOKUP(M13,Statistics!B:F,5,FALSE))</f>
        <v>QuickMove.Dispatch.Fuction</v>
      </c>
      <c r="S13" s="24" t="s">
        <v>393</v>
      </c>
    </row>
    <row r="14" spans="1:19">
      <c r="A14" s="314">
        <v>2212000000006</v>
      </c>
      <c r="B14" s="24"/>
      <c r="C14" s="172">
        <v>2212000000001</v>
      </c>
      <c r="D14" s="80" t="s">
        <v>1073</v>
      </c>
      <c r="E14" s="24" t="b">
        <v>0</v>
      </c>
      <c r="F14" s="182" t="s">
        <v>3160</v>
      </c>
      <c r="G14" s="182"/>
      <c r="H14" s="24"/>
      <c r="I14" s="24"/>
      <c r="J14" s="24"/>
      <c r="K14" s="24"/>
      <c r="L14" s="24"/>
      <c r="M14" s="24"/>
      <c r="N14" s="24"/>
      <c r="O14" s="24"/>
      <c r="P14" s="24"/>
      <c r="Q14" s="205"/>
      <c r="R14" s="24"/>
      <c r="S14" s="24"/>
    </row>
    <row r="15" spans="1:19" ht="33">
      <c r="A15" s="314"/>
      <c r="B15" s="172"/>
      <c r="C15" s="24"/>
      <c r="D15" s="172"/>
      <c r="E15" s="24"/>
      <c r="F15" s="24"/>
      <c r="G15" s="24"/>
      <c r="H15" s="80" t="s">
        <v>332</v>
      </c>
      <c r="I15" s="24" t="s">
        <v>2809</v>
      </c>
      <c r="J15" s="24" t="s">
        <v>1045</v>
      </c>
      <c r="K15" s="305" t="s">
        <v>334</v>
      </c>
      <c r="L15" s="305" t="s">
        <v>1250</v>
      </c>
      <c r="M15" s="24" t="s">
        <v>2733</v>
      </c>
      <c r="N15" s="24" t="str">
        <f>IF(VLOOKUP(M15,Statistics!B:F,4,FALSE)=0,"",VLOOKUP(M15,Statistics!B:F,4,FALSE))</f>
        <v>Grade : (등급 값)</v>
      </c>
      <c r="O15" s="13" t="s">
        <v>2795</v>
      </c>
      <c r="P15" s="24">
        <v>6</v>
      </c>
      <c r="Q15" s="208" t="s">
        <v>2237</v>
      </c>
      <c r="R15" s="24" t="str">
        <f>IF(VLOOKUP(M15,Statistics!B:F,5,FALSE)=0,"",VLOOKUP(M15,Statistics!B:F,5,FALSE))</f>
        <v>QuickMove.Dispatch.Fuction</v>
      </c>
      <c r="S15" s="24" t="s">
        <v>393</v>
      </c>
    </row>
    <row r="16" spans="1:19">
      <c r="A16" s="314">
        <v>2212000000007</v>
      </c>
      <c r="C16" s="172">
        <v>2212000000001</v>
      </c>
      <c r="D16" s="80" t="s">
        <v>1073</v>
      </c>
      <c r="E16" s="24" t="b">
        <v>0</v>
      </c>
      <c r="F16" s="182" t="s">
        <v>3160</v>
      </c>
      <c r="G16" s="182"/>
      <c r="I16" s="24"/>
      <c r="L16" s="24"/>
      <c r="M16" s="24"/>
      <c r="N16" s="24"/>
      <c r="Q16" s="205"/>
      <c r="R16" s="24"/>
    </row>
    <row r="17" spans="1:19" ht="33">
      <c r="A17" s="314"/>
      <c r="B17" s="172"/>
      <c r="C17" s="24"/>
      <c r="D17" s="172"/>
      <c r="E17" s="24"/>
      <c r="F17" s="24"/>
      <c r="G17" s="24"/>
      <c r="H17" s="80" t="s">
        <v>332</v>
      </c>
      <c r="I17" s="24" t="s">
        <v>2810</v>
      </c>
      <c r="J17" s="24" t="s">
        <v>1045</v>
      </c>
      <c r="K17" s="305" t="s">
        <v>334</v>
      </c>
      <c r="L17" s="305" t="s">
        <v>1250</v>
      </c>
      <c r="M17" s="24" t="s">
        <v>2733</v>
      </c>
      <c r="N17" s="24" t="str">
        <f>IF(VLOOKUP(M17,Statistics!B:F,4,FALSE)=0,"",VLOOKUP(M17,Statistics!B:F,4,FALSE))</f>
        <v>Grade : (등급 값)</v>
      </c>
      <c r="O17" s="13" t="s">
        <v>1510</v>
      </c>
      <c r="P17" s="24">
        <v>3</v>
      </c>
      <c r="Q17" s="208" t="s">
        <v>2237</v>
      </c>
      <c r="R17" s="24" t="str">
        <f>IF(VLOOKUP(M17,Statistics!B:F,5,FALSE)=0,"",VLOOKUP(M17,Statistics!B:F,5,FALSE))</f>
        <v>QuickMove.Dispatch.Fuction</v>
      </c>
      <c r="S17" s="24" t="s">
        <v>393</v>
      </c>
    </row>
    <row r="18" spans="1:19">
      <c r="A18" s="314">
        <v>2212000000008</v>
      </c>
      <c r="C18" s="172">
        <v>2212000000001</v>
      </c>
      <c r="D18" s="80" t="s">
        <v>1073</v>
      </c>
      <c r="E18" s="24" t="b">
        <v>0</v>
      </c>
      <c r="F18" s="182" t="s">
        <v>3160</v>
      </c>
      <c r="G18" s="182"/>
      <c r="I18" s="24"/>
      <c r="L18" s="24"/>
      <c r="M18" s="24"/>
      <c r="N18" s="24"/>
      <c r="Q18" s="205"/>
      <c r="R18" s="24"/>
    </row>
    <row r="19" spans="1:19" ht="33">
      <c r="A19" s="314"/>
      <c r="B19" s="172"/>
      <c r="C19" s="24"/>
      <c r="D19" s="172"/>
      <c r="E19" s="24"/>
      <c r="F19" s="24"/>
      <c r="G19" s="24"/>
      <c r="H19" s="80" t="s">
        <v>332</v>
      </c>
      <c r="I19" s="24" t="s">
        <v>2811</v>
      </c>
      <c r="J19" s="24" t="s">
        <v>1045</v>
      </c>
      <c r="K19" s="305" t="s">
        <v>334</v>
      </c>
      <c r="L19" s="305" t="s">
        <v>1250</v>
      </c>
      <c r="M19" s="24" t="s">
        <v>2733</v>
      </c>
      <c r="N19" s="24" t="str">
        <f>IF(VLOOKUP(M19,Statistics!B:F,4,FALSE)=0,"",VLOOKUP(M19,Statistics!B:F,4,FALSE))</f>
        <v>Grade : (등급 값)</v>
      </c>
      <c r="O19" s="13" t="s">
        <v>1510</v>
      </c>
      <c r="P19" s="24">
        <v>5</v>
      </c>
      <c r="Q19" s="208" t="s">
        <v>2237</v>
      </c>
      <c r="R19" s="24" t="str">
        <f>IF(VLOOKUP(M19,Statistics!B:F,5,FALSE)=0,"",VLOOKUP(M19,Statistics!B:F,5,FALSE))</f>
        <v>QuickMove.Dispatch.Fuction</v>
      </c>
      <c r="S19" s="24" t="s">
        <v>393</v>
      </c>
    </row>
    <row r="20" spans="1:19">
      <c r="A20" s="314">
        <v>2212000000009</v>
      </c>
      <c r="C20" s="172">
        <v>2212000000001</v>
      </c>
      <c r="D20" s="80" t="s">
        <v>1073</v>
      </c>
      <c r="E20" s="24" t="b">
        <v>0</v>
      </c>
      <c r="F20" s="182" t="s">
        <v>3160</v>
      </c>
      <c r="G20" s="182"/>
      <c r="I20" s="24"/>
      <c r="L20" s="24"/>
      <c r="M20" s="24"/>
      <c r="N20" s="24"/>
      <c r="Q20" s="205"/>
      <c r="R20" s="24"/>
    </row>
    <row r="21" spans="1:19" s="319" customFormat="1" ht="33.75" thickBot="1">
      <c r="A21" s="315"/>
      <c r="B21" s="317"/>
      <c r="C21" s="316"/>
      <c r="D21" s="317"/>
      <c r="E21" s="316"/>
      <c r="F21" s="24"/>
      <c r="G21" s="24"/>
      <c r="H21" s="318" t="s">
        <v>332</v>
      </c>
      <c r="I21" s="316" t="s">
        <v>2812</v>
      </c>
      <c r="J21" s="316" t="s">
        <v>1045</v>
      </c>
      <c r="K21" s="320" t="s">
        <v>334</v>
      </c>
      <c r="L21" s="320" t="s">
        <v>1250</v>
      </c>
      <c r="M21" s="316" t="s">
        <v>2733</v>
      </c>
      <c r="N21" s="316" t="str">
        <f>IF(VLOOKUP(M21,Statistics!B:F,4,FALSE)=0,"",VLOOKUP(M21,Statistics!B:F,4,FALSE))</f>
        <v>Grade : (등급 값)</v>
      </c>
      <c r="O21" s="321" t="s">
        <v>2796</v>
      </c>
      <c r="P21" s="316">
        <v>2</v>
      </c>
      <c r="Q21" s="322" t="s">
        <v>2802</v>
      </c>
      <c r="R21" s="316" t="str">
        <f>IF(VLOOKUP(M21,Statistics!B:F,5,FALSE)=0,"",VLOOKUP(M21,Statistics!B:F,5,FALSE))</f>
        <v>QuickMove.Dispatch.Fuction</v>
      </c>
      <c r="S21" s="316" t="s">
        <v>393</v>
      </c>
    </row>
    <row r="22" spans="1:19" s="313" customFormat="1">
      <c r="A22" s="308">
        <v>2212000000013</v>
      </c>
      <c r="B22" s="309"/>
      <c r="C22" s="310">
        <v>2212000000001</v>
      </c>
      <c r="D22" s="311" t="s">
        <v>1073</v>
      </c>
      <c r="E22" s="309" t="b">
        <v>0</v>
      </c>
      <c r="F22" s="182" t="s">
        <v>3161</v>
      </c>
      <c r="G22" s="182"/>
      <c r="H22" s="309"/>
      <c r="I22" s="309"/>
      <c r="J22" s="309"/>
      <c r="K22" s="309"/>
      <c r="L22" s="309"/>
      <c r="M22" s="309"/>
      <c r="N22" s="309"/>
      <c r="O22" s="309"/>
      <c r="P22" s="309"/>
      <c r="Q22" s="312"/>
      <c r="R22" s="309"/>
      <c r="S22" s="309"/>
    </row>
    <row r="23" spans="1:19" ht="33">
      <c r="A23" s="314"/>
      <c r="B23" s="172"/>
      <c r="C23" s="24"/>
      <c r="D23" s="172"/>
      <c r="E23" s="24"/>
      <c r="F23" s="24"/>
      <c r="G23" s="24"/>
      <c r="H23" s="80" t="s">
        <v>332</v>
      </c>
      <c r="I23" s="24" t="s">
        <v>2813</v>
      </c>
      <c r="J23" s="24" t="s">
        <v>1045</v>
      </c>
      <c r="K23" s="305" t="s">
        <v>334</v>
      </c>
      <c r="L23" s="305" t="s">
        <v>1250</v>
      </c>
      <c r="M23" s="24" t="s">
        <v>2733</v>
      </c>
      <c r="N23" s="24" t="str">
        <f>IF(VLOOKUP(M23,Statistics!B:F,4,FALSE)=0,"",VLOOKUP(M23,Statistics!B:F,4,FALSE))</f>
        <v>Grade : (등급 값)</v>
      </c>
      <c r="O23" s="13" t="s">
        <v>2797</v>
      </c>
      <c r="P23" s="24">
        <v>6</v>
      </c>
      <c r="Q23" s="208" t="s">
        <v>2803</v>
      </c>
      <c r="R23" s="24" t="str">
        <f>IF(VLOOKUP(M23,Statistics!B:F,5,FALSE)=0,"",VLOOKUP(M23,Statistics!B:F,5,FALSE))</f>
        <v>QuickMove.Dispatch.Fuction</v>
      </c>
      <c r="S23" s="24" t="s">
        <v>393</v>
      </c>
    </row>
    <row r="24" spans="1:19">
      <c r="A24" s="314">
        <v>2212000000014</v>
      </c>
      <c r="B24" s="24"/>
      <c r="C24" s="172">
        <v>2212000000001</v>
      </c>
      <c r="D24" s="80" t="s">
        <v>1073</v>
      </c>
      <c r="E24" s="24" t="b">
        <v>0</v>
      </c>
      <c r="F24" s="182" t="s">
        <v>3161</v>
      </c>
      <c r="G24" s="182"/>
      <c r="H24" s="24"/>
      <c r="I24" s="24"/>
      <c r="J24" s="24"/>
      <c r="K24" s="24"/>
      <c r="L24" s="24"/>
      <c r="M24" s="24"/>
      <c r="N24" s="24"/>
      <c r="O24" s="24"/>
      <c r="P24" s="24"/>
      <c r="Q24" s="205"/>
      <c r="R24" s="24"/>
      <c r="S24" s="24"/>
    </row>
    <row r="25" spans="1:19" ht="33">
      <c r="A25" s="314"/>
      <c r="B25" s="172"/>
      <c r="C25" s="24"/>
      <c r="D25" s="172"/>
      <c r="E25" s="24"/>
      <c r="F25" s="24"/>
      <c r="G25" s="24"/>
      <c r="H25" s="80" t="s">
        <v>332</v>
      </c>
      <c r="I25" s="24" t="s">
        <v>2169</v>
      </c>
      <c r="J25" s="24" t="s">
        <v>1045</v>
      </c>
      <c r="K25" s="305" t="s">
        <v>334</v>
      </c>
      <c r="L25" s="305" t="s">
        <v>1250</v>
      </c>
      <c r="M25" s="24" t="s">
        <v>2733</v>
      </c>
      <c r="N25" s="24" t="str">
        <f>IF(VLOOKUP(M25,Statistics!B:F,4,FALSE)=0,"",VLOOKUP(M25,Statistics!B:F,4,FALSE))</f>
        <v>Grade : (등급 값)</v>
      </c>
      <c r="O25" s="13" t="s">
        <v>2795</v>
      </c>
      <c r="P25" s="24">
        <v>8</v>
      </c>
      <c r="Q25" s="208" t="s">
        <v>2239</v>
      </c>
      <c r="R25" s="24" t="str">
        <f>IF(VLOOKUP(M25,Statistics!B:F,5,FALSE)=0,"",VLOOKUP(M25,Statistics!B:F,5,FALSE))</f>
        <v>QuickMove.Dispatch.Fuction</v>
      </c>
      <c r="S25" s="24" t="s">
        <v>393</v>
      </c>
    </row>
    <row r="26" spans="1:19">
      <c r="A26" s="314">
        <v>2212000000015</v>
      </c>
      <c r="B26" s="24"/>
      <c r="C26" s="172">
        <v>2212000000001</v>
      </c>
      <c r="D26" s="80" t="s">
        <v>1073</v>
      </c>
      <c r="E26" s="24" t="b">
        <v>0</v>
      </c>
      <c r="F26" s="182" t="s">
        <v>3161</v>
      </c>
      <c r="G26" s="182"/>
      <c r="H26" s="24"/>
      <c r="I26" s="24"/>
      <c r="J26" s="24"/>
      <c r="K26" s="24"/>
      <c r="L26" s="24"/>
      <c r="M26" s="24"/>
      <c r="N26" s="24"/>
      <c r="O26" s="24"/>
      <c r="P26" s="24"/>
      <c r="Q26" s="205"/>
      <c r="R26" s="24"/>
      <c r="S26" s="24"/>
    </row>
    <row r="27" spans="1:19" ht="33">
      <c r="A27" s="314"/>
      <c r="B27" s="172"/>
      <c r="C27" s="24"/>
      <c r="D27" s="172"/>
      <c r="E27" s="24"/>
      <c r="F27" s="24"/>
      <c r="G27" s="24"/>
      <c r="H27" s="80" t="s">
        <v>332</v>
      </c>
      <c r="I27" s="24" t="s">
        <v>1243</v>
      </c>
      <c r="J27" s="24" t="s">
        <v>1045</v>
      </c>
      <c r="K27" s="305" t="s">
        <v>334</v>
      </c>
      <c r="L27" s="305" t="s">
        <v>1250</v>
      </c>
      <c r="M27" s="24" t="s">
        <v>2733</v>
      </c>
      <c r="N27" s="24" t="str">
        <f>IF(VLOOKUP(M27,Statistics!B:F,4,FALSE)=0,"",VLOOKUP(M27,Statistics!B:F,4,FALSE))</f>
        <v>Grade : (등급 값)</v>
      </c>
      <c r="O27" s="13" t="s">
        <v>2799</v>
      </c>
      <c r="P27" s="24">
        <v>4</v>
      </c>
      <c r="Q27" s="208" t="s">
        <v>2237</v>
      </c>
      <c r="R27" s="24" t="str">
        <f>IF(VLOOKUP(M27,Statistics!B:F,5,FALSE)=0,"",VLOOKUP(M27,Statistics!B:F,5,FALSE))</f>
        <v>QuickMove.Dispatch.Fuction</v>
      </c>
      <c r="S27" s="24" t="s">
        <v>393</v>
      </c>
    </row>
    <row r="28" spans="1:19">
      <c r="A28" s="314">
        <v>2212000000016</v>
      </c>
      <c r="B28" s="24"/>
      <c r="C28" s="172">
        <v>2212000000001</v>
      </c>
      <c r="D28" s="80" t="s">
        <v>1073</v>
      </c>
      <c r="E28" s="24" t="b">
        <v>0</v>
      </c>
      <c r="F28" s="182" t="s">
        <v>3161</v>
      </c>
      <c r="G28" s="182"/>
      <c r="H28" s="24"/>
      <c r="I28" s="24"/>
      <c r="J28" s="24"/>
      <c r="K28" s="24"/>
      <c r="L28" s="24"/>
      <c r="M28" s="24"/>
      <c r="N28" s="24"/>
      <c r="O28" s="24"/>
      <c r="P28" s="24"/>
      <c r="Q28" s="205"/>
      <c r="R28" s="24"/>
      <c r="S28" s="24"/>
    </row>
    <row r="29" spans="1:19" ht="33">
      <c r="A29" s="314"/>
      <c r="B29" s="172"/>
      <c r="C29" s="24"/>
      <c r="D29" s="172"/>
      <c r="E29" s="24"/>
      <c r="F29" s="24"/>
      <c r="G29" s="24"/>
      <c r="H29" s="80" t="s">
        <v>332</v>
      </c>
      <c r="I29" s="24" t="s">
        <v>1243</v>
      </c>
      <c r="J29" s="24" t="s">
        <v>1045</v>
      </c>
      <c r="K29" s="305" t="s">
        <v>334</v>
      </c>
      <c r="L29" s="305" t="s">
        <v>1250</v>
      </c>
      <c r="M29" s="24" t="s">
        <v>2733</v>
      </c>
      <c r="N29" s="24" t="str">
        <f>IF(VLOOKUP(M29,Statistics!B:F,4,FALSE)=0,"",VLOOKUP(M29,Statistics!B:F,4,FALSE))</f>
        <v>Grade : (등급 값)</v>
      </c>
      <c r="O29" s="13" t="s">
        <v>2798</v>
      </c>
      <c r="P29" s="24">
        <v>6</v>
      </c>
      <c r="Q29" s="208" t="s">
        <v>2237</v>
      </c>
      <c r="R29" s="24" t="str">
        <f>IF(VLOOKUP(M29,Statistics!B:F,5,FALSE)=0,"",VLOOKUP(M29,Statistics!B:F,5,FALSE))</f>
        <v>QuickMove.Dispatch.Fuction</v>
      </c>
      <c r="S29" s="24" t="s">
        <v>393</v>
      </c>
    </row>
    <row r="30" spans="1:19">
      <c r="A30" s="314">
        <v>2212000000017</v>
      </c>
      <c r="C30" s="172">
        <v>2212000000001</v>
      </c>
      <c r="D30" s="80" t="s">
        <v>1073</v>
      </c>
      <c r="E30" s="24" t="b">
        <v>0</v>
      </c>
      <c r="F30" s="182" t="s">
        <v>3161</v>
      </c>
      <c r="G30" s="182"/>
      <c r="I30" s="24"/>
      <c r="L30" s="24"/>
      <c r="M30" s="24"/>
      <c r="N30" s="24"/>
      <c r="Q30" s="205"/>
      <c r="R30" s="24"/>
    </row>
    <row r="31" spans="1:19" ht="33">
      <c r="A31" s="314"/>
      <c r="B31" s="172"/>
      <c r="C31" s="24"/>
      <c r="D31" s="172"/>
      <c r="E31" s="24"/>
      <c r="F31" s="24"/>
      <c r="G31" s="24"/>
      <c r="H31" s="80" t="s">
        <v>332</v>
      </c>
      <c r="I31" s="24" t="s">
        <v>2814</v>
      </c>
      <c r="J31" s="24" t="s">
        <v>1045</v>
      </c>
      <c r="K31" s="305" t="s">
        <v>334</v>
      </c>
      <c r="L31" s="305" t="s">
        <v>1250</v>
      </c>
      <c r="M31" s="24" t="s">
        <v>2733</v>
      </c>
      <c r="N31" s="24" t="str">
        <f>IF(VLOOKUP(M31,Statistics!B:F,4,FALSE)=0,"",VLOOKUP(M31,Statistics!B:F,4,FALSE))</f>
        <v>Grade : (등급 값)</v>
      </c>
      <c r="O31" s="13" t="s">
        <v>2796</v>
      </c>
      <c r="P31" s="24">
        <v>3</v>
      </c>
      <c r="Q31" s="208" t="s">
        <v>2237</v>
      </c>
      <c r="R31" s="24" t="str">
        <f>IF(VLOOKUP(M31,Statistics!B:F,5,FALSE)=0,"",VLOOKUP(M31,Statistics!B:F,5,FALSE))</f>
        <v>QuickMove.Dispatch.Fuction</v>
      </c>
      <c r="S31" s="24" t="s">
        <v>393</v>
      </c>
    </row>
    <row r="32" spans="1:19">
      <c r="A32" s="314">
        <v>2212000000018</v>
      </c>
      <c r="C32" s="172">
        <v>2212000000001</v>
      </c>
      <c r="D32" s="80" t="s">
        <v>1073</v>
      </c>
      <c r="E32" s="24" t="b">
        <v>0</v>
      </c>
      <c r="F32" s="182" t="s">
        <v>3161</v>
      </c>
      <c r="G32" s="182"/>
      <c r="I32" s="24"/>
      <c r="L32" s="24"/>
      <c r="M32" s="24"/>
      <c r="N32" s="24"/>
      <c r="Q32" s="205"/>
      <c r="R32" s="24"/>
    </row>
    <row r="33" spans="1:19" ht="33">
      <c r="A33" s="314"/>
      <c r="B33" s="172"/>
      <c r="C33" s="24"/>
      <c r="D33" s="172"/>
      <c r="E33" s="24"/>
      <c r="F33" s="24"/>
      <c r="G33" s="24"/>
      <c r="H33" s="80" t="s">
        <v>332</v>
      </c>
      <c r="I33" s="24" t="s">
        <v>2814</v>
      </c>
      <c r="J33" s="24" t="s">
        <v>1045</v>
      </c>
      <c r="K33" s="305" t="s">
        <v>334</v>
      </c>
      <c r="L33" s="305" t="s">
        <v>1250</v>
      </c>
      <c r="M33" s="24" t="s">
        <v>2733</v>
      </c>
      <c r="N33" s="24" t="str">
        <f>IF(VLOOKUP(M33,Statistics!B:F,4,FALSE)=0,"",VLOOKUP(M33,Statistics!B:F,4,FALSE))</f>
        <v>Grade : (등급 값)</v>
      </c>
      <c r="O33" s="13" t="s">
        <v>2800</v>
      </c>
      <c r="P33" s="24">
        <v>5</v>
      </c>
      <c r="Q33" s="208" t="s">
        <v>2804</v>
      </c>
      <c r="R33" s="24" t="str">
        <f>IF(VLOOKUP(M33,Statistics!B:F,5,FALSE)=0,"",VLOOKUP(M33,Statistics!B:F,5,FALSE))</f>
        <v>QuickMove.Dispatch.Fuction</v>
      </c>
      <c r="S33" s="24" t="s">
        <v>393</v>
      </c>
    </row>
    <row r="34" spans="1:19">
      <c r="A34" s="314">
        <v>2212000000019</v>
      </c>
      <c r="C34" s="172">
        <v>2212000000001</v>
      </c>
      <c r="D34" s="80" t="s">
        <v>1073</v>
      </c>
      <c r="E34" s="24" t="b">
        <v>0</v>
      </c>
      <c r="F34" s="182" t="s">
        <v>3161</v>
      </c>
      <c r="G34" s="182"/>
      <c r="I34" s="24"/>
      <c r="L34" s="24"/>
      <c r="M34" s="24"/>
      <c r="N34" s="24"/>
      <c r="Q34" s="205"/>
      <c r="R34" s="24"/>
    </row>
    <row r="35" spans="1:19" s="319" customFormat="1" ht="33.75" thickBot="1">
      <c r="A35" s="315"/>
      <c r="B35" s="317"/>
      <c r="C35" s="316"/>
      <c r="D35" s="317"/>
      <c r="E35" s="316"/>
      <c r="F35" s="24"/>
      <c r="G35" s="24"/>
      <c r="H35" s="318" t="s">
        <v>332</v>
      </c>
      <c r="I35" s="316" t="s">
        <v>2815</v>
      </c>
      <c r="J35" s="316" t="s">
        <v>1045</v>
      </c>
      <c r="K35" s="320" t="s">
        <v>334</v>
      </c>
      <c r="L35" s="320" t="s">
        <v>1250</v>
      </c>
      <c r="M35" s="316" t="s">
        <v>2733</v>
      </c>
      <c r="N35" s="316" t="str">
        <f>IF(VLOOKUP(M35,Statistics!B:F,4,FALSE)=0,"",VLOOKUP(M35,Statistics!B:F,4,FALSE))</f>
        <v>Grade : (등급 값)</v>
      </c>
      <c r="O35" s="321" t="s">
        <v>2801</v>
      </c>
      <c r="P35" s="316">
        <v>2</v>
      </c>
      <c r="Q35" s="322" t="s">
        <v>2805</v>
      </c>
      <c r="R35" s="316" t="str">
        <f>IF(VLOOKUP(M35,Statistics!B:F,5,FALSE)=0,"",VLOOKUP(M35,Statistics!B:F,5,FALSE))</f>
        <v>QuickMove.Dispatch.Fuction</v>
      </c>
      <c r="S35" s="316" t="s">
        <v>393</v>
      </c>
    </row>
    <row r="36" spans="1:19" s="313" customFormat="1">
      <c r="A36" s="308">
        <v>2212000000020</v>
      </c>
      <c r="B36" s="309"/>
      <c r="C36" s="310">
        <v>2212000000001</v>
      </c>
      <c r="D36" s="311" t="s">
        <v>1073</v>
      </c>
      <c r="E36" s="309" t="b">
        <v>0</v>
      </c>
      <c r="F36" s="182" t="s">
        <v>3162</v>
      </c>
      <c r="G36" s="182"/>
      <c r="H36" s="309"/>
      <c r="I36" s="309"/>
      <c r="J36" s="309"/>
      <c r="K36" s="309"/>
      <c r="L36" s="309"/>
      <c r="M36" s="309"/>
      <c r="N36" s="309"/>
      <c r="O36" s="309"/>
      <c r="P36" s="309"/>
      <c r="Q36" s="312"/>
      <c r="R36" s="309"/>
      <c r="S36" s="309"/>
    </row>
    <row r="37" spans="1:19" ht="33">
      <c r="A37" s="314"/>
      <c r="B37" s="172"/>
      <c r="C37" s="24"/>
      <c r="D37" s="172"/>
      <c r="E37" s="24"/>
      <c r="F37" s="24"/>
      <c r="G37" s="24"/>
      <c r="H37" s="80" t="s">
        <v>332</v>
      </c>
      <c r="I37" s="24" t="s">
        <v>1243</v>
      </c>
      <c r="J37" s="24" t="s">
        <v>1045</v>
      </c>
      <c r="K37" s="305" t="s">
        <v>334</v>
      </c>
      <c r="L37" s="305" t="s">
        <v>1250</v>
      </c>
      <c r="M37" s="24" t="s">
        <v>2733</v>
      </c>
      <c r="N37" s="24" t="str">
        <f>IF(VLOOKUP(M37,Statistics!B:F,4,FALSE)=0,"",VLOOKUP(M37,Statistics!B:F,4,FALSE))</f>
        <v>Grade : (등급 값)</v>
      </c>
      <c r="O37" s="13" t="s">
        <v>1510</v>
      </c>
      <c r="P37" s="24">
        <v>3</v>
      </c>
      <c r="Q37" s="208" t="s">
        <v>1457</v>
      </c>
      <c r="R37" s="24" t="str">
        <f>IF(VLOOKUP(M37,Statistics!B:F,5,FALSE)=0,"",VLOOKUP(M37,Statistics!B:F,5,FALSE))</f>
        <v>QuickMove.Dispatch.Fuction</v>
      </c>
      <c r="S37" s="24" t="s">
        <v>393</v>
      </c>
    </row>
    <row r="38" spans="1:19">
      <c r="A38" s="314">
        <v>2212000000021</v>
      </c>
      <c r="B38" s="24"/>
      <c r="C38" s="172">
        <v>2212000000001</v>
      </c>
      <c r="D38" s="80" t="s">
        <v>1073</v>
      </c>
      <c r="E38" s="24" t="b">
        <v>0</v>
      </c>
      <c r="F38" s="182" t="s">
        <v>3162</v>
      </c>
      <c r="G38" s="182"/>
      <c r="H38" s="24"/>
      <c r="I38" s="24"/>
      <c r="J38" s="24"/>
      <c r="K38" s="24"/>
      <c r="L38" s="24"/>
      <c r="M38" s="24"/>
      <c r="N38" s="24"/>
      <c r="O38" s="24"/>
      <c r="P38" s="24"/>
      <c r="Q38" s="205"/>
      <c r="R38" s="24"/>
      <c r="S38" s="24"/>
    </row>
    <row r="39" spans="1:19" ht="33">
      <c r="A39" s="314"/>
      <c r="B39" s="172"/>
      <c r="C39" s="24"/>
      <c r="D39" s="172"/>
      <c r="E39" s="24"/>
      <c r="F39" s="24"/>
      <c r="G39" s="24"/>
      <c r="H39" s="80" t="s">
        <v>332</v>
      </c>
      <c r="I39" s="24" t="s">
        <v>1243</v>
      </c>
      <c r="J39" s="24" t="s">
        <v>1045</v>
      </c>
      <c r="K39" s="305" t="s">
        <v>334</v>
      </c>
      <c r="L39" s="305" t="s">
        <v>1250</v>
      </c>
      <c r="M39" s="24" t="s">
        <v>2733</v>
      </c>
      <c r="N39" s="24" t="str">
        <f>IF(VLOOKUP(M39,Statistics!B:F,4,FALSE)=0,"",VLOOKUP(M39,Statistics!B:F,4,FALSE))</f>
        <v>Grade : (등급 값)</v>
      </c>
      <c r="O39" s="13" t="s">
        <v>2816</v>
      </c>
      <c r="P39" s="24">
        <v>5</v>
      </c>
      <c r="Q39" s="208" t="s">
        <v>2239</v>
      </c>
      <c r="R39" s="24" t="str">
        <f>IF(VLOOKUP(M39,Statistics!B:F,5,FALSE)=0,"",VLOOKUP(M39,Statistics!B:F,5,FALSE))</f>
        <v>QuickMove.Dispatch.Fuction</v>
      </c>
      <c r="S39" s="24" t="s">
        <v>393</v>
      </c>
    </row>
    <row r="40" spans="1:19">
      <c r="A40" s="314">
        <v>2212000000022</v>
      </c>
      <c r="B40" s="24"/>
      <c r="C40" s="172">
        <v>2212000000001</v>
      </c>
      <c r="D40" s="80" t="s">
        <v>1073</v>
      </c>
      <c r="E40" s="24" t="b">
        <v>0</v>
      </c>
      <c r="F40" s="182" t="s">
        <v>3162</v>
      </c>
      <c r="G40" s="182"/>
      <c r="H40" s="24"/>
      <c r="I40" s="24"/>
      <c r="J40" s="24"/>
      <c r="K40" s="24"/>
      <c r="L40" s="24"/>
      <c r="M40" s="24"/>
      <c r="N40" s="24"/>
      <c r="O40" s="24"/>
      <c r="P40" s="24"/>
      <c r="Q40" s="205"/>
      <c r="R40" s="24"/>
      <c r="S40" s="24"/>
    </row>
    <row r="41" spans="1:19" ht="33">
      <c r="A41" s="314"/>
      <c r="B41" s="172"/>
      <c r="C41" s="24"/>
      <c r="D41" s="172"/>
      <c r="E41" s="24"/>
      <c r="F41" s="24"/>
      <c r="G41" s="24"/>
      <c r="H41" s="80" t="s">
        <v>332</v>
      </c>
      <c r="I41" s="24" t="s">
        <v>2812</v>
      </c>
      <c r="J41" s="24" t="s">
        <v>1045</v>
      </c>
      <c r="K41" s="305" t="s">
        <v>334</v>
      </c>
      <c r="L41" s="305" t="s">
        <v>1250</v>
      </c>
      <c r="M41" s="24" t="s">
        <v>2733</v>
      </c>
      <c r="N41" s="24" t="str">
        <f>IF(VLOOKUP(M41,Statistics!B:F,4,FALSE)=0,"",VLOOKUP(M41,Statistics!B:F,4,FALSE))</f>
        <v>Grade : (등급 값)</v>
      </c>
      <c r="O41" s="13" t="s">
        <v>2817</v>
      </c>
      <c r="P41" s="24">
        <v>2</v>
      </c>
      <c r="Q41" s="208" t="s">
        <v>2237</v>
      </c>
      <c r="R41" s="24" t="str">
        <f>IF(VLOOKUP(M41,Statistics!B:F,5,FALSE)=0,"",VLOOKUP(M41,Statistics!B:F,5,FALSE))</f>
        <v>QuickMove.Dispatch.Fuction</v>
      </c>
      <c r="S41" s="24" t="s">
        <v>393</v>
      </c>
    </row>
    <row r="42" spans="1:19">
      <c r="A42" s="314">
        <v>2212000000023</v>
      </c>
      <c r="B42" s="24"/>
      <c r="C42" s="172">
        <v>2212000000001</v>
      </c>
      <c r="D42" s="80" t="s">
        <v>1073</v>
      </c>
      <c r="E42" s="24" t="b">
        <v>0</v>
      </c>
      <c r="F42" s="182" t="s">
        <v>3162</v>
      </c>
      <c r="G42" s="182"/>
      <c r="H42" s="24"/>
      <c r="I42" s="24"/>
      <c r="J42" s="24"/>
      <c r="K42" s="24"/>
      <c r="L42" s="24"/>
      <c r="M42" s="24"/>
      <c r="N42" s="24"/>
      <c r="O42" s="24"/>
      <c r="P42" s="24"/>
      <c r="Q42" s="205"/>
      <c r="R42" s="24"/>
      <c r="S42" s="24"/>
    </row>
    <row r="43" spans="1:19" ht="33">
      <c r="A43" s="314"/>
      <c r="B43" s="172"/>
      <c r="C43" s="24"/>
      <c r="D43" s="172"/>
      <c r="E43" s="24"/>
      <c r="F43" s="24"/>
      <c r="G43" s="24"/>
      <c r="H43" s="80" t="s">
        <v>332</v>
      </c>
      <c r="I43" s="24" t="s">
        <v>2812</v>
      </c>
      <c r="J43" s="24" t="s">
        <v>1045</v>
      </c>
      <c r="K43" s="305" t="s">
        <v>334</v>
      </c>
      <c r="L43" s="305" t="s">
        <v>1250</v>
      </c>
      <c r="M43" s="24" t="s">
        <v>2733</v>
      </c>
      <c r="N43" s="24" t="str">
        <f>IF(VLOOKUP(M43,Statistics!B:F,4,FALSE)=0,"",VLOOKUP(M43,Statistics!B:F,4,FALSE))</f>
        <v>Grade : (등급 값)</v>
      </c>
      <c r="O43" s="13" t="s">
        <v>2817</v>
      </c>
      <c r="P43" s="24">
        <v>4</v>
      </c>
      <c r="Q43" s="208" t="s">
        <v>2237</v>
      </c>
      <c r="R43" s="24" t="str">
        <f>IF(VLOOKUP(M43,Statistics!B:F,5,FALSE)=0,"",VLOOKUP(M43,Statistics!B:F,5,FALSE))</f>
        <v>QuickMove.Dispatch.Fuction</v>
      </c>
      <c r="S43" s="24" t="s">
        <v>393</v>
      </c>
    </row>
    <row r="44" spans="1:19">
      <c r="A44" s="314">
        <v>2212000000024</v>
      </c>
      <c r="C44" s="172">
        <v>2212000000001</v>
      </c>
      <c r="D44" s="80" t="s">
        <v>1073</v>
      </c>
      <c r="E44" s="24" t="b">
        <v>0</v>
      </c>
      <c r="F44" s="182" t="s">
        <v>3162</v>
      </c>
      <c r="G44" s="182"/>
      <c r="I44" s="24"/>
      <c r="L44" s="24"/>
      <c r="M44" s="24"/>
      <c r="N44" s="24"/>
      <c r="Q44" s="205"/>
      <c r="R44" s="24"/>
    </row>
    <row r="45" spans="1:19" ht="33">
      <c r="A45" s="314"/>
      <c r="B45" s="172"/>
      <c r="C45" s="24"/>
      <c r="D45" s="172"/>
      <c r="E45" s="24"/>
      <c r="F45" s="24"/>
      <c r="G45" s="24"/>
      <c r="H45" s="80" t="s">
        <v>332</v>
      </c>
      <c r="I45" s="24" t="s">
        <v>1244</v>
      </c>
      <c r="J45" s="24" t="s">
        <v>1045</v>
      </c>
      <c r="K45" s="305" t="s">
        <v>334</v>
      </c>
      <c r="L45" s="305" t="s">
        <v>1250</v>
      </c>
      <c r="M45" s="24" t="s">
        <v>2733</v>
      </c>
      <c r="N45" s="24" t="str">
        <f>IF(VLOOKUP(M45,Statistics!B:F,4,FALSE)=0,"",VLOOKUP(M45,Statistics!B:F,4,FALSE))</f>
        <v>Grade : (등급 값)</v>
      </c>
      <c r="O45" s="13" t="s">
        <v>2818</v>
      </c>
      <c r="P45" s="24">
        <v>2</v>
      </c>
      <c r="Q45" s="208" t="s">
        <v>2237</v>
      </c>
      <c r="R45" s="24" t="str">
        <f>IF(VLOOKUP(M45,Statistics!B:F,5,FALSE)=0,"",VLOOKUP(M45,Statistics!B:F,5,FALSE))</f>
        <v>QuickMove.Dispatch.Fuction</v>
      </c>
      <c r="S45" s="24" t="s">
        <v>393</v>
      </c>
    </row>
    <row r="46" spans="1:19">
      <c r="A46" s="314">
        <v>2212000000025</v>
      </c>
      <c r="C46" s="172">
        <v>2212000000001</v>
      </c>
      <c r="D46" s="80" t="s">
        <v>1073</v>
      </c>
      <c r="E46" s="24" t="b">
        <v>0</v>
      </c>
      <c r="F46" s="182" t="s">
        <v>3162</v>
      </c>
      <c r="G46" s="182"/>
      <c r="I46" s="24"/>
      <c r="L46" s="24"/>
      <c r="M46" s="24"/>
      <c r="N46" s="24"/>
      <c r="Q46" s="205"/>
      <c r="R46" s="24"/>
    </row>
    <row r="47" spans="1:19" ht="33">
      <c r="A47" s="314"/>
      <c r="B47" s="172"/>
      <c r="C47" s="24"/>
      <c r="D47" s="172"/>
      <c r="E47" s="24"/>
      <c r="F47" s="24"/>
      <c r="G47" s="24"/>
      <c r="H47" s="80" t="s">
        <v>332</v>
      </c>
      <c r="I47" s="24" t="s">
        <v>1244</v>
      </c>
      <c r="J47" s="24" t="s">
        <v>1045</v>
      </c>
      <c r="K47" s="305" t="s">
        <v>334</v>
      </c>
      <c r="L47" s="305" t="s">
        <v>1250</v>
      </c>
      <c r="M47" s="24" t="s">
        <v>2733</v>
      </c>
      <c r="N47" s="24" t="str">
        <f>IF(VLOOKUP(M47,Statistics!B:F,4,FALSE)=0,"",VLOOKUP(M47,Statistics!B:F,4,FALSE))</f>
        <v>Grade : (등급 값)</v>
      </c>
      <c r="O47" s="13" t="s">
        <v>2819</v>
      </c>
      <c r="P47" s="24">
        <v>3</v>
      </c>
      <c r="Q47" s="208" t="s">
        <v>2237</v>
      </c>
      <c r="R47" s="24" t="str">
        <f>IF(VLOOKUP(M47,Statistics!B:F,5,FALSE)=0,"",VLOOKUP(M47,Statistics!B:F,5,FALSE))</f>
        <v>QuickMove.Dispatch.Fuction</v>
      </c>
      <c r="S47" s="24" t="s">
        <v>393</v>
      </c>
    </row>
    <row r="48" spans="1:19">
      <c r="A48" s="314">
        <v>2212000000026</v>
      </c>
      <c r="C48" s="172">
        <v>2212000000001</v>
      </c>
      <c r="D48" s="80" t="s">
        <v>1073</v>
      </c>
      <c r="E48" s="24" t="b">
        <v>0</v>
      </c>
      <c r="F48" s="182" t="s">
        <v>3162</v>
      </c>
      <c r="G48" s="182"/>
      <c r="I48" s="24"/>
      <c r="L48" s="24"/>
      <c r="M48" s="24"/>
      <c r="N48" s="24"/>
      <c r="Q48" s="205"/>
      <c r="R48" s="24"/>
    </row>
    <row r="49" spans="1:19" s="319" customFormat="1" ht="33.75" thickBot="1">
      <c r="A49" s="315"/>
      <c r="B49" s="317"/>
      <c r="C49" s="316"/>
      <c r="D49" s="317"/>
      <c r="E49" s="316"/>
      <c r="F49" s="24"/>
      <c r="G49" s="24"/>
      <c r="H49" s="318" t="s">
        <v>332</v>
      </c>
      <c r="I49" s="316" t="s">
        <v>1245</v>
      </c>
      <c r="J49" s="316" t="s">
        <v>1045</v>
      </c>
      <c r="K49" s="320" t="s">
        <v>334</v>
      </c>
      <c r="L49" s="320" t="s">
        <v>1250</v>
      </c>
      <c r="M49" s="316" t="s">
        <v>2733</v>
      </c>
      <c r="N49" s="316" t="str">
        <f>IF(VLOOKUP(M49,Statistics!B:F,4,FALSE)=0,"",VLOOKUP(M49,Statistics!B:F,4,FALSE))</f>
        <v>Grade : (등급 값)</v>
      </c>
      <c r="O49" s="321" t="s">
        <v>2820</v>
      </c>
      <c r="P49" s="316">
        <v>1</v>
      </c>
      <c r="Q49" s="322" t="s">
        <v>2806</v>
      </c>
      <c r="R49" s="316" t="str">
        <f>IF(VLOOKUP(M49,Statistics!B:F,5,FALSE)=0,"",VLOOKUP(M49,Statistics!B:F,5,FALSE))</f>
        <v>QuickMove.Dispatch.Fuction</v>
      </c>
      <c r="S49" s="316" t="s">
        <v>393</v>
      </c>
    </row>
    <row r="50" spans="1:19" s="313" customFormat="1">
      <c r="A50" s="308">
        <v>2212000000027</v>
      </c>
      <c r="B50" s="309"/>
      <c r="C50" s="310">
        <v>2212000000001</v>
      </c>
      <c r="D50" s="311" t="s">
        <v>1073</v>
      </c>
      <c r="E50" s="309" t="b">
        <v>0</v>
      </c>
      <c r="F50" s="182" t="s">
        <v>3163</v>
      </c>
      <c r="G50" s="182"/>
      <c r="H50" s="309"/>
      <c r="I50" s="309"/>
      <c r="J50" s="309"/>
      <c r="K50" s="309"/>
      <c r="L50" s="309"/>
      <c r="M50" s="309"/>
      <c r="N50" s="309"/>
      <c r="O50" s="309"/>
      <c r="P50" s="309"/>
      <c r="Q50" s="312"/>
      <c r="R50" s="309"/>
      <c r="S50" s="309"/>
    </row>
    <row r="51" spans="1:19" ht="33">
      <c r="A51" s="314"/>
      <c r="B51" s="172"/>
      <c r="C51" s="24"/>
      <c r="D51" s="172"/>
      <c r="E51" s="24"/>
      <c r="F51" s="24"/>
      <c r="G51" s="24"/>
      <c r="H51" s="80" t="s">
        <v>332</v>
      </c>
      <c r="I51" s="24" t="s">
        <v>2812</v>
      </c>
      <c r="J51" s="24" t="s">
        <v>1045</v>
      </c>
      <c r="K51" s="305" t="s">
        <v>334</v>
      </c>
      <c r="L51" s="305" t="s">
        <v>1250</v>
      </c>
      <c r="M51" s="24" t="s">
        <v>2733</v>
      </c>
      <c r="N51" s="24" t="str">
        <f>IF(VLOOKUP(M51,Statistics!B:F,4,FALSE)=0,"",VLOOKUP(M51,Statistics!B:F,4,FALSE))</f>
        <v>Grade : (등급 값)</v>
      </c>
      <c r="O51" s="13" t="s">
        <v>2821</v>
      </c>
      <c r="P51" s="24">
        <v>3</v>
      </c>
      <c r="Q51" s="208" t="s">
        <v>1457</v>
      </c>
      <c r="R51" s="24" t="str">
        <f>IF(VLOOKUP(M51,Statistics!B:F,5,FALSE)=0,"",VLOOKUP(M51,Statistics!B:F,5,FALSE))</f>
        <v>QuickMove.Dispatch.Fuction</v>
      </c>
      <c r="S51" s="24" t="s">
        <v>393</v>
      </c>
    </row>
    <row r="52" spans="1:19">
      <c r="A52" s="314">
        <v>2212000000028</v>
      </c>
      <c r="B52" s="24"/>
      <c r="C52" s="172">
        <v>2212000000001</v>
      </c>
      <c r="D52" s="80" t="s">
        <v>1073</v>
      </c>
      <c r="E52" s="24" t="b">
        <v>0</v>
      </c>
      <c r="F52" s="182" t="s">
        <v>3163</v>
      </c>
      <c r="G52" s="182"/>
      <c r="H52" s="24"/>
      <c r="I52" s="24"/>
      <c r="J52" s="24"/>
      <c r="K52" s="24"/>
      <c r="L52" s="24"/>
      <c r="M52" s="24"/>
      <c r="N52" s="24"/>
      <c r="O52" s="24"/>
      <c r="P52" s="24"/>
      <c r="Q52" s="205"/>
      <c r="R52" s="24"/>
      <c r="S52" s="24"/>
    </row>
    <row r="53" spans="1:19" ht="33">
      <c r="A53" s="314"/>
      <c r="B53" s="172"/>
      <c r="C53" s="24"/>
      <c r="D53" s="172"/>
      <c r="E53" s="24"/>
      <c r="F53" s="24"/>
      <c r="G53" s="24"/>
      <c r="H53" s="80" t="s">
        <v>332</v>
      </c>
      <c r="I53" s="24" t="s">
        <v>2812</v>
      </c>
      <c r="J53" s="24" t="s">
        <v>1045</v>
      </c>
      <c r="K53" s="305" t="s">
        <v>334</v>
      </c>
      <c r="L53" s="305" t="s">
        <v>1250</v>
      </c>
      <c r="M53" s="24" t="s">
        <v>2733</v>
      </c>
      <c r="N53" s="24" t="str">
        <f>IF(VLOOKUP(M53,Statistics!B:F,4,FALSE)=0,"",VLOOKUP(M53,Statistics!B:F,4,FALSE))</f>
        <v>Grade : (등급 값)</v>
      </c>
      <c r="O53" s="13" t="s">
        <v>2822</v>
      </c>
      <c r="P53" s="24">
        <v>5</v>
      </c>
      <c r="Q53" s="208" t="s">
        <v>2239</v>
      </c>
      <c r="R53" s="24" t="str">
        <f>IF(VLOOKUP(M53,Statistics!B:F,5,FALSE)=0,"",VLOOKUP(M53,Statistics!B:F,5,FALSE))</f>
        <v>QuickMove.Dispatch.Fuction</v>
      </c>
      <c r="S53" s="24" t="s">
        <v>393</v>
      </c>
    </row>
    <row r="54" spans="1:19">
      <c r="A54" s="314">
        <v>2212000000029</v>
      </c>
      <c r="B54" s="24"/>
      <c r="C54" s="172">
        <v>2212000000001</v>
      </c>
      <c r="D54" s="80" t="s">
        <v>1073</v>
      </c>
      <c r="E54" s="24" t="b">
        <v>0</v>
      </c>
      <c r="F54" s="182" t="s">
        <v>3163</v>
      </c>
      <c r="G54" s="182"/>
      <c r="H54" s="24"/>
      <c r="I54" s="24"/>
      <c r="J54" s="24"/>
      <c r="K54" s="24"/>
      <c r="L54" s="24"/>
      <c r="M54" s="24"/>
      <c r="N54" s="24"/>
      <c r="O54" s="24"/>
      <c r="P54" s="24"/>
      <c r="Q54" s="205"/>
      <c r="R54" s="24"/>
      <c r="S54" s="24"/>
    </row>
    <row r="55" spans="1:19" ht="33">
      <c r="A55" s="314"/>
      <c r="B55" s="172"/>
      <c r="C55" s="24"/>
      <c r="D55" s="172"/>
      <c r="E55" s="24"/>
      <c r="F55" s="24"/>
      <c r="G55" s="24"/>
      <c r="H55" s="80" t="s">
        <v>332</v>
      </c>
      <c r="I55" s="24" t="s">
        <v>1244</v>
      </c>
      <c r="J55" s="24" t="s">
        <v>1045</v>
      </c>
      <c r="K55" s="305" t="s">
        <v>334</v>
      </c>
      <c r="L55" s="305" t="s">
        <v>1250</v>
      </c>
      <c r="M55" s="24" t="s">
        <v>2733</v>
      </c>
      <c r="N55" s="24" t="str">
        <f>IF(VLOOKUP(M55,Statistics!B:F,4,FALSE)=0,"",VLOOKUP(M55,Statistics!B:F,4,FALSE))</f>
        <v>Grade : (등급 값)</v>
      </c>
      <c r="O55" s="13" t="s">
        <v>2823</v>
      </c>
      <c r="P55" s="24">
        <v>2</v>
      </c>
      <c r="Q55" s="208" t="s">
        <v>2237</v>
      </c>
      <c r="R55" s="24" t="str">
        <f>IF(VLOOKUP(M55,Statistics!B:F,5,FALSE)=0,"",VLOOKUP(M55,Statistics!B:F,5,FALSE))</f>
        <v>QuickMove.Dispatch.Fuction</v>
      </c>
      <c r="S55" s="24" t="s">
        <v>393</v>
      </c>
    </row>
    <row r="56" spans="1:19">
      <c r="A56" s="314">
        <v>2212000000030</v>
      </c>
      <c r="B56" s="24"/>
      <c r="C56" s="172">
        <v>2212000000001</v>
      </c>
      <c r="D56" s="80" t="s">
        <v>1073</v>
      </c>
      <c r="E56" s="24" t="b">
        <v>0</v>
      </c>
      <c r="F56" s="182" t="s">
        <v>3163</v>
      </c>
      <c r="G56" s="182"/>
      <c r="H56" s="24"/>
      <c r="I56" s="24"/>
      <c r="J56" s="24"/>
      <c r="K56" s="24"/>
      <c r="L56" s="24"/>
      <c r="M56" s="24"/>
      <c r="N56" s="24"/>
      <c r="O56" s="24"/>
      <c r="P56" s="24"/>
      <c r="Q56" s="205"/>
      <c r="R56" s="24"/>
      <c r="S56" s="24"/>
    </row>
    <row r="57" spans="1:19" ht="33">
      <c r="A57" s="314"/>
      <c r="B57" s="172"/>
      <c r="C57" s="24"/>
      <c r="D57" s="172"/>
      <c r="E57" s="24"/>
      <c r="F57" s="24"/>
      <c r="G57" s="24"/>
      <c r="H57" s="80" t="s">
        <v>332</v>
      </c>
      <c r="I57" s="24" t="s">
        <v>1244</v>
      </c>
      <c r="J57" s="24" t="s">
        <v>1045</v>
      </c>
      <c r="K57" s="305" t="s">
        <v>334</v>
      </c>
      <c r="L57" s="305" t="s">
        <v>1250</v>
      </c>
      <c r="M57" s="24" t="s">
        <v>2733</v>
      </c>
      <c r="N57" s="24" t="str">
        <f>IF(VLOOKUP(M57,Statistics!B:F,4,FALSE)=0,"",VLOOKUP(M57,Statistics!B:F,4,FALSE))</f>
        <v>Grade : (등급 값)</v>
      </c>
      <c r="O57" s="13" t="s">
        <v>2819</v>
      </c>
      <c r="P57" s="24">
        <v>4</v>
      </c>
      <c r="Q57" s="208" t="s">
        <v>2237</v>
      </c>
      <c r="R57" s="24" t="str">
        <f>IF(VLOOKUP(M57,Statistics!B:F,5,FALSE)=0,"",VLOOKUP(M57,Statistics!B:F,5,FALSE))</f>
        <v>QuickMove.Dispatch.Fuction</v>
      </c>
      <c r="S57" s="24" t="s">
        <v>393</v>
      </c>
    </row>
    <row r="58" spans="1:19">
      <c r="A58" s="314">
        <v>2212000000031</v>
      </c>
      <c r="C58" s="172">
        <v>2212000000001</v>
      </c>
      <c r="D58" s="80" t="s">
        <v>1073</v>
      </c>
      <c r="E58" s="24" t="b">
        <v>0</v>
      </c>
      <c r="F58" s="182" t="s">
        <v>3163</v>
      </c>
      <c r="G58" s="182"/>
      <c r="I58" s="24"/>
      <c r="L58" s="24"/>
      <c r="M58" s="24"/>
      <c r="N58" s="24"/>
      <c r="Q58" s="205"/>
      <c r="R58" s="24"/>
    </row>
    <row r="59" spans="1:19" ht="33">
      <c r="A59" s="314"/>
      <c r="B59" s="172"/>
      <c r="C59" s="24"/>
      <c r="D59" s="172"/>
      <c r="E59" s="24"/>
      <c r="F59" s="24"/>
      <c r="G59" s="24"/>
      <c r="H59" s="80" t="s">
        <v>332</v>
      </c>
      <c r="I59" s="24" t="s">
        <v>1245</v>
      </c>
      <c r="J59" s="24" t="s">
        <v>1045</v>
      </c>
      <c r="K59" s="305" t="s">
        <v>334</v>
      </c>
      <c r="L59" s="305" t="s">
        <v>1250</v>
      </c>
      <c r="M59" s="24" t="s">
        <v>2733</v>
      </c>
      <c r="N59" s="24" t="str">
        <f>IF(VLOOKUP(M59,Statistics!B:F,4,FALSE)=0,"",VLOOKUP(M59,Statistics!B:F,4,FALSE))</f>
        <v>Grade : (등급 값)</v>
      </c>
      <c r="O59" s="13" t="s">
        <v>2824</v>
      </c>
      <c r="P59" s="24">
        <v>2</v>
      </c>
      <c r="Q59" s="208" t="s">
        <v>2237</v>
      </c>
      <c r="R59" s="24" t="str">
        <f>IF(VLOOKUP(M59,Statistics!B:F,5,FALSE)=0,"",VLOOKUP(M59,Statistics!B:F,5,FALSE))</f>
        <v>QuickMove.Dispatch.Fuction</v>
      </c>
      <c r="S59" s="24" t="s">
        <v>393</v>
      </c>
    </row>
    <row r="60" spans="1:19">
      <c r="A60" s="314">
        <v>2212000000032</v>
      </c>
      <c r="C60" s="172">
        <v>2212000000001</v>
      </c>
      <c r="D60" s="80" t="s">
        <v>1073</v>
      </c>
      <c r="E60" s="24" t="b">
        <v>0</v>
      </c>
      <c r="F60" s="182" t="s">
        <v>3163</v>
      </c>
      <c r="G60" s="182"/>
      <c r="I60" s="24"/>
      <c r="L60" s="24"/>
      <c r="M60" s="24"/>
      <c r="N60" s="24"/>
      <c r="Q60" s="205"/>
      <c r="R60" s="24"/>
    </row>
    <row r="61" spans="1:19" ht="33">
      <c r="A61" s="314"/>
      <c r="B61" s="172"/>
      <c r="C61" s="24"/>
      <c r="D61" s="172"/>
      <c r="E61" s="24"/>
      <c r="F61" s="24"/>
      <c r="G61" s="24"/>
      <c r="H61" s="80" t="s">
        <v>332</v>
      </c>
      <c r="I61" s="24" t="s">
        <v>1245</v>
      </c>
      <c r="J61" s="24" t="s">
        <v>1045</v>
      </c>
      <c r="K61" s="305" t="s">
        <v>334</v>
      </c>
      <c r="L61" s="305" t="s">
        <v>1250</v>
      </c>
      <c r="M61" s="24" t="s">
        <v>2733</v>
      </c>
      <c r="N61" s="24" t="str">
        <f>IF(VLOOKUP(M61,Statistics!B:F,4,FALSE)=0,"",VLOOKUP(M61,Statistics!B:F,4,FALSE))</f>
        <v>Grade : (등급 값)</v>
      </c>
      <c r="O61" s="13" t="s">
        <v>2824</v>
      </c>
      <c r="P61" s="24">
        <v>3</v>
      </c>
      <c r="Q61" s="208" t="s">
        <v>2807</v>
      </c>
      <c r="R61" s="24" t="str">
        <f>IF(VLOOKUP(M61,Statistics!B:F,5,FALSE)=0,"",VLOOKUP(M61,Statistics!B:F,5,FALSE))</f>
        <v>QuickMove.Dispatch.Fuction</v>
      </c>
      <c r="S61" s="24" t="s">
        <v>393</v>
      </c>
    </row>
    <row r="62" spans="1:19">
      <c r="A62" s="314">
        <v>2212000000033</v>
      </c>
      <c r="C62" s="172">
        <v>2212000000001</v>
      </c>
      <c r="D62" s="80" t="s">
        <v>1073</v>
      </c>
      <c r="E62" s="24" t="b">
        <v>0</v>
      </c>
      <c r="F62" s="182" t="s">
        <v>3163</v>
      </c>
      <c r="G62" s="182"/>
      <c r="I62" s="24"/>
      <c r="L62" s="24"/>
      <c r="M62" s="24"/>
      <c r="N62" s="24"/>
      <c r="Q62" s="205"/>
      <c r="R62" s="24"/>
    </row>
    <row r="63" spans="1:19" s="319" customFormat="1" ht="33.75" thickBot="1">
      <c r="A63" s="315"/>
      <c r="B63" s="317"/>
      <c r="C63" s="316"/>
      <c r="D63" s="317"/>
      <c r="E63" s="316"/>
      <c r="F63" s="24"/>
      <c r="G63" s="24"/>
      <c r="H63" s="318" t="s">
        <v>332</v>
      </c>
      <c r="I63" s="19" t="s">
        <v>3168</v>
      </c>
      <c r="J63" s="316" t="s">
        <v>1045</v>
      </c>
      <c r="K63" s="320" t="s">
        <v>334</v>
      </c>
      <c r="L63" s="320" t="s">
        <v>1250</v>
      </c>
      <c r="M63" s="316" t="s">
        <v>2733</v>
      </c>
      <c r="N63" s="316" t="str">
        <f>IF(VLOOKUP(M63,Statistics!B:F,4,FALSE)=0,"",VLOOKUP(M63,Statistics!B:F,4,FALSE))</f>
        <v>Grade : (등급 값)</v>
      </c>
      <c r="O63" s="321" t="s">
        <v>1516</v>
      </c>
      <c r="P63" s="316">
        <v>1</v>
      </c>
      <c r="Q63" s="322" t="s">
        <v>2238</v>
      </c>
      <c r="R63" s="316" t="str">
        <f>IF(VLOOKUP(M63,Statistics!B:F,5,FALSE)=0,"",VLOOKUP(M63,Statistics!B:F,5,FALSE))</f>
        <v>QuickMove.Dispatch.Fuction</v>
      </c>
      <c r="S63" s="316" t="s">
        <v>393</v>
      </c>
    </row>
    <row r="64" spans="1:19">
      <c r="A64" s="172">
        <v>22120000000010</v>
      </c>
      <c r="B64" s="24"/>
      <c r="C64" s="172">
        <v>2212000000001</v>
      </c>
      <c r="D64" s="80" t="s">
        <v>1073</v>
      </c>
      <c r="E64" s="24" t="b">
        <v>0</v>
      </c>
      <c r="F64" s="24"/>
      <c r="G64" s="24"/>
      <c r="H64" s="24"/>
      <c r="I64" s="24"/>
      <c r="J64" s="24"/>
      <c r="K64" s="24"/>
      <c r="L64" s="24"/>
      <c r="M64" s="24"/>
      <c r="N64" s="24"/>
      <c r="O64" s="24"/>
      <c r="P64" s="24"/>
      <c r="Q64" s="205"/>
      <c r="R64" s="24"/>
      <c r="S64" s="24"/>
    </row>
    <row r="65" spans="1:19" ht="33">
      <c r="B65" s="172"/>
      <c r="C65" s="24"/>
      <c r="D65" s="172"/>
      <c r="E65" s="24"/>
      <c r="F65" s="24"/>
      <c r="G65" s="24"/>
      <c r="H65" s="80" t="s">
        <v>332</v>
      </c>
      <c r="I65" s="24" t="s">
        <v>1242</v>
      </c>
      <c r="J65" s="24" t="s">
        <v>1045</v>
      </c>
      <c r="K65" s="194" t="s">
        <v>334</v>
      </c>
      <c r="L65" s="194" t="s">
        <v>1239</v>
      </c>
      <c r="M65" s="24" t="str">
        <f>VLOOKUP(L65,Statistics!A:F,2,FALSE)</f>
        <v>AsniaRequestGift</v>
      </c>
      <c r="N65" s="24" t="str">
        <f>IF(VLOOKUP(M65,Statistics!B:F,4,FALSE)=0,"",VLOOKUP(M65,Statistics!B:F,4,FALSE))</f>
        <v/>
      </c>
      <c r="O65" s="13"/>
      <c r="P65" s="24">
        <v>10</v>
      </c>
      <c r="Q65" s="208" t="s">
        <v>2237</v>
      </c>
      <c r="R65" s="24" t="str">
        <f>IF(VLOOKUP(M65,Statistics!B:F,5,FALSE)=0,"",VLOOKUP(M65,Statistics!B:F,5,FALSE))</f>
        <v/>
      </c>
      <c r="S65" s="24"/>
    </row>
    <row r="66" spans="1:19">
      <c r="A66" s="172">
        <v>22120000000011</v>
      </c>
      <c r="B66" s="24"/>
      <c r="C66" s="172">
        <v>2212000000001</v>
      </c>
      <c r="D66" s="80" t="s">
        <v>1073</v>
      </c>
      <c r="E66" s="24" t="b">
        <v>0</v>
      </c>
      <c r="F66" s="24"/>
      <c r="G66" s="24"/>
      <c r="H66" s="24"/>
      <c r="I66" s="24"/>
      <c r="J66" s="24"/>
      <c r="K66" s="24"/>
      <c r="L66" s="24"/>
      <c r="M66" s="24"/>
      <c r="N66" s="24"/>
      <c r="O66" s="24"/>
      <c r="P66" s="24"/>
      <c r="Q66" s="205"/>
      <c r="R66" s="24"/>
      <c r="S66" s="24"/>
    </row>
    <row r="67" spans="1:19" ht="33">
      <c r="B67" s="172"/>
      <c r="C67" s="24"/>
      <c r="D67" s="172"/>
      <c r="E67" s="24"/>
      <c r="F67" s="24"/>
      <c r="G67" s="24"/>
      <c r="H67" s="80" t="s">
        <v>332</v>
      </c>
      <c r="I67" s="24" t="s">
        <v>1242</v>
      </c>
      <c r="J67" s="24" t="s">
        <v>1045</v>
      </c>
      <c r="K67" s="194" t="s">
        <v>334</v>
      </c>
      <c r="L67" s="194" t="s">
        <v>1239</v>
      </c>
      <c r="M67" s="24" t="str">
        <f>VLOOKUP(L67,Statistics!A:F,2,FALSE)</f>
        <v>AsniaRequestGift</v>
      </c>
      <c r="N67" s="24" t="str">
        <f>IF(VLOOKUP(M67,Statistics!B:F,4,FALSE)=0,"",VLOOKUP(M67,Statistics!B:F,4,FALSE))</f>
        <v/>
      </c>
      <c r="O67" s="13"/>
      <c r="P67" s="24">
        <v>20</v>
      </c>
      <c r="Q67" s="208" t="s">
        <v>2237</v>
      </c>
      <c r="R67" s="24" t="str">
        <f>IF(VLOOKUP(M67,Statistics!B:F,5,FALSE)=0,"",VLOOKUP(M67,Statistics!B:F,5,FALSE))</f>
        <v/>
      </c>
      <c r="S67" s="24"/>
    </row>
    <row r="68" spans="1:19">
      <c r="A68" s="172">
        <v>2212000000012</v>
      </c>
      <c r="C68" s="172">
        <v>2212000000001</v>
      </c>
      <c r="D68" s="80" t="s">
        <v>1277</v>
      </c>
      <c r="E68" s="24" t="b">
        <v>0</v>
      </c>
      <c r="I68" s="24"/>
      <c r="L68" s="24"/>
      <c r="M68" s="24"/>
      <c r="N68" s="24"/>
      <c r="Q68" s="205"/>
      <c r="R68" s="24"/>
    </row>
    <row r="69" spans="1:19">
      <c r="A69" s="172"/>
      <c r="B69" s="172"/>
      <c r="C69" s="24"/>
      <c r="D69" s="172"/>
      <c r="E69" s="24"/>
      <c r="F69" s="24"/>
      <c r="G69" s="24"/>
      <c r="H69" s="26">
        <v>1</v>
      </c>
      <c r="I69" s="24" t="s">
        <v>1246</v>
      </c>
      <c r="J69" s="24" t="s">
        <v>1045</v>
      </c>
      <c r="K69" s="194" t="s">
        <v>334</v>
      </c>
      <c r="L69" s="194" t="s">
        <v>691</v>
      </c>
      <c r="M69" s="24" t="str">
        <f>VLOOKUP(L69,Statistics!A:F,2,FALSE)</f>
        <v>MissionPoint</v>
      </c>
      <c r="N69" s="24" t="str">
        <f>IF(VLOOKUP(M69,Statistics!B:F,4,FALSE)=0,"",VLOOKUP(M69,Statistics!B:F,4,FALSE))</f>
        <v>MissionPointType : (미션 포인트 ID)</v>
      </c>
      <c r="O69" s="13" t="s">
        <v>1241</v>
      </c>
      <c r="P69" s="24">
        <v>5</v>
      </c>
      <c r="Q69" s="208" t="s">
        <v>2168</v>
      </c>
      <c r="R69" s="24" t="str">
        <f>IF(VLOOKUP(M69,Statistics!B:F,5,FALSE)=0,"",VLOOKUP(M69,Statistics!B:F,5,FALSE))</f>
        <v/>
      </c>
      <c r="S69" s="24"/>
    </row>
    <row r="70" spans="1:19">
      <c r="A70" s="172"/>
      <c r="C70" s="172"/>
      <c r="D70" s="80"/>
      <c r="E70" s="24"/>
      <c r="H70" s="26">
        <v>2</v>
      </c>
      <c r="I70" s="24" t="s">
        <v>1247</v>
      </c>
      <c r="J70" s="24" t="s">
        <v>1045</v>
      </c>
      <c r="K70" s="194" t="s">
        <v>334</v>
      </c>
      <c r="L70" s="194" t="s">
        <v>691</v>
      </c>
      <c r="M70" s="24" t="str">
        <f>VLOOKUP(L70,Statistics!A:F,2,FALSE)</f>
        <v>MissionPoint</v>
      </c>
      <c r="N70" s="24" t="str">
        <f>IF(VLOOKUP(M70,Statistics!B:F,4,FALSE)=0,"",VLOOKUP(M70,Statistics!B:F,4,FALSE))</f>
        <v>MissionPointType : (미션 포인트 ID)</v>
      </c>
      <c r="O70" s="13" t="s">
        <v>1241</v>
      </c>
      <c r="P70" s="24">
        <v>10</v>
      </c>
      <c r="Q70" s="208" t="s">
        <v>2168</v>
      </c>
      <c r="R70" s="24"/>
    </row>
    <row r="71" spans="1:19">
      <c r="A71" s="172"/>
      <c r="B71" s="172"/>
      <c r="C71" s="24"/>
      <c r="D71" s="172"/>
      <c r="E71" s="24"/>
      <c r="F71" s="24"/>
      <c r="G71" s="24"/>
      <c r="H71" s="80"/>
      <c r="R71" s="24" t="str">
        <f>IF(VLOOKUP(M70,Statistics!B:F,5,FALSE)=0,"",VLOOKUP(M70,Statistics!B:F,5,FALSE))</f>
        <v/>
      </c>
      <c r="S71" s="24"/>
    </row>
  </sheetData>
  <phoneticPr fontId="4" type="noConversion"/>
  <conditionalFormatting sqref="A1:A3">
    <cfRule type="duplicateValues" dxfId="2" priority="1"/>
  </conditionalFormatting>
  <pageMargins left="0.7" right="0.7" top="0.75" bottom="0.75" header="0.3" footer="0.3"/>
  <pageSetup paperSize="9" orientation="portrait" verticalDpi="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Statistics!$A:$A</xm:f>
          </x14:formula1>
          <xm:sqref>L7 L65 L17 L13 L9 L5 L67 L69:L70 L11 L15 L19 L21 L31 L27 L23 L25 L29 L33 L35 L45 L41 L37 L39 L43 L47 L49 L59 L55 L51 L53 L57 L61 L63</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17"/>
  <sheetViews>
    <sheetView workbookViewId="0">
      <selection activeCell="G1" sqref="G1"/>
    </sheetView>
  </sheetViews>
  <sheetFormatPr defaultRowHeight="16.5"/>
  <cols>
    <col min="1" max="1" width="13.75" bestFit="1" customWidth="1"/>
    <col min="3" max="3" width="16.125" bestFit="1" customWidth="1"/>
    <col min="4" max="4" width="13.5" bestFit="1" customWidth="1"/>
    <col min="5" max="5" width="16.625" bestFit="1" customWidth="1"/>
    <col min="6" max="6" width="34.375" bestFit="1" customWidth="1"/>
    <col min="7" max="7" width="8.25" bestFit="1" customWidth="1"/>
    <col min="9" max="9" width="24.125" bestFit="1" customWidth="1"/>
    <col min="10" max="10" width="21.375" bestFit="1" customWidth="1"/>
    <col min="11" max="11" width="18.125" bestFit="1" customWidth="1"/>
    <col min="12" max="12" width="31.125" bestFit="1" customWidth="1"/>
    <col min="13" max="13" width="22.625" bestFit="1" customWidth="1"/>
    <col min="14" max="14" width="16.625" bestFit="1" customWidth="1"/>
    <col min="15" max="15" width="27.5" bestFit="1" customWidth="1"/>
    <col min="17" max="17" width="21.25" bestFit="1" customWidth="1"/>
    <col min="18" max="19" width="24.125" bestFit="1" customWidth="1"/>
  </cols>
  <sheetData>
    <row r="1" spans="1:19">
      <c r="A1" s="185" t="s">
        <v>304</v>
      </c>
      <c r="B1" s="164" t="s">
        <v>305</v>
      </c>
      <c r="C1" s="186" t="s">
        <v>306</v>
      </c>
      <c r="D1" s="165" t="s">
        <v>307</v>
      </c>
      <c r="E1" s="166" t="s">
        <v>308</v>
      </c>
      <c r="F1" s="165" t="s">
        <v>1537</v>
      </c>
      <c r="G1" s="165" t="s">
        <v>3740</v>
      </c>
      <c r="H1" s="167" t="s">
        <v>309</v>
      </c>
      <c r="I1" s="167" t="s">
        <v>310</v>
      </c>
      <c r="J1" s="167" t="s">
        <v>311</v>
      </c>
      <c r="K1" s="167" t="s">
        <v>312</v>
      </c>
      <c r="L1" s="167" t="s">
        <v>1122</v>
      </c>
      <c r="M1" s="167" t="s">
        <v>313</v>
      </c>
      <c r="N1" s="167" t="s">
        <v>1122</v>
      </c>
      <c r="O1" s="167" t="s">
        <v>314</v>
      </c>
      <c r="P1" s="167" t="s">
        <v>315</v>
      </c>
      <c r="Q1" s="167" t="s">
        <v>316</v>
      </c>
      <c r="R1" s="167" t="s">
        <v>1122</v>
      </c>
      <c r="S1" s="9" t="s">
        <v>317</v>
      </c>
    </row>
    <row r="2" spans="1:19">
      <c r="A2" s="185" t="s">
        <v>318</v>
      </c>
      <c r="B2" s="165" t="s">
        <v>3</v>
      </c>
      <c r="C2" s="185" t="s">
        <v>319</v>
      </c>
      <c r="D2" s="165" t="s">
        <v>320</v>
      </c>
      <c r="E2" s="168" t="s">
        <v>321</v>
      </c>
      <c r="F2" s="165" t="s">
        <v>320</v>
      </c>
      <c r="G2" s="165" t="s">
        <v>851</v>
      </c>
      <c r="H2" s="167" t="s">
        <v>322</v>
      </c>
      <c r="I2" s="167" t="s">
        <v>323</v>
      </c>
      <c r="J2" s="167" t="s">
        <v>323</v>
      </c>
      <c r="K2" s="167" t="s">
        <v>324</v>
      </c>
      <c r="L2" s="167" t="s">
        <v>1122</v>
      </c>
      <c r="M2" s="167" t="s">
        <v>325</v>
      </c>
      <c r="N2" s="167" t="s">
        <v>1122</v>
      </c>
      <c r="O2" s="167" t="s">
        <v>326</v>
      </c>
      <c r="P2" s="167" t="s">
        <v>322</v>
      </c>
      <c r="Q2" s="167" t="s">
        <v>1213</v>
      </c>
      <c r="R2" s="167" t="s">
        <v>1122</v>
      </c>
      <c r="S2" s="9" t="s">
        <v>327</v>
      </c>
    </row>
    <row r="3" spans="1:19">
      <c r="A3" s="185" t="s">
        <v>328</v>
      </c>
      <c r="B3" s="165" t="s">
        <v>3</v>
      </c>
      <c r="C3" s="185" t="s">
        <v>328</v>
      </c>
      <c r="D3" s="165" t="s">
        <v>329</v>
      </c>
      <c r="E3" s="168" t="s">
        <v>4</v>
      </c>
      <c r="F3" s="165" t="s">
        <v>328</v>
      </c>
      <c r="G3" s="165" t="s">
        <v>328</v>
      </c>
      <c r="H3" s="167" t="s">
        <v>328</v>
      </c>
      <c r="I3" s="167" t="s">
        <v>4</v>
      </c>
      <c r="J3" s="167" t="s">
        <v>4</v>
      </c>
      <c r="K3" s="167" t="s">
        <v>328</v>
      </c>
      <c r="L3" s="167" t="s">
        <v>1122</v>
      </c>
      <c r="M3" s="167" t="s">
        <v>328</v>
      </c>
      <c r="N3" s="167" t="s">
        <v>1122</v>
      </c>
      <c r="O3" s="167" t="s">
        <v>328</v>
      </c>
      <c r="P3" s="167" t="s">
        <v>328</v>
      </c>
      <c r="Q3" s="167" t="s">
        <v>328</v>
      </c>
      <c r="R3" s="167" t="s">
        <v>1122</v>
      </c>
      <c r="S3" s="9" t="s">
        <v>4</v>
      </c>
    </row>
    <row r="4" spans="1:19">
      <c r="A4" s="172">
        <v>2110000001001</v>
      </c>
      <c r="B4" s="24"/>
      <c r="C4" s="172">
        <v>2231000000003</v>
      </c>
      <c r="D4" s="80" t="s">
        <v>1073</v>
      </c>
      <c r="E4" s="24" t="b">
        <v>0</v>
      </c>
      <c r="F4" s="24"/>
      <c r="G4" s="24"/>
      <c r="H4" s="24"/>
      <c r="I4" s="24"/>
      <c r="J4" s="24"/>
      <c r="K4" s="24"/>
      <c r="L4" s="24"/>
      <c r="M4" s="24"/>
      <c r="N4" s="24"/>
      <c r="O4" s="24"/>
      <c r="P4" s="24"/>
      <c r="Q4" s="24"/>
      <c r="R4" s="24"/>
      <c r="S4" s="24"/>
    </row>
    <row r="5" spans="1:19">
      <c r="A5" s="172"/>
      <c r="B5" s="172"/>
      <c r="C5" s="24"/>
      <c r="D5" s="172"/>
      <c r="E5" s="24"/>
      <c r="F5" s="24"/>
      <c r="G5" s="24"/>
      <c r="H5" s="80" t="s">
        <v>332</v>
      </c>
      <c r="I5" s="24" t="s">
        <v>1512</v>
      </c>
      <c r="J5" s="24" t="s">
        <v>1045</v>
      </c>
      <c r="K5" t="s">
        <v>853</v>
      </c>
      <c r="M5" t="s">
        <v>895</v>
      </c>
      <c r="P5">
        <v>1</v>
      </c>
      <c r="Q5" s="169" t="s">
        <v>1509</v>
      </c>
      <c r="R5" s="24" t="str">
        <f>IF(VLOOKUP(M5,Statistics!B:F,5,FALSE)=0,"",VLOOKUP(M5,Statistics!B:F,5,FALSE))</f>
        <v>QuickMove.CashShop</v>
      </c>
      <c r="S5" s="24"/>
    </row>
    <row r="6" spans="1:19" ht="27.75">
      <c r="A6" s="172">
        <v>2110000001002</v>
      </c>
      <c r="B6" s="24"/>
      <c r="C6" s="172">
        <v>2231000000003</v>
      </c>
      <c r="D6" s="80" t="s">
        <v>1073</v>
      </c>
      <c r="E6" s="24" t="b">
        <v>0</v>
      </c>
      <c r="F6" s="110" t="s">
        <v>1531</v>
      </c>
      <c r="G6" s="110"/>
      <c r="H6" s="24"/>
      <c r="I6" s="24"/>
      <c r="J6" s="24"/>
      <c r="K6" s="24"/>
      <c r="L6" s="24"/>
      <c r="M6" s="24"/>
      <c r="N6" s="24"/>
      <c r="O6" s="24"/>
      <c r="P6" s="24"/>
      <c r="Q6" s="24"/>
      <c r="R6" s="24"/>
      <c r="S6" s="24"/>
    </row>
    <row r="7" spans="1:19">
      <c r="A7" s="172"/>
      <c r="B7" s="172"/>
      <c r="C7" s="24"/>
      <c r="D7" s="172"/>
      <c r="E7" s="24"/>
      <c r="F7" s="24"/>
      <c r="G7" s="24"/>
      <c r="H7" s="80" t="s">
        <v>332</v>
      </c>
      <c r="I7" s="24" t="s">
        <v>1512</v>
      </c>
      <c r="J7" s="24" t="s">
        <v>1045</v>
      </c>
      <c r="K7" t="s">
        <v>853</v>
      </c>
      <c r="M7" t="s">
        <v>895</v>
      </c>
      <c r="P7" s="24">
        <v>1</v>
      </c>
      <c r="Q7" s="208" t="s">
        <v>2949</v>
      </c>
      <c r="R7" s="24" t="str">
        <f>IF(VLOOKUP(M7,Statistics!B:F,5,FALSE)=0,"",VLOOKUP(M7,Statistics!B:F,5,FALSE))</f>
        <v>QuickMove.CashShop</v>
      </c>
      <c r="S7" s="24"/>
    </row>
    <row r="8" spans="1:19" ht="27.75">
      <c r="A8" s="172">
        <v>2110000001003</v>
      </c>
      <c r="B8" s="24"/>
      <c r="C8" s="172">
        <v>2231000000003</v>
      </c>
      <c r="D8" s="80" t="s">
        <v>1073</v>
      </c>
      <c r="E8" s="24" t="b">
        <v>0</v>
      </c>
      <c r="F8" s="110" t="s">
        <v>1532</v>
      </c>
      <c r="G8" s="110"/>
      <c r="H8" s="24"/>
      <c r="I8" s="24"/>
      <c r="J8" s="24"/>
      <c r="K8" s="24"/>
      <c r="L8" s="24"/>
      <c r="M8" s="24"/>
      <c r="N8" s="24"/>
      <c r="O8" s="24"/>
      <c r="P8" s="24"/>
      <c r="Q8" s="24"/>
      <c r="R8" s="24"/>
      <c r="S8" s="24"/>
    </row>
    <row r="9" spans="1:19">
      <c r="A9" s="172"/>
      <c r="B9" s="172"/>
      <c r="C9" s="24"/>
      <c r="D9" s="172"/>
      <c r="E9" s="24"/>
      <c r="F9" s="24"/>
      <c r="G9" s="24"/>
      <c r="H9" s="80" t="s">
        <v>332</v>
      </c>
      <c r="I9" s="24" t="s">
        <v>1512</v>
      </c>
      <c r="J9" s="24" t="s">
        <v>1045</v>
      </c>
      <c r="K9" t="s">
        <v>853</v>
      </c>
      <c r="M9" t="s">
        <v>895</v>
      </c>
      <c r="P9" s="24">
        <v>1</v>
      </c>
      <c r="Q9" s="208" t="s">
        <v>2950</v>
      </c>
      <c r="R9" s="24" t="str">
        <f>IF(VLOOKUP(M9,Statistics!B:F,5,FALSE)=0,"",VLOOKUP(M9,Statistics!B:F,5,FALSE))</f>
        <v>QuickMove.CashShop</v>
      </c>
      <c r="S9" s="24"/>
    </row>
    <row r="10" spans="1:19" ht="27.75">
      <c r="A10" s="172">
        <v>2110000001004</v>
      </c>
      <c r="B10" s="24"/>
      <c r="C10" s="172">
        <v>2231000000003</v>
      </c>
      <c r="D10" s="80" t="s">
        <v>1073</v>
      </c>
      <c r="E10" s="24" t="b">
        <v>0</v>
      </c>
      <c r="F10" s="110" t="s">
        <v>1536</v>
      </c>
      <c r="G10" s="110"/>
      <c r="H10" s="24"/>
      <c r="I10" s="24"/>
      <c r="J10" s="24"/>
      <c r="K10" s="24"/>
      <c r="L10" s="24"/>
      <c r="M10" s="24"/>
      <c r="N10" s="24"/>
      <c r="O10" s="24"/>
      <c r="P10" s="24"/>
      <c r="Q10" s="24"/>
      <c r="R10" s="24"/>
      <c r="S10" s="24"/>
    </row>
    <row r="11" spans="1:19">
      <c r="A11" s="172"/>
      <c r="B11" s="172"/>
      <c r="C11" s="24"/>
      <c r="D11" s="172"/>
      <c r="E11" s="24"/>
      <c r="F11" s="24"/>
      <c r="G11" s="24"/>
      <c r="H11" s="80" t="s">
        <v>332</v>
      </c>
      <c r="I11" s="24" t="s">
        <v>1512</v>
      </c>
      <c r="J11" s="24" t="s">
        <v>1045</v>
      </c>
      <c r="K11" t="s">
        <v>853</v>
      </c>
      <c r="M11" t="s">
        <v>895</v>
      </c>
      <c r="P11" s="24">
        <v>1</v>
      </c>
      <c r="Q11" s="208" t="s">
        <v>2951</v>
      </c>
      <c r="R11" s="24" t="str">
        <f>IF(VLOOKUP(M11,Statistics!B:F,5,FALSE)=0,"",VLOOKUP(M11,Statistics!B:F,5,FALSE))</f>
        <v>QuickMove.CashShop</v>
      </c>
      <c r="S11" s="24"/>
    </row>
    <row r="12" spans="1:19" ht="27.75">
      <c r="A12" s="172">
        <v>2110000001005</v>
      </c>
      <c r="B12" s="24"/>
      <c r="C12" s="172">
        <v>2231000000003</v>
      </c>
      <c r="D12" s="80" t="s">
        <v>1073</v>
      </c>
      <c r="E12" s="24" t="b">
        <v>0</v>
      </c>
      <c r="F12" s="110" t="s">
        <v>1533</v>
      </c>
      <c r="G12" s="110"/>
      <c r="H12" s="24"/>
      <c r="I12" s="24"/>
      <c r="J12" s="24"/>
      <c r="K12" s="24"/>
      <c r="L12" s="24"/>
      <c r="M12" s="24"/>
      <c r="N12" s="24"/>
      <c r="O12" s="24"/>
      <c r="P12" s="24"/>
      <c r="Q12" s="24"/>
      <c r="R12" s="24"/>
      <c r="S12" s="24"/>
    </row>
    <row r="13" spans="1:19">
      <c r="A13" s="172"/>
      <c r="B13" s="172"/>
      <c r="C13" s="24"/>
      <c r="D13" s="172"/>
      <c r="E13" s="24"/>
      <c r="F13" s="24"/>
      <c r="G13" s="24"/>
      <c r="H13" s="80" t="s">
        <v>332</v>
      </c>
      <c r="I13" s="24" t="s">
        <v>1512</v>
      </c>
      <c r="J13" s="24" t="s">
        <v>1045</v>
      </c>
      <c r="K13" t="s">
        <v>853</v>
      </c>
      <c r="M13" t="s">
        <v>895</v>
      </c>
      <c r="P13" s="24">
        <v>1</v>
      </c>
      <c r="Q13" s="208" t="s">
        <v>3017</v>
      </c>
      <c r="R13" s="24" t="str">
        <f>IF(VLOOKUP(M13,Statistics!B:F,5,FALSE)=0,"",VLOOKUP(M13,Statistics!B:F,5,FALSE))</f>
        <v>QuickMove.CashShop</v>
      </c>
      <c r="S13" s="24"/>
    </row>
    <row r="14" spans="1:19" ht="27.75">
      <c r="A14" s="172">
        <v>2110000001006</v>
      </c>
      <c r="B14" s="24"/>
      <c r="C14" s="172">
        <v>2231000000003</v>
      </c>
      <c r="D14" s="80" t="s">
        <v>1073</v>
      </c>
      <c r="E14" s="24" t="b">
        <v>0</v>
      </c>
      <c r="F14" s="110" t="s">
        <v>1534</v>
      </c>
      <c r="G14" s="110"/>
      <c r="H14" s="24"/>
      <c r="I14" s="24"/>
      <c r="J14" s="24"/>
      <c r="K14" s="24"/>
      <c r="L14" s="24"/>
      <c r="M14" s="24"/>
      <c r="N14" s="24"/>
      <c r="O14" s="24"/>
      <c r="P14" s="24"/>
      <c r="Q14" s="24"/>
      <c r="R14" s="24"/>
      <c r="S14" s="24"/>
    </row>
    <row r="15" spans="1:19">
      <c r="A15" s="172"/>
      <c r="B15" s="172"/>
      <c r="C15" s="24"/>
      <c r="D15" s="172"/>
      <c r="E15" s="24"/>
      <c r="F15" s="24"/>
      <c r="G15" s="24"/>
      <c r="H15" s="80" t="s">
        <v>332</v>
      </c>
      <c r="I15" s="24" t="s">
        <v>1512</v>
      </c>
      <c r="J15" s="24" t="s">
        <v>1045</v>
      </c>
      <c r="K15" t="s">
        <v>853</v>
      </c>
      <c r="M15" t="s">
        <v>895</v>
      </c>
      <c r="P15" s="24">
        <v>1</v>
      </c>
      <c r="Q15" s="208" t="s">
        <v>3018</v>
      </c>
      <c r="R15" s="24" t="str">
        <f>IF(VLOOKUP(M15,Statistics!B:F,5,FALSE)=0,"",VLOOKUP(M15,Statistics!B:F,5,FALSE))</f>
        <v>QuickMove.CashShop</v>
      </c>
      <c r="S15" s="24"/>
    </row>
    <row r="16" spans="1:19" ht="27.75">
      <c r="A16" s="172">
        <v>2110000001007</v>
      </c>
      <c r="B16" s="24"/>
      <c r="C16" s="172">
        <v>2231000000003</v>
      </c>
      <c r="D16" s="80" t="s">
        <v>1073</v>
      </c>
      <c r="E16" s="24" t="b">
        <v>0</v>
      </c>
      <c r="F16" s="110" t="s">
        <v>1535</v>
      </c>
      <c r="G16" s="110"/>
      <c r="H16" s="24"/>
      <c r="I16" s="24"/>
      <c r="J16" s="24"/>
      <c r="K16" s="24"/>
      <c r="L16" s="24"/>
      <c r="M16" s="24"/>
      <c r="N16" s="24"/>
      <c r="O16" s="24"/>
      <c r="P16" s="24"/>
      <c r="Q16" s="24"/>
      <c r="R16" s="24"/>
      <c r="S16" s="24"/>
    </row>
    <row r="17" spans="1:19">
      <c r="A17" s="172"/>
      <c r="B17" s="172"/>
      <c r="C17" s="24"/>
      <c r="D17" s="172"/>
      <c r="E17" s="24"/>
      <c r="F17" s="24"/>
      <c r="G17" s="24"/>
      <c r="H17" s="80" t="s">
        <v>332</v>
      </c>
      <c r="I17" s="24" t="s">
        <v>1512</v>
      </c>
      <c r="J17" s="24" t="s">
        <v>1045</v>
      </c>
      <c r="K17" t="s">
        <v>853</v>
      </c>
      <c r="M17" t="s">
        <v>895</v>
      </c>
      <c r="P17" s="24">
        <v>1</v>
      </c>
      <c r="Q17" s="208" t="s">
        <v>2952</v>
      </c>
      <c r="R17" s="24" t="str">
        <f>IF(VLOOKUP(M17,Statistics!B:F,5,FALSE)=0,"",VLOOKUP(M17,Statistics!B:F,5,FALSE))</f>
        <v>QuickMove.CashShop</v>
      </c>
      <c r="S17" s="24"/>
    </row>
  </sheetData>
  <phoneticPr fontId="4" type="noConversion"/>
  <conditionalFormatting sqref="A1:A3">
    <cfRule type="duplicateValues" dxfId="1" priority="1"/>
  </conditionalFormatting>
  <pageMargins left="0.7" right="0.7" top="0.75" bottom="0.75" header="0.3" footer="0.3"/>
  <pageSetup paperSize="9" orientation="portrait" verticalDpi="0"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69"/>
  <sheetViews>
    <sheetView zoomScale="85" zoomScaleNormal="85" workbookViewId="0">
      <selection activeCell="G1" sqref="G1"/>
    </sheetView>
  </sheetViews>
  <sheetFormatPr defaultRowHeight="16.5"/>
  <cols>
    <col min="1" max="1" width="14.75" bestFit="1" customWidth="1"/>
    <col min="2" max="2" width="20.625" customWidth="1"/>
    <col min="3" max="3" width="16.125" bestFit="1" customWidth="1"/>
    <col min="4" max="4" width="13.5" bestFit="1" customWidth="1"/>
    <col min="5" max="5" width="23.75" customWidth="1"/>
    <col min="7" max="7" width="8.5" bestFit="1" customWidth="1"/>
    <col min="9" max="9" width="24.125" bestFit="1" customWidth="1"/>
    <col min="10" max="10" width="21.375" bestFit="1" customWidth="1"/>
    <col min="11" max="11" width="18.125" bestFit="1" customWidth="1"/>
    <col min="13" max="13" width="16.5" bestFit="1" customWidth="1"/>
    <col min="15" max="15" width="27.5" bestFit="1" customWidth="1"/>
    <col min="16" max="16" width="9.375" bestFit="1" customWidth="1"/>
    <col min="17" max="17" width="24.375" style="169" customWidth="1"/>
    <col min="19" max="19" width="11.625" bestFit="1" customWidth="1"/>
  </cols>
  <sheetData>
    <row r="1" spans="1:19">
      <c r="A1" s="185" t="s">
        <v>304</v>
      </c>
      <c r="B1" s="164" t="s">
        <v>305</v>
      </c>
      <c r="C1" s="186" t="s">
        <v>306</v>
      </c>
      <c r="D1" s="165" t="s">
        <v>307</v>
      </c>
      <c r="E1" s="166" t="s">
        <v>308</v>
      </c>
      <c r="F1" s="165" t="s">
        <v>1526</v>
      </c>
      <c r="G1" s="165" t="s">
        <v>3740</v>
      </c>
      <c r="H1" s="167" t="s">
        <v>309</v>
      </c>
      <c r="I1" s="167" t="s">
        <v>310</v>
      </c>
      <c r="J1" s="167" t="s">
        <v>311</v>
      </c>
      <c r="K1" s="167" t="s">
        <v>312</v>
      </c>
      <c r="L1" s="167" t="s">
        <v>1122</v>
      </c>
      <c r="M1" s="167" t="s">
        <v>313</v>
      </c>
      <c r="N1" s="167" t="s">
        <v>1122</v>
      </c>
      <c r="O1" s="167" t="s">
        <v>314</v>
      </c>
      <c r="P1" s="167" t="s">
        <v>315</v>
      </c>
      <c r="Q1" s="282" t="s">
        <v>316</v>
      </c>
      <c r="R1" s="167" t="s">
        <v>1122</v>
      </c>
      <c r="S1" s="9" t="s">
        <v>317</v>
      </c>
    </row>
    <row r="2" spans="1:19">
      <c r="A2" s="185" t="s">
        <v>318</v>
      </c>
      <c r="B2" s="165" t="s">
        <v>3</v>
      </c>
      <c r="C2" s="185" t="s">
        <v>319</v>
      </c>
      <c r="D2" s="165" t="s">
        <v>320</v>
      </c>
      <c r="E2" s="168" t="s">
        <v>321</v>
      </c>
      <c r="F2" s="165" t="s">
        <v>320</v>
      </c>
      <c r="G2" s="165" t="s">
        <v>851</v>
      </c>
      <c r="H2" s="167" t="s">
        <v>322</v>
      </c>
      <c r="I2" s="167" t="s">
        <v>323</v>
      </c>
      <c r="J2" s="167" t="s">
        <v>323</v>
      </c>
      <c r="K2" s="167" t="s">
        <v>324</v>
      </c>
      <c r="L2" s="167" t="s">
        <v>1122</v>
      </c>
      <c r="M2" s="167" t="s">
        <v>325</v>
      </c>
      <c r="N2" s="167" t="s">
        <v>1122</v>
      </c>
      <c r="O2" s="167" t="s">
        <v>326</v>
      </c>
      <c r="P2" s="167" t="s">
        <v>322</v>
      </c>
      <c r="Q2" s="282" t="s">
        <v>1213</v>
      </c>
      <c r="R2" s="167" t="s">
        <v>1122</v>
      </c>
      <c r="S2" s="9" t="s">
        <v>327</v>
      </c>
    </row>
    <row r="3" spans="1:19">
      <c r="A3" s="185" t="s">
        <v>328</v>
      </c>
      <c r="B3" s="165" t="s">
        <v>3</v>
      </c>
      <c r="C3" s="185" t="s">
        <v>328</v>
      </c>
      <c r="D3" s="165" t="s">
        <v>329</v>
      </c>
      <c r="E3" s="168" t="s">
        <v>4</v>
      </c>
      <c r="F3" s="165" t="s">
        <v>328</v>
      </c>
      <c r="G3" s="165" t="s">
        <v>328</v>
      </c>
      <c r="H3" s="167" t="s">
        <v>328</v>
      </c>
      <c r="I3" s="167" t="s">
        <v>4</v>
      </c>
      <c r="J3" s="167" t="s">
        <v>4</v>
      </c>
      <c r="K3" s="167" t="s">
        <v>328</v>
      </c>
      <c r="L3" s="167" t="s">
        <v>1122</v>
      </c>
      <c r="M3" s="167" t="s">
        <v>328</v>
      </c>
      <c r="N3" s="167" t="s">
        <v>1122</v>
      </c>
      <c r="O3" s="167" t="s">
        <v>328</v>
      </c>
      <c r="P3" s="167" t="s">
        <v>328</v>
      </c>
      <c r="Q3" s="282" t="s">
        <v>328</v>
      </c>
      <c r="R3" s="167" t="s">
        <v>1122</v>
      </c>
      <c r="S3" s="9" t="s">
        <v>4</v>
      </c>
    </row>
    <row r="4" spans="1:19">
      <c r="A4" s="277">
        <v>2107000000101</v>
      </c>
      <c r="B4" s="278" t="s">
        <v>1992</v>
      </c>
      <c r="C4" s="277">
        <v>2200000000011</v>
      </c>
      <c r="D4" s="279" t="s">
        <v>331</v>
      </c>
      <c r="E4" s="280" t="b">
        <v>0</v>
      </c>
      <c r="F4" s="278"/>
      <c r="G4" s="278"/>
      <c r="H4" s="278"/>
      <c r="I4" s="278"/>
      <c r="J4" s="278"/>
      <c r="K4" s="278"/>
      <c r="L4" s="278"/>
      <c r="M4" s="278"/>
      <c r="N4" s="278"/>
      <c r="O4" s="278"/>
      <c r="P4" s="278"/>
      <c r="Q4" s="283"/>
      <c r="R4" s="278"/>
      <c r="S4" s="278"/>
    </row>
    <row r="5" spans="1:19" ht="82.5">
      <c r="A5" s="278"/>
      <c r="B5" s="278"/>
      <c r="C5" s="278"/>
      <c r="D5" s="278"/>
      <c r="E5" s="278"/>
      <c r="F5" s="278"/>
      <c r="G5" s="278"/>
      <c r="H5" s="278">
        <v>1</v>
      </c>
      <c r="I5" s="280" t="s">
        <v>1990</v>
      </c>
      <c r="J5" s="280" t="s">
        <v>1991</v>
      </c>
      <c r="K5" s="278" t="s">
        <v>334</v>
      </c>
      <c r="L5" s="278"/>
      <c r="M5" s="265" t="s">
        <v>2642</v>
      </c>
      <c r="O5" s="24" t="s">
        <v>2643</v>
      </c>
      <c r="P5" s="24">
        <v>4</v>
      </c>
      <c r="Q5" s="281" t="s">
        <v>1993</v>
      </c>
      <c r="R5" s="278"/>
      <c r="S5" s="278"/>
    </row>
    <row r="6" spans="1:19">
      <c r="A6" s="277">
        <v>2107000000102</v>
      </c>
      <c r="B6" s="278" t="s">
        <v>1994</v>
      </c>
      <c r="C6" s="277">
        <v>2200000000011</v>
      </c>
      <c r="D6" s="279" t="s">
        <v>331</v>
      </c>
      <c r="E6" s="280" t="b">
        <v>0</v>
      </c>
      <c r="F6" s="278"/>
      <c r="G6" s="278"/>
      <c r="H6" s="278"/>
      <c r="I6" s="278"/>
      <c r="J6" s="278"/>
      <c r="K6" s="278"/>
      <c r="L6" s="278"/>
      <c r="M6" s="278"/>
      <c r="N6" s="278"/>
      <c r="O6" s="278"/>
      <c r="P6" s="278"/>
      <c r="Q6" s="283"/>
      <c r="R6" s="278"/>
      <c r="S6" s="278"/>
    </row>
    <row r="7" spans="1:19" ht="82.5">
      <c r="A7" s="278"/>
      <c r="B7" s="278"/>
      <c r="C7" s="278"/>
      <c r="D7" s="278"/>
      <c r="E7" s="278"/>
      <c r="F7" s="278"/>
      <c r="G7" s="278"/>
      <c r="H7" s="278">
        <v>1</v>
      </c>
      <c r="I7" s="280" t="s">
        <v>1990</v>
      </c>
      <c r="J7" s="280" t="s">
        <v>1991</v>
      </c>
      <c r="K7" s="278" t="s">
        <v>334</v>
      </c>
      <c r="L7" s="278"/>
      <c r="M7" s="265" t="s">
        <v>2642</v>
      </c>
      <c r="O7" s="24" t="s">
        <v>2643</v>
      </c>
      <c r="P7" s="24">
        <v>4</v>
      </c>
      <c r="Q7" s="281" t="s">
        <v>1996</v>
      </c>
      <c r="R7" s="278"/>
      <c r="S7" s="278"/>
    </row>
    <row r="8" spans="1:19">
      <c r="A8" s="277">
        <v>2107000000103</v>
      </c>
      <c r="B8" s="278" t="s">
        <v>1997</v>
      </c>
      <c r="C8" s="277">
        <v>2200000000011</v>
      </c>
      <c r="D8" s="279" t="s">
        <v>331</v>
      </c>
      <c r="E8" s="280" t="b">
        <v>0</v>
      </c>
      <c r="F8" s="278"/>
      <c r="G8" s="278"/>
      <c r="H8" s="278"/>
      <c r="I8" s="278"/>
      <c r="J8" s="278"/>
      <c r="K8" s="278"/>
      <c r="L8" s="278"/>
      <c r="M8" s="278"/>
      <c r="N8" s="278"/>
      <c r="O8" s="278"/>
      <c r="P8" s="278"/>
      <c r="Q8" s="283"/>
      <c r="R8" s="278"/>
      <c r="S8" s="278"/>
    </row>
    <row r="9" spans="1:19" ht="82.5">
      <c r="A9" s="278"/>
      <c r="B9" s="278"/>
      <c r="C9" s="278"/>
      <c r="D9" s="278"/>
      <c r="E9" s="278"/>
      <c r="F9" s="278"/>
      <c r="G9" s="278"/>
      <c r="H9" s="278">
        <v>1</v>
      </c>
      <c r="I9" s="280" t="s">
        <v>1990</v>
      </c>
      <c r="J9" s="280" t="s">
        <v>1991</v>
      </c>
      <c r="K9" s="278" t="s">
        <v>334</v>
      </c>
      <c r="L9" s="278"/>
      <c r="M9" s="265" t="s">
        <v>2642</v>
      </c>
      <c r="O9" s="24" t="s">
        <v>2643</v>
      </c>
      <c r="P9" s="24">
        <v>4</v>
      </c>
      <c r="Q9" s="281" t="s">
        <v>1999</v>
      </c>
      <c r="R9" s="278"/>
      <c r="S9" s="278"/>
    </row>
    <row r="10" spans="1:19">
      <c r="A10" s="277">
        <v>2107000000104</v>
      </c>
      <c r="B10" s="278" t="s">
        <v>2000</v>
      </c>
      <c r="C10" s="277">
        <v>2200000000011</v>
      </c>
      <c r="D10" s="279" t="s">
        <v>331</v>
      </c>
      <c r="E10" s="280" t="b">
        <v>0</v>
      </c>
      <c r="F10" s="278"/>
      <c r="G10" s="278"/>
      <c r="H10" s="278"/>
      <c r="I10" s="278"/>
      <c r="J10" s="278"/>
      <c r="K10" s="278"/>
      <c r="L10" s="278"/>
      <c r="M10" s="278"/>
      <c r="N10" s="278"/>
      <c r="O10" s="278"/>
      <c r="P10" s="278"/>
      <c r="Q10" s="283"/>
      <c r="R10" s="278"/>
      <c r="S10" s="278"/>
    </row>
    <row r="11" spans="1:19" ht="82.5">
      <c r="A11" s="278"/>
      <c r="B11" s="278"/>
      <c r="C11" s="278"/>
      <c r="D11" s="278"/>
      <c r="E11" s="278"/>
      <c r="F11" s="278"/>
      <c r="G11" s="278"/>
      <c r="H11" s="278">
        <v>1</v>
      </c>
      <c r="I11" s="280" t="s">
        <v>1990</v>
      </c>
      <c r="J11" s="280" t="s">
        <v>1991</v>
      </c>
      <c r="K11" s="278" t="s">
        <v>334</v>
      </c>
      <c r="L11" s="278"/>
      <c r="M11" s="265" t="s">
        <v>2642</v>
      </c>
      <c r="O11" s="24" t="s">
        <v>2643</v>
      </c>
      <c r="P11" s="24">
        <v>4</v>
      </c>
      <c r="Q11" s="281" t="s">
        <v>2002</v>
      </c>
      <c r="R11" s="278"/>
      <c r="S11" s="278"/>
    </row>
    <row r="12" spans="1:19">
      <c r="A12" s="277">
        <v>2107000000106</v>
      </c>
      <c r="B12" s="278" t="s">
        <v>2003</v>
      </c>
      <c r="C12" s="277">
        <v>2200000000011</v>
      </c>
      <c r="D12" s="279" t="s">
        <v>331</v>
      </c>
      <c r="E12" s="280" t="b">
        <v>0</v>
      </c>
      <c r="F12" s="278"/>
      <c r="G12" s="278"/>
      <c r="H12" s="278"/>
      <c r="I12" s="278"/>
      <c r="J12" s="278"/>
      <c r="K12" s="278"/>
      <c r="L12" s="278"/>
      <c r="M12" s="278"/>
      <c r="N12" s="278"/>
      <c r="O12" s="278"/>
      <c r="P12" s="278"/>
      <c r="Q12" s="283"/>
      <c r="R12" s="278"/>
      <c r="S12" s="278"/>
    </row>
    <row r="13" spans="1:19" ht="82.5">
      <c r="A13" s="278"/>
      <c r="B13" s="278"/>
      <c r="C13" s="278"/>
      <c r="D13" s="278"/>
      <c r="E13" s="278"/>
      <c r="F13" s="278"/>
      <c r="G13" s="278"/>
      <c r="H13" s="278">
        <v>1</v>
      </c>
      <c r="I13" s="280" t="s">
        <v>1990</v>
      </c>
      <c r="J13" s="280" t="s">
        <v>1991</v>
      </c>
      <c r="K13" s="278" t="s">
        <v>334</v>
      </c>
      <c r="L13" s="278"/>
      <c r="M13" s="265" t="s">
        <v>2642</v>
      </c>
      <c r="O13" s="24" t="s">
        <v>2643</v>
      </c>
      <c r="P13" s="24">
        <v>4</v>
      </c>
      <c r="Q13" s="281" t="s">
        <v>2005</v>
      </c>
      <c r="R13" s="278"/>
      <c r="S13" s="278"/>
    </row>
    <row r="14" spans="1:19">
      <c r="A14" s="277">
        <v>2107000000108</v>
      </c>
      <c r="B14" s="278" t="s">
        <v>2006</v>
      </c>
      <c r="C14" s="277">
        <v>2200000000011</v>
      </c>
      <c r="D14" s="279" t="s">
        <v>331</v>
      </c>
      <c r="E14" s="280" t="b">
        <v>0</v>
      </c>
      <c r="F14" s="278"/>
      <c r="G14" s="278"/>
      <c r="H14" s="278"/>
      <c r="I14" s="278"/>
      <c r="J14" s="278"/>
      <c r="K14" s="278"/>
      <c r="L14" s="278"/>
      <c r="M14" s="278"/>
      <c r="N14" s="278"/>
      <c r="O14" s="278"/>
      <c r="P14" s="278"/>
      <c r="Q14" s="283"/>
      <c r="R14" s="278"/>
      <c r="S14" s="278"/>
    </row>
    <row r="15" spans="1:19" ht="82.5">
      <c r="A15" s="278"/>
      <c r="B15" s="278"/>
      <c r="C15" s="278"/>
      <c r="D15" s="278"/>
      <c r="E15" s="278"/>
      <c r="F15" s="278"/>
      <c r="G15" s="278"/>
      <c r="H15" s="278">
        <v>1</v>
      </c>
      <c r="I15" s="280" t="s">
        <v>1990</v>
      </c>
      <c r="J15" s="280" t="s">
        <v>1991</v>
      </c>
      <c r="K15" s="278" t="s">
        <v>334</v>
      </c>
      <c r="L15" s="278"/>
      <c r="M15" s="265" t="s">
        <v>2642</v>
      </c>
      <c r="O15" s="24" t="s">
        <v>2643</v>
      </c>
      <c r="P15" s="24">
        <v>4</v>
      </c>
      <c r="Q15" s="281" t="s">
        <v>2008</v>
      </c>
      <c r="R15" s="278"/>
      <c r="S15" s="278"/>
    </row>
    <row r="16" spans="1:19">
      <c r="A16" s="277">
        <v>2107000000109</v>
      </c>
      <c r="B16" s="278" t="s">
        <v>2009</v>
      </c>
      <c r="C16" s="277">
        <v>2200000000011</v>
      </c>
      <c r="D16" s="279" t="s">
        <v>331</v>
      </c>
      <c r="E16" s="280" t="b">
        <v>0</v>
      </c>
      <c r="F16" s="278"/>
      <c r="G16" s="278"/>
      <c r="H16" s="278"/>
      <c r="I16" s="278"/>
      <c r="J16" s="278"/>
      <c r="K16" s="278"/>
      <c r="L16" s="278"/>
      <c r="M16" s="278"/>
      <c r="N16" s="278"/>
      <c r="O16" s="278"/>
      <c r="P16" s="278"/>
      <c r="Q16" s="283"/>
      <c r="R16" s="278"/>
      <c r="S16" s="278"/>
    </row>
    <row r="17" spans="1:19" ht="82.5">
      <c r="A17" s="278"/>
      <c r="B17" s="278"/>
      <c r="C17" s="278"/>
      <c r="D17" s="278"/>
      <c r="E17" s="278"/>
      <c r="F17" s="278"/>
      <c r="G17" s="278"/>
      <c r="H17" s="278">
        <v>1</v>
      </c>
      <c r="I17" s="280" t="s">
        <v>1990</v>
      </c>
      <c r="J17" s="280" t="s">
        <v>1991</v>
      </c>
      <c r="K17" s="278" t="s">
        <v>334</v>
      </c>
      <c r="L17" s="278"/>
      <c r="M17" s="265" t="s">
        <v>2642</v>
      </c>
      <c r="O17" s="24" t="s">
        <v>2643</v>
      </c>
      <c r="P17" s="24">
        <v>4</v>
      </c>
      <c r="Q17" s="281" t="s">
        <v>2011</v>
      </c>
      <c r="R17" s="278"/>
      <c r="S17" s="278"/>
    </row>
    <row r="18" spans="1:19">
      <c r="A18" s="277">
        <v>2107000000110</v>
      </c>
      <c r="B18" s="278" t="s">
        <v>2012</v>
      </c>
      <c r="C18" s="277">
        <v>2200000000011</v>
      </c>
      <c r="D18" s="279" t="s">
        <v>331</v>
      </c>
      <c r="E18" s="280" t="b">
        <v>0</v>
      </c>
      <c r="F18" s="278"/>
      <c r="G18" s="278"/>
      <c r="H18" s="278"/>
      <c r="I18" s="278"/>
      <c r="J18" s="278"/>
      <c r="K18" s="278"/>
      <c r="L18" s="278"/>
      <c r="M18" s="278"/>
      <c r="N18" s="278"/>
      <c r="O18" s="278"/>
      <c r="P18" s="278"/>
      <c r="Q18" s="283"/>
      <c r="R18" s="278"/>
      <c r="S18" s="278"/>
    </row>
    <row r="19" spans="1:19" ht="82.5">
      <c r="A19" s="278"/>
      <c r="B19" s="278"/>
      <c r="C19" s="278"/>
      <c r="D19" s="278"/>
      <c r="E19" s="278"/>
      <c r="F19" s="278"/>
      <c r="G19" s="278"/>
      <c r="H19" s="278">
        <v>1</v>
      </c>
      <c r="I19" s="280" t="s">
        <v>1990</v>
      </c>
      <c r="J19" s="280" t="s">
        <v>1991</v>
      </c>
      <c r="K19" s="278" t="s">
        <v>334</v>
      </c>
      <c r="L19" s="278"/>
      <c r="M19" s="265" t="s">
        <v>2642</v>
      </c>
      <c r="O19" s="24" t="s">
        <v>2643</v>
      </c>
      <c r="P19" s="24">
        <v>4</v>
      </c>
      <c r="Q19" s="281" t="s">
        <v>2014</v>
      </c>
      <c r="R19" s="278"/>
      <c r="S19" s="278"/>
    </row>
    <row r="20" spans="1:19">
      <c r="A20" s="277">
        <v>2107000000112</v>
      </c>
      <c r="B20" s="278" t="s">
        <v>2015</v>
      </c>
      <c r="C20" s="277">
        <v>2200000000011</v>
      </c>
      <c r="D20" s="279" t="s">
        <v>331</v>
      </c>
      <c r="E20" s="280" t="b">
        <v>0</v>
      </c>
      <c r="F20" s="278"/>
      <c r="G20" s="278"/>
      <c r="H20" s="278"/>
      <c r="I20" s="278"/>
      <c r="J20" s="278"/>
      <c r="K20" s="278"/>
      <c r="L20" s="278"/>
      <c r="M20" s="278"/>
      <c r="N20" s="278"/>
      <c r="O20" s="278"/>
      <c r="P20" s="278"/>
      <c r="Q20" s="283"/>
      <c r="R20" s="278"/>
      <c r="S20" s="278"/>
    </row>
    <row r="21" spans="1:19" ht="82.5">
      <c r="A21" s="278"/>
      <c r="B21" s="278"/>
      <c r="C21" s="278"/>
      <c r="D21" s="278"/>
      <c r="E21" s="278"/>
      <c r="F21" s="278"/>
      <c r="G21" s="278"/>
      <c r="H21" s="278">
        <v>1</v>
      </c>
      <c r="I21" s="280" t="s">
        <v>1990</v>
      </c>
      <c r="J21" s="280" t="s">
        <v>1991</v>
      </c>
      <c r="K21" s="278" t="s">
        <v>334</v>
      </c>
      <c r="L21" s="278"/>
      <c r="M21" s="265" t="s">
        <v>2642</v>
      </c>
      <c r="O21" s="24" t="s">
        <v>2643</v>
      </c>
      <c r="P21" s="24">
        <v>4</v>
      </c>
      <c r="Q21" s="281" t="s">
        <v>2017</v>
      </c>
      <c r="R21" s="278"/>
      <c r="S21" s="278"/>
    </row>
    <row r="22" spans="1:19">
      <c r="A22" s="277">
        <v>2107000000113</v>
      </c>
      <c r="B22" s="278" t="s">
        <v>2018</v>
      </c>
      <c r="C22" s="277">
        <v>2200000000011</v>
      </c>
      <c r="D22" s="279" t="s">
        <v>331</v>
      </c>
      <c r="E22" s="280" t="b">
        <v>0</v>
      </c>
      <c r="F22" s="278"/>
      <c r="G22" s="278"/>
      <c r="H22" s="278"/>
      <c r="I22" s="278"/>
      <c r="J22" s="278"/>
      <c r="K22" s="278"/>
      <c r="L22" s="278"/>
      <c r="M22" s="278"/>
      <c r="N22" s="278"/>
      <c r="O22" s="278"/>
      <c r="P22" s="278"/>
      <c r="Q22" s="283"/>
      <c r="R22" s="278"/>
      <c r="S22" s="278"/>
    </row>
    <row r="23" spans="1:19" ht="82.5">
      <c r="A23" s="278"/>
      <c r="B23" s="278"/>
      <c r="C23" s="278"/>
      <c r="D23" s="278"/>
      <c r="E23" s="278"/>
      <c r="F23" s="278"/>
      <c r="G23" s="278"/>
      <c r="H23" s="278">
        <v>1</v>
      </c>
      <c r="I23" s="280" t="s">
        <v>1990</v>
      </c>
      <c r="J23" s="280" t="s">
        <v>1991</v>
      </c>
      <c r="K23" s="278" t="s">
        <v>334</v>
      </c>
      <c r="L23" s="278"/>
      <c r="M23" s="265" t="s">
        <v>2642</v>
      </c>
      <c r="O23" s="24" t="s">
        <v>2643</v>
      </c>
      <c r="P23" s="24">
        <v>4</v>
      </c>
      <c r="Q23" s="281" t="s">
        <v>2020</v>
      </c>
      <c r="R23" s="278"/>
      <c r="S23" s="278"/>
    </row>
    <row r="24" spans="1:19">
      <c r="A24" s="277">
        <v>2107000000114</v>
      </c>
      <c r="B24" s="278" t="s">
        <v>2021</v>
      </c>
      <c r="C24" s="277">
        <v>2200000000011</v>
      </c>
      <c r="D24" s="279" t="s">
        <v>331</v>
      </c>
      <c r="E24" s="280" t="b">
        <v>0</v>
      </c>
      <c r="F24" s="278"/>
      <c r="G24" s="278"/>
      <c r="H24" s="278"/>
      <c r="I24" s="278"/>
      <c r="J24" s="278"/>
      <c r="K24" s="278"/>
      <c r="L24" s="278"/>
      <c r="M24" s="278"/>
      <c r="N24" s="278"/>
      <c r="O24" s="278"/>
      <c r="P24" s="278"/>
      <c r="Q24" s="283"/>
      <c r="R24" s="278"/>
      <c r="S24" s="278"/>
    </row>
    <row r="25" spans="1:19" ht="82.5">
      <c r="A25" s="278"/>
      <c r="B25" s="278"/>
      <c r="C25" s="278"/>
      <c r="D25" s="278"/>
      <c r="E25" s="278"/>
      <c r="F25" s="278"/>
      <c r="G25" s="278"/>
      <c r="H25" s="278">
        <v>1</v>
      </c>
      <c r="I25" s="280" t="s">
        <v>1990</v>
      </c>
      <c r="J25" s="280" t="s">
        <v>1991</v>
      </c>
      <c r="K25" s="278" t="s">
        <v>334</v>
      </c>
      <c r="L25" s="278"/>
      <c r="M25" s="265" t="s">
        <v>2642</v>
      </c>
      <c r="O25" s="24" t="s">
        <v>2643</v>
      </c>
      <c r="P25" s="24">
        <v>4</v>
      </c>
      <c r="Q25" s="281" t="s">
        <v>2023</v>
      </c>
      <c r="R25" s="278"/>
      <c r="S25" s="278"/>
    </row>
    <row r="26" spans="1:19">
      <c r="A26" s="277">
        <v>2107000000115</v>
      </c>
      <c r="B26" s="278" t="s">
        <v>2024</v>
      </c>
      <c r="C26" s="277">
        <v>2200000000011</v>
      </c>
      <c r="D26" s="279" t="s">
        <v>331</v>
      </c>
      <c r="E26" s="280" t="b">
        <v>0</v>
      </c>
      <c r="F26" s="278"/>
      <c r="G26" s="278"/>
      <c r="H26" s="278"/>
      <c r="I26" s="278"/>
      <c r="J26" s="278"/>
      <c r="K26" s="278"/>
      <c r="L26" s="278"/>
      <c r="M26" s="278"/>
      <c r="N26" s="278"/>
      <c r="O26" s="278"/>
      <c r="P26" s="278"/>
      <c r="Q26" s="283"/>
      <c r="R26" s="278"/>
      <c r="S26" s="278"/>
    </row>
    <row r="27" spans="1:19" ht="82.5">
      <c r="A27" s="278"/>
      <c r="B27" s="278"/>
      <c r="C27" s="278"/>
      <c r="D27" s="278"/>
      <c r="E27" s="278"/>
      <c r="F27" s="278"/>
      <c r="G27" s="278"/>
      <c r="H27" s="278">
        <v>1</v>
      </c>
      <c r="I27" s="280" t="s">
        <v>1990</v>
      </c>
      <c r="J27" s="280" t="s">
        <v>1991</v>
      </c>
      <c r="K27" s="278" t="s">
        <v>334</v>
      </c>
      <c r="L27" s="278"/>
      <c r="M27" s="265" t="s">
        <v>2642</v>
      </c>
      <c r="O27" s="24" t="s">
        <v>2643</v>
      </c>
      <c r="P27" s="24">
        <v>4</v>
      </c>
      <c r="Q27" s="281" t="s">
        <v>2026</v>
      </c>
      <c r="R27" s="278"/>
      <c r="S27" s="278"/>
    </row>
    <row r="28" spans="1:19">
      <c r="A28" s="277">
        <v>2107000000116</v>
      </c>
      <c r="B28" s="278" t="s">
        <v>2027</v>
      </c>
      <c r="C28" s="277">
        <v>2200000000011</v>
      </c>
      <c r="D28" s="279" t="s">
        <v>331</v>
      </c>
      <c r="E28" s="280" t="b">
        <v>0</v>
      </c>
      <c r="F28" s="278"/>
      <c r="G28" s="278"/>
      <c r="H28" s="278"/>
      <c r="I28" s="278"/>
      <c r="J28" s="278"/>
      <c r="K28" s="278"/>
      <c r="L28" s="278"/>
      <c r="M28" s="278"/>
      <c r="N28" s="278"/>
      <c r="O28" s="278"/>
      <c r="P28" s="278"/>
      <c r="Q28" s="283"/>
      <c r="R28" s="278"/>
      <c r="S28" s="278"/>
    </row>
    <row r="29" spans="1:19" ht="82.5">
      <c r="A29" s="278"/>
      <c r="B29" s="278"/>
      <c r="C29" s="278"/>
      <c r="D29" s="278"/>
      <c r="E29" s="278"/>
      <c r="F29" s="278"/>
      <c r="G29" s="278"/>
      <c r="H29" s="278">
        <v>1</v>
      </c>
      <c r="I29" s="280" t="s">
        <v>1990</v>
      </c>
      <c r="J29" s="280" t="s">
        <v>1991</v>
      </c>
      <c r="K29" s="278" t="s">
        <v>334</v>
      </c>
      <c r="L29" s="278"/>
      <c r="M29" s="265" t="s">
        <v>2642</v>
      </c>
      <c r="O29" s="24" t="s">
        <v>2643</v>
      </c>
      <c r="P29" s="24">
        <v>4</v>
      </c>
      <c r="Q29" s="281" t="s">
        <v>2029</v>
      </c>
      <c r="R29" s="278"/>
      <c r="S29" s="278"/>
    </row>
    <row r="30" spans="1:19">
      <c r="A30" s="277">
        <v>2107000000117</v>
      </c>
      <c r="B30" s="278" t="s">
        <v>2030</v>
      </c>
      <c r="C30" s="277">
        <v>2200000000011</v>
      </c>
      <c r="D30" s="279" t="s">
        <v>331</v>
      </c>
      <c r="E30" s="280" t="b">
        <v>0</v>
      </c>
      <c r="F30" s="278"/>
      <c r="G30" s="278"/>
      <c r="H30" s="278"/>
      <c r="I30" s="278"/>
      <c r="J30" s="278"/>
      <c r="K30" s="278"/>
      <c r="L30" s="278"/>
      <c r="M30" s="278"/>
      <c r="N30" s="278"/>
      <c r="O30" s="278"/>
      <c r="P30" s="278"/>
      <c r="Q30" s="283"/>
      <c r="R30" s="278"/>
      <c r="S30" s="278"/>
    </row>
    <row r="31" spans="1:19" ht="82.5">
      <c r="A31" s="278"/>
      <c r="B31" s="278"/>
      <c r="C31" s="278"/>
      <c r="D31" s="278"/>
      <c r="E31" s="278"/>
      <c r="F31" s="278"/>
      <c r="G31" s="278"/>
      <c r="H31" s="278">
        <v>1</v>
      </c>
      <c r="I31" s="280" t="s">
        <v>1990</v>
      </c>
      <c r="J31" s="280" t="s">
        <v>1991</v>
      </c>
      <c r="K31" s="278" t="s">
        <v>334</v>
      </c>
      <c r="L31" s="278"/>
      <c r="M31" s="265" t="s">
        <v>2642</v>
      </c>
      <c r="O31" s="24" t="s">
        <v>2643</v>
      </c>
      <c r="P31" s="24">
        <v>4</v>
      </c>
      <c r="Q31" s="281" t="s">
        <v>2032</v>
      </c>
      <c r="R31" s="278"/>
      <c r="S31" s="278"/>
    </row>
    <row r="32" spans="1:19">
      <c r="A32" s="277">
        <v>2107000000118</v>
      </c>
      <c r="B32" s="278" t="s">
        <v>2033</v>
      </c>
      <c r="C32" s="277">
        <v>2200000000011</v>
      </c>
      <c r="D32" s="279" t="s">
        <v>331</v>
      </c>
      <c r="E32" s="280" t="b">
        <v>0</v>
      </c>
      <c r="F32" s="278"/>
      <c r="G32" s="278"/>
      <c r="H32" s="278"/>
      <c r="I32" s="278"/>
      <c r="J32" s="278"/>
      <c r="K32" s="278"/>
      <c r="L32" s="278"/>
      <c r="M32" s="278"/>
      <c r="N32" s="278"/>
      <c r="O32" s="278"/>
      <c r="P32" s="278"/>
      <c r="Q32" s="283"/>
      <c r="R32" s="278"/>
      <c r="S32" s="278"/>
    </row>
    <row r="33" spans="1:19" ht="82.5">
      <c r="A33" s="278"/>
      <c r="B33" s="278"/>
      <c r="C33" s="278"/>
      <c r="D33" s="278"/>
      <c r="E33" s="278"/>
      <c r="F33" s="278"/>
      <c r="G33" s="278"/>
      <c r="H33" s="278">
        <v>1</v>
      </c>
      <c r="I33" s="280" t="s">
        <v>1990</v>
      </c>
      <c r="J33" s="280" t="s">
        <v>1991</v>
      </c>
      <c r="K33" s="278" t="s">
        <v>334</v>
      </c>
      <c r="L33" s="278"/>
      <c r="M33" s="265" t="s">
        <v>2642</v>
      </c>
      <c r="O33" s="24" t="s">
        <v>2643</v>
      </c>
      <c r="P33" s="24">
        <v>4</v>
      </c>
      <c r="Q33" s="281" t="s">
        <v>2035</v>
      </c>
      <c r="R33" s="278"/>
      <c r="S33" s="278"/>
    </row>
    <row r="34" spans="1:19">
      <c r="A34" s="277">
        <v>2107000000119</v>
      </c>
      <c r="B34" s="278" t="s">
        <v>2036</v>
      </c>
      <c r="C34" s="277">
        <v>2200000000011</v>
      </c>
      <c r="D34" s="279" t="s">
        <v>331</v>
      </c>
      <c r="E34" s="280" t="b">
        <v>0</v>
      </c>
      <c r="F34" s="278"/>
      <c r="G34" s="278"/>
      <c r="H34" s="278"/>
      <c r="I34" s="278"/>
      <c r="J34" s="278"/>
      <c r="K34" s="278"/>
      <c r="L34" s="278"/>
      <c r="M34" s="278"/>
      <c r="N34" s="278"/>
      <c r="O34" s="278"/>
      <c r="P34" s="278"/>
      <c r="Q34" s="283"/>
      <c r="R34" s="278"/>
      <c r="S34" s="278"/>
    </row>
    <row r="35" spans="1:19" ht="82.5">
      <c r="A35" s="278"/>
      <c r="B35" s="278"/>
      <c r="C35" s="278"/>
      <c r="D35" s="278"/>
      <c r="E35" s="278"/>
      <c r="F35" s="278"/>
      <c r="G35" s="278"/>
      <c r="H35" s="278">
        <v>1</v>
      </c>
      <c r="I35" s="280" t="s">
        <v>1990</v>
      </c>
      <c r="J35" s="280" t="s">
        <v>1991</v>
      </c>
      <c r="K35" s="278" t="s">
        <v>334</v>
      </c>
      <c r="L35" s="278"/>
      <c r="M35" s="265" t="s">
        <v>2642</v>
      </c>
      <c r="O35" s="24" t="s">
        <v>2643</v>
      </c>
      <c r="P35" s="24">
        <v>4</v>
      </c>
      <c r="Q35" s="281" t="s">
        <v>2038</v>
      </c>
      <c r="R35" s="278"/>
      <c r="S35" s="278"/>
    </row>
    <row r="36" spans="1:19">
      <c r="A36" s="277">
        <v>2107000000120</v>
      </c>
      <c r="B36" s="278" t="s">
        <v>2039</v>
      </c>
      <c r="C36" s="277">
        <v>2200000000011</v>
      </c>
      <c r="D36" s="279" t="s">
        <v>331</v>
      </c>
      <c r="E36" s="280" t="b">
        <v>0</v>
      </c>
      <c r="F36" s="278"/>
      <c r="G36" s="278"/>
      <c r="H36" s="278"/>
      <c r="I36" s="278"/>
      <c r="J36" s="278"/>
      <c r="K36" s="278"/>
      <c r="L36" s="278"/>
      <c r="M36" s="278"/>
      <c r="N36" s="278"/>
      <c r="O36" s="278"/>
      <c r="P36" s="278"/>
      <c r="Q36" s="283"/>
      <c r="R36" s="278"/>
      <c r="S36" s="278"/>
    </row>
    <row r="37" spans="1:19" ht="82.5">
      <c r="A37" s="278"/>
      <c r="B37" s="278"/>
      <c r="C37" s="278"/>
      <c r="D37" s="278"/>
      <c r="E37" s="278"/>
      <c r="F37" s="278"/>
      <c r="G37" s="278"/>
      <c r="H37" s="278">
        <v>1</v>
      </c>
      <c r="I37" s="280" t="s">
        <v>1990</v>
      </c>
      <c r="J37" s="280" t="s">
        <v>1991</v>
      </c>
      <c r="K37" s="278" t="s">
        <v>334</v>
      </c>
      <c r="L37" s="278"/>
      <c r="M37" s="265" t="s">
        <v>2642</v>
      </c>
      <c r="O37" s="24" t="s">
        <v>2643</v>
      </c>
      <c r="P37" s="24">
        <v>4</v>
      </c>
      <c r="Q37" s="281" t="s">
        <v>2041</v>
      </c>
      <c r="R37" s="278"/>
      <c r="S37" s="278"/>
    </row>
    <row r="38" spans="1:19">
      <c r="A38" s="277">
        <v>2107000000121</v>
      </c>
      <c r="B38" s="278" t="s">
        <v>2042</v>
      </c>
      <c r="C38" s="277">
        <v>2200000000011</v>
      </c>
      <c r="D38" s="279" t="s">
        <v>331</v>
      </c>
      <c r="E38" s="280" t="b">
        <v>0</v>
      </c>
      <c r="F38" s="278"/>
      <c r="G38" s="278"/>
      <c r="H38" s="278"/>
      <c r="I38" s="278"/>
      <c r="J38" s="278"/>
      <c r="K38" s="278"/>
      <c r="L38" s="278"/>
      <c r="M38" s="278"/>
      <c r="N38" s="278"/>
      <c r="O38" s="278"/>
      <c r="P38" s="278"/>
      <c r="Q38" s="283"/>
      <c r="R38" s="278"/>
      <c r="S38" s="278"/>
    </row>
    <row r="39" spans="1:19" ht="82.5">
      <c r="A39" s="278"/>
      <c r="B39" s="278"/>
      <c r="C39" s="278"/>
      <c r="D39" s="278"/>
      <c r="E39" s="278"/>
      <c r="F39" s="278"/>
      <c r="G39" s="278"/>
      <c r="H39" s="278">
        <v>1</v>
      </c>
      <c r="I39" s="280" t="s">
        <v>1990</v>
      </c>
      <c r="J39" s="280" t="s">
        <v>1991</v>
      </c>
      <c r="K39" s="278" t="s">
        <v>334</v>
      </c>
      <c r="L39" s="278"/>
      <c r="M39" s="265" t="s">
        <v>2642</v>
      </c>
      <c r="O39" s="24" t="s">
        <v>2643</v>
      </c>
      <c r="P39" s="24">
        <v>4</v>
      </c>
      <c r="Q39" s="281" t="s">
        <v>2044</v>
      </c>
      <c r="R39" s="278"/>
      <c r="S39" s="278"/>
    </row>
    <row r="40" spans="1:19">
      <c r="A40" s="277">
        <v>2107000000122</v>
      </c>
      <c r="B40" s="278" t="s">
        <v>2045</v>
      </c>
      <c r="C40" s="277">
        <v>2200000000011</v>
      </c>
      <c r="D40" s="279" t="s">
        <v>331</v>
      </c>
      <c r="E40" s="280" t="b">
        <v>0</v>
      </c>
      <c r="F40" s="278"/>
      <c r="G40" s="278"/>
      <c r="H40" s="278"/>
      <c r="I40" s="278"/>
      <c r="J40" s="278"/>
      <c r="K40" s="278"/>
      <c r="L40" s="278"/>
      <c r="M40" s="278"/>
      <c r="N40" s="278"/>
      <c r="O40" s="278"/>
      <c r="P40" s="278"/>
      <c r="Q40" s="283"/>
      <c r="R40" s="278"/>
      <c r="S40" s="278"/>
    </row>
    <row r="41" spans="1:19" ht="82.5">
      <c r="A41" s="278"/>
      <c r="B41" s="278"/>
      <c r="C41" s="278"/>
      <c r="D41" s="278"/>
      <c r="E41" s="278"/>
      <c r="F41" s="278"/>
      <c r="G41" s="278"/>
      <c r="H41" s="278">
        <v>1</v>
      </c>
      <c r="I41" s="280" t="s">
        <v>1990</v>
      </c>
      <c r="J41" s="280" t="s">
        <v>1991</v>
      </c>
      <c r="K41" s="278" t="s">
        <v>334</v>
      </c>
      <c r="L41" s="278"/>
      <c r="M41" s="265" t="s">
        <v>2642</v>
      </c>
      <c r="O41" s="24" t="s">
        <v>2643</v>
      </c>
      <c r="P41" s="24">
        <v>4</v>
      </c>
      <c r="Q41" s="281" t="s">
        <v>2046</v>
      </c>
      <c r="R41" s="278"/>
      <c r="S41" s="278"/>
    </row>
    <row r="42" spans="1:19">
      <c r="A42" s="277">
        <v>2107000000126</v>
      </c>
      <c r="B42" s="278" t="s">
        <v>2047</v>
      </c>
      <c r="C42" s="277">
        <v>2200000000011</v>
      </c>
      <c r="D42" s="279" t="s">
        <v>331</v>
      </c>
      <c r="E42" s="280" t="b">
        <v>0</v>
      </c>
      <c r="F42" s="278"/>
      <c r="G42" s="278"/>
      <c r="H42" s="278"/>
      <c r="I42" s="278"/>
      <c r="J42" s="278"/>
      <c r="K42" s="278"/>
      <c r="L42" s="278"/>
      <c r="M42" s="278"/>
      <c r="N42" s="278"/>
      <c r="O42" s="278"/>
      <c r="P42" s="278"/>
      <c r="Q42" s="283"/>
      <c r="R42" s="278"/>
      <c r="S42" s="278"/>
    </row>
    <row r="43" spans="1:19" ht="82.5">
      <c r="A43" s="278"/>
      <c r="B43" s="278"/>
      <c r="C43" s="278"/>
      <c r="D43" s="278"/>
      <c r="E43" s="278"/>
      <c r="F43" s="278"/>
      <c r="G43" s="278"/>
      <c r="H43" s="278">
        <v>1</v>
      </c>
      <c r="I43" s="280" t="s">
        <v>1990</v>
      </c>
      <c r="J43" s="280" t="s">
        <v>1991</v>
      </c>
      <c r="K43" s="278" t="s">
        <v>334</v>
      </c>
      <c r="L43" s="278"/>
      <c r="M43" s="265" t="s">
        <v>2642</v>
      </c>
      <c r="O43" s="24" t="s">
        <v>2643</v>
      </c>
      <c r="P43" s="24">
        <v>4</v>
      </c>
      <c r="Q43" s="281" t="s">
        <v>2049</v>
      </c>
      <c r="R43" s="278"/>
      <c r="S43" s="278"/>
    </row>
    <row r="44" spans="1:19">
      <c r="A44" s="277">
        <v>2107000000127</v>
      </c>
      <c r="B44" s="278" t="s">
        <v>2050</v>
      </c>
      <c r="C44" s="277">
        <v>2200000000011</v>
      </c>
      <c r="D44" s="279" t="s">
        <v>331</v>
      </c>
      <c r="E44" s="280" t="b">
        <v>0</v>
      </c>
      <c r="F44" s="278"/>
      <c r="G44" s="278"/>
      <c r="H44" s="278"/>
      <c r="I44" s="278"/>
      <c r="J44" s="278"/>
      <c r="K44" s="278"/>
      <c r="L44" s="278"/>
      <c r="M44" s="278"/>
      <c r="N44" s="278"/>
      <c r="O44" s="278"/>
      <c r="P44" s="278"/>
      <c r="Q44" s="283"/>
      <c r="R44" s="278"/>
      <c r="S44" s="278"/>
    </row>
    <row r="45" spans="1:19" ht="82.5">
      <c r="A45" s="278"/>
      <c r="B45" s="278"/>
      <c r="C45" s="278"/>
      <c r="D45" s="278"/>
      <c r="E45" s="278"/>
      <c r="F45" s="278"/>
      <c r="G45" s="278"/>
      <c r="H45" s="278">
        <v>1</v>
      </c>
      <c r="I45" s="280" t="s">
        <v>1990</v>
      </c>
      <c r="J45" s="280" t="s">
        <v>1991</v>
      </c>
      <c r="K45" s="278" t="s">
        <v>334</v>
      </c>
      <c r="L45" s="278"/>
      <c r="M45" s="265" t="s">
        <v>2642</v>
      </c>
      <c r="O45" s="24" t="s">
        <v>2643</v>
      </c>
      <c r="P45" s="24">
        <v>4</v>
      </c>
      <c r="Q45" s="281" t="s">
        <v>2052</v>
      </c>
      <c r="R45" s="278"/>
      <c r="S45" s="278"/>
    </row>
    <row r="46" spans="1:19">
      <c r="A46" s="277">
        <v>2107000000128</v>
      </c>
      <c r="B46" s="278" t="s">
        <v>2053</v>
      </c>
      <c r="C46" s="277">
        <v>2200000000011</v>
      </c>
      <c r="D46" s="279" t="s">
        <v>331</v>
      </c>
      <c r="E46" s="280" t="b">
        <v>0</v>
      </c>
      <c r="F46" s="278"/>
      <c r="G46" s="278"/>
      <c r="H46" s="278"/>
      <c r="I46" s="278"/>
      <c r="J46" s="278"/>
      <c r="K46" s="278"/>
      <c r="L46" s="278"/>
      <c r="M46" s="278"/>
      <c r="N46" s="278"/>
      <c r="O46" s="278"/>
      <c r="P46" s="278"/>
      <c r="Q46" s="283"/>
      <c r="R46" s="278"/>
      <c r="S46" s="278"/>
    </row>
    <row r="47" spans="1:19" ht="82.5">
      <c r="A47" s="278"/>
      <c r="B47" s="278"/>
      <c r="C47" s="278"/>
      <c r="D47" s="278"/>
      <c r="E47" s="278"/>
      <c r="F47" s="278"/>
      <c r="G47" s="278"/>
      <c r="H47" s="278">
        <v>1</v>
      </c>
      <c r="I47" s="280" t="s">
        <v>1990</v>
      </c>
      <c r="J47" s="280" t="s">
        <v>1991</v>
      </c>
      <c r="K47" s="278" t="s">
        <v>334</v>
      </c>
      <c r="L47" s="278"/>
      <c r="M47" s="265" t="s">
        <v>2642</v>
      </c>
      <c r="O47" s="24" t="s">
        <v>2643</v>
      </c>
      <c r="P47" s="24">
        <v>4</v>
      </c>
      <c r="Q47" s="281" t="s">
        <v>2055</v>
      </c>
      <c r="R47" s="278"/>
      <c r="S47" s="278"/>
    </row>
    <row r="48" spans="1:19">
      <c r="A48" s="277">
        <v>2107000000129</v>
      </c>
      <c r="B48" s="278" t="s">
        <v>2056</v>
      </c>
      <c r="C48" s="277">
        <v>2200000000011</v>
      </c>
      <c r="D48" s="279" t="s">
        <v>331</v>
      </c>
      <c r="E48" s="280" t="b">
        <v>0</v>
      </c>
      <c r="F48" s="278"/>
      <c r="G48" s="278"/>
      <c r="H48" s="278"/>
      <c r="I48" s="278"/>
      <c r="J48" s="278"/>
      <c r="K48" s="278"/>
      <c r="L48" s="278"/>
      <c r="M48" s="278"/>
      <c r="N48" s="278"/>
      <c r="O48" s="278"/>
      <c r="P48" s="278"/>
      <c r="Q48" s="283"/>
      <c r="R48" s="278"/>
      <c r="S48" s="278"/>
    </row>
    <row r="49" spans="1:19" ht="82.5">
      <c r="A49" s="278"/>
      <c r="B49" s="278"/>
      <c r="C49" s="278"/>
      <c r="D49" s="278"/>
      <c r="E49" s="278"/>
      <c r="F49" s="278"/>
      <c r="G49" s="278"/>
      <c r="H49" s="278">
        <v>1</v>
      </c>
      <c r="I49" s="280" t="s">
        <v>1990</v>
      </c>
      <c r="J49" s="280" t="s">
        <v>1991</v>
      </c>
      <c r="K49" s="278" t="s">
        <v>334</v>
      </c>
      <c r="L49" s="278"/>
      <c r="M49" s="265" t="s">
        <v>2642</v>
      </c>
      <c r="O49" s="24" t="s">
        <v>2643</v>
      </c>
      <c r="P49" s="24">
        <v>4</v>
      </c>
      <c r="Q49" s="281" t="s">
        <v>2058</v>
      </c>
      <c r="R49" s="278"/>
      <c r="S49" s="278"/>
    </row>
    <row r="50" spans="1:19">
      <c r="A50" s="277">
        <v>2107000000130</v>
      </c>
      <c r="B50" s="278" t="s">
        <v>2059</v>
      </c>
      <c r="C50" s="277">
        <v>2200000000011</v>
      </c>
      <c r="D50" s="279" t="s">
        <v>331</v>
      </c>
      <c r="E50" s="280" t="b">
        <v>0</v>
      </c>
      <c r="F50" s="278"/>
      <c r="G50" s="278"/>
      <c r="H50" s="278"/>
      <c r="I50" s="278"/>
      <c r="J50" s="278"/>
      <c r="K50" s="278"/>
      <c r="L50" s="278"/>
      <c r="M50" s="278"/>
      <c r="N50" s="278"/>
      <c r="O50" s="278"/>
      <c r="P50" s="278"/>
      <c r="Q50" s="283"/>
      <c r="R50" s="278"/>
      <c r="S50" s="278"/>
    </row>
    <row r="51" spans="1:19" ht="82.5">
      <c r="A51" s="278"/>
      <c r="B51" s="278"/>
      <c r="C51" s="278"/>
      <c r="D51" s="278"/>
      <c r="E51" s="278"/>
      <c r="F51" s="278"/>
      <c r="G51" s="278"/>
      <c r="H51" s="278">
        <v>1</v>
      </c>
      <c r="I51" s="280" t="s">
        <v>1990</v>
      </c>
      <c r="J51" s="280" t="s">
        <v>1991</v>
      </c>
      <c r="K51" s="278" t="s">
        <v>334</v>
      </c>
      <c r="L51" s="278"/>
      <c r="M51" s="265" t="s">
        <v>2642</v>
      </c>
      <c r="O51" s="24" t="s">
        <v>2643</v>
      </c>
      <c r="P51" s="24">
        <v>4</v>
      </c>
      <c r="Q51" s="281" t="s">
        <v>2061</v>
      </c>
      <c r="R51" s="278"/>
      <c r="S51" s="278"/>
    </row>
    <row r="52" spans="1:19">
      <c r="A52" s="277">
        <v>2107000000131</v>
      </c>
      <c r="B52" s="278" t="s">
        <v>2062</v>
      </c>
      <c r="C52" s="277">
        <v>2200000000011</v>
      </c>
      <c r="D52" s="279" t="s">
        <v>331</v>
      </c>
      <c r="E52" s="280" t="b">
        <v>0</v>
      </c>
      <c r="F52" s="278"/>
      <c r="G52" s="278"/>
      <c r="H52" s="278"/>
      <c r="I52" s="278"/>
      <c r="J52" s="278"/>
      <c r="K52" s="278"/>
      <c r="L52" s="278"/>
      <c r="M52" s="278"/>
      <c r="N52" s="278"/>
      <c r="O52" s="278"/>
      <c r="P52" s="278"/>
      <c r="Q52" s="283"/>
      <c r="R52" s="278"/>
      <c r="S52" s="278"/>
    </row>
    <row r="53" spans="1:19" ht="82.5">
      <c r="A53" s="278"/>
      <c r="B53" s="278"/>
      <c r="C53" s="278"/>
      <c r="D53" s="278"/>
      <c r="E53" s="278"/>
      <c r="F53" s="278"/>
      <c r="G53" s="278"/>
      <c r="H53" s="278">
        <v>1</v>
      </c>
      <c r="I53" s="280" t="s">
        <v>1990</v>
      </c>
      <c r="J53" s="280" t="s">
        <v>1991</v>
      </c>
      <c r="K53" s="278" t="s">
        <v>334</v>
      </c>
      <c r="L53" s="278"/>
      <c r="M53" s="265" t="s">
        <v>2642</v>
      </c>
      <c r="O53" s="24" t="s">
        <v>2643</v>
      </c>
      <c r="P53" s="24">
        <v>4</v>
      </c>
      <c r="Q53" s="281" t="s">
        <v>2064</v>
      </c>
      <c r="R53" s="278"/>
      <c r="S53" s="278"/>
    </row>
    <row r="54" spans="1:19">
      <c r="A54" s="277">
        <v>2107000000132</v>
      </c>
      <c r="B54" s="278" t="s">
        <v>2065</v>
      </c>
      <c r="C54" s="277">
        <v>2200000000011</v>
      </c>
      <c r="D54" s="279" t="s">
        <v>331</v>
      </c>
      <c r="E54" s="280" t="b">
        <v>0</v>
      </c>
      <c r="F54" s="278"/>
      <c r="G54" s="278"/>
      <c r="H54" s="278"/>
      <c r="I54" s="278"/>
      <c r="J54" s="278"/>
      <c r="K54" s="278"/>
      <c r="L54" s="278"/>
      <c r="M54" s="278"/>
      <c r="N54" s="278"/>
      <c r="O54" s="278"/>
      <c r="P54" s="278"/>
      <c r="Q54" s="283"/>
      <c r="R54" s="278"/>
      <c r="S54" s="278"/>
    </row>
    <row r="55" spans="1:19" ht="82.5">
      <c r="A55" s="278"/>
      <c r="B55" s="278"/>
      <c r="C55" s="278"/>
      <c r="D55" s="278"/>
      <c r="E55" s="278"/>
      <c r="F55" s="278"/>
      <c r="G55" s="278"/>
      <c r="H55" s="278">
        <v>1</v>
      </c>
      <c r="I55" s="280" t="s">
        <v>1990</v>
      </c>
      <c r="J55" s="280" t="s">
        <v>1991</v>
      </c>
      <c r="K55" s="278" t="s">
        <v>334</v>
      </c>
      <c r="L55" s="278"/>
      <c r="M55" s="265" t="s">
        <v>2642</v>
      </c>
      <c r="O55" s="24" t="s">
        <v>2643</v>
      </c>
      <c r="P55" s="24">
        <v>4</v>
      </c>
      <c r="Q55" s="281" t="s">
        <v>2067</v>
      </c>
      <c r="R55" s="278"/>
      <c r="S55" s="278"/>
    </row>
    <row r="56" spans="1:19">
      <c r="A56" s="277">
        <v>2107000000133</v>
      </c>
      <c r="B56" s="278" t="s">
        <v>2068</v>
      </c>
      <c r="C56" s="277">
        <v>2200000000011</v>
      </c>
      <c r="D56" s="279" t="s">
        <v>331</v>
      </c>
      <c r="E56" s="280" t="b">
        <v>0</v>
      </c>
      <c r="F56" s="278"/>
      <c r="G56" s="278"/>
      <c r="H56" s="278"/>
      <c r="I56" s="278"/>
      <c r="J56" s="278"/>
      <c r="K56" s="278"/>
      <c r="L56" s="278"/>
      <c r="M56" s="278"/>
      <c r="N56" s="278"/>
      <c r="O56" s="278"/>
      <c r="P56" s="278"/>
      <c r="Q56" s="283"/>
      <c r="R56" s="278"/>
      <c r="S56" s="278"/>
    </row>
    <row r="57" spans="1:19" ht="82.5">
      <c r="A57" s="278"/>
      <c r="B57" s="278"/>
      <c r="C57" s="278"/>
      <c r="D57" s="278"/>
      <c r="E57" s="278"/>
      <c r="F57" s="278"/>
      <c r="G57" s="278"/>
      <c r="H57" s="278">
        <v>1</v>
      </c>
      <c r="I57" s="280" t="s">
        <v>1990</v>
      </c>
      <c r="J57" s="280" t="s">
        <v>1991</v>
      </c>
      <c r="K57" s="278" t="s">
        <v>334</v>
      </c>
      <c r="L57" s="278"/>
      <c r="M57" s="265" t="s">
        <v>2642</v>
      </c>
      <c r="O57" s="24" t="s">
        <v>2643</v>
      </c>
      <c r="P57" s="24">
        <v>4</v>
      </c>
      <c r="Q57" s="281" t="s">
        <v>2070</v>
      </c>
      <c r="R57" s="278"/>
      <c r="S57" s="278"/>
    </row>
    <row r="58" spans="1:19">
      <c r="A58" s="277">
        <v>2107000000134</v>
      </c>
      <c r="B58" s="278" t="s">
        <v>2071</v>
      </c>
      <c r="C58" s="277">
        <v>2200000000011</v>
      </c>
      <c r="D58" s="279" t="s">
        <v>331</v>
      </c>
      <c r="E58" s="280" t="b">
        <v>0</v>
      </c>
      <c r="F58" s="278"/>
      <c r="G58" s="278"/>
      <c r="H58" s="278"/>
      <c r="I58" s="278"/>
      <c r="J58" s="278"/>
      <c r="K58" s="278"/>
      <c r="L58" s="278"/>
      <c r="M58" s="278"/>
      <c r="N58" s="278"/>
      <c r="O58" s="278"/>
      <c r="P58" s="278"/>
      <c r="Q58" s="283"/>
      <c r="R58" s="278"/>
      <c r="S58" s="278"/>
    </row>
    <row r="59" spans="1:19" ht="82.5">
      <c r="A59" s="278"/>
      <c r="B59" s="278"/>
      <c r="C59" s="278"/>
      <c r="D59" s="278"/>
      <c r="E59" s="278"/>
      <c r="F59" s="278"/>
      <c r="G59" s="278"/>
      <c r="H59" s="278">
        <v>1</v>
      </c>
      <c r="I59" s="280" t="s">
        <v>1990</v>
      </c>
      <c r="J59" s="280" t="s">
        <v>1991</v>
      </c>
      <c r="K59" s="278" t="s">
        <v>334</v>
      </c>
      <c r="L59" s="278"/>
      <c r="M59" s="265" t="s">
        <v>2642</v>
      </c>
      <c r="O59" s="24" t="s">
        <v>2643</v>
      </c>
      <c r="P59" s="24">
        <v>4</v>
      </c>
      <c r="Q59" s="281" t="s">
        <v>2073</v>
      </c>
      <c r="R59" s="278"/>
      <c r="S59" s="278"/>
    </row>
    <row r="60" spans="1:19">
      <c r="A60" s="277">
        <v>2107000000136</v>
      </c>
      <c r="B60" s="278" t="s">
        <v>2075</v>
      </c>
      <c r="C60" s="277">
        <v>2200000000011</v>
      </c>
      <c r="D60" s="279" t="s">
        <v>331</v>
      </c>
      <c r="E60" s="280" t="b">
        <v>0</v>
      </c>
      <c r="F60" s="278"/>
      <c r="G60" s="278"/>
      <c r="H60" s="278"/>
      <c r="I60" s="278"/>
      <c r="J60" s="278"/>
      <c r="K60" s="278"/>
      <c r="L60" s="278"/>
      <c r="M60" s="278"/>
      <c r="N60" s="278"/>
      <c r="O60" s="278"/>
      <c r="P60" s="278"/>
      <c r="Q60" s="283"/>
      <c r="R60" s="278"/>
      <c r="S60" s="278"/>
    </row>
    <row r="61" spans="1:19" ht="82.5">
      <c r="A61" s="278"/>
      <c r="B61" s="278"/>
      <c r="C61" s="278"/>
      <c r="D61" s="278"/>
      <c r="E61" s="278"/>
      <c r="F61" s="278"/>
      <c r="G61" s="278"/>
      <c r="H61" s="278">
        <v>1</v>
      </c>
      <c r="I61" s="280" t="s">
        <v>1990</v>
      </c>
      <c r="J61" s="280" t="s">
        <v>1991</v>
      </c>
      <c r="K61" s="278" t="s">
        <v>334</v>
      </c>
      <c r="L61" s="278"/>
      <c r="M61" s="265" t="s">
        <v>2642</v>
      </c>
      <c r="O61" s="24" t="s">
        <v>2643</v>
      </c>
      <c r="P61" s="24">
        <v>4</v>
      </c>
      <c r="Q61" s="281" t="s">
        <v>2077</v>
      </c>
      <c r="R61" s="278"/>
      <c r="S61" s="278"/>
    </row>
    <row r="62" spans="1:19">
      <c r="A62" s="277">
        <v>2107000000137</v>
      </c>
      <c r="B62" s="278" t="s">
        <v>2078</v>
      </c>
      <c r="C62" s="277">
        <v>2200000000011</v>
      </c>
      <c r="D62" s="279" t="s">
        <v>331</v>
      </c>
      <c r="E62" s="280" t="b">
        <v>0</v>
      </c>
      <c r="F62" s="278"/>
      <c r="G62" s="278"/>
      <c r="H62" s="278"/>
      <c r="I62" s="278"/>
      <c r="J62" s="278"/>
      <c r="K62" s="278"/>
      <c r="L62" s="278"/>
      <c r="M62" s="278"/>
      <c r="N62" s="278"/>
      <c r="O62" s="278"/>
      <c r="P62" s="278"/>
      <c r="Q62" s="283"/>
      <c r="R62" s="278"/>
      <c r="S62" s="278"/>
    </row>
    <row r="63" spans="1:19" ht="82.5">
      <c r="A63" s="278"/>
      <c r="B63" s="278"/>
      <c r="C63" s="278"/>
      <c r="D63" s="278"/>
      <c r="E63" s="278"/>
      <c r="F63" s="278"/>
      <c r="G63" s="278"/>
      <c r="H63" s="278">
        <v>1</v>
      </c>
      <c r="I63" s="280" t="s">
        <v>1990</v>
      </c>
      <c r="J63" s="280" t="s">
        <v>1991</v>
      </c>
      <c r="K63" s="278" t="s">
        <v>334</v>
      </c>
      <c r="L63" s="278"/>
      <c r="M63" s="265" t="s">
        <v>2642</v>
      </c>
      <c r="O63" s="24" t="s">
        <v>2643</v>
      </c>
      <c r="P63" s="24">
        <v>4</v>
      </c>
      <c r="Q63" s="281" t="s">
        <v>2080</v>
      </c>
      <c r="R63" s="278"/>
      <c r="S63" s="278"/>
    </row>
    <row r="64" spans="1:19">
      <c r="A64" s="277">
        <v>2107000000139</v>
      </c>
      <c r="B64" s="278" t="s">
        <v>2081</v>
      </c>
      <c r="C64" s="277">
        <v>2200000000011</v>
      </c>
      <c r="D64" s="279" t="s">
        <v>331</v>
      </c>
      <c r="E64" s="280" t="b">
        <v>0</v>
      </c>
      <c r="F64" s="278"/>
      <c r="G64" s="278"/>
      <c r="H64" s="278"/>
      <c r="I64" s="278"/>
      <c r="J64" s="278"/>
      <c r="K64" s="278"/>
      <c r="L64" s="278"/>
      <c r="M64" s="278"/>
      <c r="N64" s="278"/>
      <c r="O64" s="278"/>
      <c r="P64" s="278"/>
      <c r="Q64" s="283"/>
      <c r="R64" s="278"/>
      <c r="S64" s="278"/>
    </row>
    <row r="65" spans="1:19" ht="82.5">
      <c r="A65" s="278"/>
      <c r="B65" s="278"/>
      <c r="C65" s="278"/>
      <c r="D65" s="278"/>
      <c r="E65" s="278"/>
      <c r="F65" s="278"/>
      <c r="G65" s="278"/>
      <c r="H65" s="278">
        <v>1</v>
      </c>
      <c r="I65" s="280" t="s">
        <v>1990</v>
      </c>
      <c r="J65" s="280" t="s">
        <v>1991</v>
      </c>
      <c r="K65" s="278" t="s">
        <v>334</v>
      </c>
      <c r="L65" s="278"/>
      <c r="M65" s="265" t="s">
        <v>2642</v>
      </c>
      <c r="O65" s="24" t="s">
        <v>2643</v>
      </c>
      <c r="P65" s="24">
        <v>4</v>
      </c>
      <c r="Q65" s="281" t="s">
        <v>2083</v>
      </c>
      <c r="R65" s="278"/>
      <c r="S65" s="278"/>
    </row>
    <row r="66" spans="1:19">
      <c r="A66" s="277">
        <v>2107000000140</v>
      </c>
      <c r="B66" s="278" t="s">
        <v>2778</v>
      </c>
      <c r="C66" s="277">
        <v>2200000000011</v>
      </c>
      <c r="D66" s="279" t="s">
        <v>331</v>
      </c>
      <c r="E66" s="280" t="b">
        <v>0</v>
      </c>
    </row>
    <row r="67" spans="1:19" ht="49.5">
      <c r="H67" s="278">
        <v>1</v>
      </c>
      <c r="I67" s="280" t="s">
        <v>1990</v>
      </c>
      <c r="J67" s="280" t="s">
        <v>1991</v>
      </c>
      <c r="K67" s="278" t="s">
        <v>334</v>
      </c>
      <c r="L67" s="278"/>
      <c r="M67" s="265" t="s">
        <v>2642</v>
      </c>
      <c r="O67" s="24" t="s">
        <v>2643</v>
      </c>
      <c r="P67" s="24">
        <v>4</v>
      </c>
      <c r="Q67" s="281" t="s">
        <v>2777</v>
      </c>
    </row>
    <row r="68" spans="1:19">
      <c r="A68" s="277">
        <v>2107000000141</v>
      </c>
      <c r="B68" s="278" t="s">
        <v>2780</v>
      </c>
      <c r="C68" s="277">
        <v>2200000000011</v>
      </c>
      <c r="D68" s="279" t="s">
        <v>331</v>
      </c>
      <c r="E68" s="280" t="b">
        <v>0</v>
      </c>
    </row>
    <row r="69" spans="1:19" ht="49.5">
      <c r="H69" s="278">
        <v>1</v>
      </c>
      <c r="I69" s="280" t="s">
        <v>1990</v>
      </c>
      <c r="J69" s="280" t="s">
        <v>1991</v>
      </c>
      <c r="K69" s="278" t="s">
        <v>334</v>
      </c>
      <c r="L69" s="278"/>
      <c r="M69" s="265" t="s">
        <v>2642</v>
      </c>
      <c r="O69" s="24" t="s">
        <v>2643</v>
      </c>
      <c r="P69" s="24">
        <v>4</v>
      </c>
      <c r="Q69" s="281" t="s">
        <v>2779</v>
      </c>
    </row>
  </sheetData>
  <phoneticPr fontId="4" type="noConversion"/>
  <conditionalFormatting sqref="A1:A3">
    <cfRule type="duplicateValues" dxfId="0" priority="1"/>
  </conditionalFormatting>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161"/>
  <sheetViews>
    <sheetView topLeftCell="A61" workbookViewId="0">
      <selection activeCell="C82" sqref="C82"/>
    </sheetView>
  </sheetViews>
  <sheetFormatPr defaultRowHeight="13.5"/>
  <cols>
    <col min="1" max="1" width="15.375" style="172" bestFit="1" customWidth="1"/>
    <col min="2" max="2" width="47.25" style="24" bestFit="1" customWidth="1"/>
    <col min="3" max="3" width="16.125" style="172" bestFit="1" customWidth="1"/>
    <col min="4" max="5" width="16.125" style="24" customWidth="1"/>
    <col min="6" max="7" width="8.25" style="24" customWidth="1"/>
    <col min="8" max="8" width="8" style="24" bestFit="1" customWidth="1"/>
    <col min="9" max="9" width="26.375" style="24" bestFit="1" customWidth="1"/>
    <col min="10" max="10" width="27.375" style="24" bestFit="1" customWidth="1"/>
    <col min="11" max="11" width="18.125" style="24" bestFit="1" customWidth="1"/>
    <col min="12" max="12" width="22.875" style="24" bestFit="1" customWidth="1"/>
    <col min="13" max="13" width="30.375" style="24" bestFit="1" customWidth="1"/>
    <col min="14" max="14" width="9.375" style="24" bestFit="1" customWidth="1"/>
    <col min="15" max="15" width="31.625" style="24" bestFit="1" customWidth="1"/>
    <col min="16" max="16" width="13.75" style="24" bestFit="1" customWidth="1"/>
    <col min="17" max="16384" width="9" style="24"/>
  </cols>
  <sheetData>
    <row r="1" spans="1:16">
      <c r="A1" s="170" t="s">
        <v>304</v>
      </c>
      <c r="B1" s="21" t="s">
        <v>305</v>
      </c>
      <c r="C1" s="272" t="s">
        <v>306</v>
      </c>
      <c r="D1" s="21" t="s">
        <v>307</v>
      </c>
      <c r="E1" s="21" t="s">
        <v>308</v>
      </c>
      <c r="F1" s="20" t="s">
        <v>636</v>
      </c>
      <c r="G1" s="165" t="s">
        <v>3740</v>
      </c>
      <c r="H1" s="22" t="s">
        <v>309</v>
      </c>
      <c r="I1" s="22" t="s">
        <v>310</v>
      </c>
      <c r="J1" s="22" t="s">
        <v>311</v>
      </c>
      <c r="K1" s="22" t="s">
        <v>312</v>
      </c>
      <c r="L1" s="22" t="s">
        <v>313</v>
      </c>
      <c r="M1" s="22" t="s">
        <v>314</v>
      </c>
      <c r="N1" s="22" t="s">
        <v>315</v>
      </c>
      <c r="O1" s="22" t="s">
        <v>316</v>
      </c>
      <c r="P1" s="167" t="s">
        <v>317</v>
      </c>
    </row>
    <row r="2" spans="1:16">
      <c r="A2" s="170" t="s">
        <v>318</v>
      </c>
      <c r="B2" s="20" t="s">
        <v>3</v>
      </c>
      <c r="C2" s="170" t="s">
        <v>319</v>
      </c>
      <c r="D2" s="20" t="s">
        <v>320</v>
      </c>
      <c r="E2" s="20" t="s">
        <v>321</v>
      </c>
      <c r="F2" s="20" t="s">
        <v>320</v>
      </c>
      <c r="G2" s="165" t="s">
        <v>851</v>
      </c>
      <c r="H2" s="22" t="s">
        <v>322</v>
      </c>
      <c r="I2" s="22" t="s">
        <v>323</v>
      </c>
      <c r="J2" s="22" t="s">
        <v>323</v>
      </c>
      <c r="K2" s="22" t="s">
        <v>324</v>
      </c>
      <c r="L2" s="22" t="s">
        <v>325</v>
      </c>
      <c r="M2" s="22" t="s">
        <v>326</v>
      </c>
      <c r="N2" s="22" t="s">
        <v>322</v>
      </c>
      <c r="O2" s="22" t="s">
        <v>320</v>
      </c>
      <c r="P2" s="167" t="s">
        <v>327</v>
      </c>
    </row>
    <row r="3" spans="1:16">
      <c r="A3" s="170" t="s">
        <v>328</v>
      </c>
      <c r="B3" s="20" t="s">
        <v>3</v>
      </c>
      <c r="C3" s="170" t="s">
        <v>328</v>
      </c>
      <c r="D3" s="20" t="s">
        <v>329</v>
      </c>
      <c r="E3" s="20" t="s">
        <v>4</v>
      </c>
      <c r="F3" s="20" t="s">
        <v>328</v>
      </c>
      <c r="G3" s="165" t="s">
        <v>328</v>
      </c>
      <c r="H3" s="22" t="s">
        <v>328</v>
      </c>
      <c r="I3" s="22" t="s">
        <v>4</v>
      </c>
      <c r="J3" s="22" t="s">
        <v>4</v>
      </c>
      <c r="K3" s="22" t="s">
        <v>328</v>
      </c>
      <c r="L3" s="22" t="s">
        <v>328</v>
      </c>
      <c r="M3" s="22" t="s">
        <v>328</v>
      </c>
      <c r="N3" s="22" t="s">
        <v>328</v>
      </c>
      <c r="O3" s="22" t="s">
        <v>328</v>
      </c>
      <c r="P3" s="167" t="s">
        <v>4</v>
      </c>
    </row>
    <row r="4" spans="1:16">
      <c r="A4" s="172">
        <v>2231100000000</v>
      </c>
      <c r="B4" s="24" t="s">
        <v>3322</v>
      </c>
      <c r="C4" s="172">
        <v>2231000000004</v>
      </c>
      <c r="D4" s="24" t="s">
        <v>331</v>
      </c>
      <c r="E4" s="24" t="b">
        <v>1</v>
      </c>
    </row>
    <row r="5" spans="1:16">
      <c r="H5" s="24">
        <v>1</v>
      </c>
      <c r="I5" s="24" t="s">
        <v>3323</v>
      </c>
      <c r="J5" s="24" t="s">
        <v>3324</v>
      </c>
      <c r="K5" s="24" t="s">
        <v>3325</v>
      </c>
      <c r="L5" s="265" t="s">
        <v>3326</v>
      </c>
      <c r="M5" s="24" t="s">
        <v>3327</v>
      </c>
      <c r="N5" s="24">
        <v>1</v>
      </c>
      <c r="O5" s="24" t="s">
        <v>3328</v>
      </c>
      <c r="P5" s="24" t="s">
        <v>375</v>
      </c>
    </row>
    <row r="6" spans="1:16">
      <c r="A6" s="172">
        <v>2231100000001</v>
      </c>
      <c r="B6" s="24" t="s">
        <v>3329</v>
      </c>
      <c r="C6" s="172">
        <v>2231000000004</v>
      </c>
      <c r="D6" s="24" t="s">
        <v>331</v>
      </c>
      <c r="E6" s="24" t="b">
        <v>1</v>
      </c>
    </row>
    <row r="7" spans="1:16">
      <c r="H7" s="24">
        <v>1</v>
      </c>
      <c r="I7" s="24" t="s">
        <v>3330</v>
      </c>
      <c r="J7" s="24" t="s">
        <v>3331</v>
      </c>
      <c r="K7" s="24" t="s">
        <v>3325</v>
      </c>
      <c r="L7" s="265" t="s">
        <v>3326</v>
      </c>
      <c r="M7" s="24" t="s">
        <v>3332</v>
      </c>
      <c r="N7" s="24">
        <v>1</v>
      </c>
      <c r="O7" s="24" t="s">
        <v>3333</v>
      </c>
      <c r="P7" s="24" t="s">
        <v>375</v>
      </c>
    </row>
    <row r="8" spans="1:16">
      <c r="A8" s="172">
        <v>2231100000002</v>
      </c>
      <c r="B8" s="24" t="s">
        <v>3334</v>
      </c>
      <c r="C8" s="172">
        <v>2231000000004</v>
      </c>
      <c r="D8" s="24" t="s">
        <v>331</v>
      </c>
      <c r="E8" s="24" t="b">
        <v>1</v>
      </c>
    </row>
    <row r="9" spans="1:16">
      <c r="H9" s="24">
        <v>1</v>
      </c>
      <c r="I9" s="24" t="s">
        <v>3335</v>
      </c>
      <c r="J9" s="24" t="s">
        <v>3336</v>
      </c>
      <c r="K9" s="24" t="s">
        <v>3325</v>
      </c>
      <c r="L9" s="265" t="s">
        <v>3326</v>
      </c>
      <c r="M9" s="24" t="s">
        <v>3337</v>
      </c>
      <c r="N9" s="24">
        <v>1</v>
      </c>
      <c r="O9" s="24" t="s">
        <v>3338</v>
      </c>
      <c r="P9" s="24" t="s">
        <v>375</v>
      </c>
    </row>
    <row r="10" spans="1:16">
      <c r="A10" s="172">
        <v>2231100000003</v>
      </c>
      <c r="B10" s="24" t="s">
        <v>3339</v>
      </c>
      <c r="C10" s="172">
        <v>2231000000004</v>
      </c>
      <c r="D10" s="24" t="s">
        <v>331</v>
      </c>
      <c r="E10" s="24" t="b">
        <v>1</v>
      </c>
    </row>
    <row r="11" spans="1:16">
      <c r="H11" s="24">
        <v>1</v>
      </c>
      <c r="I11" s="24" t="s">
        <v>3340</v>
      </c>
      <c r="J11" s="24" t="s">
        <v>3341</v>
      </c>
      <c r="K11" s="24" t="s">
        <v>3325</v>
      </c>
      <c r="L11" s="265" t="s">
        <v>3326</v>
      </c>
      <c r="M11" s="24" t="s">
        <v>3260</v>
      </c>
      <c r="N11" s="24">
        <v>1</v>
      </c>
      <c r="O11" s="24" t="s">
        <v>3342</v>
      </c>
      <c r="P11" s="24" t="s">
        <v>375</v>
      </c>
    </row>
    <row r="12" spans="1:16">
      <c r="A12" s="172">
        <v>2231100000004</v>
      </c>
      <c r="B12" s="24" t="s">
        <v>3343</v>
      </c>
      <c r="C12" s="172">
        <v>2231000000004</v>
      </c>
      <c r="D12" s="24" t="s">
        <v>331</v>
      </c>
      <c r="E12" s="24" t="b">
        <v>1</v>
      </c>
    </row>
    <row r="13" spans="1:16">
      <c r="H13" s="24">
        <v>1</v>
      </c>
      <c r="I13" s="24" t="s">
        <v>3344</v>
      </c>
      <c r="J13" s="24" t="s">
        <v>3345</v>
      </c>
      <c r="K13" s="24" t="s">
        <v>3325</v>
      </c>
      <c r="L13" s="265" t="s">
        <v>3326</v>
      </c>
      <c r="M13" s="24" t="s">
        <v>3261</v>
      </c>
      <c r="N13" s="24">
        <v>1</v>
      </c>
      <c r="O13" s="24" t="s">
        <v>3346</v>
      </c>
      <c r="P13" s="24" t="s">
        <v>375</v>
      </c>
    </row>
    <row r="14" spans="1:16">
      <c r="A14" s="172">
        <v>2231100000005</v>
      </c>
      <c r="B14" s="24" t="s">
        <v>3347</v>
      </c>
      <c r="C14" s="172">
        <v>2231000000004</v>
      </c>
      <c r="D14" s="24" t="s">
        <v>331</v>
      </c>
      <c r="E14" s="24" t="b">
        <v>1</v>
      </c>
    </row>
    <row r="15" spans="1:16">
      <c r="H15" s="24">
        <v>1</v>
      </c>
      <c r="I15" s="24" t="s">
        <v>3348</v>
      </c>
      <c r="J15" s="24" t="s">
        <v>3349</v>
      </c>
      <c r="K15" s="24" t="s">
        <v>3325</v>
      </c>
      <c r="L15" s="265" t="s">
        <v>3326</v>
      </c>
      <c r="M15" s="24" t="s">
        <v>3262</v>
      </c>
      <c r="N15" s="24">
        <v>1</v>
      </c>
      <c r="O15" s="24" t="s">
        <v>3350</v>
      </c>
      <c r="P15" s="24" t="s">
        <v>375</v>
      </c>
    </row>
    <row r="16" spans="1:16" s="327" customFormat="1">
      <c r="A16" s="328"/>
      <c r="C16" s="328"/>
    </row>
    <row r="17" spans="1:16">
      <c r="A17" s="172">
        <v>2231100000006</v>
      </c>
      <c r="B17" s="24" t="s">
        <v>3351</v>
      </c>
      <c r="C17" s="172">
        <v>2231000000005</v>
      </c>
      <c r="D17" s="24" t="s">
        <v>331</v>
      </c>
      <c r="E17" s="24" t="b">
        <v>1</v>
      </c>
    </row>
    <row r="18" spans="1:16">
      <c r="H18" s="24">
        <v>1</v>
      </c>
      <c r="I18" s="24" t="s">
        <v>3352</v>
      </c>
      <c r="J18" s="24" t="s">
        <v>3352</v>
      </c>
      <c r="K18" s="24" t="s">
        <v>3325</v>
      </c>
      <c r="L18" s="265" t="s">
        <v>3353</v>
      </c>
      <c r="M18" s="24" t="s">
        <v>3327</v>
      </c>
      <c r="N18" s="24">
        <v>2</v>
      </c>
      <c r="O18" s="24" t="s">
        <v>3354</v>
      </c>
      <c r="P18" s="24" t="s">
        <v>3355</v>
      </c>
    </row>
    <row r="19" spans="1:16">
      <c r="A19" s="172">
        <v>2231100000007</v>
      </c>
      <c r="B19" s="24" t="s">
        <v>3356</v>
      </c>
      <c r="C19" s="172">
        <v>2231000000005</v>
      </c>
      <c r="D19" s="24" t="s">
        <v>331</v>
      </c>
      <c r="E19" s="24" t="b">
        <v>1</v>
      </c>
    </row>
    <row r="20" spans="1:16">
      <c r="H20" s="24">
        <v>1</v>
      </c>
      <c r="I20" s="24" t="s">
        <v>3352</v>
      </c>
      <c r="J20" s="24" t="s">
        <v>3352</v>
      </c>
      <c r="K20" s="24" t="s">
        <v>3325</v>
      </c>
      <c r="L20" s="265" t="s">
        <v>3353</v>
      </c>
      <c r="M20" s="24" t="s">
        <v>3327</v>
      </c>
      <c r="N20" s="24">
        <v>3</v>
      </c>
      <c r="O20" s="24" t="s">
        <v>3357</v>
      </c>
      <c r="P20" s="24" t="s">
        <v>3355</v>
      </c>
    </row>
    <row r="21" spans="1:16">
      <c r="A21" s="172">
        <v>2231100000008</v>
      </c>
      <c r="B21" s="24" t="s">
        <v>3358</v>
      </c>
      <c r="C21" s="172">
        <v>2231000000005</v>
      </c>
      <c r="D21" s="24" t="s">
        <v>331</v>
      </c>
      <c r="E21" s="24" t="b">
        <v>1</v>
      </c>
    </row>
    <row r="22" spans="1:16">
      <c r="H22" s="24">
        <v>1</v>
      </c>
      <c r="I22" s="24" t="s">
        <v>3352</v>
      </c>
      <c r="J22" s="24" t="s">
        <v>3352</v>
      </c>
      <c r="K22" s="24" t="s">
        <v>3325</v>
      </c>
      <c r="L22" s="265" t="s">
        <v>3353</v>
      </c>
      <c r="M22" s="24" t="s">
        <v>3327</v>
      </c>
      <c r="N22" s="24">
        <v>4</v>
      </c>
      <c r="O22" s="24" t="s">
        <v>3359</v>
      </c>
      <c r="P22" s="24" t="s">
        <v>3355</v>
      </c>
    </row>
    <row r="23" spans="1:16">
      <c r="A23" s="172">
        <v>2231100000009</v>
      </c>
      <c r="B23" s="24" t="s">
        <v>3360</v>
      </c>
      <c r="C23" s="172">
        <v>2231000000005</v>
      </c>
      <c r="D23" s="24" t="s">
        <v>331</v>
      </c>
      <c r="E23" s="24" t="b">
        <v>1</v>
      </c>
    </row>
    <row r="24" spans="1:16">
      <c r="H24" s="24">
        <v>1</v>
      </c>
      <c r="I24" s="24" t="s">
        <v>3352</v>
      </c>
      <c r="J24" s="24" t="s">
        <v>3352</v>
      </c>
      <c r="K24" s="24" t="s">
        <v>3325</v>
      </c>
      <c r="L24" s="265" t="s">
        <v>3353</v>
      </c>
      <c r="M24" s="24" t="s">
        <v>3327</v>
      </c>
      <c r="N24" s="24">
        <v>5</v>
      </c>
      <c r="O24" s="24" t="s">
        <v>3361</v>
      </c>
      <c r="P24" s="24" t="s">
        <v>3355</v>
      </c>
    </row>
    <row r="25" spans="1:16">
      <c r="A25" s="172">
        <v>2231100000010</v>
      </c>
      <c r="B25" s="24" t="s">
        <v>3362</v>
      </c>
      <c r="C25" s="172">
        <v>2231000000005</v>
      </c>
      <c r="D25" s="24" t="s">
        <v>331</v>
      </c>
      <c r="E25" s="24" t="b">
        <v>1</v>
      </c>
    </row>
    <row r="26" spans="1:16">
      <c r="H26" s="24">
        <v>1</v>
      </c>
      <c r="I26" s="24" t="s">
        <v>3363</v>
      </c>
      <c r="J26" s="24" t="s">
        <v>3363</v>
      </c>
      <c r="K26" s="24" t="s">
        <v>3325</v>
      </c>
      <c r="L26" s="265" t="s">
        <v>3353</v>
      </c>
      <c r="M26" s="24" t="s">
        <v>3332</v>
      </c>
      <c r="N26" s="24">
        <v>1</v>
      </c>
      <c r="O26" s="24" t="s">
        <v>3364</v>
      </c>
      <c r="P26" s="24" t="s">
        <v>3355</v>
      </c>
    </row>
    <row r="27" spans="1:16" s="327" customFormat="1">
      <c r="A27" s="328"/>
      <c r="C27" s="328"/>
    </row>
    <row r="28" spans="1:16">
      <c r="A28" s="172">
        <v>2231100000011</v>
      </c>
      <c r="B28" s="24" t="s">
        <v>3365</v>
      </c>
      <c r="C28" s="172">
        <v>2231000000006</v>
      </c>
      <c r="D28" s="24" t="s">
        <v>331</v>
      </c>
      <c r="E28" s="24" t="b">
        <v>1</v>
      </c>
    </row>
    <row r="29" spans="1:16" ht="27">
      <c r="H29" s="24">
        <v>1</v>
      </c>
      <c r="I29" s="24" t="s">
        <v>3366</v>
      </c>
      <c r="J29" s="24" t="s">
        <v>3366</v>
      </c>
      <c r="K29" s="24" t="s">
        <v>3325</v>
      </c>
      <c r="L29" s="24" t="s">
        <v>377</v>
      </c>
      <c r="M29" s="110" t="s">
        <v>3367</v>
      </c>
      <c r="N29" s="24">
        <v>1</v>
      </c>
      <c r="O29" s="24" t="s">
        <v>3368</v>
      </c>
      <c r="P29" s="24" t="s">
        <v>3188</v>
      </c>
    </row>
    <row r="30" spans="1:16">
      <c r="A30" s="172">
        <v>2231100000012</v>
      </c>
      <c r="B30" s="24" t="s">
        <v>3369</v>
      </c>
      <c r="C30" s="172">
        <v>2231000000006</v>
      </c>
      <c r="D30" s="24" t="s">
        <v>331</v>
      </c>
      <c r="E30" s="24" t="b">
        <v>1</v>
      </c>
    </row>
    <row r="31" spans="1:16" ht="27">
      <c r="H31" s="24">
        <v>1</v>
      </c>
      <c r="I31" s="24" t="s">
        <v>3176</v>
      </c>
      <c r="J31" s="24" t="s">
        <v>3176</v>
      </c>
      <c r="K31" s="24" t="s">
        <v>3325</v>
      </c>
      <c r="L31" s="24" t="s">
        <v>377</v>
      </c>
      <c r="M31" s="110" t="s">
        <v>3370</v>
      </c>
      <c r="N31" s="24">
        <v>1</v>
      </c>
      <c r="O31" s="24" t="s">
        <v>3371</v>
      </c>
      <c r="P31" s="24" t="s">
        <v>3188</v>
      </c>
    </row>
    <row r="32" spans="1:16">
      <c r="A32" s="172">
        <v>2231100000013</v>
      </c>
      <c r="B32" s="24" t="s">
        <v>3372</v>
      </c>
      <c r="C32" s="172">
        <v>2231000000006</v>
      </c>
      <c r="D32" s="24" t="s">
        <v>331</v>
      </c>
      <c r="E32" s="24" t="b">
        <v>1</v>
      </c>
    </row>
    <row r="33" spans="1:16" ht="27">
      <c r="H33" s="24">
        <v>1</v>
      </c>
      <c r="I33" s="24" t="s">
        <v>3177</v>
      </c>
      <c r="J33" s="24" t="s">
        <v>3177</v>
      </c>
      <c r="K33" s="24" t="s">
        <v>3325</v>
      </c>
      <c r="L33" s="24" t="s">
        <v>377</v>
      </c>
      <c r="M33" s="110" t="s">
        <v>3173</v>
      </c>
      <c r="N33" s="24">
        <v>1</v>
      </c>
      <c r="O33" s="24" t="s">
        <v>3097</v>
      </c>
      <c r="P33" s="24" t="s">
        <v>3188</v>
      </c>
    </row>
    <row r="34" spans="1:16">
      <c r="A34" s="172">
        <v>2231100000014</v>
      </c>
      <c r="B34" s="24" t="s">
        <v>3373</v>
      </c>
      <c r="C34" s="172">
        <v>2231000000006</v>
      </c>
      <c r="D34" s="24" t="s">
        <v>331</v>
      </c>
      <c r="E34" s="24" t="b">
        <v>1</v>
      </c>
    </row>
    <row r="35" spans="1:16" ht="27">
      <c r="H35" s="24">
        <v>1</v>
      </c>
      <c r="I35" s="24" t="s">
        <v>3178</v>
      </c>
      <c r="J35" s="24" t="s">
        <v>3178</v>
      </c>
      <c r="K35" s="24" t="s">
        <v>3095</v>
      </c>
      <c r="L35" s="24" t="s">
        <v>377</v>
      </c>
      <c r="M35" s="110" t="s">
        <v>3374</v>
      </c>
      <c r="N35" s="24">
        <v>1</v>
      </c>
      <c r="O35" s="24" t="s">
        <v>3375</v>
      </c>
      <c r="P35" s="24" t="s">
        <v>3188</v>
      </c>
    </row>
    <row r="36" spans="1:16">
      <c r="A36" s="172">
        <v>2231100000015</v>
      </c>
      <c r="B36" s="24" t="s">
        <v>3376</v>
      </c>
      <c r="C36" s="172">
        <v>2231000000006</v>
      </c>
      <c r="D36" s="24" t="s">
        <v>331</v>
      </c>
      <c r="E36" s="24" t="b">
        <v>1</v>
      </c>
    </row>
    <row r="37" spans="1:16" ht="27">
      <c r="H37" s="24">
        <v>1</v>
      </c>
      <c r="I37" s="24" t="s">
        <v>3179</v>
      </c>
      <c r="J37" s="24" t="s">
        <v>3179</v>
      </c>
      <c r="K37" s="24" t="s">
        <v>3095</v>
      </c>
      <c r="L37" s="24" t="s">
        <v>377</v>
      </c>
      <c r="M37" s="110" t="s">
        <v>3377</v>
      </c>
      <c r="N37" s="24">
        <v>1</v>
      </c>
      <c r="O37" s="24" t="s">
        <v>3378</v>
      </c>
      <c r="P37" s="24" t="s">
        <v>3188</v>
      </c>
    </row>
    <row r="38" spans="1:16">
      <c r="A38" s="172">
        <v>2231100000016</v>
      </c>
      <c r="B38" s="24" t="s">
        <v>3379</v>
      </c>
      <c r="C38" s="172">
        <v>2231000000006</v>
      </c>
      <c r="D38" s="24" t="s">
        <v>331</v>
      </c>
      <c r="E38" s="24" t="b">
        <v>1</v>
      </c>
    </row>
    <row r="39" spans="1:16" ht="27">
      <c r="H39" s="24">
        <v>1</v>
      </c>
      <c r="I39" s="24" t="s">
        <v>3180</v>
      </c>
      <c r="J39" s="24" t="s">
        <v>3180</v>
      </c>
      <c r="K39" s="24" t="s">
        <v>3095</v>
      </c>
      <c r="L39" s="24" t="s">
        <v>377</v>
      </c>
      <c r="M39" s="110" t="s">
        <v>3380</v>
      </c>
      <c r="N39" s="24">
        <v>1</v>
      </c>
      <c r="O39" s="24" t="s">
        <v>3381</v>
      </c>
      <c r="P39" s="24" t="s">
        <v>3188</v>
      </c>
    </row>
    <row r="40" spans="1:16">
      <c r="A40" s="172">
        <v>2231100000017</v>
      </c>
      <c r="B40" s="24" t="s">
        <v>3382</v>
      </c>
      <c r="C40" s="172">
        <v>2231000000007</v>
      </c>
      <c r="D40" s="24" t="s">
        <v>331</v>
      </c>
      <c r="E40" s="24" t="b">
        <v>1</v>
      </c>
    </row>
    <row r="41" spans="1:16" ht="27">
      <c r="H41" s="24">
        <v>1</v>
      </c>
      <c r="I41" s="24" t="s">
        <v>3181</v>
      </c>
      <c r="J41" s="24" t="s">
        <v>3181</v>
      </c>
      <c r="K41" s="24" t="s">
        <v>3383</v>
      </c>
      <c r="L41" s="24" t="s">
        <v>377</v>
      </c>
      <c r="M41" s="110" t="s">
        <v>3384</v>
      </c>
      <c r="N41" s="24">
        <v>1</v>
      </c>
      <c r="O41" s="24" t="s">
        <v>3385</v>
      </c>
      <c r="P41" s="24" t="s">
        <v>3188</v>
      </c>
    </row>
    <row r="42" spans="1:16">
      <c r="A42" s="172">
        <v>2231100000018</v>
      </c>
      <c r="B42" s="24" t="s">
        <v>3386</v>
      </c>
      <c r="C42" s="172">
        <v>2231000000007</v>
      </c>
      <c r="D42" s="24" t="s">
        <v>331</v>
      </c>
      <c r="E42" s="24" t="b">
        <v>1</v>
      </c>
    </row>
    <row r="43" spans="1:16" ht="27">
      <c r="H43" s="24">
        <v>1</v>
      </c>
      <c r="I43" s="24" t="s">
        <v>3182</v>
      </c>
      <c r="J43" s="24" t="s">
        <v>3182</v>
      </c>
      <c r="K43" s="24" t="s">
        <v>3383</v>
      </c>
      <c r="L43" s="24" t="s">
        <v>377</v>
      </c>
      <c r="M43" s="110" t="s">
        <v>3387</v>
      </c>
      <c r="N43" s="24">
        <v>1</v>
      </c>
      <c r="O43" s="24" t="s">
        <v>3388</v>
      </c>
      <c r="P43" s="24" t="s">
        <v>3188</v>
      </c>
    </row>
    <row r="44" spans="1:16">
      <c r="A44" s="172">
        <v>2231100000019</v>
      </c>
      <c r="B44" s="24" t="s">
        <v>3389</v>
      </c>
      <c r="C44" s="172">
        <v>2231000000007</v>
      </c>
      <c r="D44" s="24" t="s">
        <v>331</v>
      </c>
      <c r="E44" s="24" t="b">
        <v>1</v>
      </c>
    </row>
    <row r="45" spans="1:16" ht="27">
      <c r="H45" s="24">
        <v>1</v>
      </c>
      <c r="I45" s="24" t="s">
        <v>3183</v>
      </c>
      <c r="J45" s="24" t="s">
        <v>3183</v>
      </c>
      <c r="K45" s="24" t="s">
        <v>3325</v>
      </c>
      <c r="L45" s="24" t="s">
        <v>377</v>
      </c>
      <c r="M45" s="110" t="s">
        <v>3174</v>
      </c>
      <c r="N45" s="24">
        <v>1</v>
      </c>
      <c r="O45" s="24" t="s">
        <v>3385</v>
      </c>
      <c r="P45" s="24" t="s">
        <v>3188</v>
      </c>
    </row>
    <row r="46" spans="1:16">
      <c r="A46" s="172">
        <v>2231100000020</v>
      </c>
      <c r="B46" s="24" t="s">
        <v>3390</v>
      </c>
      <c r="C46" s="172">
        <v>2231000000007</v>
      </c>
      <c r="D46" s="24" t="s">
        <v>331</v>
      </c>
      <c r="E46" s="24" t="b">
        <v>1</v>
      </c>
    </row>
    <row r="47" spans="1:16" ht="27">
      <c r="H47" s="24">
        <v>1</v>
      </c>
      <c r="I47" s="24" t="s">
        <v>3184</v>
      </c>
      <c r="J47" s="24" t="s">
        <v>3184</v>
      </c>
      <c r="K47" s="24" t="s">
        <v>3383</v>
      </c>
      <c r="L47" s="24" t="s">
        <v>377</v>
      </c>
      <c r="M47" s="110" t="s">
        <v>3175</v>
      </c>
      <c r="N47" s="24">
        <v>1</v>
      </c>
      <c r="O47" s="24" t="s">
        <v>3385</v>
      </c>
      <c r="P47" s="24" t="s">
        <v>3188</v>
      </c>
    </row>
    <row r="48" spans="1:16">
      <c r="A48" s="172">
        <v>2231100000021</v>
      </c>
      <c r="B48" s="24" t="s">
        <v>3187</v>
      </c>
      <c r="C48" s="172">
        <v>2231000000007</v>
      </c>
      <c r="D48" s="24" t="s">
        <v>331</v>
      </c>
      <c r="E48" s="24" t="b">
        <v>1</v>
      </c>
    </row>
    <row r="49" spans="1:16" ht="27">
      <c r="H49" s="24">
        <v>1</v>
      </c>
      <c r="I49" s="24" t="s">
        <v>3185</v>
      </c>
      <c r="J49" s="24" t="s">
        <v>3185</v>
      </c>
      <c r="K49" s="24" t="s">
        <v>3325</v>
      </c>
      <c r="L49" s="24" t="s">
        <v>377</v>
      </c>
      <c r="M49" s="110" t="s">
        <v>3391</v>
      </c>
      <c r="N49" s="24">
        <v>1</v>
      </c>
      <c r="O49" s="24" t="s">
        <v>3385</v>
      </c>
      <c r="P49" s="24" t="s">
        <v>3188</v>
      </c>
    </row>
    <row r="50" spans="1:16" s="327" customFormat="1">
      <c r="A50" s="328"/>
      <c r="C50" s="328"/>
    </row>
    <row r="51" spans="1:16">
      <c r="A51" s="172">
        <v>2231100000022</v>
      </c>
      <c r="B51" s="24" t="s">
        <v>3392</v>
      </c>
      <c r="C51" s="172">
        <v>2231000000008</v>
      </c>
      <c r="D51" s="24" t="s">
        <v>331</v>
      </c>
      <c r="E51" s="24" t="b">
        <v>1</v>
      </c>
    </row>
    <row r="52" spans="1:16" ht="27">
      <c r="H52" s="24">
        <v>1</v>
      </c>
      <c r="I52" s="24" t="s">
        <v>3393</v>
      </c>
      <c r="J52" s="24" t="s">
        <v>3393</v>
      </c>
      <c r="K52" s="24" t="s">
        <v>3383</v>
      </c>
      <c r="L52" s="24" t="s">
        <v>377</v>
      </c>
      <c r="M52" s="110" t="s">
        <v>3394</v>
      </c>
      <c r="N52" s="24">
        <v>1</v>
      </c>
      <c r="O52" s="24" t="s">
        <v>3368</v>
      </c>
      <c r="P52" s="24" t="s">
        <v>3396</v>
      </c>
    </row>
    <row r="53" spans="1:16">
      <c r="A53" s="172">
        <v>2231100000023</v>
      </c>
      <c r="B53" s="24" t="s">
        <v>3397</v>
      </c>
      <c r="C53" s="172">
        <v>2231000000008</v>
      </c>
      <c r="D53" s="24" t="s">
        <v>331</v>
      </c>
      <c r="E53" s="24" t="b">
        <v>1</v>
      </c>
    </row>
    <row r="54" spans="1:16" ht="27">
      <c r="H54" s="24">
        <v>1</v>
      </c>
      <c r="I54" s="24" t="s">
        <v>3398</v>
      </c>
      <c r="J54" s="24" t="s">
        <v>3398</v>
      </c>
      <c r="K54" s="24" t="s">
        <v>3095</v>
      </c>
      <c r="L54" s="24" t="s">
        <v>377</v>
      </c>
      <c r="M54" s="110" t="s">
        <v>3399</v>
      </c>
      <c r="N54" s="24">
        <v>1</v>
      </c>
      <c r="O54" s="24" t="s">
        <v>3371</v>
      </c>
      <c r="P54" s="24" t="s">
        <v>3400</v>
      </c>
    </row>
    <row r="55" spans="1:16">
      <c r="A55" s="172">
        <v>2231100000024</v>
      </c>
      <c r="B55" s="24" t="s">
        <v>3401</v>
      </c>
      <c r="C55" s="172">
        <v>2231000000008</v>
      </c>
      <c r="D55" s="24" t="s">
        <v>331</v>
      </c>
      <c r="E55" s="24" t="b">
        <v>1</v>
      </c>
    </row>
    <row r="56" spans="1:16" ht="27">
      <c r="H56" s="24">
        <v>1</v>
      </c>
      <c r="I56" s="24" t="s">
        <v>3402</v>
      </c>
      <c r="J56" s="24" t="s">
        <v>3402</v>
      </c>
      <c r="K56" s="24" t="s">
        <v>3095</v>
      </c>
      <c r="L56" s="24" t="s">
        <v>377</v>
      </c>
      <c r="M56" s="110" t="s">
        <v>3403</v>
      </c>
      <c r="N56" s="24">
        <v>1</v>
      </c>
      <c r="O56" s="24" t="s">
        <v>3097</v>
      </c>
      <c r="P56" s="24" t="s">
        <v>3400</v>
      </c>
    </row>
    <row r="57" spans="1:16">
      <c r="A57" s="172">
        <v>2231100000025</v>
      </c>
      <c r="B57" s="24" t="s">
        <v>3404</v>
      </c>
      <c r="C57" s="172">
        <v>2231000000008</v>
      </c>
      <c r="D57" s="24" t="s">
        <v>331</v>
      </c>
      <c r="E57" s="24" t="b">
        <v>1</v>
      </c>
    </row>
    <row r="58" spans="1:16" ht="27">
      <c r="H58" s="24">
        <v>1</v>
      </c>
      <c r="I58" s="24" t="s">
        <v>3405</v>
      </c>
      <c r="J58" s="24" t="s">
        <v>3405</v>
      </c>
      <c r="K58" s="24" t="s">
        <v>3383</v>
      </c>
      <c r="L58" s="24" t="s">
        <v>377</v>
      </c>
      <c r="M58" s="110" t="s">
        <v>3406</v>
      </c>
      <c r="N58" s="24">
        <v>1</v>
      </c>
      <c r="O58" s="24" t="s">
        <v>3407</v>
      </c>
      <c r="P58" s="24" t="s">
        <v>3400</v>
      </c>
    </row>
    <row r="59" spans="1:16">
      <c r="A59" s="172">
        <v>2231100000026</v>
      </c>
      <c r="B59" s="24" t="s">
        <v>3408</v>
      </c>
      <c r="C59" s="172">
        <v>2231000000008</v>
      </c>
      <c r="D59" s="24" t="s">
        <v>331</v>
      </c>
      <c r="E59" s="24" t="b">
        <v>1</v>
      </c>
    </row>
    <row r="60" spans="1:16" ht="27">
      <c r="H60" s="24">
        <v>1</v>
      </c>
      <c r="I60" s="24" t="s">
        <v>3409</v>
      </c>
      <c r="J60" s="24" t="s">
        <v>3409</v>
      </c>
      <c r="K60" s="24" t="s">
        <v>3410</v>
      </c>
      <c r="L60" s="24" t="s">
        <v>377</v>
      </c>
      <c r="M60" s="110" t="s">
        <v>3411</v>
      </c>
      <c r="N60" s="24">
        <v>1</v>
      </c>
      <c r="O60" s="24" t="s">
        <v>3378</v>
      </c>
      <c r="P60" s="24" t="s">
        <v>3395</v>
      </c>
    </row>
    <row r="61" spans="1:16">
      <c r="A61" s="172">
        <v>2231100000027</v>
      </c>
      <c r="B61" s="24" t="s">
        <v>3412</v>
      </c>
      <c r="C61" s="172">
        <v>2231000000008</v>
      </c>
      <c r="D61" s="24" t="s">
        <v>331</v>
      </c>
      <c r="E61" s="24" t="b">
        <v>1</v>
      </c>
    </row>
    <row r="62" spans="1:16" ht="27">
      <c r="H62" s="24">
        <v>1</v>
      </c>
      <c r="I62" s="24" t="s">
        <v>3413</v>
      </c>
      <c r="J62" s="24" t="s">
        <v>3413</v>
      </c>
      <c r="K62" s="24" t="s">
        <v>3095</v>
      </c>
      <c r="L62" s="24" t="s">
        <v>377</v>
      </c>
      <c r="M62" s="110" t="s">
        <v>3414</v>
      </c>
      <c r="N62" s="24">
        <v>1</v>
      </c>
      <c r="O62" s="24" t="s">
        <v>3154</v>
      </c>
      <c r="P62" s="24" t="s">
        <v>3400</v>
      </c>
    </row>
    <row r="63" spans="1:16">
      <c r="A63" s="172">
        <v>2231100000028</v>
      </c>
      <c r="B63" s="24" t="s">
        <v>3415</v>
      </c>
      <c r="C63" s="172">
        <v>2231000000009</v>
      </c>
      <c r="D63" s="24" t="s">
        <v>331</v>
      </c>
      <c r="E63" s="24" t="b">
        <v>1</v>
      </c>
    </row>
    <row r="64" spans="1:16" ht="27">
      <c r="H64" s="24">
        <v>1</v>
      </c>
      <c r="I64" s="24" t="s">
        <v>3416</v>
      </c>
      <c r="J64" s="24" t="s">
        <v>3416</v>
      </c>
      <c r="K64" s="24" t="s">
        <v>3383</v>
      </c>
      <c r="L64" s="24" t="s">
        <v>377</v>
      </c>
      <c r="M64" s="110" t="s">
        <v>3417</v>
      </c>
      <c r="N64" s="24">
        <v>1</v>
      </c>
      <c r="O64" s="24" t="s">
        <v>2955</v>
      </c>
      <c r="P64" s="24" t="s">
        <v>3396</v>
      </c>
    </row>
    <row r="65" spans="1:16">
      <c r="A65" s="172">
        <v>2231100000029</v>
      </c>
      <c r="B65" s="24" t="s">
        <v>3418</v>
      </c>
      <c r="C65" s="172">
        <v>2231000000009</v>
      </c>
      <c r="D65" s="24" t="s">
        <v>331</v>
      </c>
      <c r="E65" s="24" t="b">
        <v>1</v>
      </c>
    </row>
    <row r="66" spans="1:16" ht="27">
      <c r="H66" s="24">
        <v>1</v>
      </c>
      <c r="I66" s="24" t="s">
        <v>3419</v>
      </c>
      <c r="J66" s="24" t="s">
        <v>3419</v>
      </c>
      <c r="K66" s="24" t="s">
        <v>3383</v>
      </c>
      <c r="L66" s="24" t="s">
        <v>377</v>
      </c>
      <c r="M66" s="110" t="s">
        <v>3420</v>
      </c>
      <c r="N66" s="24">
        <v>1</v>
      </c>
      <c r="O66" s="24" t="s">
        <v>3385</v>
      </c>
      <c r="P66" s="24" t="s">
        <v>3400</v>
      </c>
    </row>
    <row r="67" spans="1:16">
      <c r="A67" s="172">
        <v>2231100000030</v>
      </c>
      <c r="B67" s="24" t="s">
        <v>3421</v>
      </c>
      <c r="C67" s="172">
        <v>2231000000009</v>
      </c>
      <c r="D67" s="24" t="s">
        <v>331</v>
      </c>
      <c r="E67" s="24" t="b">
        <v>1</v>
      </c>
    </row>
    <row r="68" spans="1:16" ht="27">
      <c r="H68" s="24">
        <v>1</v>
      </c>
      <c r="I68" s="24" t="s">
        <v>3422</v>
      </c>
      <c r="J68" s="24" t="s">
        <v>3422</v>
      </c>
      <c r="K68" s="24" t="s">
        <v>3095</v>
      </c>
      <c r="L68" s="24" t="s">
        <v>377</v>
      </c>
      <c r="M68" s="110" t="s">
        <v>3423</v>
      </c>
      <c r="N68" s="24">
        <v>1</v>
      </c>
      <c r="O68" s="24" t="s">
        <v>3385</v>
      </c>
      <c r="P68" s="24" t="s">
        <v>3400</v>
      </c>
    </row>
    <row r="69" spans="1:16">
      <c r="A69" s="172">
        <v>2231100000031</v>
      </c>
      <c r="B69" s="24" t="s">
        <v>3424</v>
      </c>
      <c r="C69" s="172">
        <v>2231000000009</v>
      </c>
      <c r="D69" s="24" t="s">
        <v>331</v>
      </c>
      <c r="E69" s="24" t="b">
        <v>1</v>
      </c>
    </row>
    <row r="70" spans="1:16" ht="27">
      <c r="H70" s="24">
        <v>1</v>
      </c>
      <c r="I70" s="24" t="s">
        <v>3425</v>
      </c>
      <c r="J70" s="24" t="s">
        <v>3425</v>
      </c>
      <c r="K70" s="24" t="s">
        <v>3383</v>
      </c>
      <c r="L70" s="24" t="s">
        <v>377</v>
      </c>
      <c r="M70" s="110" t="s">
        <v>3426</v>
      </c>
      <c r="N70" s="24">
        <v>1</v>
      </c>
      <c r="O70" s="24" t="s">
        <v>3385</v>
      </c>
      <c r="P70" s="24" t="s">
        <v>3400</v>
      </c>
    </row>
    <row r="71" spans="1:16">
      <c r="A71" s="172">
        <v>2231100000032</v>
      </c>
      <c r="B71" s="24" t="s">
        <v>3427</v>
      </c>
      <c r="C71" s="172">
        <v>2231000000009</v>
      </c>
      <c r="D71" s="24" t="s">
        <v>331</v>
      </c>
      <c r="E71" s="24" t="b">
        <v>1</v>
      </c>
    </row>
    <row r="72" spans="1:16" ht="27">
      <c r="H72" s="24">
        <v>1</v>
      </c>
      <c r="I72" s="24" t="s">
        <v>3428</v>
      </c>
      <c r="J72" s="24" t="s">
        <v>3428</v>
      </c>
      <c r="K72" s="24" t="s">
        <v>3383</v>
      </c>
      <c r="L72" s="24" t="s">
        <v>377</v>
      </c>
      <c r="M72" s="110" t="s">
        <v>3429</v>
      </c>
      <c r="N72" s="24">
        <v>1</v>
      </c>
      <c r="O72" s="24" t="s">
        <v>3385</v>
      </c>
      <c r="P72" s="24" t="s">
        <v>3395</v>
      </c>
    </row>
    <row r="73" spans="1:16" s="327" customFormat="1">
      <c r="A73" s="329" t="s">
        <v>3608</v>
      </c>
      <c r="C73" s="328"/>
    </row>
    <row r="74" spans="1:16">
      <c r="A74" s="172">
        <v>2231100000033</v>
      </c>
      <c r="B74" s="24" t="s">
        <v>3690</v>
      </c>
      <c r="C74" s="172">
        <v>2200000000032</v>
      </c>
      <c r="D74" s="24" t="s">
        <v>331</v>
      </c>
      <c r="E74" s="24" t="b">
        <v>1</v>
      </c>
    </row>
    <row r="75" spans="1:16">
      <c r="H75" s="24">
        <v>1</v>
      </c>
      <c r="I75" s="24" t="s">
        <v>3691</v>
      </c>
      <c r="J75" s="24" t="s">
        <v>3692</v>
      </c>
      <c r="K75" s="24" t="s">
        <v>677</v>
      </c>
      <c r="L75" s="24" t="s">
        <v>551</v>
      </c>
      <c r="M75" s="110"/>
      <c r="N75" s="24">
        <v>1</v>
      </c>
      <c r="O75" s="24" t="s">
        <v>3693</v>
      </c>
    </row>
    <row r="76" spans="1:16">
      <c r="H76" s="24">
        <v>2</v>
      </c>
      <c r="I76" s="24" t="s">
        <v>3691</v>
      </c>
      <c r="J76" s="24" t="s">
        <v>3694</v>
      </c>
      <c r="K76" s="24" t="s">
        <v>677</v>
      </c>
      <c r="L76" s="24" t="s">
        <v>551</v>
      </c>
      <c r="N76" s="24">
        <v>2</v>
      </c>
      <c r="O76" s="24" t="s">
        <v>3693</v>
      </c>
    </row>
    <row r="77" spans="1:16">
      <c r="H77" s="24">
        <v>3</v>
      </c>
      <c r="I77" s="24" t="s">
        <v>3691</v>
      </c>
      <c r="J77" s="24" t="s">
        <v>3695</v>
      </c>
      <c r="K77" s="24" t="s">
        <v>677</v>
      </c>
      <c r="L77" s="24" t="s">
        <v>551</v>
      </c>
      <c r="M77" s="110"/>
      <c r="N77" s="24">
        <v>3</v>
      </c>
      <c r="O77" s="24" t="s">
        <v>3693</v>
      </c>
    </row>
    <row r="78" spans="1:16">
      <c r="H78" s="24">
        <v>4</v>
      </c>
      <c r="I78" s="24" t="s">
        <v>3691</v>
      </c>
      <c r="J78" s="24" t="s">
        <v>3696</v>
      </c>
      <c r="K78" s="24" t="s">
        <v>677</v>
      </c>
      <c r="L78" s="24" t="s">
        <v>551</v>
      </c>
      <c r="N78" s="24">
        <v>4</v>
      </c>
      <c r="O78" s="24" t="s">
        <v>3693</v>
      </c>
    </row>
    <row r="79" spans="1:16">
      <c r="H79" s="24">
        <v>5</v>
      </c>
      <c r="I79" s="24" t="s">
        <v>3691</v>
      </c>
      <c r="J79" s="24" t="s">
        <v>3697</v>
      </c>
      <c r="K79" s="24" t="s">
        <v>677</v>
      </c>
      <c r="L79" s="24" t="s">
        <v>551</v>
      </c>
      <c r="M79" s="110"/>
      <c r="N79" s="24">
        <v>5</v>
      </c>
      <c r="O79" s="24" t="s">
        <v>3693</v>
      </c>
      <c r="P79" s="325"/>
    </row>
    <row r="80" spans="1:16">
      <c r="H80" s="24">
        <v>6</v>
      </c>
      <c r="I80" s="24" t="s">
        <v>3691</v>
      </c>
      <c r="J80" s="24" t="s">
        <v>3698</v>
      </c>
      <c r="K80" s="24" t="s">
        <v>677</v>
      </c>
      <c r="L80" s="24" t="s">
        <v>551</v>
      </c>
      <c r="M80" s="110"/>
      <c r="N80" s="24">
        <v>6</v>
      </c>
      <c r="O80" s="24" t="s">
        <v>3693</v>
      </c>
      <c r="P80" s="325"/>
    </row>
    <row r="81" spans="1:16">
      <c r="H81" s="24">
        <v>7</v>
      </c>
      <c r="I81" s="24" t="s">
        <v>3691</v>
      </c>
      <c r="J81" s="24" t="s">
        <v>3699</v>
      </c>
      <c r="K81" s="24" t="s">
        <v>677</v>
      </c>
      <c r="L81" s="24" t="s">
        <v>551</v>
      </c>
      <c r="M81" s="110"/>
      <c r="N81" s="24">
        <v>7</v>
      </c>
      <c r="O81" s="24" t="s">
        <v>3693</v>
      </c>
      <c r="P81" s="325"/>
    </row>
    <row r="82" spans="1:16">
      <c r="A82" s="172">
        <v>2231100000034</v>
      </c>
      <c r="B82" s="24" t="s">
        <v>3700</v>
      </c>
      <c r="C82" s="172">
        <v>2200000000032</v>
      </c>
      <c r="D82" s="24" t="s">
        <v>331</v>
      </c>
      <c r="E82" s="24" t="b">
        <v>1</v>
      </c>
      <c r="M82" s="110"/>
      <c r="P82" s="325"/>
    </row>
    <row r="83" spans="1:16">
      <c r="H83" s="24">
        <v>1</v>
      </c>
      <c r="I83" s="24" t="s">
        <v>3701</v>
      </c>
      <c r="J83" s="24" t="s">
        <v>3702</v>
      </c>
      <c r="K83" s="24" t="s">
        <v>677</v>
      </c>
      <c r="L83" s="24" t="s">
        <v>1322</v>
      </c>
      <c r="M83" s="110"/>
      <c r="N83" s="24">
        <v>2</v>
      </c>
      <c r="O83" s="24" t="s">
        <v>3693</v>
      </c>
      <c r="P83" s="325" t="s">
        <v>1458</v>
      </c>
    </row>
    <row r="84" spans="1:16">
      <c r="H84" s="24">
        <v>2</v>
      </c>
      <c r="I84" s="24" t="s">
        <v>3701</v>
      </c>
      <c r="J84" s="24" t="s">
        <v>3703</v>
      </c>
      <c r="K84" s="24" t="s">
        <v>677</v>
      </c>
      <c r="L84" s="24" t="s">
        <v>1322</v>
      </c>
      <c r="N84" s="24">
        <v>4</v>
      </c>
      <c r="O84" s="24" t="s">
        <v>3693</v>
      </c>
      <c r="P84" s="24" t="s">
        <v>1458</v>
      </c>
    </row>
    <row r="85" spans="1:16">
      <c r="H85" s="24">
        <v>3</v>
      </c>
      <c r="I85" s="24" t="s">
        <v>3701</v>
      </c>
      <c r="J85" s="24" t="s">
        <v>3704</v>
      </c>
      <c r="K85" s="24" t="s">
        <v>677</v>
      </c>
      <c r="L85" s="24" t="s">
        <v>1322</v>
      </c>
      <c r="M85" s="110"/>
      <c r="N85" s="24">
        <v>8</v>
      </c>
      <c r="O85" s="24" t="s">
        <v>3693</v>
      </c>
      <c r="P85" s="326" t="s">
        <v>1458</v>
      </c>
    </row>
    <row r="86" spans="1:16">
      <c r="H86" s="24">
        <v>4</v>
      </c>
      <c r="I86" s="24" t="s">
        <v>3701</v>
      </c>
      <c r="J86" s="24" t="s">
        <v>3705</v>
      </c>
      <c r="K86" s="24" t="s">
        <v>677</v>
      </c>
      <c r="L86" s="24" t="s">
        <v>1322</v>
      </c>
      <c r="M86" s="110"/>
      <c r="N86" s="24">
        <v>12</v>
      </c>
      <c r="O86" s="24" t="s">
        <v>3706</v>
      </c>
      <c r="P86" s="326" t="s">
        <v>1458</v>
      </c>
    </row>
    <row r="87" spans="1:16">
      <c r="H87" s="24">
        <v>5</v>
      </c>
      <c r="I87" s="24" t="s">
        <v>3701</v>
      </c>
      <c r="J87" s="24" t="s">
        <v>3707</v>
      </c>
      <c r="K87" s="24" t="s">
        <v>677</v>
      </c>
      <c r="L87" s="24" t="s">
        <v>1322</v>
      </c>
      <c r="M87" s="110"/>
      <c r="N87" s="24">
        <v>20</v>
      </c>
      <c r="O87" s="24" t="s">
        <v>3708</v>
      </c>
      <c r="P87" s="326" t="s">
        <v>1458</v>
      </c>
    </row>
    <row r="88" spans="1:16">
      <c r="A88" s="172">
        <v>2231100000035</v>
      </c>
      <c r="B88" s="24" t="s">
        <v>3709</v>
      </c>
      <c r="C88" s="172">
        <v>2200000000032</v>
      </c>
      <c r="D88" s="24" t="s">
        <v>331</v>
      </c>
      <c r="E88" s="24" t="b">
        <v>1</v>
      </c>
      <c r="M88" s="110"/>
      <c r="P88" s="326"/>
    </row>
    <row r="89" spans="1:16">
      <c r="H89" s="24">
        <v>1</v>
      </c>
      <c r="I89" s="24" t="s">
        <v>3710</v>
      </c>
      <c r="J89" s="24" t="s">
        <v>3711</v>
      </c>
      <c r="K89" s="24" t="s">
        <v>677</v>
      </c>
      <c r="L89" s="24" t="s">
        <v>349</v>
      </c>
      <c r="M89" s="110" t="s">
        <v>350</v>
      </c>
      <c r="N89" s="24">
        <v>5</v>
      </c>
      <c r="O89" s="24" t="s">
        <v>3693</v>
      </c>
      <c r="P89" s="326" t="s">
        <v>351</v>
      </c>
    </row>
    <row r="90" spans="1:16">
      <c r="H90" s="24">
        <v>2</v>
      </c>
      <c r="I90" s="24" t="s">
        <v>3710</v>
      </c>
      <c r="J90" s="24" t="s">
        <v>3609</v>
      </c>
      <c r="K90" s="24" t="s">
        <v>677</v>
      </c>
      <c r="L90" s="24" t="s">
        <v>349</v>
      </c>
      <c r="M90" s="24" t="s">
        <v>350</v>
      </c>
      <c r="N90" s="24">
        <v>10</v>
      </c>
      <c r="O90" s="24" t="s">
        <v>3693</v>
      </c>
      <c r="P90" s="24" t="s">
        <v>351</v>
      </c>
    </row>
    <row r="91" spans="1:16">
      <c r="H91" s="24">
        <v>3</v>
      </c>
      <c r="I91" s="24" t="s">
        <v>3710</v>
      </c>
      <c r="J91" s="24" t="s">
        <v>3610</v>
      </c>
      <c r="K91" s="24" t="s">
        <v>677</v>
      </c>
      <c r="L91" s="24" t="s">
        <v>349</v>
      </c>
      <c r="M91" s="110" t="s">
        <v>350</v>
      </c>
      <c r="N91" s="24">
        <v>15</v>
      </c>
      <c r="O91" s="24" t="s">
        <v>3693</v>
      </c>
      <c r="P91" s="326" t="s">
        <v>351</v>
      </c>
    </row>
    <row r="92" spans="1:16">
      <c r="H92" s="24">
        <v>4</v>
      </c>
      <c r="I92" s="24" t="s">
        <v>3710</v>
      </c>
      <c r="J92" s="24" t="s">
        <v>3611</v>
      </c>
      <c r="K92" s="24" t="s">
        <v>677</v>
      </c>
      <c r="L92" s="24" t="s">
        <v>349</v>
      </c>
      <c r="M92" s="110" t="s">
        <v>350</v>
      </c>
      <c r="N92" s="24">
        <v>20</v>
      </c>
      <c r="O92" s="24" t="s">
        <v>3712</v>
      </c>
      <c r="P92" s="326" t="s">
        <v>351</v>
      </c>
    </row>
    <row r="93" spans="1:16">
      <c r="H93" s="24">
        <v>5</v>
      </c>
      <c r="I93" s="24" t="s">
        <v>3710</v>
      </c>
      <c r="J93" s="24" t="s">
        <v>3612</v>
      </c>
      <c r="K93" s="24" t="s">
        <v>677</v>
      </c>
      <c r="L93" s="24" t="s">
        <v>349</v>
      </c>
      <c r="M93" s="110" t="s">
        <v>350</v>
      </c>
      <c r="N93" s="24">
        <v>30</v>
      </c>
      <c r="O93" s="24" t="s">
        <v>3706</v>
      </c>
      <c r="P93" s="326" t="s">
        <v>351</v>
      </c>
    </row>
    <row r="94" spans="1:16">
      <c r="H94" s="24">
        <v>6</v>
      </c>
      <c r="I94" s="24" t="s">
        <v>3710</v>
      </c>
      <c r="J94" s="24" t="s">
        <v>3713</v>
      </c>
      <c r="K94" s="24" t="s">
        <v>677</v>
      </c>
      <c r="L94" s="24" t="s">
        <v>349</v>
      </c>
      <c r="M94" s="110" t="s">
        <v>350</v>
      </c>
      <c r="N94" s="24">
        <v>40</v>
      </c>
      <c r="O94" s="24" t="s">
        <v>3708</v>
      </c>
      <c r="P94" s="326" t="s">
        <v>351</v>
      </c>
    </row>
    <row r="95" spans="1:16">
      <c r="A95" s="172">
        <v>2231100000036</v>
      </c>
      <c r="B95" s="24" t="s">
        <v>3714</v>
      </c>
      <c r="C95" s="172">
        <v>2200000000032</v>
      </c>
      <c r="D95" s="24" t="s">
        <v>331</v>
      </c>
      <c r="E95" s="24" t="b">
        <v>1</v>
      </c>
      <c r="M95" s="110"/>
      <c r="P95" s="326"/>
    </row>
    <row r="96" spans="1:16">
      <c r="H96" s="24">
        <v>1</v>
      </c>
      <c r="I96" s="24" t="s">
        <v>3715</v>
      </c>
      <c r="J96" s="24" t="s">
        <v>3716</v>
      </c>
      <c r="K96" s="24" t="s">
        <v>677</v>
      </c>
      <c r="L96" s="24" t="s">
        <v>335</v>
      </c>
      <c r="M96" s="110" t="s">
        <v>354</v>
      </c>
      <c r="N96" s="24">
        <v>3</v>
      </c>
      <c r="O96" s="24" t="s">
        <v>3712</v>
      </c>
      <c r="P96" s="326" t="s">
        <v>355</v>
      </c>
    </row>
    <row r="97" spans="1:16">
      <c r="H97" s="24">
        <v>2</v>
      </c>
      <c r="I97" s="24" t="s">
        <v>3715</v>
      </c>
      <c r="J97" s="24" t="s">
        <v>3613</v>
      </c>
      <c r="K97" s="24" t="s">
        <v>677</v>
      </c>
      <c r="L97" s="24" t="s">
        <v>335</v>
      </c>
      <c r="M97" s="24" t="s">
        <v>354</v>
      </c>
      <c r="N97" s="24">
        <v>6</v>
      </c>
      <c r="O97" s="24" t="s">
        <v>3712</v>
      </c>
      <c r="P97" s="24" t="s">
        <v>355</v>
      </c>
    </row>
    <row r="98" spans="1:16">
      <c r="H98" s="24">
        <v>3</v>
      </c>
      <c r="I98" s="24" t="s">
        <v>3715</v>
      </c>
      <c r="J98" s="24" t="s">
        <v>3614</v>
      </c>
      <c r="K98" s="24" t="s">
        <v>677</v>
      </c>
      <c r="L98" s="24" t="s">
        <v>335</v>
      </c>
      <c r="M98" s="110" t="s">
        <v>354</v>
      </c>
      <c r="N98" s="24">
        <v>9</v>
      </c>
      <c r="O98" s="24" t="s">
        <v>3712</v>
      </c>
      <c r="P98" s="326" t="s">
        <v>355</v>
      </c>
    </row>
    <row r="99" spans="1:16">
      <c r="H99" s="24">
        <v>4</v>
      </c>
      <c r="I99" s="24" t="s">
        <v>3715</v>
      </c>
      <c r="J99" s="24" t="s">
        <v>3615</v>
      </c>
      <c r="K99" s="24" t="s">
        <v>677</v>
      </c>
      <c r="L99" s="24" t="s">
        <v>335</v>
      </c>
      <c r="M99" s="110" t="s">
        <v>354</v>
      </c>
      <c r="N99" s="24">
        <v>12</v>
      </c>
      <c r="O99" s="24" t="s">
        <v>3712</v>
      </c>
      <c r="P99" s="326" t="s">
        <v>355</v>
      </c>
    </row>
    <row r="100" spans="1:16">
      <c r="H100" s="24">
        <v>5</v>
      </c>
      <c r="I100" s="24" t="s">
        <v>3715</v>
      </c>
      <c r="J100" s="24" t="s">
        <v>3616</v>
      </c>
      <c r="K100" s="24" t="s">
        <v>677</v>
      </c>
      <c r="L100" s="24" t="s">
        <v>335</v>
      </c>
      <c r="M100" s="110" t="s">
        <v>354</v>
      </c>
      <c r="N100" s="24">
        <v>15</v>
      </c>
      <c r="O100" s="24" t="s">
        <v>3712</v>
      </c>
      <c r="P100" s="326" t="s">
        <v>355</v>
      </c>
    </row>
    <row r="101" spans="1:16">
      <c r="A101" s="172">
        <v>2231100000037</v>
      </c>
      <c r="B101" s="24" t="s">
        <v>3717</v>
      </c>
      <c r="C101" s="172">
        <v>2200000000032</v>
      </c>
      <c r="D101" s="24" t="s">
        <v>331</v>
      </c>
      <c r="E101" s="24" t="b">
        <v>1</v>
      </c>
      <c r="M101" s="110"/>
      <c r="P101" s="326"/>
    </row>
    <row r="102" spans="1:16">
      <c r="H102" s="24">
        <v>1</v>
      </c>
      <c r="I102" s="24" t="s">
        <v>3718</v>
      </c>
      <c r="J102" s="24" t="s">
        <v>3719</v>
      </c>
      <c r="K102" s="24" t="s">
        <v>677</v>
      </c>
      <c r="L102" s="24" t="s">
        <v>570</v>
      </c>
      <c r="M102" s="110"/>
      <c r="N102" s="24">
        <v>5</v>
      </c>
      <c r="O102" s="24" t="s">
        <v>3693</v>
      </c>
      <c r="P102" s="326" t="s">
        <v>3679</v>
      </c>
    </row>
    <row r="103" spans="1:16">
      <c r="H103" s="24">
        <v>2</v>
      </c>
      <c r="I103" s="24" t="s">
        <v>3718</v>
      </c>
      <c r="J103" s="24" t="s">
        <v>3617</v>
      </c>
      <c r="K103" s="24" t="s">
        <v>677</v>
      </c>
      <c r="L103" s="24" t="s">
        <v>570</v>
      </c>
      <c r="M103" s="110"/>
      <c r="N103" s="24">
        <v>10</v>
      </c>
      <c r="O103" s="24" t="s">
        <v>3693</v>
      </c>
      <c r="P103" s="326" t="s">
        <v>3679</v>
      </c>
    </row>
    <row r="104" spans="1:16">
      <c r="H104" s="24">
        <v>3</v>
      </c>
      <c r="I104" s="24" t="s">
        <v>3718</v>
      </c>
      <c r="J104" s="24" t="s">
        <v>3618</v>
      </c>
      <c r="K104" s="24" t="s">
        <v>677</v>
      </c>
      <c r="L104" s="24" t="s">
        <v>570</v>
      </c>
      <c r="M104" s="110"/>
      <c r="N104" s="24">
        <v>15</v>
      </c>
      <c r="O104" s="24" t="s">
        <v>3693</v>
      </c>
      <c r="P104" s="326" t="s">
        <v>3679</v>
      </c>
    </row>
    <row r="105" spans="1:16">
      <c r="H105" s="24">
        <v>4</v>
      </c>
      <c r="I105" s="24" t="s">
        <v>3718</v>
      </c>
      <c r="J105" s="24" t="s">
        <v>3619</v>
      </c>
      <c r="K105" s="24" t="s">
        <v>677</v>
      </c>
      <c r="L105" s="24" t="s">
        <v>570</v>
      </c>
      <c r="N105" s="24">
        <v>20</v>
      </c>
      <c r="O105" s="24" t="s">
        <v>3712</v>
      </c>
      <c r="P105" s="24" t="s">
        <v>3679</v>
      </c>
    </row>
    <row r="106" spans="1:16">
      <c r="H106" s="24">
        <v>5</v>
      </c>
      <c r="I106" s="24" t="s">
        <v>3718</v>
      </c>
      <c r="J106" s="24" t="s">
        <v>3620</v>
      </c>
      <c r="K106" s="24" t="s">
        <v>677</v>
      </c>
      <c r="L106" s="24" t="s">
        <v>570</v>
      </c>
      <c r="M106" s="110"/>
      <c r="N106" s="24">
        <v>35</v>
      </c>
      <c r="O106" s="24" t="s">
        <v>3706</v>
      </c>
      <c r="P106" s="326" t="s">
        <v>3679</v>
      </c>
    </row>
    <row r="107" spans="1:16">
      <c r="H107" s="24">
        <v>6</v>
      </c>
      <c r="I107" s="24" t="s">
        <v>3718</v>
      </c>
      <c r="J107" s="24" t="s">
        <v>3621</v>
      </c>
      <c r="K107" s="24" t="s">
        <v>677</v>
      </c>
      <c r="L107" s="24" t="s">
        <v>570</v>
      </c>
      <c r="N107" s="24">
        <v>50</v>
      </c>
      <c r="O107" s="24" t="s">
        <v>3708</v>
      </c>
      <c r="P107" s="326" t="s">
        <v>3679</v>
      </c>
    </row>
    <row r="108" spans="1:16">
      <c r="A108" s="172">
        <v>2231100000038</v>
      </c>
      <c r="B108" s="24" t="s">
        <v>3720</v>
      </c>
      <c r="C108" s="172">
        <v>2200000000032</v>
      </c>
      <c r="D108" s="24" t="s">
        <v>331</v>
      </c>
      <c r="E108" s="24" t="b">
        <v>1</v>
      </c>
      <c r="P108" s="326"/>
    </row>
    <row r="109" spans="1:16">
      <c r="H109" s="24">
        <v>1</v>
      </c>
      <c r="I109" s="24" t="s">
        <v>3721</v>
      </c>
      <c r="J109" s="24" t="s">
        <v>3722</v>
      </c>
      <c r="K109" s="24" t="s">
        <v>334</v>
      </c>
      <c r="L109" s="24" t="s">
        <v>425</v>
      </c>
      <c r="M109" s="24" t="s">
        <v>346</v>
      </c>
      <c r="N109" s="24">
        <v>10</v>
      </c>
      <c r="O109" s="24" t="s">
        <v>3693</v>
      </c>
      <c r="P109" s="326" t="s">
        <v>431</v>
      </c>
    </row>
    <row r="110" spans="1:16">
      <c r="H110" s="24">
        <v>2</v>
      </c>
      <c r="I110" s="24" t="s">
        <v>3721</v>
      </c>
      <c r="J110" s="24" t="s">
        <v>3622</v>
      </c>
      <c r="K110" s="24" t="s">
        <v>334</v>
      </c>
      <c r="L110" s="24" t="s">
        <v>425</v>
      </c>
      <c r="M110" s="24" t="s">
        <v>346</v>
      </c>
      <c r="N110" s="24">
        <v>20</v>
      </c>
      <c r="O110" s="24" t="s">
        <v>3693</v>
      </c>
      <c r="P110" s="326" t="s">
        <v>431</v>
      </c>
    </row>
    <row r="111" spans="1:16">
      <c r="H111" s="24">
        <v>3</v>
      </c>
      <c r="I111" s="24" t="s">
        <v>3721</v>
      </c>
      <c r="J111" s="24" t="s">
        <v>3623</v>
      </c>
      <c r="K111" s="24" t="s">
        <v>334</v>
      </c>
      <c r="L111" s="24" t="s">
        <v>425</v>
      </c>
      <c r="M111" s="24" t="s">
        <v>346</v>
      </c>
      <c r="N111" s="24">
        <v>30</v>
      </c>
      <c r="O111" s="24" t="s">
        <v>3693</v>
      </c>
      <c r="P111" s="326" t="s">
        <v>431</v>
      </c>
    </row>
    <row r="112" spans="1:16">
      <c r="H112" s="24">
        <v>4</v>
      </c>
      <c r="I112" s="24" t="s">
        <v>3721</v>
      </c>
      <c r="J112" s="24" t="s">
        <v>3624</v>
      </c>
      <c r="K112" s="24" t="s">
        <v>334</v>
      </c>
      <c r="L112" s="24" t="s">
        <v>425</v>
      </c>
      <c r="M112" s="24" t="s">
        <v>346</v>
      </c>
      <c r="N112" s="24">
        <v>40</v>
      </c>
      <c r="O112" s="24" t="s">
        <v>3693</v>
      </c>
      <c r="P112" s="326" t="s">
        <v>431</v>
      </c>
    </row>
    <row r="113" spans="1:16">
      <c r="H113" s="24">
        <v>5</v>
      </c>
      <c r="I113" s="24" t="s">
        <v>3721</v>
      </c>
      <c r="J113" s="24" t="s">
        <v>3625</v>
      </c>
      <c r="K113" s="24" t="s">
        <v>334</v>
      </c>
      <c r="L113" s="24" t="s">
        <v>425</v>
      </c>
      <c r="M113" s="24" t="s">
        <v>346</v>
      </c>
      <c r="N113" s="24">
        <v>50</v>
      </c>
      <c r="O113" s="24" t="s">
        <v>3712</v>
      </c>
      <c r="P113" s="326" t="s">
        <v>431</v>
      </c>
    </row>
    <row r="114" spans="1:16">
      <c r="H114" s="24">
        <v>6</v>
      </c>
      <c r="I114" s="24" t="s">
        <v>3721</v>
      </c>
      <c r="J114" s="24" t="s">
        <v>3626</v>
      </c>
      <c r="K114" s="24" t="s">
        <v>334</v>
      </c>
      <c r="L114" s="24" t="s">
        <v>425</v>
      </c>
      <c r="M114" s="24" t="s">
        <v>346</v>
      </c>
      <c r="N114" s="24">
        <v>60</v>
      </c>
      <c r="O114" s="24" t="s">
        <v>3706</v>
      </c>
      <c r="P114" s="326" t="s">
        <v>431</v>
      </c>
    </row>
    <row r="115" spans="1:16">
      <c r="H115" s="24">
        <v>7</v>
      </c>
      <c r="I115" s="24" t="s">
        <v>3721</v>
      </c>
      <c r="J115" s="24" t="s">
        <v>3627</v>
      </c>
      <c r="K115" s="24" t="s">
        <v>334</v>
      </c>
      <c r="L115" s="24" t="s">
        <v>425</v>
      </c>
      <c r="M115" s="24" t="s">
        <v>346</v>
      </c>
      <c r="N115" s="24">
        <v>70</v>
      </c>
      <c r="O115" s="24" t="s">
        <v>3708</v>
      </c>
      <c r="P115" s="326" t="s">
        <v>431</v>
      </c>
    </row>
    <row r="116" spans="1:16" s="327" customFormat="1">
      <c r="A116" s="328"/>
      <c r="C116" s="328"/>
    </row>
    <row r="117" spans="1:16">
      <c r="A117" s="172">
        <v>2231100000039</v>
      </c>
      <c r="B117" s="24" t="s">
        <v>3765</v>
      </c>
      <c r="C117" s="172">
        <v>2231000000010</v>
      </c>
      <c r="D117" s="24" t="s">
        <v>331</v>
      </c>
      <c r="E117" s="24" t="b">
        <v>1</v>
      </c>
    </row>
    <row r="118" spans="1:16" ht="27">
      <c r="H118" s="24">
        <v>1</v>
      </c>
      <c r="I118" s="24" t="s">
        <v>3766</v>
      </c>
      <c r="J118" s="24" t="s">
        <v>3766</v>
      </c>
      <c r="K118" s="24" t="s">
        <v>1538</v>
      </c>
      <c r="L118" s="24" t="s">
        <v>377</v>
      </c>
      <c r="M118" s="110" t="s">
        <v>3767</v>
      </c>
      <c r="N118" s="24">
        <v>1</v>
      </c>
      <c r="O118" s="24" t="s">
        <v>3368</v>
      </c>
      <c r="P118" s="24" t="s">
        <v>3768</v>
      </c>
    </row>
    <row r="119" spans="1:16">
      <c r="A119" s="172">
        <v>2231100000040</v>
      </c>
      <c r="B119" s="24" t="s">
        <v>3769</v>
      </c>
      <c r="C119" s="172">
        <v>2231000000010</v>
      </c>
      <c r="D119" s="24" t="s">
        <v>331</v>
      </c>
      <c r="E119" s="24" t="b">
        <v>1</v>
      </c>
    </row>
    <row r="120" spans="1:16" ht="27">
      <c r="H120" s="24">
        <v>1</v>
      </c>
      <c r="I120" s="24" t="s">
        <v>3770</v>
      </c>
      <c r="J120" s="24" t="s">
        <v>3770</v>
      </c>
      <c r="K120" s="24" t="s">
        <v>1538</v>
      </c>
      <c r="L120" s="24" t="s">
        <v>377</v>
      </c>
      <c r="M120" s="110" t="s">
        <v>3746</v>
      </c>
      <c r="N120" s="24">
        <v>1</v>
      </c>
      <c r="O120" s="24" t="s">
        <v>3371</v>
      </c>
      <c r="P120" s="24" t="s">
        <v>3768</v>
      </c>
    </row>
    <row r="121" spans="1:16">
      <c r="A121" s="172">
        <v>2231100000041</v>
      </c>
      <c r="B121" s="24" t="s">
        <v>3771</v>
      </c>
      <c r="C121" s="172">
        <v>2231000000010</v>
      </c>
      <c r="D121" s="24" t="s">
        <v>331</v>
      </c>
      <c r="E121" s="24" t="b">
        <v>1</v>
      </c>
    </row>
    <row r="122" spans="1:16" ht="27">
      <c r="H122" s="24">
        <v>1</v>
      </c>
      <c r="I122" s="24" t="s">
        <v>3772</v>
      </c>
      <c r="J122" s="24" t="s">
        <v>3772</v>
      </c>
      <c r="K122" s="24" t="s">
        <v>1538</v>
      </c>
      <c r="L122" s="24" t="s">
        <v>377</v>
      </c>
      <c r="M122" s="110" t="s">
        <v>3773</v>
      </c>
      <c r="N122" s="24">
        <v>1</v>
      </c>
      <c r="O122" s="24" t="s">
        <v>3097</v>
      </c>
      <c r="P122" s="24" t="s">
        <v>3768</v>
      </c>
    </row>
    <row r="123" spans="1:16">
      <c r="A123" s="172">
        <v>2231100000042</v>
      </c>
      <c r="B123" s="24" t="s">
        <v>3774</v>
      </c>
      <c r="C123" s="172">
        <v>2231000000010</v>
      </c>
      <c r="D123" s="24" t="s">
        <v>331</v>
      </c>
      <c r="E123" s="24" t="b">
        <v>1</v>
      </c>
    </row>
    <row r="124" spans="1:16" ht="27">
      <c r="H124" s="24">
        <v>1</v>
      </c>
      <c r="I124" s="24" t="s">
        <v>3775</v>
      </c>
      <c r="J124" s="24" t="s">
        <v>3775</v>
      </c>
      <c r="K124" s="24" t="s">
        <v>1538</v>
      </c>
      <c r="L124" s="24" t="s">
        <v>377</v>
      </c>
      <c r="M124" s="110" t="s">
        <v>3759</v>
      </c>
      <c r="N124" s="24">
        <v>1</v>
      </c>
      <c r="O124" s="24" t="s">
        <v>3776</v>
      </c>
      <c r="P124" s="24" t="s">
        <v>3768</v>
      </c>
    </row>
    <row r="125" spans="1:16">
      <c r="A125" s="172">
        <v>2231100000043</v>
      </c>
      <c r="B125" s="24" t="s">
        <v>3777</v>
      </c>
      <c r="C125" s="172">
        <v>2231000000010</v>
      </c>
      <c r="D125" s="24" t="s">
        <v>331</v>
      </c>
      <c r="E125" s="24" t="b">
        <v>1</v>
      </c>
    </row>
    <row r="126" spans="1:16" ht="27">
      <c r="H126" s="24">
        <v>1</v>
      </c>
      <c r="I126" s="24" t="s">
        <v>3778</v>
      </c>
      <c r="J126" s="24" t="s">
        <v>3778</v>
      </c>
      <c r="K126" s="24" t="s">
        <v>1538</v>
      </c>
      <c r="L126" s="24" t="s">
        <v>377</v>
      </c>
      <c r="M126" s="110" t="s">
        <v>3779</v>
      </c>
      <c r="N126" s="24">
        <v>1</v>
      </c>
      <c r="O126" s="24" t="s">
        <v>2122</v>
      </c>
      <c r="P126" s="24" t="s">
        <v>3768</v>
      </c>
    </row>
    <row r="127" spans="1:16">
      <c r="A127" s="172">
        <v>2231100000044</v>
      </c>
      <c r="B127" s="24" t="s">
        <v>3780</v>
      </c>
      <c r="C127" s="172">
        <v>2231000000010</v>
      </c>
      <c r="D127" s="24" t="s">
        <v>331</v>
      </c>
      <c r="E127" s="24" t="b">
        <v>1</v>
      </c>
    </row>
    <row r="128" spans="1:16" ht="27">
      <c r="H128" s="24">
        <v>1</v>
      </c>
      <c r="I128" s="24" t="s">
        <v>3781</v>
      </c>
      <c r="J128" s="24" t="s">
        <v>3781</v>
      </c>
      <c r="K128" s="24" t="s">
        <v>1538</v>
      </c>
      <c r="L128" s="24" t="s">
        <v>377</v>
      </c>
      <c r="M128" s="110" t="s">
        <v>3782</v>
      </c>
      <c r="N128" s="24">
        <v>1</v>
      </c>
      <c r="O128" s="24" t="s">
        <v>3154</v>
      </c>
      <c r="P128" s="24" t="s">
        <v>3768</v>
      </c>
    </row>
    <row r="129" spans="1:16">
      <c r="A129" s="172">
        <v>2231100000045</v>
      </c>
      <c r="B129" s="24" t="s">
        <v>3783</v>
      </c>
      <c r="C129" s="172">
        <v>2231000000011</v>
      </c>
      <c r="D129" s="24" t="s">
        <v>331</v>
      </c>
      <c r="E129" s="24" t="b">
        <v>1</v>
      </c>
    </row>
    <row r="130" spans="1:16" ht="27">
      <c r="H130" s="24">
        <v>1</v>
      </c>
      <c r="I130" s="24" t="s">
        <v>3784</v>
      </c>
      <c r="J130" s="24" t="s">
        <v>3784</v>
      </c>
      <c r="K130" s="24" t="s">
        <v>1538</v>
      </c>
      <c r="L130" s="24" t="s">
        <v>377</v>
      </c>
      <c r="M130" s="110" t="s">
        <v>3785</v>
      </c>
      <c r="N130" s="24">
        <v>1</v>
      </c>
      <c r="O130" s="24" t="s">
        <v>2955</v>
      </c>
      <c r="P130" s="24" t="s">
        <v>3768</v>
      </c>
    </row>
    <row r="131" spans="1:16">
      <c r="A131" s="172">
        <v>2231100000046</v>
      </c>
      <c r="B131" s="24" t="s">
        <v>3786</v>
      </c>
      <c r="C131" s="172">
        <v>2231000000011</v>
      </c>
      <c r="D131" s="24" t="s">
        <v>331</v>
      </c>
      <c r="E131" s="24" t="b">
        <v>1</v>
      </c>
    </row>
    <row r="132" spans="1:16" ht="27">
      <c r="H132" s="24">
        <v>1</v>
      </c>
      <c r="I132" s="24" t="s">
        <v>3787</v>
      </c>
      <c r="J132" s="24" t="s">
        <v>3787</v>
      </c>
      <c r="K132" s="24" t="s">
        <v>1538</v>
      </c>
      <c r="L132" s="24" t="s">
        <v>377</v>
      </c>
      <c r="M132" s="110" t="s">
        <v>3788</v>
      </c>
      <c r="N132" s="24">
        <v>1</v>
      </c>
      <c r="O132" s="24" t="s">
        <v>2955</v>
      </c>
      <c r="P132" s="24" t="s">
        <v>3768</v>
      </c>
    </row>
    <row r="133" spans="1:16">
      <c r="A133" s="172">
        <v>2231100000047</v>
      </c>
      <c r="B133" s="24" t="s">
        <v>3789</v>
      </c>
      <c r="C133" s="172">
        <v>2231000000011</v>
      </c>
      <c r="D133" s="24" t="s">
        <v>331</v>
      </c>
      <c r="E133" s="24" t="b">
        <v>1</v>
      </c>
    </row>
    <row r="134" spans="1:16" ht="27">
      <c r="H134" s="24">
        <v>1</v>
      </c>
      <c r="I134" s="24" t="s">
        <v>3790</v>
      </c>
      <c r="J134" s="24" t="s">
        <v>3790</v>
      </c>
      <c r="K134" s="24" t="s">
        <v>1538</v>
      </c>
      <c r="L134" s="24" t="s">
        <v>377</v>
      </c>
      <c r="M134" s="110" t="s">
        <v>3791</v>
      </c>
      <c r="N134" s="24">
        <v>1</v>
      </c>
      <c r="O134" s="24" t="s">
        <v>2955</v>
      </c>
      <c r="P134" s="24" t="s">
        <v>3768</v>
      </c>
    </row>
    <row r="135" spans="1:16">
      <c r="A135" s="172">
        <v>2231100000048</v>
      </c>
      <c r="B135" s="24" t="s">
        <v>3792</v>
      </c>
      <c r="C135" s="172">
        <v>2231000000011</v>
      </c>
      <c r="D135" s="24" t="s">
        <v>331</v>
      </c>
      <c r="E135" s="24" t="b">
        <v>1</v>
      </c>
    </row>
    <row r="136" spans="1:16" ht="27">
      <c r="H136" s="24">
        <v>1</v>
      </c>
      <c r="I136" s="24" t="s">
        <v>3793</v>
      </c>
      <c r="J136" s="24" t="s">
        <v>3793</v>
      </c>
      <c r="K136" s="24" t="s">
        <v>1538</v>
      </c>
      <c r="L136" s="24" t="s">
        <v>377</v>
      </c>
      <c r="M136" s="110" t="s">
        <v>3794</v>
      </c>
      <c r="N136" s="24">
        <v>1</v>
      </c>
      <c r="O136" s="24" t="s">
        <v>2955</v>
      </c>
      <c r="P136" s="24" t="s">
        <v>3768</v>
      </c>
    </row>
    <row r="137" spans="1:16">
      <c r="A137" s="172">
        <v>2231100000049</v>
      </c>
      <c r="B137" s="24" t="s">
        <v>3795</v>
      </c>
      <c r="C137" s="172">
        <v>2231000000011</v>
      </c>
      <c r="D137" s="24" t="s">
        <v>331</v>
      </c>
      <c r="E137" s="24" t="b">
        <v>1</v>
      </c>
    </row>
    <row r="138" spans="1:16" ht="27">
      <c r="H138" s="24">
        <v>1</v>
      </c>
      <c r="I138" s="24" t="s">
        <v>3796</v>
      </c>
      <c r="J138" s="24" t="s">
        <v>3796</v>
      </c>
      <c r="K138" s="24" t="s">
        <v>1538</v>
      </c>
      <c r="L138" s="24" t="s">
        <v>377</v>
      </c>
      <c r="M138" s="110" t="s">
        <v>3797</v>
      </c>
      <c r="N138" s="24">
        <v>1</v>
      </c>
      <c r="O138" s="24" t="s">
        <v>2955</v>
      </c>
      <c r="P138" s="24" t="s">
        <v>3768</v>
      </c>
    </row>
    <row r="139" spans="1:16" s="327" customFormat="1">
      <c r="A139" s="328"/>
      <c r="C139" s="328"/>
    </row>
    <row r="140" spans="1:16">
      <c r="A140" s="172">
        <v>2231100000050</v>
      </c>
      <c r="B140" s="24" t="s">
        <v>3837</v>
      </c>
      <c r="C140" s="172">
        <v>2231000000014</v>
      </c>
      <c r="D140" s="24" t="s">
        <v>331</v>
      </c>
      <c r="E140" s="24" t="b">
        <v>1</v>
      </c>
    </row>
    <row r="141" spans="1:16" ht="27">
      <c r="H141" s="24">
        <v>1</v>
      </c>
      <c r="I141" s="24" t="s">
        <v>3838</v>
      </c>
      <c r="J141" s="24" t="s">
        <v>3838</v>
      </c>
      <c r="K141" s="24" t="s">
        <v>1538</v>
      </c>
      <c r="L141" s="24" t="s">
        <v>377</v>
      </c>
      <c r="M141" s="110" t="s">
        <v>3839</v>
      </c>
      <c r="N141" s="24">
        <v>1</v>
      </c>
      <c r="O141" s="24" t="s">
        <v>3368</v>
      </c>
      <c r="P141" s="24" t="s">
        <v>3840</v>
      </c>
    </row>
    <row r="142" spans="1:16">
      <c r="A142" s="172">
        <v>2231100000051</v>
      </c>
      <c r="B142" s="24" t="s">
        <v>3841</v>
      </c>
      <c r="C142" s="172">
        <v>2231000000014</v>
      </c>
      <c r="D142" s="24" t="s">
        <v>331</v>
      </c>
      <c r="E142" s="24" t="b">
        <v>1</v>
      </c>
    </row>
    <row r="143" spans="1:16" ht="27">
      <c r="H143" s="24">
        <v>1</v>
      </c>
      <c r="I143" s="24" t="s">
        <v>3842</v>
      </c>
      <c r="J143" s="24" t="s">
        <v>3842</v>
      </c>
      <c r="K143" s="24" t="s">
        <v>1538</v>
      </c>
      <c r="L143" s="24" t="s">
        <v>377</v>
      </c>
      <c r="M143" s="110" t="s">
        <v>3843</v>
      </c>
      <c r="N143" s="24">
        <v>1</v>
      </c>
      <c r="O143" s="24" t="s">
        <v>3371</v>
      </c>
      <c r="P143" s="24" t="s">
        <v>3840</v>
      </c>
    </row>
    <row r="144" spans="1:16">
      <c r="A144" s="172">
        <v>2231100000052</v>
      </c>
      <c r="B144" s="24" t="s">
        <v>3844</v>
      </c>
      <c r="C144" s="172">
        <v>2231000000014</v>
      </c>
      <c r="D144" s="24" t="s">
        <v>331</v>
      </c>
      <c r="E144" s="24" t="b">
        <v>1</v>
      </c>
    </row>
    <row r="145" spans="1:16" ht="27">
      <c r="H145" s="24">
        <v>1</v>
      </c>
      <c r="I145" s="24" t="s">
        <v>3845</v>
      </c>
      <c r="J145" s="24" t="s">
        <v>3845</v>
      </c>
      <c r="K145" s="24" t="s">
        <v>1538</v>
      </c>
      <c r="L145" s="24" t="s">
        <v>377</v>
      </c>
      <c r="M145" s="110" t="s">
        <v>3846</v>
      </c>
      <c r="N145" s="24">
        <v>1</v>
      </c>
      <c r="O145" s="24" t="s">
        <v>3097</v>
      </c>
      <c r="P145" s="24" t="s">
        <v>3840</v>
      </c>
    </row>
    <row r="146" spans="1:16">
      <c r="A146" s="172">
        <v>2231100000053</v>
      </c>
      <c r="B146" s="24" t="s">
        <v>3847</v>
      </c>
      <c r="C146" s="172">
        <v>2231000000014</v>
      </c>
      <c r="D146" s="24" t="s">
        <v>331</v>
      </c>
      <c r="E146" s="24" t="b">
        <v>1</v>
      </c>
    </row>
    <row r="147" spans="1:16" ht="27">
      <c r="H147" s="24">
        <v>1</v>
      </c>
      <c r="I147" s="24" t="s">
        <v>3848</v>
      </c>
      <c r="J147" s="24" t="s">
        <v>3848</v>
      </c>
      <c r="K147" s="24" t="s">
        <v>1538</v>
      </c>
      <c r="L147" s="24" t="s">
        <v>377</v>
      </c>
      <c r="M147" s="110" t="s">
        <v>3849</v>
      </c>
      <c r="N147" s="24">
        <v>1</v>
      </c>
      <c r="O147" s="24" t="s">
        <v>3850</v>
      </c>
      <c r="P147" s="24" t="s">
        <v>3840</v>
      </c>
    </row>
    <row r="148" spans="1:16">
      <c r="A148" s="172">
        <v>2231100000054</v>
      </c>
      <c r="B148" s="24" t="s">
        <v>3851</v>
      </c>
      <c r="C148" s="172">
        <v>2231000000014</v>
      </c>
      <c r="D148" s="24" t="s">
        <v>331</v>
      </c>
      <c r="E148" s="24" t="b">
        <v>1</v>
      </c>
    </row>
    <row r="149" spans="1:16" ht="27">
      <c r="H149" s="24">
        <v>1</v>
      </c>
      <c r="I149" s="24" t="s">
        <v>3852</v>
      </c>
      <c r="J149" s="24" t="s">
        <v>3852</v>
      </c>
      <c r="K149" s="24" t="s">
        <v>1538</v>
      </c>
      <c r="L149" s="24" t="s">
        <v>377</v>
      </c>
      <c r="M149" s="110" t="s">
        <v>3853</v>
      </c>
      <c r="N149" s="24">
        <v>1</v>
      </c>
      <c r="O149" s="24" t="s">
        <v>2122</v>
      </c>
      <c r="P149" s="24" t="s">
        <v>3840</v>
      </c>
    </row>
    <row r="150" spans="1:16">
      <c r="A150" s="172">
        <v>2231100000055</v>
      </c>
      <c r="B150" s="24" t="s">
        <v>3854</v>
      </c>
      <c r="C150" s="172">
        <v>2231000000014</v>
      </c>
      <c r="D150" s="24" t="s">
        <v>331</v>
      </c>
      <c r="E150" s="24" t="b">
        <v>1</v>
      </c>
    </row>
    <row r="151" spans="1:16" ht="27">
      <c r="H151" s="24">
        <v>1</v>
      </c>
      <c r="I151" s="24" t="s">
        <v>3855</v>
      </c>
      <c r="J151" s="24" t="s">
        <v>3855</v>
      </c>
      <c r="K151" s="24" t="s">
        <v>1538</v>
      </c>
      <c r="L151" s="24" t="s">
        <v>377</v>
      </c>
      <c r="M151" s="110" t="s">
        <v>3856</v>
      </c>
      <c r="N151" s="24">
        <v>1</v>
      </c>
      <c r="O151" s="24" t="s">
        <v>3154</v>
      </c>
      <c r="P151" s="24" t="s">
        <v>3840</v>
      </c>
    </row>
    <row r="152" spans="1:16">
      <c r="A152" s="172">
        <v>2231100000056</v>
      </c>
      <c r="B152" s="24" t="s">
        <v>3857</v>
      </c>
      <c r="C152" s="172">
        <v>2231000000015</v>
      </c>
      <c r="D152" s="24" t="s">
        <v>331</v>
      </c>
      <c r="E152" s="24" t="b">
        <v>1</v>
      </c>
    </row>
    <row r="153" spans="1:16" ht="27">
      <c r="H153" s="24">
        <v>1</v>
      </c>
      <c r="I153" s="24" t="s">
        <v>3858</v>
      </c>
      <c r="J153" s="24" t="s">
        <v>3858</v>
      </c>
      <c r="K153" s="24" t="s">
        <v>1538</v>
      </c>
      <c r="L153" s="24" t="s">
        <v>377</v>
      </c>
      <c r="M153" s="110" t="s">
        <v>3859</v>
      </c>
      <c r="N153" s="24">
        <v>1</v>
      </c>
      <c r="O153" s="24" t="s">
        <v>2955</v>
      </c>
      <c r="P153" s="24" t="s">
        <v>3840</v>
      </c>
    </row>
    <row r="154" spans="1:16">
      <c r="A154" s="172">
        <v>2231100000057</v>
      </c>
      <c r="B154" s="24" t="s">
        <v>3860</v>
      </c>
      <c r="C154" s="172">
        <v>2231000000015</v>
      </c>
      <c r="D154" s="24" t="s">
        <v>331</v>
      </c>
      <c r="E154" s="24" t="b">
        <v>1</v>
      </c>
    </row>
    <row r="155" spans="1:16" ht="27">
      <c r="H155" s="24">
        <v>1</v>
      </c>
      <c r="I155" s="24" t="s">
        <v>3861</v>
      </c>
      <c r="J155" s="24" t="s">
        <v>3861</v>
      </c>
      <c r="K155" s="24" t="s">
        <v>1538</v>
      </c>
      <c r="L155" s="24" t="s">
        <v>377</v>
      </c>
      <c r="M155" s="110" t="s">
        <v>3862</v>
      </c>
      <c r="N155" s="24">
        <v>1</v>
      </c>
      <c r="O155" s="24" t="s">
        <v>2955</v>
      </c>
      <c r="P155" s="24" t="s">
        <v>3840</v>
      </c>
    </row>
    <row r="156" spans="1:16">
      <c r="A156" s="172">
        <v>2231100000058</v>
      </c>
      <c r="B156" s="24" t="s">
        <v>3863</v>
      </c>
      <c r="C156" s="172">
        <v>2231000000015</v>
      </c>
      <c r="D156" s="24" t="s">
        <v>331</v>
      </c>
      <c r="E156" s="24" t="b">
        <v>1</v>
      </c>
    </row>
    <row r="157" spans="1:16" ht="27">
      <c r="H157" s="24">
        <v>1</v>
      </c>
      <c r="I157" s="24" t="s">
        <v>3864</v>
      </c>
      <c r="J157" s="24" t="s">
        <v>3864</v>
      </c>
      <c r="K157" s="24" t="s">
        <v>1538</v>
      </c>
      <c r="L157" s="24" t="s">
        <v>377</v>
      </c>
      <c r="M157" s="110" t="s">
        <v>3865</v>
      </c>
      <c r="N157" s="24">
        <v>1</v>
      </c>
      <c r="O157" s="24" t="s">
        <v>2955</v>
      </c>
      <c r="P157" s="24" t="s">
        <v>3840</v>
      </c>
    </row>
    <row r="158" spans="1:16">
      <c r="A158" s="172">
        <v>2231100000059</v>
      </c>
      <c r="B158" s="24" t="s">
        <v>3866</v>
      </c>
      <c r="C158" s="172">
        <v>2231000000015</v>
      </c>
      <c r="D158" s="24" t="s">
        <v>331</v>
      </c>
      <c r="E158" s="24" t="b">
        <v>1</v>
      </c>
    </row>
    <row r="159" spans="1:16" ht="27">
      <c r="H159" s="24">
        <v>1</v>
      </c>
      <c r="I159" s="24" t="s">
        <v>3867</v>
      </c>
      <c r="J159" s="24" t="s">
        <v>3867</v>
      </c>
      <c r="K159" s="24" t="s">
        <v>1538</v>
      </c>
      <c r="L159" s="24" t="s">
        <v>377</v>
      </c>
      <c r="M159" s="110" t="s">
        <v>3868</v>
      </c>
      <c r="N159" s="24">
        <v>1</v>
      </c>
      <c r="O159" s="24" t="s">
        <v>2955</v>
      </c>
      <c r="P159" s="24" t="s">
        <v>3840</v>
      </c>
    </row>
    <row r="160" spans="1:16">
      <c r="A160" s="172">
        <v>2231100000060</v>
      </c>
      <c r="B160" s="24" t="s">
        <v>3869</v>
      </c>
      <c r="C160" s="172">
        <v>2231000000015</v>
      </c>
      <c r="D160" s="24" t="s">
        <v>331</v>
      </c>
      <c r="E160" s="24" t="b">
        <v>1</v>
      </c>
    </row>
    <row r="161" spans="8:16" ht="27">
      <c r="H161" s="24">
        <v>1</v>
      </c>
      <c r="I161" s="24" t="s">
        <v>3870</v>
      </c>
      <c r="J161" s="24" t="s">
        <v>3870</v>
      </c>
      <c r="K161" s="24" t="s">
        <v>1538</v>
      </c>
      <c r="L161" s="24" t="s">
        <v>377</v>
      </c>
      <c r="M161" s="110" t="s">
        <v>3871</v>
      </c>
      <c r="N161" s="24">
        <v>1</v>
      </c>
      <c r="O161" s="24" t="s">
        <v>2955</v>
      </c>
      <c r="P161" s="24" t="s">
        <v>3840</v>
      </c>
    </row>
  </sheetData>
  <phoneticPr fontId="4" type="noConversion"/>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workbookViewId="0">
      <selection activeCell="B12" sqref="B12"/>
    </sheetView>
  </sheetViews>
  <sheetFormatPr defaultRowHeight="16.5"/>
  <cols>
    <col min="1" max="1" width="8.375" bestFit="1" customWidth="1"/>
    <col min="2" max="2" width="17.375" customWidth="1"/>
    <col min="3" max="3" width="15.625" bestFit="1" customWidth="1"/>
    <col min="5" max="5" width="12.875" customWidth="1"/>
    <col min="6" max="6" width="69.125" customWidth="1"/>
    <col min="7" max="7" width="10.625" bestFit="1" customWidth="1"/>
  </cols>
  <sheetData>
    <row r="1" spans="1:7">
      <c r="A1" s="1" t="s">
        <v>628</v>
      </c>
      <c r="B1" s="1" t="s">
        <v>629</v>
      </c>
      <c r="C1" s="1" t="s">
        <v>630</v>
      </c>
      <c r="D1" s="1" t="s">
        <v>309</v>
      </c>
      <c r="E1" s="1" t="s">
        <v>631</v>
      </c>
      <c r="F1" s="1" t="s">
        <v>311</v>
      </c>
      <c r="G1" s="34" t="s">
        <v>632</v>
      </c>
    </row>
    <row r="2" spans="1:7">
      <c r="A2" s="1" t="s">
        <v>322</v>
      </c>
      <c r="B2" s="1" t="s">
        <v>633</v>
      </c>
      <c r="C2" s="1" t="s">
        <v>634</v>
      </c>
      <c r="D2" s="1" t="s">
        <v>322</v>
      </c>
      <c r="E2" s="1" t="s">
        <v>321</v>
      </c>
      <c r="F2" s="1" t="s">
        <v>2</v>
      </c>
      <c r="G2" s="34" t="s">
        <v>3</v>
      </c>
    </row>
    <row r="3" spans="1:7" ht="17.25" customHeight="1">
      <c r="A3" s="1" t="s">
        <v>4</v>
      </c>
      <c r="B3" s="1" t="s">
        <v>4</v>
      </c>
      <c r="C3" s="1" t="s">
        <v>4</v>
      </c>
      <c r="D3" s="1" t="s">
        <v>4</v>
      </c>
      <c r="E3" s="1" t="s">
        <v>4</v>
      </c>
      <c r="F3" s="1" t="s">
        <v>4</v>
      </c>
      <c r="G3" s="34" t="s">
        <v>3</v>
      </c>
    </row>
    <row r="4" spans="1:7">
      <c r="A4" s="28">
        <v>1</v>
      </c>
      <c r="B4" s="302" t="s">
        <v>828</v>
      </c>
      <c r="C4" s="158" t="s">
        <v>492</v>
      </c>
      <c r="D4" s="28">
        <v>1</v>
      </c>
      <c r="E4" s="28" t="b">
        <v>0</v>
      </c>
      <c r="F4" s="73" t="s">
        <v>1506</v>
      </c>
      <c r="G4" s="35"/>
    </row>
    <row r="5" spans="1:7">
      <c r="A5" s="28">
        <v>2</v>
      </c>
      <c r="B5" s="302" t="s">
        <v>829</v>
      </c>
      <c r="C5" s="158">
        <v>2105000000002</v>
      </c>
      <c r="D5" s="28">
        <v>1</v>
      </c>
      <c r="E5" s="28" t="b">
        <v>0</v>
      </c>
      <c r="F5" s="73" t="s">
        <v>2644</v>
      </c>
      <c r="G5" s="48"/>
    </row>
    <row r="6" spans="1:7" s="68" customFormat="1">
      <c r="A6" s="28">
        <v>3</v>
      </c>
      <c r="B6" s="302" t="s">
        <v>828</v>
      </c>
      <c r="C6" s="137">
        <v>2105000000003</v>
      </c>
      <c r="D6" s="28">
        <v>1</v>
      </c>
      <c r="E6" s="28" t="b">
        <v>0</v>
      </c>
      <c r="F6" s="73" t="s">
        <v>2645</v>
      </c>
      <c r="G6" s="35"/>
    </row>
    <row r="7" spans="1:7">
      <c r="A7" s="28">
        <v>4</v>
      </c>
      <c r="B7" s="302" t="s">
        <v>829</v>
      </c>
      <c r="C7" s="158">
        <v>2105000000004</v>
      </c>
      <c r="D7" s="28">
        <v>1</v>
      </c>
      <c r="E7" s="28" t="b">
        <v>0</v>
      </c>
      <c r="F7" s="73" t="s">
        <v>2646</v>
      </c>
      <c r="G7" s="156"/>
    </row>
    <row r="8" spans="1:7">
      <c r="A8" s="28">
        <v>5</v>
      </c>
      <c r="B8" s="302" t="s">
        <v>829</v>
      </c>
      <c r="C8" s="137">
        <v>2105000000005</v>
      </c>
      <c r="D8" s="28">
        <v>1</v>
      </c>
      <c r="E8" s="28" t="b">
        <v>0</v>
      </c>
      <c r="F8" s="73" t="s">
        <v>2647</v>
      </c>
      <c r="G8" s="35"/>
    </row>
    <row r="9" spans="1:7">
      <c r="A9" s="28">
        <v>6</v>
      </c>
      <c r="B9" s="302" t="s">
        <v>828</v>
      </c>
      <c r="C9" s="158">
        <v>2105000000006</v>
      </c>
      <c r="D9" s="28">
        <v>1</v>
      </c>
      <c r="E9" s="28" t="b">
        <v>0</v>
      </c>
      <c r="F9" s="73" t="s">
        <v>2648</v>
      </c>
      <c r="G9" s="35"/>
    </row>
    <row r="10" spans="1:7">
      <c r="A10" s="28">
        <v>7</v>
      </c>
      <c r="B10" s="302" t="s">
        <v>829</v>
      </c>
      <c r="C10" s="137">
        <v>2105000000007</v>
      </c>
      <c r="D10" s="47">
        <v>1</v>
      </c>
      <c r="E10" s="28" t="b">
        <v>0</v>
      </c>
      <c r="F10" s="73" t="s">
        <v>2649</v>
      </c>
      <c r="G10" s="35"/>
    </row>
    <row r="11" spans="1:7">
      <c r="A11" s="28">
        <v>8</v>
      </c>
      <c r="B11" s="302" t="s">
        <v>828</v>
      </c>
      <c r="C11" s="158">
        <v>2105000000008</v>
      </c>
      <c r="D11" s="28">
        <v>1</v>
      </c>
      <c r="E11" s="28" t="b">
        <v>0</v>
      </c>
      <c r="F11" s="73" t="s">
        <v>2650</v>
      </c>
      <c r="G11" s="35"/>
    </row>
    <row r="12" spans="1:7">
      <c r="A12" s="28">
        <v>9</v>
      </c>
      <c r="B12" s="302" t="s">
        <v>829</v>
      </c>
      <c r="C12" s="137">
        <v>2105000000009</v>
      </c>
      <c r="D12" s="28">
        <v>1</v>
      </c>
      <c r="E12" s="28" t="b">
        <v>0</v>
      </c>
      <c r="F12" s="73" t="s">
        <v>2651</v>
      </c>
      <c r="G12" s="35"/>
    </row>
    <row r="13" spans="1:7">
      <c r="A13" s="28">
        <v>10</v>
      </c>
      <c r="B13" s="302" t="s">
        <v>829</v>
      </c>
      <c r="C13" s="158">
        <v>2105000000010</v>
      </c>
      <c r="D13" s="28">
        <v>1</v>
      </c>
      <c r="E13" s="28" t="b">
        <v>0</v>
      </c>
      <c r="F13" s="73" t="s">
        <v>2652</v>
      </c>
      <c r="G13" s="35"/>
    </row>
    <row r="14" spans="1:7">
      <c r="A14" s="28">
        <v>11</v>
      </c>
      <c r="B14" s="302" t="s">
        <v>828</v>
      </c>
      <c r="C14" s="137">
        <v>2105000000011</v>
      </c>
      <c r="D14" s="28">
        <v>1</v>
      </c>
      <c r="E14" s="28" t="b">
        <v>0</v>
      </c>
      <c r="F14" s="73" t="s">
        <v>2653</v>
      </c>
      <c r="G14" s="35"/>
    </row>
    <row r="15" spans="1:7">
      <c r="A15" s="28">
        <v>12</v>
      </c>
      <c r="B15" s="302" t="s">
        <v>829</v>
      </c>
      <c r="C15" s="158">
        <v>2105000000012</v>
      </c>
      <c r="D15" s="28">
        <v>1</v>
      </c>
      <c r="E15" s="28" t="b">
        <v>0</v>
      </c>
      <c r="F15" s="73" t="s">
        <v>2654</v>
      </c>
      <c r="G15" s="35"/>
    </row>
    <row r="16" spans="1:7">
      <c r="A16" s="28">
        <v>13</v>
      </c>
      <c r="B16" s="302" t="s">
        <v>828</v>
      </c>
      <c r="C16" s="137">
        <v>2105000000013</v>
      </c>
      <c r="D16" s="28">
        <v>1</v>
      </c>
      <c r="E16" s="28" t="b">
        <v>0</v>
      </c>
      <c r="F16" s="73" t="s">
        <v>2655</v>
      </c>
      <c r="G16" s="35"/>
    </row>
    <row r="17" spans="1:7">
      <c r="A17" s="28">
        <v>14</v>
      </c>
      <c r="B17" s="302" t="s">
        <v>828</v>
      </c>
      <c r="C17" s="158">
        <v>2105000000014</v>
      </c>
      <c r="D17" s="28">
        <v>1</v>
      </c>
      <c r="E17" s="28" t="b">
        <v>0</v>
      </c>
      <c r="F17" s="73" t="s">
        <v>2656</v>
      </c>
      <c r="G17" s="35"/>
    </row>
    <row r="18" spans="1:7">
      <c r="A18" s="28">
        <v>15</v>
      </c>
      <c r="B18" s="302" t="s">
        <v>829</v>
      </c>
      <c r="C18" s="137">
        <v>2105000000015</v>
      </c>
      <c r="D18" s="28">
        <v>1</v>
      </c>
      <c r="E18" s="28" t="b">
        <v>0</v>
      </c>
      <c r="F18" s="73" t="s">
        <v>2657</v>
      </c>
      <c r="G18" s="35"/>
    </row>
    <row r="19" spans="1:7">
      <c r="A19" s="28">
        <v>16</v>
      </c>
      <c r="B19" s="302" t="s">
        <v>828</v>
      </c>
      <c r="C19" s="158">
        <v>2105000000016</v>
      </c>
      <c r="D19" s="28">
        <v>1</v>
      </c>
      <c r="E19" s="28" t="b">
        <v>0</v>
      </c>
      <c r="F19" s="73" t="s">
        <v>2658</v>
      </c>
      <c r="G19" s="35"/>
    </row>
    <row r="20" spans="1:7">
      <c r="A20" s="28">
        <v>17</v>
      </c>
      <c r="B20" s="302" t="s">
        <v>828</v>
      </c>
      <c r="C20" s="137">
        <v>2105000000017</v>
      </c>
      <c r="D20" s="28">
        <v>1</v>
      </c>
      <c r="E20" s="28" t="b">
        <v>0</v>
      </c>
      <c r="F20" s="73" t="s">
        <v>2659</v>
      </c>
      <c r="G20" s="35"/>
    </row>
    <row r="21" spans="1:7">
      <c r="A21" s="28">
        <v>18</v>
      </c>
      <c r="B21" s="302" t="s">
        <v>829</v>
      </c>
      <c r="C21" s="158">
        <v>2105000000018</v>
      </c>
      <c r="D21" s="28">
        <v>1</v>
      </c>
      <c r="E21" s="28" t="b">
        <v>0</v>
      </c>
      <c r="F21" s="73" t="s">
        <v>2660</v>
      </c>
      <c r="G21" s="35"/>
    </row>
    <row r="22" spans="1:7">
      <c r="A22" s="28">
        <v>19</v>
      </c>
      <c r="B22" s="302" t="s">
        <v>828</v>
      </c>
      <c r="C22" s="137">
        <v>2105000000019</v>
      </c>
      <c r="D22" s="28">
        <v>1</v>
      </c>
      <c r="E22" s="28" t="b">
        <v>0</v>
      </c>
      <c r="F22" s="73" t="s">
        <v>2661</v>
      </c>
      <c r="G22" s="35"/>
    </row>
    <row r="23" spans="1:7">
      <c r="A23" s="28">
        <v>20</v>
      </c>
      <c r="B23" s="302" t="s">
        <v>829</v>
      </c>
      <c r="C23" s="158">
        <v>2105000000020</v>
      </c>
      <c r="D23" s="28">
        <v>1</v>
      </c>
      <c r="E23" s="28" t="b">
        <v>1</v>
      </c>
      <c r="F23" s="73" t="s">
        <v>2662</v>
      </c>
      <c r="G23" s="35"/>
    </row>
  </sheetData>
  <phoneticPr fontId="4" type="noConversion"/>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K24" sqref="K24"/>
    </sheetView>
  </sheetViews>
  <sheetFormatPr defaultRowHeight="16.5"/>
  <cols>
    <col min="1" max="1" width="17.25" bestFit="1" customWidth="1"/>
    <col min="2" max="2" width="25.375" bestFit="1" customWidth="1"/>
    <col min="3" max="4" width="16.25" bestFit="1" customWidth="1"/>
  </cols>
  <sheetData>
    <row r="1" spans="1:4">
      <c r="A1" s="1" t="s">
        <v>0</v>
      </c>
      <c r="B1" s="1" t="s">
        <v>755</v>
      </c>
      <c r="C1" s="1" t="s">
        <v>756</v>
      </c>
      <c r="D1" s="1" t="s">
        <v>310</v>
      </c>
    </row>
    <row r="2" spans="1:4">
      <c r="A2" s="1" t="s">
        <v>1</v>
      </c>
      <c r="B2" s="1" t="s">
        <v>2</v>
      </c>
      <c r="C2" s="1" t="s">
        <v>322</v>
      </c>
      <c r="D2" s="1" t="s">
        <v>2</v>
      </c>
    </row>
    <row r="3" spans="1:4">
      <c r="A3" s="1" t="s">
        <v>4</v>
      </c>
      <c r="B3" s="1" t="s">
        <v>4</v>
      </c>
      <c r="C3" s="1" t="s">
        <v>4</v>
      </c>
      <c r="D3" s="1" t="s">
        <v>4</v>
      </c>
    </row>
    <row r="4" spans="1:4">
      <c r="A4" s="27" t="s">
        <v>1063</v>
      </c>
      <c r="B4" s="27" t="s">
        <v>757</v>
      </c>
      <c r="C4" s="27" t="s">
        <v>332</v>
      </c>
      <c r="D4" s="27" t="s">
        <v>300</v>
      </c>
    </row>
    <row r="5" spans="1:4">
      <c r="A5" s="27" t="s">
        <v>1064</v>
      </c>
      <c r="B5" s="27" t="s">
        <v>758</v>
      </c>
      <c r="C5" s="27" t="s">
        <v>401</v>
      </c>
      <c r="D5" s="27" t="s">
        <v>301</v>
      </c>
    </row>
    <row r="6" spans="1:4">
      <c r="A6" s="27" t="s">
        <v>1065</v>
      </c>
      <c r="B6" s="27" t="s">
        <v>757</v>
      </c>
      <c r="C6" s="27" t="s">
        <v>402</v>
      </c>
      <c r="D6" s="27" t="s">
        <v>302</v>
      </c>
    </row>
  </sheetData>
  <phoneticPr fontId="4"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30</vt:i4>
      </vt:variant>
    </vt:vector>
  </HeadingPairs>
  <TitlesOfParts>
    <vt:vector size="30" baseType="lpstr">
      <vt:lpstr>MissionCategory</vt:lpstr>
      <vt:lpstr>Statistics</vt:lpstr>
      <vt:lpstr>MissionCategory.Newbie</vt:lpstr>
      <vt:lpstr>MissionCase.Newbie</vt:lpstr>
      <vt:lpstr>#Mission.Set</vt:lpstr>
      <vt:lpstr>MissionCase.Daily</vt:lpstr>
      <vt:lpstr>MissionCase.Weekly</vt:lpstr>
      <vt:lpstr>MissionCase.Main</vt:lpstr>
      <vt:lpstr>MissionCase.Unlock</vt:lpstr>
      <vt:lpstr>MissionCase.Special</vt:lpstr>
      <vt:lpstr>MissionCase.Guide</vt:lpstr>
      <vt:lpstr>#MissionCase.Guide</vt:lpstr>
      <vt:lpstr>MissionCase.7Days</vt:lpstr>
      <vt:lpstr>#MissionCase.7Days</vt:lpstr>
      <vt:lpstr>MissionCase.Recommend</vt:lpstr>
      <vt:lpstr>MissionCase.Record</vt:lpstr>
      <vt:lpstr>MissionCase.Purchase</vt:lpstr>
      <vt:lpstr>MissionCase.EventStory</vt:lpstr>
      <vt:lpstr>MissionCase.EventBingo</vt:lpstr>
      <vt:lpstr>MissionCase.EventRoulette</vt:lpstr>
      <vt:lpstr>MissionCase.EventCraft</vt:lpstr>
      <vt:lpstr>MissionCase.EventPuzzle</vt:lpstr>
      <vt:lpstr>MissionCase.EventSlotMachine</vt:lpstr>
      <vt:lpstr>MissionCase.Instarseed</vt:lpstr>
      <vt:lpstr>MissionCase.AsniaMissionHub</vt:lpstr>
      <vt:lpstr>MissionCase.PurchaseSequence</vt:lpstr>
      <vt:lpstr>MissionCase.Growth</vt:lpstr>
      <vt:lpstr>MissionCase.Promotion</vt:lpstr>
      <vt:lpstr>GuideQuest</vt:lpstr>
      <vt:lpstr>EventCase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김오찬</cp:lastModifiedBy>
  <dcterms:created xsi:type="dcterms:W3CDTF">2020-12-22T17:36:25Z</dcterms:created>
  <dcterms:modified xsi:type="dcterms:W3CDTF">2024-06-10T01:36:42Z</dcterms:modified>
</cp:coreProperties>
</file>